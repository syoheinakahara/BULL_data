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9120" yWindow="460" windowWidth="19220" windowHeight="107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" i="18" l="1"/>
  <c r="C43" i="18"/>
  <c r="D43" i="18"/>
  <c r="A42" i="18"/>
  <c r="C42" i="18"/>
  <c r="D42" i="18"/>
  <c r="A41" i="18"/>
  <c r="C41" i="18"/>
  <c r="D41" i="18"/>
  <c r="A40" i="18"/>
  <c r="C40" i="18"/>
  <c r="D40" i="18"/>
  <c r="A39" i="18"/>
  <c r="C39" i="18"/>
  <c r="D39" i="18"/>
  <c r="A38" i="18"/>
  <c r="C38" i="18"/>
  <c r="D38" i="18"/>
  <c r="A37" i="18"/>
  <c r="C37" i="18"/>
  <c r="D37" i="18"/>
  <c r="A36" i="18"/>
  <c r="C36" i="18"/>
  <c r="D36" i="18"/>
  <c r="A35" i="18"/>
  <c r="C35" i="18"/>
  <c r="D35" i="18"/>
  <c r="A34" i="18"/>
  <c r="C34" i="18"/>
  <c r="D34" i="18"/>
  <c r="A33" i="18"/>
  <c r="C33" i="18"/>
  <c r="D33" i="18"/>
  <c r="A32" i="18"/>
  <c r="C32" i="18"/>
  <c r="D32" i="18"/>
  <c r="A31" i="18"/>
  <c r="C31" i="18"/>
  <c r="D31" i="18"/>
  <c r="A30" i="18"/>
  <c r="C30" i="18"/>
  <c r="D30" i="18"/>
  <c r="A29" i="18"/>
  <c r="C29" i="18"/>
  <c r="D29" i="18"/>
  <c r="A28" i="18"/>
  <c r="C28" i="18"/>
  <c r="D28" i="18"/>
  <c r="A27" i="18"/>
  <c r="C27" i="18"/>
  <c r="D27" i="18"/>
  <c r="A26" i="18"/>
  <c r="C26" i="18"/>
  <c r="D26" i="18"/>
  <c r="A25" i="18"/>
  <c r="C25" i="18"/>
  <c r="D25" i="18"/>
  <c r="A24" i="18"/>
  <c r="C24" i="18"/>
  <c r="D24" i="18"/>
  <c r="A23" i="18"/>
  <c r="C23" i="18"/>
  <c r="D23" i="18"/>
  <c r="A22" i="18"/>
  <c r="C22" i="18"/>
  <c r="D22" i="18"/>
  <c r="A21" i="18"/>
  <c r="C21" i="18"/>
  <c r="D21" i="18"/>
  <c r="A20" i="18"/>
  <c r="C20" i="18"/>
  <c r="D20" i="18"/>
  <c r="A19" i="18"/>
  <c r="C19" i="18"/>
  <c r="D19" i="18"/>
  <c r="A18" i="18"/>
  <c r="C18" i="18"/>
  <c r="D18" i="18"/>
  <c r="A17" i="18"/>
  <c r="C17" i="18"/>
  <c r="D17" i="18"/>
  <c r="A16" i="18"/>
  <c r="C16" i="18"/>
  <c r="D16" i="18"/>
  <c r="A15" i="18"/>
  <c r="C15" i="18"/>
  <c r="D15" i="18"/>
  <c r="A14" i="18"/>
  <c r="C14" i="18"/>
  <c r="D14" i="18"/>
  <c r="A13" i="18"/>
  <c r="C13" i="18"/>
  <c r="D13" i="18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2" i="18"/>
  <c r="C2" i="18"/>
  <c r="D2" i="18"/>
  <c r="A21" i="1"/>
  <c r="D21" i="1"/>
  <c r="E21" i="1"/>
  <c r="F21" i="1"/>
  <c r="H2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I21" i="1"/>
  <c r="J21" i="1"/>
  <c r="M21" i="1"/>
  <c r="N21" i="1"/>
  <c r="O21" i="1"/>
  <c r="P21" i="1"/>
  <c r="Q21" i="1"/>
  <c r="T21" i="1"/>
  <c r="V21" i="1"/>
  <c r="E4" i="9"/>
  <c r="X21" i="1"/>
  <c r="AD21" i="1"/>
  <c r="AE21" i="1"/>
  <c r="AF21" i="1"/>
  <c r="AG21" i="1"/>
  <c r="AI21" i="1"/>
  <c r="H7" i="7"/>
  <c r="J7" i="7"/>
  <c r="I7" i="7"/>
  <c r="H6" i="7"/>
  <c r="J6" i="7"/>
  <c r="I6" i="7"/>
  <c r="H5" i="7"/>
  <c r="J5" i="7"/>
  <c r="I5" i="7"/>
  <c r="H4" i="7"/>
  <c r="J4" i="7"/>
  <c r="I4" i="7"/>
  <c r="H3" i="7"/>
  <c r="J3" i="7"/>
  <c r="I3" i="7"/>
  <c r="H2" i="7"/>
  <c r="J2" i="7"/>
  <c r="I2" i="7"/>
  <c r="J33" i="11"/>
  <c r="O82" i="9"/>
  <c r="N82" i="9"/>
  <c r="M82" i="9"/>
  <c r="L82" i="9"/>
  <c r="K82" i="9"/>
  <c r="J82" i="9"/>
  <c r="I82" i="9"/>
  <c r="H82" i="9"/>
  <c r="G82" i="9"/>
  <c r="E82" i="9"/>
  <c r="D82" i="9"/>
  <c r="J32" i="11"/>
  <c r="O81" i="9"/>
  <c r="N81" i="9"/>
  <c r="M81" i="9"/>
  <c r="L81" i="9"/>
  <c r="K81" i="9"/>
  <c r="J81" i="9"/>
  <c r="I81" i="9"/>
  <c r="H81" i="9"/>
  <c r="G81" i="9"/>
  <c r="E81" i="9"/>
  <c r="D81" i="9"/>
  <c r="J31" i="11"/>
  <c r="O80" i="9"/>
  <c r="N80" i="9"/>
  <c r="M80" i="9"/>
  <c r="L80" i="9"/>
  <c r="K80" i="9"/>
  <c r="J80" i="9"/>
  <c r="I80" i="9"/>
  <c r="H80" i="9"/>
  <c r="G80" i="9"/>
  <c r="E80" i="9"/>
  <c r="D80" i="9"/>
  <c r="J30" i="11"/>
  <c r="O79" i="9"/>
  <c r="N79" i="9"/>
  <c r="M79" i="9"/>
  <c r="L79" i="9"/>
  <c r="K79" i="9"/>
  <c r="J79" i="9"/>
  <c r="I79" i="9"/>
  <c r="H79" i="9"/>
  <c r="G79" i="9"/>
  <c r="E79" i="9"/>
  <c r="D79" i="9"/>
  <c r="J29" i="11"/>
  <c r="O78" i="9"/>
  <c r="N78" i="9"/>
  <c r="M78" i="9"/>
  <c r="L78" i="9"/>
  <c r="K78" i="9"/>
  <c r="J78" i="9"/>
  <c r="I78" i="9"/>
  <c r="H78" i="9"/>
  <c r="G78" i="9"/>
  <c r="E78" i="9"/>
  <c r="D78" i="9"/>
  <c r="J37" i="11"/>
  <c r="O77" i="9"/>
  <c r="N77" i="9"/>
  <c r="M77" i="9"/>
  <c r="L77" i="9"/>
  <c r="K77" i="9"/>
  <c r="J77" i="9"/>
  <c r="I77" i="9"/>
  <c r="H77" i="9"/>
  <c r="G77" i="9"/>
  <c r="E77" i="9"/>
  <c r="D77" i="9"/>
  <c r="J27" i="11"/>
  <c r="O76" i="9"/>
  <c r="N76" i="9"/>
  <c r="M76" i="9"/>
  <c r="L76" i="9"/>
  <c r="K76" i="9"/>
  <c r="J76" i="9"/>
  <c r="I76" i="9"/>
  <c r="H76" i="9"/>
  <c r="G76" i="9"/>
  <c r="E76" i="9"/>
  <c r="D76" i="9"/>
  <c r="J26" i="11"/>
  <c r="O75" i="9"/>
  <c r="N75" i="9"/>
  <c r="M75" i="9"/>
  <c r="L75" i="9"/>
  <c r="K75" i="9"/>
  <c r="J75" i="9"/>
  <c r="I75" i="9"/>
  <c r="H75" i="9"/>
  <c r="G75" i="9"/>
  <c r="E75" i="9"/>
  <c r="D75" i="9"/>
  <c r="J25" i="11"/>
  <c r="O74" i="9"/>
  <c r="N74" i="9"/>
  <c r="M74" i="9"/>
  <c r="L74" i="9"/>
  <c r="K74" i="9"/>
  <c r="J74" i="9"/>
  <c r="I74" i="9"/>
  <c r="H74" i="9"/>
  <c r="G74" i="9"/>
  <c r="E74" i="9"/>
  <c r="D74" i="9"/>
  <c r="J24" i="11"/>
  <c r="O73" i="9"/>
  <c r="N73" i="9"/>
  <c r="M73" i="9"/>
  <c r="L73" i="9"/>
  <c r="K73" i="9"/>
  <c r="J73" i="9"/>
  <c r="I73" i="9"/>
  <c r="H73" i="9"/>
  <c r="G73" i="9"/>
  <c r="E73" i="9"/>
  <c r="D73" i="9"/>
  <c r="J23" i="11"/>
  <c r="O72" i="9"/>
  <c r="N72" i="9"/>
  <c r="M72" i="9"/>
  <c r="L72" i="9"/>
  <c r="K72" i="9"/>
  <c r="J72" i="9"/>
  <c r="I72" i="9"/>
  <c r="H72" i="9"/>
  <c r="G72" i="9"/>
  <c r="E72" i="9"/>
  <c r="D72" i="9"/>
  <c r="J22" i="11"/>
  <c r="O71" i="9"/>
  <c r="N71" i="9"/>
  <c r="M71" i="9"/>
  <c r="L71" i="9"/>
  <c r="K71" i="9"/>
  <c r="J71" i="9"/>
  <c r="I71" i="9"/>
  <c r="H71" i="9"/>
  <c r="G71" i="9"/>
  <c r="E71" i="9"/>
  <c r="D71" i="9"/>
  <c r="J21" i="11"/>
  <c r="O70" i="9"/>
  <c r="N70" i="9"/>
  <c r="M70" i="9"/>
  <c r="L70" i="9"/>
  <c r="K70" i="9"/>
  <c r="J70" i="9"/>
  <c r="I70" i="9"/>
  <c r="H70" i="9"/>
  <c r="G70" i="9"/>
  <c r="E70" i="9"/>
  <c r="D70" i="9"/>
  <c r="J20" i="11"/>
  <c r="O69" i="9"/>
  <c r="N69" i="9"/>
  <c r="M69" i="9"/>
  <c r="L69" i="9"/>
  <c r="K69" i="9"/>
  <c r="J69" i="9"/>
  <c r="I69" i="9"/>
  <c r="H69" i="9"/>
  <c r="G69" i="9"/>
  <c r="E69" i="9"/>
  <c r="D69" i="9"/>
  <c r="J19" i="11"/>
  <c r="O68" i="9"/>
  <c r="N68" i="9"/>
  <c r="M68" i="9"/>
  <c r="L68" i="9"/>
  <c r="K68" i="9"/>
  <c r="J68" i="9"/>
  <c r="I68" i="9"/>
  <c r="H68" i="9"/>
  <c r="G68" i="9"/>
  <c r="E68" i="9"/>
  <c r="D68" i="9"/>
  <c r="J36" i="11"/>
  <c r="O67" i="9"/>
  <c r="N67" i="9"/>
  <c r="M67" i="9"/>
  <c r="L67" i="9"/>
  <c r="K67" i="9"/>
  <c r="J67" i="9"/>
  <c r="I67" i="9"/>
  <c r="H67" i="9"/>
  <c r="G67" i="9"/>
  <c r="E67" i="9"/>
  <c r="D67" i="9"/>
  <c r="J17" i="11"/>
  <c r="O66" i="9"/>
  <c r="N66" i="9"/>
  <c r="M66" i="9"/>
  <c r="L66" i="9"/>
  <c r="K66" i="9"/>
  <c r="J66" i="9"/>
  <c r="I66" i="9"/>
  <c r="H66" i="9"/>
  <c r="G66" i="9"/>
  <c r="E66" i="9"/>
  <c r="D66" i="9"/>
  <c r="J16" i="11"/>
  <c r="O65" i="9"/>
  <c r="N65" i="9"/>
  <c r="M65" i="9"/>
  <c r="L65" i="9"/>
  <c r="K65" i="9"/>
  <c r="J65" i="9"/>
  <c r="I65" i="9"/>
  <c r="H65" i="9"/>
  <c r="G65" i="9"/>
  <c r="E65" i="9"/>
  <c r="D65" i="9"/>
  <c r="J15" i="11"/>
  <c r="O64" i="9"/>
  <c r="N64" i="9"/>
  <c r="M64" i="9"/>
  <c r="L64" i="9"/>
  <c r="K64" i="9"/>
  <c r="J64" i="9"/>
  <c r="I64" i="9"/>
  <c r="H64" i="9"/>
  <c r="G64" i="9"/>
  <c r="E64" i="9"/>
  <c r="D64" i="9"/>
  <c r="J14" i="11"/>
  <c r="O63" i="9"/>
  <c r="N63" i="9"/>
  <c r="M63" i="9"/>
  <c r="L63" i="9"/>
  <c r="K63" i="9"/>
  <c r="J63" i="9"/>
  <c r="I63" i="9"/>
  <c r="H63" i="9"/>
  <c r="G63" i="9"/>
  <c r="E63" i="9"/>
  <c r="D63" i="9"/>
  <c r="J13" i="11"/>
  <c r="O62" i="9"/>
  <c r="N62" i="9"/>
  <c r="M62" i="9"/>
  <c r="L62" i="9"/>
  <c r="K62" i="9"/>
  <c r="J62" i="9"/>
  <c r="I62" i="9"/>
  <c r="H62" i="9"/>
  <c r="G62" i="9"/>
  <c r="E62" i="9"/>
  <c r="D62" i="9"/>
  <c r="J12" i="11"/>
  <c r="O61" i="9"/>
  <c r="N61" i="9"/>
  <c r="M61" i="9"/>
  <c r="L61" i="9"/>
  <c r="K61" i="9"/>
  <c r="J61" i="9"/>
  <c r="I61" i="9"/>
  <c r="H61" i="9"/>
  <c r="G61" i="9"/>
  <c r="E61" i="9"/>
  <c r="D61" i="9"/>
  <c r="J11" i="11"/>
  <c r="O60" i="9"/>
  <c r="N60" i="9"/>
  <c r="M60" i="9"/>
  <c r="L60" i="9"/>
  <c r="K60" i="9"/>
  <c r="J60" i="9"/>
  <c r="I60" i="9"/>
  <c r="H60" i="9"/>
  <c r="G60" i="9"/>
  <c r="E60" i="9"/>
  <c r="D60" i="9"/>
  <c r="O59" i="9"/>
  <c r="N59" i="9"/>
  <c r="M59" i="9"/>
  <c r="L59" i="9"/>
  <c r="K59" i="9"/>
  <c r="J59" i="9"/>
  <c r="I59" i="9"/>
  <c r="H59" i="9"/>
  <c r="G59" i="9"/>
  <c r="E59" i="9"/>
  <c r="D59" i="9"/>
  <c r="O58" i="9"/>
  <c r="N58" i="9"/>
  <c r="M58" i="9"/>
  <c r="L58" i="9"/>
  <c r="K58" i="9"/>
  <c r="J58" i="9"/>
  <c r="I58" i="9"/>
  <c r="H58" i="9"/>
  <c r="G58" i="9"/>
  <c r="E58" i="9"/>
  <c r="D58" i="9"/>
  <c r="O57" i="9"/>
  <c r="N57" i="9"/>
  <c r="M57" i="9"/>
  <c r="L57" i="9"/>
  <c r="K57" i="9"/>
  <c r="J57" i="9"/>
  <c r="I57" i="9"/>
  <c r="H57" i="9"/>
  <c r="G57" i="9"/>
  <c r="E57" i="9"/>
  <c r="D57" i="9"/>
  <c r="O56" i="9"/>
  <c r="N56" i="9"/>
  <c r="M56" i="9"/>
  <c r="L56" i="9"/>
  <c r="K56" i="9"/>
  <c r="J56" i="9"/>
  <c r="I56" i="9"/>
  <c r="H56" i="9"/>
  <c r="G56" i="9"/>
  <c r="E56" i="9"/>
  <c r="D56" i="9"/>
  <c r="O55" i="9"/>
  <c r="N55" i="9"/>
  <c r="M55" i="9"/>
  <c r="L55" i="9"/>
  <c r="K55" i="9"/>
  <c r="J55" i="9"/>
  <c r="I55" i="9"/>
  <c r="H55" i="9"/>
  <c r="G55" i="9"/>
  <c r="E55" i="9"/>
  <c r="D55" i="9"/>
  <c r="J28" i="11"/>
  <c r="O54" i="9"/>
  <c r="N54" i="9"/>
  <c r="M54" i="9"/>
  <c r="L54" i="9"/>
  <c r="K54" i="9"/>
  <c r="J54" i="9"/>
  <c r="I54" i="9"/>
  <c r="H54" i="9"/>
  <c r="G54" i="9"/>
  <c r="E54" i="9"/>
  <c r="D54" i="9"/>
  <c r="J35" i="11"/>
  <c r="O53" i="9"/>
  <c r="N53" i="9"/>
  <c r="M53" i="9"/>
  <c r="L53" i="9"/>
  <c r="K53" i="9"/>
  <c r="J53" i="9"/>
  <c r="I53" i="9"/>
  <c r="H53" i="9"/>
  <c r="G53" i="9"/>
  <c r="E53" i="9"/>
  <c r="D53" i="9"/>
  <c r="O52" i="9"/>
  <c r="N52" i="9"/>
  <c r="M52" i="9"/>
  <c r="L52" i="9"/>
  <c r="K52" i="9"/>
  <c r="J52" i="9"/>
  <c r="I52" i="9"/>
  <c r="H52" i="9"/>
  <c r="G52" i="9"/>
  <c r="E52" i="9"/>
  <c r="D52" i="9"/>
  <c r="O51" i="9"/>
  <c r="N51" i="9"/>
  <c r="M51" i="9"/>
  <c r="L51" i="9"/>
  <c r="K51" i="9"/>
  <c r="J51" i="9"/>
  <c r="I51" i="9"/>
  <c r="H51" i="9"/>
  <c r="G51" i="9"/>
  <c r="E51" i="9"/>
  <c r="D51" i="9"/>
  <c r="O50" i="9"/>
  <c r="N50" i="9"/>
  <c r="M50" i="9"/>
  <c r="L50" i="9"/>
  <c r="K50" i="9"/>
  <c r="J50" i="9"/>
  <c r="I50" i="9"/>
  <c r="H50" i="9"/>
  <c r="G50" i="9"/>
  <c r="E50" i="9"/>
  <c r="D50" i="9"/>
  <c r="O49" i="9"/>
  <c r="N49" i="9"/>
  <c r="M49" i="9"/>
  <c r="L49" i="9"/>
  <c r="K49" i="9"/>
  <c r="J49" i="9"/>
  <c r="I49" i="9"/>
  <c r="H49" i="9"/>
  <c r="G49" i="9"/>
  <c r="E49" i="9"/>
  <c r="D49" i="9"/>
  <c r="O48" i="9"/>
  <c r="N48" i="9"/>
  <c r="M48" i="9"/>
  <c r="L48" i="9"/>
  <c r="K48" i="9"/>
  <c r="J48" i="9"/>
  <c r="I48" i="9"/>
  <c r="H48" i="9"/>
  <c r="G48" i="9"/>
  <c r="E48" i="9"/>
  <c r="D48" i="9"/>
  <c r="O47" i="9"/>
  <c r="N47" i="9"/>
  <c r="M47" i="9"/>
  <c r="L47" i="9"/>
  <c r="K47" i="9"/>
  <c r="J47" i="9"/>
  <c r="I47" i="9"/>
  <c r="H47" i="9"/>
  <c r="G47" i="9"/>
  <c r="E47" i="9"/>
  <c r="D47" i="9"/>
  <c r="O46" i="9"/>
  <c r="N46" i="9"/>
  <c r="M46" i="9"/>
  <c r="L46" i="9"/>
  <c r="K46" i="9"/>
  <c r="J46" i="9"/>
  <c r="I46" i="9"/>
  <c r="H46" i="9"/>
  <c r="G46" i="9"/>
  <c r="E46" i="9"/>
  <c r="D46" i="9"/>
  <c r="O45" i="9"/>
  <c r="N45" i="9"/>
  <c r="M45" i="9"/>
  <c r="L45" i="9"/>
  <c r="K45" i="9"/>
  <c r="J45" i="9"/>
  <c r="I45" i="9"/>
  <c r="H45" i="9"/>
  <c r="G45" i="9"/>
  <c r="E45" i="9"/>
  <c r="D45" i="9"/>
  <c r="O44" i="9"/>
  <c r="N44" i="9"/>
  <c r="M44" i="9"/>
  <c r="L44" i="9"/>
  <c r="K44" i="9"/>
  <c r="J44" i="9"/>
  <c r="I44" i="9"/>
  <c r="H44" i="9"/>
  <c r="G44" i="9"/>
  <c r="E44" i="9"/>
  <c r="D44" i="9"/>
  <c r="O43" i="9"/>
  <c r="N43" i="9"/>
  <c r="M43" i="9"/>
  <c r="L43" i="9"/>
  <c r="K43" i="9"/>
  <c r="J43" i="9"/>
  <c r="I43" i="9"/>
  <c r="H43" i="9"/>
  <c r="G43" i="9"/>
  <c r="E43" i="9"/>
  <c r="D43" i="9"/>
  <c r="O42" i="9"/>
  <c r="N42" i="9"/>
  <c r="M42" i="9"/>
  <c r="L42" i="9"/>
  <c r="K42" i="9"/>
  <c r="J42" i="9"/>
  <c r="I42" i="9"/>
  <c r="H42" i="9"/>
  <c r="G42" i="9"/>
  <c r="E42" i="9"/>
  <c r="D42" i="9"/>
  <c r="O41" i="9"/>
  <c r="N41" i="9"/>
  <c r="M41" i="9"/>
  <c r="L41" i="9"/>
  <c r="K41" i="9"/>
  <c r="J41" i="9"/>
  <c r="I41" i="9"/>
  <c r="H41" i="9"/>
  <c r="G41" i="9"/>
  <c r="E41" i="9"/>
  <c r="D41" i="9"/>
  <c r="J34" i="11"/>
  <c r="O40" i="9"/>
  <c r="N40" i="9"/>
  <c r="M40" i="9"/>
  <c r="L40" i="9"/>
  <c r="K40" i="9"/>
  <c r="J40" i="9"/>
  <c r="I40" i="9"/>
  <c r="H40" i="9"/>
  <c r="G40" i="9"/>
  <c r="E40" i="9"/>
  <c r="D40" i="9"/>
  <c r="O39" i="9"/>
  <c r="N39" i="9"/>
  <c r="M39" i="9"/>
  <c r="L39" i="9"/>
  <c r="K39" i="9"/>
  <c r="J39" i="9"/>
  <c r="I39" i="9"/>
  <c r="H39" i="9"/>
  <c r="G39" i="9"/>
  <c r="E39" i="9"/>
  <c r="D39" i="9"/>
  <c r="O38" i="9"/>
  <c r="N38" i="9"/>
  <c r="M38" i="9"/>
  <c r="L38" i="9"/>
  <c r="K38" i="9"/>
  <c r="J38" i="9"/>
  <c r="I38" i="9"/>
  <c r="H38" i="9"/>
  <c r="G38" i="9"/>
  <c r="E38" i="9"/>
  <c r="D38" i="9"/>
  <c r="O37" i="9"/>
  <c r="N37" i="9"/>
  <c r="M37" i="9"/>
  <c r="L37" i="9"/>
  <c r="K37" i="9"/>
  <c r="J37" i="9"/>
  <c r="I37" i="9"/>
  <c r="H37" i="9"/>
  <c r="G37" i="9"/>
  <c r="E37" i="9"/>
  <c r="D37" i="9"/>
  <c r="O36" i="9"/>
  <c r="N36" i="9"/>
  <c r="M36" i="9"/>
  <c r="L36" i="9"/>
  <c r="K36" i="9"/>
  <c r="J36" i="9"/>
  <c r="I36" i="9"/>
  <c r="H36" i="9"/>
  <c r="G36" i="9"/>
  <c r="E36" i="9"/>
  <c r="D36" i="9"/>
  <c r="O35" i="9"/>
  <c r="N35" i="9"/>
  <c r="M35" i="9"/>
  <c r="L35" i="9"/>
  <c r="K35" i="9"/>
  <c r="J35" i="9"/>
  <c r="I35" i="9"/>
  <c r="H35" i="9"/>
  <c r="G35" i="9"/>
  <c r="E35" i="9"/>
  <c r="D35" i="9"/>
  <c r="O34" i="9"/>
  <c r="N34" i="9"/>
  <c r="M34" i="9"/>
  <c r="L34" i="9"/>
  <c r="K34" i="9"/>
  <c r="J34" i="9"/>
  <c r="I34" i="9"/>
  <c r="H34" i="9"/>
  <c r="G34" i="9"/>
  <c r="E34" i="9"/>
  <c r="D34" i="9"/>
  <c r="O33" i="9"/>
  <c r="N33" i="9"/>
  <c r="M33" i="9"/>
  <c r="L33" i="9"/>
  <c r="K33" i="9"/>
  <c r="J33" i="9"/>
  <c r="I33" i="9"/>
  <c r="H33" i="9"/>
  <c r="G33" i="9"/>
  <c r="E33" i="9"/>
  <c r="D33" i="9"/>
  <c r="O32" i="9"/>
  <c r="N32" i="9"/>
  <c r="M32" i="9"/>
  <c r="L32" i="9"/>
  <c r="K32" i="9"/>
  <c r="J32" i="9"/>
  <c r="I32" i="9"/>
  <c r="H32" i="9"/>
  <c r="G32" i="9"/>
  <c r="E32" i="9"/>
  <c r="D32" i="9"/>
  <c r="O31" i="9"/>
  <c r="N31" i="9"/>
  <c r="M31" i="9"/>
  <c r="L31" i="9"/>
  <c r="K31" i="9"/>
  <c r="J31" i="9"/>
  <c r="I31" i="9"/>
  <c r="H31" i="9"/>
  <c r="G31" i="9"/>
  <c r="E31" i="9"/>
  <c r="D31" i="9"/>
  <c r="O30" i="9"/>
  <c r="N30" i="9"/>
  <c r="M30" i="9"/>
  <c r="L30" i="9"/>
  <c r="K30" i="9"/>
  <c r="J30" i="9"/>
  <c r="I30" i="9"/>
  <c r="H30" i="9"/>
  <c r="G30" i="9"/>
  <c r="E30" i="9"/>
  <c r="D30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J18" i="11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E9" i="9"/>
  <c r="D9" i="9"/>
  <c r="J8" i="11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E7" i="9"/>
  <c r="D7" i="9"/>
  <c r="J6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E2" i="9"/>
  <c r="D2" i="9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B2" i="1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Y7" i="7"/>
  <c r="W7" i="7"/>
  <c r="U7" i="7"/>
  <c r="R7" i="7"/>
  <c r="Q7" i="7"/>
  <c r="P7" i="7"/>
  <c r="O7" i="7"/>
  <c r="N7" i="7"/>
  <c r="D7" i="7"/>
  <c r="F7" i="7"/>
  <c r="E7" i="7"/>
  <c r="A7" i="7"/>
  <c r="Y6" i="7"/>
  <c r="W6" i="7"/>
  <c r="U6" i="7"/>
  <c r="R6" i="7"/>
  <c r="Q6" i="7"/>
  <c r="P6" i="7"/>
  <c r="O6" i="7"/>
  <c r="N6" i="7"/>
  <c r="D6" i="7"/>
  <c r="F6" i="7"/>
  <c r="E6" i="7"/>
  <c r="A6" i="7"/>
  <c r="Y5" i="7"/>
  <c r="W5" i="7"/>
  <c r="U5" i="7"/>
  <c r="R5" i="7"/>
  <c r="Q5" i="7"/>
  <c r="P5" i="7"/>
  <c r="O5" i="7"/>
  <c r="N5" i="7"/>
  <c r="D5" i="7"/>
  <c r="F5" i="7"/>
  <c r="E5" i="7"/>
  <c r="A5" i="7"/>
  <c r="Y4" i="7"/>
  <c r="W4" i="7"/>
  <c r="U4" i="7"/>
  <c r="R4" i="7"/>
  <c r="Q4" i="7"/>
  <c r="P4" i="7"/>
  <c r="O4" i="7"/>
  <c r="N4" i="7"/>
  <c r="D4" i="7"/>
  <c r="F4" i="7"/>
  <c r="E4" i="7"/>
  <c r="A4" i="7"/>
  <c r="Y3" i="7"/>
  <c r="W3" i="7"/>
  <c r="U3" i="7"/>
  <c r="R3" i="7"/>
  <c r="Q3" i="7"/>
  <c r="P3" i="7"/>
  <c r="O3" i="7"/>
  <c r="N3" i="7"/>
  <c r="D3" i="7"/>
  <c r="F3" i="7"/>
  <c r="E3" i="7"/>
  <c r="A3" i="7"/>
  <c r="D25" i="1"/>
  <c r="F25" i="1"/>
  <c r="E25" i="1"/>
  <c r="D24" i="1"/>
  <c r="F24" i="1"/>
  <c r="E24" i="1"/>
  <c r="D23" i="1"/>
  <c r="F23" i="1"/>
  <c r="E23" i="1"/>
  <c r="D22" i="1"/>
  <c r="F22" i="1"/>
  <c r="E22" i="1"/>
  <c r="D20" i="1"/>
  <c r="F20" i="1"/>
  <c r="E20" i="1"/>
  <c r="D19" i="1"/>
  <c r="F19" i="1"/>
  <c r="E19" i="1"/>
  <c r="D18" i="1"/>
  <c r="F18" i="1"/>
  <c r="E18" i="1"/>
  <c r="D17" i="1"/>
  <c r="F17" i="1"/>
  <c r="E17" i="1"/>
  <c r="D16" i="1"/>
  <c r="F16" i="1"/>
  <c r="E16" i="1"/>
  <c r="D15" i="1"/>
  <c r="F15" i="1"/>
  <c r="E15" i="1"/>
  <c r="D14" i="1"/>
  <c r="F14" i="1"/>
  <c r="E14" i="1"/>
  <c r="D13" i="1"/>
  <c r="F13" i="1"/>
  <c r="E13" i="1"/>
  <c r="D12" i="1"/>
  <c r="F12" i="1"/>
  <c r="E12" i="1"/>
  <c r="D11" i="1"/>
  <c r="F11" i="1"/>
  <c r="E11" i="1"/>
  <c r="D10" i="1"/>
  <c r="F10" i="1"/>
  <c r="E10" i="1"/>
  <c r="D9" i="1"/>
  <c r="F9" i="1"/>
  <c r="E9" i="1"/>
  <c r="D8" i="1"/>
  <c r="F8" i="1"/>
  <c r="E8" i="1"/>
  <c r="D7" i="1"/>
  <c r="F7" i="1"/>
  <c r="E7" i="1"/>
  <c r="D6" i="1"/>
  <c r="F6" i="1"/>
  <c r="E6" i="1"/>
  <c r="D5" i="1"/>
  <c r="F5" i="1"/>
  <c r="E5" i="1"/>
  <c r="D4" i="1"/>
  <c r="F4" i="1"/>
  <c r="E4" i="1"/>
  <c r="D3" i="1"/>
  <c r="F3" i="1"/>
  <c r="E3" i="1"/>
  <c r="D2" i="1"/>
  <c r="F2" i="1"/>
  <c r="E2" i="1"/>
  <c r="AD25" i="1"/>
  <c r="AF25" i="1"/>
  <c r="AI25" i="1"/>
  <c r="AG25" i="1"/>
  <c r="AE25" i="1"/>
  <c r="X25" i="1"/>
  <c r="V25" i="1"/>
  <c r="T25" i="1"/>
  <c r="Q25" i="1"/>
  <c r="P25" i="1"/>
  <c r="O25" i="1"/>
  <c r="N25" i="1"/>
  <c r="M25" i="1"/>
  <c r="H25" i="1"/>
  <c r="J25" i="1"/>
  <c r="I25" i="1"/>
  <c r="A25" i="1"/>
  <c r="AD24" i="1"/>
  <c r="AF24" i="1"/>
  <c r="AI24" i="1"/>
  <c r="AG24" i="1"/>
  <c r="AE24" i="1"/>
  <c r="X24" i="1"/>
  <c r="V24" i="1"/>
  <c r="T24" i="1"/>
  <c r="Q24" i="1"/>
  <c r="P24" i="1"/>
  <c r="O24" i="1"/>
  <c r="N24" i="1"/>
  <c r="M24" i="1"/>
  <c r="H24" i="1"/>
  <c r="J24" i="1"/>
  <c r="I24" i="1"/>
  <c r="A24" i="1"/>
  <c r="AD23" i="1"/>
  <c r="AF23" i="1"/>
  <c r="AI23" i="1"/>
  <c r="AG23" i="1"/>
  <c r="AE23" i="1"/>
  <c r="X23" i="1"/>
  <c r="V23" i="1"/>
  <c r="T23" i="1"/>
  <c r="Q23" i="1"/>
  <c r="P23" i="1"/>
  <c r="O23" i="1"/>
  <c r="N23" i="1"/>
  <c r="M23" i="1"/>
  <c r="H23" i="1"/>
  <c r="J23" i="1"/>
  <c r="I23" i="1"/>
  <c r="A23" i="1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H22" i="1"/>
  <c r="J22" i="1"/>
  <c r="I22" i="1"/>
  <c r="A22" i="1"/>
  <c r="AD20" i="1"/>
  <c r="AF20" i="1"/>
  <c r="AI20" i="1"/>
  <c r="AG20" i="1"/>
  <c r="AE20" i="1"/>
  <c r="X20" i="1"/>
  <c r="V20" i="1"/>
  <c r="T20" i="1"/>
  <c r="Q20" i="1"/>
  <c r="P20" i="1"/>
  <c r="O20" i="1"/>
  <c r="N20" i="1"/>
  <c r="M20" i="1"/>
  <c r="H20" i="1"/>
  <c r="J20" i="1"/>
  <c r="I20" i="1"/>
  <c r="A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A4" i="1"/>
  <c r="H17" i="2"/>
  <c r="E17" i="2"/>
  <c r="D17" i="2"/>
  <c r="H2" i="1"/>
  <c r="H3" i="1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Y2" i="7"/>
  <c r="X2" i="1"/>
  <c r="W2" i="7"/>
  <c r="U2" i="7"/>
  <c r="V3" i="1"/>
  <c r="V2" i="1"/>
  <c r="T3" i="1"/>
  <c r="T2" i="1"/>
  <c r="E13" i="16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2" i="16"/>
  <c r="E11" i="16"/>
  <c r="G2" i="19"/>
  <c r="F2" i="19"/>
  <c r="D2" i="19"/>
  <c r="C2" i="19"/>
  <c r="E10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A2" i="7"/>
  <c r="D2" i="7"/>
  <c r="F2" i="7"/>
  <c r="E2" i="7"/>
  <c r="J2" i="1"/>
  <c r="I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<sst xmlns="http://schemas.openxmlformats.org/spreadsheetml/2006/main" count="1180" uniqueCount="333">
  <si>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</si>
  <si>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</si>
  <si>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</si>
  <si>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</si>
  <si>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</si>
  <si>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</si>
  <si>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</si>
  <si>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</si>
  <si>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</si>
  <si>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</si>
  <si>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</si>
  <si>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</si>
  <si>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</si>
  <si>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</si>
  <si>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</si>
  <si>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</si>
  <si>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</si>
  <si>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</si>
  <si>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</si>
  <si>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</si>
  <si>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</si>
  <si>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</si>
  <si>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</si>
  <si>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</si>
  <si>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</si>
  <si>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</si>
  <si>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</si>
  <si>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</si>
  <si>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</si>
  <si>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</si>
  <si>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</si>
  <si>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</si>
  <si>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</si>
  <si>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</si>
  <si>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</si>
  <si>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</si>
  <si>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</si>
  <si>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</si>
  <si>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</si>
  <si>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</si>
  <si>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</si>
  <si>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</si>
  <si>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</si>
  <si>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</si>
  <si>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</si>
  <si>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</si>
  <si>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</si>
  <si>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</si>
  <si>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</si>
  <si>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</si>
  <si>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</si>
  <si>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</si>
  <si>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</si>
  <si>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</si>
  <si>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</si>
  <si>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</si>
  <si>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</si>
  <si>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</si>
  <si>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</si>
  <si>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</si>
  <si>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</si>
  <si>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</si>
  <si>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</si>
  <si>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</si>
  <si>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</si>
  <si>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</si>
  <si>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</si>
  <si>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</si>
  <si>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</si>
  <si>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</si>
  <si>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</si>
  <si>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</si>
  <si>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</si>
  <si>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</si>
  <si>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</si>
  <si>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</si>
  <si>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</si>
  <si>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</si>
  <si>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</si>
  <si>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</si>
  <si>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</si>
  <si>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</si>
  <si>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</si>
  <si>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</si>
  <si>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</si>
  <si>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</si>
  <si>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</si>
  <si>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</si>
  <si>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</si>
  <si>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</si>
  <si>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</si>
  <si>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</si>
  <si>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</si>
  <si>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</si>
  <si>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</si>
  <si>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</si>
  <si>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</si>
  <si>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</si>
  <si>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</si>
  <si>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</si>
  <si>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</si>
  <si>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</si>
  <si>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</si>
  <si>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</si>
  <si>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</si>
  <si>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</si>
  <si>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</si>
  <si>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</si>
  <si>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</si>
  <si>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</si>
  <si>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</si>
  <si>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</si>
  <si>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</si>
  <si>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</si>
  <si>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</si>
  <si>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</si>
  <si>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</si>
  <si>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</si>
  <si>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</si>
  <si>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</si>
  <si>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</si>
  <si>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</si>
  <si>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</si>
  <si>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</si>
  <si>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</si>
  <si>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</si>
  <si>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</si>
  <si>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</si>
  <si>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</si>
  <si>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</si>
  <si>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</si>
  <si>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</si>
  <si>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</si>
  <si>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</si>
  <si>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</si>
  <si>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</si>
  <si>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</si>
  <si>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</si>
  <si>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</si>
  <si>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</si>
  <si>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</si>
  <si>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</si>
  <si>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</si>
  <si>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</si>
  <si>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</si>
  <si>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</si>
  <si>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</si>
  <si>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</si>
  <si>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</si>
  <si>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</si>
  <si>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</si>
  <si>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</si>
  <si>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</si>
  <si>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</si>
  <si>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</si>
  <si>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</si>
  <si>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</si>
  <si>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</si>
  <si>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</si>
  <si>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</si>
  <si>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</si>
  <si>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</si>
  <si>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</si>
  <si>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</si>
  <si>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</si>
  <si>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</si>
  <si>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</si>
  <si>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</si>
  <si>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</si>
  <si>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</si>
  <si>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</si>
  <si>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</si>
  <si>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</si>
  <si>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</si>
  <si>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</si>
  <si>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</si>
  <si>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</si>
  <si>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</si>
  <si>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</si>
  <si>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</si>
  <si>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</si>
  <si>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</si>
  <si>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</si>
  <si>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</si>
  <si>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</si>
  <si>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</si>
  <si>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</si>
  <si>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</si>
  <si>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</si>
  <si>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</si>
  <si>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</si>
  <si>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</si>
  <si>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</si>
  <si>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</si>
  <si>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</si>
  <si>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</si>
  <si>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</si>
  <si>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</si>
  <si>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</si>
  <si>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</si>
  <si>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</si>
  <si>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</si>
  <si>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</si>
  <si>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</si>
  <si>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</si>
  <si>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</si>
  <si>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</si>
  <si>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</si>
  <si>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</si>
  <si>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</si>
  <si>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</si>
  <si>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</si>
  <si>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</si>
  <si>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</si>
  <si>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</si>
  <si>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</si>
  <si>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</si>
  <si>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</si>
  <si>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</si>
  <si>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</si>
  <si>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</si>
  <si>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</si>
  <si>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</si>
  <si>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</si>
  <si>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</si>
  <si>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</si>
  <si>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</si>
  <si>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</si>
  <si>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</si>
  <si>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</si>
  <si>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</si>
  <si>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</si>
  <si>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</si>
  <si>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</si>
  <si>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</si>
  <si>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</si>
  <si>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</si>
  <si>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</si>
  <si>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</si>
  <si>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</si>
  <si>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</si>
  <si>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</si>
  <si>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</si>
  <si>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</si>
  <si>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</si>
  <si>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</si>
  <si>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</si>
  <si>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</si>
  <si>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</si>
  <si>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[effect:heal, target:enemy_one, val:0.5, animation:enemy_heal]</t>
    <phoneticPr fontId="5"/>
  </si>
  <si>
    <t>ja</t>
    <phoneticPr fontId="5"/>
  </si>
  <si>
    <t>鳴き声</t>
    <rPh sb="0" eb="1">
      <t>ナ</t>
    </rPh>
    <rPh sb="2" eb="3">
      <t>ゴエ</t>
    </rPh>
    <phoneticPr fontId="5"/>
  </si>
  <si>
    <t>[effect:nothing]</t>
    <phoneticPr fontId="5"/>
  </si>
  <si>
    <t>[effect:critical, val:1.3]</t>
    <phoneticPr fontId="5"/>
  </si>
  <si>
    <t>放電</t>
    <rPh sb="0" eb="2">
      <t>ホウデン</t>
    </rPh>
    <phoneticPr fontId="5"/>
  </si>
  <si>
    <t>大ダメージ攻撃！</t>
    <rPh sb="0" eb="1">
      <t>dai</t>
    </rPh>
    <rPh sb="5" eb="7">
      <t>コウゲキ</t>
    </rPh>
    <phoneticPr fontId="5"/>
  </si>
  <si>
    <t>機械音</t>
    <rPh sb="0" eb="3">
      <t>キカイオン</t>
    </rPh>
    <phoneticPr fontId="5"/>
  </si>
  <si>
    <t>治療</t>
    <rPh sb="0" eb="2">
      <t>チリョウ</t>
    </rPh>
    <phoneticPr fontId="5"/>
  </si>
  <si>
    <t>[effect:enhance_enemy, target:enemy_all, turn:3, status:attack, val:1500, calc:add, animation:enemy_enhance_attack]</t>
    <phoneticPr fontId="5"/>
  </si>
  <si>
    <t>この先には行かせないぜ！</t>
    <rPh sb="2" eb="3">
      <t>サキ</t>
    </rPh>
    <rPh sb="5" eb="6">
      <t>イ</t>
    </rPh>
    <phoneticPr fontId="5"/>
  </si>
  <si>
    <t>3ターン敵全体の攻撃力UP</t>
    <phoneticPr fontId="5"/>
  </si>
  <si>
    <t>[effect:spread, val:0.3]</t>
    <phoneticPr fontId="5"/>
  </si>
  <si>
    <t>くらいやがれ！</t>
    <phoneticPr fontId="5"/>
  </si>
  <si>
    <t>全体攻撃</t>
    <rPh sb="0" eb="4">
      <t>ゼンタイコウゲキ</t>
    </rPh>
    <phoneticPr fontId="5"/>
  </si>
  <si>
    <t>[effect:enhance_enemy, target:enemy_all, turn:3, status:defense, val:1500, calc:add, animation:enemy_enhance_defense]</t>
    <phoneticPr fontId="5"/>
  </si>
  <si>
    <t>守りを固めろってな！</t>
    <rPh sb="0" eb="1">
      <t>マモ</t>
    </rPh>
    <rPh sb="3" eb="4">
      <t>カタ</t>
    </rPh>
    <phoneticPr fontId="5"/>
  </si>
  <si>
    <t>3ターン敵全体の防御力UP</t>
    <phoneticPr fontId="5"/>
  </si>
  <si>
    <t>正臣は目を見開いてる</t>
    <rPh sb="3" eb="4">
      <t>メ</t>
    </rPh>
    <rPh sb="5" eb="7">
      <t>ミヒラ</t>
    </rPh>
    <phoneticPr fontId="5"/>
  </si>
  <si>
    <t>ちょっくら邪魔するよ！</t>
    <rPh sb="5" eb="7">
      <t>ジャマ</t>
    </rPh>
    <phoneticPr fontId="5"/>
  </si>
  <si>
    <t>さーて、どうするかな？</t>
    <phoneticPr fontId="5"/>
  </si>
  <si>
    <t>緑パネルを黄パネルに変換</t>
    <rPh sb="0" eb="1">
      <t>ミドリ</t>
    </rPh>
    <rPh sb="5" eb="6">
      <t>キイロ</t>
    </rPh>
    <rPh sb="10" eb="12">
      <t>ヘンカン</t>
    </rPh>
    <phoneticPr fontId="5"/>
  </si>
  <si>
    <t>[effect:damage_anti_color, target:unit_all, color:blue, val1:0.6, val2:0.3]</t>
    <phoneticPr fontId="5"/>
  </si>
  <si>
    <t>お前らだ！！</t>
    <rPh sb="1" eb="2">
      <t>マエ</t>
    </rPh>
    <phoneticPr fontId="5"/>
  </si>
  <si>
    <t>[effect:rush, count:2, val:0.6]</t>
    <phoneticPr fontId="5"/>
  </si>
  <si>
    <t>そら、いくぞ！</t>
    <phoneticPr fontId="5"/>
  </si>
  <si>
    <t>連続攻撃</t>
    <rPh sb="0" eb="4">
      <t>レンゾクコウゲキ</t>
    </rPh>
    <phoneticPr fontId="5"/>
  </si>
  <si>
    <t>なんで杏里が日本刀なんて・・・</t>
    <rPh sb="3" eb="5">
      <t>アンリ</t>
    </rPh>
    <rPh sb="6" eb="9">
      <t>ニホントウ</t>
    </rPh>
    <phoneticPr fontId="5"/>
  </si>
  <si>
    <t>正臣はどうしていいかわからない</t>
    <phoneticPr fontId="5"/>
  </si>
  <si>
    <t>正臣はどうしていいかわからない</t>
  </si>
  <si>
    <t>まだまだいくぜ！</t>
    <phoneticPr fontId="5"/>
  </si>
  <si>
    <t>黄パネル無効＋ステータスUP</t>
    <rPh sb="0" eb="1">
      <t>キイロ</t>
    </rPh>
    <rPh sb="4" eb="6">
      <t>mukou</t>
    </rPh>
    <phoneticPr fontId="5"/>
  </si>
  <si>
    <t>これならどうだ！</t>
    <phoneticPr fontId="5"/>
  </si>
  <si>
    <t>気にいらねぇな！</t>
    <rPh sb="0" eb="1">
      <t>キ</t>
    </rPh>
    <phoneticPr fontId="5"/>
  </si>
  <si>
    <t>何だってんだよ畜生！</t>
    <rPh sb="0" eb="1">
      <t>ナン</t>
    </rPh>
    <rPh sb="7" eb="9">
      <t>チクショウ</t>
    </rPh>
    <phoneticPr fontId="5"/>
  </si>
  <si>
    <t>俺は・・・</t>
    <rPh sb="0" eb="1">
      <t>オレ</t>
    </rPh>
    <phoneticPr fontId="5"/>
  </si>
  <si>
    <t>次のターン大攻撃</t>
    <rPh sb="0" eb="1">
      <t>ツギ</t>
    </rPh>
    <rPh sb="5" eb="8">
      <t>ダイコウゲキ</t>
    </rPh>
    <phoneticPr fontId="5"/>
  </si>
  <si>
    <t>ja</t>
  </si>
  <si>
    <t>覚悟をしてきたんだよ！</t>
    <rPh sb="0" eb="2">
      <t>カクゴ</t>
    </rPh>
    <phoneticPr fontId="5"/>
  </si>
  <si>
    <t>必ず杏里達の前に戻る・・・！</t>
    <rPh sb="0" eb="1">
      <t>カナラ</t>
    </rPh>
    <rPh sb="2" eb="4">
      <t>アンリ</t>
    </rPh>
    <rPh sb="4" eb="5">
      <t>タチ</t>
    </rPh>
    <rPh sb="6" eb="7">
      <t>マエ</t>
    </rPh>
    <rPh sb="8" eb="9">
      <t>モド</t>
    </rPh>
    <phoneticPr fontId="5"/>
  </si>
  <si>
    <t>やる気と覚悟を感じる！</t>
    <phoneticPr fontId="5"/>
  </si>
  <si>
    <t>[effect:dis_panel, target:block_yellow, turn:3, animation:enemy_dis_yellow]</t>
    <phoneticPr fontId="5"/>
  </si>
  <si>
    <t>黄パネル無効</t>
    <rPh sb="0" eb="1">
      <t>キイロ</t>
    </rPh>
    <rPh sb="4" eb="6">
      <t>mukou</t>
    </rPh>
    <phoneticPr fontId="5"/>
  </si>
  <si>
    <t>赤属性に変化＋お邪魔パネル生成</t>
  </si>
  <si>
    <t>青属性に変化＋お邪魔パネル生成</t>
  </si>
  <si>
    <t>お邪魔パネルを生成した</t>
  </si>
  <si>
    <t>青属性のユニットに大ダメージ</t>
  </si>
  <si>
    <t>赤属性に変化+黄パネル無効+攻撃力・防御力UP</t>
  </si>
  <si>
    <t>やる気と覚悟を感じる！</t>
  </si>
  <si>
    <t>link</t>
  </si>
  <si>
    <t>unit</t>
  </si>
  <si>
    <t>null</t>
  </si>
  <si>
    <t>エレキポットたまに強力な攻撃をします
早めに撃退しましょう</t>
    <phoneticPr fontId="5"/>
  </si>
  <si>
    <t>マミコは回復スキルを使用します
アキレスを回復されると不利になるので
早めに撃退しましょう</t>
    <phoneticPr fontId="5"/>
  </si>
  <si>
    <t>マービーは一定のターンが経過すると
属性パネルをランダムでお邪魔パネルに
変換するスキルを使用します</t>
    <phoneticPr fontId="5"/>
  </si>
  <si>
    <t>クリティカル！</t>
    <phoneticPr fontId="5"/>
  </si>
  <si>
    <t>属性パネルをランダムでお邪魔パネルに3個変換</t>
    <rPh sb="0" eb="2">
      <t>ゾクセイパネル</t>
    </rPh>
    <phoneticPr fontId="5"/>
  </si>
  <si>
    <t>赤属性に変化+
属性パネルをランダムでお邪魔パネルに4個変換</t>
    <rPh sb="8" eb="10">
      <t>ゾクセイパネルヲ</t>
    </rPh>
    <phoneticPr fontId="5"/>
  </si>
  <si>
    <t>青属性に変化+
属性パネルをランダムでお邪魔パネルに4個変換</t>
    <rPh sb="0" eb="1">
      <t>アオ</t>
    </rPh>
    <rPh sb="8" eb="10">
      <t>ゾクセイパネルヲ</t>
    </rPh>
    <phoneticPr fontId="5"/>
  </si>
  <si>
    <t>属性パネルをランダムでお邪魔パネルに4個変換</t>
    <phoneticPr fontId="5"/>
  </si>
  <si>
    <t>[effect:force_change_block, new_block:block_yellow, target:block_green, ignore01:crash, ignore02:crack_bomb, ignore03:time_bomb, ignore04:jammer, ignore05:damage, count:0, val:0, animation:change_block]</t>
    <phoneticPr fontId="5"/>
  </si>
  <si>
    <t>青属性のユニットに大ダメージの全体攻撃</t>
    <rPh sb="15" eb="19">
      <t>ゼンタイコウゲキ</t>
    </rPh>
    <phoneticPr fontId="5"/>
  </si>
  <si>
    <t>2回連続攻撃</t>
    <rPh sb="1" eb="2">
      <t>カイ</t>
    </rPh>
    <rPh sb="2" eb="6">
      <t>レンゾクコウゲキ</t>
    </rPh>
    <phoneticPr fontId="5"/>
  </si>
  <si>
    <t>帝人・・・？嘘・・・だろ？</t>
  </si>
  <si>
    <t>臨也さん、何であんたが・・・</t>
  </si>
  <si>
    <t>杏里・・・！？</t>
  </si>
  <si>
    <t>帝人・・・お前も杏里に・・・</t>
  </si>
  <si>
    <t>あんたのせいで・・・！！！</t>
  </si>
  <si>
    <t>俺は・・・必ず・・・</t>
  </si>
  <si>
    <t>赤属性に変化+3ターン黄パネル無効+
自身の攻撃力&amp;防御力UP</t>
    <rPh sb="19" eb="21">
      <t>zisinnno</t>
    </rPh>
    <phoneticPr fontId="5"/>
  </si>
  <si>
    <t>3ターン黄パネル無効+自身の攻撃力&amp;防御力UP</t>
    <phoneticPr fontId="5"/>
  </si>
  <si>
    <t>青属性のユニットに大ダメージの全体攻撃</t>
    <phoneticPr fontId="5"/>
  </si>
  <si>
    <t>次のターンに強力な攻撃！</t>
    <phoneticPr fontId="5"/>
  </si>
  <si>
    <t>3ターン黄パネル無効</t>
    <phoneticPr fontId="5"/>
  </si>
  <si>
    <t>紀田正臣は戦闘開始時に
属性パネルをランダムでお邪魔パネルに
変換するスキルを使用します</t>
    <phoneticPr fontId="5"/>
  </si>
  <si>
    <t>old</t>
    <phoneticPr fontId="7"/>
  </si>
  <si>
    <t>[effect:enemy_message, val1:3, val2:3, dead_type:escape]</t>
    <phoneticPr fontId="5"/>
  </si>
  <si>
    <t>[effect:enemy_message, val1:1, val2:2],[effect:force_change_block, new_block:jammer, target:block_all, ignore01:crash, ignore02:crack_bomb, ignore03:time_bomb, ignore04:damage, count:3, val:0, animation:change_block]</t>
    <phoneticPr fontId="5"/>
  </si>
  <si>
    <t>[effect:enemy_message, val1:1, val2:2.2],[effect:change_attribute, target:myself, color:red, turn:-1, animation:change_attribute_red],[effect:force_change_block, new_block:jammer, target:block_all, ignore01:crash, ignore02:crack_bomb, ignore03:time_bomb, ignore04:damage, count:4, val:0, animation:change_block]</t>
    <phoneticPr fontId="5"/>
  </si>
  <si>
    <t>[effect:enemy_message, val1:1, val2:2.2],[effect:change_attribute, target:myself, color:blue, turn:-1, animation:change_attribute_blue],[effect:force_change_block, new_block:jammer, target:block_all, ignore01:crash, ignore02:crack_bomb, ignore03:time_bomb, ignore04:damage, count:4, val:0, animation:change_block]</t>
    <phoneticPr fontId="5"/>
  </si>
  <si>
    <t>[effect:enemy_message, val1:1, val2:2],[effect:force_change_block, new_block:jammer, target:block_all, ignore01:crash, ignore02:crack_bomb, ignore03:time_bomb, ignore04:damage, count:4, val:0, animation:change_block]</t>
    <phoneticPr fontId="5"/>
  </si>
  <si>
    <t>[effect:enemy_message, val1:1, val2:2.4],[effect:change_attribute,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t>
    <phoneticPr fontId="5"/>
  </si>
  <si>
    <t>[effect:enemy_message, val1:1.2, val2:1.8]</t>
    <phoneticPr fontId="5"/>
  </si>
  <si>
    <t>[effect:enemy_message, val1:1, val2:2],[effect:dis_panel, target:block_yellow, turn:3, animation:enemy_dis_yellow],[effect:enhance_enemy, target:enemy_all, turn:3, status:attack, val:1500, calc:add, animation:enemy_enhance_defense],[effect:enhance_enemy, target:enemy_all, turn:3, status:defense, val:1500, calc:add, animation:enemy_enhance_defense]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</si>
</sst>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6" fillId="33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1" fillId="0" borderId="7" xfId="0" applyFont="1" applyFill="1" applyBorder="1" applyAlignment="1">
      <alignment horizontal="left" vertical="center"/>
    </xf>
    <xf numFmtId="0" fontId="0" fillId="0" borderId="12" xfId="0" applyBorder="1"/>
    <xf numFmtId="0" fontId="0" fillId="0" borderId="23" xfId="0" applyBorder="1"/>
    <xf numFmtId="0" fontId="27" fillId="35" borderId="7" xfId="0" applyFont="1" applyFill="1" applyBorder="1"/>
    <xf numFmtId="0" fontId="27" fillId="0" borderId="23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6" fillId="0" borderId="7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0" fillId="0" borderId="12" xfId="0" applyFont="1" applyBorder="1"/>
    <xf numFmtId="0" fontId="0" fillId="0" borderId="7" xfId="0" applyFont="1" applyBorder="1"/>
    <xf numFmtId="0" fontId="0" fillId="0" borderId="23" xfId="0" applyFont="1" applyBorder="1"/>
    <xf numFmtId="38" fontId="16" fillId="0" borderId="7" xfId="628" applyFont="1" applyFill="1" applyBorder="1" applyAlignment="1">
      <alignment wrapText="1"/>
    </xf>
    <xf numFmtId="0" fontId="4" fillId="36" borderId="6" xfId="0" applyFont="1" applyFill="1" applyBorder="1" applyAlignment="1">
      <alignment vertical="center"/>
    </xf>
    <xf numFmtId="0" fontId="0" fillId="0" borderId="7" xfId="434" applyFont="1" applyBorder="1" applyAlignment="1"/>
    <xf numFmtId="0" fontId="8" fillId="0" borderId="4" xfId="0" applyFont="1" applyFill="1" applyBorder="1" applyAlignment="1">
      <alignment vertical="center"/>
    </xf>
    <xf numFmtId="177" fontId="8" fillId="0" borderId="4" xfId="0" applyNumberFormat="1" applyFont="1" applyFill="1" applyBorder="1" applyAlignment="1">
      <alignment vertical="center"/>
    </xf>
    <xf numFmtId="177" fontId="6" fillId="0" borderId="4" xfId="0" applyNumberFormat="1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65529</v>
          </cell>
        </row>
        <row r="313">
          <cell r="A313">
            <v>65530</v>
          </cell>
        </row>
        <row r="314">
          <cell r="A314">
            <v>65531</v>
          </cell>
        </row>
        <row r="315">
          <cell r="A315">
            <v>65532</v>
          </cell>
        </row>
        <row r="316">
          <cell r="A316">
            <v>65533</v>
          </cell>
        </row>
        <row r="317">
          <cell r="A317">
            <v>65534</v>
          </cell>
        </row>
        <row r="318">
          <cell r="A318">
            <v>65535</v>
          </cell>
        </row>
        <row r="319">
          <cell r="A319">
            <v>60021</v>
          </cell>
        </row>
        <row r="320">
          <cell r="A320">
            <v>60022</v>
          </cell>
        </row>
        <row r="321">
          <cell r="A321">
            <v>60023</v>
          </cell>
        </row>
        <row r="322">
          <cell r="A32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65526_2</v>
          </cell>
        </row>
        <row r="907">
          <cell r="A907" t="str">
            <v>65527_1</v>
          </cell>
        </row>
        <row r="908">
          <cell r="A908" t="str">
            <v>65529_1</v>
          </cell>
        </row>
        <row r="909">
          <cell r="A909" t="str">
            <v>65530_1</v>
          </cell>
        </row>
        <row r="910">
          <cell r="A910" t="str">
            <v>65531_1</v>
          </cell>
        </row>
        <row r="911">
          <cell r="A911" t="str">
            <v>65531_2</v>
          </cell>
        </row>
        <row r="912">
          <cell r="A912" t="str">
            <v>65532_1</v>
          </cell>
        </row>
        <row r="913">
          <cell r="A913" t="str">
            <v>65532_2</v>
          </cell>
        </row>
        <row r="914">
          <cell r="A914" t="str">
            <v>65533_1</v>
          </cell>
        </row>
        <row r="915">
          <cell r="A915" t="str">
            <v>65533_2</v>
          </cell>
        </row>
        <row r="916">
          <cell r="A916" t="str">
            <v>65534_1</v>
          </cell>
        </row>
        <row r="917">
          <cell r="A917" t="str">
            <v>65535_1</v>
          </cell>
        </row>
        <row r="918">
          <cell r="A918" t="str">
            <v>65535_2</v>
          </cell>
        </row>
        <row r="919">
          <cell r="A919" t="str">
            <v>65535_3</v>
          </cell>
        </row>
        <row r="920">
          <cell r="A920" t="str">
            <v>65535_4</v>
          </cell>
        </row>
        <row r="921">
          <cell r="A921" t="str">
            <v>65535_5</v>
          </cell>
        </row>
        <row r="922">
          <cell r="A922" t="str">
            <v>65535_6</v>
          </cell>
        </row>
        <row r="923">
          <cell r="A923" t="str">
            <v>65535_7</v>
          </cell>
        </row>
        <row r="924">
          <cell r="A924" t="str">
            <v>65535_8</v>
          </cell>
        </row>
        <row r="925">
          <cell r="A925" t="str">
            <v>65535_9</v>
          </cell>
        </row>
        <row r="926">
          <cell r="A92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27" t="s">
        <v>324</v>
      </c>
      <c r="B2" s="56" t="s">
        <v>106</v>
      </c>
      <c r="C2" s="61">
        <v>39010</v>
      </c>
      <c r="D2" s="56" t="s">
        <v>107</v>
      </c>
      <c r="E2" s="55" t="str">
        <f>B2&amp;C2&amp;D2</f>
        <v>floors_39010.tmp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27" t="s">
        <v>324</v>
      </c>
      <c r="B3" s="56" t="s">
        <v>109</v>
      </c>
      <c r="C3" s="61">
        <v>39010</v>
      </c>
      <c r="D3" s="56" t="s">
        <v>107</v>
      </c>
      <c r="E3" s="55" t="str">
        <f>B3&amp;C3&amp;D3</f>
        <v>enemy_habitats_39010.tmp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127" t="s">
        <v>324</v>
      </c>
      <c r="B4" s="56" t="s">
        <v>111</v>
      </c>
      <c r="C4" s="61">
        <v>39010</v>
      </c>
      <c r="D4" s="56" t="s">
        <v>107</v>
      </c>
      <c r="E4" s="55" t="str">
        <f>B4&amp;C4&amp;D4</f>
        <v>enemy_habitat_S_39010.tmp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27" t="s">
        <v>324</v>
      </c>
      <c r="B5" s="56" t="s">
        <v>113</v>
      </c>
      <c r="C5" s="61">
        <v>39010</v>
      </c>
      <c r="D5" s="56" t="s">
        <v>107</v>
      </c>
      <c r="E5" s="55" t="str">
        <f>B5&amp;C5&amp;D5</f>
        <v>enemy_skill_sets_39010.tmp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27" t="s">
        <v>324</v>
      </c>
      <c r="B6" s="56" t="s">
        <v>115</v>
      </c>
      <c r="C6" s="61">
        <v>39010</v>
      </c>
      <c r="D6" s="56" t="s">
        <v>116</v>
      </c>
      <c r="E6" s="55" t="str">
        <f t="shared" ref="E6:E10" si="0">B6&amp;C6&amp;D6</f>
        <v>enemy_skills_tmp_39010.tmp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27" t="s">
        <v>324</v>
      </c>
      <c r="B7" s="56" t="s">
        <v>117</v>
      </c>
      <c r="C7" s="61">
        <v>39010</v>
      </c>
      <c r="D7" s="56" t="s">
        <v>107</v>
      </c>
      <c r="E7" s="55" t="str">
        <f>B7&amp;C7&amp;D7</f>
        <v>enemy_skills_i18n_39010.tmp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27" t="s">
        <v>324</v>
      </c>
      <c r="B8" s="56" t="s">
        <v>119</v>
      </c>
      <c r="C8" s="61">
        <v>39010</v>
      </c>
      <c r="D8" s="56" t="s">
        <v>120</v>
      </c>
      <c r="E8" s="55" t="str">
        <f t="shared" si="0"/>
        <v>enemy_skill_triggers_39010.tmp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27" t="s">
        <v>324</v>
      </c>
      <c r="B9" s="66" t="s">
        <v>176</v>
      </c>
      <c r="C9" s="61">
        <v>39010</v>
      </c>
      <c r="D9" s="66" t="s">
        <v>170</v>
      </c>
      <c r="E9" s="67" t="str">
        <f t="shared" si="0"/>
        <v>stage_bug_bonuses_39010.tmp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127" t="s">
        <v>324</v>
      </c>
      <c r="B10" s="66" t="s">
        <v>200</v>
      </c>
      <c r="C10" s="61">
        <v>39010</v>
      </c>
      <c r="D10" s="66" t="s">
        <v>179</v>
      </c>
      <c r="E10" s="67" t="str">
        <f t="shared" si="0"/>
        <v>stage_hints_data_c_39010.tmp</v>
      </c>
      <c r="F10" s="66" t="s">
        <v>208</v>
      </c>
      <c r="G10" s="71" t="s">
        <v>180</v>
      </c>
      <c r="H10" s="71" t="s">
        <v>172</v>
      </c>
      <c r="I10" s="72" t="s">
        <v>181</v>
      </c>
      <c r="J10" s="65" t="s">
        <v>182</v>
      </c>
      <c r="K10" s="65" t="s">
        <v>183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127" t="s">
        <v>324</v>
      </c>
      <c r="B11" s="66" t="s">
        <v>201</v>
      </c>
      <c r="C11" s="61">
        <v>39010</v>
      </c>
      <c r="D11" s="66" t="s">
        <v>170</v>
      </c>
      <c r="E11" s="67" t="str">
        <f t="shared" ref="E11:E13" si="1">B11&amp;C11&amp;D11</f>
        <v>stage_hints_data_f_39010.tmp</v>
      </c>
      <c r="F11" s="66" t="s">
        <v>210</v>
      </c>
      <c r="G11" s="71" t="s">
        <v>180</v>
      </c>
      <c r="H11" s="71" t="s">
        <v>172</v>
      </c>
      <c r="I11" s="72" t="s">
        <v>181</v>
      </c>
      <c r="J11" s="65" t="s">
        <v>182</v>
      </c>
      <c r="K11" s="65" t="s">
        <v>183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66" t="s">
        <v>324</v>
      </c>
      <c r="B12" s="66" t="s">
        <v>202</v>
      </c>
      <c r="C12" s="61">
        <v>39010</v>
      </c>
      <c r="D12" s="66" t="s">
        <v>170</v>
      </c>
      <c r="E12" s="67" t="str">
        <f t="shared" si="1"/>
        <v>stage_hints_i18n_39010.tmp</v>
      </c>
      <c r="F12" s="66" t="s">
        <v>211</v>
      </c>
      <c r="G12" s="72" t="s">
        <v>203</v>
      </c>
      <c r="H12" s="93" t="s">
        <v>204</v>
      </c>
      <c r="I12" s="71" t="s">
        <v>205</v>
      </c>
      <c r="J12" s="98" t="s">
        <v>206</v>
      </c>
      <c r="K12" s="65" t="s">
        <v>207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66" t="s">
        <v>324</v>
      </c>
      <c r="B13" s="66" t="s">
        <v>246</v>
      </c>
      <c r="C13" s="61">
        <v>39010</v>
      </c>
      <c r="D13" s="66" t="s">
        <v>227</v>
      </c>
      <c r="E13" s="67" t="str">
        <f t="shared" si="1"/>
        <v>stage_bonuses_39010.tmp</v>
      </c>
      <c r="F13" s="66" t="s">
        <v>226</v>
      </c>
      <c r="G13" s="71" t="s">
        <v>228</v>
      </c>
      <c r="H13" s="71" t="s">
        <v>229</v>
      </c>
      <c r="I13" s="71" t="s">
        <v>230</v>
      </c>
      <c r="J13" s="71" t="s">
        <v>231</v>
      </c>
      <c r="K13" s="71" t="s">
        <v>232</v>
      </c>
      <c r="L13" s="71" t="s">
        <v>233</v>
      </c>
      <c r="M13" s="71" t="s">
        <v>234</v>
      </c>
      <c r="N13" s="71" t="s">
        <v>235</v>
      </c>
      <c r="O13" s="71" t="s">
        <v>236</v>
      </c>
      <c r="P13" s="71" t="s">
        <v>237</v>
      </c>
      <c r="Q13" s="71" t="s">
        <v>238</v>
      </c>
      <c r="R13" s="71" t="s">
        <v>239</v>
      </c>
      <c r="S13" s="71" t="s">
        <v>240</v>
      </c>
      <c r="T13" s="71" t="s">
        <v>241</v>
      </c>
      <c r="U13" s="71" t="s">
        <v>242</v>
      </c>
      <c r="V13" s="71" t="s">
        <v>243</v>
      </c>
      <c r="W13" s="71" t="s">
        <v>244</v>
      </c>
      <c r="X13" s="71" t="s">
        <v>245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B9" sqref="B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7" si="0">G2&amp;"-"&amp;I2</f>
        <v>39010_1-1</v>
      </c>
      <c r="B2" s="16" t="str">
        <f>IF(COUNTIF(enemy_habitats!$H:$H,A2),"OK","NG")</f>
        <v>OK</v>
      </c>
      <c r="C2" s="7">
        <v>39010</v>
      </c>
      <c r="D2" s="11" t="str">
        <f ca="1">VLOOKUP($C2,OFFSET([2]quests!$A$1,0,0,COUNTA([2]quests!$A:$A),MATCH(D$1,[2]quests!$1:$1,0)-MATCH($C$1,[2]quests!$1:$1,0)+1),MATCH(D$1,[2]quests!$1:$1,0)-MATCH($C$1,[2]quests!$1:$1,0)+1,FALSE)</f>
        <v>黄巾賊の暴走を止めろ！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コラボクエスト（復刻）</v>
      </c>
      <c r="F2" s="20">
        <v>1</v>
      </c>
      <c r="G2" s="22" t="str">
        <f t="shared" ref="G2:G17" si="1">C2&amp;"_"&amp;F2</f>
        <v>39010_1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【初級】黄巾賊の暴走を止めろ！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39010_1-2</v>
      </c>
      <c r="B3" s="16" t="str">
        <f>IF(COUNTIF(enemy_habitats!$H:$H,A3),"OK","NG")</f>
        <v>OK</v>
      </c>
      <c r="C3" s="7">
        <v>39010</v>
      </c>
      <c r="D3" s="11" t="str">
        <f ca="1">VLOOKUP($C3,OFFSET([2]quests!$A$1,0,0,COUNTA([2]quests!$A:$A),MATCH(D$1,[2]quests!$1:$1,0)-MATCH($C$1,[2]quests!$1:$1,0)+1),MATCH(D$1,[2]quests!$1:$1,0)-MATCH($C$1,[2]quests!$1:$1,0)+1,FALSE)</f>
        <v>黄巾賊の暴走を止めろ！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コラボクエスト（復刻）</v>
      </c>
      <c r="F3" s="20">
        <v>1</v>
      </c>
      <c r="G3" s="22" t="str">
        <f t="shared" si="1"/>
        <v>39010_1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【初級】黄巾賊の暴走を止めろ！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39010_1-3</v>
      </c>
      <c r="B4" s="16" t="str">
        <f>IF(COUNTIF(enemy_habitats!$H:$H,A4),"OK","NG")</f>
        <v>OK</v>
      </c>
      <c r="C4" s="7">
        <v>39010</v>
      </c>
      <c r="D4" s="11" t="str">
        <f ca="1">VLOOKUP($C4,OFFSET([2]quests!$A$1,0,0,COUNTA([2]quests!$A:$A),MATCH(D$1,[2]quests!$1:$1,0)-MATCH($C$1,[2]quests!$1:$1,0)+1),MATCH(D$1,[2]quests!$1:$1,0)-MATCH($C$1,[2]quests!$1:$1,0)+1,FALSE)</f>
        <v>黄巾賊の暴走を止めろ！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コラボクエスト（復刻）</v>
      </c>
      <c r="F4" s="20">
        <v>1</v>
      </c>
      <c r="G4" s="22" t="str">
        <f t="shared" si="1"/>
        <v>39010_1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【初級】黄巾賊の暴走を止めろ！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39010_1-4</v>
      </c>
      <c r="B5" s="16" t="str">
        <f>IF(COUNTIF(enemy_habitats!$H:$H,A5),"OK","NG")</f>
        <v>NG</v>
      </c>
      <c r="C5" s="7">
        <v>39010</v>
      </c>
      <c r="D5" s="11" t="str">
        <f ca="1">VLOOKUP($C5,OFFSET([2]quests!$A$1,0,0,COUNTA([2]quests!$A:$A),MATCH(D$1,[2]quests!$1:$1,0)-MATCH($C$1,[2]quests!$1:$1,0)+1),MATCH(D$1,[2]quests!$1:$1,0)-MATCH($C$1,[2]quests!$1:$1,0)+1,FALSE)</f>
        <v>黄巾賊の暴走を止めろ！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コラボクエスト（復刻）</v>
      </c>
      <c r="F5" s="20">
        <v>1</v>
      </c>
      <c r="G5" s="22" t="str">
        <f t="shared" si="1"/>
        <v>39010_1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【初級】黄巾賊の暴走を止めろ！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39010_2-1</v>
      </c>
      <c r="B6" s="16" t="str">
        <f>IF(COUNTIF(enemy_habitats!$H:$H,A6),"OK","NG")</f>
        <v>OK</v>
      </c>
      <c r="C6" s="7">
        <v>39010</v>
      </c>
      <c r="D6" s="11" t="str">
        <f ca="1">VLOOKUP($C6,OFFSET([2]quests!$A$1,0,0,COUNTA([2]quests!$A:$A),MATCH(D$1,[2]quests!$1:$1,0)-MATCH($C$1,[2]quests!$1:$1,0)+1),MATCH(D$1,[2]quests!$1:$1,0)-MATCH($C$1,[2]quests!$1:$1,0)+1,FALSE)</f>
        <v>黄巾賊の暴走を止めろ！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コラボクエスト（復刻）</v>
      </c>
      <c r="F6" s="20">
        <v>2</v>
      </c>
      <c r="G6" s="22" t="str">
        <f t="shared" si="1"/>
        <v>39010_2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【中級】黄巾賊の暴走を止めろ！</v>
      </c>
      <c r="I6" s="20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39010_2-2</v>
      </c>
      <c r="B7" s="16" t="str">
        <f>IF(COUNTIF(enemy_habitats!$H:$H,A7),"OK","NG")</f>
        <v>OK</v>
      </c>
      <c r="C7" s="7">
        <v>39010</v>
      </c>
      <c r="D7" s="11" t="str">
        <f ca="1">VLOOKUP($C7,OFFSET([2]quests!$A$1,0,0,COUNTA([2]quests!$A:$A),MATCH(D$1,[2]quests!$1:$1,0)-MATCH($C$1,[2]quests!$1:$1,0)+1),MATCH(D$1,[2]quests!$1:$1,0)-MATCH($C$1,[2]quests!$1:$1,0)+1,FALSE)</f>
        <v>黄巾賊の暴走を止めろ！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コラボクエスト（復刻）</v>
      </c>
      <c r="F7" s="20">
        <v>2</v>
      </c>
      <c r="G7" s="22" t="str">
        <f t="shared" si="1"/>
        <v>39010_2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【中級】黄巾賊の暴走を止めろ！</v>
      </c>
      <c r="I7" s="20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39010_2-3</v>
      </c>
      <c r="B8" s="16" t="str">
        <f>IF(COUNTIF(enemy_habitats!$H:$H,A8),"OK","NG")</f>
        <v>OK</v>
      </c>
      <c r="C8" s="7">
        <v>39010</v>
      </c>
      <c r="D8" s="11" t="str">
        <f ca="1">VLOOKUP($C8,OFFSET([2]quests!$A$1,0,0,COUNTA([2]quests!$A:$A),MATCH(D$1,[2]quests!$1:$1,0)-MATCH($C$1,[2]quests!$1:$1,0)+1),MATCH(D$1,[2]quests!$1:$1,0)-MATCH($C$1,[2]quests!$1:$1,0)+1,FALSE)</f>
        <v>黄巾賊の暴走を止めろ！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コラボクエスト（復刻）</v>
      </c>
      <c r="F8" s="20">
        <v>2</v>
      </c>
      <c r="G8" s="22" t="str">
        <f t="shared" si="1"/>
        <v>39010_2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【中級】黄巾賊の暴走を止めろ！</v>
      </c>
      <c r="I8" s="20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39010_2-4</v>
      </c>
      <c r="B9" s="16" t="str">
        <f>IF(COUNTIF(enemy_habitats!$H:$H,A9),"OK","NG")</f>
        <v>NG</v>
      </c>
      <c r="C9" s="7">
        <v>39010</v>
      </c>
      <c r="D9" s="11" t="str">
        <f ca="1">VLOOKUP($C9,OFFSET([2]quests!$A$1,0,0,COUNTA([2]quests!$A:$A),MATCH(D$1,[2]quests!$1:$1,0)-MATCH($C$1,[2]quests!$1:$1,0)+1),MATCH(D$1,[2]quests!$1:$1,0)-MATCH($C$1,[2]quests!$1:$1,0)+1,FALSE)</f>
        <v>黄巾賊の暴走を止めろ！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コラボクエスト（復刻）</v>
      </c>
      <c r="F9" s="20">
        <v>2</v>
      </c>
      <c r="G9" s="22" t="str">
        <f t="shared" si="1"/>
        <v>39010_2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【中級】黄巾賊の暴走を止めろ！</v>
      </c>
      <c r="I9" s="20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39010_3-1</v>
      </c>
      <c r="B10" s="16" t="str">
        <f>IF(COUNTIF(enemy_habitats!$H:$H,A10),"OK","NG")</f>
        <v>OK</v>
      </c>
      <c r="C10" s="7">
        <v>39010</v>
      </c>
      <c r="D10" s="11" t="str">
        <f ca="1">VLOOKUP($C10,OFFSET([2]quests!$A$1,0,0,COUNTA([2]quests!$A:$A),MATCH(D$1,[2]quests!$1:$1,0)-MATCH($C$1,[2]quests!$1:$1,0)+1),MATCH(D$1,[2]quests!$1:$1,0)-MATCH($C$1,[2]quests!$1:$1,0)+1,FALSE)</f>
        <v>黄巾賊の暴走を止めろ！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コラボクエスト（復刻）</v>
      </c>
      <c r="F10" s="20">
        <v>3</v>
      </c>
      <c r="G10" s="22" t="str">
        <f t="shared" si="1"/>
        <v>39010_3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【上級】黄巾賊の暴走を止めろ！</v>
      </c>
      <c r="I10" s="20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39010_3-2</v>
      </c>
      <c r="B11" s="16" t="str">
        <f>IF(COUNTIF(enemy_habitats!$H:$H,A11),"OK","NG")</f>
        <v>OK</v>
      </c>
      <c r="C11" s="7">
        <v>39010</v>
      </c>
      <c r="D11" s="11" t="str">
        <f ca="1">VLOOKUP($C11,OFFSET([2]quests!$A$1,0,0,COUNTA([2]quests!$A:$A),MATCH(D$1,[2]quests!$1:$1,0)-MATCH($C$1,[2]quests!$1:$1,0)+1),MATCH(D$1,[2]quests!$1:$1,0)-MATCH($C$1,[2]quests!$1:$1,0)+1,FALSE)</f>
        <v>黄巾賊の暴走を止めろ！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コラボクエスト（復刻）</v>
      </c>
      <c r="F11" s="20">
        <v>3</v>
      </c>
      <c r="G11" s="22" t="str">
        <f t="shared" si="1"/>
        <v>39010_3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【上級】黄巾賊の暴走を止めろ！</v>
      </c>
      <c r="I11" s="20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39010_3-3</v>
      </c>
      <c r="B12" s="16" t="str">
        <f>IF(COUNTIF(enemy_habitats!$H:$H,A12),"OK","NG")</f>
        <v>OK</v>
      </c>
      <c r="C12" s="7">
        <v>39010</v>
      </c>
      <c r="D12" s="11" t="str">
        <f ca="1">VLOOKUP($C12,OFFSET([2]quests!$A$1,0,0,COUNTA([2]quests!$A:$A),MATCH(D$1,[2]quests!$1:$1,0)-MATCH($C$1,[2]quests!$1:$1,0)+1),MATCH(D$1,[2]quests!$1:$1,0)-MATCH($C$1,[2]quests!$1:$1,0)+1,FALSE)</f>
        <v>黄巾賊の暴走を止めろ！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コラボクエスト（復刻）</v>
      </c>
      <c r="F12" s="20">
        <v>3</v>
      </c>
      <c r="G12" s="22" t="str">
        <f t="shared" si="1"/>
        <v>39010_3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【上級】黄巾賊の暴走を止めろ！</v>
      </c>
      <c r="I12" s="20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39010_3-4</v>
      </c>
      <c r="B13" s="16" t="str">
        <f>IF(COUNTIF(enemy_habitats!$H:$H,A13),"OK","NG")</f>
        <v>OK</v>
      </c>
      <c r="C13" s="7">
        <v>39010</v>
      </c>
      <c r="D13" s="11" t="str">
        <f ca="1">VLOOKUP($C13,OFFSET([2]quests!$A$1,0,0,COUNTA([2]quests!$A:$A),MATCH(D$1,[2]quests!$1:$1,0)-MATCH($C$1,[2]quests!$1:$1,0)+1),MATCH(D$1,[2]quests!$1:$1,0)-MATCH($C$1,[2]quests!$1:$1,0)+1,FALSE)</f>
        <v>黄巾賊の暴走を止めろ！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コラボクエスト（復刻）</v>
      </c>
      <c r="F13" s="20">
        <v>3</v>
      </c>
      <c r="G13" s="22" t="str">
        <f t="shared" si="1"/>
        <v>39010_3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【上級】黄巾賊の暴走を止めろ！</v>
      </c>
      <c r="I13" s="20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si="0"/>
        <v>39010_4-1</v>
      </c>
      <c r="B14" s="16" t="str">
        <f>IF(COUNTIF(enemy_habitats!$H:$H,A14),"OK","NG")</f>
        <v>OK</v>
      </c>
      <c r="C14" s="7">
        <v>39010</v>
      </c>
      <c r="D14" s="11" t="str">
        <f ca="1">VLOOKUP($C14,OFFSET([2]quests!$A$1,0,0,COUNTA([2]quests!$A:$A),MATCH(D$1,[2]quests!$1:$1,0)-MATCH($C$1,[2]quests!$1:$1,0)+1),MATCH(D$1,[2]quests!$1:$1,0)-MATCH($C$1,[2]quests!$1:$1,0)+1,FALSE)</f>
        <v>黄巾賊の暴走を止めろ！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コラボクエスト（復刻）</v>
      </c>
      <c r="F14" s="20">
        <v>4</v>
      </c>
      <c r="G14" s="22" t="str">
        <f t="shared" si="1"/>
        <v>39010_4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【超級】黄巾賊の暴走を止めろ！</v>
      </c>
      <c r="I14" s="20">
        <v>1</v>
      </c>
      <c r="J14" s="12">
        <v>60</v>
      </c>
      <c r="K14" s="12">
        <v>60</v>
      </c>
    </row>
    <row r="15" spans="1:11" ht="21" customHeight="1" x14ac:dyDescent="0.15">
      <c r="A15" s="16" t="str">
        <f t="shared" si="0"/>
        <v>39010_4-2</v>
      </c>
      <c r="B15" s="16" t="str">
        <f>IF(COUNTIF(enemy_habitats!$H:$H,A15),"OK","NG")</f>
        <v>OK</v>
      </c>
      <c r="C15" s="7">
        <v>39010</v>
      </c>
      <c r="D15" s="11" t="str">
        <f ca="1">VLOOKUP($C15,OFFSET([2]quests!$A$1,0,0,COUNTA([2]quests!$A:$A),MATCH(D$1,[2]quests!$1:$1,0)-MATCH($C$1,[2]quests!$1:$1,0)+1),MATCH(D$1,[2]quests!$1:$1,0)-MATCH($C$1,[2]quests!$1:$1,0)+1,FALSE)</f>
        <v>黄巾賊の暴走を止めろ！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コラボクエスト（復刻）</v>
      </c>
      <c r="F15" s="20">
        <v>4</v>
      </c>
      <c r="G15" s="22" t="str">
        <f t="shared" si="1"/>
        <v>39010_4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【超級】黄巾賊の暴走を止めろ！</v>
      </c>
      <c r="I15" s="20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0"/>
        <v>39010_4-3</v>
      </c>
      <c r="B16" s="16" t="str">
        <f>IF(COUNTIF(enemy_habitats!$H:$H,A16),"OK","NG")</f>
        <v>OK</v>
      </c>
      <c r="C16" s="7">
        <v>39010</v>
      </c>
      <c r="D16" s="11" t="str">
        <f ca="1">VLOOKUP($C16,OFFSET([2]quests!$A$1,0,0,COUNTA([2]quests!$A:$A),MATCH(D$1,[2]quests!$1:$1,0)-MATCH($C$1,[2]quests!$1:$1,0)+1),MATCH(D$1,[2]quests!$1:$1,0)-MATCH($C$1,[2]quests!$1:$1,0)+1,FALSE)</f>
        <v>黄巾賊の暴走を止めろ！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コラボクエスト（復刻）</v>
      </c>
      <c r="F16" s="20">
        <v>4</v>
      </c>
      <c r="G16" s="22" t="str">
        <f t="shared" si="1"/>
        <v>39010_4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【超級】黄巾賊の暴走を止めろ！</v>
      </c>
      <c r="I16" s="20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0"/>
        <v>39010_4-4</v>
      </c>
      <c r="B17" s="16" t="str">
        <f>IF(COUNTIF(enemy_habitats!$H:$H,A17),"OK","NG")</f>
        <v>OK</v>
      </c>
      <c r="C17" s="7">
        <v>39010</v>
      </c>
      <c r="D17" s="11" t="str">
        <f ca="1">VLOOKUP($C17,OFFSET([2]quests!$A$1,0,0,COUNTA([2]quests!$A:$A),MATCH(D$1,[2]quests!$1:$1,0)-MATCH($C$1,[2]quests!$1:$1,0)+1),MATCH(D$1,[2]quests!$1:$1,0)-MATCH($C$1,[2]quests!$1:$1,0)+1,FALSE)</f>
        <v>黄巾賊の暴走を止めろ！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コラボクエスト（復刻）</v>
      </c>
      <c r="F17" s="20">
        <v>4</v>
      </c>
      <c r="G17" s="22" t="str">
        <f t="shared" si="1"/>
        <v>39010_4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【超級】黄巾賊の暴走を止めろ！</v>
      </c>
      <c r="I17" s="20">
        <v>4</v>
      </c>
      <c r="J17" s="12">
        <v>60</v>
      </c>
      <c r="K1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27" sqref="U2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9" t="s">
        <v>247</v>
      </c>
      <c r="U1" s="25" t="s">
        <v>50</v>
      </c>
      <c r="V1" s="99" t="s">
        <v>248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6" t="str">
        <f t="shared" ref="A2:A25" si="0">B2&amp;"_"&amp;C2&amp;"-"&amp;G2&amp;"/"&amp;L2&amp;"&lt;lv"&amp;R2&amp;"&gt;s"&amp;AC2</f>
        <v>39010_1-1/13&lt;lv12&gt;s2</v>
      </c>
      <c r="B2" s="21">
        <v>39010</v>
      </c>
      <c r="C2" s="104">
        <v>1</v>
      </c>
      <c r="D2" s="15" t="str">
        <f t="shared" ref="D2:D25" si="1">B2&amp;"_"&amp;C2</f>
        <v>39010_1</v>
      </c>
      <c r="E2" s="4" t="str">
        <f ca="1">VLOOKUP($B2,OFFSET([2]quests!$A$1,0,0,COUNTA([2]quests!$A:$A),MATCH(E$1,[2]quests!$1:$1,0)-MATCH($B$1,[2]quests!$1:$1,0)+1),MATCH(E$1,[2]quests!$1:$1,0)-MATCH($B$1,[2]quests!$1:$1,0)+1,FALSE)</f>
        <v>黄巾賊の暴走を止めろ！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【初級】黄巾賊の暴走を止めろ！</v>
      </c>
      <c r="G2" s="104">
        <v>1</v>
      </c>
      <c r="H2" s="15" t="str">
        <f t="shared" ref="H2:H25" si="2">B2&amp;"_"&amp;C2&amp;"-"&amp;G2</f>
        <v>39010_1-1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105">
        <v>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ミミ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128">
        <v>12</v>
      </c>
      <c r="S2" s="129">
        <v>1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2646</v>
      </c>
      <c r="U2" s="130">
        <v>1.1000000000000001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1316.7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回復</v>
      </c>
      <c r="Y2" s="60">
        <v>39010001</v>
      </c>
      <c r="Z2" s="6">
        <v>2</v>
      </c>
      <c r="AA2" s="6">
        <v>100</v>
      </c>
      <c r="AB2" s="6">
        <v>0</v>
      </c>
      <c r="AC2" s="102">
        <v>2</v>
      </c>
      <c r="AD2" s="23">
        <f t="shared" ref="AD2:AD25" si="3">L2</f>
        <v>13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ミミ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3">
        <f t="shared" ref="AI2:AI25" ca="1" si="4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39010_1-1/7&lt;lv20&gt;s2</v>
      </c>
      <c r="B3" s="21">
        <v>39010</v>
      </c>
      <c r="C3" s="104">
        <v>1</v>
      </c>
      <c r="D3" s="15" t="str">
        <f t="shared" si="1"/>
        <v>39010_1</v>
      </c>
      <c r="E3" s="4" t="str">
        <f ca="1">VLOOKUP($B3,OFFSET([2]quests!$A$1,0,0,COUNTA([2]quests!$A:$A),MATCH(E$1,[2]quests!$1:$1,0)-MATCH($B$1,[2]quests!$1:$1,0)+1),MATCH(E$1,[2]quests!$1:$1,0)-MATCH($B$1,[2]quests!$1:$1,0)+1,FALSE)</f>
        <v>黄巾賊の暴走を止めろ！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【初級】黄巾賊の暴走を止めろ！</v>
      </c>
      <c r="G3" s="104">
        <v>1</v>
      </c>
      <c r="H3" s="15" t="str">
        <f t="shared" si="2"/>
        <v>39010_1-1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105">
        <v>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エレキポット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128">
        <v>20</v>
      </c>
      <c r="S3" s="129">
        <v>1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4214</v>
      </c>
      <c r="U3" s="130">
        <v>1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1733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60">
        <v>39010002</v>
      </c>
      <c r="Z3" s="6">
        <v>2</v>
      </c>
      <c r="AA3" s="6">
        <v>100</v>
      </c>
      <c r="AB3" s="6">
        <v>0</v>
      </c>
      <c r="AC3" s="102">
        <v>2</v>
      </c>
      <c r="AD3" s="23">
        <f t="shared" si="3"/>
        <v>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エレキポット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3">
        <f t="shared" ca="1" si="4"/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39010_1-2/63&lt;lv21&gt;s2</v>
      </c>
      <c r="B4" s="21">
        <v>39010</v>
      </c>
      <c r="C4" s="104">
        <v>1</v>
      </c>
      <c r="D4" s="15" t="str">
        <f t="shared" si="1"/>
        <v>39010_1</v>
      </c>
      <c r="E4" s="4" t="str">
        <f ca="1">VLOOKUP($B4,OFFSET([2]quests!$A$1,0,0,COUNTA([2]quests!$A:$A),MATCH(E$1,[2]quests!$1:$1,0)-MATCH($B$1,[2]quests!$1:$1,0)+1),MATCH(E$1,[2]quests!$1:$1,0)-MATCH($B$1,[2]quests!$1:$1,0)+1,FALSE)</f>
        <v>黄巾賊の暴走を止めろ！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【初級】黄巾賊の暴走を止めろ！</v>
      </c>
      <c r="G4" s="104">
        <v>2</v>
      </c>
      <c r="H4" s="15" t="str">
        <f t="shared" si="2"/>
        <v>39010_1-2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105">
        <v>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トニー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128">
        <v>21</v>
      </c>
      <c r="S4" s="129">
        <v>1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3969</v>
      </c>
      <c r="U4" s="129">
        <v>1.1000000000000001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1485.0000000000002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回復</v>
      </c>
      <c r="Y4" s="60">
        <v>39010003</v>
      </c>
      <c r="Z4" s="6">
        <v>2</v>
      </c>
      <c r="AA4" s="6">
        <v>100</v>
      </c>
      <c r="AB4" s="6">
        <v>0</v>
      </c>
      <c r="AC4" s="102">
        <v>2</v>
      </c>
      <c r="AD4" s="23">
        <f t="shared" si="3"/>
        <v>63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3">
        <f t="shared" ca="1" si="4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39010_1-2/31&lt;lv37&gt;s2</v>
      </c>
      <c r="B5" s="21">
        <v>39010</v>
      </c>
      <c r="C5" s="104">
        <v>1</v>
      </c>
      <c r="D5" s="15" t="str">
        <f t="shared" si="1"/>
        <v>39010_1</v>
      </c>
      <c r="E5" s="4" t="str">
        <f ca="1">VLOOKUP($B5,OFFSET([2]quests!$A$1,0,0,COUNTA([2]quests!$A:$A),MATCH(E$1,[2]quests!$1:$1,0)-MATCH($B$1,[2]quests!$1:$1,0)+1),MATCH(E$1,[2]quests!$1:$1,0)-MATCH($B$1,[2]quests!$1:$1,0)+1,FALSE)</f>
        <v>黄巾賊の暴走を止めろ！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【初級】黄巾賊の暴走を止めろ！</v>
      </c>
      <c r="G5" s="104">
        <v>2</v>
      </c>
      <c r="H5" s="15" t="str">
        <f t="shared" si="2"/>
        <v>39010_1-2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105">
        <v>31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マービー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128">
        <v>37</v>
      </c>
      <c r="S5" s="129">
        <v>1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6791</v>
      </c>
      <c r="U5" s="129">
        <v>1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2100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属性パネルをランダムでお邪魔パネルに3個変換</v>
      </c>
      <c r="Y5" s="60">
        <v>39010004</v>
      </c>
      <c r="Z5" s="6">
        <v>2</v>
      </c>
      <c r="AA5" s="6">
        <v>100</v>
      </c>
      <c r="AB5" s="6">
        <v>0</v>
      </c>
      <c r="AC5" s="102">
        <v>2</v>
      </c>
      <c r="AD5" s="23">
        <f t="shared" si="3"/>
        <v>31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3">
        <f t="shared" ca="1" si="4"/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39010_1-3/693&lt;lv25&gt;s2</v>
      </c>
      <c r="B6" s="21">
        <v>39010</v>
      </c>
      <c r="C6" s="104">
        <v>1</v>
      </c>
      <c r="D6" s="15" t="str">
        <f t="shared" si="1"/>
        <v>39010_1</v>
      </c>
      <c r="E6" s="4" t="str">
        <f ca="1">VLOOKUP($B6,OFFSET([2]quests!$A$1,0,0,COUNTA([2]quests!$A:$A),MATCH(E$1,[2]quests!$1:$1,0)-MATCH($B$1,[2]quests!$1:$1,0)+1),MATCH(E$1,[2]quests!$1:$1,0)-MATCH($B$1,[2]quests!$1:$1,0)+1,FALSE)</f>
        <v>黄巾賊の暴走を止めろ！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【初級】黄巾賊の暴走を止めろ！</v>
      </c>
      <c r="G6" s="104">
        <v>3</v>
      </c>
      <c r="H6" s="15" t="str">
        <f t="shared" si="2"/>
        <v>39010_1-3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05">
        <v>693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紀田正臣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128">
        <v>25</v>
      </c>
      <c r="S6" s="129">
        <v>1.4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44429</v>
      </c>
      <c r="U6" s="129">
        <v>0.6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1612.2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赤属性に変化+_x000D_属性パネルをランダムでお邪魔パネルに4個変換</v>
      </c>
      <c r="Y6" s="60">
        <v>39010008</v>
      </c>
      <c r="Z6" s="6">
        <v>1</v>
      </c>
      <c r="AA6" s="6">
        <v>100</v>
      </c>
      <c r="AB6" s="6">
        <v>1</v>
      </c>
      <c r="AC6" s="102">
        <v>2</v>
      </c>
      <c r="AD6" s="23">
        <f t="shared" si="3"/>
        <v>693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紀田正臣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3">
        <f t="shared" ca="1" si="4"/>
        <v>4</v>
      </c>
      <c r="AJ6" s="126">
        <v>10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39010_2-1/13&lt;lv18&gt;s2</v>
      </c>
      <c r="B7" s="21">
        <v>39010</v>
      </c>
      <c r="C7" s="104">
        <v>2</v>
      </c>
      <c r="D7" s="15" t="str">
        <f t="shared" si="1"/>
        <v>39010_2</v>
      </c>
      <c r="E7" s="4" t="str">
        <f ca="1">VLOOKUP($B7,OFFSET([2]quests!$A$1,0,0,COUNTA([2]quests!$A:$A),MATCH(E$1,[2]quests!$1:$1,0)-MATCH($B$1,[2]quests!$1:$1,0)+1),MATCH(E$1,[2]quests!$1:$1,0)-MATCH($B$1,[2]quests!$1:$1,0)+1,FALSE)</f>
        <v>黄巾賊の暴走を止めろ！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【中級】黄巾賊の暴走を止めろ！</v>
      </c>
      <c r="G7" s="104">
        <v>1</v>
      </c>
      <c r="H7" s="15" t="str">
        <f t="shared" si="2"/>
        <v>39010_2-1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1</v>
      </c>
      <c r="L7" s="106">
        <v>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ミミ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128">
        <v>18</v>
      </c>
      <c r="S7" s="129">
        <v>1.3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4968.6000000000004</v>
      </c>
      <c r="U7" s="129">
        <v>1.4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2420.6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回復</v>
      </c>
      <c r="Y7" s="60">
        <v>39010001</v>
      </c>
      <c r="Z7" s="6">
        <v>2</v>
      </c>
      <c r="AA7" s="6">
        <v>100</v>
      </c>
      <c r="AB7" s="6">
        <v>0</v>
      </c>
      <c r="AC7" s="102">
        <v>2</v>
      </c>
      <c r="AD7" s="23">
        <f t="shared" si="3"/>
        <v>13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ミミ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7">
        <v>1</v>
      </c>
      <c r="AI7" s="23">
        <f t="shared" ca="1" si="4"/>
        <v>1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39010_2-1/7&lt;lv31&gt;s2</v>
      </c>
      <c r="B8" s="21">
        <v>39010</v>
      </c>
      <c r="C8" s="104">
        <v>2</v>
      </c>
      <c r="D8" s="15" t="str">
        <f t="shared" si="1"/>
        <v>39010_2</v>
      </c>
      <c r="E8" s="4" t="str">
        <f ca="1">VLOOKUP($B8,OFFSET([2]quests!$A$1,0,0,COUNTA([2]quests!$A:$A),MATCH(E$1,[2]quests!$1:$1,0)-MATCH($B$1,[2]quests!$1:$1,0)+1),MATCH(E$1,[2]quests!$1:$1,0)-MATCH($B$1,[2]quests!$1:$1,0)+1,FALSE)</f>
        <v>黄巾賊の暴走を止めろ！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【中級】黄巾賊の暴走を止めろ！</v>
      </c>
      <c r="G8" s="104">
        <v>1</v>
      </c>
      <c r="H8" s="15" t="str">
        <f t="shared" si="2"/>
        <v>39010_2-1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1</v>
      </c>
      <c r="L8" s="106">
        <v>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エレキポット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28">
        <v>31</v>
      </c>
      <c r="S8" s="129">
        <v>1.2</v>
      </c>
      <c r="T8" s="10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7644</v>
      </c>
      <c r="U8" s="129">
        <v>1.4</v>
      </c>
      <c r="V8" s="10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3666.6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8" s="60">
        <v>39010002</v>
      </c>
      <c r="Z8" s="6">
        <v>2</v>
      </c>
      <c r="AA8" s="6">
        <v>100</v>
      </c>
      <c r="AB8" s="6">
        <v>0</v>
      </c>
      <c r="AC8" s="102">
        <v>2</v>
      </c>
      <c r="AD8" s="23">
        <f t="shared" si="3"/>
        <v>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エレキポット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Drop1T</v>
      </c>
      <c r="AH8" s="7">
        <v>1</v>
      </c>
      <c r="AI8" s="23">
        <f t="shared" ca="1" si="4"/>
        <v>1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39010_2-2/63&lt;lv26&gt;s2</v>
      </c>
      <c r="B9" s="21">
        <v>39010</v>
      </c>
      <c r="C9" s="104">
        <v>2</v>
      </c>
      <c r="D9" s="15" t="str">
        <f t="shared" si="1"/>
        <v>39010_2</v>
      </c>
      <c r="E9" s="4" t="str">
        <f ca="1">VLOOKUP($B9,OFFSET([2]quests!$A$1,0,0,COUNTA([2]quests!$A:$A),MATCH(E$1,[2]quests!$1:$1,0)-MATCH($B$1,[2]quests!$1:$1,0)+1),MATCH(E$1,[2]quests!$1:$1,0)-MATCH($B$1,[2]quests!$1:$1,0)+1,FALSE)</f>
        <v>黄巾賊の暴走を止めろ！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【中級】黄巾賊の暴走を止めろ！</v>
      </c>
      <c r="G9" s="104">
        <v>2</v>
      </c>
      <c r="H9" s="15" t="str">
        <f t="shared" si="2"/>
        <v>39010_2-2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1</v>
      </c>
      <c r="L9" s="106">
        <v>63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トニー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28">
        <v>26</v>
      </c>
      <c r="S9" s="129">
        <v>1.3</v>
      </c>
      <c r="T9" s="10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6306.3</v>
      </c>
      <c r="U9" s="129">
        <v>1.4</v>
      </c>
      <c r="V9" s="10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2310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回復</v>
      </c>
      <c r="Y9" s="60">
        <v>39010003</v>
      </c>
      <c r="Z9" s="6">
        <v>2</v>
      </c>
      <c r="AA9" s="6">
        <v>100</v>
      </c>
      <c r="AB9" s="6">
        <v>0</v>
      </c>
      <c r="AC9" s="102">
        <v>2</v>
      </c>
      <c r="AD9" s="23">
        <f t="shared" si="3"/>
        <v>63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3">
        <f t="shared" ca="1" si="4"/>
        <v>2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39010_2-2/31&lt;lv50&gt;s2</v>
      </c>
      <c r="B10" s="21">
        <v>39010</v>
      </c>
      <c r="C10" s="104">
        <v>2</v>
      </c>
      <c r="D10" s="15" t="str">
        <f t="shared" si="1"/>
        <v>39010_2</v>
      </c>
      <c r="E10" s="4" t="str">
        <f ca="1">VLOOKUP($B10,OFFSET([2]quests!$A$1,0,0,COUNTA([2]quests!$A:$A),MATCH(E$1,[2]quests!$1:$1,0)-MATCH($B$1,[2]quests!$1:$1,0)+1),MATCH(E$1,[2]quests!$1:$1,0)-MATCH($B$1,[2]quests!$1:$1,0)+1,FALSE)</f>
        <v>黄巾賊の暴走を止めろ！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【中級】黄巾賊の暴走を止めろ！</v>
      </c>
      <c r="G10" s="104">
        <v>2</v>
      </c>
      <c r="H10" s="15" t="str">
        <f t="shared" si="2"/>
        <v>39010_2-2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1</v>
      </c>
      <c r="L10" s="106">
        <v>31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マービー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128">
        <v>50</v>
      </c>
      <c r="S10" s="129">
        <v>1.3</v>
      </c>
      <c r="T10" s="10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11810.5</v>
      </c>
      <c r="U10" s="129">
        <v>1.4</v>
      </c>
      <c r="V10" s="10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3932.6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属性パネルをランダムでお邪魔パネルに3個変換</v>
      </c>
      <c r="Y10" s="60">
        <v>39010004</v>
      </c>
      <c r="Z10" s="6">
        <v>2</v>
      </c>
      <c r="AA10" s="6">
        <v>100</v>
      </c>
      <c r="AB10" s="6">
        <v>0</v>
      </c>
      <c r="AC10" s="102">
        <v>2</v>
      </c>
      <c r="AD10" s="23">
        <f t="shared" si="3"/>
        <v>31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3">
        <f t="shared" ca="1" si="4"/>
        <v>1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0"/>
        <v>39010_2-3/693&lt;lv38&gt;s2</v>
      </c>
      <c r="B11" s="21">
        <v>39010</v>
      </c>
      <c r="C11" s="104">
        <v>2</v>
      </c>
      <c r="D11" s="15" t="str">
        <f t="shared" si="1"/>
        <v>39010_2</v>
      </c>
      <c r="E11" s="4" t="str">
        <f ca="1">VLOOKUP($B11,OFFSET([2]quests!$A$1,0,0,COUNTA([2]quests!$A:$A),MATCH(E$1,[2]quests!$1:$1,0)-MATCH($B$1,[2]quests!$1:$1,0)+1),MATCH(E$1,[2]quests!$1:$1,0)-MATCH($B$1,[2]quests!$1:$1,0)+1,FALSE)</f>
        <v>黄巾賊の暴走を止めろ！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【中級】黄巾賊の暴走を止めろ！</v>
      </c>
      <c r="G11" s="104">
        <v>3</v>
      </c>
      <c r="H11" s="15" t="str">
        <f t="shared" si="2"/>
        <v>39010_2-3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2</v>
      </c>
      <c r="L11" s="106">
        <v>693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紀田正臣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28">
        <v>38</v>
      </c>
      <c r="S11" s="129">
        <v>2</v>
      </c>
      <c r="T11" s="10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94608</v>
      </c>
      <c r="U11" s="129">
        <v>0.9</v>
      </c>
      <c r="V11" s="10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3604.5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赤属性に変化+_x000D_属性パネルをランダムでお邪魔パネルに4個変換</v>
      </c>
      <c r="Y11" s="60">
        <v>39010008</v>
      </c>
      <c r="Z11" s="6">
        <v>1</v>
      </c>
      <c r="AA11" s="6">
        <v>100</v>
      </c>
      <c r="AB11" s="6">
        <v>1</v>
      </c>
      <c r="AC11" s="102">
        <v>2</v>
      </c>
      <c r="AD11" s="23">
        <f t="shared" si="3"/>
        <v>693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紀田正臣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3">
        <f t="shared" ca="1" si="4"/>
        <v>4</v>
      </c>
      <c r="AJ11" s="126">
        <v>20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si="0"/>
        <v>39010_3-1/13&lt;lv25&gt;s2</v>
      </c>
      <c r="B12" s="21">
        <v>39010</v>
      </c>
      <c r="C12" s="104">
        <v>3</v>
      </c>
      <c r="D12" s="15" t="str">
        <f t="shared" si="1"/>
        <v>39010_3</v>
      </c>
      <c r="E12" s="4" t="str">
        <f ca="1">VLOOKUP($B12,OFFSET([2]quests!$A$1,0,0,COUNTA([2]quests!$A:$A),MATCH(E$1,[2]quests!$1:$1,0)-MATCH($B$1,[2]quests!$1:$1,0)+1),MATCH(E$1,[2]quests!$1:$1,0)-MATCH($B$1,[2]quests!$1:$1,0)+1,FALSE)</f>
        <v>黄巾賊の暴走を止めろ！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【上級】黄巾賊の暴走を止めろ！</v>
      </c>
      <c r="G12" s="104">
        <v>1</v>
      </c>
      <c r="H12" s="15" t="str">
        <f t="shared" si="2"/>
        <v>39010_3-1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>
        <v>1</v>
      </c>
      <c r="L12" s="105">
        <v>13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ミミ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128">
        <v>25</v>
      </c>
      <c r="S12" s="129">
        <v>1.2</v>
      </c>
      <c r="T12" s="100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6232.8</v>
      </c>
      <c r="U12" s="129">
        <v>1.2</v>
      </c>
      <c r="V12" s="100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2818.7999999999997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回復</v>
      </c>
      <c r="Y12" s="60">
        <v>39010001</v>
      </c>
      <c r="Z12" s="6">
        <v>2</v>
      </c>
      <c r="AA12" s="6">
        <v>100</v>
      </c>
      <c r="AB12" s="6">
        <v>0</v>
      </c>
      <c r="AC12" s="102">
        <v>2</v>
      </c>
      <c r="AD12" s="23">
        <f t="shared" si="3"/>
        <v>13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ミミ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7">
        <v>1</v>
      </c>
      <c r="AI12" s="23">
        <f t="shared" ca="1" si="4"/>
        <v>1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6" t="str">
        <f t="shared" si="0"/>
        <v>39010_3-1/7&lt;lv37&gt;s2</v>
      </c>
      <c r="B13" s="21">
        <v>39010</v>
      </c>
      <c r="C13" s="104">
        <v>3</v>
      </c>
      <c r="D13" s="15" t="str">
        <f t="shared" si="1"/>
        <v>39010_3</v>
      </c>
      <c r="E13" s="4" t="str">
        <f ca="1">VLOOKUP($B13,OFFSET([2]quests!$A$1,0,0,COUNTA([2]quests!$A:$A),MATCH(E$1,[2]quests!$1:$1,0)-MATCH($B$1,[2]quests!$1:$1,0)+1),MATCH(E$1,[2]quests!$1:$1,0)-MATCH($B$1,[2]quests!$1:$1,0)+1,FALSE)</f>
        <v>黄巾賊の暴走を止めろ！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【上級】黄巾賊の暴走を止めろ！</v>
      </c>
      <c r="G13" s="104">
        <v>1</v>
      </c>
      <c r="H13" s="15" t="str">
        <f t="shared" si="2"/>
        <v>39010_3-1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1</v>
      </c>
      <c r="L13" s="105">
        <v>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エレキポット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128">
        <v>37</v>
      </c>
      <c r="S13" s="129">
        <v>1.2</v>
      </c>
      <c r="T13" s="100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9055.1999999999989</v>
      </c>
      <c r="U13" s="129">
        <v>1.3</v>
      </c>
      <c r="V13" s="100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4033.9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3" s="60">
        <v>39010002</v>
      </c>
      <c r="Z13" s="6">
        <v>2</v>
      </c>
      <c r="AA13" s="6">
        <v>100</v>
      </c>
      <c r="AB13" s="6">
        <v>0</v>
      </c>
      <c r="AC13" s="102">
        <v>2</v>
      </c>
      <c r="AD13" s="23">
        <f t="shared" si="3"/>
        <v>7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エレキポット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7">
        <v>1</v>
      </c>
      <c r="AI13" s="23">
        <f t="shared" ca="1" si="4"/>
        <v>1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6" t="str">
        <f t="shared" si="0"/>
        <v>39010_3-2/63&lt;lv33&gt;s2</v>
      </c>
      <c r="B14" s="21">
        <v>39010</v>
      </c>
      <c r="C14" s="104">
        <v>3</v>
      </c>
      <c r="D14" s="15" t="str">
        <f t="shared" si="1"/>
        <v>39010_3</v>
      </c>
      <c r="E14" s="4" t="str">
        <f ca="1">VLOOKUP($B14,OFFSET([2]quests!$A$1,0,0,COUNTA([2]quests!$A:$A),MATCH(E$1,[2]quests!$1:$1,0)-MATCH($B$1,[2]quests!$1:$1,0)+1),MATCH(E$1,[2]quests!$1:$1,0)-MATCH($B$1,[2]quests!$1:$1,0)+1,FALSE)</f>
        <v>黄巾賊の暴走を止めろ！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【上級】黄巾賊の暴走を止めろ！</v>
      </c>
      <c r="G14" s="104">
        <v>2</v>
      </c>
      <c r="H14" s="15" t="str">
        <f t="shared" si="2"/>
        <v>39010_3-2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>
        <v>1</v>
      </c>
      <c r="L14" s="105">
        <v>63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トニー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128">
        <v>33</v>
      </c>
      <c r="S14" s="129">
        <v>1.2</v>
      </c>
      <c r="T14" s="100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7303.2</v>
      </c>
      <c r="U14" s="129">
        <v>1.2</v>
      </c>
      <c r="V14" s="100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2484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回復</v>
      </c>
      <c r="Y14" s="60">
        <v>39010003</v>
      </c>
      <c r="Z14" s="6">
        <v>2</v>
      </c>
      <c r="AA14" s="6">
        <v>100</v>
      </c>
      <c r="AB14" s="6">
        <v>0</v>
      </c>
      <c r="AC14" s="102">
        <v>2</v>
      </c>
      <c r="AD14" s="23">
        <f t="shared" si="3"/>
        <v>63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3">
        <f t="shared" ca="1" si="4"/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6" t="str">
        <f t="shared" si="0"/>
        <v>39010_3-2/31&lt;lv60&gt;s2</v>
      </c>
      <c r="B15" s="21">
        <v>39010</v>
      </c>
      <c r="C15" s="104">
        <v>3</v>
      </c>
      <c r="D15" s="15" t="str">
        <f t="shared" si="1"/>
        <v>39010_3</v>
      </c>
      <c r="E15" s="4" t="str">
        <f ca="1">VLOOKUP($B15,OFFSET([2]quests!$A$1,0,0,COUNTA([2]quests!$A:$A),MATCH(E$1,[2]quests!$1:$1,0)-MATCH($B$1,[2]quests!$1:$1,0)+1),MATCH(E$1,[2]quests!$1:$1,0)-MATCH($B$1,[2]quests!$1:$1,0)+1,FALSE)</f>
        <v>黄巾賊の暴走を止めろ！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【上級】黄巾賊の暴走を止めろ！</v>
      </c>
      <c r="G15" s="104">
        <v>2</v>
      </c>
      <c r="H15" s="15" t="str">
        <f t="shared" si="2"/>
        <v>39010_3-2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>
        <v>1</v>
      </c>
      <c r="L15" s="105">
        <v>31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マービー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128">
        <v>60</v>
      </c>
      <c r="S15" s="129">
        <v>1.5</v>
      </c>
      <c r="T15" s="100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16273.5</v>
      </c>
      <c r="U15" s="129">
        <v>1.3</v>
      </c>
      <c r="V15" s="100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4360.2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属性パネルをランダムでお邪魔パネルに3個変換</v>
      </c>
      <c r="Y15" s="60">
        <v>39010004</v>
      </c>
      <c r="Z15" s="6">
        <v>2</v>
      </c>
      <c r="AA15" s="6">
        <v>100</v>
      </c>
      <c r="AB15" s="6">
        <v>0</v>
      </c>
      <c r="AC15" s="102">
        <v>2</v>
      </c>
      <c r="AD15" s="23">
        <f t="shared" si="3"/>
        <v>31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3">
        <f t="shared" ca="1" si="4"/>
        <v>1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  <row r="16" spans="1:42" ht="21" customHeight="1" x14ac:dyDescent="0.15">
      <c r="A16" s="16" t="str">
        <f t="shared" si="0"/>
        <v>39010_3-3/55&lt;lv27&gt;s3</v>
      </c>
      <c r="B16" s="21">
        <v>39010</v>
      </c>
      <c r="C16" s="104">
        <v>3</v>
      </c>
      <c r="D16" s="15" t="str">
        <f t="shared" si="1"/>
        <v>39010_3</v>
      </c>
      <c r="E16" s="4" t="str">
        <f ca="1">VLOOKUP($B16,OFFSET([2]quests!$A$1,0,0,COUNTA([2]quests!$A:$A),MATCH(E$1,[2]quests!$1:$1,0)-MATCH($B$1,[2]quests!$1:$1,0)+1),MATCH(E$1,[2]quests!$1:$1,0)-MATCH($B$1,[2]quests!$1:$1,0)+1,FALSE)</f>
        <v>黄巾賊の暴走を止めろ！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【上級】黄巾賊の暴走を止めろ！</v>
      </c>
      <c r="G16" s="104">
        <v>3</v>
      </c>
      <c r="H16" s="15" t="str">
        <f t="shared" si="2"/>
        <v>39010_3-3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>
        <v>1</v>
      </c>
      <c r="L16" s="105">
        <v>55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マミコ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128">
        <v>27</v>
      </c>
      <c r="S16" s="129">
        <v>1.4</v>
      </c>
      <c r="T16" s="100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7351.4</v>
      </c>
      <c r="U16" s="129">
        <v>1.2</v>
      </c>
      <c r="V16" s="100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2052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回復</v>
      </c>
      <c r="Y16" s="60">
        <v>39010005</v>
      </c>
      <c r="Z16" s="6">
        <v>0</v>
      </c>
      <c r="AA16" s="6">
        <v>100</v>
      </c>
      <c r="AB16" s="6">
        <v>0</v>
      </c>
      <c r="AC16" s="102">
        <v>3</v>
      </c>
      <c r="AD16" s="23">
        <f t="shared" si="3"/>
        <v>55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7">
        <v>1</v>
      </c>
      <c r="AI16" s="23">
        <f t="shared" ca="1" si="4"/>
        <v>2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8">
        <v>1</v>
      </c>
    </row>
    <row r="17" spans="1:42" ht="21" customHeight="1" x14ac:dyDescent="0.15">
      <c r="A17" s="16" t="str">
        <f t="shared" si="0"/>
        <v>39010_3-3/197&lt;lv54&gt;s2</v>
      </c>
      <c r="B17" s="21">
        <v>39010</v>
      </c>
      <c r="C17" s="104">
        <v>3</v>
      </c>
      <c r="D17" s="15" t="str">
        <f t="shared" si="1"/>
        <v>39010_3</v>
      </c>
      <c r="E17" s="4" t="str">
        <f ca="1">VLOOKUP($B17,OFFSET([2]quests!$A$1,0,0,COUNTA([2]quests!$A:$A),MATCH(E$1,[2]quests!$1:$1,0)-MATCH($B$1,[2]quests!$1:$1,0)+1),MATCH(E$1,[2]quests!$1:$1,0)-MATCH($B$1,[2]quests!$1:$1,0)+1,FALSE)</f>
        <v>黄巾賊の暴走を止めろ！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【上級】黄巾賊の暴走を止めろ！</v>
      </c>
      <c r="G17" s="104">
        <v>3</v>
      </c>
      <c r="H17" s="15" t="str">
        <f t="shared" si="2"/>
        <v>39010_3-3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>
        <v>3</v>
      </c>
      <c r="L17" s="105">
        <v>197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鉄腕 アキレス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128">
        <v>54</v>
      </c>
      <c r="S17" s="129">
        <v>0.8</v>
      </c>
      <c r="T17" s="100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79757.600000000006</v>
      </c>
      <c r="U17" s="129">
        <v>1.3</v>
      </c>
      <c r="V17" s="100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5627.7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3ターン敵全体の攻撃力UP</v>
      </c>
      <c r="Y17" s="60">
        <v>39010006</v>
      </c>
      <c r="Z17" s="6">
        <v>1</v>
      </c>
      <c r="AA17" s="6">
        <v>100</v>
      </c>
      <c r="AB17" s="6">
        <v>1</v>
      </c>
      <c r="AC17" s="102">
        <v>2</v>
      </c>
      <c r="AD17" s="23">
        <f t="shared" si="3"/>
        <v>197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鉄腕 アキレス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7" s="7">
        <v>1</v>
      </c>
      <c r="AI17" s="23">
        <f t="shared" ca="1" si="4"/>
        <v>4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8">
        <v>1</v>
      </c>
    </row>
    <row r="18" spans="1:42" ht="21" customHeight="1" x14ac:dyDescent="0.15">
      <c r="A18" s="16" t="str">
        <f t="shared" si="0"/>
        <v>39010_3-4/693&lt;lv49&gt;s2</v>
      </c>
      <c r="B18" s="21">
        <v>39010</v>
      </c>
      <c r="C18" s="104">
        <v>3</v>
      </c>
      <c r="D18" s="15" t="str">
        <f t="shared" si="1"/>
        <v>39010_3</v>
      </c>
      <c r="E18" s="4" t="str">
        <f ca="1">VLOOKUP($B18,OFFSET([2]quests!$A$1,0,0,COUNTA([2]quests!$A:$A),MATCH(E$1,[2]quests!$1:$1,0)-MATCH($B$1,[2]quests!$1:$1,0)+1),MATCH(E$1,[2]quests!$1:$1,0)-MATCH($B$1,[2]quests!$1:$1,0)+1,FALSE)</f>
        <v>黄巾賊の暴走を止めろ！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【上級】黄巾賊の暴走を止めろ！</v>
      </c>
      <c r="G18" s="104">
        <v>4</v>
      </c>
      <c r="H18" s="15" t="str">
        <f t="shared" si="2"/>
        <v>39010_3-4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>
        <v>4</v>
      </c>
      <c r="L18" s="105">
        <v>693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紀田正臣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128">
        <v>49</v>
      </c>
      <c r="S18" s="129">
        <v>2</v>
      </c>
      <c r="T18" s="100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120954</v>
      </c>
      <c r="U18" s="129">
        <v>0.9</v>
      </c>
      <c r="V18" s="100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4608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赤属性に変化+_x000D_属性パネルをランダムでお邪魔パネルに4個変換</v>
      </c>
      <c r="Y18" s="60">
        <v>39010012</v>
      </c>
      <c r="Z18" s="6">
        <v>1</v>
      </c>
      <c r="AA18" s="6">
        <v>100</v>
      </c>
      <c r="AB18" s="6">
        <v>1</v>
      </c>
      <c r="AC18" s="102">
        <v>2</v>
      </c>
      <c r="AD18" s="23">
        <f t="shared" si="3"/>
        <v>693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紀田正臣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Drop2N</v>
      </c>
      <c r="AH18" s="7">
        <v>1</v>
      </c>
      <c r="AI18" s="23">
        <f t="shared" ca="1" si="4"/>
        <v>4</v>
      </c>
      <c r="AJ18" s="126">
        <v>40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x14ac:dyDescent="0.15">
      <c r="A19" s="16" t="str">
        <f>B19&amp;"_"&amp;C19&amp;"-"&amp;G19&amp;"/"&amp;L19&amp;"&lt;lv"&amp;R19&amp;"&gt;s"&amp;AC19</f>
        <v>39010_4-1/13&lt;lv30&gt;s2</v>
      </c>
      <c r="B19" s="21">
        <v>39010</v>
      </c>
      <c r="C19" s="104">
        <v>4</v>
      </c>
      <c r="D19" s="15" t="str">
        <f>B19&amp;"_"&amp;C19</f>
        <v>39010_4</v>
      </c>
      <c r="E19" s="4" t="str">
        <f ca="1">VLOOKUP($B19,OFFSET([2]quests!$A$1,0,0,COUNTA([2]quests!$A:$A),MATCH(E$1,[2]quests!$1:$1,0)-MATCH($B$1,[2]quests!$1:$1,0)+1),MATCH(E$1,[2]quests!$1:$1,0)-MATCH($B$1,[2]quests!$1:$1,0)+1,FALSE)</f>
        <v>黄巾賊の暴走を止めろ！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【超級】黄巾賊の暴走を止めろ！</v>
      </c>
      <c r="G19" s="104">
        <v>1</v>
      </c>
      <c r="H19" s="15" t="str">
        <f>B19&amp;"_"&amp;C19&amp;"-"&amp;G19</f>
        <v>39010_4-1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1</v>
      </c>
      <c r="L19" s="106">
        <v>13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ミミ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128">
        <v>30</v>
      </c>
      <c r="S19" s="129">
        <v>1.2</v>
      </c>
      <c r="T19" s="100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7408.7999999999993</v>
      </c>
      <c r="U19" s="129">
        <v>1</v>
      </c>
      <c r="V19" s="100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2793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回復</v>
      </c>
      <c r="Y19" s="60">
        <v>39010001</v>
      </c>
      <c r="Z19" s="6">
        <v>0</v>
      </c>
      <c r="AA19" s="6">
        <v>100</v>
      </c>
      <c r="AB19" s="6">
        <v>0</v>
      </c>
      <c r="AC19" s="102">
        <v>2</v>
      </c>
      <c r="AD19" s="23">
        <f>L19</f>
        <v>13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ミミ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1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Drop1W</v>
      </c>
      <c r="AH19" s="7">
        <v>1</v>
      </c>
      <c r="AI19" s="23">
        <f ca="1">AF19</f>
        <v>1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8">
        <v>1</v>
      </c>
    </row>
    <row r="20" spans="1:42" ht="21" customHeight="1" x14ac:dyDescent="0.15">
      <c r="A20" s="16" t="str">
        <f t="shared" si="0"/>
        <v>39010_4-1/7&lt;lv43&gt;s2</v>
      </c>
      <c r="B20" s="21">
        <v>39010</v>
      </c>
      <c r="C20" s="104">
        <v>4</v>
      </c>
      <c r="D20" s="15" t="str">
        <f t="shared" si="1"/>
        <v>39010_4</v>
      </c>
      <c r="E20" s="4" t="str">
        <f ca="1">VLOOKUP($B20,OFFSET([2]quests!$A$1,0,0,COUNTA([2]quests!$A:$A),MATCH(E$1,[2]quests!$1:$1,0)-MATCH($B$1,[2]quests!$1:$1,0)+1),MATCH(E$1,[2]quests!$1:$1,0)-MATCH($B$1,[2]quests!$1:$1,0)+1,FALSE)</f>
        <v>黄巾賊の暴走を止めろ！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【超級】黄巾賊の暴走を止めろ！</v>
      </c>
      <c r="G20" s="104">
        <v>1</v>
      </c>
      <c r="H20" s="15" t="str">
        <f t="shared" si="2"/>
        <v>39010_4-1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7">
        <v>1</v>
      </c>
      <c r="L20" s="106">
        <v>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エレキポット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Drop1T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128">
        <v>43</v>
      </c>
      <c r="S20" s="129">
        <v>1.2</v>
      </c>
      <c r="T20" s="100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10466.4</v>
      </c>
      <c r="U20" s="129">
        <v>1</v>
      </c>
      <c r="V20" s="100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3587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0" s="60">
        <v>39010002</v>
      </c>
      <c r="Z20" s="6">
        <v>2</v>
      </c>
      <c r="AA20" s="6">
        <v>100</v>
      </c>
      <c r="AB20" s="6">
        <v>0</v>
      </c>
      <c r="AC20" s="102">
        <v>2</v>
      </c>
      <c r="AD20" s="23">
        <f t="shared" si="3"/>
        <v>7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エレキポット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1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Drop1T</v>
      </c>
      <c r="AH20" s="7">
        <v>1</v>
      </c>
      <c r="AI20" s="23">
        <f t="shared" ca="1" si="4"/>
        <v>1</v>
      </c>
      <c r="AJ20" s="8">
        <v>20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8">
        <v>1</v>
      </c>
    </row>
    <row r="21" spans="1:42" ht="21" customHeight="1" x14ac:dyDescent="0.15">
      <c r="A21" s="16" t="str">
        <f t="shared" si="0"/>
        <v>39010_4-2/63&lt;lv39&gt;s2</v>
      </c>
      <c r="B21" s="21">
        <v>39010</v>
      </c>
      <c r="C21" s="104">
        <v>4</v>
      </c>
      <c r="D21" s="15" t="str">
        <f t="shared" si="1"/>
        <v>39010_4</v>
      </c>
      <c r="E21" s="4" t="str">
        <f ca="1">VLOOKUP($B21,OFFSET([2]quests!$A$1,0,0,COUNTA([2]quests!$A:$A),MATCH(E$1,[2]quests!$1:$1,0)-MATCH($B$1,[2]quests!$1:$1,0)+1),MATCH(E$1,[2]quests!$1:$1,0)-MATCH($B$1,[2]quests!$1:$1,0)+1,FALSE)</f>
        <v>黄巾賊の暴走を止めろ！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【超級】黄巾賊の暴走を止めろ！</v>
      </c>
      <c r="G21" s="104">
        <v>2</v>
      </c>
      <c r="H21" s="15" t="str">
        <f t="shared" si="2"/>
        <v>39010_4-2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7">
        <v>1</v>
      </c>
      <c r="L21" s="106">
        <v>63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トニー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128">
        <v>39</v>
      </c>
      <c r="S21" s="129">
        <v>1.2</v>
      </c>
      <c r="T21" s="100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8572.7999999999993</v>
      </c>
      <c r="U21" s="129">
        <v>1</v>
      </c>
      <c r="V21" s="100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2430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回復</v>
      </c>
      <c r="Y21" s="60">
        <v>39010003</v>
      </c>
      <c r="Z21" s="6">
        <v>2</v>
      </c>
      <c r="AA21" s="6">
        <v>100</v>
      </c>
      <c r="AB21" s="6">
        <v>0</v>
      </c>
      <c r="AC21" s="102">
        <v>2</v>
      </c>
      <c r="AD21" s="23">
        <f t="shared" si="3"/>
        <v>63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2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Drop1N</v>
      </c>
      <c r="AH21" s="7">
        <v>1</v>
      </c>
      <c r="AI21" s="23">
        <f t="shared" ca="1" si="4"/>
        <v>2</v>
      </c>
      <c r="AJ21" s="8">
        <v>20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8">
        <v>1</v>
      </c>
    </row>
    <row r="22" spans="1:42" ht="21" customHeight="1" x14ac:dyDescent="0.15">
      <c r="A22" s="16" t="str">
        <f t="shared" si="0"/>
        <v>39010_4-2/31&lt;lv70&gt;s2</v>
      </c>
      <c r="B22" s="21">
        <v>39010</v>
      </c>
      <c r="C22" s="104">
        <v>4</v>
      </c>
      <c r="D22" s="15" t="str">
        <f t="shared" si="1"/>
        <v>39010_4</v>
      </c>
      <c r="E22" s="4" t="str">
        <f ca="1">VLOOKUP($B22,OFFSET([2]quests!$A$1,0,0,COUNTA([2]quests!$A:$A),MATCH(E$1,[2]quests!$1:$1,0)-MATCH($B$1,[2]quests!$1:$1,0)+1),MATCH(E$1,[2]quests!$1:$1,0)-MATCH($B$1,[2]quests!$1:$1,0)+1,FALSE)</f>
        <v>黄巾賊の暴走を止めろ！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【超級】黄巾賊の暴走を止めろ！</v>
      </c>
      <c r="G22" s="104">
        <v>2</v>
      </c>
      <c r="H22" s="15" t="str">
        <f t="shared" si="2"/>
        <v>39010_4-2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7">
        <v>1</v>
      </c>
      <c r="L22" s="106">
        <v>31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マービー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machine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128">
        <v>70</v>
      </c>
      <c r="S22" s="129">
        <v>1.5</v>
      </c>
      <c r="T22" s="100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18919.5</v>
      </c>
      <c r="U22" s="129">
        <v>1</v>
      </c>
      <c r="V22" s="100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3900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属性パネルをランダムでお邪魔パネルに3個変換</v>
      </c>
      <c r="Y22" s="60">
        <v>39010004</v>
      </c>
      <c r="Z22" s="6">
        <v>2</v>
      </c>
      <c r="AA22" s="6">
        <v>100</v>
      </c>
      <c r="AB22" s="6">
        <v>0</v>
      </c>
      <c r="AC22" s="102">
        <v>2</v>
      </c>
      <c r="AD22" s="23">
        <f t="shared" si="3"/>
        <v>31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マービー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1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2" s="7">
        <v>1</v>
      </c>
      <c r="AI22" s="23">
        <f t="shared" ca="1" si="4"/>
        <v>1</v>
      </c>
      <c r="AJ22" s="8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8">
        <v>1</v>
      </c>
    </row>
    <row r="23" spans="1:42" ht="21" customHeight="1" x14ac:dyDescent="0.15">
      <c r="A23" s="16" t="str">
        <f t="shared" si="0"/>
        <v>39010_4-3/55&lt;lv32&gt;s3</v>
      </c>
      <c r="B23" s="21">
        <v>39010</v>
      </c>
      <c r="C23" s="104">
        <v>4</v>
      </c>
      <c r="D23" s="15" t="str">
        <f t="shared" si="1"/>
        <v>39010_4</v>
      </c>
      <c r="E23" s="4" t="str">
        <f ca="1">VLOOKUP($B23,OFFSET([2]quests!$A$1,0,0,COUNTA([2]quests!$A:$A),MATCH(E$1,[2]quests!$1:$1,0)-MATCH($B$1,[2]quests!$1:$1,0)+1),MATCH(E$1,[2]quests!$1:$1,0)-MATCH($B$1,[2]quests!$1:$1,0)+1,FALSE)</f>
        <v>黄巾賊の暴走を止めろ！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【超級】黄巾賊の暴走を止めろ！</v>
      </c>
      <c r="G23" s="104">
        <v>3</v>
      </c>
      <c r="H23" s="15" t="str">
        <f t="shared" si="2"/>
        <v>39010_4-3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7">
        <v>1</v>
      </c>
      <c r="L23" s="106">
        <v>55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マミコ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128">
        <v>32</v>
      </c>
      <c r="S23" s="129">
        <v>1.4</v>
      </c>
      <c r="T23" s="100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8640.7999999999993</v>
      </c>
      <c r="U23" s="129">
        <v>1</v>
      </c>
      <c r="V23" s="100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2010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回復</v>
      </c>
      <c r="Y23" s="60">
        <v>39010005</v>
      </c>
      <c r="Z23" s="6">
        <v>0</v>
      </c>
      <c r="AA23" s="6">
        <v>100</v>
      </c>
      <c r="AB23" s="6">
        <v>0</v>
      </c>
      <c r="AC23" s="102">
        <v>3</v>
      </c>
      <c r="AD23" s="23">
        <f t="shared" si="3"/>
        <v>55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2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Drop1N</v>
      </c>
      <c r="AH23" s="7">
        <v>1</v>
      </c>
      <c r="AI23" s="23">
        <f t="shared" ca="1" si="4"/>
        <v>2</v>
      </c>
      <c r="AJ23" s="8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8">
        <v>1</v>
      </c>
    </row>
    <row r="24" spans="1:42" ht="21" customHeight="1" x14ac:dyDescent="0.15">
      <c r="A24" s="16" t="str">
        <f t="shared" si="0"/>
        <v>39010_4-3/197&lt;lv60&gt;s2</v>
      </c>
      <c r="B24" s="21">
        <v>39010</v>
      </c>
      <c r="C24" s="104">
        <v>4</v>
      </c>
      <c r="D24" s="15" t="str">
        <f t="shared" si="1"/>
        <v>39010_4</v>
      </c>
      <c r="E24" s="4" t="str">
        <f ca="1">VLOOKUP($B24,OFFSET([2]quests!$A$1,0,0,COUNTA([2]quests!$A:$A),MATCH(E$1,[2]quests!$1:$1,0)-MATCH($B$1,[2]quests!$1:$1,0)+1),MATCH(E$1,[2]quests!$1:$1,0)-MATCH($B$1,[2]quests!$1:$1,0)+1,FALSE)</f>
        <v>黄巾賊の暴走を止めろ！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【超級】黄巾賊の暴走を止めろ！</v>
      </c>
      <c r="G24" s="104">
        <v>3</v>
      </c>
      <c r="H24" s="15" t="str">
        <f t="shared" si="2"/>
        <v>39010_4-3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7">
        <v>5</v>
      </c>
      <c r="L24" s="106">
        <v>197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鉄腕 アキレス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PremiumN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128">
        <v>60</v>
      </c>
      <c r="S24" s="129">
        <v>1</v>
      </c>
      <c r="T24" s="100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110475</v>
      </c>
      <c r="U24" s="129">
        <v>1.2</v>
      </c>
      <c r="V24" s="100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5756.4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3ターン敵全体の攻撃力UP</v>
      </c>
      <c r="Y24" s="60">
        <v>39010006</v>
      </c>
      <c r="Z24" s="6">
        <v>1</v>
      </c>
      <c r="AA24" s="6">
        <v>100</v>
      </c>
      <c r="AB24" s="6">
        <v>1</v>
      </c>
      <c r="AC24" s="102">
        <v>2</v>
      </c>
      <c r="AD24" s="23">
        <f t="shared" si="3"/>
        <v>197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鉄腕 アキレス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4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4" s="7">
        <v>1</v>
      </c>
      <c r="AI24" s="23">
        <f t="shared" ca="1" si="4"/>
        <v>4</v>
      </c>
      <c r="AJ24" s="8">
        <v>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8">
        <v>1</v>
      </c>
    </row>
    <row r="25" spans="1:42" ht="21" customHeight="1" x14ac:dyDescent="0.15">
      <c r="A25" s="16" t="str">
        <f t="shared" si="0"/>
        <v>39010_4-4/693&lt;lv58&gt;s2</v>
      </c>
      <c r="B25" s="21">
        <v>39010</v>
      </c>
      <c r="C25" s="104">
        <v>4</v>
      </c>
      <c r="D25" s="15" t="str">
        <f t="shared" si="1"/>
        <v>39010_4</v>
      </c>
      <c r="E25" s="4" t="str">
        <f ca="1">VLOOKUP($B25,OFFSET([2]quests!$A$1,0,0,COUNTA([2]quests!$A:$A),MATCH(E$1,[2]quests!$1:$1,0)-MATCH($B$1,[2]quests!$1:$1,0)+1),MATCH(E$1,[2]quests!$1:$1,0)-MATCH($B$1,[2]quests!$1:$1,0)+1,FALSE)</f>
        <v>黄巾賊の暴走を止めろ！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【超級】黄巾賊の暴走を止めろ！</v>
      </c>
      <c r="G25" s="104">
        <v>4</v>
      </c>
      <c r="H25" s="15" t="str">
        <f t="shared" si="2"/>
        <v>39010_4-4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7">
        <v>6</v>
      </c>
      <c r="L25" s="106">
        <v>693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紀田正臣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Drop2N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30</v>
      </c>
      <c r="R25" s="128">
        <v>58</v>
      </c>
      <c r="S25" s="129">
        <v>2</v>
      </c>
      <c r="T25" s="100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142510</v>
      </c>
      <c r="U25" s="129">
        <v>1</v>
      </c>
      <c r="V25" s="100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6033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赤属性に変化+_x000D_属性パネルをランダムでお邪魔パネルに4個変換</v>
      </c>
      <c r="Y25" s="60">
        <v>39010008</v>
      </c>
      <c r="Z25" s="6">
        <v>1</v>
      </c>
      <c r="AA25" s="6">
        <v>100</v>
      </c>
      <c r="AB25" s="6">
        <v>1</v>
      </c>
      <c r="AC25" s="102">
        <v>2</v>
      </c>
      <c r="AD25" s="23">
        <f t="shared" si="3"/>
        <v>693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紀田正臣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4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Drop2N</v>
      </c>
      <c r="AH25" s="7">
        <v>1</v>
      </c>
      <c r="AI25" s="23">
        <f t="shared" ca="1" si="4"/>
        <v>4</v>
      </c>
      <c r="AJ25" s="126">
        <v>80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Y9" sqref="Y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9" t="s">
        <v>247</v>
      </c>
      <c r="V1" s="25" t="s">
        <v>50</v>
      </c>
      <c r="W1" s="99" t="s">
        <v>248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39010_1-3/694&lt;lv25&gt;sq1st2</v>
      </c>
      <c r="B2" s="21">
        <v>39010</v>
      </c>
      <c r="C2" s="20">
        <v>1</v>
      </c>
      <c r="D2" s="2" t="str">
        <f t="shared" ref="D2:D7" si="1">B2&amp;"_"&amp;C2</f>
        <v>39010_1</v>
      </c>
      <c r="E2" s="4" t="str">
        <f ca="1">VLOOKUP($B2,OFFSET([2]quests!$A$1,0,0,COUNTA([2]quests!$A:$A),MATCH(E$1,[2]quests!$1:$1,0)-MATCH($B$1,[2]quests!$1:$1,0)+1),MATCH(E$1,[2]quests!$1:$1,0)-MATCH($B$1,[2]quests!$1:$1,0)+1,FALSE)</f>
        <v>黄巾賊の暴走を止めろ！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【初級】黄巾賊の暴走を止めろ！</v>
      </c>
      <c r="G2" s="104">
        <v>3</v>
      </c>
      <c r="H2" s="15" t="str">
        <f>B2&amp;"_"&amp;C2&amp;"-"&amp;G2</f>
        <v>39010_1-3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07">
        <v>694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黄巾賊の将軍　紀田正臣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25</v>
      </c>
      <c r="T2" s="24">
        <v>1.4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58099.999999999993</v>
      </c>
      <c r="V2" s="24">
        <v>0.4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1157.6000000000001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赤属性に変化+3ターン黄パネル無効+_x000D_自身の攻撃力&amp;防御力UP</v>
      </c>
      <c r="Z2" s="60">
        <v>39010010</v>
      </c>
      <c r="AA2" s="103">
        <v>1</v>
      </c>
    </row>
    <row r="3" spans="1:27" ht="21" customHeight="1" x14ac:dyDescent="0.15">
      <c r="A3" s="16" t="str">
        <f t="shared" si="0"/>
        <v>39010_2-3/694&lt;lv35&gt;sq2st2</v>
      </c>
      <c r="B3" s="21">
        <v>39010</v>
      </c>
      <c r="C3" s="20">
        <v>2</v>
      </c>
      <c r="D3" s="2" t="str">
        <f t="shared" si="1"/>
        <v>39010_2</v>
      </c>
      <c r="E3" s="4" t="str">
        <f ca="1">VLOOKUP($B3,OFFSET([2]quests!$A$1,0,0,COUNTA([2]quests!$A:$A),MATCH(E$1,[2]quests!$1:$1,0)-MATCH($B$1,[2]quests!$1:$1,0)+1),MATCH(E$1,[2]quests!$1:$1,0)-MATCH($B$1,[2]quests!$1:$1,0)+1,FALSE)</f>
        <v>黄巾賊の暴走を止めろ！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【中級】黄巾賊の暴走を止めろ！</v>
      </c>
      <c r="G3" s="104">
        <v>3</v>
      </c>
      <c r="H3" s="15" t="str">
        <f t="shared" ref="H3:H7" si="2">B3&amp;"_"&amp;C3&amp;"-"&amp;G3</f>
        <v>39010_2-3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07">
        <v>694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黄巾賊の将軍　紀田正臣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35</v>
      </c>
      <c r="T3" s="24">
        <v>2</v>
      </c>
      <c r="U3" s="10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114320</v>
      </c>
      <c r="V3" s="24">
        <v>0.7</v>
      </c>
      <c r="W3" s="10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2789.5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赤属性に変化+3ターン黄パネル無効+_x000D_自身の攻撃力&amp;防御力UP</v>
      </c>
      <c r="Z3" s="60">
        <v>39010011</v>
      </c>
      <c r="AA3" s="103">
        <v>1</v>
      </c>
    </row>
    <row r="4" spans="1:27" ht="21" customHeight="1" x14ac:dyDescent="0.15">
      <c r="A4" s="16" t="str">
        <f t="shared" si="0"/>
        <v>39010_3-3/197&lt;lv55&gt;sq3st2</v>
      </c>
      <c r="B4" s="21">
        <v>39010</v>
      </c>
      <c r="C4" s="20">
        <v>3</v>
      </c>
      <c r="D4" s="2" t="str">
        <f t="shared" si="1"/>
        <v>39010_3</v>
      </c>
      <c r="E4" s="4" t="str">
        <f ca="1">VLOOKUP($B4,OFFSET([2]quests!$A$1,0,0,COUNTA([2]quests!$A:$A),MATCH(E$1,[2]quests!$1:$1,0)-MATCH($B$1,[2]quests!$1:$1,0)+1),MATCH(E$1,[2]quests!$1:$1,0)-MATCH($B$1,[2]quests!$1:$1,0)+1,FALSE)</f>
        <v>黄巾賊の暴走を止めろ！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【上級】黄巾賊の暴走を止めろ！</v>
      </c>
      <c r="G4" s="104">
        <v>3</v>
      </c>
      <c r="H4" s="15" t="str">
        <f t="shared" si="2"/>
        <v>39010_3-3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107">
        <v>197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鉄腕 アキレス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55</v>
      </c>
      <c r="T4" s="24">
        <v>0.8</v>
      </c>
      <c r="U4" s="10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81194.400000000009</v>
      </c>
      <c r="V4" s="24">
        <v>1.3</v>
      </c>
      <c r="W4" s="10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5729.1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3ターン敵全体の防御力UP</v>
      </c>
      <c r="Z4" s="60">
        <v>39010007</v>
      </c>
      <c r="AA4" s="103">
        <v>2</v>
      </c>
    </row>
    <row r="5" spans="1:27" ht="21" customHeight="1" x14ac:dyDescent="0.15">
      <c r="A5" s="16" t="str">
        <f t="shared" si="0"/>
        <v>39010_3-4/694&lt;lv49&gt;sq4st2</v>
      </c>
      <c r="B5" s="21">
        <v>39010</v>
      </c>
      <c r="C5" s="20">
        <v>3</v>
      </c>
      <c r="D5" s="2" t="str">
        <f t="shared" si="1"/>
        <v>39010_3</v>
      </c>
      <c r="E5" s="4" t="str">
        <f ca="1">VLOOKUP($B5,OFFSET([2]quests!$A$1,0,0,COUNTA([2]quests!$A:$A),MATCH(E$1,[2]quests!$1:$1,0)-MATCH($B$1,[2]quests!$1:$1,0)+1),MATCH(E$1,[2]quests!$1:$1,0)-MATCH($B$1,[2]quests!$1:$1,0)+1,FALSE)</f>
        <v>黄巾賊の暴走を止めろ！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【上級】黄巾賊の暴走を止めろ！</v>
      </c>
      <c r="G5" s="104">
        <v>4</v>
      </c>
      <c r="H5" s="15" t="str">
        <f t="shared" si="2"/>
        <v>39010_3-4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4</v>
      </c>
      <c r="L5" s="37">
        <v>2</v>
      </c>
      <c r="M5" s="107">
        <v>694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黄巾賊の将軍　紀田正臣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49</v>
      </c>
      <c r="T5" s="24">
        <v>2</v>
      </c>
      <c r="U5" s="10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158170</v>
      </c>
      <c r="V5" s="24">
        <v>0.9</v>
      </c>
      <c r="W5" s="10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4962.6000000000004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赤属性に変化+3ターン黄パネル無効+_x000D_自身の攻撃力&amp;防御力UP</v>
      </c>
      <c r="Z5" s="60">
        <v>39010013</v>
      </c>
      <c r="AA5" s="103">
        <v>1</v>
      </c>
    </row>
    <row r="6" spans="1:27" ht="21" customHeight="1" x14ac:dyDescent="0.15">
      <c r="A6" s="16" t="str">
        <f t="shared" si="0"/>
        <v>39010_4-3/197&lt;lv60&gt;sq5st2</v>
      </c>
      <c r="B6" s="21">
        <v>39010</v>
      </c>
      <c r="C6" s="20">
        <v>4</v>
      </c>
      <c r="D6" s="2" t="str">
        <f t="shared" si="1"/>
        <v>39010_4</v>
      </c>
      <c r="E6" s="4" t="str">
        <f ca="1">VLOOKUP($B6,OFFSET([2]quests!$A$1,0,0,COUNTA([2]quests!$A:$A),MATCH(E$1,[2]quests!$1:$1,0)-MATCH($B$1,[2]quests!$1:$1,0)+1),MATCH(E$1,[2]quests!$1:$1,0)-MATCH($B$1,[2]quests!$1:$1,0)+1,FALSE)</f>
        <v>黄巾賊の暴走を止めろ！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【超級】黄巾賊の暴走を止めろ！</v>
      </c>
      <c r="G6" s="104">
        <v>3</v>
      </c>
      <c r="H6" s="15" t="str">
        <f t="shared" si="2"/>
        <v>39010_4-3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5</v>
      </c>
      <c r="L6" s="37">
        <v>2</v>
      </c>
      <c r="M6" s="107">
        <v>197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鉄腕 アキレス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60</v>
      </c>
      <c r="T6" s="24">
        <v>1</v>
      </c>
      <c r="U6" s="100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110475</v>
      </c>
      <c r="V6" s="24">
        <v>1.2</v>
      </c>
      <c r="W6" s="100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5756.4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3ターン敵全体の防御力UP</v>
      </c>
      <c r="Z6" s="60">
        <v>39010007</v>
      </c>
      <c r="AA6" s="103">
        <v>2</v>
      </c>
    </row>
    <row r="7" spans="1:27" ht="21" customHeight="1" x14ac:dyDescent="0.15">
      <c r="A7" s="16" t="str">
        <f t="shared" si="0"/>
        <v>39010_4-4/694&lt;lv58&gt;sq6st2</v>
      </c>
      <c r="B7" s="21">
        <v>39010</v>
      </c>
      <c r="C7" s="20">
        <v>4</v>
      </c>
      <c r="D7" s="2" t="str">
        <f t="shared" si="1"/>
        <v>39010_4</v>
      </c>
      <c r="E7" s="4" t="str">
        <f ca="1">VLOOKUP($B7,OFFSET([2]quests!$A$1,0,0,COUNTA([2]quests!$A:$A),MATCH(E$1,[2]quests!$1:$1,0)-MATCH($B$1,[2]quests!$1:$1,0)+1),MATCH(E$1,[2]quests!$1:$1,0)-MATCH($B$1,[2]quests!$1:$1,0)+1,FALSE)</f>
        <v>黄巾賊の暴走を止めろ！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【超級】黄巾賊の暴走を止めろ！</v>
      </c>
      <c r="G7" s="104">
        <v>4</v>
      </c>
      <c r="H7" s="15" t="str">
        <f t="shared" si="2"/>
        <v>39010_4-4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6</v>
      </c>
      <c r="L7" s="37">
        <v>2</v>
      </c>
      <c r="M7" s="107">
        <v>694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黄巾賊の将軍　紀田正臣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58</v>
      </c>
      <c r="T7" s="24">
        <v>2</v>
      </c>
      <c r="U7" s="100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186358</v>
      </c>
      <c r="V7" s="24">
        <v>1</v>
      </c>
      <c r="W7" s="100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6497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赤属性に変化+3ターン黄パネル無効+_x000D_自身の攻撃力&amp;防御力UP</v>
      </c>
      <c r="Z7" s="60">
        <v>39010009</v>
      </c>
      <c r="AA7" s="10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7"/>
  <sheetViews>
    <sheetView showGridLines="0" zoomScale="75" zoomScaleNormal="75" zoomScalePageLayoutView="75" workbookViewId="0">
      <pane ySplit="1" topLeftCell="A2" activePane="bottomLeft" state="frozenSplit"/>
      <selection pane="bottomLeft" activeCell="E36" sqref="E3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39010001</v>
      </c>
      <c r="B2" s="46" t="s">
        <v>249</v>
      </c>
      <c r="C2" s="49">
        <v>3</v>
      </c>
      <c r="D2" s="49" t="s">
        <v>250</v>
      </c>
      <c r="E2" s="50" t="s">
        <v>251</v>
      </c>
      <c r="F2" s="50" t="s">
        <v>84</v>
      </c>
      <c r="G2" s="62" t="str">
        <f>IFERROR(LEFT(B2,FIND("],",B2)),B2)</f>
        <v>[effect:heal, target:enemy_one, val:0.5, animation:enemy_heal]</v>
      </c>
      <c r="H2" s="62">
        <f>FIND("effect:",G2)+7</f>
        <v>9</v>
      </c>
      <c r="I2" s="62">
        <f>IFERROR(FIND(",",G2),LEN(G2))</f>
        <v>13</v>
      </c>
      <c r="J2" s="62">
        <f>FIND("target:",G2)+7</f>
        <v>22</v>
      </c>
      <c r="K2" s="62">
        <f>FIND(",",G2,I2+1)</f>
        <v>31</v>
      </c>
      <c r="L2" s="62" t="str">
        <f>IFERROR(VLOOKUP(MID(G2,J2,K2-J2),[5]skilldef!$C:$D,2,FALSE),"-") &amp; " / " &amp; IFERROR(VLOOKUP(MID(G2,H2,I2-H2),[5]skilldef!$A:$B,2,FALSE),"-")</f>
        <v>敵単体に / 回復</v>
      </c>
      <c r="M2" s="62" t="str">
        <f>IFERROR(RIGHT(B2,LEN(B2)-FIND("],",B2)-1),"none")</f>
        <v>none</v>
      </c>
      <c r="N2" s="47" t="str">
        <f>IFERROR(LEFT(M2,FIND("],",M2)+S4),M2)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IFERROR(VLOOKUP(MID(N2,Q2,R2-Q2),[5]skilldef!$C:$D,2,FALSE),"-") &amp; " / " &amp; IFERROR(VLOOKUP(MID(N2,O2,P2-O2),[5]skilldef!$A:$B,2,FALSE),"-")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39010002</v>
      </c>
      <c r="B3" s="46" t="s">
        <v>253</v>
      </c>
      <c r="C3" s="49">
        <v>3</v>
      </c>
      <c r="D3" s="49" t="s">
        <v>250</v>
      </c>
      <c r="E3" s="50" t="s">
        <v>254</v>
      </c>
      <c r="F3" s="50" t="s">
        <v>304</v>
      </c>
      <c r="G3" s="62" t="str">
        <f t="shared" ref="G3:G36" si="0">IFERROR(LEFT(B3,FIND("],",B3)),B3)</f>
        <v>[effect:critical, val:1.3]</v>
      </c>
      <c r="H3" s="62">
        <f t="shared" ref="H3:H36" si="1">FIND("effect:",G3)+7</f>
        <v>9</v>
      </c>
      <c r="I3" s="62">
        <f t="shared" ref="I3:I36" si="2">IFERROR(FIND(",",G3),LEN(G3))</f>
        <v>17</v>
      </c>
      <c r="J3" s="62" t="e">
        <f t="shared" ref="J3:J36" si="3">FIND("target:",G3)+7</f>
        <v>#VALUE!</v>
      </c>
      <c r="K3" s="62" t="e">
        <f t="shared" ref="K3:K36" si="4">FIND(",",G3,I3+1)</f>
        <v>#VALUE!</v>
      </c>
      <c r="L3" s="62" t="str">
        <f>IFERROR(VLOOKUP(MID(G3,J3,K3-J3),[5]skilldef!$C:$D,2,FALSE),"-") &amp; " / " &amp; IFERROR(VLOOKUP(MID(G3,H3,I3-H3),[5]skilldef!$A:$B,2,FALSE),"-")</f>
        <v>- / 大攻撃</v>
      </c>
      <c r="M3" s="62" t="str">
        <f t="shared" ref="M3:M36" si="5">IFERROR(RIGHT(B3,LEN(B3)-FIND("],",B3)-1),"none")</f>
        <v>none</v>
      </c>
      <c r="N3" s="47" t="str">
        <f>IFERROR(LEFT(M3,FIND("],",M3)+S5),M3)</f>
        <v>none</v>
      </c>
      <c r="O3" s="62" t="e">
        <f t="shared" ref="O3:O36" si="6">FIND("effect:",N3)+7</f>
        <v>#VALUE!</v>
      </c>
      <c r="P3" s="62">
        <f t="shared" ref="P3:P36" si="7">IFERROR(FIND(",",N3),LEN(N3))</f>
        <v>4</v>
      </c>
      <c r="Q3" s="62" t="e">
        <f t="shared" ref="Q3:Q36" si="8">FIND("target:",N3)+7</f>
        <v>#VALUE!</v>
      </c>
      <c r="R3" s="62" t="e">
        <f t="shared" ref="R3:R36" si="9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36" si="10">IFERROR(RIGHT(M3,LEN(M3)-FIND("],",M3)-1),"none")</f>
        <v>none</v>
      </c>
      <c r="U3" s="62" t="e">
        <f t="shared" ref="U3:U36" si="11">FIND("effect:",T3)+7</f>
        <v>#VALUE!</v>
      </c>
      <c r="V3" s="62">
        <f t="shared" ref="V3:V36" si="12">IFERROR(FIND(",",T3),LEN(T3))</f>
        <v>4</v>
      </c>
      <c r="W3" s="62" t="e">
        <f t="shared" ref="W3:W36" si="13">FIND("target:",T3)+7</f>
        <v>#VALUE!</v>
      </c>
      <c r="X3" s="62" t="e">
        <f t="shared" ref="X3:X36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46">
        <v>39010003</v>
      </c>
      <c r="B4" s="46" t="s">
        <v>249</v>
      </c>
      <c r="C4" s="49">
        <v>3</v>
      </c>
      <c r="D4" s="49" t="s">
        <v>250</v>
      </c>
      <c r="E4" s="50" t="s">
        <v>251</v>
      </c>
      <c r="F4" s="50" t="s">
        <v>84</v>
      </c>
      <c r="G4" s="62" t="str">
        <f t="shared" si="0"/>
        <v>[effect:heal, target:enemy_one, val:0.5, animation:enemy_heal]</v>
      </c>
      <c r="H4" s="62">
        <f t="shared" si="1"/>
        <v>9</v>
      </c>
      <c r="I4" s="62">
        <f t="shared" si="2"/>
        <v>13</v>
      </c>
      <c r="J4" s="62">
        <f t="shared" si="3"/>
        <v>22</v>
      </c>
      <c r="K4" s="62">
        <f t="shared" si="4"/>
        <v>31</v>
      </c>
      <c r="L4" s="62" t="str">
        <f>IFERROR(VLOOKUP(MID(G4,J4,K4-J4),[5]skilldef!$C:$D,2,FALSE),"-") &amp; " / " &amp; IFERROR(VLOOKUP(MID(G4,H4,I4-H4),[5]skilldef!$A:$B,2,FALSE),"-")</f>
        <v>敵単体に / 回復</v>
      </c>
      <c r="M4" s="62" t="str">
        <f t="shared" si="5"/>
        <v>none</v>
      </c>
      <c r="N4" s="47" t="str">
        <f>IFERROR(LEFT(M4,FIND("],",M4)+S6),M4)</f>
        <v>none</v>
      </c>
      <c r="O4" s="62" t="e">
        <f t="shared" si="6"/>
        <v>#VALUE!</v>
      </c>
      <c r="P4" s="62">
        <f t="shared" si="7"/>
        <v>4</v>
      </c>
      <c r="Q4" s="62" t="e">
        <f t="shared" si="8"/>
        <v>#VALUE!</v>
      </c>
      <c r="R4" s="62" t="e">
        <f t="shared" si="9"/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si="10"/>
        <v>none</v>
      </c>
      <c r="U4" s="62" t="e">
        <f t="shared" si="11"/>
        <v>#VALUE!</v>
      </c>
      <c r="V4" s="62">
        <f t="shared" si="12"/>
        <v>4</v>
      </c>
      <c r="W4" s="62" t="e">
        <f t="shared" si="13"/>
        <v>#VALUE!</v>
      </c>
      <c r="X4" s="62" t="e">
        <f t="shared" si="14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46">
        <v>39010004</v>
      </c>
      <c r="B5" s="46" t="s">
        <v>326</v>
      </c>
      <c r="C5" s="49">
        <v>3</v>
      </c>
      <c r="D5" s="49" t="s">
        <v>250</v>
      </c>
      <c r="E5" s="50" t="s">
        <v>256</v>
      </c>
      <c r="F5" s="50" t="s">
        <v>305</v>
      </c>
      <c r="G5" s="62" t="str">
        <f t="shared" si="0"/>
        <v>[effect:enemy_message, val1:1, val2:2]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30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[effect:force_change_block, new_block:jammer, target:block_all, ignore01:crash, ignore02:crack_bomb, ignore03:time_bomb, ignore04:damage, count:3, val:0, animation:change_block]</v>
      </c>
      <c r="N5" s="47" t="str">
        <f>IFERROR(LEFT(M5,FIND("],",M5)+S7),M5)</f>
        <v>[effect:force_change_block, new_block:jammer, target:block_all, ignore01:crash, ignore02:crack_bomb, ignore03:time_bomb, ignore04:damage, count:3, val:0, animation:change_block]</v>
      </c>
      <c r="O5" s="62">
        <f t="shared" si="6"/>
        <v>9</v>
      </c>
      <c r="P5" s="62">
        <f t="shared" si="7"/>
        <v>27</v>
      </c>
      <c r="Q5" s="62">
        <f t="shared" si="8"/>
        <v>54</v>
      </c>
      <c r="R5" s="62">
        <f t="shared" si="9"/>
        <v>45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46">
        <v>39010005</v>
      </c>
      <c r="B6" s="46" t="s">
        <v>249</v>
      </c>
      <c r="C6" s="49">
        <v>3</v>
      </c>
      <c r="D6" s="49" t="s">
        <v>250</v>
      </c>
      <c r="E6" s="50" t="s">
        <v>257</v>
      </c>
      <c r="F6" s="50" t="s">
        <v>84</v>
      </c>
      <c r="G6" s="62" t="str">
        <f t="shared" si="0"/>
        <v>[effect:heal, target:enemy_one, val:0.5, animation:enemy_heal]</v>
      </c>
      <c r="H6" s="62">
        <f t="shared" si="1"/>
        <v>9</v>
      </c>
      <c r="I6" s="62">
        <f t="shared" si="2"/>
        <v>13</v>
      </c>
      <c r="J6" s="62">
        <f t="shared" si="3"/>
        <v>22</v>
      </c>
      <c r="K6" s="62">
        <f t="shared" si="4"/>
        <v>31</v>
      </c>
      <c r="L6" s="62" t="str">
        <f>IFERROR(VLOOKUP(MID(G6,J6,K6-J6),[5]skilldef!$C:$D,2,FALSE),"-") &amp; " / " &amp; IFERROR(VLOOKUP(MID(G6,H6,I6-H6),[5]skilldef!$A:$B,2,FALSE),"-")</f>
        <v>敵単体に / 回復</v>
      </c>
      <c r="M6" s="62" t="str">
        <f t="shared" si="5"/>
        <v>none</v>
      </c>
      <c r="N6" s="47" t="str">
        <f>IFERROR(LEFT(M6,FIND("],",M6)+S9),M6)</f>
        <v>none</v>
      </c>
      <c r="O6" s="62" t="e">
        <f t="shared" si="6"/>
        <v>#VALUE!</v>
      </c>
      <c r="P6" s="62">
        <f t="shared" si="7"/>
        <v>4</v>
      </c>
      <c r="Q6" s="62" t="e">
        <f t="shared" si="8"/>
        <v>#VALUE!</v>
      </c>
      <c r="R6" s="62" t="e">
        <f t="shared" si="9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0"/>
        <v>none</v>
      </c>
      <c r="U6" s="62" t="e">
        <f t="shared" si="11"/>
        <v>#VALUE!</v>
      </c>
      <c r="V6" s="62">
        <f t="shared" si="12"/>
        <v>4</v>
      </c>
      <c r="W6" s="62" t="e">
        <f t="shared" si="13"/>
        <v>#VALUE!</v>
      </c>
      <c r="X6" s="62" t="e">
        <f t="shared" si="14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46">
        <v>39010006</v>
      </c>
      <c r="B7" s="46" t="s">
        <v>258</v>
      </c>
      <c r="C7" s="49">
        <v>3</v>
      </c>
      <c r="D7" s="49" t="s">
        <v>250</v>
      </c>
      <c r="E7" s="50" t="s">
        <v>259</v>
      </c>
      <c r="F7" s="50" t="s">
        <v>260</v>
      </c>
      <c r="G7" s="62" t="str">
        <f t="shared" si="0"/>
        <v>[effect:enhance_enemy, target:enemy_all, turn:3, status:attack, val:1500, calc:add, animation:enemy_enhance_attack]</v>
      </c>
      <c r="H7" s="62">
        <f t="shared" si="1"/>
        <v>9</v>
      </c>
      <c r="I7" s="62">
        <f t="shared" si="2"/>
        <v>22</v>
      </c>
      <c r="J7" s="62">
        <f t="shared" si="3"/>
        <v>31</v>
      </c>
      <c r="K7" s="62">
        <f t="shared" si="4"/>
        <v>40</v>
      </c>
      <c r="L7" s="62" t="str">
        <f>IFERROR(VLOOKUP(MID(G7,J7,K7-J7),[5]skilldef!$C:$D,2,FALSE),"-") &amp; " / " &amp; IFERROR(VLOOKUP(MID(G7,H7,I7-H7),[5]skilldef!$A:$B,2,FALSE),"-")</f>
        <v>敵全体に / ステータス強化</v>
      </c>
      <c r="M7" s="62" t="str">
        <f t="shared" si="5"/>
        <v>none</v>
      </c>
      <c r="N7" s="47" t="str">
        <f>IFERROR(LEFT(M7,FIND("],",M7)+#REF!),M7)</f>
        <v>none</v>
      </c>
      <c r="O7" s="62" t="e">
        <f t="shared" si="6"/>
        <v>#VALUE!</v>
      </c>
      <c r="P7" s="62">
        <f t="shared" si="7"/>
        <v>4</v>
      </c>
      <c r="Q7" s="62" t="e">
        <f t="shared" si="8"/>
        <v>#VALUE!</v>
      </c>
      <c r="R7" s="62" t="e">
        <f t="shared" si="9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39010007</v>
      </c>
      <c r="B8" s="46" t="s">
        <v>261</v>
      </c>
      <c r="C8" s="49">
        <v>3</v>
      </c>
      <c r="D8" s="49" t="s">
        <v>250</v>
      </c>
      <c r="E8" s="50" t="s">
        <v>262</v>
      </c>
      <c r="F8" s="50" t="s">
        <v>263</v>
      </c>
      <c r="G8" s="62" t="str">
        <f t="shared" si="0"/>
        <v>[effect:spread, val:0.3]</v>
      </c>
      <c r="H8" s="62">
        <f t="shared" si="1"/>
        <v>9</v>
      </c>
      <c r="I8" s="62">
        <f t="shared" si="2"/>
        <v>15</v>
      </c>
      <c r="J8" s="62" t="e">
        <f t="shared" si="3"/>
        <v>#VALUE!</v>
      </c>
      <c r="K8" s="62" t="e">
        <f t="shared" si="4"/>
        <v>#VALUE!</v>
      </c>
      <c r="L8" s="62" t="str">
        <f>IFERROR(VLOOKUP(MID(G8,J8,K8-J8),[5]skilldef!$C:$D,2,FALSE),"-") &amp; " / " &amp; IFERROR(VLOOKUP(MID(G8,H8,I8-H8),[5]skilldef!$A:$B,2,FALSE),"-")</f>
        <v>- / 全体攻撃</v>
      </c>
      <c r="M8" s="62" t="str">
        <f t="shared" si="5"/>
        <v>none</v>
      </c>
      <c r="N8" s="47" t="str">
        <f>IFERROR(LEFT(M8,FIND("],",M8)+S11),M8)</f>
        <v>none</v>
      </c>
      <c r="O8" s="62" t="e">
        <f t="shared" si="6"/>
        <v>#VALUE!</v>
      </c>
      <c r="P8" s="62">
        <f t="shared" si="7"/>
        <v>4</v>
      </c>
      <c r="Q8" s="62" t="e">
        <f t="shared" si="8"/>
        <v>#VALUE!</v>
      </c>
      <c r="R8" s="62" t="e">
        <f t="shared" si="9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46">
        <v>39010008</v>
      </c>
      <c r="B9" s="46" t="s">
        <v>264</v>
      </c>
      <c r="C9" s="49">
        <v>3</v>
      </c>
      <c r="D9" s="49" t="s">
        <v>250</v>
      </c>
      <c r="E9" s="50" t="s">
        <v>265</v>
      </c>
      <c r="F9" s="50" t="s">
        <v>266</v>
      </c>
      <c r="G9" s="62" t="str">
        <f t="shared" si="0"/>
        <v>[effect:enhance_enemy, target:enemy_all, turn:3, status:defense, val:1500, calc:add, animation:enemy_enhance_defense]</v>
      </c>
      <c r="H9" s="62">
        <f t="shared" si="1"/>
        <v>9</v>
      </c>
      <c r="I9" s="62">
        <f t="shared" si="2"/>
        <v>22</v>
      </c>
      <c r="J9" s="62">
        <f t="shared" si="3"/>
        <v>31</v>
      </c>
      <c r="K9" s="62">
        <f t="shared" si="4"/>
        <v>40</v>
      </c>
      <c r="L9" s="62" t="str">
        <f>IFERROR(VLOOKUP(MID(G9,J9,K9-J9),[5]skilldef!$C:$D,2,FALSE),"-") &amp; " / " &amp; IFERROR(VLOOKUP(MID(G9,H9,I9-H9),[5]skilldef!$A:$B,2,FALSE),"-")</f>
        <v>敵全体に / ステータス強化</v>
      </c>
      <c r="M9" s="62" t="str">
        <f t="shared" si="5"/>
        <v>none</v>
      </c>
      <c r="N9" s="47" t="str">
        <f>IFERROR(LEFT(M9,FIND("],",M9)+#REF!),M9)</f>
        <v>none</v>
      </c>
      <c r="O9" s="62" t="e">
        <f t="shared" si="6"/>
        <v>#VALUE!</v>
      </c>
      <c r="P9" s="62">
        <f t="shared" si="7"/>
        <v>4</v>
      </c>
      <c r="Q9" s="62" t="e">
        <f t="shared" si="8"/>
        <v>#VALUE!</v>
      </c>
      <c r="R9" s="62" t="e">
        <f t="shared" si="9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46">
        <v>39010009</v>
      </c>
      <c r="B10" s="46" t="s">
        <v>261</v>
      </c>
      <c r="C10" s="49">
        <v>3</v>
      </c>
      <c r="D10" s="49" t="s">
        <v>250</v>
      </c>
      <c r="E10" s="50" t="s">
        <v>262</v>
      </c>
      <c r="F10" s="50" t="s">
        <v>263</v>
      </c>
      <c r="G10" s="62" t="str">
        <f t="shared" si="0"/>
        <v>[effect:spread, val:0.3]</v>
      </c>
      <c r="H10" s="62">
        <f t="shared" si="1"/>
        <v>9</v>
      </c>
      <c r="I10" s="62">
        <f t="shared" si="2"/>
        <v>15</v>
      </c>
      <c r="J10" s="62" t="e">
        <f t="shared" si="3"/>
        <v>#VALUE!</v>
      </c>
      <c r="K10" s="62" t="e">
        <f t="shared" si="4"/>
        <v>#VALUE!</v>
      </c>
      <c r="L10" s="62" t="str">
        <f>IFERROR(VLOOKUP(MID(G10,J10,K10-J10),[5]skilldef!$C:$D,2,FALSE),"-") &amp; " / " &amp; IFERROR(VLOOKUP(MID(G10,H10,I10-H10),[5]skilldef!$A:$B,2,FALSE),"-")</f>
        <v>- / 全体攻撃</v>
      </c>
      <c r="M10" s="62" t="str">
        <f t="shared" si="5"/>
        <v>none</v>
      </c>
      <c r="N10" s="47" t="str">
        <f>IFERROR(LEFT(M10,FIND("],",M10)+S27),M10)</f>
        <v>none</v>
      </c>
      <c r="O10" s="62" t="e">
        <f t="shared" si="6"/>
        <v>#VALUE!</v>
      </c>
      <c r="P10" s="62">
        <f t="shared" si="7"/>
        <v>4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46">
        <v>39010010</v>
      </c>
      <c r="B11" s="46" t="s">
        <v>327</v>
      </c>
      <c r="C11" s="49">
        <v>3</v>
      </c>
      <c r="D11" s="49" t="s">
        <v>250</v>
      </c>
      <c r="E11" s="50" t="s">
        <v>312</v>
      </c>
      <c r="F11" s="50" t="s">
        <v>306</v>
      </c>
      <c r="G11" s="62" t="str">
        <f t="shared" si="0"/>
        <v>[effect:enemy_message, val1:1, val2:2.2]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30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[effect:change_attribute, target:myself, color:red, turn:-1, animation:change_attribute_red],[effect:force_change_block, new_block:jammer, target:block_all, ignore01:crash, ignore02:crack_bomb, ignore03:time_bomb, ignore04:damage, count:4, val:0, animation:change_block]</v>
      </c>
      <c r="N11" s="47" t="str">
        <f>IFERROR(LEFT(M11,FIND("],",M11)+#REF!),M11)</f>
        <v>[effect:change_attribute, target:myself, color:red, turn:-1, animation:change_attribute_red],[effect:force_change_block, new_block:jammer, target:block_all, ignore01:crash, ignore02:crack_bomb, ignore03:time_bomb, ignore04:damage, count:4, val:0, animation:change_block]</v>
      </c>
      <c r="O11" s="62">
        <f t="shared" si="6"/>
        <v>9</v>
      </c>
      <c r="P11" s="62">
        <f t="shared" si="7"/>
        <v>25</v>
      </c>
      <c r="Q11" s="62">
        <f t="shared" si="8"/>
        <v>34</v>
      </c>
      <c r="R11" s="62">
        <f t="shared" si="9"/>
        <v>40</v>
      </c>
      <c r="S11" s="62" t="str">
        <f>IFERROR(VLOOKUP(MID(N11,Q11,R11-Q11),[5]skilldef!$C:$D,2,FALSE),"-") &amp; " / " &amp; IFERROR(VLOOKUP(MID(N11,O11,P11-O11),[5]skilldef!$A:$B,2,FALSE),"-")</f>
        <v>自分自身に / -</v>
      </c>
      <c r="T11" s="47" t="str">
        <f t="shared" si="10"/>
        <v>[effect:force_change_block, new_block:jammer, target:block_all, ignore01:crash, ignore02:crack_bomb, ignore03:time_bomb, ignore04:damage, count:4, val:0, animation:change_block]</v>
      </c>
      <c r="U11" s="62">
        <f t="shared" si="11"/>
        <v>9</v>
      </c>
      <c r="V11" s="62">
        <f t="shared" si="12"/>
        <v>27</v>
      </c>
      <c r="W11" s="62">
        <f t="shared" si="13"/>
        <v>54</v>
      </c>
      <c r="X11" s="62">
        <f t="shared" si="14"/>
        <v>45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46">
        <v>39010011</v>
      </c>
      <c r="B12" s="46" t="s">
        <v>327</v>
      </c>
      <c r="C12" s="49">
        <v>3</v>
      </c>
      <c r="D12" s="49" t="s">
        <v>250</v>
      </c>
      <c r="E12" s="50" t="s">
        <v>312</v>
      </c>
      <c r="F12" s="50" t="s">
        <v>306</v>
      </c>
      <c r="G12" s="62" t="str">
        <f t="shared" si="0"/>
        <v>[effect:enemy_message, val1:1, val2:2.2]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30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[effect:change_attribute, target:myself, color:red, turn:-1, animation:change_attribute_red],[effect:force_change_block, new_block:jammer, target:block_all, ignore01:crash, ignore02:crack_bomb, ignore03:time_bomb, ignore04:damage, count:4, val:0, animation:change_block]</v>
      </c>
      <c r="N12" s="47" t="str">
        <f>IFERROR(LEFT(M12,FIND("],",M12)+#REF!),M12)</f>
        <v>[effect:change_attribute, target:myself, color:red, turn:-1, animation:change_attribute_red],[effect:force_change_block, new_block:jammer, target:block_all, ignore01:crash, ignore02:crack_bomb, ignore03:time_bomb, ignore04:damage, count:4, val:0, animation:change_block]</v>
      </c>
      <c r="O12" s="62">
        <f t="shared" si="6"/>
        <v>9</v>
      </c>
      <c r="P12" s="62">
        <f t="shared" si="7"/>
        <v>25</v>
      </c>
      <c r="Q12" s="62">
        <f t="shared" si="8"/>
        <v>34</v>
      </c>
      <c r="R12" s="62">
        <f t="shared" si="9"/>
        <v>40</v>
      </c>
      <c r="S12" s="62" t="str">
        <f>IFERROR(VLOOKUP(MID(N12,Q12,R12-Q12),[5]skilldef!$C:$D,2,FALSE),"-") &amp; " / " &amp; IFERROR(VLOOKUP(MID(N12,O12,P12-O12),[5]skilldef!$A:$B,2,FALSE),"-")</f>
        <v>自分自身に / -</v>
      </c>
      <c r="T12" s="47" t="str">
        <f t="shared" si="10"/>
        <v>[effect:force_change_block, new_block:jammer, target:block_all, ignore01:crash, ignore02:crack_bomb, ignore03:time_bomb, ignore04:damage, count:4, val:0, animation:change_block]</v>
      </c>
      <c r="U12" s="62">
        <f t="shared" si="11"/>
        <v>9</v>
      </c>
      <c r="V12" s="62">
        <f t="shared" si="12"/>
        <v>27</v>
      </c>
      <c r="W12" s="62">
        <f t="shared" si="13"/>
        <v>54</v>
      </c>
      <c r="X12" s="62">
        <f t="shared" si="14"/>
        <v>45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46">
        <v>39010012</v>
      </c>
      <c r="B13" s="46" t="s">
        <v>328</v>
      </c>
      <c r="C13" s="49">
        <v>3</v>
      </c>
      <c r="D13" s="49" t="s">
        <v>250</v>
      </c>
      <c r="E13" s="50" t="s">
        <v>313</v>
      </c>
      <c r="F13" s="50" t="s">
        <v>307</v>
      </c>
      <c r="G13" s="62" t="str">
        <f t="shared" si="0"/>
        <v>[effect:enemy_message, val1:1, val2:2.2]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30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5"/>
        <v>[effect:change_attribute, target:myself, color:blue, turn:-1, animation:change_attribute_blue],[effect:force_change_block, new_block:jammer, target:block_all, ignore01:crash, ignore02:crack_bomb, ignore03:time_bomb, ignore04:damage, count:4, val:0, animation:change_block]</v>
      </c>
      <c r="N13" s="47" t="str">
        <f>IFERROR(LEFT(M13,FIND("],",M13)+#REF!),M13)</f>
        <v>[effect:change_attribute, target:myself, color:blue, turn:-1, animation:change_attribute_blue],[effect:force_change_block, new_block:jammer, target:block_all, ignore01:crash, ignore02:crack_bomb, ignore03:time_bomb, ignore04:damage, count:4, val:0, animation:change_block]</v>
      </c>
      <c r="O13" s="62">
        <f t="shared" si="6"/>
        <v>9</v>
      </c>
      <c r="P13" s="62">
        <f t="shared" si="7"/>
        <v>25</v>
      </c>
      <c r="Q13" s="62">
        <f t="shared" si="8"/>
        <v>34</v>
      </c>
      <c r="R13" s="62">
        <f t="shared" si="9"/>
        <v>40</v>
      </c>
      <c r="S13" s="62" t="str">
        <f>IFERROR(VLOOKUP(MID(N13,Q13,R13-Q13),[5]skilldef!$C:$D,2,FALSE),"-") &amp; " / " &amp; IFERROR(VLOOKUP(MID(N13,O13,P13-O13),[5]skilldef!$A:$B,2,FALSE),"-")</f>
        <v>自分自身に / -</v>
      </c>
      <c r="T13" s="47" t="str">
        <f t="shared" si="10"/>
        <v>[effect:force_change_block, new_block:jammer, target:block_all, ignore01:crash, ignore02:crack_bomb, ignore03:time_bomb, ignore04:damage, count:4, val:0, animation:change_block]</v>
      </c>
      <c r="U13" s="62">
        <f t="shared" si="11"/>
        <v>9</v>
      </c>
      <c r="V13" s="62">
        <f t="shared" si="12"/>
        <v>27</v>
      </c>
      <c r="W13" s="62">
        <f t="shared" si="13"/>
        <v>54</v>
      </c>
      <c r="X13" s="62">
        <f t="shared" si="14"/>
        <v>45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46">
        <v>39010013</v>
      </c>
      <c r="B14" s="46" t="s">
        <v>328</v>
      </c>
      <c r="C14" s="49">
        <v>3</v>
      </c>
      <c r="D14" s="49" t="s">
        <v>250</v>
      </c>
      <c r="E14" s="50" t="s">
        <v>313</v>
      </c>
      <c r="F14" s="50" t="s">
        <v>307</v>
      </c>
      <c r="G14" s="62" t="str">
        <f t="shared" si="0"/>
        <v>[effect:enemy_message, val1:1, val2:2.2]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30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5"/>
        <v>[effect:change_attribute, target:myself, color:blue, turn:-1, animation:change_attribute_blue],[effect:force_change_block, new_block:jammer, target:block_all, ignore01:crash, ignore02:crack_bomb, ignore03:time_bomb, ignore04:damage, count:4, val:0, animation:change_block]</v>
      </c>
      <c r="N14" s="47" t="str">
        <f>IFERROR(LEFT(M14,FIND("],",M14)+#REF!),M14)</f>
        <v>[effect:change_attribute, target:myself, color:blue, turn:-1, animation:change_attribute_blue],[effect:force_change_block, new_block:jammer, target:block_all, ignore01:crash, ignore02:crack_bomb, ignore03:time_bomb, ignore04:damage, count:4, val:0, animation:change_block]</v>
      </c>
      <c r="O14" s="62">
        <f t="shared" si="6"/>
        <v>9</v>
      </c>
      <c r="P14" s="62">
        <f t="shared" si="7"/>
        <v>25</v>
      </c>
      <c r="Q14" s="62">
        <f t="shared" si="8"/>
        <v>34</v>
      </c>
      <c r="R14" s="62">
        <f t="shared" si="9"/>
        <v>40</v>
      </c>
      <c r="S14" s="62" t="str">
        <f>IFERROR(VLOOKUP(MID(N14,Q14,R14-Q14),[5]skilldef!$C:$D,2,FALSE),"-") &amp; " / " &amp; IFERROR(VLOOKUP(MID(N14,O14,P14-O14),[5]skilldef!$A:$B,2,FALSE),"-")</f>
        <v>自分自身に / -</v>
      </c>
      <c r="T14" s="47" t="str">
        <f t="shared" si="10"/>
        <v>[effect:force_change_block, new_block:jammer, target:block_all, ignore01:crash, ignore02:crack_bomb, ignore03:time_bomb, ignore04:damage, count:4, val:0, animation:change_block]</v>
      </c>
      <c r="U14" s="62">
        <f t="shared" si="11"/>
        <v>9</v>
      </c>
      <c r="V14" s="62">
        <f t="shared" si="12"/>
        <v>27</v>
      </c>
      <c r="W14" s="62">
        <f t="shared" si="13"/>
        <v>54</v>
      </c>
      <c r="X14" s="62">
        <f t="shared" si="14"/>
        <v>45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46">
        <v>39010014</v>
      </c>
      <c r="B15" s="46" t="s">
        <v>252</v>
      </c>
      <c r="C15" s="49">
        <v>3</v>
      </c>
      <c r="D15" s="49" t="s">
        <v>250</v>
      </c>
      <c r="E15" s="50" t="s">
        <v>314</v>
      </c>
      <c r="F15" s="50" t="s">
        <v>267</v>
      </c>
      <c r="G15" s="62" t="str">
        <f t="shared" si="0"/>
        <v>[effect:nothing]</v>
      </c>
      <c r="H15" s="62">
        <f t="shared" si="1"/>
        <v>9</v>
      </c>
      <c r="I15" s="62">
        <f t="shared" si="2"/>
        <v>16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IFERROR(VLOOKUP(MID(G15,J15,K15-J15),[5]skilldef!$C:$D,2,FALSE),"-") &amp; " / " &amp; IFERROR(VLOOKUP(MID(G15,H15,I15-H15),[5]skilldef!$A:$B,2,FALSE),"-")</f>
        <v>- / 何もしない</v>
      </c>
      <c r="M15" s="62" t="str">
        <f t="shared" si="5"/>
        <v>none</v>
      </c>
      <c r="N15" s="47" t="str">
        <f>IFERROR(LEFT(M15,FIND("],",M15)+#REF!),M15)</f>
        <v>none</v>
      </c>
      <c r="O15" s="62" t="e">
        <f t="shared" si="6"/>
        <v>#VALUE!</v>
      </c>
      <c r="P15" s="62">
        <f t="shared" si="7"/>
        <v>4</v>
      </c>
      <c r="Q15" s="62" t="e">
        <f t="shared" si="8"/>
        <v>#VALUE!</v>
      </c>
      <c r="R15" s="62" t="e">
        <f t="shared" si="9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46">
        <v>39010015</v>
      </c>
      <c r="B16" s="46" t="s">
        <v>252</v>
      </c>
      <c r="C16" s="49">
        <v>3</v>
      </c>
      <c r="D16" s="49" t="s">
        <v>250</v>
      </c>
      <c r="E16" s="50" t="s">
        <v>314</v>
      </c>
      <c r="F16" s="50" t="s">
        <v>267</v>
      </c>
      <c r="G16" s="62" t="str">
        <f t="shared" si="0"/>
        <v>[effect:nothing]</v>
      </c>
      <c r="H16" s="62">
        <f t="shared" si="1"/>
        <v>9</v>
      </c>
      <c r="I16" s="62">
        <f t="shared" si="2"/>
        <v>16</v>
      </c>
      <c r="J16" s="62" t="e">
        <f t="shared" si="3"/>
        <v>#VALUE!</v>
      </c>
      <c r="K16" s="62" t="e">
        <f t="shared" si="4"/>
        <v>#VALUE!</v>
      </c>
      <c r="L16" s="62" t="str">
        <f>IFERROR(VLOOKUP(MID(G16,J16,K16-J16),[5]skilldef!$C:$D,2,FALSE),"-") &amp; " / " &amp; IFERROR(VLOOKUP(MID(G16,H16,I16-H16),[5]skilldef!$A:$B,2,FALSE),"-")</f>
        <v>- / 何もしない</v>
      </c>
      <c r="M16" s="62" t="str">
        <f t="shared" si="5"/>
        <v>none</v>
      </c>
      <c r="N16" s="47" t="str">
        <f>IFERROR(LEFT(M16,FIND("],",M16)+#REF!),M16)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46">
        <v>39010016</v>
      </c>
      <c r="B17" s="46" t="s">
        <v>329</v>
      </c>
      <c r="C17" s="49">
        <v>3</v>
      </c>
      <c r="D17" s="49" t="s">
        <v>250</v>
      </c>
      <c r="E17" s="50" t="s">
        <v>268</v>
      </c>
      <c r="F17" s="50" t="s">
        <v>308</v>
      </c>
      <c r="G17" s="62" t="str">
        <f t="shared" si="0"/>
        <v>[effect:enemy_message, val1:1, val2:2]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30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[effect:force_change_block, new_block:jammer, target:block_all, ignore01:crash, ignore02:crack_bomb, ignore03:time_bomb, ignore04:damage, count:4, val:0, animation:change_block]</v>
      </c>
      <c r="N17" s="47" t="str">
        <f>IFERROR(LEFT(M17,FIND("],",M17)+#REF!),M17)</f>
        <v>[effect:force_change_block, new_block:jammer, target:block_all, ignore01:crash, ignore02:crack_bomb, ignore03:time_bomb, ignore04:damage, count:4, val:0, animation:change_block]</v>
      </c>
      <c r="O17" s="62">
        <f t="shared" si="6"/>
        <v>9</v>
      </c>
      <c r="P17" s="62">
        <f t="shared" si="7"/>
        <v>27</v>
      </c>
      <c r="Q17" s="62">
        <f t="shared" si="8"/>
        <v>54</v>
      </c>
      <c r="R17" s="62">
        <f t="shared" si="9"/>
        <v>45</v>
      </c>
      <c r="S17" s="62" t="str">
        <f>IFERROR(VLOOKUP(MID(N17,Q17,R17-Q17),[5]skilldef!$C:$D,2,FALSE),"-") &amp; " / " &amp; IFERROR(VLOOKUP(MID(N17,O17,P17-O17),[5]skilldef!$A:$B,2,FALSE),"-")</f>
        <v>- / -</v>
      </c>
      <c r="T17" s="47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46">
        <v>39010017</v>
      </c>
      <c r="B18" s="46" t="s">
        <v>309</v>
      </c>
      <c r="C18" s="49">
        <v>3</v>
      </c>
      <c r="D18" s="49" t="s">
        <v>250</v>
      </c>
      <c r="E18" s="50" t="s">
        <v>269</v>
      </c>
      <c r="F18" s="50" t="s">
        <v>270</v>
      </c>
      <c r="G18" s="62" t="str">
        <f t="shared" si="0"/>
        <v>[effect:force_change_block, new_block:block_yellow, target:block_green, ignore01:crash, ignore02:crack_bomb, ignore03:time_bomb, ignore04:jammer, ignore05:damage, count:0, val:0, animation:change_block]</v>
      </c>
      <c r="H18" s="62">
        <f t="shared" si="1"/>
        <v>9</v>
      </c>
      <c r="I18" s="62">
        <f t="shared" si="2"/>
        <v>27</v>
      </c>
      <c r="J18" s="62">
        <f t="shared" si="3"/>
        <v>60</v>
      </c>
      <c r="K18" s="62">
        <f t="shared" si="4"/>
        <v>51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none</v>
      </c>
      <c r="N18" s="47" t="str">
        <f>IFERROR(LEFT(M18,FIND("],",M18)+#REF!),M18)</f>
        <v>none</v>
      </c>
      <c r="O18" s="62" t="e">
        <f t="shared" si="6"/>
        <v>#VALUE!</v>
      </c>
      <c r="P18" s="62">
        <f t="shared" si="7"/>
        <v>4</v>
      </c>
      <c r="Q18" s="62" t="e">
        <f t="shared" si="8"/>
        <v>#VALUE!</v>
      </c>
      <c r="R18" s="62" t="e">
        <f t="shared" si="9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46">
        <v>39010018</v>
      </c>
      <c r="B19" s="46" t="s">
        <v>271</v>
      </c>
      <c r="C19" s="49">
        <v>3</v>
      </c>
      <c r="D19" s="49" t="s">
        <v>250</v>
      </c>
      <c r="E19" s="50" t="s">
        <v>272</v>
      </c>
      <c r="F19" s="50" t="s">
        <v>310</v>
      </c>
      <c r="G19" s="62" t="str">
        <f t="shared" si="0"/>
        <v>[effect:damage_anti_color, target:unit_all, color:blue, val1:0.6, val2:0.3]</v>
      </c>
      <c r="H19" s="62">
        <f t="shared" si="1"/>
        <v>9</v>
      </c>
      <c r="I19" s="62">
        <f t="shared" si="2"/>
        <v>26</v>
      </c>
      <c r="J19" s="62">
        <f t="shared" si="3"/>
        <v>35</v>
      </c>
      <c r="K19" s="62">
        <f t="shared" si="4"/>
        <v>43</v>
      </c>
      <c r="L19" s="62" t="str">
        <f>IFERROR(VLOOKUP(MID(G19,J19,K19-J19),[5]skilldef!$C:$D,2,FALSE),"-") &amp; " / " &amp; IFERROR(VLOOKUP(MID(G19,H19,I19-H19),[5]skilldef!$A:$B,2,FALSE),"-")</f>
        <v>味方全体に / 属性キラー</v>
      </c>
      <c r="M19" s="62" t="str">
        <f t="shared" si="5"/>
        <v>none</v>
      </c>
      <c r="N19" s="47" t="str">
        <f>IFERROR(LEFT(M19,FIND("],",M19)+#REF!),M19)</f>
        <v>none</v>
      </c>
      <c r="O19" s="62" t="e">
        <f t="shared" si="6"/>
        <v>#VALUE!</v>
      </c>
      <c r="P19" s="62">
        <f t="shared" si="7"/>
        <v>4</v>
      </c>
      <c r="Q19" s="62" t="e">
        <f t="shared" si="8"/>
        <v>#VALUE!</v>
      </c>
      <c r="R19" s="62" t="e">
        <f t="shared" si="9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46">
        <v>39010019</v>
      </c>
      <c r="B20" s="46" t="s">
        <v>273</v>
      </c>
      <c r="C20" s="49">
        <v>3</v>
      </c>
      <c r="D20" s="49" t="s">
        <v>250</v>
      </c>
      <c r="E20" s="50" t="s">
        <v>274</v>
      </c>
      <c r="F20" s="50" t="s">
        <v>311</v>
      </c>
      <c r="G20" s="62" t="str">
        <f t="shared" si="0"/>
        <v>[effect:rush, count:2, val:0.6]</v>
      </c>
      <c r="H20" s="62">
        <f t="shared" si="1"/>
        <v>9</v>
      </c>
      <c r="I20" s="62">
        <f t="shared" si="2"/>
        <v>13</v>
      </c>
      <c r="J20" s="62" t="e">
        <f t="shared" si="3"/>
        <v>#VALUE!</v>
      </c>
      <c r="K20" s="62">
        <f t="shared" si="4"/>
        <v>22</v>
      </c>
      <c r="L20" s="62" t="str">
        <f>IFERROR(VLOOKUP(MID(G20,J20,K20-J20),[5]skilldef!$C:$D,2,FALSE),"-") &amp; " / " &amp; IFERROR(VLOOKUP(MID(G20,H20,I20-H20),[5]skilldef!$A:$B,2,FALSE),"-")</f>
        <v>- / 連続攻撃</v>
      </c>
      <c r="M20" s="62" t="str">
        <f t="shared" si="5"/>
        <v>none</v>
      </c>
      <c r="N20" s="47" t="str">
        <f>IFERROR(LEFT(M20,FIND("],",M20)+S34),M20)</f>
        <v>none</v>
      </c>
      <c r="O20" s="62" t="e">
        <f t="shared" si="6"/>
        <v>#VALUE!</v>
      </c>
      <c r="P20" s="62">
        <f t="shared" si="7"/>
        <v>4</v>
      </c>
      <c r="Q20" s="62" t="e">
        <f t="shared" si="8"/>
        <v>#VALUE!</v>
      </c>
      <c r="R20" s="62" t="e">
        <f t="shared" si="9"/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46">
        <v>39010020</v>
      </c>
      <c r="B21" s="46" t="s">
        <v>330</v>
      </c>
      <c r="C21" s="49">
        <v>3</v>
      </c>
      <c r="D21" s="49" t="s">
        <v>250</v>
      </c>
      <c r="E21" s="50" t="s">
        <v>315</v>
      </c>
      <c r="F21" s="50" t="s">
        <v>318</v>
      </c>
      <c r="G21" s="62" t="str">
        <f t="shared" si="0"/>
        <v>[effect:enemy_message, val1:1, val2:2.4]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30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21" s="47" t="str">
        <f>IFERROR(LEFT(M21,FIND("],",M21)+S30),M21)</f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21" s="62">
        <f t="shared" si="6"/>
        <v>9</v>
      </c>
      <c r="P21" s="62">
        <f t="shared" si="7"/>
        <v>25</v>
      </c>
      <c r="Q21" s="62">
        <f t="shared" si="8"/>
        <v>34</v>
      </c>
      <c r="R21" s="62">
        <f t="shared" si="9"/>
        <v>40</v>
      </c>
      <c r="S21" s="62" t="str">
        <f>IFERROR(VLOOKUP(MID(N21,Q21,R21-Q21),[5]skilldef!$C:$D,2,FALSE),"-") &amp; " / " &amp; IFERROR(VLOOKUP(MID(N21,O21,P21-O21),[5]skilldef!$A:$B,2,FALSE),"-")</f>
        <v>自分自身に / -</v>
      </c>
      <c r="T21" s="47" t="str">
        <f t="shared" si="10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U21" s="62">
        <f t="shared" si="11"/>
        <v>9</v>
      </c>
      <c r="V21" s="62">
        <f t="shared" si="12"/>
        <v>18</v>
      </c>
      <c r="W21" s="62">
        <f t="shared" si="13"/>
        <v>27</v>
      </c>
      <c r="X21" s="62">
        <f t="shared" si="14"/>
        <v>39</v>
      </c>
      <c r="Y21" s="62" t="str">
        <f>IFERROR(VLOOKUP(MID(T21,W21,X21-W21),[5]skilldef!$C:$D,2,FALSE),"-") &amp; " / " &amp; IFERROR(VLOOKUP(MID(T21,U21,V21-U21),[5]skilldef!$A:$B,2,FALSE),"-")</f>
        <v>黄色パネルを / ディスパネル</v>
      </c>
      <c r="Z21" s="49"/>
      <c r="AA21" s="51"/>
      <c r="AB21" s="49"/>
    </row>
    <row r="22" spans="1:28" ht="21" customHeight="1" x14ac:dyDescent="0.15">
      <c r="A22" s="46">
        <v>39010021</v>
      </c>
      <c r="B22" s="46" t="s">
        <v>330</v>
      </c>
      <c r="C22" s="49">
        <v>3</v>
      </c>
      <c r="D22" s="49" t="s">
        <v>250</v>
      </c>
      <c r="E22" s="50" t="s">
        <v>315</v>
      </c>
      <c r="F22" s="50" t="s">
        <v>318</v>
      </c>
      <c r="G22" s="62" t="str">
        <f t="shared" si="0"/>
        <v>[effect:enemy_message, val1:1, val2:2.4]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30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5"/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22" s="47" t="str">
        <f>IFERROR(LEFT(M22,FIND("],",M22)+S33),M22)</f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22" s="62">
        <f t="shared" si="6"/>
        <v>9</v>
      </c>
      <c r="P22" s="62">
        <f t="shared" si="7"/>
        <v>25</v>
      </c>
      <c r="Q22" s="62">
        <f t="shared" si="8"/>
        <v>34</v>
      </c>
      <c r="R22" s="62">
        <f t="shared" si="9"/>
        <v>40</v>
      </c>
      <c r="S22" s="62" t="str">
        <f>IFERROR(VLOOKUP(MID(N22,Q22,R22-Q22),[5]skilldef!$C:$D,2,FALSE),"-") &amp; " / " &amp; IFERROR(VLOOKUP(MID(N22,O22,P22-O22),[5]skilldef!$A:$B,2,FALSE),"-")</f>
        <v>自分自身に / -</v>
      </c>
      <c r="T22" s="47" t="str">
        <f t="shared" si="10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U22" s="62">
        <f t="shared" si="11"/>
        <v>9</v>
      </c>
      <c r="V22" s="62">
        <f t="shared" si="12"/>
        <v>18</v>
      </c>
      <c r="W22" s="62">
        <f t="shared" si="13"/>
        <v>27</v>
      </c>
      <c r="X22" s="62">
        <f t="shared" si="14"/>
        <v>39</v>
      </c>
      <c r="Y22" s="62" t="str">
        <f>IFERROR(VLOOKUP(MID(T22,W22,X22-W22),[5]skilldef!$C:$D,2,FALSE),"-") &amp; " / " &amp; IFERROR(VLOOKUP(MID(T22,U22,V22-U22),[5]skilldef!$A:$B,2,FALSE),"-")</f>
        <v>黄色パネルを / ディスパネル</v>
      </c>
      <c r="Z22" s="49"/>
      <c r="AA22" s="51"/>
      <c r="AB22" s="49"/>
    </row>
    <row r="23" spans="1:28" ht="21" customHeight="1" x14ac:dyDescent="0.15">
      <c r="A23" s="46">
        <v>39010022</v>
      </c>
      <c r="B23" s="46" t="s">
        <v>330</v>
      </c>
      <c r="C23" s="49">
        <v>3</v>
      </c>
      <c r="D23" s="49" t="s">
        <v>250</v>
      </c>
      <c r="E23" s="50" t="s">
        <v>316</v>
      </c>
      <c r="F23" s="50" t="s">
        <v>318</v>
      </c>
      <c r="G23" s="62" t="str">
        <f t="shared" si="0"/>
        <v>[effect:enemy_message, val1:1, val2:2.4]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30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23" s="47" t="str">
        <f>IFERROR(LEFT(M23,FIND("],",M23)+S33),M23)</f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23" s="62">
        <f t="shared" si="6"/>
        <v>9</v>
      </c>
      <c r="P23" s="62">
        <f t="shared" si="7"/>
        <v>25</v>
      </c>
      <c r="Q23" s="62">
        <f t="shared" si="8"/>
        <v>34</v>
      </c>
      <c r="R23" s="62">
        <f t="shared" si="9"/>
        <v>40</v>
      </c>
      <c r="S23" s="62" t="str">
        <f>IFERROR(VLOOKUP(MID(N23,Q23,R23-Q23),[5]skilldef!$C:$D,2,FALSE),"-") &amp; " / " &amp; IFERROR(VLOOKUP(MID(N23,O23,P23-O23),[5]skilldef!$A:$B,2,FALSE),"-")</f>
        <v>自分自身に / -</v>
      </c>
      <c r="T23" s="47" t="str">
        <f t="shared" si="10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U23" s="62">
        <f t="shared" si="11"/>
        <v>9</v>
      </c>
      <c r="V23" s="62">
        <f t="shared" si="12"/>
        <v>18</v>
      </c>
      <c r="W23" s="62">
        <f t="shared" si="13"/>
        <v>27</v>
      </c>
      <c r="X23" s="62">
        <f t="shared" si="14"/>
        <v>39</v>
      </c>
      <c r="Y23" s="62" t="str">
        <f>IFERROR(VLOOKUP(MID(T23,W23,X23-W23),[5]skilldef!$C:$D,2,FALSE),"-") &amp; " / " &amp; IFERROR(VLOOKUP(MID(T23,U23,V23-U23),[5]skilldef!$A:$B,2,FALSE),"-")</f>
        <v>黄色パネルを / ディスパネル</v>
      </c>
      <c r="Z23" s="49"/>
      <c r="AA23" s="51"/>
      <c r="AB23" s="49"/>
    </row>
    <row r="24" spans="1:28" ht="21" customHeight="1" x14ac:dyDescent="0.15">
      <c r="A24" s="46">
        <v>39010023</v>
      </c>
      <c r="B24" s="46" t="s">
        <v>330</v>
      </c>
      <c r="C24" s="49">
        <v>3</v>
      </c>
      <c r="D24" s="49" t="s">
        <v>250</v>
      </c>
      <c r="E24" s="50" t="s">
        <v>316</v>
      </c>
      <c r="F24" s="50" t="s">
        <v>318</v>
      </c>
      <c r="G24" s="62" t="str">
        <f t="shared" si="0"/>
        <v>[effect:enemy_message, val1:1, val2:2.4]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30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5"/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N24" s="47" t="str">
        <f>IFERROR(LEFT(M24,FIND("],",M24)+S34),M24)</f>
        <v>[effect:change_attribute, target:myself, color:red, turn:-1, animation:change_attribute_red],[effect:dis_panel,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O24" s="62">
        <f t="shared" si="6"/>
        <v>9</v>
      </c>
      <c r="P24" s="62">
        <f t="shared" si="7"/>
        <v>25</v>
      </c>
      <c r="Q24" s="62">
        <f t="shared" si="8"/>
        <v>34</v>
      </c>
      <c r="R24" s="62">
        <f t="shared" si="9"/>
        <v>40</v>
      </c>
      <c r="S24" s="62" t="str">
        <f>IFERROR(VLOOKUP(MID(N24,Q24,R24-Q24),[5]skilldef!$C:$D,2,FALSE),"-") &amp; " / " &amp; IFERROR(VLOOKUP(MID(N24,O24,P24-O24),[5]skilldef!$A:$B,2,FALSE),"-")</f>
        <v>自分自身に / -</v>
      </c>
      <c r="T24" s="47" t="str">
        <f t="shared" si="10"/>
        <v>[effect:dis_panel, target:block_yellow, turn:3, animation:enemy_dis_yellow],[effect:enhance_enemy, target:enemy_all, turn:3, status:attack, val:1500, calc:add, animation:enemy_enhance_attack],[effect:enhance_enemy, target:enemy_all, turn:3, status:defense, val:2500, calc:add, animation:enemy_enhance_defense]</v>
      </c>
      <c r="U24" s="62">
        <f t="shared" si="11"/>
        <v>9</v>
      </c>
      <c r="V24" s="62">
        <f t="shared" si="12"/>
        <v>18</v>
      </c>
      <c r="W24" s="62">
        <f t="shared" si="13"/>
        <v>27</v>
      </c>
      <c r="X24" s="62">
        <f t="shared" si="14"/>
        <v>39</v>
      </c>
      <c r="Y24" s="62" t="str">
        <f>IFERROR(VLOOKUP(MID(T24,W24,X24-W24),[5]skilldef!$C:$D,2,FALSE),"-") &amp; " / " &amp; IFERROR(VLOOKUP(MID(T24,U24,V24-U24),[5]skilldef!$A:$B,2,FALSE),"-")</f>
        <v>黄色パネルを / ディスパネル</v>
      </c>
      <c r="Z24" s="49"/>
      <c r="AA24" s="51"/>
      <c r="AB24" s="49"/>
    </row>
    <row r="25" spans="1:28" ht="21" customHeight="1" x14ac:dyDescent="0.15">
      <c r="A25" s="46">
        <v>39010024</v>
      </c>
      <c r="B25" s="46" t="s">
        <v>331</v>
      </c>
      <c r="C25" s="49">
        <v>3</v>
      </c>
      <c r="D25" s="49" t="s">
        <v>250</v>
      </c>
      <c r="E25" s="50" t="s">
        <v>276</v>
      </c>
      <c r="F25" s="111" t="s">
        <v>277</v>
      </c>
      <c r="G25" s="62" t="str">
        <f t="shared" si="0"/>
        <v>[effect:enemy_message, val1:1.2, val2:1.8]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none</v>
      </c>
      <c r="N25" s="47" t="str">
        <f t="shared" ref="N25:N28" si="15">IFERROR(LEFT(M25,FIND("],",M25)+S34),M25)</f>
        <v>none</v>
      </c>
      <c r="O25" s="62" t="e">
        <f t="shared" si="6"/>
        <v>#VALUE!</v>
      </c>
      <c r="P25" s="62">
        <f t="shared" si="7"/>
        <v>4</v>
      </c>
      <c r="Q25" s="62" t="e">
        <f t="shared" si="8"/>
        <v>#VALUE!</v>
      </c>
      <c r="R25" s="62" t="e">
        <f t="shared" si="9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46">
        <v>39010025</v>
      </c>
      <c r="B26" s="46" t="s">
        <v>331</v>
      </c>
      <c r="C26" s="49">
        <v>3</v>
      </c>
      <c r="D26" s="49" t="s">
        <v>250</v>
      </c>
      <c r="E26" s="50" t="s">
        <v>276</v>
      </c>
      <c r="F26" s="111" t="s">
        <v>278</v>
      </c>
      <c r="G26" s="62" t="str">
        <f t="shared" si="0"/>
        <v>[effect:enemy_message, val1:1.2, val2:1.8]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none</v>
      </c>
      <c r="N26" s="47" t="str">
        <f t="shared" si="15"/>
        <v>none</v>
      </c>
      <c r="O26" s="62" t="e">
        <f t="shared" si="6"/>
        <v>#VALUE!</v>
      </c>
      <c r="P26" s="62">
        <f t="shared" si="7"/>
        <v>4</v>
      </c>
      <c r="Q26" s="62" t="e">
        <f t="shared" si="8"/>
        <v>#VALUE!</v>
      </c>
      <c r="R26" s="62" t="e">
        <f t="shared" si="9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1" customHeight="1" x14ac:dyDescent="0.15">
      <c r="A27" s="46">
        <v>39010026</v>
      </c>
      <c r="B27" s="46" t="s">
        <v>332</v>
      </c>
      <c r="C27" s="49">
        <v>3</v>
      </c>
      <c r="D27" s="49" t="s">
        <v>250</v>
      </c>
      <c r="E27" s="50" t="s">
        <v>279</v>
      </c>
      <c r="F27" s="50" t="s">
        <v>319</v>
      </c>
      <c r="G27" s="62" t="str">
        <f t="shared" si="0"/>
        <v>[effect:enemy_message, val1:1, val2:2]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30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[effect:dis_panel, target:block_yellow, turn:3, animation:enemy_dis_yellow],[effect:enhance_enemy, target:enemy_all, turn:3, status:attack, val:1500, calc:add, animation:enemy_enhance_defense],[effect:enhance_enemy, target:enemy_all, turn:3, status:defense, val:1500, calc:add, animation:enemy_enhance_defense]</v>
      </c>
      <c r="N27" s="47" t="str">
        <f t="shared" si="15"/>
        <v>[effect:dis_panel, target:block_yellow, turn:3, animation:enemy_dis_yellow],[effect:enhance_enemy, target:enemy_all, turn:3, status:attack, val:1500, calc:add, animation:enemy_enhance_defense],[effect:enhance_enemy, target:enemy_all, turn:3, status:defense, val:1500, calc:add, animation:enemy_enhance_defense]</v>
      </c>
      <c r="O27" s="62">
        <f t="shared" si="6"/>
        <v>9</v>
      </c>
      <c r="P27" s="62">
        <f t="shared" si="7"/>
        <v>18</v>
      </c>
      <c r="Q27" s="62">
        <f t="shared" si="8"/>
        <v>27</v>
      </c>
      <c r="R27" s="62">
        <f t="shared" si="9"/>
        <v>39</v>
      </c>
      <c r="S27" s="62" t="str">
        <f>IFERROR(VLOOKUP(MID(N27,Q27,R27-Q27),[5]skilldef!$C:$D,2,FALSE),"-") &amp; " / " &amp; IFERROR(VLOOKUP(MID(N27,O27,P27-O27),[5]skilldef!$A:$B,2,FALSE),"-")</f>
        <v>黄色パネルを / ディスパネル</v>
      </c>
      <c r="T27" s="47" t="str">
        <f t="shared" si="10"/>
        <v>[effect:enhance_enemy, target:enemy_all, turn:3, status:attack, val:1500, calc:add, animation:enemy_enhance_defense],[effect:enhance_enemy, target:enemy_all, turn:3, status:defense, val:1500, calc:add, animation:enemy_enhance_defense]</v>
      </c>
      <c r="U27" s="62">
        <f t="shared" si="11"/>
        <v>9</v>
      </c>
      <c r="V27" s="62">
        <f t="shared" si="12"/>
        <v>22</v>
      </c>
      <c r="W27" s="62">
        <f t="shared" si="13"/>
        <v>31</v>
      </c>
      <c r="X27" s="62">
        <f t="shared" si="14"/>
        <v>40</v>
      </c>
      <c r="Y27" s="62" t="str">
        <f>IFERROR(VLOOKUP(MID(T27,W27,X27-W27),[5]skilldef!$C:$D,2,FALSE),"-") &amp; " / " &amp; IFERROR(VLOOKUP(MID(T27,U27,V27-U27),[5]skilldef!$A:$B,2,FALSE),"-")</f>
        <v>敵全体に / ステータス強化</v>
      </c>
      <c r="Z27" s="49"/>
      <c r="AA27" s="51"/>
      <c r="AB27" s="49"/>
    </row>
    <row r="28" spans="1:28" ht="21" customHeight="1" x14ac:dyDescent="0.15">
      <c r="A28" s="46">
        <v>39010027</v>
      </c>
      <c r="B28" s="46" t="s">
        <v>309</v>
      </c>
      <c r="C28" s="49">
        <v>3</v>
      </c>
      <c r="D28" s="49" t="s">
        <v>250</v>
      </c>
      <c r="E28" s="50" t="s">
        <v>281</v>
      </c>
      <c r="F28" s="50" t="s">
        <v>270</v>
      </c>
      <c r="G28" s="62" t="str">
        <f t="shared" si="0"/>
        <v>[effect:force_change_block, new_block:block_yellow, target:block_green, ignore01:crash, ignore02:crack_bomb, ignore03:time_bomb, ignore04:jammer, ignore05:damage, count:0, val:0, animation:change_block]</v>
      </c>
      <c r="H28" s="62">
        <f t="shared" si="1"/>
        <v>9</v>
      </c>
      <c r="I28" s="62">
        <f t="shared" si="2"/>
        <v>27</v>
      </c>
      <c r="J28" s="62">
        <f t="shared" si="3"/>
        <v>60</v>
      </c>
      <c r="K28" s="62">
        <f t="shared" si="4"/>
        <v>51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5"/>
        <v>none</v>
      </c>
      <c r="N28" s="47" t="str">
        <f t="shared" si="15"/>
        <v>none</v>
      </c>
      <c r="O28" s="62" t="e">
        <f t="shared" si="6"/>
        <v>#VALUE!</v>
      </c>
      <c r="P28" s="62">
        <f t="shared" si="7"/>
        <v>4</v>
      </c>
      <c r="Q28" s="62" t="e">
        <f t="shared" si="8"/>
        <v>#VALUE!</v>
      </c>
      <c r="R28" s="62" t="e">
        <f t="shared" si="9"/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si="10"/>
        <v>none</v>
      </c>
      <c r="U28" s="62" t="e">
        <f t="shared" si="11"/>
        <v>#VALUE!</v>
      </c>
      <c r="V28" s="62">
        <f t="shared" si="12"/>
        <v>4</v>
      </c>
      <c r="W28" s="62" t="e">
        <f t="shared" si="13"/>
        <v>#VALUE!</v>
      </c>
      <c r="X28" s="62" t="e">
        <f t="shared" si="14"/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ht="21" customHeight="1" x14ac:dyDescent="0.15">
      <c r="A29" s="46">
        <v>39010028</v>
      </c>
      <c r="B29" s="46" t="s">
        <v>271</v>
      </c>
      <c r="C29" s="49">
        <v>3</v>
      </c>
      <c r="D29" s="49" t="s">
        <v>250</v>
      </c>
      <c r="E29" s="50" t="s">
        <v>282</v>
      </c>
      <c r="F29" s="50" t="s">
        <v>320</v>
      </c>
      <c r="G29" s="62" t="str">
        <f t="shared" si="0"/>
        <v>[effect:damage_anti_color, target:unit_all, color:blue, val1:0.6, val2:0.3]</v>
      </c>
      <c r="H29" s="62">
        <f t="shared" si="1"/>
        <v>9</v>
      </c>
      <c r="I29" s="62">
        <f t="shared" si="2"/>
        <v>26</v>
      </c>
      <c r="J29" s="62">
        <f t="shared" si="3"/>
        <v>35</v>
      </c>
      <c r="K29" s="62">
        <f t="shared" si="4"/>
        <v>43</v>
      </c>
      <c r="L29" s="62" t="str">
        <f>IFERROR(VLOOKUP(MID(G29,J29,K29-J29),[5]skilldef!$C:$D,2,FALSE),"-") &amp; " / " &amp; IFERROR(VLOOKUP(MID(G29,H29,I29-H29),[5]skilldef!$A:$B,2,FALSE),"-")</f>
        <v>味方全体に / 属性キラー</v>
      </c>
      <c r="M29" s="62" t="str">
        <f t="shared" si="5"/>
        <v>none</v>
      </c>
      <c r="N29" s="47" t="str">
        <f>IFERROR(LEFT(M29,FIND("],",M29)+#REF!),M29)</f>
        <v>none</v>
      </c>
      <c r="O29" s="62" t="e">
        <f t="shared" si="6"/>
        <v>#VALUE!</v>
      </c>
      <c r="P29" s="62">
        <f t="shared" si="7"/>
        <v>4</v>
      </c>
      <c r="Q29" s="62" t="e">
        <f t="shared" si="8"/>
        <v>#VALUE!</v>
      </c>
      <c r="R29" s="62" t="e">
        <f t="shared" si="9"/>
        <v>#VALUE!</v>
      </c>
      <c r="S29" s="62" t="str">
        <f>IFERROR(VLOOKUP(MID(N29,Q29,R29-Q29),[5]skilldef!$C:$D,2,FALSE),"-") &amp; " / " &amp; IFERROR(VLOOKUP(MID(N29,O29,P29-O29),[5]skilldef!$A:$B,2,FALSE),"-")</f>
        <v>- / -</v>
      </c>
      <c r="T29" s="47" t="str">
        <f t="shared" si="10"/>
        <v>none</v>
      </c>
      <c r="U29" s="62" t="e">
        <f t="shared" si="11"/>
        <v>#VALUE!</v>
      </c>
      <c r="V29" s="62">
        <f t="shared" si="12"/>
        <v>4</v>
      </c>
      <c r="W29" s="62" t="e">
        <f t="shared" si="13"/>
        <v>#VALUE!</v>
      </c>
      <c r="X29" s="62" t="e">
        <f t="shared" si="14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49"/>
      <c r="AA29" s="51"/>
      <c r="AB29" s="49"/>
    </row>
    <row r="30" spans="1:28" ht="21" customHeight="1" x14ac:dyDescent="0.15">
      <c r="A30" s="46">
        <v>39010029</v>
      </c>
      <c r="B30" s="46" t="s">
        <v>273</v>
      </c>
      <c r="C30" s="49">
        <v>3</v>
      </c>
      <c r="D30" s="49" t="s">
        <v>250</v>
      </c>
      <c r="E30" s="50" t="s">
        <v>283</v>
      </c>
      <c r="F30" s="50" t="s">
        <v>311</v>
      </c>
      <c r="G30" s="62" t="str">
        <f t="shared" si="0"/>
        <v>[effect:rush, count:2, val:0.6]</v>
      </c>
      <c r="H30" s="62">
        <f t="shared" si="1"/>
        <v>9</v>
      </c>
      <c r="I30" s="62">
        <f t="shared" si="2"/>
        <v>13</v>
      </c>
      <c r="J30" s="62" t="e">
        <f t="shared" si="3"/>
        <v>#VALUE!</v>
      </c>
      <c r="K30" s="62">
        <f t="shared" si="4"/>
        <v>22</v>
      </c>
      <c r="L30" s="62" t="str">
        <f>IFERROR(VLOOKUP(MID(G30,J30,K30-J30),[5]skilldef!$C:$D,2,FALSE),"-") &amp; " / " &amp; IFERROR(VLOOKUP(MID(G30,H30,I30-H30),[5]skilldef!$A:$B,2,FALSE),"-")</f>
        <v>- / 連続攻撃</v>
      </c>
      <c r="M30" s="62" t="str">
        <f t="shared" si="5"/>
        <v>none</v>
      </c>
      <c r="N30" s="47" t="str">
        <f>IFERROR(LEFT(M30,FIND("],",M30)+#REF!),M30)</f>
        <v>none</v>
      </c>
      <c r="O30" s="62" t="e">
        <f t="shared" si="6"/>
        <v>#VALUE!</v>
      </c>
      <c r="P30" s="62">
        <f t="shared" si="7"/>
        <v>4</v>
      </c>
      <c r="Q30" s="62" t="e">
        <f t="shared" si="8"/>
        <v>#VALUE!</v>
      </c>
      <c r="R30" s="62" t="e">
        <f t="shared" si="9"/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7" t="str">
        <f t="shared" si="10"/>
        <v>none</v>
      </c>
      <c r="U30" s="62" t="e">
        <f t="shared" si="11"/>
        <v>#VALUE!</v>
      </c>
      <c r="V30" s="62">
        <f t="shared" si="12"/>
        <v>4</v>
      </c>
      <c r="W30" s="62" t="e">
        <f t="shared" si="13"/>
        <v>#VALUE!</v>
      </c>
      <c r="X30" s="62" t="e">
        <f t="shared" si="14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x14ac:dyDescent="0.15">
      <c r="A31" s="46">
        <v>39010030</v>
      </c>
      <c r="B31" s="46" t="s">
        <v>252</v>
      </c>
      <c r="C31" s="49">
        <v>3</v>
      </c>
      <c r="D31" s="49" t="s">
        <v>250</v>
      </c>
      <c r="E31" s="50" t="s">
        <v>284</v>
      </c>
      <c r="F31" s="50" t="s">
        <v>321</v>
      </c>
      <c r="G31" s="62" t="str">
        <f t="shared" si="0"/>
        <v>[effect:nothing]</v>
      </c>
      <c r="H31" s="62">
        <f t="shared" si="1"/>
        <v>9</v>
      </c>
      <c r="I31" s="62">
        <f t="shared" si="2"/>
        <v>16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IFERROR(VLOOKUP(MID(G31,J31,K31-J31),[5]skilldef!$C:$D,2,FALSE),"-") &amp; " / " &amp; IFERROR(VLOOKUP(MID(G31,H31,I31-H31),[5]skilldef!$A:$B,2,FALSE),"-")</f>
        <v>- / 何もしない</v>
      </c>
      <c r="M31" s="62" t="str">
        <f t="shared" si="5"/>
        <v>none</v>
      </c>
      <c r="N31" s="47" t="str">
        <f>IFERROR(LEFT(M31,FIND("],",M31)+S38),M31)</f>
        <v>none</v>
      </c>
      <c r="O31" s="62" t="e">
        <f t="shared" si="6"/>
        <v>#VALUE!</v>
      </c>
      <c r="P31" s="62">
        <f t="shared" si="7"/>
        <v>4</v>
      </c>
      <c r="Q31" s="62" t="e">
        <f t="shared" si="8"/>
        <v>#VALUE!</v>
      </c>
      <c r="R31" s="62" t="e">
        <f t="shared" si="9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10"/>
        <v>none</v>
      </c>
      <c r="U31" s="62" t="e">
        <f t="shared" si="11"/>
        <v>#VALUE!</v>
      </c>
      <c r="V31" s="62">
        <f t="shared" si="12"/>
        <v>4</v>
      </c>
      <c r="W31" s="62" t="e">
        <f t="shared" si="13"/>
        <v>#VALUE!</v>
      </c>
      <c r="X31" s="62" t="e">
        <f t="shared" si="14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x14ac:dyDescent="0.15">
      <c r="A32" s="46">
        <v>39010031</v>
      </c>
      <c r="B32" s="46" t="s">
        <v>253</v>
      </c>
      <c r="C32" s="49">
        <v>3</v>
      </c>
      <c r="D32" s="49" t="s">
        <v>286</v>
      </c>
      <c r="E32" s="50" t="s">
        <v>287</v>
      </c>
      <c r="F32" s="50" t="s">
        <v>304</v>
      </c>
      <c r="G32" s="62" t="str">
        <f t="shared" si="0"/>
        <v>[effect:critical, val:1.3]</v>
      </c>
      <c r="H32" s="62">
        <f t="shared" si="1"/>
        <v>9</v>
      </c>
      <c r="I32" s="62">
        <f t="shared" si="2"/>
        <v>17</v>
      </c>
      <c r="J32" s="62" t="e">
        <f t="shared" si="3"/>
        <v>#VALUE!</v>
      </c>
      <c r="K32" s="62" t="e">
        <f t="shared" si="4"/>
        <v>#VALUE!</v>
      </c>
      <c r="L32" s="62" t="str">
        <f>IFERROR(VLOOKUP(MID(G32,J32,K32-J32),[5]skilldef!$C:$D,2,FALSE),"-") &amp; " / " &amp; IFERROR(VLOOKUP(MID(G32,H32,I32-H32),[5]skilldef!$A:$B,2,FALSE),"-")</f>
        <v>- / 大攻撃</v>
      </c>
      <c r="M32" s="62" t="str">
        <f t="shared" si="5"/>
        <v>none</v>
      </c>
      <c r="N32" s="47" t="str">
        <f>IFERROR(LEFT(M32,FIND("],",M32)+S39),M32)</f>
        <v>none</v>
      </c>
      <c r="O32" s="62" t="e">
        <f t="shared" si="6"/>
        <v>#VALUE!</v>
      </c>
      <c r="P32" s="62">
        <f t="shared" si="7"/>
        <v>4</v>
      </c>
      <c r="Q32" s="62" t="e">
        <f t="shared" si="8"/>
        <v>#VALUE!</v>
      </c>
      <c r="R32" s="62" t="e">
        <f t="shared" si="9"/>
        <v>#VALUE!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 t="shared" si="10"/>
        <v>none</v>
      </c>
      <c r="U32" s="62" t="e">
        <f t="shared" si="11"/>
        <v>#VALUE!</v>
      </c>
      <c r="V32" s="62">
        <f t="shared" si="12"/>
        <v>4</v>
      </c>
      <c r="W32" s="62" t="e">
        <f t="shared" si="13"/>
        <v>#VALUE!</v>
      </c>
      <c r="X32" s="62" t="e">
        <f t="shared" si="14"/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21" customHeight="1" x14ac:dyDescent="0.15">
      <c r="A33" s="46">
        <v>39010032</v>
      </c>
      <c r="B33" s="46" t="s">
        <v>325</v>
      </c>
      <c r="C33" s="49">
        <v>3</v>
      </c>
      <c r="D33" s="49" t="s">
        <v>250</v>
      </c>
      <c r="E33" s="50" t="s">
        <v>317</v>
      </c>
      <c r="F33" s="50" t="s">
        <v>288</v>
      </c>
      <c r="G33" s="62" t="str">
        <f t="shared" si="0"/>
        <v>[effect:enemy_message, val1:3, val2:3, dead_type:escape]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30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si="5"/>
        <v>none</v>
      </c>
      <c r="N33" s="47" t="str">
        <f>IFERROR(LEFT(M33,FIND("],",M33)+S38),M33)</f>
        <v>none</v>
      </c>
      <c r="O33" s="62" t="e">
        <f t="shared" si="6"/>
        <v>#VALUE!</v>
      </c>
      <c r="P33" s="62">
        <f t="shared" si="7"/>
        <v>4</v>
      </c>
      <c r="Q33" s="62" t="e">
        <f t="shared" si="8"/>
        <v>#VALUE!</v>
      </c>
      <c r="R33" s="62" t="e">
        <f t="shared" si="9"/>
        <v>#VALUE!</v>
      </c>
      <c r="S33" s="62" t="str">
        <f>IFERROR(VLOOKUP(MID(N33,Q33,R33-Q33),[5]skilldef!$C:$D,2,FALSE),"-") &amp; " / " &amp; IFERROR(VLOOKUP(MID(N33,O33,P33-O33),[5]skilldef!$A:$B,2,FALSE),"-")</f>
        <v>- / -</v>
      </c>
      <c r="T33" s="47" t="str">
        <f t="shared" si="10"/>
        <v>none</v>
      </c>
      <c r="U33" s="62" t="e">
        <f t="shared" si="11"/>
        <v>#VALUE!</v>
      </c>
      <c r="V33" s="62">
        <f t="shared" si="12"/>
        <v>4</v>
      </c>
      <c r="W33" s="62" t="e">
        <f t="shared" si="13"/>
        <v>#VALUE!</v>
      </c>
      <c r="X33" s="62" t="e">
        <f t="shared" si="14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49"/>
      <c r="AA33" s="51"/>
      <c r="AB33" s="49"/>
    </row>
    <row r="34" spans="1:28" ht="21" customHeight="1" x14ac:dyDescent="0.15">
      <c r="A34" s="46">
        <v>39010033</v>
      </c>
      <c r="B34" s="46" t="s">
        <v>252</v>
      </c>
      <c r="C34" s="49">
        <v>3</v>
      </c>
      <c r="D34" s="49" t="s">
        <v>250</v>
      </c>
      <c r="E34" s="50" t="s">
        <v>279</v>
      </c>
      <c r="F34" s="50" t="s">
        <v>289</v>
      </c>
      <c r="G34" s="62" t="str">
        <f t="shared" si="0"/>
        <v>[effect:nothing]</v>
      </c>
      <c r="H34" s="62">
        <f t="shared" si="1"/>
        <v>9</v>
      </c>
      <c r="I34" s="62">
        <f t="shared" si="2"/>
        <v>16</v>
      </c>
      <c r="J34" s="62" t="e">
        <f t="shared" si="3"/>
        <v>#VALUE!</v>
      </c>
      <c r="K34" s="62" t="e">
        <f t="shared" si="4"/>
        <v>#VALUE!</v>
      </c>
      <c r="L34" s="62" t="str">
        <f>IFERROR(VLOOKUP(MID(G34,J34,K34-J34),[5]skilldef!$C:$D,2,FALSE),"-") &amp; " / " &amp; IFERROR(VLOOKUP(MID(G34,H34,I34-H34),[5]skilldef!$A:$B,2,FALSE),"-")</f>
        <v>- / 何もしない</v>
      </c>
      <c r="M34" s="62" t="str">
        <f t="shared" si="5"/>
        <v>none</v>
      </c>
      <c r="N34" s="47" t="str">
        <f>IFERROR(LEFT(M34,FIND("],",M34)+S41),M34)</f>
        <v>none</v>
      </c>
      <c r="O34" s="62" t="e">
        <f t="shared" si="6"/>
        <v>#VALUE!</v>
      </c>
      <c r="P34" s="62">
        <f t="shared" si="7"/>
        <v>4</v>
      </c>
      <c r="Q34" s="62" t="e">
        <f t="shared" si="8"/>
        <v>#VALUE!</v>
      </c>
      <c r="R34" s="62" t="e">
        <f t="shared" si="9"/>
        <v>#VALUE!</v>
      </c>
      <c r="S34" s="62" t="str">
        <f>IFERROR(VLOOKUP(MID(N34,Q34,R34-Q34),[5]skilldef!$C:$D,2,FALSE),"-") &amp; " / " &amp; IFERROR(VLOOKUP(MID(N34,O34,P34-O34),[5]skilldef!$A:$B,2,FALSE),"-")</f>
        <v>- / -</v>
      </c>
      <c r="T34" s="47" t="str">
        <f t="shared" si="10"/>
        <v>none</v>
      </c>
      <c r="U34" s="62" t="e">
        <f t="shared" si="11"/>
        <v>#VALUE!</v>
      </c>
      <c r="V34" s="62">
        <f t="shared" si="12"/>
        <v>4</v>
      </c>
      <c r="W34" s="62" t="e">
        <f t="shared" si="13"/>
        <v>#VALUE!</v>
      </c>
      <c r="X34" s="62" t="e">
        <f t="shared" si="14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1" customHeight="1" x14ac:dyDescent="0.15">
      <c r="A35" s="46">
        <v>39010034</v>
      </c>
      <c r="B35" s="46" t="s">
        <v>290</v>
      </c>
      <c r="C35" s="49">
        <v>3</v>
      </c>
      <c r="D35" s="49" t="s">
        <v>250</v>
      </c>
      <c r="E35" s="50" t="s">
        <v>279</v>
      </c>
      <c r="F35" s="50" t="s">
        <v>322</v>
      </c>
      <c r="G35" s="62" t="str">
        <f t="shared" si="0"/>
        <v>[effect:dis_panel, target:block_yellow, turn:3, animation:enemy_dis_yellow]</v>
      </c>
      <c r="H35" s="62">
        <f t="shared" si="1"/>
        <v>9</v>
      </c>
      <c r="I35" s="62">
        <f t="shared" si="2"/>
        <v>18</v>
      </c>
      <c r="J35" s="62">
        <f t="shared" si="3"/>
        <v>27</v>
      </c>
      <c r="K35" s="62">
        <f t="shared" si="4"/>
        <v>39</v>
      </c>
      <c r="L35" s="62" t="str">
        <f>IFERROR(VLOOKUP(MID(G35,J35,K35-J35),[5]skilldef!$C:$D,2,FALSE),"-") &amp; " / " &amp; IFERROR(VLOOKUP(MID(G35,H35,I35-H35),[5]skilldef!$A:$B,2,FALSE),"-")</f>
        <v>黄色パネルを / ディスパネル</v>
      </c>
      <c r="M35" s="62" t="str">
        <f t="shared" si="5"/>
        <v>none</v>
      </c>
      <c r="N35" s="47" t="str">
        <f>IFERROR(LEFT(M35,FIND("],",M35)+S42),M35)</f>
        <v>none</v>
      </c>
      <c r="O35" s="62" t="e">
        <f t="shared" si="6"/>
        <v>#VALUE!</v>
      </c>
      <c r="P35" s="62">
        <f t="shared" si="7"/>
        <v>4</v>
      </c>
      <c r="Q35" s="62" t="e">
        <f t="shared" si="8"/>
        <v>#VALUE!</v>
      </c>
      <c r="R35" s="62" t="e">
        <f t="shared" si="9"/>
        <v>#VALUE!</v>
      </c>
      <c r="S35" s="62" t="str">
        <f>IFERROR(VLOOKUP(MID(N35,Q35,R35-Q35),[5]skilldef!$C:$D,2,FALSE),"-") &amp; " / " &amp; IFERROR(VLOOKUP(MID(N35,O35,P35-O35),[5]skilldef!$A:$B,2,FALSE),"-")</f>
        <v>- / -</v>
      </c>
      <c r="T35" s="47" t="str">
        <f t="shared" si="10"/>
        <v>none</v>
      </c>
      <c r="U35" s="62" t="e">
        <f t="shared" si="11"/>
        <v>#VALUE!</v>
      </c>
      <c r="V35" s="62">
        <f t="shared" si="12"/>
        <v>4</v>
      </c>
      <c r="W35" s="62" t="e">
        <f t="shared" si="13"/>
        <v>#VALUE!</v>
      </c>
      <c r="X35" s="62" t="e">
        <f t="shared" si="14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49"/>
      <c r="AA35" s="51"/>
      <c r="AB35" s="49"/>
    </row>
    <row r="36" spans="1:28" ht="21" customHeight="1" x14ac:dyDescent="0.15">
      <c r="A36" s="46">
        <v>39010035</v>
      </c>
      <c r="B36" s="46" t="s">
        <v>309</v>
      </c>
      <c r="C36" s="49">
        <v>3</v>
      </c>
      <c r="D36" s="49" t="s">
        <v>250</v>
      </c>
      <c r="E36" s="50" t="s">
        <v>269</v>
      </c>
      <c r="F36" s="50" t="s">
        <v>270</v>
      </c>
      <c r="G36" s="62" t="str">
        <f t="shared" si="0"/>
        <v>[effect:force_change_block, new_block:block_yellow, target:block_green, ignore01:crash, ignore02:crack_bomb, ignore03:time_bomb, ignore04:jammer, ignore05:damage, count:0, val:0, animation:change_block]</v>
      </c>
      <c r="H36" s="62">
        <f t="shared" si="1"/>
        <v>9</v>
      </c>
      <c r="I36" s="62">
        <f t="shared" si="2"/>
        <v>27</v>
      </c>
      <c r="J36" s="62">
        <f t="shared" si="3"/>
        <v>60</v>
      </c>
      <c r="K36" s="62">
        <f t="shared" si="4"/>
        <v>51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si="5"/>
        <v>none</v>
      </c>
      <c r="N36" s="47" t="str">
        <f>IFERROR(LEFT(M36,FIND("],",M36)+#REF!),M36)</f>
        <v>none</v>
      </c>
      <c r="O36" s="62" t="e">
        <f t="shared" si="6"/>
        <v>#VALUE!</v>
      </c>
      <c r="P36" s="62">
        <f t="shared" si="7"/>
        <v>4</v>
      </c>
      <c r="Q36" s="62" t="e">
        <f t="shared" si="8"/>
        <v>#VALUE!</v>
      </c>
      <c r="R36" s="62" t="e">
        <f t="shared" si="9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7" t="str">
        <f t="shared" si="10"/>
        <v>none</v>
      </c>
      <c r="U36" s="62" t="e">
        <f t="shared" si="11"/>
        <v>#VALUE!</v>
      </c>
      <c r="V36" s="62">
        <f t="shared" si="12"/>
        <v>4</v>
      </c>
      <c r="W36" s="62" t="e">
        <f t="shared" si="13"/>
        <v>#VALUE!</v>
      </c>
      <c r="X36" s="62" t="e">
        <f t="shared" si="14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49"/>
      <c r="AA36" s="51"/>
      <c r="AB36" s="49"/>
    </row>
    <row r="37" spans="1:28" ht="21" customHeight="1" x14ac:dyDescent="0.15">
      <c r="A37" s="46">
        <v>39010036</v>
      </c>
      <c r="B37" s="46" t="s">
        <v>309</v>
      </c>
      <c r="C37" s="49">
        <v>3</v>
      </c>
      <c r="D37" s="49" t="s">
        <v>250</v>
      </c>
      <c r="E37" s="50" t="s">
        <v>281</v>
      </c>
      <c r="F37" s="50" t="s">
        <v>270</v>
      </c>
      <c r="G37" s="62" t="str">
        <f t="shared" ref="G37" si="16">IFERROR(LEFT(B37,FIND("],",B37)),B37)</f>
        <v>[effect:force_change_block, new_block:block_yellow, target:block_green, ignore01:crash, ignore02:crack_bomb, ignore03:time_bomb, ignore04:jammer, ignore05:damage, count:0, val:0, animation:change_block]</v>
      </c>
      <c r="H37" s="62">
        <f t="shared" ref="H37" si="17">FIND("effect:",G37)+7</f>
        <v>9</v>
      </c>
      <c r="I37" s="62">
        <f t="shared" ref="I37" si="18">IFERROR(FIND(",",G37),LEN(G37))</f>
        <v>27</v>
      </c>
      <c r="J37" s="62">
        <f t="shared" ref="J37" si="19">FIND("target:",G37)+7</f>
        <v>60</v>
      </c>
      <c r="K37" s="62">
        <f t="shared" ref="K37" si="20">FIND(",",G37,I37+1)</f>
        <v>51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ref="M37" si="21">IFERROR(RIGHT(B37,LEN(B37)-FIND("],",B37)-1),"none")</f>
        <v>none</v>
      </c>
      <c r="N37" s="47" t="str">
        <f>IFERROR(LEFT(M37,FIND("],",M37)+S44),M37)</f>
        <v>none</v>
      </c>
      <c r="O37" s="62" t="e">
        <f t="shared" ref="O37" si="22">FIND("effect:",N37)+7</f>
        <v>#VALUE!</v>
      </c>
      <c r="P37" s="62">
        <f t="shared" ref="P37" si="23">IFERROR(FIND(",",N37),LEN(N37))</f>
        <v>4</v>
      </c>
      <c r="Q37" s="62" t="e">
        <f t="shared" ref="Q37" si="24">FIND("target:",N37)+7</f>
        <v>#VALUE!</v>
      </c>
      <c r="R37" s="62" t="e">
        <f t="shared" ref="R37" si="25">FIND(",",N37,P37+1)</f>
        <v>#VALUE!</v>
      </c>
      <c r="S37" s="62" t="str">
        <f>IFERROR(VLOOKUP(MID(N37,Q37,R37-Q37),[5]skilldef!$C:$D,2,FALSE),"-") &amp; " / " &amp; IFERROR(VLOOKUP(MID(N37,O37,P37-O37),[5]skilldef!$A:$B,2,FALSE),"-")</f>
        <v>- / -</v>
      </c>
      <c r="T37" s="47" t="str">
        <f t="shared" ref="T37" si="26">IFERROR(RIGHT(M37,LEN(M37)-FIND("],",M37)-1),"none")</f>
        <v>none</v>
      </c>
      <c r="U37" s="62" t="e">
        <f t="shared" ref="U37" si="27">FIND("effect:",T37)+7</f>
        <v>#VALUE!</v>
      </c>
      <c r="V37" s="62">
        <f t="shared" ref="V37" si="28">IFERROR(FIND(",",T37),LEN(T37))</f>
        <v>4</v>
      </c>
      <c r="W37" s="62" t="e">
        <f t="shared" ref="W37" si="29">FIND("target:",T37)+7</f>
        <v>#VALUE!</v>
      </c>
      <c r="X37" s="62" t="e">
        <f t="shared" ref="X37" si="30">FIND(",",T37,V37+1)</f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37"/>
  <sheetViews>
    <sheetView showGridLines="0" zoomScale="75" zoomScaleNormal="75" zoomScalePageLayoutView="75" workbookViewId="0">
      <pane ySplit="1" topLeftCell="A2" activePane="bottomLeft" state="frozenSplit"/>
      <selection pane="bottomLeft" activeCell="F36" sqref="F36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2" ht="21" customHeight="1" x14ac:dyDescent="0.15">
      <c r="A1" s="41" t="s">
        <v>85</v>
      </c>
      <c r="B1" s="41" t="s">
        <v>86</v>
      </c>
      <c r="C1" s="41" t="s">
        <v>87</v>
      </c>
      <c r="D1" s="41" t="s">
        <v>88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89</v>
      </c>
    </row>
    <row r="2" spans="1:12" ht="21" customHeight="1" x14ac:dyDescent="0.15">
      <c r="A2" s="46">
        <v>39010001</v>
      </c>
      <c r="B2" s="46">
        <v>0</v>
      </c>
      <c r="C2" s="46" t="s">
        <v>53</v>
      </c>
      <c r="D2" s="46">
        <v>20</v>
      </c>
      <c r="E2" s="46">
        <v>80</v>
      </c>
      <c r="F2" s="46" t="s">
        <v>53</v>
      </c>
      <c r="G2" s="46" t="s">
        <v>53</v>
      </c>
      <c r="H2" s="46" t="s">
        <v>53</v>
      </c>
      <c r="I2" s="46" t="s">
        <v>53</v>
      </c>
      <c r="J2" s="47">
        <f t="shared" ref="J2:J37" si="0">D2</f>
        <v>20</v>
      </c>
    </row>
    <row r="3" spans="1:12" ht="21" customHeight="1" x14ac:dyDescent="0.15">
      <c r="A3" s="46">
        <v>39010002</v>
      </c>
      <c r="B3" s="46">
        <v>0</v>
      </c>
      <c r="C3" s="46" t="s">
        <v>53</v>
      </c>
      <c r="D3" s="46">
        <v>20</v>
      </c>
      <c r="E3" s="46">
        <v>100</v>
      </c>
      <c r="F3" s="46" t="s">
        <v>53</v>
      </c>
      <c r="G3" s="46" t="s">
        <v>53</v>
      </c>
      <c r="H3" s="46" t="s">
        <v>53</v>
      </c>
      <c r="I3" s="46" t="s">
        <v>53</v>
      </c>
      <c r="J3" s="47">
        <f t="shared" si="0"/>
        <v>20</v>
      </c>
    </row>
    <row r="4" spans="1:12" ht="21" customHeight="1" x14ac:dyDescent="0.15">
      <c r="A4" s="46">
        <v>39010003</v>
      </c>
      <c r="B4" s="46">
        <v>0</v>
      </c>
      <c r="C4" s="46" t="s">
        <v>53</v>
      </c>
      <c r="D4" s="46">
        <v>20</v>
      </c>
      <c r="E4" s="46">
        <v>80</v>
      </c>
      <c r="F4" s="46" t="s">
        <v>53</v>
      </c>
      <c r="G4" s="46" t="s">
        <v>53</v>
      </c>
      <c r="H4" s="46" t="s">
        <v>53</v>
      </c>
      <c r="I4" s="46" t="s">
        <v>53</v>
      </c>
      <c r="J4" s="47">
        <f t="shared" si="0"/>
        <v>20</v>
      </c>
    </row>
    <row r="5" spans="1:12" ht="21" customHeight="1" x14ac:dyDescent="0.15">
      <c r="A5" s="46">
        <v>39010004</v>
      </c>
      <c r="B5" s="46">
        <v>0</v>
      </c>
      <c r="C5" s="46" t="s">
        <v>53</v>
      </c>
      <c r="D5" s="46">
        <v>100</v>
      </c>
      <c r="E5" s="46">
        <v>100</v>
      </c>
      <c r="F5" s="46" t="s">
        <v>53</v>
      </c>
      <c r="G5" s="46" t="s">
        <v>53</v>
      </c>
      <c r="H5" s="46">
        <v>3</v>
      </c>
      <c r="I5" s="46" t="s">
        <v>53</v>
      </c>
      <c r="J5" s="47">
        <f t="shared" si="0"/>
        <v>100</v>
      </c>
    </row>
    <row r="6" spans="1:12" ht="21" customHeight="1" x14ac:dyDescent="0.15">
      <c r="A6" s="46">
        <v>39010005</v>
      </c>
      <c r="B6" s="46">
        <v>0</v>
      </c>
      <c r="C6" s="46" t="s">
        <v>53</v>
      </c>
      <c r="D6" s="46">
        <v>20</v>
      </c>
      <c r="E6" s="46">
        <v>80</v>
      </c>
      <c r="F6" s="46" t="s">
        <v>53</v>
      </c>
      <c r="G6" s="46" t="s">
        <v>53</v>
      </c>
      <c r="H6" s="46" t="s">
        <v>53</v>
      </c>
      <c r="I6" s="46" t="s">
        <v>53</v>
      </c>
      <c r="J6" s="47">
        <f t="shared" si="0"/>
        <v>20</v>
      </c>
    </row>
    <row r="7" spans="1:12" ht="21" customHeight="1" x14ac:dyDescent="0.15">
      <c r="A7" s="46">
        <v>39010006</v>
      </c>
      <c r="B7" s="46">
        <v>0</v>
      </c>
      <c r="C7" s="46" t="s">
        <v>53</v>
      </c>
      <c r="D7" s="46">
        <v>20</v>
      </c>
      <c r="E7" s="46">
        <v>100</v>
      </c>
      <c r="F7" s="46" t="s">
        <v>53</v>
      </c>
      <c r="G7" s="46">
        <v>2</v>
      </c>
      <c r="H7" s="46">
        <v>3</v>
      </c>
      <c r="I7" s="46" t="s">
        <v>53</v>
      </c>
      <c r="J7" s="47">
        <f t="shared" si="0"/>
        <v>20</v>
      </c>
    </row>
    <row r="8" spans="1:12" ht="21" customHeight="1" x14ac:dyDescent="0.15">
      <c r="A8" s="46">
        <v>39010007</v>
      </c>
      <c r="B8" s="46">
        <v>0</v>
      </c>
      <c r="C8" s="46" t="s">
        <v>53</v>
      </c>
      <c r="D8" s="46">
        <v>20</v>
      </c>
      <c r="E8" s="46">
        <v>100</v>
      </c>
      <c r="F8" s="46" t="s">
        <v>53</v>
      </c>
      <c r="G8" s="46" t="s">
        <v>53</v>
      </c>
      <c r="H8" s="46" t="s">
        <v>53</v>
      </c>
      <c r="I8" s="46" t="s">
        <v>53</v>
      </c>
      <c r="J8" s="47">
        <f t="shared" si="0"/>
        <v>20</v>
      </c>
    </row>
    <row r="9" spans="1:12" ht="21" customHeight="1" x14ac:dyDescent="0.15">
      <c r="A9" s="46">
        <v>39010008</v>
      </c>
      <c r="B9" s="46">
        <v>0</v>
      </c>
      <c r="C9" s="46" t="s">
        <v>53</v>
      </c>
      <c r="D9" s="46">
        <v>20</v>
      </c>
      <c r="E9" s="46">
        <v>100</v>
      </c>
      <c r="F9" s="46" t="s">
        <v>53</v>
      </c>
      <c r="G9" s="46">
        <v>1</v>
      </c>
      <c r="H9" s="46" t="s">
        <v>53</v>
      </c>
      <c r="I9" s="46" t="s">
        <v>53</v>
      </c>
      <c r="J9" s="47">
        <f t="shared" si="0"/>
        <v>20</v>
      </c>
    </row>
    <row r="10" spans="1:12" ht="21" customHeight="1" x14ac:dyDescent="0.15">
      <c r="A10" s="46">
        <v>39010009</v>
      </c>
      <c r="B10" s="46">
        <v>0</v>
      </c>
      <c r="C10" s="46" t="s">
        <v>53</v>
      </c>
      <c r="D10" s="46">
        <v>20</v>
      </c>
      <c r="E10" s="46">
        <v>100</v>
      </c>
      <c r="F10" s="46" t="s">
        <v>53</v>
      </c>
      <c r="G10" s="46" t="s">
        <v>53</v>
      </c>
      <c r="H10" s="46" t="s">
        <v>53</v>
      </c>
      <c r="I10" s="46" t="s">
        <v>53</v>
      </c>
      <c r="J10" s="47">
        <f t="shared" si="0"/>
        <v>20</v>
      </c>
    </row>
    <row r="11" spans="1:12" ht="21" customHeight="1" x14ac:dyDescent="0.15">
      <c r="A11" s="46">
        <v>39010010</v>
      </c>
      <c r="B11" s="46">
        <v>1</v>
      </c>
      <c r="C11" s="46">
        <v>1</v>
      </c>
      <c r="D11" s="46">
        <v>100</v>
      </c>
      <c r="E11" s="46">
        <v>100</v>
      </c>
      <c r="F11" s="46" t="s">
        <v>53</v>
      </c>
      <c r="G11" s="46">
        <v>1</v>
      </c>
      <c r="H11" s="46" t="s">
        <v>53</v>
      </c>
      <c r="I11" s="46">
        <v>712</v>
      </c>
      <c r="J11" s="47">
        <f t="shared" si="0"/>
        <v>100</v>
      </c>
      <c r="L11" s="44" t="s">
        <v>292</v>
      </c>
    </row>
    <row r="12" spans="1:12" ht="21" customHeight="1" x14ac:dyDescent="0.15">
      <c r="A12" s="46">
        <v>39010011</v>
      </c>
      <c r="B12" s="46">
        <v>1</v>
      </c>
      <c r="C12" s="46">
        <v>1</v>
      </c>
      <c r="D12" s="46">
        <v>100</v>
      </c>
      <c r="E12" s="46">
        <v>100</v>
      </c>
      <c r="F12" s="46" t="s">
        <v>53</v>
      </c>
      <c r="G12" s="46">
        <v>1</v>
      </c>
      <c r="H12" s="46" t="s">
        <v>53</v>
      </c>
      <c r="I12" s="46">
        <v>713</v>
      </c>
      <c r="J12" s="47">
        <f t="shared" si="0"/>
        <v>100</v>
      </c>
      <c r="L12" s="44" t="s">
        <v>292</v>
      </c>
    </row>
    <row r="13" spans="1:12" ht="21" customHeight="1" x14ac:dyDescent="0.15">
      <c r="A13" s="46">
        <v>39010012</v>
      </c>
      <c r="B13" s="46">
        <v>1</v>
      </c>
      <c r="C13" s="46">
        <v>1</v>
      </c>
      <c r="D13" s="46">
        <v>100</v>
      </c>
      <c r="E13" s="46">
        <v>100</v>
      </c>
      <c r="F13" s="46" t="s">
        <v>53</v>
      </c>
      <c r="G13" s="46">
        <v>1</v>
      </c>
      <c r="H13" s="46" t="s">
        <v>53</v>
      </c>
      <c r="I13" s="46">
        <v>700</v>
      </c>
      <c r="J13" s="47">
        <f t="shared" si="0"/>
        <v>100</v>
      </c>
      <c r="L13" s="44" t="s">
        <v>293</v>
      </c>
    </row>
    <row r="14" spans="1:12" ht="21" customHeight="1" x14ac:dyDescent="0.15">
      <c r="A14" s="46">
        <v>39010013</v>
      </c>
      <c r="B14" s="46">
        <v>1</v>
      </c>
      <c r="C14" s="46">
        <v>1</v>
      </c>
      <c r="D14" s="46">
        <v>100</v>
      </c>
      <c r="E14" s="46">
        <v>100</v>
      </c>
      <c r="F14" s="46" t="s">
        <v>53</v>
      </c>
      <c r="G14" s="46">
        <v>1</v>
      </c>
      <c r="H14" s="46" t="s">
        <v>53</v>
      </c>
      <c r="I14" s="46">
        <v>701</v>
      </c>
      <c r="J14" s="47">
        <f t="shared" si="0"/>
        <v>100</v>
      </c>
      <c r="L14" s="44" t="s">
        <v>293</v>
      </c>
    </row>
    <row r="15" spans="1:12" ht="21" customHeight="1" x14ac:dyDescent="0.15">
      <c r="A15" s="46">
        <v>39010014</v>
      </c>
      <c r="B15" s="46">
        <v>1</v>
      </c>
      <c r="C15" s="46">
        <v>1</v>
      </c>
      <c r="D15" s="46">
        <v>100</v>
      </c>
      <c r="E15" s="46">
        <v>100</v>
      </c>
      <c r="F15" s="46" t="s">
        <v>53</v>
      </c>
      <c r="G15" s="46">
        <v>1</v>
      </c>
      <c r="H15" s="46" t="s">
        <v>53</v>
      </c>
      <c r="I15" s="46">
        <v>698</v>
      </c>
      <c r="J15" s="47">
        <f t="shared" si="0"/>
        <v>100</v>
      </c>
      <c r="L15" s="44" t="s">
        <v>267</v>
      </c>
    </row>
    <row r="16" spans="1:12" ht="21" customHeight="1" x14ac:dyDescent="0.15">
      <c r="A16" s="46">
        <v>39010015</v>
      </c>
      <c r="B16" s="46">
        <v>1</v>
      </c>
      <c r="C16" s="46">
        <v>1</v>
      </c>
      <c r="D16" s="46">
        <v>100</v>
      </c>
      <c r="E16" s="46">
        <v>100</v>
      </c>
      <c r="F16" s="46" t="s">
        <v>53</v>
      </c>
      <c r="G16" s="46">
        <v>1</v>
      </c>
      <c r="H16" s="46" t="s">
        <v>53</v>
      </c>
      <c r="I16" s="46">
        <v>699</v>
      </c>
      <c r="J16" s="47">
        <f t="shared" si="0"/>
        <v>100</v>
      </c>
      <c r="L16" s="44" t="s">
        <v>267</v>
      </c>
    </row>
    <row r="17" spans="1:12" ht="21" customHeight="1" x14ac:dyDescent="0.15">
      <c r="A17" s="46">
        <v>39010016</v>
      </c>
      <c r="B17" s="46">
        <v>1</v>
      </c>
      <c r="C17" s="46">
        <v>1</v>
      </c>
      <c r="D17" s="46">
        <v>100</v>
      </c>
      <c r="E17" s="46">
        <v>100</v>
      </c>
      <c r="F17" s="46" t="s">
        <v>53</v>
      </c>
      <c r="G17" s="46">
        <v>1</v>
      </c>
      <c r="H17" s="46" t="s">
        <v>53</v>
      </c>
      <c r="I17" s="46" t="s">
        <v>53</v>
      </c>
      <c r="J17" s="47">
        <f t="shared" si="0"/>
        <v>100</v>
      </c>
      <c r="L17" s="44" t="s">
        <v>294</v>
      </c>
    </row>
    <row r="18" spans="1:12" ht="21" customHeight="1" x14ac:dyDescent="0.15">
      <c r="A18" s="46">
        <v>39010017</v>
      </c>
      <c r="B18" s="46">
        <v>0</v>
      </c>
      <c r="C18" s="46">
        <v>5</v>
      </c>
      <c r="D18" s="46">
        <v>25</v>
      </c>
      <c r="E18" s="46">
        <v>100</v>
      </c>
      <c r="F18" s="46" t="s">
        <v>53</v>
      </c>
      <c r="G18" s="46" t="s">
        <v>53</v>
      </c>
      <c r="H18" s="46">
        <v>3</v>
      </c>
      <c r="I18" s="46" t="s">
        <v>53</v>
      </c>
      <c r="J18" s="47">
        <f t="shared" si="0"/>
        <v>25</v>
      </c>
      <c r="L18" s="44" t="s">
        <v>270</v>
      </c>
    </row>
    <row r="19" spans="1:12" ht="21" customHeight="1" x14ac:dyDescent="0.15">
      <c r="A19" s="46">
        <v>39010018</v>
      </c>
      <c r="B19" s="46">
        <v>0</v>
      </c>
      <c r="C19" s="46">
        <v>4</v>
      </c>
      <c r="D19" s="46">
        <v>33</v>
      </c>
      <c r="E19" s="46">
        <v>100</v>
      </c>
      <c r="F19" s="46" t="s">
        <v>53</v>
      </c>
      <c r="G19" s="46" t="s">
        <v>53</v>
      </c>
      <c r="H19" s="46" t="s">
        <v>53</v>
      </c>
      <c r="I19" s="46" t="s">
        <v>53</v>
      </c>
      <c r="J19" s="47">
        <f t="shared" si="0"/>
        <v>33</v>
      </c>
      <c r="L19" s="44" t="s">
        <v>295</v>
      </c>
    </row>
    <row r="20" spans="1:12" ht="21" customHeight="1" x14ac:dyDescent="0.15">
      <c r="A20" s="46">
        <v>39010019</v>
      </c>
      <c r="B20" s="46">
        <v>0</v>
      </c>
      <c r="C20" s="46">
        <v>3</v>
      </c>
      <c r="D20" s="46">
        <v>50</v>
      </c>
      <c r="E20" s="46">
        <v>100</v>
      </c>
      <c r="F20" s="46" t="s">
        <v>53</v>
      </c>
      <c r="G20" s="46" t="s">
        <v>53</v>
      </c>
      <c r="H20" s="46" t="s">
        <v>53</v>
      </c>
      <c r="I20" s="46" t="s">
        <v>53</v>
      </c>
      <c r="J20" s="47">
        <f t="shared" si="0"/>
        <v>50</v>
      </c>
      <c r="L20" s="44" t="s">
        <v>275</v>
      </c>
    </row>
    <row r="21" spans="1:12" ht="21" customHeight="1" x14ac:dyDescent="0.15">
      <c r="A21" s="46">
        <v>39010020</v>
      </c>
      <c r="B21" s="46">
        <v>1</v>
      </c>
      <c r="C21" s="46">
        <v>1</v>
      </c>
      <c r="D21" s="46">
        <v>100</v>
      </c>
      <c r="E21" s="46">
        <v>100</v>
      </c>
      <c r="F21" s="46" t="s">
        <v>53</v>
      </c>
      <c r="G21" s="46">
        <v>1</v>
      </c>
      <c r="H21" s="46">
        <v>1</v>
      </c>
      <c r="I21" s="46">
        <v>712</v>
      </c>
      <c r="J21" s="47">
        <f t="shared" si="0"/>
        <v>100</v>
      </c>
      <c r="L21" s="44" t="s">
        <v>296</v>
      </c>
    </row>
    <row r="22" spans="1:12" ht="21" customHeight="1" x14ac:dyDescent="0.15">
      <c r="A22" s="46">
        <v>39010021</v>
      </c>
      <c r="B22" s="46">
        <v>1</v>
      </c>
      <c r="C22" s="46">
        <v>1</v>
      </c>
      <c r="D22" s="46">
        <v>100</v>
      </c>
      <c r="E22" s="46">
        <v>100</v>
      </c>
      <c r="F22" s="46" t="s">
        <v>53</v>
      </c>
      <c r="G22" s="46">
        <v>1</v>
      </c>
      <c r="H22" s="46">
        <v>1</v>
      </c>
      <c r="I22" s="46">
        <v>713</v>
      </c>
      <c r="J22" s="47">
        <f t="shared" si="0"/>
        <v>100</v>
      </c>
      <c r="L22" s="44" t="s">
        <v>296</v>
      </c>
    </row>
    <row r="23" spans="1:12" ht="21" customHeight="1" x14ac:dyDescent="0.15">
      <c r="A23" s="46">
        <v>39010022</v>
      </c>
      <c r="B23" s="46">
        <v>1</v>
      </c>
      <c r="C23" s="46">
        <v>1</v>
      </c>
      <c r="D23" s="46">
        <v>100</v>
      </c>
      <c r="E23" s="46">
        <v>100</v>
      </c>
      <c r="F23" s="46" t="s">
        <v>53</v>
      </c>
      <c r="G23" s="46">
        <v>1</v>
      </c>
      <c r="H23" s="46">
        <v>1</v>
      </c>
      <c r="I23" s="46">
        <v>700</v>
      </c>
      <c r="J23" s="47">
        <f t="shared" si="0"/>
        <v>100</v>
      </c>
      <c r="L23" s="44" t="s">
        <v>296</v>
      </c>
    </row>
    <row r="24" spans="1:12" ht="21" customHeight="1" x14ac:dyDescent="0.15">
      <c r="A24" s="46">
        <v>39010023</v>
      </c>
      <c r="B24" s="46">
        <v>1</v>
      </c>
      <c r="C24" s="46">
        <v>1</v>
      </c>
      <c r="D24" s="46">
        <v>100</v>
      </c>
      <c r="E24" s="46">
        <v>100</v>
      </c>
      <c r="F24" s="46" t="s">
        <v>53</v>
      </c>
      <c r="G24" s="46">
        <v>1</v>
      </c>
      <c r="H24" s="46">
        <v>1</v>
      </c>
      <c r="I24" s="46">
        <v>701</v>
      </c>
      <c r="J24" s="47">
        <f t="shared" si="0"/>
        <v>100</v>
      </c>
      <c r="L24" s="44" t="s">
        <v>296</v>
      </c>
    </row>
    <row r="25" spans="1:12" ht="21" customHeight="1" x14ac:dyDescent="0.15">
      <c r="A25" s="46">
        <v>39010024</v>
      </c>
      <c r="B25" s="46">
        <v>1</v>
      </c>
      <c r="C25" s="46">
        <v>1</v>
      </c>
      <c r="D25" s="46">
        <v>100</v>
      </c>
      <c r="E25" s="46">
        <v>100</v>
      </c>
      <c r="F25" s="46" t="s">
        <v>53</v>
      </c>
      <c r="G25" s="46">
        <v>1</v>
      </c>
      <c r="H25" s="46">
        <v>1</v>
      </c>
      <c r="I25" s="46">
        <v>698</v>
      </c>
      <c r="J25" s="47">
        <f t="shared" si="0"/>
        <v>100</v>
      </c>
      <c r="L25" s="44" t="s">
        <v>278</v>
      </c>
    </row>
    <row r="26" spans="1:12" ht="21" customHeight="1" x14ac:dyDescent="0.15">
      <c r="A26" s="46">
        <v>39010025</v>
      </c>
      <c r="B26" s="46">
        <v>1</v>
      </c>
      <c r="C26" s="46">
        <v>1</v>
      </c>
      <c r="D26" s="46">
        <v>100</v>
      </c>
      <c r="E26" s="46">
        <v>100</v>
      </c>
      <c r="F26" s="46" t="s">
        <v>53</v>
      </c>
      <c r="G26" s="46">
        <v>1</v>
      </c>
      <c r="H26" s="46">
        <v>1</v>
      </c>
      <c r="I26" s="46">
        <v>699</v>
      </c>
      <c r="J26" s="47">
        <f t="shared" si="0"/>
        <v>100</v>
      </c>
      <c r="L26" s="44" t="s">
        <v>278</v>
      </c>
    </row>
    <row r="27" spans="1:12" ht="21" customHeight="1" x14ac:dyDescent="0.15">
      <c r="A27" s="46">
        <v>39010026</v>
      </c>
      <c r="B27" s="46">
        <v>1</v>
      </c>
      <c r="C27" s="46">
        <v>1</v>
      </c>
      <c r="D27" s="46">
        <v>100</v>
      </c>
      <c r="E27" s="46">
        <v>100</v>
      </c>
      <c r="F27" s="46" t="s">
        <v>53</v>
      </c>
      <c r="G27" s="46">
        <v>1</v>
      </c>
      <c r="H27" s="46">
        <v>1</v>
      </c>
      <c r="I27" s="46" t="s">
        <v>53</v>
      </c>
      <c r="J27" s="47">
        <f t="shared" si="0"/>
        <v>100</v>
      </c>
      <c r="L27" s="44" t="s">
        <v>280</v>
      </c>
    </row>
    <row r="28" spans="1:12" ht="21" customHeight="1" x14ac:dyDescent="0.15">
      <c r="A28" s="46">
        <v>39010027</v>
      </c>
      <c r="B28" s="46">
        <v>0</v>
      </c>
      <c r="C28" s="46">
        <v>3</v>
      </c>
      <c r="D28" s="46">
        <v>25</v>
      </c>
      <c r="E28" s="46">
        <v>100</v>
      </c>
      <c r="F28" s="46" t="s">
        <v>53</v>
      </c>
      <c r="G28" s="46" t="s">
        <v>53</v>
      </c>
      <c r="H28" s="46">
        <v>4</v>
      </c>
      <c r="I28" s="46" t="s">
        <v>53</v>
      </c>
      <c r="J28" s="47">
        <f t="shared" si="0"/>
        <v>25</v>
      </c>
      <c r="L28" s="44" t="s">
        <v>270</v>
      </c>
    </row>
    <row r="29" spans="1:12" ht="21" customHeight="1" x14ac:dyDescent="0.15">
      <c r="A29" s="46">
        <v>39010028</v>
      </c>
      <c r="B29" s="46">
        <v>0</v>
      </c>
      <c r="C29" s="46">
        <v>2</v>
      </c>
      <c r="D29" s="46">
        <v>33</v>
      </c>
      <c r="E29" s="46">
        <v>100</v>
      </c>
      <c r="F29" s="46" t="s">
        <v>53</v>
      </c>
      <c r="G29" s="46" t="s">
        <v>53</v>
      </c>
      <c r="H29" s="46">
        <v>3</v>
      </c>
      <c r="I29" s="46" t="s">
        <v>53</v>
      </c>
      <c r="J29" s="47">
        <f t="shared" si="0"/>
        <v>33</v>
      </c>
      <c r="L29" s="44" t="s">
        <v>295</v>
      </c>
    </row>
    <row r="30" spans="1:12" ht="21" customHeight="1" x14ac:dyDescent="0.15">
      <c r="A30" s="46">
        <v>39010029</v>
      </c>
      <c r="B30" s="46">
        <v>0</v>
      </c>
      <c r="C30" s="46">
        <v>1</v>
      </c>
      <c r="D30" s="46">
        <v>50</v>
      </c>
      <c r="E30" s="46">
        <v>100</v>
      </c>
      <c r="F30" s="46" t="s">
        <v>53</v>
      </c>
      <c r="G30" s="46" t="s">
        <v>53</v>
      </c>
      <c r="H30" s="46" t="s">
        <v>53</v>
      </c>
      <c r="I30" s="46" t="s">
        <v>53</v>
      </c>
      <c r="J30" s="47">
        <f t="shared" si="0"/>
        <v>50</v>
      </c>
      <c r="L30" s="44" t="s">
        <v>275</v>
      </c>
    </row>
    <row r="31" spans="1:12" ht="21" customHeight="1" x14ac:dyDescent="0.15">
      <c r="A31" s="46">
        <v>39010030</v>
      </c>
      <c r="B31" s="46">
        <v>0</v>
      </c>
      <c r="C31" s="46">
        <v>5</v>
      </c>
      <c r="D31" s="46">
        <v>100</v>
      </c>
      <c r="E31" s="46">
        <v>30</v>
      </c>
      <c r="F31" s="46" t="s">
        <v>53</v>
      </c>
      <c r="G31" s="46">
        <v>1</v>
      </c>
      <c r="H31" s="46">
        <v>1</v>
      </c>
      <c r="I31" s="46" t="s">
        <v>53</v>
      </c>
      <c r="J31" s="47">
        <f t="shared" si="0"/>
        <v>100</v>
      </c>
      <c r="L31" s="44" t="s">
        <v>285</v>
      </c>
    </row>
    <row r="32" spans="1:12" ht="21" customHeight="1" x14ac:dyDescent="0.15">
      <c r="A32" s="46">
        <v>39010031</v>
      </c>
      <c r="B32" s="46">
        <v>0</v>
      </c>
      <c r="C32" s="46">
        <v>4</v>
      </c>
      <c r="D32" s="46">
        <v>100</v>
      </c>
      <c r="E32" s="46">
        <v>30</v>
      </c>
      <c r="F32" s="46" t="s">
        <v>53</v>
      </c>
      <c r="G32" s="46">
        <v>1</v>
      </c>
      <c r="H32" s="46">
        <v>1</v>
      </c>
      <c r="I32" s="46" t="s">
        <v>53</v>
      </c>
      <c r="J32" s="47">
        <f t="shared" si="0"/>
        <v>100</v>
      </c>
      <c r="L32" s="44" t="s">
        <v>255</v>
      </c>
    </row>
    <row r="33" spans="1:12" ht="21" customHeight="1" x14ac:dyDescent="0.15">
      <c r="A33" s="46">
        <v>39010032</v>
      </c>
      <c r="B33" s="46">
        <v>0</v>
      </c>
      <c r="C33" s="46" t="s">
        <v>53</v>
      </c>
      <c r="D33" s="46">
        <v>100</v>
      </c>
      <c r="E33" s="46">
        <v>100</v>
      </c>
      <c r="F33" s="46" t="s">
        <v>53</v>
      </c>
      <c r="G33" s="46">
        <v>0</v>
      </c>
      <c r="H33" s="46" t="s">
        <v>53</v>
      </c>
      <c r="I33" s="46">
        <v>0</v>
      </c>
      <c r="J33" s="47">
        <f t="shared" si="0"/>
        <v>100</v>
      </c>
      <c r="L33" s="44" t="s">
        <v>288</v>
      </c>
    </row>
    <row r="34" spans="1:12" ht="21" customHeight="1" x14ac:dyDescent="0.15">
      <c r="A34" s="46">
        <v>39010033</v>
      </c>
      <c r="B34" s="46">
        <v>1</v>
      </c>
      <c r="C34" s="46">
        <v>1</v>
      </c>
      <c r="D34" s="46">
        <v>100</v>
      </c>
      <c r="E34" s="46">
        <v>100</v>
      </c>
      <c r="F34" s="46" t="s">
        <v>53</v>
      </c>
      <c r="G34" s="46">
        <v>1</v>
      </c>
      <c r="H34" s="46">
        <v>1</v>
      </c>
      <c r="I34" s="46" t="s">
        <v>53</v>
      </c>
      <c r="J34" s="47">
        <f t="shared" si="0"/>
        <v>100</v>
      </c>
      <c r="L34" s="44" t="s">
        <v>297</v>
      </c>
    </row>
    <row r="35" spans="1:12" ht="21" customHeight="1" x14ac:dyDescent="0.15">
      <c r="A35" s="46">
        <v>39010034</v>
      </c>
      <c r="B35" s="46">
        <v>1</v>
      </c>
      <c r="C35" s="46">
        <v>1</v>
      </c>
      <c r="D35" s="46">
        <v>100</v>
      </c>
      <c r="E35" s="46">
        <v>100</v>
      </c>
      <c r="F35" s="46" t="s">
        <v>53</v>
      </c>
      <c r="G35" s="46">
        <v>1</v>
      </c>
      <c r="H35" s="46">
        <v>1</v>
      </c>
      <c r="I35" s="46" t="s">
        <v>53</v>
      </c>
      <c r="J35" s="47">
        <f t="shared" si="0"/>
        <v>100</v>
      </c>
      <c r="L35" s="44" t="s">
        <v>291</v>
      </c>
    </row>
    <row r="36" spans="1:12" ht="21" customHeight="1" x14ac:dyDescent="0.15">
      <c r="A36" s="46">
        <v>39010035</v>
      </c>
      <c r="B36" s="46">
        <v>0</v>
      </c>
      <c r="C36" s="46">
        <v>5</v>
      </c>
      <c r="D36" s="46">
        <v>50</v>
      </c>
      <c r="E36" s="46">
        <v>100</v>
      </c>
      <c r="F36" s="46" t="s">
        <v>53</v>
      </c>
      <c r="G36" s="46" t="s">
        <v>53</v>
      </c>
      <c r="H36" s="46">
        <v>3</v>
      </c>
      <c r="I36" s="46" t="s">
        <v>53</v>
      </c>
      <c r="J36" s="47">
        <f t="shared" si="0"/>
        <v>50</v>
      </c>
      <c r="L36" s="44" t="s">
        <v>270</v>
      </c>
    </row>
    <row r="37" spans="1:12" ht="21" customHeight="1" x14ac:dyDescent="0.15">
      <c r="A37" s="46">
        <v>39010036</v>
      </c>
      <c r="B37" s="46">
        <v>0</v>
      </c>
      <c r="C37" s="46">
        <v>5</v>
      </c>
      <c r="D37" s="46">
        <v>50</v>
      </c>
      <c r="E37" s="46">
        <v>100</v>
      </c>
      <c r="F37" s="46" t="s">
        <v>53</v>
      </c>
      <c r="G37" s="46" t="s">
        <v>53</v>
      </c>
      <c r="H37" s="46">
        <v>3</v>
      </c>
      <c r="I37" s="46" t="s">
        <v>53</v>
      </c>
      <c r="J37" s="47">
        <f t="shared" si="0"/>
        <v>50</v>
      </c>
      <c r="L37" s="44" t="s">
        <v>270</v>
      </c>
    </row>
  </sheetData>
  <autoFilter ref="A1:G1"/>
  <phoneticPr fontId="5"/>
  <conditionalFormatting sqref="K38:K1048576 K1">
    <cfRule type="duplicateValues" dxfId="9" priority="10"/>
  </conditionalFormatting>
  <conditionalFormatting sqref="K2:K9 K11:K18">
    <cfRule type="duplicateValues" dxfId="8" priority="8"/>
  </conditionalFormatting>
  <conditionalFormatting sqref="K19:K25">
    <cfRule type="duplicateValues" dxfId="7" priority="7"/>
  </conditionalFormatting>
  <conditionalFormatting sqref="K26:K31">
    <cfRule type="duplicateValues" dxfId="6" priority="9"/>
  </conditionalFormatting>
  <conditionalFormatting sqref="K32">
    <cfRule type="duplicateValues" dxfId="5" priority="6"/>
  </conditionalFormatting>
  <conditionalFormatting sqref="K10">
    <cfRule type="duplicateValues" dxfId="4" priority="5"/>
  </conditionalFormatting>
  <conditionalFormatting sqref="K33">
    <cfRule type="duplicateValues" dxfId="3" priority="4"/>
  </conditionalFormatting>
  <conditionalFormatting sqref="K34:K35">
    <cfRule type="duplicateValues" dxfId="2" priority="3"/>
  </conditionalFormatting>
  <conditionalFormatting sqref="K36">
    <cfRule type="duplicateValues" dxfId="1" priority="2"/>
  </conditionalFormatting>
  <conditionalFormatting sqref="K3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2"/>
  <sheetViews>
    <sheetView showGridLines="0" workbookViewId="0">
      <pane xSplit="5" ySplit="1" topLeftCell="F57" activePane="bottomRight" state="frozen"/>
      <selection pane="topRight"/>
      <selection pane="bottomLeft"/>
      <selection pane="bottomRight" activeCell="G7" sqref="G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:A65" si="0">B2&amp;"_"&amp;C2</f>
        <v>39010001_39010001</v>
      </c>
      <c r="B2" s="46">
        <v>39010001</v>
      </c>
      <c r="C2" s="46">
        <v>39010001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鳴き声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6">
        <v>39010001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7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6"/>
      <c r="Q2" s="46"/>
      <c r="R2" s="46"/>
    </row>
    <row r="3" spans="1:18" ht="21" customHeight="1" x14ac:dyDescent="0.15">
      <c r="A3" s="38" t="str">
        <f t="shared" si="0"/>
        <v>39010002_39010002</v>
      </c>
      <c r="B3" s="46">
        <v>39010002</v>
      </c>
      <c r="C3" s="46">
        <v>39010002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放電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6">
        <v>39010002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" s="47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" s="46"/>
      <c r="Q3" s="46"/>
      <c r="R3" s="46"/>
    </row>
    <row r="4" spans="1:18" ht="21" customHeight="1" x14ac:dyDescent="0.15">
      <c r="A4" s="38" t="str">
        <f t="shared" si="0"/>
        <v>39010003_39010003</v>
      </c>
      <c r="B4" s="46">
        <v>39010003</v>
      </c>
      <c r="C4" s="46">
        <v>39010003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鳴き声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回復</v>
      </c>
      <c r="F4" s="46">
        <v>39010003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" s="4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" s="46"/>
      <c r="Q4" s="46"/>
      <c r="R4" s="46"/>
    </row>
    <row r="5" spans="1:18" ht="21" customHeight="1" x14ac:dyDescent="0.15">
      <c r="A5" s="38" t="str">
        <f t="shared" si="0"/>
        <v>39010004_39010004</v>
      </c>
      <c r="B5" s="46">
        <v>39010004</v>
      </c>
      <c r="C5" s="46">
        <v>39010004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機械音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属性パネルをランダムでお邪魔パネルに3個変換</v>
      </c>
      <c r="F5" s="46">
        <v>39010004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0"/>
        <v>39010005_39010005</v>
      </c>
      <c r="B6" s="46">
        <v>39010005</v>
      </c>
      <c r="C6" s="46">
        <v>39010005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治療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回復</v>
      </c>
      <c r="F6" s="46">
        <v>39010005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" s="47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" s="46"/>
      <c r="Q6" s="46"/>
      <c r="R6" s="46"/>
    </row>
    <row r="7" spans="1:18" ht="21" customHeight="1" x14ac:dyDescent="0.15">
      <c r="A7" s="38" t="str">
        <f t="shared" si="0"/>
        <v>39010006_39010006</v>
      </c>
      <c r="B7" s="46">
        <v>39010006</v>
      </c>
      <c r="C7" s="46">
        <v>39010006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この先には行かせないぜ！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7" s="46">
        <v>39010006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" s="47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" s="46"/>
      <c r="Q7" s="46"/>
      <c r="R7" s="46"/>
    </row>
    <row r="8" spans="1:18" ht="21" customHeight="1" x14ac:dyDescent="0.15">
      <c r="A8" s="38" t="str">
        <f t="shared" si="0"/>
        <v>39010006_39010007</v>
      </c>
      <c r="B8" s="46">
        <v>39010006</v>
      </c>
      <c r="C8" s="46">
        <v>39010007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くらいやがれ！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6">
        <v>39010007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7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6"/>
      <c r="Q8" s="46"/>
      <c r="R8" s="46"/>
    </row>
    <row r="9" spans="1:18" ht="21" customHeight="1" x14ac:dyDescent="0.15">
      <c r="A9" s="38" t="str">
        <f t="shared" si="0"/>
        <v>39010007_39010008</v>
      </c>
      <c r="B9" s="46">
        <v>39010007</v>
      </c>
      <c r="C9" s="46">
        <v>39010008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守りを固めろってな！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9" s="46">
        <v>39010008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6"/>
      <c r="Q9" s="46"/>
      <c r="R9" s="46"/>
    </row>
    <row r="10" spans="1:18" ht="21" customHeight="1" x14ac:dyDescent="0.15">
      <c r="A10" s="38" t="str">
        <f t="shared" si="0"/>
        <v>39010007_39010009</v>
      </c>
      <c r="B10" s="46">
        <v>39010007</v>
      </c>
      <c r="C10" s="46">
        <v>39010009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くらいやがれ！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6">
        <v>39010009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6"/>
      <c r="Q10" s="46"/>
      <c r="R10" s="46"/>
    </row>
    <row r="11" spans="1:18" ht="21" customHeight="1" x14ac:dyDescent="0.15">
      <c r="A11" s="38" t="str">
        <f t="shared" si="0"/>
        <v>39010008_39010010</v>
      </c>
      <c r="B11" s="46">
        <v>39010008</v>
      </c>
      <c r="C11" s="46">
        <v>39010010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赤属性に変化+_x000D_属性パネルをランダムでお邪魔パネルに4個変換</v>
      </c>
      <c r="F11" s="46">
        <v>39010010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0"/>
        <v>39010008_39010011</v>
      </c>
      <c r="B12" s="46">
        <v>39010008</v>
      </c>
      <c r="C12" s="46">
        <v>39010011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赤属性に変化+_x000D_属性パネルをランダムでお邪魔パネルに4個変換</v>
      </c>
      <c r="F12" s="46">
        <v>39010011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0"/>
        <v>39010008_39010012</v>
      </c>
      <c r="B13" s="46">
        <v>39010008</v>
      </c>
      <c r="C13" s="46">
        <v>39010012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青属性に変化+_x000D_属性パネルをランダムでお邪魔パネルに4個変換</v>
      </c>
      <c r="F13" s="46">
        <v>39010012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0"/>
        <v>39010008_39010013</v>
      </c>
      <c r="B14" s="46">
        <v>39010008</v>
      </c>
      <c r="C14" s="46">
        <v>39010013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青属性に変化+_x000D_属性パネルをランダムでお邪魔パネルに4個変換</v>
      </c>
      <c r="F14" s="46">
        <v>39010013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0"/>
        <v>39010008_39010014</v>
      </c>
      <c r="B15" s="46">
        <v>39010008</v>
      </c>
      <c r="C15" s="46">
        <v>39010014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15" s="46">
        <v>39010014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0"/>
        <v>39010008_39010015</v>
      </c>
      <c r="B16" s="46">
        <v>39010008</v>
      </c>
      <c r="C16" s="46">
        <v>39010015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16" s="46">
        <v>39010015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0"/>
        <v>39010008_39010016</v>
      </c>
      <c r="B17" s="46">
        <v>39010008</v>
      </c>
      <c r="C17" s="46">
        <v>39010016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ちょっくら邪魔するよ！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属性パネルをランダムでお邪魔パネルに4個変換</v>
      </c>
      <c r="F17" s="46">
        <v>39010016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0"/>
        <v>39010008_39010017</v>
      </c>
      <c r="B18" s="46">
        <v>39010008</v>
      </c>
      <c r="C18" s="46">
        <v>39010017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さーて、どうするかな？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18" s="46">
        <v>39010017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8" s="4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8" s="46"/>
      <c r="Q18" s="46"/>
      <c r="R18" s="46"/>
    </row>
    <row r="19" spans="1:18" ht="21" customHeight="1" x14ac:dyDescent="0.15">
      <c r="A19" s="38" t="str">
        <f t="shared" si="0"/>
        <v>39010008_39010018</v>
      </c>
      <c r="B19" s="46">
        <v>39010008</v>
      </c>
      <c r="C19" s="46">
        <v>39010018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お前らだ！！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19" s="46">
        <v>39010018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9" s="46"/>
      <c r="Q19" s="46"/>
      <c r="R19" s="46"/>
    </row>
    <row r="20" spans="1:18" ht="21" customHeight="1" x14ac:dyDescent="0.15">
      <c r="A20" s="38" t="str">
        <f t="shared" si="0"/>
        <v>39010008_39010019</v>
      </c>
      <c r="B20" s="46">
        <v>39010008</v>
      </c>
      <c r="C20" s="46">
        <v>39010019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そら、いくぞ！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0" s="46">
        <v>39010019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6"/>
      <c r="Q20" s="46"/>
      <c r="R20" s="46"/>
    </row>
    <row r="21" spans="1:18" ht="21" customHeight="1" x14ac:dyDescent="0.15">
      <c r="A21" s="38" t="str">
        <f t="shared" si="0"/>
        <v>39010009_39010020</v>
      </c>
      <c r="B21" s="46">
        <v>39010009</v>
      </c>
      <c r="C21" s="46">
        <v>39010020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21" s="46">
        <v>39010020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0"/>
        <v>39010009_39010021</v>
      </c>
      <c r="B22" s="46">
        <v>39010009</v>
      </c>
      <c r="C22" s="46">
        <v>39010021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22" s="46">
        <v>39010021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7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0"/>
        <v>39010009_39010022</v>
      </c>
      <c r="B23" s="46">
        <v>39010009</v>
      </c>
      <c r="C23" s="46">
        <v>39010022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23" s="46">
        <v>39010022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0"/>
        <v>39010009_39010023</v>
      </c>
      <c r="B24" s="46">
        <v>39010009</v>
      </c>
      <c r="C24" s="46">
        <v>39010023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24" s="46">
        <v>39010023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0"/>
        <v>39010009_39010024</v>
      </c>
      <c r="B25" s="46">
        <v>39010009</v>
      </c>
      <c r="C25" s="46">
        <v>39010024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25" s="46">
        <v>39010024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0"/>
        <v>39010009_39010025</v>
      </c>
      <c r="B26" s="46">
        <v>39010009</v>
      </c>
      <c r="C26" s="46">
        <v>39010025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26" s="46">
        <v>39010025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0"/>
        <v>39010009_39010026</v>
      </c>
      <c r="B27" s="46">
        <v>39010009</v>
      </c>
      <c r="C27" s="46">
        <v>39010026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3ターン黄パネル無効+自身の攻撃力&amp;防御力UP</v>
      </c>
      <c r="F27" s="46">
        <v>39010026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0"/>
        <v>39010009_39010027</v>
      </c>
      <c r="B28" s="46">
        <v>39010009</v>
      </c>
      <c r="C28" s="46">
        <v>39010027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28" s="46">
        <v>39010027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8" s="46"/>
      <c r="Q28" s="46"/>
      <c r="R28" s="46"/>
    </row>
    <row r="29" spans="1:18" ht="21" customHeight="1" x14ac:dyDescent="0.15">
      <c r="A29" s="38" t="str">
        <f t="shared" si="0"/>
        <v>39010009_39010028</v>
      </c>
      <c r="B29" s="46">
        <v>39010009</v>
      </c>
      <c r="C29" s="46">
        <v>39010028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29" s="46">
        <v>39010028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9" s="46"/>
      <c r="Q29" s="46"/>
      <c r="R29" s="46"/>
    </row>
    <row r="30" spans="1:18" ht="21" customHeight="1" x14ac:dyDescent="0.15">
      <c r="A30" s="38" t="str">
        <f t="shared" si="0"/>
        <v>39010009_39010029</v>
      </c>
      <c r="B30" s="46">
        <v>39010009</v>
      </c>
      <c r="C30" s="46">
        <v>39010029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0" s="46">
        <v>39010029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6"/>
      <c r="Q30" s="46"/>
      <c r="R30" s="46"/>
    </row>
    <row r="31" spans="1:18" ht="21" customHeight="1" x14ac:dyDescent="0.15">
      <c r="A31" s="38" t="str">
        <f t="shared" si="0"/>
        <v>39010009_39010030</v>
      </c>
      <c r="B31" s="46">
        <v>39010009</v>
      </c>
      <c r="C31" s="46">
        <v>39010030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31" s="46">
        <v>39010030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0"/>
        <v>39010009_39010031</v>
      </c>
      <c r="B32" s="46">
        <v>39010009</v>
      </c>
      <c r="C32" s="46">
        <v>39010031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2" s="46">
        <v>39010031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0"/>
        <v>39010009_39010032</v>
      </c>
      <c r="B33" s="46">
        <v>39010009</v>
      </c>
      <c r="C33" s="46">
        <v>39010032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33" s="46">
        <v>39010032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0"/>
        <v>39010010_39010020</v>
      </c>
      <c r="B34" s="46">
        <v>39010010</v>
      </c>
      <c r="C34" s="46">
        <v>39010020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34" s="46">
        <v>39010020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0"/>
        <v>39010010_39010021</v>
      </c>
      <c r="B35" s="46">
        <v>39010010</v>
      </c>
      <c r="C35" s="46">
        <v>39010021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35" s="46">
        <v>39010021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0"/>
        <v>39010010_39010022</v>
      </c>
      <c r="B36" s="46">
        <v>39010010</v>
      </c>
      <c r="C36" s="46">
        <v>39010022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36" s="46">
        <v>39010022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0"/>
        <v>39010010_39010023</v>
      </c>
      <c r="B37" s="46">
        <v>39010010</v>
      </c>
      <c r="C37" s="46">
        <v>39010023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37" s="46">
        <v>39010023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0"/>
        <v>39010010_39010024</v>
      </c>
      <c r="B38" s="46">
        <v>39010010</v>
      </c>
      <c r="C38" s="46">
        <v>39010024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38" s="46">
        <v>39010024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0"/>
        <v>39010010_39010025</v>
      </c>
      <c r="B39" s="46">
        <v>39010010</v>
      </c>
      <c r="C39" s="46">
        <v>39010025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39" s="46">
        <v>39010025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0"/>
        <v>39010010_39010033</v>
      </c>
      <c r="B40" s="46">
        <v>39010010</v>
      </c>
      <c r="C40" s="108">
        <v>39010033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やる気と覚悟を感じる！</v>
      </c>
      <c r="F40" s="108">
        <v>39010033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0"/>
        <v>39010010_39010027</v>
      </c>
      <c r="B41" s="46">
        <v>39010010</v>
      </c>
      <c r="C41" s="46">
        <v>39010027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41" s="46">
        <v>39010027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1" s="46"/>
      <c r="Q41" s="46"/>
      <c r="R41" s="46"/>
    </row>
    <row r="42" spans="1:18" ht="21" customHeight="1" x14ac:dyDescent="0.15">
      <c r="A42" s="38" t="str">
        <f t="shared" si="0"/>
        <v>39010010_39010028</v>
      </c>
      <c r="B42" s="46">
        <v>39010010</v>
      </c>
      <c r="C42" s="46">
        <v>39010028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42" s="46">
        <v>39010028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2" s="46"/>
      <c r="Q42" s="46"/>
      <c r="R42" s="46"/>
    </row>
    <row r="43" spans="1:18" ht="21" customHeight="1" x14ac:dyDescent="0.15">
      <c r="A43" s="38" t="str">
        <f t="shared" si="0"/>
        <v>39010010_39010029</v>
      </c>
      <c r="B43" s="46">
        <v>39010010</v>
      </c>
      <c r="C43" s="46">
        <v>39010029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3" s="46">
        <v>39010029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6"/>
      <c r="Q43" s="46"/>
      <c r="R43" s="46"/>
    </row>
    <row r="44" spans="1:18" ht="21" customHeight="1" x14ac:dyDescent="0.15">
      <c r="A44" s="38" t="str">
        <f t="shared" si="0"/>
        <v>39010010_39010030</v>
      </c>
      <c r="B44" s="46">
        <v>39010010</v>
      </c>
      <c r="C44" s="46">
        <v>39010030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44" s="46">
        <v>39010030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0"/>
        <v>39010010_39010031</v>
      </c>
      <c r="B45" s="46">
        <v>39010010</v>
      </c>
      <c r="C45" s="46">
        <v>39010031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5" s="46">
        <v>39010031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0"/>
        <v>39010010_39010032</v>
      </c>
      <c r="B46" s="46">
        <v>39010010</v>
      </c>
      <c r="C46" s="46">
        <v>39010032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46" s="46">
        <v>39010032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0"/>
        <v>39010011_39010020</v>
      </c>
      <c r="B47" s="46">
        <v>39010011</v>
      </c>
      <c r="C47" s="46">
        <v>39010020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47" s="46">
        <v>39010020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0"/>
        <v>39010011_39010021</v>
      </c>
      <c r="B48" s="46">
        <v>39010011</v>
      </c>
      <c r="C48" s="46">
        <v>39010021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48" s="46">
        <v>39010021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0"/>
        <v>39010011_39010022</v>
      </c>
      <c r="B49" s="46">
        <v>39010011</v>
      </c>
      <c r="C49" s="46">
        <v>39010022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49" s="46">
        <v>39010022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0"/>
        <v>39010011_39010023</v>
      </c>
      <c r="B50" s="46">
        <v>39010011</v>
      </c>
      <c r="C50" s="46">
        <v>39010023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50" s="46">
        <v>39010023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0"/>
        <v>39010011_39010024</v>
      </c>
      <c r="B51" s="46">
        <v>39010011</v>
      </c>
      <c r="C51" s="46">
        <v>39010024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51" s="46">
        <v>39010024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0"/>
        <v>39010011_39010025</v>
      </c>
      <c r="B52" s="46">
        <v>39010011</v>
      </c>
      <c r="C52" s="46">
        <v>39010025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52" s="46">
        <v>39010025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0"/>
        <v>39010011_39010034</v>
      </c>
      <c r="B53" s="46">
        <v>39010011</v>
      </c>
      <c r="C53" s="108">
        <v>39010034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3ターン黄パネル無効</v>
      </c>
      <c r="F53" s="108">
        <v>39010034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0"/>
        <v>39010011_39010027</v>
      </c>
      <c r="B54" s="46">
        <v>39010011</v>
      </c>
      <c r="C54" s="46">
        <v>39010027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54" s="46">
        <v>39010027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4" s="46"/>
      <c r="Q54" s="46"/>
      <c r="R54" s="46"/>
    </row>
    <row r="55" spans="1:18" ht="21" customHeight="1" x14ac:dyDescent="0.15">
      <c r="A55" s="38" t="str">
        <f t="shared" si="0"/>
        <v>39010011_39010028</v>
      </c>
      <c r="B55" s="46">
        <v>39010011</v>
      </c>
      <c r="C55" s="46">
        <v>39010028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55" s="46">
        <v>39010028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5" s="46"/>
      <c r="Q55" s="46"/>
      <c r="R55" s="46"/>
    </row>
    <row r="56" spans="1:18" ht="21" customHeight="1" x14ac:dyDescent="0.15">
      <c r="A56" s="38" t="str">
        <f t="shared" si="0"/>
        <v>39010011_39010029</v>
      </c>
      <c r="B56" s="46">
        <v>39010011</v>
      </c>
      <c r="C56" s="46">
        <v>39010029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6" s="46">
        <v>39010029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6" s="4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6" s="46"/>
      <c r="Q56" s="46"/>
      <c r="R56" s="46"/>
    </row>
    <row r="57" spans="1:18" ht="21" customHeight="1" x14ac:dyDescent="0.15">
      <c r="A57" s="38" t="str">
        <f t="shared" si="0"/>
        <v>39010011_39010030</v>
      </c>
      <c r="B57" s="46">
        <v>39010011</v>
      </c>
      <c r="C57" s="46">
        <v>39010030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57" s="46">
        <v>39010030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0"/>
        <v>39010011_39010031</v>
      </c>
      <c r="B58" s="46">
        <v>39010011</v>
      </c>
      <c r="C58" s="46">
        <v>39010031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8" s="46">
        <v>39010031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0"/>
        <v>39010011_39010032</v>
      </c>
      <c r="B59" s="46">
        <v>39010011</v>
      </c>
      <c r="C59" s="46">
        <v>39010032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59" s="46">
        <v>39010032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0"/>
        <v>39010012_39010010</v>
      </c>
      <c r="B60" s="46">
        <v>39010012</v>
      </c>
      <c r="C60" s="46">
        <v>39010010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赤属性に変化+_x000D_属性パネルをランダムでお邪魔パネルに4個変換</v>
      </c>
      <c r="F60" s="46">
        <v>39010010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0"/>
        <v>39010012_39010011</v>
      </c>
      <c r="B61" s="46">
        <v>39010012</v>
      </c>
      <c r="C61" s="46">
        <v>39010011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帝人・・・？嘘・・・だろ？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赤属性に変化+_x000D_属性パネルをランダムでお邪魔パネルに4個変換</v>
      </c>
      <c r="F61" s="46">
        <v>39010011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0"/>
        <v>39010012_39010012</v>
      </c>
      <c r="B62" s="46">
        <v>39010012</v>
      </c>
      <c r="C62" s="46">
        <v>39010012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青属性に変化+_x000D_属性パネルをランダムでお邪魔パネルに4個変換</v>
      </c>
      <c r="F62" s="46">
        <v>39010012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0"/>
        <v>39010012_39010013</v>
      </c>
      <c r="B63" s="46">
        <v>39010012</v>
      </c>
      <c r="C63" s="46">
        <v>39010013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臨也さん、何であんたが・・・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青属性に変化+_x000D_属性パネルをランダムでお邪魔パネルに4個変換</v>
      </c>
      <c r="F63" s="46">
        <v>39010013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0"/>
        <v>39010012_39010014</v>
      </c>
      <c r="B64" s="46">
        <v>39010012</v>
      </c>
      <c r="C64" s="46">
        <v>39010014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64" s="46">
        <v>39010014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0"/>
        <v>39010012_39010015</v>
      </c>
      <c r="B65" s="46">
        <v>39010012</v>
      </c>
      <c r="C65" s="46">
        <v>39010015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杏里・・・！？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正臣は目を見開いてる</v>
      </c>
      <c r="F65" s="46">
        <v>39010015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ref="A66:A82" si="1">B66&amp;"_"&amp;C66</f>
        <v>39010012_39010016</v>
      </c>
      <c r="B66" s="46">
        <v>39010012</v>
      </c>
      <c r="C66" s="46">
        <v>39010016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ちょっくら邪魔するよ！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属性パネルをランダムでお邪魔パネルに4個変換</v>
      </c>
      <c r="F66" s="46">
        <v>39010016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1"/>
        <v>39010012_39010035</v>
      </c>
      <c r="B67" s="46">
        <v>39010012</v>
      </c>
      <c r="C67" s="109">
        <v>39010035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さーて、どうするかな？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67" s="109">
        <v>39010035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7" s="47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7" s="46"/>
      <c r="Q67" s="46"/>
      <c r="R67" s="46"/>
    </row>
    <row r="68" spans="1:18" ht="21" customHeight="1" x14ac:dyDescent="0.15">
      <c r="A68" s="38" t="str">
        <f t="shared" si="1"/>
        <v>39010012_39010018</v>
      </c>
      <c r="B68" s="46">
        <v>39010012</v>
      </c>
      <c r="C68" s="46">
        <v>39010018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お前らだ！！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68" s="46">
        <v>39010018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8" s="47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8" s="46"/>
      <c r="Q68" s="46"/>
      <c r="R68" s="46"/>
    </row>
    <row r="69" spans="1:18" ht="21" customHeight="1" x14ac:dyDescent="0.15">
      <c r="A69" s="38" t="str">
        <f t="shared" si="1"/>
        <v>39010012_39010019</v>
      </c>
      <c r="B69" s="46">
        <v>39010012</v>
      </c>
      <c r="C69" s="46">
        <v>39010019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そら、いくぞ！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9" s="46">
        <v>39010019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7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6"/>
      <c r="Q69" s="46"/>
      <c r="R69" s="46"/>
    </row>
    <row r="70" spans="1:18" ht="21" customHeight="1" x14ac:dyDescent="0.15">
      <c r="A70" s="38" t="str">
        <f t="shared" si="1"/>
        <v>39010013_39010020</v>
      </c>
      <c r="B70" s="46">
        <v>39010013</v>
      </c>
      <c r="C70" s="46">
        <v>39010020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70" s="46">
        <v>39010020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38" t="str">
        <f t="shared" si="1"/>
        <v>39010013_39010021</v>
      </c>
      <c r="B71" s="46">
        <v>39010013</v>
      </c>
      <c r="C71" s="46">
        <v>39010021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帝人・・・お前も杏里に・・・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71" s="46">
        <v>39010021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si="1"/>
        <v>39010013_39010022</v>
      </c>
      <c r="B72" s="46">
        <v>39010013</v>
      </c>
      <c r="C72" s="46">
        <v>39010022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72" s="46">
        <v>39010022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700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1"/>
        <v>39010013_39010023</v>
      </c>
      <c r="B73" s="46">
        <v>39010013</v>
      </c>
      <c r="C73" s="46">
        <v>39010023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あんたのせいで・・・！！！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赤属性に変化+3ターン黄パネル無効+_x000D_自身の攻撃力&amp;防御力UP</v>
      </c>
      <c r="F73" s="46">
        <v>39010023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7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701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1"/>
        <v>39010013_39010024</v>
      </c>
      <c r="B74" s="46">
        <v>39010013</v>
      </c>
      <c r="C74" s="46">
        <v>39010024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74" s="46">
        <v>39010024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698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1"/>
        <v>39010013_39010025</v>
      </c>
      <c r="B75" s="46">
        <v>39010013</v>
      </c>
      <c r="C75" s="46">
        <v>39010025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なんで杏里が日本刀なんて・・・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正臣はどうしていいかわからない</v>
      </c>
      <c r="F75" s="46">
        <v>39010025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7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699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si="1"/>
        <v>39010013_39010026</v>
      </c>
      <c r="B76" s="46">
        <v>39010013</v>
      </c>
      <c r="C76" s="46">
        <v>39010026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まだまだいくぜ！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3ターン黄パネル無効+自身の攻撃力&amp;防御力UP</v>
      </c>
      <c r="F76" s="46">
        <v>39010026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1"/>
        <v>39010013_39010036</v>
      </c>
      <c r="B77" s="46">
        <v>39010013</v>
      </c>
      <c r="C77" s="110">
        <v>39010036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これならどうだ！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77" s="110">
        <v>39010036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7" s="47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7" s="46"/>
      <c r="Q77" s="46"/>
      <c r="R77" s="46"/>
    </row>
    <row r="78" spans="1:18" ht="21" customHeight="1" x14ac:dyDescent="0.15">
      <c r="A78" s="38" t="str">
        <f t="shared" si="1"/>
        <v>39010013_39010028</v>
      </c>
      <c r="B78" s="46">
        <v>39010013</v>
      </c>
      <c r="C78" s="46">
        <v>39010028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気にいらねぇな！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78" s="46">
        <v>39010028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8" s="47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8" s="46"/>
      <c r="Q78" s="46"/>
      <c r="R78" s="46"/>
    </row>
    <row r="79" spans="1:18" ht="21" customHeight="1" x14ac:dyDescent="0.15">
      <c r="A79" s="38" t="str">
        <f t="shared" si="1"/>
        <v>39010013_39010029</v>
      </c>
      <c r="B79" s="46">
        <v>39010013</v>
      </c>
      <c r="C79" s="46">
        <v>39010029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何だってんだよ畜生！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79" s="46">
        <v>39010029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9" s="47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9" s="46"/>
      <c r="Q79" s="46"/>
      <c r="R79" s="46"/>
    </row>
    <row r="80" spans="1:18" ht="21" customHeight="1" x14ac:dyDescent="0.15">
      <c r="A80" s="38" t="str">
        <f t="shared" si="1"/>
        <v>39010013_39010030</v>
      </c>
      <c r="B80" s="46">
        <v>39010013</v>
      </c>
      <c r="C80" s="46">
        <v>39010030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俺は・・・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80" s="46">
        <v>39010030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ht="21" customHeight="1" x14ac:dyDescent="0.15">
      <c r="A81" s="38" t="str">
        <f t="shared" si="1"/>
        <v>39010013_39010031</v>
      </c>
      <c r="B81" s="46">
        <v>39010013</v>
      </c>
      <c r="C81" s="46">
        <v>39010031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覚悟をしてきたんだよ！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1" s="46">
        <v>39010031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si="1"/>
        <v>39010013_39010032</v>
      </c>
      <c r="B82" s="46">
        <v>39010013</v>
      </c>
      <c r="C82" s="46">
        <v>39010032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俺は・・・必ず・・・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必ず杏里達の前に戻る・・・！</v>
      </c>
      <c r="F82" s="46">
        <v>39010032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3"/>
  <sheetViews>
    <sheetView tabSelected="1" workbookViewId="0">
      <selection activeCell="A4" sqref="A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120">
        <f>floors!$C$2</f>
        <v>39010</v>
      </c>
      <c r="B2" s="79">
        <v>1</v>
      </c>
      <c r="C2" s="69" t="str">
        <f>A2&amp; "_"&amp;B2</f>
        <v>39010_1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167</v>
      </c>
      <c r="G2" s="79">
        <v>1700</v>
      </c>
      <c r="H2" s="79" t="s">
        <v>300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250</v>
      </c>
      <c r="Q2" s="79" t="s">
        <v>168</v>
      </c>
      <c r="R2" s="79" t="s">
        <v>169</v>
      </c>
    </row>
    <row r="3" spans="1:18" x14ac:dyDescent="0.15">
      <c r="A3" s="120">
        <f>floors!$C$2</f>
        <v>39010</v>
      </c>
      <c r="B3" s="79">
        <v>1</v>
      </c>
      <c r="C3" s="69" t="str">
        <f t="shared" ref="C3:C43" si="0">A3&amp; "_"&amp;B3</f>
        <v>39010_1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298</v>
      </c>
      <c r="G3" s="79">
        <v>20</v>
      </c>
      <c r="H3" s="79" t="s">
        <v>300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250</v>
      </c>
      <c r="Q3" s="79" t="s">
        <v>168</v>
      </c>
      <c r="R3" s="79" t="s">
        <v>169</v>
      </c>
    </row>
    <row r="4" spans="1:18" x14ac:dyDescent="0.15">
      <c r="A4" s="120">
        <f>floors!$C$2</f>
        <v>39010</v>
      </c>
      <c r="B4" s="79">
        <v>1</v>
      </c>
      <c r="C4" s="69" t="str">
        <f t="shared" si="0"/>
        <v>39010_1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299</v>
      </c>
      <c r="G4" s="79">
        <v>344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98</v>
      </c>
      <c r="Q4" s="79" t="s">
        <v>168</v>
      </c>
      <c r="R4" s="79" t="s">
        <v>169</v>
      </c>
    </row>
    <row r="5" spans="1:18" x14ac:dyDescent="0.15">
      <c r="A5" s="120">
        <f>floors!$C$2</f>
        <v>39010</v>
      </c>
      <c r="B5" s="79">
        <v>1</v>
      </c>
      <c r="C5" s="69" t="str">
        <f t="shared" si="0"/>
        <v>39010_1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299</v>
      </c>
      <c r="G5" s="79">
        <v>345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42</v>
      </c>
      <c r="Q5" s="79" t="s">
        <v>168</v>
      </c>
      <c r="R5" s="79" t="s">
        <v>169</v>
      </c>
    </row>
    <row r="6" spans="1:18" x14ac:dyDescent="0.15">
      <c r="A6" s="120">
        <f>floors!$C$2</f>
        <v>39010</v>
      </c>
      <c r="B6" s="79">
        <v>1</v>
      </c>
      <c r="C6" s="69" t="str">
        <f t="shared" si="0"/>
        <v>39010_1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299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50</v>
      </c>
      <c r="Q6" s="79" t="s">
        <v>168</v>
      </c>
      <c r="R6" s="79" t="s">
        <v>169</v>
      </c>
    </row>
    <row r="7" spans="1:18" x14ac:dyDescent="0.15">
      <c r="A7" s="120">
        <f>floors!$C$2</f>
        <v>39010</v>
      </c>
      <c r="B7" s="79">
        <v>1</v>
      </c>
      <c r="C7" s="69" t="str">
        <f t="shared" si="0"/>
        <v>39010_1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299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50</v>
      </c>
      <c r="Q7" s="79" t="s">
        <v>168</v>
      </c>
      <c r="R7" s="79" t="s">
        <v>169</v>
      </c>
    </row>
    <row r="8" spans="1:18" x14ac:dyDescent="0.15">
      <c r="A8" s="120">
        <f>floors!$C$2</f>
        <v>39010</v>
      </c>
      <c r="B8" s="79">
        <v>1</v>
      </c>
      <c r="C8" s="69" t="str">
        <f t="shared" si="0"/>
        <v>39010_1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299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50</v>
      </c>
      <c r="Q8" s="79" t="s">
        <v>168</v>
      </c>
      <c r="R8" s="79" t="s">
        <v>169</v>
      </c>
    </row>
    <row r="9" spans="1:18" x14ac:dyDescent="0.15">
      <c r="A9" s="120">
        <f>floors!$C$2</f>
        <v>39010</v>
      </c>
      <c r="B9" s="79">
        <v>1</v>
      </c>
      <c r="C9" s="69" t="str">
        <f t="shared" si="0"/>
        <v>39010_1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299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168</v>
      </c>
      <c r="R9" s="79" t="s">
        <v>169</v>
      </c>
    </row>
    <row r="10" spans="1:18" x14ac:dyDescent="0.15">
      <c r="A10" s="120">
        <f>floors!$C$2</f>
        <v>39010</v>
      </c>
      <c r="B10" s="79">
        <v>1</v>
      </c>
      <c r="C10" s="69" t="str">
        <f t="shared" si="0"/>
        <v>39010_1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299</v>
      </c>
      <c r="G10" s="114">
        <v>693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50</v>
      </c>
      <c r="Q10" s="79" t="s">
        <v>168</v>
      </c>
      <c r="R10" s="79" t="s">
        <v>169</v>
      </c>
    </row>
    <row r="11" spans="1:18" ht="16" thickBot="1" x14ac:dyDescent="0.2">
      <c r="A11" s="121">
        <f>floors!$C$2</f>
        <v>39010</v>
      </c>
      <c r="B11" s="115">
        <v>1</v>
      </c>
      <c r="C11" s="118" t="str">
        <f t="shared" si="0"/>
        <v>39010_1</v>
      </c>
      <c r="D11" s="11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5">
        <v>10</v>
      </c>
      <c r="F11" s="115" t="s">
        <v>299</v>
      </c>
      <c r="G11" s="115">
        <v>354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115">
        <v>0</v>
      </c>
      <c r="N11" s="115">
        <v>0</v>
      </c>
      <c r="O11" s="115">
        <v>1</v>
      </c>
      <c r="P11" s="115">
        <v>150</v>
      </c>
      <c r="Q11" s="115" t="s">
        <v>168</v>
      </c>
      <c r="R11" s="115" t="s">
        <v>169</v>
      </c>
    </row>
    <row r="12" spans="1:18" ht="16" thickTop="1" x14ac:dyDescent="0.15">
      <c r="A12" s="122">
        <f>floors!$C$2</f>
        <v>39010</v>
      </c>
      <c r="B12" s="112">
        <v>2</v>
      </c>
      <c r="C12" s="116" t="str">
        <f t="shared" si="0"/>
        <v>39010_2</v>
      </c>
      <c r="D12" s="1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2">
        <v>11</v>
      </c>
      <c r="F12" s="112" t="s">
        <v>167</v>
      </c>
      <c r="G12" s="112">
        <v>3200</v>
      </c>
      <c r="H12" s="112" t="s">
        <v>300</v>
      </c>
      <c r="I12" s="112">
        <v>1</v>
      </c>
      <c r="J12" s="112">
        <v>1</v>
      </c>
      <c r="K12" s="112">
        <v>0</v>
      </c>
      <c r="L12" s="112">
        <v>0</v>
      </c>
      <c r="M12" s="112">
        <v>0</v>
      </c>
      <c r="N12" s="112">
        <v>0</v>
      </c>
      <c r="O12" s="112">
        <v>1</v>
      </c>
      <c r="P12" s="112">
        <v>250</v>
      </c>
      <c r="Q12" s="112" t="s">
        <v>168</v>
      </c>
      <c r="R12" s="112" t="s">
        <v>169</v>
      </c>
    </row>
    <row r="13" spans="1:18" x14ac:dyDescent="0.15">
      <c r="A13" s="123">
        <f>floors!$C$2</f>
        <v>39010</v>
      </c>
      <c r="B13" s="56">
        <v>2</v>
      </c>
      <c r="C13" s="69" t="str">
        <f t="shared" si="0"/>
        <v>39010_2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298</v>
      </c>
      <c r="G13" s="56">
        <v>20</v>
      </c>
      <c r="H13" s="56" t="s">
        <v>300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200</v>
      </c>
      <c r="Q13" s="56" t="s">
        <v>168</v>
      </c>
      <c r="R13" s="56" t="s">
        <v>169</v>
      </c>
    </row>
    <row r="14" spans="1:18" x14ac:dyDescent="0.15">
      <c r="A14" s="123">
        <f>floors!$C$2</f>
        <v>39010</v>
      </c>
      <c r="B14" s="56">
        <v>2</v>
      </c>
      <c r="C14" s="69" t="str">
        <f t="shared" si="0"/>
        <v>39010_2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299</v>
      </c>
      <c r="G14" s="56">
        <v>344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70</v>
      </c>
      <c r="Q14" s="56" t="s">
        <v>168</v>
      </c>
      <c r="R14" s="56" t="s">
        <v>169</v>
      </c>
    </row>
    <row r="15" spans="1:18" x14ac:dyDescent="0.15">
      <c r="A15" s="123">
        <f>floors!$C$2</f>
        <v>39010</v>
      </c>
      <c r="B15" s="56">
        <v>2</v>
      </c>
      <c r="C15" s="69" t="str">
        <f t="shared" si="0"/>
        <v>39010_2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299</v>
      </c>
      <c r="G15" s="56">
        <v>345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70</v>
      </c>
      <c r="Q15" s="56" t="s">
        <v>168</v>
      </c>
      <c r="R15" s="56" t="s">
        <v>169</v>
      </c>
    </row>
    <row r="16" spans="1:18" x14ac:dyDescent="0.15">
      <c r="A16" s="123">
        <f>floors!$C$2</f>
        <v>39010</v>
      </c>
      <c r="B16" s="56">
        <v>2</v>
      </c>
      <c r="C16" s="69" t="str">
        <f t="shared" si="0"/>
        <v>39010_2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299</v>
      </c>
      <c r="G16" s="56">
        <v>121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50</v>
      </c>
      <c r="Q16" s="56" t="s">
        <v>168</v>
      </c>
      <c r="R16" s="56" t="s">
        <v>169</v>
      </c>
    </row>
    <row r="17" spans="1:18" x14ac:dyDescent="0.15">
      <c r="A17" s="123">
        <f>floors!$C$2</f>
        <v>39010</v>
      </c>
      <c r="B17" s="56">
        <v>2</v>
      </c>
      <c r="C17" s="69" t="str">
        <f t="shared" si="0"/>
        <v>39010_2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299</v>
      </c>
      <c r="G17" s="56">
        <v>122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</v>
      </c>
      <c r="Q17" s="56" t="s">
        <v>168</v>
      </c>
      <c r="R17" s="56" t="s">
        <v>169</v>
      </c>
    </row>
    <row r="18" spans="1:18" x14ac:dyDescent="0.15">
      <c r="A18" s="123">
        <f>floors!$C$2</f>
        <v>39010</v>
      </c>
      <c r="B18" s="56">
        <v>2</v>
      </c>
      <c r="C18" s="69" t="str">
        <f t="shared" si="0"/>
        <v>39010_2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299</v>
      </c>
      <c r="G18" s="56">
        <v>123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50</v>
      </c>
      <c r="Q18" s="56" t="s">
        <v>168</v>
      </c>
      <c r="R18" s="56" t="s">
        <v>169</v>
      </c>
    </row>
    <row r="19" spans="1:18" x14ac:dyDescent="0.15">
      <c r="A19" s="123">
        <f>floors!$C$2</f>
        <v>39010</v>
      </c>
      <c r="B19" s="56">
        <v>2</v>
      </c>
      <c r="C19" s="69" t="str">
        <f t="shared" si="0"/>
        <v>39010_2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6">
        <v>18</v>
      </c>
      <c r="F19" s="56" t="s">
        <v>299</v>
      </c>
      <c r="G19" s="56">
        <v>125</v>
      </c>
      <c r="H19" s="56">
        <v>1</v>
      </c>
      <c r="I19" s="56">
        <v>1</v>
      </c>
      <c r="J19" s="56">
        <v>1</v>
      </c>
      <c r="K19" s="56">
        <v>0</v>
      </c>
      <c r="L19" s="56">
        <v>0</v>
      </c>
      <c r="M19" s="56">
        <v>0</v>
      </c>
      <c r="N19" s="56">
        <v>0</v>
      </c>
      <c r="O19" s="56">
        <v>1</v>
      </c>
      <c r="P19" s="56">
        <v>10</v>
      </c>
      <c r="Q19" s="56" t="s">
        <v>168</v>
      </c>
      <c r="R19" s="56" t="s">
        <v>169</v>
      </c>
    </row>
    <row r="20" spans="1:18" x14ac:dyDescent="0.15">
      <c r="A20" s="123">
        <f>floors!$C$2</f>
        <v>39010</v>
      </c>
      <c r="B20" s="56">
        <v>2</v>
      </c>
      <c r="C20" s="69" t="str">
        <f t="shared" si="0"/>
        <v>39010_2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6">
        <v>19</v>
      </c>
      <c r="F20" s="56" t="s">
        <v>299</v>
      </c>
      <c r="G20" s="114">
        <v>693</v>
      </c>
      <c r="H20" s="56">
        <v>1</v>
      </c>
      <c r="I20" s="56">
        <v>1</v>
      </c>
      <c r="J20" s="56">
        <v>1</v>
      </c>
      <c r="K20" s="56">
        <v>0</v>
      </c>
      <c r="L20" s="56">
        <v>0</v>
      </c>
      <c r="M20" s="56">
        <v>0</v>
      </c>
      <c r="N20" s="56">
        <v>0</v>
      </c>
      <c r="O20" s="56">
        <v>1</v>
      </c>
      <c r="P20" s="56">
        <v>100</v>
      </c>
      <c r="Q20" s="56" t="s">
        <v>168</v>
      </c>
      <c r="R20" s="56" t="s">
        <v>169</v>
      </c>
    </row>
    <row r="21" spans="1:18" ht="16" thickBot="1" x14ac:dyDescent="0.2">
      <c r="A21" s="124">
        <f>floors!$C$2</f>
        <v>39010</v>
      </c>
      <c r="B21" s="113">
        <v>2</v>
      </c>
      <c r="C21" s="118" t="str">
        <f t="shared" si="0"/>
        <v>39010_2</v>
      </c>
      <c r="D21" s="119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13">
        <v>20</v>
      </c>
      <c r="F21" s="113" t="s">
        <v>299</v>
      </c>
      <c r="G21" s="113">
        <v>354</v>
      </c>
      <c r="H21" s="113">
        <v>1</v>
      </c>
      <c r="I21" s="113">
        <v>1</v>
      </c>
      <c r="J21" s="113">
        <v>1</v>
      </c>
      <c r="K21" s="113">
        <v>0</v>
      </c>
      <c r="L21" s="113">
        <v>0</v>
      </c>
      <c r="M21" s="113">
        <v>0</v>
      </c>
      <c r="N21" s="113">
        <v>0</v>
      </c>
      <c r="O21" s="113">
        <v>1</v>
      </c>
      <c r="P21" s="113">
        <v>150</v>
      </c>
      <c r="Q21" s="113" t="s">
        <v>168</v>
      </c>
      <c r="R21" s="113" t="s">
        <v>169</v>
      </c>
    </row>
    <row r="22" spans="1:18" ht="16" thickTop="1" x14ac:dyDescent="0.15">
      <c r="A22" s="122">
        <f>floors!$C$2</f>
        <v>39010</v>
      </c>
      <c r="B22" s="112">
        <v>3</v>
      </c>
      <c r="C22" s="116" t="str">
        <f t="shared" si="0"/>
        <v>39010_3</v>
      </c>
      <c r="D22" s="1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2">
        <v>21</v>
      </c>
      <c r="F22" s="112" t="s">
        <v>167</v>
      </c>
      <c r="G22" s="112">
        <v>5000</v>
      </c>
      <c r="H22" s="112" t="s">
        <v>300</v>
      </c>
      <c r="I22" s="112">
        <v>1</v>
      </c>
      <c r="J22" s="112">
        <v>1</v>
      </c>
      <c r="K22" s="112">
        <v>0</v>
      </c>
      <c r="L22" s="112">
        <v>0</v>
      </c>
      <c r="M22" s="112">
        <v>0</v>
      </c>
      <c r="N22" s="112">
        <v>0</v>
      </c>
      <c r="O22" s="112">
        <v>1</v>
      </c>
      <c r="P22" s="112">
        <v>200</v>
      </c>
      <c r="Q22" s="112" t="s">
        <v>168</v>
      </c>
      <c r="R22" s="112" t="s">
        <v>169</v>
      </c>
    </row>
    <row r="23" spans="1:18" x14ac:dyDescent="0.15">
      <c r="A23" s="123">
        <f>floors!$C$2</f>
        <v>39010</v>
      </c>
      <c r="B23" s="56">
        <v>3</v>
      </c>
      <c r="C23" s="69" t="str">
        <f t="shared" si="0"/>
        <v>39010_3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6">
        <v>22</v>
      </c>
      <c r="F23" s="56" t="s">
        <v>298</v>
      </c>
      <c r="G23" s="56">
        <v>25</v>
      </c>
      <c r="H23" s="56" t="s">
        <v>300</v>
      </c>
      <c r="I23" s="56">
        <v>1</v>
      </c>
      <c r="J23" s="56">
        <v>1</v>
      </c>
      <c r="K23" s="56">
        <v>0</v>
      </c>
      <c r="L23" s="56">
        <v>0</v>
      </c>
      <c r="M23" s="56">
        <v>0</v>
      </c>
      <c r="N23" s="56">
        <v>0</v>
      </c>
      <c r="O23" s="56">
        <v>1</v>
      </c>
      <c r="P23" s="56">
        <v>250</v>
      </c>
      <c r="Q23" s="56" t="s">
        <v>168</v>
      </c>
      <c r="R23" s="56" t="s">
        <v>169</v>
      </c>
    </row>
    <row r="24" spans="1:18" x14ac:dyDescent="0.15">
      <c r="A24" s="123">
        <f>floors!$C$2</f>
        <v>39010</v>
      </c>
      <c r="B24" s="56">
        <v>3</v>
      </c>
      <c r="C24" s="69" t="str">
        <f t="shared" si="0"/>
        <v>39010_3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6">
        <v>23</v>
      </c>
      <c r="F24" s="56" t="s">
        <v>299</v>
      </c>
      <c r="G24" s="56">
        <v>344</v>
      </c>
      <c r="H24" s="56">
        <v>1</v>
      </c>
      <c r="I24" s="56">
        <v>1</v>
      </c>
      <c r="J24" s="56">
        <v>1</v>
      </c>
      <c r="K24" s="56">
        <v>0</v>
      </c>
      <c r="L24" s="56">
        <v>0</v>
      </c>
      <c r="M24" s="56">
        <v>0</v>
      </c>
      <c r="N24" s="56">
        <v>0</v>
      </c>
      <c r="O24" s="56">
        <v>1</v>
      </c>
      <c r="P24" s="56">
        <v>28</v>
      </c>
      <c r="Q24" s="56" t="s">
        <v>168</v>
      </c>
      <c r="R24" s="56" t="s">
        <v>169</v>
      </c>
    </row>
    <row r="25" spans="1:18" x14ac:dyDescent="0.15">
      <c r="A25" s="123">
        <f>floors!$C$2</f>
        <v>39010</v>
      </c>
      <c r="B25" s="56">
        <v>3</v>
      </c>
      <c r="C25" s="69" t="str">
        <f t="shared" si="0"/>
        <v>39010_3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6">
        <v>24</v>
      </c>
      <c r="F25" s="56" t="s">
        <v>299</v>
      </c>
      <c r="G25" s="56">
        <v>345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56</v>
      </c>
      <c r="Q25" s="56" t="s">
        <v>168</v>
      </c>
      <c r="R25" s="56" t="s">
        <v>169</v>
      </c>
    </row>
    <row r="26" spans="1:18" x14ac:dyDescent="0.15">
      <c r="A26" s="123">
        <f>floors!$C$2</f>
        <v>39010</v>
      </c>
      <c r="B26" s="56">
        <v>3</v>
      </c>
      <c r="C26" s="69" t="str">
        <f t="shared" si="0"/>
        <v>39010_3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6">
        <v>25</v>
      </c>
      <c r="F26" s="56" t="s">
        <v>299</v>
      </c>
      <c r="G26" s="56">
        <v>342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56</v>
      </c>
      <c r="Q26" s="56" t="s">
        <v>168</v>
      </c>
      <c r="R26" s="56" t="s">
        <v>169</v>
      </c>
    </row>
    <row r="27" spans="1:18" x14ac:dyDescent="0.15">
      <c r="A27" s="123">
        <f>floors!$C$2</f>
        <v>39010</v>
      </c>
      <c r="B27" s="56">
        <v>3</v>
      </c>
      <c r="C27" s="69" t="str">
        <f t="shared" si="0"/>
        <v>39010_3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6">
        <v>26</v>
      </c>
      <c r="F27" s="56" t="s">
        <v>299</v>
      </c>
      <c r="G27" s="56">
        <v>121</v>
      </c>
      <c r="H27" s="56">
        <v>1</v>
      </c>
      <c r="I27" s="56">
        <v>1</v>
      </c>
      <c r="J27" s="56">
        <v>1</v>
      </c>
      <c r="K27" s="56">
        <v>0</v>
      </c>
      <c r="L27" s="56">
        <v>0</v>
      </c>
      <c r="M27" s="56">
        <v>0</v>
      </c>
      <c r="N27" s="56">
        <v>0</v>
      </c>
      <c r="O27" s="56">
        <v>1</v>
      </c>
      <c r="P27" s="56">
        <v>50</v>
      </c>
      <c r="Q27" s="56" t="s">
        <v>168</v>
      </c>
      <c r="R27" s="56" t="s">
        <v>169</v>
      </c>
    </row>
    <row r="28" spans="1:18" x14ac:dyDescent="0.15">
      <c r="A28" s="123">
        <f>floors!$C$2</f>
        <v>39010</v>
      </c>
      <c r="B28" s="56">
        <v>3</v>
      </c>
      <c r="C28" s="69" t="str">
        <f t="shared" si="0"/>
        <v>39010_3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6">
        <v>27</v>
      </c>
      <c r="F28" s="56" t="s">
        <v>299</v>
      </c>
      <c r="G28" s="56">
        <v>122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50</v>
      </c>
      <c r="Q28" s="56" t="s">
        <v>168</v>
      </c>
      <c r="R28" s="56" t="s">
        <v>169</v>
      </c>
    </row>
    <row r="29" spans="1:18" x14ac:dyDescent="0.15">
      <c r="A29" s="123">
        <f>floors!$C$2</f>
        <v>39010</v>
      </c>
      <c r="B29" s="56">
        <v>3</v>
      </c>
      <c r="C29" s="69" t="str">
        <f t="shared" si="0"/>
        <v>39010_3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6">
        <v>28</v>
      </c>
      <c r="F29" s="56" t="s">
        <v>299</v>
      </c>
      <c r="G29" s="56">
        <v>123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50</v>
      </c>
      <c r="Q29" s="56" t="s">
        <v>168</v>
      </c>
      <c r="R29" s="56" t="s">
        <v>169</v>
      </c>
    </row>
    <row r="30" spans="1:18" x14ac:dyDescent="0.15">
      <c r="A30" s="123">
        <f>floors!$C$2</f>
        <v>39010</v>
      </c>
      <c r="B30" s="56">
        <v>3</v>
      </c>
      <c r="C30" s="69" t="str">
        <f t="shared" si="0"/>
        <v>39010_3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6">
        <v>29</v>
      </c>
      <c r="F30" s="56" t="s">
        <v>299</v>
      </c>
      <c r="G30" s="56">
        <v>125</v>
      </c>
      <c r="H30" s="56">
        <v>1</v>
      </c>
      <c r="I30" s="56">
        <v>1</v>
      </c>
      <c r="J30" s="56">
        <v>1</v>
      </c>
      <c r="K30" s="56">
        <v>0</v>
      </c>
      <c r="L30" s="56">
        <v>0</v>
      </c>
      <c r="M30" s="56">
        <v>0</v>
      </c>
      <c r="N30" s="56">
        <v>0</v>
      </c>
      <c r="O30" s="56">
        <v>1</v>
      </c>
      <c r="P30" s="56">
        <v>10</v>
      </c>
      <c r="Q30" s="56" t="s">
        <v>168</v>
      </c>
      <c r="R30" s="56" t="s">
        <v>169</v>
      </c>
    </row>
    <row r="31" spans="1:18" x14ac:dyDescent="0.15">
      <c r="A31" s="123">
        <f>floors!$C$2</f>
        <v>39010</v>
      </c>
      <c r="B31" s="56">
        <v>3</v>
      </c>
      <c r="C31" s="69" t="str">
        <f t="shared" si="0"/>
        <v>39010_3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6">
        <v>30</v>
      </c>
      <c r="F31" s="56" t="s">
        <v>299</v>
      </c>
      <c r="G31" s="114">
        <v>693</v>
      </c>
      <c r="H31" s="56">
        <v>1</v>
      </c>
      <c r="I31" s="56">
        <v>1</v>
      </c>
      <c r="J31" s="56">
        <v>1</v>
      </c>
      <c r="K31" s="56">
        <v>0</v>
      </c>
      <c r="L31" s="56">
        <v>0</v>
      </c>
      <c r="M31" s="56">
        <v>0</v>
      </c>
      <c r="N31" s="56">
        <v>0</v>
      </c>
      <c r="O31" s="56">
        <v>1</v>
      </c>
      <c r="P31" s="56">
        <v>150</v>
      </c>
      <c r="Q31" s="56" t="s">
        <v>168</v>
      </c>
      <c r="R31" s="56" t="s">
        <v>169</v>
      </c>
    </row>
    <row r="32" spans="1:18" ht="16" thickBot="1" x14ac:dyDescent="0.2">
      <c r="A32" s="124">
        <f>floors!$C$2</f>
        <v>39010</v>
      </c>
      <c r="B32" s="113">
        <v>3</v>
      </c>
      <c r="C32" s="118" t="str">
        <f t="shared" si="0"/>
        <v>39010_3</v>
      </c>
      <c r="D32" s="119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13">
        <v>31</v>
      </c>
      <c r="F32" s="113" t="s">
        <v>299</v>
      </c>
      <c r="G32" s="113">
        <v>354</v>
      </c>
      <c r="H32" s="113">
        <v>1</v>
      </c>
      <c r="I32" s="113">
        <v>1</v>
      </c>
      <c r="J32" s="113">
        <v>1</v>
      </c>
      <c r="K32" s="113">
        <v>0</v>
      </c>
      <c r="L32" s="113">
        <v>0</v>
      </c>
      <c r="M32" s="113">
        <v>0</v>
      </c>
      <c r="N32" s="113">
        <v>0</v>
      </c>
      <c r="O32" s="113">
        <v>1</v>
      </c>
      <c r="P32" s="113">
        <v>150</v>
      </c>
      <c r="Q32" s="113" t="s">
        <v>168</v>
      </c>
      <c r="R32" s="113" t="s">
        <v>169</v>
      </c>
    </row>
    <row r="33" spans="1:18" ht="16" thickTop="1" x14ac:dyDescent="0.15">
      <c r="A33" s="122">
        <f>floors!$C$2</f>
        <v>39010</v>
      </c>
      <c r="B33" s="112">
        <v>4</v>
      </c>
      <c r="C33" s="116" t="str">
        <f t="shared" si="0"/>
        <v>39010_4</v>
      </c>
      <c r="D33" s="11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12">
        <v>32</v>
      </c>
      <c r="F33" s="112" t="s">
        <v>167</v>
      </c>
      <c r="G33" s="112">
        <v>6500</v>
      </c>
      <c r="H33" s="112" t="s">
        <v>300</v>
      </c>
      <c r="I33" s="112">
        <v>1</v>
      </c>
      <c r="J33" s="112">
        <v>1</v>
      </c>
      <c r="K33" s="112">
        <v>0</v>
      </c>
      <c r="L33" s="112">
        <v>0</v>
      </c>
      <c r="M33" s="112">
        <v>0</v>
      </c>
      <c r="N33" s="112">
        <v>0</v>
      </c>
      <c r="O33" s="112">
        <v>1</v>
      </c>
      <c r="P33" s="112">
        <v>150</v>
      </c>
      <c r="Q33" s="112" t="s">
        <v>168</v>
      </c>
      <c r="R33" s="112" t="s">
        <v>169</v>
      </c>
    </row>
    <row r="34" spans="1:18" x14ac:dyDescent="0.15">
      <c r="A34" s="123">
        <f>floors!$C$2</f>
        <v>39010</v>
      </c>
      <c r="B34" s="56">
        <v>4</v>
      </c>
      <c r="C34" s="69" t="str">
        <f t="shared" si="0"/>
        <v>39010_4</v>
      </c>
      <c r="D34" s="18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6">
        <v>33</v>
      </c>
      <c r="F34" s="56" t="s">
        <v>298</v>
      </c>
      <c r="G34" s="56">
        <v>25</v>
      </c>
      <c r="H34" s="56" t="s">
        <v>300</v>
      </c>
      <c r="I34" s="56">
        <v>1</v>
      </c>
      <c r="J34" s="56">
        <v>1</v>
      </c>
      <c r="K34" s="56">
        <v>0</v>
      </c>
      <c r="L34" s="56">
        <v>0</v>
      </c>
      <c r="M34" s="56">
        <v>0</v>
      </c>
      <c r="N34" s="56">
        <v>0</v>
      </c>
      <c r="O34" s="56">
        <v>1</v>
      </c>
      <c r="P34" s="56">
        <v>150</v>
      </c>
      <c r="Q34" s="56" t="s">
        <v>168</v>
      </c>
      <c r="R34" s="56" t="s">
        <v>169</v>
      </c>
    </row>
    <row r="35" spans="1:18" x14ac:dyDescent="0.15">
      <c r="A35" s="123">
        <f>floors!$C$2</f>
        <v>39010</v>
      </c>
      <c r="B35" s="56">
        <v>4</v>
      </c>
      <c r="C35" s="69" t="str">
        <f t="shared" si="0"/>
        <v>39010_4</v>
      </c>
      <c r="D35" s="18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6">
        <v>34</v>
      </c>
      <c r="F35" s="56" t="s">
        <v>299</v>
      </c>
      <c r="G35" s="56">
        <v>344</v>
      </c>
      <c r="H35" s="56">
        <v>1</v>
      </c>
      <c r="I35" s="56">
        <v>1</v>
      </c>
      <c r="J35" s="56">
        <v>1</v>
      </c>
      <c r="K35" s="56">
        <v>0</v>
      </c>
      <c r="L35" s="56">
        <v>0</v>
      </c>
      <c r="M35" s="56">
        <v>0</v>
      </c>
      <c r="N35" s="56">
        <v>0</v>
      </c>
      <c r="O35" s="56">
        <v>1</v>
      </c>
      <c r="P35" s="56">
        <v>28</v>
      </c>
      <c r="Q35" s="56" t="s">
        <v>168</v>
      </c>
      <c r="R35" s="56" t="s">
        <v>169</v>
      </c>
    </row>
    <row r="36" spans="1:18" x14ac:dyDescent="0.15">
      <c r="A36" s="123">
        <f>floors!$C$2</f>
        <v>39010</v>
      </c>
      <c r="B36" s="56">
        <v>4</v>
      </c>
      <c r="C36" s="69" t="str">
        <f t="shared" si="0"/>
        <v>39010_4</v>
      </c>
      <c r="D36" s="18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6">
        <v>35</v>
      </c>
      <c r="F36" s="56" t="s">
        <v>299</v>
      </c>
      <c r="G36" s="56">
        <v>345</v>
      </c>
      <c r="H36" s="56">
        <v>1</v>
      </c>
      <c r="I36" s="56">
        <v>1</v>
      </c>
      <c r="J36" s="56">
        <v>1</v>
      </c>
      <c r="K36" s="56">
        <v>0</v>
      </c>
      <c r="L36" s="56">
        <v>0</v>
      </c>
      <c r="M36" s="56">
        <v>0</v>
      </c>
      <c r="N36" s="56">
        <v>0</v>
      </c>
      <c r="O36" s="56">
        <v>1</v>
      </c>
      <c r="P36" s="56">
        <v>56</v>
      </c>
      <c r="Q36" s="56" t="s">
        <v>168</v>
      </c>
      <c r="R36" s="56" t="s">
        <v>169</v>
      </c>
    </row>
    <row r="37" spans="1:18" x14ac:dyDescent="0.15">
      <c r="A37" s="123">
        <f>floors!$C$2</f>
        <v>39010</v>
      </c>
      <c r="B37" s="56">
        <v>4</v>
      </c>
      <c r="C37" s="69" t="str">
        <f t="shared" si="0"/>
        <v>39010_4</v>
      </c>
      <c r="D37" s="18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6">
        <v>36</v>
      </c>
      <c r="F37" s="56" t="s">
        <v>299</v>
      </c>
      <c r="G37" s="56">
        <v>346</v>
      </c>
      <c r="H37" s="56">
        <v>1</v>
      </c>
      <c r="I37" s="56">
        <v>1</v>
      </c>
      <c r="J37" s="56">
        <v>1</v>
      </c>
      <c r="K37" s="56">
        <v>0</v>
      </c>
      <c r="L37" s="56">
        <v>0</v>
      </c>
      <c r="M37" s="56">
        <v>0</v>
      </c>
      <c r="N37" s="56">
        <v>0</v>
      </c>
      <c r="O37" s="56">
        <v>1</v>
      </c>
      <c r="P37" s="56">
        <v>56</v>
      </c>
      <c r="Q37" s="56" t="s">
        <v>168</v>
      </c>
      <c r="R37" s="56" t="s">
        <v>169</v>
      </c>
    </row>
    <row r="38" spans="1:18" x14ac:dyDescent="0.15">
      <c r="A38" s="123">
        <f>floors!$C$2</f>
        <v>39010</v>
      </c>
      <c r="B38" s="56">
        <v>4</v>
      </c>
      <c r="C38" s="69" t="str">
        <f t="shared" si="0"/>
        <v>39010_4</v>
      </c>
      <c r="D38" s="18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6">
        <v>37</v>
      </c>
      <c r="F38" s="56" t="s">
        <v>299</v>
      </c>
      <c r="G38" s="56">
        <v>121</v>
      </c>
      <c r="H38" s="56">
        <v>1</v>
      </c>
      <c r="I38" s="56">
        <v>1</v>
      </c>
      <c r="J38" s="56">
        <v>1</v>
      </c>
      <c r="K38" s="56">
        <v>0</v>
      </c>
      <c r="L38" s="56">
        <v>0</v>
      </c>
      <c r="M38" s="56">
        <v>0</v>
      </c>
      <c r="N38" s="56">
        <v>0</v>
      </c>
      <c r="O38" s="56">
        <v>1</v>
      </c>
      <c r="P38" s="56">
        <v>50</v>
      </c>
      <c r="Q38" s="56" t="s">
        <v>168</v>
      </c>
      <c r="R38" s="56" t="s">
        <v>169</v>
      </c>
    </row>
    <row r="39" spans="1:18" x14ac:dyDescent="0.15">
      <c r="A39" s="123">
        <f>floors!$C$2</f>
        <v>39010</v>
      </c>
      <c r="B39" s="56">
        <v>4</v>
      </c>
      <c r="C39" s="69" t="str">
        <f t="shared" si="0"/>
        <v>39010_4</v>
      </c>
      <c r="D39" s="18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6">
        <v>38</v>
      </c>
      <c r="F39" s="56" t="s">
        <v>299</v>
      </c>
      <c r="G39" s="56">
        <v>122</v>
      </c>
      <c r="H39" s="56">
        <v>1</v>
      </c>
      <c r="I39" s="56">
        <v>1</v>
      </c>
      <c r="J39" s="56">
        <v>1</v>
      </c>
      <c r="K39" s="56">
        <v>0</v>
      </c>
      <c r="L39" s="56">
        <v>0</v>
      </c>
      <c r="M39" s="56">
        <v>0</v>
      </c>
      <c r="N39" s="56">
        <v>0</v>
      </c>
      <c r="O39" s="56">
        <v>1</v>
      </c>
      <c r="P39" s="56">
        <v>50</v>
      </c>
      <c r="Q39" s="56" t="s">
        <v>168</v>
      </c>
      <c r="R39" s="56" t="s">
        <v>169</v>
      </c>
    </row>
    <row r="40" spans="1:18" x14ac:dyDescent="0.15">
      <c r="A40" s="123">
        <f>floors!$C$2</f>
        <v>39010</v>
      </c>
      <c r="B40" s="56">
        <v>4</v>
      </c>
      <c r="C40" s="69" t="str">
        <f t="shared" si="0"/>
        <v>39010_4</v>
      </c>
      <c r="D40" s="18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6">
        <v>39</v>
      </c>
      <c r="F40" s="56" t="s">
        <v>299</v>
      </c>
      <c r="G40" s="56">
        <v>123</v>
      </c>
      <c r="H40" s="56">
        <v>1</v>
      </c>
      <c r="I40" s="56">
        <v>1</v>
      </c>
      <c r="J40" s="56">
        <v>1</v>
      </c>
      <c r="K40" s="56">
        <v>0</v>
      </c>
      <c r="L40" s="56">
        <v>0</v>
      </c>
      <c r="M40" s="56">
        <v>0</v>
      </c>
      <c r="N40" s="56">
        <v>0</v>
      </c>
      <c r="O40" s="56">
        <v>1</v>
      </c>
      <c r="P40" s="56">
        <v>50</v>
      </c>
      <c r="Q40" s="56" t="s">
        <v>168</v>
      </c>
      <c r="R40" s="56" t="s">
        <v>169</v>
      </c>
    </row>
    <row r="41" spans="1:18" x14ac:dyDescent="0.15">
      <c r="A41" s="123">
        <f>floors!$C$2</f>
        <v>39010</v>
      </c>
      <c r="B41" s="56">
        <v>4</v>
      </c>
      <c r="C41" s="69" t="str">
        <f t="shared" si="0"/>
        <v>39010_4</v>
      </c>
      <c r="D41" s="18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6">
        <v>40</v>
      </c>
      <c r="F41" s="56" t="s">
        <v>299</v>
      </c>
      <c r="G41" s="56">
        <v>125</v>
      </c>
      <c r="H41" s="56">
        <v>1</v>
      </c>
      <c r="I41" s="56">
        <v>1</v>
      </c>
      <c r="J41" s="56">
        <v>1</v>
      </c>
      <c r="K41" s="56">
        <v>0</v>
      </c>
      <c r="L41" s="56">
        <v>0</v>
      </c>
      <c r="M41" s="56">
        <v>0</v>
      </c>
      <c r="N41" s="56">
        <v>0</v>
      </c>
      <c r="O41" s="56">
        <v>1</v>
      </c>
      <c r="P41" s="56">
        <v>10</v>
      </c>
      <c r="Q41" s="56" t="s">
        <v>168</v>
      </c>
      <c r="R41" s="56" t="s">
        <v>169</v>
      </c>
    </row>
    <row r="42" spans="1:18" x14ac:dyDescent="0.15">
      <c r="A42" s="123">
        <f>floors!$C$2</f>
        <v>39010</v>
      </c>
      <c r="B42" s="56">
        <v>4</v>
      </c>
      <c r="C42" s="69" t="str">
        <f t="shared" si="0"/>
        <v>39010_4</v>
      </c>
      <c r="D42" s="18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6">
        <v>41</v>
      </c>
      <c r="F42" s="56" t="s">
        <v>299</v>
      </c>
      <c r="G42" s="114">
        <v>693</v>
      </c>
      <c r="H42" s="56">
        <v>1</v>
      </c>
      <c r="I42" s="56">
        <v>1</v>
      </c>
      <c r="J42" s="56">
        <v>1</v>
      </c>
      <c r="K42" s="56">
        <v>0</v>
      </c>
      <c r="L42" s="56">
        <v>0</v>
      </c>
      <c r="M42" s="56">
        <v>0</v>
      </c>
      <c r="N42" s="56">
        <v>0</v>
      </c>
      <c r="O42" s="56">
        <v>1</v>
      </c>
      <c r="P42" s="56">
        <v>250</v>
      </c>
      <c r="Q42" s="56" t="s">
        <v>168</v>
      </c>
      <c r="R42" s="56" t="s">
        <v>169</v>
      </c>
    </row>
    <row r="43" spans="1:18" x14ac:dyDescent="0.15">
      <c r="A43" s="123">
        <f>floors!$C$2</f>
        <v>39010</v>
      </c>
      <c r="B43" s="56">
        <v>4</v>
      </c>
      <c r="C43" s="69" t="str">
        <f t="shared" si="0"/>
        <v>39010_4</v>
      </c>
      <c r="D43" s="18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56">
        <v>42</v>
      </c>
      <c r="F43" s="56" t="s">
        <v>299</v>
      </c>
      <c r="G43" s="56">
        <v>354</v>
      </c>
      <c r="H43" s="56">
        <v>1</v>
      </c>
      <c r="I43" s="56">
        <v>1</v>
      </c>
      <c r="J43" s="56">
        <v>1</v>
      </c>
      <c r="K43" s="56">
        <v>0</v>
      </c>
      <c r="L43" s="56">
        <v>0</v>
      </c>
      <c r="M43" s="56">
        <v>0</v>
      </c>
      <c r="N43" s="56">
        <v>0</v>
      </c>
      <c r="O43" s="56">
        <v>1</v>
      </c>
      <c r="P43" s="56">
        <v>150</v>
      </c>
      <c r="Q43" s="56" t="s">
        <v>168</v>
      </c>
      <c r="R43" s="56" t="s">
        <v>169</v>
      </c>
    </row>
  </sheetData>
  <phoneticPr fontId="5"/>
  <dataValidations disablePrompts="1"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7" activePane="bottomLeft" state="frozen"/>
      <selection pane="bottomLeft" activeCell="B106" sqref="B10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9" t="s">
        <v>193</v>
      </c>
      <c r="J1" s="77" t="s">
        <v>126</v>
      </c>
      <c r="K1" s="76" t="s">
        <v>185</v>
      </c>
      <c r="L1" s="90" t="s">
        <v>184</v>
      </c>
      <c r="M1" s="78" t="s">
        <v>194</v>
      </c>
    </row>
    <row r="2" spans="1:13" x14ac:dyDescent="0.15">
      <c r="A2" s="79" t="s">
        <v>199</v>
      </c>
      <c r="B2" s="80">
        <f>floors!$C$2</f>
        <v>39010</v>
      </c>
      <c r="C2" s="81" t="str">
        <f ca="1">VLOOKUP($B2,OFFSET([2]quests!$A$1,0,0,COUNTA([2]quests!$A:$A),MATCH(C$1,[2]quests!$1:$1,0)-MATCH($B$1,[2]quests!$1:$1,0)+1),MATCH(C$1,[2]quests!$1:$1,0)-MATCH($B$1,[2]quests!$1:$1,0)+1,FALSE)</f>
        <v>黄巾賊の暴走を止めろ！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コラボクエスト（復刻）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コラボクエスト（復刻）</v>
      </c>
      <c r="H2" s="83">
        <v>0</v>
      </c>
      <c r="I2">
        <v>1</v>
      </c>
      <c r="J2" s="82" t="s">
        <v>196</v>
      </c>
      <c r="K2" s="91" t="str">
        <f>VLOOKUP(I2,[6]stage_hints!$A:$C,3,FALSE)</f>
        <v>長くつなげて大ダメージ</v>
      </c>
      <c r="L2" s="92" t="str">
        <f>VLOOKUP(I2,[6]stage_hints!$A:$D,4,FALSE)</f>
        <v>パネルを長くつなげるほど_x000D_大ダメージを与えることができます</v>
      </c>
      <c r="M2" s="56" t="s">
        <v>209</v>
      </c>
    </row>
    <row r="3" spans="1:13" x14ac:dyDescent="0.15">
      <c r="A3" s="79" t="s">
        <v>199</v>
      </c>
      <c r="B3" s="80">
        <f>floors!$C$2</f>
        <v>39010</v>
      </c>
      <c r="C3" s="81" t="str">
        <f ca="1">VLOOKUP($B3,OFFSET([2]quests!$A$1,0,0,COUNTA([2]quests!$A:$A),MATCH(C$1,[2]quests!$1:$1,0)-MATCH($B$1,[2]quests!$1:$1,0)+1),MATCH(C$1,[2]quests!$1:$1,0)-MATCH($B$1,[2]quests!$1:$1,0)+1,FALSE)</f>
        <v>黄巾賊の暴走を止めろ！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コラボクエスト（復刻）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コラボクエスト（復刻）</v>
      </c>
      <c r="H3" s="83">
        <v>0</v>
      </c>
      <c r="I3">
        <v>2</v>
      </c>
      <c r="J3" s="82" t="s">
        <v>196</v>
      </c>
      <c r="K3" s="91" t="str">
        <f>VLOOKUP(I3,[6]stage_hints!$A:$C,3,FALSE)</f>
        <v>属性の相性</v>
      </c>
      <c r="L3" s="92" t="str">
        <f>VLOOKUP(I3,[6]stage_hints!$A:$D,4,FALSE)</f>
        <v>赤＞青　青＞黄　黄＞緑　緑＞赤_x000D_敵属性に最適なパーティがオススメです</v>
      </c>
      <c r="M3" s="56" t="s">
        <v>209</v>
      </c>
    </row>
    <row r="4" spans="1:13" x14ac:dyDescent="0.15">
      <c r="A4" s="79" t="s">
        <v>199</v>
      </c>
      <c r="B4" s="80">
        <f>floors!$C$2</f>
        <v>39010</v>
      </c>
      <c r="C4" s="81" t="str">
        <f ca="1">VLOOKUP($B4,OFFSET([2]quests!$A$1,0,0,COUNTA([2]quests!$A:$A),MATCH(C$1,[2]quests!$1:$1,0)-MATCH($B$1,[2]quests!$1:$1,0)+1),MATCH(C$1,[2]quests!$1:$1,0)-MATCH($B$1,[2]quests!$1:$1,0)+1,FALSE)</f>
        <v>黄巾賊の暴走を止めろ！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コラボクエスト（復刻）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コラボクエスト（復刻）</v>
      </c>
      <c r="H4" s="83">
        <v>0</v>
      </c>
      <c r="I4">
        <v>3</v>
      </c>
      <c r="J4" s="82" t="s">
        <v>196</v>
      </c>
      <c r="K4" s="91" t="str">
        <f>VLOOKUP(I4,[6]stage_hints!$A:$C,3,FALSE)</f>
        <v>ターゲット</v>
      </c>
      <c r="L4" s="92" t="str">
        <f>VLOOKUP(I4,[6]stage_hints!$A:$D,4,FALSE)</f>
        <v>敵ユニットをタップすると_x000D_その敵を狙い撃ちできます</v>
      </c>
      <c r="M4" s="56" t="s">
        <v>209</v>
      </c>
    </row>
    <row r="5" spans="1:13" x14ac:dyDescent="0.15">
      <c r="A5" s="79" t="s">
        <v>199</v>
      </c>
      <c r="B5" s="80">
        <f>floors!$C$2</f>
        <v>39010</v>
      </c>
      <c r="C5" s="81" t="str">
        <f ca="1">VLOOKUP($B5,OFFSET([2]quests!$A$1,0,0,COUNTA([2]quests!$A:$A),MATCH(C$1,[2]quests!$1:$1,0)-MATCH($B$1,[2]quests!$1:$1,0)+1),MATCH(C$1,[2]quests!$1:$1,0)-MATCH($B$1,[2]quests!$1:$1,0)+1,FALSE)</f>
        <v>黄巾賊の暴走を止めろ！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コラボクエスト（復刻）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コラボクエスト（復刻）</v>
      </c>
      <c r="H5" s="83">
        <v>0</v>
      </c>
      <c r="I5">
        <v>5</v>
      </c>
      <c r="J5" s="82" t="s">
        <v>196</v>
      </c>
      <c r="K5" s="91" t="str">
        <f>VLOOKUP(I5,[6]stage_hints!$A:$C,3,FALSE)</f>
        <v>ユニット強化でレベルアップ</v>
      </c>
      <c r="L5" s="92" t="str">
        <f>VLOOKUP(I5,[6]stage_hints!$A:$D,4,FALSE)</f>
        <v>「ユニット強化」でレベルアップすると_x000D_勝てない敵にも勝てるようになります</v>
      </c>
      <c r="M5" s="56" t="s">
        <v>209</v>
      </c>
    </row>
    <row r="6" spans="1:13" x14ac:dyDescent="0.15">
      <c r="A6" s="79" t="s">
        <v>199</v>
      </c>
      <c r="B6" s="80">
        <f>floors!$C$2</f>
        <v>39010</v>
      </c>
      <c r="C6" s="81" t="str">
        <f ca="1">VLOOKUP($B6,OFFSET([2]quests!$A$1,0,0,COUNTA([2]quests!$A:$A),MATCH(C$1,[2]quests!$1:$1,0)-MATCH($B$1,[2]quests!$1:$1,0)+1),MATCH(C$1,[2]quests!$1:$1,0)-MATCH($B$1,[2]quests!$1:$1,0)+1,FALSE)</f>
        <v>黄巾賊の暴走を止めろ！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コラボクエスト（復刻）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コラボクエスト（復刻）</v>
      </c>
      <c r="H6" s="83">
        <v>0</v>
      </c>
      <c r="I6">
        <v>6</v>
      </c>
      <c r="J6" s="82" t="s">
        <v>196</v>
      </c>
      <c r="K6" s="91" t="str">
        <f>VLOOKUP(I6,[6]stage_hints!$A:$C,3,FALSE)</f>
        <v>ユニット強化の属性ボーナス</v>
      </c>
      <c r="L6" s="92" t="str">
        <f>VLOOKUP(I6,[6]stage_hints!$A:$D,4,FALSE)</f>
        <v>同属性ユニットを強化素材にすると_x000D_経験値が多くもらえます</v>
      </c>
      <c r="M6" s="56" t="s">
        <v>209</v>
      </c>
    </row>
    <row r="7" spans="1:13" x14ac:dyDescent="0.15">
      <c r="A7" s="79" t="s">
        <v>199</v>
      </c>
      <c r="B7" s="80">
        <f>floors!$C$2</f>
        <v>39010</v>
      </c>
      <c r="C7" s="81" t="str">
        <f ca="1">VLOOKUP($B7,OFFSET([2]quests!$A$1,0,0,COUNTA([2]quests!$A:$A),MATCH(C$1,[2]quests!$1:$1,0)-MATCH($B$1,[2]quests!$1:$1,0)+1),MATCH(C$1,[2]quests!$1:$1,0)-MATCH($B$1,[2]quests!$1:$1,0)+1,FALSE)</f>
        <v>黄巾賊の暴走を止めろ！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コラボクエスト（復刻）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コラボクエスト（復刻）</v>
      </c>
      <c r="H7" s="83">
        <v>0</v>
      </c>
      <c r="I7">
        <v>7</v>
      </c>
      <c r="J7" s="82" t="s">
        <v>196</v>
      </c>
      <c r="K7" s="91" t="str">
        <f>VLOOKUP(I7,[6]stage_hints!$A:$C,3,FALSE)</f>
        <v>メタルダックで経験値を獲得</v>
      </c>
      <c r="L7" s="92" t="str">
        <f>VLOOKUP(I7,[6]stage_hints!$A:$D,4,FALSE)</f>
        <v>「メタルなアヒル」を強化素材にすると_x000D_大量の経験値がもらえます</v>
      </c>
      <c r="M7" s="56" t="s">
        <v>209</v>
      </c>
    </row>
    <row r="8" spans="1:13" x14ac:dyDescent="0.15">
      <c r="A8" s="79" t="s">
        <v>199</v>
      </c>
      <c r="B8" s="80">
        <f>floors!$C$2</f>
        <v>39010</v>
      </c>
      <c r="C8" s="81" t="str">
        <f ca="1">VLOOKUP($B8,OFFSET([2]quests!$A$1,0,0,COUNTA([2]quests!$A:$A),MATCH(C$1,[2]quests!$1:$1,0)-MATCH($B$1,[2]quests!$1:$1,0)+1),MATCH(C$1,[2]quests!$1:$1,0)-MATCH($B$1,[2]quests!$1:$1,0)+1,FALSE)</f>
        <v>黄巾賊の暴走を止めろ！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コラボクエスト（復刻）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コラボクエスト（復刻）</v>
      </c>
      <c r="H8" s="83">
        <v>0</v>
      </c>
      <c r="I8">
        <v>8</v>
      </c>
      <c r="J8" s="82" t="s">
        <v>196</v>
      </c>
      <c r="K8" s="91" t="str">
        <f>VLOOKUP(I8,[6]stage_hints!$A:$C,3,FALSE)</f>
        <v>ゲリラクエストは要チェック</v>
      </c>
      <c r="L8" s="92" t="str">
        <f>VLOOKUP(I8,[6]stage_hints!$A:$D,4,FALSE)</f>
        <v>時間限定の「アヒル捕獲作戦」では_x000D_経験値素材ユニットが多く手に入ります</v>
      </c>
      <c r="M8" s="56" t="s">
        <v>209</v>
      </c>
    </row>
    <row r="9" spans="1:13" x14ac:dyDescent="0.15">
      <c r="A9" s="79" t="s">
        <v>199</v>
      </c>
      <c r="B9" s="80">
        <f>floors!$C$2</f>
        <v>39010</v>
      </c>
      <c r="C9" s="81" t="str">
        <f ca="1">VLOOKUP($B9,OFFSET([2]quests!$A$1,0,0,COUNTA([2]quests!$A:$A),MATCH(C$1,[2]quests!$1:$1,0)-MATCH($B$1,[2]quests!$1:$1,0)+1),MATCH(C$1,[2]quests!$1:$1,0)-MATCH($B$1,[2]quests!$1:$1,0)+1,FALSE)</f>
        <v>黄巾賊の暴走を止めろ！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コラボクエスト（復刻）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コラボクエスト（復刻）</v>
      </c>
      <c r="H9" s="83">
        <v>0</v>
      </c>
      <c r="I9">
        <v>9</v>
      </c>
      <c r="J9" s="82" t="s">
        <v>196</v>
      </c>
      <c r="K9" s="91" t="str">
        <f>VLOOKUP(I9,[6]stage_hints!$A:$C,3,FALSE)</f>
        <v>ゴールドダックでビットを獲得</v>
      </c>
      <c r="L9" s="92" t="str">
        <f>VLOOKUP(I9,[6]stage_hints!$A:$D,4,FALSE)</f>
        <v>「ゴールドなアヒル」を売却すると_x000D_大量のビットがもらえます</v>
      </c>
      <c r="M9" s="56" t="s">
        <v>209</v>
      </c>
    </row>
    <row r="10" spans="1:13" x14ac:dyDescent="0.15">
      <c r="A10" s="79" t="s">
        <v>199</v>
      </c>
      <c r="B10" s="80">
        <f>floors!$C$2</f>
        <v>39010</v>
      </c>
      <c r="C10" s="81" t="str">
        <f ca="1">VLOOKUP($B10,OFFSET([2]quests!$A$1,0,0,COUNTA([2]quests!$A:$A),MATCH(C$1,[2]quests!$1:$1,0)-MATCH($B$1,[2]quests!$1:$1,0)+1),MATCH(C$1,[2]quests!$1:$1,0)-MATCH($B$1,[2]quests!$1:$1,0)+1,FALSE)</f>
        <v>黄巾賊の暴走を止めろ！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コラボクエスト（復刻）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コラボクエスト（復刻）</v>
      </c>
      <c r="H10" s="83">
        <v>0</v>
      </c>
      <c r="I10">
        <v>10</v>
      </c>
      <c r="J10" s="82" t="s">
        <v>196</v>
      </c>
      <c r="K10" s="91" t="str">
        <f>VLOOKUP(I10,[6]stage_hints!$A:$C,3,FALSE)</f>
        <v>土日に大量のビットを獲得</v>
      </c>
      <c r="L10" s="92" t="str">
        <f>VLOOKUP(I10,[6]stage_hints!$A:$D,4,FALSE)</f>
        <v>土日限定の「ゴールドカジノ」では_x000D_売却素材ユニットが多く手に入ります</v>
      </c>
      <c r="M10" s="56" t="s">
        <v>209</v>
      </c>
    </row>
    <row r="11" spans="1:13" x14ac:dyDescent="0.15">
      <c r="A11" s="79" t="s">
        <v>199</v>
      </c>
      <c r="B11" s="80">
        <f>floors!$C$2</f>
        <v>39010</v>
      </c>
      <c r="C11" s="81" t="str">
        <f ca="1">VLOOKUP($B11,OFFSET([2]quests!$A$1,0,0,COUNTA([2]quests!$A:$A),MATCH(C$1,[2]quests!$1:$1,0)-MATCH($B$1,[2]quests!$1:$1,0)+1),MATCH(C$1,[2]quests!$1:$1,0)-MATCH($B$1,[2]quests!$1:$1,0)+1,FALSE)</f>
        <v>黄巾賊の暴走を止めろ！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コラボクエスト（復刻）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コラボクエスト（復刻）</v>
      </c>
      <c r="H11" s="83">
        <v>0</v>
      </c>
      <c r="I11">
        <v>11</v>
      </c>
      <c r="J11" s="82" t="s">
        <v>196</v>
      </c>
      <c r="K11" s="91" t="str">
        <f>VLOOKUP(I11,[6]stage_hints!$A:$C,3,FALSE)</f>
        <v>ランク解放クエスト</v>
      </c>
      <c r="L11" s="92" t="str">
        <f>VLOOKUP(I11,[6]stage_hints!$A:$D,4,FALSE)</f>
        <v>一定ランクに到達すると_x000D_報酬付きのランク開放クエストが現れます</v>
      </c>
      <c r="M11" s="56" t="s">
        <v>209</v>
      </c>
    </row>
    <row r="12" spans="1:13" x14ac:dyDescent="0.15">
      <c r="A12" s="79" t="s">
        <v>199</v>
      </c>
      <c r="B12" s="80">
        <f>floors!$C$2</f>
        <v>39010</v>
      </c>
      <c r="C12" s="81" t="str">
        <f ca="1">VLOOKUP($B12,OFFSET([2]quests!$A$1,0,0,COUNTA([2]quests!$A:$A),MATCH(C$1,[2]quests!$1:$1,0)-MATCH($B$1,[2]quests!$1:$1,0)+1),MATCH(C$1,[2]quests!$1:$1,0)-MATCH($B$1,[2]quests!$1:$1,0)+1,FALSE)</f>
        <v>黄巾賊の暴走を止めろ！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コラボクエスト（復刻）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コラボクエスト（復刻）</v>
      </c>
      <c r="H12" s="83">
        <v>0</v>
      </c>
      <c r="I12">
        <v>12</v>
      </c>
      <c r="J12" s="82" t="s">
        <v>196</v>
      </c>
      <c r="K12" s="91" t="str">
        <f>VLOOKUP(I12,[6]stage_hints!$A:$C,3,FALSE)</f>
        <v>ユニットのお気に入り登録</v>
      </c>
      <c r="L12" s="92" t="str">
        <f>VLOOKUP(I12,[6]stage_hints!$A:$D,4,FALSE)</f>
        <v>大事なユニットを誤って消さないように_x000D_フォルダから「お気に入り登録」しましょう</v>
      </c>
      <c r="M12" s="56" t="s">
        <v>209</v>
      </c>
    </row>
    <row r="13" spans="1:13" x14ac:dyDescent="0.15">
      <c r="A13" s="79" t="s">
        <v>199</v>
      </c>
      <c r="B13" s="80">
        <f>floors!$C$2</f>
        <v>39010</v>
      </c>
      <c r="C13" s="81" t="str">
        <f ca="1">VLOOKUP($B13,OFFSET([2]quests!$A$1,0,0,COUNTA([2]quests!$A:$A),MATCH(C$1,[2]quests!$1:$1,0)-MATCH($B$1,[2]quests!$1:$1,0)+1),MATCH(C$1,[2]quests!$1:$1,0)-MATCH($B$1,[2]quests!$1:$1,0)+1,FALSE)</f>
        <v>黄巾賊の暴走を止めろ！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コラボクエスト（復刻）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コラボクエスト（復刻）</v>
      </c>
      <c r="H13" s="83">
        <v>0</v>
      </c>
      <c r="I13">
        <v>13</v>
      </c>
      <c r="J13" s="82" t="s">
        <v>196</v>
      </c>
      <c r="K13" s="91" t="str">
        <f>VLOOKUP(I13,[6]stage_hints!$A:$C,3,FALSE)</f>
        <v>ユニットの覚醒</v>
      </c>
      <c r="L13" s="92" t="str">
        <f>VLOOKUP(I13,[6]stage_hints!$A:$D,4,FALSE)</f>
        <v>ユニットを覚醒させると_x000D_比べものにならない強さが手に入ります</v>
      </c>
      <c r="M13" s="56" t="s">
        <v>209</v>
      </c>
    </row>
    <row r="14" spans="1:13" x14ac:dyDescent="0.15">
      <c r="A14" s="79" t="s">
        <v>199</v>
      </c>
      <c r="B14" s="80">
        <f>floors!$C$2</f>
        <v>39010</v>
      </c>
      <c r="C14" s="81" t="str">
        <f ca="1">VLOOKUP($B14,OFFSET([2]quests!$A$1,0,0,COUNTA([2]quests!$A:$A),MATCH(C$1,[2]quests!$1:$1,0)-MATCH($B$1,[2]quests!$1:$1,0)+1),MATCH(C$1,[2]quests!$1:$1,0)-MATCH($B$1,[2]quests!$1:$1,0)+1,FALSE)</f>
        <v>黄巾賊の暴走を止めろ！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コラボクエスト（復刻）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コラボクエスト（復刻）</v>
      </c>
      <c r="H14" s="83">
        <v>0</v>
      </c>
      <c r="I14">
        <v>14</v>
      </c>
      <c r="J14" s="82" t="s">
        <v>196</v>
      </c>
      <c r="K14" s="91" t="str">
        <f>VLOOKUP(I14,[6]stage_hints!$A:$C,3,FALSE)</f>
        <v>覚醒するにはレベルを最大に</v>
      </c>
      <c r="L14" s="92" t="str">
        <f>VLOOKUP(I14,[6]stage_hints!$A:$D,4,FALSE)</f>
        <v>覚醒するにはユニットのレベルを_x000D_最大まで上げる必要があります</v>
      </c>
      <c r="M14" s="56" t="s">
        <v>209</v>
      </c>
    </row>
    <row r="15" spans="1:13" x14ac:dyDescent="0.15">
      <c r="A15" s="79" t="s">
        <v>199</v>
      </c>
      <c r="B15" s="80">
        <f>floors!$C$2</f>
        <v>39010</v>
      </c>
      <c r="C15" s="81" t="str">
        <f ca="1">VLOOKUP($B15,OFFSET([2]quests!$A$1,0,0,COUNTA([2]quests!$A:$A),MATCH(C$1,[2]quests!$1:$1,0)-MATCH($B$1,[2]quests!$1:$1,0)+1),MATCH(C$1,[2]quests!$1:$1,0)-MATCH($B$1,[2]quests!$1:$1,0)+1,FALSE)</f>
        <v>黄巾賊の暴走を止めろ！</v>
      </c>
      <c r="D15" s="81" t="str">
        <f ca="1">VLOOKUP($B15,OFFSET([2]quests!$A$1,0,0,COUNTA([2]quests!$A:$A),MATCH(D$1,[2]quests!$1:$1,0)-MATCH($B$1,[2]quests!$1:$1,0)+1),MATCH(D$1,[2]quests!$1:$1,0)-MATCH($B$1,[2]quests!$1:$1,0)+1,FALSE)</f>
        <v>コラボクエスト（復刻）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コラボクエスト（復刻）</v>
      </c>
      <c r="H15" s="83">
        <v>0</v>
      </c>
      <c r="I15">
        <v>15</v>
      </c>
      <c r="J15" s="82" t="s">
        <v>196</v>
      </c>
      <c r="K15" s="91" t="str">
        <f>VLOOKUP(I15,[6]stage_hints!$A:$C,3,FALSE)</f>
        <v>覚醒素材を獲得</v>
      </c>
      <c r="L15" s="92" t="str">
        <f>VLOOKUP(I15,[6]stage_hints!$A:$D,4,FALSE)</f>
        <v>「曜日クエスト」では_x000D_ユニットの覚醒に必要な素材が手に入ります</v>
      </c>
      <c r="M15" s="56" t="s">
        <v>209</v>
      </c>
    </row>
    <row r="16" spans="1:13" x14ac:dyDescent="0.15">
      <c r="A16" s="79" t="s">
        <v>199</v>
      </c>
      <c r="B16" s="80">
        <f>floors!$C$2</f>
        <v>39010</v>
      </c>
      <c r="C16" s="81" t="str">
        <f ca="1">VLOOKUP($B16,OFFSET([2]quests!$A$1,0,0,COUNTA([2]quests!$A:$A),MATCH(C$1,[2]quests!$1:$1,0)-MATCH($B$1,[2]quests!$1:$1,0)+1),MATCH(C$1,[2]quests!$1:$1,0)-MATCH($B$1,[2]quests!$1:$1,0)+1,FALSE)</f>
        <v>黄巾賊の暴走を止めろ！</v>
      </c>
      <c r="D16" s="81" t="str">
        <f ca="1">VLOOKUP($B16,OFFSET([2]quests!$A$1,0,0,COUNTA([2]quests!$A:$A),MATCH(D$1,[2]quests!$1:$1,0)-MATCH($B$1,[2]quests!$1:$1,0)+1),MATCH(D$1,[2]quests!$1:$1,0)-MATCH($B$1,[2]quests!$1:$1,0)+1,FALSE)</f>
        <v>コラボクエスト（復刻）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コラボクエスト（復刻）</v>
      </c>
      <c r="H16" s="83">
        <v>0</v>
      </c>
      <c r="I16">
        <v>16</v>
      </c>
      <c r="J16" s="82" t="s">
        <v>196</v>
      </c>
      <c r="K16" s="91" t="str">
        <f>VLOOKUP(I16,[6]stage_hints!$A:$C,3,FALSE)</f>
        <v>マルチプレイのメリット（その1）</v>
      </c>
      <c r="L16" s="92" t="str">
        <f>VLOOKUP(I16,[6]stage_hints!$A:$D,4,FALSE)</f>
        <v>他のプレイヤーとマルチプレイで遊ぶと_x000D_ポリゴンがもらえます（100人まで）</v>
      </c>
      <c r="M16" s="56" t="s">
        <v>209</v>
      </c>
    </row>
    <row r="17" spans="1:13" x14ac:dyDescent="0.15">
      <c r="A17" s="79" t="s">
        <v>199</v>
      </c>
      <c r="B17" s="80">
        <f>floors!$C$2</f>
        <v>39010</v>
      </c>
      <c r="C17" s="81" t="str">
        <f ca="1">VLOOKUP($B17,OFFSET([2]quests!$A$1,0,0,COUNTA([2]quests!$A:$A),MATCH(C$1,[2]quests!$1:$1,0)-MATCH($B$1,[2]quests!$1:$1,0)+1),MATCH(C$1,[2]quests!$1:$1,0)-MATCH($B$1,[2]quests!$1:$1,0)+1,FALSE)</f>
        <v>黄巾賊の暴走を止めろ！</v>
      </c>
      <c r="D17" s="81" t="str">
        <f ca="1">VLOOKUP($B17,OFFSET([2]quests!$A$1,0,0,COUNTA([2]quests!$A:$A),MATCH(D$1,[2]quests!$1:$1,0)-MATCH($B$1,[2]quests!$1:$1,0)+1),MATCH(D$1,[2]quests!$1:$1,0)-MATCH($B$1,[2]quests!$1:$1,0)+1,FALSE)</f>
        <v>コラボクエスト（復刻）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コラボクエスト（復刻）</v>
      </c>
      <c r="H17" s="83">
        <v>0</v>
      </c>
      <c r="I17">
        <v>17</v>
      </c>
      <c r="J17" s="82" t="s">
        <v>196</v>
      </c>
      <c r="K17" s="91" t="str">
        <f>VLOOKUP(I17,[6]stage_hints!$A:$C,3,FALSE)</f>
        <v>リンクガチャ</v>
      </c>
      <c r="L17" s="92" t="str">
        <f>VLOOKUP(I17,[6]stage_hints!$A:$D,4,FALSE)</f>
        <v>無料のリンクガチャを回して_x000D_経験値素材や売却素材を獲得しましょう</v>
      </c>
      <c r="M17" s="56" t="s">
        <v>209</v>
      </c>
    </row>
    <row r="18" spans="1:13" x14ac:dyDescent="0.15">
      <c r="A18" s="79" t="s">
        <v>199</v>
      </c>
      <c r="B18" s="80">
        <f>floors!$C$2</f>
        <v>39010</v>
      </c>
      <c r="C18" s="81" t="str">
        <f ca="1">VLOOKUP($B18,OFFSET([2]quests!$A$1,0,0,COUNTA([2]quests!$A:$A),MATCH(C$1,[2]quests!$1:$1,0)-MATCH($B$1,[2]quests!$1:$1,0)+1),MATCH(C$1,[2]quests!$1:$1,0)-MATCH($B$1,[2]quests!$1:$1,0)+1,FALSE)</f>
        <v>黄巾賊の暴走を止めろ！</v>
      </c>
      <c r="D18" s="81" t="str">
        <f ca="1">VLOOKUP($B18,OFFSET([2]quests!$A$1,0,0,COUNTA([2]quests!$A:$A),MATCH(D$1,[2]quests!$1:$1,0)-MATCH($B$1,[2]quests!$1:$1,0)+1),MATCH(D$1,[2]quests!$1:$1,0)-MATCH($B$1,[2]quests!$1:$1,0)+1,FALSE)</f>
        <v>コラボクエスト（復刻）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コラボクエスト（復刻）</v>
      </c>
      <c r="H18" s="83">
        <v>0</v>
      </c>
      <c r="I18">
        <v>18</v>
      </c>
      <c r="J18" s="82" t="s">
        <v>196</v>
      </c>
      <c r="K18" s="91" t="str">
        <f>VLOOKUP(I18,[6]stage_hints!$A:$C,3,FALSE)</f>
        <v>マルチプレイのメリット（その2）</v>
      </c>
      <c r="L18" s="92" t="str">
        <f>VLOOKUP(I18,[6]stage_hints!$A:$D,4,FALSE)</f>
        <v>マルチプレイならリンクが2倍もらえます_x000D_リンクガチャをたくさん回しましょう</v>
      </c>
      <c r="M18" s="56" t="s">
        <v>209</v>
      </c>
    </row>
    <row r="19" spans="1:13" x14ac:dyDescent="0.15">
      <c r="A19" s="79" t="s">
        <v>199</v>
      </c>
      <c r="B19" s="80">
        <f>floors!$C$2</f>
        <v>39010</v>
      </c>
      <c r="C19" s="81" t="str">
        <f ca="1">VLOOKUP($B19,OFFSET([2]quests!$A$1,0,0,COUNTA([2]quests!$A:$A),MATCH(C$1,[2]quests!$1:$1,0)-MATCH($B$1,[2]quests!$1:$1,0)+1),MATCH(C$1,[2]quests!$1:$1,0)-MATCH($B$1,[2]quests!$1:$1,0)+1,FALSE)</f>
        <v>黄巾賊の暴走を止めろ！</v>
      </c>
      <c r="D19" s="81" t="str">
        <f ca="1">VLOOKUP($B19,OFFSET([2]quests!$A$1,0,0,COUNTA([2]quests!$A:$A),MATCH(D$1,[2]quests!$1:$1,0)-MATCH($B$1,[2]quests!$1:$1,0)+1),MATCH(D$1,[2]quests!$1:$1,0)-MATCH($B$1,[2]quests!$1:$1,0)+1,FALSE)</f>
        <v>コラボクエスト（復刻）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コラボクエスト（復刻）</v>
      </c>
      <c r="H19" s="83">
        <v>0</v>
      </c>
      <c r="I19">
        <v>19</v>
      </c>
      <c r="J19" s="82" t="s">
        <v>196</v>
      </c>
      <c r="K19" s="91" t="str">
        <f>VLOOKUP(I19,[6]stage_hints!$A:$C,3,FALSE)</f>
        <v>ソロ専用タワーオブザクイーン</v>
      </c>
      <c r="L19" s="92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6" t="s">
        <v>209</v>
      </c>
    </row>
    <row r="20" spans="1:13" x14ac:dyDescent="0.15">
      <c r="A20" s="79" t="s">
        <v>199</v>
      </c>
      <c r="B20" s="80">
        <f>floors!$C$2</f>
        <v>39010</v>
      </c>
      <c r="C20" s="81" t="str">
        <f ca="1">VLOOKUP($B20,OFFSET([2]quests!$A$1,0,0,COUNTA([2]quests!$A:$A),MATCH(C$1,[2]quests!$1:$1,0)-MATCH($B$1,[2]quests!$1:$1,0)+1),MATCH(C$1,[2]quests!$1:$1,0)-MATCH($B$1,[2]quests!$1:$1,0)+1,FALSE)</f>
        <v>黄巾賊の暴走を止めろ！</v>
      </c>
      <c r="D20" s="81" t="str">
        <f ca="1">VLOOKUP($B20,OFFSET([2]quests!$A$1,0,0,COUNTA([2]quests!$A:$A),MATCH(D$1,[2]quests!$1:$1,0)-MATCH($B$1,[2]quests!$1:$1,0)+1),MATCH(D$1,[2]quests!$1:$1,0)-MATCH($B$1,[2]quests!$1:$1,0)+1,FALSE)</f>
        <v>コラボクエスト（復刻）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コラボクエスト（復刻）</v>
      </c>
      <c r="H20" s="83">
        <v>0</v>
      </c>
      <c r="I20">
        <v>20</v>
      </c>
      <c r="J20" s="82" t="s">
        <v>196</v>
      </c>
      <c r="K20" s="91" t="str">
        <f>VLOOKUP(I20,[6]stage_hints!$A:$C,3,FALSE)</f>
        <v>マルチプレイのメリット（その3）</v>
      </c>
      <c r="L20" s="92" t="str">
        <f>VLOOKUP(I20,[6]stage_hints!$A:$D,4,FALSE)</f>
        <v>マルチプレイへの参加はエナジー消費ゼロ_x000D_いつでも好きなだけ遊ぶことができます</v>
      </c>
      <c r="M20" s="56" t="s">
        <v>209</v>
      </c>
    </row>
    <row r="21" spans="1:13" x14ac:dyDescent="0.15">
      <c r="A21" s="79" t="s">
        <v>199</v>
      </c>
      <c r="B21" s="80">
        <f>floors!$C$2</f>
        <v>39010</v>
      </c>
      <c r="C21" s="81" t="str">
        <f ca="1">VLOOKUP($B21,OFFSET([2]quests!$A$1,0,0,COUNTA([2]quests!$A:$A),MATCH(C$1,[2]quests!$1:$1,0)-MATCH($B$1,[2]quests!$1:$1,0)+1),MATCH(C$1,[2]quests!$1:$1,0)-MATCH($B$1,[2]quests!$1:$1,0)+1,FALSE)</f>
        <v>黄巾賊の暴走を止めろ！</v>
      </c>
      <c r="D21" s="81" t="str">
        <f ca="1">VLOOKUP($B21,OFFSET([2]quests!$A$1,0,0,COUNTA([2]quests!$A:$A),MATCH(D$1,[2]quests!$1:$1,0)-MATCH($B$1,[2]quests!$1:$1,0)+1),MATCH(D$1,[2]quests!$1:$1,0)-MATCH($B$1,[2]quests!$1:$1,0)+1,FALSE)</f>
        <v>コラボクエスト（復刻）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コラボクエスト（復刻）</v>
      </c>
      <c r="H21" s="83">
        <v>0</v>
      </c>
      <c r="I21">
        <v>21</v>
      </c>
      <c r="J21" s="82" t="s">
        <v>196</v>
      </c>
      <c r="K21" s="91" t="str">
        <f>VLOOKUP(I21,[6]stage_hints!$A:$C,3,FALSE)</f>
        <v>スキルを有効に</v>
      </c>
      <c r="L21" s="92" t="str">
        <f>VLOOKUP(I21,[6]stage_hints!$A:$D,4,FALSE)</f>
        <v>ターン経過でユニットのスキルが使えます_x000D_強力スキルでバトルを有利に進めましょう</v>
      </c>
      <c r="M21" s="56" t="s">
        <v>209</v>
      </c>
    </row>
    <row r="22" spans="1:13" x14ac:dyDescent="0.15">
      <c r="A22" s="79" t="s">
        <v>199</v>
      </c>
      <c r="B22" s="80">
        <f>floors!$C$2</f>
        <v>39010</v>
      </c>
      <c r="C22" s="81" t="str">
        <f ca="1">VLOOKUP($B22,OFFSET([2]quests!$A$1,0,0,COUNTA([2]quests!$A:$A),MATCH(C$1,[2]quests!$1:$1,0)-MATCH($B$1,[2]quests!$1:$1,0)+1),MATCH(C$1,[2]quests!$1:$1,0)-MATCH($B$1,[2]quests!$1:$1,0)+1,FALSE)</f>
        <v>黄巾賊の暴走を止めろ！</v>
      </c>
      <c r="D22" s="81" t="str">
        <f ca="1">VLOOKUP($B22,OFFSET([2]quests!$A$1,0,0,COUNTA([2]quests!$A:$A),MATCH(D$1,[2]quests!$1:$1,0)-MATCH($B$1,[2]quests!$1:$1,0)+1),MATCH(D$1,[2]quests!$1:$1,0)-MATCH($B$1,[2]quests!$1:$1,0)+1,FALSE)</f>
        <v>コラボクエスト（復刻）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コラボクエスト（復刻）</v>
      </c>
      <c r="H22" s="83">
        <v>0</v>
      </c>
      <c r="I22">
        <v>22</v>
      </c>
      <c r="J22" s="82" t="s">
        <v>196</v>
      </c>
      <c r="K22" s="91" t="str">
        <f>VLOOKUP(I22,[6]stage_hints!$A:$C,3,FALSE)</f>
        <v>フィーバーで一発逆転（その1）</v>
      </c>
      <c r="L22" s="92" t="str">
        <f>VLOOKUP(I22,[6]stage_hints!$A:$D,4,FALSE)</f>
        <v>フィーバーは攻撃と回復を兼ね備えます_x000D_ピンチからの一発逆転を狙いましょう</v>
      </c>
      <c r="M22" s="56" t="s">
        <v>209</v>
      </c>
    </row>
    <row r="23" spans="1:13" x14ac:dyDescent="0.15">
      <c r="A23" s="79" t="s">
        <v>199</v>
      </c>
      <c r="B23" s="80">
        <f>floors!$C$2</f>
        <v>39010</v>
      </c>
      <c r="C23" s="81" t="str">
        <f ca="1">VLOOKUP($B23,OFFSET([2]quests!$A$1,0,0,COUNTA([2]quests!$A:$A),MATCH(C$1,[2]quests!$1:$1,0)-MATCH($B$1,[2]quests!$1:$1,0)+1),MATCH(C$1,[2]quests!$1:$1,0)-MATCH($B$1,[2]quests!$1:$1,0)+1,FALSE)</f>
        <v>黄巾賊の暴走を止めろ！</v>
      </c>
      <c r="D23" s="81" t="str">
        <f ca="1">VLOOKUP($B23,OFFSET([2]quests!$A$1,0,0,COUNTA([2]quests!$A:$A),MATCH(D$1,[2]quests!$1:$1,0)-MATCH($B$1,[2]quests!$1:$1,0)+1),MATCH(D$1,[2]quests!$1:$1,0)-MATCH($B$1,[2]quests!$1:$1,0)+1,FALSE)</f>
        <v>コラボクエスト（復刻）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コラボクエスト（復刻）</v>
      </c>
      <c r="H23" s="83">
        <v>0</v>
      </c>
      <c r="I23">
        <v>23</v>
      </c>
      <c r="J23" s="82" t="s">
        <v>196</v>
      </c>
      <c r="K23" s="91" t="str">
        <f>VLOOKUP(I23,[6]stage_hints!$A:$C,3,FALSE)</f>
        <v>フィーバーで一発逆転（その2）</v>
      </c>
      <c r="L23" s="92" t="str">
        <f>VLOOKUP(I23,[6]stage_hints!$A:$D,4,FALSE)</f>
        <v>フィーバー中は虹色のボムパネルを狙って_x000D_画面上のパネルを一気に破壊しましょう</v>
      </c>
      <c r="M23" s="56" t="s">
        <v>209</v>
      </c>
    </row>
    <row r="24" spans="1:13" x14ac:dyDescent="0.15">
      <c r="A24" s="79" t="s">
        <v>199</v>
      </c>
      <c r="B24" s="80">
        <f>floors!$C$2</f>
        <v>39010</v>
      </c>
      <c r="C24" s="81" t="str">
        <f ca="1">VLOOKUP($B24,OFFSET([2]quests!$A$1,0,0,COUNTA([2]quests!$A:$A),MATCH(C$1,[2]quests!$1:$1,0)-MATCH($B$1,[2]quests!$1:$1,0)+1),MATCH(C$1,[2]quests!$1:$1,0)-MATCH($B$1,[2]quests!$1:$1,0)+1,FALSE)</f>
        <v>黄巾賊の暴走を止めろ！</v>
      </c>
      <c r="D24" s="81" t="str">
        <f ca="1">VLOOKUP($B24,OFFSET([2]quests!$A$1,0,0,COUNTA([2]quests!$A:$A),MATCH(D$1,[2]quests!$1:$1,0)-MATCH($B$1,[2]quests!$1:$1,0)+1),MATCH(D$1,[2]quests!$1:$1,0)-MATCH($B$1,[2]quests!$1:$1,0)+1,FALSE)</f>
        <v>コラボクエスト（復刻）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コラボクエスト（復刻）</v>
      </c>
      <c r="H24" s="83">
        <v>0</v>
      </c>
      <c r="I24">
        <v>24</v>
      </c>
      <c r="J24" s="82" t="s">
        <v>196</v>
      </c>
      <c r="K24" s="91" t="str">
        <f>VLOOKUP(I24,[6]stage_hints!$A:$C,3,FALSE)</f>
        <v>りんごを使って限界突破</v>
      </c>
      <c r="L24" s="92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56" t="s">
        <v>209</v>
      </c>
    </row>
    <row r="25" spans="1:13" x14ac:dyDescent="0.15">
      <c r="A25" s="79" t="s">
        <v>199</v>
      </c>
      <c r="B25" s="80">
        <f>floors!$C$2</f>
        <v>39010</v>
      </c>
      <c r="C25" s="81" t="str">
        <f ca="1">VLOOKUP($B25,OFFSET([2]quests!$A$1,0,0,COUNTA([2]quests!$A:$A),MATCH(C$1,[2]quests!$1:$1,0)-MATCH($B$1,[2]quests!$1:$1,0)+1),MATCH(C$1,[2]quests!$1:$1,0)-MATCH($B$1,[2]quests!$1:$1,0)+1,FALSE)</f>
        <v>黄巾賊の暴走を止めろ！</v>
      </c>
      <c r="D25" s="81" t="str">
        <f ca="1">VLOOKUP($B25,OFFSET([2]quests!$A$1,0,0,COUNTA([2]quests!$A:$A),MATCH(D$1,[2]quests!$1:$1,0)-MATCH($B$1,[2]quests!$1:$1,0)+1),MATCH(D$1,[2]quests!$1:$1,0)-MATCH($B$1,[2]quests!$1:$1,0)+1,FALSE)</f>
        <v>コラボクエスト（復刻）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コラボクエスト（復刻）</v>
      </c>
      <c r="H25" s="83">
        <v>0</v>
      </c>
      <c r="I25">
        <v>25</v>
      </c>
      <c r="J25" s="82" t="s">
        <v>196</v>
      </c>
      <c r="K25" s="91" t="str">
        <f>VLOOKUP(I25,[6]stage_hints!$A:$C,3,FALSE)</f>
        <v>スキルレベルアップ</v>
      </c>
      <c r="L25" s="92" t="str">
        <f>VLOOKUP(I25,[6]stage_hints!$A:$D,4,FALSE)</f>
        <v>「クリスタルのりんご」を強化に使うと_x000D_スキルレベルを上げることができます</v>
      </c>
      <c r="M25" s="56" t="s">
        <v>209</v>
      </c>
    </row>
    <row r="26" spans="1:13" x14ac:dyDescent="0.15">
      <c r="A26" s="79" t="s">
        <v>199</v>
      </c>
      <c r="B26" s="80">
        <f>floors!$C$2</f>
        <v>39010</v>
      </c>
      <c r="C26" s="81" t="str">
        <f ca="1">VLOOKUP($B26,OFFSET([2]quests!$A$1,0,0,COUNTA([2]quests!$A:$A),MATCH(C$1,[2]quests!$1:$1,0)-MATCH($B$1,[2]quests!$1:$1,0)+1),MATCH(C$1,[2]quests!$1:$1,0)-MATCH($B$1,[2]quests!$1:$1,0)+1,FALSE)</f>
        <v>黄巾賊の暴走を止めろ！</v>
      </c>
      <c r="D26" s="81" t="str">
        <f ca="1">VLOOKUP($B26,OFFSET([2]quests!$A$1,0,0,COUNTA([2]quests!$A:$A),MATCH(D$1,[2]quests!$1:$1,0)-MATCH($B$1,[2]quests!$1:$1,0)+1),MATCH(D$1,[2]quests!$1:$1,0)-MATCH($B$1,[2]quests!$1:$1,0)+1,FALSE)</f>
        <v>コラボクエスト（復刻）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コラボクエスト（復刻）</v>
      </c>
      <c r="H26" s="83">
        <v>0</v>
      </c>
      <c r="I26">
        <v>26</v>
      </c>
      <c r="J26" s="82" t="s">
        <v>196</v>
      </c>
      <c r="K26" s="91" t="str">
        <f>VLOOKUP(I26,[6]stage_hints!$A:$C,3,FALSE)</f>
        <v>スキルレベルの効果</v>
      </c>
      <c r="L26" s="92" t="str">
        <f>VLOOKUP(I26,[6]stage_hints!$A:$D,4,FALSE)</f>
        <v>スキルレベルが上がると_x000D_短いターンでスキルを使うことができます</v>
      </c>
      <c r="M26" s="56" t="s">
        <v>209</v>
      </c>
    </row>
    <row r="27" spans="1:13" x14ac:dyDescent="0.15">
      <c r="A27" s="79" t="s">
        <v>199</v>
      </c>
      <c r="B27" s="80">
        <f>floors!$C$2</f>
        <v>39010</v>
      </c>
      <c r="C27" s="81" t="str">
        <f ca="1">VLOOKUP($B27,OFFSET([2]quests!$A$1,0,0,COUNTA([2]quests!$A:$A),MATCH(C$1,[2]quests!$1:$1,0)-MATCH($B$1,[2]quests!$1:$1,0)+1),MATCH(C$1,[2]quests!$1:$1,0)-MATCH($B$1,[2]quests!$1:$1,0)+1,FALSE)</f>
        <v>黄巾賊の暴走を止めろ！</v>
      </c>
      <c r="D27" s="81" t="str">
        <f ca="1">VLOOKUP($B27,OFFSET([2]quests!$A$1,0,0,COUNTA([2]quests!$A:$A),MATCH(D$1,[2]quests!$1:$1,0)-MATCH($B$1,[2]quests!$1:$1,0)+1),MATCH(D$1,[2]quests!$1:$1,0)-MATCH($B$1,[2]quests!$1:$1,0)+1,FALSE)</f>
        <v>コラボクエスト（復刻）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コラボクエスト（復刻）</v>
      </c>
      <c r="H27" s="83">
        <v>0</v>
      </c>
      <c r="I27">
        <v>39</v>
      </c>
      <c r="J27" s="82" t="s">
        <v>196</v>
      </c>
      <c r="K27" s="91" t="str">
        <f>VLOOKUP(I27,[6]stage_hints!$A:$C,3,FALSE)</f>
        <v>システム適合者を確認</v>
      </c>
      <c r="L27" s="92" t="str">
        <f>VLOOKUP(I27,[6]stage_hints!$A:$D,4,FALSE)</f>
        <v>ALICEが 「アナタ」を呼んでいます</v>
      </c>
      <c r="M27" s="56" t="s">
        <v>209</v>
      </c>
    </row>
    <row r="28" spans="1:13" x14ac:dyDescent="0.15">
      <c r="A28" s="79" t="s">
        <v>199</v>
      </c>
      <c r="B28" s="80">
        <f>floors!$C$2</f>
        <v>39010</v>
      </c>
      <c r="C28" s="81" t="str">
        <f ca="1">VLOOKUP($B28,OFFSET([2]quests!$A$1,0,0,COUNTA([2]quests!$A:$A),MATCH(C$1,[2]quests!$1:$1,0)-MATCH($B$1,[2]quests!$1:$1,0)+1),MATCH(C$1,[2]quests!$1:$1,0)-MATCH($B$1,[2]quests!$1:$1,0)+1,FALSE)</f>
        <v>黄巾賊の暴走を止めろ！</v>
      </c>
      <c r="D28" s="81" t="str">
        <f ca="1">VLOOKUP($B28,OFFSET([2]quests!$A$1,0,0,COUNTA([2]quests!$A:$A),MATCH(D$1,[2]quests!$1:$1,0)-MATCH($B$1,[2]quests!$1:$1,0)+1),MATCH(D$1,[2]quests!$1:$1,0)-MATCH($B$1,[2]quests!$1:$1,0)+1,FALSE)</f>
        <v>コラボクエスト（復刻）</v>
      </c>
      <c r="E28" s="85">
        <v>2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コラボクエスト（復刻）</v>
      </c>
      <c r="H28" s="83">
        <v>0</v>
      </c>
      <c r="I28">
        <v>3</v>
      </c>
      <c r="J28" s="82" t="s">
        <v>196</v>
      </c>
      <c r="K28" s="91" t="str">
        <f>VLOOKUP(I28,[6]stage_hints!$A:$C,3,FALSE)</f>
        <v>ターゲット</v>
      </c>
      <c r="L28" s="92" t="str">
        <f>VLOOKUP(I28,[6]stage_hints!$A:$D,4,FALSE)</f>
        <v>敵ユニットをタップすると_x000D_その敵を狙い撃ちできます</v>
      </c>
      <c r="M28" s="56" t="s">
        <v>209</v>
      </c>
    </row>
    <row r="29" spans="1:13" x14ac:dyDescent="0.15">
      <c r="A29" s="79" t="s">
        <v>199</v>
      </c>
      <c r="B29" s="80">
        <f>floors!$C$2</f>
        <v>39010</v>
      </c>
      <c r="C29" s="81" t="str">
        <f ca="1">VLOOKUP($B29,OFFSET([2]quests!$A$1,0,0,COUNTA([2]quests!$A:$A),MATCH(C$1,[2]quests!$1:$1,0)-MATCH($B$1,[2]quests!$1:$1,0)+1),MATCH(C$1,[2]quests!$1:$1,0)-MATCH($B$1,[2]quests!$1:$1,0)+1,FALSE)</f>
        <v>黄巾賊の暴走を止めろ！</v>
      </c>
      <c r="D29" s="81" t="str">
        <f ca="1">VLOOKUP($B29,OFFSET([2]quests!$A$1,0,0,COUNTA([2]quests!$A:$A),MATCH(D$1,[2]quests!$1:$1,0)-MATCH($B$1,[2]quests!$1:$1,0)+1),MATCH(D$1,[2]quests!$1:$1,0)-MATCH($B$1,[2]quests!$1:$1,0)+1,FALSE)</f>
        <v>コラボクエスト（復刻）</v>
      </c>
      <c r="E29" s="85">
        <v>2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コラボクエスト（復刻）</v>
      </c>
      <c r="H29" s="83">
        <v>0</v>
      </c>
      <c r="I29">
        <v>6</v>
      </c>
      <c r="J29" s="82" t="s">
        <v>196</v>
      </c>
      <c r="K29" s="91" t="str">
        <f>VLOOKUP(I29,[6]stage_hints!$A:$C,3,FALSE)</f>
        <v>ユニット強化の属性ボーナス</v>
      </c>
      <c r="L29" s="92" t="str">
        <f>VLOOKUP(I29,[6]stage_hints!$A:$D,4,FALSE)</f>
        <v>同属性ユニットを強化素材にすると_x000D_経験値が多くもらえます</v>
      </c>
      <c r="M29" s="56" t="s">
        <v>209</v>
      </c>
    </row>
    <row r="30" spans="1:13" x14ac:dyDescent="0.15">
      <c r="A30" s="79" t="s">
        <v>199</v>
      </c>
      <c r="B30" s="80">
        <f>floors!$C$2</f>
        <v>39010</v>
      </c>
      <c r="C30" s="81" t="str">
        <f ca="1">VLOOKUP($B30,OFFSET([2]quests!$A$1,0,0,COUNTA([2]quests!$A:$A),MATCH(C$1,[2]quests!$1:$1,0)-MATCH($B$1,[2]quests!$1:$1,0)+1),MATCH(C$1,[2]quests!$1:$1,0)-MATCH($B$1,[2]quests!$1:$1,0)+1,FALSE)</f>
        <v>黄巾賊の暴走を止めろ！</v>
      </c>
      <c r="D30" s="81" t="str">
        <f ca="1">VLOOKUP($B30,OFFSET([2]quests!$A$1,0,0,COUNTA([2]quests!$A:$A),MATCH(D$1,[2]quests!$1:$1,0)-MATCH($B$1,[2]quests!$1:$1,0)+1),MATCH(D$1,[2]quests!$1:$1,0)-MATCH($B$1,[2]quests!$1:$1,0)+1,FALSE)</f>
        <v>コラボクエスト（復刻）</v>
      </c>
      <c r="E30" s="85">
        <v>2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コラボクエスト（復刻）</v>
      </c>
      <c r="H30" s="83">
        <v>0</v>
      </c>
      <c r="I30">
        <v>7</v>
      </c>
      <c r="J30" s="82" t="s">
        <v>196</v>
      </c>
      <c r="K30" s="91" t="str">
        <f>VLOOKUP(I30,[6]stage_hints!$A:$C,3,FALSE)</f>
        <v>メタルダックで経験値を獲得</v>
      </c>
      <c r="L30" s="92" t="str">
        <f>VLOOKUP(I30,[6]stage_hints!$A:$D,4,FALSE)</f>
        <v>「メタルなアヒル」を強化素材にすると_x000D_大量の経験値がもらえます</v>
      </c>
      <c r="M30" s="56" t="s">
        <v>209</v>
      </c>
    </row>
    <row r="31" spans="1:13" x14ac:dyDescent="0.15">
      <c r="A31" s="79" t="s">
        <v>199</v>
      </c>
      <c r="B31" s="80">
        <f>floors!$C$2</f>
        <v>39010</v>
      </c>
      <c r="C31" s="81" t="str">
        <f ca="1">VLOOKUP($B31,OFFSET([2]quests!$A$1,0,0,COUNTA([2]quests!$A:$A),MATCH(C$1,[2]quests!$1:$1,0)-MATCH($B$1,[2]quests!$1:$1,0)+1),MATCH(C$1,[2]quests!$1:$1,0)-MATCH($B$1,[2]quests!$1:$1,0)+1,FALSE)</f>
        <v>黄巾賊の暴走を止めろ！</v>
      </c>
      <c r="D31" s="81" t="str">
        <f ca="1">VLOOKUP($B31,OFFSET([2]quests!$A$1,0,0,COUNTA([2]quests!$A:$A),MATCH(D$1,[2]quests!$1:$1,0)-MATCH($B$1,[2]quests!$1:$1,0)+1),MATCH(D$1,[2]quests!$1:$1,0)-MATCH($B$1,[2]quests!$1:$1,0)+1,FALSE)</f>
        <v>コラボクエスト（復刻）</v>
      </c>
      <c r="E31" s="85">
        <v>2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コラボクエスト（復刻）</v>
      </c>
      <c r="H31" s="83">
        <v>0</v>
      </c>
      <c r="I31">
        <v>8</v>
      </c>
      <c r="J31" s="82" t="s">
        <v>196</v>
      </c>
      <c r="K31" s="91" t="str">
        <f>VLOOKUP(I31,[6]stage_hints!$A:$C,3,FALSE)</f>
        <v>ゲリラクエストは要チェック</v>
      </c>
      <c r="L31" s="92" t="str">
        <f>VLOOKUP(I31,[6]stage_hints!$A:$D,4,FALSE)</f>
        <v>時間限定の「アヒル捕獲作戦」では_x000D_経験値素材ユニットが多く手に入ります</v>
      </c>
      <c r="M31" s="56" t="s">
        <v>209</v>
      </c>
    </row>
    <row r="32" spans="1:13" x14ac:dyDescent="0.15">
      <c r="A32" s="79" t="s">
        <v>199</v>
      </c>
      <c r="B32" s="80">
        <f>floors!$C$2</f>
        <v>39010</v>
      </c>
      <c r="C32" s="81" t="str">
        <f ca="1">VLOOKUP($B32,OFFSET([2]quests!$A$1,0,0,COUNTA([2]quests!$A:$A),MATCH(C$1,[2]quests!$1:$1,0)-MATCH($B$1,[2]quests!$1:$1,0)+1),MATCH(C$1,[2]quests!$1:$1,0)-MATCH($B$1,[2]quests!$1:$1,0)+1,FALSE)</f>
        <v>黄巾賊の暴走を止めろ！</v>
      </c>
      <c r="D32" s="81" t="str">
        <f ca="1">VLOOKUP($B32,OFFSET([2]quests!$A$1,0,0,COUNTA([2]quests!$A:$A),MATCH(D$1,[2]quests!$1:$1,0)-MATCH($B$1,[2]quests!$1:$1,0)+1),MATCH(D$1,[2]quests!$1:$1,0)-MATCH($B$1,[2]quests!$1:$1,0)+1,FALSE)</f>
        <v>コラボクエスト（復刻）</v>
      </c>
      <c r="E32" s="85">
        <v>2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コラボクエスト（復刻）</v>
      </c>
      <c r="H32" s="83">
        <v>0</v>
      </c>
      <c r="I32">
        <v>9</v>
      </c>
      <c r="J32" s="82" t="s">
        <v>196</v>
      </c>
      <c r="K32" s="91" t="str">
        <f>VLOOKUP(I32,[6]stage_hints!$A:$C,3,FALSE)</f>
        <v>ゴールドダックでビットを獲得</v>
      </c>
      <c r="L32" s="92" t="str">
        <f>VLOOKUP(I32,[6]stage_hints!$A:$D,4,FALSE)</f>
        <v>「ゴールドなアヒル」を売却すると_x000D_大量のビットがもらえます</v>
      </c>
      <c r="M32" s="56" t="s">
        <v>209</v>
      </c>
    </row>
    <row r="33" spans="1:13" x14ac:dyDescent="0.15">
      <c r="A33" s="79" t="s">
        <v>199</v>
      </c>
      <c r="B33" s="80">
        <f>floors!$C$2</f>
        <v>39010</v>
      </c>
      <c r="C33" s="81" t="str">
        <f ca="1">VLOOKUP($B33,OFFSET([2]quests!$A$1,0,0,COUNTA([2]quests!$A:$A),MATCH(C$1,[2]quests!$1:$1,0)-MATCH($B$1,[2]quests!$1:$1,0)+1),MATCH(C$1,[2]quests!$1:$1,0)-MATCH($B$1,[2]quests!$1:$1,0)+1,FALSE)</f>
        <v>黄巾賊の暴走を止めろ！</v>
      </c>
      <c r="D33" s="81" t="str">
        <f ca="1">VLOOKUP($B33,OFFSET([2]quests!$A$1,0,0,COUNTA([2]quests!$A:$A),MATCH(D$1,[2]quests!$1:$1,0)-MATCH($B$1,[2]quests!$1:$1,0)+1),MATCH(D$1,[2]quests!$1:$1,0)-MATCH($B$1,[2]quests!$1:$1,0)+1,FALSE)</f>
        <v>コラボクエスト（復刻）</v>
      </c>
      <c r="E33" s="85">
        <v>2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コラボクエスト（復刻）</v>
      </c>
      <c r="H33" s="83">
        <v>0</v>
      </c>
      <c r="I33">
        <v>10</v>
      </c>
      <c r="J33" s="82" t="s">
        <v>196</v>
      </c>
      <c r="K33" s="91" t="str">
        <f>VLOOKUP(I33,[6]stage_hints!$A:$C,3,FALSE)</f>
        <v>土日に大量のビットを獲得</v>
      </c>
      <c r="L33" s="92" t="str">
        <f>VLOOKUP(I33,[6]stage_hints!$A:$D,4,FALSE)</f>
        <v>土日限定の「ゴールドカジノ」では_x000D_売却素材ユニットが多く手に入ります</v>
      </c>
      <c r="M33" s="56" t="s">
        <v>209</v>
      </c>
    </row>
    <row r="34" spans="1:13" x14ac:dyDescent="0.15">
      <c r="A34" s="79" t="s">
        <v>199</v>
      </c>
      <c r="B34" s="80">
        <f>floors!$C$2</f>
        <v>39010</v>
      </c>
      <c r="C34" s="81" t="str">
        <f ca="1">VLOOKUP($B34,OFFSET([2]quests!$A$1,0,0,COUNTA([2]quests!$A:$A),MATCH(C$1,[2]quests!$1:$1,0)-MATCH($B$1,[2]quests!$1:$1,0)+1),MATCH(C$1,[2]quests!$1:$1,0)-MATCH($B$1,[2]quests!$1:$1,0)+1,FALSE)</f>
        <v>黄巾賊の暴走を止めろ！</v>
      </c>
      <c r="D34" s="81" t="str">
        <f ca="1">VLOOKUP($B34,OFFSET([2]quests!$A$1,0,0,COUNTA([2]quests!$A:$A),MATCH(D$1,[2]quests!$1:$1,0)-MATCH($B$1,[2]quests!$1:$1,0)+1),MATCH(D$1,[2]quests!$1:$1,0)-MATCH($B$1,[2]quests!$1:$1,0)+1,FALSE)</f>
        <v>コラボクエスト（復刻）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コラボクエスト（復刻）</v>
      </c>
      <c r="H34" s="83">
        <v>0</v>
      </c>
      <c r="I34">
        <v>11</v>
      </c>
      <c r="J34" s="82" t="s">
        <v>196</v>
      </c>
      <c r="K34" s="91" t="str">
        <f>VLOOKUP(I34,[6]stage_hints!$A:$C,3,FALSE)</f>
        <v>ランク解放クエスト</v>
      </c>
      <c r="L34" s="92" t="str">
        <f>VLOOKUP(I34,[6]stage_hints!$A:$D,4,FALSE)</f>
        <v>一定ランクに到達すると_x000D_報酬付きのランク開放クエストが現れます</v>
      </c>
      <c r="M34" s="56" t="s">
        <v>209</v>
      </c>
    </row>
    <row r="35" spans="1:13" x14ac:dyDescent="0.15">
      <c r="A35" s="79" t="s">
        <v>199</v>
      </c>
      <c r="B35" s="80">
        <f>floors!$C$2</f>
        <v>39010</v>
      </c>
      <c r="C35" s="81" t="str">
        <f ca="1">VLOOKUP($B35,OFFSET([2]quests!$A$1,0,0,COUNTA([2]quests!$A:$A),MATCH(C$1,[2]quests!$1:$1,0)-MATCH($B$1,[2]quests!$1:$1,0)+1),MATCH(C$1,[2]quests!$1:$1,0)-MATCH($B$1,[2]quests!$1:$1,0)+1,FALSE)</f>
        <v>黄巾賊の暴走を止めろ！</v>
      </c>
      <c r="D35" s="81" t="str">
        <f ca="1">VLOOKUP($B35,OFFSET([2]quests!$A$1,0,0,COUNTA([2]quests!$A:$A),MATCH(D$1,[2]quests!$1:$1,0)-MATCH($B$1,[2]quests!$1:$1,0)+1),MATCH(D$1,[2]quests!$1:$1,0)-MATCH($B$1,[2]quests!$1:$1,0)+1,FALSE)</f>
        <v>コラボクエスト（復刻）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コラボクエスト（復刻）</v>
      </c>
      <c r="H35" s="83">
        <v>0</v>
      </c>
      <c r="I35">
        <v>12</v>
      </c>
      <c r="J35" s="82" t="s">
        <v>196</v>
      </c>
      <c r="K35" s="91" t="str">
        <f>VLOOKUP(I35,[6]stage_hints!$A:$C,3,FALSE)</f>
        <v>ユニットのお気に入り登録</v>
      </c>
      <c r="L35" s="92" t="str">
        <f>VLOOKUP(I35,[6]stage_hints!$A:$D,4,FALSE)</f>
        <v>大事なユニットを誤って消さないように_x000D_フォルダから「お気に入り登録」しましょう</v>
      </c>
      <c r="M35" s="56" t="s">
        <v>209</v>
      </c>
    </row>
    <row r="36" spans="1:13" x14ac:dyDescent="0.15">
      <c r="A36" s="79" t="s">
        <v>199</v>
      </c>
      <c r="B36" s="80">
        <f>floors!$C$2</f>
        <v>39010</v>
      </c>
      <c r="C36" s="81" t="str">
        <f ca="1">VLOOKUP($B36,OFFSET([2]quests!$A$1,0,0,COUNTA([2]quests!$A:$A),MATCH(C$1,[2]quests!$1:$1,0)-MATCH($B$1,[2]quests!$1:$1,0)+1),MATCH(C$1,[2]quests!$1:$1,0)-MATCH($B$1,[2]quests!$1:$1,0)+1,FALSE)</f>
        <v>黄巾賊の暴走を止めろ！</v>
      </c>
      <c r="D36" s="81" t="str">
        <f ca="1">VLOOKUP($B36,OFFSET([2]quests!$A$1,0,0,COUNTA([2]quests!$A:$A),MATCH(D$1,[2]quests!$1:$1,0)-MATCH($B$1,[2]quests!$1:$1,0)+1),MATCH(D$1,[2]quests!$1:$1,0)-MATCH($B$1,[2]quests!$1:$1,0)+1,FALSE)</f>
        <v>コラボクエスト（復刻）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コラボクエスト（復刻）</v>
      </c>
      <c r="H36" s="83">
        <v>0</v>
      </c>
      <c r="I36">
        <v>13</v>
      </c>
      <c r="J36" s="82" t="s">
        <v>196</v>
      </c>
      <c r="K36" s="91" t="str">
        <f>VLOOKUP(I36,[6]stage_hints!$A:$C,3,FALSE)</f>
        <v>ユニットの覚醒</v>
      </c>
      <c r="L36" s="92" t="str">
        <f>VLOOKUP(I36,[6]stage_hints!$A:$D,4,FALSE)</f>
        <v>ユニットを覚醒させると_x000D_比べものにならない強さが手に入ります</v>
      </c>
      <c r="M36" s="56" t="s">
        <v>209</v>
      </c>
    </row>
    <row r="37" spans="1:13" x14ac:dyDescent="0.15">
      <c r="A37" s="79" t="s">
        <v>199</v>
      </c>
      <c r="B37" s="80">
        <f>floors!$C$2</f>
        <v>39010</v>
      </c>
      <c r="C37" s="81" t="str">
        <f ca="1">VLOOKUP($B37,OFFSET([2]quests!$A$1,0,0,COUNTA([2]quests!$A:$A),MATCH(C$1,[2]quests!$1:$1,0)-MATCH($B$1,[2]quests!$1:$1,0)+1),MATCH(C$1,[2]quests!$1:$1,0)-MATCH($B$1,[2]quests!$1:$1,0)+1,FALSE)</f>
        <v>黄巾賊の暴走を止めろ！</v>
      </c>
      <c r="D37" s="81" t="str">
        <f ca="1">VLOOKUP($B37,OFFSET([2]quests!$A$1,0,0,COUNTA([2]quests!$A:$A),MATCH(D$1,[2]quests!$1:$1,0)-MATCH($B$1,[2]quests!$1:$1,0)+1),MATCH(D$1,[2]quests!$1:$1,0)-MATCH($B$1,[2]quests!$1:$1,0)+1,FALSE)</f>
        <v>コラボクエスト（復刻）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コラボクエスト（復刻）</v>
      </c>
      <c r="H37" s="83">
        <v>0</v>
      </c>
      <c r="I37">
        <v>14</v>
      </c>
      <c r="J37" s="82" t="s">
        <v>196</v>
      </c>
      <c r="K37" s="91" t="str">
        <f>VLOOKUP(I37,[6]stage_hints!$A:$C,3,FALSE)</f>
        <v>覚醒するにはレベルを最大に</v>
      </c>
      <c r="L37" s="92" t="str">
        <f>VLOOKUP(I37,[6]stage_hints!$A:$D,4,FALSE)</f>
        <v>覚醒するにはユニットのレベルを_x000D_最大まで上げる必要があります</v>
      </c>
      <c r="M37" s="56" t="s">
        <v>209</v>
      </c>
    </row>
    <row r="38" spans="1:13" x14ac:dyDescent="0.15">
      <c r="A38" s="79" t="s">
        <v>199</v>
      </c>
      <c r="B38" s="80">
        <f>floors!$C$2</f>
        <v>39010</v>
      </c>
      <c r="C38" s="81" t="str">
        <f ca="1">VLOOKUP($B38,OFFSET([2]quests!$A$1,0,0,COUNTA([2]quests!$A:$A),MATCH(C$1,[2]quests!$1:$1,0)-MATCH($B$1,[2]quests!$1:$1,0)+1),MATCH(C$1,[2]quests!$1:$1,0)-MATCH($B$1,[2]quests!$1:$1,0)+1,FALSE)</f>
        <v>黄巾賊の暴走を止めろ！</v>
      </c>
      <c r="D38" s="81" t="str">
        <f ca="1">VLOOKUP($B38,OFFSET([2]quests!$A$1,0,0,COUNTA([2]quests!$A:$A),MATCH(D$1,[2]quests!$1:$1,0)-MATCH($B$1,[2]quests!$1:$1,0)+1),MATCH(D$1,[2]quests!$1:$1,0)-MATCH($B$1,[2]quests!$1:$1,0)+1,FALSE)</f>
        <v>コラボクエスト（復刻）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コラボクエスト（復刻）</v>
      </c>
      <c r="H38" s="83">
        <v>0</v>
      </c>
      <c r="I38">
        <v>15</v>
      </c>
      <c r="J38" s="82" t="s">
        <v>196</v>
      </c>
      <c r="K38" s="91" t="str">
        <f>VLOOKUP(I38,[6]stage_hints!$A:$C,3,FALSE)</f>
        <v>覚醒素材を獲得</v>
      </c>
      <c r="L38" s="92" t="str">
        <f>VLOOKUP(I38,[6]stage_hints!$A:$D,4,FALSE)</f>
        <v>「曜日クエスト」では_x000D_ユニットの覚醒に必要な素材が手に入ります</v>
      </c>
      <c r="M38" s="56" t="s">
        <v>209</v>
      </c>
    </row>
    <row r="39" spans="1:13" x14ac:dyDescent="0.15">
      <c r="A39" s="79" t="s">
        <v>199</v>
      </c>
      <c r="B39" s="80">
        <f>floors!$C$2</f>
        <v>39010</v>
      </c>
      <c r="C39" s="81" t="str">
        <f ca="1">VLOOKUP($B39,OFFSET([2]quests!$A$1,0,0,COUNTA([2]quests!$A:$A),MATCH(C$1,[2]quests!$1:$1,0)-MATCH($B$1,[2]quests!$1:$1,0)+1),MATCH(C$1,[2]quests!$1:$1,0)-MATCH($B$1,[2]quests!$1:$1,0)+1,FALSE)</f>
        <v>黄巾賊の暴走を止めろ！</v>
      </c>
      <c r="D39" s="81" t="str">
        <f ca="1">VLOOKUP($B39,OFFSET([2]quests!$A$1,0,0,COUNTA([2]quests!$A:$A),MATCH(D$1,[2]quests!$1:$1,0)-MATCH($B$1,[2]quests!$1:$1,0)+1),MATCH(D$1,[2]quests!$1:$1,0)-MATCH($B$1,[2]quests!$1:$1,0)+1,FALSE)</f>
        <v>コラボクエスト（復刻）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コラボクエスト（復刻）</v>
      </c>
      <c r="H39" s="83">
        <v>0</v>
      </c>
      <c r="I39">
        <v>16</v>
      </c>
      <c r="J39" s="82" t="s">
        <v>196</v>
      </c>
      <c r="K39" s="91" t="str">
        <f>VLOOKUP(I39,[6]stage_hints!$A:$C,3,FALSE)</f>
        <v>マルチプレイのメリット（その1）</v>
      </c>
      <c r="L39" s="92" t="str">
        <f>VLOOKUP(I39,[6]stage_hints!$A:$D,4,FALSE)</f>
        <v>他のプレイヤーとマルチプレイで遊ぶと_x000D_ポリゴンがもらえます（100人まで）</v>
      </c>
      <c r="M39" s="56" t="s">
        <v>209</v>
      </c>
    </row>
    <row r="40" spans="1:13" x14ac:dyDescent="0.15">
      <c r="A40" s="79" t="s">
        <v>199</v>
      </c>
      <c r="B40" s="80">
        <f>floors!$C$2</f>
        <v>39010</v>
      </c>
      <c r="C40" s="81" t="str">
        <f ca="1">VLOOKUP($B40,OFFSET([2]quests!$A$1,0,0,COUNTA([2]quests!$A:$A),MATCH(C$1,[2]quests!$1:$1,0)-MATCH($B$1,[2]quests!$1:$1,0)+1),MATCH(C$1,[2]quests!$1:$1,0)-MATCH($B$1,[2]quests!$1:$1,0)+1,FALSE)</f>
        <v>黄巾賊の暴走を止めろ！</v>
      </c>
      <c r="D40" s="81" t="str">
        <f ca="1">VLOOKUP($B40,OFFSET([2]quests!$A$1,0,0,COUNTA([2]quests!$A:$A),MATCH(D$1,[2]quests!$1:$1,0)-MATCH($B$1,[2]quests!$1:$1,0)+1),MATCH(D$1,[2]quests!$1:$1,0)-MATCH($B$1,[2]quests!$1:$1,0)+1,FALSE)</f>
        <v>コラボクエスト（復刻）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コラボクエスト（復刻）</v>
      </c>
      <c r="H40" s="83">
        <v>0</v>
      </c>
      <c r="I40">
        <v>17</v>
      </c>
      <c r="J40" s="82" t="s">
        <v>196</v>
      </c>
      <c r="K40" s="91" t="str">
        <f>VLOOKUP(I40,[6]stage_hints!$A:$C,3,FALSE)</f>
        <v>リンクガチャ</v>
      </c>
      <c r="L40" s="92" t="str">
        <f>VLOOKUP(I40,[6]stage_hints!$A:$D,4,FALSE)</f>
        <v>無料のリンクガチャを回して_x000D_経験値素材や売却素材を獲得しましょう</v>
      </c>
      <c r="M40" s="56" t="s">
        <v>209</v>
      </c>
    </row>
    <row r="41" spans="1:13" x14ac:dyDescent="0.15">
      <c r="A41" s="79" t="s">
        <v>199</v>
      </c>
      <c r="B41" s="80">
        <f>floors!$C$2</f>
        <v>39010</v>
      </c>
      <c r="C41" s="81" t="str">
        <f ca="1">VLOOKUP($B41,OFFSET([2]quests!$A$1,0,0,COUNTA([2]quests!$A:$A),MATCH(C$1,[2]quests!$1:$1,0)-MATCH($B$1,[2]quests!$1:$1,0)+1),MATCH(C$1,[2]quests!$1:$1,0)-MATCH($B$1,[2]quests!$1:$1,0)+1,FALSE)</f>
        <v>黄巾賊の暴走を止めろ！</v>
      </c>
      <c r="D41" s="81" t="str">
        <f ca="1">VLOOKUP($B41,OFFSET([2]quests!$A$1,0,0,COUNTA([2]quests!$A:$A),MATCH(D$1,[2]quests!$1:$1,0)-MATCH($B$1,[2]quests!$1:$1,0)+1),MATCH(D$1,[2]quests!$1:$1,0)-MATCH($B$1,[2]quests!$1:$1,0)+1,FALSE)</f>
        <v>コラボクエスト（復刻）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コラボクエスト（復刻）</v>
      </c>
      <c r="H41" s="83">
        <v>0</v>
      </c>
      <c r="I41">
        <v>18</v>
      </c>
      <c r="J41" s="82" t="s">
        <v>196</v>
      </c>
      <c r="K41" s="91" t="str">
        <f>VLOOKUP(I41,[6]stage_hints!$A:$C,3,FALSE)</f>
        <v>マルチプレイのメリット（その2）</v>
      </c>
      <c r="L41" s="92" t="str">
        <f>VLOOKUP(I41,[6]stage_hints!$A:$D,4,FALSE)</f>
        <v>マルチプレイならリンクが2倍もらえます_x000D_リンクガチャをたくさん回しましょう</v>
      </c>
      <c r="M41" s="56" t="s">
        <v>209</v>
      </c>
    </row>
    <row r="42" spans="1:13" x14ac:dyDescent="0.15">
      <c r="A42" s="79" t="s">
        <v>199</v>
      </c>
      <c r="B42" s="80">
        <f>floors!$C$2</f>
        <v>39010</v>
      </c>
      <c r="C42" s="81" t="str">
        <f ca="1">VLOOKUP($B42,OFFSET([2]quests!$A$1,0,0,COUNTA([2]quests!$A:$A),MATCH(C$1,[2]quests!$1:$1,0)-MATCH($B$1,[2]quests!$1:$1,0)+1),MATCH(C$1,[2]quests!$1:$1,0)-MATCH($B$1,[2]quests!$1:$1,0)+1,FALSE)</f>
        <v>黄巾賊の暴走を止めろ！</v>
      </c>
      <c r="D42" s="81" t="str">
        <f ca="1">VLOOKUP($B42,OFFSET([2]quests!$A$1,0,0,COUNTA([2]quests!$A:$A),MATCH(D$1,[2]quests!$1:$1,0)-MATCH($B$1,[2]quests!$1:$1,0)+1),MATCH(D$1,[2]quests!$1:$1,0)-MATCH($B$1,[2]quests!$1:$1,0)+1,FALSE)</f>
        <v>コラボクエスト（復刻）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コラボクエスト（復刻）</v>
      </c>
      <c r="H42" s="83">
        <v>0</v>
      </c>
      <c r="I42">
        <v>19</v>
      </c>
      <c r="J42" s="82" t="s">
        <v>196</v>
      </c>
      <c r="K42" s="91" t="str">
        <f>VLOOKUP(I42,[6]stage_hints!$A:$C,3,FALSE)</f>
        <v>ソロ専用タワーオブザクイーン</v>
      </c>
      <c r="L42" s="92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6" t="s">
        <v>209</v>
      </c>
    </row>
    <row r="43" spans="1:13" x14ac:dyDescent="0.15">
      <c r="A43" s="79" t="s">
        <v>199</v>
      </c>
      <c r="B43" s="80">
        <f>floors!$C$2</f>
        <v>39010</v>
      </c>
      <c r="C43" s="81" t="str">
        <f ca="1">VLOOKUP($B43,OFFSET([2]quests!$A$1,0,0,COUNTA([2]quests!$A:$A),MATCH(C$1,[2]quests!$1:$1,0)-MATCH($B$1,[2]quests!$1:$1,0)+1),MATCH(C$1,[2]quests!$1:$1,0)-MATCH($B$1,[2]quests!$1:$1,0)+1,FALSE)</f>
        <v>黄巾賊の暴走を止めろ！</v>
      </c>
      <c r="D43" s="81" t="str">
        <f ca="1">VLOOKUP($B43,OFFSET([2]quests!$A$1,0,0,COUNTA([2]quests!$A:$A),MATCH(D$1,[2]quests!$1:$1,0)-MATCH($B$1,[2]quests!$1:$1,0)+1),MATCH(D$1,[2]quests!$1:$1,0)-MATCH($B$1,[2]quests!$1:$1,0)+1,FALSE)</f>
        <v>コラボクエスト（復刻）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コラボクエスト（復刻）</v>
      </c>
      <c r="H43" s="83">
        <v>0</v>
      </c>
      <c r="I43">
        <v>20</v>
      </c>
      <c r="J43" s="82" t="s">
        <v>196</v>
      </c>
      <c r="K43" s="91" t="str">
        <f>VLOOKUP(I43,[6]stage_hints!$A:$C,3,FALSE)</f>
        <v>マルチプレイのメリット（その3）</v>
      </c>
      <c r="L43" s="92" t="str">
        <f>VLOOKUP(I43,[6]stage_hints!$A:$D,4,FALSE)</f>
        <v>マルチプレイへの参加はエナジー消費ゼロ_x000D_いつでも好きなだけ遊ぶことができます</v>
      </c>
      <c r="M43" s="56" t="s">
        <v>209</v>
      </c>
    </row>
    <row r="44" spans="1:13" x14ac:dyDescent="0.15">
      <c r="A44" s="79" t="s">
        <v>199</v>
      </c>
      <c r="B44" s="80">
        <f>floors!$C$2</f>
        <v>39010</v>
      </c>
      <c r="C44" s="81" t="str">
        <f ca="1">VLOOKUP($B44,OFFSET([2]quests!$A$1,0,0,COUNTA([2]quests!$A:$A),MATCH(C$1,[2]quests!$1:$1,0)-MATCH($B$1,[2]quests!$1:$1,0)+1),MATCH(C$1,[2]quests!$1:$1,0)-MATCH($B$1,[2]quests!$1:$1,0)+1,FALSE)</f>
        <v>黄巾賊の暴走を止めろ！</v>
      </c>
      <c r="D44" s="81" t="str">
        <f ca="1">VLOOKUP($B44,OFFSET([2]quests!$A$1,0,0,COUNTA([2]quests!$A:$A),MATCH(D$1,[2]quests!$1:$1,0)-MATCH($B$1,[2]quests!$1:$1,0)+1),MATCH(D$1,[2]quests!$1:$1,0)-MATCH($B$1,[2]quests!$1:$1,0)+1,FALSE)</f>
        <v>コラボクエスト（復刻）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コラボクエスト（復刻）</v>
      </c>
      <c r="H44" s="83">
        <v>0</v>
      </c>
      <c r="I44">
        <v>21</v>
      </c>
      <c r="J44" s="82" t="s">
        <v>196</v>
      </c>
      <c r="K44" s="91" t="str">
        <f>VLOOKUP(I44,[6]stage_hints!$A:$C,3,FALSE)</f>
        <v>スキルを有効に</v>
      </c>
      <c r="L44" s="92" t="str">
        <f>VLOOKUP(I44,[6]stage_hints!$A:$D,4,FALSE)</f>
        <v>ターン経過でユニットのスキルが使えます_x000D_強力スキルでバトルを有利に進めましょう</v>
      </c>
      <c r="M44" s="56" t="s">
        <v>209</v>
      </c>
    </row>
    <row r="45" spans="1:13" x14ac:dyDescent="0.15">
      <c r="A45" s="79" t="s">
        <v>199</v>
      </c>
      <c r="B45" s="80">
        <f>floors!$C$2</f>
        <v>39010</v>
      </c>
      <c r="C45" s="81" t="str">
        <f ca="1">VLOOKUP($B45,OFFSET([2]quests!$A$1,0,0,COUNTA([2]quests!$A:$A),MATCH(C$1,[2]quests!$1:$1,0)-MATCH($B$1,[2]quests!$1:$1,0)+1),MATCH(C$1,[2]quests!$1:$1,0)-MATCH($B$1,[2]quests!$1:$1,0)+1,FALSE)</f>
        <v>黄巾賊の暴走を止めろ！</v>
      </c>
      <c r="D45" s="81" t="str">
        <f ca="1">VLOOKUP($B45,OFFSET([2]quests!$A$1,0,0,COUNTA([2]quests!$A:$A),MATCH(D$1,[2]quests!$1:$1,0)-MATCH($B$1,[2]quests!$1:$1,0)+1),MATCH(D$1,[2]quests!$1:$1,0)-MATCH($B$1,[2]quests!$1:$1,0)+1,FALSE)</f>
        <v>コラボクエスト（復刻）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コラボクエスト（復刻）</v>
      </c>
      <c r="H45" s="83">
        <v>0</v>
      </c>
      <c r="I45">
        <v>22</v>
      </c>
      <c r="J45" s="82" t="s">
        <v>196</v>
      </c>
      <c r="K45" s="91" t="str">
        <f>VLOOKUP(I45,[6]stage_hints!$A:$C,3,FALSE)</f>
        <v>フィーバーで一発逆転（その1）</v>
      </c>
      <c r="L45" s="92" t="str">
        <f>VLOOKUP(I45,[6]stage_hints!$A:$D,4,FALSE)</f>
        <v>フィーバーは攻撃と回復を兼ね備えます_x000D_ピンチからの一発逆転を狙いましょう</v>
      </c>
      <c r="M45" s="56" t="s">
        <v>209</v>
      </c>
    </row>
    <row r="46" spans="1:13" x14ac:dyDescent="0.15">
      <c r="A46" s="79" t="s">
        <v>199</v>
      </c>
      <c r="B46" s="80">
        <f>floors!$C$2</f>
        <v>39010</v>
      </c>
      <c r="C46" s="81" t="str">
        <f ca="1">VLOOKUP($B46,OFFSET([2]quests!$A$1,0,0,COUNTA([2]quests!$A:$A),MATCH(C$1,[2]quests!$1:$1,0)-MATCH($B$1,[2]quests!$1:$1,0)+1),MATCH(C$1,[2]quests!$1:$1,0)-MATCH($B$1,[2]quests!$1:$1,0)+1,FALSE)</f>
        <v>黄巾賊の暴走を止めろ！</v>
      </c>
      <c r="D46" s="81" t="str">
        <f ca="1">VLOOKUP($B46,OFFSET([2]quests!$A$1,0,0,COUNTA([2]quests!$A:$A),MATCH(D$1,[2]quests!$1:$1,0)-MATCH($B$1,[2]quests!$1:$1,0)+1),MATCH(D$1,[2]quests!$1:$1,0)-MATCH($B$1,[2]quests!$1:$1,0)+1,FALSE)</f>
        <v>コラボクエスト（復刻）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コラボクエスト（復刻）</v>
      </c>
      <c r="H46" s="83">
        <v>0</v>
      </c>
      <c r="I46">
        <v>23</v>
      </c>
      <c r="J46" s="82" t="s">
        <v>196</v>
      </c>
      <c r="K46" s="91" t="str">
        <f>VLOOKUP(I46,[6]stage_hints!$A:$C,3,FALSE)</f>
        <v>フィーバーで一発逆転（その2）</v>
      </c>
      <c r="L46" s="92" t="str">
        <f>VLOOKUP(I46,[6]stage_hints!$A:$D,4,FALSE)</f>
        <v>フィーバー中は虹色のボムパネルを狙って_x000D_画面上のパネルを一気に破壊しましょう</v>
      </c>
      <c r="M46" s="56" t="s">
        <v>209</v>
      </c>
    </row>
    <row r="47" spans="1:13" x14ac:dyDescent="0.15">
      <c r="A47" s="79" t="s">
        <v>199</v>
      </c>
      <c r="B47" s="80">
        <f>floors!$C$2</f>
        <v>39010</v>
      </c>
      <c r="C47" s="81" t="str">
        <f ca="1">VLOOKUP($B47,OFFSET([2]quests!$A$1,0,0,COUNTA([2]quests!$A:$A),MATCH(C$1,[2]quests!$1:$1,0)-MATCH($B$1,[2]quests!$1:$1,0)+1),MATCH(C$1,[2]quests!$1:$1,0)-MATCH($B$1,[2]quests!$1:$1,0)+1,FALSE)</f>
        <v>黄巾賊の暴走を止めろ！</v>
      </c>
      <c r="D47" s="81" t="str">
        <f ca="1">VLOOKUP($B47,OFFSET([2]quests!$A$1,0,0,COUNTA([2]quests!$A:$A),MATCH(D$1,[2]quests!$1:$1,0)-MATCH($B$1,[2]quests!$1:$1,0)+1),MATCH(D$1,[2]quests!$1:$1,0)-MATCH($B$1,[2]quests!$1:$1,0)+1,FALSE)</f>
        <v>コラボクエスト（復刻）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コラボクエスト（復刻）</v>
      </c>
      <c r="H47" s="83">
        <v>0</v>
      </c>
      <c r="I47">
        <v>24</v>
      </c>
      <c r="J47" s="82" t="s">
        <v>196</v>
      </c>
      <c r="K47" s="91" t="str">
        <f>VLOOKUP(I47,[6]stage_hints!$A:$C,3,FALSE)</f>
        <v>りんごを使って限界突破</v>
      </c>
      <c r="L47" s="92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56" t="s">
        <v>209</v>
      </c>
    </row>
    <row r="48" spans="1:13" x14ac:dyDescent="0.15">
      <c r="A48" s="79" t="s">
        <v>199</v>
      </c>
      <c r="B48" s="80">
        <f>floors!$C$2</f>
        <v>39010</v>
      </c>
      <c r="C48" s="81" t="str">
        <f ca="1">VLOOKUP($B48,OFFSET([2]quests!$A$1,0,0,COUNTA([2]quests!$A:$A),MATCH(C$1,[2]quests!$1:$1,0)-MATCH($B$1,[2]quests!$1:$1,0)+1),MATCH(C$1,[2]quests!$1:$1,0)-MATCH($B$1,[2]quests!$1:$1,0)+1,FALSE)</f>
        <v>黄巾賊の暴走を止めろ！</v>
      </c>
      <c r="D48" s="81" t="str">
        <f ca="1">VLOOKUP($B48,OFFSET([2]quests!$A$1,0,0,COUNTA([2]quests!$A:$A),MATCH(D$1,[2]quests!$1:$1,0)-MATCH($B$1,[2]quests!$1:$1,0)+1),MATCH(D$1,[2]quests!$1:$1,0)-MATCH($B$1,[2]quests!$1:$1,0)+1,FALSE)</f>
        <v>コラボクエスト（復刻）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コラボクエスト（復刻）</v>
      </c>
      <c r="H48" s="83">
        <v>0</v>
      </c>
      <c r="I48">
        <v>25</v>
      </c>
      <c r="J48" s="82" t="s">
        <v>196</v>
      </c>
      <c r="K48" s="91" t="str">
        <f>VLOOKUP(I48,[6]stage_hints!$A:$C,3,FALSE)</f>
        <v>スキルレベルアップ</v>
      </c>
      <c r="L48" s="92" t="str">
        <f>VLOOKUP(I48,[6]stage_hints!$A:$D,4,FALSE)</f>
        <v>「クリスタルのりんご」を強化に使うと_x000D_スキルレベルを上げることができます</v>
      </c>
      <c r="M48" s="56" t="s">
        <v>209</v>
      </c>
    </row>
    <row r="49" spans="1:13" x14ac:dyDescent="0.15">
      <c r="A49" s="79" t="s">
        <v>199</v>
      </c>
      <c r="B49" s="80">
        <f>floors!$C$2</f>
        <v>39010</v>
      </c>
      <c r="C49" s="81" t="str">
        <f ca="1">VLOOKUP($B49,OFFSET([2]quests!$A$1,0,0,COUNTA([2]quests!$A:$A),MATCH(C$1,[2]quests!$1:$1,0)-MATCH($B$1,[2]quests!$1:$1,0)+1),MATCH(C$1,[2]quests!$1:$1,0)-MATCH($B$1,[2]quests!$1:$1,0)+1,FALSE)</f>
        <v>黄巾賊の暴走を止めろ！</v>
      </c>
      <c r="D49" s="81" t="str">
        <f ca="1">VLOOKUP($B49,OFFSET([2]quests!$A$1,0,0,COUNTA([2]quests!$A:$A),MATCH(D$1,[2]quests!$1:$1,0)-MATCH($B$1,[2]quests!$1:$1,0)+1),MATCH(D$1,[2]quests!$1:$1,0)-MATCH($B$1,[2]quests!$1:$1,0)+1,FALSE)</f>
        <v>コラボクエスト（復刻）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コラボクエスト（復刻）</v>
      </c>
      <c r="H49" s="83">
        <v>0</v>
      </c>
      <c r="I49">
        <v>26</v>
      </c>
      <c r="J49" s="82" t="s">
        <v>196</v>
      </c>
      <c r="K49" s="91" t="str">
        <f>VLOOKUP(I49,[6]stage_hints!$A:$C,3,FALSE)</f>
        <v>スキルレベルの効果</v>
      </c>
      <c r="L49" s="92" t="str">
        <f>VLOOKUP(I49,[6]stage_hints!$A:$D,4,FALSE)</f>
        <v>スキルレベルが上がると_x000D_短いターンでスキルを使うことができます</v>
      </c>
      <c r="M49" s="56" t="s">
        <v>209</v>
      </c>
    </row>
    <row r="50" spans="1:13" x14ac:dyDescent="0.15">
      <c r="A50" s="79" t="s">
        <v>199</v>
      </c>
      <c r="B50" s="80">
        <f>floors!$C$2</f>
        <v>39010</v>
      </c>
      <c r="C50" s="81" t="str">
        <f ca="1">VLOOKUP($B50,OFFSET([2]quests!$A$1,0,0,COUNTA([2]quests!$A:$A),MATCH(C$1,[2]quests!$1:$1,0)-MATCH($B$1,[2]quests!$1:$1,0)+1),MATCH(C$1,[2]quests!$1:$1,0)-MATCH($B$1,[2]quests!$1:$1,0)+1,FALSE)</f>
        <v>黄巾賊の暴走を止めろ！</v>
      </c>
      <c r="D50" s="81" t="str">
        <f ca="1">VLOOKUP($B50,OFFSET([2]quests!$A$1,0,0,COUNTA([2]quests!$A:$A),MATCH(D$1,[2]quests!$1:$1,0)-MATCH($B$1,[2]quests!$1:$1,0)+1),MATCH(D$1,[2]quests!$1:$1,0)-MATCH($B$1,[2]quests!$1:$1,0)+1,FALSE)</f>
        <v>コラボクエスト（復刻）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コラボクエスト（復刻）</v>
      </c>
      <c r="H50" s="83">
        <v>0</v>
      </c>
      <c r="I50">
        <v>27</v>
      </c>
      <c r="J50" s="82" t="s">
        <v>196</v>
      </c>
      <c r="K50" s="91" t="str">
        <f>VLOOKUP(I50,[6]stage_hints!$A:$C,3,FALSE)</f>
        <v>ホーム画面からデッキを編成</v>
      </c>
      <c r="L50" s="92" t="str">
        <f>VLOOKUP(I50,[6]stage_hints!$A:$D,4,FALSE)</f>
        <v>ホーム画面でユニットを長押しすると_x000D_すぐにパーティ編成に移動できます</v>
      </c>
      <c r="M50" s="56" t="s">
        <v>209</v>
      </c>
    </row>
    <row r="51" spans="1:13" x14ac:dyDescent="0.15">
      <c r="A51" s="79" t="s">
        <v>199</v>
      </c>
      <c r="B51" s="80">
        <f>floors!$C$2</f>
        <v>39010</v>
      </c>
      <c r="C51" s="81" t="str">
        <f ca="1">VLOOKUP($B51,OFFSET([2]quests!$A$1,0,0,COUNTA([2]quests!$A:$A),MATCH(C$1,[2]quests!$1:$1,0)-MATCH($B$1,[2]quests!$1:$1,0)+1),MATCH(C$1,[2]quests!$1:$1,0)-MATCH($B$1,[2]quests!$1:$1,0)+1,FALSE)</f>
        <v>黄巾賊の暴走を止めろ！</v>
      </c>
      <c r="D51" s="81" t="str">
        <f ca="1">VLOOKUP($B51,OFFSET([2]quests!$A$1,0,0,COUNTA([2]quests!$A:$A),MATCH(D$1,[2]quests!$1:$1,0)-MATCH($B$1,[2]quests!$1:$1,0)+1),MATCH(D$1,[2]quests!$1:$1,0)-MATCH($B$1,[2]quests!$1:$1,0)+1,FALSE)</f>
        <v>コラボクエスト（復刻）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コラボクエスト（復刻）</v>
      </c>
      <c r="H51" s="83">
        <v>0</v>
      </c>
      <c r="I51">
        <v>28</v>
      </c>
      <c r="J51" s="82" t="s">
        <v>196</v>
      </c>
      <c r="K51" s="91" t="str">
        <f>VLOOKUP(I51,[6]stage_hints!$A:$C,3,FALSE)</f>
        <v>ステータス情報は長押しで</v>
      </c>
      <c r="L51" s="92" t="str">
        <f>VLOOKUP(I51,[6]stage_hints!$A:$D,4,FALSE)</f>
        <v>ユニットのアイコンを長押しすると_x000D_ステータス情報を確認することができます</v>
      </c>
      <c r="M51" s="56" t="s">
        <v>209</v>
      </c>
    </row>
    <row r="52" spans="1:13" x14ac:dyDescent="0.15">
      <c r="A52" s="79" t="s">
        <v>199</v>
      </c>
      <c r="B52" s="80">
        <f>floors!$C$2</f>
        <v>39010</v>
      </c>
      <c r="C52" s="81" t="str">
        <f ca="1">VLOOKUP($B52,OFFSET([2]quests!$A$1,0,0,COUNTA([2]quests!$A:$A),MATCH(C$1,[2]quests!$1:$1,0)-MATCH($B$1,[2]quests!$1:$1,0)+1),MATCH(C$1,[2]quests!$1:$1,0)-MATCH($B$1,[2]quests!$1:$1,0)+1,FALSE)</f>
        <v>黄巾賊の暴走を止めろ！</v>
      </c>
      <c r="D52" s="81" t="str">
        <f ca="1">VLOOKUP($B52,OFFSET([2]quests!$A$1,0,0,COUNTA([2]quests!$A:$A),MATCH(D$1,[2]quests!$1:$1,0)-MATCH($B$1,[2]quests!$1:$1,0)+1),MATCH(D$1,[2]quests!$1:$1,0)-MATCH($B$1,[2]quests!$1:$1,0)+1,FALSE)</f>
        <v>コラボクエスト（復刻）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コラボクエスト（復刻）</v>
      </c>
      <c r="H52" s="83">
        <v>0</v>
      </c>
      <c r="I52">
        <v>29</v>
      </c>
      <c r="J52" s="82" t="s">
        <v>196</v>
      </c>
      <c r="K52" s="91" t="str">
        <f>VLOOKUP(I52,[6]stage_hints!$A:$C,3,FALSE)</f>
        <v>「バグ」のメリット</v>
      </c>
      <c r="L52" s="92" t="str">
        <f>VLOOKUP(I52,[6]stage_hints!$A:$D,4,FALSE)</f>
        <v>ユニットの「バグ」を増やすと_x000D_報酬をもらえる確率がアップします</v>
      </c>
      <c r="M52" s="56" t="s">
        <v>209</v>
      </c>
    </row>
    <row r="53" spans="1:13" x14ac:dyDescent="0.15">
      <c r="A53" s="79" t="s">
        <v>199</v>
      </c>
      <c r="B53" s="80">
        <f>floors!$C$2</f>
        <v>39010</v>
      </c>
      <c r="C53" s="81" t="str">
        <f ca="1">VLOOKUP($B53,OFFSET([2]quests!$A$1,0,0,COUNTA([2]quests!$A:$A),MATCH(C$1,[2]quests!$1:$1,0)-MATCH($B$1,[2]quests!$1:$1,0)+1),MATCH(C$1,[2]quests!$1:$1,0)-MATCH($B$1,[2]quests!$1:$1,0)+1,FALSE)</f>
        <v>黄巾賊の暴走を止めろ！</v>
      </c>
      <c r="D53" s="81" t="str">
        <f ca="1">VLOOKUP($B53,OFFSET([2]quests!$A$1,0,0,COUNTA([2]quests!$A:$A),MATCH(D$1,[2]quests!$1:$1,0)-MATCH($B$1,[2]quests!$1:$1,0)+1),MATCH(D$1,[2]quests!$1:$1,0)-MATCH($B$1,[2]quests!$1:$1,0)+1,FALSE)</f>
        <v>コラボクエスト（復刻）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コラボクエスト（復刻）</v>
      </c>
      <c r="H53" s="83">
        <v>0</v>
      </c>
      <c r="I53">
        <v>30</v>
      </c>
      <c r="J53" s="82" t="s">
        <v>196</v>
      </c>
      <c r="K53" s="91" t="str">
        <f>VLOOKUP(I53,[6]stage_hints!$A:$C,3,FALSE)</f>
        <v>「バグ」の増やし方</v>
      </c>
      <c r="L53" s="92" t="str">
        <f>VLOOKUP(I53,[6]stage_hints!$A:$D,4,FALSE)</f>
        <v>同じユニット同士を強化で合成すると_x000D_「バグ」を増やすことができます</v>
      </c>
      <c r="M53" s="56" t="s">
        <v>209</v>
      </c>
    </row>
    <row r="54" spans="1:13" x14ac:dyDescent="0.15">
      <c r="A54" s="79" t="s">
        <v>199</v>
      </c>
      <c r="B54" s="80">
        <f>floors!$C$2</f>
        <v>39010</v>
      </c>
      <c r="C54" s="81" t="str">
        <f ca="1">VLOOKUP($B54,OFFSET([2]quests!$A$1,0,0,COUNTA([2]quests!$A:$A),MATCH(C$1,[2]quests!$1:$1,0)-MATCH($B$1,[2]quests!$1:$1,0)+1),MATCH(C$1,[2]quests!$1:$1,0)-MATCH($B$1,[2]quests!$1:$1,0)+1,FALSE)</f>
        <v>黄巾賊の暴走を止めろ！</v>
      </c>
      <c r="D54" s="81" t="str">
        <f ca="1">VLOOKUP($B54,OFFSET([2]quests!$A$1,0,0,COUNTA([2]quests!$A:$A),MATCH(D$1,[2]quests!$1:$1,0)-MATCH($B$1,[2]quests!$1:$1,0)+1),MATCH(D$1,[2]quests!$1:$1,0)-MATCH($B$1,[2]quests!$1:$1,0)+1,FALSE)</f>
        <v>コラボクエスト（復刻）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コラボクエスト（復刻）</v>
      </c>
      <c r="H54" s="83">
        <v>0</v>
      </c>
      <c r="I54">
        <v>31</v>
      </c>
      <c r="J54" s="82" t="s">
        <v>196</v>
      </c>
      <c r="K54" s="91" t="str">
        <f>VLOOKUP(I54,[6]stage_hints!$A:$C,3,FALSE)</f>
        <v>イベントはお知らせでチェック</v>
      </c>
      <c r="L54" s="92" t="str">
        <f>VLOOKUP(I54,[6]stage_hints!$A:$D,4,FALSE)</f>
        <v>イベント限定ユニットを取り忘れないように_x000D_お知らせをこまめにチェックしましょう</v>
      </c>
      <c r="M54" s="56" t="s">
        <v>209</v>
      </c>
    </row>
    <row r="55" spans="1:13" x14ac:dyDescent="0.15">
      <c r="A55" s="79" t="s">
        <v>199</v>
      </c>
      <c r="B55" s="80">
        <f>floors!$C$2</f>
        <v>39010</v>
      </c>
      <c r="C55" s="81" t="str">
        <f ca="1">VLOOKUP($B55,OFFSET([2]quests!$A$1,0,0,COUNTA([2]quests!$A:$A),MATCH(C$1,[2]quests!$1:$1,0)-MATCH($B$1,[2]quests!$1:$1,0)+1),MATCH(C$1,[2]quests!$1:$1,0)-MATCH($B$1,[2]quests!$1:$1,0)+1,FALSE)</f>
        <v>黄巾賊の暴走を止めろ！</v>
      </c>
      <c r="D55" s="81" t="str">
        <f ca="1">VLOOKUP($B55,OFFSET([2]quests!$A$1,0,0,COUNTA([2]quests!$A:$A),MATCH(D$1,[2]quests!$1:$1,0)-MATCH($B$1,[2]quests!$1:$1,0)+1),MATCH(D$1,[2]quests!$1:$1,0)-MATCH($B$1,[2]quests!$1:$1,0)+1,FALSE)</f>
        <v>コラボクエスト（復刻）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コラボクエスト（復刻）</v>
      </c>
      <c r="H55" s="83">
        <v>0</v>
      </c>
      <c r="I55">
        <v>32</v>
      </c>
      <c r="J55" s="82" t="s">
        <v>196</v>
      </c>
      <c r="K55" s="91" t="str">
        <f>VLOOKUP(I55,[6]stage_hints!$A:$C,3,FALSE)</f>
        <v>敵の連続攻撃には</v>
      </c>
      <c r="L55" s="92" t="str">
        <f>VLOOKUP(I55,[6]stage_hints!$A:$D,4,FALSE)</f>
        <v>カウンタースキルを持つユニットがいれば_x000D_ダメージ回数分の反撃ができます</v>
      </c>
      <c r="M55" s="56" t="s">
        <v>209</v>
      </c>
    </row>
    <row r="56" spans="1:13" x14ac:dyDescent="0.15">
      <c r="A56" s="79" t="s">
        <v>199</v>
      </c>
      <c r="B56" s="80">
        <f>floors!$C$2</f>
        <v>39010</v>
      </c>
      <c r="C56" s="81" t="str">
        <f ca="1">VLOOKUP($B56,OFFSET([2]quests!$A$1,0,0,COUNTA([2]quests!$A:$A),MATCH(C$1,[2]quests!$1:$1,0)-MATCH($B$1,[2]quests!$1:$1,0)+1),MATCH(C$1,[2]quests!$1:$1,0)-MATCH($B$1,[2]quests!$1:$1,0)+1,FALSE)</f>
        <v>黄巾賊の暴走を止めろ！</v>
      </c>
      <c r="D56" s="81" t="str">
        <f ca="1">VLOOKUP($B56,OFFSET([2]quests!$A$1,0,0,COUNTA([2]quests!$A:$A),MATCH(D$1,[2]quests!$1:$1,0)-MATCH($B$1,[2]quests!$1:$1,0)+1),MATCH(D$1,[2]quests!$1:$1,0)-MATCH($B$1,[2]quests!$1:$1,0)+1,FALSE)</f>
        <v>コラボクエスト（復刻）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コラボクエスト（復刻）</v>
      </c>
      <c r="H56" s="83">
        <v>0</v>
      </c>
      <c r="I56">
        <v>33</v>
      </c>
      <c r="J56" s="82" t="s">
        <v>196</v>
      </c>
      <c r="K56" s="91" t="str">
        <f>VLOOKUP(I56,[6]stage_hints!$A:$C,3,FALSE)</f>
        <v>敵のカウンター攻撃には</v>
      </c>
      <c r="L56" s="92" t="str">
        <f>VLOOKUP(I56,[6]stage_hints!$A:$D,4,FALSE)</f>
        <v>カウンターブレイクスキルを持っていれば_x000D_敵のカウンターを解除して攻撃ができます</v>
      </c>
      <c r="M56" s="56" t="s">
        <v>209</v>
      </c>
    </row>
    <row r="57" spans="1:13" x14ac:dyDescent="0.15">
      <c r="A57" s="79" t="s">
        <v>199</v>
      </c>
      <c r="B57" s="80">
        <f>floors!$C$2</f>
        <v>39010</v>
      </c>
      <c r="C57" s="81" t="str">
        <f ca="1">VLOOKUP($B57,OFFSET([2]quests!$A$1,0,0,COUNTA([2]quests!$A:$A),MATCH(C$1,[2]quests!$1:$1,0)-MATCH($B$1,[2]quests!$1:$1,0)+1),MATCH(C$1,[2]quests!$1:$1,0)-MATCH($B$1,[2]quests!$1:$1,0)+1,FALSE)</f>
        <v>黄巾賊の暴走を止めろ！</v>
      </c>
      <c r="D57" s="81" t="str">
        <f ca="1">VLOOKUP($B57,OFFSET([2]quests!$A$1,0,0,COUNTA([2]quests!$A:$A),MATCH(D$1,[2]quests!$1:$1,0)-MATCH($B$1,[2]quests!$1:$1,0)+1),MATCH(D$1,[2]quests!$1:$1,0)-MATCH($B$1,[2]quests!$1:$1,0)+1,FALSE)</f>
        <v>コラボクエスト（復刻）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コラボクエスト（復刻）</v>
      </c>
      <c r="H57" s="83">
        <v>0</v>
      </c>
      <c r="I57">
        <v>34</v>
      </c>
      <c r="J57" s="82" t="s">
        <v>196</v>
      </c>
      <c r="K57" s="91" t="str">
        <f>VLOOKUP(I57,[6]stage_hints!$A:$C,3,FALSE)</f>
        <v>ステータスをスキルで下げられたら</v>
      </c>
      <c r="L57" s="92" t="str">
        <f>VLOOKUP(I57,[6]stage_hints!$A:$D,4,FALSE)</f>
        <v>ステータスダウンのスキルを受けたら_x000D_ステータスアップスキルで上書きしましょう</v>
      </c>
      <c r="M57" s="56" t="s">
        <v>209</v>
      </c>
    </row>
    <row r="58" spans="1:13" x14ac:dyDescent="0.15">
      <c r="A58" s="79" t="s">
        <v>199</v>
      </c>
      <c r="B58" s="80">
        <f>floors!$C$2</f>
        <v>39010</v>
      </c>
      <c r="C58" s="81" t="str">
        <f ca="1">VLOOKUP($B58,OFFSET([2]quests!$A$1,0,0,COUNTA([2]quests!$A:$A),MATCH(C$1,[2]quests!$1:$1,0)-MATCH($B$1,[2]quests!$1:$1,0)+1),MATCH(C$1,[2]quests!$1:$1,0)-MATCH($B$1,[2]quests!$1:$1,0)+1,FALSE)</f>
        <v>黄巾賊の暴走を止めろ！</v>
      </c>
      <c r="D58" s="81" t="str">
        <f ca="1">VLOOKUP($B58,OFFSET([2]quests!$A$1,0,0,COUNTA([2]quests!$A:$A),MATCH(D$1,[2]quests!$1:$1,0)-MATCH($B$1,[2]quests!$1:$1,0)+1),MATCH(D$1,[2]quests!$1:$1,0)-MATCH($B$1,[2]quests!$1:$1,0)+1,FALSE)</f>
        <v>コラボクエスト（復刻）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コラボクエスト（復刻）</v>
      </c>
      <c r="H58" s="83">
        <v>0</v>
      </c>
      <c r="I58">
        <v>35</v>
      </c>
      <c r="J58" s="82" t="s">
        <v>196</v>
      </c>
      <c r="K58" s="91" t="str">
        <f>VLOOKUP(I58,[6]stage_hints!$A:$C,3,FALSE)</f>
        <v>敵のステータスがスキルで上がったら</v>
      </c>
      <c r="L58" s="92" t="str">
        <f>VLOOKUP(I58,[6]stage_hints!$A:$D,4,FALSE)</f>
        <v>敵のステータスがスキルでアップしたときは_x000D_ステータスダウンスキルで上書きしましょう</v>
      </c>
      <c r="M58" s="56" t="s">
        <v>209</v>
      </c>
    </row>
    <row r="59" spans="1:13" x14ac:dyDescent="0.15">
      <c r="A59" s="79" t="s">
        <v>199</v>
      </c>
      <c r="B59" s="80">
        <f>floors!$C$2</f>
        <v>39010</v>
      </c>
      <c r="C59" s="81" t="str">
        <f ca="1">VLOOKUP($B59,OFFSET([2]quests!$A$1,0,0,COUNTA([2]quests!$A:$A),MATCH(C$1,[2]quests!$1:$1,0)-MATCH($B$1,[2]quests!$1:$1,0)+1),MATCH(C$1,[2]quests!$1:$1,0)-MATCH($B$1,[2]quests!$1:$1,0)+1,FALSE)</f>
        <v>黄巾賊の暴走を止めろ！</v>
      </c>
      <c r="D59" s="81" t="str">
        <f ca="1">VLOOKUP($B59,OFFSET([2]quests!$A$1,0,0,COUNTA([2]quests!$A:$A),MATCH(D$1,[2]quests!$1:$1,0)-MATCH($B$1,[2]quests!$1:$1,0)+1),MATCH(D$1,[2]quests!$1:$1,0)-MATCH($B$1,[2]quests!$1:$1,0)+1,FALSE)</f>
        <v>コラボクエスト（復刻）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コラボクエスト（復刻）</v>
      </c>
      <c r="H59" s="83">
        <v>0</v>
      </c>
      <c r="I59">
        <v>39</v>
      </c>
      <c r="J59" s="82" t="s">
        <v>196</v>
      </c>
      <c r="K59" s="91" t="str">
        <f>VLOOKUP(I59,[6]stage_hints!$A:$C,3,FALSE)</f>
        <v>システム適合者を確認</v>
      </c>
      <c r="L59" s="92" t="str">
        <f>VLOOKUP(I59,[6]stage_hints!$A:$D,4,FALSE)</f>
        <v>ALICEが 「アナタ」を呼んでいます</v>
      </c>
      <c r="M59" s="56" t="s">
        <v>209</v>
      </c>
    </row>
    <row r="60" spans="1:13" x14ac:dyDescent="0.15">
      <c r="A60" s="79" t="s">
        <v>199</v>
      </c>
      <c r="B60" s="80">
        <f>floors!$C$2</f>
        <v>39010</v>
      </c>
      <c r="C60" s="81" t="str">
        <f ca="1">VLOOKUP($B60,OFFSET([2]quests!$A$1,0,0,COUNTA([2]quests!$A:$A),MATCH(C$1,[2]quests!$1:$1,0)-MATCH($B$1,[2]quests!$1:$1,0)+1),MATCH(C$1,[2]quests!$1:$1,0)-MATCH($B$1,[2]quests!$1:$1,0)+1,FALSE)</f>
        <v>黄巾賊の暴走を止めろ！</v>
      </c>
      <c r="D60" s="81" t="str">
        <f ca="1">VLOOKUP($B60,OFFSET([2]quests!$A$1,0,0,COUNTA([2]quests!$A:$A),MATCH(D$1,[2]quests!$1:$1,0)-MATCH($B$1,[2]quests!$1:$1,0)+1),MATCH(D$1,[2]quests!$1:$1,0)-MATCH($B$1,[2]quests!$1:$1,0)+1,FALSE)</f>
        <v>コラボクエスト（復刻）</v>
      </c>
      <c r="E60" s="85">
        <v>3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コラボクエスト（復刻）</v>
      </c>
      <c r="H60" s="83">
        <v>0</v>
      </c>
      <c r="I60" s="94">
        <v>3</v>
      </c>
      <c r="J60" s="82" t="s">
        <v>196</v>
      </c>
      <c r="K60" s="91" t="str">
        <f>VLOOKUP(I60,[6]stage_hints!$A:$C,3,FALSE)</f>
        <v>ターゲット</v>
      </c>
      <c r="L60" s="92" t="str">
        <f>VLOOKUP(I60,[6]stage_hints!$A:$D,4,FALSE)</f>
        <v>敵ユニットをタップすると_x000D_その敵を狙い撃ちできます</v>
      </c>
      <c r="M60" s="56" t="s">
        <v>209</v>
      </c>
    </row>
    <row r="61" spans="1:13" x14ac:dyDescent="0.15">
      <c r="A61" s="79" t="s">
        <v>199</v>
      </c>
      <c r="B61" s="80">
        <f>floors!$C$2</f>
        <v>39010</v>
      </c>
      <c r="C61" s="81" t="str">
        <f ca="1">VLOOKUP($B61,OFFSET([2]quests!$A$1,0,0,COUNTA([2]quests!$A:$A),MATCH(C$1,[2]quests!$1:$1,0)-MATCH($B$1,[2]quests!$1:$1,0)+1),MATCH(C$1,[2]quests!$1:$1,0)-MATCH($B$1,[2]quests!$1:$1,0)+1,FALSE)</f>
        <v>黄巾賊の暴走を止めろ！</v>
      </c>
      <c r="D61" s="81" t="str">
        <f ca="1">VLOOKUP($B61,OFFSET([2]quests!$A$1,0,0,COUNTA([2]quests!$A:$A),MATCH(D$1,[2]quests!$1:$1,0)-MATCH($B$1,[2]quests!$1:$1,0)+1),MATCH(D$1,[2]quests!$1:$1,0)-MATCH($B$1,[2]quests!$1:$1,0)+1,FALSE)</f>
        <v>コラボクエスト（復刻）</v>
      </c>
      <c r="E61" s="85">
        <v>3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コラボクエスト（復刻）</v>
      </c>
      <c r="H61" s="83">
        <v>0</v>
      </c>
      <c r="I61" s="94">
        <v>6</v>
      </c>
      <c r="J61" s="82" t="s">
        <v>196</v>
      </c>
      <c r="K61" s="91" t="str">
        <f>VLOOKUP(I61,[6]stage_hints!$A:$C,3,FALSE)</f>
        <v>ユニット強化の属性ボーナス</v>
      </c>
      <c r="L61" s="92" t="str">
        <f>VLOOKUP(I61,[6]stage_hints!$A:$D,4,FALSE)</f>
        <v>同属性ユニットを強化素材にすると_x000D_経験値が多くもらえます</v>
      </c>
      <c r="M61" s="56" t="s">
        <v>209</v>
      </c>
    </row>
    <row r="62" spans="1:13" x14ac:dyDescent="0.15">
      <c r="A62" s="79" t="s">
        <v>199</v>
      </c>
      <c r="B62" s="80">
        <f>floors!$C$2</f>
        <v>39010</v>
      </c>
      <c r="C62" s="81" t="str">
        <f ca="1">VLOOKUP($B62,OFFSET([2]quests!$A$1,0,0,COUNTA([2]quests!$A:$A),MATCH(C$1,[2]quests!$1:$1,0)-MATCH($B$1,[2]quests!$1:$1,0)+1),MATCH(C$1,[2]quests!$1:$1,0)-MATCH($B$1,[2]quests!$1:$1,0)+1,FALSE)</f>
        <v>黄巾賊の暴走を止めろ！</v>
      </c>
      <c r="D62" s="81" t="str">
        <f ca="1">VLOOKUP($B62,OFFSET([2]quests!$A$1,0,0,COUNTA([2]quests!$A:$A),MATCH(D$1,[2]quests!$1:$1,0)-MATCH($B$1,[2]quests!$1:$1,0)+1),MATCH(D$1,[2]quests!$1:$1,0)-MATCH($B$1,[2]quests!$1:$1,0)+1,FALSE)</f>
        <v>コラボクエスト（復刻）</v>
      </c>
      <c r="E62" s="85">
        <v>3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コラボクエスト（復刻）</v>
      </c>
      <c r="H62" s="83">
        <v>0</v>
      </c>
      <c r="I62" s="94">
        <v>7</v>
      </c>
      <c r="J62" s="82" t="s">
        <v>196</v>
      </c>
      <c r="K62" s="91" t="str">
        <f>VLOOKUP(I62,[6]stage_hints!$A:$C,3,FALSE)</f>
        <v>メタルダックで経験値を獲得</v>
      </c>
      <c r="L62" s="92" t="str">
        <f>VLOOKUP(I62,[6]stage_hints!$A:$D,4,FALSE)</f>
        <v>「メタルなアヒル」を強化素材にすると_x000D_大量の経験値がもらえます</v>
      </c>
      <c r="M62" s="56" t="s">
        <v>209</v>
      </c>
    </row>
    <row r="63" spans="1:13" x14ac:dyDescent="0.15">
      <c r="A63" s="79" t="s">
        <v>199</v>
      </c>
      <c r="B63" s="80">
        <f>floors!$C$2</f>
        <v>39010</v>
      </c>
      <c r="C63" s="81" t="str">
        <f ca="1">VLOOKUP($B63,OFFSET([2]quests!$A$1,0,0,COUNTA([2]quests!$A:$A),MATCH(C$1,[2]quests!$1:$1,0)-MATCH($B$1,[2]quests!$1:$1,0)+1),MATCH(C$1,[2]quests!$1:$1,0)-MATCH($B$1,[2]quests!$1:$1,0)+1,FALSE)</f>
        <v>黄巾賊の暴走を止めろ！</v>
      </c>
      <c r="D63" s="81" t="str">
        <f ca="1">VLOOKUP($B63,OFFSET([2]quests!$A$1,0,0,COUNTA([2]quests!$A:$A),MATCH(D$1,[2]quests!$1:$1,0)-MATCH($B$1,[2]quests!$1:$1,0)+1),MATCH(D$1,[2]quests!$1:$1,0)-MATCH($B$1,[2]quests!$1:$1,0)+1,FALSE)</f>
        <v>コラボクエスト（復刻）</v>
      </c>
      <c r="E63" s="85">
        <v>3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コラボクエスト（復刻）</v>
      </c>
      <c r="H63" s="83">
        <v>0</v>
      </c>
      <c r="I63" s="94">
        <v>8</v>
      </c>
      <c r="J63" s="82" t="s">
        <v>196</v>
      </c>
      <c r="K63" s="91" t="str">
        <f>VLOOKUP(I63,[6]stage_hints!$A:$C,3,FALSE)</f>
        <v>ゲリラクエストは要チェック</v>
      </c>
      <c r="L63" s="92" t="str">
        <f>VLOOKUP(I63,[6]stage_hints!$A:$D,4,FALSE)</f>
        <v>時間限定の「アヒル捕獲作戦」では_x000D_経験値素材ユニットが多く手に入ります</v>
      </c>
      <c r="M63" s="56" t="s">
        <v>209</v>
      </c>
    </row>
    <row r="64" spans="1:13" x14ac:dyDescent="0.15">
      <c r="A64" s="79" t="s">
        <v>199</v>
      </c>
      <c r="B64" s="80">
        <f>floors!$C$2</f>
        <v>39010</v>
      </c>
      <c r="C64" s="81" t="str">
        <f ca="1">VLOOKUP($B64,OFFSET([2]quests!$A$1,0,0,COUNTA([2]quests!$A:$A),MATCH(C$1,[2]quests!$1:$1,0)-MATCH($B$1,[2]quests!$1:$1,0)+1),MATCH(C$1,[2]quests!$1:$1,0)-MATCH($B$1,[2]quests!$1:$1,0)+1,FALSE)</f>
        <v>黄巾賊の暴走を止めろ！</v>
      </c>
      <c r="D64" s="81" t="str">
        <f ca="1">VLOOKUP($B64,OFFSET([2]quests!$A$1,0,0,COUNTA([2]quests!$A:$A),MATCH(D$1,[2]quests!$1:$1,0)-MATCH($B$1,[2]quests!$1:$1,0)+1),MATCH(D$1,[2]quests!$1:$1,0)-MATCH($B$1,[2]quests!$1:$1,0)+1,FALSE)</f>
        <v>コラボクエスト（復刻）</v>
      </c>
      <c r="E64" s="85">
        <v>3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コラボクエスト（復刻）</v>
      </c>
      <c r="H64" s="83">
        <v>0</v>
      </c>
      <c r="I64" s="94">
        <v>9</v>
      </c>
      <c r="J64" s="82" t="s">
        <v>196</v>
      </c>
      <c r="K64" s="91" t="str">
        <f>VLOOKUP(I64,[6]stage_hints!$A:$C,3,FALSE)</f>
        <v>ゴールドダックでビットを獲得</v>
      </c>
      <c r="L64" s="92" t="str">
        <f>VLOOKUP(I64,[6]stage_hints!$A:$D,4,FALSE)</f>
        <v>「ゴールドなアヒル」を売却すると_x000D_大量のビットがもらえます</v>
      </c>
      <c r="M64" s="56" t="s">
        <v>209</v>
      </c>
    </row>
    <row r="65" spans="1:13" x14ac:dyDescent="0.15">
      <c r="A65" s="79" t="s">
        <v>199</v>
      </c>
      <c r="B65" s="80">
        <f>floors!$C$2</f>
        <v>39010</v>
      </c>
      <c r="C65" s="81" t="str">
        <f ca="1">VLOOKUP($B65,OFFSET([2]quests!$A$1,0,0,COUNTA([2]quests!$A:$A),MATCH(C$1,[2]quests!$1:$1,0)-MATCH($B$1,[2]quests!$1:$1,0)+1),MATCH(C$1,[2]quests!$1:$1,0)-MATCH($B$1,[2]quests!$1:$1,0)+1,FALSE)</f>
        <v>黄巾賊の暴走を止めろ！</v>
      </c>
      <c r="D65" s="81" t="str">
        <f ca="1">VLOOKUP($B65,OFFSET([2]quests!$A$1,0,0,COUNTA([2]quests!$A:$A),MATCH(D$1,[2]quests!$1:$1,0)-MATCH($B$1,[2]quests!$1:$1,0)+1),MATCH(D$1,[2]quests!$1:$1,0)-MATCH($B$1,[2]quests!$1:$1,0)+1,FALSE)</f>
        <v>コラボクエスト（復刻）</v>
      </c>
      <c r="E65" s="85">
        <v>3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コラボクエスト（復刻）</v>
      </c>
      <c r="H65" s="83">
        <v>0</v>
      </c>
      <c r="I65" s="94">
        <v>10</v>
      </c>
      <c r="J65" s="82" t="s">
        <v>196</v>
      </c>
      <c r="K65" s="91" t="str">
        <f>VLOOKUP(I65,[6]stage_hints!$A:$C,3,FALSE)</f>
        <v>土日に大量のビットを獲得</v>
      </c>
      <c r="L65" s="92" t="str">
        <f>VLOOKUP(I65,[6]stage_hints!$A:$D,4,FALSE)</f>
        <v>土日限定の「ゴールドカジノ」では_x000D_売却素材ユニットが多く手に入ります</v>
      </c>
      <c r="M65" s="56" t="s">
        <v>209</v>
      </c>
    </row>
    <row r="66" spans="1:13" x14ac:dyDescent="0.15">
      <c r="A66" s="79" t="s">
        <v>199</v>
      </c>
      <c r="B66" s="80">
        <f>floors!$C$2</f>
        <v>39010</v>
      </c>
      <c r="C66" s="81" t="str">
        <f ca="1">VLOOKUP($B66,OFFSET([2]quests!$A$1,0,0,COUNTA([2]quests!$A:$A),MATCH(C$1,[2]quests!$1:$1,0)-MATCH($B$1,[2]quests!$1:$1,0)+1),MATCH(C$1,[2]quests!$1:$1,0)-MATCH($B$1,[2]quests!$1:$1,0)+1,FALSE)</f>
        <v>黄巾賊の暴走を止めろ！</v>
      </c>
      <c r="D66" s="81" t="str">
        <f ca="1">VLOOKUP($B66,OFFSET([2]quests!$A$1,0,0,COUNTA([2]quests!$A:$A),MATCH(D$1,[2]quests!$1:$1,0)-MATCH($B$1,[2]quests!$1:$1,0)+1),MATCH(D$1,[2]quests!$1:$1,0)-MATCH($B$1,[2]quests!$1:$1,0)+1,FALSE)</f>
        <v>コラボクエスト（復刻）</v>
      </c>
      <c r="E66" s="85">
        <v>3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コラボクエスト（復刻）</v>
      </c>
      <c r="H66" s="83">
        <v>0</v>
      </c>
      <c r="I66" s="94">
        <v>11</v>
      </c>
      <c r="J66" s="82" t="s">
        <v>196</v>
      </c>
      <c r="K66" s="91" t="str">
        <f>VLOOKUP(I66,[6]stage_hints!$A:$C,3,FALSE)</f>
        <v>ランク解放クエスト</v>
      </c>
      <c r="L66" s="92" t="str">
        <f>VLOOKUP(I66,[6]stage_hints!$A:$D,4,FALSE)</f>
        <v>一定ランクに到達すると_x000D_報酬付きのランク開放クエストが現れます</v>
      </c>
      <c r="M66" s="56" t="s">
        <v>209</v>
      </c>
    </row>
    <row r="67" spans="1:13" x14ac:dyDescent="0.15">
      <c r="A67" s="79" t="s">
        <v>199</v>
      </c>
      <c r="B67" s="80">
        <f>floors!$C$2</f>
        <v>39010</v>
      </c>
      <c r="C67" s="81" t="str">
        <f ca="1">VLOOKUP($B67,OFFSET([2]quests!$A$1,0,0,COUNTA([2]quests!$A:$A),MATCH(C$1,[2]quests!$1:$1,0)-MATCH($B$1,[2]quests!$1:$1,0)+1),MATCH(C$1,[2]quests!$1:$1,0)-MATCH($B$1,[2]quests!$1:$1,0)+1,FALSE)</f>
        <v>黄巾賊の暴走を止めろ！</v>
      </c>
      <c r="D67" s="81" t="str">
        <f ca="1">VLOOKUP($B67,OFFSET([2]quests!$A$1,0,0,COUNTA([2]quests!$A:$A),MATCH(D$1,[2]quests!$1:$1,0)-MATCH($B$1,[2]quests!$1:$1,0)+1),MATCH(D$1,[2]quests!$1:$1,0)-MATCH($B$1,[2]quests!$1:$1,0)+1,FALSE)</f>
        <v>コラボクエスト（復刻）</v>
      </c>
      <c r="E67" s="85">
        <v>3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コラボクエスト（復刻）</v>
      </c>
      <c r="H67" s="83">
        <v>0</v>
      </c>
      <c r="I67" s="94">
        <v>12</v>
      </c>
      <c r="J67" s="82" t="s">
        <v>196</v>
      </c>
      <c r="K67" s="91" t="str">
        <f>VLOOKUP(I67,[6]stage_hints!$A:$C,3,FALSE)</f>
        <v>ユニットのお気に入り登録</v>
      </c>
      <c r="L67" s="92" t="str">
        <f>VLOOKUP(I67,[6]stage_hints!$A:$D,4,FALSE)</f>
        <v>大事なユニットを誤って消さないように_x000D_フォルダから「お気に入り登録」しましょう</v>
      </c>
      <c r="M67" s="56" t="s">
        <v>209</v>
      </c>
    </row>
    <row r="68" spans="1:13" x14ac:dyDescent="0.15">
      <c r="A68" s="79" t="s">
        <v>199</v>
      </c>
      <c r="B68" s="80">
        <f>floors!$C$2</f>
        <v>39010</v>
      </c>
      <c r="C68" s="81" t="str">
        <f ca="1">VLOOKUP($B68,OFFSET([2]quests!$A$1,0,0,COUNTA([2]quests!$A:$A),MATCH(C$1,[2]quests!$1:$1,0)-MATCH($B$1,[2]quests!$1:$1,0)+1),MATCH(C$1,[2]quests!$1:$1,0)-MATCH($B$1,[2]quests!$1:$1,0)+1,FALSE)</f>
        <v>黄巾賊の暴走を止めろ！</v>
      </c>
      <c r="D68" s="81" t="str">
        <f ca="1">VLOOKUP($B68,OFFSET([2]quests!$A$1,0,0,COUNTA([2]quests!$A:$A),MATCH(D$1,[2]quests!$1:$1,0)-MATCH($B$1,[2]quests!$1:$1,0)+1),MATCH(D$1,[2]quests!$1:$1,0)-MATCH($B$1,[2]quests!$1:$1,0)+1,FALSE)</f>
        <v>コラボクエスト（復刻）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コラボクエスト（復刻）</v>
      </c>
      <c r="H68" s="83">
        <v>0</v>
      </c>
      <c r="I68" s="94">
        <v>13</v>
      </c>
      <c r="J68" s="82" t="s">
        <v>196</v>
      </c>
      <c r="K68" s="91" t="str">
        <f>VLOOKUP(I68,[6]stage_hints!$A:$C,3,FALSE)</f>
        <v>ユニットの覚醒</v>
      </c>
      <c r="L68" s="92" t="str">
        <f>VLOOKUP(I68,[6]stage_hints!$A:$D,4,FALSE)</f>
        <v>ユニットを覚醒させると_x000D_比べものにならない強さが手に入ります</v>
      </c>
      <c r="M68" s="56" t="s">
        <v>209</v>
      </c>
    </row>
    <row r="69" spans="1:13" x14ac:dyDescent="0.15">
      <c r="A69" s="79" t="s">
        <v>199</v>
      </c>
      <c r="B69" s="80">
        <f>floors!$C$2</f>
        <v>39010</v>
      </c>
      <c r="C69" s="81" t="str">
        <f ca="1">VLOOKUP($B69,OFFSET([2]quests!$A$1,0,0,COUNTA([2]quests!$A:$A),MATCH(C$1,[2]quests!$1:$1,0)-MATCH($B$1,[2]quests!$1:$1,0)+1),MATCH(C$1,[2]quests!$1:$1,0)-MATCH($B$1,[2]quests!$1:$1,0)+1,FALSE)</f>
        <v>黄巾賊の暴走を止めろ！</v>
      </c>
      <c r="D69" s="81" t="str">
        <f ca="1">VLOOKUP($B69,OFFSET([2]quests!$A$1,0,0,COUNTA([2]quests!$A:$A),MATCH(D$1,[2]quests!$1:$1,0)-MATCH($B$1,[2]quests!$1:$1,0)+1),MATCH(D$1,[2]quests!$1:$1,0)-MATCH($B$1,[2]quests!$1:$1,0)+1,FALSE)</f>
        <v>コラボクエスト（復刻）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コラボクエスト（復刻）</v>
      </c>
      <c r="H69" s="83">
        <v>0</v>
      </c>
      <c r="I69" s="94">
        <v>14</v>
      </c>
      <c r="J69" s="82" t="s">
        <v>196</v>
      </c>
      <c r="K69" s="91" t="str">
        <f>VLOOKUP(I69,[6]stage_hints!$A:$C,3,FALSE)</f>
        <v>覚醒するにはレベルを最大に</v>
      </c>
      <c r="L69" s="92" t="str">
        <f>VLOOKUP(I69,[6]stage_hints!$A:$D,4,FALSE)</f>
        <v>覚醒するにはユニットのレベルを_x000D_最大まで上げる必要があります</v>
      </c>
      <c r="M69" s="56" t="s">
        <v>209</v>
      </c>
    </row>
    <row r="70" spans="1:13" x14ac:dyDescent="0.15">
      <c r="A70" s="79" t="s">
        <v>199</v>
      </c>
      <c r="B70" s="80">
        <f>floors!$C$2</f>
        <v>39010</v>
      </c>
      <c r="C70" s="81" t="str">
        <f ca="1">VLOOKUP($B70,OFFSET([2]quests!$A$1,0,0,COUNTA([2]quests!$A:$A),MATCH(C$1,[2]quests!$1:$1,0)-MATCH($B$1,[2]quests!$1:$1,0)+1),MATCH(C$1,[2]quests!$1:$1,0)-MATCH($B$1,[2]quests!$1:$1,0)+1,FALSE)</f>
        <v>黄巾賊の暴走を止めろ！</v>
      </c>
      <c r="D70" s="81" t="str">
        <f ca="1">VLOOKUP($B70,OFFSET([2]quests!$A$1,0,0,COUNTA([2]quests!$A:$A),MATCH(D$1,[2]quests!$1:$1,0)-MATCH($B$1,[2]quests!$1:$1,0)+1),MATCH(D$1,[2]quests!$1:$1,0)-MATCH($B$1,[2]quests!$1:$1,0)+1,FALSE)</f>
        <v>コラボクエスト（復刻）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コラボクエスト（復刻）</v>
      </c>
      <c r="H70" s="83">
        <v>0</v>
      </c>
      <c r="I70" s="94">
        <v>15</v>
      </c>
      <c r="J70" s="82" t="s">
        <v>196</v>
      </c>
      <c r="K70" s="91" t="str">
        <f>VLOOKUP(I70,[6]stage_hints!$A:$C,3,FALSE)</f>
        <v>覚醒素材を獲得</v>
      </c>
      <c r="L70" s="92" t="str">
        <f>VLOOKUP(I70,[6]stage_hints!$A:$D,4,FALSE)</f>
        <v>「曜日クエスト」では_x000D_ユニットの覚醒に必要な素材が手に入ります</v>
      </c>
      <c r="M70" s="56" t="s">
        <v>209</v>
      </c>
    </row>
    <row r="71" spans="1:13" x14ac:dyDescent="0.15">
      <c r="A71" s="79" t="s">
        <v>199</v>
      </c>
      <c r="B71" s="80">
        <f>floors!$C$2</f>
        <v>39010</v>
      </c>
      <c r="C71" s="81" t="str">
        <f ca="1">VLOOKUP($B71,OFFSET([2]quests!$A$1,0,0,COUNTA([2]quests!$A:$A),MATCH(C$1,[2]quests!$1:$1,0)-MATCH($B$1,[2]quests!$1:$1,0)+1),MATCH(C$1,[2]quests!$1:$1,0)-MATCH($B$1,[2]quests!$1:$1,0)+1,FALSE)</f>
        <v>黄巾賊の暴走を止めろ！</v>
      </c>
      <c r="D71" s="81" t="str">
        <f ca="1">VLOOKUP($B71,OFFSET([2]quests!$A$1,0,0,COUNTA([2]quests!$A:$A),MATCH(D$1,[2]quests!$1:$1,0)-MATCH($B$1,[2]quests!$1:$1,0)+1),MATCH(D$1,[2]quests!$1:$1,0)-MATCH($B$1,[2]quests!$1:$1,0)+1,FALSE)</f>
        <v>コラボクエスト（復刻）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コラボクエスト（復刻）</v>
      </c>
      <c r="H71" s="83">
        <v>0</v>
      </c>
      <c r="I71" s="94">
        <v>16</v>
      </c>
      <c r="J71" s="82" t="s">
        <v>196</v>
      </c>
      <c r="K71" s="91" t="str">
        <f>VLOOKUP(I71,[6]stage_hints!$A:$C,3,FALSE)</f>
        <v>マルチプレイのメリット（その1）</v>
      </c>
      <c r="L71" s="92" t="str">
        <f>VLOOKUP(I71,[6]stage_hints!$A:$D,4,FALSE)</f>
        <v>他のプレイヤーとマルチプレイで遊ぶと_x000D_ポリゴンがもらえます（100人まで）</v>
      </c>
      <c r="M71" s="56" t="s">
        <v>209</v>
      </c>
    </row>
    <row r="72" spans="1:13" x14ac:dyDescent="0.15">
      <c r="A72" s="79" t="s">
        <v>199</v>
      </c>
      <c r="B72" s="80">
        <f>floors!$C$2</f>
        <v>39010</v>
      </c>
      <c r="C72" s="81" t="str">
        <f ca="1">VLOOKUP($B72,OFFSET([2]quests!$A$1,0,0,COUNTA([2]quests!$A:$A),MATCH(C$1,[2]quests!$1:$1,0)-MATCH($B$1,[2]quests!$1:$1,0)+1),MATCH(C$1,[2]quests!$1:$1,0)-MATCH($B$1,[2]quests!$1:$1,0)+1,FALSE)</f>
        <v>黄巾賊の暴走を止めろ！</v>
      </c>
      <c r="D72" s="81" t="str">
        <f ca="1">VLOOKUP($B72,OFFSET([2]quests!$A$1,0,0,COUNTA([2]quests!$A:$A),MATCH(D$1,[2]quests!$1:$1,0)-MATCH($B$1,[2]quests!$1:$1,0)+1),MATCH(D$1,[2]quests!$1:$1,0)-MATCH($B$1,[2]quests!$1:$1,0)+1,FALSE)</f>
        <v>コラボクエスト（復刻）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コラボクエスト（復刻）</v>
      </c>
      <c r="H72" s="83">
        <v>0</v>
      </c>
      <c r="I72" s="94">
        <v>17</v>
      </c>
      <c r="J72" s="82" t="s">
        <v>196</v>
      </c>
      <c r="K72" s="91" t="str">
        <f>VLOOKUP(I72,[6]stage_hints!$A:$C,3,FALSE)</f>
        <v>リンクガチャ</v>
      </c>
      <c r="L72" s="92" t="str">
        <f>VLOOKUP(I72,[6]stage_hints!$A:$D,4,FALSE)</f>
        <v>無料のリンクガチャを回して_x000D_経験値素材や売却素材を獲得しましょう</v>
      </c>
      <c r="M72" s="56" t="s">
        <v>209</v>
      </c>
    </row>
    <row r="73" spans="1:13" x14ac:dyDescent="0.15">
      <c r="A73" s="79" t="s">
        <v>199</v>
      </c>
      <c r="B73" s="80">
        <f>floors!$C$2</f>
        <v>39010</v>
      </c>
      <c r="C73" s="81" t="str">
        <f ca="1">VLOOKUP($B73,OFFSET([2]quests!$A$1,0,0,COUNTA([2]quests!$A:$A),MATCH(C$1,[2]quests!$1:$1,0)-MATCH($B$1,[2]quests!$1:$1,0)+1),MATCH(C$1,[2]quests!$1:$1,0)-MATCH($B$1,[2]quests!$1:$1,0)+1,FALSE)</f>
        <v>黄巾賊の暴走を止めろ！</v>
      </c>
      <c r="D73" s="81" t="str">
        <f ca="1">VLOOKUP($B73,OFFSET([2]quests!$A$1,0,0,COUNTA([2]quests!$A:$A),MATCH(D$1,[2]quests!$1:$1,0)-MATCH($B$1,[2]quests!$1:$1,0)+1),MATCH(D$1,[2]quests!$1:$1,0)-MATCH($B$1,[2]quests!$1:$1,0)+1,FALSE)</f>
        <v>コラボクエスト（復刻）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コラボクエスト（復刻）</v>
      </c>
      <c r="H73" s="83">
        <v>0</v>
      </c>
      <c r="I73" s="94">
        <v>18</v>
      </c>
      <c r="J73" s="82" t="s">
        <v>196</v>
      </c>
      <c r="K73" s="91" t="str">
        <f>VLOOKUP(I73,[6]stage_hints!$A:$C,3,FALSE)</f>
        <v>マルチプレイのメリット（その2）</v>
      </c>
      <c r="L73" s="92" t="str">
        <f>VLOOKUP(I73,[6]stage_hints!$A:$D,4,FALSE)</f>
        <v>マルチプレイならリンクが2倍もらえます_x000D_リンクガチャをたくさん回しましょう</v>
      </c>
      <c r="M73" s="56" t="s">
        <v>209</v>
      </c>
    </row>
    <row r="74" spans="1:13" x14ac:dyDescent="0.15">
      <c r="A74" s="79" t="s">
        <v>199</v>
      </c>
      <c r="B74" s="80">
        <f>floors!$C$2</f>
        <v>39010</v>
      </c>
      <c r="C74" s="81" t="str">
        <f ca="1">VLOOKUP($B74,OFFSET([2]quests!$A$1,0,0,COUNTA([2]quests!$A:$A),MATCH(C$1,[2]quests!$1:$1,0)-MATCH($B$1,[2]quests!$1:$1,0)+1),MATCH(C$1,[2]quests!$1:$1,0)-MATCH($B$1,[2]quests!$1:$1,0)+1,FALSE)</f>
        <v>黄巾賊の暴走を止めろ！</v>
      </c>
      <c r="D74" s="81" t="str">
        <f ca="1">VLOOKUP($B74,OFFSET([2]quests!$A$1,0,0,COUNTA([2]quests!$A:$A),MATCH(D$1,[2]quests!$1:$1,0)-MATCH($B$1,[2]quests!$1:$1,0)+1),MATCH(D$1,[2]quests!$1:$1,0)-MATCH($B$1,[2]quests!$1:$1,0)+1,FALSE)</f>
        <v>コラボクエスト（復刻）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コラボクエスト（復刻）</v>
      </c>
      <c r="H74" s="83">
        <v>0</v>
      </c>
      <c r="I74" s="94">
        <v>19</v>
      </c>
      <c r="J74" s="82" t="s">
        <v>196</v>
      </c>
      <c r="K74" s="91" t="str">
        <f>VLOOKUP(I74,[6]stage_hints!$A:$C,3,FALSE)</f>
        <v>ソロ専用タワーオブザクイーン</v>
      </c>
      <c r="L74" s="92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6" t="s">
        <v>209</v>
      </c>
    </row>
    <row r="75" spans="1:13" x14ac:dyDescent="0.15">
      <c r="A75" s="79" t="s">
        <v>199</v>
      </c>
      <c r="B75" s="80">
        <f>floors!$C$2</f>
        <v>39010</v>
      </c>
      <c r="C75" s="81" t="str">
        <f ca="1">VLOOKUP($B75,OFFSET([2]quests!$A$1,0,0,COUNTA([2]quests!$A:$A),MATCH(C$1,[2]quests!$1:$1,0)-MATCH($B$1,[2]quests!$1:$1,0)+1),MATCH(C$1,[2]quests!$1:$1,0)-MATCH($B$1,[2]quests!$1:$1,0)+1,FALSE)</f>
        <v>黄巾賊の暴走を止めろ！</v>
      </c>
      <c r="D75" s="81" t="str">
        <f ca="1">VLOOKUP($B75,OFFSET([2]quests!$A$1,0,0,COUNTA([2]quests!$A:$A),MATCH(D$1,[2]quests!$1:$1,0)-MATCH($B$1,[2]quests!$1:$1,0)+1),MATCH(D$1,[2]quests!$1:$1,0)-MATCH($B$1,[2]quests!$1:$1,0)+1,FALSE)</f>
        <v>コラボクエスト（復刻）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コラボクエスト（復刻）</v>
      </c>
      <c r="H75" s="83">
        <v>0</v>
      </c>
      <c r="I75" s="94">
        <v>20</v>
      </c>
      <c r="J75" s="82" t="s">
        <v>196</v>
      </c>
      <c r="K75" s="91" t="str">
        <f>VLOOKUP(I75,[6]stage_hints!$A:$C,3,FALSE)</f>
        <v>マルチプレイのメリット（その3）</v>
      </c>
      <c r="L75" s="92" t="str">
        <f>VLOOKUP(I75,[6]stage_hints!$A:$D,4,FALSE)</f>
        <v>マルチプレイへの参加はエナジー消費ゼロ_x000D_いつでも好きなだけ遊ぶことができます</v>
      </c>
      <c r="M75" s="56" t="s">
        <v>209</v>
      </c>
    </row>
    <row r="76" spans="1:13" x14ac:dyDescent="0.15">
      <c r="A76" s="79" t="s">
        <v>199</v>
      </c>
      <c r="B76" s="80">
        <f>floors!$C$2</f>
        <v>39010</v>
      </c>
      <c r="C76" s="81" t="str">
        <f ca="1">VLOOKUP($B76,OFFSET([2]quests!$A$1,0,0,COUNTA([2]quests!$A:$A),MATCH(C$1,[2]quests!$1:$1,0)-MATCH($B$1,[2]quests!$1:$1,0)+1),MATCH(C$1,[2]quests!$1:$1,0)-MATCH($B$1,[2]quests!$1:$1,0)+1,FALSE)</f>
        <v>黄巾賊の暴走を止めろ！</v>
      </c>
      <c r="D76" s="81" t="str">
        <f ca="1">VLOOKUP($B76,OFFSET([2]quests!$A$1,0,0,COUNTA([2]quests!$A:$A),MATCH(D$1,[2]quests!$1:$1,0)-MATCH($B$1,[2]quests!$1:$1,0)+1),MATCH(D$1,[2]quests!$1:$1,0)-MATCH($B$1,[2]quests!$1:$1,0)+1,FALSE)</f>
        <v>コラボクエスト（復刻）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コラボクエスト（復刻）</v>
      </c>
      <c r="H76" s="83">
        <v>0</v>
      </c>
      <c r="I76" s="94">
        <v>21</v>
      </c>
      <c r="J76" s="82" t="s">
        <v>196</v>
      </c>
      <c r="K76" s="91" t="str">
        <f>VLOOKUP(I76,[6]stage_hints!$A:$C,3,FALSE)</f>
        <v>スキルを有効に</v>
      </c>
      <c r="L76" s="92" t="str">
        <f>VLOOKUP(I76,[6]stage_hints!$A:$D,4,FALSE)</f>
        <v>ターン経過でユニットのスキルが使えます_x000D_強力スキルでバトルを有利に進めましょう</v>
      </c>
      <c r="M76" s="56" t="s">
        <v>209</v>
      </c>
    </row>
    <row r="77" spans="1:13" x14ac:dyDescent="0.15">
      <c r="A77" s="79" t="s">
        <v>199</v>
      </c>
      <c r="B77" s="80">
        <f>floors!$C$2</f>
        <v>39010</v>
      </c>
      <c r="C77" s="81" t="str">
        <f ca="1">VLOOKUP($B77,OFFSET([2]quests!$A$1,0,0,COUNTA([2]quests!$A:$A),MATCH(C$1,[2]quests!$1:$1,0)-MATCH($B$1,[2]quests!$1:$1,0)+1),MATCH(C$1,[2]quests!$1:$1,0)-MATCH($B$1,[2]quests!$1:$1,0)+1,FALSE)</f>
        <v>黄巾賊の暴走を止めろ！</v>
      </c>
      <c r="D77" s="81" t="str">
        <f ca="1">VLOOKUP($B77,OFFSET([2]quests!$A$1,0,0,COUNTA([2]quests!$A:$A),MATCH(D$1,[2]quests!$1:$1,0)-MATCH($B$1,[2]quests!$1:$1,0)+1),MATCH(D$1,[2]quests!$1:$1,0)-MATCH($B$1,[2]quests!$1:$1,0)+1,FALSE)</f>
        <v>コラボクエスト（復刻）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コラボクエスト（復刻）</v>
      </c>
      <c r="H77" s="83">
        <v>0</v>
      </c>
      <c r="I77" s="94">
        <v>22</v>
      </c>
      <c r="J77" s="82" t="s">
        <v>196</v>
      </c>
      <c r="K77" s="91" t="str">
        <f>VLOOKUP(I77,[6]stage_hints!$A:$C,3,FALSE)</f>
        <v>フィーバーで一発逆転（その1）</v>
      </c>
      <c r="L77" s="92" t="str">
        <f>VLOOKUP(I77,[6]stage_hints!$A:$D,4,FALSE)</f>
        <v>フィーバーは攻撃と回復を兼ね備えます_x000D_ピンチからの一発逆転を狙いましょう</v>
      </c>
      <c r="M77" s="56" t="s">
        <v>209</v>
      </c>
    </row>
    <row r="78" spans="1:13" x14ac:dyDescent="0.15">
      <c r="A78" s="79" t="s">
        <v>199</v>
      </c>
      <c r="B78" s="80">
        <f>floors!$C$2</f>
        <v>39010</v>
      </c>
      <c r="C78" s="81" t="str">
        <f ca="1">VLOOKUP($B78,OFFSET([2]quests!$A$1,0,0,COUNTA([2]quests!$A:$A),MATCH(C$1,[2]quests!$1:$1,0)-MATCH($B$1,[2]quests!$1:$1,0)+1),MATCH(C$1,[2]quests!$1:$1,0)-MATCH($B$1,[2]quests!$1:$1,0)+1,FALSE)</f>
        <v>黄巾賊の暴走を止めろ！</v>
      </c>
      <c r="D78" s="81" t="str">
        <f ca="1">VLOOKUP($B78,OFFSET([2]quests!$A$1,0,0,COUNTA([2]quests!$A:$A),MATCH(D$1,[2]quests!$1:$1,0)-MATCH($B$1,[2]quests!$1:$1,0)+1),MATCH(D$1,[2]quests!$1:$1,0)-MATCH($B$1,[2]quests!$1:$1,0)+1,FALSE)</f>
        <v>コラボクエスト（復刻）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コラボクエスト（復刻）</v>
      </c>
      <c r="H78" s="83">
        <v>0</v>
      </c>
      <c r="I78" s="94">
        <v>23</v>
      </c>
      <c r="J78" s="82" t="s">
        <v>196</v>
      </c>
      <c r="K78" s="91" t="str">
        <f>VLOOKUP(I78,[6]stage_hints!$A:$C,3,FALSE)</f>
        <v>フィーバーで一発逆転（その2）</v>
      </c>
      <c r="L78" s="92" t="str">
        <f>VLOOKUP(I78,[6]stage_hints!$A:$D,4,FALSE)</f>
        <v>フィーバー中は虹色のボムパネルを狙って_x000D_画面上のパネルを一気に破壊しましょう</v>
      </c>
      <c r="M78" s="56" t="s">
        <v>209</v>
      </c>
    </row>
    <row r="79" spans="1:13" x14ac:dyDescent="0.15">
      <c r="A79" s="79" t="s">
        <v>199</v>
      </c>
      <c r="B79" s="80">
        <f>floors!$C$2</f>
        <v>39010</v>
      </c>
      <c r="C79" s="81" t="str">
        <f ca="1">VLOOKUP($B79,OFFSET([2]quests!$A$1,0,0,COUNTA([2]quests!$A:$A),MATCH(C$1,[2]quests!$1:$1,0)-MATCH($B$1,[2]quests!$1:$1,0)+1),MATCH(C$1,[2]quests!$1:$1,0)-MATCH($B$1,[2]quests!$1:$1,0)+1,FALSE)</f>
        <v>黄巾賊の暴走を止めろ！</v>
      </c>
      <c r="D79" s="81" t="str">
        <f ca="1">VLOOKUP($B79,OFFSET([2]quests!$A$1,0,0,COUNTA([2]quests!$A:$A),MATCH(D$1,[2]quests!$1:$1,0)-MATCH($B$1,[2]quests!$1:$1,0)+1),MATCH(D$1,[2]quests!$1:$1,0)-MATCH($B$1,[2]quests!$1:$1,0)+1,FALSE)</f>
        <v>コラボクエスト（復刻）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コラボクエスト（復刻）</v>
      </c>
      <c r="H79" s="83">
        <v>0</v>
      </c>
      <c r="I79" s="94">
        <v>24</v>
      </c>
      <c r="J79" s="82" t="s">
        <v>196</v>
      </c>
      <c r="K79" s="91" t="str">
        <f>VLOOKUP(I79,[6]stage_hints!$A:$C,3,FALSE)</f>
        <v>りんごを使って限界突破</v>
      </c>
      <c r="L79" s="92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56" t="s">
        <v>209</v>
      </c>
    </row>
    <row r="80" spans="1:13" x14ac:dyDescent="0.15">
      <c r="A80" s="79" t="s">
        <v>199</v>
      </c>
      <c r="B80" s="80">
        <f>floors!$C$2</f>
        <v>39010</v>
      </c>
      <c r="C80" s="81" t="str">
        <f ca="1">VLOOKUP($B80,OFFSET([2]quests!$A$1,0,0,COUNTA([2]quests!$A:$A),MATCH(C$1,[2]quests!$1:$1,0)-MATCH($B$1,[2]quests!$1:$1,0)+1),MATCH(C$1,[2]quests!$1:$1,0)-MATCH($B$1,[2]quests!$1:$1,0)+1,FALSE)</f>
        <v>黄巾賊の暴走を止めろ！</v>
      </c>
      <c r="D80" s="81" t="str">
        <f ca="1">VLOOKUP($B80,OFFSET([2]quests!$A$1,0,0,COUNTA([2]quests!$A:$A),MATCH(D$1,[2]quests!$1:$1,0)-MATCH($B$1,[2]quests!$1:$1,0)+1),MATCH(D$1,[2]quests!$1:$1,0)-MATCH($B$1,[2]quests!$1:$1,0)+1,FALSE)</f>
        <v>コラボクエスト（復刻）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コラボクエスト（復刻）</v>
      </c>
      <c r="H80" s="83">
        <v>0</v>
      </c>
      <c r="I80" s="94">
        <v>25</v>
      </c>
      <c r="J80" s="82" t="s">
        <v>196</v>
      </c>
      <c r="K80" s="91" t="str">
        <f>VLOOKUP(I80,[6]stage_hints!$A:$C,3,FALSE)</f>
        <v>スキルレベルアップ</v>
      </c>
      <c r="L80" s="92" t="str">
        <f>VLOOKUP(I80,[6]stage_hints!$A:$D,4,FALSE)</f>
        <v>「クリスタルのりんご」を強化に使うと_x000D_スキルレベルを上げることができます</v>
      </c>
      <c r="M80" s="56" t="s">
        <v>209</v>
      </c>
    </row>
    <row r="81" spans="1:13" x14ac:dyDescent="0.15">
      <c r="A81" s="79" t="s">
        <v>199</v>
      </c>
      <c r="B81" s="80">
        <f>floors!$C$2</f>
        <v>39010</v>
      </c>
      <c r="C81" s="81" t="str">
        <f ca="1">VLOOKUP($B81,OFFSET([2]quests!$A$1,0,0,COUNTA([2]quests!$A:$A),MATCH(C$1,[2]quests!$1:$1,0)-MATCH($B$1,[2]quests!$1:$1,0)+1),MATCH(C$1,[2]quests!$1:$1,0)-MATCH($B$1,[2]quests!$1:$1,0)+1,FALSE)</f>
        <v>黄巾賊の暴走を止めろ！</v>
      </c>
      <c r="D81" s="81" t="str">
        <f ca="1">VLOOKUP($B81,OFFSET([2]quests!$A$1,0,0,COUNTA([2]quests!$A:$A),MATCH(D$1,[2]quests!$1:$1,0)-MATCH($B$1,[2]quests!$1:$1,0)+1),MATCH(D$1,[2]quests!$1:$1,0)-MATCH($B$1,[2]quests!$1:$1,0)+1,FALSE)</f>
        <v>コラボクエスト（復刻）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コラボクエスト（復刻）</v>
      </c>
      <c r="H81" s="83">
        <v>0</v>
      </c>
      <c r="I81" s="94">
        <v>26</v>
      </c>
      <c r="J81" s="82" t="s">
        <v>196</v>
      </c>
      <c r="K81" s="91" t="str">
        <f>VLOOKUP(I81,[6]stage_hints!$A:$C,3,FALSE)</f>
        <v>スキルレベルの効果</v>
      </c>
      <c r="L81" s="92" t="str">
        <f>VLOOKUP(I81,[6]stage_hints!$A:$D,4,FALSE)</f>
        <v>スキルレベルが上がると_x000D_短いターンでスキルを使うことができます</v>
      </c>
      <c r="M81" s="56" t="s">
        <v>209</v>
      </c>
    </row>
    <row r="82" spans="1:13" x14ac:dyDescent="0.15">
      <c r="A82" s="79" t="s">
        <v>199</v>
      </c>
      <c r="B82" s="80">
        <f>floors!$C$2</f>
        <v>39010</v>
      </c>
      <c r="C82" s="81" t="str">
        <f ca="1">VLOOKUP($B82,OFFSET([2]quests!$A$1,0,0,COUNTA([2]quests!$A:$A),MATCH(C$1,[2]quests!$1:$1,0)-MATCH($B$1,[2]quests!$1:$1,0)+1),MATCH(C$1,[2]quests!$1:$1,0)-MATCH($B$1,[2]quests!$1:$1,0)+1,FALSE)</f>
        <v>黄巾賊の暴走を止めろ！</v>
      </c>
      <c r="D82" s="81" t="str">
        <f ca="1">VLOOKUP($B82,OFFSET([2]quests!$A$1,0,0,COUNTA([2]quests!$A:$A),MATCH(D$1,[2]quests!$1:$1,0)-MATCH($B$1,[2]quests!$1:$1,0)+1),MATCH(D$1,[2]quests!$1:$1,0)-MATCH($B$1,[2]quests!$1:$1,0)+1,FALSE)</f>
        <v>コラボクエスト（復刻）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コラボクエスト（復刻）</v>
      </c>
      <c r="H82" s="83">
        <v>0</v>
      </c>
      <c r="I82" s="94">
        <v>27</v>
      </c>
      <c r="J82" s="82" t="s">
        <v>196</v>
      </c>
      <c r="K82" s="91" t="str">
        <f>VLOOKUP(I82,[6]stage_hints!$A:$C,3,FALSE)</f>
        <v>ホーム画面からデッキを編成</v>
      </c>
      <c r="L82" s="92" t="str">
        <f>VLOOKUP(I82,[6]stage_hints!$A:$D,4,FALSE)</f>
        <v>ホーム画面でユニットを長押しすると_x000D_すぐにパーティ編成に移動できます</v>
      </c>
      <c r="M82" s="56" t="s">
        <v>209</v>
      </c>
    </row>
    <row r="83" spans="1:13" x14ac:dyDescent="0.15">
      <c r="A83" s="79" t="s">
        <v>199</v>
      </c>
      <c r="B83" s="80">
        <f>floors!$C$2</f>
        <v>39010</v>
      </c>
      <c r="C83" s="81" t="str">
        <f ca="1">VLOOKUP($B83,OFFSET([2]quests!$A$1,0,0,COUNTA([2]quests!$A:$A),MATCH(C$1,[2]quests!$1:$1,0)-MATCH($B$1,[2]quests!$1:$1,0)+1),MATCH(C$1,[2]quests!$1:$1,0)-MATCH($B$1,[2]quests!$1:$1,0)+1,FALSE)</f>
        <v>黄巾賊の暴走を止めろ！</v>
      </c>
      <c r="D83" s="81" t="str">
        <f ca="1">VLOOKUP($B83,OFFSET([2]quests!$A$1,0,0,COUNTA([2]quests!$A:$A),MATCH(D$1,[2]quests!$1:$1,0)-MATCH($B$1,[2]quests!$1:$1,0)+1),MATCH(D$1,[2]quests!$1:$1,0)-MATCH($B$1,[2]quests!$1:$1,0)+1,FALSE)</f>
        <v>コラボクエスト（復刻）</v>
      </c>
      <c r="E83" s="85">
        <v>3</v>
      </c>
      <c r="F83" s="81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3" s="81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コラボクエスト（復刻）</v>
      </c>
      <c r="H83" s="83">
        <v>0</v>
      </c>
      <c r="I83" s="94">
        <v>28</v>
      </c>
      <c r="J83" s="82" t="s">
        <v>196</v>
      </c>
      <c r="K83" s="91" t="str">
        <f>VLOOKUP(I83,[6]stage_hints!$A:$C,3,FALSE)</f>
        <v>ステータス情報は長押しで</v>
      </c>
      <c r="L83" s="92" t="str">
        <f>VLOOKUP(I83,[6]stage_hints!$A:$D,4,FALSE)</f>
        <v>ユニットのアイコンを長押しすると_x000D_ステータス情報を確認することができます</v>
      </c>
      <c r="M83" s="56" t="s">
        <v>209</v>
      </c>
    </row>
    <row r="84" spans="1:13" x14ac:dyDescent="0.15">
      <c r="A84" s="79" t="s">
        <v>199</v>
      </c>
      <c r="B84" s="80">
        <f>floors!$C$2</f>
        <v>39010</v>
      </c>
      <c r="C84" s="81" t="str">
        <f ca="1">VLOOKUP($B84,OFFSET([2]quests!$A$1,0,0,COUNTA([2]quests!$A:$A),MATCH(C$1,[2]quests!$1:$1,0)-MATCH($B$1,[2]quests!$1:$1,0)+1),MATCH(C$1,[2]quests!$1:$1,0)-MATCH($B$1,[2]quests!$1:$1,0)+1,FALSE)</f>
        <v>黄巾賊の暴走を止めろ！</v>
      </c>
      <c r="D84" s="81" t="str">
        <f ca="1">VLOOKUP($B84,OFFSET([2]quests!$A$1,0,0,COUNTA([2]quests!$A:$A),MATCH(D$1,[2]quests!$1:$1,0)-MATCH($B$1,[2]quests!$1:$1,0)+1),MATCH(D$1,[2]quests!$1:$1,0)-MATCH($B$1,[2]quests!$1:$1,0)+1,FALSE)</f>
        <v>コラボクエスト（復刻）</v>
      </c>
      <c r="E84" s="85">
        <v>3</v>
      </c>
      <c r="F84" s="81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4" s="81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コラボクエスト（復刻）</v>
      </c>
      <c r="H84" s="83">
        <v>0</v>
      </c>
      <c r="I84" s="94">
        <v>29</v>
      </c>
      <c r="J84" s="82" t="s">
        <v>196</v>
      </c>
      <c r="K84" s="91" t="str">
        <f>VLOOKUP(I84,[6]stage_hints!$A:$C,3,FALSE)</f>
        <v>「バグ」のメリット</v>
      </c>
      <c r="L84" s="92" t="str">
        <f>VLOOKUP(I84,[6]stage_hints!$A:$D,4,FALSE)</f>
        <v>ユニットの「バグ」を増やすと_x000D_報酬をもらえる確率がアップします</v>
      </c>
      <c r="M84" s="56" t="s">
        <v>209</v>
      </c>
    </row>
    <row r="85" spans="1:13" x14ac:dyDescent="0.15">
      <c r="A85" s="79" t="s">
        <v>199</v>
      </c>
      <c r="B85" s="80">
        <f>floors!$C$2</f>
        <v>39010</v>
      </c>
      <c r="C85" s="81" t="str">
        <f ca="1">VLOOKUP($B85,OFFSET([2]quests!$A$1,0,0,COUNTA([2]quests!$A:$A),MATCH(C$1,[2]quests!$1:$1,0)-MATCH($B$1,[2]quests!$1:$1,0)+1),MATCH(C$1,[2]quests!$1:$1,0)-MATCH($B$1,[2]quests!$1:$1,0)+1,FALSE)</f>
        <v>黄巾賊の暴走を止めろ！</v>
      </c>
      <c r="D85" s="81" t="str">
        <f ca="1">VLOOKUP($B85,OFFSET([2]quests!$A$1,0,0,COUNTA([2]quests!$A:$A),MATCH(D$1,[2]quests!$1:$1,0)-MATCH($B$1,[2]quests!$1:$1,0)+1),MATCH(D$1,[2]quests!$1:$1,0)-MATCH($B$1,[2]quests!$1:$1,0)+1,FALSE)</f>
        <v>コラボクエスト（復刻）</v>
      </c>
      <c r="E85" s="85">
        <v>3</v>
      </c>
      <c r="F85" s="81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5" s="81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コラボクエスト（復刻）</v>
      </c>
      <c r="H85" s="83">
        <v>0</v>
      </c>
      <c r="I85" s="94">
        <v>30</v>
      </c>
      <c r="J85" s="82" t="s">
        <v>196</v>
      </c>
      <c r="K85" s="91" t="str">
        <f>VLOOKUP(I85,[6]stage_hints!$A:$C,3,FALSE)</f>
        <v>「バグ」の増やし方</v>
      </c>
      <c r="L85" s="92" t="str">
        <f>VLOOKUP(I85,[6]stage_hints!$A:$D,4,FALSE)</f>
        <v>同じユニット同士を強化で合成すると_x000D_「バグ」を増やすことができます</v>
      </c>
      <c r="M85" s="56" t="s">
        <v>209</v>
      </c>
    </row>
    <row r="86" spans="1:13" x14ac:dyDescent="0.15">
      <c r="A86" s="79" t="s">
        <v>199</v>
      </c>
      <c r="B86" s="80">
        <f>floors!$C$2</f>
        <v>39010</v>
      </c>
      <c r="C86" s="81" t="str">
        <f ca="1">VLOOKUP($B86,OFFSET([2]quests!$A$1,0,0,COUNTA([2]quests!$A:$A),MATCH(C$1,[2]quests!$1:$1,0)-MATCH($B$1,[2]quests!$1:$1,0)+1),MATCH(C$1,[2]quests!$1:$1,0)-MATCH($B$1,[2]quests!$1:$1,0)+1,FALSE)</f>
        <v>黄巾賊の暴走を止めろ！</v>
      </c>
      <c r="D86" s="81" t="str">
        <f ca="1">VLOOKUP($B86,OFFSET([2]quests!$A$1,0,0,COUNTA([2]quests!$A:$A),MATCH(D$1,[2]quests!$1:$1,0)-MATCH($B$1,[2]quests!$1:$1,0)+1),MATCH(D$1,[2]quests!$1:$1,0)-MATCH($B$1,[2]quests!$1:$1,0)+1,FALSE)</f>
        <v>コラボクエスト（復刻）</v>
      </c>
      <c r="E86" s="85">
        <v>3</v>
      </c>
      <c r="F86" s="81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6" s="81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コラボクエスト（復刻）</v>
      </c>
      <c r="H86" s="83">
        <v>0</v>
      </c>
      <c r="I86" s="94">
        <v>31</v>
      </c>
      <c r="J86" s="82" t="s">
        <v>196</v>
      </c>
      <c r="K86" s="91" t="str">
        <f>VLOOKUP(I86,[6]stage_hints!$A:$C,3,FALSE)</f>
        <v>イベントはお知らせでチェック</v>
      </c>
      <c r="L86" s="92" t="str">
        <f>VLOOKUP(I86,[6]stage_hints!$A:$D,4,FALSE)</f>
        <v>イベント限定ユニットを取り忘れないように_x000D_お知らせをこまめにチェックしましょう</v>
      </c>
      <c r="M86" s="56" t="s">
        <v>209</v>
      </c>
    </row>
    <row r="87" spans="1:13" x14ac:dyDescent="0.15">
      <c r="A87" s="79" t="s">
        <v>199</v>
      </c>
      <c r="B87" s="80">
        <f>floors!$C$2</f>
        <v>39010</v>
      </c>
      <c r="C87" s="81" t="str">
        <f ca="1">VLOOKUP($B87,OFFSET([2]quests!$A$1,0,0,COUNTA([2]quests!$A:$A),MATCH(C$1,[2]quests!$1:$1,0)-MATCH($B$1,[2]quests!$1:$1,0)+1),MATCH(C$1,[2]quests!$1:$1,0)-MATCH($B$1,[2]quests!$1:$1,0)+1,FALSE)</f>
        <v>黄巾賊の暴走を止めろ！</v>
      </c>
      <c r="D87" s="81" t="str">
        <f ca="1">VLOOKUP($B87,OFFSET([2]quests!$A$1,0,0,COUNTA([2]quests!$A:$A),MATCH(D$1,[2]quests!$1:$1,0)-MATCH($B$1,[2]quests!$1:$1,0)+1),MATCH(D$1,[2]quests!$1:$1,0)-MATCH($B$1,[2]quests!$1:$1,0)+1,FALSE)</f>
        <v>コラボクエスト（復刻）</v>
      </c>
      <c r="E87" s="85">
        <v>3</v>
      </c>
      <c r="F87" s="81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7" s="81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コラボクエスト（復刻）</v>
      </c>
      <c r="H87" s="83">
        <v>0</v>
      </c>
      <c r="I87" s="94">
        <v>32</v>
      </c>
      <c r="J87" s="82" t="s">
        <v>196</v>
      </c>
      <c r="K87" s="91" t="str">
        <f>VLOOKUP(I87,[6]stage_hints!$A:$C,3,FALSE)</f>
        <v>敵の連続攻撃には</v>
      </c>
      <c r="L87" s="92" t="str">
        <f>VLOOKUP(I87,[6]stage_hints!$A:$D,4,FALSE)</f>
        <v>カウンタースキルを持つユニットがいれば_x000D_ダメージ回数分の反撃ができます</v>
      </c>
      <c r="M87" s="56" t="s">
        <v>209</v>
      </c>
    </row>
    <row r="88" spans="1:13" x14ac:dyDescent="0.15">
      <c r="A88" s="79" t="s">
        <v>199</v>
      </c>
      <c r="B88" s="80">
        <f>floors!$C$2</f>
        <v>39010</v>
      </c>
      <c r="C88" s="81" t="str">
        <f ca="1">VLOOKUP($B88,OFFSET([2]quests!$A$1,0,0,COUNTA([2]quests!$A:$A),MATCH(C$1,[2]quests!$1:$1,0)-MATCH($B$1,[2]quests!$1:$1,0)+1),MATCH(C$1,[2]quests!$1:$1,0)-MATCH($B$1,[2]quests!$1:$1,0)+1,FALSE)</f>
        <v>黄巾賊の暴走を止めろ！</v>
      </c>
      <c r="D88" s="81" t="str">
        <f ca="1">VLOOKUP($B88,OFFSET([2]quests!$A$1,0,0,COUNTA([2]quests!$A:$A),MATCH(D$1,[2]quests!$1:$1,0)-MATCH($B$1,[2]quests!$1:$1,0)+1),MATCH(D$1,[2]quests!$1:$1,0)-MATCH($B$1,[2]quests!$1:$1,0)+1,FALSE)</f>
        <v>コラボクエスト（復刻）</v>
      </c>
      <c r="E88" s="85">
        <v>3</v>
      </c>
      <c r="F88" s="81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8" s="81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コラボクエスト（復刻）</v>
      </c>
      <c r="H88" s="83">
        <v>0</v>
      </c>
      <c r="I88" s="94">
        <v>33</v>
      </c>
      <c r="J88" s="82" t="s">
        <v>196</v>
      </c>
      <c r="K88" s="91" t="str">
        <f>VLOOKUP(I88,[6]stage_hints!$A:$C,3,FALSE)</f>
        <v>敵のカウンター攻撃には</v>
      </c>
      <c r="L88" s="92" t="str">
        <f>VLOOKUP(I88,[6]stage_hints!$A:$D,4,FALSE)</f>
        <v>カウンターブレイクスキルを持っていれば_x000D_敵のカウンターを解除して攻撃ができます</v>
      </c>
      <c r="M88" s="56" t="s">
        <v>209</v>
      </c>
    </row>
    <row r="89" spans="1:13" x14ac:dyDescent="0.15">
      <c r="A89" s="79" t="s">
        <v>199</v>
      </c>
      <c r="B89" s="80">
        <f>floors!$C$2</f>
        <v>39010</v>
      </c>
      <c r="C89" s="81" t="str">
        <f ca="1">VLOOKUP($B89,OFFSET([2]quests!$A$1,0,0,COUNTA([2]quests!$A:$A),MATCH(C$1,[2]quests!$1:$1,0)-MATCH($B$1,[2]quests!$1:$1,0)+1),MATCH(C$1,[2]quests!$1:$1,0)-MATCH($B$1,[2]quests!$1:$1,0)+1,FALSE)</f>
        <v>黄巾賊の暴走を止めろ！</v>
      </c>
      <c r="D89" s="81" t="str">
        <f ca="1">VLOOKUP($B89,OFFSET([2]quests!$A$1,0,0,COUNTA([2]quests!$A:$A),MATCH(D$1,[2]quests!$1:$1,0)-MATCH($B$1,[2]quests!$1:$1,0)+1),MATCH(D$1,[2]quests!$1:$1,0)-MATCH($B$1,[2]quests!$1:$1,0)+1,FALSE)</f>
        <v>コラボクエスト（復刻）</v>
      </c>
      <c r="E89" s="85">
        <v>3</v>
      </c>
      <c r="F89" s="81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89" s="81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コラボクエスト（復刻）</v>
      </c>
      <c r="H89" s="83">
        <v>0</v>
      </c>
      <c r="I89" s="94">
        <v>34</v>
      </c>
      <c r="J89" s="82" t="s">
        <v>196</v>
      </c>
      <c r="K89" s="91" t="str">
        <f>VLOOKUP(I89,[6]stage_hints!$A:$C,3,FALSE)</f>
        <v>ステータスをスキルで下げられたら</v>
      </c>
      <c r="L89" s="92" t="str">
        <f>VLOOKUP(I89,[6]stage_hints!$A:$D,4,FALSE)</f>
        <v>ステータスダウンのスキルを受けたら_x000D_ステータスアップスキルで上書きしましょう</v>
      </c>
      <c r="M89" s="56" t="s">
        <v>209</v>
      </c>
    </row>
    <row r="90" spans="1:13" x14ac:dyDescent="0.15">
      <c r="A90" s="79" t="s">
        <v>199</v>
      </c>
      <c r="B90" s="80">
        <f>floors!$C$2</f>
        <v>39010</v>
      </c>
      <c r="C90" s="81" t="str">
        <f ca="1">VLOOKUP($B90,OFFSET([2]quests!$A$1,0,0,COUNTA([2]quests!$A:$A),MATCH(C$1,[2]quests!$1:$1,0)-MATCH($B$1,[2]quests!$1:$1,0)+1),MATCH(C$1,[2]quests!$1:$1,0)-MATCH($B$1,[2]quests!$1:$1,0)+1,FALSE)</f>
        <v>黄巾賊の暴走を止めろ！</v>
      </c>
      <c r="D90" s="81" t="str">
        <f ca="1">VLOOKUP($B90,OFFSET([2]quests!$A$1,0,0,COUNTA([2]quests!$A:$A),MATCH(D$1,[2]quests!$1:$1,0)-MATCH($B$1,[2]quests!$1:$1,0)+1),MATCH(D$1,[2]quests!$1:$1,0)-MATCH($B$1,[2]quests!$1:$1,0)+1,FALSE)</f>
        <v>コラボクエスト（復刻）</v>
      </c>
      <c r="E90" s="85">
        <v>3</v>
      </c>
      <c r="F90" s="81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90" s="81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コラボクエスト（復刻）</v>
      </c>
      <c r="H90" s="83">
        <v>0</v>
      </c>
      <c r="I90" s="94">
        <v>35</v>
      </c>
      <c r="J90" s="82" t="s">
        <v>196</v>
      </c>
      <c r="K90" s="91" t="str">
        <f>VLOOKUP(I90,[6]stage_hints!$A:$C,3,FALSE)</f>
        <v>敵のステータスがスキルで上がったら</v>
      </c>
      <c r="L90" s="92" t="str">
        <f>VLOOKUP(I90,[6]stage_hints!$A:$D,4,FALSE)</f>
        <v>敵のステータスがスキルでアップしたときは_x000D_ステータスダウンスキルで上書きしましょう</v>
      </c>
      <c r="M90" s="56" t="s">
        <v>209</v>
      </c>
    </row>
    <row r="91" spans="1:13" x14ac:dyDescent="0.15">
      <c r="A91" s="79" t="s">
        <v>199</v>
      </c>
      <c r="B91" s="80">
        <f>floors!$C$2</f>
        <v>39010</v>
      </c>
      <c r="C91" s="81" t="str">
        <f ca="1">VLOOKUP($B91,OFFSET([2]quests!$A$1,0,0,COUNTA([2]quests!$A:$A),MATCH(C$1,[2]quests!$1:$1,0)-MATCH($B$1,[2]quests!$1:$1,0)+1),MATCH(C$1,[2]quests!$1:$1,0)-MATCH($B$1,[2]quests!$1:$1,0)+1,FALSE)</f>
        <v>黄巾賊の暴走を止めろ！</v>
      </c>
      <c r="D91" s="81" t="str">
        <f ca="1">VLOOKUP($B91,OFFSET([2]quests!$A$1,0,0,COUNTA([2]quests!$A:$A),MATCH(D$1,[2]quests!$1:$1,0)-MATCH($B$1,[2]quests!$1:$1,0)+1),MATCH(D$1,[2]quests!$1:$1,0)-MATCH($B$1,[2]quests!$1:$1,0)+1,FALSE)</f>
        <v>コラボクエスト（復刻）</v>
      </c>
      <c r="E91" s="85">
        <v>3</v>
      </c>
      <c r="F91" s="81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91" s="81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コラボクエスト（復刻）</v>
      </c>
      <c r="H91" s="83">
        <v>0</v>
      </c>
      <c r="I91" s="94">
        <v>36</v>
      </c>
      <c r="J91" s="82" t="s">
        <v>196</v>
      </c>
      <c r="K91" s="91" t="str">
        <f>VLOOKUP(I91,[6]stage_hints!$A:$C,3,FALSE)</f>
        <v>タワーオブザクイーンのボス</v>
      </c>
      <c r="L91" s="92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6" t="s">
        <v>209</v>
      </c>
    </row>
    <row r="92" spans="1:13" x14ac:dyDescent="0.15">
      <c r="A92" s="79" t="s">
        <v>199</v>
      </c>
      <c r="B92" s="80">
        <f>floors!$C$2</f>
        <v>39010</v>
      </c>
      <c r="C92" s="81" t="str">
        <f ca="1">VLOOKUP($B92,OFFSET([2]quests!$A$1,0,0,COUNTA([2]quests!$A:$A),MATCH(C$1,[2]quests!$1:$1,0)-MATCH($B$1,[2]quests!$1:$1,0)+1),MATCH(C$1,[2]quests!$1:$1,0)-MATCH($B$1,[2]quests!$1:$1,0)+1,FALSE)</f>
        <v>黄巾賊の暴走を止めろ！</v>
      </c>
      <c r="D92" s="81" t="str">
        <f ca="1">VLOOKUP($B92,OFFSET([2]quests!$A$1,0,0,COUNTA([2]quests!$A:$A),MATCH(D$1,[2]quests!$1:$1,0)-MATCH($B$1,[2]quests!$1:$1,0)+1),MATCH(D$1,[2]quests!$1:$1,0)-MATCH($B$1,[2]quests!$1:$1,0)+1,FALSE)</f>
        <v>コラボクエスト（復刻）</v>
      </c>
      <c r="E92" s="85">
        <v>3</v>
      </c>
      <c r="F92" s="81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92" s="81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コラボクエスト（復刻）</v>
      </c>
      <c r="H92" s="83">
        <v>0</v>
      </c>
      <c r="I92" s="94">
        <v>37</v>
      </c>
      <c r="J92" s="82" t="s">
        <v>196</v>
      </c>
      <c r="K92" s="91" t="str">
        <f>VLOOKUP(I92,[6]stage_hints!$A:$C,3,FALSE)</f>
        <v>限界突破値の引き継ぎ</v>
      </c>
      <c r="L92" s="92" t="str">
        <f>VLOOKUP(I92,[6]stage_hints!$A:$D,4,FALSE)</f>
        <v>同じユニットを強化で合成すると_x000D_限界突破値を引き継げます（覚醒前後も可）</v>
      </c>
      <c r="M92" s="56" t="s">
        <v>209</v>
      </c>
    </row>
    <row r="93" spans="1:13" x14ac:dyDescent="0.15">
      <c r="A93" s="79" t="s">
        <v>199</v>
      </c>
      <c r="B93" s="80">
        <f>floors!$C$2</f>
        <v>39010</v>
      </c>
      <c r="C93" s="81" t="str">
        <f ca="1">VLOOKUP($B93,OFFSET([2]quests!$A$1,0,0,COUNTA([2]quests!$A:$A),MATCH(C$1,[2]quests!$1:$1,0)-MATCH($B$1,[2]quests!$1:$1,0)+1),MATCH(C$1,[2]quests!$1:$1,0)-MATCH($B$1,[2]quests!$1:$1,0)+1,FALSE)</f>
        <v>黄巾賊の暴走を止めろ！</v>
      </c>
      <c r="D93" s="81" t="str">
        <f ca="1">VLOOKUP($B93,OFFSET([2]quests!$A$1,0,0,COUNTA([2]quests!$A:$A),MATCH(D$1,[2]quests!$1:$1,0)-MATCH($B$1,[2]quests!$1:$1,0)+1),MATCH(D$1,[2]quests!$1:$1,0)-MATCH($B$1,[2]quests!$1:$1,0)+1,FALSE)</f>
        <v>コラボクエスト（復刻）</v>
      </c>
      <c r="E93" s="85">
        <v>3</v>
      </c>
      <c r="F93" s="81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93" s="81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コラボクエスト（復刻）</v>
      </c>
      <c r="H93" s="83">
        <v>0</v>
      </c>
      <c r="I93" s="94">
        <v>39</v>
      </c>
      <c r="J93" s="82" t="s">
        <v>196</v>
      </c>
      <c r="K93" s="91" t="str">
        <f>VLOOKUP(I93,[6]stage_hints!$A:$C,3,FALSE)</f>
        <v>システム適合者を確認</v>
      </c>
      <c r="L93" s="92" t="str">
        <f>VLOOKUP(I93,[6]stage_hints!$A:$D,4,FALSE)</f>
        <v>ALICEが 「アナタ」を呼んでいます</v>
      </c>
      <c r="M93" s="56" t="s">
        <v>209</v>
      </c>
    </row>
    <row r="94" spans="1:13" x14ac:dyDescent="0.15">
      <c r="A94" s="79" t="s">
        <v>199</v>
      </c>
      <c r="B94" s="80">
        <f>floors!$C$2</f>
        <v>39010</v>
      </c>
      <c r="C94" s="81" t="str">
        <f ca="1">VLOOKUP($B94,OFFSET([2]quests!$A$1,0,0,COUNTA([2]quests!$A:$A),MATCH(C$1,[2]quests!$1:$1,0)-MATCH($B$1,[2]quests!$1:$1,0)+1),MATCH(C$1,[2]quests!$1:$1,0)-MATCH($B$1,[2]quests!$1:$1,0)+1,FALSE)</f>
        <v>黄巾賊の暴走を止めろ！</v>
      </c>
      <c r="D94" s="81" t="str">
        <f ca="1">VLOOKUP($B94,OFFSET([2]quests!$A$1,0,0,COUNTA([2]quests!$A:$A),MATCH(D$1,[2]quests!$1:$1,0)-MATCH($B$1,[2]quests!$1:$1,0)+1),MATCH(D$1,[2]quests!$1:$1,0)-MATCH($B$1,[2]quests!$1:$1,0)+1,FALSE)</f>
        <v>コラボクエスト（復刻）</v>
      </c>
      <c r="E94" s="85">
        <v>4</v>
      </c>
      <c r="F94" s="81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4" s="81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コラボクエスト（復刻）</v>
      </c>
      <c r="H94" s="83">
        <v>0</v>
      </c>
      <c r="I94">
        <v>12</v>
      </c>
      <c r="J94" s="82" t="s">
        <v>196</v>
      </c>
      <c r="K94" s="91" t="str">
        <f>VLOOKUP(I94,[6]stage_hints!$A:$C,3,FALSE)</f>
        <v>ユニットのお気に入り登録</v>
      </c>
      <c r="L94" s="92" t="str">
        <f>VLOOKUP(I94,[6]stage_hints!$A:$D,4,FALSE)</f>
        <v>大事なユニットを誤って消さないように_x000D_フォルダから「お気に入り登録」しましょう</v>
      </c>
      <c r="M94" s="56" t="s">
        <v>209</v>
      </c>
    </row>
    <row r="95" spans="1:13" x14ac:dyDescent="0.15">
      <c r="A95" s="79" t="s">
        <v>199</v>
      </c>
      <c r="B95" s="80">
        <f>floors!$C$2</f>
        <v>39010</v>
      </c>
      <c r="C95" s="81" t="str">
        <f ca="1">VLOOKUP($B95,OFFSET([2]quests!$A$1,0,0,COUNTA([2]quests!$A:$A),MATCH(C$1,[2]quests!$1:$1,0)-MATCH($B$1,[2]quests!$1:$1,0)+1),MATCH(C$1,[2]quests!$1:$1,0)-MATCH($B$1,[2]quests!$1:$1,0)+1,FALSE)</f>
        <v>黄巾賊の暴走を止めろ！</v>
      </c>
      <c r="D95" s="81" t="str">
        <f ca="1">VLOOKUP($B95,OFFSET([2]quests!$A$1,0,0,COUNTA([2]quests!$A:$A),MATCH(D$1,[2]quests!$1:$1,0)-MATCH($B$1,[2]quests!$1:$1,0)+1),MATCH(D$1,[2]quests!$1:$1,0)-MATCH($B$1,[2]quests!$1:$1,0)+1,FALSE)</f>
        <v>コラボクエスト（復刻）</v>
      </c>
      <c r="E95" s="85">
        <v>4</v>
      </c>
      <c r="F95" s="81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5" s="81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コラボクエスト（復刻）</v>
      </c>
      <c r="H95" s="83">
        <v>0</v>
      </c>
      <c r="I95">
        <v>17</v>
      </c>
      <c r="J95" s="82" t="s">
        <v>196</v>
      </c>
      <c r="K95" s="91" t="str">
        <f>VLOOKUP(I95,[6]stage_hints!$A:$C,3,FALSE)</f>
        <v>リンクガチャ</v>
      </c>
      <c r="L95" s="92" t="str">
        <f>VLOOKUP(I95,[6]stage_hints!$A:$D,4,FALSE)</f>
        <v>無料のリンクガチャを回して_x000D_経験値素材や売却素材を獲得しましょう</v>
      </c>
      <c r="M95" s="56" t="s">
        <v>209</v>
      </c>
    </row>
    <row r="96" spans="1:13" x14ac:dyDescent="0.15">
      <c r="A96" s="79" t="s">
        <v>199</v>
      </c>
      <c r="B96" s="80">
        <f>floors!$C$2</f>
        <v>39010</v>
      </c>
      <c r="C96" s="81" t="str">
        <f ca="1">VLOOKUP($B96,OFFSET([2]quests!$A$1,0,0,COUNTA([2]quests!$A:$A),MATCH(C$1,[2]quests!$1:$1,0)-MATCH($B$1,[2]quests!$1:$1,0)+1),MATCH(C$1,[2]quests!$1:$1,0)-MATCH($B$1,[2]quests!$1:$1,0)+1,FALSE)</f>
        <v>黄巾賊の暴走を止めろ！</v>
      </c>
      <c r="D96" s="81" t="str">
        <f ca="1">VLOOKUP($B96,OFFSET([2]quests!$A$1,0,0,COUNTA([2]quests!$A:$A),MATCH(D$1,[2]quests!$1:$1,0)-MATCH($B$1,[2]quests!$1:$1,0)+1),MATCH(D$1,[2]quests!$1:$1,0)-MATCH($B$1,[2]quests!$1:$1,0)+1,FALSE)</f>
        <v>コラボクエスト（復刻）</v>
      </c>
      <c r="E96" s="85">
        <v>4</v>
      </c>
      <c r="F96" s="81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6" s="81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コラボクエスト（復刻）</v>
      </c>
      <c r="H96" s="83">
        <v>0</v>
      </c>
      <c r="I96">
        <v>19</v>
      </c>
      <c r="J96" s="82" t="s">
        <v>196</v>
      </c>
      <c r="K96" s="91" t="str">
        <f>VLOOKUP(I96,[6]stage_hints!$A:$C,3,FALSE)</f>
        <v>ソロ専用タワーオブザクイーン</v>
      </c>
      <c r="L96" s="92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6" t="s">
        <v>209</v>
      </c>
    </row>
    <row r="97" spans="1:13" x14ac:dyDescent="0.15">
      <c r="A97" s="79" t="s">
        <v>199</v>
      </c>
      <c r="B97" s="80">
        <f>floors!$C$2</f>
        <v>39010</v>
      </c>
      <c r="C97" s="81" t="str">
        <f ca="1">VLOOKUP($B97,OFFSET([2]quests!$A$1,0,0,COUNTA([2]quests!$A:$A),MATCH(C$1,[2]quests!$1:$1,0)-MATCH($B$1,[2]quests!$1:$1,0)+1),MATCH(C$1,[2]quests!$1:$1,0)-MATCH($B$1,[2]quests!$1:$1,0)+1,FALSE)</f>
        <v>黄巾賊の暴走を止めろ！</v>
      </c>
      <c r="D97" s="81" t="str">
        <f ca="1">VLOOKUP($B97,OFFSET([2]quests!$A$1,0,0,COUNTA([2]quests!$A:$A),MATCH(D$1,[2]quests!$1:$1,0)-MATCH($B$1,[2]quests!$1:$1,0)+1),MATCH(D$1,[2]quests!$1:$1,0)-MATCH($B$1,[2]quests!$1:$1,0)+1,FALSE)</f>
        <v>コラボクエスト（復刻）</v>
      </c>
      <c r="E97" s="85">
        <v>4</v>
      </c>
      <c r="F97" s="81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7" s="81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コラボクエスト（復刻）</v>
      </c>
      <c r="H97" s="83">
        <v>0</v>
      </c>
      <c r="I97">
        <v>21</v>
      </c>
      <c r="J97" s="82" t="s">
        <v>196</v>
      </c>
      <c r="K97" s="91" t="str">
        <f>VLOOKUP(I97,[6]stage_hints!$A:$C,3,FALSE)</f>
        <v>スキルを有効に</v>
      </c>
      <c r="L97" s="92" t="str">
        <f>VLOOKUP(I97,[6]stage_hints!$A:$D,4,FALSE)</f>
        <v>ターン経過でユニットのスキルが使えます_x000D_強力スキルでバトルを有利に進めましょう</v>
      </c>
      <c r="M97" s="56" t="s">
        <v>209</v>
      </c>
    </row>
    <row r="98" spans="1:13" x14ac:dyDescent="0.15">
      <c r="A98" s="79" t="s">
        <v>199</v>
      </c>
      <c r="B98" s="80">
        <f>floors!$C$2</f>
        <v>39010</v>
      </c>
      <c r="C98" s="81" t="str">
        <f ca="1">VLOOKUP($B98,OFFSET([2]quests!$A$1,0,0,COUNTA([2]quests!$A:$A),MATCH(C$1,[2]quests!$1:$1,0)-MATCH($B$1,[2]quests!$1:$1,0)+1),MATCH(C$1,[2]quests!$1:$1,0)-MATCH($B$1,[2]quests!$1:$1,0)+1,FALSE)</f>
        <v>黄巾賊の暴走を止めろ！</v>
      </c>
      <c r="D98" s="81" t="str">
        <f ca="1">VLOOKUP($B98,OFFSET([2]quests!$A$1,0,0,COUNTA([2]quests!$A:$A),MATCH(D$1,[2]quests!$1:$1,0)-MATCH($B$1,[2]quests!$1:$1,0)+1),MATCH(D$1,[2]quests!$1:$1,0)-MATCH($B$1,[2]quests!$1:$1,0)+1,FALSE)</f>
        <v>コラボクエスト（復刻）</v>
      </c>
      <c r="E98" s="85">
        <v>4</v>
      </c>
      <c r="F98" s="81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8" s="81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コラボクエスト（復刻）</v>
      </c>
      <c r="H98" s="83">
        <v>0</v>
      </c>
      <c r="I98">
        <v>27</v>
      </c>
      <c r="J98" s="82" t="s">
        <v>196</v>
      </c>
      <c r="K98" s="91" t="str">
        <f>VLOOKUP(I98,[6]stage_hints!$A:$C,3,FALSE)</f>
        <v>ホーム画面からデッキを編成</v>
      </c>
      <c r="L98" s="92" t="str">
        <f>VLOOKUP(I98,[6]stage_hints!$A:$D,4,FALSE)</f>
        <v>ホーム画面でユニットを長押しすると_x000D_すぐにパーティ編成に移動できます</v>
      </c>
      <c r="M98" s="56" t="s">
        <v>209</v>
      </c>
    </row>
    <row r="99" spans="1:13" x14ac:dyDescent="0.15">
      <c r="A99" s="79" t="s">
        <v>199</v>
      </c>
      <c r="B99" s="80">
        <f>floors!$C$2</f>
        <v>39010</v>
      </c>
      <c r="C99" s="81" t="str">
        <f ca="1">VLOOKUP($B99,OFFSET([2]quests!$A$1,0,0,COUNTA([2]quests!$A:$A),MATCH(C$1,[2]quests!$1:$1,0)-MATCH($B$1,[2]quests!$1:$1,0)+1),MATCH(C$1,[2]quests!$1:$1,0)-MATCH($B$1,[2]quests!$1:$1,0)+1,FALSE)</f>
        <v>黄巾賊の暴走を止めろ！</v>
      </c>
      <c r="D99" s="81" t="str">
        <f ca="1">VLOOKUP($B99,OFFSET([2]quests!$A$1,0,0,COUNTA([2]quests!$A:$A),MATCH(D$1,[2]quests!$1:$1,0)-MATCH($B$1,[2]quests!$1:$1,0)+1),MATCH(D$1,[2]quests!$1:$1,0)-MATCH($B$1,[2]quests!$1:$1,0)+1,FALSE)</f>
        <v>コラボクエスト（復刻）</v>
      </c>
      <c r="E99" s="85">
        <v>4</v>
      </c>
      <c r="F99" s="81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99" s="81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コラボクエスト（復刻）</v>
      </c>
      <c r="H99" s="83">
        <v>0</v>
      </c>
      <c r="I99">
        <v>28</v>
      </c>
      <c r="J99" s="82" t="s">
        <v>196</v>
      </c>
      <c r="K99" s="91" t="str">
        <f>VLOOKUP(I99,[6]stage_hints!$A:$C,3,FALSE)</f>
        <v>ステータス情報は長押しで</v>
      </c>
      <c r="L99" s="92" t="str">
        <f>VLOOKUP(I99,[6]stage_hints!$A:$D,4,FALSE)</f>
        <v>ユニットのアイコンを長押しすると_x000D_ステータス情報を確認することができます</v>
      </c>
      <c r="M99" s="56" t="s">
        <v>209</v>
      </c>
    </row>
    <row r="100" spans="1:13" x14ac:dyDescent="0.15">
      <c r="A100" s="79" t="s">
        <v>199</v>
      </c>
      <c r="B100" s="80">
        <f>floors!$C$2</f>
        <v>39010</v>
      </c>
      <c r="C100" s="81" t="str">
        <f ca="1">VLOOKUP($B100,OFFSET([2]quests!$A$1,0,0,COUNTA([2]quests!$A:$A),MATCH(C$1,[2]quests!$1:$1,0)-MATCH($B$1,[2]quests!$1:$1,0)+1),MATCH(C$1,[2]quests!$1:$1,0)-MATCH($B$1,[2]quests!$1:$1,0)+1,FALSE)</f>
        <v>黄巾賊の暴走を止めろ！</v>
      </c>
      <c r="D100" s="81" t="str">
        <f ca="1">VLOOKUP($B100,OFFSET([2]quests!$A$1,0,0,COUNTA([2]quests!$A:$A),MATCH(D$1,[2]quests!$1:$1,0)-MATCH($B$1,[2]quests!$1:$1,0)+1),MATCH(D$1,[2]quests!$1:$1,0)-MATCH($B$1,[2]quests!$1:$1,0)+1,FALSE)</f>
        <v>コラボクエスト（復刻）</v>
      </c>
      <c r="E100" s="85">
        <v>4</v>
      </c>
      <c r="F100" s="81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0" s="81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コラボクエスト（復刻）</v>
      </c>
      <c r="H100" s="83">
        <v>0</v>
      </c>
      <c r="I100">
        <v>29</v>
      </c>
      <c r="J100" s="82" t="s">
        <v>196</v>
      </c>
      <c r="K100" s="91" t="str">
        <f>VLOOKUP(I100,[6]stage_hints!$A:$C,3,FALSE)</f>
        <v>「バグ」のメリット</v>
      </c>
      <c r="L100" s="92" t="str">
        <f>VLOOKUP(I100,[6]stage_hints!$A:$D,4,FALSE)</f>
        <v>ユニットの「バグ」を増やすと_x000D_報酬をもらえる確率がアップします</v>
      </c>
      <c r="M100" s="56" t="s">
        <v>209</v>
      </c>
    </row>
    <row r="101" spans="1:13" x14ac:dyDescent="0.15">
      <c r="A101" s="79" t="s">
        <v>199</v>
      </c>
      <c r="B101" s="80">
        <f>floors!$C$2</f>
        <v>39010</v>
      </c>
      <c r="C101" s="81" t="str">
        <f ca="1">VLOOKUP($B101,OFFSET([2]quests!$A$1,0,0,COUNTA([2]quests!$A:$A),MATCH(C$1,[2]quests!$1:$1,0)-MATCH($B$1,[2]quests!$1:$1,0)+1),MATCH(C$1,[2]quests!$1:$1,0)-MATCH($B$1,[2]quests!$1:$1,0)+1,FALSE)</f>
        <v>黄巾賊の暴走を止めろ！</v>
      </c>
      <c r="D101" s="81" t="str">
        <f ca="1">VLOOKUP($B101,OFFSET([2]quests!$A$1,0,0,COUNTA([2]quests!$A:$A),MATCH(D$1,[2]quests!$1:$1,0)-MATCH($B$1,[2]quests!$1:$1,0)+1),MATCH(D$1,[2]quests!$1:$1,0)-MATCH($B$1,[2]quests!$1:$1,0)+1,FALSE)</f>
        <v>コラボクエスト（復刻）</v>
      </c>
      <c r="E101" s="85">
        <v>4</v>
      </c>
      <c r="F101" s="81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1" s="81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コラボクエスト（復刻）</v>
      </c>
      <c r="H101" s="83">
        <v>0</v>
      </c>
      <c r="I101">
        <v>30</v>
      </c>
      <c r="J101" s="82" t="s">
        <v>196</v>
      </c>
      <c r="K101" s="91" t="str">
        <f>VLOOKUP(I101,[6]stage_hints!$A:$C,3,FALSE)</f>
        <v>「バグ」の増やし方</v>
      </c>
      <c r="L101" s="92" t="str">
        <f>VLOOKUP(I101,[6]stage_hints!$A:$D,4,FALSE)</f>
        <v>同じユニット同士を強化で合成すると_x000D_「バグ」を増やすことができます</v>
      </c>
      <c r="M101" s="56" t="s">
        <v>209</v>
      </c>
    </row>
    <row r="102" spans="1:13" x14ac:dyDescent="0.15">
      <c r="A102" s="79" t="s">
        <v>199</v>
      </c>
      <c r="B102" s="80">
        <f>floors!$C$2</f>
        <v>39010</v>
      </c>
      <c r="C102" s="81" t="str">
        <f ca="1">VLOOKUP($B102,OFFSET([2]quests!$A$1,0,0,COUNTA([2]quests!$A:$A),MATCH(C$1,[2]quests!$1:$1,0)-MATCH($B$1,[2]quests!$1:$1,0)+1),MATCH(C$1,[2]quests!$1:$1,0)-MATCH($B$1,[2]quests!$1:$1,0)+1,FALSE)</f>
        <v>黄巾賊の暴走を止めろ！</v>
      </c>
      <c r="D102" s="81" t="str">
        <f ca="1">VLOOKUP($B102,OFFSET([2]quests!$A$1,0,0,COUNTA([2]quests!$A:$A),MATCH(D$1,[2]quests!$1:$1,0)-MATCH($B$1,[2]quests!$1:$1,0)+1),MATCH(D$1,[2]quests!$1:$1,0)-MATCH($B$1,[2]quests!$1:$1,0)+1,FALSE)</f>
        <v>コラボクエスト（復刻）</v>
      </c>
      <c r="E102" s="85">
        <v>4</v>
      </c>
      <c r="F102" s="81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2" s="81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コラボクエスト（復刻）</v>
      </c>
      <c r="H102" s="83">
        <v>0</v>
      </c>
      <c r="I102">
        <v>32</v>
      </c>
      <c r="J102" s="82" t="s">
        <v>196</v>
      </c>
      <c r="K102" s="91" t="str">
        <f>VLOOKUP(I102,[6]stage_hints!$A:$C,3,FALSE)</f>
        <v>敵の連続攻撃には</v>
      </c>
      <c r="L102" s="92" t="str">
        <f>VLOOKUP(I102,[6]stage_hints!$A:$D,4,FALSE)</f>
        <v>カウンタースキルを持つユニットがいれば_x000D_ダメージ回数分の反撃ができます</v>
      </c>
      <c r="M102" s="56" t="s">
        <v>209</v>
      </c>
    </row>
    <row r="103" spans="1:13" x14ac:dyDescent="0.15">
      <c r="A103" s="79" t="s">
        <v>199</v>
      </c>
      <c r="B103" s="80">
        <f>floors!$C$2</f>
        <v>39010</v>
      </c>
      <c r="C103" s="81" t="str">
        <f ca="1">VLOOKUP($B103,OFFSET([2]quests!$A$1,0,0,COUNTA([2]quests!$A:$A),MATCH(C$1,[2]quests!$1:$1,0)-MATCH($B$1,[2]quests!$1:$1,0)+1),MATCH(C$1,[2]quests!$1:$1,0)-MATCH($B$1,[2]quests!$1:$1,0)+1,FALSE)</f>
        <v>黄巾賊の暴走を止めろ！</v>
      </c>
      <c r="D103" s="81" t="str">
        <f ca="1">VLOOKUP($B103,OFFSET([2]quests!$A$1,0,0,COUNTA([2]quests!$A:$A),MATCH(D$1,[2]quests!$1:$1,0)-MATCH($B$1,[2]quests!$1:$1,0)+1),MATCH(D$1,[2]quests!$1:$1,0)-MATCH($B$1,[2]quests!$1:$1,0)+1,FALSE)</f>
        <v>コラボクエスト（復刻）</v>
      </c>
      <c r="E103" s="85">
        <v>4</v>
      </c>
      <c r="F103" s="81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3" s="81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コラボクエスト（復刻）</v>
      </c>
      <c r="H103" s="83">
        <v>0</v>
      </c>
      <c r="I103">
        <v>33</v>
      </c>
      <c r="J103" s="82" t="s">
        <v>196</v>
      </c>
      <c r="K103" s="91" t="str">
        <f>VLOOKUP(I103,[6]stage_hints!$A:$C,3,FALSE)</f>
        <v>敵のカウンター攻撃には</v>
      </c>
      <c r="L103" s="92" t="str">
        <f>VLOOKUP(I103,[6]stage_hints!$A:$D,4,FALSE)</f>
        <v>カウンターブレイクスキルを持っていれば_x000D_敵のカウンターを解除して攻撃ができます</v>
      </c>
      <c r="M103" s="56" t="s">
        <v>209</v>
      </c>
    </row>
    <row r="104" spans="1:13" x14ac:dyDescent="0.15">
      <c r="A104" s="79" t="s">
        <v>199</v>
      </c>
      <c r="B104" s="80">
        <f>floors!$C$2</f>
        <v>39010</v>
      </c>
      <c r="C104" s="81" t="str">
        <f ca="1">VLOOKUP($B104,OFFSET([2]quests!$A$1,0,0,COUNTA([2]quests!$A:$A),MATCH(C$1,[2]quests!$1:$1,0)-MATCH($B$1,[2]quests!$1:$1,0)+1),MATCH(C$1,[2]quests!$1:$1,0)-MATCH($B$1,[2]quests!$1:$1,0)+1,FALSE)</f>
        <v>黄巾賊の暴走を止めろ！</v>
      </c>
      <c r="D104" s="81" t="str">
        <f ca="1">VLOOKUP($B104,OFFSET([2]quests!$A$1,0,0,COUNTA([2]quests!$A:$A),MATCH(D$1,[2]quests!$1:$1,0)-MATCH($B$1,[2]quests!$1:$1,0)+1),MATCH(D$1,[2]quests!$1:$1,0)-MATCH($B$1,[2]quests!$1:$1,0)+1,FALSE)</f>
        <v>コラボクエスト（復刻）</v>
      </c>
      <c r="E104" s="85">
        <v>4</v>
      </c>
      <c r="F104" s="81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4" s="81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コラボクエスト（復刻）</v>
      </c>
      <c r="H104" s="83">
        <v>0</v>
      </c>
      <c r="I104">
        <v>34</v>
      </c>
      <c r="J104" s="82" t="s">
        <v>196</v>
      </c>
      <c r="K104" s="91" t="str">
        <f>VLOOKUP(I104,[6]stage_hints!$A:$C,3,FALSE)</f>
        <v>ステータスをスキルで下げられたら</v>
      </c>
      <c r="L104" s="92" t="str">
        <f>VLOOKUP(I104,[6]stage_hints!$A:$D,4,FALSE)</f>
        <v>ステータスダウンのスキルを受けたら_x000D_ステータスアップスキルで上書きしましょう</v>
      </c>
      <c r="M104" s="56" t="s">
        <v>209</v>
      </c>
    </row>
    <row r="105" spans="1:13" x14ac:dyDescent="0.15">
      <c r="A105" s="79" t="s">
        <v>199</v>
      </c>
      <c r="B105" s="80">
        <f>floors!$C$2</f>
        <v>39010</v>
      </c>
      <c r="C105" s="81" t="str">
        <f ca="1">VLOOKUP($B105,OFFSET([2]quests!$A$1,0,0,COUNTA([2]quests!$A:$A),MATCH(C$1,[2]quests!$1:$1,0)-MATCH($B$1,[2]quests!$1:$1,0)+1),MATCH(C$1,[2]quests!$1:$1,0)-MATCH($B$1,[2]quests!$1:$1,0)+1,FALSE)</f>
        <v>黄巾賊の暴走を止めろ！</v>
      </c>
      <c r="D105" s="81" t="str">
        <f ca="1">VLOOKUP($B105,OFFSET([2]quests!$A$1,0,0,COUNTA([2]quests!$A:$A),MATCH(D$1,[2]quests!$1:$1,0)-MATCH($B$1,[2]quests!$1:$1,0)+1),MATCH(D$1,[2]quests!$1:$1,0)-MATCH($B$1,[2]quests!$1:$1,0)+1,FALSE)</f>
        <v>コラボクエスト（復刻）</v>
      </c>
      <c r="E105" s="85">
        <v>4</v>
      </c>
      <c r="F105" s="81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5" s="81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コラボクエスト（復刻）</v>
      </c>
      <c r="H105" s="83">
        <v>0</v>
      </c>
      <c r="I105">
        <v>35</v>
      </c>
      <c r="J105" s="82" t="s">
        <v>196</v>
      </c>
      <c r="K105" s="91" t="str">
        <f>VLOOKUP(I105,[6]stage_hints!$A:$C,3,FALSE)</f>
        <v>敵のステータスがスキルで上がったら</v>
      </c>
      <c r="L105" s="92" t="str">
        <f>VLOOKUP(I105,[6]stage_hints!$A:$D,4,FALSE)</f>
        <v>敵のステータスがスキルでアップしたときは_x000D_ステータスダウンスキルで上書きしましょう</v>
      </c>
      <c r="M105" s="56" t="s">
        <v>209</v>
      </c>
    </row>
    <row r="106" spans="1:13" x14ac:dyDescent="0.15">
      <c r="A106" s="79" t="s">
        <v>199</v>
      </c>
      <c r="B106" s="80">
        <f>floors!$C$2</f>
        <v>39010</v>
      </c>
      <c r="C106" s="81" t="str">
        <f ca="1">VLOOKUP($B106,OFFSET([2]quests!$A$1,0,0,COUNTA([2]quests!$A:$A),MATCH(C$1,[2]quests!$1:$1,0)-MATCH($B$1,[2]quests!$1:$1,0)+1),MATCH(C$1,[2]quests!$1:$1,0)-MATCH($B$1,[2]quests!$1:$1,0)+1,FALSE)</f>
        <v>黄巾賊の暴走を止めろ！</v>
      </c>
      <c r="D106" s="81" t="str">
        <f ca="1">VLOOKUP($B106,OFFSET([2]quests!$A$1,0,0,COUNTA([2]quests!$A:$A),MATCH(D$1,[2]quests!$1:$1,0)-MATCH($B$1,[2]quests!$1:$1,0)+1),MATCH(D$1,[2]quests!$1:$1,0)-MATCH($B$1,[2]quests!$1:$1,0)+1,FALSE)</f>
        <v>コラボクエスト（復刻）</v>
      </c>
      <c r="E106" s="85">
        <v>4</v>
      </c>
      <c r="F106" s="81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6" s="81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コラボクエスト（復刻）</v>
      </c>
      <c r="H106" s="83">
        <v>0</v>
      </c>
      <c r="I106">
        <v>36</v>
      </c>
      <c r="J106" s="82" t="s">
        <v>196</v>
      </c>
      <c r="K106" s="91" t="str">
        <f>VLOOKUP(I106,[6]stage_hints!$A:$C,3,FALSE)</f>
        <v>タワーオブザクイーンのボス</v>
      </c>
      <c r="L106" s="92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6" t="s">
        <v>209</v>
      </c>
    </row>
    <row r="107" spans="1:13" x14ac:dyDescent="0.15">
      <c r="A107" s="79" t="s">
        <v>199</v>
      </c>
      <c r="B107" s="80">
        <f>floors!$C$2</f>
        <v>39010</v>
      </c>
      <c r="C107" s="81" t="str">
        <f ca="1">VLOOKUP($B107,OFFSET([2]quests!$A$1,0,0,COUNTA([2]quests!$A:$A),MATCH(C$1,[2]quests!$1:$1,0)-MATCH($B$1,[2]quests!$1:$1,0)+1),MATCH(C$1,[2]quests!$1:$1,0)-MATCH($B$1,[2]quests!$1:$1,0)+1,FALSE)</f>
        <v>黄巾賊の暴走を止めろ！</v>
      </c>
      <c r="D107" s="81" t="str">
        <f ca="1">VLOOKUP($B107,OFFSET([2]quests!$A$1,0,0,COUNTA([2]quests!$A:$A),MATCH(D$1,[2]quests!$1:$1,0)-MATCH($B$1,[2]quests!$1:$1,0)+1),MATCH(D$1,[2]quests!$1:$1,0)-MATCH($B$1,[2]quests!$1:$1,0)+1,FALSE)</f>
        <v>コラボクエスト（復刻）</v>
      </c>
      <c r="E107" s="85">
        <v>4</v>
      </c>
      <c r="F107" s="81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7" s="81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コラボクエスト（復刻）</v>
      </c>
      <c r="H107" s="83">
        <v>0</v>
      </c>
      <c r="I107">
        <v>37</v>
      </c>
      <c r="J107" s="82" t="s">
        <v>196</v>
      </c>
      <c r="K107" s="91" t="str">
        <f>VLOOKUP(I107,[6]stage_hints!$A:$C,3,FALSE)</f>
        <v>限界突破値の引き継ぎ</v>
      </c>
      <c r="L107" s="92" t="str">
        <f>VLOOKUP(I107,[6]stage_hints!$A:$D,4,FALSE)</f>
        <v>同じユニットを強化で合成すると_x000D_限界突破値を引き継げます（覚醒前後も可）</v>
      </c>
      <c r="M107" s="56" t="s">
        <v>209</v>
      </c>
    </row>
    <row r="108" spans="1:13" x14ac:dyDescent="0.15">
      <c r="A108" s="79" t="s">
        <v>199</v>
      </c>
      <c r="B108" s="80">
        <f>floors!$C$2</f>
        <v>39010</v>
      </c>
      <c r="C108" s="81" t="str">
        <f ca="1">VLOOKUP($B108,OFFSET([2]quests!$A$1,0,0,COUNTA([2]quests!$A:$A),MATCH(C$1,[2]quests!$1:$1,0)-MATCH($B$1,[2]quests!$1:$1,0)+1),MATCH(C$1,[2]quests!$1:$1,0)-MATCH($B$1,[2]quests!$1:$1,0)+1,FALSE)</f>
        <v>黄巾賊の暴走を止めろ！</v>
      </c>
      <c r="D108" s="81" t="str">
        <f ca="1">VLOOKUP($B108,OFFSET([2]quests!$A$1,0,0,COUNTA([2]quests!$A:$A),MATCH(D$1,[2]quests!$1:$1,0)-MATCH($B$1,[2]quests!$1:$1,0)+1),MATCH(D$1,[2]quests!$1:$1,0)-MATCH($B$1,[2]quests!$1:$1,0)+1,FALSE)</f>
        <v>コラボクエスト（復刻）</v>
      </c>
      <c r="E108" s="85">
        <v>4</v>
      </c>
      <c r="F108" s="81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08" s="81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コラボクエスト（復刻）</v>
      </c>
      <c r="H108" s="83">
        <v>0</v>
      </c>
      <c r="I108">
        <v>39</v>
      </c>
      <c r="J108" s="82" t="s">
        <v>196</v>
      </c>
      <c r="K108" s="91" t="str">
        <f>VLOOKUP(I108,[6]stage_hints!$A:$C,3,FALSE)</f>
        <v>システム適合者を確認</v>
      </c>
      <c r="L108" s="92" t="str">
        <f>VLOOKUP(I108,[6]stage_hints!$A:$D,4,FALSE)</f>
        <v>ALICEが 「アナタ」を呼んでいます</v>
      </c>
      <c r="M108" s="56" t="s">
        <v>209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topLeftCell="B1" workbookViewId="0">
      <pane ySplit="1" topLeftCell="A2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1" t="s">
        <v>149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7" t="s">
        <v>192</v>
      </c>
      <c r="J1" s="89" t="s">
        <v>193</v>
      </c>
      <c r="K1" s="77" t="s">
        <v>126</v>
      </c>
      <c r="L1" s="76" t="s">
        <v>185</v>
      </c>
      <c r="M1" s="90" t="s">
        <v>184</v>
      </c>
      <c r="N1" s="78" t="s">
        <v>194</v>
      </c>
    </row>
    <row r="2" spans="1:14" ht="28" x14ac:dyDescent="0.15">
      <c r="A2" s="79" t="s">
        <v>195</v>
      </c>
      <c r="B2" s="80">
        <f>floors!$C$2</f>
        <v>39010</v>
      </c>
      <c r="C2" s="81" t="str">
        <f ca="1">VLOOKUP($B2,OFFSET([2]quests!$A$1,0,0,COUNTA([2]quests!$A:$A),MATCH(C$1,[2]quests!$1:$1,0)-MATCH($B$1,[2]quests!$1:$1,0)+1),MATCH(C$1,[2]quests!$1:$1,0)-MATCH($B$1,[2]quests!$1:$1,0)+1,FALSE)</f>
        <v>黄巾賊の暴走を止めろ！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コラボクエスト（復刻）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コラボクエスト（復刻）</v>
      </c>
      <c r="H2" s="83">
        <v>1</v>
      </c>
      <c r="I2" s="88">
        <f>ROW()-1</f>
        <v>1</v>
      </c>
      <c r="J2" s="84" t="str">
        <f>B2&amp;TEXT(I2,"00")</f>
        <v>3901001</v>
      </c>
      <c r="K2" s="82" t="s">
        <v>250</v>
      </c>
      <c r="L2" s="85" t="s">
        <v>197</v>
      </c>
      <c r="M2" s="125" t="s">
        <v>301</v>
      </c>
      <c r="N2" s="56" t="s">
        <v>198</v>
      </c>
    </row>
    <row r="3" spans="1:14" ht="42" x14ac:dyDescent="0.15">
      <c r="A3" s="79" t="s">
        <v>195</v>
      </c>
      <c r="B3" s="80">
        <f>floors!$C$2</f>
        <v>39010</v>
      </c>
      <c r="C3" s="81" t="str">
        <f ca="1">VLOOKUP($B3,OFFSET([2]quests!$A$1,0,0,COUNTA([2]quests!$A:$A),MATCH(C$1,[2]quests!$1:$1,0)-MATCH($B$1,[2]quests!$1:$1,0)+1),MATCH(C$1,[2]quests!$1:$1,0)-MATCH($B$1,[2]quests!$1:$1,0)+1,FALSE)</f>
        <v>黄巾賊の暴走を止めろ！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コラボクエスト（復刻）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コラボクエスト（復刻）</v>
      </c>
      <c r="H3" s="83">
        <v>2</v>
      </c>
      <c r="I3" s="88">
        <f t="shared" ref="I3:I17" si="0">ROW()-1</f>
        <v>2</v>
      </c>
      <c r="J3" s="84" t="str">
        <f t="shared" ref="J3:J5" si="1">B3&amp;TEXT(I3,"00")</f>
        <v>3901002</v>
      </c>
      <c r="K3" s="82" t="s">
        <v>250</v>
      </c>
      <c r="L3" s="85" t="s">
        <v>197</v>
      </c>
      <c r="M3" s="125" t="s">
        <v>303</v>
      </c>
      <c r="N3" s="56" t="s">
        <v>198</v>
      </c>
    </row>
    <row r="4" spans="1:14" ht="42" x14ac:dyDescent="0.15">
      <c r="A4" s="79" t="s">
        <v>195</v>
      </c>
      <c r="B4" s="80">
        <f>floors!$C$2</f>
        <v>39010</v>
      </c>
      <c r="C4" s="81" t="str">
        <f ca="1">VLOOKUP($B4,OFFSET([2]quests!$A$1,0,0,COUNTA([2]quests!$A:$A),MATCH(C$1,[2]quests!$1:$1,0)-MATCH($B$1,[2]quests!$1:$1,0)+1),MATCH(C$1,[2]quests!$1:$1,0)-MATCH($B$1,[2]quests!$1:$1,0)+1,FALSE)</f>
        <v>黄巾賊の暴走を止めろ！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コラボクエスト（復刻）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コラボクエスト（復刻）</v>
      </c>
      <c r="H4" s="83">
        <v>3</v>
      </c>
      <c r="I4" s="88">
        <f t="shared" si="0"/>
        <v>3</v>
      </c>
      <c r="J4" s="84" t="str">
        <f t="shared" si="1"/>
        <v>3901003</v>
      </c>
      <c r="K4" s="82" t="s">
        <v>250</v>
      </c>
      <c r="L4" s="85" t="s">
        <v>197</v>
      </c>
      <c r="M4" s="125" t="s">
        <v>302</v>
      </c>
      <c r="N4" s="56" t="s">
        <v>198</v>
      </c>
    </row>
    <row r="5" spans="1:14" ht="42" x14ac:dyDescent="0.15">
      <c r="A5" s="79" t="s">
        <v>195</v>
      </c>
      <c r="B5" s="80">
        <f>floors!$C$2</f>
        <v>39010</v>
      </c>
      <c r="C5" s="81" t="str">
        <f ca="1">VLOOKUP($B5,OFFSET([2]quests!$A$1,0,0,COUNTA([2]quests!$A:$A),MATCH(C$1,[2]quests!$1:$1,0)-MATCH($B$1,[2]quests!$1:$1,0)+1),MATCH(C$1,[2]quests!$1:$1,0)-MATCH($B$1,[2]quests!$1:$1,0)+1,FALSE)</f>
        <v>黄巾賊の暴走を止めろ！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コラボクエスト（復刻）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【初級】黄巾賊の暴走を止めろ！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コラボクエスト（復刻）</v>
      </c>
      <c r="H5" s="83">
        <v>4</v>
      </c>
      <c r="I5" s="88">
        <f t="shared" si="0"/>
        <v>4</v>
      </c>
      <c r="J5" s="84" t="str">
        <f t="shared" si="1"/>
        <v>3901004</v>
      </c>
      <c r="K5" s="82" t="s">
        <v>250</v>
      </c>
      <c r="L5" s="85" t="s">
        <v>197</v>
      </c>
      <c r="M5" s="125" t="s">
        <v>323</v>
      </c>
      <c r="N5" s="56" t="s">
        <v>198</v>
      </c>
    </row>
    <row r="6" spans="1:14" ht="28" x14ac:dyDescent="0.15">
      <c r="A6" s="79" t="s">
        <v>195</v>
      </c>
      <c r="B6" s="80">
        <f>floors!$C$2</f>
        <v>39010</v>
      </c>
      <c r="C6" s="81" t="str">
        <f ca="1">VLOOKUP($B6,OFFSET([2]quests!$A$1,0,0,COUNTA([2]quests!$A:$A),MATCH(C$1,[2]quests!$1:$1,0)-MATCH($B$1,[2]quests!$1:$1,0)+1),MATCH(C$1,[2]quests!$1:$1,0)-MATCH($B$1,[2]quests!$1:$1,0)+1,FALSE)</f>
        <v>黄巾賊の暴走を止めろ！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コラボクエスト（復刻）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コラボクエスト（復刻）</v>
      </c>
      <c r="H6" s="83">
        <v>1</v>
      </c>
      <c r="I6" s="88">
        <f>ROW()-1</f>
        <v>5</v>
      </c>
      <c r="J6" s="84" t="str">
        <f>B6&amp;TEXT(I6,"00")</f>
        <v>3901005</v>
      </c>
      <c r="K6" s="82" t="s">
        <v>250</v>
      </c>
      <c r="L6" s="85" t="s">
        <v>197</v>
      </c>
      <c r="M6" s="125" t="s">
        <v>301</v>
      </c>
      <c r="N6" s="56" t="s">
        <v>198</v>
      </c>
    </row>
    <row r="7" spans="1:14" ht="42" x14ac:dyDescent="0.15">
      <c r="A7" s="79" t="s">
        <v>195</v>
      </c>
      <c r="B7" s="80">
        <f>floors!$C$2</f>
        <v>39010</v>
      </c>
      <c r="C7" s="81" t="str">
        <f ca="1">VLOOKUP($B7,OFFSET([2]quests!$A$1,0,0,COUNTA([2]quests!$A:$A),MATCH(C$1,[2]quests!$1:$1,0)-MATCH($B$1,[2]quests!$1:$1,0)+1),MATCH(C$1,[2]quests!$1:$1,0)-MATCH($B$1,[2]quests!$1:$1,0)+1,FALSE)</f>
        <v>黄巾賊の暴走を止めろ！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コラボクエスト（復刻）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コラボクエスト（復刻）</v>
      </c>
      <c r="H7" s="83">
        <v>2</v>
      </c>
      <c r="I7" s="88">
        <f t="shared" si="0"/>
        <v>6</v>
      </c>
      <c r="J7" s="84" t="str">
        <f t="shared" ref="J7:J9" si="2">B7&amp;TEXT(I7,"00")</f>
        <v>3901006</v>
      </c>
      <c r="K7" s="82" t="s">
        <v>250</v>
      </c>
      <c r="L7" s="85" t="s">
        <v>197</v>
      </c>
      <c r="M7" s="125" t="s">
        <v>303</v>
      </c>
      <c r="N7" s="56" t="s">
        <v>198</v>
      </c>
    </row>
    <row r="8" spans="1:14" ht="42" x14ac:dyDescent="0.15">
      <c r="A8" s="79" t="s">
        <v>195</v>
      </c>
      <c r="B8" s="80">
        <f>floors!$C$2</f>
        <v>39010</v>
      </c>
      <c r="C8" s="81" t="str">
        <f ca="1">VLOOKUP($B8,OFFSET([2]quests!$A$1,0,0,COUNTA([2]quests!$A:$A),MATCH(C$1,[2]quests!$1:$1,0)-MATCH($B$1,[2]quests!$1:$1,0)+1),MATCH(C$1,[2]quests!$1:$1,0)-MATCH($B$1,[2]quests!$1:$1,0)+1,FALSE)</f>
        <v>黄巾賊の暴走を止めろ！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コラボクエスト（復刻）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コラボクエスト（復刻）</v>
      </c>
      <c r="H8" s="83">
        <v>3</v>
      </c>
      <c r="I8" s="88">
        <f t="shared" si="0"/>
        <v>7</v>
      </c>
      <c r="J8" s="84" t="str">
        <f t="shared" si="2"/>
        <v>3901007</v>
      </c>
      <c r="K8" s="82" t="s">
        <v>250</v>
      </c>
      <c r="L8" s="85" t="s">
        <v>197</v>
      </c>
      <c r="M8" s="125" t="s">
        <v>302</v>
      </c>
      <c r="N8" s="56" t="s">
        <v>198</v>
      </c>
    </row>
    <row r="9" spans="1:14" ht="42" x14ac:dyDescent="0.15">
      <c r="A9" s="79" t="s">
        <v>195</v>
      </c>
      <c r="B9" s="80">
        <f>floors!$C$2</f>
        <v>39010</v>
      </c>
      <c r="C9" s="81" t="str">
        <f ca="1">VLOOKUP($B9,OFFSET([2]quests!$A$1,0,0,COUNTA([2]quests!$A:$A),MATCH(C$1,[2]quests!$1:$1,0)-MATCH($B$1,[2]quests!$1:$1,0)+1),MATCH(C$1,[2]quests!$1:$1,0)-MATCH($B$1,[2]quests!$1:$1,0)+1,FALSE)</f>
        <v>黄巾賊の暴走を止めろ！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コラボクエスト（復刻）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【中級】黄巾賊の暴走を止めろ！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コラボクエスト（復刻）</v>
      </c>
      <c r="H9" s="83">
        <v>4</v>
      </c>
      <c r="I9" s="88">
        <f t="shared" si="0"/>
        <v>8</v>
      </c>
      <c r="J9" s="84" t="str">
        <f t="shared" si="2"/>
        <v>3901008</v>
      </c>
      <c r="K9" s="82" t="s">
        <v>250</v>
      </c>
      <c r="L9" s="85" t="s">
        <v>197</v>
      </c>
      <c r="M9" s="125" t="s">
        <v>323</v>
      </c>
      <c r="N9" s="56" t="s">
        <v>198</v>
      </c>
    </row>
    <row r="10" spans="1:14" ht="28" x14ac:dyDescent="0.15">
      <c r="A10" s="79" t="s">
        <v>195</v>
      </c>
      <c r="B10" s="80">
        <f>floors!$C$2</f>
        <v>39010</v>
      </c>
      <c r="C10" s="81" t="str">
        <f ca="1">VLOOKUP($B10,OFFSET([2]quests!$A$1,0,0,COUNTA([2]quests!$A:$A),MATCH(C$1,[2]quests!$1:$1,0)-MATCH($B$1,[2]quests!$1:$1,0)+1),MATCH(C$1,[2]quests!$1:$1,0)-MATCH($B$1,[2]quests!$1:$1,0)+1,FALSE)</f>
        <v>黄巾賊の暴走を止めろ！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コラボクエスト（復刻）</v>
      </c>
      <c r="E10" s="82">
        <v>3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コラボクエスト（復刻）</v>
      </c>
      <c r="H10" s="83">
        <v>1</v>
      </c>
      <c r="I10" s="88">
        <f>ROW()-1</f>
        <v>9</v>
      </c>
      <c r="J10" s="84" t="str">
        <f>B10&amp;TEXT(I10,"00")</f>
        <v>3901009</v>
      </c>
      <c r="K10" s="82" t="s">
        <v>250</v>
      </c>
      <c r="L10" s="85" t="s">
        <v>197</v>
      </c>
      <c r="M10" s="125" t="s">
        <v>301</v>
      </c>
      <c r="N10" s="56" t="s">
        <v>198</v>
      </c>
    </row>
    <row r="11" spans="1:14" ht="42" x14ac:dyDescent="0.15">
      <c r="A11" s="79" t="s">
        <v>195</v>
      </c>
      <c r="B11" s="80">
        <f>floors!$C$2</f>
        <v>39010</v>
      </c>
      <c r="C11" s="81" t="str">
        <f ca="1">VLOOKUP($B11,OFFSET([2]quests!$A$1,0,0,COUNTA([2]quests!$A:$A),MATCH(C$1,[2]quests!$1:$1,0)-MATCH($B$1,[2]quests!$1:$1,0)+1),MATCH(C$1,[2]quests!$1:$1,0)-MATCH($B$1,[2]quests!$1:$1,0)+1,FALSE)</f>
        <v>黄巾賊の暴走を止めろ！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コラボクエスト（復刻）</v>
      </c>
      <c r="E11" s="82">
        <v>3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コラボクエスト（復刻）</v>
      </c>
      <c r="H11" s="83">
        <v>2</v>
      </c>
      <c r="I11" s="88">
        <f t="shared" si="0"/>
        <v>10</v>
      </c>
      <c r="J11" s="84" t="str">
        <f t="shared" ref="J11:J13" si="3">B11&amp;TEXT(I11,"00")</f>
        <v>3901010</v>
      </c>
      <c r="K11" s="82" t="s">
        <v>250</v>
      </c>
      <c r="L11" s="85" t="s">
        <v>197</v>
      </c>
      <c r="M11" s="125" t="s">
        <v>303</v>
      </c>
      <c r="N11" s="56" t="s">
        <v>198</v>
      </c>
    </row>
    <row r="12" spans="1:14" ht="42" x14ac:dyDescent="0.15">
      <c r="A12" s="79" t="s">
        <v>195</v>
      </c>
      <c r="B12" s="80">
        <f>floors!$C$2</f>
        <v>39010</v>
      </c>
      <c r="C12" s="81" t="str">
        <f ca="1">VLOOKUP($B12,OFFSET([2]quests!$A$1,0,0,COUNTA([2]quests!$A:$A),MATCH(C$1,[2]quests!$1:$1,0)-MATCH($B$1,[2]quests!$1:$1,0)+1),MATCH(C$1,[2]quests!$1:$1,0)-MATCH($B$1,[2]quests!$1:$1,0)+1,FALSE)</f>
        <v>黄巾賊の暴走を止めろ！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コラボクエスト（復刻）</v>
      </c>
      <c r="E12" s="82">
        <v>3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コラボクエスト（復刻）</v>
      </c>
      <c r="H12" s="83">
        <v>3</v>
      </c>
      <c r="I12" s="88">
        <f t="shared" si="0"/>
        <v>11</v>
      </c>
      <c r="J12" s="84" t="str">
        <f t="shared" si="3"/>
        <v>3901011</v>
      </c>
      <c r="K12" s="82" t="s">
        <v>250</v>
      </c>
      <c r="L12" s="85" t="s">
        <v>197</v>
      </c>
      <c r="M12" s="125" t="s">
        <v>302</v>
      </c>
      <c r="N12" s="56" t="s">
        <v>198</v>
      </c>
    </row>
    <row r="13" spans="1:14" ht="42" x14ac:dyDescent="0.15">
      <c r="A13" s="79" t="s">
        <v>195</v>
      </c>
      <c r="B13" s="80">
        <f>floors!$C$2</f>
        <v>39010</v>
      </c>
      <c r="C13" s="81" t="str">
        <f ca="1">VLOOKUP($B13,OFFSET([2]quests!$A$1,0,0,COUNTA([2]quests!$A:$A),MATCH(C$1,[2]quests!$1:$1,0)-MATCH($B$1,[2]quests!$1:$1,0)+1),MATCH(C$1,[2]quests!$1:$1,0)-MATCH($B$1,[2]quests!$1:$1,0)+1,FALSE)</f>
        <v>黄巾賊の暴走を止めろ！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コラボクエスト（復刻）</v>
      </c>
      <c r="E13" s="82">
        <v>3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【上級】黄巾賊の暴走を止めろ！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コラボクエスト（復刻）</v>
      </c>
      <c r="H13" s="83">
        <v>4</v>
      </c>
      <c r="I13" s="88">
        <f t="shared" si="0"/>
        <v>12</v>
      </c>
      <c r="J13" s="84" t="str">
        <f t="shared" si="3"/>
        <v>3901012</v>
      </c>
      <c r="K13" s="82" t="s">
        <v>250</v>
      </c>
      <c r="L13" s="85" t="s">
        <v>197</v>
      </c>
      <c r="M13" s="125" t="s">
        <v>323</v>
      </c>
      <c r="N13" s="56" t="s">
        <v>198</v>
      </c>
    </row>
    <row r="14" spans="1:14" ht="28" x14ac:dyDescent="0.15">
      <c r="A14" s="79" t="s">
        <v>195</v>
      </c>
      <c r="B14" s="80">
        <f>floors!$C$2</f>
        <v>39010</v>
      </c>
      <c r="C14" s="81" t="str">
        <f ca="1">VLOOKUP($B14,OFFSET([2]quests!$A$1,0,0,COUNTA([2]quests!$A:$A),MATCH(C$1,[2]quests!$1:$1,0)-MATCH($B$1,[2]quests!$1:$1,0)+1),MATCH(C$1,[2]quests!$1:$1,0)-MATCH($B$1,[2]quests!$1:$1,0)+1,FALSE)</f>
        <v>黄巾賊の暴走を止めろ！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コラボクエスト（復刻）</v>
      </c>
      <c r="E14" s="82">
        <v>4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コラボクエスト（復刻）</v>
      </c>
      <c r="H14" s="83">
        <v>1</v>
      </c>
      <c r="I14" s="88">
        <f>ROW()-1</f>
        <v>13</v>
      </c>
      <c r="J14" s="84" t="str">
        <f>B14&amp;TEXT(I14,"00")</f>
        <v>3901013</v>
      </c>
      <c r="K14" s="82" t="s">
        <v>250</v>
      </c>
      <c r="L14" s="85" t="s">
        <v>197</v>
      </c>
      <c r="M14" s="125" t="s">
        <v>301</v>
      </c>
      <c r="N14" s="56" t="s">
        <v>198</v>
      </c>
    </row>
    <row r="15" spans="1:14" ht="42" x14ac:dyDescent="0.15">
      <c r="A15" s="79" t="s">
        <v>195</v>
      </c>
      <c r="B15" s="80">
        <f>floors!$C$2</f>
        <v>39010</v>
      </c>
      <c r="C15" s="81" t="str">
        <f ca="1">VLOOKUP($B15,OFFSET([2]quests!$A$1,0,0,COUNTA([2]quests!$A:$A),MATCH(C$1,[2]quests!$1:$1,0)-MATCH($B$1,[2]quests!$1:$1,0)+1),MATCH(C$1,[2]quests!$1:$1,0)-MATCH($B$1,[2]quests!$1:$1,0)+1,FALSE)</f>
        <v>黄巾賊の暴走を止めろ！</v>
      </c>
      <c r="D15" s="81" t="str">
        <f ca="1">VLOOKUP($B15,OFFSET([2]quests!$A$1,0,0,COUNTA([2]quests!$A:$A),MATCH(D$1,[2]quests!$1:$1,0)-MATCH($B$1,[2]quests!$1:$1,0)+1),MATCH(D$1,[2]quests!$1:$1,0)-MATCH($B$1,[2]quests!$1:$1,0)+1,FALSE)</f>
        <v>コラボクエスト（復刻）</v>
      </c>
      <c r="E15" s="82">
        <v>4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コラボクエスト（復刻）</v>
      </c>
      <c r="H15" s="83">
        <v>2</v>
      </c>
      <c r="I15" s="88">
        <f t="shared" si="0"/>
        <v>14</v>
      </c>
      <c r="J15" s="84" t="str">
        <f t="shared" ref="J15:J17" si="4">B15&amp;TEXT(I15,"00")</f>
        <v>3901014</v>
      </c>
      <c r="K15" s="82" t="s">
        <v>250</v>
      </c>
      <c r="L15" s="85" t="s">
        <v>197</v>
      </c>
      <c r="M15" s="125" t="s">
        <v>303</v>
      </c>
      <c r="N15" s="56" t="s">
        <v>198</v>
      </c>
    </row>
    <row r="16" spans="1:14" ht="42" x14ac:dyDescent="0.15">
      <c r="A16" s="79" t="s">
        <v>195</v>
      </c>
      <c r="B16" s="80">
        <f>floors!$C$2</f>
        <v>39010</v>
      </c>
      <c r="C16" s="81" t="str">
        <f ca="1">VLOOKUP($B16,OFFSET([2]quests!$A$1,0,0,COUNTA([2]quests!$A:$A),MATCH(C$1,[2]quests!$1:$1,0)-MATCH($B$1,[2]quests!$1:$1,0)+1),MATCH(C$1,[2]quests!$1:$1,0)-MATCH($B$1,[2]quests!$1:$1,0)+1,FALSE)</f>
        <v>黄巾賊の暴走を止めろ！</v>
      </c>
      <c r="D16" s="81" t="str">
        <f ca="1">VLOOKUP($B16,OFFSET([2]quests!$A$1,0,0,COUNTA([2]quests!$A:$A),MATCH(D$1,[2]quests!$1:$1,0)-MATCH($B$1,[2]quests!$1:$1,0)+1),MATCH(D$1,[2]quests!$1:$1,0)-MATCH($B$1,[2]quests!$1:$1,0)+1,FALSE)</f>
        <v>コラボクエスト（復刻）</v>
      </c>
      <c r="E16" s="82">
        <v>4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コラボクエスト（復刻）</v>
      </c>
      <c r="H16" s="83">
        <v>3</v>
      </c>
      <c r="I16" s="88">
        <f t="shared" si="0"/>
        <v>15</v>
      </c>
      <c r="J16" s="84" t="str">
        <f t="shared" si="4"/>
        <v>3901015</v>
      </c>
      <c r="K16" s="82" t="s">
        <v>250</v>
      </c>
      <c r="L16" s="85" t="s">
        <v>197</v>
      </c>
      <c r="M16" s="125" t="s">
        <v>302</v>
      </c>
      <c r="N16" s="56" t="s">
        <v>198</v>
      </c>
    </row>
    <row r="17" spans="1:14" ht="42" x14ac:dyDescent="0.15">
      <c r="A17" s="79" t="s">
        <v>195</v>
      </c>
      <c r="B17" s="80">
        <f>floors!$C$2</f>
        <v>39010</v>
      </c>
      <c r="C17" s="81" t="str">
        <f ca="1">VLOOKUP($B17,OFFSET([2]quests!$A$1,0,0,COUNTA([2]quests!$A:$A),MATCH(C$1,[2]quests!$1:$1,0)-MATCH($B$1,[2]quests!$1:$1,0)+1),MATCH(C$1,[2]quests!$1:$1,0)-MATCH($B$1,[2]quests!$1:$1,0)+1,FALSE)</f>
        <v>黄巾賊の暴走を止めろ！</v>
      </c>
      <c r="D17" s="81" t="str">
        <f ca="1">VLOOKUP($B17,OFFSET([2]quests!$A$1,0,0,COUNTA([2]quests!$A:$A),MATCH(D$1,[2]quests!$1:$1,0)-MATCH($B$1,[2]quests!$1:$1,0)+1),MATCH(D$1,[2]quests!$1:$1,0)-MATCH($B$1,[2]quests!$1:$1,0)+1,FALSE)</f>
        <v>コラボクエスト（復刻）</v>
      </c>
      <c r="E17" s="82">
        <v>4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【超級】黄巾賊の暴走を止めろ！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コラボクエスト（復刻）</v>
      </c>
      <c r="H17" s="83">
        <v>4</v>
      </c>
      <c r="I17" s="88">
        <f t="shared" si="0"/>
        <v>16</v>
      </c>
      <c r="J17" s="84" t="str">
        <f t="shared" si="4"/>
        <v>3901016</v>
      </c>
      <c r="K17" s="82" t="s">
        <v>250</v>
      </c>
      <c r="L17" s="85" t="s">
        <v>197</v>
      </c>
      <c r="M17" s="125" t="s">
        <v>323</v>
      </c>
      <c r="N17" s="56" t="s">
        <v>198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H9" sqref="H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212</v>
      </c>
      <c r="B1" s="96" t="s">
        <v>213</v>
      </c>
      <c r="C1" s="75" t="s">
        <v>214</v>
      </c>
      <c r="D1" s="75" t="s">
        <v>33</v>
      </c>
      <c r="E1" s="96" t="s">
        <v>215</v>
      </c>
      <c r="F1" s="75" t="s">
        <v>216</v>
      </c>
      <c r="G1" s="75" t="s">
        <v>33</v>
      </c>
      <c r="H1" s="96" t="s">
        <v>217</v>
      </c>
      <c r="I1" s="96" t="s">
        <v>218</v>
      </c>
      <c r="J1" s="96" t="s">
        <v>219</v>
      </c>
      <c r="K1" s="71" t="s">
        <v>220</v>
      </c>
      <c r="L1" s="71" t="s">
        <v>221</v>
      </c>
      <c r="M1" s="71" t="s">
        <v>155</v>
      </c>
      <c r="N1" s="75" t="s">
        <v>16</v>
      </c>
      <c r="O1" s="71" t="s">
        <v>222</v>
      </c>
      <c r="P1" s="71" t="s">
        <v>57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2016-12-22T07:55:40Z</dcterms:modified>
</cp:coreProperties>
</file>