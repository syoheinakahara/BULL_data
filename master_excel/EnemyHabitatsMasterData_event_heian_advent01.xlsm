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40" yWindow="520" windowWidth="27980" windowHeight="206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21" l="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5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78" i="11"/>
  <c r="O78" i="9"/>
  <c r="N78" i="9"/>
  <c r="M78" i="9"/>
  <c r="L78" i="9"/>
  <c r="K78" i="9"/>
  <c r="J78" i="9"/>
  <c r="I78" i="9"/>
  <c r="H78" i="9"/>
  <c r="G78" i="9"/>
  <c r="E78" i="9"/>
  <c r="D78" i="9"/>
  <c r="A78" i="9"/>
  <c r="J77" i="11"/>
  <c r="O77" i="9"/>
  <c r="N77" i="9"/>
  <c r="M77" i="9"/>
  <c r="L77" i="9"/>
  <c r="K77" i="9"/>
  <c r="J77" i="9"/>
  <c r="I77" i="9"/>
  <c r="H77" i="9"/>
  <c r="G77" i="9"/>
  <c r="E77" i="9"/>
  <c r="D77" i="9"/>
  <c r="A77" i="9"/>
  <c r="J76" i="11"/>
  <c r="O76" i="9"/>
  <c r="N76" i="9"/>
  <c r="M76" i="9"/>
  <c r="L76" i="9"/>
  <c r="K76" i="9"/>
  <c r="J76" i="9"/>
  <c r="I76" i="9"/>
  <c r="H76" i="9"/>
  <c r="G76" i="9"/>
  <c r="E76" i="9"/>
  <c r="D76" i="9"/>
  <c r="A76" i="9"/>
  <c r="J75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74" i="9"/>
  <c r="N74" i="9"/>
  <c r="M74" i="9"/>
  <c r="L74" i="9"/>
  <c r="K74" i="9"/>
  <c r="J74" i="9"/>
  <c r="I74" i="9"/>
  <c r="H74" i="9"/>
  <c r="G74" i="9"/>
  <c r="E74" i="9"/>
  <c r="D74" i="9"/>
  <c r="A74" i="9"/>
  <c r="J73" i="11"/>
  <c r="O73" i="9"/>
  <c r="N73" i="9"/>
  <c r="M73" i="9"/>
  <c r="L73" i="9"/>
  <c r="K73" i="9"/>
  <c r="J73" i="9"/>
  <c r="I73" i="9"/>
  <c r="H73" i="9"/>
  <c r="G73" i="9"/>
  <c r="E73" i="9"/>
  <c r="D73" i="9"/>
  <c r="A73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A70" i="9"/>
  <c r="D70" i="9"/>
  <c r="E70" i="9"/>
  <c r="G70" i="9"/>
  <c r="H70" i="9"/>
  <c r="I70" i="9"/>
  <c r="J70" i="9"/>
  <c r="K70" i="9"/>
  <c r="L70" i="9"/>
  <c r="M70" i="9"/>
  <c r="N70" i="9"/>
  <c r="J70" i="11"/>
  <c r="O70" i="9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J68" i="11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M63" i="10"/>
  <c r="N63" i="10"/>
  <c r="Q63" i="10"/>
  <c r="P63" i="10"/>
  <c r="R63" i="10"/>
  <c r="O63" i="10"/>
  <c r="S63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M62" i="10"/>
  <c r="N62" i="10"/>
  <c r="Q62" i="10"/>
  <c r="P62" i="10"/>
  <c r="R62" i="10"/>
  <c r="O62" i="10"/>
  <c r="S62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37" i="10"/>
  <c r="T37" i="10"/>
  <c r="W37" i="10"/>
  <c r="V37" i="10"/>
  <c r="X37" i="10"/>
  <c r="U37" i="10"/>
  <c r="Y37" i="10"/>
  <c r="M60" i="10"/>
  <c r="N60" i="10"/>
  <c r="Q60" i="10"/>
  <c r="P60" i="10"/>
  <c r="R60" i="10"/>
  <c r="O60" i="10"/>
  <c r="S60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M59" i="10"/>
  <c r="N59" i="10"/>
  <c r="Q59" i="10"/>
  <c r="P59" i="10"/>
  <c r="R59" i="10"/>
  <c r="O59" i="10"/>
  <c r="S59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M58" i="10"/>
  <c r="N58" i="10"/>
  <c r="Q58" i="10"/>
  <c r="P58" i="10"/>
  <c r="R58" i="10"/>
  <c r="O58" i="10"/>
  <c r="S58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M34" i="10"/>
  <c r="T34" i="10"/>
  <c r="W34" i="10"/>
  <c r="V34" i="10"/>
  <c r="X34" i="10"/>
  <c r="U34" i="10"/>
  <c r="Y34" i="10"/>
  <c r="M57" i="10"/>
  <c r="N57" i="10"/>
  <c r="O57" i="10"/>
  <c r="Q57" i="10"/>
  <c r="P57" i="10"/>
  <c r="R57" i="10"/>
  <c r="S57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M53" i="10"/>
  <c r="N53" i="10"/>
  <c r="O53" i="10"/>
  <c r="Q53" i="10"/>
  <c r="P53" i="10"/>
  <c r="R53" i="10"/>
  <c r="S5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M52" i="10"/>
  <c r="N52" i="10"/>
  <c r="O52" i="10"/>
  <c r="Q52" i="10"/>
  <c r="P52" i="10"/>
  <c r="R52" i="10"/>
  <c r="S5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J13" i="11"/>
  <c r="J12" i="11"/>
  <c r="J11" i="11"/>
  <c r="M13" i="10"/>
  <c r="T13" i="10"/>
  <c r="W13" i="10"/>
  <c r="V13" i="10"/>
  <c r="X13" i="10"/>
  <c r="U13" i="10"/>
  <c r="Y13" i="10"/>
  <c r="M40" i="10"/>
  <c r="N40" i="10"/>
  <c r="Q40" i="10"/>
  <c r="P40" i="10"/>
  <c r="R40" i="10"/>
  <c r="O40" i="10"/>
  <c r="S40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M39" i="10"/>
  <c r="N39" i="10"/>
  <c r="Q39" i="10"/>
  <c r="P39" i="10"/>
  <c r="R39" i="10"/>
  <c r="O39" i="10"/>
  <c r="S39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M38" i="10"/>
  <c r="M51" i="10"/>
  <c r="N51" i="10"/>
  <c r="O51" i="10"/>
  <c r="Q51" i="10"/>
  <c r="P51" i="10"/>
  <c r="R51" i="10"/>
  <c r="S51" i="10"/>
  <c r="N38" i="10"/>
  <c r="Q38" i="10"/>
  <c r="P38" i="10"/>
  <c r="R38" i="10"/>
  <c r="O38" i="10"/>
  <c r="S38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M10" i="10"/>
  <c r="T10" i="10"/>
  <c r="W10" i="10"/>
  <c r="V10" i="10"/>
  <c r="X10" i="10"/>
  <c r="U10" i="10"/>
  <c r="Y10" i="10"/>
  <c r="M31" i="10"/>
  <c r="N31" i="10"/>
  <c r="Q31" i="10"/>
  <c r="P31" i="10"/>
  <c r="R31" i="10"/>
  <c r="O31" i="10"/>
  <c r="S31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M30" i="10"/>
  <c r="M50" i="10"/>
  <c r="N50" i="10"/>
  <c r="Q50" i="10"/>
  <c r="P50" i="10"/>
  <c r="R50" i="10"/>
  <c r="O50" i="10"/>
  <c r="S50" i="10"/>
  <c r="N30" i="10"/>
  <c r="Q30" i="10"/>
  <c r="P30" i="10"/>
  <c r="R30" i="10"/>
  <c r="O30" i="10"/>
  <c r="S30" i="10"/>
  <c r="N9" i="10"/>
  <c r="Q9" i="10"/>
  <c r="P9" i="10"/>
  <c r="R9" i="10"/>
  <c r="O9" i="10"/>
  <c r="S9" i="10"/>
  <c r="G9" i="10"/>
  <c r="J9" i="10"/>
  <c r="I9" i="10"/>
  <c r="K9" i="10"/>
  <c r="H9" i="10"/>
  <c r="L9" i="10"/>
  <c r="J8" i="11"/>
  <c r="M8" i="10"/>
  <c r="T8" i="10"/>
  <c r="W8" i="10"/>
  <c r="V8" i="10"/>
  <c r="X8" i="10"/>
  <c r="U8" i="10"/>
  <c r="Y8" i="10"/>
  <c r="M29" i="10"/>
  <c r="M49" i="10"/>
  <c r="N49" i="10"/>
  <c r="Q49" i="10"/>
  <c r="P49" i="10"/>
  <c r="R49" i="10"/>
  <c r="O49" i="10"/>
  <c r="S49" i="10"/>
  <c r="N29" i="10"/>
  <c r="Q29" i="10"/>
  <c r="P29" i="10"/>
  <c r="R29" i="10"/>
  <c r="O29" i="10"/>
  <c r="S29" i="10"/>
  <c r="N8" i="10"/>
  <c r="Q8" i="10"/>
  <c r="P8" i="10"/>
  <c r="R8" i="10"/>
  <c r="O8" i="10"/>
  <c r="S8" i="10"/>
  <c r="G8" i="10"/>
  <c r="J8" i="10"/>
  <c r="I8" i="10"/>
  <c r="K8" i="10"/>
  <c r="H8" i="10"/>
  <c r="L8" i="10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1" i="1"/>
  <c r="AF11" i="1"/>
  <c r="AI11" i="1"/>
  <c r="AG11" i="1"/>
  <c r="AE11" i="1"/>
  <c r="E38" i="9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14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J31" i="11"/>
  <c r="A31" i="9"/>
  <c r="D31" i="9"/>
  <c r="E31" i="9"/>
  <c r="G31" i="9"/>
  <c r="H31" i="9"/>
  <c r="I31" i="9"/>
  <c r="J31" i="9"/>
  <c r="K31" i="9"/>
  <c r="L31" i="9"/>
  <c r="M31" i="9"/>
  <c r="N31" i="9"/>
  <c r="O31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7" i="9"/>
  <c r="D7" i="9"/>
  <c r="E7" i="9"/>
  <c r="G7" i="9"/>
  <c r="H7" i="9"/>
  <c r="I7" i="9"/>
  <c r="J7" i="9"/>
  <c r="K7" i="9"/>
  <c r="L7" i="9"/>
  <c r="M7" i="9"/>
  <c r="N7" i="9"/>
  <c r="J7" i="11"/>
  <c r="O7" i="9"/>
  <c r="G31" i="10"/>
  <c r="H31" i="10"/>
  <c r="I31" i="10"/>
  <c r="J31" i="10"/>
  <c r="K31" i="10"/>
  <c r="L31" i="10"/>
  <c r="T31" i="10"/>
  <c r="U31" i="10"/>
  <c r="V31" i="10"/>
  <c r="W31" i="10"/>
  <c r="X31" i="10"/>
  <c r="Y31" i="10"/>
  <c r="M24" i="10"/>
  <c r="T24" i="10"/>
  <c r="W24" i="10"/>
  <c r="V24" i="10"/>
  <c r="X24" i="10"/>
  <c r="U24" i="10"/>
  <c r="Y24" i="10"/>
  <c r="M42" i="10"/>
  <c r="N42" i="10"/>
  <c r="Q42" i="10"/>
  <c r="P42" i="10"/>
  <c r="R42" i="10"/>
  <c r="O42" i="10"/>
  <c r="S42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M7" i="10"/>
  <c r="T7" i="10"/>
  <c r="W7" i="10"/>
  <c r="V7" i="10"/>
  <c r="X7" i="10"/>
  <c r="U7" i="10"/>
  <c r="Y7" i="10"/>
  <c r="M28" i="10"/>
  <c r="M45" i="10"/>
  <c r="M61" i="10"/>
  <c r="N61" i="10"/>
  <c r="O61" i="10"/>
  <c r="Q61" i="10"/>
  <c r="P61" i="10"/>
  <c r="R61" i="10"/>
  <c r="S61" i="10"/>
  <c r="N45" i="10"/>
  <c r="Q45" i="10"/>
  <c r="P45" i="10"/>
  <c r="R45" i="10"/>
  <c r="O45" i="10"/>
  <c r="S45" i="10"/>
  <c r="N28" i="10"/>
  <c r="Q28" i="10"/>
  <c r="P28" i="10"/>
  <c r="R28" i="10"/>
  <c r="O28" i="10"/>
  <c r="S28" i="10"/>
  <c r="N7" i="10"/>
  <c r="Q7" i="10"/>
  <c r="P7" i="10"/>
  <c r="R7" i="10"/>
  <c r="O7" i="10"/>
  <c r="S7" i="10"/>
  <c r="G7" i="10"/>
  <c r="J7" i="10"/>
  <c r="I7" i="10"/>
  <c r="K7" i="10"/>
  <c r="H7" i="10"/>
  <c r="L7" i="10"/>
  <c r="J22" i="11"/>
  <c r="J23" i="11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21" i="10"/>
  <c r="T21" i="10"/>
  <c r="W21" i="10"/>
  <c r="V21" i="10"/>
  <c r="X21" i="10"/>
  <c r="U21" i="10"/>
  <c r="Y21" i="10"/>
  <c r="M41" i="10"/>
  <c r="N41" i="10"/>
  <c r="Q41" i="10"/>
  <c r="P41" i="10"/>
  <c r="R41" i="10"/>
  <c r="O41" i="10"/>
  <c r="S4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G2" i="9"/>
  <c r="H2" i="9"/>
  <c r="I2" i="9"/>
  <c r="J2" i="9"/>
  <c r="K2" i="9"/>
  <c r="L2" i="9"/>
  <c r="M2" i="9"/>
  <c r="N2" i="9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J3" i="11"/>
  <c r="J4" i="11"/>
  <c r="J5" i="11"/>
  <c r="J6" i="11"/>
  <c r="J14" i="11"/>
  <c r="J15" i="11"/>
  <c r="J16" i="11"/>
  <c r="J18" i="11"/>
  <c r="J19" i="11"/>
  <c r="J20" i="11"/>
  <c r="J25" i="11"/>
  <c r="J26" i="11"/>
  <c r="J27" i="11"/>
  <c r="J28" i="11"/>
  <c r="J29" i="11"/>
  <c r="J30" i="11"/>
  <c r="J38" i="11"/>
  <c r="J39" i="11"/>
  <c r="J40" i="11"/>
  <c r="J41" i="11"/>
  <c r="J42" i="11"/>
  <c r="J43" i="11"/>
  <c r="J44" i="11"/>
  <c r="J45" i="11"/>
  <c r="J49" i="11"/>
  <c r="J50" i="11"/>
  <c r="J51" i="11"/>
  <c r="J52" i="11"/>
  <c r="J53" i="11"/>
  <c r="J57" i="11"/>
  <c r="J58" i="11"/>
  <c r="J59" i="11"/>
  <c r="J60" i="11"/>
  <c r="J61" i="11"/>
  <c r="J62" i="11"/>
  <c r="J63" i="11"/>
  <c r="J2" i="11"/>
  <c r="O2" i="9"/>
  <c r="O3" i="9"/>
  <c r="O4" i="9"/>
  <c r="O5" i="9"/>
  <c r="O6" i="9"/>
  <c r="O14" i="9"/>
  <c r="O15" i="9"/>
  <c r="O16" i="9"/>
  <c r="O18" i="9"/>
  <c r="O19" i="9"/>
  <c r="O20" i="9"/>
  <c r="O25" i="9"/>
  <c r="O26" i="9"/>
  <c r="O27" i="9"/>
  <c r="O28" i="9"/>
  <c r="O29" i="9"/>
  <c r="O30" i="9"/>
  <c r="O38" i="9"/>
  <c r="O39" i="9"/>
  <c r="O40" i="9"/>
  <c r="O41" i="9"/>
  <c r="O42" i="9"/>
  <c r="O43" i="9"/>
  <c r="O44" i="9"/>
  <c r="O45" i="9"/>
  <c r="O49" i="9"/>
  <c r="O50" i="9"/>
  <c r="O51" i="9"/>
  <c r="O52" i="9"/>
  <c r="O53" i="9"/>
  <c r="O57" i="9"/>
  <c r="O58" i="9"/>
  <c r="O59" i="9"/>
  <c r="O60" i="9"/>
  <c r="O61" i="9"/>
  <c r="O62" i="9"/>
  <c r="O63" i="9"/>
  <c r="D57" i="9"/>
  <c r="E57" i="9"/>
  <c r="D58" i="9"/>
  <c r="E58" i="9"/>
  <c r="D59" i="9"/>
  <c r="E59" i="9"/>
  <c r="D60" i="9"/>
  <c r="E60" i="9"/>
  <c r="D61" i="9"/>
  <c r="E61" i="9"/>
  <c r="D62" i="9"/>
  <c r="E62" i="9"/>
  <c r="D63" i="9"/>
  <c r="E63" i="9"/>
  <c r="A57" i="9"/>
  <c r="A58" i="9"/>
  <c r="A59" i="9"/>
  <c r="A60" i="9"/>
  <c r="A61" i="9"/>
  <c r="A62" i="9"/>
  <c r="A63" i="9"/>
  <c r="E53" i="9"/>
  <c r="D53" i="9"/>
  <c r="A53" i="9"/>
  <c r="E52" i="9"/>
  <c r="D52" i="9"/>
  <c r="A52" i="9"/>
  <c r="E51" i="9"/>
  <c r="D51" i="9"/>
  <c r="A51" i="9"/>
  <c r="E50" i="9"/>
  <c r="D50" i="9"/>
  <c r="A50" i="9"/>
  <c r="E49" i="9"/>
  <c r="D49" i="9"/>
  <c r="A49" i="9"/>
  <c r="E45" i="9"/>
  <c r="D45" i="9"/>
  <c r="A45" i="9"/>
  <c r="E44" i="9"/>
  <c r="D44" i="9"/>
  <c r="A44" i="9"/>
  <c r="E43" i="9"/>
  <c r="D43" i="9"/>
  <c r="A43" i="9"/>
  <c r="E42" i="9"/>
  <c r="D42" i="9"/>
  <c r="A42" i="9"/>
  <c r="E41" i="9"/>
  <c r="D41" i="9"/>
  <c r="A41" i="9"/>
  <c r="E40" i="9"/>
  <c r="D40" i="9"/>
  <c r="A40" i="9"/>
  <c r="E39" i="9"/>
  <c r="D39" i="9"/>
  <c r="A39" i="9"/>
  <c r="D38" i="9"/>
  <c r="A38" i="9"/>
  <c r="E30" i="9"/>
  <c r="D30" i="9"/>
  <c r="A30" i="9"/>
  <c r="E29" i="9"/>
  <c r="D29" i="9"/>
  <c r="A29" i="9"/>
  <c r="E28" i="9"/>
  <c r="D28" i="9"/>
  <c r="A28" i="9"/>
  <c r="E27" i="9"/>
  <c r="D27" i="9"/>
  <c r="A27" i="9"/>
  <c r="E26" i="9"/>
  <c r="D26" i="9"/>
  <c r="A26" i="9"/>
  <c r="E25" i="9"/>
  <c r="D25" i="9"/>
  <c r="A25" i="9"/>
  <c r="E20" i="9"/>
  <c r="D20" i="9"/>
  <c r="A20" i="9"/>
  <c r="E19" i="9"/>
  <c r="D19" i="9"/>
  <c r="A19" i="9"/>
  <c r="E18" i="9"/>
  <c r="D18" i="9"/>
  <c r="A18" i="9"/>
  <c r="E16" i="9"/>
  <c r="D16" i="9"/>
  <c r="A16" i="9"/>
  <c r="E15" i="9"/>
  <c r="D15" i="9"/>
  <c r="A15" i="9"/>
  <c r="D14" i="9"/>
  <c r="A14" i="9"/>
  <c r="E6" i="9"/>
  <c r="D6" i="9"/>
  <c r="A6" i="9"/>
  <c r="E5" i="9"/>
  <c r="D5" i="9"/>
  <c r="A5" i="9"/>
  <c r="E4" i="9"/>
  <c r="D4" i="9"/>
  <c r="A4" i="9"/>
  <c r="E3" i="9"/>
  <c r="D3" i="9"/>
  <c r="A3" i="9"/>
  <c r="E2" i="9"/>
  <c r="D2" i="9"/>
  <c r="A2" i="9"/>
  <c r="T63" i="10"/>
  <c r="W63" i="10"/>
  <c r="V63" i="10"/>
  <c r="X63" i="10"/>
  <c r="U63" i="10"/>
  <c r="Y63" i="10"/>
  <c r="G63" i="10"/>
  <c r="J63" i="10"/>
  <c r="I63" i="10"/>
  <c r="K63" i="10"/>
  <c r="H63" i="10"/>
  <c r="L6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T61" i="10"/>
  <c r="W61" i="10"/>
  <c r="V61" i="10"/>
  <c r="X61" i="10"/>
  <c r="U61" i="10"/>
  <c r="Y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T58" i="10"/>
  <c r="W58" i="10"/>
  <c r="V58" i="10"/>
  <c r="X58" i="10"/>
  <c r="U58" i="10"/>
  <c r="Y58" i="10"/>
  <c r="G58" i="10"/>
  <c r="J58" i="10"/>
  <c r="I58" i="10"/>
  <c r="K58" i="10"/>
  <c r="H58" i="10"/>
  <c r="L58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N2" i="22"/>
  <c r="G2" i="22"/>
  <c r="F2" i="22"/>
  <c r="D2" i="22"/>
  <c r="C2" i="22"/>
  <c r="A2" i="22"/>
  <c r="E13" i="16"/>
  <c r="B2" i="21"/>
  <c r="I2" i="21"/>
  <c r="J2" i="21"/>
  <c r="G2" i="21"/>
  <c r="F2" i="21"/>
  <c r="D2" i="21"/>
  <c r="C2" i="21"/>
  <c r="E12" i="16"/>
  <c r="E11" i="16"/>
  <c r="E10" i="16"/>
  <c r="C2" i="18"/>
  <c r="D2" i="18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<sst xmlns="http://schemas.openxmlformats.org/spreadsheetml/2006/main" count="1097" uniqueCount="453">
  <si>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</si>
  <si>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</si>
  <si>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</si>
  <si>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</si>
  <si>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</si>
  <si>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</si>
  <si>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</si>
  <si>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</si>
  <si>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</si>
  <si>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</si>
  <si>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</si>
  <si>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</si>
  <si>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</si>
  <si>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</si>
  <si>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</si>
  <si>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</si>
  <si>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</si>
  <si>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</si>
  <si>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</si>
  <si>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</si>
  <si>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</si>
  <si>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</si>
  <si>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</si>
  <si>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</si>
  <si>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</si>
  <si>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</si>
  <si>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</si>
  <si>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</si>
  <si>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</si>
  <si>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</si>
  <si>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</si>
  <si>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</si>
  <si>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</si>
  <si>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</si>
  <si>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</si>
  <si>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</si>
  <si>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</si>
  <si>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</si>
  <si>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</si>
  <si>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</si>
  <si>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</si>
  <si>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</si>
  <si>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</si>
  <si>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</si>
  <si>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</si>
  <si>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</si>
  <si>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</si>
  <si>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</si>
  <si>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</si>
  <si>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</si>
  <si>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</si>
  <si>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</si>
  <si>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</si>
  <si>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</si>
  <si>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</si>
  <si>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</si>
  <si>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</si>
  <si>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</si>
  <si>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</si>
  <si>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</si>
  <si>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</si>
  <si>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</si>
  <si>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</si>
  <si>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</si>
  <si>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</si>
  <si>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</si>
  <si>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</si>
  <si>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</si>
  <si>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</si>
  <si>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</si>
  <si>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</si>
  <si>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</si>
  <si>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</si>
  <si>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</si>
  <si>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</si>
  <si>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</si>
  <si>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</si>
  <si>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</si>
  <si>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</si>
  <si>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</si>
  <si>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</si>
  <si>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</si>
  <si>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</si>
  <si>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</si>
  <si>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</si>
  <si>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</si>
  <si>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</si>
  <si>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</si>
  <si>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</si>
  <si>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</si>
  <si>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</si>
  <si>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</si>
  <si>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</si>
  <si>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</si>
  <si>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</si>
  <si>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</si>
  <si>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</si>
  <si>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</si>
  <si>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</si>
  <si>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</si>
  <si>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</si>
  <si>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</si>
  <si>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</si>
  <si>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</si>
  <si>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</si>
  <si>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</si>
  <si>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</si>
  <si>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</si>
  <si>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</si>
  <si>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</si>
  <si>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</si>
  <si>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</si>
  <si>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</si>
  <si>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</si>
  <si>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</si>
  <si>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</si>
  <si>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</si>
  <si>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</si>
  <si>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</si>
  <si>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</si>
  <si>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</si>
  <si>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</si>
  <si>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</si>
  <si>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</si>
  <si>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</si>
  <si>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</si>
  <si>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</si>
  <si>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</si>
  <si>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</si>
  <si>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</si>
  <si>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</si>
  <si>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</si>
  <si>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</si>
  <si>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</si>
  <si>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</si>
  <si>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</si>
  <si>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</si>
  <si>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</si>
  <si>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</si>
  <si>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</si>
  <si>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</si>
  <si>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</si>
  <si>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</si>
  <si>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</si>
  <si>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</si>
  <si>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</si>
  <si>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</si>
  <si>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</si>
  <si>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</si>
  <si>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</si>
  <si>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</si>
  <si>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</si>
  <si>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</si>
  <si>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</si>
  <si>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</si>
  <si>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</si>
  <si>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</si>
  <si>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</si>
  <si>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</si>
  <si>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</si>
  <si>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</si>
  <si>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</si>
  <si>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</si>
  <si>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</si>
  <si>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</si>
  <si>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</si>
  <si>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</si>
  <si>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</si>
  <si>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</si>
  <si>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</si>
  <si>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</si>
  <si>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</si>
  <si>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</si>
  <si>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</si>
  <si>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</si>
  <si>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</si>
  <si>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</si>
  <si>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</si>
  <si>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</si>
  <si>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</si>
  <si>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</si>
  <si>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</si>
  <si>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</si>
  <si>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</si>
  <si>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</si>
  <si>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</si>
  <si>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</si>
  <si>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</si>
  <si>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</si>
  <si>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</si>
  <si>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</si>
  <si>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</si>
  <si>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</si>
  <si>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</si>
  <si>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</si>
  <si>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</si>
  <si>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</si>
  <si>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</si>
  <si>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</si>
  <si>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</si>
  <si>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</si>
  <si>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</si>
  <si>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</si>
  <si>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</si>
  <si>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</si>
  <si>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</si>
  <si>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</si>
  <si>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</si>
  <si>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</si>
  <si>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</si>
  <si>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</si>
  <si>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</si>
  <si>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</si>
  <si>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</si>
  <si>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</si>
  <si>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</si>
  <si>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</si>
  <si>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</si>
  <si>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</si>
  <si>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</si>
  <si>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</si>
  <si>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</si>
  <si>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</si>
  <si>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</si>
  <si>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</si>
  <si>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</si>
  <si>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</si>
  <si>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</si>
  <si>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</si>
  <si>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</si>
  <si>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</si>
  <si>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</si>
  <si>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</si>
  <si>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</si>
  <si>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</si>
  <si>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</si>
  <si>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</si>
  <si>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</si>
  <si>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</si>
  <si>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</si>
  <si>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</si>
  <si>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</si>
  <si>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</si>
  <si>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</si>
  <si>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</si>
  <si>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</si>
  <si>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</si>
  <si>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</si>
  <si>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</si>
  <si>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</si>
  <si>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</si>
  <si>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</si>
  <si>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</si>
  <si>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</si>
  <si>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</si>
  <si>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</si>
  <si>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クリティカル！</t>
    <phoneticPr fontId="5"/>
  </si>
  <si>
    <t>全てのプラス効果を解除</t>
    <rPh sb="0" eb="1">
      <t>スベテノ</t>
    </rPh>
    <rPh sb="9" eb="11">
      <t>カイジョ</t>
    </rPh>
    <phoneticPr fontId="5"/>
  </si>
  <si>
    <t>[effect:freq_turn, target:myself, turn:-1, val:1, animation:enemy_freq_turn]</t>
    <phoneticPr fontId="5"/>
  </si>
  <si>
    <t>行動頻度UP</t>
    <rPh sb="0" eb="4">
      <t>コウドウ</t>
    </rPh>
    <phoneticPr fontId="5"/>
  </si>
  <si>
    <t>[effect:rush, count:3, val:0.4]</t>
    <phoneticPr fontId="5"/>
  </si>
  <si>
    <t>[effect:rush, count:5, val:0.3]</t>
    <phoneticPr fontId="5"/>
  </si>
  <si>
    <t>緑パネルを黄パネルに変換＋攻撃</t>
    <rPh sb="0" eb="1">
      <t>ミドリ</t>
    </rPh>
    <rPh sb="5" eb="6">
      <t>キパネル</t>
    </rPh>
    <rPh sb="10" eb="12">
      <t>ヘンカン</t>
    </rPh>
    <rPh sb="13" eb="15">
      <t>コウゲキ</t>
    </rPh>
    <phoneticPr fontId="5"/>
  </si>
  <si>
    <t>[effect:heal, target:enemy_all, val:0.15, animation:enemy_heal]</t>
    <phoneticPr fontId="5"/>
  </si>
  <si>
    <t>全体回復</t>
    <rPh sb="0" eb="2">
      <t>ゼンタイ</t>
    </rPh>
    <rPh sb="2" eb="4">
      <t>カイフク</t>
    </rPh>
    <phoneticPr fontId="5"/>
  </si>
  <si>
    <t>[effect:hungup, target:unit_all, turn:2, rate:1, calc_type:target_all, animation:hungup01],[effect:rush, count:1, val:1.0]</t>
    <phoneticPr fontId="5"/>
  </si>
  <si>
    <t>[effect:rush, count:2, val:0.65]</t>
    <phoneticPr fontId="5"/>
  </si>
  <si>
    <t>[effect:rush, count:3, val:0.5]</t>
    <phoneticPr fontId="5"/>
  </si>
  <si>
    <t>緑・黄パネルプロテクト＋攻撃</t>
    <rPh sb="0" eb="1">
      <t>ミドリ</t>
    </rPh>
    <rPh sb="2" eb="3">
      <t>キ</t>
    </rPh>
    <rPh sb="12" eb="14">
      <t>コウゲキ</t>
    </rPh>
    <phoneticPr fontId="5"/>
  </si>
  <si>
    <t>緑・赤パネルプロテクト＋攻撃</t>
    <rPh sb="0" eb="1">
      <t>ミドリ</t>
    </rPh>
    <rPh sb="2" eb="3">
      <t>アカ</t>
    </rPh>
    <rPh sb="12" eb="14">
      <t>コウゲキ</t>
    </rPh>
    <phoneticPr fontId="5"/>
  </si>
  <si>
    <t>緑・青パネルプロテクト＋攻撃</t>
    <rPh sb="0" eb="1">
      <t>ミドリ</t>
    </rPh>
    <rPh sb="2" eb="3">
      <t>アオ</t>
    </rPh>
    <rPh sb="12" eb="14">
      <t>コウゲキ</t>
    </rPh>
    <phoneticPr fontId="5"/>
  </si>
  <si>
    <t>緑・ハートパネルプロテクト＋攻撃</t>
    <rPh sb="0" eb="1">
      <t>ミドリ</t>
    </rPh>
    <rPh sb="14" eb="16">
      <t>コウゲキ</t>
    </rPh>
    <phoneticPr fontId="5"/>
  </si>
  <si>
    <t>[effect:force_change_block, new_block:block_yellow, target:block_green, ignore01:crash, ignore02:crack_bomb, count:0, val:0, animation:change_block],[effect:rush, count:1, val:1.0]</t>
    <phoneticPr fontId="5"/>
  </si>
  <si>
    <t>黄パネル5個生成＋攻撃</t>
    <rPh sb="0" eb="1">
      <t>キパネル</t>
    </rPh>
    <rPh sb="9" eb="11">
      <t>コウゲキ</t>
    </rPh>
    <phoneticPr fontId="5"/>
  </si>
  <si>
    <t>[effect:critical, val:1.5, animation:enemy_critical]</t>
    <phoneticPr fontId="5"/>
  </si>
  <si>
    <t>クリティカル！</t>
    <phoneticPr fontId="5"/>
  </si>
  <si>
    <t>2ターン暗闇＋攻撃</t>
    <rPh sb="7" eb="9">
      <t>コウゲキ</t>
    </rPh>
    <phoneticPr fontId="5"/>
  </si>
  <si>
    <t>2ターンウィルス＋攻撃</t>
    <rPh sb="9" eb="11">
      <t>コウゲキ</t>
    </rPh>
    <phoneticPr fontId="5"/>
  </si>
  <si>
    <t>2ターンスキルバインド＋攻撃</t>
    <rPh sb="12" eb="14">
      <t>コウゲキ</t>
    </rPh>
    <phoneticPr fontId="5"/>
  </si>
  <si>
    <t>5ターンハートパネル無効</t>
    <rPh sb="10" eb="12">
      <t>ムコウ</t>
    </rPh>
    <phoneticPr fontId="5"/>
  </si>
  <si>
    <t>自身の攻撃力UP</t>
    <rPh sb="0" eb="2">
      <t>jisinnno</t>
    </rPh>
    <rPh sb="3" eb="6">
      <t>コウゲキリョク</t>
    </rPh>
    <phoneticPr fontId="5"/>
  </si>
  <si>
    <t>[effect:damage_anti_color, target:unit_all, color:green, val1:0.25, val2:1]</t>
    <phoneticPr fontId="5"/>
  </si>
  <si>
    <t>緑属性以外のユニットに大ダメージ</t>
    <rPh sb="0" eb="3">
      <t>ミドリゾクセイ</t>
    </rPh>
    <rPh sb="3" eb="5">
      <t>イガイノ</t>
    </rPh>
    <rPh sb="11" eb="12">
      <t>ダイダメージ</t>
    </rPh>
    <phoneticPr fontId="5"/>
  </si>
  <si>
    <t>黄・緑パネルがプロテクト状態でドロップ＋状態異常耐性</t>
    <rPh sb="0" eb="1">
      <t>キ</t>
    </rPh>
    <rPh sb="2" eb="3">
      <t>ミドリ</t>
    </rPh>
    <rPh sb="12" eb="14">
      <t>ジョウタイデドロップ</t>
    </rPh>
    <rPh sb="20" eb="26">
      <t>ジョウタイイジョウタイセイ</t>
    </rPh>
    <phoneticPr fontId="5"/>
  </si>
  <si>
    <t>[effect:critical, val:1, animation:enemy_critical]</t>
    <phoneticPr fontId="5"/>
  </si>
  <si>
    <t>全てのプラス効果を解除＋状態異常耐性</t>
    <rPh sb="0" eb="1">
      <t>スベテノ</t>
    </rPh>
    <rPh sb="9" eb="11">
      <t>カイジョ</t>
    </rPh>
    <rPh sb="12" eb="18">
      <t>ジョウタイイジョウタイセイ</t>
    </rPh>
    <phoneticPr fontId="5"/>
  </si>
  <si>
    <t>[effect:enemy_message, val1:2, val2:1.8]</t>
    <phoneticPr fontId="5"/>
  </si>
  <si>
    <t>次のターンに超強力な攻撃</t>
    <rPh sb="0" eb="1">
      <t>ツギノタ</t>
    </rPh>
    <rPh sb="6" eb="9">
      <t>チョウキョウリョクナ</t>
    </rPh>
    <rPh sb="10" eb="12">
      <t>コウゲキ</t>
    </rPh>
    <phoneticPr fontId="5"/>
  </si>
  <si>
    <t>[effect:damage_fix_absolute, target:unit_one, val:100000]</t>
    <phoneticPr fontId="5"/>
  </si>
  <si>
    <t>100000固定ダメージ！</t>
    <rPh sb="6" eb="8">
      <t>コテイダメ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</si>
  <si>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</si>
  <si>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</si>
  <si>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</si>
  <si>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</si>
  <si>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</si>
  <si>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</si>
  <si>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</si>
  <si>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[effect:remove_enhancement, target:unit_all, target_effect:enhance, target_type:buff, animation:frozen_wave]</t>
    <phoneticPr fontId="5"/>
  </si>
  <si>
    <t>[effect:dis_heart, turn:5, animation:enemy_dis_heart]</t>
    <phoneticPr fontId="5"/>
  </si>
  <si>
    <t>[effect:dis_heart, turn:4, animation:enemy_dis_heart]</t>
    <phoneticPr fontId="5"/>
  </si>
  <si>
    <t>[effect:virus, target:unit_all, turn:2, rate:1, val:0.2, calc_type:target_all, animation:enemy_virus],[effect:rush, count:1, val:1.0]</t>
    <phoneticPr fontId="5"/>
  </si>
  <si>
    <t>[effect:suicide, val:1, dead_type:escape, target:myself]</t>
    <phoneticPr fontId="5"/>
  </si>
  <si>
    <t>クロウ逃走</t>
    <rPh sb="3" eb="5">
      <t>トウソウ</t>
    </rPh>
    <phoneticPr fontId="5"/>
  </si>
  <si>
    <t>逃走</t>
    <rPh sb="0" eb="2">
      <t>トウソウ</t>
    </rPh>
    <phoneticPr fontId="5"/>
  </si>
  <si>
    <t>[effect:panel_freeze, target:block_red, count:-1, break_count:1] ,[effect:rush, count:1, val:1.0]</t>
    <phoneticPr fontId="5"/>
  </si>
  <si>
    <t>赤パネルプロテクト＋攻撃</t>
    <rPh sb="0" eb="1">
      <t>アカ</t>
    </rPh>
    <rPh sb="10" eb="12">
      <t>コウゲキ</t>
    </rPh>
    <phoneticPr fontId="5"/>
  </si>
  <si>
    <t>[effect:panel_freeze, target:block_blue, count:-1, break_count:1] ,[effect:rush, count:1, val:1.0]</t>
    <phoneticPr fontId="5"/>
  </si>
  <si>
    <t>青パネルプロテクト＋攻撃</t>
    <rPh sb="0" eb="1">
      <t>アオパネル</t>
    </rPh>
    <rPh sb="10" eb="12">
      <t>コウゲキ</t>
    </rPh>
    <phoneticPr fontId="5"/>
  </si>
  <si>
    <t>[effect:panel_freeze, target:block_green, count:-1, break_count:1] ,[effect:rush, count:1, val:1.0]</t>
    <phoneticPr fontId="5"/>
  </si>
  <si>
    <t>緑パネルプロテクト＋攻撃</t>
    <rPh sb="0" eb="1">
      <t>ミドリ</t>
    </rPh>
    <rPh sb="10" eb="12">
      <t>コウゲキ</t>
    </rPh>
    <phoneticPr fontId="5"/>
  </si>
  <si>
    <t>[effect:panel_freeze, target:block_yellow, count:-1, break_count:1],[effect:rush, count:1, val:1.0]</t>
    <phoneticPr fontId="5"/>
  </si>
  <si>
    <t>黄パネルプロテクト＋攻撃</t>
    <rPh sb="0" eb="1">
      <t>キ</t>
    </rPh>
    <rPh sb="10" eb="12">
      <t>コウゲキ</t>
    </rPh>
    <phoneticPr fontId="5"/>
  </si>
  <si>
    <t>null</t>
    <phoneticPr fontId="5"/>
  </si>
  <si>
    <t>なし</t>
    <phoneticPr fontId="5"/>
  </si>
  <si>
    <t>null</t>
    <phoneticPr fontId="5"/>
  </si>
  <si>
    <t>沢庵宗彭開幕行動頻度設定</t>
    <rPh sb="4" eb="8">
      <t>カイマクコウドウ</t>
    </rPh>
    <rPh sb="8" eb="12">
      <t>ヒンドセッテイ</t>
    </rPh>
    <phoneticPr fontId="5"/>
  </si>
  <si>
    <t>クロウ開幕行動頻度設定</t>
    <rPh sb="3" eb="7">
      <t>カイマクコウドウ</t>
    </rPh>
    <rPh sb="7" eb="11">
      <t>ヒンドセッテイ</t>
    </rPh>
    <phoneticPr fontId="5"/>
  </si>
  <si>
    <t>[effect:fix_speed, target:myself, turn:1],[effect:enemy_message, val1:0, val2:0]</t>
    <phoneticPr fontId="5"/>
  </si>
  <si>
    <t>解除されるまでCパネル生成延長＋攻撃</t>
    <rPh sb="0" eb="2">
      <t>カイジョサレルマデ</t>
    </rPh>
    <rPh sb="11" eb="13">
      <t>セイセイ</t>
    </rPh>
    <rPh sb="13" eb="15">
      <t>エンチョウ</t>
    </rPh>
    <rPh sb="16" eb="18">
      <t>コウゲキ</t>
    </rPh>
    <phoneticPr fontId="5"/>
  </si>
  <si>
    <t>[effect:panel_freeze, target:block_green, count:-1, break_count:1] ,[effect:panel_freeze, target:block_yellow, count:-1, break_count:1],[effect:rush, count:1, val:1.0]</t>
    <phoneticPr fontId="5"/>
  </si>
  <si>
    <t>[effect:dark, target:unit_all, turn:2, animation:enemy_dark],[effect:rush, count:1, val:1.0]</t>
    <phoneticPr fontId="5"/>
  </si>
  <si>
    <t>[effect:panel_freeze, target:crash, count:-1, break_count:1],[effect:rush, count:1, val:1.0]</t>
    <phoneticPr fontId="5"/>
  </si>
  <si>
    <t>Cパネルプロテクト＋攻撃</t>
    <rPh sb="10" eb="12">
      <t>コウゲキ</t>
    </rPh>
    <phoneticPr fontId="5"/>
  </si>
  <si>
    <t>[effect:panel_freeze, target:block_green, count:-1, break_count:1] ,[effect:panel_freeze, target:block_red, count:-1, break_count:1],[effect:rush, count:1, val:1.0]</t>
    <phoneticPr fontId="5"/>
  </si>
  <si>
    <t>[effect:panel_freeze, target:block_green, count:-1, break_count:1] ,[effect:panel_freeze, target:block_blue, count:-1, break_count:1],[effect:rush, count:1, val:1.0]</t>
    <phoneticPr fontId="5"/>
  </si>
  <si>
    <t>[effect:panel_freeze, target:block_green, count:-1, break_count:1] ,[effect:panel_freeze, target:block_heart, count:-1, break_count:1],[effect:rush, count:1, val:1.0]</t>
    <phoneticPr fontId="5"/>
  </si>
  <si>
    <t>[effect:crash_condition, target:unit_all, turn:-1, val:4, animation:enemy_crash_extend],[effect:rush, count:1, val:1.0]</t>
    <phoneticPr fontId="5"/>
  </si>
  <si>
    <t>状態異常耐性</t>
    <phoneticPr fontId="5"/>
  </si>
  <si>
    <t>強撃の舞</t>
    <rPh sb="0" eb="2">
      <t>kyougeki</t>
    </rPh>
    <rPh sb="3" eb="4">
      <t>マイ</t>
    </rPh>
    <phoneticPr fontId="5"/>
  </si>
  <si>
    <t>心断</t>
    <rPh sb="1" eb="2">
      <t>ダン</t>
    </rPh>
    <phoneticPr fontId="5"/>
  </si>
  <si>
    <t>心頭滅却</t>
    <rPh sb="0" eb="4">
      <t>シントウメッキャク</t>
    </rPh>
    <phoneticPr fontId="5"/>
  </si>
  <si>
    <t>ヒール</t>
    <phoneticPr fontId="5"/>
  </si>
  <si>
    <t>奪力の旋律</t>
    <rPh sb="0" eb="2">
      <t>DATURYOKU</t>
    </rPh>
    <rPh sb="3" eb="5">
      <t>センリツ</t>
    </rPh>
    <phoneticPr fontId="5"/>
  </si>
  <si>
    <t>なし</t>
    <phoneticPr fontId="5"/>
  </si>
  <si>
    <t>何処に当たるかな？</t>
    <phoneticPr fontId="5"/>
  </si>
  <si>
    <t>足元に気をつけな！</t>
    <rPh sb="0" eb="2">
      <t>アシモト</t>
    </rPh>
    <rPh sb="3" eb="4">
      <t>キヲ</t>
    </rPh>
    <phoneticPr fontId="5"/>
  </si>
  <si>
    <t>捌き切れるか？</t>
    <rPh sb="0" eb="1">
      <t>サバキ</t>
    </rPh>
    <rPh sb="2" eb="3">
      <t>キレルカ</t>
    </rPh>
    <phoneticPr fontId="5"/>
  </si>
  <si>
    <t>あなた方も彼を探して？</t>
    <rPh sb="3" eb="4">
      <t>ガタ</t>
    </rPh>
    <rPh sb="5" eb="6">
      <t>カレヲ</t>
    </rPh>
    <rPh sb="7" eb="8">
      <t>サガシ</t>
    </rPh>
    <phoneticPr fontId="5"/>
  </si>
  <si>
    <t>通りたいなら武器を置いて行け</t>
    <rPh sb="0" eb="1">
      <t>トオリタイナラ</t>
    </rPh>
    <rPh sb="6" eb="8">
      <t>ブキヲ</t>
    </rPh>
    <rPh sb="9" eb="10">
      <t>オイテイケ</t>
    </rPh>
    <rPh sb="12" eb="13">
      <t>イケ</t>
    </rPh>
    <phoneticPr fontId="5"/>
  </si>
  <si>
    <t>焔連舞</t>
    <phoneticPr fontId="5"/>
  </si>
  <si>
    <t>連撃の舞</t>
    <rPh sb="0" eb="2">
      <t>レンゲキノメイ</t>
    </rPh>
    <rPh sb="3" eb="4">
      <t>マイ</t>
    </rPh>
    <phoneticPr fontId="5"/>
  </si>
  <si>
    <t>この武器ならどうだ</t>
    <phoneticPr fontId="5"/>
  </si>
  <si>
    <t>岩融</t>
    <phoneticPr fontId="5"/>
  </si>
  <si>
    <t>ここからが本番だ</t>
    <rPh sb="5" eb="7">
      <t>ホンバン</t>
    </rPh>
    <phoneticPr fontId="5"/>
  </si>
  <si>
    <t>あまり舐めるなよ</t>
    <rPh sb="3" eb="4">
      <t>ナメルナヨ</t>
    </rPh>
    <phoneticPr fontId="5"/>
  </si>
  <si>
    <t>守る隙など与えん！</t>
    <rPh sb="0" eb="1">
      <t>マモル</t>
    </rPh>
    <rPh sb="2" eb="3">
      <t>ヒマ</t>
    </rPh>
    <rPh sb="5" eb="6">
      <t>アタエン</t>
    </rPh>
    <phoneticPr fontId="5"/>
  </si>
  <si>
    <t>反撃などさせん！</t>
    <rPh sb="0" eb="2">
      <t>ハンゲキ</t>
    </rPh>
    <phoneticPr fontId="5"/>
  </si>
  <si>
    <t>ここまでやるとはな</t>
    <phoneticPr fontId="5"/>
  </si>
  <si>
    <t>お前の力、俺が貰い受ける</t>
    <phoneticPr fontId="5"/>
  </si>
  <si>
    <t>俺は倒れん！</t>
    <rPh sb="0" eb="1">
      <t>オレハ</t>
    </rPh>
    <rPh sb="2" eb="3">
      <t>タオレン</t>
    </rPh>
    <phoneticPr fontId="5"/>
  </si>
  <si>
    <t>これが集めた力だ！</t>
    <rPh sb="3" eb="4">
      <t>アツメタ</t>
    </rPh>
    <rPh sb="6" eb="7">
      <t>チカラ</t>
    </rPh>
    <phoneticPr fontId="5"/>
  </si>
  <si>
    <t>全て出し切る！</t>
    <rPh sb="0" eb="1">
      <t>スベテ</t>
    </rPh>
    <rPh sb="2" eb="3">
      <t>ダシk</t>
    </rPh>
    <phoneticPr fontId="5"/>
  </si>
  <si>
    <t>1000番目の力</t>
    <rPh sb="4" eb="6">
      <t>バンメノ</t>
    </rPh>
    <rPh sb="7" eb="8">
      <t>チカラ</t>
    </rPh>
    <phoneticPr fontId="5"/>
  </si>
  <si>
    <t>その武器は知っている</t>
    <rPh sb="5" eb="6">
      <t>シッテイル</t>
    </rPh>
    <phoneticPr fontId="5"/>
  </si>
  <si>
    <t>ならばこの先へは行かせません！</t>
    <rPh sb="8" eb="9">
      <t>イカセマセン</t>
    </rPh>
    <phoneticPr fontId="5"/>
  </si>
  <si>
    <t>4ターンハートパネル無効</t>
    <phoneticPr fontId="5"/>
  </si>
  <si>
    <t>小細工は無しだ</t>
    <rPh sb="0" eb="3">
      <t>コザイク</t>
    </rPh>
    <rPh sb="4" eb="5">
      <t>ナシダ</t>
    </rPh>
    <phoneticPr fontId="5"/>
  </si>
  <si>
    <t>力を見せてみろ</t>
    <rPh sb="0" eb="1">
      <t>チカラ</t>
    </rPh>
    <rPh sb="2" eb="3">
      <t>ミセロ</t>
    </rPh>
    <phoneticPr fontId="5"/>
  </si>
  <si>
    <t>大樹斬</t>
    <rPh sb="0" eb="2">
      <t>タイジュ</t>
    </rPh>
    <rPh sb="2" eb="3">
      <t>キル</t>
    </rPh>
    <phoneticPr fontId="5"/>
  </si>
  <si>
    <t>[effect:enhance_enemy, target:myself, turn:-1, status:attack, val:0.2, calc:mul, animation:enemy_enhance_attack]</t>
    <phoneticPr fontId="5"/>
  </si>
  <si>
    <t>[effect:fix_speed, target:myself, turn:2],[effect:enemy_message, val1:0, val2:0]</t>
    <phoneticPr fontId="5"/>
  </si>
  <si>
    <t>義経様！？まだ調査中ですよ！？</t>
    <rPh sb="0" eb="3">
      <t>ヨシツネサマ</t>
    </rPh>
    <rPh sb="7" eb="10">
      <t>チョウサチュウ</t>
    </rPh>
    <phoneticPr fontId="5"/>
  </si>
  <si>
    <t>…気をつけて行ってらしてくださいね</t>
    <rPh sb="1" eb="2">
      <t>キヲ</t>
    </rPh>
    <rPh sb="6" eb="7">
      <t>イッテイラシテクダサイネ</t>
    </rPh>
    <phoneticPr fontId="5"/>
  </si>
  <si>
    <t>…気をつけて行ってらしてくださいね</t>
    <phoneticPr fontId="5"/>
  </si>
  <si>
    <t>…気をつけて行ってらしてくださいね</t>
    <phoneticPr fontId="5"/>
  </si>
  <si>
    <t>[effect:fix_speed, target:myself, turn:2],[effect:enemy_message, val1:2.0, val2:2.8]</t>
    <phoneticPr fontId="5"/>
  </si>
  <si>
    <t>[effect:fix_speed, target:myself, turn:2],[effect:enemy_message, val1:2.2, val2:2.8]</t>
    <phoneticPr fontId="5"/>
  </si>
  <si>
    <t>[effect:enemy_message, val1:1.4, val2:3.2]</t>
    <phoneticPr fontId="5"/>
  </si>
  <si>
    <t>やらせねェよ！</t>
    <phoneticPr fontId="5"/>
  </si>
  <si>
    <t>解呪の舞</t>
    <rPh sb="0" eb="2">
      <t>カイジュ</t>
    </rPh>
    <phoneticPr fontId="5"/>
  </si>
  <si>
    <t>…もう、仕方ないですね</t>
    <phoneticPr fontId="5"/>
  </si>
  <si>
    <t>…もう、仕方ないですね</t>
    <phoneticPr fontId="5"/>
  </si>
  <si>
    <t>畳み掛けます！</t>
    <rPh sb="0" eb="1">
      <t>タタミカケマス</t>
    </rPh>
    <phoneticPr fontId="5"/>
  </si>
  <si>
    <t>手馴しなら付き合いますぜェ！</t>
    <rPh sb="0" eb="2">
      <t>テナラシナラ</t>
    </rPh>
    <rPh sb="5" eb="6">
      <t>ツキアイマス</t>
    </rPh>
    <phoneticPr fontId="5"/>
  </si>
  <si>
    <t>[effect:enemy_message, val1:1.4, val2:3.2]</t>
    <phoneticPr fontId="5"/>
  </si>
  <si>
    <t>[effect:fix_speed, target:myself, turn:2],[effect:enemy_message, val1:3.0, val2:3.2]</t>
    <phoneticPr fontId="5"/>
  </si>
  <si>
    <t>その技は見切った！</t>
    <rPh sb="2" eb="3">
      <t>ワザ</t>
    </rPh>
    <rPh sb="4" eb="6">
      <t>ミキッタ</t>
    </rPh>
    <phoneticPr fontId="5"/>
  </si>
  <si>
    <t>ヨッシャ！ようやく奴を見つけたぜェ！</t>
    <rPh sb="9" eb="10">
      <t>ヤツ</t>
    </rPh>
    <rPh sb="11" eb="12">
      <t>ミツケタゼ</t>
    </rPh>
    <phoneticPr fontId="5"/>
  </si>
  <si>
    <t>[effect:enemy_message, val1:1.8, val2:2.4]</t>
  </si>
  <si>
    <t>[effect:enemy_message, val1:1.8, val2:2.4]</t>
    <phoneticPr fontId="5"/>
  </si>
  <si>
    <t>さすが旦那！</t>
    <rPh sb="3" eb="5">
      <t>ダンナ</t>
    </rPh>
    <phoneticPr fontId="5"/>
  </si>
  <si>
    <t>頑張ってきてくだせェ！</t>
    <rPh sb="0" eb="2">
      <t>ガンバッテキテ</t>
    </rPh>
    <phoneticPr fontId="5"/>
  </si>
  <si>
    <t>そォら、目潰しだ！</t>
    <rPh sb="4" eb="6">
      <t>メツブシ</t>
    </rPh>
    <phoneticPr fontId="5"/>
  </si>
  <si>
    <t>こいつでどうだ！</t>
    <phoneticPr fontId="5"/>
  </si>
  <si>
    <t>お前…強いな　目を見ればわかる</t>
    <phoneticPr fontId="5"/>
  </si>
  <si>
    <t>お前…強いな　目を見ればわかる</t>
    <phoneticPr fontId="5"/>
  </si>
  <si>
    <t>面白い、勝負だ</t>
    <rPh sb="0" eb="2">
      <t>オモシロ</t>
    </rPh>
    <rPh sb="4" eb="6">
      <t>ショウブダ</t>
    </rPh>
    <phoneticPr fontId="5"/>
  </si>
  <si>
    <t>全力でやらせて貰う</t>
    <rPh sb="0" eb="2">
      <t>ゼンリョク</t>
    </rPh>
    <rPh sb="7" eb="8">
      <t>モラウ</t>
    </rPh>
    <phoneticPr fontId="5"/>
  </si>
  <si>
    <t>[effect:enemy_message, val1:1.8, val2:2.4]</t>
    <phoneticPr fontId="5"/>
  </si>
  <si>
    <t>いいだろう　手を貸してやる</t>
    <rPh sb="6" eb="7">
      <t>テヲ</t>
    </rPh>
    <rPh sb="8" eb="9">
      <t>カシテヤル</t>
    </rPh>
    <phoneticPr fontId="5"/>
  </si>
  <si>
    <t>…完敗だ</t>
    <rPh sb="1" eb="3">
      <t>kannpai</t>
    </rPh>
    <phoneticPr fontId="5"/>
  </si>
  <si>
    <t>駄目です！終わるまでは通しません！</t>
    <rPh sb="0" eb="2">
      <t>ダメデス</t>
    </rPh>
    <rPh sb="5" eb="6">
      <t>オワルマデ</t>
    </rPh>
    <rPh sb="11" eb="12">
      <t>トオシマセン</t>
    </rPh>
    <phoneticPr fontId="5"/>
  </si>
  <si>
    <t>…って、うォ！？何だお前ら！邪魔する気か？</t>
    <rPh sb="8" eb="9">
      <t>ナンダ</t>
    </rPh>
    <rPh sb="14" eb="16">
      <t>ジャマ</t>
    </rPh>
    <phoneticPr fontId="5"/>
  </si>
  <si>
    <t>旦那、いい所に！奴はこの先です！</t>
    <rPh sb="0" eb="2">
      <t>ダンア</t>
    </rPh>
    <rPh sb="8" eb="9">
      <t>ヤツ</t>
    </rPh>
    <phoneticPr fontId="5"/>
  </si>
  <si>
    <t>[effect:fix_speed, target:myself, turn:2],[effect:enemy_message, val1:2.6, val2:2.4]</t>
    <phoneticPr fontId="5"/>
  </si>
  <si>
    <t>[effect:enemy_message, val1:1.2, val2:2.2]</t>
    <phoneticPr fontId="5"/>
  </si>
  <si>
    <t>null</t>
  </si>
  <si>
    <t>link</t>
  </si>
  <si>
    <t>unit</t>
  </si>
  <si>
    <t>old</t>
    <phoneticPr fontId="7"/>
  </si>
  <si>
    <t>その程度では効かん！</t>
    <rPh sb="6" eb="7">
      <t>kikann</t>
    </rPh>
    <phoneticPr fontId="5"/>
  </si>
  <si>
    <t>[effect:enemy_message, val1:1.8, val2:0]</t>
    <phoneticPr fontId="5"/>
  </si>
  <si>
    <t>[effect:enhance_enemy, target:myself, turn:2, status:defense, val:100000, calc:add, animation:enemy_enhance_defense]</t>
    <phoneticPr fontId="5"/>
  </si>
  <si>
    <t>2ターン防御力激烈UP</t>
    <rPh sb="4" eb="7">
      <t>ボウギョリョク</t>
    </rPh>
    <rPh sb="7" eb="9">
      <t>ゲキレツ</t>
    </rPh>
    <phoneticPr fontId="5"/>
  </si>
  <si>
    <t>[effect:remove_enhancement, target:unit_all, target_effect:enhance, target_type:buff, status:defense, animation:frozen_wave],[effect:rush, count:9, val:0.20]</t>
    <phoneticPr fontId="5"/>
  </si>
  <si>
    <t>[effect:remove_enhancement, target:unit_all, target_effect:enhance, target_type:buff, status:defense, animation:frozen_wave],[effect:rush, count:7, val:0.20]</t>
    <phoneticPr fontId="5"/>
  </si>
  <si>
    <t>2回連続攻撃</t>
    <rPh sb="1" eb="2">
      <t>カイ</t>
    </rPh>
    <phoneticPr fontId="5"/>
  </si>
  <si>
    <t>3回連続攻撃</t>
    <rPh sb="1" eb="2">
      <t>カイ</t>
    </rPh>
    <phoneticPr fontId="5"/>
  </si>
  <si>
    <t>防御UPを解除＋9回連続攻撃</t>
    <rPh sb="0" eb="2">
      <t>ボウギョ</t>
    </rPh>
    <rPh sb="5" eb="7">
      <t>カイジョ</t>
    </rPh>
    <rPh sb="9" eb="10">
      <t>カイ</t>
    </rPh>
    <phoneticPr fontId="5"/>
  </si>
  <si>
    <t>防御UPを解除＋7回連続攻撃</t>
    <rPh sb="0" eb="2">
      <t>ボウギョ</t>
    </rPh>
    <rPh sb="5" eb="7">
      <t>カイジョ</t>
    </rPh>
    <rPh sb="9" eb="10">
      <t>カイ</t>
    </rPh>
    <phoneticPr fontId="5"/>
  </si>
  <si>
    <t>3回連続攻撃</t>
    <rPh sb="1" eb="2">
      <t>カイ</t>
    </rPh>
    <rPh sb="2" eb="6">
      <t>レンゾクコウゲキ</t>
    </rPh>
    <phoneticPr fontId="5"/>
  </si>
  <si>
    <t>5回連続攻撃</t>
    <rPh sb="1" eb="2">
      <t>カイ</t>
    </rPh>
    <phoneticPr fontId="5"/>
  </si>
  <si>
    <t>[effect:tolerance, target:myself, turn:-1, tolerance_effect:all, count:-1, animation:enemy_tolerance],[effect:fix_speed, target:myself, turn:1]</t>
    <phoneticPr fontId="5"/>
  </si>
  <si>
    <t>状態異常耐性</t>
    <rPh sb="0" eb="6">
      <t>ジョウタイイジョウタイセイ</t>
    </rPh>
    <phoneticPr fontId="5"/>
  </si>
  <si>
    <t>[effect:tolerance, target:myself, turn:-1, tolerance_effect:all, count:-1, animation:enemy_tolerance],[effect:fix_speed, target:myself, turn:1]</t>
    <phoneticPr fontId="5"/>
  </si>
  <si>
    <t>甘い！</t>
    <rPh sb="0" eb="1">
      <t>アマイ</t>
    </rPh>
    <phoneticPr fontId="5"/>
  </si>
  <si>
    <t>見飽きたな</t>
    <rPh sb="0" eb="2">
      <t>ミアキタ</t>
    </rPh>
    <phoneticPr fontId="5"/>
  </si>
  <si>
    <t>つまらん技だな</t>
    <rPh sb="4" eb="5">
      <t>ワザダ</t>
    </rPh>
    <phoneticPr fontId="5"/>
  </si>
  <si>
    <t>静御前はHPが減ってくると行動頻度が
早くなります
受けきれなくなる前に一気に倒しましょう</t>
    <phoneticPr fontId="5"/>
  </si>
  <si>
    <t>沢庵宗彭はHPが減ってくると
ハートパネル無効を使用します
スキルによる対処が有効です</t>
    <phoneticPr fontId="5"/>
  </si>
  <si>
    <t>那須与一はランダムで様々な状態異常攻撃を
使用してきます
状態異常の持続ターン数は短いので
慌てずに対処していきましょう</t>
    <phoneticPr fontId="5"/>
  </si>
  <si>
    <t>complete</t>
    <phoneticPr fontId="5"/>
  </si>
  <si>
    <t>ALICE内の階層間移動ポータルで
多くのアバターでにぎわうスポットです
和風装飾が外国のユーザーに人気のようです</t>
    <phoneticPr fontId="5"/>
  </si>
  <si>
    <t>old</t>
  </si>
  <si>
    <t>[effect:fix_speed, target:myself, turn:2],[effect:enemy_message, val1:2.6, val2:2.4]</t>
    <phoneticPr fontId="5"/>
  </si>
  <si>
    <t>[effect:rush, count:2, val:0.55],[effect:degrade_unit, target:unit_all, turn:2, status:action, val:1, calc:add, animation:enemy_tap_down],[effect:enemy_message, val1:1.2, val2:2.4]</t>
    <phoneticPr fontId="5"/>
  </si>
  <si>
    <t>[effect:drop_freeze, block_type:block_all, block_color:block_yellow, frozen_count:1, rate:1, turn:-1, animation:drop_protect],[effect:drop_freeze, block_type:block_all, block_color:block_green, frozen_count:1, rate:1, turn:-1],[effect:tolerance, target:myself, turn:-1, tolerance_effect:all, count:-1, animation:enemy_tolerance],[effect:fix_speed, target:myself, turn:1],[effect:enemy_message, val1:1.2, val2:3.0]</t>
    <phoneticPr fontId="5"/>
  </si>
  <si>
    <t>[effect:drop_freeze, block_type:block_all, block_color:block_yellow, frozen_count:1, rate:1, turn:-1, animation:drop_protect],[effect:drop_freeze, block_type:block_all, block_color:block_green, frozen_count:1, rate:1, turn:-1],[effect:tolerance, target:myself, turn:-1, tolerance_effect:all, count:-1, animation:enemy_tolerance],[effect:fix_speed, target:myself, turn:1],[effect:enemy_message, val1:2.6, val2:3.0]</t>
    <phoneticPr fontId="5"/>
  </si>
  <si>
    <t>[effect:remove_enhancement, target:unit_all, target_effect:all, target_type:buff, animation:frozen_wave],[effect:tolerance, target:myself, turn:-1, tolerance_effect:all, count:-1, animation:enemy_tolerance],[effect:fix_speed, target:myself, turn:1],[effect:enemy_message, val1:1.8, val2:2.4]</t>
    <phoneticPr fontId="5"/>
  </si>
  <si>
    <t>[effect:tolerance, target:myself, turn:-1, tolerance_effect:all, count:-1, animation:enemy_tolerance],[effect:fix_speed, target:myself, turn:2],[effect:enemy_message, val1:2.6, val2:1.8]</t>
    <phoneticPr fontId="5"/>
  </si>
  <si>
    <t>[effect:tolerance, target:myself, turn:-1, tolerance_effect:all, count:-1, animation:enemy_tolerance],[effect:fix_speed, target:myself, turn:2],[effect:enemy_message, val1:2.8, val2:1.8]</t>
    <phoneticPr fontId="5"/>
  </si>
  <si>
    <t>力を求める者</t>
    <phoneticPr fontId="5"/>
  </si>
  <si>
    <t>五条大橋</t>
    <phoneticPr fontId="5"/>
  </si>
  <si>
    <t>武蔵坊弁慶は永続効果のある
Cパネル生成延長を使用します
Cパネルを作りづらくなるため
スキルによる対処をお勧めします</t>
    <rPh sb="0" eb="3">
      <t>ムサシ</t>
    </rPh>
    <phoneticPr fontId="5"/>
  </si>
  <si>
    <t>武蔵坊弁慶は2ゲージ目に防御力UPまたは
カウンターを解除する攻撃を使用します
スキルの使用タイミングに気をつけましょう</t>
    <rPh sb="0" eb="3">
      <t>ムサシ</t>
    </rPh>
    <phoneticPr fontId="5"/>
  </si>
  <si>
    <t>武蔵坊弁慶は2ゲージ目で緑・黄パネルを
プロテクト状態でドロップさせます
パネルプロテクトに対処できるユニットが
有効でしょう</t>
    <rPh sb="0" eb="3">
      <t>ムサシ</t>
    </rPh>
    <phoneticPr fontId="5"/>
  </si>
  <si>
    <t>武蔵坊弁慶は3ゲージ目になり
HPが減ると防御力UPを使用します
防御力UP中は弁慶に隙が出来るので
有効に利用しましょう</t>
    <rPh sb="0" eb="3">
      <t>ムサシ</t>
    </rPh>
    <phoneticPr fontId="5"/>
  </si>
  <si>
    <t>武蔵坊弁慶は防衛プログラムやアバターの
権限を強奪して自分のものにできる強敵です</t>
    <rPh sb="0" eb="3">
      <t>ムサシ</t>
    </rPh>
    <phoneticPr fontId="5"/>
  </si>
  <si>
    <t>武蔵坊弁慶は「強さを極めたい」という
目的で今回の事件を起こしましたが
彼は一体何のために力を求めたのでしょうか</t>
    <rPh sb="0" eb="3">
      <t>ムサシ</t>
    </rPh>
    <phoneticPr fontId="5"/>
  </si>
  <si>
    <t>武蔵坊弁慶は防衛プログラムやアバターの
権限を強奪して自分のものにできる強敵です</t>
    <rPh sb="0" eb="3">
      <t>ムサシボウ</t>
    </rPh>
    <phoneticPr fontId="5"/>
  </si>
  <si>
    <t>武蔵坊弁慶の能力</t>
    <rPh sb="0" eb="3">
      <t>ムサシボウ</t>
    </rPh>
    <phoneticPr fontId="5"/>
  </si>
  <si>
    <t>武蔵坊弁慶の目的</t>
    <phoneticPr fontId="5"/>
  </si>
  <si>
    <t>武蔵坊弁慶の能力</t>
    <phoneticPr fontId="5"/>
  </si>
  <si>
    <t>武蔵坊弁慶の目的</t>
    <phoneticPr fontId="5"/>
  </si>
  <si>
    <t>武蔵坊弁慶の力は何に振るわれるのでしょう
もし悪の心を持ったクラッカーが彼を仲間に
引き込んだら強大な敵となるかもしれません</t>
    <phoneticPr fontId="5"/>
  </si>
  <si>
    <t>武蔵坊弁慶は「強さを極めたい」という
目的で今回の事件を起こしましたが
彼は一体何のために力を求めたのでしょうか</t>
    <rPh sb="0" eb="3">
      <t>ムサシボウ</t>
    </rPh>
    <phoneticPr fontId="5"/>
  </si>
  <si>
    <t>2回連続攻撃＋2ターンタップ回数を1DOWN</t>
    <rPh sb="1" eb="2">
      <t>カイ</t>
    </rPh>
    <phoneticPr fontId="5"/>
  </si>
  <si>
    <t>[effect:remove_enhancement, target:unit_all, target_effect:counter_new, animation:frozen_wave],[effect:remove_enhancement, target:unit_all, target_effect:counter,],[effect:spread, val:0.3]</t>
    <phoneticPr fontId="5"/>
  </si>
  <si>
    <t>カウンター状態を解除＋全体攻撃</t>
    <rPh sb="5" eb="7">
      <t>ジョウタイ</t>
    </rPh>
    <rPh sb="11" eb="15">
      <t>ゼンタイコウゲキ</t>
    </rPh>
    <phoneticPr fontId="5"/>
  </si>
  <si>
    <t>[effect:remove_enhancement, target:unit_all, target_effect:counter_new, animation:frozen_wave],[effect:remove_enhancement, target:unit_all, target_effect:counter],[effect:spread, val:0.20],[effect:spread, val:0.20]</t>
    <phoneticPr fontId="5"/>
  </si>
  <si>
    <t>カウンター状態を解除＋2回連続全体攻撃</t>
    <rPh sb="5" eb="7">
      <t>ジョウタイ</t>
    </rPh>
    <rPh sb="12" eb="13">
      <t>カイ</t>
    </rPh>
    <rPh sb="15" eb="19">
      <t>ゼンタイコウゲキ</t>
    </rPh>
    <phoneticPr fontId="5"/>
  </si>
  <si>
    <t>[effect:remove_enhancement, target:unit_all, target_effect:counter_new, animation:frozen_wave],[effect:remove_enhancement, target:unit_all, target_effect:counter],[effect:spread, val:0.3]</t>
    <phoneticPr fontId="5"/>
  </si>
  <si>
    <t>[effect:force_change_block, new_block:block_yellow, target:block_all, ignore01:block_positive, ignore02:block_negative, ignore03:block_yellow, count:5, val:0],[effect:rush, count:1, val:1.0]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</si>
</sst>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0" fillId="0" borderId="12" xfId="0" applyBorder="1"/>
    <xf numFmtId="0" fontId="27" fillId="13" borderId="12" xfId="0" applyFont="1" applyFill="1" applyBorder="1"/>
    <xf numFmtId="0" fontId="0" fillId="0" borderId="23" xfId="0" applyBorder="1"/>
    <xf numFmtId="0" fontId="27" fillId="13" borderId="7" xfId="0" applyFont="1" applyFill="1" applyBorder="1"/>
    <xf numFmtId="0" fontId="0" fillId="0" borderId="24" xfId="0" applyBorder="1"/>
    <xf numFmtId="0" fontId="0" fillId="0" borderId="2" xfId="0" applyBorder="1"/>
    <xf numFmtId="0" fontId="27" fillId="13" borderId="2" xfId="0" applyFont="1" applyFill="1" applyBorder="1"/>
    <xf numFmtId="0" fontId="0" fillId="0" borderId="25" xfId="0" applyBorder="1"/>
    <xf numFmtId="0" fontId="0" fillId="0" borderId="26" xfId="0" applyBorder="1"/>
    <xf numFmtId="0" fontId="27" fillId="13" borderId="26" xfId="0" applyFont="1" applyFill="1" applyBorder="1"/>
    <xf numFmtId="0" fontId="0" fillId="0" borderId="27" xfId="0" applyBorder="1"/>
    <xf numFmtId="0" fontId="0" fillId="36" borderId="7" xfId="0" applyFill="1" applyBorder="1"/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9.1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296</v>
      </c>
      <c r="B2" s="56" t="s">
        <v>106</v>
      </c>
      <c r="C2" s="62">
        <v>40023</v>
      </c>
      <c r="D2" s="56" t="s">
        <v>107</v>
      </c>
      <c r="E2" s="55" t="str">
        <f>B2&amp;C2&amp;D2</f>
        <v>floors_40023.tmp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296</v>
      </c>
      <c r="B3" s="56" t="s">
        <v>109</v>
      </c>
      <c r="C3" s="62">
        <v>40023</v>
      </c>
      <c r="D3" s="56" t="s">
        <v>107</v>
      </c>
      <c r="E3" s="55" t="str">
        <f>B3&amp;C3&amp;D3</f>
        <v>enemy_habitats_40023.tmp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178</v>
      </c>
    </row>
    <row r="4" spans="1:30" x14ac:dyDescent="0.15">
      <c r="A4" s="60" t="s">
        <v>296</v>
      </c>
      <c r="B4" s="56" t="s">
        <v>111</v>
      </c>
      <c r="C4" s="62">
        <v>40023</v>
      </c>
      <c r="D4" s="56" t="s">
        <v>107</v>
      </c>
      <c r="E4" s="55" t="str">
        <f>B4&amp;C4&amp;D4</f>
        <v>enemy_habitat_S_40023.tmp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296</v>
      </c>
      <c r="B5" s="56" t="s">
        <v>113</v>
      </c>
      <c r="C5" s="62">
        <v>40023</v>
      </c>
      <c r="D5" s="56" t="s">
        <v>107</v>
      </c>
      <c r="E5" s="55" t="str">
        <f>B5&amp;C5&amp;D5</f>
        <v>enemy_skill_sets_40023.tmp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296</v>
      </c>
      <c r="B6" s="56" t="s">
        <v>115</v>
      </c>
      <c r="C6" s="62">
        <v>40023</v>
      </c>
      <c r="D6" s="56" t="s">
        <v>116</v>
      </c>
      <c r="E6" s="55" t="str">
        <f t="shared" ref="E6:E10" si="0">B6&amp;C6&amp;D6</f>
        <v>enemy_skills_tmp_40023.tmp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296</v>
      </c>
      <c r="B7" s="56" t="s">
        <v>117</v>
      </c>
      <c r="C7" s="62">
        <v>40023</v>
      </c>
      <c r="D7" s="56" t="s">
        <v>107</v>
      </c>
      <c r="E7" s="55" t="str">
        <f>B7&amp;C7&amp;D7</f>
        <v>enemy_skills_i18n_40023.tmp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296</v>
      </c>
      <c r="B8" s="56" t="s">
        <v>119</v>
      </c>
      <c r="C8" s="62">
        <v>40023</v>
      </c>
      <c r="D8" s="56" t="s">
        <v>120</v>
      </c>
      <c r="E8" s="55" t="str">
        <f t="shared" si="0"/>
        <v>enemy_skill_triggers_40023.tmp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296</v>
      </c>
      <c r="B9" s="67" t="s">
        <v>177</v>
      </c>
      <c r="C9" s="62">
        <v>40023</v>
      </c>
      <c r="D9" s="67" t="s">
        <v>171</v>
      </c>
      <c r="E9" s="68" t="str">
        <f t="shared" si="0"/>
        <v>stage_bug_bonuses_40023.tmp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187</v>
      </c>
      <c r="B10" s="67" t="s">
        <v>202</v>
      </c>
      <c r="C10" s="62">
        <v>40023</v>
      </c>
      <c r="D10" s="67" t="s">
        <v>180</v>
      </c>
      <c r="E10" s="68" t="str">
        <f t="shared" si="0"/>
        <v>stage_hints_data_c_40023.tmp</v>
      </c>
      <c r="F10" s="67" t="s">
        <v>210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66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0" t="s">
        <v>423</v>
      </c>
      <c r="B11" s="67" t="s">
        <v>203</v>
      </c>
      <c r="C11" s="62">
        <v>40023</v>
      </c>
      <c r="D11" s="67" t="s">
        <v>171</v>
      </c>
      <c r="E11" s="68" t="str">
        <f t="shared" ref="E11:E13" si="1">B11&amp;C11&amp;D11</f>
        <v>stage_hints_data_f_40023.tmp</v>
      </c>
      <c r="F11" s="67" t="s">
        <v>211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66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7" t="s">
        <v>399</v>
      </c>
      <c r="B12" s="67" t="s">
        <v>204</v>
      </c>
      <c r="C12" s="62">
        <v>40023</v>
      </c>
      <c r="D12" s="67" t="s">
        <v>171</v>
      </c>
      <c r="E12" s="68" t="str">
        <f t="shared" si="1"/>
        <v>stage_hints_i18n_40023.tmp</v>
      </c>
      <c r="F12" s="67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6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7" t="s">
        <v>399</v>
      </c>
      <c r="B13" s="67" t="s">
        <v>252</v>
      </c>
      <c r="C13" s="62">
        <v>40023</v>
      </c>
      <c r="D13" s="67" t="s">
        <v>233</v>
      </c>
      <c r="E13" s="68" t="str">
        <f t="shared" si="1"/>
        <v>stage_bonuses_40023.tmp</v>
      </c>
      <c r="F13" s="67" t="s">
        <v>232</v>
      </c>
      <c r="G13" s="73" t="s">
        <v>234</v>
      </c>
      <c r="H13" s="73" t="s">
        <v>235</v>
      </c>
      <c r="I13" s="73" t="s">
        <v>236</v>
      </c>
      <c r="J13" s="73" t="s">
        <v>237</v>
      </c>
      <c r="K13" s="73" t="s">
        <v>238</v>
      </c>
      <c r="L13" s="73" t="s">
        <v>239</v>
      </c>
      <c r="M13" s="73" t="s">
        <v>240</v>
      </c>
      <c r="N13" s="73" t="s">
        <v>241</v>
      </c>
      <c r="O13" s="73" t="s">
        <v>242</v>
      </c>
      <c r="P13" s="73" t="s">
        <v>243</v>
      </c>
      <c r="Q13" s="73" t="s">
        <v>244</v>
      </c>
      <c r="R13" s="73" t="s">
        <v>245</v>
      </c>
      <c r="S13" s="73" t="s">
        <v>246</v>
      </c>
      <c r="T13" s="73" t="s">
        <v>247</v>
      </c>
      <c r="U13" s="73" t="s">
        <v>248</v>
      </c>
      <c r="V13" s="73" t="s">
        <v>249</v>
      </c>
      <c r="W13" s="73" t="s">
        <v>250</v>
      </c>
      <c r="X13" s="73" t="s">
        <v>251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J12" sqref="J1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40023_1-1</v>
      </c>
      <c r="B2" s="16" t="str">
        <f>IF(COUNTIF(enemy_habitats!$H:$H,A2),"OK","NG")</f>
        <v>OK</v>
      </c>
      <c r="C2" s="7">
        <v>40023</v>
      </c>
      <c r="D2" s="11" t="str">
        <f ca="1">VLOOKUP($C2,OFFSET([2]quests!$A$1,0,0,COUNTA([2]quests!$A:$A),MATCH(D$1,[2]quests!$1:$1,0)-MATCH($C$1,[2]quests!$1:$1,0)+1),MATCH(D$1,[2]quests!$1:$1,0)-MATCH($C$1,[2]quests!$1:$1,0)+1,FALSE)</f>
        <v>武蔵坊弁慶襲来！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降臨23</v>
      </c>
      <c r="F2" s="21">
        <v>1</v>
      </c>
      <c r="G2" s="23" t="str">
        <f t="shared" ref="G2:G9" si="1">C2&amp;"_"&amp;F2</f>
        <v>40023_1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【超絶級】武蔵坊弁慶襲来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40023_1-2</v>
      </c>
      <c r="B3" s="16" t="str">
        <f>IF(COUNTIF(enemy_habitats!$H:$H,A3),"OK","NG")</f>
        <v>OK</v>
      </c>
      <c r="C3" s="7">
        <v>40023</v>
      </c>
      <c r="D3" s="11" t="str">
        <f ca="1">VLOOKUP($C3,OFFSET([2]quests!$A$1,0,0,COUNTA([2]quests!$A:$A),MATCH(D$1,[2]quests!$1:$1,0)-MATCH($C$1,[2]quests!$1:$1,0)+1),MATCH(D$1,[2]quests!$1:$1,0)-MATCH($C$1,[2]quests!$1:$1,0)+1,FALSE)</f>
        <v>武蔵坊弁慶襲来！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降臨23</v>
      </c>
      <c r="F3" s="21">
        <v>1</v>
      </c>
      <c r="G3" s="23" t="str">
        <f t="shared" si="1"/>
        <v>40023_1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【超絶級】武蔵坊弁慶襲来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40023_1-3</v>
      </c>
      <c r="B4" s="16" t="str">
        <f>IF(COUNTIF(enemy_habitats!$H:$H,A4),"OK","NG")</f>
        <v>OK</v>
      </c>
      <c r="C4" s="7">
        <v>40023</v>
      </c>
      <c r="D4" s="11" t="str">
        <f ca="1">VLOOKUP($C4,OFFSET([2]quests!$A$1,0,0,COUNTA([2]quests!$A:$A),MATCH(D$1,[2]quests!$1:$1,0)-MATCH($C$1,[2]quests!$1:$1,0)+1),MATCH(D$1,[2]quests!$1:$1,0)-MATCH($C$1,[2]quests!$1:$1,0)+1,FALSE)</f>
        <v>武蔵坊弁慶襲来！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降臨23</v>
      </c>
      <c r="F4" s="21">
        <v>1</v>
      </c>
      <c r="G4" s="23" t="str">
        <f t="shared" si="1"/>
        <v>40023_1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【超絶級】武蔵坊弁慶襲来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40023_1-4</v>
      </c>
      <c r="B5" s="16" t="str">
        <f>IF(COUNTIF(enemy_habitats!$H:$H,A5),"OK","NG")</f>
        <v>OK</v>
      </c>
      <c r="C5" s="7">
        <v>40023</v>
      </c>
      <c r="D5" s="11" t="str">
        <f ca="1">VLOOKUP($C5,OFFSET([2]quests!$A$1,0,0,COUNTA([2]quests!$A:$A),MATCH(D$1,[2]quests!$1:$1,0)-MATCH($C$1,[2]quests!$1:$1,0)+1),MATCH(D$1,[2]quests!$1:$1,0)-MATCH($C$1,[2]quests!$1:$1,0)+1,FALSE)</f>
        <v>武蔵坊弁慶襲来！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降臨23</v>
      </c>
      <c r="F5" s="21">
        <v>1</v>
      </c>
      <c r="G5" s="23" t="str">
        <f t="shared" si="1"/>
        <v>40023_1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【超絶級】武蔵坊弁慶襲来 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40023_2-1</v>
      </c>
      <c r="B6" s="16" t="str">
        <f>IF(COUNTIF(enemy_habitats!$H:$H,A6),"OK","NG")</f>
        <v>OK</v>
      </c>
      <c r="C6" s="7">
        <v>40023</v>
      </c>
      <c r="D6" s="11" t="str">
        <f ca="1">VLOOKUP($C6,OFFSET([2]quests!$A$1,0,0,COUNTA([2]quests!$A:$A),MATCH(D$1,[2]quests!$1:$1,0)-MATCH($C$1,[2]quests!$1:$1,0)+1),MATCH(D$1,[2]quests!$1:$1,0)-MATCH($C$1,[2]quests!$1:$1,0)+1,FALSE)</f>
        <v>武蔵坊弁慶襲来！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降臨23</v>
      </c>
      <c r="F6" s="21">
        <v>2</v>
      </c>
      <c r="G6" s="23" t="str">
        <f t="shared" si="1"/>
        <v>40023_2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【ウィザード級】武蔵坊弁慶襲来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40023_2-2</v>
      </c>
      <c r="B7" s="16" t="str">
        <f>IF(COUNTIF(enemy_habitats!$H:$H,A7),"OK","NG")</f>
        <v>OK</v>
      </c>
      <c r="C7" s="7">
        <v>40023</v>
      </c>
      <c r="D7" s="11" t="str">
        <f ca="1">VLOOKUP($C7,OFFSET([2]quests!$A$1,0,0,COUNTA([2]quests!$A:$A),MATCH(D$1,[2]quests!$1:$1,0)-MATCH($C$1,[2]quests!$1:$1,0)+1),MATCH(D$1,[2]quests!$1:$1,0)-MATCH($C$1,[2]quests!$1:$1,0)+1,FALSE)</f>
        <v>武蔵坊弁慶襲来！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降臨23</v>
      </c>
      <c r="F7" s="21">
        <v>2</v>
      </c>
      <c r="G7" s="23" t="str">
        <f t="shared" si="1"/>
        <v>40023_2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【ウィザード級】武蔵坊弁慶襲来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40023_2-3</v>
      </c>
      <c r="B8" s="16" t="str">
        <f>IF(COUNTIF(enemy_habitats!$H:$H,A8),"OK","NG")</f>
        <v>OK</v>
      </c>
      <c r="C8" s="7">
        <v>40023</v>
      </c>
      <c r="D8" s="11" t="str">
        <f ca="1">VLOOKUP($C8,OFFSET([2]quests!$A$1,0,0,COUNTA([2]quests!$A:$A),MATCH(D$1,[2]quests!$1:$1,0)-MATCH($C$1,[2]quests!$1:$1,0)+1),MATCH(D$1,[2]quests!$1:$1,0)-MATCH($C$1,[2]quests!$1:$1,0)+1,FALSE)</f>
        <v>武蔵坊弁慶襲来！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降臨23</v>
      </c>
      <c r="F8" s="21">
        <v>2</v>
      </c>
      <c r="G8" s="23" t="str">
        <f t="shared" si="1"/>
        <v>40023_2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【ウィザード級】武蔵坊弁慶襲来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40023_2-4</v>
      </c>
      <c r="B9" s="16" t="str">
        <f>IF(COUNTIF(enemy_habitats!$H:$H,A9),"OK","NG")</f>
        <v>OK</v>
      </c>
      <c r="C9" s="7">
        <v>40023</v>
      </c>
      <c r="D9" s="11" t="str">
        <f ca="1">VLOOKUP($C9,OFFSET([2]quests!$A$1,0,0,COUNTA([2]quests!$A:$A),MATCH(D$1,[2]quests!$1:$1,0)-MATCH($C$1,[2]quests!$1:$1,0)+1),MATCH(D$1,[2]quests!$1:$1,0)-MATCH($C$1,[2]quests!$1:$1,0)+1,FALSE)</f>
        <v>武蔵坊弁慶襲来！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降臨23</v>
      </c>
      <c r="F9" s="21">
        <v>2</v>
      </c>
      <c r="G9" s="23" t="str">
        <f t="shared" si="1"/>
        <v>40023_2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【ウィザード級】武蔵坊弁慶襲来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zoomScale="75" zoomScaleNormal="75" zoomScalePageLayoutView="75" workbookViewId="0">
      <pane xSplit="17" ySplit="1" topLeftCell="AI2" activePane="bottomRight" state="frozen"/>
      <selection pane="topRight" activeCell="N1" sqref="N1"/>
      <selection pane="bottomLeft" activeCell="A2" sqref="A2"/>
      <selection pane="bottomRight" activeCell="AJ6" sqref="AJ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253</v>
      </c>
      <c r="U1" s="26" t="s">
        <v>50</v>
      </c>
      <c r="V1" s="102" t="s">
        <v>254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6" si="0">B2&amp;"_"&amp;C2&amp;"-"&amp;G2&amp;"/"&amp;L2&amp;"&lt;lv"&amp;R2&amp;"&gt;s"&amp;AC2</f>
        <v>40023_1-1/1021&lt;lv35&gt;s2</v>
      </c>
      <c r="B2" s="22">
        <v>40023</v>
      </c>
      <c r="C2" s="21">
        <v>1</v>
      </c>
      <c r="D2" s="2" t="str">
        <f t="shared" ref="D2:D6" si="1">B2&amp;"_"&amp;C2</f>
        <v>40023_1</v>
      </c>
      <c r="E2" s="4" t="str">
        <f ca="1">VLOOKUP($B2,OFFSET([2]quests!$A$1,0,0,COUNTA([2]quests!$A:$A),MATCH(E$1,[2]quests!$1:$1,0)-MATCH($B$1,[2]quests!$1:$1,0)+1),MATCH(E$1,[2]quests!$1:$1,0)-MATCH($B$1,[2]quests!$1:$1,0)+1,FALSE)</f>
        <v>武蔵坊弁慶襲来！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【超絶級】武蔵坊弁慶襲来 </v>
      </c>
      <c r="G2" s="21">
        <v>1</v>
      </c>
      <c r="H2" s="15" t="str">
        <f t="shared" ref="H2:H6" si="2">B2&amp;"_"&amp;C2&amp;"-"&amp;G2</f>
        <v>40023_1-1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1021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焔耀の舞姫 静御前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35</v>
      </c>
      <c r="S2" s="25">
        <v>3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157482</v>
      </c>
      <c r="U2" s="25">
        <v>1.6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5795.2000000000007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40023000</v>
      </c>
      <c r="Z2" s="6">
        <v>1</v>
      </c>
      <c r="AA2" s="6">
        <v>100</v>
      </c>
      <c r="AB2" s="6">
        <v>1</v>
      </c>
      <c r="AC2" s="17">
        <v>2</v>
      </c>
      <c r="AD2" s="24">
        <f t="shared" ref="AD2:AD6" si="3">L2</f>
        <v>1021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焔耀の舞姫 静御前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6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40023_1-2/482&lt;lv35&gt;s2</v>
      </c>
      <c r="B3" s="22">
        <v>40023</v>
      </c>
      <c r="C3" s="21">
        <v>1</v>
      </c>
      <c r="D3" s="2" t="str">
        <f t="shared" si="1"/>
        <v>40023_1</v>
      </c>
      <c r="E3" s="4" t="str">
        <f ca="1">VLOOKUP($B3,OFFSET([2]quests!$A$1,0,0,COUNTA([2]quests!$A:$A),MATCH(E$1,[2]quests!$1:$1,0)-MATCH($B$1,[2]quests!$1:$1,0)+1),MATCH(E$1,[2]quests!$1:$1,0)-MATCH($B$1,[2]quests!$1:$1,0)+1,FALSE)</f>
        <v>武蔵坊弁慶襲来！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【超絶級】武蔵坊弁慶襲来 </v>
      </c>
      <c r="G3" s="21">
        <v>2</v>
      </c>
      <c r="H3" s="15" t="str">
        <f t="shared" si="2"/>
        <v>40023_1-2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255</v>
      </c>
      <c r="L3" s="20">
        <v>482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魁僧 沢庵宗彭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35</v>
      </c>
      <c r="S3" s="25">
        <v>4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253524</v>
      </c>
      <c r="U3" s="25">
        <v>4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12584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緑パネルを黄パネルに変換＋攻撃</v>
      </c>
      <c r="Y3" s="61">
        <v>40023100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482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40023_1-2/61&lt;lv35&gt;s1</v>
      </c>
      <c r="B4" s="22">
        <v>40023</v>
      </c>
      <c r="C4" s="21">
        <v>1</v>
      </c>
      <c r="D4" s="2" t="str">
        <f t="shared" si="1"/>
        <v>40023_1</v>
      </c>
      <c r="E4" s="4" t="str">
        <f ca="1">VLOOKUP($B4,OFFSET([2]quests!$A$1,0,0,COUNTA([2]quests!$A:$A),MATCH(E$1,[2]quests!$1:$1,0)-MATCH($B$1,[2]quests!$1:$1,0)+1),MATCH(E$1,[2]quests!$1:$1,0)-MATCH($B$1,[2]quests!$1:$1,0)+1,FALSE)</f>
        <v>武蔵坊弁慶襲来！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【超絶級】武蔵坊弁慶襲来 </v>
      </c>
      <c r="G4" s="21">
        <v>2</v>
      </c>
      <c r="H4" s="15" t="str">
        <f t="shared" si="2"/>
        <v>40023_1-2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291</v>
      </c>
      <c r="L4" s="20">
        <v>61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クロウ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35</v>
      </c>
      <c r="S4" s="25">
        <v>7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40880</v>
      </c>
      <c r="U4" s="25">
        <v>1.3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2393.3000000000002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40023200</v>
      </c>
      <c r="Z4" s="6">
        <v>2</v>
      </c>
      <c r="AA4" s="6">
        <v>100</v>
      </c>
      <c r="AB4" s="6">
        <v>0</v>
      </c>
      <c r="AC4" s="17">
        <v>1</v>
      </c>
      <c r="AD4" s="24">
        <f t="shared" si="3"/>
        <v>61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4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40023_1-3/1023&lt;lv35&gt;s2</v>
      </c>
      <c r="B5" s="22">
        <v>40023</v>
      </c>
      <c r="C5" s="21">
        <v>1</v>
      </c>
      <c r="D5" s="2" t="str">
        <f t="shared" si="1"/>
        <v>40023_1</v>
      </c>
      <c r="E5" s="4" t="str">
        <f ca="1">VLOOKUP($B5,OFFSET([2]quests!$A$1,0,0,COUNTA([2]quests!$A:$A),MATCH(E$1,[2]quests!$1:$1,0)-MATCH($B$1,[2]quests!$1:$1,0)+1),MATCH(E$1,[2]quests!$1:$1,0)-MATCH($B$1,[2]quests!$1:$1,0)+1,FALSE)</f>
        <v>武蔵坊弁慶襲来！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【超絶級】武蔵坊弁慶襲来 </v>
      </c>
      <c r="G5" s="21">
        <v>3</v>
      </c>
      <c r="H5" s="15" t="str">
        <f t="shared" si="2"/>
        <v>40023_1-3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1023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心射抜く投擲者 那須与一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35</v>
      </c>
      <c r="S5" s="25">
        <v>5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267720</v>
      </c>
      <c r="U5" s="25">
        <v>2.2999999999999998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8003.9999999999991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61">
        <v>40023400</v>
      </c>
      <c r="Z5" s="6">
        <v>1</v>
      </c>
      <c r="AA5" s="6">
        <v>100</v>
      </c>
      <c r="AB5" s="6">
        <v>1</v>
      </c>
      <c r="AC5" s="17">
        <v>2</v>
      </c>
      <c r="AD5" s="24">
        <f t="shared" si="3"/>
        <v>1023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心射抜く投擲者 那須与一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40023_1-4/1024&lt;lv35&gt;s2</v>
      </c>
      <c r="B6" s="22">
        <v>40023</v>
      </c>
      <c r="C6" s="21">
        <v>1</v>
      </c>
      <c r="D6" s="2" t="str">
        <f t="shared" si="1"/>
        <v>40023_1</v>
      </c>
      <c r="E6" s="4" t="str">
        <f ca="1">VLOOKUP($B6,OFFSET([2]quests!$A$1,0,0,COUNTA([2]quests!$A:$A),MATCH(E$1,[2]quests!$1:$1,0)-MATCH($B$1,[2]quests!$1:$1,0)+1),MATCH(E$1,[2]quests!$1:$1,0)-MATCH($B$1,[2]quests!$1:$1,0)+1,FALSE)</f>
        <v>武蔵坊弁慶襲来！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【超絶級】武蔵坊弁慶襲来 </v>
      </c>
      <c r="G6" s="21">
        <v>4</v>
      </c>
      <c r="H6" s="15" t="str">
        <f t="shared" si="2"/>
        <v>40023_1-4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1024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武蔵坊弁慶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35</v>
      </c>
      <c r="S6" s="25">
        <v>6.5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371540</v>
      </c>
      <c r="U6" s="25">
        <v>2.5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13252.5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4">
        <v>40023500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1024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武蔵坊弁慶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4"/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ref="A7:A11" si="5">B7&amp;"_"&amp;C7&amp;"-"&amp;G7&amp;"/"&amp;L7&amp;"&lt;lv"&amp;R7&amp;"&gt;s"&amp;AC7</f>
        <v>40023_2-1/1021&lt;lv50&gt;s2</v>
      </c>
      <c r="B7" s="22">
        <v>40023</v>
      </c>
      <c r="C7" s="21">
        <v>2</v>
      </c>
      <c r="D7" s="2" t="str">
        <f t="shared" ref="D7:D11" si="6">B7&amp;"_"&amp;C7</f>
        <v>40023_2</v>
      </c>
      <c r="E7" s="4" t="str">
        <f ca="1">VLOOKUP($B7,OFFSET([2]quests!$A$1,0,0,COUNTA([2]quests!$A:$A),MATCH(E$1,[2]quests!$1:$1,0)-MATCH($B$1,[2]quests!$1:$1,0)+1),MATCH(E$1,[2]quests!$1:$1,0)-MATCH($B$1,[2]quests!$1:$1,0)+1,FALSE)</f>
        <v>武蔵坊弁慶襲来！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【ウィザード級】武蔵坊弁慶襲来</v>
      </c>
      <c r="G7" s="21">
        <v>1</v>
      </c>
      <c r="H7" s="15" t="str">
        <f t="shared" ref="H7:H11" si="7">B7&amp;"_"&amp;C7&amp;"-"&amp;G7</f>
        <v>40023_2-1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1021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焔耀の舞姫 静御前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50</v>
      </c>
      <c r="S7" s="25">
        <v>3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222201</v>
      </c>
      <c r="U7" s="25">
        <v>1.6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8177.6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40023000</v>
      </c>
      <c r="Z7" s="6">
        <v>1</v>
      </c>
      <c r="AA7" s="6">
        <v>100</v>
      </c>
      <c r="AB7" s="6">
        <v>1</v>
      </c>
      <c r="AC7" s="17">
        <v>2</v>
      </c>
      <c r="AD7" s="24">
        <f t="shared" ref="AD7:AD11" si="8">L7</f>
        <v>1021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焔耀の舞姫 静御前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ref="AI7:AI11" ca="1" si="9">AF7</f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5"/>
        <v>40023_2-2/482&lt;lv50&gt;s2</v>
      </c>
      <c r="B8" s="22">
        <v>40023</v>
      </c>
      <c r="C8" s="21">
        <v>2</v>
      </c>
      <c r="D8" s="2" t="str">
        <f t="shared" si="6"/>
        <v>40023_2</v>
      </c>
      <c r="E8" s="4" t="str">
        <f ca="1">VLOOKUP($B8,OFFSET([2]quests!$A$1,0,0,COUNTA([2]quests!$A:$A),MATCH(E$1,[2]quests!$1:$1,0)-MATCH($B$1,[2]quests!$1:$1,0)+1),MATCH(E$1,[2]quests!$1:$1,0)-MATCH($B$1,[2]quests!$1:$1,0)+1,FALSE)</f>
        <v>武蔵坊弁慶襲来！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【ウィザード級】武蔵坊弁慶襲来</v>
      </c>
      <c r="G8" s="21">
        <v>2</v>
      </c>
      <c r="H8" s="15" t="str">
        <f t="shared" si="7"/>
        <v>40023_2-2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482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魁僧 沢庵宗彭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50</v>
      </c>
      <c r="S8" s="25">
        <v>4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357712</v>
      </c>
      <c r="U8" s="25">
        <v>4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17752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緑パネルを黄パネルに変換＋攻撃</v>
      </c>
      <c r="Y8" s="61">
        <v>40023100</v>
      </c>
      <c r="Z8" s="6">
        <v>1</v>
      </c>
      <c r="AA8" s="6">
        <v>100</v>
      </c>
      <c r="AB8" s="6">
        <v>1</v>
      </c>
      <c r="AC8" s="17">
        <v>2</v>
      </c>
      <c r="AD8" s="24">
        <f t="shared" si="8"/>
        <v>482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9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5"/>
        <v>40023_2-2/61&lt;lv50&gt;s1</v>
      </c>
      <c r="B9" s="22">
        <v>40023</v>
      </c>
      <c r="C9" s="21">
        <v>2</v>
      </c>
      <c r="D9" s="2" t="str">
        <f t="shared" si="6"/>
        <v>40023_2</v>
      </c>
      <c r="E9" s="4" t="str">
        <f ca="1">VLOOKUP($B9,OFFSET([2]quests!$A$1,0,0,COUNTA([2]quests!$A:$A),MATCH(E$1,[2]quests!$1:$1,0)-MATCH($B$1,[2]quests!$1:$1,0)+1),MATCH(E$1,[2]quests!$1:$1,0)-MATCH($B$1,[2]quests!$1:$1,0)+1,FALSE)</f>
        <v>武蔵坊弁慶襲来！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【ウィザード級】武蔵坊弁慶襲来</v>
      </c>
      <c r="G9" s="21">
        <v>2</v>
      </c>
      <c r="H9" s="15" t="str">
        <f t="shared" si="7"/>
        <v>40023_2-2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61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クロウ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50</v>
      </c>
      <c r="S9" s="25">
        <v>7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57680</v>
      </c>
      <c r="U9" s="25">
        <v>1.3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3377.4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">
        <v>40023200</v>
      </c>
      <c r="Z9" s="6">
        <v>2</v>
      </c>
      <c r="AA9" s="6">
        <v>100</v>
      </c>
      <c r="AB9" s="6">
        <v>0</v>
      </c>
      <c r="AC9" s="17">
        <v>1</v>
      </c>
      <c r="AD9" s="24">
        <f t="shared" si="8"/>
        <v>61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t="shared" ca="1" si="9"/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5"/>
        <v>40023_2-3/1023&lt;lv50&gt;s2</v>
      </c>
      <c r="B10" s="22">
        <v>40023</v>
      </c>
      <c r="C10" s="21">
        <v>2</v>
      </c>
      <c r="D10" s="2" t="str">
        <f t="shared" si="6"/>
        <v>40023_2</v>
      </c>
      <c r="E10" s="4" t="str">
        <f ca="1">VLOOKUP($B10,OFFSET([2]quests!$A$1,0,0,COUNTA([2]quests!$A:$A),MATCH(E$1,[2]quests!$1:$1,0)-MATCH($B$1,[2]quests!$1:$1,0)+1),MATCH(E$1,[2]quests!$1:$1,0)-MATCH($B$1,[2]quests!$1:$1,0)+1,FALSE)</f>
        <v>武蔵坊弁慶襲来！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【ウィザード級】武蔵坊弁慶襲来</v>
      </c>
      <c r="G10" s="21">
        <v>3</v>
      </c>
      <c r="H10" s="15" t="str">
        <f t="shared" si="7"/>
        <v>40023_2-3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1023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心射抜く投擲者 那須与一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50</v>
      </c>
      <c r="S10" s="25">
        <v>5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377745</v>
      </c>
      <c r="U10" s="25">
        <v>2.2999999999999998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11295.3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61">
        <v>40023400</v>
      </c>
      <c r="Z10" s="6">
        <v>1</v>
      </c>
      <c r="AA10" s="6">
        <v>100</v>
      </c>
      <c r="AB10" s="6">
        <v>1</v>
      </c>
      <c r="AC10" s="17">
        <v>2</v>
      </c>
      <c r="AD10" s="24">
        <f t="shared" si="8"/>
        <v>1023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心射抜く投擲者 那須与一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9"/>
        <v>5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5"/>
        <v>40023_2-4/1024&lt;lv50&gt;s2</v>
      </c>
      <c r="B11" s="22">
        <v>40023</v>
      </c>
      <c r="C11" s="21">
        <v>2</v>
      </c>
      <c r="D11" s="2" t="str">
        <f t="shared" si="6"/>
        <v>40023_2</v>
      </c>
      <c r="E11" s="4" t="str">
        <f ca="1">VLOOKUP($B11,OFFSET([2]quests!$A$1,0,0,COUNTA([2]quests!$A:$A),MATCH(E$1,[2]quests!$1:$1,0)-MATCH($B$1,[2]quests!$1:$1,0)+1),MATCH(E$1,[2]quests!$1:$1,0)-MATCH($B$1,[2]quests!$1:$1,0)+1,FALSE)</f>
        <v>武蔵坊弁慶襲来！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【ウィザード級】武蔵坊弁慶襲来</v>
      </c>
      <c r="G11" s="21">
        <v>4</v>
      </c>
      <c r="H11" s="15" t="str">
        <f t="shared" si="7"/>
        <v>40023_2-4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1024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武蔵坊弁慶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50</v>
      </c>
      <c r="S11" s="25">
        <v>6.5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524231.5</v>
      </c>
      <c r="U11" s="25">
        <v>2.5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18697.5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1" s="4">
        <v>40023500</v>
      </c>
      <c r="Z11" s="6">
        <v>1</v>
      </c>
      <c r="AA11" s="6">
        <v>100</v>
      </c>
      <c r="AB11" s="6">
        <v>1</v>
      </c>
      <c r="AC11" s="17">
        <v>2</v>
      </c>
      <c r="AD11" s="24">
        <f t="shared" si="8"/>
        <v>1024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武蔵坊弁慶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9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3" sqref="S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253</v>
      </c>
      <c r="V1" s="26" t="s">
        <v>50</v>
      </c>
      <c r="W1" s="102" t="s">
        <v>254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40023_1-4/1025&lt;lv35&gt;sq1st2</v>
      </c>
      <c r="B2" s="22">
        <v>40023</v>
      </c>
      <c r="C2" s="21">
        <v>1</v>
      </c>
      <c r="D2" s="2" t="str">
        <f>B2&amp;"_"&amp;C2</f>
        <v>40023_1</v>
      </c>
      <c r="E2" s="4" t="str">
        <f ca="1">VLOOKUP($B2,OFFSET([2]quests!$A$1,0,0,COUNTA([2]quests!$A:$A),MATCH(E$1,[2]quests!$1:$1,0)-MATCH($B$1,[2]quests!$1:$1,0)+1),MATCH(E$1,[2]quests!$1:$1,0)-MATCH($B$1,[2]quests!$1:$1,0)+1,FALSE)</f>
        <v>武蔵坊弁慶襲来！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【超絶級】武蔵坊弁慶襲来 </v>
      </c>
      <c r="G2" s="21">
        <v>4</v>
      </c>
      <c r="H2" s="15" t="str">
        <f>B2&amp;"_"&amp;C2&amp;"-"&amp;G2</f>
        <v>40023_1-4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1025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多重撃の荒法師 武蔵坊弁慶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35</v>
      </c>
      <c r="T2" s="25">
        <v>8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457280</v>
      </c>
      <c r="V2" s="25">
        <v>1.5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7951.5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40023800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40023_2-4/1025&lt;lv50&gt;sq1st2</v>
      </c>
      <c r="B3" s="22">
        <v>40023</v>
      </c>
      <c r="C3" s="21">
        <v>2</v>
      </c>
      <c r="D3" s="2" t="str">
        <f>B3&amp;"_"&amp;C3</f>
        <v>40023_2</v>
      </c>
      <c r="E3" s="4" t="str">
        <f ca="1">VLOOKUP($B3,OFFSET([2]quests!$A$1,0,0,COUNTA([2]quests!$A:$A),MATCH(E$1,[2]quests!$1:$1,0)-MATCH($B$1,[2]quests!$1:$1,0)+1),MATCH(E$1,[2]quests!$1:$1,0)-MATCH($B$1,[2]quests!$1:$1,0)+1,FALSE)</f>
        <v>武蔵坊弁慶襲来！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【ウィザード級】武蔵坊弁慶襲来</v>
      </c>
      <c r="G3" s="21">
        <v>4</v>
      </c>
      <c r="H3" s="15" t="str">
        <f>B3&amp;"_"&amp;C3&amp;"-"&amp;G3</f>
        <v>40023_2-4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1025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多重撃の荒法師 武蔵坊弁慶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8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645208</v>
      </c>
      <c r="V3" s="25">
        <v>1.5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11218.5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40023600</v>
      </c>
      <c r="AA3" s="70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40023_2-4/1025&lt;lv50&gt;sq1st3</v>
      </c>
      <c r="B4" s="22">
        <v>40023</v>
      </c>
      <c r="C4" s="21">
        <v>2</v>
      </c>
      <c r="D4" s="2" t="str">
        <f>B4&amp;"_"&amp;C4</f>
        <v>40023_2</v>
      </c>
      <c r="E4" s="4" t="str">
        <f ca="1">VLOOKUP($B4,OFFSET([2]quests!$A$1,0,0,COUNTA([2]quests!$A:$A),MATCH(E$1,[2]quests!$1:$1,0)-MATCH($B$1,[2]quests!$1:$1,0)+1),MATCH(E$1,[2]quests!$1:$1,0)-MATCH($B$1,[2]quests!$1:$1,0)+1,FALSE)</f>
        <v>武蔵坊弁慶襲来！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【ウィザード級】武蔵坊弁慶襲来</v>
      </c>
      <c r="G4" s="21">
        <v>4</v>
      </c>
      <c r="H4" s="15" t="str">
        <f>B4&amp;"_"&amp;C4&amp;"-"&amp;G4</f>
        <v>40023_2-4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1025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多重撃の荒法師 武蔵坊弁慶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5">
        <v>8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645208</v>
      </c>
      <c r="V4" s="25">
        <v>1.7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12714.3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40023700</v>
      </c>
      <c r="AA4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8"/>
  <sheetViews>
    <sheetView showGridLines="0" workbookViewId="0">
      <pane xSplit="5" ySplit="1" topLeftCell="F52" activePane="bottomRight" state="frozen"/>
      <selection pane="topRight"/>
      <selection pane="bottomLeft"/>
      <selection pane="bottomRight" activeCell="F71" sqref="F71:F7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3" si="0">B2&amp;"_"&amp;C2</f>
        <v>40023000_40023000</v>
      </c>
      <c r="B2" s="47">
        <v>40023000</v>
      </c>
      <c r="C2" s="105">
        <v>40023000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強撃の舞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105">
        <v>40023000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40023000_40023001</v>
      </c>
      <c r="B3" s="47">
        <v>40023000</v>
      </c>
      <c r="C3" s="105">
        <v>40023001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連撃の舞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105">
        <v>40023001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14" si="1">B4&amp;"_"&amp;C4</f>
        <v>40023000_40023002</v>
      </c>
      <c r="B4" s="47">
        <v>40023000</v>
      </c>
      <c r="C4" s="105">
        <v>40023002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解呪の舞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4" s="105">
        <v>40023002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40023000_40023003</v>
      </c>
      <c r="B5" s="47">
        <v>40023000</v>
      </c>
      <c r="C5" s="105">
        <v>40023003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畳み掛けます！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5" s="105">
        <v>40023003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40023000_40023004</v>
      </c>
      <c r="B6" s="47">
        <v>40023000</v>
      </c>
      <c r="C6" s="105">
        <v>40023004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焔連舞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6" s="105">
        <v>40023004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2">B7&amp;"_"&amp;C7</f>
        <v>40023000_40023005</v>
      </c>
      <c r="B7" s="47">
        <v>40023000</v>
      </c>
      <c r="C7" s="105">
        <v>40023005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あなた方も彼を探して？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ならばこの先へは行かせません！</v>
      </c>
      <c r="F7" s="105">
        <v>40023005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10" si="3">B8&amp;"_"&amp;C8</f>
        <v>40023000_40023006</v>
      </c>
      <c r="B8" s="47">
        <v>40023000</v>
      </c>
      <c r="C8" s="105">
        <v>40023006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義経様！？まだ調査中ですよ！？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駄目です！終わるまでは通しません！</v>
      </c>
      <c r="F8" s="105">
        <v>40023006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40023000_40023007</v>
      </c>
      <c r="B9" s="47">
        <v>40023000</v>
      </c>
      <c r="C9" s="105">
        <v>40023007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義経様！？まだ調査中ですよ！？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駄目です！終わるまでは通しません！</v>
      </c>
      <c r="F9" s="105">
        <v>40023007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3"/>
        <v>40023000_40023008</v>
      </c>
      <c r="B10" s="47">
        <v>40023000</v>
      </c>
      <c r="C10" s="105">
        <v>40023008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義経様！？まだ調査中ですよ！？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駄目です！終わるまでは通しません！</v>
      </c>
      <c r="F10" s="105">
        <v>40023008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:A13" si="4">B11&amp;"_"&amp;C11</f>
        <v>40023000_40023009</v>
      </c>
      <c r="B11" s="47">
        <v>40023000</v>
      </c>
      <c r="C11" s="105">
        <v>40023009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…もう、仕方ないですね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…気をつけて行ってらしてくださいね</v>
      </c>
      <c r="F11" s="105">
        <v>40023009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4"/>
        <v>40023000_40023010</v>
      </c>
      <c r="B12" s="47">
        <v>40023000</v>
      </c>
      <c r="C12" s="105">
        <v>40023010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…もう、仕方ないですね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…気をつけて行ってらしてくださいね</v>
      </c>
      <c r="F12" s="105">
        <v>40023010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4"/>
        <v>40023000_40023011</v>
      </c>
      <c r="B13" s="47">
        <v>40023000</v>
      </c>
      <c r="C13" s="105">
        <v>40023011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…もう、仕方ないですね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…気をつけて行ってらしてくださいね</v>
      </c>
      <c r="F13" s="105">
        <v>40023011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40023100_40023100</v>
      </c>
      <c r="B14" s="47">
        <v>40023100</v>
      </c>
      <c r="C14" s="108">
        <v>40023100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大樹斬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緑パネルを黄パネルに変換＋攻撃</v>
      </c>
      <c r="F14" s="108">
        <v>40023100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:A26" si="5">B15&amp;"_"&amp;C15</f>
        <v>40023100_40023101</v>
      </c>
      <c r="B15" s="47">
        <v>40023100</v>
      </c>
      <c r="C15" s="108">
        <v>40023101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心断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15" s="108">
        <v>40023101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5"/>
        <v>40023100_40023102</v>
      </c>
      <c r="B16" s="47">
        <v>40023100</v>
      </c>
      <c r="C16" s="108">
        <v>40023102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心頭滅却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6" s="108">
        <v>40023102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61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6">B17&amp;"_"&amp;C17</f>
        <v>40023100_40023103</v>
      </c>
      <c r="B17" s="47">
        <v>40023100</v>
      </c>
      <c r="C17" s="108">
        <v>40023103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沢庵宗彭開幕行動頻度設定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なし</v>
      </c>
      <c r="F17" s="108">
        <v>40023103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5"/>
        <v>40023200_40023200</v>
      </c>
      <c r="B18" s="47">
        <v>40023200</v>
      </c>
      <c r="C18" s="108">
        <v>40023200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ヒール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8" s="108">
        <v>40023200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5"/>
        <v>40023200_40023201</v>
      </c>
      <c r="B19" s="47">
        <v>40023200</v>
      </c>
      <c r="C19" s="108">
        <v>40023201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奪力の旋律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赤パネルプロテクト＋攻撃</v>
      </c>
      <c r="F19" s="108">
        <v>40023201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9" s="47"/>
      <c r="Q19" s="47"/>
      <c r="R19" s="47"/>
    </row>
    <row r="20" spans="1:18" ht="21" customHeight="1" x14ac:dyDescent="0.15">
      <c r="A20" s="39" t="str">
        <f t="shared" si="5"/>
        <v>40023200_40023202</v>
      </c>
      <c r="B20" s="47">
        <v>40023200</v>
      </c>
      <c r="C20" s="108">
        <v>40023202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奪力の旋律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青パネルプロテクト＋攻撃</v>
      </c>
      <c r="F20" s="108">
        <v>40023202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0" s="47"/>
      <c r="Q20" s="47"/>
      <c r="R20" s="47"/>
    </row>
    <row r="21" spans="1:18" ht="21" customHeight="1" x14ac:dyDescent="0.15">
      <c r="A21" s="39" t="str">
        <f t="shared" ref="A21:A22" si="7">B21&amp;"_"&amp;C21</f>
        <v>40023200_40023203</v>
      </c>
      <c r="B21" s="47">
        <v>40023200</v>
      </c>
      <c r="C21" s="108">
        <v>40023203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奪力の旋律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緑パネルプロテクト＋攻撃</v>
      </c>
      <c r="F21" s="108">
        <v>40023203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 x14ac:dyDescent="0.15">
      <c r="A22" s="39" t="str">
        <f t="shared" si="7"/>
        <v>40023200_40023204</v>
      </c>
      <c r="B22" s="47">
        <v>40023200</v>
      </c>
      <c r="C22" s="108">
        <v>40023204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奪力の旋律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黄パネルプロテクト＋攻撃</v>
      </c>
      <c r="F22" s="108">
        <v>40023204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ref="A23:A24" si="8">B23&amp;"_"&amp;C23</f>
        <v>40023200_40023205</v>
      </c>
      <c r="B23" s="47">
        <v>40023200</v>
      </c>
      <c r="C23" s="108">
        <v>40023205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クロウ逃走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逃走</v>
      </c>
      <c r="F23" s="108">
        <v>40023205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482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8"/>
        <v>40023200_40023206</v>
      </c>
      <c r="B24" s="47">
        <v>40023200</v>
      </c>
      <c r="C24" s="108">
        <v>40023206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クロウ開幕行動頻度設定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なし</v>
      </c>
      <c r="F24" s="108">
        <v>40023206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5"/>
        <v>40023400_40023400</v>
      </c>
      <c r="B25" s="47">
        <v>40023400</v>
      </c>
      <c r="C25" s="111">
        <v>40023400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そォら、目潰しだ！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2ターン暗闇＋攻撃</v>
      </c>
      <c r="F25" s="111">
        <v>40023400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5" s="47"/>
      <c r="Q25" s="47"/>
      <c r="R25" s="47"/>
    </row>
    <row r="26" spans="1:18" ht="21" customHeight="1" x14ac:dyDescent="0.15">
      <c r="A26" s="39" t="str">
        <f t="shared" si="5"/>
        <v>40023400_40023401</v>
      </c>
      <c r="B26" s="47">
        <v>40023400</v>
      </c>
      <c r="C26" s="111">
        <v>40023401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こいつでどうだ！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2ターンウィルス＋攻撃</v>
      </c>
      <c r="F26" s="111">
        <v>40023401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6" s="47"/>
      <c r="Q26" s="47"/>
      <c r="R26" s="47"/>
    </row>
    <row r="27" spans="1:18" ht="21" customHeight="1" x14ac:dyDescent="0.15">
      <c r="A27" s="39" t="str">
        <f t="shared" ref="A27:A52" si="9">B27&amp;"_"&amp;C27</f>
        <v>40023400_40023402</v>
      </c>
      <c r="B27" s="47">
        <v>40023400</v>
      </c>
      <c r="C27" s="111">
        <v>40023402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やらせねェよ！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2ターンスキルバインド＋攻撃</v>
      </c>
      <c r="F27" s="111">
        <v>40023402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7" s="47"/>
      <c r="Q27" s="47"/>
      <c r="R27" s="47"/>
    </row>
    <row r="28" spans="1:18" ht="21" customHeight="1" x14ac:dyDescent="0.15">
      <c r="A28" s="39" t="str">
        <f t="shared" si="9"/>
        <v>40023400_40023403</v>
      </c>
      <c r="B28" s="47">
        <v>40023400</v>
      </c>
      <c r="C28" s="111">
        <v>40023403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何処に当たるかな？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8" s="111">
        <v>40023403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9"/>
        <v>40023400_40023404</v>
      </c>
      <c r="B29" s="47">
        <v>40023400</v>
      </c>
      <c r="C29" s="111">
        <v>40023404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足元に気をつけな！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2回連続攻撃＋2ターンタップ回数を1DOWN</v>
      </c>
      <c r="F29" s="111">
        <v>40023404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9"/>
        <v>40023400_40023405</v>
      </c>
      <c r="B30" s="47">
        <v>40023400</v>
      </c>
      <c r="C30" s="111">
        <v>40023405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捌き切れるか？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0" s="111">
        <v>40023405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9"/>
        <v>40023400_40023406</v>
      </c>
      <c r="B31" s="47">
        <v>40023400</v>
      </c>
      <c r="C31" s="111">
        <v>40023406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ヨッシャ！ようやく奴を見つけたぜェ！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…って、うォ！？何だお前ら！邪魔する気か？</v>
      </c>
      <c r="F31" s="111">
        <v>40023406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33" si="10">B32&amp;"_"&amp;C32</f>
        <v>40023400_40023407</v>
      </c>
      <c r="B32" s="47">
        <v>40023400</v>
      </c>
      <c r="C32" s="111">
        <v>40023407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旦那、いい所に！奴はこの先です！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手馴しなら付き合いますぜェ！</v>
      </c>
      <c r="F32" s="111">
        <v>40023407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0"/>
        <v>40023400_40023408</v>
      </c>
      <c r="B33" s="47">
        <v>40023400</v>
      </c>
      <c r="C33" s="111">
        <v>40023408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旦那、いい所に！奴はこの先です！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手馴しなら付き合いますぜェ！</v>
      </c>
      <c r="F33" s="111">
        <v>40023408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36" si="11">B34&amp;"_"&amp;C34</f>
        <v>40023400_40023409</v>
      </c>
      <c r="B34" s="47">
        <v>40023400</v>
      </c>
      <c r="C34" s="111">
        <v>40023409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旦那、いい所に！奴はこの先です！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手馴しなら付き合いますぜェ！</v>
      </c>
      <c r="F34" s="111">
        <v>40023409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1"/>
        <v>40023400_40023410</v>
      </c>
      <c r="B35" s="47">
        <v>40023400</v>
      </c>
      <c r="C35" s="111">
        <v>40023410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さすが旦那！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頑張ってきてくだせェ！</v>
      </c>
      <c r="F35" s="111">
        <v>40023410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1"/>
        <v>40023400_40023411</v>
      </c>
      <c r="B36" s="47">
        <v>40023400</v>
      </c>
      <c r="C36" s="111">
        <v>40023411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さすが旦那！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頑張ってきてくだせェ！</v>
      </c>
      <c r="F36" s="111">
        <v>40023411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12">B37&amp;"_"&amp;C37</f>
        <v>40023400_40023412</v>
      </c>
      <c r="B37" s="47">
        <v>40023400</v>
      </c>
      <c r="C37" s="111">
        <v>40023412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さすが旦那！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頑張ってきてくだせェ！</v>
      </c>
      <c r="F37" s="111">
        <v>40023412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9"/>
        <v>40023500_40023500</v>
      </c>
      <c r="B38" s="47">
        <v>40023500</v>
      </c>
      <c r="C38" s="114">
        <v>40023500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通りたいなら武器を置いて行け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8" s="114">
        <v>40023500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9"/>
        <v>40023500_40023501</v>
      </c>
      <c r="B39" s="47">
        <v>40023500</v>
      </c>
      <c r="C39" s="114">
        <v>40023501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その武器は知っている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緑・黄パネルプロテクト＋攻撃</v>
      </c>
      <c r="F39" s="114">
        <v>40023501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9" s="47"/>
      <c r="Q39" s="47"/>
      <c r="R39" s="47"/>
    </row>
    <row r="40" spans="1:18" ht="21" customHeight="1" x14ac:dyDescent="0.15">
      <c r="A40" s="39" t="str">
        <f t="shared" si="9"/>
        <v>40023500_40023502</v>
      </c>
      <c r="B40" s="47">
        <v>40023500</v>
      </c>
      <c r="C40" s="114">
        <v>40023502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見飽きたな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緑・赤パネルプロテクト＋攻撃</v>
      </c>
      <c r="F40" s="114">
        <v>40023502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0" s="47"/>
      <c r="Q40" s="47"/>
      <c r="R40" s="47"/>
    </row>
    <row r="41" spans="1:18" ht="21" customHeight="1" x14ac:dyDescent="0.15">
      <c r="A41" s="39" t="str">
        <f t="shared" si="9"/>
        <v>40023500_40023503</v>
      </c>
      <c r="B41" s="47">
        <v>40023500</v>
      </c>
      <c r="C41" s="114">
        <v>40023503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つまらん技だな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緑・青パネルプロテクト＋攻撃</v>
      </c>
      <c r="F41" s="114">
        <v>40023503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1" s="47"/>
      <c r="Q41" s="47"/>
      <c r="R41" s="47"/>
    </row>
    <row r="42" spans="1:18" ht="21" customHeight="1" x14ac:dyDescent="0.15">
      <c r="A42" s="39" t="str">
        <f t="shared" si="9"/>
        <v>40023500_40023504</v>
      </c>
      <c r="B42" s="47">
        <v>40023500</v>
      </c>
      <c r="C42" s="114">
        <v>40023504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甘い！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緑・ハートパネルプロテクト＋攻撃</v>
      </c>
      <c r="F42" s="114">
        <v>40023504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9"/>
        <v>40023500_40023505</v>
      </c>
      <c r="B43" s="47">
        <v>40023500</v>
      </c>
      <c r="C43" s="114">
        <v>40023505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この武器ならどうだ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黄パネル5個生成＋攻撃</v>
      </c>
      <c r="F43" s="114">
        <v>40023505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7"/>
      <c r="Q43" s="47"/>
      <c r="R43" s="47"/>
    </row>
    <row r="44" spans="1:18" ht="21" customHeight="1" x14ac:dyDescent="0.15">
      <c r="A44" s="39" t="str">
        <f t="shared" si="9"/>
        <v>40023500_40023506</v>
      </c>
      <c r="B44" s="47">
        <v>40023500</v>
      </c>
      <c r="C44" s="114">
        <v>40023506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岩融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4" s="114">
        <v>40023506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9"/>
        <v>40023500_40023507</v>
      </c>
      <c r="B45" s="47">
        <v>40023500</v>
      </c>
      <c r="C45" s="114">
        <v>40023507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力を見せてみろ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解除されるまでCパネル生成延長＋攻撃</v>
      </c>
      <c r="F45" s="114">
        <v>40023507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:A48" si="13">B46&amp;"_"&amp;C46</f>
        <v>40023500_40023508</v>
      </c>
      <c r="B46" s="47">
        <v>40023500</v>
      </c>
      <c r="C46" s="114">
        <v>40023508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お前…強いな　目を見ればわかる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6" s="114">
        <v>40023508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3"/>
        <v>40023500_40023509</v>
      </c>
      <c r="B47" s="47">
        <v>40023500</v>
      </c>
      <c r="C47" s="114">
        <v>40023509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お前…強いな　目を見ればわかる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7" s="114">
        <v>40023509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3"/>
        <v>40023500_40023510</v>
      </c>
      <c r="B48" s="47">
        <v>40023500</v>
      </c>
      <c r="C48" s="114">
        <v>40023510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お前…強いな　目を見ればわかる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8" s="114">
        <v>40023510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9"/>
        <v>40023600_40023600</v>
      </c>
      <c r="B49" s="47">
        <v>40023600</v>
      </c>
      <c r="C49" s="105">
        <v>40023600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ここからが本番だ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黄・緑パネルがプロテクト状態でドロップ＋状態異常耐性</v>
      </c>
      <c r="F49" s="105">
        <v>40023600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9"/>
        <v>40023600_40023601</v>
      </c>
      <c r="B50" s="47">
        <v>40023600</v>
      </c>
      <c r="C50" s="105">
        <v>40023601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小細工は無しだ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50" s="105">
        <v>40023601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9"/>
        <v>40023600_40023602</v>
      </c>
      <c r="B51" s="47">
        <v>40023600</v>
      </c>
      <c r="C51" s="105">
        <v>40023602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あまり舐めるなよ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緑属性以外のユニットに大ダメージ</v>
      </c>
      <c r="F51" s="105">
        <v>40023602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9"/>
        <v>40023600_40023603</v>
      </c>
      <c r="B52" s="47">
        <v>40023600</v>
      </c>
      <c r="C52" s="105">
        <v>40023603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守る隙など与えん！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防御UPを解除＋7回連続攻撃</v>
      </c>
      <c r="F52" s="105">
        <v>40023603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2" s="47"/>
      <c r="Q52" s="47"/>
      <c r="R52" s="47"/>
    </row>
    <row r="53" spans="1:18" ht="21" customHeight="1" x14ac:dyDescent="0.15">
      <c r="A53" s="39" t="str">
        <f t="shared" ref="A53:A55" si="14">B53&amp;"_"&amp;C53</f>
        <v>40023600_40023604</v>
      </c>
      <c r="B53" s="47">
        <v>40023600</v>
      </c>
      <c r="C53" s="105">
        <v>40023604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反撃などさせん！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カウンター状態を解除＋全体攻撃</v>
      </c>
      <c r="F53" s="105">
        <v>40023604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4"/>
        <v>40023600_40023605</v>
      </c>
      <c r="B54" s="47">
        <v>40023600</v>
      </c>
      <c r="C54" s="105">
        <v>40023605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面白い、勝負だ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黄・緑パネルがプロテクト状態でドロップ＋状態異常耐性</v>
      </c>
      <c r="F54" s="105">
        <v>40023605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4"/>
        <v>40023600_40023606</v>
      </c>
      <c r="B55" s="47">
        <v>40023600</v>
      </c>
      <c r="C55" s="105">
        <v>40023606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面白い、勝負だ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黄・緑パネルがプロテクト状態でドロップ＋状態異常耐性</v>
      </c>
      <c r="F55" s="105">
        <v>40023606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" si="15">B56&amp;"_"&amp;C56</f>
        <v>40023600_40023607</v>
      </c>
      <c r="B56" s="47">
        <v>40023600</v>
      </c>
      <c r="C56" s="105">
        <v>40023607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面白い、勝負だ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黄・緑パネルがプロテクト状態でドロップ＋状態異常耐性</v>
      </c>
      <c r="F56" s="105">
        <v>40023607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63" si="16">B57&amp;"_"&amp;C57</f>
        <v>40023700_40023700</v>
      </c>
      <c r="B57" s="47">
        <v>40023700</v>
      </c>
      <c r="C57" s="111">
        <v>40023700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全力でやらせて貰う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全てのプラス効果を解除＋状態異常耐性</v>
      </c>
      <c r="F57" s="111">
        <v>40023700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6"/>
        <v>40023700_40023701</v>
      </c>
      <c r="B58" s="47">
        <v>40023700</v>
      </c>
      <c r="C58" s="111">
        <v>40023701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その技は見切った！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Cパネルプロテクト＋攻撃</v>
      </c>
      <c r="F58" s="111">
        <v>40023701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6"/>
        <v>40023700_40023702</v>
      </c>
      <c r="B59" s="47">
        <v>40023700</v>
      </c>
      <c r="C59" s="111">
        <v>40023702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俺は倒れん！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2ターン防御力激烈UP</v>
      </c>
      <c r="F59" s="111">
        <v>40023702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6"/>
        <v>40023700_40023703</v>
      </c>
      <c r="B60" s="47">
        <v>40023700</v>
      </c>
      <c r="C60" s="111">
        <v>40023703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これが集めた力だ！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防御UPを解除＋9回連続攻撃</v>
      </c>
      <c r="F60" s="111">
        <v>40023703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0" s="47"/>
      <c r="Q60" s="47"/>
      <c r="R60" s="47"/>
    </row>
    <row r="61" spans="1:18" ht="21" customHeight="1" x14ac:dyDescent="0.15">
      <c r="A61" s="39" t="str">
        <f t="shared" si="16"/>
        <v>40023700_40023704</v>
      </c>
      <c r="B61" s="47">
        <v>40023700</v>
      </c>
      <c r="C61" s="111">
        <v>40023704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全て出し切る！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カウンター状態を解除＋2回連続全体攻撃</v>
      </c>
      <c r="F61" s="111">
        <v>40023704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6"/>
        <v>40023700_40023705</v>
      </c>
      <c r="B62" s="47">
        <v>40023700</v>
      </c>
      <c r="C62" s="111">
        <v>40023705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ここまでやるとはな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次のターンに超強力な攻撃</v>
      </c>
      <c r="F62" s="111">
        <v>40023705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6"/>
        <v>40023700_40023706</v>
      </c>
      <c r="B63" s="47">
        <v>40023700</v>
      </c>
      <c r="C63" s="111">
        <v>40023706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1000番目の力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100000固定ダメージ！</v>
      </c>
      <c r="F63" s="111">
        <v>40023706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:A69" si="17">B64&amp;"_"&amp;C64</f>
        <v>40023700_40023707</v>
      </c>
      <c r="B64" s="47">
        <v>40023700</v>
      </c>
      <c r="C64" s="111">
        <v>40023707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お前の力、俺が貰い受ける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全てのプラス効果を解除＋状態異常耐性</v>
      </c>
      <c r="F64" s="111">
        <v>40023707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7"/>
        <v>40023700_40023708</v>
      </c>
      <c r="B65" s="47">
        <v>40023700</v>
      </c>
      <c r="C65" s="111">
        <v>40023708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お前の力、俺が貰い受ける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全てのプラス効果を解除＋状態異常耐性</v>
      </c>
      <c r="F65" s="111">
        <v>40023708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7"/>
        <v>40023700_40023709</v>
      </c>
      <c r="B66" s="47">
        <v>40023700</v>
      </c>
      <c r="C66" s="111">
        <v>40023709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お前の力、俺が貰い受ける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全てのプラス効果を解除＋状態異常耐性</v>
      </c>
      <c r="F66" s="111">
        <v>40023709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7"/>
        <v>40023700_40023710</v>
      </c>
      <c r="B67" s="47">
        <v>40023700</v>
      </c>
      <c r="C67" s="111">
        <v>40023710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…完敗だ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いいだろう　手を貸してやる</v>
      </c>
      <c r="F67" s="111">
        <v>40023710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7"/>
        <v>40023700_40023711</v>
      </c>
      <c r="B68" s="47">
        <v>40023700</v>
      </c>
      <c r="C68" s="111">
        <v>40023711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…完敗だ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いいだろう　手を貸してやる</v>
      </c>
      <c r="F68" s="111">
        <v>40023711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7"/>
        <v>40023700_40023712</v>
      </c>
      <c r="B69" s="47">
        <v>40023700</v>
      </c>
      <c r="C69" s="111">
        <v>40023712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…完敗だ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いいだろう　手を貸してやる</v>
      </c>
      <c r="F69" s="111">
        <v>40023712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:A78" si="18">B70&amp;"_"&amp;C70</f>
        <v>40023700_40023713</v>
      </c>
      <c r="B70" s="47">
        <v>40023700</v>
      </c>
      <c r="C70" s="111">
        <v>40023713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その程度では効かん！</v>
      </c>
      <c r="E70" s="46">
        <f ca="1">VLOOKUP($C70,OFFSET(enemy_skills!$A$1,0,0,COUNTA(enemy_skills!$A:$A),MATCH(E$1,enemy_skills!$1:$1,0)-MATCH("enemy_skill_id",enemy_skills!$1:$1,0)+1),MATCH(E$1,enemy_skills!$1:$1,0)-MATCH("enemy_skill_id",enemy_skills!$1:$1,0)+1,FALSE)</f>
        <v>0</v>
      </c>
      <c r="F70" s="111">
        <v>40023713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8"/>
        <v>40023800_40023800</v>
      </c>
      <c r="B71" s="47">
        <v>40023800</v>
      </c>
      <c r="C71" s="105">
        <v>40023800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ここからが本番だ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1" s="105">
        <v>40023800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8"/>
        <v>40023800_40023801</v>
      </c>
      <c r="B72" s="47">
        <v>40023800</v>
      </c>
      <c r="C72" s="105">
        <v>40023801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小細工は無しだ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72" s="105">
        <v>40023801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8"/>
        <v>40023800_40023802</v>
      </c>
      <c r="B73" s="47">
        <v>40023800</v>
      </c>
      <c r="C73" s="105">
        <v>40023802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あまり舐めるなよ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緑属性以外のユニットに大ダメージ</v>
      </c>
      <c r="F73" s="105">
        <v>40023802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8"/>
        <v>40023800_40023803</v>
      </c>
      <c r="B74" s="47">
        <v>40023800</v>
      </c>
      <c r="C74" s="105">
        <v>40023803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守る隙など与えん！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防御UPを解除＋7回連続攻撃</v>
      </c>
      <c r="F74" s="105">
        <v>40023803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4" s="47"/>
      <c r="Q74" s="47"/>
      <c r="R74" s="47"/>
    </row>
    <row r="75" spans="1:18" ht="21" customHeight="1" x14ac:dyDescent="0.15">
      <c r="A75" s="39" t="str">
        <f t="shared" si="18"/>
        <v>40023800_40023804</v>
      </c>
      <c r="B75" s="47">
        <v>40023800</v>
      </c>
      <c r="C75" s="105">
        <v>40023804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反撃などさせん！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カウンター状態を解除＋全体攻撃</v>
      </c>
      <c r="F75" s="105">
        <v>40023804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8"/>
        <v>40023800_40023805</v>
      </c>
      <c r="B76" s="47">
        <v>40023800</v>
      </c>
      <c r="C76" s="105">
        <v>40023805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面白い、勝負だ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6" s="105">
        <v>40023805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1028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8"/>
        <v>40023800_40023806</v>
      </c>
      <c r="B77" s="47">
        <v>40023800</v>
      </c>
      <c r="C77" s="105">
        <v>40023806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面白い、勝負だ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7" s="105">
        <v>40023806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1029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8"/>
        <v>40023800_40023807</v>
      </c>
      <c r="B78" s="47">
        <v>40023800</v>
      </c>
      <c r="C78" s="105">
        <v>40023807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面白い、勝負だ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8" s="105">
        <v>40023807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1030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8"/>
  <sheetViews>
    <sheetView showGridLines="0" tabSelected="1" workbookViewId="0">
      <pane ySplit="1" topLeftCell="A19" activePane="bottomLeft" state="frozenSplit"/>
      <selection pane="bottomLeft" activeCell="D36" sqref="D3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90.33203125" style="49" customWidth="1"/>
    <col min="3" max="4" width="12.83203125" style="49"/>
    <col min="5" max="5" width="30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5">
        <v>40023000</v>
      </c>
      <c r="B2" s="105" t="s">
        <v>284</v>
      </c>
      <c r="C2" s="106">
        <v>3</v>
      </c>
      <c r="D2" s="106" t="s">
        <v>127</v>
      </c>
      <c r="E2" s="107" t="s">
        <v>328</v>
      </c>
      <c r="F2" s="107" t="s">
        <v>256</v>
      </c>
      <c r="G2" s="63" t="str">
        <f t="shared" ref="G2:G45" si="0">IFERROR(LEFT(B2,FIND("],",B2)),B2)</f>
        <v>[effect:critical, val:1, animation:enemy_critical]</v>
      </c>
      <c r="H2" s="63">
        <f t="shared" ref="H2:H63" si="1">FIND("effect:",G2)+7</f>
        <v>9</v>
      </c>
      <c r="I2" s="63">
        <f t="shared" ref="I2:I45" si="2">IFERROR(FIND(",",G2),LEN(G2))</f>
        <v>17</v>
      </c>
      <c r="J2" s="63" t="e">
        <f t="shared" ref="J2:J45" si="3">FIND("target:",G2)+7</f>
        <v>#VALUE!</v>
      </c>
      <c r="K2" s="63">
        <f t="shared" ref="K2:K45" si="4">FIND(",",G2,I2+1)</f>
        <v>24</v>
      </c>
      <c r="L2" s="63" t="str">
        <f>IFERROR(VLOOKUP(MID(G2,J2,K2-J2),[6]skilldef!$C:$D,2,FALSE),"-") &amp; " / " &amp; IFERROR(VLOOKUP(MID(G2,H2,I2-H2),[6]skilldef!$A:$B,2,FALSE),"-")</f>
        <v>- / 大攻撃</v>
      </c>
      <c r="M2" s="63" t="str">
        <f t="shared" ref="M2:M45" si="5">IFERROR(RIGHT(B2,LEN(B2)-FIND("],",B2)-1),"none")</f>
        <v>none</v>
      </c>
      <c r="N2" s="48" t="str">
        <f>IFERROR(LEFT(M2,FIND("],",M2)+S20),M2)</f>
        <v>none</v>
      </c>
      <c r="O2" s="63" t="e">
        <f t="shared" ref="O2:O63" si="6">FIND("effect:",N2)+7</f>
        <v>#VALUE!</v>
      </c>
      <c r="P2" s="63">
        <f t="shared" ref="P2:P45" si="7">IFERROR(FIND(",",N2),LEN(N2))</f>
        <v>4</v>
      </c>
      <c r="Q2" s="63" t="e">
        <f t="shared" ref="Q2:Q45" si="8">FIND("target:",N2)+7</f>
        <v>#VALUE!</v>
      </c>
      <c r="R2" s="63" t="e">
        <f t="shared" ref="R2:R45" si="9"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 t="shared" ref="T2:T45" si="10">IFERROR(RIGHT(M2,LEN(M2)-FIND("],",M2)-1),"none")</f>
        <v>none</v>
      </c>
      <c r="U2" s="63" t="e">
        <f t="shared" ref="U2:U63" si="11">FIND("effect:",T2)+7</f>
        <v>#VALUE!</v>
      </c>
      <c r="V2" s="63">
        <f t="shared" ref="V2:V45" si="12">IFERROR(FIND(",",T2),LEN(T2))</f>
        <v>4</v>
      </c>
      <c r="W2" s="63" t="e">
        <f t="shared" ref="W2:W45" si="13">FIND("target:",T2)+7</f>
        <v>#VALUE!</v>
      </c>
      <c r="X2" s="63" t="e">
        <f t="shared" ref="X2:X45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1" customHeight="1" x14ac:dyDescent="0.15">
      <c r="A3" s="105">
        <v>40023001</v>
      </c>
      <c r="B3" s="105" t="s">
        <v>260</v>
      </c>
      <c r="C3" s="106">
        <v>3</v>
      </c>
      <c r="D3" s="106" t="s">
        <v>127</v>
      </c>
      <c r="E3" s="107" t="s">
        <v>340</v>
      </c>
      <c r="F3" s="107" t="s">
        <v>410</v>
      </c>
      <c r="G3" s="63" t="str">
        <f t="shared" si="0"/>
        <v>[effect:rush, count:3, val:0.4]</v>
      </c>
      <c r="H3" s="63">
        <f t="shared" si="1"/>
        <v>9</v>
      </c>
      <c r="I3" s="63">
        <f t="shared" si="2"/>
        <v>13</v>
      </c>
      <c r="J3" s="63" t="e">
        <f t="shared" si="3"/>
        <v>#VALUE!</v>
      </c>
      <c r="K3" s="63">
        <f t="shared" si="4"/>
        <v>22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 t="shared" si="5"/>
        <v>none</v>
      </c>
      <c r="N3" s="48" t="str">
        <f>IFERROR(LEFT(M3,FIND("],",M3)+#REF!),M3)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1" customHeight="1" x14ac:dyDescent="0.15">
      <c r="A4" s="105">
        <v>40023002</v>
      </c>
      <c r="B4" s="105" t="s">
        <v>297</v>
      </c>
      <c r="C4" s="106">
        <v>3</v>
      </c>
      <c r="D4" s="106" t="s">
        <v>127</v>
      </c>
      <c r="E4" s="107" t="s">
        <v>369</v>
      </c>
      <c r="F4" s="107" t="s">
        <v>257</v>
      </c>
      <c r="G4" s="63" t="str">
        <f t="shared" si="0"/>
        <v>[effect:remove_enhancement, target:unit_all, target_effect:enhance, target_type:buff, animation:frozen_wave]</v>
      </c>
      <c r="H4" s="63">
        <f t="shared" si="1"/>
        <v>9</v>
      </c>
      <c r="I4" s="63">
        <f t="shared" si="2"/>
        <v>27</v>
      </c>
      <c r="J4" s="63">
        <f t="shared" si="3"/>
        <v>36</v>
      </c>
      <c r="K4" s="63">
        <f t="shared" si="4"/>
        <v>44</v>
      </c>
      <c r="L4" s="63" t="str">
        <f>IFERROR(VLOOKUP(MID(G4,J4,K4-J4),[6]skilldef!$C:$D,2,FALSE),"-") &amp; " / " &amp; IFERROR(VLOOKUP(MID(G4,H4,I4-H4),[6]skilldef!$A:$B,2,FALSE),"-")</f>
        <v>味方全体に / -</v>
      </c>
      <c r="M4" s="63" t="str">
        <f t="shared" si="5"/>
        <v>none</v>
      </c>
      <c r="N4" s="48" t="str">
        <f t="shared" ref="N4:N10" si="15">IFERROR(LEFT(M4,FIND("],",M4)+S25),M4)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21" customHeight="1" x14ac:dyDescent="0.15">
      <c r="A5" s="105">
        <v>40023003</v>
      </c>
      <c r="B5" s="105" t="s">
        <v>258</v>
      </c>
      <c r="C5" s="106">
        <v>3</v>
      </c>
      <c r="D5" s="106" t="s">
        <v>127</v>
      </c>
      <c r="E5" s="107" t="s">
        <v>372</v>
      </c>
      <c r="F5" s="107" t="s">
        <v>259</v>
      </c>
      <c r="G5" s="63" t="str">
        <f t="shared" si="0"/>
        <v>[effect:freq_turn, target:myself, turn:-1, val:1, animation:enemy_freq_turn]</v>
      </c>
      <c r="H5" s="63">
        <f t="shared" si="1"/>
        <v>9</v>
      </c>
      <c r="I5" s="63">
        <f t="shared" si="2"/>
        <v>18</v>
      </c>
      <c r="J5" s="63">
        <f t="shared" si="3"/>
        <v>27</v>
      </c>
      <c r="K5" s="63">
        <f t="shared" si="4"/>
        <v>33</v>
      </c>
      <c r="L5" s="63" t="str">
        <f>IFERROR(VLOOKUP(MID(G5,J5,K5-J5),[6]skilldef!$C:$D,2,FALSE),"-") &amp; " / " &amp; IFERROR(VLOOKUP(MID(G5,H5,I5-H5),[6]skilldef!$A:$B,2,FALSE),"-")</f>
        <v>自分自身に / 攻撃頻度がUP</v>
      </c>
      <c r="M5" s="63" t="str">
        <f t="shared" si="5"/>
        <v>none</v>
      </c>
      <c r="N5" s="48" t="str">
        <f t="shared" si="15"/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1" customHeight="1" x14ac:dyDescent="0.15">
      <c r="A6" s="105">
        <v>40023004</v>
      </c>
      <c r="B6" s="105" t="s">
        <v>261</v>
      </c>
      <c r="C6" s="106">
        <v>3</v>
      </c>
      <c r="D6" s="106" t="s">
        <v>127</v>
      </c>
      <c r="E6" s="107" t="s">
        <v>339</v>
      </c>
      <c r="F6" s="107" t="s">
        <v>411</v>
      </c>
      <c r="G6" s="63" t="str">
        <f t="shared" si="0"/>
        <v>[effect:rush, count:5, val:0.3]</v>
      </c>
      <c r="H6" s="63">
        <f t="shared" si="1"/>
        <v>9</v>
      </c>
      <c r="I6" s="63">
        <f t="shared" si="2"/>
        <v>13</v>
      </c>
      <c r="J6" s="63" t="e">
        <f t="shared" si="3"/>
        <v>#VALUE!</v>
      </c>
      <c r="K6" s="63">
        <f t="shared" si="4"/>
        <v>22</v>
      </c>
      <c r="L6" s="63" t="str">
        <f>IFERROR(VLOOKUP(MID(G6,J6,K6-J6),[6]skilldef!$C:$D,2,FALSE),"-") &amp; " / " &amp; IFERROR(VLOOKUP(MID(G6,H6,I6-H6),[6]skilldef!$A:$B,2,FALSE),"-")</f>
        <v>- / 連続攻撃</v>
      </c>
      <c r="M6" s="63" t="str">
        <f t="shared" si="5"/>
        <v>none</v>
      </c>
      <c r="N6" s="48" t="str">
        <f t="shared" si="15"/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21" customHeight="1" x14ac:dyDescent="0.15">
      <c r="A7" s="105">
        <v>40023005</v>
      </c>
      <c r="B7" s="105" t="s">
        <v>365</v>
      </c>
      <c r="C7" s="106">
        <v>3</v>
      </c>
      <c r="D7" s="106" t="s">
        <v>127</v>
      </c>
      <c r="E7" s="107" t="s">
        <v>337</v>
      </c>
      <c r="F7" s="107" t="s">
        <v>354</v>
      </c>
      <c r="G7" s="63" t="str">
        <f t="shared" ref="G7" si="16">IFERROR(LEFT(B7,FIND("],",B7)),B7)</f>
        <v>[effect:fix_speed, target:myself, turn:2]</v>
      </c>
      <c r="H7" s="63">
        <f t="shared" ref="H7" si="17">FIND("effect:",G7)+7</f>
        <v>9</v>
      </c>
      <c r="I7" s="63">
        <f t="shared" ref="I7" si="18">IFERROR(FIND(",",G7),LEN(G7))</f>
        <v>18</v>
      </c>
      <c r="J7" s="63">
        <f t="shared" ref="J7" si="19">FIND("target:",G7)+7</f>
        <v>27</v>
      </c>
      <c r="K7" s="63">
        <f t="shared" ref="K7" si="20">FIND(",",G7,I7+1)</f>
        <v>33</v>
      </c>
      <c r="L7" s="63" t="str">
        <f>IFERROR(VLOOKUP(MID(G7,J7,K7-J7),[6]skilldef!$C:$D,2,FALSE),"-") &amp; " / " &amp; IFERROR(VLOOKUP(MID(G7,H7,I7-H7),[6]skilldef!$A:$B,2,FALSE),"-")</f>
        <v>自分自身に / 行動値設定</v>
      </c>
      <c r="M7" s="63" t="str">
        <f t="shared" ref="M7" si="21">IFERROR(RIGHT(B7,LEN(B7)-FIND("],",B7)-1),"none")</f>
        <v>[effect:enemy_message, val1:2.0, val2:2.8]</v>
      </c>
      <c r="N7" s="48" t="str">
        <f t="shared" si="15"/>
        <v>[effect:enemy_message, val1:2.0, val2:2.8]</v>
      </c>
      <c r="O7" s="63">
        <f t="shared" ref="O7" si="22">FIND("effect:",N7)+7</f>
        <v>9</v>
      </c>
      <c r="P7" s="63">
        <f t="shared" ref="P7" si="23">IFERROR(FIND(",",N7),LEN(N7))</f>
        <v>22</v>
      </c>
      <c r="Q7" s="63" t="e">
        <f t="shared" ref="Q7" si="24">FIND("target:",N7)+7</f>
        <v>#VALUE!</v>
      </c>
      <c r="R7" s="63">
        <f t="shared" ref="R7" si="25">FIND(",",N7,P7+1)</f>
        <v>32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ref="T7" si="26">IFERROR(RIGHT(M7,LEN(M7)-FIND("],",M7)-1),"none")</f>
        <v>none</v>
      </c>
      <c r="U7" s="63" t="e">
        <f t="shared" ref="U7" si="27">FIND("effect:",T7)+7</f>
        <v>#VALUE!</v>
      </c>
      <c r="V7" s="63">
        <f t="shared" ref="V7" si="28">IFERROR(FIND(",",T7),LEN(T7))</f>
        <v>4</v>
      </c>
      <c r="W7" s="63" t="e">
        <f t="shared" ref="W7" si="29">FIND("target:",T7)+7</f>
        <v>#VALUE!</v>
      </c>
      <c r="X7" s="63" t="e">
        <f t="shared" ref="X7" si="30">FIND(",",T7,V7+1)</f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37" customHeight="1" x14ac:dyDescent="0.15">
      <c r="A8" s="105">
        <v>40023006</v>
      </c>
      <c r="B8" s="105" t="s">
        <v>366</v>
      </c>
      <c r="C8" s="106">
        <v>3</v>
      </c>
      <c r="D8" s="106" t="s">
        <v>127</v>
      </c>
      <c r="E8" s="107" t="s">
        <v>361</v>
      </c>
      <c r="F8" s="107" t="s">
        <v>391</v>
      </c>
      <c r="G8" s="63" t="str">
        <f t="shared" ref="G8" si="31">IFERROR(LEFT(B8,FIND("],",B8)),B8)</f>
        <v>[effect:fix_speed, target:myself, turn:2]</v>
      </c>
      <c r="H8" s="63">
        <f t="shared" ref="H8" si="32">FIND("effect:",G8)+7</f>
        <v>9</v>
      </c>
      <c r="I8" s="63">
        <f t="shared" ref="I8" si="33">IFERROR(FIND(",",G8),LEN(G8))</f>
        <v>18</v>
      </c>
      <c r="J8" s="63">
        <f t="shared" ref="J8" si="34">FIND("target:",G8)+7</f>
        <v>27</v>
      </c>
      <c r="K8" s="63">
        <f t="shared" ref="K8" si="35">FIND(",",G8,I8+1)</f>
        <v>33</v>
      </c>
      <c r="L8" s="63" t="str">
        <f>IFERROR(VLOOKUP(MID(G8,J8,K8-J8),[6]skilldef!$C:$D,2,FALSE),"-") &amp; " / " &amp; IFERROR(VLOOKUP(MID(G8,H8,I8-H8),[6]skilldef!$A:$B,2,FALSE),"-")</f>
        <v>自分自身に / 行動値設定</v>
      </c>
      <c r="M8" s="63" t="str">
        <f t="shared" ref="M8" si="36">IFERROR(RIGHT(B8,LEN(B8)-FIND("],",B8)-1),"none")</f>
        <v>[effect:enemy_message, val1:2.2, val2:2.8]</v>
      </c>
      <c r="N8" s="48" t="str">
        <f t="shared" si="15"/>
        <v>[effect:enemy_message, val1:2.2, val2:2.8]</v>
      </c>
      <c r="O8" s="63">
        <f t="shared" ref="O8" si="37">FIND("effect:",N8)+7</f>
        <v>9</v>
      </c>
      <c r="P8" s="63">
        <f t="shared" ref="P8" si="38">IFERROR(FIND(",",N8),LEN(N8))</f>
        <v>22</v>
      </c>
      <c r="Q8" s="63" t="e">
        <f t="shared" ref="Q8" si="39">FIND("target:",N8)+7</f>
        <v>#VALUE!</v>
      </c>
      <c r="R8" s="63">
        <f t="shared" ref="R8" si="40">FIND(",",N8,P8+1)</f>
        <v>32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ref="T8" si="41">IFERROR(RIGHT(M8,LEN(M8)-FIND("],",M8)-1),"none")</f>
        <v>none</v>
      </c>
      <c r="U8" s="63" t="e">
        <f t="shared" ref="U8" si="42">FIND("effect:",T8)+7</f>
        <v>#VALUE!</v>
      </c>
      <c r="V8" s="63">
        <f t="shared" ref="V8" si="43">IFERROR(FIND(",",T8),LEN(T8))</f>
        <v>4</v>
      </c>
      <c r="W8" s="63" t="e">
        <f t="shared" ref="W8" si="44">FIND("target:",T8)+7</f>
        <v>#VALUE!</v>
      </c>
      <c r="X8" s="63" t="e">
        <f t="shared" ref="X8" si="45">FIND(",",T8,V8+1)</f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37" customHeight="1" x14ac:dyDescent="0.15">
      <c r="A9" s="105">
        <v>40023007</v>
      </c>
      <c r="B9" s="105" t="s">
        <v>366</v>
      </c>
      <c r="C9" s="106">
        <v>3</v>
      </c>
      <c r="D9" s="106" t="s">
        <v>127</v>
      </c>
      <c r="E9" s="107" t="s">
        <v>361</v>
      </c>
      <c r="F9" s="107" t="s">
        <v>391</v>
      </c>
      <c r="G9" s="63" t="str">
        <f t="shared" ref="G9" si="46">IFERROR(LEFT(B9,FIND("],",B9)),B9)</f>
        <v>[effect:fix_speed, target:myself, turn:2]</v>
      </c>
      <c r="H9" s="63">
        <f t="shared" ref="H9" si="47">FIND("effect:",G9)+7</f>
        <v>9</v>
      </c>
      <c r="I9" s="63">
        <f t="shared" ref="I9" si="48">IFERROR(FIND(",",G9),LEN(G9))</f>
        <v>18</v>
      </c>
      <c r="J9" s="63">
        <f t="shared" ref="J9" si="49">FIND("target:",G9)+7</f>
        <v>27</v>
      </c>
      <c r="K9" s="63">
        <f t="shared" ref="K9" si="50">FIND(",",G9,I9+1)</f>
        <v>33</v>
      </c>
      <c r="L9" s="63" t="str">
        <f>IFERROR(VLOOKUP(MID(G9,J9,K9-J9),[6]skilldef!$C:$D,2,FALSE),"-") &amp; " / " &amp; IFERROR(VLOOKUP(MID(G9,H9,I9-H9),[6]skilldef!$A:$B,2,FALSE),"-")</f>
        <v>自分自身に / 行動値設定</v>
      </c>
      <c r="M9" s="63" t="str">
        <f t="shared" ref="M9" si="51">IFERROR(RIGHT(B9,LEN(B9)-FIND("],",B9)-1),"none")</f>
        <v>[effect:enemy_message, val1:2.2, val2:2.8]</v>
      </c>
      <c r="N9" s="48" t="str">
        <f t="shared" si="15"/>
        <v>[effect:enemy_message, val1:2.2, val2:2.8]</v>
      </c>
      <c r="O9" s="63">
        <f t="shared" ref="O9" si="52">FIND("effect:",N9)+7</f>
        <v>9</v>
      </c>
      <c r="P9" s="63">
        <f t="shared" ref="P9" si="53">IFERROR(FIND(",",N9),LEN(N9))</f>
        <v>22</v>
      </c>
      <c r="Q9" s="63" t="e">
        <f t="shared" ref="Q9" si="54">FIND("target:",N9)+7</f>
        <v>#VALUE!</v>
      </c>
      <c r="R9" s="63">
        <f t="shared" ref="R9" si="55">FIND(",",N9,P9+1)</f>
        <v>32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ref="T9" si="56">IFERROR(RIGHT(M9,LEN(M9)-FIND("],",M9)-1),"none")</f>
        <v>none</v>
      </c>
      <c r="U9" s="63" t="e">
        <f t="shared" ref="U9" si="57">FIND("effect:",T9)+7</f>
        <v>#VALUE!</v>
      </c>
      <c r="V9" s="63">
        <f t="shared" ref="V9" si="58">IFERROR(FIND(",",T9),LEN(T9))</f>
        <v>4</v>
      </c>
      <c r="W9" s="63" t="e">
        <f t="shared" ref="W9" si="59">FIND("target:",T9)+7</f>
        <v>#VALUE!</v>
      </c>
      <c r="X9" s="63" t="e">
        <f t="shared" ref="X9" si="60"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37" customHeight="1" x14ac:dyDescent="0.15">
      <c r="A10" s="105">
        <v>40023008</v>
      </c>
      <c r="B10" s="105" t="s">
        <v>366</v>
      </c>
      <c r="C10" s="106">
        <v>3</v>
      </c>
      <c r="D10" s="106" t="s">
        <v>127</v>
      </c>
      <c r="E10" s="107" t="s">
        <v>361</v>
      </c>
      <c r="F10" s="107" t="s">
        <v>391</v>
      </c>
      <c r="G10" s="63" t="str">
        <f t="shared" ref="G10" si="61">IFERROR(LEFT(B10,FIND("],",B10)),B10)</f>
        <v>[effect:fix_speed, target:myself, turn:2]</v>
      </c>
      <c r="H10" s="63">
        <f t="shared" ref="H10" si="62">FIND("effect:",G10)+7</f>
        <v>9</v>
      </c>
      <c r="I10" s="63">
        <f t="shared" ref="I10" si="63">IFERROR(FIND(",",G10),LEN(G10))</f>
        <v>18</v>
      </c>
      <c r="J10" s="63">
        <f t="shared" ref="J10" si="64">FIND("target:",G10)+7</f>
        <v>27</v>
      </c>
      <c r="K10" s="63">
        <f t="shared" ref="K10" si="65">FIND(",",G10,I10+1)</f>
        <v>33</v>
      </c>
      <c r="L10" s="63" t="str">
        <f>IFERROR(VLOOKUP(MID(G10,J10,K10-J10),[6]skilldef!$C:$D,2,FALSE),"-") &amp; " / " &amp; IFERROR(VLOOKUP(MID(G10,H10,I10-H10),[6]skilldef!$A:$B,2,FALSE),"-")</f>
        <v>自分自身に / 行動値設定</v>
      </c>
      <c r="M10" s="63" t="str">
        <f t="shared" ref="M10" si="66">IFERROR(RIGHT(B10,LEN(B10)-FIND("],",B10)-1),"none")</f>
        <v>[effect:enemy_message, val1:2.2, val2:2.8]</v>
      </c>
      <c r="N10" s="48" t="str">
        <f t="shared" si="15"/>
        <v>[effect:enemy_message, val1:2.2, val2:2.8]</v>
      </c>
      <c r="O10" s="63">
        <f t="shared" ref="O10" si="67">FIND("effect:",N10)+7</f>
        <v>9</v>
      </c>
      <c r="P10" s="63">
        <f t="shared" ref="P10" si="68">IFERROR(FIND(",",N10),LEN(N10))</f>
        <v>22</v>
      </c>
      <c r="Q10" s="63" t="e">
        <f t="shared" ref="Q10" si="69">FIND("target:",N10)+7</f>
        <v>#VALUE!</v>
      </c>
      <c r="R10" s="63">
        <f t="shared" ref="R10" si="70">FIND(",",N10,P10+1)</f>
        <v>32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ref="T10" si="71">IFERROR(RIGHT(M10,LEN(M10)-FIND("],",M10)-1),"none")</f>
        <v>none</v>
      </c>
      <c r="U10" s="63" t="e">
        <f t="shared" ref="U10" si="72">FIND("effect:",T10)+7</f>
        <v>#VALUE!</v>
      </c>
      <c r="V10" s="63">
        <f t="shared" ref="V10" si="73">IFERROR(FIND(",",T10),LEN(T10))</f>
        <v>4</v>
      </c>
      <c r="W10" s="63" t="e">
        <f t="shared" ref="W10" si="74">FIND("target:",T10)+7</f>
        <v>#VALUE!</v>
      </c>
      <c r="X10" s="63" t="e">
        <f t="shared" ref="X10" si="75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37" customHeight="1" x14ac:dyDescent="0.15">
      <c r="A11" s="105">
        <v>40023009</v>
      </c>
      <c r="B11" s="105" t="s">
        <v>367</v>
      </c>
      <c r="C11" s="106">
        <v>3</v>
      </c>
      <c r="D11" s="106" t="s">
        <v>127</v>
      </c>
      <c r="E11" s="107" t="s">
        <v>370</v>
      </c>
      <c r="F11" s="107" t="s">
        <v>362</v>
      </c>
      <c r="G11" s="63" t="str">
        <f t="shared" ref="G11" si="76">IFERROR(LEFT(B11,FIND("],",B11)),B11)</f>
        <v>[effect:enemy_message, val1:1.4, val2:3.2]</v>
      </c>
      <c r="H11" s="63">
        <f t="shared" ref="H11" si="77">FIND("effect:",G11)+7</f>
        <v>9</v>
      </c>
      <c r="I11" s="63">
        <f t="shared" ref="I11" si="78">IFERROR(FIND(",",G11),LEN(G11))</f>
        <v>22</v>
      </c>
      <c r="J11" s="63" t="e">
        <f t="shared" ref="J11" si="79">FIND("target:",G11)+7</f>
        <v>#VALUE!</v>
      </c>
      <c r="K11" s="63">
        <f t="shared" ref="K11" si="80">FIND(",",G11,I11+1)</f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ref="M11" si="81">IFERROR(RIGHT(B11,LEN(B11)-FIND("],",B11)-1),"none")</f>
        <v>none</v>
      </c>
      <c r="N11" s="48" t="str">
        <f>IFERROR(LEFT(M11,FIND("],",M11)+S38),M11)</f>
        <v>none</v>
      </c>
      <c r="O11" s="63" t="e">
        <f t="shared" ref="O11" si="82">FIND("effect:",N11)+7</f>
        <v>#VALUE!</v>
      </c>
      <c r="P11" s="63">
        <f t="shared" ref="P11" si="83">IFERROR(FIND(",",N11),LEN(N11))</f>
        <v>4</v>
      </c>
      <c r="Q11" s="63" t="e">
        <f t="shared" ref="Q11" si="84">FIND("target:",N11)+7</f>
        <v>#VALUE!</v>
      </c>
      <c r="R11" s="63" t="e">
        <f t="shared" ref="R11" si="85">FIND(",",N11,P11+1)</f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ref="T11" si="86">IFERROR(RIGHT(M11,LEN(M11)-FIND("],",M11)-1),"none")</f>
        <v>none</v>
      </c>
      <c r="U11" s="63" t="e">
        <f t="shared" ref="U11" si="87">FIND("effect:",T11)+7</f>
        <v>#VALUE!</v>
      </c>
      <c r="V11" s="63">
        <f t="shared" ref="V11" si="88">IFERROR(FIND(",",T11),LEN(T11))</f>
        <v>4</v>
      </c>
      <c r="W11" s="63" t="e">
        <f t="shared" ref="W11" si="89">FIND("target:",T11)+7</f>
        <v>#VALUE!</v>
      </c>
      <c r="X11" s="63" t="e">
        <f t="shared" ref="X11" si="90">FIND(",",T11,V11+1)</f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37" customHeight="1" x14ac:dyDescent="0.15">
      <c r="A12" s="105">
        <v>40023010</v>
      </c>
      <c r="B12" s="105" t="s">
        <v>367</v>
      </c>
      <c r="C12" s="106">
        <v>3</v>
      </c>
      <c r="D12" s="106" t="s">
        <v>127</v>
      </c>
      <c r="E12" s="107" t="s">
        <v>371</v>
      </c>
      <c r="F12" s="107" t="s">
        <v>363</v>
      </c>
      <c r="G12" s="63" t="str">
        <f t="shared" ref="G12" si="91">IFERROR(LEFT(B12,FIND("],",B12)),B12)</f>
        <v>[effect:enemy_message, val1:1.4, val2:3.2]</v>
      </c>
      <c r="H12" s="63">
        <f t="shared" ref="H12" si="92">FIND("effect:",G12)+7</f>
        <v>9</v>
      </c>
      <c r="I12" s="63">
        <f t="shared" ref="I12" si="93">IFERROR(FIND(",",G12),LEN(G12))</f>
        <v>22</v>
      </c>
      <c r="J12" s="63" t="e">
        <f t="shared" ref="J12" si="94">FIND("target:",G12)+7</f>
        <v>#VALUE!</v>
      </c>
      <c r="K12" s="63">
        <f t="shared" ref="K12" si="95">FIND(",",G12,I12+1)</f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ref="M12" si="96">IFERROR(RIGHT(B12,LEN(B12)-FIND("],",B12)-1),"none")</f>
        <v>none</v>
      </c>
      <c r="N12" s="48" t="str">
        <f>IFERROR(LEFT(M12,FIND("],",M12)+S39),M12)</f>
        <v>none</v>
      </c>
      <c r="O12" s="63" t="e">
        <f t="shared" ref="O12" si="97">FIND("effect:",N12)+7</f>
        <v>#VALUE!</v>
      </c>
      <c r="P12" s="63">
        <f t="shared" ref="P12" si="98">IFERROR(FIND(",",N12),LEN(N12))</f>
        <v>4</v>
      </c>
      <c r="Q12" s="63" t="e">
        <f t="shared" ref="Q12" si="99">FIND("target:",N12)+7</f>
        <v>#VALUE!</v>
      </c>
      <c r="R12" s="63" t="e">
        <f t="shared" ref="R12" si="100">FIND(",",N12,P12+1)</f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ref="T12" si="101">IFERROR(RIGHT(M12,LEN(M12)-FIND("],",M12)-1),"none")</f>
        <v>none</v>
      </c>
      <c r="U12" s="63" t="e">
        <f t="shared" ref="U12" si="102">FIND("effect:",T12)+7</f>
        <v>#VALUE!</v>
      </c>
      <c r="V12" s="63">
        <f t="shared" ref="V12" si="103">IFERROR(FIND(",",T12),LEN(T12))</f>
        <v>4</v>
      </c>
      <c r="W12" s="63" t="e">
        <f t="shared" ref="W12" si="104">FIND("target:",T12)+7</f>
        <v>#VALUE!</v>
      </c>
      <c r="X12" s="63" t="e">
        <f t="shared" ref="X12" si="105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37" customHeight="1" x14ac:dyDescent="0.15">
      <c r="A13" s="105">
        <v>40023011</v>
      </c>
      <c r="B13" s="105" t="s">
        <v>374</v>
      </c>
      <c r="C13" s="106">
        <v>3</v>
      </c>
      <c r="D13" s="106" t="s">
        <v>127</v>
      </c>
      <c r="E13" s="107" t="s">
        <v>370</v>
      </c>
      <c r="F13" s="107" t="s">
        <v>364</v>
      </c>
      <c r="G13" s="63" t="str">
        <f t="shared" ref="G13" si="106">IFERROR(LEFT(B13,FIND("],",B13)),B13)</f>
        <v>[effect:enemy_message, val1:1.4, val2:3.2]</v>
      </c>
      <c r="H13" s="63">
        <f t="shared" ref="H13" si="107">FIND("effect:",G13)+7</f>
        <v>9</v>
      </c>
      <c r="I13" s="63">
        <f t="shared" ref="I13" si="108">IFERROR(FIND(",",G13),LEN(G13))</f>
        <v>22</v>
      </c>
      <c r="J13" s="63" t="e">
        <f t="shared" ref="J13" si="109">FIND("target:",G13)+7</f>
        <v>#VALUE!</v>
      </c>
      <c r="K13" s="63">
        <f t="shared" ref="K13" si="110">FIND(",",G13,I13+1)</f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ref="M13" si="111">IFERROR(RIGHT(B13,LEN(B13)-FIND("],",B13)-1),"none")</f>
        <v>none</v>
      </c>
      <c r="N13" s="48" t="str">
        <f>IFERROR(LEFT(M13,FIND("],",M13)+S40),M13)</f>
        <v>none</v>
      </c>
      <c r="O13" s="63" t="e">
        <f t="shared" ref="O13" si="112">FIND("effect:",N13)+7</f>
        <v>#VALUE!</v>
      </c>
      <c r="P13" s="63">
        <f t="shared" ref="P13" si="113">IFERROR(FIND(",",N13),LEN(N13))</f>
        <v>4</v>
      </c>
      <c r="Q13" s="63" t="e">
        <f t="shared" ref="Q13" si="114">FIND("target:",N13)+7</f>
        <v>#VALUE!</v>
      </c>
      <c r="R13" s="63" t="e">
        <f t="shared" ref="R13" si="115">FIND(",",N13,P13+1)</f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ref="T13" si="116">IFERROR(RIGHT(M13,LEN(M13)-FIND("],",M13)-1),"none")</f>
        <v>none</v>
      </c>
      <c r="U13" s="63" t="e">
        <f t="shared" ref="U13" si="117">FIND("effect:",T13)+7</f>
        <v>#VALUE!</v>
      </c>
      <c r="V13" s="63">
        <f t="shared" ref="V13" si="118">IFERROR(FIND(",",T13),LEN(T13))</f>
        <v>4</v>
      </c>
      <c r="W13" s="63" t="e">
        <f t="shared" ref="W13" si="119">FIND("target:",T13)+7</f>
        <v>#VALUE!</v>
      </c>
      <c r="X13" s="63" t="e">
        <f t="shared" ref="X13" si="120">FIND(",",T13,V13+1)</f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21" customHeight="1" x14ac:dyDescent="0.15">
      <c r="A14" s="108">
        <v>40023100</v>
      </c>
      <c r="B14" s="108" t="s">
        <v>272</v>
      </c>
      <c r="C14" s="109">
        <v>3</v>
      </c>
      <c r="D14" s="109" t="s">
        <v>127</v>
      </c>
      <c r="E14" s="110" t="s">
        <v>358</v>
      </c>
      <c r="F14" s="110" t="s">
        <v>262</v>
      </c>
      <c r="G14" s="63" t="str">
        <f t="shared" si="0"/>
        <v>[effect:force_change_block, new_block:block_yellow, target:block_green, ignore01:crash, ignore02:crack_bomb, count:0, val:0, animation:change_block]</v>
      </c>
      <c r="H14" s="63">
        <f t="shared" si="1"/>
        <v>9</v>
      </c>
      <c r="I14" s="63">
        <f t="shared" si="2"/>
        <v>27</v>
      </c>
      <c r="J14" s="63">
        <f t="shared" si="3"/>
        <v>60</v>
      </c>
      <c r="K14" s="63">
        <f t="shared" si="4"/>
        <v>51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[effect:rush, count:1, val:1.0]</v>
      </c>
      <c r="N14" s="48" t="str">
        <f>IFERROR(LEFT(M14,FIND("],",M14)+S28),M14)</f>
        <v>[effect:rush, count:1, val:1.0]</v>
      </c>
      <c r="O14" s="63">
        <f t="shared" si="6"/>
        <v>9</v>
      </c>
      <c r="P14" s="63">
        <f t="shared" si="7"/>
        <v>13</v>
      </c>
      <c r="Q14" s="63" t="e">
        <f t="shared" si="8"/>
        <v>#VALUE!</v>
      </c>
      <c r="R14" s="63">
        <f t="shared" si="9"/>
        <v>22</v>
      </c>
      <c r="S14" s="63" t="str">
        <f>IFERROR(VLOOKUP(MID(N14,Q14,R14-Q14),[6]skilldef!$C:$D,2,FALSE),"-") &amp; " / " &amp; IFERROR(VLOOKUP(MID(N14,O14,P14-O14),[6]skilldef!$A:$B,2,FALSE),"-")</f>
        <v>- / 連続攻撃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21" customHeight="1" x14ac:dyDescent="0.15">
      <c r="A15" s="108">
        <v>40023101</v>
      </c>
      <c r="B15" s="108" t="s">
        <v>299</v>
      </c>
      <c r="C15" s="109">
        <v>3</v>
      </c>
      <c r="D15" s="109" t="s">
        <v>127</v>
      </c>
      <c r="E15" s="110" t="s">
        <v>329</v>
      </c>
      <c r="F15" s="110" t="s">
        <v>355</v>
      </c>
      <c r="G15" s="63" t="str">
        <f t="shared" si="0"/>
        <v>[effect:dis_heart, turn:4, animation:enemy_dis_heart]</v>
      </c>
      <c r="H15" s="63">
        <f t="shared" si="1"/>
        <v>9</v>
      </c>
      <c r="I15" s="63">
        <f t="shared" si="2"/>
        <v>18</v>
      </c>
      <c r="J15" s="63" t="e">
        <f t="shared" si="3"/>
        <v>#VALUE!</v>
      </c>
      <c r="K15" s="63">
        <f t="shared" si="4"/>
        <v>26</v>
      </c>
      <c r="L15" s="63" t="str">
        <f>IFERROR(VLOOKUP(MID(G15,J15,K15-J15),[6]skilldef!$C:$D,2,FALSE),"-") &amp; " / " &amp; IFERROR(VLOOKUP(MID(G15,H15,I15-H15),[6]skilldef!$A:$B,2,FALSE),"-")</f>
        <v>- / ディスハート</v>
      </c>
      <c r="M15" s="63" t="str">
        <f t="shared" si="5"/>
        <v>none</v>
      </c>
      <c r="N15" s="48" t="str">
        <f>IFERROR(LEFT(M15,FIND("],",M15)+S29),M15)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21" customHeight="1" x14ac:dyDescent="0.15">
      <c r="A16" s="108">
        <v>40023102</v>
      </c>
      <c r="B16" s="108" t="s">
        <v>359</v>
      </c>
      <c r="C16" s="109">
        <v>3</v>
      </c>
      <c r="D16" s="109" t="s">
        <v>127</v>
      </c>
      <c r="E16" s="110" t="s">
        <v>330</v>
      </c>
      <c r="F16" s="110" t="s">
        <v>280</v>
      </c>
      <c r="G16" s="63" t="str">
        <f t="shared" si="0"/>
        <v>[effect:enhance_enemy, target:myself, turn:-1, status:attack, val:0.2, calc:mul, animation:enemy_enhance_attack]</v>
      </c>
      <c r="H16" s="63">
        <f t="shared" si="1"/>
        <v>9</v>
      </c>
      <c r="I16" s="63">
        <f t="shared" si="2"/>
        <v>22</v>
      </c>
      <c r="J16" s="63">
        <f t="shared" si="3"/>
        <v>31</v>
      </c>
      <c r="K16" s="63">
        <f t="shared" si="4"/>
        <v>37</v>
      </c>
      <c r="L16" s="63" t="str">
        <f>IFERROR(VLOOKUP(MID(G16,J16,K16-J16),[6]skilldef!$C:$D,2,FALSE),"-") &amp; " / " &amp; IFERROR(VLOOKUP(MID(G16,H16,I16-H16),[6]skilldef!$A:$B,2,FALSE),"-")</f>
        <v>自分自身に / ステータス強化</v>
      </c>
      <c r="M16" s="63" t="str">
        <f t="shared" si="5"/>
        <v>none</v>
      </c>
      <c r="N16" s="48" t="str">
        <f>IFERROR(LEFT(M16,FIND("],",M16)+S30),M16)</f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21" customHeight="1" x14ac:dyDescent="0.15">
      <c r="A17" s="108">
        <v>40023103</v>
      </c>
      <c r="B17" s="108" t="s">
        <v>360</v>
      </c>
      <c r="C17" s="109">
        <v>3</v>
      </c>
      <c r="D17" s="109" t="s">
        <v>127</v>
      </c>
      <c r="E17" s="110" t="s">
        <v>315</v>
      </c>
      <c r="F17" s="110" t="s">
        <v>333</v>
      </c>
      <c r="G17" s="63" t="str">
        <f t="shared" ref="G17" si="121">IFERROR(LEFT(B17,FIND("],",B17)),B17)</f>
        <v>[effect:fix_speed, target:myself, turn:2]</v>
      </c>
      <c r="H17" s="63">
        <f t="shared" ref="H17" si="122">FIND("effect:",G17)+7</f>
        <v>9</v>
      </c>
      <c r="I17" s="63">
        <f t="shared" ref="I17" si="123">IFERROR(FIND(",",G17),LEN(G17))</f>
        <v>18</v>
      </c>
      <c r="J17" s="63">
        <f t="shared" ref="J17" si="124">FIND("target:",G17)+7</f>
        <v>27</v>
      </c>
      <c r="K17" s="63">
        <f t="shared" ref="K17" si="125">FIND(",",G17,I17+1)</f>
        <v>33</v>
      </c>
      <c r="L17" s="63" t="str">
        <f>IFERROR(VLOOKUP(MID(G17,J17,K17-J17),[6]skilldef!$C:$D,2,FALSE),"-") &amp; " / " &amp; IFERROR(VLOOKUP(MID(G17,H17,I17-H17),[6]skilldef!$A:$B,2,FALSE),"-")</f>
        <v>自分自身に / 行動値設定</v>
      </c>
      <c r="M17" s="63" t="str">
        <f t="shared" ref="M17" si="126">IFERROR(RIGHT(B17,LEN(B17)-FIND("],",B17)-1),"none")</f>
        <v>[effect:enemy_message, val1:0, val2:0]</v>
      </c>
      <c r="N17" s="48" t="str">
        <f>IFERROR(LEFT(M17,FIND("],",M17)+S38),M17)</f>
        <v>[effect:enemy_message, val1:0, val2:0]</v>
      </c>
      <c r="O17" s="63">
        <f t="shared" ref="O17" si="127">FIND("effect:",N17)+7</f>
        <v>9</v>
      </c>
      <c r="P17" s="63">
        <f t="shared" ref="P17" si="128">IFERROR(FIND(",",N17),LEN(N17))</f>
        <v>22</v>
      </c>
      <c r="Q17" s="63" t="e">
        <f t="shared" ref="Q17" si="129">FIND("target:",N17)+7</f>
        <v>#VALUE!</v>
      </c>
      <c r="R17" s="63">
        <f t="shared" ref="R17" si="130">FIND(",",N17,P17+1)</f>
        <v>30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ref="T17" si="131">IFERROR(RIGHT(M17,LEN(M17)-FIND("],",M17)-1),"none")</f>
        <v>none</v>
      </c>
      <c r="U17" s="63" t="e">
        <f t="shared" ref="U17" si="132">FIND("effect:",T17)+7</f>
        <v>#VALUE!</v>
      </c>
      <c r="V17" s="63">
        <f t="shared" ref="V17" si="133">IFERROR(FIND(",",T17),LEN(T17))</f>
        <v>4</v>
      </c>
      <c r="W17" s="63" t="e">
        <f t="shared" ref="W17" si="134">FIND("target:",T17)+7</f>
        <v>#VALUE!</v>
      </c>
      <c r="X17" s="63" t="e">
        <f t="shared" ref="X17" si="135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1" customHeight="1" x14ac:dyDescent="0.15">
      <c r="A18" s="108">
        <v>40023200</v>
      </c>
      <c r="B18" s="108" t="s">
        <v>263</v>
      </c>
      <c r="C18" s="109">
        <v>3</v>
      </c>
      <c r="D18" s="109" t="s">
        <v>127</v>
      </c>
      <c r="E18" s="110" t="s">
        <v>331</v>
      </c>
      <c r="F18" s="110" t="s">
        <v>264</v>
      </c>
      <c r="G18" s="63" t="str">
        <f t="shared" si="0"/>
        <v>[effect:heal, target:enemy_all, val:0.15, animation:enemy_heal]</v>
      </c>
      <c r="H18" s="63">
        <f t="shared" si="1"/>
        <v>9</v>
      </c>
      <c r="I18" s="63">
        <f t="shared" si="2"/>
        <v>13</v>
      </c>
      <c r="J18" s="63">
        <f t="shared" si="3"/>
        <v>22</v>
      </c>
      <c r="K18" s="63">
        <f t="shared" si="4"/>
        <v>31</v>
      </c>
      <c r="L18" s="63" t="str">
        <f>IFERROR(VLOOKUP(MID(G18,J18,K18-J18),[6]skilldef!$C:$D,2,FALSE),"-") &amp; " / " &amp; IFERROR(VLOOKUP(MID(G18,H18,I18-H18),[6]skilldef!$A:$B,2,FALSE),"-")</f>
        <v>敵全体に / 回復</v>
      </c>
      <c r="M18" s="63" t="str">
        <f t="shared" si="5"/>
        <v>none</v>
      </c>
      <c r="N18" s="48" t="str">
        <f>IFERROR(LEFT(M18,FIND("],",M18)+S39),M18)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21" customHeight="1" x14ac:dyDescent="0.15">
      <c r="A19" s="108">
        <v>40023201</v>
      </c>
      <c r="B19" s="108" t="s">
        <v>304</v>
      </c>
      <c r="C19" s="109">
        <v>3</v>
      </c>
      <c r="D19" s="109" t="s">
        <v>127</v>
      </c>
      <c r="E19" s="110" t="s">
        <v>332</v>
      </c>
      <c r="F19" s="110" t="s">
        <v>305</v>
      </c>
      <c r="G19" s="63" t="str">
        <f t="shared" ref="G19" si="136">IFERROR(LEFT(B19,FIND("],",B19)),B19)</f>
        <v>[effect:panel_freeze, target:block_red, count:-1, break_count:1] ,[effect:rush, count:1, val:1.0]</v>
      </c>
      <c r="H19" s="63">
        <f t="shared" ref="H19" si="137">FIND("effect:",G19)+7</f>
        <v>9</v>
      </c>
      <c r="I19" s="63">
        <f t="shared" ref="I19" si="138">IFERROR(FIND(",",G19),LEN(G19))</f>
        <v>21</v>
      </c>
      <c r="J19" s="63">
        <f t="shared" ref="J19" si="139">FIND("target:",G19)+7</f>
        <v>30</v>
      </c>
      <c r="K19" s="63">
        <f t="shared" ref="K19" si="140">FIND(",",G19,I19+1)</f>
        <v>39</v>
      </c>
      <c r="L19" s="63" t="str">
        <f>IFERROR(VLOOKUP(MID(G19,J19,K19-J19),[6]skilldef!$C:$D,2,FALSE),"-") &amp; " / " &amp; IFERROR(VLOOKUP(MID(G19,H19,I19-H19),[6]skilldef!$A:$B,2,FALSE),"-")</f>
        <v>赤パネルを / -</v>
      </c>
      <c r="M19" s="63" t="str">
        <f t="shared" ref="M19" si="141">IFERROR(RIGHT(B19,LEN(B19)-FIND("],",B19)-1),"none")</f>
        <v>none</v>
      </c>
      <c r="N19" s="48" t="str">
        <f>IFERROR(LEFT(M19,FIND("],",M19)+S40),M19)</f>
        <v>none</v>
      </c>
      <c r="O19" s="63" t="e">
        <f t="shared" ref="O19" si="142">FIND("effect:",N19)+7</f>
        <v>#VALUE!</v>
      </c>
      <c r="P19" s="63">
        <f t="shared" ref="P19" si="143">IFERROR(FIND(",",N19),LEN(N19))</f>
        <v>4</v>
      </c>
      <c r="Q19" s="63" t="e">
        <f t="shared" ref="Q19" si="144">FIND("target:",N19)+7</f>
        <v>#VALUE!</v>
      </c>
      <c r="R19" s="63" t="e">
        <f t="shared" ref="R19" si="145">FIND(",",N19,P19+1)</f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ref="T19" si="146">IFERROR(RIGHT(M19,LEN(M19)-FIND("],",M19)-1),"none")</f>
        <v>none</v>
      </c>
      <c r="U19" s="63" t="e">
        <f t="shared" ref="U19" si="147">FIND("effect:",T19)+7</f>
        <v>#VALUE!</v>
      </c>
      <c r="V19" s="63">
        <f t="shared" ref="V19" si="148">IFERROR(FIND(",",T19),LEN(T19))</f>
        <v>4</v>
      </c>
      <c r="W19" s="63" t="e">
        <f t="shared" ref="W19" si="149">FIND("target:",T19)+7</f>
        <v>#VALUE!</v>
      </c>
      <c r="X19" s="63" t="e">
        <f t="shared" ref="X19" si="150">FIND(",",T19,V19+1)</f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 x14ac:dyDescent="0.15">
      <c r="A20" s="108">
        <v>40023202</v>
      </c>
      <c r="B20" s="108" t="s">
        <v>306</v>
      </c>
      <c r="C20" s="109">
        <v>3</v>
      </c>
      <c r="D20" s="109" t="s">
        <v>127</v>
      </c>
      <c r="E20" s="110" t="s">
        <v>332</v>
      </c>
      <c r="F20" s="110" t="s">
        <v>307</v>
      </c>
      <c r="G20" s="63" t="str">
        <f t="shared" si="0"/>
        <v>[effect:panel_freeze, target:block_blue, count:-1, break_count:1] ,[effect:rush, count:1, val:1.0]</v>
      </c>
      <c r="H20" s="63">
        <f t="shared" si="1"/>
        <v>9</v>
      </c>
      <c r="I20" s="63">
        <f t="shared" si="2"/>
        <v>21</v>
      </c>
      <c r="J20" s="63">
        <f t="shared" si="3"/>
        <v>30</v>
      </c>
      <c r="K20" s="63">
        <f t="shared" si="4"/>
        <v>40</v>
      </c>
      <c r="L20" s="63" t="str">
        <f>IFERROR(VLOOKUP(MID(G20,J20,K20-J20),[6]skilldef!$C:$D,2,FALSE),"-") &amp; " / " &amp; IFERROR(VLOOKUP(MID(G20,H20,I20-H20),[6]skilldef!$A:$B,2,FALSE),"-")</f>
        <v>青パネルを / -</v>
      </c>
      <c r="M20" s="63" t="str">
        <f t="shared" si="5"/>
        <v>none</v>
      </c>
      <c r="N20" s="48" t="str">
        <f>IFERROR(LEFT(M20,FIND("],",M20)+S40),M20)</f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21" customHeight="1" x14ac:dyDescent="0.15">
      <c r="A21" s="108">
        <v>40023203</v>
      </c>
      <c r="B21" s="108" t="s">
        <v>308</v>
      </c>
      <c r="C21" s="109">
        <v>3</v>
      </c>
      <c r="D21" s="109" t="s">
        <v>127</v>
      </c>
      <c r="E21" s="110" t="s">
        <v>332</v>
      </c>
      <c r="F21" s="110" t="s">
        <v>309</v>
      </c>
      <c r="G21" s="63" t="str">
        <f t="shared" ref="G21" si="151">IFERROR(LEFT(B21,FIND("],",B21)),B21)</f>
        <v>[effect:panel_freeze, target:block_green, count:-1, break_count:1] ,[effect:rush, count:1, val:1.0]</v>
      </c>
      <c r="H21" s="63">
        <f t="shared" ref="H21" si="152">FIND("effect:",G21)+7</f>
        <v>9</v>
      </c>
      <c r="I21" s="63">
        <f t="shared" ref="I21" si="153">IFERROR(FIND(",",G21),LEN(G21))</f>
        <v>21</v>
      </c>
      <c r="J21" s="63">
        <f t="shared" ref="J21" si="154">FIND("target:",G21)+7</f>
        <v>30</v>
      </c>
      <c r="K21" s="63">
        <f t="shared" ref="K21" si="155">FIND(",",G21,I21+1)</f>
        <v>41</v>
      </c>
      <c r="L21" s="63" t="str">
        <f>IFERROR(VLOOKUP(MID(G21,J21,K21-J21),[6]skilldef!$C:$D,2,FALSE),"-") &amp; " / " &amp; IFERROR(VLOOKUP(MID(G21,H21,I21-H21),[6]skilldef!$A:$B,2,FALSE),"-")</f>
        <v>緑パネルを / -</v>
      </c>
      <c r="M21" s="63" t="str">
        <f t="shared" ref="M21" si="156">IFERROR(RIGHT(B21,LEN(B21)-FIND("],",B21)-1),"none")</f>
        <v>none</v>
      </c>
      <c r="N21" s="48" t="str">
        <f>IFERROR(LEFT(M21,FIND("],",M21)+S41),M21)</f>
        <v>none</v>
      </c>
      <c r="O21" s="63" t="e">
        <f t="shared" ref="O21" si="157">FIND("effect:",N21)+7</f>
        <v>#VALUE!</v>
      </c>
      <c r="P21" s="63">
        <f t="shared" ref="P21" si="158">IFERROR(FIND(",",N21),LEN(N21))</f>
        <v>4</v>
      </c>
      <c r="Q21" s="63" t="e">
        <f t="shared" ref="Q21" si="159">FIND("target:",N21)+7</f>
        <v>#VALUE!</v>
      </c>
      <c r="R21" s="63" t="e">
        <f t="shared" ref="R21" si="160">FIND(",",N21,P21+1)</f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ref="T21" si="161">IFERROR(RIGHT(M21,LEN(M21)-FIND("],",M21)-1),"none")</f>
        <v>none</v>
      </c>
      <c r="U21" s="63" t="e">
        <f t="shared" ref="U21" si="162">FIND("effect:",T21)+7</f>
        <v>#VALUE!</v>
      </c>
      <c r="V21" s="63">
        <f t="shared" ref="V21" si="163">IFERROR(FIND(",",T21),LEN(T21))</f>
        <v>4</v>
      </c>
      <c r="W21" s="63" t="e">
        <f t="shared" ref="W21" si="164">FIND("target:",T21)+7</f>
        <v>#VALUE!</v>
      </c>
      <c r="X21" s="63" t="e">
        <f t="shared" ref="X21" si="165">FIND(",",T21,V21+1)</f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21" customHeight="1" x14ac:dyDescent="0.15">
      <c r="A22" s="108">
        <v>40023204</v>
      </c>
      <c r="B22" s="108" t="s">
        <v>310</v>
      </c>
      <c r="C22" s="109">
        <v>3</v>
      </c>
      <c r="D22" s="109" t="s">
        <v>127</v>
      </c>
      <c r="E22" s="110" t="s">
        <v>332</v>
      </c>
      <c r="F22" s="110" t="s">
        <v>311</v>
      </c>
      <c r="G22" s="63" t="str">
        <f t="shared" ref="G22" si="166">IFERROR(LEFT(B22,FIND("],",B22)),B22)</f>
        <v>[effect:panel_freeze, target:block_yellow, count:-1, break_count:1]</v>
      </c>
      <c r="H22" s="63">
        <f t="shared" ref="H22" si="167">FIND("effect:",G22)+7</f>
        <v>9</v>
      </c>
      <c r="I22" s="63">
        <f t="shared" ref="I22" si="168">IFERROR(FIND(",",G22),LEN(G22))</f>
        <v>21</v>
      </c>
      <c r="J22" s="63">
        <f t="shared" ref="J22" si="169">FIND("target:",G22)+7</f>
        <v>30</v>
      </c>
      <c r="K22" s="63">
        <f t="shared" ref="K22" si="170">FIND(",",G22,I22+1)</f>
        <v>42</v>
      </c>
      <c r="L22" s="63" t="str">
        <f>IFERROR(VLOOKUP(MID(G22,J22,K22-J22),[6]skilldef!$C:$D,2,FALSE),"-") &amp; " / " &amp; IFERROR(VLOOKUP(MID(G22,H22,I22-H22),[6]skilldef!$A:$B,2,FALSE),"-")</f>
        <v>黄色パネルを / -</v>
      </c>
      <c r="M22" s="63" t="str">
        <f t="shared" ref="M22" si="171">IFERROR(RIGHT(B22,LEN(B22)-FIND("],",B22)-1),"none")</f>
        <v>[effect:rush, count:1, val:1.0]</v>
      </c>
      <c r="N22" s="48" t="str">
        <f>IFERROR(LEFT(M22,FIND("],",M22)+S41),M22)</f>
        <v>[effect:rush, count:1, val:1.0]</v>
      </c>
      <c r="O22" s="63">
        <f t="shared" ref="O22" si="172">FIND("effect:",N22)+7</f>
        <v>9</v>
      </c>
      <c r="P22" s="63">
        <f t="shared" ref="P22" si="173">IFERROR(FIND(",",N22),LEN(N22))</f>
        <v>13</v>
      </c>
      <c r="Q22" s="63" t="e">
        <f t="shared" ref="Q22" si="174">FIND("target:",N22)+7</f>
        <v>#VALUE!</v>
      </c>
      <c r="R22" s="63">
        <f t="shared" ref="R22" si="175">FIND(",",N22,P22+1)</f>
        <v>22</v>
      </c>
      <c r="S22" s="63" t="str">
        <f>IFERROR(VLOOKUP(MID(N22,Q22,R22-Q22),[6]skilldef!$C:$D,2,FALSE),"-") &amp; " / " &amp; IFERROR(VLOOKUP(MID(N22,O22,P22-O22),[6]skilldef!$A:$B,2,FALSE),"-")</f>
        <v>- / 連続攻撃</v>
      </c>
      <c r="T22" s="48" t="str">
        <f t="shared" ref="T22" si="176">IFERROR(RIGHT(M22,LEN(M22)-FIND("],",M22)-1),"none")</f>
        <v>none</v>
      </c>
      <c r="U22" s="63" t="e">
        <f t="shared" ref="U22" si="177">FIND("effect:",T22)+7</f>
        <v>#VALUE!</v>
      </c>
      <c r="V22" s="63">
        <f t="shared" ref="V22" si="178">IFERROR(FIND(",",T22),LEN(T22))</f>
        <v>4</v>
      </c>
      <c r="W22" s="63" t="e">
        <f t="shared" ref="W22" si="179">FIND("target:",T22)+7</f>
        <v>#VALUE!</v>
      </c>
      <c r="X22" s="63" t="e">
        <f t="shared" ref="X22" si="180">FIND(",",T22,V22+1)</f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21" customHeight="1" x14ac:dyDescent="0.15">
      <c r="A23" s="108">
        <v>40023205</v>
      </c>
      <c r="B23" s="108" t="s">
        <v>301</v>
      </c>
      <c r="C23" s="109">
        <v>3</v>
      </c>
      <c r="D23" s="109" t="s">
        <v>127</v>
      </c>
      <c r="E23" s="110" t="s">
        <v>302</v>
      </c>
      <c r="F23" s="110" t="s">
        <v>303</v>
      </c>
      <c r="G23" s="63" t="str">
        <f t="shared" ref="G23" si="181">IFERROR(LEFT(B23,FIND("],",B23)),B23)</f>
        <v>[effect:suicide, val:1, dead_type:escape, target:myself]</v>
      </c>
      <c r="H23" s="63">
        <f t="shared" ref="H23" si="182">FIND("effect:",G23)+7</f>
        <v>9</v>
      </c>
      <c r="I23" s="63">
        <f t="shared" ref="I23" si="183">IFERROR(FIND(",",G23),LEN(G23))</f>
        <v>16</v>
      </c>
      <c r="J23" s="63">
        <f t="shared" ref="J23" si="184">FIND("target:",G23)+7</f>
        <v>50</v>
      </c>
      <c r="K23" s="63">
        <f t="shared" ref="K23" si="185">FIND(",",G23,I23+1)</f>
        <v>23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ref="M23" si="186">IFERROR(RIGHT(B23,LEN(B23)-FIND("],",B23)-1),"none")</f>
        <v>none</v>
      </c>
      <c r="N23" s="48" t="str">
        <f t="shared" ref="N23" si="187">IFERROR(LEFT(M23,FIND("],",M23)+S41),M23)</f>
        <v>none</v>
      </c>
      <c r="O23" s="63" t="e">
        <f t="shared" ref="O23" si="188">FIND("effect:",N23)+7</f>
        <v>#VALUE!</v>
      </c>
      <c r="P23" s="63">
        <f t="shared" ref="P23" si="189">IFERROR(FIND(",",N23),LEN(N23))</f>
        <v>4</v>
      </c>
      <c r="Q23" s="63" t="e">
        <f t="shared" ref="Q23" si="190">FIND("target:",N23)+7</f>
        <v>#VALUE!</v>
      </c>
      <c r="R23" s="63" t="e">
        <f t="shared" ref="R23" si="191">FIND(",",N23,P23+1)</f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ref="T23" si="192">IFERROR(RIGHT(M23,LEN(M23)-FIND("],",M23)-1),"none")</f>
        <v>none</v>
      </c>
      <c r="U23" s="63" t="e">
        <f t="shared" ref="U23" si="193">FIND("effect:",T23)+7</f>
        <v>#VALUE!</v>
      </c>
      <c r="V23" s="63">
        <f t="shared" ref="V23" si="194">IFERROR(FIND(",",T23),LEN(T23))</f>
        <v>4</v>
      </c>
      <c r="W23" s="63" t="e">
        <f t="shared" ref="W23" si="195">FIND("target:",T23)+7</f>
        <v>#VALUE!</v>
      </c>
      <c r="X23" s="63" t="e">
        <f t="shared" ref="X23" si="196">FIND(",",T23,V23+1)</f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21" customHeight="1" x14ac:dyDescent="0.15">
      <c r="A24" s="108">
        <v>40023206</v>
      </c>
      <c r="B24" s="108" t="s">
        <v>317</v>
      </c>
      <c r="C24" s="109">
        <v>3</v>
      </c>
      <c r="D24" s="109" t="s">
        <v>127</v>
      </c>
      <c r="E24" s="110" t="s">
        <v>316</v>
      </c>
      <c r="F24" s="110" t="s">
        <v>313</v>
      </c>
      <c r="G24" s="63" t="str">
        <f t="shared" ref="G24" si="197">IFERROR(LEFT(B24,FIND("],",B24)),B24)</f>
        <v>[effect:fix_speed, target:myself, turn:1]</v>
      </c>
      <c r="H24" s="63">
        <f t="shared" ref="H24" si="198">FIND("effect:",G24)+7</f>
        <v>9</v>
      </c>
      <c r="I24" s="63">
        <f t="shared" ref="I24" si="199">IFERROR(FIND(",",G24),LEN(G24))</f>
        <v>18</v>
      </c>
      <c r="J24" s="63">
        <f t="shared" ref="J24" si="200">FIND("target:",G24)+7</f>
        <v>27</v>
      </c>
      <c r="K24" s="63">
        <f t="shared" ref="K24" si="201">FIND(",",G24,I24+1)</f>
        <v>33</v>
      </c>
      <c r="L24" s="63" t="str">
        <f>IFERROR(VLOOKUP(MID(G24,J24,K24-J24),[6]skilldef!$C:$D,2,FALSE),"-") &amp; " / " &amp; IFERROR(VLOOKUP(MID(G24,H24,I24-H24),[6]skilldef!$A:$B,2,FALSE),"-")</f>
        <v>自分自身に / 行動値設定</v>
      </c>
      <c r="M24" s="63" t="str">
        <f t="shared" ref="M24" si="202">IFERROR(RIGHT(B24,LEN(B24)-FIND("],",B24)-1),"none")</f>
        <v>[effect:enemy_message, val1:0, val2:0]</v>
      </c>
      <c r="N24" s="48" t="str">
        <f t="shared" ref="N24" si="203">IFERROR(LEFT(M24,FIND("],",M24)+S42),M24)</f>
        <v>[effect:enemy_message, val1:0, val2:0]</v>
      </c>
      <c r="O24" s="63">
        <f t="shared" ref="O24" si="204">FIND("effect:",N24)+7</f>
        <v>9</v>
      </c>
      <c r="P24" s="63">
        <f t="shared" ref="P24" si="205">IFERROR(FIND(",",N24),LEN(N24))</f>
        <v>22</v>
      </c>
      <c r="Q24" s="63" t="e">
        <f t="shared" ref="Q24" si="206">FIND("target:",N24)+7</f>
        <v>#VALUE!</v>
      </c>
      <c r="R24" s="63">
        <f t="shared" ref="R24" si="207">FIND(",",N24,P24+1)</f>
        <v>30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ref="T24" si="208">IFERROR(RIGHT(M24,LEN(M24)-FIND("],",M24)-1),"none")</f>
        <v>none</v>
      </c>
      <c r="U24" s="63" t="e">
        <f t="shared" ref="U24" si="209">FIND("effect:",T24)+7</f>
        <v>#VALUE!</v>
      </c>
      <c r="V24" s="63">
        <f t="shared" ref="V24" si="210">IFERROR(FIND(",",T24),LEN(T24))</f>
        <v>4</v>
      </c>
      <c r="W24" s="63" t="e">
        <f t="shared" ref="W24" si="211">FIND("target:",T24)+7</f>
        <v>#VALUE!</v>
      </c>
      <c r="X24" s="63" t="e">
        <f t="shared" ref="X24" si="212">FIND(",",T24,V24+1)</f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21" customHeight="1" x14ac:dyDescent="0.15">
      <c r="A25" s="111">
        <v>40023400</v>
      </c>
      <c r="B25" s="111" t="s">
        <v>320</v>
      </c>
      <c r="C25" s="112">
        <v>3</v>
      </c>
      <c r="D25" s="112" t="s">
        <v>127</v>
      </c>
      <c r="E25" s="113" t="s">
        <v>382</v>
      </c>
      <c r="F25" s="113" t="s">
        <v>276</v>
      </c>
      <c r="G25" s="63" t="str">
        <f t="shared" si="0"/>
        <v>[effect:dark, target:unit_all, turn:2, animation:enemy_dark]</v>
      </c>
      <c r="H25" s="63">
        <f t="shared" si="1"/>
        <v>9</v>
      </c>
      <c r="I25" s="63">
        <f t="shared" si="2"/>
        <v>13</v>
      </c>
      <c r="J25" s="63">
        <f t="shared" si="3"/>
        <v>22</v>
      </c>
      <c r="K25" s="63">
        <f t="shared" si="4"/>
        <v>30</v>
      </c>
      <c r="L25" s="63" t="str">
        <f>IFERROR(VLOOKUP(MID(G25,J25,K25-J25),[6]skilldef!$C:$D,2,FALSE),"-") &amp; " / " &amp; IFERROR(VLOOKUP(MID(G25,H25,I25-H25),[6]skilldef!$A:$B,2,FALSE),"-")</f>
        <v>味方全体に / 暗黒</v>
      </c>
      <c r="M25" s="63" t="str">
        <f t="shared" si="5"/>
        <v>[effect:rush, count:1, val:1.0]</v>
      </c>
      <c r="N25" s="48" t="str">
        <f>IFERROR(LEFT(M25,FIND("],",M25)+S42),M25)</f>
        <v>[effect:rush, count:1, val:1.0]</v>
      </c>
      <c r="O25" s="63">
        <f t="shared" si="6"/>
        <v>9</v>
      </c>
      <c r="P25" s="63">
        <f t="shared" si="7"/>
        <v>13</v>
      </c>
      <c r="Q25" s="63" t="e">
        <f t="shared" si="8"/>
        <v>#VALUE!</v>
      </c>
      <c r="R25" s="63">
        <f t="shared" si="9"/>
        <v>22</v>
      </c>
      <c r="S25" s="63" t="str">
        <f>IFERROR(VLOOKUP(MID(N25,Q25,R25-Q25),[6]skilldef!$C:$D,2,FALSE),"-") &amp; " / " &amp; IFERROR(VLOOKUP(MID(N25,O25,P25-O25),[6]skilldef!$A:$B,2,FALSE),"-")</f>
        <v>- / 連続攻撃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21" customHeight="1" x14ac:dyDescent="0.15">
      <c r="A26" s="111">
        <v>40023401</v>
      </c>
      <c r="B26" s="111" t="s">
        <v>300</v>
      </c>
      <c r="C26" s="112">
        <v>3</v>
      </c>
      <c r="D26" s="112" t="s">
        <v>127</v>
      </c>
      <c r="E26" s="113" t="s">
        <v>383</v>
      </c>
      <c r="F26" s="113" t="s">
        <v>277</v>
      </c>
      <c r="G26" s="63" t="str">
        <f t="shared" si="0"/>
        <v>[effect:virus, target:unit_all, turn:2, rate:1, val:0.2, calc_type:target_all, animation:enemy_virus]</v>
      </c>
      <c r="H26" s="63">
        <f t="shared" si="1"/>
        <v>9</v>
      </c>
      <c r="I26" s="63">
        <f t="shared" si="2"/>
        <v>14</v>
      </c>
      <c r="J26" s="63">
        <f t="shared" si="3"/>
        <v>23</v>
      </c>
      <c r="K26" s="63">
        <f t="shared" si="4"/>
        <v>31</v>
      </c>
      <c r="L26" s="63" t="str">
        <f>IFERROR(VLOOKUP(MID(G26,J26,K26-J26),[6]skilldef!$C:$D,2,FALSE),"-") &amp; " / " &amp; IFERROR(VLOOKUP(MID(G26,H26,I26-H26),[6]skilldef!$A:$B,2,FALSE),"-")</f>
        <v>味方全体に / ウィルス</v>
      </c>
      <c r="M26" s="63" t="str">
        <f t="shared" si="5"/>
        <v>[effect:rush, count:1, val:1.0]</v>
      </c>
      <c r="N26" s="48" t="str">
        <f>IFERROR(LEFT(M26,FIND("],",M26)+S43),M26)</f>
        <v>[effect:rush, count:1, val:1.0]</v>
      </c>
      <c r="O26" s="63">
        <f t="shared" si="6"/>
        <v>9</v>
      </c>
      <c r="P26" s="63">
        <f t="shared" si="7"/>
        <v>13</v>
      </c>
      <c r="Q26" s="63" t="e">
        <f t="shared" si="8"/>
        <v>#VALUE!</v>
      </c>
      <c r="R26" s="63">
        <f t="shared" si="9"/>
        <v>22</v>
      </c>
      <c r="S26" s="63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21" customHeight="1" x14ac:dyDescent="0.15">
      <c r="A27" s="111">
        <v>40023402</v>
      </c>
      <c r="B27" s="111" t="s">
        <v>265</v>
      </c>
      <c r="C27" s="112">
        <v>3</v>
      </c>
      <c r="D27" s="112" t="s">
        <v>127</v>
      </c>
      <c r="E27" s="113" t="s">
        <v>368</v>
      </c>
      <c r="F27" s="113" t="s">
        <v>278</v>
      </c>
      <c r="G27" s="63" t="str">
        <f t="shared" si="0"/>
        <v>[effect:hungup, target:unit_all, turn:2, rate:1, calc_type:target_all, animation:hungup01]</v>
      </c>
      <c r="H27" s="63">
        <f t="shared" si="1"/>
        <v>9</v>
      </c>
      <c r="I27" s="63">
        <f t="shared" si="2"/>
        <v>15</v>
      </c>
      <c r="J27" s="63">
        <f t="shared" si="3"/>
        <v>24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味方全体に / ハングアップ</v>
      </c>
      <c r="M27" s="63" t="str">
        <f t="shared" si="5"/>
        <v>[effect:rush, count:1, val:1.0]</v>
      </c>
      <c r="N27" s="48" t="str">
        <f>IFERROR(LEFT(M27,FIND("],",M27)+S44),M27)</f>
        <v>[effect:rush, count:1, val:1.0]</v>
      </c>
      <c r="O27" s="63">
        <f t="shared" si="6"/>
        <v>9</v>
      </c>
      <c r="P27" s="63">
        <f t="shared" si="7"/>
        <v>13</v>
      </c>
      <c r="Q27" s="63" t="e">
        <f t="shared" si="8"/>
        <v>#VALUE!</v>
      </c>
      <c r="R27" s="63">
        <f t="shared" si="9"/>
        <v>22</v>
      </c>
      <c r="S27" s="63" t="str">
        <f>IFERROR(VLOOKUP(MID(N27,Q27,R27-Q27),[6]skilldef!$C:$D,2,FALSE),"-") &amp; " / " &amp; IFERROR(VLOOKUP(MID(N27,O27,P27-O27),[6]skilldef!$A:$B,2,FALSE),"-")</f>
        <v>- / 連続攻撃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21" customHeight="1" x14ac:dyDescent="0.15">
      <c r="A28" s="111">
        <v>40023403</v>
      </c>
      <c r="B28" s="111" t="s">
        <v>266</v>
      </c>
      <c r="C28" s="112">
        <v>3</v>
      </c>
      <c r="D28" s="112" t="s">
        <v>127</v>
      </c>
      <c r="E28" s="113" t="s">
        <v>334</v>
      </c>
      <c r="F28" s="113" t="s">
        <v>406</v>
      </c>
      <c r="G28" s="63" t="str">
        <f t="shared" si="0"/>
        <v>[effect:rush, count:2, val:0.65]</v>
      </c>
      <c r="H28" s="63">
        <f t="shared" si="1"/>
        <v>9</v>
      </c>
      <c r="I28" s="63">
        <f t="shared" si="2"/>
        <v>13</v>
      </c>
      <c r="J28" s="63" t="e">
        <f t="shared" si="3"/>
        <v>#VALUE!</v>
      </c>
      <c r="K28" s="63">
        <f t="shared" si="4"/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5"/>
        <v>none</v>
      </c>
      <c r="N28" s="48" t="str">
        <f>IFERROR(LEFT(M28,FIND("],",M28)+S45),M28)</f>
        <v>none</v>
      </c>
      <c r="O28" s="63" t="e">
        <f t="shared" si="6"/>
        <v>#VALUE!</v>
      </c>
      <c r="P28" s="63">
        <f t="shared" si="7"/>
        <v>4</v>
      </c>
      <c r="Q28" s="63" t="e">
        <f t="shared" si="8"/>
        <v>#VALUE!</v>
      </c>
      <c r="R28" s="63" t="e">
        <f t="shared" si="9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21" customHeight="1" x14ac:dyDescent="0.15">
      <c r="A29" s="111">
        <v>40023404</v>
      </c>
      <c r="B29" s="111" t="s">
        <v>425</v>
      </c>
      <c r="C29" s="112">
        <v>3</v>
      </c>
      <c r="D29" s="112" t="s">
        <v>127</v>
      </c>
      <c r="E29" s="113" t="s">
        <v>335</v>
      </c>
      <c r="F29" s="113" t="s">
        <v>446</v>
      </c>
      <c r="G29" s="63" t="str">
        <f t="shared" si="0"/>
        <v>[effect:rush, count:2, val:0.55]</v>
      </c>
      <c r="H29" s="63">
        <f t="shared" si="1"/>
        <v>9</v>
      </c>
      <c r="I29" s="63">
        <f t="shared" si="2"/>
        <v>13</v>
      </c>
      <c r="J29" s="63" t="e">
        <f t="shared" si="3"/>
        <v>#VALUE!</v>
      </c>
      <c r="K29" s="63">
        <f t="shared" si="4"/>
        <v>22</v>
      </c>
      <c r="L29" s="63" t="str">
        <f>IFERROR(VLOOKUP(MID(G29,J29,K29-J29),[6]skilldef!$C:$D,2,FALSE),"-") &amp; " / " &amp; IFERROR(VLOOKUP(MID(G29,H29,I29-H29),[6]skilldef!$A:$B,2,FALSE),"-")</f>
        <v>- / 連続攻撃</v>
      </c>
      <c r="M29" s="63" t="str">
        <f t="shared" si="5"/>
        <v>[effect:degrade_unit, target:unit_all, turn:2, status:action, val:1, calc:add, animation:enemy_tap_down],[effect:enemy_message, val1:1.2, val2:2.4]</v>
      </c>
      <c r="N29" s="48" t="str">
        <f>IFERROR(LEFT(M29,FIND("],",M29)+S49),M29)</f>
        <v>[effect:degrade_unit, target:unit_all, turn:2, status:action, val:1, calc:add, animation:enemy_tap_down],[effect:enemy_message, val1:1.2, val2:2.4]</v>
      </c>
      <c r="O29" s="63">
        <f t="shared" si="6"/>
        <v>9</v>
      </c>
      <c r="P29" s="63">
        <f t="shared" si="7"/>
        <v>21</v>
      </c>
      <c r="Q29" s="63">
        <f t="shared" si="8"/>
        <v>30</v>
      </c>
      <c r="R29" s="63">
        <f t="shared" si="9"/>
        <v>38</v>
      </c>
      <c r="S29" s="63" t="str">
        <f>IFERROR(VLOOKUP(MID(N29,Q29,R29-Q29),[6]skilldef!$C:$D,2,FALSE),"-") &amp; " / " &amp; IFERROR(VLOOKUP(MID(N29,O29,P29-O29),[6]skilldef!$A:$B,2,FALSE),"-")</f>
        <v>味方全体に / ステータスDOWN</v>
      </c>
      <c r="T29" s="48" t="str">
        <f t="shared" si="10"/>
        <v>[effect:enemy_message, val1:1.2, val2:2.4]</v>
      </c>
      <c r="U29" s="63">
        <f t="shared" si="11"/>
        <v>9</v>
      </c>
      <c r="V29" s="63">
        <f t="shared" si="12"/>
        <v>22</v>
      </c>
      <c r="W29" s="63" t="e">
        <f t="shared" si="13"/>
        <v>#VALUE!</v>
      </c>
      <c r="X29" s="63">
        <f t="shared" si="14"/>
        <v>32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28" customHeight="1" x14ac:dyDescent="0.15">
      <c r="A30" s="111">
        <v>40023405</v>
      </c>
      <c r="B30" s="111" t="s">
        <v>267</v>
      </c>
      <c r="C30" s="112">
        <v>3</v>
      </c>
      <c r="D30" s="112" t="s">
        <v>127</v>
      </c>
      <c r="E30" s="113" t="s">
        <v>336</v>
      </c>
      <c r="F30" s="113" t="s">
        <v>407</v>
      </c>
      <c r="G30" s="63" t="str">
        <f t="shared" si="0"/>
        <v>[effect:rush, count:3, val:0.5]</v>
      </c>
      <c r="H30" s="63">
        <f t="shared" si="1"/>
        <v>9</v>
      </c>
      <c r="I30" s="63">
        <f t="shared" si="2"/>
        <v>13</v>
      </c>
      <c r="J30" s="63" t="e">
        <f t="shared" si="3"/>
        <v>#VALUE!</v>
      </c>
      <c r="K30" s="63">
        <f t="shared" si="4"/>
        <v>22</v>
      </c>
      <c r="L30" s="63" t="str">
        <f>IFERROR(VLOOKUP(MID(G30,J30,K30-J30),[6]skilldef!$C:$D,2,FALSE),"-") &amp; " / " &amp; IFERROR(VLOOKUP(MID(G30,H30,I30-H30),[6]skilldef!$A:$B,2,FALSE),"-")</f>
        <v>- / 連続攻撃</v>
      </c>
      <c r="M30" s="63" t="str">
        <f t="shared" si="5"/>
        <v>none</v>
      </c>
      <c r="N30" s="48" t="str">
        <f>IFERROR(LEFT(M30,FIND("],",M30)+S50),M30)</f>
        <v>none</v>
      </c>
      <c r="O30" s="63" t="e">
        <f t="shared" si="6"/>
        <v>#VALUE!</v>
      </c>
      <c r="P30" s="63">
        <f t="shared" si="7"/>
        <v>4</v>
      </c>
      <c r="Q30" s="63" t="e">
        <f t="shared" si="8"/>
        <v>#VALUE!</v>
      </c>
      <c r="R30" s="63" t="e">
        <f t="shared" si="9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</row>
    <row r="31" spans="1:28" ht="21" customHeight="1" x14ac:dyDescent="0.15">
      <c r="A31" s="111">
        <v>40023406</v>
      </c>
      <c r="B31" s="111" t="s">
        <v>375</v>
      </c>
      <c r="C31" s="112">
        <v>3</v>
      </c>
      <c r="D31" s="112" t="s">
        <v>127</v>
      </c>
      <c r="E31" s="113" t="s">
        <v>377</v>
      </c>
      <c r="F31" s="113" t="s">
        <v>392</v>
      </c>
      <c r="G31" s="63" t="str">
        <f t="shared" ref="G31" si="213">IFERROR(LEFT(B31,FIND("],",B31)),B31)</f>
        <v>[effect:fix_speed, target:myself, turn:2]</v>
      </c>
      <c r="H31" s="63">
        <f t="shared" ref="H31" si="214">FIND("effect:",G31)+7</f>
        <v>9</v>
      </c>
      <c r="I31" s="63">
        <f t="shared" ref="I31" si="215">IFERROR(FIND(",",G31),LEN(G31))</f>
        <v>18</v>
      </c>
      <c r="J31" s="63">
        <f t="shared" ref="J31" si="216">FIND("target:",G31)+7</f>
        <v>27</v>
      </c>
      <c r="K31" s="63">
        <f t="shared" ref="K31" si="217">FIND(",",G31,I31+1)</f>
        <v>33</v>
      </c>
      <c r="L31" s="63" t="str">
        <f>IFERROR(VLOOKUP(MID(G31,J31,K31-J31),[6]skilldef!$C:$D,2,FALSE),"-") &amp; " / " &amp; IFERROR(VLOOKUP(MID(G31,H31,I31-H31),[6]skilldef!$A:$B,2,FALSE),"-")</f>
        <v>自分自身に / 行動値設定</v>
      </c>
      <c r="M31" s="63" t="str">
        <f t="shared" ref="M31" si="218">IFERROR(RIGHT(B31,LEN(B31)-FIND("],",B31)-1),"none")</f>
        <v>[effect:enemy_message, val1:3.0, val2:3.2]</v>
      </c>
      <c r="N31" s="48" t="str">
        <f>IFERROR(LEFT(M31,FIND("],",M31)+S51),M31)</f>
        <v>[effect:enemy_message, val1:3.0, val2:3.2]</v>
      </c>
      <c r="O31" s="63">
        <f t="shared" ref="O31" si="219">FIND("effect:",N31)+7</f>
        <v>9</v>
      </c>
      <c r="P31" s="63">
        <f t="shared" ref="P31" si="220">IFERROR(FIND(",",N31),LEN(N31))</f>
        <v>22</v>
      </c>
      <c r="Q31" s="63" t="e">
        <f t="shared" ref="Q31" si="221">FIND("target:",N31)+7</f>
        <v>#VALUE!</v>
      </c>
      <c r="R31" s="63">
        <f t="shared" ref="R31" si="222">FIND(",",N31,P31+1)</f>
        <v>32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ref="T31" si="223">IFERROR(RIGHT(M31,LEN(M31)-FIND("],",M31)-1),"none")</f>
        <v>none</v>
      </c>
      <c r="U31" s="63" t="e">
        <f t="shared" ref="U31" si="224">FIND("effect:",T31)+7</f>
        <v>#VALUE!</v>
      </c>
      <c r="V31" s="63">
        <f t="shared" ref="V31" si="225">IFERROR(FIND(",",T31),LEN(T31))</f>
        <v>4</v>
      </c>
      <c r="W31" s="63" t="e">
        <f t="shared" ref="W31" si="226">FIND("target:",T31)+7</f>
        <v>#VALUE!</v>
      </c>
      <c r="X31" s="63" t="e">
        <f t="shared" ref="X31" si="227">FIND(",",T31,V31+1)</f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21" customHeight="1" x14ac:dyDescent="0.15">
      <c r="A32" s="111">
        <v>40023407</v>
      </c>
      <c r="B32" s="111" t="s">
        <v>394</v>
      </c>
      <c r="C32" s="112">
        <v>3</v>
      </c>
      <c r="D32" s="112" t="s">
        <v>127</v>
      </c>
      <c r="E32" s="113" t="s">
        <v>393</v>
      </c>
      <c r="F32" s="113" t="s">
        <v>373</v>
      </c>
      <c r="G32" s="63" t="str">
        <f t="shared" ref="G32:G33" si="228">IFERROR(LEFT(B32,FIND("],",B32)),B32)</f>
        <v>[effect:fix_speed, target:myself, turn:2]</v>
      </c>
      <c r="H32" s="63">
        <f t="shared" ref="H32:H33" si="229">FIND("effect:",G32)+7</f>
        <v>9</v>
      </c>
      <c r="I32" s="63">
        <f t="shared" ref="I32:I33" si="230">IFERROR(FIND(",",G32),LEN(G32))</f>
        <v>18</v>
      </c>
      <c r="J32" s="63">
        <f t="shared" ref="J32:J33" si="231">FIND("target:",G32)+7</f>
        <v>27</v>
      </c>
      <c r="K32" s="63">
        <f t="shared" ref="K32:K33" si="232">FIND(",",G32,I32+1)</f>
        <v>33</v>
      </c>
      <c r="L32" s="63" t="str">
        <f>IFERROR(VLOOKUP(MID(G32,J32,K32-J32),[6]skilldef!$C:$D,2,FALSE),"-") &amp; " / " &amp; IFERROR(VLOOKUP(MID(G32,H32,I32-H32),[6]skilldef!$A:$B,2,FALSE),"-")</f>
        <v>自分自身に / 行動値設定</v>
      </c>
      <c r="M32" s="63" t="str">
        <f t="shared" ref="M32:M33" si="233">IFERROR(RIGHT(B32,LEN(B32)-FIND("],",B32)-1),"none")</f>
        <v>[effect:enemy_message, val1:2.6, val2:2.4]</v>
      </c>
      <c r="N32" s="48" t="str">
        <f>IFERROR(LEFT(M32,FIND("],",M32)+S52),M32)</f>
        <v>[effect:enemy_message, val1:2.6, val2:2.4]</v>
      </c>
      <c r="O32" s="63">
        <f t="shared" ref="O32:O33" si="234">FIND("effect:",N32)+7</f>
        <v>9</v>
      </c>
      <c r="P32" s="63">
        <f t="shared" ref="P32:P33" si="235">IFERROR(FIND(",",N32),LEN(N32))</f>
        <v>22</v>
      </c>
      <c r="Q32" s="63" t="e">
        <f t="shared" ref="Q32:Q33" si="236">FIND("target:",N32)+7</f>
        <v>#VALUE!</v>
      </c>
      <c r="R32" s="63">
        <f t="shared" ref="R32:R33" si="237">FIND(",",N32,P32+1)</f>
        <v>32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ref="T32:T33" si="238">IFERROR(RIGHT(M32,LEN(M32)-FIND("],",M32)-1),"none")</f>
        <v>none</v>
      </c>
      <c r="U32" s="63" t="e">
        <f t="shared" ref="U32:U33" si="239">FIND("effect:",T32)+7</f>
        <v>#VALUE!</v>
      </c>
      <c r="V32" s="63">
        <f t="shared" ref="V32:V33" si="240">IFERROR(FIND(",",T32),LEN(T32))</f>
        <v>4</v>
      </c>
      <c r="W32" s="63" t="e">
        <f t="shared" ref="W32:W33" si="241">FIND("target:",T32)+7</f>
        <v>#VALUE!</v>
      </c>
      <c r="X32" s="63" t="e">
        <f t="shared" ref="X32:X33" si="242">FIND(",",T32,V32+1)</f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</row>
    <row r="33" spans="1:28" ht="21" customHeight="1" x14ac:dyDescent="0.15">
      <c r="A33" s="111">
        <v>40023408</v>
      </c>
      <c r="B33" s="111" t="s">
        <v>394</v>
      </c>
      <c r="C33" s="112">
        <v>3</v>
      </c>
      <c r="D33" s="112" t="s">
        <v>127</v>
      </c>
      <c r="E33" s="113" t="s">
        <v>393</v>
      </c>
      <c r="F33" s="113" t="s">
        <v>373</v>
      </c>
      <c r="G33" s="63" t="str">
        <f t="shared" si="228"/>
        <v>[effect:fix_speed, target:myself, turn:2]</v>
      </c>
      <c r="H33" s="63">
        <f t="shared" si="229"/>
        <v>9</v>
      </c>
      <c r="I33" s="63">
        <f t="shared" si="230"/>
        <v>18</v>
      </c>
      <c r="J33" s="63">
        <f t="shared" si="231"/>
        <v>27</v>
      </c>
      <c r="K33" s="63">
        <f t="shared" si="232"/>
        <v>33</v>
      </c>
      <c r="L33" s="63" t="str">
        <f>IFERROR(VLOOKUP(MID(G33,J33,K33-J33),[6]skilldef!$C:$D,2,FALSE),"-") &amp; " / " &amp; IFERROR(VLOOKUP(MID(G33,H33,I33-H33),[6]skilldef!$A:$B,2,FALSE),"-")</f>
        <v>自分自身に / 行動値設定</v>
      </c>
      <c r="M33" s="63" t="str">
        <f t="shared" si="233"/>
        <v>[effect:enemy_message, val1:2.6, val2:2.4]</v>
      </c>
      <c r="N33" s="48" t="str">
        <f>IFERROR(LEFT(M33,FIND("],",M33)+S53),M33)</f>
        <v>[effect:enemy_message, val1:2.6, val2:2.4]</v>
      </c>
      <c r="O33" s="63">
        <f t="shared" si="234"/>
        <v>9</v>
      </c>
      <c r="P33" s="63">
        <f t="shared" si="235"/>
        <v>22</v>
      </c>
      <c r="Q33" s="63" t="e">
        <f t="shared" si="236"/>
        <v>#VALUE!</v>
      </c>
      <c r="R33" s="63">
        <f t="shared" si="237"/>
        <v>32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238"/>
        <v>none</v>
      </c>
      <c r="U33" s="63" t="e">
        <f t="shared" si="239"/>
        <v>#VALUE!</v>
      </c>
      <c r="V33" s="63">
        <f t="shared" si="240"/>
        <v>4</v>
      </c>
      <c r="W33" s="63" t="e">
        <f t="shared" si="241"/>
        <v>#VALUE!</v>
      </c>
      <c r="X33" s="63" t="e">
        <f t="shared" si="242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21" customHeight="1" x14ac:dyDescent="0.15">
      <c r="A34" s="111">
        <v>40023409</v>
      </c>
      <c r="B34" s="111" t="s">
        <v>424</v>
      </c>
      <c r="C34" s="112">
        <v>3</v>
      </c>
      <c r="D34" s="112" t="s">
        <v>127</v>
      </c>
      <c r="E34" s="113" t="s">
        <v>393</v>
      </c>
      <c r="F34" s="113" t="s">
        <v>373</v>
      </c>
      <c r="G34" s="63" t="str">
        <f t="shared" ref="G34:G36" si="243">IFERROR(LEFT(B34,FIND("],",B34)),B34)</f>
        <v>[effect:fix_speed, target:myself, turn:2]</v>
      </c>
      <c r="H34" s="63">
        <f t="shared" ref="H34:H36" si="244">FIND("effect:",G34)+7</f>
        <v>9</v>
      </c>
      <c r="I34" s="63">
        <f t="shared" ref="I34:I36" si="245">IFERROR(FIND(",",G34),LEN(G34))</f>
        <v>18</v>
      </c>
      <c r="J34" s="63">
        <f t="shared" ref="J34:J36" si="246">FIND("target:",G34)+7</f>
        <v>27</v>
      </c>
      <c r="K34" s="63">
        <f t="shared" ref="K34:K36" si="247">FIND(",",G34,I34+1)</f>
        <v>33</v>
      </c>
      <c r="L34" s="63" t="str">
        <f>IFERROR(VLOOKUP(MID(G34,J34,K34-J34),[6]skilldef!$C:$D,2,FALSE),"-") &amp; " / " &amp; IFERROR(VLOOKUP(MID(G34,H34,I34-H34),[6]skilldef!$A:$B,2,FALSE),"-")</f>
        <v>自分自身に / 行動値設定</v>
      </c>
      <c r="M34" s="63" t="str">
        <f t="shared" ref="M34:M36" si="248">IFERROR(RIGHT(B34,LEN(B34)-FIND("],",B34)-1),"none")</f>
        <v>[effect:enemy_message, val1:2.6, val2:2.4]</v>
      </c>
      <c r="N34" s="48" t="str">
        <f>IFERROR(LEFT(M34,FIND("],",M34)+S57),M34)</f>
        <v>[effect:enemy_message, val1:2.6, val2:2.4]</v>
      </c>
      <c r="O34" s="63">
        <f t="shared" ref="O34:O36" si="249">FIND("effect:",N34)+7</f>
        <v>9</v>
      </c>
      <c r="P34" s="63">
        <f t="shared" ref="P34:P36" si="250">IFERROR(FIND(",",N34),LEN(N34))</f>
        <v>22</v>
      </c>
      <c r="Q34" s="63" t="e">
        <f t="shared" ref="Q34:Q36" si="251">FIND("target:",N34)+7</f>
        <v>#VALUE!</v>
      </c>
      <c r="R34" s="63">
        <f t="shared" ref="R34:R36" si="252">FIND(",",N34,P34+1)</f>
        <v>32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ref="T34:T36" si="253">IFERROR(RIGHT(M34,LEN(M34)-FIND("],",M34)-1),"none")</f>
        <v>none</v>
      </c>
      <c r="U34" s="63" t="e">
        <f t="shared" ref="U34:U36" si="254">FIND("effect:",T34)+7</f>
        <v>#VALUE!</v>
      </c>
      <c r="V34" s="63">
        <f t="shared" ref="V34:V36" si="255">IFERROR(FIND(",",T34),LEN(T34))</f>
        <v>4</v>
      </c>
      <c r="W34" s="63" t="e">
        <f t="shared" ref="W34:W36" si="256">FIND("target:",T34)+7</f>
        <v>#VALUE!</v>
      </c>
      <c r="X34" s="63" t="e">
        <f t="shared" ref="X34:X36" si="257">FIND(",",T34,V34+1)</f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21" customHeight="1" x14ac:dyDescent="0.15">
      <c r="A35" s="111">
        <v>40023410</v>
      </c>
      <c r="B35" s="111" t="s">
        <v>395</v>
      </c>
      <c r="C35" s="112">
        <v>3</v>
      </c>
      <c r="D35" s="112" t="s">
        <v>127</v>
      </c>
      <c r="E35" s="113" t="s">
        <v>380</v>
      </c>
      <c r="F35" s="113" t="s">
        <v>381</v>
      </c>
      <c r="G35" s="63" t="str">
        <f t="shared" si="243"/>
        <v>[effect:enemy_message, val1:1.2, val2:2.2]</v>
      </c>
      <c r="H35" s="63">
        <f t="shared" si="244"/>
        <v>9</v>
      </c>
      <c r="I35" s="63">
        <f t="shared" si="245"/>
        <v>22</v>
      </c>
      <c r="J35" s="63" t="e">
        <f t="shared" si="246"/>
        <v>#VALUE!</v>
      </c>
      <c r="K35" s="63">
        <f t="shared" si="247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248"/>
        <v>none</v>
      </c>
      <c r="N35" s="48" t="str">
        <f>IFERROR(LEFT(M35,FIND("],",M35)+S58),M35)</f>
        <v>none</v>
      </c>
      <c r="O35" s="63" t="e">
        <f t="shared" si="249"/>
        <v>#VALUE!</v>
      </c>
      <c r="P35" s="63">
        <f t="shared" si="250"/>
        <v>4</v>
      </c>
      <c r="Q35" s="63" t="e">
        <f t="shared" si="251"/>
        <v>#VALUE!</v>
      </c>
      <c r="R35" s="63" t="e">
        <f t="shared" si="252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253"/>
        <v>none</v>
      </c>
      <c r="U35" s="63" t="e">
        <f t="shared" si="254"/>
        <v>#VALUE!</v>
      </c>
      <c r="V35" s="63">
        <f t="shared" si="255"/>
        <v>4</v>
      </c>
      <c r="W35" s="63" t="e">
        <f t="shared" si="256"/>
        <v>#VALUE!</v>
      </c>
      <c r="X35" s="63" t="e">
        <f t="shared" si="257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</row>
    <row r="36" spans="1:28" ht="21" customHeight="1" x14ac:dyDescent="0.15">
      <c r="A36" s="111">
        <v>40023411</v>
      </c>
      <c r="B36" s="111" t="s">
        <v>395</v>
      </c>
      <c r="C36" s="112">
        <v>3</v>
      </c>
      <c r="D36" s="112" t="s">
        <v>127</v>
      </c>
      <c r="E36" s="113" t="s">
        <v>380</v>
      </c>
      <c r="F36" s="113" t="s">
        <v>381</v>
      </c>
      <c r="G36" s="63" t="str">
        <f t="shared" si="243"/>
        <v>[effect:enemy_message, val1:1.2, val2:2.2]</v>
      </c>
      <c r="H36" s="63">
        <f t="shared" si="244"/>
        <v>9</v>
      </c>
      <c r="I36" s="63">
        <f t="shared" si="245"/>
        <v>22</v>
      </c>
      <c r="J36" s="63" t="e">
        <f t="shared" si="246"/>
        <v>#VALUE!</v>
      </c>
      <c r="K36" s="63">
        <f t="shared" si="247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248"/>
        <v>none</v>
      </c>
      <c r="N36" s="48" t="str">
        <f>IFERROR(LEFT(M36,FIND("],",M36)+S59),M36)</f>
        <v>none</v>
      </c>
      <c r="O36" s="63" t="e">
        <f t="shared" si="249"/>
        <v>#VALUE!</v>
      </c>
      <c r="P36" s="63">
        <f t="shared" si="250"/>
        <v>4</v>
      </c>
      <c r="Q36" s="63" t="e">
        <f t="shared" si="251"/>
        <v>#VALUE!</v>
      </c>
      <c r="R36" s="63" t="e">
        <f t="shared" si="252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253"/>
        <v>none</v>
      </c>
      <c r="U36" s="63" t="e">
        <f t="shared" si="254"/>
        <v>#VALUE!</v>
      </c>
      <c r="V36" s="63">
        <f t="shared" si="255"/>
        <v>4</v>
      </c>
      <c r="W36" s="63" t="e">
        <f t="shared" si="256"/>
        <v>#VALUE!</v>
      </c>
      <c r="X36" s="63" t="e">
        <f t="shared" si="257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21" customHeight="1" x14ac:dyDescent="0.15">
      <c r="A37" s="111">
        <v>40023412</v>
      </c>
      <c r="B37" s="111" t="s">
        <v>395</v>
      </c>
      <c r="C37" s="112">
        <v>3</v>
      </c>
      <c r="D37" s="112" t="s">
        <v>127</v>
      </c>
      <c r="E37" s="113" t="s">
        <v>380</v>
      </c>
      <c r="F37" s="113" t="s">
        <v>381</v>
      </c>
      <c r="G37" s="63" t="str">
        <f t="shared" ref="G37" si="258">IFERROR(LEFT(B37,FIND("],",B37)),B37)</f>
        <v>[effect:enemy_message, val1:1.2, val2:2.2]</v>
      </c>
      <c r="H37" s="63">
        <f t="shared" ref="H37" si="259">FIND("effect:",G37)+7</f>
        <v>9</v>
      </c>
      <c r="I37" s="63">
        <f t="shared" ref="I37" si="260">IFERROR(FIND(",",G37),LEN(G37))</f>
        <v>22</v>
      </c>
      <c r="J37" s="63" t="e">
        <f t="shared" ref="J37" si="261">FIND("target:",G37)+7</f>
        <v>#VALUE!</v>
      </c>
      <c r="K37" s="63">
        <f t="shared" ref="K37" si="262">FIND(",",G37,I37+1)</f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ref="M37" si="263">IFERROR(RIGHT(B37,LEN(B37)-FIND("],",B37)-1),"none")</f>
        <v>none</v>
      </c>
      <c r="N37" s="48" t="str">
        <f>IFERROR(LEFT(M37,FIND("],",M37)+S60),M37)</f>
        <v>none</v>
      </c>
      <c r="O37" s="63" t="e">
        <f t="shared" ref="O37" si="264">FIND("effect:",N37)+7</f>
        <v>#VALUE!</v>
      </c>
      <c r="P37" s="63">
        <f t="shared" ref="P37" si="265">IFERROR(FIND(",",N37),LEN(N37))</f>
        <v>4</v>
      </c>
      <c r="Q37" s="63" t="e">
        <f t="shared" ref="Q37" si="266">FIND("target:",N37)+7</f>
        <v>#VALUE!</v>
      </c>
      <c r="R37" s="63" t="e">
        <f t="shared" ref="R37" si="267">FIND(",",N37,P37+1)</f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ref="T37" si="268">IFERROR(RIGHT(M37,LEN(M37)-FIND("],",M37)-1),"none")</f>
        <v>none</v>
      </c>
      <c r="U37" s="63" t="e">
        <f t="shared" ref="U37" si="269">FIND("effect:",T37)+7</f>
        <v>#VALUE!</v>
      </c>
      <c r="V37" s="63">
        <f t="shared" ref="V37" si="270">IFERROR(FIND(",",T37),LEN(T37))</f>
        <v>4</v>
      </c>
      <c r="W37" s="63" t="e">
        <f t="shared" ref="W37" si="271">FIND("target:",T37)+7</f>
        <v>#VALUE!</v>
      </c>
      <c r="X37" s="63" t="e">
        <f t="shared" ref="X37" si="272">FIND(",",T37,V37+1)</f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28" customHeight="1" x14ac:dyDescent="0.15">
      <c r="A38" s="114">
        <v>40023500</v>
      </c>
      <c r="B38" s="114" t="s">
        <v>430</v>
      </c>
      <c r="C38" s="115">
        <v>3</v>
      </c>
      <c r="D38" s="115" t="s">
        <v>127</v>
      </c>
      <c r="E38" s="116" t="s">
        <v>338</v>
      </c>
      <c r="F38" s="116" t="s">
        <v>327</v>
      </c>
      <c r="G38" s="63" t="str">
        <f t="shared" si="0"/>
        <v>[effect:tolerance, target:myself, turn:-1, tolerance_effect:all, count:-1, animation:enemy_tolerance]</v>
      </c>
      <c r="H38" s="63">
        <f t="shared" si="1"/>
        <v>9</v>
      </c>
      <c r="I38" s="63">
        <f t="shared" si="2"/>
        <v>18</v>
      </c>
      <c r="J38" s="63">
        <f t="shared" si="3"/>
        <v>27</v>
      </c>
      <c r="K38" s="63">
        <f t="shared" si="4"/>
        <v>33</v>
      </c>
      <c r="L38" s="63" t="str">
        <f>IFERROR(VLOOKUP(MID(G38,J38,K38-J38),[6]skilldef!$C:$D,2,FALSE),"-") &amp; " / " &amp; IFERROR(VLOOKUP(MID(G38,H38,I38-H38),[6]skilldef!$A:$B,2,FALSE),"-")</f>
        <v>自分自身に / 状態異常耐性</v>
      </c>
      <c r="M38" s="63" t="str">
        <f t="shared" si="5"/>
        <v>[effect:fix_speed, target:myself, turn:2],[effect:enemy_message, val1:2.8, val2:1.8]</v>
      </c>
      <c r="N38" s="48" t="str">
        <f>IFERROR(LEFT(M38,FIND("],",M38)+S51),M38)</f>
        <v>[effect:fix_speed, target:myself, turn:2],[effect:enemy_message, val1:2.8, val2:1.8]</v>
      </c>
      <c r="O38" s="63">
        <f t="shared" si="6"/>
        <v>9</v>
      </c>
      <c r="P38" s="63">
        <f t="shared" si="7"/>
        <v>18</v>
      </c>
      <c r="Q38" s="63">
        <f t="shared" si="8"/>
        <v>27</v>
      </c>
      <c r="R38" s="63">
        <f t="shared" si="9"/>
        <v>33</v>
      </c>
      <c r="S38" s="63" t="str">
        <f>IFERROR(VLOOKUP(MID(N38,Q38,R38-Q38),[6]skilldef!$C:$D,2,FALSE),"-") &amp; " / " &amp; IFERROR(VLOOKUP(MID(N38,O38,P38-O38),[6]skilldef!$A:$B,2,FALSE),"-")</f>
        <v>自分自身に / 行動値設定</v>
      </c>
      <c r="T38" s="48" t="str">
        <f t="shared" si="10"/>
        <v>[effect:enemy_message, val1:2.8, val2:1.8]</v>
      </c>
      <c r="U38" s="63">
        <f t="shared" si="11"/>
        <v>9</v>
      </c>
      <c r="V38" s="63">
        <f t="shared" si="12"/>
        <v>22</v>
      </c>
      <c r="W38" s="63" t="e">
        <f t="shared" si="13"/>
        <v>#VALUE!</v>
      </c>
      <c r="X38" s="63">
        <f t="shared" si="14"/>
        <v>32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21" customHeight="1" x14ac:dyDescent="0.15">
      <c r="A39" s="114">
        <v>40023501</v>
      </c>
      <c r="B39" s="114" t="s">
        <v>319</v>
      </c>
      <c r="C39" s="115">
        <v>3</v>
      </c>
      <c r="D39" s="115" t="s">
        <v>127</v>
      </c>
      <c r="E39" s="116" t="s">
        <v>353</v>
      </c>
      <c r="F39" s="116" t="s">
        <v>268</v>
      </c>
      <c r="G39" s="63" t="str">
        <f t="shared" si="0"/>
        <v>[effect:panel_freeze, target:block_green, count:-1, break_count:1] ,[effect:panel_freeze, target:block_yellow, count:-1, break_count:1]</v>
      </c>
      <c r="H39" s="63">
        <f t="shared" si="1"/>
        <v>9</v>
      </c>
      <c r="I39" s="63">
        <f t="shared" si="2"/>
        <v>21</v>
      </c>
      <c r="J39" s="63">
        <f t="shared" si="3"/>
        <v>30</v>
      </c>
      <c r="K39" s="63">
        <f t="shared" si="4"/>
        <v>41</v>
      </c>
      <c r="L39" s="63" t="str">
        <f>IFERROR(VLOOKUP(MID(G39,J39,K39-J39),[6]skilldef!$C:$D,2,FALSE),"-") &amp; " / " &amp; IFERROR(VLOOKUP(MID(G39,H39,I39-H39),[6]skilldef!$A:$B,2,FALSE),"-")</f>
        <v>緑パネルを / -</v>
      </c>
      <c r="M39" s="63" t="str">
        <f t="shared" si="5"/>
        <v>[effect:rush, count:1, val:1.0]</v>
      </c>
      <c r="N39" s="48" t="str">
        <f>IFERROR(LEFT(M39,FIND("],",M39)+S52),M39)</f>
        <v>[effect:rush, count:1, val:1.0]</v>
      </c>
      <c r="O39" s="63">
        <f t="shared" si="6"/>
        <v>9</v>
      </c>
      <c r="P39" s="63">
        <f t="shared" si="7"/>
        <v>13</v>
      </c>
      <c r="Q39" s="63" t="e">
        <f t="shared" si="8"/>
        <v>#VALUE!</v>
      </c>
      <c r="R39" s="63">
        <f t="shared" si="9"/>
        <v>22</v>
      </c>
      <c r="S39" s="63" t="str">
        <f>IFERROR(VLOOKUP(MID(N39,Q39,R39-Q39),[6]skilldef!$C:$D,2,FALSE),"-") &amp; " / " &amp; IFERROR(VLOOKUP(MID(N39,O39,P39-O39),[6]skilldef!$A:$B,2,FALSE),"-")</f>
        <v>- / 連続攻撃</v>
      </c>
      <c r="T39" s="48" t="str">
        <f t="shared" si="10"/>
        <v>none</v>
      </c>
      <c r="U39" s="63" t="e">
        <f t="shared" si="11"/>
        <v>#VALUE!</v>
      </c>
      <c r="V39" s="63">
        <f t="shared" si="12"/>
        <v>4</v>
      </c>
      <c r="W39" s="63" t="e">
        <f t="shared" si="13"/>
        <v>#VALUE!</v>
      </c>
      <c r="X39" s="63" t="e">
        <f t="shared" si="14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</row>
    <row r="40" spans="1:28" ht="21" customHeight="1" x14ac:dyDescent="0.15">
      <c r="A40" s="114">
        <v>40023502</v>
      </c>
      <c r="B40" s="114" t="s">
        <v>323</v>
      </c>
      <c r="C40" s="115">
        <v>3</v>
      </c>
      <c r="D40" s="115" t="s">
        <v>127</v>
      </c>
      <c r="E40" s="116" t="s">
        <v>416</v>
      </c>
      <c r="F40" s="116" t="s">
        <v>269</v>
      </c>
      <c r="G40" s="63" t="str">
        <f t="shared" si="0"/>
        <v>[effect:panel_freeze, target:block_green, count:-1, break_count:1] ,[effect:panel_freeze, target:block_red, count:-1, break_count:1]</v>
      </c>
      <c r="H40" s="63">
        <f t="shared" si="1"/>
        <v>9</v>
      </c>
      <c r="I40" s="63">
        <f t="shared" si="2"/>
        <v>21</v>
      </c>
      <c r="J40" s="63">
        <f t="shared" si="3"/>
        <v>30</v>
      </c>
      <c r="K40" s="63">
        <f t="shared" si="4"/>
        <v>41</v>
      </c>
      <c r="L40" s="63" t="str">
        <f>IFERROR(VLOOKUP(MID(G40,J40,K40-J40),[6]skilldef!$C:$D,2,FALSE),"-") &amp; " / " &amp; IFERROR(VLOOKUP(MID(G40,H40,I40-H40),[6]skilldef!$A:$B,2,FALSE),"-")</f>
        <v>緑パネルを / -</v>
      </c>
      <c r="M40" s="63" t="str">
        <f t="shared" si="5"/>
        <v>[effect:rush, count:1, val:1.0]</v>
      </c>
      <c r="N40" s="48" t="str">
        <f>IFERROR(LEFT(M40,FIND("],",M40)+S53),M40)</f>
        <v>[effect:rush, count:1, val:1.0]</v>
      </c>
      <c r="O40" s="63">
        <f t="shared" si="6"/>
        <v>9</v>
      </c>
      <c r="P40" s="63">
        <f t="shared" si="7"/>
        <v>13</v>
      </c>
      <c r="Q40" s="63" t="e">
        <f t="shared" si="8"/>
        <v>#VALUE!</v>
      </c>
      <c r="R40" s="63">
        <f t="shared" si="9"/>
        <v>22</v>
      </c>
      <c r="S40" s="63" t="str">
        <f>IFERROR(VLOOKUP(MID(N40,Q40,R40-Q40),[6]skilldef!$C:$D,2,FALSE),"-") &amp; " / " &amp; IFERROR(VLOOKUP(MID(N40,O40,P40-O40),[6]skilldef!$A:$B,2,FALSE),"-")</f>
        <v>- / 連続攻撃</v>
      </c>
      <c r="T40" s="48" t="str">
        <f t="shared" si="10"/>
        <v>none</v>
      </c>
      <c r="U40" s="63" t="e">
        <f t="shared" si="11"/>
        <v>#VALUE!</v>
      </c>
      <c r="V40" s="63">
        <f t="shared" si="12"/>
        <v>4</v>
      </c>
      <c r="W40" s="63" t="e">
        <f t="shared" si="13"/>
        <v>#VALUE!</v>
      </c>
      <c r="X40" s="63" t="e">
        <f t="shared" si="14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21" customHeight="1" x14ac:dyDescent="0.15">
      <c r="A41" s="114">
        <v>40023503</v>
      </c>
      <c r="B41" s="114" t="s">
        <v>324</v>
      </c>
      <c r="C41" s="115">
        <v>3</v>
      </c>
      <c r="D41" s="115" t="s">
        <v>127</v>
      </c>
      <c r="E41" s="116" t="s">
        <v>417</v>
      </c>
      <c r="F41" s="116" t="s">
        <v>270</v>
      </c>
      <c r="G41" s="63" t="str">
        <f t="shared" si="0"/>
        <v>[effect:panel_freeze, target:block_green, count:-1, break_count:1] ,[effect:panel_freeze, target:block_blue, count:-1, break_count:1]</v>
      </c>
      <c r="H41" s="63">
        <f t="shared" si="1"/>
        <v>9</v>
      </c>
      <c r="I41" s="63">
        <f t="shared" si="2"/>
        <v>21</v>
      </c>
      <c r="J41" s="63">
        <f t="shared" si="3"/>
        <v>30</v>
      </c>
      <c r="K41" s="63">
        <f t="shared" si="4"/>
        <v>41</v>
      </c>
      <c r="L41" s="63" t="str">
        <f>IFERROR(VLOOKUP(MID(G41,J41,K41-J41),[6]skilldef!$C:$D,2,FALSE),"-") &amp; " / " &amp; IFERROR(VLOOKUP(MID(G41,H41,I41-H41),[6]skilldef!$A:$B,2,FALSE),"-")</f>
        <v>緑パネルを / -</v>
      </c>
      <c r="M41" s="63" t="str">
        <f t="shared" si="5"/>
        <v>[effect:rush, count:1, val:1.0]</v>
      </c>
      <c r="N41" s="48" t="str">
        <f t="shared" ref="N41:N47" si="273">IFERROR(LEFT(M41,FIND("],",M41)+S57),M41)</f>
        <v>[effect:rush, count:1, val:1.0]</v>
      </c>
      <c r="O41" s="63">
        <f t="shared" si="6"/>
        <v>9</v>
      </c>
      <c r="P41" s="63">
        <f t="shared" si="7"/>
        <v>13</v>
      </c>
      <c r="Q41" s="63" t="e">
        <f t="shared" si="8"/>
        <v>#VALUE!</v>
      </c>
      <c r="R41" s="63">
        <f t="shared" si="9"/>
        <v>22</v>
      </c>
      <c r="S41" s="63" t="str">
        <f>IFERROR(VLOOKUP(MID(N41,Q41,R41-Q41),[6]skilldef!$C:$D,2,FALSE),"-") &amp; " / " &amp; IFERROR(VLOOKUP(MID(N41,O41,P41-O41),[6]skilldef!$A:$B,2,FALSE),"-")</f>
        <v>- / 連続攻撃</v>
      </c>
      <c r="T41" s="48" t="str">
        <f t="shared" si="10"/>
        <v>none</v>
      </c>
      <c r="U41" s="63" t="e">
        <f t="shared" si="11"/>
        <v>#VALUE!</v>
      </c>
      <c r="V41" s="63">
        <f t="shared" si="12"/>
        <v>4</v>
      </c>
      <c r="W41" s="63" t="e">
        <f t="shared" si="13"/>
        <v>#VALUE!</v>
      </c>
      <c r="X41" s="63" t="e">
        <f t="shared" si="14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21" customHeight="1" x14ac:dyDescent="0.15">
      <c r="A42" s="114">
        <v>40023504</v>
      </c>
      <c r="B42" s="114" t="s">
        <v>325</v>
      </c>
      <c r="C42" s="115">
        <v>3</v>
      </c>
      <c r="D42" s="115" t="s">
        <v>127</v>
      </c>
      <c r="E42" s="116" t="s">
        <v>415</v>
      </c>
      <c r="F42" s="116" t="s">
        <v>271</v>
      </c>
      <c r="G42" s="63" t="str">
        <f t="shared" si="0"/>
        <v>[effect:panel_freeze, target:block_green, count:-1, break_count:1] ,[effect:panel_freeze, target:block_heart, count:-1, break_count:1]</v>
      </c>
      <c r="H42" s="63">
        <f t="shared" si="1"/>
        <v>9</v>
      </c>
      <c r="I42" s="63">
        <f t="shared" si="2"/>
        <v>21</v>
      </c>
      <c r="J42" s="63">
        <f t="shared" si="3"/>
        <v>30</v>
      </c>
      <c r="K42" s="63">
        <f t="shared" si="4"/>
        <v>41</v>
      </c>
      <c r="L42" s="63" t="str">
        <f>IFERROR(VLOOKUP(MID(G42,J42,K42-J42),[6]skilldef!$C:$D,2,FALSE),"-") &amp; " / " &amp; IFERROR(VLOOKUP(MID(G42,H42,I42-H42),[6]skilldef!$A:$B,2,FALSE),"-")</f>
        <v>緑パネルを / -</v>
      </c>
      <c r="M42" s="63" t="str">
        <f t="shared" si="5"/>
        <v>[effect:rush, count:1, val:1.0]</v>
      </c>
      <c r="N42" s="48" t="str">
        <f t="shared" si="273"/>
        <v>[effect:rush, count:1, val:1.0]</v>
      </c>
      <c r="O42" s="63">
        <f t="shared" si="6"/>
        <v>9</v>
      </c>
      <c r="P42" s="63">
        <f t="shared" si="7"/>
        <v>13</v>
      </c>
      <c r="Q42" s="63" t="e">
        <f t="shared" si="8"/>
        <v>#VALUE!</v>
      </c>
      <c r="R42" s="63">
        <f t="shared" si="9"/>
        <v>22</v>
      </c>
      <c r="S42" s="63" t="str">
        <f>IFERROR(VLOOKUP(MID(N42,Q42,R42-Q42),[6]skilldef!$C:$D,2,FALSE),"-") &amp; " / " &amp; IFERROR(VLOOKUP(MID(N42,O42,P42-O42),[6]skilldef!$A:$B,2,FALSE),"-")</f>
        <v>- / 連続攻撃</v>
      </c>
      <c r="T42" s="48" t="str">
        <f t="shared" si="10"/>
        <v>none</v>
      </c>
      <c r="U42" s="63" t="e">
        <f t="shared" si="11"/>
        <v>#VALUE!</v>
      </c>
      <c r="V42" s="63">
        <f t="shared" si="12"/>
        <v>4</v>
      </c>
      <c r="W42" s="63" t="e">
        <f t="shared" si="13"/>
        <v>#VALUE!</v>
      </c>
      <c r="X42" s="63" t="e">
        <f t="shared" si="14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21" customHeight="1" x14ac:dyDescent="0.15">
      <c r="A43" s="114">
        <v>40023505</v>
      </c>
      <c r="B43" s="114" t="s">
        <v>452</v>
      </c>
      <c r="C43" s="115">
        <v>3</v>
      </c>
      <c r="D43" s="115" t="s">
        <v>127</v>
      </c>
      <c r="E43" s="116" t="s">
        <v>341</v>
      </c>
      <c r="F43" s="116" t="s">
        <v>273</v>
      </c>
      <c r="G43" s="63" t="str">
        <f t="shared" si="0"/>
        <v>[effect:force_change_block, new_block:block_yellow, target:block_all, ignore01:block_positive, ignore02:block_negative, ignore03:block_yellow, count:5, val:0]</v>
      </c>
      <c r="H43" s="63">
        <f t="shared" si="1"/>
        <v>9</v>
      </c>
      <c r="I43" s="63">
        <f t="shared" si="2"/>
        <v>27</v>
      </c>
      <c r="J43" s="63">
        <f t="shared" si="3"/>
        <v>60</v>
      </c>
      <c r="K43" s="63">
        <f t="shared" si="4"/>
        <v>51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5"/>
        <v>[effect:rush, count:1, val:1.0]</v>
      </c>
      <c r="N43" s="48" t="str">
        <f t="shared" si="273"/>
        <v>[effect:rush, count:1, val:1.0]</v>
      </c>
      <c r="O43" s="63">
        <f t="shared" si="6"/>
        <v>9</v>
      </c>
      <c r="P43" s="63">
        <f t="shared" si="7"/>
        <v>13</v>
      </c>
      <c r="Q43" s="63" t="e">
        <f t="shared" si="8"/>
        <v>#VALUE!</v>
      </c>
      <c r="R43" s="63">
        <f t="shared" si="9"/>
        <v>22</v>
      </c>
      <c r="S43" s="63" t="str">
        <f>IFERROR(VLOOKUP(MID(N43,Q43,R43-Q43),[6]skilldef!$C:$D,2,FALSE),"-") &amp; " / " &amp; IFERROR(VLOOKUP(MID(N43,O43,P43-O43),[6]skilldef!$A:$B,2,FALSE),"-")</f>
        <v>- / 連続攻撃</v>
      </c>
      <c r="T43" s="48" t="str">
        <f t="shared" si="10"/>
        <v>none</v>
      </c>
      <c r="U43" s="63" t="e">
        <f t="shared" si="11"/>
        <v>#VALUE!</v>
      </c>
      <c r="V43" s="63">
        <f t="shared" si="12"/>
        <v>4</v>
      </c>
      <c r="W43" s="63" t="e">
        <f t="shared" si="13"/>
        <v>#VALUE!</v>
      </c>
      <c r="X43" s="63" t="e">
        <f t="shared" si="14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21" customHeight="1" x14ac:dyDescent="0.15">
      <c r="A44" s="114">
        <v>40023506</v>
      </c>
      <c r="B44" s="114" t="s">
        <v>274</v>
      </c>
      <c r="C44" s="115">
        <v>3</v>
      </c>
      <c r="D44" s="115" t="s">
        <v>127</v>
      </c>
      <c r="E44" s="116" t="s">
        <v>342</v>
      </c>
      <c r="F44" s="116" t="s">
        <v>275</v>
      </c>
      <c r="G44" s="63" t="str">
        <f t="shared" si="0"/>
        <v>[effect:critical, val:1.5, animation:enemy_critical]</v>
      </c>
      <c r="H44" s="63">
        <f t="shared" si="1"/>
        <v>9</v>
      </c>
      <c r="I44" s="63">
        <f t="shared" si="2"/>
        <v>17</v>
      </c>
      <c r="J44" s="63" t="e">
        <f t="shared" si="3"/>
        <v>#VALUE!</v>
      </c>
      <c r="K44" s="63">
        <f t="shared" si="4"/>
        <v>26</v>
      </c>
      <c r="L44" s="63" t="str">
        <f>IFERROR(VLOOKUP(MID(G44,J44,K44-J44),[6]skilldef!$C:$D,2,FALSE),"-") &amp; " / " &amp; IFERROR(VLOOKUP(MID(G44,H44,I44-H44),[6]skilldef!$A:$B,2,FALSE),"-")</f>
        <v>- / 大攻撃</v>
      </c>
      <c r="M44" s="63" t="str">
        <f t="shared" si="5"/>
        <v>none</v>
      </c>
      <c r="N44" s="48" t="str">
        <f t="shared" si="273"/>
        <v>none</v>
      </c>
      <c r="O44" s="63" t="e">
        <f t="shared" si="6"/>
        <v>#VALUE!</v>
      </c>
      <c r="P44" s="63">
        <f t="shared" si="7"/>
        <v>4</v>
      </c>
      <c r="Q44" s="63" t="e">
        <f t="shared" si="8"/>
        <v>#VALUE!</v>
      </c>
      <c r="R44" s="63" t="e">
        <f t="shared" si="9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0"/>
        <v>none</v>
      </c>
      <c r="U44" s="63" t="e">
        <f t="shared" si="11"/>
        <v>#VALUE!</v>
      </c>
      <c r="V44" s="63">
        <f t="shared" si="12"/>
        <v>4</v>
      </c>
      <c r="W44" s="63" t="e">
        <f t="shared" si="13"/>
        <v>#VALUE!</v>
      </c>
      <c r="X44" s="63" t="e">
        <f t="shared" si="14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</row>
    <row r="45" spans="1:28" ht="21" customHeight="1" x14ac:dyDescent="0.15">
      <c r="A45" s="114">
        <v>40023507</v>
      </c>
      <c r="B45" s="114" t="s">
        <v>326</v>
      </c>
      <c r="C45" s="115">
        <v>3</v>
      </c>
      <c r="D45" s="115" t="s">
        <v>127</v>
      </c>
      <c r="E45" s="116" t="s">
        <v>357</v>
      </c>
      <c r="F45" s="116" t="s">
        <v>318</v>
      </c>
      <c r="G45" s="63" t="str">
        <f t="shared" si="0"/>
        <v>[effect:crash_condition, target:unit_all, turn:-1, val:4, animation:enemy_crash_extend]</v>
      </c>
      <c r="H45" s="63">
        <f t="shared" si="1"/>
        <v>9</v>
      </c>
      <c r="I45" s="63">
        <f t="shared" si="2"/>
        <v>24</v>
      </c>
      <c r="J45" s="63">
        <f t="shared" si="3"/>
        <v>33</v>
      </c>
      <c r="K45" s="63">
        <f t="shared" si="4"/>
        <v>41</v>
      </c>
      <c r="L45" s="63" t="str">
        <f>IFERROR(VLOOKUP(MID(G45,J45,K45-J45),[6]skilldef!$C:$D,2,FALSE),"-") &amp; " / " &amp; IFERROR(VLOOKUP(MID(G45,H45,I45-H45),[6]skilldef!$A:$B,2,FALSE),"-")</f>
        <v>味方全体に / -</v>
      </c>
      <c r="M45" s="63" t="str">
        <f t="shared" si="5"/>
        <v>[effect:rush, count:1, val:1.0]</v>
      </c>
      <c r="N45" s="48" t="str">
        <f t="shared" si="273"/>
        <v>[effect:rush, count:1, val:1.0]</v>
      </c>
      <c r="O45" s="63">
        <f t="shared" si="6"/>
        <v>9</v>
      </c>
      <c r="P45" s="63">
        <f t="shared" si="7"/>
        <v>13</v>
      </c>
      <c r="Q45" s="63" t="e">
        <f t="shared" si="8"/>
        <v>#VALUE!</v>
      </c>
      <c r="R45" s="63">
        <f t="shared" si="9"/>
        <v>22</v>
      </c>
      <c r="S45" s="63" t="str">
        <f>IFERROR(VLOOKUP(MID(N45,Q45,R45-Q45),[6]skilldef!$C:$D,2,FALSE),"-") &amp; " / " &amp; IFERROR(VLOOKUP(MID(N45,O45,P45-O45),[6]skilldef!$A:$B,2,FALSE),"-")</f>
        <v>- / 連続攻撃</v>
      </c>
      <c r="T45" s="48" t="str">
        <f t="shared" si="10"/>
        <v>none</v>
      </c>
      <c r="U45" s="63" t="e">
        <f t="shared" si="11"/>
        <v>#VALUE!</v>
      </c>
      <c r="V45" s="63">
        <f t="shared" si="12"/>
        <v>4</v>
      </c>
      <c r="W45" s="63" t="e">
        <f t="shared" si="13"/>
        <v>#VALUE!</v>
      </c>
      <c r="X45" s="63" t="e">
        <f t="shared" si="14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</row>
    <row r="46" spans="1:28" ht="28" customHeight="1" x14ac:dyDescent="0.15">
      <c r="A46" s="114">
        <v>40023508</v>
      </c>
      <c r="B46" s="114" t="s">
        <v>429</v>
      </c>
      <c r="C46" s="115">
        <v>3</v>
      </c>
      <c r="D46" s="115" t="s">
        <v>127</v>
      </c>
      <c r="E46" s="116" t="s">
        <v>384</v>
      </c>
      <c r="F46" s="116" t="s">
        <v>327</v>
      </c>
      <c r="G46" s="63" t="str">
        <f t="shared" ref="G46" si="274">IFERROR(LEFT(B46,FIND("],",B46)),B46)</f>
        <v>[effect:tolerance, target:myself, turn:-1, tolerance_effect:all, count:-1, animation:enemy_tolerance]</v>
      </c>
      <c r="H46" s="63">
        <f t="shared" ref="H46" si="275">FIND("effect:",G46)+7</f>
        <v>9</v>
      </c>
      <c r="I46" s="63">
        <f t="shared" ref="I46" si="276">IFERROR(FIND(",",G46),LEN(G46))</f>
        <v>18</v>
      </c>
      <c r="J46" s="63">
        <f t="shared" ref="J46" si="277">FIND("target:",G46)+7</f>
        <v>27</v>
      </c>
      <c r="K46" s="63">
        <f t="shared" ref="K46" si="278">FIND(",",G46,I46+1)</f>
        <v>33</v>
      </c>
      <c r="L46" s="63" t="str">
        <f>IFERROR(VLOOKUP(MID(G46,J46,K46-J46),[6]skilldef!$C:$D,2,FALSE),"-") &amp; " / " &amp; IFERROR(VLOOKUP(MID(G46,H46,I46-H46),[6]skilldef!$A:$B,2,FALSE),"-")</f>
        <v>自分自身に / 状態異常耐性</v>
      </c>
      <c r="M46" s="63" t="str">
        <f t="shared" ref="M46" si="279">IFERROR(RIGHT(B46,LEN(B46)-FIND("],",B46)-1),"none")</f>
        <v>[effect:fix_speed, target:myself, turn:2],[effect:enemy_message, val1:2.6, val2:1.8]</v>
      </c>
      <c r="N46" s="48" t="str">
        <f t="shared" si="273"/>
        <v>[effect:fix_speed, target:myself, turn:2],[effect:enemy_message, val1:2.6, val2:1.8]</v>
      </c>
      <c r="O46" s="63">
        <f t="shared" ref="O46" si="280">FIND("effect:",N46)+7</f>
        <v>9</v>
      </c>
      <c r="P46" s="63">
        <f t="shared" ref="P46" si="281">IFERROR(FIND(",",N46),LEN(N46))</f>
        <v>18</v>
      </c>
      <c r="Q46" s="63">
        <f t="shared" ref="Q46" si="282">FIND("target:",N46)+7</f>
        <v>27</v>
      </c>
      <c r="R46" s="63">
        <f t="shared" ref="R46" si="283">FIND(",",N46,P46+1)</f>
        <v>33</v>
      </c>
      <c r="S46" s="63" t="str">
        <f>IFERROR(VLOOKUP(MID(N46,Q46,R46-Q46),[6]skilldef!$C:$D,2,FALSE),"-") &amp; " / " &amp; IFERROR(VLOOKUP(MID(N46,O46,P46-O46),[6]skilldef!$A:$B,2,FALSE),"-")</f>
        <v>自分自身に / 行動値設定</v>
      </c>
      <c r="T46" s="48" t="str">
        <f t="shared" ref="T46" si="284">IFERROR(RIGHT(M46,LEN(M46)-FIND("],",M46)-1),"none")</f>
        <v>[effect:enemy_message, val1:2.6, val2:1.8]</v>
      </c>
      <c r="U46" s="63">
        <f t="shared" ref="U46" si="285">FIND("effect:",T46)+7</f>
        <v>9</v>
      </c>
      <c r="V46" s="63">
        <f t="shared" ref="V46" si="286">IFERROR(FIND(",",T46),LEN(T46))</f>
        <v>22</v>
      </c>
      <c r="W46" s="63" t="e">
        <f t="shared" ref="W46" si="287">FIND("target:",T46)+7</f>
        <v>#VALUE!</v>
      </c>
      <c r="X46" s="63">
        <f t="shared" ref="X46" si="288">FIND(",",T46,V46+1)</f>
        <v>32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</row>
    <row r="47" spans="1:28" ht="28" customHeight="1" x14ac:dyDescent="0.15">
      <c r="A47" s="114">
        <v>40023509</v>
      </c>
      <c r="B47" s="114" t="s">
        <v>429</v>
      </c>
      <c r="C47" s="115">
        <v>3</v>
      </c>
      <c r="D47" s="115" t="s">
        <v>127</v>
      </c>
      <c r="E47" s="116" t="s">
        <v>385</v>
      </c>
      <c r="F47" s="116" t="s">
        <v>327</v>
      </c>
      <c r="G47" s="63" t="str">
        <f t="shared" ref="G47" si="289">IFERROR(LEFT(B47,FIND("],",B47)),B47)</f>
        <v>[effect:tolerance, target:myself, turn:-1, tolerance_effect:all, count:-1, animation:enemy_tolerance]</v>
      </c>
      <c r="H47" s="63">
        <f t="shared" ref="H47" si="290">FIND("effect:",G47)+7</f>
        <v>9</v>
      </c>
      <c r="I47" s="63">
        <f t="shared" ref="I47" si="291">IFERROR(FIND(",",G47),LEN(G47))</f>
        <v>18</v>
      </c>
      <c r="J47" s="63">
        <f t="shared" ref="J47" si="292">FIND("target:",G47)+7</f>
        <v>27</v>
      </c>
      <c r="K47" s="63">
        <f t="shared" ref="K47" si="293">FIND(",",G47,I47+1)</f>
        <v>33</v>
      </c>
      <c r="L47" s="63" t="str">
        <f>IFERROR(VLOOKUP(MID(G47,J47,K47-J47),[6]skilldef!$C:$D,2,FALSE),"-") &amp; " / " &amp; IFERROR(VLOOKUP(MID(G47,H47,I47-H47),[6]skilldef!$A:$B,2,FALSE),"-")</f>
        <v>自分自身に / 状態異常耐性</v>
      </c>
      <c r="M47" s="63" t="str">
        <f t="shared" ref="M47" si="294">IFERROR(RIGHT(B47,LEN(B47)-FIND("],",B47)-1),"none")</f>
        <v>[effect:fix_speed, target:myself, turn:2],[effect:enemy_message, val1:2.6, val2:1.8]</v>
      </c>
      <c r="N47" s="48" t="str">
        <f t="shared" si="273"/>
        <v>[effect:fix_speed, target:myself, turn:2],[effect:enemy_message, val1:2.6, val2:1.8]</v>
      </c>
      <c r="O47" s="63">
        <f t="shared" ref="O47" si="295">FIND("effect:",N47)+7</f>
        <v>9</v>
      </c>
      <c r="P47" s="63">
        <f t="shared" ref="P47" si="296">IFERROR(FIND(",",N47),LEN(N47))</f>
        <v>18</v>
      </c>
      <c r="Q47" s="63">
        <f t="shared" ref="Q47" si="297">FIND("target:",N47)+7</f>
        <v>27</v>
      </c>
      <c r="R47" s="63">
        <f t="shared" ref="R47" si="298">FIND(",",N47,P47+1)</f>
        <v>33</v>
      </c>
      <c r="S47" s="63" t="str">
        <f>IFERROR(VLOOKUP(MID(N47,Q47,R47-Q47),[6]skilldef!$C:$D,2,FALSE),"-") &amp; " / " &amp; IFERROR(VLOOKUP(MID(N47,O47,P47-O47),[6]skilldef!$A:$B,2,FALSE),"-")</f>
        <v>自分自身に / 行動値設定</v>
      </c>
      <c r="T47" s="48" t="str">
        <f t="shared" ref="T47" si="299">IFERROR(RIGHT(M47,LEN(M47)-FIND("],",M47)-1),"none")</f>
        <v>[effect:enemy_message, val1:2.6, val2:1.8]</v>
      </c>
      <c r="U47" s="63">
        <f t="shared" ref="U47" si="300">FIND("effect:",T47)+7</f>
        <v>9</v>
      </c>
      <c r="V47" s="63">
        <f t="shared" ref="V47" si="301">IFERROR(FIND(",",T47),LEN(T47))</f>
        <v>22</v>
      </c>
      <c r="W47" s="63" t="e">
        <f t="shared" ref="W47" si="302">FIND("target:",T47)+7</f>
        <v>#VALUE!</v>
      </c>
      <c r="X47" s="63">
        <f t="shared" ref="X47" si="303">FIND(",",T47,V47+1)</f>
        <v>32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</row>
    <row r="48" spans="1:28" ht="28" customHeight="1" x14ac:dyDescent="0.15">
      <c r="A48" s="114">
        <v>40023510</v>
      </c>
      <c r="B48" s="114" t="s">
        <v>429</v>
      </c>
      <c r="C48" s="115">
        <v>3</v>
      </c>
      <c r="D48" s="115" t="s">
        <v>127</v>
      </c>
      <c r="E48" s="116" t="s">
        <v>384</v>
      </c>
      <c r="F48" s="116" t="s">
        <v>327</v>
      </c>
      <c r="G48" s="63" t="str">
        <f t="shared" ref="G48" si="304">IFERROR(LEFT(B48,FIND("],",B48)),B48)</f>
        <v>[effect:tolerance, target:myself, turn:-1, tolerance_effect:all, count:-1, animation:enemy_tolerance]</v>
      </c>
      <c r="H48" s="63">
        <f t="shared" ref="H48" si="305">FIND("effect:",G48)+7</f>
        <v>9</v>
      </c>
      <c r="I48" s="63">
        <f t="shared" ref="I48" si="306">IFERROR(FIND(",",G48),LEN(G48))</f>
        <v>18</v>
      </c>
      <c r="J48" s="63">
        <f t="shared" ref="J48" si="307">FIND("target:",G48)+7</f>
        <v>27</v>
      </c>
      <c r="K48" s="63">
        <f t="shared" ref="K48" si="308">FIND(",",G48,I48+1)</f>
        <v>33</v>
      </c>
      <c r="L48" s="63" t="str">
        <f>IFERROR(VLOOKUP(MID(G48,J48,K48-J48),[6]skilldef!$C:$D,2,FALSE),"-") &amp; " / " &amp; IFERROR(VLOOKUP(MID(G48,H48,I48-H48),[6]skilldef!$A:$B,2,FALSE),"-")</f>
        <v>自分自身に / 状態異常耐性</v>
      </c>
      <c r="M48" s="63" t="str">
        <f t="shared" ref="M48" si="309">IFERROR(RIGHT(B48,LEN(B48)-FIND("],",B48)-1),"none")</f>
        <v>[effect:fix_speed, target:myself, turn:2],[effect:enemy_message, val1:2.6, val2:1.8]</v>
      </c>
      <c r="N48" s="48" t="str">
        <f>IFERROR(LEFT(M48,FIND("],",M48)+S65),M48)</f>
        <v>[effect:fix_speed, target:myself, turn:2],[effect:enemy_message, val1:2.6, val2:1.8]</v>
      </c>
      <c r="O48" s="63">
        <f t="shared" ref="O48" si="310">FIND("effect:",N48)+7</f>
        <v>9</v>
      </c>
      <c r="P48" s="63">
        <f t="shared" ref="P48" si="311">IFERROR(FIND(",",N48),LEN(N48))</f>
        <v>18</v>
      </c>
      <c r="Q48" s="63">
        <f t="shared" ref="Q48" si="312">FIND("target:",N48)+7</f>
        <v>27</v>
      </c>
      <c r="R48" s="63">
        <f t="shared" ref="R48" si="313">FIND(",",N48,P48+1)</f>
        <v>33</v>
      </c>
      <c r="S48" s="63" t="str">
        <f>IFERROR(VLOOKUP(MID(N48,Q48,R48-Q48),[6]skilldef!$C:$D,2,FALSE),"-") &amp; " / " &amp; IFERROR(VLOOKUP(MID(N48,O48,P48-O48),[6]skilldef!$A:$B,2,FALSE),"-")</f>
        <v>自分自身に / 行動値設定</v>
      </c>
      <c r="T48" s="48" t="str">
        <f t="shared" ref="T48" si="314">IFERROR(RIGHT(M48,LEN(M48)-FIND("],",M48)-1),"none")</f>
        <v>[effect:enemy_message, val1:2.6, val2:1.8]</v>
      </c>
      <c r="U48" s="63">
        <f t="shared" ref="U48" si="315">FIND("effect:",T48)+7</f>
        <v>9</v>
      </c>
      <c r="V48" s="63">
        <f t="shared" ref="V48" si="316">IFERROR(FIND(",",T48),LEN(T48))</f>
        <v>22</v>
      </c>
      <c r="W48" s="63" t="e">
        <f t="shared" ref="W48" si="317">FIND("target:",T48)+7</f>
        <v>#VALUE!</v>
      </c>
      <c r="X48" s="63">
        <f t="shared" ref="X48" si="318">FIND(",",T48,V48+1)</f>
        <v>32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</row>
    <row r="49" spans="1:28" ht="21" customHeight="1" x14ac:dyDescent="0.15">
      <c r="A49" s="105">
        <v>40023600</v>
      </c>
      <c r="B49" s="105" t="s">
        <v>426</v>
      </c>
      <c r="C49" s="106">
        <v>3</v>
      </c>
      <c r="D49" s="106" t="s">
        <v>127</v>
      </c>
      <c r="E49" s="107" t="s">
        <v>343</v>
      </c>
      <c r="F49" s="107" t="s">
        <v>283</v>
      </c>
      <c r="G49" s="63" t="str">
        <f t="shared" ref="G49:G53" si="319">IFERROR(LEFT(B49,FIND("],",B49)),B49)</f>
        <v>[effect:drop_freeze, block_type:block_all, block_color:block_yellow, frozen_count:1, rate:1, turn:-1, animation:drop_protect]</v>
      </c>
      <c r="H49" s="63">
        <f t="shared" si="1"/>
        <v>9</v>
      </c>
      <c r="I49" s="63">
        <f t="shared" ref="I49:I53" si="320">IFERROR(FIND(",",G49),LEN(G49))</f>
        <v>20</v>
      </c>
      <c r="J49" s="63" t="e">
        <f t="shared" ref="J49:J53" si="321">FIND("target:",G49)+7</f>
        <v>#VALUE!</v>
      </c>
      <c r="K49" s="63">
        <f t="shared" ref="K49:K53" si="322">FIND(",",G49,I49+1)</f>
        <v>42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ref="M49:M53" si="323">IFERROR(RIGHT(B49,LEN(B49)-FIND("],",B49)-1),"none")</f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val1:1.2, val2:3.0]</v>
      </c>
      <c r="N49" s="48" t="str">
        <f>IFERROR(LEFT(M49,FIND("],",M49)+S62),M49)</f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val1:1.2, val2:3.0]</v>
      </c>
      <c r="O49" s="63">
        <f t="shared" si="6"/>
        <v>9</v>
      </c>
      <c r="P49" s="63">
        <f t="shared" ref="P49:P53" si="324">IFERROR(FIND(",",N49),LEN(N49))</f>
        <v>20</v>
      </c>
      <c r="Q49" s="63">
        <f t="shared" ref="Q49:Q53" si="325">FIND("target:",N49)+7</f>
        <v>128</v>
      </c>
      <c r="R49" s="63">
        <f t="shared" ref="R49:R53" si="326">FIND(",",N49,P49+1)</f>
        <v>42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ref="T49:T53" si="327">IFERROR(RIGHT(M49,LEN(M49)-FIND("],",M49)-1),"none")</f>
        <v>[effect:tolerance, target:myself, turn:-1, tolerance_effect:all, count:-1, animation:enemy_tolerance],[effect:fix_speed, target:myself, turn:1],[effect:enemy_message, val1:1.2, val2:3.0]</v>
      </c>
      <c r="U49" s="63">
        <f t="shared" si="11"/>
        <v>9</v>
      </c>
      <c r="V49" s="63">
        <f t="shared" ref="V49:V53" si="328">IFERROR(FIND(",",T49),LEN(T49))</f>
        <v>18</v>
      </c>
      <c r="W49" s="63">
        <f t="shared" ref="W49:W53" si="329">FIND("target:",T49)+7</f>
        <v>27</v>
      </c>
      <c r="X49" s="63">
        <f t="shared" ref="X49:X53" si="330">FIND(",",T49,V49+1)</f>
        <v>33</v>
      </c>
      <c r="Y49" s="63" t="str">
        <f>IFERROR(VLOOKUP(MID(T49,W49,X49-W49),[6]skilldef!$C:$D,2,FALSE),"-") &amp; " / " &amp; IFERROR(VLOOKUP(MID(T49,U49,V49-U49),[6]skilldef!$A:$B,2,FALSE),"-")</f>
        <v>自分自身に / 状態異常耐性</v>
      </c>
      <c r="Z49" s="50"/>
      <c r="AA49" s="51"/>
      <c r="AB49" s="50"/>
    </row>
    <row r="50" spans="1:28" ht="21" customHeight="1" x14ac:dyDescent="0.15">
      <c r="A50" s="105">
        <v>40023601</v>
      </c>
      <c r="B50" s="105" t="s">
        <v>298</v>
      </c>
      <c r="C50" s="106">
        <v>3</v>
      </c>
      <c r="D50" s="106" t="s">
        <v>127</v>
      </c>
      <c r="E50" s="107" t="s">
        <v>356</v>
      </c>
      <c r="F50" s="107" t="s">
        <v>279</v>
      </c>
      <c r="G50" s="63" t="str">
        <f t="shared" si="319"/>
        <v>[effect:dis_heart, turn:5, animation:enemy_dis_heart]</v>
      </c>
      <c r="H50" s="63">
        <f t="shared" si="1"/>
        <v>9</v>
      </c>
      <c r="I50" s="63">
        <f t="shared" si="320"/>
        <v>18</v>
      </c>
      <c r="J50" s="63" t="e">
        <f t="shared" si="321"/>
        <v>#VALUE!</v>
      </c>
      <c r="K50" s="63">
        <f t="shared" si="322"/>
        <v>26</v>
      </c>
      <c r="L50" s="63" t="str">
        <f>IFERROR(VLOOKUP(MID(G50,J50,K50-J50),[6]skilldef!$C:$D,2,FALSE),"-") &amp; " / " &amp; IFERROR(VLOOKUP(MID(G50,H50,I50-H50),[6]skilldef!$A:$B,2,FALSE),"-")</f>
        <v>- / ディスハート</v>
      </c>
      <c r="M50" s="63" t="str">
        <f t="shared" si="323"/>
        <v>none</v>
      </c>
      <c r="N50" s="48" t="str">
        <f>IFERROR(LEFT(M50,FIND("],",M50)+S63),M50)</f>
        <v>none</v>
      </c>
      <c r="O50" s="63" t="e">
        <f t="shared" si="6"/>
        <v>#VALUE!</v>
      </c>
      <c r="P50" s="63">
        <f t="shared" si="324"/>
        <v>4</v>
      </c>
      <c r="Q50" s="63" t="e">
        <f t="shared" si="325"/>
        <v>#VALUE!</v>
      </c>
      <c r="R50" s="63" t="e">
        <f t="shared" si="326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327"/>
        <v>none</v>
      </c>
      <c r="U50" s="63" t="e">
        <f t="shared" si="11"/>
        <v>#VALUE!</v>
      </c>
      <c r="V50" s="63">
        <f t="shared" si="328"/>
        <v>4</v>
      </c>
      <c r="W50" s="63" t="e">
        <f t="shared" si="329"/>
        <v>#VALUE!</v>
      </c>
      <c r="X50" s="63" t="e">
        <f t="shared" si="330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1"/>
      <c r="AB50" s="50"/>
    </row>
    <row r="51" spans="1:28" ht="21" customHeight="1" x14ac:dyDescent="0.15">
      <c r="A51" s="105">
        <v>40023602</v>
      </c>
      <c r="B51" s="105" t="s">
        <v>281</v>
      </c>
      <c r="C51" s="106">
        <v>3</v>
      </c>
      <c r="D51" s="106" t="s">
        <v>127</v>
      </c>
      <c r="E51" s="107" t="s">
        <v>344</v>
      </c>
      <c r="F51" s="107" t="s">
        <v>282</v>
      </c>
      <c r="G51" s="63" t="str">
        <f t="shared" si="319"/>
        <v>[effect:damage_anti_color, target:unit_all, color:green, val1:0.25, val2:1]</v>
      </c>
      <c r="H51" s="63">
        <f t="shared" si="1"/>
        <v>9</v>
      </c>
      <c r="I51" s="63">
        <f t="shared" si="320"/>
        <v>26</v>
      </c>
      <c r="J51" s="63">
        <f t="shared" si="321"/>
        <v>35</v>
      </c>
      <c r="K51" s="63">
        <f t="shared" si="322"/>
        <v>43</v>
      </c>
      <c r="L51" s="63" t="str">
        <f>IFERROR(VLOOKUP(MID(G51,J51,K51-J51),[6]skilldef!$C:$D,2,FALSE),"-") &amp; " / " &amp; IFERROR(VLOOKUP(MID(G51,H51,I51-H51),[6]skilldef!$A:$B,2,FALSE),"-")</f>
        <v>味方全体に / 属性キラー</v>
      </c>
      <c r="M51" s="63" t="str">
        <f t="shared" si="323"/>
        <v>none</v>
      </c>
      <c r="N51" s="48" t="str">
        <f t="shared" ref="N51:N56" si="331">IFERROR(LEFT(M51,FIND("],",M51)+S65),M51)</f>
        <v>none</v>
      </c>
      <c r="O51" s="63" t="e">
        <f t="shared" si="6"/>
        <v>#VALUE!</v>
      </c>
      <c r="P51" s="63">
        <f t="shared" si="324"/>
        <v>4</v>
      </c>
      <c r="Q51" s="63" t="e">
        <f t="shared" si="325"/>
        <v>#VALUE!</v>
      </c>
      <c r="R51" s="63" t="e">
        <f t="shared" si="326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327"/>
        <v>none</v>
      </c>
      <c r="U51" s="63" t="e">
        <f t="shared" si="11"/>
        <v>#VALUE!</v>
      </c>
      <c r="V51" s="63">
        <f t="shared" si="328"/>
        <v>4</v>
      </c>
      <c r="W51" s="63" t="e">
        <f t="shared" si="329"/>
        <v>#VALUE!</v>
      </c>
      <c r="X51" s="63" t="e">
        <f t="shared" si="330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1"/>
      <c r="AB51" s="50"/>
    </row>
    <row r="52" spans="1:28" ht="21" customHeight="1" x14ac:dyDescent="0.15">
      <c r="A52" s="105">
        <v>40023603</v>
      </c>
      <c r="B52" s="105" t="s">
        <v>405</v>
      </c>
      <c r="C52" s="106">
        <v>3</v>
      </c>
      <c r="D52" s="106" t="s">
        <v>127</v>
      </c>
      <c r="E52" s="107" t="s">
        <v>345</v>
      </c>
      <c r="F52" s="107" t="s">
        <v>409</v>
      </c>
      <c r="G52" s="63" t="str">
        <f t="shared" si="319"/>
        <v>[effect:remove_enhancement, target:unit_all, target_effect:enhance, target_type:buff, status:defense, animation:frozen_wave]</v>
      </c>
      <c r="H52" s="63">
        <f t="shared" si="1"/>
        <v>9</v>
      </c>
      <c r="I52" s="63">
        <f t="shared" si="320"/>
        <v>27</v>
      </c>
      <c r="J52" s="63">
        <f t="shared" si="321"/>
        <v>36</v>
      </c>
      <c r="K52" s="63">
        <f t="shared" si="322"/>
        <v>44</v>
      </c>
      <c r="L52" s="63" t="str">
        <f>IFERROR(VLOOKUP(MID(G52,J52,K52-J52),[6]skilldef!$C:$D,2,FALSE),"-") &amp; " / " &amp; IFERROR(VLOOKUP(MID(G52,H52,I52-H52),[6]skilldef!$A:$B,2,FALSE),"-")</f>
        <v>味方全体に / -</v>
      </c>
      <c r="M52" s="63" t="str">
        <f t="shared" si="323"/>
        <v>[effect:rush, count:7, val:0.20]</v>
      </c>
      <c r="N52" s="48" t="str">
        <f t="shared" si="331"/>
        <v>[effect:rush, count:7, val:0.20]</v>
      </c>
      <c r="O52" s="63">
        <f t="shared" si="6"/>
        <v>9</v>
      </c>
      <c r="P52" s="63">
        <f t="shared" si="324"/>
        <v>13</v>
      </c>
      <c r="Q52" s="63" t="e">
        <f t="shared" si="325"/>
        <v>#VALUE!</v>
      </c>
      <c r="R52" s="63">
        <f t="shared" si="326"/>
        <v>22</v>
      </c>
      <c r="S52" s="63" t="str">
        <f>IFERROR(VLOOKUP(MID(N52,Q52,R52-Q52),[6]skilldef!$C:$D,2,FALSE),"-") &amp; " / " &amp; IFERROR(VLOOKUP(MID(N52,O52,P52-O52),[6]skilldef!$A:$B,2,FALSE),"-")</f>
        <v>- / 連続攻撃</v>
      </c>
      <c r="T52" s="48" t="str">
        <f t="shared" si="327"/>
        <v>none</v>
      </c>
      <c r="U52" s="63" t="e">
        <f t="shared" si="11"/>
        <v>#VALUE!</v>
      </c>
      <c r="V52" s="63">
        <f t="shared" si="328"/>
        <v>4</v>
      </c>
      <c r="W52" s="63" t="e">
        <f t="shared" si="329"/>
        <v>#VALUE!</v>
      </c>
      <c r="X52" s="63" t="e">
        <f t="shared" si="330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1"/>
      <c r="AB52" s="50"/>
    </row>
    <row r="53" spans="1:28" ht="21" customHeight="1" x14ac:dyDescent="0.15">
      <c r="A53" s="105">
        <v>40023604</v>
      </c>
      <c r="B53" s="105" t="s">
        <v>447</v>
      </c>
      <c r="C53" s="106">
        <v>3</v>
      </c>
      <c r="D53" s="106" t="s">
        <v>127</v>
      </c>
      <c r="E53" s="107" t="s">
        <v>346</v>
      </c>
      <c r="F53" s="107" t="s">
        <v>448</v>
      </c>
      <c r="G53" s="63" t="str">
        <f t="shared" si="319"/>
        <v>[effect:remove_enhancement, target:unit_all, target_effect:counter_new, animation:frozen_wave]</v>
      </c>
      <c r="H53" s="63">
        <f t="shared" si="1"/>
        <v>9</v>
      </c>
      <c r="I53" s="63">
        <f t="shared" si="320"/>
        <v>27</v>
      </c>
      <c r="J53" s="63">
        <f t="shared" si="321"/>
        <v>36</v>
      </c>
      <c r="K53" s="63">
        <f t="shared" si="322"/>
        <v>44</v>
      </c>
      <c r="L53" s="63" t="str">
        <f>IFERROR(VLOOKUP(MID(G53,J53,K53-J53),[6]skilldef!$C:$D,2,FALSE),"-") &amp; " / " &amp; IFERROR(VLOOKUP(MID(G53,H53,I53-H53),[6]skilldef!$A:$B,2,FALSE),"-")</f>
        <v>味方全体に / -</v>
      </c>
      <c r="M53" s="63" t="str">
        <f t="shared" si="323"/>
        <v>[effect:remove_enhancement, target:unit_all, target_effect:counter,],[effect:spread, val:0.3]</v>
      </c>
      <c r="N53" s="48" t="str">
        <f t="shared" si="331"/>
        <v>[effect:remove_enhancement, target:unit_all, target_effect:counter,],[effect:spread, val:0.3]</v>
      </c>
      <c r="O53" s="63">
        <f t="shared" si="6"/>
        <v>9</v>
      </c>
      <c r="P53" s="63">
        <f t="shared" si="324"/>
        <v>27</v>
      </c>
      <c r="Q53" s="63">
        <f t="shared" si="325"/>
        <v>36</v>
      </c>
      <c r="R53" s="63">
        <f t="shared" si="326"/>
        <v>44</v>
      </c>
      <c r="S53" s="63" t="str">
        <f>IFERROR(VLOOKUP(MID(N53,Q53,R53-Q53),[6]skilldef!$C:$D,2,FALSE),"-") &amp; " / " &amp; IFERROR(VLOOKUP(MID(N53,O53,P53-O53),[6]skilldef!$A:$B,2,FALSE),"-")</f>
        <v>味方全体に / -</v>
      </c>
      <c r="T53" s="48" t="str">
        <f t="shared" si="327"/>
        <v>[effect:spread, val:0.3]</v>
      </c>
      <c r="U53" s="63">
        <f t="shared" si="11"/>
        <v>9</v>
      </c>
      <c r="V53" s="63">
        <f t="shared" si="328"/>
        <v>15</v>
      </c>
      <c r="W53" s="63" t="e">
        <f t="shared" si="329"/>
        <v>#VALUE!</v>
      </c>
      <c r="X53" s="63" t="e">
        <f t="shared" si="330"/>
        <v>#VALUE!</v>
      </c>
      <c r="Y53" s="63" t="str">
        <f>IFERROR(VLOOKUP(MID(T53,W53,X53-W53),[6]skilldef!$C:$D,2,FALSE),"-") &amp; " / " &amp; IFERROR(VLOOKUP(MID(T53,U53,V53-U53),[6]skilldef!$A:$B,2,FALSE),"-")</f>
        <v>- / 全体攻撃</v>
      </c>
      <c r="Z53" s="50"/>
      <c r="AA53" s="51"/>
      <c r="AB53" s="50"/>
    </row>
    <row r="54" spans="1:28" ht="21" customHeight="1" x14ac:dyDescent="0.15">
      <c r="A54" s="105">
        <v>40023605</v>
      </c>
      <c r="B54" s="105" t="s">
        <v>427</v>
      </c>
      <c r="C54" s="106">
        <v>3</v>
      </c>
      <c r="D54" s="106" t="s">
        <v>127</v>
      </c>
      <c r="E54" s="107" t="s">
        <v>386</v>
      </c>
      <c r="F54" s="107" t="s">
        <v>283</v>
      </c>
      <c r="G54" s="63" t="str">
        <f t="shared" ref="G54:G56" si="332">IFERROR(LEFT(B54,FIND("],",B54)),B54)</f>
        <v>[effect:drop_freeze, block_type:block_all, block_color:block_yellow, frozen_count:1, rate:1, turn:-1, animation:drop_protect]</v>
      </c>
      <c r="H54" s="63">
        <f t="shared" ref="H54:H56" si="333">FIND("effect:",G54)+7</f>
        <v>9</v>
      </c>
      <c r="I54" s="63">
        <f t="shared" ref="I54:I56" si="334">IFERROR(FIND(",",G54),LEN(G54))</f>
        <v>20</v>
      </c>
      <c r="J54" s="63" t="e">
        <f t="shared" ref="J54:J56" si="335">FIND("target:",G54)+7</f>
        <v>#VALUE!</v>
      </c>
      <c r="K54" s="63">
        <f t="shared" ref="K54:K56" si="336">FIND(",",G54,I54+1)</f>
        <v>42</v>
      </c>
      <c r="L54" s="63" t="str">
        <f>IFERROR(VLOOKUP(MID(G54,J54,K54-J54),[6]skilldef!$C:$D,2,FALSE),"-") &amp; " / " &amp; IFERROR(VLOOKUP(MID(G54,H54,I54-H54),[6]skilldef!$A:$B,2,FALSE),"-")</f>
        <v>- / -</v>
      </c>
      <c r="M54" s="63" t="str">
        <f t="shared" ref="M54:M56" si="337">IFERROR(RIGHT(B54,LEN(B54)-FIND("],",B54)-1),"none")</f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val1:2.6, val2:3.0]</v>
      </c>
      <c r="N54" s="48" t="str">
        <f t="shared" si="331"/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val1:2.6, val2:3.0]</v>
      </c>
      <c r="O54" s="63">
        <f t="shared" ref="O54:O56" si="338">FIND("effect:",N54)+7</f>
        <v>9</v>
      </c>
      <c r="P54" s="63">
        <f t="shared" ref="P54:P56" si="339">IFERROR(FIND(",",N54),LEN(N54))</f>
        <v>20</v>
      </c>
      <c r="Q54" s="63">
        <f t="shared" ref="Q54:Q56" si="340">FIND("target:",N54)+7</f>
        <v>128</v>
      </c>
      <c r="R54" s="63">
        <f t="shared" ref="R54:R56" si="341">FIND(",",N54,P54+1)</f>
        <v>42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ref="T54:T56" si="342">IFERROR(RIGHT(M54,LEN(M54)-FIND("],",M54)-1),"none")</f>
        <v>[effect:tolerance, target:myself, turn:-1, tolerance_effect:all, count:-1, animation:enemy_tolerance],[effect:fix_speed, target:myself, turn:1],[effect:enemy_message, val1:2.6, val2:3.0]</v>
      </c>
      <c r="U54" s="63">
        <f t="shared" ref="U54:U56" si="343">FIND("effect:",T54)+7</f>
        <v>9</v>
      </c>
      <c r="V54" s="63">
        <f t="shared" ref="V54:V56" si="344">IFERROR(FIND(",",T54),LEN(T54))</f>
        <v>18</v>
      </c>
      <c r="W54" s="63">
        <f t="shared" ref="W54:W56" si="345">FIND("target:",T54)+7</f>
        <v>27</v>
      </c>
      <c r="X54" s="63">
        <f t="shared" ref="X54:X56" si="346">FIND(",",T54,V54+1)</f>
        <v>33</v>
      </c>
      <c r="Y54" s="63" t="str">
        <f>IFERROR(VLOOKUP(MID(T54,W54,X54-W54),[6]skilldef!$C:$D,2,FALSE),"-") &amp; " / " &amp; IFERROR(VLOOKUP(MID(T54,U54,V54-U54),[6]skilldef!$A:$B,2,FALSE),"-")</f>
        <v>自分自身に / 状態異常耐性</v>
      </c>
      <c r="Z54" s="50"/>
      <c r="AA54" s="51"/>
      <c r="AB54" s="50"/>
    </row>
    <row r="55" spans="1:28" ht="21" customHeight="1" x14ac:dyDescent="0.15">
      <c r="A55" s="105">
        <v>40023606</v>
      </c>
      <c r="B55" s="105" t="s">
        <v>427</v>
      </c>
      <c r="C55" s="106">
        <v>3</v>
      </c>
      <c r="D55" s="106" t="s">
        <v>127</v>
      </c>
      <c r="E55" s="107" t="s">
        <v>386</v>
      </c>
      <c r="F55" s="107" t="s">
        <v>283</v>
      </c>
      <c r="G55" s="63" t="str">
        <f t="shared" si="332"/>
        <v>[effect:drop_freeze, block_type:block_all, block_color:block_yellow, frozen_count:1, rate:1, turn:-1, animation:drop_protect]</v>
      </c>
      <c r="H55" s="63">
        <f t="shared" si="333"/>
        <v>9</v>
      </c>
      <c r="I55" s="63">
        <f t="shared" si="334"/>
        <v>20</v>
      </c>
      <c r="J55" s="63" t="e">
        <f t="shared" si="335"/>
        <v>#VALUE!</v>
      </c>
      <c r="K55" s="63">
        <f t="shared" si="336"/>
        <v>42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337"/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val1:2.6, val2:3.0]</v>
      </c>
      <c r="N55" s="48" t="str">
        <f t="shared" si="331"/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val1:2.6, val2:3.0]</v>
      </c>
      <c r="O55" s="63">
        <f t="shared" si="338"/>
        <v>9</v>
      </c>
      <c r="P55" s="63">
        <f t="shared" si="339"/>
        <v>20</v>
      </c>
      <c r="Q55" s="63">
        <f t="shared" si="340"/>
        <v>128</v>
      </c>
      <c r="R55" s="63">
        <f t="shared" si="341"/>
        <v>42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342"/>
        <v>[effect:tolerance, target:myself, turn:-1, tolerance_effect:all, count:-1, animation:enemy_tolerance],[effect:fix_speed, target:myself, turn:1],[effect:enemy_message, val1:2.6, val2:3.0]</v>
      </c>
      <c r="U55" s="63">
        <f t="shared" si="343"/>
        <v>9</v>
      </c>
      <c r="V55" s="63">
        <f t="shared" si="344"/>
        <v>18</v>
      </c>
      <c r="W55" s="63">
        <f t="shared" si="345"/>
        <v>27</v>
      </c>
      <c r="X55" s="63">
        <f t="shared" si="346"/>
        <v>33</v>
      </c>
      <c r="Y55" s="63" t="str">
        <f>IFERROR(VLOOKUP(MID(T55,W55,X55-W55),[6]skilldef!$C:$D,2,FALSE),"-") &amp; " / " &amp; IFERROR(VLOOKUP(MID(T55,U55,V55-U55),[6]skilldef!$A:$B,2,FALSE),"-")</f>
        <v>自分自身に / 状態異常耐性</v>
      </c>
      <c r="Z55" s="50"/>
      <c r="AA55" s="51"/>
      <c r="AB55" s="50"/>
    </row>
    <row r="56" spans="1:28" ht="21" customHeight="1" x14ac:dyDescent="0.15">
      <c r="A56" s="105">
        <v>40023607</v>
      </c>
      <c r="B56" s="105" t="s">
        <v>427</v>
      </c>
      <c r="C56" s="106">
        <v>3</v>
      </c>
      <c r="D56" s="106" t="s">
        <v>127</v>
      </c>
      <c r="E56" s="107" t="s">
        <v>386</v>
      </c>
      <c r="F56" s="107" t="s">
        <v>283</v>
      </c>
      <c r="G56" s="63" t="str">
        <f t="shared" si="332"/>
        <v>[effect:drop_freeze, block_type:block_all, block_color:block_yellow, frozen_count:1, rate:1, turn:-1, animation:drop_protect]</v>
      </c>
      <c r="H56" s="63">
        <f t="shared" si="333"/>
        <v>9</v>
      </c>
      <c r="I56" s="63">
        <f t="shared" si="334"/>
        <v>20</v>
      </c>
      <c r="J56" s="63" t="e">
        <f t="shared" si="335"/>
        <v>#VALUE!</v>
      </c>
      <c r="K56" s="63">
        <f t="shared" si="336"/>
        <v>42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si="337"/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val1:2.6, val2:3.0]</v>
      </c>
      <c r="N56" s="48" t="str">
        <f t="shared" si="331"/>
        <v>[effect:drop_freeze, block_type:block_all, block_color:block_green, frozen_count:1, rate:1, turn:-1],[effect:tolerance, target:myself, turn:-1, tolerance_effect:all, count:-1, animation:enemy_tolerance],[effect:fix_speed, target:myself, turn:1],[effect:enemy_message, val1:2.6, val2:3.0]</v>
      </c>
      <c r="O56" s="63">
        <f t="shared" si="338"/>
        <v>9</v>
      </c>
      <c r="P56" s="63">
        <f t="shared" si="339"/>
        <v>20</v>
      </c>
      <c r="Q56" s="63">
        <f t="shared" si="340"/>
        <v>128</v>
      </c>
      <c r="R56" s="63">
        <f t="shared" si="341"/>
        <v>42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342"/>
        <v>[effect:tolerance, target:myself, turn:-1, tolerance_effect:all, count:-1, animation:enemy_tolerance],[effect:fix_speed, target:myself, turn:1],[effect:enemy_message, val1:2.6, val2:3.0]</v>
      </c>
      <c r="U56" s="63">
        <f t="shared" si="343"/>
        <v>9</v>
      </c>
      <c r="V56" s="63">
        <f t="shared" si="344"/>
        <v>18</v>
      </c>
      <c r="W56" s="63">
        <f t="shared" si="345"/>
        <v>27</v>
      </c>
      <c r="X56" s="63">
        <f t="shared" si="346"/>
        <v>33</v>
      </c>
      <c r="Y56" s="63" t="str">
        <f>IFERROR(VLOOKUP(MID(T56,W56,X56-W56),[6]skilldef!$C:$D,2,FALSE),"-") &amp; " / " &amp; IFERROR(VLOOKUP(MID(T56,U56,V56-U56),[6]skilldef!$A:$B,2,FALSE),"-")</f>
        <v>自分自身に / 状態異常耐性</v>
      </c>
      <c r="Z56" s="50"/>
      <c r="AA56" s="51"/>
      <c r="AB56" s="50"/>
    </row>
    <row r="57" spans="1:28" ht="21" customHeight="1" x14ac:dyDescent="0.15">
      <c r="A57" s="111">
        <v>40023700</v>
      </c>
      <c r="B57" s="111" t="s">
        <v>428</v>
      </c>
      <c r="C57" s="112">
        <v>3</v>
      </c>
      <c r="D57" s="112" t="s">
        <v>127</v>
      </c>
      <c r="E57" s="113" t="s">
        <v>387</v>
      </c>
      <c r="F57" s="113" t="s">
        <v>285</v>
      </c>
      <c r="G57" s="63" t="str">
        <f t="shared" ref="G57:G61" si="347">IFERROR(LEFT(B57,FIND("],",B57)),B57)</f>
        <v>[effect:remove_enhancement, target:unit_all, target_effect:all, target_type:buff, animation:frozen_wave]</v>
      </c>
      <c r="H57" s="63">
        <f t="shared" si="1"/>
        <v>9</v>
      </c>
      <c r="I57" s="63">
        <f t="shared" ref="I57:I61" si="348">IFERROR(FIND(",",G57),LEN(G57))</f>
        <v>27</v>
      </c>
      <c r="J57" s="63">
        <f t="shared" ref="J57:J61" si="349">FIND("target:",G57)+7</f>
        <v>36</v>
      </c>
      <c r="K57" s="63">
        <f t="shared" ref="K57:K61" si="350">FIND(",",G57,I57+1)</f>
        <v>44</v>
      </c>
      <c r="L57" s="63" t="str">
        <f>IFERROR(VLOOKUP(MID(G57,J57,K57-J57),[6]skilldef!$C:$D,2,FALSE),"-") &amp; " / " &amp; IFERROR(VLOOKUP(MID(G57,H57,I57-H57),[6]skilldef!$A:$B,2,FALSE),"-")</f>
        <v>味方全体に / -</v>
      </c>
      <c r="M57" s="63" t="str">
        <f t="shared" ref="M57:M61" si="351">IFERROR(RIGHT(B57,LEN(B57)-FIND("],",B57)-1),"none")</f>
        <v>[effect:tolerance, target:myself, turn:-1, tolerance_effect:all, count:-1, animation:enemy_tolerance],[effect:fix_speed, target:myself, turn:1],[effect:enemy_message, val1:1.8, val2:2.4]</v>
      </c>
      <c r="N57" s="48" t="str">
        <f t="shared" ref="N57:N69" si="352">IFERROR(LEFT(M57,FIND("],",M57)+S68),M57)</f>
        <v>[effect:tolerance, target:myself, turn:-1, tolerance_effect:all, count:-1, animation:enemy_tolerance],[effect:fix_speed, target:myself, turn:1],[effect:enemy_message, val1:1.8, val2:2.4]</v>
      </c>
      <c r="O57" s="63">
        <f t="shared" si="6"/>
        <v>9</v>
      </c>
      <c r="P57" s="63">
        <f t="shared" ref="P57:P61" si="353">IFERROR(FIND(",",N57),LEN(N57))</f>
        <v>18</v>
      </c>
      <c r="Q57" s="63">
        <f t="shared" ref="Q57:Q61" si="354">FIND("target:",N57)+7</f>
        <v>27</v>
      </c>
      <c r="R57" s="63">
        <f t="shared" ref="R57:R61" si="355">FIND(",",N57,P57+1)</f>
        <v>33</v>
      </c>
      <c r="S57" s="63" t="str">
        <f>IFERROR(VLOOKUP(MID(N57,Q57,R57-Q57),[6]skilldef!$C:$D,2,FALSE),"-") &amp; " / " &amp; IFERROR(VLOOKUP(MID(N57,O57,P57-O57),[6]skilldef!$A:$B,2,FALSE),"-")</f>
        <v>自分自身に / 状態異常耐性</v>
      </c>
      <c r="T57" s="48" t="str">
        <f t="shared" ref="T57:T61" si="356">IFERROR(RIGHT(M57,LEN(M57)-FIND("],",M57)-1),"none")</f>
        <v>[effect:fix_speed, target:myself, turn:1],[effect:enemy_message, val1:1.8, val2:2.4]</v>
      </c>
      <c r="U57" s="63">
        <f t="shared" si="11"/>
        <v>9</v>
      </c>
      <c r="V57" s="63">
        <f t="shared" ref="V57:V61" si="357">IFERROR(FIND(",",T57),LEN(T57))</f>
        <v>18</v>
      </c>
      <c r="W57" s="63">
        <f t="shared" ref="W57:W61" si="358">FIND("target:",T57)+7</f>
        <v>27</v>
      </c>
      <c r="X57" s="63">
        <f t="shared" ref="X57:X61" si="359">FIND(",",T57,V57+1)</f>
        <v>33</v>
      </c>
      <c r="Y57" s="63" t="str">
        <f>IFERROR(VLOOKUP(MID(T57,W57,X57-W57),[6]skilldef!$C:$D,2,FALSE),"-") &amp; " / " &amp; IFERROR(VLOOKUP(MID(T57,U57,V57-U57),[6]skilldef!$A:$B,2,FALSE),"-")</f>
        <v>自分自身に / 行動値設定</v>
      </c>
      <c r="Z57" s="50"/>
      <c r="AA57" s="51"/>
      <c r="AB57" s="50"/>
    </row>
    <row r="58" spans="1:28" ht="21" customHeight="1" x14ac:dyDescent="0.15">
      <c r="A58" s="111">
        <v>40023701</v>
      </c>
      <c r="B58" s="111" t="s">
        <v>321</v>
      </c>
      <c r="C58" s="112">
        <v>3</v>
      </c>
      <c r="D58" s="112" t="s">
        <v>127</v>
      </c>
      <c r="E58" s="113" t="s">
        <v>376</v>
      </c>
      <c r="F58" s="113" t="s">
        <v>322</v>
      </c>
      <c r="G58" s="63" t="str">
        <f t="shared" si="347"/>
        <v>[effect:panel_freeze, target:crash, count:-1, break_count:1]</v>
      </c>
      <c r="H58" s="63">
        <f t="shared" si="1"/>
        <v>9</v>
      </c>
      <c r="I58" s="63">
        <f t="shared" si="348"/>
        <v>21</v>
      </c>
      <c r="J58" s="63">
        <f t="shared" si="349"/>
        <v>30</v>
      </c>
      <c r="K58" s="63">
        <f t="shared" si="350"/>
        <v>35</v>
      </c>
      <c r="L58" s="63" t="str">
        <f>IFERROR(VLOOKUP(MID(G58,J58,K58-J58),[6]skilldef!$C:$D,2,FALSE),"-") &amp; " / " &amp; IFERROR(VLOOKUP(MID(G58,H58,I58-H58),[6]skilldef!$A:$B,2,FALSE),"-")</f>
        <v>- / -</v>
      </c>
      <c r="M58" s="63" t="str">
        <f t="shared" si="351"/>
        <v>[effect:rush, count:1, val:1.0]</v>
      </c>
      <c r="N58" s="48" t="str">
        <f t="shared" si="352"/>
        <v>[effect:rush, count:1, val:1.0]</v>
      </c>
      <c r="O58" s="63">
        <f t="shared" si="6"/>
        <v>9</v>
      </c>
      <c r="P58" s="63">
        <f t="shared" si="353"/>
        <v>13</v>
      </c>
      <c r="Q58" s="63" t="e">
        <f t="shared" si="354"/>
        <v>#VALUE!</v>
      </c>
      <c r="R58" s="63">
        <f t="shared" si="355"/>
        <v>22</v>
      </c>
      <c r="S58" s="63" t="str">
        <f>IFERROR(VLOOKUP(MID(N58,Q58,R58-Q58),[6]skilldef!$C:$D,2,FALSE),"-") &amp; " / " &amp; IFERROR(VLOOKUP(MID(N58,O58,P58-O58),[6]skilldef!$A:$B,2,FALSE),"-")</f>
        <v>- / 連続攻撃</v>
      </c>
      <c r="T58" s="48" t="str">
        <f t="shared" si="356"/>
        <v>none</v>
      </c>
      <c r="U58" s="63" t="e">
        <f t="shared" si="11"/>
        <v>#VALUE!</v>
      </c>
      <c r="V58" s="63">
        <f t="shared" si="357"/>
        <v>4</v>
      </c>
      <c r="W58" s="63" t="e">
        <f t="shared" si="358"/>
        <v>#VALUE!</v>
      </c>
      <c r="X58" s="63" t="e">
        <f t="shared" si="359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1"/>
      <c r="AB58" s="50"/>
    </row>
    <row r="59" spans="1:28" ht="21" customHeight="1" x14ac:dyDescent="0.15">
      <c r="A59" s="111">
        <v>40023702</v>
      </c>
      <c r="B59" s="111" t="s">
        <v>402</v>
      </c>
      <c r="C59" s="112">
        <v>3</v>
      </c>
      <c r="D59" s="112" t="s">
        <v>127</v>
      </c>
      <c r="E59" s="113" t="s">
        <v>349</v>
      </c>
      <c r="F59" s="113" t="s">
        <v>403</v>
      </c>
      <c r="G59" s="63" t="str">
        <f t="shared" si="347"/>
        <v>[effect:enhance_enemy, target:myself, turn:2, status:defense, val:100000, calc:add, animation:enemy_enhance_defense]</v>
      </c>
      <c r="H59" s="63">
        <f t="shared" si="1"/>
        <v>9</v>
      </c>
      <c r="I59" s="63">
        <f t="shared" si="348"/>
        <v>22</v>
      </c>
      <c r="J59" s="63">
        <f t="shared" si="349"/>
        <v>31</v>
      </c>
      <c r="K59" s="63">
        <f t="shared" si="350"/>
        <v>37</v>
      </c>
      <c r="L59" s="63" t="str">
        <f>IFERROR(VLOOKUP(MID(G59,J59,K59-J59),[6]skilldef!$C:$D,2,FALSE),"-") &amp; " / " &amp; IFERROR(VLOOKUP(MID(G59,H59,I59-H59),[6]skilldef!$A:$B,2,FALSE),"-")</f>
        <v>自分自身に / ステータス強化</v>
      </c>
      <c r="M59" s="63" t="str">
        <f t="shared" si="351"/>
        <v>none</v>
      </c>
      <c r="N59" s="48" t="str">
        <f t="shared" si="352"/>
        <v>none</v>
      </c>
      <c r="O59" s="63" t="e">
        <f t="shared" si="6"/>
        <v>#VALUE!</v>
      </c>
      <c r="P59" s="63">
        <f t="shared" si="353"/>
        <v>4</v>
      </c>
      <c r="Q59" s="63" t="e">
        <f t="shared" si="354"/>
        <v>#VALUE!</v>
      </c>
      <c r="R59" s="63" t="e">
        <f t="shared" si="355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356"/>
        <v>none</v>
      </c>
      <c r="U59" s="63" t="e">
        <f t="shared" si="11"/>
        <v>#VALUE!</v>
      </c>
      <c r="V59" s="63">
        <f t="shared" si="357"/>
        <v>4</v>
      </c>
      <c r="W59" s="63" t="e">
        <f t="shared" si="358"/>
        <v>#VALUE!</v>
      </c>
      <c r="X59" s="63" t="e">
        <f t="shared" si="359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1"/>
      <c r="AB59" s="50"/>
    </row>
    <row r="60" spans="1:28" ht="21" customHeight="1" x14ac:dyDescent="0.15">
      <c r="A60" s="111">
        <v>40023703</v>
      </c>
      <c r="B60" s="111" t="s">
        <v>404</v>
      </c>
      <c r="C60" s="112">
        <v>3</v>
      </c>
      <c r="D60" s="112" t="s">
        <v>127</v>
      </c>
      <c r="E60" s="113" t="s">
        <v>350</v>
      </c>
      <c r="F60" s="113" t="s">
        <v>408</v>
      </c>
      <c r="G60" s="63" t="str">
        <f t="shared" si="347"/>
        <v>[effect:remove_enhancement, target:unit_all, target_effect:enhance, target_type:buff, status:defense, animation:frozen_wave]</v>
      </c>
      <c r="H60" s="63">
        <f t="shared" si="1"/>
        <v>9</v>
      </c>
      <c r="I60" s="63">
        <f t="shared" si="348"/>
        <v>27</v>
      </c>
      <c r="J60" s="63">
        <f t="shared" si="349"/>
        <v>36</v>
      </c>
      <c r="K60" s="63">
        <f t="shared" si="350"/>
        <v>44</v>
      </c>
      <c r="L60" s="63" t="str">
        <f>IFERROR(VLOOKUP(MID(G60,J60,K60-J60),[6]skilldef!$C:$D,2,FALSE),"-") &amp; " / " &amp; IFERROR(VLOOKUP(MID(G60,H60,I60-H60),[6]skilldef!$A:$B,2,FALSE),"-")</f>
        <v>味方全体に / -</v>
      </c>
      <c r="M60" s="63" t="str">
        <f t="shared" si="351"/>
        <v>[effect:rush, count:9, val:0.20]</v>
      </c>
      <c r="N60" s="48" t="str">
        <f t="shared" si="352"/>
        <v>[effect:rush, count:9, val:0.20]</v>
      </c>
      <c r="O60" s="63">
        <f t="shared" si="6"/>
        <v>9</v>
      </c>
      <c r="P60" s="63">
        <f t="shared" si="353"/>
        <v>13</v>
      </c>
      <c r="Q60" s="63" t="e">
        <f t="shared" si="354"/>
        <v>#VALUE!</v>
      </c>
      <c r="R60" s="63">
        <f t="shared" si="355"/>
        <v>22</v>
      </c>
      <c r="S60" s="63" t="str">
        <f>IFERROR(VLOOKUP(MID(N60,Q60,R60-Q60),[6]skilldef!$C:$D,2,FALSE),"-") &amp; " / " &amp; IFERROR(VLOOKUP(MID(N60,O60,P60-O60),[6]skilldef!$A:$B,2,FALSE),"-")</f>
        <v>- / 連続攻撃</v>
      </c>
      <c r="T60" s="48" t="str">
        <f t="shared" si="356"/>
        <v>none</v>
      </c>
      <c r="U60" s="63" t="e">
        <f t="shared" si="11"/>
        <v>#VALUE!</v>
      </c>
      <c r="V60" s="63">
        <f t="shared" si="357"/>
        <v>4</v>
      </c>
      <c r="W60" s="63" t="e">
        <f t="shared" si="358"/>
        <v>#VALUE!</v>
      </c>
      <c r="X60" s="63" t="e">
        <f t="shared" si="359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1"/>
      <c r="AB60" s="50"/>
    </row>
    <row r="61" spans="1:28" ht="21" customHeight="1" x14ac:dyDescent="0.15">
      <c r="A61" s="111">
        <v>40023704</v>
      </c>
      <c r="B61" s="111" t="s">
        <v>449</v>
      </c>
      <c r="C61" s="112">
        <v>3</v>
      </c>
      <c r="D61" s="112" t="s">
        <v>127</v>
      </c>
      <c r="E61" s="113" t="s">
        <v>351</v>
      </c>
      <c r="F61" s="113" t="s">
        <v>450</v>
      </c>
      <c r="G61" s="63" t="str">
        <f t="shared" si="347"/>
        <v>[effect:remove_enhancement, target:unit_all, target_effect:counter_new, animation:frozen_wave]</v>
      </c>
      <c r="H61" s="63">
        <f t="shared" si="1"/>
        <v>9</v>
      </c>
      <c r="I61" s="63">
        <f t="shared" si="348"/>
        <v>27</v>
      </c>
      <c r="J61" s="63">
        <f t="shared" si="349"/>
        <v>36</v>
      </c>
      <c r="K61" s="63">
        <f t="shared" si="350"/>
        <v>44</v>
      </c>
      <c r="L61" s="63" t="str">
        <f>IFERROR(VLOOKUP(MID(G61,J61,K61-J61),[6]skilldef!$C:$D,2,FALSE),"-") &amp; " / " &amp; IFERROR(VLOOKUP(MID(G61,H61,I61-H61),[6]skilldef!$A:$B,2,FALSE),"-")</f>
        <v>味方全体に / -</v>
      </c>
      <c r="M61" s="63" t="str">
        <f t="shared" si="351"/>
        <v>[effect:remove_enhancement, target:unit_all, target_effect:counter],[effect:spread, val:0.20],[effect:spread, val:0.20]</v>
      </c>
      <c r="N61" s="48" t="str">
        <f t="shared" si="352"/>
        <v>[effect:remove_enhancement, target:unit_all, target_effect:counter],[effect:spread, val:0.20],[effect:spread, val:0.20]</v>
      </c>
      <c r="O61" s="63">
        <f t="shared" si="6"/>
        <v>9</v>
      </c>
      <c r="P61" s="63">
        <f t="shared" si="353"/>
        <v>27</v>
      </c>
      <c r="Q61" s="63">
        <f t="shared" si="354"/>
        <v>36</v>
      </c>
      <c r="R61" s="63">
        <f t="shared" si="355"/>
        <v>44</v>
      </c>
      <c r="S61" s="63" t="str">
        <f>IFERROR(VLOOKUP(MID(N61,Q61,R61-Q61),[6]skilldef!$C:$D,2,FALSE),"-") &amp; " / " &amp; IFERROR(VLOOKUP(MID(N61,O61,P61-O61),[6]skilldef!$A:$B,2,FALSE),"-")</f>
        <v>味方全体に / -</v>
      </c>
      <c r="T61" s="48" t="str">
        <f t="shared" si="356"/>
        <v>[effect:spread, val:0.20],[effect:spread, val:0.20]</v>
      </c>
      <c r="U61" s="63">
        <f t="shared" si="11"/>
        <v>9</v>
      </c>
      <c r="V61" s="63">
        <f t="shared" si="357"/>
        <v>15</v>
      </c>
      <c r="W61" s="63" t="e">
        <f t="shared" si="358"/>
        <v>#VALUE!</v>
      </c>
      <c r="X61" s="63">
        <f t="shared" si="359"/>
        <v>26</v>
      </c>
      <c r="Y61" s="63" t="str">
        <f>IFERROR(VLOOKUP(MID(T61,W61,X61-W61),[6]skilldef!$C:$D,2,FALSE),"-") &amp; " / " &amp; IFERROR(VLOOKUP(MID(T61,U61,V61-U61),[6]skilldef!$A:$B,2,FALSE),"-")</f>
        <v>- / 全体攻撃</v>
      </c>
      <c r="Z61" s="50"/>
      <c r="AA61" s="51"/>
      <c r="AB61" s="50"/>
    </row>
    <row r="62" spans="1:28" ht="21" customHeight="1" x14ac:dyDescent="0.15">
      <c r="A62" s="111">
        <v>40023705</v>
      </c>
      <c r="B62" s="111" t="s">
        <v>286</v>
      </c>
      <c r="C62" s="112">
        <v>3</v>
      </c>
      <c r="D62" s="112" t="s">
        <v>127</v>
      </c>
      <c r="E62" s="113" t="s">
        <v>347</v>
      </c>
      <c r="F62" s="113" t="s">
        <v>287</v>
      </c>
      <c r="G62" s="63" t="str">
        <f t="shared" ref="G62:G66" si="360">IFERROR(LEFT(B62,FIND("],",B62)),B62)</f>
        <v>[effect:enemy_message, val1:2, val2:1.8]</v>
      </c>
      <c r="H62" s="63">
        <f t="shared" si="1"/>
        <v>9</v>
      </c>
      <c r="I62" s="63">
        <f t="shared" ref="I62:I66" si="361">IFERROR(FIND(",",G62),LEN(G62))</f>
        <v>22</v>
      </c>
      <c r="J62" s="63" t="e">
        <f t="shared" ref="J62:J66" si="362">FIND("target:",G62)+7</f>
        <v>#VALUE!</v>
      </c>
      <c r="K62" s="63">
        <f t="shared" ref="K62:K66" si="363">FIND(",",G62,I62+1)</f>
        <v>30</v>
      </c>
      <c r="L62" s="63" t="str">
        <f>IFERROR(VLOOKUP(MID(G62,J62,K62-J62),[6]skilldef!$C:$D,2,FALSE),"-") &amp; " / " &amp; IFERROR(VLOOKUP(MID(G62,H62,I62-H62),[6]skilldef!$A:$B,2,FALSE),"-")</f>
        <v>- / -</v>
      </c>
      <c r="M62" s="63" t="str">
        <f t="shared" ref="M62:M66" si="364">IFERROR(RIGHT(B62,LEN(B62)-FIND("],",B62)-1),"none")</f>
        <v>none</v>
      </c>
      <c r="N62" s="48" t="str">
        <f t="shared" si="352"/>
        <v>none</v>
      </c>
      <c r="O62" s="63" t="e">
        <f t="shared" si="6"/>
        <v>#VALUE!</v>
      </c>
      <c r="P62" s="63">
        <f t="shared" ref="P62:P66" si="365">IFERROR(FIND(",",N62),LEN(N62))</f>
        <v>4</v>
      </c>
      <c r="Q62" s="63" t="e">
        <f t="shared" ref="Q62:Q66" si="366">FIND("target:",N62)+7</f>
        <v>#VALUE!</v>
      </c>
      <c r="R62" s="63" t="e">
        <f t="shared" ref="R62:R66" si="367">FIND(",",N62,P62+1)</f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ref="T62:T66" si="368">IFERROR(RIGHT(M62,LEN(M62)-FIND("],",M62)-1),"none")</f>
        <v>none</v>
      </c>
      <c r="U62" s="63" t="e">
        <f t="shared" si="11"/>
        <v>#VALUE!</v>
      </c>
      <c r="V62" s="63">
        <f t="shared" ref="V62:V66" si="369">IFERROR(FIND(",",T62),LEN(T62))</f>
        <v>4</v>
      </c>
      <c r="W62" s="63" t="e">
        <f t="shared" ref="W62:W66" si="370">FIND("target:",T62)+7</f>
        <v>#VALUE!</v>
      </c>
      <c r="X62" s="63" t="e">
        <f t="shared" ref="X62:X66" si="371">FIND(",",T62,V62+1)</f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1"/>
      <c r="AB62" s="50"/>
    </row>
    <row r="63" spans="1:28" ht="21" customHeight="1" x14ac:dyDescent="0.15">
      <c r="A63" s="111">
        <v>40023706</v>
      </c>
      <c r="B63" s="111" t="s">
        <v>288</v>
      </c>
      <c r="C63" s="112">
        <v>3</v>
      </c>
      <c r="D63" s="112" t="s">
        <v>127</v>
      </c>
      <c r="E63" s="113" t="s">
        <v>352</v>
      </c>
      <c r="F63" s="113" t="s">
        <v>289</v>
      </c>
      <c r="G63" s="63" t="str">
        <f t="shared" si="360"/>
        <v>[effect:damage_fix_absolute, target:unit_one, val:100000]</v>
      </c>
      <c r="H63" s="63">
        <f t="shared" si="1"/>
        <v>9</v>
      </c>
      <c r="I63" s="63">
        <f t="shared" si="361"/>
        <v>28</v>
      </c>
      <c r="J63" s="63">
        <f t="shared" si="362"/>
        <v>37</v>
      </c>
      <c r="K63" s="63">
        <f t="shared" si="363"/>
        <v>45</v>
      </c>
      <c r="L63" s="63" t="str">
        <f>IFERROR(VLOOKUP(MID(G63,J63,K63-J63),[6]skilldef!$C:$D,2,FALSE),"-") &amp; " / " &amp; IFERROR(VLOOKUP(MID(G63,H63,I63-H63),[6]skilldef!$A:$B,2,FALSE),"-")</f>
        <v>味方単体に / -</v>
      </c>
      <c r="M63" s="63" t="str">
        <f t="shared" si="364"/>
        <v>none</v>
      </c>
      <c r="N63" s="48" t="str">
        <f t="shared" si="352"/>
        <v>none</v>
      </c>
      <c r="O63" s="63" t="e">
        <f t="shared" si="6"/>
        <v>#VALUE!</v>
      </c>
      <c r="P63" s="63">
        <f t="shared" si="365"/>
        <v>4</v>
      </c>
      <c r="Q63" s="63" t="e">
        <f t="shared" si="366"/>
        <v>#VALUE!</v>
      </c>
      <c r="R63" s="63" t="e">
        <f t="shared" si="367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368"/>
        <v>none</v>
      </c>
      <c r="U63" s="63" t="e">
        <f t="shared" si="11"/>
        <v>#VALUE!</v>
      </c>
      <c r="V63" s="63">
        <f t="shared" si="369"/>
        <v>4</v>
      </c>
      <c r="W63" s="63" t="e">
        <f t="shared" si="370"/>
        <v>#VALUE!</v>
      </c>
      <c r="X63" s="63" t="e">
        <f t="shared" si="371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1"/>
      <c r="AB63" s="50"/>
    </row>
    <row r="64" spans="1:28" ht="21" customHeight="1" x14ac:dyDescent="0.15">
      <c r="A64" s="111">
        <v>40023707</v>
      </c>
      <c r="B64" s="111" t="s">
        <v>428</v>
      </c>
      <c r="C64" s="112">
        <v>3</v>
      </c>
      <c r="D64" s="112" t="s">
        <v>127</v>
      </c>
      <c r="E64" s="113" t="s">
        <v>348</v>
      </c>
      <c r="F64" s="113" t="s">
        <v>285</v>
      </c>
      <c r="G64" s="63" t="str">
        <f t="shared" si="360"/>
        <v>[effect:remove_enhancement, target:unit_all, target_effect:all, target_type:buff, animation:frozen_wave]</v>
      </c>
      <c r="H64" s="63">
        <f t="shared" ref="H64:H66" si="372">FIND("effect:",G64)+7</f>
        <v>9</v>
      </c>
      <c r="I64" s="63">
        <f t="shared" si="361"/>
        <v>27</v>
      </c>
      <c r="J64" s="63">
        <f t="shared" si="362"/>
        <v>36</v>
      </c>
      <c r="K64" s="63">
        <f t="shared" si="363"/>
        <v>44</v>
      </c>
      <c r="L64" s="63" t="str">
        <f>IFERROR(VLOOKUP(MID(G64,J64,K64-J64),[6]skilldef!$C:$D,2,FALSE),"-") &amp; " / " &amp; IFERROR(VLOOKUP(MID(G64,H64,I64-H64),[6]skilldef!$A:$B,2,FALSE),"-")</f>
        <v>味方全体に / -</v>
      </c>
      <c r="M64" s="63" t="str">
        <f t="shared" si="364"/>
        <v>[effect:tolerance, target:myself, turn:-1, tolerance_effect:all, count:-1, animation:enemy_tolerance],[effect:fix_speed, target:myself, turn:1],[effect:enemy_message, val1:1.8, val2:2.4]</v>
      </c>
      <c r="N64" s="48" t="str">
        <f t="shared" si="352"/>
        <v>[effect:tolerance, target:myself, turn:-1, tolerance_effect:all, count:-1, animation:enemy_tolerance],[effect:fix_speed, target:myself, turn:1],[effect:enemy_message, val1:1.8, val2:2.4]</v>
      </c>
      <c r="O64" s="63">
        <f t="shared" ref="O64:O66" si="373">FIND("effect:",N64)+7</f>
        <v>9</v>
      </c>
      <c r="P64" s="63">
        <f t="shared" si="365"/>
        <v>18</v>
      </c>
      <c r="Q64" s="63">
        <f t="shared" si="366"/>
        <v>27</v>
      </c>
      <c r="R64" s="63">
        <f t="shared" si="367"/>
        <v>33</v>
      </c>
      <c r="S64" s="63" t="str">
        <f>IFERROR(VLOOKUP(MID(N64,Q64,R64-Q64),[6]skilldef!$C:$D,2,FALSE),"-") &amp; " / " &amp; IFERROR(VLOOKUP(MID(N64,O64,P64-O64),[6]skilldef!$A:$B,2,FALSE),"-")</f>
        <v>自分自身に / 状態異常耐性</v>
      </c>
      <c r="T64" s="48" t="str">
        <f t="shared" si="368"/>
        <v>[effect:fix_speed, target:myself, turn:1],[effect:enemy_message, val1:1.8, val2:2.4]</v>
      </c>
      <c r="U64" s="63">
        <f t="shared" ref="U64:U66" si="374">FIND("effect:",T64)+7</f>
        <v>9</v>
      </c>
      <c r="V64" s="63">
        <f t="shared" si="369"/>
        <v>18</v>
      </c>
      <c r="W64" s="63">
        <f t="shared" si="370"/>
        <v>27</v>
      </c>
      <c r="X64" s="63">
        <f t="shared" si="371"/>
        <v>33</v>
      </c>
      <c r="Y64" s="63" t="str">
        <f>IFERROR(VLOOKUP(MID(T64,W64,X64-W64),[6]skilldef!$C:$D,2,FALSE),"-") &amp; " / " &amp; IFERROR(VLOOKUP(MID(T64,U64,V64-U64),[6]skilldef!$A:$B,2,FALSE),"-")</f>
        <v>自分自身に / 行動値設定</v>
      </c>
      <c r="Z64" s="50"/>
      <c r="AA64" s="51"/>
      <c r="AB64" s="50"/>
    </row>
    <row r="65" spans="1:28" ht="21" customHeight="1" x14ac:dyDescent="0.15">
      <c r="A65" s="111">
        <v>40023708</v>
      </c>
      <c r="B65" s="111" t="s">
        <v>428</v>
      </c>
      <c r="C65" s="112">
        <v>3</v>
      </c>
      <c r="D65" s="112" t="s">
        <v>127</v>
      </c>
      <c r="E65" s="113" t="s">
        <v>348</v>
      </c>
      <c r="F65" s="113" t="s">
        <v>285</v>
      </c>
      <c r="G65" s="63" t="str">
        <f t="shared" si="360"/>
        <v>[effect:remove_enhancement, target:unit_all, target_effect:all, target_type:buff, animation:frozen_wave]</v>
      </c>
      <c r="H65" s="63">
        <f t="shared" si="372"/>
        <v>9</v>
      </c>
      <c r="I65" s="63">
        <f t="shared" si="361"/>
        <v>27</v>
      </c>
      <c r="J65" s="63">
        <f t="shared" si="362"/>
        <v>36</v>
      </c>
      <c r="K65" s="63">
        <f t="shared" si="363"/>
        <v>44</v>
      </c>
      <c r="L65" s="63" t="str">
        <f>IFERROR(VLOOKUP(MID(G65,J65,K65-J65),[6]skilldef!$C:$D,2,FALSE),"-") &amp; " / " &amp; IFERROR(VLOOKUP(MID(G65,H65,I65-H65),[6]skilldef!$A:$B,2,FALSE),"-")</f>
        <v>味方全体に / -</v>
      </c>
      <c r="M65" s="63" t="str">
        <f t="shared" si="364"/>
        <v>[effect:tolerance, target:myself, turn:-1, tolerance_effect:all, count:-1, animation:enemy_tolerance],[effect:fix_speed, target:myself, turn:1],[effect:enemy_message, val1:1.8, val2:2.4]</v>
      </c>
      <c r="N65" s="48" t="str">
        <f t="shared" si="352"/>
        <v>[effect:tolerance, target:myself, turn:-1, tolerance_effect:all, count:-1, animation:enemy_tolerance],[effect:fix_speed, target:myself, turn:1],[effect:enemy_message, val1:1.8, val2:2.4]</v>
      </c>
      <c r="O65" s="63">
        <f t="shared" si="373"/>
        <v>9</v>
      </c>
      <c r="P65" s="63">
        <f t="shared" si="365"/>
        <v>18</v>
      </c>
      <c r="Q65" s="63">
        <f t="shared" si="366"/>
        <v>27</v>
      </c>
      <c r="R65" s="63">
        <f t="shared" si="367"/>
        <v>33</v>
      </c>
      <c r="S65" s="63" t="str">
        <f>IFERROR(VLOOKUP(MID(N65,Q65,R65-Q65),[6]skilldef!$C:$D,2,FALSE),"-") &amp; " / " &amp; IFERROR(VLOOKUP(MID(N65,O65,P65-O65),[6]skilldef!$A:$B,2,FALSE),"-")</f>
        <v>自分自身に / 状態異常耐性</v>
      </c>
      <c r="T65" s="48" t="str">
        <f t="shared" si="368"/>
        <v>[effect:fix_speed, target:myself, turn:1],[effect:enemy_message, val1:1.8, val2:2.4]</v>
      </c>
      <c r="U65" s="63">
        <f t="shared" si="374"/>
        <v>9</v>
      </c>
      <c r="V65" s="63">
        <f t="shared" si="369"/>
        <v>18</v>
      </c>
      <c r="W65" s="63">
        <f t="shared" si="370"/>
        <v>27</v>
      </c>
      <c r="X65" s="63">
        <f t="shared" si="371"/>
        <v>33</v>
      </c>
      <c r="Y65" s="63" t="str">
        <f>IFERROR(VLOOKUP(MID(T65,W65,X65-W65),[6]skilldef!$C:$D,2,FALSE),"-") &amp; " / " &amp; IFERROR(VLOOKUP(MID(T65,U65,V65-U65),[6]skilldef!$A:$B,2,FALSE),"-")</f>
        <v>自分自身に / 行動値設定</v>
      </c>
      <c r="Z65" s="50"/>
      <c r="AA65" s="51"/>
      <c r="AB65" s="50"/>
    </row>
    <row r="66" spans="1:28" ht="21" customHeight="1" x14ac:dyDescent="0.15">
      <c r="A66" s="111">
        <v>40023709</v>
      </c>
      <c r="B66" s="111" t="s">
        <v>428</v>
      </c>
      <c r="C66" s="112">
        <v>3</v>
      </c>
      <c r="D66" s="112" t="s">
        <v>127</v>
      </c>
      <c r="E66" s="113" t="s">
        <v>348</v>
      </c>
      <c r="F66" s="113" t="s">
        <v>285</v>
      </c>
      <c r="G66" s="63" t="str">
        <f t="shared" si="360"/>
        <v>[effect:remove_enhancement, target:unit_all, target_effect:all, target_type:buff, animation:frozen_wave]</v>
      </c>
      <c r="H66" s="63">
        <f t="shared" si="372"/>
        <v>9</v>
      </c>
      <c r="I66" s="63">
        <f t="shared" si="361"/>
        <v>27</v>
      </c>
      <c r="J66" s="63">
        <f t="shared" si="362"/>
        <v>36</v>
      </c>
      <c r="K66" s="63">
        <f t="shared" si="363"/>
        <v>44</v>
      </c>
      <c r="L66" s="63" t="str">
        <f>IFERROR(VLOOKUP(MID(G66,J66,K66-J66),[6]skilldef!$C:$D,2,FALSE),"-") &amp; " / " &amp; IFERROR(VLOOKUP(MID(G66,H66,I66-H66),[6]skilldef!$A:$B,2,FALSE),"-")</f>
        <v>味方全体に / -</v>
      </c>
      <c r="M66" s="63" t="str">
        <f t="shared" si="364"/>
        <v>[effect:tolerance, target:myself, turn:-1, tolerance_effect:all, count:-1, animation:enemy_tolerance],[effect:fix_speed, target:myself, turn:1],[effect:enemy_message, val1:1.8, val2:2.4]</v>
      </c>
      <c r="N66" s="48" t="str">
        <f t="shared" si="352"/>
        <v>[effect:tolerance, target:myself, turn:-1, tolerance_effect:all, count:-1, animation:enemy_tolerance],[effect:fix_speed, target:myself, turn:1],[effect:enemy_message, val1:1.8, val2:2.4]</v>
      </c>
      <c r="O66" s="63">
        <f t="shared" si="373"/>
        <v>9</v>
      </c>
      <c r="P66" s="63">
        <f t="shared" si="365"/>
        <v>18</v>
      </c>
      <c r="Q66" s="63">
        <f t="shared" si="366"/>
        <v>27</v>
      </c>
      <c r="R66" s="63">
        <f t="shared" si="367"/>
        <v>33</v>
      </c>
      <c r="S66" s="63" t="str">
        <f>IFERROR(VLOOKUP(MID(N66,Q66,R66-Q66),[6]skilldef!$C:$D,2,FALSE),"-") &amp; " / " &amp; IFERROR(VLOOKUP(MID(N66,O66,P66-O66),[6]skilldef!$A:$B,2,FALSE),"-")</f>
        <v>自分自身に / 状態異常耐性</v>
      </c>
      <c r="T66" s="48" t="str">
        <f t="shared" si="368"/>
        <v>[effect:fix_speed, target:myself, turn:1],[effect:enemy_message, val1:1.8, val2:2.4]</v>
      </c>
      <c r="U66" s="63">
        <f t="shared" si="374"/>
        <v>9</v>
      </c>
      <c r="V66" s="63">
        <f t="shared" si="369"/>
        <v>18</v>
      </c>
      <c r="W66" s="63">
        <f t="shared" si="370"/>
        <v>27</v>
      </c>
      <c r="X66" s="63">
        <f t="shared" si="371"/>
        <v>33</v>
      </c>
      <c r="Y66" s="63" t="str">
        <f>IFERROR(VLOOKUP(MID(T66,W66,X66-W66),[6]skilldef!$C:$D,2,FALSE),"-") &amp; " / " &amp; IFERROR(VLOOKUP(MID(T66,U66,V66-U66),[6]skilldef!$A:$B,2,FALSE),"-")</f>
        <v>自分自身に / 行動値設定</v>
      </c>
      <c r="Z66" s="50"/>
      <c r="AA66" s="51"/>
      <c r="AB66" s="50"/>
    </row>
    <row r="67" spans="1:28" ht="21" customHeight="1" x14ac:dyDescent="0.15">
      <c r="A67" s="111">
        <v>40023710</v>
      </c>
      <c r="B67" s="111" t="s">
        <v>388</v>
      </c>
      <c r="C67" s="112">
        <v>3</v>
      </c>
      <c r="D67" s="112" t="s">
        <v>127</v>
      </c>
      <c r="E67" s="113" t="s">
        <v>390</v>
      </c>
      <c r="F67" s="113" t="s">
        <v>389</v>
      </c>
      <c r="G67" s="63" t="str">
        <f t="shared" ref="G67:G69" si="375">IFERROR(LEFT(B67,FIND("],",B67)),B67)</f>
        <v>[effect:enemy_message, val1:1.8, val2:2.4]</v>
      </c>
      <c r="H67" s="63">
        <f t="shared" ref="H67:H69" si="376">FIND("effect:",G67)+7</f>
        <v>9</v>
      </c>
      <c r="I67" s="63">
        <f t="shared" ref="I67:I69" si="377">IFERROR(FIND(",",G67),LEN(G67))</f>
        <v>22</v>
      </c>
      <c r="J67" s="63" t="e">
        <f t="shared" ref="J67:J69" si="378">FIND("target:",G67)+7</f>
        <v>#VALUE!</v>
      </c>
      <c r="K67" s="63">
        <f t="shared" ref="K67:K69" si="379">FIND(",",G67,I67+1)</f>
        <v>32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ref="M67:M69" si="380">IFERROR(RIGHT(B67,LEN(B67)-FIND("],",B67)-1),"none")</f>
        <v>none</v>
      </c>
      <c r="N67" s="48" t="str">
        <f t="shared" si="352"/>
        <v>none</v>
      </c>
      <c r="O67" s="63" t="e">
        <f t="shared" ref="O67:O69" si="381">FIND("effect:",N67)+7</f>
        <v>#VALUE!</v>
      </c>
      <c r="P67" s="63">
        <f t="shared" ref="P67:P69" si="382">IFERROR(FIND(",",N67),LEN(N67))</f>
        <v>4</v>
      </c>
      <c r="Q67" s="63" t="e">
        <f t="shared" ref="Q67:Q69" si="383">FIND("target:",N67)+7</f>
        <v>#VALUE!</v>
      </c>
      <c r="R67" s="63" t="e">
        <f t="shared" ref="R67:R69" si="384">FIND(",",N67,P67+1)</f>
        <v>#VALUE!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ref="T67:T69" si="385">IFERROR(RIGHT(M67,LEN(M67)-FIND("],",M67)-1),"none")</f>
        <v>none</v>
      </c>
      <c r="U67" s="63" t="e">
        <f t="shared" ref="U67:U69" si="386">FIND("effect:",T67)+7</f>
        <v>#VALUE!</v>
      </c>
      <c r="V67" s="63">
        <f t="shared" ref="V67:V69" si="387">IFERROR(FIND(",",T67),LEN(T67))</f>
        <v>4</v>
      </c>
      <c r="W67" s="63" t="e">
        <f t="shared" ref="W67:W69" si="388">FIND("target:",T67)+7</f>
        <v>#VALUE!</v>
      </c>
      <c r="X67" s="63" t="e">
        <f t="shared" ref="X67:X69" si="389">FIND(",",T67,V67+1)</f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1"/>
      <c r="AB67" s="50"/>
    </row>
    <row r="68" spans="1:28" ht="21" customHeight="1" x14ac:dyDescent="0.15">
      <c r="A68" s="111">
        <v>40023711</v>
      </c>
      <c r="B68" s="111" t="s">
        <v>379</v>
      </c>
      <c r="C68" s="112">
        <v>3</v>
      </c>
      <c r="D68" s="112" t="s">
        <v>127</v>
      </c>
      <c r="E68" s="113" t="s">
        <v>390</v>
      </c>
      <c r="F68" s="113" t="s">
        <v>389</v>
      </c>
      <c r="G68" s="63" t="str">
        <f t="shared" si="375"/>
        <v>[effect:enemy_message, val1:1.8, val2:2.4]</v>
      </c>
      <c r="H68" s="63">
        <f t="shared" si="376"/>
        <v>9</v>
      </c>
      <c r="I68" s="63">
        <f t="shared" si="377"/>
        <v>22</v>
      </c>
      <c r="J68" s="63" t="e">
        <f t="shared" si="378"/>
        <v>#VALUE!</v>
      </c>
      <c r="K68" s="63">
        <f t="shared" si="379"/>
        <v>32</v>
      </c>
      <c r="L68" s="63" t="str">
        <f>IFERROR(VLOOKUP(MID(G68,J68,K68-J68),[6]skilldef!$C:$D,2,FALSE),"-") &amp; " / " &amp; IFERROR(VLOOKUP(MID(G68,H68,I68-H68),[6]skilldef!$A:$B,2,FALSE),"-")</f>
        <v>- / -</v>
      </c>
      <c r="M68" s="63" t="str">
        <f t="shared" si="380"/>
        <v>none</v>
      </c>
      <c r="N68" s="48" t="str">
        <f t="shared" si="352"/>
        <v>none</v>
      </c>
      <c r="O68" s="63" t="e">
        <f t="shared" si="381"/>
        <v>#VALUE!</v>
      </c>
      <c r="P68" s="63">
        <f t="shared" si="382"/>
        <v>4</v>
      </c>
      <c r="Q68" s="63" t="e">
        <f t="shared" si="383"/>
        <v>#VALUE!</v>
      </c>
      <c r="R68" s="63" t="e">
        <f t="shared" si="384"/>
        <v>#VALUE!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385"/>
        <v>none</v>
      </c>
      <c r="U68" s="63" t="e">
        <f t="shared" si="386"/>
        <v>#VALUE!</v>
      </c>
      <c r="V68" s="63">
        <f t="shared" si="387"/>
        <v>4</v>
      </c>
      <c r="W68" s="63" t="e">
        <f t="shared" si="388"/>
        <v>#VALUE!</v>
      </c>
      <c r="X68" s="63" t="e">
        <f t="shared" si="389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1"/>
      <c r="AB68" s="50"/>
    </row>
    <row r="69" spans="1:28" ht="21" customHeight="1" x14ac:dyDescent="0.15">
      <c r="A69" s="111">
        <v>40023712</v>
      </c>
      <c r="B69" s="111" t="s">
        <v>378</v>
      </c>
      <c r="C69" s="112">
        <v>3</v>
      </c>
      <c r="D69" s="112" t="s">
        <v>127</v>
      </c>
      <c r="E69" s="113" t="s">
        <v>390</v>
      </c>
      <c r="F69" s="113" t="s">
        <v>389</v>
      </c>
      <c r="G69" s="63" t="str">
        <f t="shared" si="375"/>
        <v>[effect:enemy_message, val1:1.8, val2:2.4]</v>
      </c>
      <c r="H69" s="63">
        <f t="shared" si="376"/>
        <v>9</v>
      </c>
      <c r="I69" s="63">
        <f t="shared" si="377"/>
        <v>22</v>
      </c>
      <c r="J69" s="63" t="e">
        <f t="shared" si="378"/>
        <v>#VALUE!</v>
      </c>
      <c r="K69" s="63">
        <f t="shared" si="379"/>
        <v>32</v>
      </c>
      <c r="L69" s="63" t="str">
        <f>IFERROR(VLOOKUP(MID(G69,J69,K69-J69),[6]skilldef!$C:$D,2,FALSE),"-") &amp; " / " &amp; IFERROR(VLOOKUP(MID(G69,H69,I69-H69),[6]skilldef!$A:$B,2,FALSE),"-")</f>
        <v>- / -</v>
      </c>
      <c r="M69" s="63" t="str">
        <f t="shared" si="380"/>
        <v>none</v>
      </c>
      <c r="N69" s="48" t="str">
        <f t="shared" si="352"/>
        <v>none</v>
      </c>
      <c r="O69" s="63" t="e">
        <f t="shared" si="381"/>
        <v>#VALUE!</v>
      </c>
      <c r="P69" s="63">
        <f t="shared" si="382"/>
        <v>4</v>
      </c>
      <c r="Q69" s="63" t="e">
        <f t="shared" si="383"/>
        <v>#VALUE!</v>
      </c>
      <c r="R69" s="63" t="e">
        <f t="shared" si="384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385"/>
        <v>none</v>
      </c>
      <c r="U69" s="63" t="e">
        <f t="shared" si="386"/>
        <v>#VALUE!</v>
      </c>
      <c r="V69" s="63">
        <f t="shared" si="387"/>
        <v>4</v>
      </c>
      <c r="W69" s="63" t="e">
        <f t="shared" si="388"/>
        <v>#VALUE!</v>
      </c>
      <c r="X69" s="63" t="e">
        <f t="shared" si="389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1"/>
      <c r="AB69" s="50"/>
    </row>
    <row r="70" spans="1:28" ht="21" customHeight="1" x14ac:dyDescent="0.15">
      <c r="A70" s="111">
        <v>40023713</v>
      </c>
      <c r="B70" s="111" t="s">
        <v>401</v>
      </c>
      <c r="C70" s="112">
        <v>3</v>
      </c>
      <c r="D70" s="112" t="s">
        <v>127</v>
      </c>
      <c r="E70" s="113" t="s">
        <v>400</v>
      </c>
      <c r="F70" s="113"/>
      <c r="G70" s="63" t="str">
        <f t="shared" ref="G70:G78" si="390">IFERROR(LEFT(B70,FIND("],",B70)),B70)</f>
        <v>[effect:enemy_message, val1:1.8, val2:0]</v>
      </c>
      <c r="H70" s="63">
        <f t="shared" ref="H70:H78" si="391">FIND("effect:",G70)+7</f>
        <v>9</v>
      </c>
      <c r="I70" s="63">
        <f t="shared" ref="I70:I78" si="392">IFERROR(FIND(",",G70),LEN(G70))</f>
        <v>22</v>
      </c>
      <c r="J70" s="63" t="e">
        <f t="shared" ref="J70:J78" si="393">FIND("target:",G70)+7</f>
        <v>#VALUE!</v>
      </c>
      <c r="K70" s="63">
        <f t="shared" ref="K70:K78" si="394">FIND(",",G70,I70+1)</f>
        <v>32</v>
      </c>
      <c r="L70" s="63" t="str">
        <f>IFERROR(VLOOKUP(MID(G70,J70,K70-J70),[6]skilldef!$C:$D,2,FALSE),"-") &amp; " / " &amp; IFERROR(VLOOKUP(MID(G70,H70,I70-H70),[6]skilldef!$A:$B,2,FALSE),"-")</f>
        <v>- / -</v>
      </c>
      <c r="M70" s="63" t="str">
        <f t="shared" ref="M70:M78" si="395">IFERROR(RIGHT(B70,LEN(B70)-FIND("],",B70)-1),"none")</f>
        <v>none</v>
      </c>
      <c r="N70" s="48" t="str">
        <f t="shared" ref="N70" si="396">IFERROR(LEFT(M70,FIND("],",M70)+S81),M70)</f>
        <v>none</v>
      </c>
      <c r="O70" s="63" t="e">
        <f t="shared" ref="O70:O78" si="397">FIND("effect:",N70)+7</f>
        <v>#VALUE!</v>
      </c>
      <c r="P70" s="63">
        <f t="shared" ref="P70:P78" si="398">IFERROR(FIND(",",N70),LEN(N70))</f>
        <v>4</v>
      </c>
      <c r="Q70" s="63" t="e">
        <f t="shared" ref="Q70:Q78" si="399">FIND("target:",N70)+7</f>
        <v>#VALUE!</v>
      </c>
      <c r="R70" s="63" t="e">
        <f t="shared" ref="R70:R78" si="400">FIND(",",N70,P70+1)</f>
        <v>#VALUE!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ref="T70:T78" si="401">IFERROR(RIGHT(M70,LEN(M70)-FIND("],",M70)-1),"none")</f>
        <v>none</v>
      </c>
      <c r="U70" s="63" t="e">
        <f t="shared" ref="U70:U78" si="402">FIND("effect:",T70)+7</f>
        <v>#VALUE!</v>
      </c>
      <c r="V70" s="63">
        <f t="shared" ref="V70:V78" si="403">IFERROR(FIND(",",T70),LEN(T70))</f>
        <v>4</v>
      </c>
      <c r="W70" s="63" t="e">
        <f t="shared" ref="W70:W78" si="404">FIND("target:",T70)+7</f>
        <v>#VALUE!</v>
      </c>
      <c r="X70" s="63" t="e">
        <f t="shared" ref="X70:X78" si="405">FIND(",",T70,V70+1)</f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1"/>
      <c r="AB70" s="50"/>
    </row>
    <row r="71" spans="1:28" ht="21" customHeight="1" x14ac:dyDescent="0.15">
      <c r="A71" s="105">
        <v>40023800</v>
      </c>
      <c r="B71" s="105" t="s">
        <v>412</v>
      </c>
      <c r="C71" s="106">
        <v>3</v>
      </c>
      <c r="D71" s="106" t="s">
        <v>127</v>
      </c>
      <c r="E71" s="107" t="s">
        <v>343</v>
      </c>
      <c r="F71" s="107" t="s">
        <v>413</v>
      </c>
      <c r="G71" s="63" t="str">
        <f t="shared" si="390"/>
        <v>[effect:tolerance, target:myself, turn:-1, tolerance_effect:all, count:-1, animation:enemy_tolerance]</v>
      </c>
      <c r="H71" s="63">
        <f t="shared" si="391"/>
        <v>9</v>
      </c>
      <c r="I71" s="63">
        <f t="shared" si="392"/>
        <v>18</v>
      </c>
      <c r="J71" s="63">
        <f t="shared" si="393"/>
        <v>27</v>
      </c>
      <c r="K71" s="63">
        <f t="shared" si="394"/>
        <v>33</v>
      </c>
      <c r="L71" s="63" t="str">
        <f>IFERROR(VLOOKUP(MID(G71,J71,K71-J71),[6]skilldef!$C:$D,2,FALSE),"-") &amp; " / " &amp; IFERROR(VLOOKUP(MID(G71,H71,I71-H71),[6]skilldef!$A:$B,2,FALSE),"-")</f>
        <v>自分自身に / 状態異常耐性</v>
      </c>
      <c r="M71" s="63" t="str">
        <f t="shared" si="395"/>
        <v>[effect:fix_speed, target:myself, turn:1]</v>
      </c>
      <c r="N71" s="48" t="str">
        <f>IFERROR(LEFT(M71,FIND("],",M71)+S84),M71)</f>
        <v>[effect:fix_speed, target:myself, turn:1]</v>
      </c>
      <c r="O71" s="63">
        <f t="shared" si="397"/>
        <v>9</v>
      </c>
      <c r="P71" s="63">
        <f t="shared" si="398"/>
        <v>18</v>
      </c>
      <c r="Q71" s="63">
        <f t="shared" si="399"/>
        <v>27</v>
      </c>
      <c r="R71" s="63">
        <f t="shared" si="400"/>
        <v>33</v>
      </c>
      <c r="S71" s="63" t="str">
        <f>IFERROR(VLOOKUP(MID(N71,Q71,R71-Q71),[6]skilldef!$C:$D,2,FALSE),"-") &amp; " / " &amp; IFERROR(VLOOKUP(MID(N71,O71,P71-O71),[6]skilldef!$A:$B,2,FALSE),"-")</f>
        <v>自分自身に / 行動値設定</v>
      </c>
      <c r="T71" s="48" t="str">
        <f t="shared" si="401"/>
        <v>none</v>
      </c>
      <c r="U71" s="63" t="e">
        <f t="shared" si="402"/>
        <v>#VALUE!</v>
      </c>
      <c r="V71" s="63">
        <f t="shared" si="403"/>
        <v>4</v>
      </c>
      <c r="W71" s="63" t="e">
        <f t="shared" si="404"/>
        <v>#VALUE!</v>
      </c>
      <c r="X71" s="63" t="e">
        <f t="shared" si="405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1"/>
      <c r="AB71" s="50"/>
    </row>
    <row r="72" spans="1:28" ht="21" customHeight="1" x14ac:dyDescent="0.15">
      <c r="A72" s="105">
        <v>40023801</v>
      </c>
      <c r="B72" s="105" t="s">
        <v>298</v>
      </c>
      <c r="C72" s="106">
        <v>3</v>
      </c>
      <c r="D72" s="106" t="s">
        <v>127</v>
      </c>
      <c r="E72" s="107" t="s">
        <v>356</v>
      </c>
      <c r="F72" s="107" t="s">
        <v>279</v>
      </c>
      <c r="G72" s="63" t="str">
        <f t="shared" si="390"/>
        <v>[effect:dis_heart, turn:5, animation:enemy_dis_heart]</v>
      </c>
      <c r="H72" s="63">
        <f t="shared" si="391"/>
        <v>9</v>
      </c>
      <c r="I72" s="63">
        <f t="shared" si="392"/>
        <v>18</v>
      </c>
      <c r="J72" s="63" t="e">
        <f t="shared" si="393"/>
        <v>#VALUE!</v>
      </c>
      <c r="K72" s="63">
        <f t="shared" si="394"/>
        <v>26</v>
      </c>
      <c r="L72" s="63" t="str">
        <f>IFERROR(VLOOKUP(MID(G72,J72,K72-J72),[6]skilldef!$C:$D,2,FALSE),"-") &amp; " / " &amp; IFERROR(VLOOKUP(MID(G72,H72,I72-H72),[6]skilldef!$A:$B,2,FALSE),"-")</f>
        <v>- / ディスハート</v>
      </c>
      <c r="M72" s="63" t="str">
        <f t="shared" si="395"/>
        <v>none</v>
      </c>
      <c r="N72" s="48" t="str">
        <f>IFERROR(LEFT(M72,FIND("],",M72)+S85),M72)</f>
        <v>none</v>
      </c>
      <c r="O72" s="63" t="e">
        <f t="shared" si="397"/>
        <v>#VALUE!</v>
      </c>
      <c r="P72" s="63">
        <f t="shared" si="398"/>
        <v>4</v>
      </c>
      <c r="Q72" s="63" t="e">
        <f t="shared" si="399"/>
        <v>#VALUE!</v>
      </c>
      <c r="R72" s="63" t="e">
        <f t="shared" si="400"/>
        <v>#VALUE!</v>
      </c>
      <c r="S72" s="63" t="str">
        <f>IFERROR(VLOOKUP(MID(N72,Q72,R72-Q72),[6]skilldef!$C:$D,2,FALSE),"-") &amp; " / " &amp; IFERROR(VLOOKUP(MID(N72,O72,P72-O72),[6]skilldef!$A:$B,2,FALSE),"-")</f>
        <v>- / -</v>
      </c>
      <c r="T72" s="48" t="str">
        <f t="shared" si="401"/>
        <v>none</v>
      </c>
      <c r="U72" s="63" t="e">
        <f t="shared" si="402"/>
        <v>#VALUE!</v>
      </c>
      <c r="V72" s="63">
        <f t="shared" si="403"/>
        <v>4</v>
      </c>
      <c r="W72" s="63" t="e">
        <f t="shared" si="404"/>
        <v>#VALUE!</v>
      </c>
      <c r="X72" s="63" t="e">
        <f t="shared" si="405"/>
        <v>#VALUE!</v>
      </c>
      <c r="Y72" s="63" t="str">
        <f>IFERROR(VLOOKUP(MID(T72,W72,X72-W72),[6]skilldef!$C:$D,2,FALSE),"-") &amp; " / " &amp; IFERROR(VLOOKUP(MID(T72,U72,V72-U72),[6]skilldef!$A:$B,2,FALSE),"-")</f>
        <v>- / -</v>
      </c>
      <c r="Z72" s="50"/>
      <c r="AA72" s="51"/>
      <c r="AB72" s="50"/>
    </row>
    <row r="73" spans="1:28" ht="21" customHeight="1" x14ac:dyDescent="0.15">
      <c r="A73" s="105">
        <v>40023802</v>
      </c>
      <c r="B73" s="105" t="s">
        <v>281</v>
      </c>
      <c r="C73" s="106">
        <v>3</v>
      </c>
      <c r="D73" s="106" t="s">
        <v>127</v>
      </c>
      <c r="E73" s="107" t="s">
        <v>344</v>
      </c>
      <c r="F73" s="107" t="s">
        <v>282</v>
      </c>
      <c r="G73" s="63" t="str">
        <f t="shared" si="390"/>
        <v>[effect:damage_anti_color, target:unit_all, color:green, val1:0.25, val2:1]</v>
      </c>
      <c r="H73" s="63">
        <f t="shared" si="391"/>
        <v>9</v>
      </c>
      <c r="I73" s="63">
        <f t="shared" si="392"/>
        <v>26</v>
      </c>
      <c r="J73" s="63">
        <f t="shared" si="393"/>
        <v>35</v>
      </c>
      <c r="K73" s="63">
        <f t="shared" si="394"/>
        <v>43</v>
      </c>
      <c r="L73" s="63" t="str">
        <f>IFERROR(VLOOKUP(MID(G73,J73,K73-J73),[6]skilldef!$C:$D,2,FALSE),"-") &amp; " / " &amp; IFERROR(VLOOKUP(MID(G73,H73,I73-H73),[6]skilldef!$A:$B,2,FALSE),"-")</f>
        <v>味方全体に / 属性キラー</v>
      </c>
      <c r="M73" s="63" t="str">
        <f t="shared" si="395"/>
        <v>none</v>
      </c>
      <c r="N73" s="48" t="str">
        <f t="shared" ref="N73:N78" si="406">IFERROR(LEFT(M73,FIND("],",M73)+S87),M73)</f>
        <v>none</v>
      </c>
      <c r="O73" s="63" t="e">
        <f t="shared" si="397"/>
        <v>#VALUE!</v>
      </c>
      <c r="P73" s="63">
        <f t="shared" si="398"/>
        <v>4</v>
      </c>
      <c r="Q73" s="63" t="e">
        <f t="shared" si="399"/>
        <v>#VALUE!</v>
      </c>
      <c r="R73" s="63" t="e">
        <f t="shared" si="400"/>
        <v>#VALUE!</v>
      </c>
      <c r="S73" s="63" t="str">
        <f>IFERROR(VLOOKUP(MID(N73,Q73,R73-Q73),[6]skilldef!$C:$D,2,FALSE),"-") &amp; " / " &amp; IFERROR(VLOOKUP(MID(N73,O73,P73-O73),[6]skilldef!$A:$B,2,FALSE),"-")</f>
        <v>- / -</v>
      </c>
      <c r="T73" s="48" t="str">
        <f t="shared" si="401"/>
        <v>none</v>
      </c>
      <c r="U73" s="63" t="e">
        <f t="shared" si="402"/>
        <v>#VALUE!</v>
      </c>
      <c r="V73" s="63">
        <f t="shared" si="403"/>
        <v>4</v>
      </c>
      <c r="W73" s="63" t="e">
        <f t="shared" si="404"/>
        <v>#VALUE!</v>
      </c>
      <c r="X73" s="63" t="e">
        <f t="shared" si="405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1"/>
      <c r="AB73" s="50"/>
    </row>
    <row r="74" spans="1:28" ht="21" customHeight="1" x14ac:dyDescent="0.15">
      <c r="A74" s="105">
        <v>40023803</v>
      </c>
      <c r="B74" s="105" t="s">
        <v>405</v>
      </c>
      <c r="C74" s="106">
        <v>3</v>
      </c>
      <c r="D74" s="106" t="s">
        <v>127</v>
      </c>
      <c r="E74" s="107" t="s">
        <v>345</v>
      </c>
      <c r="F74" s="107" t="s">
        <v>409</v>
      </c>
      <c r="G74" s="63" t="str">
        <f t="shared" si="390"/>
        <v>[effect:remove_enhancement, target:unit_all, target_effect:enhance, target_type:buff, status:defense, animation:frozen_wave]</v>
      </c>
      <c r="H74" s="63">
        <f t="shared" si="391"/>
        <v>9</v>
      </c>
      <c r="I74" s="63">
        <f t="shared" si="392"/>
        <v>27</v>
      </c>
      <c r="J74" s="63">
        <f t="shared" si="393"/>
        <v>36</v>
      </c>
      <c r="K74" s="63">
        <f t="shared" si="394"/>
        <v>44</v>
      </c>
      <c r="L74" s="63" t="str">
        <f>IFERROR(VLOOKUP(MID(G74,J74,K74-J74),[6]skilldef!$C:$D,2,FALSE),"-") &amp; " / " &amp; IFERROR(VLOOKUP(MID(G74,H74,I74-H74),[6]skilldef!$A:$B,2,FALSE),"-")</f>
        <v>味方全体に / -</v>
      </c>
      <c r="M74" s="63" t="str">
        <f t="shared" si="395"/>
        <v>[effect:rush, count:7, val:0.20]</v>
      </c>
      <c r="N74" s="48" t="str">
        <f t="shared" si="406"/>
        <v>[effect:rush, count:7, val:0.20]</v>
      </c>
      <c r="O74" s="63">
        <f t="shared" si="397"/>
        <v>9</v>
      </c>
      <c r="P74" s="63">
        <f t="shared" si="398"/>
        <v>13</v>
      </c>
      <c r="Q74" s="63" t="e">
        <f t="shared" si="399"/>
        <v>#VALUE!</v>
      </c>
      <c r="R74" s="63">
        <f t="shared" si="400"/>
        <v>22</v>
      </c>
      <c r="S74" s="63" t="str">
        <f>IFERROR(VLOOKUP(MID(N74,Q74,R74-Q74),[6]skilldef!$C:$D,2,FALSE),"-") &amp; " / " &amp; IFERROR(VLOOKUP(MID(N74,O74,P74-O74),[6]skilldef!$A:$B,2,FALSE),"-")</f>
        <v>- / 連続攻撃</v>
      </c>
      <c r="T74" s="48" t="str">
        <f t="shared" si="401"/>
        <v>none</v>
      </c>
      <c r="U74" s="63" t="e">
        <f t="shared" si="402"/>
        <v>#VALUE!</v>
      </c>
      <c r="V74" s="63">
        <f t="shared" si="403"/>
        <v>4</v>
      </c>
      <c r="W74" s="63" t="e">
        <f t="shared" si="404"/>
        <v>#VALUE!</v>
      </c>
      <c r="X74" s="63" t="e">
        <f t="shared" si="405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1"/>
      <c r="AB74" s="50"/>
    </row>
    <row r="75" spans="1:28" ht="21" customHeight="1" x14ac:dyDescent="0.15">
      <c r="A75" s="105">
        <v>40023804</v>
      </c>
      <c r="B75" s="105" t="s">
        <v>451</v>
      </c>
      <c r="C75" s="106">
        <v>3</v>
      </c>
      <c r="D75" s="106" t="s">
        <v>127</v>
      </c>
      <c r="E75" s="107" t="s">
        <v>346</v>
      </c>
      <c r="F75" s="107" t="s">
        <v>448</v>
      </c>
      <c r="G75" s="63" t="str">
        <f t="shared" si="390"/>
        <v>[effect:remove_enhancement, target:unit_all, target_effect:counter_new, animation:frozen_wave]</v>
      </c>
      <c r="H75" s="63">
        <f t="shared" si="391"/>
        <v>9</v>
      </c>
      <c r="I75" s="63">
        <f t="shared" si="392"/>
        <v>27</v>
      </c>
      <c r="J75" s="63">
        <f t="shared" si="393"/>
        <v>36</v>
      </c>
      <c r="K75" s="63">
        <f t="shared" si="394"/>
        <v>44</v>
      </c>
      <c r="L75" s="63" t="str">
        <f>IFERROR(VLOOKUP(MID(G75,J75,K75-J75),[6]skilldef!$C:$D,2,FALSE),"-") &amp; " / " &amp; IFERROR(VLOOKUP(MID(G75,H75,I75-H75),[6]skilldef!$A:$B,2,FALSE),"-")</f>
        <v>味方全体に / -</v>
      </c>
      <c r="M75" s="63" t="str">
        <f t="shared" si="395"/>
        <v>[effect:remove_enhancement, target:unit_all, target_effect:counter],[effect:spread, val:0.3]</v>
      </c>
      <c r="N75" s="48" t="str">
        <f t="shared" si="406"/>
        <v>[effect:remove_enhancement, target:unit_all, target_effect:counter]</v>
      </c>
      <c r="O75" s="63">
        <f t="shared" si="397"/>
        <v>9</v>
      </c>
      <c r="P75" s="63">
        <f t="shared" si="398"/>
        <v>27</v>
      </c>
      <c r="Q75" s="63">
        <f t="shared" si="399"/>
        <v>36</v>
      </c>
      <c r="R75" s="63">
        <f t="shared" si="400"/>
        <v>44</v>
      </c>
      <c r="S75" s="63" t="str">
        <f>IFERROR(VLOOKUP(MID(N75,Q75,R75-Q75),[6]skilldef!$C:$D,2,FALSE),"-") &amp; " / " &amp; IFERROR(VLOOKUP(MID(N75,O75,P75-O75),[6]skilldef!$A:$B,2,FALSE),"-")</f>
        <v>味方全体に / -</v>
      </c>
      <c r="T75" s="48" t="str">
        <f t="shared" si="401"/>
        <v>[effect:spread, val:0.3]</v>
      </c>
      <c r="U75" s="63">
        <f t="shared" si="402"/>
        <v>9</v>
      </c>
      <c r="V75" s="63">
        <f t="shared" si="403"/>
        <v>15</v>
      </c>
      <c r="W75" s="63" t="e">
        <f t="shared" si="404"/>
        <v>#VALUE!</v>
      </c>
      <c r="X75" s="63" t="e">
        <f t="shared" si="405"/>
        <v>#VALUE!</v>
      </c>
      <c r="Y75" s="63" t="str">
        <f>IFERROR(VLOOKUP(MID(T75,W75,X75-W75),[6]skilldef!$C:$D,2,FALSE),"-") &amp; " / " &amp; IFERROR(VLOOKUP(MID(T75,U75,V75-U75),[6]skilldef!$A:$B,2,FALSE),"-")</f>
        <v>- / 全体攻撃</v>
      </c>
      <c r="Z75" s="50"/>
      <c r="AA75" s="51"/>
      <c r="AB75" s="50"/>
    </row>
    <row r="76" spans="1:28" ht="21" customHeight="1" x14ac:dyDescent="0.15">
      <c r="A76" s="105">
        <v>40023805</v>
      </c>
      <c r="B76" s="105" t="s">
        <v>414</v>
      </c>
      <c r="C76" s="106">
        <v>3</v>
      </c>
      <c r="D76" s="106" t="s">
        <v>127</v>
      </c>
      <c r="E76" s="107" t="s">
        <v>386</v>
      </c>
      <c r="F76" s="107" t="s">
        <v>413</v>
      </c>
      <c r="G76" s="63" t="str">
        <f t="shared" si="390"/>
        <v>[effect:tolerance, target:myself, turn:-1, tolerance_effect:all, count:-1, animation:enemy_tolerance]</v>
      </c>
      <c r="H76" s="63">
        <f t="shared" si="391"/>
        <v>9</v>
      </c>
      <c r="I76" s="63">
        <f t="shared" si="392"/>
        <v>18</v>
      </c>
      <c r="J76" s="63">
        <f t="shared" si="393"/>
        <v>27</v>
      </c>
      <c r="K76" s="63">
        <f t="shared" si="394"/>
        <v>33</v>
      </c>
      <c r="L76" s="63" t="str">
        <f>IFERROR(VLOOKUP(MID(G76,J76,K76-J76),[6]skilldef!$C:$D,2,FALSE),"-") &amp; " / " &amp; IFERROR(VLOOKUP(MID(G76,H76,I76-H76),[6]skilldef!$A:$B,2,FALSE),"-")</f>
        <v>自分自身に / 状態異常耐性</v>
      </c>
      <c r="M76" s="63" t="str">
        <f t="shared" si="395"/>
        <v>[effect:fix_speed, target:myself, turn:1]</v>
      </c>
      <c r="N76" s="48" t="str">
        <f t="shared" si="406"/>
        <v>[effect:fix_speed, target:myself, turn:1]</v>
      </c>
      <c r="O76" s="63">
        <f t="shared" si="397"/>
        <v>9</v>
      </c>
      <c r="P76" s="63">
        <f t="shared" si="398"/>
        <v>18</v>
      </c>
      <c r="Q76" s="63">
        <f t="shared" si="399"/>
        <v>27</v>
      </c>
      <c r="R76" s="63">
        <f t="shared" si="400"/>
        <v>33</v>
      </c>
      <c r="S76" s="63" t="str">
        <f>IFERROR(VLOOKUP(MID(N76,Q76,R76-Q76),[6]skilldef!$C:$D,2,FALSE),"-") &amp; " / " &amp; IFERROR(VLOOKUP(MID(N76,O76,P76-O76),[6]skilldef!$A:$B,2,FALSE),"-")</f>
        <v>自分自身に / 行動値設定</v>
      </c>
      <c r="T76" s="48" t="str">
        <f t="shared" si="401"/>
        <v>none</v>
      </c>
      <c r="U76" s="63" t="e">
        <f t="shared" si="402"/>
        <v>#VALUE!</v>
      </c>
      <c r="V76" s="63">
        <f t="shared" si="403"/>
        <v>4</v>
      </c>
      <c r="W76" s="63" t="e">
        <f t="shared" si="404"/>
        <v>#VALUE!</v>
      </c>
      <c r="X76" s="63" t="e">
        <f t="shared" si="405"/>
        <v>#VALUE!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1"/>
      <c r="AB76" s="50"/>
    </row>
    <row r="77" spans="1:28" ht="21" customHeight="1" x14ac:dyDescent="0.15">
      <c r="A77" s="105">
        <v>40023806</v>
      </c>
      <c r="B77" s="105" t="s">
        <v>414</v>
      </c>
      <c r="C77" s="106">
        <v>3</v>
      </c>
      <c r="D77" s="106" t="s">
        <v>127</v>
      </c>
      <c r="E77" s="107" t="s">
        <v>386</v>
      </c>
      <c r="F77" s="107" t="s">
        <v>413</v>
      </c>
      <c r="G77" s="63" t="str">
        <f t="shared" si="390"/>
        <v>[effect:tolerance, target:myself, turn:-1, tolerance_effect:all, count:-1, animation:enemy_tolerance]</v>
      </c>
      <c r="H77" s="63">
        <f t="shared" si="391"/>
        <v>9</v>
      </c>
      <c r="I77" s="63">
        <f t="shared" si="392"/>
        <v>18</v>
      </c>
      <c r="J77" s="63">
        <f t="shared" si="393"/>
        <v>27</v>
      </c>
      <c r="K77" s="63">
        <f t="shared" si="394"/>
        <v>33</v>
      </c>
      <c r="L77" s="63" t="str">
        <f>IFERROR(VLOOKUP(MID(G77,J77,K77-J77),[6]skilldef!$C:$D,2,FALSE),"-") &amp; " / " &amp; IFERROR(VLOOKUP(MID(G77,H77,I77-H77),[6]skilldef!$A:$B,2,FALSE),"-")</f>
        <v>自分自身に / 状態異常耐性</v>
      </c>
      <c r="M77" s="63" t="str">
        <f t="shared" si="395"/>
        <v>[effect:fix_speed, target:myself, turn:1]</v>
      </c>
      <c r="N77" s="48" t="str">
        <f t="shared" si="406"/>
        <v>[effect:fix_speed, target:myself, turn:1]</v>
      </c>
      <c r="O77" s="63">
        <f t="shared" si="397"/>
        <v>9</v>
      </c>
      <c r="P77" s="63">
        <f t="shared" si="398"/>
        <v>18</v>
      </c>
      <c r="Q77" s="63">
        <f t="shared" si="399"/>
        <v>27</v>
      </c>
      <c r="R77" s="63">
        <f t="shared" si="400"/>
        <v>33</v>
      </c>
      <c r="S77" s="63" t="str">
        <f>IFERROR(VLOOKUP(MID(N77,Q77,R77-Q77),[6]skilldef!$C:$D,2,FALSE),"-") &amp; " / " &amp; IFERROR(VLOOKUP(MID(N77,O77,P77-O77),[6]skilldef!$A:$B,2,FALSE),"-")</f>
        <v>自分自身に / 行動値設定</v>
      </c>
      <c r="T77" s="48" t="str">
        <f t="shared" si="401"/>
        <v>none</v>
      </c>
      <c r="U77" s="63" t="e">
        <f t="shared" si="402"/>
        <v>#VALUE!</v>
      </c>
      <c r="V77" s="63">
        <f t="shared" si="403"/>
        <v>4</v>
      </c>
      <c r="W77" s="63" t="e">
        <f t="shared" si="404"/>
        <v>#VALUE!</v>
      </c>
      <c r="X77" s="63" t="e">
        <f t="shared" si="405"/>
        <v>#VALUE!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1"/>
      <c r="AB77" s="50"/>
    </row>
    <row r="78" spans="1:28" ht="21" customHeight="1" x14ac:dyDescent="0.15">
      <c r="A78" s="105">
        <v>40023807</v>
      </c>
      <c r="B78" s="105" t="s">
        <v>414</v>
      </c>
      <c r="C78" s="106">
        <v>3</v>
      </c>
      <c r="D78" s="106" t="s">
        <v>127</v>
      </c>
      <c r="E78" s="107" t="s">
        <v>386</v>
      </c>
      <c r="F78" s="107" t="s">
        <v>413</v>
      </c>
      <c r="G78" s="63" t="str">
        <f t="shared" si="390"/>
        <v>[effect:tolerance, target:myself, turn:-1, tolerance_effect:all, count:-1, animation:enemy_tolerance]</v>
      </c>
      <c r="H78" s="63">
        <f t="shared" si="391"/>
        <v>9</v>
      </c>
      <c r="I78" s="63">
        <f t="shared" si="392"/>
        <v>18</v>
      </c>
      <c r="J78" s="63">
        <f t="shared" si="393"/>
        <v>27</v>
      </c>
      <c r="K78" s="63">
        <f t="shared" si="394"/>
        <v>33</v>
      </c>
      <c r="L78" s="63" t="str">
        <f>IFERROR(VLOOKUP(MID(G78,J78,K78-J78),[6]skilldef!$C:$D,2,FALSE),"-") &amp; " / " &amp; IFERROR(VLOOKUP(MID(G78,H78,I78-H78),[6]skilldef!$A:$B,2,FALSE),"-")</f>
        <v>自分自身に / 状態異常耐性</v>
      </c>
      <c r="M78" s="63" t="str">
        <f t="shared" si="395"/>
        <v>[effect:fix_speed, target:myself, turn:1]</v>
      </c>
      <c r="N78" s="48" t="str">
        <f t="shared" si="406"/>
        <v>[effect:fix_speed, target:myself, turn:1]</v>
      </c>
      <c r="O78" s="63">
        <f t="shared" si="397"/>
        <v>9</v>
      </c>
      <c r="P78" s="63">
        <f t="shared" si="398"/>
        <v>18</v>
      </c>
      <c r="Q78" s="63">
        <f t="shared" si="399"/>
        <v>27</v>
      </c>
      <c r="R78" s="63">
        <f t="shared" si="400"/>
        <v>33</v>
      </c>
      <c r="S78" s="63" t="str">
        <f>IFERROR(VLOOKUP(MID(N78,Q78,R78-Q78),[6]skilldef!$C:$D,2,FALSE),"-") &amp; " / " &amp; IFERROR(VLOOKUP(MID(N78,O78,P78-O78),[6]skilldef!$A:$B,2,FALSE),"-")</f>
        <v>自分自身に / 行動値設定</v>
      </c>
      <c r="T78" s="48" t="str">
        <f t="shared" si="401"/>
        <v>none</v>
      </c>
      <c r="U78" s="63" t="e">
        <f t="shared" si="402"/>
        <v>#VALUE!</v>
      </c>
      <c r="V78" s="63">
        <f t="shared" si="403"/>
        <v>4</v>
      </c>
      <c r="W78" s="63" t="e">
        <f t="shared" si="404"/>
        <v>#VALUE!</v>
      </c>
      <c r="X78" s="63" t="e">
        <f t="shared" si="405"/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1"/>
      <c r="AB7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8"/>
  <sheetViews>
    <sheetView showGridLines="0" zoomScale="75" zoomScaleNormal="75" zoomScalePageLayoutView="75" workbookViewId="0">
      <pane ySplit="1" topLeftCell="A44" activePane="bottomLeft" state="frozenSplit"/>
      <selection pane="bottomLeft" activeCell="A71" sqref="A71:A7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05">
        <v>40023000</v>
      </c>
      <c r="B2" s="48">
        <v>0</v>
      </c>
      <c r="C2" s="48">
        <v>10</v>
      </c>
      <c r="D2" s="48">
        <v>100</v>
      </c>
      <c r="E2" s="48" t="s">
        <v>89</v>
      </c>
      <c r="F2" s="48" t="s">
        <v>89</v>
      </c>
      <c r="G2" s="48" t="s">
        <v>290</v>
      </c>
      <c r="H2" s="48">
        <v>1</v>
      </c>
      <c r="I2" s="48" t="s">
        <v>291</v>
      </c>
      <c r="J2" s="48">
        <f t="shared" ref="J2:J68" si="0">D2</f>
        <v>100</v>
      </c>
    </row>
    <row r="3" spans="1:11" ht="21" customHeight="1" x14ac:dyDescent="0.15">
      <c r="A3" s="105">
        <v>40023001</v>
      </c>
      <c r="B3" s="48">
        <v>0</v>
      </c>
      <c r="C3" s="48">
        <v>20</v>
      </c>
      <c r="D3" s="48">
        <v>100</v>
      </c>
      <c r="E3" s="48" t="s">
        <v>291</v>
      </c>
      <c r="F3" s="48" t="s">
        <v>89</v>
      </c>
      <c r="G3" s="48" t="s">
        <v>290</v>
      </c>
      <c r="H3" s="48">
        <v>2</v>
      </c>
      <c r="I3" s="48" t="s">
        <v>292</v>
      </c>
      <c r="J3" s="48">
        <f t="shared" si="0"/>
        <v>100</v>
      </c>
    </row>
    <row r="4" spans="1:11" ht="21" customHeight="1" x14ac:dyDescent="0.15">
      <c r="A4" s="105">
        <v>40023002</v>
      </c>
      <c r="B4" s="48">
        <v>0</v>
      </c>
      <c r="C4" s="48">
        <v>25</v>
      </c>
      <c r="D4" s="48">
        <v>100</v>
      </c>
      <c r="E4" s="48" t="s">
        <v>291</v>
      </c>
      <c r="F4" s="48" t="s">
        <v>89</v>
      </c>
      <c r="G4" s="48">
        <v>1</v>
      </c>
      <c r="H4" s="48">
        <v>5</v>
      </c>
      <c r="I4" s="48" t="s">
        <v>89</v>
      </c>
      <c r="J4" s="48">
        <f t="shared" si="0"/>
        <v>100</v>
      </c>
    </row>
    <row r="5" spans="1:11" ht="21" customHeight="1" x14ac:dyDescent="0.15">
      <c r="A5" s="105">
        <v>40023003</v>
      </c>
      <c r="B5" s="48">
        <v>0</v>
      </c>
      <c r="C5" s="48">
        <v>22</v>
      </c>
      <c r="D5" s="48">
        <v>100</v>
      </c>
      <c r="E5" s="48">
        <v>60</v>
      </c>
      <c r="F5" s="48" t="s">
        <v>291</v>
      </c>
      <c r="G5" s="48">
        <v>1</v>
      </c>
      <c r="H5" s="48">
        <v>1</v>
      </c>
      <c r="I5" s="48" t="s">
        <v>291</v>
      </c>
      <c r="J5" s="48">
        <f t="shared" si="0"/>
        <v>100</v>
      </c>
    </row>
    <row r="6" spans="1:11" ht="21" customHeight="1" x14ac:dyDescent="0.15">
      <c r="A6" s="105">
        <v>40023004</v>
      </c>
      <c r="B6" s="48">
        <v>0</v>
      </c>
      <c r="C6" s="48">
        <v>21</v>
      </c>
      <c r="D6" s="48">
        <v>100</v>
      </c>
      <c r="E6" s="48">
        <v>60</v>
      </c>
      <c r="F6" s="48" t="s">
        <v>291</v>
      </c>
      <c r="G6" s="48">
        <v>1</v>
      </c>
      <c r="H6" s="48">
        <v>1</v>
      </c>
      <c r="I6" s="48" t="s">
        <v>291</v>
      </c>
      <c r="J6" s="48">
        <f t="shared" si="0"/>
        <v>100</v>
      </c>
    </row>
    <row r="7" spans="1:11" ht="21" customHeight="1" x14ac:dyDescent="0.15">
      <c r="A7" s="105">
        <v>40023005</v>
      </c>
      <c r="B7" s="48">
        <v>1</v>
      </c>
      <c r="C7" s="48">
        <v>30</v>
      </c>
      <c r="D7" s="48">
        <v>100</v>
      </c>
      <c r="E7" s="48" t="s">
        <v>312</v>
      </c>
      <c r="F7" s="48" t="s">
        <v>291</v>
      </c>
      <c r="G7" s="48">
        <v>1</v>
      </c>
      <c r="H7" s="48" t="s">
        <v>314</v>
      </c>
      <c r="I7" s="48" t="s">
        <v>291</v>
      </c>
      <c r="J7" s="48">
        <f t="shared" ref="J7" si="1">D7</f>
        <v>100</v>
      </c>
    </row>
    <row r="8" spans="1:11" ht="21" customHeight="1" x14ac:dyDescent="0.15">
      <c r="A8" s="105">
        <v>40023006</v>
      </c>
      <c r="B8" s="48">
        <v>1</v>
      </c>
      <c r="C8" s="48">
        <v>40</v>
      </c>
      <c r="D8" s="48">
        <v>100</v>
      </c>
      <c r="E8" s="48" t="s">
        <v>53</v>
      </c>
      <c r="F8" s="48" t="s">
        <v>291</v>
      </c>
      <c r="G8" s="48">
        <v>1</v>
      </c>
      <c r="H8" s="48" t="s">
        <v>53</v>
      </c>
      <c r="I8" s="48">
        <v>1028</v>
      </c>
      <c r="J8" s="48">
        <f t="shared" ref="J8" si="2">D8</f>
        <v>100</v>
      </c>
    </row>
    <row r="9" spans="1:11" ht="21" customHeight="1" x14ac:dyDescent="0.15">
      <c r="A9" s="105">
        <v>40023007</v>
      </c>
      <c r="B9" s="48">
        <v>1</v>
      </c>
      <c r="C9" s="48">
        <v>40</v>
      </c>
      <c r="D9" s="48">
        <v>100</v>
      </c>
      <c r="E9" s="48" t="s">
        <v>53</v>
      </c>
      <c r="F9" s="48" t="s">
        <v>291</v>
      </c>
      <c r="G9" s="48">
        <v>1</v>
      </c>
      <c r="H9" s="48" t="s">
        <v>53</v>
      </c>
      <c r="I9" s="48">
        <v>1029</v>
      </c>
      <c r="J9" s="48">
        <f t="shared" ref="J9" si="3">D9</f>
        <v>100</v>
      </c>
    </row>
    <row r="10" spans="1:11" ht="21" customHeight="1" x14ac:dyDescent="0.15">
      <c r="A10" s="105">
        <v>40023008</v>
      </c>
      <c r="B10" s="48">
        <v>1</v>
      </c>
      <c r="C10" s="48">
        <v>40</v>
      </c>
      <c r="D10" s="48">
        <v>100</v>
      </c>
      <c r="E10" s="48" t="s">
        <v>53</v>
      </c>
      <c r="F10" s="48" t="s">
        <v>291</v>
      </c>
      <c r="G10" s="48">
        <v>1</v>
      </c>
      <c r="H10" s="48" t="s">
        <v>53</v>
      </c>
      <c r="I10" s="48">
        <v>1030</v>
      </c>
      <c r="J10" s="48">
        <f t="shared" ref="J10" si="4">D10</f>
        <v>100</v>
      </c>
    </row>
    <row r="11" spans="1:11" ht="21" customHeight="1" x14ac:dyDescent="0.15">
      <c r="A11" s="105">
        <v>40023009</v>
      </c>
      <c r="B11" s="48">
        <v>0</v>
      </c>
      <c r="C11" s="48">
        <v>40</v>
      </c>
      <c r="D11" s="48">
        <v>100</v>
      </c>
      <c r="E11" s="48" t="s">
        <v>53</v>
      </c>
      <c r="F11" s="48" t="s">
        <v>291</v>
      </c>
      <c r="G11" s="48">
        <v>0</v>
      </c>
      <c r="H11" s="48" t="s">
        <v>53</v>
      </c>
      <c r="I11" s="48">
        <v>1028</v>
      </c>
      <c r="J11" s="48">
        <f t="shared" ref="J11" si="5">D11</f>
        <v>100</v>
      </c>
    </row>
    <row r="12" spans="1:11" ht="21" customHeight="1" x14ac:dyDescent="0.15">
      <c r="A12" s="105">
        <v>40023010</v>
      </c>
      <c r="B12" s="48">
        <v>0</v>
      </c>
      <c r="C12" s="48">
        <v>40</v>
      </c>
      <c r="D12" s="48">
        <v>100</v>
      </c>
      <c r="E12" s="48" t="s">
        <v>53</v>
      </c>
      <c r="F12" s="48" t="s">
        <v>291</v>
      </c>
      <c r="G12" s="48">
        <v>0</v>
      </c>
      <c r="H12" s="48" t="s">
        <v>53</v>
      </c>
      <c r="I12" s="48">
        <v>1029</v>
      </c>
      <c r="J12" s="48">
        <f t="shared" ref="J12" si="6">D12</f>
        <v>100</v>
      </c>
    </row>
    <row r="13" spans="1:11" ht="21" customHeight="1" x14ac:dyDescent="0.15">
      <c r="A13" s="105">
        <v>40023011</v>
      </c>
      <c r="B13" s="48">
        <v>0</v>
      </c>
      <c r="C13" s="48">
        <v>40</v>
      </c>
      <c r="D13" s="48">
        <v>100</v>
      </c>
      <c r="E13" s="48" t="s">
        <v>53</v>
      </c>
      <c r="F13" s="48" t="s">
        <v>291</v>
      </c>
      <c r="G13" s="48">
        <v>0</v>
      </c>
      <c r="H13" s="48" t="s">
        <v>53</v>
      </c>
      <c r="I13" s="48">
        <v>1030</v>
      </c>
      <c r="J13" s="48">
        <f t="shared" ref="J13" si="7">D13</f>
        <v>100</v>
      </c>
    </row>
    <row r="14" spans="1:11" ht="21" customHeight="1" x14ac:dyDescent="0.15">
      <c r="A14" s="108">
        <v>40023100</v>
      </c>
      <c r="B14" s="48">
        <v>0</v>
      </c>
      <c r="C14" s="48">
        <v>10</v>
      </c>
      <c r="D14" s="48">
        <v>100</v>
      </c>
      <c r="E14" s="48" t="s">
        <v>291</v>
      </c>
      <c r="F14" s="48" t="s">
        <v>89</v>
      </c>
      <c r="G14" s="48" t="s">
        <v>290</v>
      </c>
      <c r="H14" s="48">
        <v>1</v>
      </c>
      <c r="I14" s="48" t="s">
        <v>292</v>
      </c>
      <c r="J14" s="48">
        <f t="shared" si="0"/>
        <v>100</v>
      </c>
    </row>
    <row r="15" spans="1:11" ht="21" customHeight="1" x14ac:dyDescent="0.15">
      <c r="A15" s="108">
        <v>40023101</v>
      </c>
      <c r="B15" s="48">
        <v>0</v>
      </c>
      <c r="C15" s="48">
        <v>15</v>
      </c>
      <c r="D15" s="48">
        <v>100</v>
      </c>
      <c r="E15" s="48">
        <v>70</v>
      </c>
      <c r="F15" s="48" t="s">
        <v>291</v>
      </c>
      <c r="G15" s="48">
        <v>1</v>
      </c>
      <c r="H15" s="48">
        <v>1</v>
      </c>
      <c r="I15" s="48" t="s">
        <v>291</v>
      </c>
      <c r="J15" s="48">
        <f t="shared" si="0"/>
        <v>100</v>
      </c>
    </row>
    <row r="16" spans="1:11" ht="21" customHeight="1" x14ac:dyDescent="0.15">
      <c r="A16" s="108">
        <v>40023102</v>
      </c>
      <c r="B16" s="48">
        <v>0</v>
      </c>
      <c r="C16" s="48">
        <v>20</v>
      </c>
      <c r="D16" s="48">
        <v>100</v>
      </c>
      <c r="E16" s="48" t="s">
        <v>294</v>
      </c>
      <c r="F16" s="48" t="s">
        <v>295</v>
      </c>
      <c r="G16" s="48">
        <v>1</v>
      </c>
      <c r="H16" s="48" t="s">
        <v>293</v>
      </c>
      <c r="I16" s="48">
        <v>61</v>
      </c>
      <c r="J16" s="48">
        <f t="shared" si="0"/>
        <v>100</v>
      </c>
    </row>
    <row r="17" spans="1:10" ht="21" customHeight="1" x14ac:dyDescent="0.15">
      <c r="A17" s="108">
        <v>40023103</v>
      </c>
      <c r="B17" s="48">
        <v>1</v>
      </c>
      <c r="C17" s="48">
        <v>30</v>
      </c>
      <c r="D17" s="48">
        <v>100</v>
      </c>
      <c r="E17" s="48" t="s">
        <v>312</v>
      </c>
      <c r="F17" s="48" t="s">
        <v>291</v>
      </c>
      <c r="G17" s="48">
        <v>1</v>
      </c>
      <c r="H17" s="48" t="s">
        <v>314</v>
      </c>
      <c r="I17" s="48" t="s">
        <v>291</v>
      </c>
      <c r="J17" s="48">
        <f t="shared" ref="J17" si="8">D17</f>
        <v>100</v>
      </c>
    </row>
    <row r="18" spans="1:10" ht="21" customHeight="1" x14ac:dyDescent="0.15">
      <c r="A18" s="108">
        <v>40023200</v>
      </c>
      <c r="B18" s="48">
        <v>0</v>
      </c>
      <c r="C18" s="48">
        <v>20</v>
      </c>
      <c r="D18" s="48">
        <v>100</v>
      </c>
      <c r="E18" s="48" t="s">
        <v>291</v>
      </c>
      <c r="F18" s="48" t="s">
        <v>89</v>
      </c>
      <c r="G18" s="48" t="s">
        <v>290</v>
      </c>
      <c r="H18" s="48">
        <v>2</v>
      </c>
      <c r="I18" s="48" t="s">
        <v>292</v>
      </c>
      <c r="J18" s="48">
        <f t="shared" si="0"/>
        <v>100</v>
      </c>
    </row>
    <row r="19" spans="1:10" ht="21" customHeight="1" x14ac:dyDescent="0.15">
      <c r="A19" s="108">
        <v>40023201</v>
      </c>
      <c r="B19" s="48">
        <v>0</v>
      </c>
      <c r="C19" s="48">
        <v>10</v>
      </c>
      <c r="D19" s="48">
        <v>25</v>
      </c>
      <c r="E19" s="48" t="s">
        <v>291</v>
      </c>
      <c r="F19" s="48" t="s">
        <v>89</v>
      </c>
      <c r="G19" s="48" t="s">
        <v>290</v>
      </c>
      <c r="H19" s="48">
        <v>1</v>
      </c>
      <c r="I19" s="48" t="s">
        <v>292</v>
      </c>
      <c r="J19" s="48">
        <f t="shared" si="0"/>
        <v>25</v>
      </c>
    </row>
    <row r="20" spans="1:10" ht="21" customHeight="1" x14ac:dyDescent="0.15">
      <c r="A20" s="108">
        <v>40023202</v>
      </c>
      <c r="B20" s="48">
        <v>0</v>
      </c>
      <c r="C20" s="48">
        <v>10</v>
      </c>
      <c r="D20" s="48">
        <v>33</v>
      </c>
      <c r="E20" s="48" t="s">
        <v>291</v>
      </c>
      <c r="F20" s="48" t="s">
        <v>89</v>
      </c>
      <c r="G20" s="48" t="s">
        <v>290</v>
      </c>
      <c r="H20" s="48">
        <v>1</v>
      </c>
      <c r="I20" s="48" t="s">
        <v>292</v>
      </c>
      <c r="J20" s="48">
        <f t="shared" si="0"/>
        <v>33</v>
      </c>
    </row>
    <row r="21" spans="1:10" ht="21" customHeight="1" x14ac:dyDescent="0.15">
      <c r="A21" s="108">
        <v>40023203</v>
      </c>
      <c r="B21" s="48">
        <v>0</v>
      </c>
      <c r="C21" s="48">
        <v>10</v>
      </c>
      <c r="D21" s="48">
        <v>50</v>
      </c>
      <c r="E21" s="48" t="s">
        <v>291</v>
      </c>
      <c r="F21" s="48" t="s">
        <v>89</v>
      </c>
      <c r="G21" s="48" t="s">
        <v>290</v>
      </c>
      <c r="H21" s="48">
        <v>1</v>
      </c>
      <c r="I21" s="48" t="s">
        <v>292</v>
      </c>
      <c r="J21" s="48">
        <f t="shared" ref="J21" si="9">D21</f>
        <v>50</v>
      </c>
    </row>
    <row r="22" spans="1:10" ht="21" customHeight="1" x14ac:dyDescent="0.15">
      <c r="A22" s="108">
        <v>40023204</v>
      </c>
      <c r="B22" s="48">
        <v>0</v>
      </c>
      <c r="C22" s="48">
        <v>10</v>
      </c>
      <c r="D22" s="48">
        <v>100</v>
      </c>
      <c r="E22" s="48" t="s">
        <v>291</v>
      </c>
      <c r="F22" s="48" t="s">
        <v>89</v>
      </c>
      <c r="G22" s="48" t="s">
        <v>290</v>
      </c>
      <c r="H22" s="48">
        <v>1</v>
      </c>
      <c r="I22" s="48" t="s">
        <v>292</v>
      </c>
      <c r="J22" s="48">
        <f t="shared" si="0"/>
        <v>100</v>
      </c>
    </row>
    <row r="23" spans="1:10" ht="21" customHeight="1" x14ac:dyDescent="0.15">
      <c r="A23" s="108">
        <v>40023205</v>
      </c>
      <c r="B23" s="48">
        <v>0</v>
      </c>
      <c r="C23" s="48">
        <v>50</v>
      </c>
      <c r="D23" s="48">
        <v>100</v>
      </c>
      <c r="E23" s="48" t="s">
        <v>291</v>
      </c>
      <c r="F23" s="48" t="s">
        <v>53</v>
      </c>
      <c r="G23" s="48">
        <v>1</v>
      </c>
      <c r="H23" s="48" t="s">
        <v>53</v>
      </c>
      <c r="I23" s="48">
        <v>482</v>
      </c>
      <c r="J23" s="48">
        <f t="shared" si="0"/>
        <v>100</v>
      </c>
    </row>
    <row r="24" spans="1:10" ht="21" customHeight="1" x14ac:dyDescent="0.15">
      <c r="A24" s="108">
        <v>40023206</v>
      </c>
      <c r="B24" s="48">
        <v>1</v>
      </c>
      <c r="C24" s="48">
        <v>30</v>
      </c>
      <c r="D24" s="48">
        <v>100</v>
      </c>
      <c r="E24" s="48" t="s">
        <v>312</v>
      </c>
      <c r="F24" s="48" t="s">
        <v>291</v>
      </c>
      <c r="G24" s="48">
        <v>1</v>
      </c>
      <c r="H24" s="48" t="s">
        <v>314</v>
      </c>
      <c r="I24" s="48" t="s">
        <v>291</v>
      </c>
      <c r="J24" s="48">
        <f t="shared" si="0"/>
        <v>100</v>
      </c>
    </row>
    <row r="25" spans="1:10" ht="21" customHeight="1" x14ac:dyDescent="0.15">
      <c r="A25" s="111">
        <v>40023400</v>
      </c>
      <c r="B25" s="48">
        <v>0</v>
      </c>
      <c r="C25" s="48">
        <v>15</v>
      </c>
      <c r="D25" s="48">
        <v>60</v>
      </c>
      <c r="E25" s="48" t="s">
        <v>89</v>
      </c>
      <c r="F25" s="48" t="s">
        <v>291</v>
      </c>
      <c r="G25" s="48">
        <v>1</v>
      </c>
      <c r="H25" s="48">
        <v>1</v>
      </c>
      <c r="I25" s="48" t="s">
        <v>291</v>
      </c>
      <c r="J25" s="48">
        <f t="shared" si="0"/>
        <v>60</v>
      </c>
    </row>
    <row r="26" spans="1:10" ht="21" customHeight="1" x14ac:dyDescent="0.15">
      <c r="A26" s="111">
        <v>40023401</v>
      </c>
      <c r="B26" s="48">
        <v>0</v>
      </c>
      <c r="C26" s="48">
        <v>15</v>
      </c>
      <c r="D26" s="48">
        <v>60</v>
      </c>
      <c r="E26" s="48" t="s">
        <v>89</v>
      </c>
      <c r="F26" s="48" t="s">
        <v>291</v>
      </c>
      <c r="G26" s="48">
        <v>1</v>
      </c>
      <c r="H26" s="48">
        <v>1</v>
      </c>
      <c r="I26" s="48" t="s">
        <v>291</v>
      </c>
      <c r="J26" s="48">
        <f t="shared" si="0"/>
        <v>60</v>
      </c>
    </row>
    <row r="27" spans="1:10" ht="21" customHeight="1" x14ac:dyDescent="0.15">
      <c r="A27" s="111">
        <v>40023402</v>
      </c>
      <c r="B27" s="48">
        <v>0</v>
      </c>
      <c r="C27" s="48">
        <v>15</v>
      </c>
      <c r="D27" s="48">
        <v>60</v>
      </c>
      <c r="E27" s="48" t="s">
        <v>89</v>
      </c>
      <c r="F27" s="48" t="s">
        <v>291</v>
      </c>
      <c r="G27" s="48">
        <v>1</v>
      </c>
      <c r="H27" s="48">
        <v>1</v>
      </c>
      <c r="I27" s="48" t="s">
        <v>291</v>
      </c>
      <c r="J27" s="48">
        <f t="shared" si="0"/>
        <v>60</v>
      </c>
    </row>
    <row r="28" spans="1:10" ht="21" customHeight="1" x14ac:dyDescent="0.15">
      <c r="A28" s="111">
        <v>40023403</v>
      </c>
      <c r="B28" s="48">
        <v>0</v>
      </c>
      <c r="C28" s="48">
        <v>10</v>
      </c>
      <c r="D28" s="48">
        <v>100</v>
      </c>
      <c r="E28" s="48" t="s">
        <v>291</v>
      </c>
      <c r="F28" s="48" t="s">
        <v>89</v>
      </c>
      <c r="G28" s="48" t="s">
        <v>290</v>
      </c>
      <c r="H28" s="48">
        <v>1</v>
      </c>
      <c r="I28" s="48" t="s">
        <v>292</v>
      </c>
      <c r="J28" s="48">
        <f t="shared" si="0"/>
        <v>100</v>
      </c>
    </row>
    <row r="29" spans="1:10" ht="21" customHeight="1" x14ac:dyDescent="0.15">
      <c r="A29" s="111">
        <v>40023404</v>
      </c>
      <c r="B29" s="48">
        <v>0</v>
      </c>
      <c r="C29" s="48">
        <v>20</v>
      </c>
      <c r="D29" s="48">
        <v>100</v>
      </c>
      <c r="E29" s="48">
        <v>50</v>
      </c>
      <c r="F29" s="48" t="s">
        <v>291</v>
      </c>
      <c r="G29" s="48">
        <v>1</v>
      </c>
      <c r="H29" s="48">
        <v>1</v>
      </c>
      <c r="I29" s="48" t="s">
        <v>291</v>
      </c>
      <c r="J29" s="48">
        <f t="shared" si="0"/>
        <v>100</v>
      </c>
    </row>
    <row r="30" spans="1:10" ht="21" customHeight="1" x14ac:dyDescent="0.15">
      <c r="A30" s="111">
        <v>40023405</v>
      </c>
      <c r="B30" s="48">
        <v>0</v>
      </c>
      <c r="C30" s="48">
        <v>19</v>
      </c>
      <c r="D30" s="48">
        <v>100</v>
      </c>
      <c r="E30" s="48">
        <v>30</v>
      </c>
      <c r="F30" s="48" t="s">
        <v>291</v>
      </c>
      <c r="G30" s="48">
        <v>1</v>
      </c>
      <c r="H30" s="48">
        <v>1</v>
      </c>
      <c r="I30" s="48" t="s">
        <v>291</v>
      </c>
      <c r="J30" s="48">
        <f t="shared" si="0"/>
        <v>100</v>
      </c>
    </row>
    <row r="31" spans="1:10" ht="21" customHeight="1" x14ac:dyDescent="0.15">
      <c r="A31" s="111">
        <v>40023406</v>
      </c>
      <c r="B31" s="48">
        <v>1</v>
      </c>
      <c r="C31" s="48">
        <v>20</v>
      </c>
      <c r="D31" s="48">
        <v>100</v>
      </c>
      <c r="E31" s="48" t="s">
        <v>312</v>
      </c>
      <c r="F31" s="48" t="s">
        <v>291</v>
      </c>
      <c r="G31" s="48">
        <v>1</v>
      </c>
      <c r="H31" s="48" t="s">
        <v>314</v>
      </c>
      <c r="I31" s="48" t="s">
        <v>291</v>
      </c>
      <c r="J31" s="48">
        <f t="shared" si="0"/>
        <v>100</v>
      </c>
    </row>
    <row r="32" spans="1:10" ht="21" customHeight="1" x14ac:dyDescent="0.15">
      <c r="A32" s="111">
        <v>40023407</v>
      </c>
      <c r="B32" s="48">
        <v>1</v>
      </c>
      <c r="C32" s="48">
        <v>30</v>
      </c>
      <c r="D32" s="48">
        <v>100</v>
      </c>
      <c r="E32" s="48" t="s">
        <v>53</v>
      </c>
      <c r="F32" s="48" t="s">
        <v>291</v>
      </c>
      <c r="G32" s="48">
        <v>1</v>
      </c>
      <c r="H32" s="48" t="s">
        <v>53</v>
      </c>
      <c r="I32" s="48">
        <v>1028</v>
      </c>
      <c r="J32" s="48">
        <f t="shared" ref="J32:J33" si="10">D32</f>
        <v>100</v>
      </c>
    </row>
    <row r="33" spans="1:10" ht="21" customHeight="1" x14ac:dyDescent="0.15">
      <c r="A33" s="111">
        <v>40023408</v>
      </c>
      <c r="B33" s="48">
        <v>1</v>
      </c>
      <c r="C33" s="48">
        <v>30</v>
      </c>
      <c r="D33" s="48">
        <v>100</v>
      </c>
      <c r="E33" s="48" t="s">
        <v>53</v>
      </c>
      <c r="F33" s="48" t="s">
        <v>291</v>
      </c>
      <c r="G33" s="48">
        <v>1</v>
      </c>
      <c r="H33" s="48" t="s">
        <v>53</v>
      </c>
      <c r="I33" s="48">
        <v>1029</v>
      </c>
      <c r="J33" s="48">
        <f t="shared" si="10"/>
        <v>100</v>
      </c>
    </row>
    <row r="34" spans="1:10" ht="21" customHeight="1" x14ac:dyDescent="0.15">
      <c r="A34" s="111">
        <v>40023409</v>
      </c>
      <c r="B34" s="48">
        <v>1</v>
      </c>
      <c r="C34" s="48">
        <v>30</v>
      </c>
      <c r="D34" s="48">
        <v>100</v>
      </c>
      <c r="E34" s="48" t="s">
        <v>53</v>
      </c>
      <c r="F34" s="48" t="s">
        <v>291</v>
      </c>
      <c r="G34" s="48">
        <v>1</v>
      </c>
      <c r="H34" s="48" t="s">
        <v>53</v>
      </c>
      <c r="I34" s="48">
        <v>1030</v>
      </c>
      <c r="J34" s="48">
        <f t="shared" ref="J34" si="11">D34</f>
        <v>100</v>
      </c>
    </row>
    <row r="35" spans="1:10" ht="21" customHeight="1" x14ac:dyDescent="0.15">
      <c r="A35" s="111">
        <v>40023410</v>
      </c>
      <c r="B35" s="48">
        <v>0</v>
      </c>
      <c r="C35" s="48">
        <v>40</v>
      </c>
      <c r="D35" s="48">
        <v>100</v>
      </c>
      <c r="E35" s="48" t="s">
        <v>53</v>
      </c>
      <c r="F35" s="48" t="s">
        <v>291</v>
      </c>
      <c r="G35" s="48">
        <v>0</v>
      </c>
      <c r="H35" s="48" t="s">
        <v>53</v>
      </c>
      <c r="I35" s="48">
        <v>1028</v>
      </c>
      <c r="J35" s="48">
        <f t="shared" si="0"/>
        <v>100</v>
      </c>
    </row>
    <row r="36" spans="1:10" ht="21" customHeight="1" x14ac:dyDescent="0.15">
      <c r="A36" s="111">
        <v>40023411</v>
      </c>
      <c r="B36" s="48">
        <v>0</v>
      </c>
      <c r="C36" s="48">
        <v>40</v>
      </c>
      <c r="D36" s="48">
        <v>100</v>
      </c>
      <c r="E36" s="48" t="s">
        <v>53</v>
      </c>
      <c r="F36" s="48" t="s">
        <v>291</v>
      </c>
      <c r="G36" s="48">
        <v>0</v>
      </c>
      <c r="H36" s="48" t="s">
        <v>53</v>
      </c>
      <c r="I36" s="48">
        <v>1029</v>
      </c>
      <c r="J36" s="48">
        <f t="shared" si="0"/>
        <v>100</v>
      </c>
    </row>
    <row r="37" spans="1:10" ht="21" customHeight="1" x14ac:dyDescent="0.15">
      <c r="A37" s="111">
        <v>40023412</v>
      </c>
      <c r="B37" s="48">
        <v>0</v>
      </c>
      <c r="C37" s="48">
        <v>40</v>
      </c>
      <c r="D37" s="48">
        <v>100</v>
      </c>
      <c r="E37" s="48" t="s">
        <v>53</v>
      </c>
      <c r="F37" s="48" t="s">
        <v>291</v>
      </c>
      <c r="G37" s="48">
        <v>0</v>
      </c>
      <c r="H37" s="48" t="s">
        <v>53</v>
      </c>
      <c r="I37" s="48">
        <v>1030</v>
      </c>
      <c r="J37" s="48">
        <f t="shared" si="0"/>
        <v>100</v>
      </c>
    </row>
    <row r="38" spans="1:10" ht="21" customHeight="1" x14ac:dyDescent="0.15">
      <c r="A38" s="114">
        <v>40023500</v>
      </c>
      <c r="B38" s="48">
        <v>1</v>
      </c>
      <c r="C38" s="48">
        <v>20</v>
      </c>
      <c r="D38" s="48">
        <v>100</v>
      </c>
      <c r="E38" s="48" t="s">
        <v>293</v>
      </c>
      <c r="F38" s="48" t="s">
        <v>89</v>
      </c>
      <c r="G38" s="48">
        <v>1</v>
      </c>
      <c r="H38" s="48" t="s">
        <v>293</v>
      </c>
      <c r="I38" s="48" t="s">
        <v>89</v>
      </c>
      <c r="J38" s="48">
        <f t="shared" si="0"/>
        <v>100</v>
      </c>
    </row>
    <row r="39" spans="1:10" ht="21" customHeight="1" x14ac:dyDescent="0.15">
      <c r="A39" s="114">
        <v>40023501</v>
      </c>
      <c r="B39" s="48">
        <v>0</v>
      </c>
      <c r="C39" s="48">
        <v>20</v>
      </c>
      <c r="D39" s="48">
        <v>30</v>
      </c>
      <c r="E39" s="48" t="s">
        <v>291</v>
      </c>
      <c r="F39" s="48" t="s">
        <v>89</v>
      </c>
      <c r="G39" s="48" t="s">
        <v>290</v>
      </c>
      <c r="H39" s="48">
        <v>2</v>
      </c>
      <c r="I39" s="48" t="s">
        <v>292</v>
      </c>
      <c r="J39" s="48">
        <f t="shared" si="0"/>
        <v>30</v>
      </c>
    </row>
    <row r="40" spans="1:10" ht="21" customHeight="1" x14ac:dyDescent="0.15">
      <c r="A40" s="114">
        <v>40023502</v>
      </c>
      <c r="B40" s="48">
        <v>0</v>
      </c>
      <c r="C40" s="48">
        <v>20</v>
      </c>
      <c r="D40" s="48">
        <v>40</v>
      </c>
      <c r="E40" s="48" t="s">
        <v>291</v>
      </c>
      <c r="F40" s="48" t="s">
        <v>89</v>
      </c>
      <c r="G40" s="48" t="s">
        <v>290</v>
      </c>
      <c r="H40" s="48">
        <v>2</v>
      </c>
      <c r="I40" s="48" t="s">
        <v>292</v>
      </c>
      <c r="J40" s="48">
        <f t="shared" si="0"/>
        <v>40</v>
      </c>
    </row>
    <row r="41" spans="1:10" ht="21" customHeight="1" x14ac:dyDescent="0.15">
      <c r="A41" s="114">
        <v>40023503</v>
      </c>
      <c r="B41" s="48">
        <v>0</v>
      </c>
      <c r="C41" s="48">
        <v>20</v>
      </c>
      <c r="D41" s="48">
        <v>60</v>
      </c>
      <c r="E41" s="48" t="s">
        <v>291</v>
      </c>
      <c r="F41" s="48" t="s">
        <v>89</v>
      </c>
      <c r="G41" s="48" t="s">
        <v>290</v>
      </c>
      <c r="H41" s="48">
        <v>2</v>
      </c>
      <c r="I41" s="48" t="s">
        <v>292</v>
      </c>
      <c r="J41" s="48">
        <f t="shared" si="0"/>
        <v>60</v>
      </c>
    </row>
    <row r="42" spans="1:10" ht="21" customHeight="1" x14ac:dyDescent="0.15">
      <c r="A42" s="114">
        <v>40023504</v>
      </c>
      <c r="B42" s="48">
        <v>0</v>
      </c>
      <c r="C42" s="48">
        <v>20</v>
      </c>
      <c r="D42" s="48">
        <v>100</v>
      </c>
      <c r="E42" s="48" t="s">
        <v>291</v>
      </c>
      <c r="F42" s="48" t="s">
        <v>89</v>
      </c>
      <c r="G42" s="48" t="s">
        <v>290</v>
      </c>
      <c r="H42" s="48">
        <v>2</v>
      </c>
      <c r="I42" s="48" t="s">
        <v>292</v>
      </c>
      <c r="J42" s="48">
        <f t="shared" si="0"/>
        <v>100</v>
      </c>
    </row>
    <row r="43" spans="1:10" ht="21" customHeight="1" x14ac:dyDescent="0.15">
      <c r="A43" s="114">
        <v>40023505</v>
      </c>
      <c r="B43" s="48">
        <v>0</v>
      </c>
      <c r="C43" s="48">
        <v>10</v>
      </c>
      <c r="D43" s="48">
        <v>50</v>
      </c>
      <c r="E43" s="48" t="s">
        <v>89</v>
      </c>
      <c r="F43" s="48" t="s">
        <v>89</v>
      </c>
      <c r="G43" s="48" t="s">
        <v>290</v>
      </c>
      <c r="H43" s="48">
        <v>1</v>
      </c>
      <c r="I43" s="48" t="s">
        <v>291</v>
      </c>
      <c r="J43" s="48">
        <f t="shared" si="0"/>
        <v>50</v>
      </c>
    </row>
    <row r="44" spans="1:10" ht="21" customHeight="1" x14ac:dyDescent="0.15">
      <c r="A44" s="114">
        <v>40023506</v>
      </c>
      <c r="B44" s="48">
        <v>0</v>
      </c>
      <c r="C44" s="48">
        <v>10</v>
      </c>
      <c r="D44" s="48">
        <v>100</v>
      </c>
      <c r="E44" s="48" t="s">
        <v>89</v>
      </c>
      <c r="F44" s="48" t="s">
        <v>89</v>
      </c>
      <c r="G44" s="48" t="s">
        <v>290</v>
      </c>
      <c r="H44" s="48">
        <v>1</v>
      </c>
      <c r="I44" s="48" t="s">
        <v>291</v>
      </c>
      <c r="J44" s="48">
        <f t="shared" si="0"/>
        <v>100</v>
      </c>
    </row>
    <row r="45" spans="1:10" ht="21" customHeight="1" x14ac:dyDescent="0.15">
      <c r="A45" s="114">
        <v>40023507</v>
      </c>
      <c r="B45" s="48">
        <v>0</v>
      </c>
      <c r="C45" s="48">
        <v>30</v>
      </c>
      <c r="D45" s="48">
        <v>100</v>
      </c>
      <c r="E45" s="48" t="s">
        <v>312</v>
      </c>
      <c r="F45" s="48" t="s">
        <v>291</v>
      </c>
      <c r="G45" s="48">
        <v>1</v>
      </c>
      <c r="H45" s="48">
        <v>1</v>
      </c>
      <c r="I45" s="48" t="s">
        <v>291</v>
      </c>
      <c r="J45" s="48">
        <f t="shared" si="0"/>
        <v>100</v>
      </c>
    </row>
    <row r="46" spans="1:10" ht="21" customHeight="1" x14ac:dyDescent="0.15">
      <c r="A46" s="114">
        <v>40023508</v>
      </c>
      <c r="B46" s="48">
        <v>1</v>
      </c>
      <c r="C46" s="48">
        <v>40</v>
      </c>
      <c r="D46" s="48">
        <v>100</v>
      </c>
      <c r="E46" s="48" t="s">
        <v>53</v>
      </c>
      <c r="F46" s="48" t="s">
        <v>291</v>
      </c>
      <c r="G46" s="48">
        <v>1</v>
      </c>
      <c r="H46" s="48" t="s">
        <v>53</v>
      </c>
      <c r="I46" s="48">
        <v>1028</v>
      </c>
      <c r="J46" s="48">
        <f t="shared" si="0"/>
        <v>100</v>
      </c>
    </row>
    <row r="47" spans="1:10" ht="21" customHeight="1" x14ac:dyDescent="0.15">
      <c r="A47" s="114">
        <v>40023509</v>
      </c>
      <c r="B47" s="48">
        <v>1</v>
      </c>
      <c r="C47" s="48">
        <v>40</v>
      </c>
      <c r="D47" s="48">
        <v>100</v>
      </c>
      <c r="E47" s="48" t="s">
        <v>53</v>
      </c>
      <c r="F47" s="48" t="s">
        <v>291</v>
      </c>
      <c r="G47" s="48">
        <v>1</v>
      </c>
      <c r="H47" s="48" t="s">
        <v>53</v>
      </c>
      <c r="I47" s="48">
        <v>1029</v>
      </c>
      <c r="J47" s="48">
        <f t="shared" si="0"/>
        <v>100</v>
      </c>
    </row>
    <row r="48" spans="1:10" ht="21" customHeight="1" x14ac:dyDescent="0.15">
      <c r="A48" s="114">
        <v>40023510</v>
      </c>
      <c r="B48" s="48">
        <v>1</v>
      </c>
      <c r="C48" s="48">
        <v>40</v>
      </c>
      <c r="D48" s="48">
        <v>100</v>
      </c>
      <c r="E48" s="48" t="s">
        <v>53</v>
      </c>
      <c r="F48" s="48" t="s">
        <v>291</v>
      </c>
      <c r="G48" s="48">
        <v>1</v>
      </c>
      <c r="H48" s="48" t="s">
        <v>53</v>
      </c>
      <c r="I48" s="48">
        <v>1030</v>
      </c>
      <c r="J48" s="48">
        <f t="shared" si="0"/>
        <v>100</v>
      </c>
    </row>
    <row r="49" spans="1:10" ht="21" customHeight="1" x14ac:dyDescent="0.15">
      <c r="A49" s="105">
        <v>40023600</v>
      </c>
      <c r="B49" s="48">
        <v>1</v>
      </c>
      <c r="C49" s="48">
        <v>20</v>
      </c>
      <c r="D49" s="48">
        <v>100</v>
      </c>
      <c r="E49" s="48" t="s">
        <v>293</v>
      </c>
      <c r="F49" s="48" t="s">
        <v>89</v>
      </c>
      <c r="G49" s="48">
        <v>1</v>
      </c>
      <c r="H49" s="48" t="s">
        <v>293</v>
      </c>
      <c r="I49" s="48" t="s">
        <v>89</v>
      </c>
      <c r="J49" s="48">
        <f t="shared" si="0"/>
        <v>100</v>
      </c>
    </row>
    <row r="50" spans="1:10" ht="21" customHeight="1" x14ac:dyDescent="0.15">
      <c r="A50" s="105">
        <v>40023601</v>
      </c>
      <c r="B50" s="48">
        <v>0</v>
      </c>
      <c r="C50" s="48">
        <v>30</v>
      </c>
      <c r="D50" s="48">
        <v>100</v>
      </c>
      <c r="E50" s="48">
        <v>40</v>
      </c>
      <c r="F50" s="48" t="s">
        <v>291</v>
      </c>
      <c r="G50" s="48">
        <v>1</v>
      </c>
      <c r="H50" s="48">
        <v>1</v>
      </c>
      <c r="I50" s="48" t="s">
        <v>291</v>
      </c>
      <c r="J50" s="48">
        <f t="shared" si="0"/>
        <v>100</v>
      </c>
    </row>
    <row r="51" spans="1:10" ht="21" customHeight="1" x14ac:dyDescent="0.15">
      <c r="A51" s="105">
        <v>40023602</v>
      </c>
      <c r="B51" s="48">
        <v>0</v>
      </c>
      <c r="C51" s="48">
        <v>20</v>
      </c>
      <c r="D51" s="48">
        <v>100</v>
      </c>
      <c r="E51" s="48" t="s">
        <v>291</v>
      </c>
      <c r="F51" s="48" t="s">
        <v>89</v>
      </c>
      <c r="G51" s="48" t="s">
        <v>290</v>
      </c>
      <c r="H51" s="48">
        <v>2</v>
      </c>
      <c r="I51" s="48" t="s">
        <v>292</v>
      </c>
      <c r="J51" s="48">
        <f t="shared" si="0"/>
        <v>100</v>
      </c>
    </row>
    <row r="52" spans="1:10" ht="21" customHeight="1" x14ac:dyDescent="0.15">
      <c r="A52" s="105">
        <v>40023603</v>
      </c>
      <c r="B52" s="48">
        <v>0</v>
      </c>
      <c r="C52" s="48">
        <v>10</v>
      </c>
      <c r="D52" s="48">
        <v>50</v>
      </c>
      <c r="E52" s="48" t="s">
        <v>89</v>
      </c>
      <c r="F52" s="48" t="s">
        <v>89</v>
      </c>
      <c r="G52" s="48" t="s">
        <v>290</v>
      </c>
      <c r="H52" s="48">
        <v>1</v>
      </c>
      <c r="I52" s="48" t="s">
        <v>291</v>
      </c>
      <c r="J52" s="48">
        <f t="shared" si="0"/>
        <v>50</v>
      </c>
    </row>
    <row r="53" spans="1:10" ht="21" customHeight="1" x14ac:dyDescent="0.15">
      <c r="A53" s="105">
        <v>40023604</v>
      </c>
      <c r="B53" s="48">
        <v>0</v>
      </c>
      <c r="C53" s="48">
        <v>10</v>
      </c>
      <c r="D53" s="48">
        <v>100</v>
      </c>
      <c r="E53" s="48" t="s">
        <v>89</v>
      </c>
      <c r="F53" s="48" t="s">
        <v>89</v>
      </c>
      <c r="G53" s="48" t="s">
        <v>290</v>
      </c>
      <c r="H53" s="48">
        <v>1</v>
      </c>
      <c r="I53" s="48" t="s">
        <v>291</v>
      </c>
      <c r="J53" s="48">
        <f t="shared" si="0"/>
        <v>100</v>
      </c>
    </row>
    <row r="54" spans="1:10" ht="21" customHeight="1" x14ac:dyDescent="0.15">
      <c r="A54" s="105">
        <v>40023605</v>
      </c>
      <c r="B54" s="48">
        <v>1</v>
      </c>
      <c r="C54" s="48">
        <v>40</v>
      </c>
      <c r="D54" s="48">
        <v>100</v>
      </c>
      <c r="E54" s="48" t="s">
        <v>53</v>
      </c>
      <c r="F54" s="48" t="s">
        <v>291</v>
      </c>
      <c r="G54" s="48">
        <v>1</v>
      </c>
      <c r="H54" s="48" t="s">
        <v>53</v>
      </c>
      <c r="I54" s="48">
        <v>1028</v>
      </c>
      <c r="J54" s="48">
        <f t="shared" si="0"/>
        <v>100</v>
      </c>
    </row>
    <row r="55" spans="1:10" ht="21" customHeight="1" x14ac:dyDescent="0.15">
      <c r="A55" s="105">
        <v>40023606</v>
      </c>
      <c r="B55" s="48">
        <v>1</v>
      </c>
      <c r="C55" s="48">
        <v>40</v>
      </c>
      <c r="D55" s="48">
        <v>100</v>
      </c>
      <c r="E55" s="48" t="s">
        <v>53</v>
      </c>
      <c r="F55" s="48" t="s">
        <v>291</v>
      </c>
      <c r="G55" s="48">
        <v>1</v>
      </c>
      <c r="H55" s="48" t="s">
        <v>53</v>
      </c>
      <c r="I55" s="48">
        <v>1029</v>
      </c>
      <c r="J55" s="48">
        <f t="shared" si="0"/>
        <v>100</v>
      </c>
    </row>
    <row r="56" spans="1:10" ht="21" customHeight="1" x14ac:dyDescent="0.15">
      <c r="A56" s="105">
        <v>40023607</v>
      </c>
      <c r="B56" s="48">
        <v>1</v>
      </c>
      <c r="C56" s="48">
        <v>40</v>
      </c>
      <c r="D56" s="48">
        <v>100</v>
      </c>
      <c r="E56" s="48" t="s">
        <v>53</v>
      </c>
      <c r="F56" s="48" t="s">
        <v>291</v>
      </c>
      <c r="G56" s="48">
        <v>1</v>
      </c>
      <c r="H56" s="48" t="s">
        <v>53</v>
      </c>
      <c r="I56" s="48">
        <v>1030</v>
      </c>
      <c r="J56" s="48">
        <f t="shared" si="0"/>
        <v>100</v>
      </c>
    </row>
    <row r="57" spans="1:10" ht="21" customHeight="1" x14ac:dyDescent="0.15">
      <c r="A57" s="111">
        <v>40023700</v>
      </c>
      <c r="B57" s="48">
        <v>1</v>
      </c>
      <c r="C57" s="48">
        <v>20</v>
      </c>
      <c r="D57" s="48">
        <v>100</v>
      </c>
      <c r="E57" s="48" t="s">
        <v>293</v>
      </c>
      <c r="F57" s="48" t="s">
        <v>89</v>
      </c>
      <c r="G57" s="48">
        <v>1</v>
      </c>
      <c r="H57" s="48" t="s">
        <v>293</v>
      </c>
      <c r="I57" s="48" t="s">
        <v>89</v>
      </c>
      <c r="J57" s="48">
        <f t="shared" si="0"/>
        <v>100</v>
      </c>
    </row>
    <row r="58" spans="1:10" ht="21" customHeight="1" x14ac:dyDescent="0.15">
      <c r="A58" s="111">
        <v>40023701</v>
      </c>
      <c r="B58" s="48">
        <v>0</v>
      </c>
      <c r="C58" s="48">
        <v>11</v>
      </c>
      <c r="D58" s="48">
        <v>100</v>
      </c>
      <c r="E58" s="48" t="s">
        <v>89</v>
      </c>
      <c r="F58" s="48" t="s">
        <v>89</v>
      </c>
      <c r="G58" s="48" t="s">
        <v>290</v>
      </c>
      <c r="H58" s="48">
        <v>2</v>
      </c>
      <c r="I58" s="48" t="s">
        <v>291</v>
      </c>
      <c r="J58" s="48">
        <f t="shared" si="0"/>
        <v>100</v>
      </c>
    </row>
    <row r="59" spans="1:10" ht="21" customHeight="1" x14ac:dyDescent="0.15">
      <c r="A59" s="111">
        <v>40023702</v>
      </c>
      <c r="B59" s="48">
        <v>0</v>
      </c>
      <c r="C59" s="48">
        <v>25</v>
      </c>
      <c r="D59" s="48">
        <v>100</v>
      </c>
      <c r="E59" s="48">
        <v>70</v>
      </c>
      <c r="F59" s="48" t="s">
        <v>291</v>
      </c>
      <c r="G59" s="48">
        <v>1</v>
      </c>
      <c r="H59" s="48">
        <v>1</v>
      </c>
      <c r="I59" s="48" t="s">
        <v>291</v>
      </c>
      <c r="J59" s="48">
        <f t="shared" si="0"/>
        <v>100</v>
      </c>
    </row>
    <row r="60" spans="1:10" ht="21" customHeight="1" x14ac:dyDescent="0.15">
      <c r="A60" s="111">
        <v>40023703</v>
      </c>
      <c r="B60" s="48">
        <v>0</v>
      </c>
      <c r="C60" s="48">
        <v>10</v>
      </c>
      <c r="D60" s="48">
        <v>50</v>
      </c>
      <c r="E60" s="48" t="s">
        <v>89</v>
      </c>
      <c r="F60" s="48" t="s">
        <v>89</v>
      </c>
      <c r="G60" s="48" t="s">
        <v>290</v>
      </c>
      <c r="H60" s="48">
        <v>1</v>
      </c>
      <c r="I60" s="48" t="s">
        <v>291</v>
      </c>
      <c r="J60" s="48">
        <f t="shared" si="0"/>
        <v>50</v>
      </c>
    </row>
    <row r="61" spans="1:10" ht="21" customHeight="1" x14ac:dyDescent="0.15">
      <c r="A61" s="111">
        <v>40023704</v>
      </c>
      <c r="B61" s="48">
        <v>0</v>
      </c>
      <c r="C61" s="48">
        <v>10</v>
      </c>
      <c r="D61" s="48">
        <v>100</v>
      </c>
      <c r="E61" s="48" t="s">
        <v>89</v>
      </c>
      <c r="F61" s="48" t="s">
        <v>89</v>
      </c>
      <c r="G61" s="48" t="s">
        <v>290</v>
      </c>
      <c r="H61" s="48">
        <v>1</v>
      </c>
      <c r="I61" s="48" t="s">
        <v>291</v>
      </c>
      <c r="J61" s="48">
        <f t="shared" si="0"/>
        <v>100</v>
      </c>
    </row>
    <row r="62" spans="1:10" ht="21" customHeight="1" x14ac:dyDescent="0.15">
      <c r="A62" s="111">
        <v>40023705</v>
      </c>
      <c r="B62" s="48">
        <v>0</v>
      </c>
      <c r="C62" s="48">
        <v>19</v>
      </c>
      <c r="D62" s="48">
        <v>100</v>
      </c>
      <c r="E62" s="48">
        <v>20</v>
      </c>
      <c r="F62" s="48" t="s">
        <v>291</v>
      </c>
      <c r="G62" s="48">
        <v>1</v>
      </c>
      <c r="H62" s="48">
        <v>1</v>
      </c>
      <c r="I62" s="48" t="s">
        <v>291</v>
      </c>
      <c r="J62" s="48">
        <f t="shared" si="0"/>
        <v>100</v>
      </c>
    </row>
    <row r="63" spans="1:10" ht="21" customHeight="1" x14ac:dyDescent="0.15">
      <c r="A63" s="111">
        <v>40023706</v>
      </c>
      <c r="B63" s="48">
        <v>0</v>
      </c>
      <c r="C63" s="48">
        <v>18</v>
      </c>
      <c r="D63" s="48">
        <v>100</v>
      </c>
      <c r="E63" s="48">
        <v>20</v>
      </c>
      <c r="F63" s="48" t="s">
        <v>291</v>
      </c>
      <c r="G63" s="48">
        <v>1</v>
      </c>
      <c r="H63" s="48">
        <v>1</v>
      </c>
      <c r="I63" s="48" t="s">
        <v>291</v>
      </c>
      <c r="J63" s="48">
        <f t="shared" si="0"/>
        <v>100</v>
      </c>
    </row>
    <row r="64" spans="1:10" ht="21" customHeight="1" x14ac:dyDescent="0.15">
      <c r="A64" s="111">
        <v>40023707</v>
      </c>
      <c r="B64" s="48">
        <v>1</v>
      </c>
      <c r="C64" s="48">
        <v>30</v>
      </c>
      <c r="D64" s="48">
        <v>100</v>
      </c>
      <c r="E64" s="48" t="s">
        <v>53</v>
      </c>
      <c r="F64" s="48" t="s">
        <v>291</v>
      </c>
      <c r="G64" s="48">
        <v>1</v>
      </c>
      <c r="H64" s="48" t="s">
        <v>53</v>
      </c>
      <c r="I64" s="48">
        <v>1028</v>
      </c>
      <c r="J64" s="48">
        <f t="shared" si="0"/>
        <v>100</v>
      </c>
    </row>
    <row r="65" spans="1:10" ht="21" customHeight="1" x14ac:dyDescent="0.15">
      <c r="A65" s="111">
        <v>40023708</v>
      </c>
      <c r="B65" s="48">
        <v>1</v>
      </c>
      <c r="C65" s="48">
        <v>30</v>
      </c>
      <c r="D65" s="48">
        <v>100</v>
      </c>
      <c r="E65" s="48" t="s">
        <v>53</v>
      </c>
      <c r="F65" s="48" t="s">
        <v>291</v>
      </c>
      <c r="G65" s="48">
        <v>1</v>
      </c>
      <c r="H65" s="48" t="s">
        <v>53</v>
      </c>
      <c r="I65" s="48">
        <v>1029</v>
      </c>
      <c r="J65" s="48">
        <f t="shared" si="0"/>
        <v>100</v>
      </c>
    </row>
    <row r="66" spans="1:10" ht="21" customHeight="1" x14ac:dyDescent="0.15">
      <c r="A66" s="111">
        <v>40023709</v>
      </c>
      <c r="B66" s="48">
        <v>1</v>
      </c>
      <c r="C66" s="48">
        <v>30</v>
      </c>
      <c r="D66" s="48">
        <v>100</v>
      </c>
      <c r="E66" s="48" t="s">
        <v>53</v>
      </c>
      <c r="F66" s="48" t="s">
        <v>291</v>
      </c>
      <c r="G66" s="48">
        <v>1</v>
      </c>
      <c r="H66" s="48" t="s">
        <v>53</v>
      </c>
      <c r="I66" s="48">
        <v>1030</v>
      </c>
      <c r="J66" s="48">
        <f t="shared" si="0"/>
        <v>100</v>
      </c>
    </row>
    <row r="67" spans="1:10" ht="21" customHeight="1" x14ac:dyDescent="0.15">
      <c r="A67" s="111">
        <v>40023710</v>
      </c>
      <c r="B67" s="48">
        <v>0</v>
      </c>
      <c r="C67" s="48">
        <v>40</v>
      </c>
      <c r="D67" s="48">
        <v>100</v>
      </c>
      <c r="E67" s="48" t="s">
        <v>53</v>
      </c>
      <c r="F67" s="48" t="s">
        <v>291</v>
      </c>
      <c r="G67" s="48">
        <v>0</v>
      </c>
      <c r="H67" s="48" t="s">
        <v>53</v>
      </c>
      <c r="I67" s="48">
        <v>1028</v>
      </c>
      <c r="J67" s="48">
        <f t="shared" si="0"/>
        <v>100</v>
      </c>
    </row>
    <row r="68" spans="1:10" ht="21" customHeight="1" x14ac:dyDescent="0.15">
      <c r="A68" s="111">
        <v>40023711</v>
      </c>
      <c r="B68" s="48">
        <v>0</v>
      </c>
      <c r="C68" s="48">
        <v>40</v>
      </c>
      <c r="D68" s="48">
        <v>100</v>
      </c>
      <c r="E68" s="48" t="s">
        <v>53</v>
      </c>
      <c r="F68" s="48" t="s">
        <v>291</v>
      </c>
      <c r="G68" s="48">
        <v>0</v>
      </c>
      <c r="H68" s="48" t="s">
        <v>53</v>
      </c>
      <c r="I68" s="48">
        <v>1029</v>
      </c>
      <c r="J68" s="48">
        <f t="shared" si="0"/>
        <v>100</v>
      </c>
    </row>
    <row r="69" spans="1:10" ht="21" customHeight="1" x14ac:dyDescent="0.15">
      <c r="A69" s="111">
        <v>40023712</v>
      </c>
      <c r="B69" s="48">
        <v>0</v>
      </c>
      <c r="C69" s="48">
        <v>40</v>
      </c>
      <c r="D69" s="48">
        <v>100</v>
      </c>
      <c r="E69" s="48" t="s">
        <v>53</v>
      </c>
      <c r="F69" s="48" t="s">
        <v>291</v>
      </c>
      <c r="G69" s="48">
        <v>0</v>
      </c>
      <c r="H69" s="48" t="s">
        <v>53</v>
      </c>
      <c r="I69" s="48">
        <v>1030</v>
      </c>
      <c r="J69" s="48">
        <f t="shared" ref="J69:J78" si="12">D69</f>
        <v>100</v>
      </c>
    </row>
    <row r="70" spans="1:10" ht="21" customHeight="1" x14ac:dyDescent="0.15">
      <c r="A70" s="111">
        <v>40023713</v>
      </c>
      <c r="B70" s="48">
        <v>0</v>
      </c>
      <c r="C70" s="48">
        <v>24</v>
      </c>
      <c r="D70" s="48">
        <v>100</v>
      </c>
      <c r="E70" s="48">
        <v>70</v>
      </c>
      <c r="F70" s="48" t="s">
        <v>291</v>
      </c>
      <c r="G70" s="48">
        <v>1</v>
      </c>
      <c r="H70" s="48">
        <v>1</v>
      </c>
      <c r="I70" s="48" t="s">
        <v>291</v>
      </c>
      <c r="J70" s="48">
        <f t="shared" si="12"/>
        <v>100</v>
      </c>
    </row>
    <row r="71" spans="1:10" ht="21" customHeight="1" x14ac:dyDescent="0.15">
      <c r="A71" s="105">
        <v>40023800</v>
      </c>
      <c r="B71" s="48">
        <v>1</v>
      </c>
      <c r="C71" s="48">
        <v>20</v>
      </c>
      <c r="D71" s="48">
        <v>100</v>
      </c>
      <c r="E71" s="48" t="s">
        <v>89</v>
      </c>
      <c r="F71" s="48" t="s">
        <v>89</v>
      </c>
      <c r="G71" s="48">
        <v>1</v>
      </c>
      <c r="H71" s="48" t="s">
        <v>89</v>
      </c>
      <c r="I71" s="48" t="s">
        <v>89</v>
      </c>
      <c r="J71" s="48">
        <f t="shared" si="12"/>
        <v>100</v>
      </c>
    </row>
    <row r="72" spans="1:10" ht="21" customHeight="1" x14ac:dyDescent="0.15">
      <c r="A72" s="105">
        <v>40023801</v>
      </c>
      <c r="B72" s="48">
        <v>0</v>
      </c>
      <c r="C72" s="48">
        <v>30</v>
      </c>
      <c r="D72" s="48">
        <v>100</v>
      </c>
      <c r="E72" s="48">
        <v>40</v>
      </c>
      <c r="F72" s="48" t="s">
        <v>89</v>
      </c>
      <c r="G72" s="48">
        <v>1</v>
      </c>
      <c r="H72" s="48">
        <v>1</v>
      </c>
      <c r="I72" s="48" t="s">
        <v>89</v>
      </c>
      <c r="J72" s="48">
        <f t="shared" si="12"/>
        <v>100</v>
      </c>
    </row>
    <row r="73" spans="1:10" ht="21" customHeight="1" x14ac:dyDescent="0.15">
      <c r="A73" s="105">
        <v>40023802</v>
      </c>
      <c r="B73" s="48">
        <v>0</v>
      </c>
      <c r="C73" s="48">
        <v>20</v>
      </c>
      <c r="D73" s="48">
        <v>100</v>
      </c>
      <c r="E73" s="48" t="s">
        <v>89</v>
      </c>
      <c r="F73" s="48" t="s">
        <v>89</v>
      </c>
      <c r="G73" s="48" t="s">
        <v>89</v>
      </c>
      <c r="H73" s="48">
        <v>2</v>
      </c>
      <c r="I73" s="48" t="s">
        <v>89</v>
      </c>
      <c r="J73" s="48">
        <f t="shared" si="12"/>
        <v>100</v>
      </c>
    </row>
    <row r="74" spans="1:10" ht="21" customHeight="1" x14ac:dyDescent="0.15">
      <c r="A74" s="105">
        <v>40023803</v>
      </c>
      <c r="B74" s="48">
        <v>0</v>
      </c>
      <c r="C74" s="48">
        <v>10</v>
      </c>
      <c r="D74" s="48">
        <v>50</v>
      </c>
      <c r="E74" s="48" t="s">
        <v>89</v>
      </c>
      <c r="F74" s="48" t="s">
        <v>89</v>
      </c>
      <c r="G74" s="48" t="s">
        <v>89</v>
      </c>
      <c r="H74" s="48">
        <v>1</v>
      </c>
      <c r="I74" s="48" t="s">
        <v>89</v>
      </c>
      <c r="J74" s="48">
        <f t="shared" si="12"/>
        <v>50</v>
      </c>
    </row>
    <row r="75" spans="1:10" ht="21" customHeight="1" x14ac:dyDescent="0.15">
      <c r="A75" s="105">
        <v>40023804</v>
      </c>
      <c r="B75" s="48">
        <v>0</v>
      </c>
      <c r="C75" s="48">
        <v>10</v>
      </c>
      <c r="D75" s="48">
        <v>100</v>
      </c>
      <c r="E75" s="48" t="s">
        <v>89</v>
      </c>
      <c r="F75" s="48" t="s">
        <v>89</v>
      </c>
      <c r="G75" s="48" t="s">
        <v>89</v>
      </c>
      <c r="H75" s="48">
        <v>1</v>
      </c>
      <c r="I75" s="48" t="s">
        <v>89</v>
      </c>
      <c r="J75" s="48">
        <f t="shared" si="12"/>
        <v>100</v>
      </c>
    </row>
    <row r="76" spans="1:10" ht="21" customHeight="1" x14ac:dyDescent="0.15">
      <c r="A76" s="105">
        <v>40023805</v>
      </c>
      <c r="B76" s="48">
        <v>1</v>
      </c>
      <c r="C76" s="48">
        <v>40</v>
      </c>
      <c r="D76" s="48">
        <v>100</v>
      </c>
      <c r="E76" s="48" t="s">
        <v>53</v>
      </c>
      <c r="F76" s="48" t="s">
        <v>89</v>
      </c>
      <c r="G76" s="48">
        <v>1</v>
      </c>
      <c r="H76" s="48" t="s">
        <v>53</v>
      </c>
      <c r="I76" s="48">
        <v>1028</v>
      </c>
      <c r="J76" s="48">
        <f t="shared" si="12"/>
        <v>100</v>
      </c>
    </row>
    <row r="77" spans="1:10" ht="21" customHeight="1" x14ac:dyDescent="0.15">
      <c r="A77" s="105">
        <v>40023806</v>
      </c>
      <c r="B77" s="48">
        <v>1</v>
      </c>
      <c r="C77" s="48">
        <v>40</v>
      </c>
      <c r="D77" s="48">
        <v>100</v>
      </c>
      <c r="E77" s="48" t="s">
        <v>53</v>
      </c>
      <c r="F77" s="48" t="s">
        <v>89</v>
      </c>
      <c r="G77" s="48">
        <v>1</v>
      </c>
      <c r="H77" s="48" t="s">
        <v>53</v>
      </c>
      <c r="I77" s="48">
        <v>1029</v>
      </c>
      <c r="J77" s="48">
        <f t="shared" si="12"/>
        <v>100</v>
      </c>
    </row>
    <row r="78" spans="1:10" ht="21" customHeight="1" x14ac:dyDescent="0.15">
      <c r="A78" s="105">
        <v>40023807</v>
      </c>
      <c r="B78" s="48">
        <v>1</v>
      </c>
      <c r="C78" s="48">
        <v>40</v>
      </c>
      <c r="D78" s="48">
        <v>100</v>
      </c>
      <c r="E78" s="48" t="s">
        <v>53</v>
      </c>
      <c r="F78" s="48" t="s">
        <v>89</v>
      </c>
      <c r="G78" s="48">
        <v>1</v>
      </c>
      <c r="H78" s="48" t="s">
        <v>53</v>
      </c>
      <c r="I78" s="48">
        <v>1030</v>
      </c>
      <c r="J78" s="48">
        <f t="shared" si="12"/>
        <v>100</v>
      </c>
    </row>
  </sheetData>
  <autoFilter ref="A1:G1"/>
  <phoneticPr fontId="5"/>
  <conditionalFormatting sqref="K38:K69 K25:K31 K1:K6 K14:K16 K18:K20 K79:K1048576">
    <cfRule type="duplicateValues" dxfId="15" priority="18"/>
  </conditionalFormatting>
  <conditionalFormatting sqref="K21:K23">
    <cfRule type="duplicateValues" dxfId="14" priority="16"/>
  </conditionalFormatting>
  <conditionalFormatting sqref="K7">
    <cfRule type="duplicateValues" dxfId="13" priority="15"/>
  </conditionalFormatting>
  <conditionalFormatting sqref="K17">
    <cfRule type="duplicateValues" dxfId="12" priority="14"/>
  </conditionalFormatting>
  <conditionalFormatting sqref="K24">
    <cfRule type="duplicateValues" dxfId="11" priority="12"/>
  </conditionalFormatting>
  <conditionalFormatting sqref="K8">
    <cfRule type="duplicateValues" dxfId="10" priority="11"/>
  </conditionalFormatting>
  <conditionalFormatting sqref="K9">
    <cfRule type="duplicateValues" dxfId="9" priority="10"/>
  </conditionalFormatting>
  <conditionalFormatting sqref="K10">
    <cfRule type="duplicateValues" dxfId="8" priority="9"/>
  </conditionalFormatting>
  <conditionalFormatting sqref="K11">
    <cfRule type="duplicateValues" dxfId="7" priority="8"/>
  </conditionalFormatting>
  <conditionalFormatting sqref="K12">
    <cfRule type="duplicateValues" dxfId="6" priority="7"/>
  </conditionalFormatting>
  <conditionalFormatting sqref="K13">
    <cfRule type="duplicateValues" dxfId="5" priority="6"/>
  </conditionalFormatting>
  <conditionalFormatting sqref="K32">
    <cfRule type="duplicateValues" dxfId="4" priority="5"/>
  </conditionalFormatting>
  <conditionalFormatting sqref="K33">
    <cfRule type="duplicateValues" dxfId="3" priority="4"/>
  </conditionalFormatting>
  <conditionalFormatting sqref="K34:K37">
    <cfRule type="duplicateValues" dxfId="2" priority="3"/>
  </conditionalFormatting>
  <conditionalFormatting sqref="K70">
    <cfRule type="duplicateValues" dxfId="1" priority="2"/>
  </conditionalFormatting>
  <conditionalFormatting sqref="K71:K7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P10" sqref="P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6">
        <v>40023</v>
      </c>
      <c r="B2" s="56">
        <v>1</v>
      </c>
      <c r="C2" s="71" t="str">
        <f>A2&amp; "_"&amp;B2</f>
        <v>40023_1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17">
        <v>1</v>
      </c>
      <c r="F2" s="117" t="s">
        <v>168</v>
      </c>
      <c r="G2" s="118">
        <v>40000</v>
      </c>
      <c r="H2" s="117" t="s">
        <v>396</v>
      </c>
      <c r="I2" s="117">
        <v>1</v>
      </c>
      <c r="J2" s="117">
        <v>1</v>
      </c>
      <c r="K2" s="117">
        <v>0</v>
      </c>
      <c r="L2" s="117">
        <v>0</v>
      </c>
      <c r="M2" s="117">
        <v>0</v>
      </c>
      <c r="N2" s="117">
        <v>0</v>
      </c>
      <c r="O2" s="117">
        <v>1</v>
      </c>
      <c r="P2" s="117">
        <v>150</v>
      </c>
      <c r="Q2" s="117" t="s">
        <v>169</v>
      </c>
      <c r="R2" s="119" t="s">
        <v>170</v>
      </c>
    </row>
    <row r="3" spans="1:18" x14ac:dyDescent="0.15">
      <c r="A3" s="56">
        <v>40023</v>
      </c>
      <c r="B3" s="56">
        <v>1</v>
      </c>
      <c r="C3" s="71" t="str">
        <f t="shared" ref="C3:C18" si="0">A3&amp; "_"&amp;B3</f>
        <v>40023_1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397</v>
      </c>
      <c r="G3" s="120">
        <v>30</v>
      </c>
      <c r="H3" s="56" t="s">
        <v>396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150</v>
      </c>
      <c r="Q3" s="56" t="s">
        <v>169</v>
      </c>
      <c r="R3" s="121" t="s">
        <v>170</v>
      </c>
    </row>
    <row r="4" spans="1:18" x14ac:dyDescent="0.15">
      <c r="A4" s="56">
        <v>40023</v>
      </c>
      <c r="B4" s="56">
        <v>1</v>
      </c>
      <c r="C4" s="71" t="str">
        <f t="shared" si="0"/>
        <v>40023_1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398</v>
      </c>
      <c r="G4" s="120">
        <v>345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28</v>
      </c>
      <c r="Q4" s="56" t="s">
        <v>169</v>
      </c>
      <c r="R4" s="121" t="s">
        <v>170</v>
      </c>
    </row>
    <row r="5" spans="1:18" x14ac:dyDescent="0.15">
      <c r="A5" s="56">
        <v>40023</v>
      </c>
      <c r="B5" s="56">
        <v>1</v>
      </c>
      <c r="C5" s="71" t="str">
        <f t="shared" si="0"/>
        <v>40023_1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398</v>
      </c>
      <c r="G5" s="120">
        <v>346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112</v>
      </c>
      <c r="Q5" s="56" t="s">
        <v>169</v>
      </c>
      <c r="R5" s="121" t="s">
        <v>170</v>
      </c>
    </row>
    <row r="6" spans="1:18" x14ac:dyDescent="0.15">
      <c r="A6" s="56">
        <v>40023</v>
      </c>
      <c r="B6" s="56">
        <v>1</v>
      </c>
      <c r="C6" s="71" t="str">
        <f t="shared" si="0"/>
        <v>40023_1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398</v>
      </c>
      <c r="G6" s="120">
        <v>121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128">
        <v>100</v>
      </c>
      <c r="Q6" s="56" t="s">
        <v>169</v>
      </c>
      <c r="R6" s="121" t="s">
        <v>170</v>
      </c>
    </row>
    <row r="7" spans="1:18" x14ac:dyDescent="0.15">
      <c r="A7" s="56">
        <v>40023</v>
      </c>
      <c r="B7" s="56">
        <v>1</v>
      </c>
      <c r="C7" s="71" t="str">
        <f t="shared" si="0"/>
        <v>40023_1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398</v>
      </c>
      <c r="G7" s="120">
        <v>122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128">
        <v>100</v>
      </c>
      <c r="Q7" s="56" t="s">
        <v>169</v>
      </c>
      <c r="R7" s="121" t="s">
        <v>170</v>
      </c>
    </row>
    <row r="8" spans="1:18" x14ac:dyDescent="0.15">
      <c r="A8" s="56">
        <v>40023</v>
      </c>
      <c r="B8" s="56">
        <v>1</v>
      </c>
      <c r="C8" s="71" t="str">
        <f t="shared" si="0"/>
        <v>40023_1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398</v>
      </c>
      <c r="G8" s="120">
        <v>123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128">
        <v>100</v>
      </c>
      <c r="Q8" s="56" t="s">
        <v>169</v>
      </c>
      <c r="R8" s="121" t="s">
        <v>170</v>
      </c>
    </row>
    <row r="9" spans="1:18" x14ac:dyDescent="0.15">
      <c r="A9" s="56">
        <v>40023</v>
      </c>
      <c r="B9" s="56">
        <v>1</v>
      </c>
      <c r="C9" s="71" t="str">
        <f t="shared" si="0"/>
        <v>40023_1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398</v>
      </c>
      <c r="G9" s="120">
        <v>125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10</v>
      </c>
      <c r="Q9" s="56" t="s">
        <v>169</v>
      </c>
      <c r="R9" s="121" t="s">
        <v>170</v>
      </c>
    </row>
    <row r="10" spans="1:18" x14ac:dyDescent="0.15">
      <c r="A10" s="56">
        <v>40023</v>
      </c>
      <c r="B10" s="56">
        <v>1</v>
      </c>
      <c r="C10" s="71" t="str">
        <f t="shared" si="0"/>
        <v>40023_1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398</v>
      </c>
      <c r="G10" s="120">
        <v>1024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128">
        <v>100</v>
      </c>
      <c r="Q10" s="56" t="s">
        <v>169</v>
      </c>
      <c r="R10" s="121" t="s">
        <v>170</v>
      </c>
    </row>
    <row r="11" spans="1:18" x14ac:dyDescent="0.15">
      <c r="A11" s="56">
        <v>40023</v>
      </c>
      <c r="B11" s="56">
        <v>1</v>
      </c>
      <c r="C11" s="71" t="str">
        <f t="shared" si="0"/>
        <v>40023_1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2">
        <v>10</v>
      </c>
      <c r="F11" s="122" t="s">
        <v>398</v>
      </c>
      <c r="G11" s="123">
        <v>354</v>
      </c>
      <c r="H11" s="122">
        <v>1</v>
      </c>
      <c r="I11" s="122">
        <v>1</v>
      </c>
      <c r="J11" s="122">
        <v>1</v>
      </c>
      <c r="K11" s="122">
        <v>0</v>
      </c>
      <c r="L11" s="122">
        <v>0</v>
      </c>
      <c r="M11" s="122">
        <v>0</v>
      </c>
      <c r="N11" s="122">
        <v>0</v>
      </c>
      <c r="O11" s="122">
        <v>1</v>
      </c>
      <c r="P11" s="122">
        <v>150</v>
      </c>
      <c r="Q11" s="122" t="s">
        <v>169</v>
      </c>
      <c r="R11" s="124" t="s">
        <v>170</v>
      </c>
    </row>
    <row r="12" spans="1:18" x14ac:dyDescent="0.15">
      <c r="A12" s="56">
        <v>40023</v>
      </c>
      <c r="B12" s="56">
        <v>2</v>
      </c>
      <c r="C12" s="71" t="str">
        <f t="shared" si="0"/>
        <v>40023_2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</v>
      </c>
      <c r="F12" s="56" t="s">
        <v>398</v>
      </c>
      <c r="G12" s="120">
        <v>346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50</v>
      </c>
      <c r="Q12" s="56" t="s">
        <v>169</v>
      </c>
      <c r="R12" s="121" t="s">
        <v>170</v>
      </c>
    </row>
    <row r="13" spans="1:18" x14ac:dyDescent="0.15">
      <c r="A13" s="56">
        <v>40023</v>
      </c>
      <c r="B13" s="56">
        <v>2</v>
      </c>
      <c r="C13" s="71" t="str">
        <f t="shared" si="0"/>
        <v>40023_2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2</v>
      </c>
      <c r="F13" s="56" t="s">
        <v>398</v>
      </c>
      <c r="G13" s="120">
        <v>607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100</v>
      </c>
      <c r="Q13" s="56" t="s">
        <v>169</v>
      </c>
      <c r="R13" s="121" t="s">
        <v>170</v>
      </c>
    </row>
    <row r="14" spans="1:18" x14ac:dyDescent="0.15">
      <c r="A14" s="56">
        <v>40023</v>
      </c>
      <c r="B14" s="56">
        <v>2</v>
      </c>
      <c r="C14" s="71" t="str">
        <f t="shared" si="0"/>
        <v>40023_2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3</v>
      </c>
      <c r="F14" s="56" t="s">
        <v>398</v>
      </c>
      <c r="G14" s="120">
        <v>608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100</v>
      </c>
      <c r="Q14" s="56" t="s">
        <v>169</v>
      </c>
      <c r="R14" s="121" t="s">
        <v>170</v>
      </c>
    </row>
    <row r="15" spans="1:18" x14ac:dyDescent="0.15">
      <c r="A15" s="56">
        <v>40023</v>
      </c>
      <c r="B15" s="56">
        <v>2</v>
      </c>
      <c r="C15" s="71" t="str">
        <f t="shared" si="0"/>
        <v>40023_2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4</v>
      </c>
      <c r="F15" s="56" t="s">
        <v>398</v>
      </c>
      <c r="G15" s="120">
        <v>609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169</v>
      </c>
      <c r="R15" s="121" t="s">
        <v>170</v>
      </c>
    </row>
    <row r="16" spans="1:18" x14ac:dyDescent="0.15">
      <c r="A16" s="56">
        <v>40023</v>
      </c>
      <c r="B16" s="56">
        <v>2</v>
      </c>
      <c r="C16" s="71" t="str">
        <f t="shared" si="0"/>
        <v>40023_2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5</v>
      </c>
      <c r="F16" s="56" t="s">
        <v>398</v>
      </c>
      <c r="G16" s="120">
        <v>125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30</v>
      </c>
      <c r="Q16" s="56" t="s">
        <v>169</v>
      </c>
      <c r="R16" s="121" t="s">
        <v>170</v>
      </c>
    </row>
    <row r="17" spans="1:18" x14ac:dyDescent="0.15">
      <c r="A17" s="56">
        <v>40023</v>
      </c>
      <c r="B17" s="56">
        <v>2</v>
      </c>
      <c r="C17" s="71" t="str">
        <f t="shared" si="0"/>
        <v>40023_2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6</v>
      </c>
      <c r="F17" s="56" t="s">
        <v>398</v>
      </c>
      <c r="G17" s="120">
        <v>1024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500</v>
      </c>
      <c r="Q17" s="56" t="s">
        <v>169</v>
      </c>
      <c r="R17" s="121" t="s">
        <v>170</v>
      </c>
    </row>
    <row r="18" spans="1:18" ht="16" thickBot="1" x14ac:dyDescent="0.2">
      <c r="A18" s="56">
        <v>40023</v>
      </c>
      <c r="B18" s="56">
        <v>2</v>
      </c>
      <c r="C18" s="71" t="str">
        <f t="shared" si="0"/>
        <v>40023_2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25">
        <v>7</v>
      </c>
      <c r="F18" s="125" t="s">
        <v>398</v>
      </c>
      <c r="G18" s="126">
        <v>354</v>
      </c>
      <c r="H18" s="125">
        <v>1</v>
      </c>
      <c r="I18" s="125">
        <v>1</v>
      </c>
      <c r="J18" s="125">
        <v>1</v>
      </c>
      <c r="K18" s="125">
        <v>0</v>
      </c>
      <c r="L18" s="125">
        <v>0</v>
      </c>
      <c r="M18" s="125">
        <v>0</v>
      </c>
      <c r="N18" s="125">
        <v>0</v>
      </c>
      <c r="O18" s="125">
        <v>1</v>
      </c>
      <c r="P18" s="125">
        <v>120</v>
      </c>
      <c r="Q18" s="125" t="s">
        <v>169</v>
      </c>
      <c r="R18" s="127" t="s">
        <v>170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I23" sqref="I2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126</v>
      </c>
      <c r="K1" s="78" t="s">
        <v>186</v>
      </c>
      <c r="L1" s="92" t="s">
        <v>185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1"/>
  <sheetViews>
    <sheetView showGridLines="0" workbookViewId="0">
      <pane ySplit="1" topLeftCell="A10" activePane="bottomLeft" state="frozen"/>
      <selection pane="bottomLeft" activeCell="M20" sqref="M2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188</v>
      </c>
      <c r="B1" s="73" t="s">
        <v>150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126</v>
      </c>
      <c r="L1" s="78" t="s">
        <v>186</v>
      </c>
      <c r="M1" s="92" t="s">
        <v>185</v>
      </c>
      <c r="N1" s="80" t="s">
        <v>196</v>
      </c>
    </row>
    <row r="2" spans="1:15" ht="56" x14ac:dyDescent="0.15">
      <c r="A2" s="81" t="s">
        <v>197</v>
      </c>
      <c r="B2" s="82">
        <f>floors!$C$2</f>
        <v>40023</v>
      </c>
      <c r="C2" s="83" t="str">
        <f ca="1">VLOOKUP($B2,OFFSET([2]quests!$A$1,0,0,COUNTA([2]quests!$A:$A),MATCH(C$1,[2]quests!$1:$1,0)-MATCH($B$1,[2]quests!$1:$1,0)+1),MATCH(C$1,[2]quests!$1:$1,0)-MATCH($B$1,[2]quests!$1:$1,0)+1,FALSE)</f>
        <v>武蔵坊弁慶襲来！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降臨23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降臨23</v>
      </c>
      <c r="H2" s="85">
        <v>1</v>
      </c>
      <c r="I2" s="90">
        <f t="shared" ref="I2:I21" si="0">ROW()-1</f>
        <v>1</v>
      </c>
      <c r="J2" s="86" t="str">
        <f t="shared" ref="J2:J21" si="1">B2&amp;TEXT(I2,"00")</f>
        <v>4002301</v>
      </c>
      <c r="K2" s="84" t="s">
        <v>198</v>
      </c>
      <c r="L2" s="87" t="s">
        <v>199</v>
      </c>
      <c r="M2" s="129" t="s">
        <v>418</v>
      </c>
      <c r="N2" s="56" t="s">
        <v>200</v>
      </c>
    </row>
    <row r="3" spans="1:15" ht="56" x14ac:dyDescent="0.15">
      <c r="A3" s="81" t="s">
        <v>197</v>
      </c>
      <c r="B3" s="82">
        <f>floors!$C$2</f>
        <v>40023</v>
      </c>
      <c r="C3" s="83" t="str">
        <f ca="1">VLOOKUP($B3,OFFSET([2]quests!$A$1,0,0,COUNTA([2]quests!$A:$A),MATCH(C$1,[2]quests!$1:$1,0)-MATCH($B$1,[2]quests!$1:$1,0)+1),MATCH(C$1,[2]quests!$1:$1,0)-MATCH($B$1,[2]quests!$1:$1,0)+1,FALSE)</f>
        <v>武蔵坊弁慶襲来！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降臨23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降臨23</v>
      </c>
      <c r="H3" s="85">
        <v>2</v>
      </c>
      <c r="I3" s="90">
        <f t="shared" si="0"/>
        <v>2</v>
      </c>
      <c r="J3" s="86" t="str">
        <f t="shared" si="1"/>
        <v>4002302</v>
      </c>
      <c r="K3" s="84" t="s">
        <v>127</v>
      </c>
      <c r="L3" s="87" t="s">
        <v>199</v>
      </c>
      <c r="M3" s="129" t="s">
        <v>419</v>
      </c>
      <c r="N3" s="56" t="s">
        <v>200</v>
      </c>
    </row>
    <row r="4" spans="1:15" ht="70" x14ac:dyDescent="0.15">
      <c r="A4" s="81" t="s">
        <v>197</v>
      </c>
      <c r="B4" s="82">
        <f>floors!$C$2</f>
        <v>40023</v>
      </c>
      <c r="C4" s="83" t="str">
        <f ca="1">VLOOKUP($B4,OFFSET([2]quests!$A$1,0,0,COUNTA([2]quests!$A:$A),MATCH(C$1,[2]quests!$1:$1,0)-MATCH($B$1,[2]quests!$1:$1,0)+1),MATCH(C$1,[2]quests!$1:$1,0)-MATCH($B$1,[2]quests!$1:$1,0)+1,FALSE)</f>
        <v>武蔵坊弁慶襲来！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降臨23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降臨23</v>
      </c>
      <c r="H4" s="85">
        <v>3</v>
      </c>
      <c r="I4" s="90">
        <f t="shared" si="0"/>
        <v>3</v>
      </c>
      <c r="J4" s="86" t="str">
        <f t="shared" si="1"/>
        <v>4002303</v>
      </c>
      <c r="K4" s="84" t="s">
        <v>127</v>
      </c>
      <c r="L4" s="87" t="s">
        <v>199</v>
      </c>
      <c r="M4" s="129" t="s">
        <v>420</v>
      </c>
      <c r="N4" s="56" t="s">
        <v>200</v>
      </c>
    </row>
    <row r="5" spans="1:15" ht="70" x14ac:dyDescent="0.15">
      <c r="A5" s="81" t="s">
        <v>197</v>
      </c>
      <c r="B5" s="82">
        <f>floors!$C$2</f>
        <v>40023</v>
      </c>
      <c r="C5" s="83" t="str">
        <f ca="1">VLOOKUP($B5,OFFSET([2]quests!$A$1,0,0,COUNTA([2]quests!$A:$A),MATCH(C$1,[2]quests!$1:$1,0)-MATCH($B$1,[2]quests!$1:$1,0)+1),MATCH(C$1,[2]quests!$1:$1,0)-MATCH($B$1,[2]quests!$1:$1,0)+1,FALSE)</f>
        <v>武蔵坊弁慶襲来！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降臨23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降臨23</v>
      </c>
      <c r="H5" s="85">
        <v>4</v>
      </c>
      <c r="I5" s="90">
        <f t="shared" si="0"/>
        <v>4</v>
      </c>
      <c r="J5" s="86" t="str">
        <f t="shared" si="1"/>
        <v>4002304</v>
      </c>
      <c r="K5" s="84" t="s">
        <v>127</v>
      </c>
      <c r="L5" s="87" t="s">
        <v>199</v>
      </c>
      <c r="M5" s="129" t="s">
        <v>433</v>
      </c>
      <c r="N5" s="56" t="s">
        <v>200</v>
      </c>
      <c r="O5">
        <f>LEN(M5)</f>
        <v>60</v>
      </c>
    </row>
    <row r="6" spans="1:15" ht="56" x14ac:dyDescent="0.15">
      <c r="A6" s="81" t="s">
        <v>197</v>
      </c>
      <c r="B6" s="82">
        <f>floors!$C$2</f>
        <v>40023</v>
      </c>
      <c r="C6" s="83" t="str">
        <f ca="1">VLOOKUP($B6,OFFSET([2]quests!$A$1,0,0,COUNTA([2]quests!$A:$A),MATCH(C$1,[2]quests!$1:$1,0)-MATCH($B$1,[2]quests!$1:$1,0)+1),MATCH(C$1,[2]quests!$1:$1,0)-MATCH($B$1,[2]quests!$1:$1,0)+1,FALSE)</f>
        <v>武蔵坊弁慶襲来！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降臨23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降臨23</v>
      </c>
      <c r="H6" s="85">
        <v>4</v>
      </c>
      <c r="I6" s="90">
        <f t="shared" si="0"/>
        <v>5</v>
      </c>
      <c r="J6" s="86" t="str">
        <f t="shared" si="1"/>
        <v>4002305</v>
      </c>
      <c r="K6" s="84" t="s">
        <v>127</v>
      </c>
      <c r="L6" s="87" t="s">
        <v>199</v>
      </c>
      <c r="M6" s="129" t="s">
        <v>434</v>
      </c>
      <c r="N6" s="56" t="s">
        <v>200</v>
      </c>
      <c r="O6">
        <f t="shared" ref="O6:O21" si="2">LEN(M6)</f>
        <v>61</v>
      </c>
    </row>
    <row r="7" spans="1:15" ht="56" x14ac:dyDescent="0.15">
      <c r="A7" s="81" t="s">
        <v>197</v>
      </c>
      <c r="B7" s="82">
        <f>floors!$C$2</f>
        <v>40023</v>
      </c>
      <c r="C7" s="83" t="str">
        <f ca="1">VLOOKUP($B7,OFFSET([2]quests!$A$1,0,0,COUNTA([2]quests!$A:$A),MATCH(C$1,[2]quests!$1:$1,0)-MATCH($B$1,[2]quests!$1:$1,0)+1),MATCH(C$1,[2]quests!$1:$1,0)-MATCH($B$1,[2]quests!$1:$1,0)+1,FALSE)</f>
        <v>武蔵坊弁慶襲来！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降臨23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降臨23</v>
      </c>
      <c r="H7" s="85">
        <v>1</v>
      </c>
      <c r="I7" s="90">
        <f t="shared" si="0"/>
        <v>6</v>
      </c>
      <c r="J7" s="86" t="str">
        <f t="shared" si="1"/>
        <v>4002306</v>
      </c>
      <c r="K7" s="84" t="s">
        <v>127</v>
      </c>
      <c r="L7" s="87" t="s">
        <v>199</v>
      </c>
      <c r="M7" s="129" t="s">
        <v>418</v>
      </c>
      <c r="N7" s="56" t="s">
        <v>200</v>
      </c>
      <c r="O7">
        <f t="shared" si="2"/>
        <v>46</v>
      </c>
    </row>
    <row r="8" spans="1:15" ht="56" x14ac:dyDescent="0.15">
      <c r="A8" s="81" t="s">
        <v>197</v>
      </c>
      <c r="B8" s="82">
        <f>floors!$C$2</f>
        <v>40023</v>
      </c>
      <c r="C8" s="83" t="str">
        <f ca="1">VLOOKUP($B8,OFFSET([2]quests!$A$1,0,0,COUNTA([2]quests!$A:$A),MATCH(C$1,[2]quests!$1:$1,0)-MATCH($B$1,[2]quests!$1:$1,0)+1),MATCH(C$1,[2]quests!$1:$1,0)-MATCH($B$1,[2]quests!$1:$1,0)+1,FALSE)</f>
        <v>武蔵坊弁慶襲来！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降臨23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降臨23</v>
      </c>
      <c r="H8" s="85">
        <v>2</v>
      </c>
      <c r="I8" s="90">
        <f t="shared" si="0"/>
        <v>7</v>
      </c>
      <c r="J8" s="86" t="str">
        <f t="shared" si="1"/>
        <v>4002307</v>
      </c>
      <c r="K8" s="84" t="s">
        <v>127</v>
      </c>
      <c r="L8" s="87" t="s">
        <v>199</v>
      </c>
      <c r="M8" s="129" t="s">
        <v>419</v>
      </c>
      <c r="N8" s="56" t="s">
        <v>200</v>
      </c>
      <c r="O8">
        <f t="shared" si="2"/>
        <v>44</v>
      </c>
    </row>
    <row r="9" spans="1:15" ht="70" x14ac:dyDescent="0.15">
      <c r="A9" s="81" t="s">
        <v>197</v>
      </c>
      <c r="B9" s="82">
        <f>floors!$C$2</f>
        <v>40023</v>
      </c>
      <c r="C9" s="83" t="str">
        <f ca="1">VLOOKUP($B9,OFFSET([2]quests!$A$1,0,0,COUNTA([2]quests!$A:$A),MATCH(C$1,[2]quests!$1:$1,0)-MATCH($B$1,[2]quests!$1:$1,0)+1),MATCH(C$1,[2]quests!$1:$1,0)-MATCH($B$1,[2]quests!$1:$1,0)+1,FALSE)</f>
        <v>武蔵坊弁慶襲来！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降臨23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降臨23</v>
      </c>
      <c r="H9" s="85">
        <v>3</v>
      </c>
      <c r="I9" s="90">
        <f t="shared" si="0"/>
        <v>8</v>
      </c>
      <c r="J9" s="86" t="str">
        <f t="shared" si="1"/>
        <v>4002308</v>
      </c>
      <c r="K9" s="84" t="s">
        <v>127</v>
      </c>
      <c r="L9" s="87" t="s">
        <v>199</v>
      </c>
      <c r="M9" s="129" t="s">
        <v>420</v>
      </c>
      <c r="N9" s="56" t="s">
        <v>200</v>
      </c>
      <c r="O9">
        <f t="shared" si="2"/>
        <v>61</v>
      </c>
    </row>
    <row r="10" spans="1:15" ht="70" x14ac:dyDescent="0.15">
      <c r="A10" s="81" t="s">
        <v>197</v>
      </c>
      <c r="B10" s="82">
        <f>floors!$C$2</f>
        <v>40023</v>
      </c>
      <c r="C10" s="83" t="str">
        <f ca="1">VLOOKUP($B10,OFFSET([2]quests!$A$1,0,0,COUNTA([2]quests!$A:$A),MATCH(C$1,[2]quests!$1:$1,0)-MATCH($B$1,[2]quests!$1:$1,0)+1),MATCH(C$1,[2]quests!$1:$1,0)-MATCH($B$1,[2]quests!$1:$1,0)+1,FALSE)</f>
        <v>武蔵坊弁慶襲来！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降臨23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降臨23</v>
      </c>
      <c r="H10" s="85">
        <v>4</v>
      </c>
      <c r="I10" s="90">
        <f t="shared" si="0"/>
        <v>9</v>
      </c>
      <c r="J10" s="86" t="str">
        <f t="shared" si="1"/>
        <v>4002309</v>
      </c>
      <c r="K10" s="84" t="s">
        <v>127</v>
      </c>
      <c r="L10" s="87" t="s">
        <v>199</v>
      </c>
      <c r="M10" s="129" t="s">
        <v>433</v>
      </c>
      <c r="N10" s="56" t="s">
        <v>200</v>
      </c>
      <c r="O10">
        <f t="shared" si="2"/>
        <v>60</v>
      </c>
    </row>
    <row r="11" spans="1:15" ht="56" x14ac:dyDescent="0.15">
      <c r="A11" s="81" t="s">
        <v>197</v>
      </c>
      <c r="B11" s="82">
        <f>floors!$C$2</f>
        <v>40023</v>
      </c>
      <c r="C11" s="83" t="str">
        <f ca="1">VLOOKUP($B11,OFFSET([2]quests!$A$1,0,0,COUNTA([2]quests!$A:$A),MATCH(C$1,[2]quests!$1:$1,0)-MATCH($B$1,[2]quests!$1:$1,0)+1),MATCH(C$1,[2]quests!$1:$1,0)-MATCH($B$1,[2]quests!$1:$1,0)+1,FALSE)</f>
        <v>武蔵坊弁慶襲来！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降臨23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降臨23</v>
      </c>
      <c r="H11" s="85">
        <v>4</v>
      </c>
      <c r="I11" s="90">
        <f t="shared" si="0"/>
        <v>10</v>
      </c>
      <c r="J11" s="86" t="str">
        <f t="shared" si="1"/>
        <v>4002310</v>
      </c>
      <c r="K11" s="84" t="s">
        <v>127</v>
      </c>
      <c r="L11" s="87" t="s">
        <v>199</v>
      </c>
      <c r="M11" s="129" t="s">
        <v>434</v>
      </c>
      <c r="N11" s="56" t="s">
        <v>200</v>
      </c>
      <c r="O11">
        <f t="shared" si="2"/>
        <v>61</v>
      </c>
    </row>
    <row r="12" spans="1:15" ht="70" x14ac:dyDescent="0.15">
      <c r="A12" s="81" t="s">
        <v>197</v>
      </c>
      <c r="B12" s="82">
        <f>floors!$C$2</f>
        <v>40023</v>
      </c>
      <c r="C12" s="83" t="str">
        <f ca="1">VLOOKUP($B12,OFFSET([2]quests!$A$1,0,0,COUNTA([2]quests!$A:$A),MATCH(C$1,[2]quests!$1:$1,0)-MATCH($B$1,[2]quests!$1:$1,0)+1),MATCH(C$1,[2]quests!$1:$1,0)-MATCH($B$1,[2]quests!$1:$1,0)+1,FALSE)</f>
        <v>武蔵坊弁慶襲来！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降臨23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降臨23</v>
      </c>
      <c r="H12" s="85">
        <v>4</v>
      </c>
      <c r="I12" s="90">
        <f t="shared" si="0"/>
        <v>11</v>
      </c>
      <c r="J12" s="86" t="str">
        <f t="shared" si="1"/>
        <v>4002311</v>
      </c>
      <c r="K12" s="84" t="s">
        <v>127</v>
      </c>
      <c r="L12" s="87" t="s">
        <v>199</v>
      </c>
      <c r="M12" s="129" t="s">
        <v>435</v>
      </c>
      <c r="N12" s="56" t="s">
        <v>200</v>
      </c>
      <c r="O12">
        <f t="shared" si="2"/>
        <v>64</v>
      </c>
    </row>
    <row r="13" spans="1:15" ht="70" x14ac:dyDescent="0.15">
      <c r="A13" s="81" t="s">
        <v>197</v>
      </c>
      <c r="B13" s="82">
        <f>floors!$C$2</f>
        <v>40023</v>
      </c>
      <c r="C13" s="83" t="str">
        <f ca="1">VLOOKUP($B13,OFFSET([2]quests!$A$1,0,0,COUNTA([2]quests!$A:$A),MATCH(C$1,[2]quests!$1:$1,0)-MATCH($B$1,[2]quests!$1:$1,0)+1),MATCH(C$1,[2]quests!$1:$1,0)-MATCH($B$1,[2]quests!$1:$1,0)+1,FALSE)</f>
        <v>武蔵坊弁慶襲来！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降臨23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降臨23</v>
      </c>
      <c r="H13" s="85">
        <v>4</v>
      </c>
      <c r="I13" s="90">
        <f t="shared" si="0"/>
        <v>12</v>
      </c>
      <c r="J13" s="86" t="str">
        <f t="shared" si="1"/>
        <v>4002312</v>
      </c>
      <c r="K13" s="84" t="s">
        <v>127</v>
      </c>
      <c r="L13" s="87" t="s">
        <v>199</v>
      </c>
      <c r="M13" s="129" t="s">
        <v>436</v>
      </c>
      <c r="N13" s="56" t="s">
        <v>200</v>
      </c>
      <c r="O13">
        <f t="shared" si="2"/>
        <v>62</v>
      </c>
    </row>
    <row r="14" spans="1:15" ht="28" x14ac:dyDescent="0.15">
      <c r="A14" s="81" t="s">
        <v>201</v>
      </c>
      <c r="B14" s="82">
        <f>floors!$C$2</f>
        <v>40023</v>
      </c>
      <c r="C14" s="83" t="str">
        <f ca="1">VLOOKUP($B14,OFFSET([2]quests!$A$1,0,0,COUNTA([2]quests!$A:$A),MATCH(C$1,[2]quests!$1:$1,0)-MATCH($B$1,[2]quests!$1:$1,0)+1),MATCH(C$1,[2]quests!$1:$1,0)-MATCH($B$1,[2]quests!$1:$1,0)+1,FALSE)</f>
        <v>武蔵坊弁慶襲来！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降臨23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降臨23</v>
      </c>
      <c r="H14" s="85">
        <v>0</v>
      </c>
      <c r="I14" s="90">
        <f t="shared" si="0"/>
        <v>13</v>
      </c>
      <c r="J14" s="86" t="str">
        <f t="shared" si="1"/>
        <v>4002313</v>
      </c>
      <c r="K14" s="84" t="s">
        <v>127</v>
      </c>
      <c r="L14" s="87" t="s">
        <v>440</v>
      </c>
      <c r="M14" s="129" t="s">
        <v>437</v>
      </c>
      <c r="N14" s="56" t="s">
        <v>200</v>
      </c>
      <c r="O14">
        <f t="shared" si="2"/>
        <v>40</v>
      </c>
    </row>
    <row r="15" spans="1:15" ht="59" customHeight="1" x14ac:dyDescent="0.15">
      <c r="A15" s="81" t="s">
        <v>201</v>
      </c>
      <c r="B15" s="82">
        <f>floors!$C$2</f>
        <v>40023</v>
      </c>
      <c r="C15" s="83" t="str">
        <f ca="1">VLOOKUP($B15,OFFSET([2]quests!$A$1,0,0,COUNTA([2]quests!$A:$A),MATCH(C$1,[2]quests!$1:$1,0)-MATCH($B$1,[2]quests!$1:$1,0)+1),MATCH(C$1,[2]quests!$1:$1,0)-MATCH($B$1,[2]quests!$1:$1,0)+1,FALSE)</f>
        <v>武蔵坊弁慶襲来！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降臨23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降臨23</v>
      </c>
      <c r="H15" s="85">
        <v>0</v>
      </c>
      <c r="I15" s="90">
        <f t="shared" si="0"/>
        <v>14</v>
      </c>
      <c r="J15" s="86" t="str">
        <f t="shared" si="1"/>
        <v>4002314</v>
      </c>
      <c r="K15" s="84" t="s">
        <v>127</v>
      </c>
      <c r="L15" s="87" t="s">
        <v>441</v>
      </c>
      <c r="M15" s="129" t="s">
        <v>438</v>
      </c>
      <c r="N15" s="56" t="s">
        <v>200</v>
      </c>
      <c r="O15">
        <f t="shared" si="2"/>
        <v>56</v>
      </c>
    </row>
    <row r="16" spans="1:15" ht="42" x14ac:dyDescent="0.15">
      <c r="A16" s="81" t="s">
        <v>201</v>
      </c>
      <c r="B16" s="82">
        <f>floors!$C$2</f>
        <v>40023</v>
      </c>
      <c r="C16" s="83" t="str">
        <f ca="1">VLOOKUP($B16,OFFSET([2]quests!$A$1,0,0,COUNTA([2]quests!$A:$A),MATCH(C$1,[2]quests!$1:$1,0)-MATCH($B$1,[2]quests!$1:$1,0)+1),MATCH(C$1,[2]quests!$1:$1,0)-MATCH($B$1,[2]quests!$1:$1,0)+1,FALSE)</f>
        <v>武蔵坊弁慶襲来！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降臨23</v>
      </c>
      <c r="E16" s="84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降臨23</v>
      </c>
      <c r="H16" s="85">
        <v>0</v>
      </c>
      <c r="I16" s="90">
        <f t="shared" si="0"/>
        <v>15</v>
      </c>
      <c r="J16" s="86" t="str">
        <f t="shared" si="1"/>
        <v>4002315</v>
      </c>
      <c r="K16" s="84" t="s">
        <v>127</v>
      </c>
      <c r="L16" s="87" t="s">
        <v>431</v>
      </c>
      <c r="M16" s="129" t="s">
        <v>444</v>
      </c>
      <c r="N16" s="56" t="s">
        <v>200</v>
      </c>
      <c r="O16">
        <f t="shared" si="2"/>
        <v>62</v>
      </c>
    </row>
    <row r="17" spans="1:15" ht="42" x14ac:dyDescent="0.15">
      <c r="A17" s="81" t="s">
        <v>421</v>
      </c>
      <c r="B17" s="82">
        <f>floors!$C$2</f>
        <v>40023</v>
      </c>
      <c r="C17" s="83" t="str">
        <f ca="1">VLOOKUP($B17,OFFSET([2]quests!$A$1,0,0,COUNTA([2]quests!$A:$A),MATCH(C$1,[2]quests!$1:$1,0)-MATCH($B$1,[2]quests!$1:$1,0)+1),MATCH(C$1,[2]quests!$1:$1,0)-MATCH($B$1,[2]quests!$1:$1,0)+1,FALSE)</f>
        <v>武蔵坊弁慶襲来！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降臨23</v>
      </c>
      <c r="E17" s="84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 xml:space="preserve">【超絶級】武蔵坊弁慶襲来 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降臨23</v>
      </c>
      <c r="H17" s="85">
        <v>0</v>
      </c>
      <c r="I17" s="90">
        <f t="shared" si="0"/>
        <v>16</v>
      </c>
      <c r="J17" s="86" t="str">
        <f t="shared" si="1"/>
        <v>4002316</v>
      </c>
      <c r="K17" s="84" t="s">
        <v>127</v>
      </c>
      <c r="L17" s="87" t="s">
        <v>432</v>
      </c>
      <c r="M17" s="129" t="s">
        <v>422</v>
      </c>
      <c r="N17" s="56" t="s">
        <v>200</v>
      </c>
      <c r="O17">
        <f t="shared" si="2"/>
        <v>57</v>
      </c>
    </row>
    <row r="18" spans="1:15" ht="28" x14ac:dyDescent="0.15">
      <c r="A18" s="81" t="s">
        <v>201</v>
      </c>
      <c r="B18" s="82">
        <f>floors!$C$2</f>
        <v>40023</v>
      </c>
      <c r="C18" s="83" t="str">
        <f ca="1">VLOOKUP($B18,OFFSET([2]quests!$A$1,0,0,COUNTA([2]quests!$A:$A),MATCH(C$1,[2]quests!$1:$1,0)-MATCH($B$1,[2]quests!$1:$1,0)+1),MATCH(C$1,[2]quests!$1:$1,0)-MATCH($B$1,[2]quests!$1:$1,0)+1,FALSE)</f>
        <v>武蔵坊弁慶襲来！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降臨23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降臨23</v>
      </c>
      <c r="H18" s="85">
        <v>0</v>
      </c>
      <c r="I18" s="90">
        <f t="shared" si="0"/>
        <v>17</v>
      </c>
      <c r="J18" s="86" t="str">
        <f t="shared" si="1"/>
        <v>4002317</v>
      </c>
      <c r="K18" s="84" t="s">
        <v>127</v>
      </c>
      <c r="L18" s="87" t="s">
        <v>442</v>
      </c>
      <c r="M18" s="129" t="s">
        <v>439</v>
      </c>
      <c r="N18" s="56" t="s">
        <v>200</v>
      </c>
      <c r="O18">
        <f t="shared" si="2"/>
        <v>40</v>
      </c>
    </row>
    <row r="19" spans="1:15" ht="42" x14ac:dyDescent="0.15">
      <c r="A19" s="81" t="s">
        <v>201</v>
      </c>
      <c r="B19" s="82">
        <f>floors!$C$2</f>
        <v>40023</v>
      </c>
      <c r="C19" s="83" t="str">
        <f ca="1">VLOOKUP($B19,OFFSET([2]quests!$A$1,0,0,COUNTA([2]quests!$A:$A),MATCH(C$1,[2]quests!$1:$1,0)-MATCH($B$1,[2]quests!$1:$1,0)+1),MATCH(C$1,[2]quests!$1:$1,0)-MATCH($B$1,[2]quests!$1:$1,0)+1,FALSE)</f>
        <v>武蔵坊弁慶襲来！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降臨23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降臨23</v>
      </c>
      <c r="H19" s="85">
        <v>0</v>
      </c>
      <c r="I19" s="90">
        <f t="shared" si="0"/>
        <v>18</v>
      </c>
      <c r="J19" s="86" t="str">
        <f t="shared" si="1"/>
        <v>4002318</v>
      </c>
      <c r="K19" s="84" t="s">
        <v>127</v>
      </c>
      <c r="L19" s="87" t="s">
        <v>443</v>
      </c>
      <c r="M19" s="129" t="s">
        <v>445</v>
      </c>
      <c r="N19" s="56" t="s">
        <v>200</v>
      </c>
      <c r="O19">
        <f t="shared" si="2"/>
        <v>56</v>
      </c>
    </row>
    <row r="20" spans="1:15" ht="42" x14ac:dyDescent="0.15">
      <c r="A20" s="81" t="s">
        <v>201</v>
      </c>
      <c r="B20" s="82">
        <f>floors!$C$2</f>
        <v>40023</v>
      </c>
      <c r="C20" s="83" t="str">
        <f ca="1">VLOOKUP($B20,OFFSET([2]quests!$A$1,0,0,COUNTA([2]quests!$A:$A),MATCH(C$1,[2]quests!$1:$1,0)-MATCH($B$1,[2]quests!$1:$1,0)+1),MATCH(C$1,[2]quests!$1:$1,0)-MATCH($B$1,[2]quests!$1:$1,0)+1,FALSE)</f>
        <v>武蔵坊弁慶襲来！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降臨23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降臨23</v>
      </c>
      <c r="H20" s="85">
        <v>0</v>
      </c>
      <c r="I20" s="90">
        <f t="shared" si="0"/>
        <v>19</v>
      </c>
      <c r="J20" s="86" t="str">
        <f t="shared" si="1"/>
        <v>4002319</v>
      </c>
      <c r="K20" s="84" t="s">
        <v>127</v>
      </c>
      <c r="L20" s="87" t="s">
        <v>431</v>
      </c>
      <c r="M20" s="129" t="s">
        <v>444</v>
      </c>
      <c r="N20" s="56" t="s">
        <v>200</v>
      </c>
      <c r="O20">
        <f t="shared" si="2"/>
        <v>62</v>
      </c>
    </row>
    <row r="21" spans="1:15" ht="42" x14ac:dyDescent="0.15">
      <c r="A21" s="81" t="s">
        <v>421</v>
      </c>
      <c r="B21" s="82">
        <f>floors!$C$2</f>
        <v>40023</v>
      </c>
      <c r="C21" s="83" t="str">
        <f ca="1">VLOOKUP($B21,OFFSET([2]quests!$A$1,0,0,COUNTA([2]quests!$A:$A),MATCH(C$1,[2]quests!$1:$1,0)-MATCH($B$1,[2]quests!$1:$1,0)+1),MATCH(C$1,[2]quests!$1:$1,0)-MATCH($B$1,[2]quests!$1:$1,0)+1,FALSE)</f>
        <v>武蔵坊弁慶襲来！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降臨23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降臨23</v>
      </c>
      <c r="H21" s="85">
        <v>0</v>
      </c>
      <c r="I21" s="90">
        <f t="shared" si="0"/>
        <v>20</v>
      </c>
      <c r="J21" s="86" t="str">
        <f t="shared" si="1"/>
        <v>4002320</v>
      </c>
      <c r="K21" s="84" t="s">
        <v>127</v>
      </c>
      <c r="L21" s="87" t="s">
        <v>432</v>
      </c>
      <c r="M21" s="129" t="s">
        <v>422</v>
      </c>
      <c r="N21" s="56" t="s">
        <v>200</v>
      </c>
      <c r="O21">
        <f t="shared" si="2"/>
        <v>57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156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40023_2_everyone_no_continue_1</v>
      </c>
      <c r="B2" s="82">
        <v>40023</v>
      </c>
      <c r="C2" s="83" t="str">
        <f ca="1">VLOOKUP($B2,OFFSET([2]quests!$A$1,0,0,COUNTA([2]quests!$A:$A),MATCH(C$1,[2]quests!$1:$1,0)-MATCH($B$1,[2]quests!$1:$1,0)+1),MATCH(C$1,[2]quests!$1:$1,0)-MATCH($B$1,[2]quests!$1:$1,0)+1,FALSE)</f>
        <v>武蔵坊弁慶襲来！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降臨23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【ウィザード級】武蔵坊弁慶襲来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降臨23</v>
      </c>
      <c r="H2" s="85" t="s">
        <v>227</v>
      </c>
      <c r="I2" s="84" t="s">
        <v>231</v>
      </c>
      <c r="J2" s="84">
        <v>1</v>
      </c>
      <c r="K2" s="84">
        <v>1000</v>
      </c>
      <c r="L2" s="84" t="s">
        <v>228</v>
      </c>
      <c r="M2" s="84">
        <v>1024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武蔵坊弁慶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229</v>
      </c>
      <c r="X2" s="99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2017-03-15T10:42:31Z</dcterms:modified>
</cp:coreProperties>
</file>