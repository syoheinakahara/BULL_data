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tagashirashuntakashi/BULL_data/master_excel/"/>
    </mc:Choice>
  </mc:AlternateContent>
  <bookViews>
    <workbookView xWindow="8740" yWindow="3240" windowWidth="23700" windowHeight="15100" tabRatio="740" activeTab="3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stage_hints_complete!$B$1:$L$2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5" i="7" l="1"/>
  <c r="S7" i="1"/>
  <c r="J69" i="11"/>
  <c r="O47" i="9"/>
  <c r="N47" i="9"/>
  <c r="M47" i="9"/>
  <c r="L47" i="9"/>
  <c r="K47" i="9"/>
  <c r="J47" i="9"/>
  <c r="I47" i="9"/>
  <c r="H47" i="9"/>
  <c r="G47" i="9"/>
  <c r="E47" i="9"/>
  <c r="D47" i="9"/>
  <c r="A47" i="9"/>
  <c r="J68" i="11"/>
  <c r="O46" i="9"/>
  <c r="N46" i="9"/>
  <c r="M46" i="9"/>
  <c r="L46" i="9"/>
  <c r="K46" i="9"/>
  <c r="J46" i="9"/>
  <c r="I46" i="9"/>
  <c r="H46" i="9"/>
  <c r="G46" i="9"/>
  <c r="E46" i="9"/>
  <c r="D46" i="9"/>
  <c r="A46" i="9"/>
  <c r="J67" i="11"/>
  <c r="O45" i="9"/>
  <c r="N45" i="9"/>
  <c r="M45" i="9"/>
  <c r="L45" i="9"/>
  <c r="K45" i="9"/>
  <c r="J45" i="9"/>
  <c r="I45" i="9"/>
  <c r="H45" i="9"/>
  <c r="G45" i="9"/>
  <c r="E45" i="9"/>
  <c r="D45" i="9"/>
  <c r="A45" i="9"/>
  <c r="S3" i="1"/>
  <c r="S5" i="1"/>
  <c r="S6" i="1"/>
  <c r="T2" i="7"/>
  <c r="T3" i="7"/>
  <c r="T4" i="7"/>
  <c r="J62" i="11"/>
  <c r="O62" i="9"/>
  <c r="N62" i="9"/>
  <c r="M62" i="9"/>
  <c r="L62" i="9"/>
  <c r="K62" i="9"/>
  <c r="J62" i="9"/>
  <c r="I62" i="9"/>
  <c r="H62" i="9"/>
  <c r="G62" i="9"/>
  <c r="E62" i="9"/>
  <c r="D62" i="9"/>
  <c r="A62" i="9"/>
  <c r="M62" i="10"/>
  <c r="T62" i="10"/>
  <c r="W62" i="10"/>
  <c r="V62" i="10"/>
  <c r="X62" i="10"/>
  <c r="U62" i="10"/>
  <c r="Y62" i="10"/>
  <c r="N62" i="10"/>
  <c r="Q62" i="10"/>
  <c r="P62" i="10"/>
  <c r="R62" i="10"/>
  <c r="O62" i="10"/>
  <c r="S62" i="10"/>
  <c r="G62" i="10"/>
  <c r="J62" i="10"/>
  <c r="I62" i="10"/>
  <c r="K62" i="10"/>
  <c r="H62" i="10"/>
  <c r="L62" i="10"/>
  <c r="S4" i="1"/>
  <c r="S2" i="1"/>
  <c r="V5" i="7"/>
  <c r="V4" i="7"/>
  <c r="V3" i="7"/>
  <c r="V2" i="7"/>
  <c r="U7" i="1"/>
  <c r="U6" i="1"/>
  <c r="U5" i="1"/>
  <c r="U4" i="1"/>
  <c r="U2" i="1"/>
  <c r="V4" i="1"/>
  <c r="V2" i="1"/>
  <c r="AD4" i="1"/>
  <c r="AF4" i="1"/>
  <c r="AI4" i="1"/>
  <c r="AG4" i="1"/>
  <c r="AE4" i="1"/>
  <c r="AC4" i="1"/>
  <c r="E2" i="9"/>
  <c r="X4" i="1"/>
  <c r="T4" i="1"/>
  <c r="Q4" i="1"/>
  <c r="P4" i="1"/>
  <c r="O4" i="1"/>
  <c r="N4" i="1"/>
  <c r="M4" i="1"/>
  <c r="H4" i="1"/>
  <c r="J4" i="1"/>
  <c r="I4" i="1"/>
  <c r="D4" i="1"/>
  <c r="F4" i="1"/>
  <c r="E4" i="1"/>
  <c r="A4" i="1"/>
  <c r="AD3" i="1"/>
  <c r="AF3" i="1"/>
  <c r="AI3" i="1"/>
  <c r="AG3" i="1"/>
  <c r="AE3" i="1"/>
  <c r="E4" i="9"/>
  <c r="X3" i="1"/>
  <c r="U3" i="1"/>
  <c r="V3" i="1"/>
  <c r="T3" i="1"/>
  <c r="Q3" i="1"/>
  <c r="P3" i="1"/>
  <c r="O3" i="1"/>
  <c r="N3" i="1"/>
  <c r="M3" i="1"/>
  <c r="H3" i="1"/>
  <c r="J3" i="1"/>
  <c r="I3" i="1"/>
  <c r="D3" i="1"/>
  <c r="F3" i="1"/>
  <c r="E3" i="1"/>
  <c r="A3" i="1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J46" i="11"/>
  <c r="J36" i="11"/>
  <c r="J38" i="11"/>
  <c r="M39" i="10"/>
  <c r="T39" i="10"/>
  <c r="W39" i="10"/>
  <c r="V39" i="10"/>
  <c r="X39" i="10"/>
  <c r="U39" i="10"/>
  <c r="Y39" i="10"/>
  <c r="M51" i="10"/>
  <c r="M59" i="10"/>
  <c r="N59" i="10"/>
  <c r="Q59" i="10"/>
  <c r="P59" i="10"/>
  <c r="R59" i="10"/>
  <c r="O59" i="10"/>
  <c r="S59" i="10"/>
  <c r="N51" i="10"/>
  <c r="Q51" i="10"/>
  <c r="P51" i="10"/>
  <c r="R51" i="10"/>
  <c r="O51" i="10"/>
  <c r="S51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J35" i="11"/>
  <c r="W5" i="7"/>
  <c r="W4" i="7"/>
  <c r="W3" i="7"/>
  <c r="W2" i="7"/>
  <c r="U5" i="7"/>
  <c r="U4" i="7"/>
  <c r="U3" i="7"/>
  <c r="U2" i="7"/>
  <c r="V7" i="1"/>
  <c r="V6" i="1"/>
  <c r="V5" i="1"/>
  <c r="T7" i="1"/>
  <c r="T6" i="1"/>
  <c r="T5" i="1"/>
  <c r="T2" i="1"/>
  <c r="Y5" i="7"/>
  <c r="R5" i="7"/>
  <c r="Q5" i="7"/>
  <c r="P5" i="7"/>
  <c r="O5" i="7"/>
  <c r="N5" i="7"/>
  <c r="H5" i="7"/>
  <c r="G2" i="2"/>
  <c r="A2" i="2"/>
  <c r="G3" i="2"/>
  <c r="A3" i="2"/>
  <c r="G4" i="2"/>
  <c r="A4" i="2"/>
  <c r="G5" i="2"/>
  <c r="A5" i="2"/>
  <c r="J5" i="7"/>
  <c r="I5" i="7"/>
  <c r="D5" i="7"/>
  <c r="F5" i="7"/>
  <c r="E5" i="7"/>
  <c r="A5" i="7"/>
  <c r="J2" i="11"/>
  <c r="O69" i="9"/>
  <c r="N69" i="9"/>
  <c r="M69" i="9"/>
  <c r="L69" i="9"/>
  <c r="K69" i="9"/>
  <c r="J69" i="9"/>
  <c r="I69" i="9"/>
  <c r="H69" i="9"/>
  <c r="G69" i="9"/>
  <c r="E69" i="9"/>
  <c r="D69" i="9"/>
  <c r="A69" i="9"/>
  <c r="O68" i="9"/>
  <c r="N68" i="9"/>
  <c r="M68" i="9"/>
  <c r="L68" i="9"/>
  <c r="K68" i="9"/>
  <c r="J68" i="9"/>
  <c r="I68" i="9"/>
  <c r="H68" i="9"/>
  <c r="G68" i="9"/>
  <c r="E68" i="9"/>
  <c r="D68" i="9"/>
  <c r="A68" i="9"/>
  <c r="J66" i="11"/>
  <c r="O67" i="9"/>
  <c r="N67" i="9"/>
  <c r="M67" i="9"/>
  <c r="L67" i="9"/>
  <c r="K67" i="9"/>
  <c r="J67" i="9"/>
  <c r="I67" i="9"/>
  <c r="H67" i="9"/>
  <c r="G67" i="9"/>
  <c r="E67" i="9"/>
  <c r="D67" i="9"/>
  <c r="A67" i="9"/>
  <c r="J65" i="11"/>
  <c r="O66" i="9"/>
  <c r="N66" i="9"/>
  <c r="M66" i="9"/>
  <c r="L66" i="9"/>
  <c r="K66" i="9"/>
  <c r="J66" i="9"/>
  <c r="I66" i="9"/>
  <c r="H66" i="9"/>
  <c r="G66" i="9"/>
  <c r="E66" i="9"/>
  <c r="D66" i="9"/>
  <c r="A66" i="9"/>
  <c r="J64" i="11"/>
  <c r="O65" i="9"/>
  <c r="N65" i="9"/>
  <c r="M65" i="9"/>
  <c r="L65" i="9"/>
  <c r="K65" i="9"/>
  <c r="J65" i="9"/>
  <c r="I65" i="9"/>
  <c r="H65" i="9"/>
  <c r="G65" i="9"/>
  <c r="E65" i="9"/>
  <c r="D65" i="9"/>
  <c r="A65" i="9"/>
  <c r="O64" i="9"/>
  <c r="N64" i="9"/>
  <c r="M64" i="9"/>
  <c r="L64" i="9"/>
  <c r="K64" i="9"/>
  <c r="J64" i="9"/>
  <c r="I64" i="9"/>
  <c r="H64" i="9"/>
  <c r="G64" i="9"/>
  <c r="E64" i="9"/>
  <c r="D64" i="9"/>
  <c r="A64" i="9"/>
  <c r="J63" i="11"/>
  <c r="O63" i="9"/>
  <c r="N63" i="9"/>
  <c r="M63" i="9"/>
  <c r="L63" i="9"/>
  <c r="K63" i="9"/>
  <c r="J63" i="9"/>
  <c r="I63" i="9"/>
  <c r="H63" i="9"/>
  <c r="G63" i="9"/>
  <c r="E63" i="9"/>
  <c r="D63" i="9"/>
  <c r="A63" i="9"/>
  <c r="J61" i="11"/>
  <c r="O61" i="9"/>
  <c r="N61" i="9"/>
  <c r="M61" i="9"/>
  <c r="L61" i="9"/>
  <c r="K61" i="9"/>
  <c r="J61" i="9"/>
  <c r="I61" i="9"/>
  <c r="H61" i="9"/>
  <c r="G61" i="9"/>
  <c r="E61" i="9"/>
  <c r="D61" i="9"/>
  <c r="A61" i="9"/>
  <c r="J60" i="11"/>
  <c r="O60" i="9"/>
  <c r="N60" i="9"/>
  <c r="M60" i="9"/>
  <c r="L60" i="9"/>
  <c r="K60" i="9"/>
  <c r="J60" i="9"/>
  <c r="I60" i="9"/>
  <c r="H60" i="9"/>
  <c r="G60" i="9"/>
  <c r="E60" i="9"/>
  <c r="D60" i="9"/>
  <c r="A60" i="9"/>
  <c r="J59" i="11"/>
  <c r="O59" i="9"/>
  <c r="N59" i="9"/>
  <c r="M59" i="9"/>
  <c r="L59" i="9"/>
  <c r="K59" i="9"/>
  <c r="J59" i="9"/>
  <c r="I59" i="9"/>
  <c r="H59" i="9"/>
  <c r="G59" i="9"/>
  <c r="E59" i="9"/>
  <c r="D59" i="9"/>
  <c r="A59" i="9"/>
  <c r="J58" i="11"/>
  <c r="O58" i="9"/>
  <c r="N58" i="9"/>
  <c r="M58" i="9"/>
  <c r="L58" i="9"/>
  <c r="K58" i="9"/>
  <c r="J58" i="9"/>
  <c r="I58" i="9"/>
  <c r="H58" i="9"/>
  <c r="G58" i="9"/>
  <c r="E58" i="9"/>
  <c r="D58" i="9"/>
  <c r="A58" i="9"/>
  <c r="J57" i="11"/>
  <c r="O57" i="9"/>
  <c r="N57" i="9"/>
  <c r="M57" i="9"/>
  <c r="L57" i="9"/>
  <c r="K57" i="9"/>
  <c r="J57" i="9"/>
  <c r="I57" i="9"/>
  <c r="H57" i="9"/>
  <c r="G57" i="9"/>
  <c r="E57" i="9"/>
  <c r="D57" i="9"/>
  <c r="A57" i="9"/>
  <c r="J56" i="11"/>
  <c r="O56" i="9"/>
  <c r="N56" i="9"/>
  <c r="M56" i="9"/>
  <c r="L56" i="9"/>
  <c r="K56" i="9"/>
  <c r="J56" i="9"/>
  <c r="I56" i="9"/>
  <c r="H56" i="9"/>
  <c r="G56" i="9"/>
  <c r="E56" i="9"/>
  <c r="D56" i="9"/>
  <c r="A56" i="9"/>
  <c r="J55" i="11"/>
  <c r="O55" i="9"/>
  <c r="N55" i="9"/>
  <c r="M55" i="9"/>
  <c r="L55" i="9"/>
  <c r="K55" i="9"/>
  <c r="J55" i="9"/>
  <c r="I55" i="9"/>
  <c r="H55" i="9"/>
  <c r="G55" i="9"/>
  <c r="E55" i="9"/>
  <c r="D55" i="9"/>
  <c r="A55" i="9"/>
  <c r="J54" i="11"/>
  <c r="O54" i="9"/>
  <c r="N54" i="9"/>
  <c r="M54" i="9"/>
  <c r="L54" i="9"/>
  <c r="K54" i="9"/>
  <c r="J54" i="9"/>
  <c r="I54" i="9"/>
  <c r="H54" i="9"/>
  <c r="G54" i="9"/>
  <c r="E54" i="9"/>
  <c r="D54" i="9"/>
  <c r="A54" i="9"/>
  <c r="J53" i="11"/>
  <c r="O53" i="9"/>
  <c r="N53" i="9"/>
  <c r="M53" i="9"/>
  <c r="L53" i="9"/>
  <c r="K53" i="9"/>
  <c r="J53" i="9"/>
  <c r="I53" i="9"/>
  <c r="H53" i="9"/>
  <c r="G53" i="9"/>
  <c r="E53" i="9"/>
  <c r="D53" i="9"/>
  <c r="A53" i="9"/>
  <c r="J52" i="11"/>
  <c r="O52" i="9"/>
  <c r="N52" i="9"/>
  <c r="M52" i="9"/>
  <c r="L52" i="9"/>
  <c r="K52" i="9"/>
  <c r="J52" i="9"/>
  <c r="I52" i="9"/>
  <c r="H52" i="9"/>
  <c r="G52" i="9"/>
  <c r="E52" i="9"/>
  <c r="D52" i="9"/>
  <c r="A52" i="9"/>
  <c r="J51" i="11"/>
  <c r="O51" i="9"/>
  <c r="N51" i="9"/>
  <c r="M51" i="9"/>
  <c r="L51" i="9"/>
  <c r="K51" i="9"/>
  <c r="J51" i="9"/>
  <c r="I51" i="9"/>
  <c r="H51" i="9"/>
  <c r="G51" i="9"/>
  <c r="E51" i="9"/>
  <c r="D51" i="9"/>
  <c r="A51" i="9"/>
  <c r="J50" i="11"/>
  <c r="O50" i="9"/>
  <c r="N50" i="9"/>
  <c r="M50" i="9"/>
  <c r="L50" i="9"/>
  <c r="K50" i="9"/>
  <c r="J50" i="9"/>
  <c r="I50" i="9"/>
  <c r="H50" i="9"/>
  <c r="G50" i="9"/>
  <c r="E50" i="9"/>
  <c r="D50" i="9"/>
  <c r="A50" i="9"/>
  <c r="J49" i="11"/>
  <c r="O49" i="9"/>
  <c r="N49" i="9"/>
  <c r="M49" i="9"/>
  <c r="L49" i="9"/>
  <c r="K49" i="9"/>
  <c r="J49" i="9"/>
  <c r="I49" i="9"/>
  <c r="H49" i="9"/>
  <c r="G49" i="9"/>
  <c r="E49" i="9"/>
  <c r="D49" i="9"/>
  <c r="A49" i="9"/>
  <c r="J48" i="11"/>
  <c r="O48" i="9"/>
  <c r="N48" i="9"/>
  <c r="M48" i="9"/>
  <c r="L48" i="9"/>
  <c r="K48" i="9"/>
  <c r="J48" i="9"/>
  <c r="I48" i="9"/>
  <c r="H48" i="9"/>
  <c r="G48" i="9"/>
  <c r="E48" i="9"/>
  <c r="D48" i="9"/>
  <c r="A48" i="9"/>
  <c r="J44" i="11"/>
  <c r="J45" i="11"/>
  <c r="O44" i="9"/>
  <c r="N44" i="9"/>
  <c r="M44" i="9"/>
  <c r="L44" i="9"/>
  <c r="K44" i="9"/>
  <c r="J44" i="9"/>
  <c r="I44" i="9"/>
  <c r="H44" i="9"/>
  <c r="G44" i="9"/>
  <c r="E44" i="9"/>
  <c r="D44" i="9"/>
  <c r="A44" i="9"/>
  <c r="J43" i="11"/>
  <c r="O43" i="9"/>
  <c r="N43" i="9"/>
  <c r="M43" i="9"/>
  <c r="L43" i="9"/>
  <c r="K43" i="9"/>
  <c r="J43" i="9"/>
  <c r="I43" i="9"/>
  <c r="H43" i="9"/>
  <c r="G43" i="9"/>
  <c r="E43" i="9"/>
  <c r="D43" i="9"/>
  <c r="A43" i="9"/>
  <c r="J42" i="11"/>
  <c r="O42" i="9"/>
  <c r="N42" i="9"/>
  <c r="M42" i="9"/>
  <c r="L42" i="9"/>
  <c r="K42" i="9"/>
  <c r="J42" i="9"/>
  <c r="I42" i="9"/>
  <c r="H42" i="9"/>
  <c r="G42" i="9"/>
  <c r="E42" i="9"/>
  <c r="D42" i="9"/>
  <c r="A42" i="9"/>
  <c r="J41" i="11"/>
  <c r="O41" i="9"/>
  <c r="N41" i="9"/>
  <c r="M41" i="9"/>
  <c r="L41" i="9"/>
  <c r="K41" i="9"/>
  <c r="J41" i="9"/>
  <c r="I41" i="9"/>
  <c r="H41" i="9"/>
  <c r="G41" i="9"/>
  <c r="E41" i="9"/>
  <c r="D41" i="9"/>
  <c r="A41" i="9"/>
  <c r="J40" i="11"/>
  <c r="O40" i="9"/>
  <c r="N40" i="9"/>
  <c r="M40" i="9"/>
  <c r="L40" i="9"/>
  <c r="K40" i="9"/>
  <c r="J40" i="9"/>
  <c r="I40" i="9"/>
  <c r="H40" i="9"/>
  <c r="G40" i="9"/>
  <c r="E40" i="9"/>
  <c r="D40" i="9"/>
  <c r="A40" i="9"/>
  <c r="J39" i="11"/>
  <c r="O39" i="9"/>
  <c r="N39" i="9"/>
  <c r="M39" i="9"/>
  <c r="L39" i="9"/>
  <c r="K39" i="9"/>
  <c r="J39" i="9"/>
  <c r="I39" i="9"/>
  <c r="H39" i="9"/>
  <c r="G39" i="9"/>
  <c r="E39" i="9"/>
  <c r="D39" i="9"/>
  <c r="A39" i="9"/>
  <c r="O38" i="9"/>
  <c r="N38" i="9"/>
  <c r="M38" i="9"/>
  <c r="L38" i="9"/>
  <c r="K38" i="9"/>
  <c r="J38" i="9"/>
  <c r="I38" i="9"/>
  <c r="H38" i="9"/>
  <c r="G38" i="9"/>
  <c r="E38" i="9"/>
  <c r="D38" i="9"/>
  <c r="A38" i="9"/>
  <c r="J37" i="11"/>
  <c r="O37" i="9"/>
  <c r="N37" i="9"/>
  <c r="M37" i="9"/>
  <c r="L37" i="9"/>
  <c r="K37" i="9"/>
  <c r="J37" i="9"/>
  <c r="I37" i="9"/>
  <c r="H37" i="9"/>
  <c r="G37" i="9"/>
  <c r="E37" i="9"/>
  <c r="D37" i="9"/>
  <c r="A37" i="9"/>
  <c r="O36" i="9"/>
  <c r="N36" i="9"/>
  <c r="M36" i="9"/>
  <c r="L36" i="9"/>
  <c r="K36" i="9"/>
  <c r="J36" i="9"/>
  <c r="I36" i="9"/>
  <c r="H36" i="9"/>
  <c r="G36" i="9"/>
  <c r="E36" i="9"/>
  <c r="D36" i="9"/>
  <c r="A36" i="9"/>
  <c r="O35" i="9"/>
  <c r="N35" i="9"/>
  <c r="M35" i="9"/>
  <c r="L35" i="9"/>
  <c r="K35" i="9"/>
  <c r="J35" i="9"/>
  <c r="I35" i="9"/>
  <c r="H35" i="9"/>
  <c r="G35" i="9"/>
  <c r="E35" i="9"/>
  <c r="D35" i="9"/>
  <c r="A35" i="9"/>
  <c r="J34" i="11"/>
  <c r="O34" i="9"/>
  <c r="N34" i="9"/>
  <c r="M34" i="9"/>
  <c r="L34" i="9"/>
  <c r="K34" i="9"/>
  <c r="J34" i="9"/>
  <c r="I34" i="9"/>
  <c r="H34" i="9"/>
  <c r="G34" i="9"/>
  <c r="E34" i="9"/>
  <c r="D34" i="9"/>
  <c r="A34" i="9"/>
  <c r="J33" i="11"/>
  <c r="O33" i="9"/>
  <c r="N33" i="9"/>
  <c r="M33" i="9"/>
  <c r="L33" i="9"/>
  <c r="K33" i="9"/>
  <c r="J33" i="9"/>
  <c r="I33" i="9"/>
  <c r="H33" i="9"/>
  <c r="G33" i="9"/>
  <c r="E33" i="9"/>
  <c r="D33" i="9"/>
  <c r="A33" i="9"/>
  <c r="J32" i="11"/>
  <c r="O32" i="9"/>
  <c r="N32" i="9"/>
  <c r="M32" i="9"/>
  <c r="L32" i="9"/>
  <c r="K32" i="9"/>
  <c r="J32" i="9"/>
  <c r="I32" i="9"/>
  <c r="H32" i="9"/>
  <c r="G32" i="9"/>
  <c r="E32" i="9"/>
  <c r="D32" i="9"/>
  <c r="A32" i="9"/>
  <c r="J31" i="11"/>
  <c r="O31" i="9"/>
  <c r="N31" i="9"/>
  <c r="M31" i="9"/>
  <c r="L31" i="9"/>
  <c r="K31" i="9"/>
  <c r="J31" i="9"/>
  <c r="I31" i="9"/>
  <c r="H31" i="9"/>
  <c r="G31" i="9"/>
  <c r="E31" i="9"/>
  <c r="D31" i="9"/>
  <c r="A31" i="9"/>
  <c r="J30" i="11"/>
  <c r="O30" i="9"/>
  <c r="N30" i="9"/>
  <c r="M30" i="9"/>
  <c r="L30" i="9"/>
  <c r="K30" i="9"/>
  <c r="J30" i="9"/>
  <c r="I30" i="9"/>
  <c r="H30" i="9"/>
  <c r="G30" i="9"/>
  <c r="E30" i="9"/>
  <c r="D30" i="9"/>
  <c r="A30" i="9"/>
  <c r="J29" i="11"/>
  <c r="O29" i="9"/>
  <c r="N29" i="9"/>
  <c r="M29" i="9"/>
  <c r="L29" i="9"/>
  <c r="K29" i="9"/>
  <c r="J29" i="9"/>
  <c r="I29" i="9"/>
  <c r="H29" i="9"/>
  <c r="G29" i="9"/>
  <c r="E29" i="9"/>
  <c r="D29" i="9"/>
  <c r="A29" i="9"/>
  <c r="J28" i="11"/>
  <c r="O28" i="9"/>
  <c r="N28" i="9"/>
  <c r="M28" i="9"/>
  <c r="L28" i="9"/>
  <c r="K28" i="9"/>
  <c r="J28" i="9"/>
  <c r="I28" i="9"/>
  <c r="H28" i="9"/>
  <c r="G28" i="9"/>
  <c r="E28" i="9"/>
  <c r="D28" i="9"/>
  <c r="A28" i="9"/>
  <c r="J27" i="11"/>
  <c r="O27" i="9"/>
  <c r="N27" i="9"/>
  <c r="M27" i="9"/>
  <c r="L27" i="9"/>
  <c r="K27" i="9"/>
  <c r="J27" i="9"/>
  <c r="I27" i="9"/>
  <c r="H27" i="9"/>
  <c r="G27" i="9"/>
  <c r="E27" i="9"/>
  <c r="D27" i="9"/>
  <c r="A27" i="9"/>
  <c r="J26" i="11"/>
  <c r="O26" i="9"/>
  <c r="N26" i="9"/>
  <c r="M26" i="9"/>
  <c r="L26" i="9"/>
  <c r="K26" i="9"/>
  <c r="J26" i="9"/>
  <c r="I26" i="9"/>
  <c r="H26" i="9"/>
  <c r="G26" i="9"/>
  <c r="E26" i="9"/>
  <c r="D26" i="9"/>
  <c r="A26" i="9"/>
  <c r="J25" i="11"/>
  <c r="O25" i="9"/>
  <c r="N25" i="9"/>
  <c r="M25" i="9"/>
  <c r="L25" i="9"/>
  <c r="K25" i="9"/>
  <c r="J25" i="9"/>
  <c r="I25" i="9"/>
  <c r="H25" i="9"/>
  <c r="G25" i="9"/>
  <c r="E25" i="9"/>
  <c r="D25" i="9"/>
  <c r="A25" i="9"/>
  <c r="J24" i="11"/>
  <c r="O24" i="9"/>
  <c r="N24" i="9"/>
  <c r="M24" i="9"/>
  <c r="L24" i="9"/>
  <c r="K24" i="9"/>
  <c r="J24" i="9"/>
  <c r="I24" i="9"/>
  <c r="H24" i="9"/>
  <c r="G24" i="9"/>
  <c r="E24" i="9"/>
  <c r="D24" i="9"/>
  <c r="A24" i="9"/>
  <c r="O23" i="9"/>
  <c r="N23" i="9"/>
  <c r="M23" i="9"/>
  <c r="L23" i="9"/>
  <c r="K23" i="9"/>
  <c r="J23" i="9"/>
  <c r="I23" i="9"/>
  <c r="H23" i="9"/>
  <c r="G23" i="9"/>
  <c r="E23" i="9"/>
  <c r="D23" i="9"/>
  <c r="A23" i="9"/>
  <c r="J23" i="11"/>
  <c r="J22" i="11"/>
  <c r="O22" i="9"/>
  <c r="N22" i="9"/>
  <c r="M22" i="9"/>
  <c r="L22" i="9"/>
  <c r="K22" i="9"/>
  <c r="J22" i="9"/>
  <c r="I22" i="9"/>
  <c r="H22" i="9"/>
  <c r="G22" i="9"/>
  <c r="E22" i="9"/>
  <c r="D22" i="9"/>
  <c r="A22" i="9"/>
  <c r="J21" i="11"/>
  <c r="O21" i="9"/>
  <c r="N21" i="9"/>
  <c r="M21" i="9"/>
  <c r="L21" i="9"/>
  <c r="K21" i="9"/>
  <c r="J21" i="9"/>
  <c r="I21" i="9"/>
  <c r="H21" i="9"/>
  <c r="G21" i="9"/>
  <c r="E21" i="9"/>
  <c r="D21" i="9"/>
  <c r="A21" i="9"/>
  <c r="J20" i="11"/>
  <c r="O20" i="9"/>
  <c r="N20" i="9"/>
  <c r="M20" i="9"/>
  <c r="L20" i="9"/>
  <c r="K20" i="9"/>
  <c r="J20" i="9"/>
  <c r="I20" i="9"/>
  <c r="H20" i="9"/>
  <c r="G20" i="9"/>
  <c r="E20" i="9"/>
  <c r="D20" i="9"/>
  <c r="A20" i="9"/>
  <c r="J19" i="11"/>
  <c r="O19" i="9"/>
  <c r="N19" i="9"/>
  <c r="M19" i="9"/>
  <c r="L19" i="9"/>
  <c r="K19" i="9"/>
  <c r="J19" i="9"/>
  <c r="I19" i="9"/>
  <c r="H19" i="9"/>
  <c r="G19" i="9"/>
  <c r="E19" i="9"/>
  <c r="D19" i="9"/>
  <c r="A19" i="9"/>
  <c r="J18" i="11"/>
  <c r="O18" i="9"/>
  <c r="N18" i="9"/>
  <c r="M18" i="9"/>
  <c r="L18" i="9"/>
  <c r="K18" i="9"/>
  <c r="J18" i="9"/>
  <c r="I18" i="9"/>
  <c r="H18" i="9"/>
  <c r="G18" i="9"/>
  <c r="E18" i="9"/>
  <c r="D18" i="9"/>
  <c r="A18" i="9"/>
  <c r="J17" i="11"/>
  <c r="O17" i="9"/>
  <c r="N17" i="9"/>
  <c r="M17" i="9"/>
  <c r="L17" i="9"/>
  <c r="K17" i="9"/>
  <c r="J17" i="9"/>
  <c r="I17" i="9"/>
  <c r="H17" i="9"/>
  <c r="G17" i="9"/>
  <c r="E17" i="9"/>
  <c r="D17" i="9"/>
  <c r="A17" i="9"/>
  <c r="J16" i="11"/>
  <c r="O16" i="9"/>
  <c r="N16" i="9"/>
  <c r="M16" i="9"/>
  <c r="L16" i="9"/>
  <c r="K16" i="9"/>
  <c r="J16" i="9"/>
  <c r="I16" i="9"/>
  <c r="H16" i="9"/>
  <c r="G16" i="9"/>
  <c r="E16" i="9"/>
  <c r="D16" i="9"/>
  <c r="A16" i="9"/>
  <c r="J15" i="11"/>
  <c r="O15" i="9"/>
  <c r="N15" i="9"/>
  <c r="M15" i="9"/>
  <c r="L15" i="9"/>
  <c r="K15" i="9"/>
  <c r="J15" i="9"/>
  <c r="I15" i="9"/>
  <c r="H15" i="9"/>
  <c r="G15" i="9"/>
  <c r="E15" i="9"/>
  <c r="D15" i="9"/>
  <c r="A15" i="9"/>
  <c r="J14" i="11"/>
  <c r="O14" i="9"/>
  <c r="N14" i="9"/>
  <c r="M14" i="9"/>
  <c r="L14" i="9"/>
  <c r="K14" i="9"/>
  <c r="J14" i="9"/>
  <c r="I14" i="9"/>
  <c r="H14" i="9"/>
  <c r="G14" i="9"/>
  <c r="E14" i="9"/>
  <c r="D14" i="9"/>
  <c r="A14" i="9"/>
  <c r="J13" i="11"/>
  <c r="O13" i="9"/>
  <c r="N13" i="9"/>
  <c r="M13" i="9"/>
  <c r="L13" i="9"/>
  <c r="K13" i="9"/>
  <c r="J13" i="9"/>
  <c r="I13" i="9"/>
  <c r="H13" i="9"/>
  <c r="G13" i="9"/>
  <c r="E13" i="9"/>
  <c r="D13" i="9"/>
  <c r="A13" i="9"/>
  <c r="J12" i="11"/>
  <c r="O12" i="9"/>
  <c r="N12" i="9"/>
  <c r="M12" i="9"/>
  <c r="L12" i="9"/>
  <c r="K12" i="9"/>
  <c r="J12" i="9"/>
  <c r="I12" i="9"/>
  <c r="H12" i="9"/>
  <c r="G12" i="9"/>
  <c r="E12" i="9"/>
  <c r="D12" i="9"/>
  <c r="A12" i="9"/>
  <c r="J11" i="11"/>
  <c r="O11" i="9"/>
  <c r="N11" i="9"/>
  <c r="M11" i="9"/>
  <c r="L11" i="9"/>
  <c r="K11" i="9"/>
  <c r="J11" i="9"/>
  <c r="I11" i="9"/>
  <c r="H11" i="9"/>
  <c r="G11" i="9"/>
  <c r="E11" i="9"/>
  <c r="D11" i="9"/>
  <c r="A11" i="9"/>
  <c r="J10" i="11"/>
  <c r="O10" i="9"/>
  <c r="N10" i="9"/>
  <c r="M10" i="9"/>
  <c r="L10" i="9"/>
  <c r="K10" i="9"/>
  <c r="J10" i="9"/>
  <c r="I10" i="9"/>
  <c r="H10" i="9"/>
  <c r="G10" i="9"/>
  <c r="E10" i="9"/>
  <c r="D10" i="9"/>
  <c r="A10" i="9"/>
  <c r="J9" i="11"/>
  <c r="O9" i="9"/>
  <c r="N9" i="9"/>
  <c r="M9" i="9"/>
  <c r="L9" i="9"/>
  <c r="K9" i="9"/>
  <c r="J9" i="9"/>
  <c r="I9" i="9"/>
  <c r="H9" i="9"/>
  <c r="G9" i="9"/>
  <c r="E9" i="9"/>
  <c r="D9" i="9"/>
  <c r="A9" i="9"/>
  <c r="J8" i="11"/>
  <c r="O8" i="9"/>
  <c r="N8" i="9"/>
  <c r="M8" i="9"/>
  <c r="L8" i="9"/>
  <c r="K8" i="9"/>
  <c r="J8" i="9"/>
  <c r="I8" i="9"/>
  <c r="H8" i="9"/>
  <c r="G8" i="9"/>
  <c r="E8" i="9"/>
  <c r="D8" i="9"/>
  <c r="A8" i="9"/>
  <c r="J7" i="11"/>
  <c r="O7" i="9"/>
  <c r="N7" i="9"/>
  <c r="M7" i="9"/>
  <c r="L7" i="9"/>
  <c r="K7" i="9"/>
  <c r="J7" i="9"/>
  <c r="I7" i="9"/>
  <c r="H7" i="9"/>
  <c r="G7" i="9"/>
  <c r="E7" i="9"/>
  <c r="D7" i="9"/>
  <c r="A7" i="9"/>
  <c r="J6" i="11"/>
  <c r="O6" i="9"/>
  <c r="N6" i="9"/>
  <c r="M6" i="9"/>
  <c r="L6" i="9"/>
  <c r="K6" i="9"/>
  <c r="J6" i="9"/>
  <c r="I6" i="9"/>
  <c r="H6" i="9"/>
  <c r="G6" i="9"/>
  <c r="E6" i="9"/>
  <c r="D6" i="9"/>
  <c r="A6" i="9"/>
  <c r="J5" i="11"/>
  <c r="O5" i="9"/>
  <c r="N5" i="9"/>
  <c r="M5" i="9"/>
  <c r="L5" i="9"/>
  <c r="K5" i="9"/>
  <c r="J5" i="9"/>
  <c r="I5" i="9"/>
  <c r="H5" i="9"/>
  <c r="G5" i="9"/>
  <c r="E5" i="9"/>
  <c r="D5" i="9"/>
  <c r="A5" i="9"/>
  <c r="J4" i="11"/>
  <c r="O4" i="9"/>
  <c r="N4" i="9"/>
  <c r="M4" i="9"/>
  <c r="L4" i="9"/>
  <c r="K4" i="9"/>
  <c r="J4" i="9"/>
  <c r="I4" i="9"/>
  <c r="H4" i="9"/>
  <c r="G4" i="9"/>
  <c r="D4" i="9"/>
  <c r="A4" i="9"/>
  <c r="J3" i="11"/>
  <c r="O3" i="9"/>
  <c r="N3" i="9"/>
  <c r="M3" i="9"/>
  <c r="L3" i="9"/>
  <c r="K3" i="9"/>
  <c r="J3" i="9"/>
  <c r="I3" i="9"/>
  <c r="H3" i="9"/>
  <c r="G3" i="9"/>
  <c r="E3" i="9"/>
  <c r="D3" i="9"/>
  <c r="A3" i="9"/>
  <c r="G70" i="10"/>
  <c r="H70" i="10"/>
  <c r="I70" i="10"/>
  <c r="K70" i="10"/>
  <c r="J70" i="10"/>
  <c r="M70" i="10"/>
  <c r="N70" i="10"/>
  <c r="O70" i="10"/>
  <c r="P70" i="10"/>
  <c r="R70" i="10"/>
  <c r="Q70" i="10"/>
  <c r="T70" i="10"/>
  <c r="U70" i="10"/>
  <c r="V70" i="10"/>
  <c r="X70" i="10"/>
  <c r="W70" i="10"/>
  <c r="M69" i="10"/>
  <c r="T69" i="10"/>
  <c r="W69" i="10"/>
  <c r="V69" i="10"/>
  <c r="X69" i="10"/>
  <c r="U69" i="10"/>
  <c r="Y69" i="10"/>
  <c r="N69" i="10"/>
  <c r="Q69" i="10"/>
  <c r="P69" i="10"/>
  <c r="R69" i="10"/>
  <c r="O69" i="10"/>
  <c r="S69" i="10"/>
  <c r="G69" i="10"/>
  <c r="J69" i="10"/>
  <c r="I69" i="10"/>
  <c r="K69" i="10"/>
  <c r="H69" i="10"/>
  <c r="L69" i="10"/>
  <c r="M68" i="10"/>
  <c r="T68" i="10"/>
  <c r="W68" i="10"/>
  <c r="V68" i="10"/>
  <c r="X68" i="10"/>
  <c r="U68" i="10"/>
  <c r="Y68" i="10"/>
  <c r="N68" i="10"/>
  <c r="Q68" i="10"/>
  <c r="P68" i="10"/>
  <c r="R68" i="10"/>
  <c r="O68" i="10"/>
  <c r="S68" i="10"/>
  <c r="G68" i="10"/>
  <c r="J68" i="10"/>
  <c r="I68" i="10"/>
  <c r="K68" i="10"/>
  <c r="H68" i="10"/>
  <c r="L68" i="10"/>
  <c r="M67" i="10"/>
  <c r="T67" i="10"/>
  <c r="W67" i="10"/>
  <c r="V67" i="10"/>
  <c r="X67" i="10"/>
  <c r="U67" i="10"/>
  <c r="Y67" i="10"/>
  <c r="N67" i="10"/>
  <c r="Q67" i="10"/>
  <c r="P67" i="10"/>
  <c r="R67" i="10"/>
  <c r="O67" i="10"/>
  <c r="S67" i="10"/>
  <c r="G67" i="10"/>
  <c r="J67" i="10"/>
  <c r="I67" i="10"/>
  <c r="K67" i="10"/>
  <c r="H67" i="10"/>
  <c r="L67" i="10"/>
  <c r="M66" i="10"/>
  <c r="T66" i="10"/>
  <c r="W66" i="10"/>
  <c r="V66" i="10"/>
  <c r="X66" i="10"/>
  <c r="U66" i="10"/>
  <c r="Y66" i="10"/>
  <c r="N66" i="10"/>
  <c r="Q66" i="10"/>
  <c r="P66" i="10"/>
  <c r="R66" i="10"/>
  <c r="O66" i="10"/>
  <c r="S66" i="10"/>
  <c r="G66" i="10"/>
  <c r="J66" i="10"/>
  <c r="I66" i="10"/>
  <c r="K66" i="10"/>
  <c r="H66" i="10"/>
  <c r="L66" i="10"/>
  <c r="M57" i="10"/>
  <c r="T57" i="10"/>
  <c r="W57" i="10"/>
  <c r="V57" i="10"/>
  <c r="X57" i="10"/>
  <c r="U57" i="10"/>
  <c r="Y57" i="10"/>
  <c r="N57" i="10"/>
  <c r="Q57" i="10"/>
  <c r="P57" i="10"/>
  <c r="R57" i="10"/>
  <c r="O57" i="10"/>
  <c r="S57" i="10"/>
  <c r="G57" i="10"/>
  <c r="J57" i="10"/>
  <c r="I57" i="10"/>
  <c r="K57" i="10"/>
  <c r="H57" i="10"/>
  <c r="L57" i="10"/>
  <c r="M35" i="10"/>
  <c r="T35" i="10"/>
  <c r="W35" i="10"/>
  <c r="V35" i="10"/>
  <c r="X35" i="10"/>
  <c r="U35" i="10"/>
  <c r="Y35" i="10"/>
  <c r="M44" i="10"/>
  <c r="M55" i="10"/>
  <c r="M64" i="10"/>
  <c r="N64" i="10"/>
  <c r="Q64" i="10"/>
  <c r="P64" i="10"/>
  <c r="R64" i="10"/>
  <c r="O64" i="10"/>
  <c r="S64" i="10"/>
  <c r="N55" i="10"/>
  <c r="Q55" i="10"/>
  <c r="P55" i="10"/>
  <c r="R55" i="10"/>
  <c r="O55" i="10"/>
  <c r="S55" i="10"/>
  <c r="N44" i="10"/>
  <c r="Q44" i="10"/>
  <c r="P44" i="10"/>
  <c r="R44" i="10"/>
  <c r="O44" i="10"/>
  <c r="S44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8" i="10"/>
  <c r="T8" i="10"/>
  <c r="W8" i="10"/>
  <c r="V8" i="10"/>
  <c r="X8" i="10"/>
  <c r="U8" i="10"/>
  <c r="Y8" i="10"/>
  <c r="M16" i="10"/>
  <c r="M24" i="10"/>
  <c r="M34" i="10"/>
  <c r="M49" i="10"/>
  <c r="N49" i="10"/>
  <c r="Q49" i="10"/>
  <c r="P49" i="10"/>
  <c r="R49" i="10"/>
  <c r="O49" i="10"/>
  <c r="S49" i="10"/>
  <c r="N34" i="10"/>
  <c r="Q34" i="10"/>
  <c r="P34" i="10"/>
  <c r="R34" i="10"/>
  <c r="O34" i="10"/>
  <c r="S34" i="10"/>
  <c r="N24" i="10"/>
  <c r="Q24" i="10"/>
  <c r="P24" i="10"/>
  <c r="R24" i="10"/>
  <c r="O24" i="10"/>
  <c r="S24" i="10"/>
  <c r="N16" i="10"/>
  <c r="Q16" i="10"/>
  <c r="P16" i="10"/>
  <c r="R16" i="10"/>
  <c r="O16" i="10"/>
  <c r="S16" i="10"/>
  <c r="N8" i="10"/>
  <c r="Q8" i="10"/>
  <c r="P8" i="10"/>
  <c r="R8" i="10"/>
  <c r="O8" i="10"/>
  <c r="S8" i="10"/>
  <c r="G8" i="10"/>
  <c r="J8" i="10"/>
  <c r="I8" i="10"/>
  <c r="K8" i="10"/>
  <c r="H8" i="10"/>
  <c r="L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J47" i="11"/>
  <c r="M65" i="10"/>
  <c r="T65" i="10"/>
  <c r="W65" i="10"/>
  <c r="V65" i="10"/>
  <c r="X65" i="10"/>
  <c r="U65" i="10"/>
  <c r="Y65" i="10"/>
  <c r="N65" i="10"/>
  <c r="Q65" i="10"/>
  <c r="P65" i="10"/>
  <c r="R65" i="10"/>
  <c r="O65" i="10"/>
  <c r="S65" i="10"/>
  <c r="G65" i="10"/>
  <c r="J65" i="10"/>
  <c r="I65" i="10"/>
  <c r="K65" i="10"/>
  <c r="H65" i="10"/>
  <c r="L65" i="10"/>
  <c r="T64" i="10"/>
  <c r="W64" i="10"/>
  <c r="V64" i="10"/>
  <c r="X64" i="10"/>
  <c r="U64" i="10"/>
  <c r="Y64" i="10"/>
  <c r="G64" i="10"/>
  <c r="J64" i="10"/>
  <c r="I64" i="10"/>
  <c r="K64" i="10"/>
  <c r="H64" i="10"/>
  <c r="L64" i="10"/>
  <c r="M63" i="10"/>
  <c r="T63" i="10"/>
  <c r="W63" i="10"/>
  <c r="V63" i="10"/>
  <c r="X63" i="10"/>
  <c r="U63" i="10"/>
  <c r="Y63" i="10"/>
  <c r="N63" i="10"/>
  <c r="Q63" i="10"/>
  <c r="P63" i="10"/>
  <c r="R63" i="10"/>
  <c r="O63" i="10"/>
  <c r="S63" i="10"/>
  <c r="G63" i="10"/>
  <c r="J63" i="10"/>
  <c r="I63" i="10"/>
  <c r="K63" i="10"/>
  <c r="H63" i="10"/>
  <c r="L63" i="10"/>
  <c r="M61" i="10"/>
  <c r="T61" i="10"/>
  <c r="W61" i="10"/>
  <c r="V61" i="10"/>
  <c r="X61" i="10"/>
  <c r="U61" i="10"/>
  <c r="Y61" i="10"/>
  <c r="N61" i="10"/>
  <c r="Q61" i="10"/>
  <c r="P61" i="10"/>
  <c r="R61" i="10"/>
  <c r="O61" i="10"/>
  <c r="S61" i="10"/>
  <c r="G61" i="10"/>
  <c r="J61" i="10"/>
  <c r="I61" i="10"/>
  <c r="K61" i="10"/>
  <c r="H61" i="10"/>
  <c r="L61" i="10"/>
  <c r="M60" i="10"/>
  <c r="T60" i="10"/>
  <c r="W60" i="10"/>
  <c r="V60" i="10"/>
  <c r="X60" i="10"/>
  <c r="U60" i="10"/>
  <c r="Y60" i="10"/>
  <c r="N60" i="10"/>
  <c r="Q60" i="10"/>
  <c r="P60" i="10"/>
  <c r="R60" i="10"/>
  <c r="O60" i="10"/>
  <c r="S60" i="10"/>
  <c r="G60" i="10"/>
  <c r="J60" i="10"/>
  <c r="I60" i="10"/>
  <c r="K60" i="10"/>
  <c r="H60" i="10"/>
  <c r="L60" i="10"/>
  <c r="T59" i="10"/>
  <c r="W59" i="10"/>
  <c r="V59" i="10"/>
  <c r="X59" i="10"/>
  <c r="U59" i="10"/>
  <c r="Y59" i="10"/>
  <c r="G59" i="10"/>
  <c r="J59" i="10"/>
  <c r="I59" i="10"/>
  <c r="K59" i="10"/>
  <c r="H59" i="10"/>
  <c r="L59" i="10"/>
  <c r="M58" i="10"/>
  <c r="T58" i="10"/>
  <c r="W58" i="10"/>
  <c r="V58" i="10"/>
  <c r="X58" i="10"/>
  <c r="U58" i="10"/>
  <c r="Y58" i="10"/>
  <c r="N58" i="10"/>
  <c r="Q58" i="10"/>
  <c r="P58" i="10"/>
  <c r="R58" i="10"/>
  <c r="O58" i="10"/>
  <c r="S58" i="10"/>
  <c r="G58" i="10"/>
  <c r="J58" i="10"/>
  <c r="I58" i="10"/>
  <c r="K58" i="10"/>
  <c r="H58" i="10"/>
  <c r="L58" i="10"/>
  <c r="M56" i="10"/>
  <c r="T56" i="10"/>
  <c r="W56" i="10"/>
  <c r="V56" i="10"/>
  <c r="X56" i="10"/>
  <c r="U56" i="10"/>
  <c r="Y56" i="10"/>
  <c r="N56" i="10"/>
  <c r="Q56" i="10"/>
  <c r="P56" i="10"/>
  <c r="R56" i="10"/>
  <c r="O56" i="10"/>
  <c r="S56" i="10"/>
  <c r="G56" i="10"/>
  <c r="J56" i="10"/>
  <c r="I56" i="10"/>
  <c r="K56" i="10"/>
  <c r="H56" i="10"/>
  <c r="L56" i="10"/>
  <c r="T55" i="10"/>
  <c r="W55" i="10"/>
  <c r="V55" i="10"/>
  <c r="X55" i="10"/>
  <c r="U55" i="10"/>
  <c r="Y55" i="10"/>
  <c r="G55" i="10"/>
  <c r="J55" i="10"/>
  <c r="I55" i="10"/>
  <c r="K55" i="10"/>
  <c r="H55" i="10"/>
  <c r="L55" i="10"/>
  <c r="M54" i="10"/>
  <c r="T54" i="10"/>
  <c r="W54" i="10"/>
  <c r="V54" i="10"/>
  <c r="X54" i="10"/>
  <c r="U54" i="10"/>
  <c r="Y54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M53" i="10"/>
  <c r="T53" i="10"/>
  <c r="W53" i="10"/>
  <c r="V53" i="10"/>
  <c r="X53" i="10"/>
  <c r="U53" i="10"/>
  <c r="Y53" i="10"/>
  <c r="N53" i="10"/>
  <c r="Q53" i="10"/>
  <c r="P53" i="10"/>
  <c r="R53" i="10"/>
  <c r="O53" i="10"/>
  <c r="S53" i="10"/>
  <c r="G53" i="10"/>
  <c r="J53" i="10"/>
  <c r="I53" i="10"/>
  <c r="K53" i="10"/>
  <c r="H53" i="10"/>
  <c r="L53" i="10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T51" i="10"/>
  <c r="W51" i="10"/>
  <c r="V51" i="10"/>
  <c r="X51" i="10"/>
  <c r="U51" i="10"/>
  <c r="Y51" i="10"/>
  <c r="G51" i="10"/>
  <c r="J51" i="10"/>
  <c r="I51" i="10"/>
  <c r="K51" i="10"/>
  <c r="H51" i="10"/>
  <c r="L51" i="10"/>
  <c r="M50" i="10"/>
  <c r="T50" i="10"/>
  <c r="W50" i="10"/>
  <c r="V50" i="10"/>
  <c r="X50" i="10"/>
  <c r="U50" i="10"/>
  <c r="Y50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T49" i="10"/>
  <c r="W49" i="10"/>
  <c r="V49" i="10"/>
  <c r="X49" i="10"/>
  <c r="U49" i="10"/>
  <c r="Y49" i="10"/>
  <c r="G49" i="10"/>
  <c r="J49" i="10"/>
  <c r="I49" i="10"/>
  <c r="K49" i="10"/>
  <c r="H49" i="10"/>
  <c r="L49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T44" i="10"/>
  <c r="W44" i="10"/>
  <c r="V44" i="10"/>
  <c r="X44" i="10"/>
  <c r="U44" i="10"/>
  <c r="Y44" i="10"/>
  <c r="G44" i="10"/>
  <c r="J44" i="10"/>
  <c r="I44" i="10"/>
  <c r="K44" i="10"/>
  <c r="H44" i="10"/>
  <c r="L44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T34" i="10"/>
  <c r="W34" i="10"/>
  <c r="V34" i="10"/>
  <c r="X34" i="10"/>
  <c r="U34" i="10"/>
  <c r="Y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T24" i="10"/>
  <c r="W24" i="10"/>
  <c r="V24" i="10"/>
  <c r="X24" i="10"/>
  <c r="U24" i="10"/>
  <c r="Y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T16" i="10"/>
  <c r="W16" i="10"/>
  <c r="V16" i="10"/>
  <c r="X16" i="10"/>
  <c r="U16" i="10"/>
  <c r="Y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M2" i="10"/>
  <c r="T2" i="10"/>
  <c r="W2" i="10"/>
  <c r="V2" i="10"/>
  <c r="X2" i="10"/>
  <c r="U2" i="10"/>
  <c r="Y2" i="10"/>
  <c r="N2" i="10"/>
  <c r="Q2" i="10"/>
  <c r="P2" i="10"/>
  <c r="R2" i="10"/>
  <c r="O2" i="10"/>
  <c r="S2" i="10"/>
  <c r="G2" i="10"/>
  <c r="J2" i="10"/>
  <c r="I2" i="10"/>
  <c r="K2" i="10"/>
  <c r="H2" i="10"/>
  <c r="L2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Y4" i="7"/>
  <c r="R4" i="7"/>
  <c r="Q4" i="7"/>
  <c r="P4" i="7"/>
  <c r="O4" i="7"/>
  <c r="N4" i="7"/>
  <c r="H4" i="7"/>
  <c r="J4" i="7"/>
  <c r="I4" i="7"/>
  <c r="D4" i="7"/>
  <c r="F4" i="7"/>
  <c r="E4" i="7"/>
  <c r="A4" i="7"/>
  <c r="Y3" i="7"/>
  <c r="R3" i="7"/>
  <c r="Q3" i="7"/>
  <c r="P3" i="7"/>
  <c r="O3" i="7"/>
  <c r="N3" i="7"/>
  <c r="H3" i="7"/>
  <c r="J3" i="7"/>
  <c r="I3" i="7"/>
  <c r="D3" i="7"/>
  <c r="F3" i="7"/>
  <c r="E3" i="7"/>
  <c r="A3" i="7"/>
  <c r="AD7" i="1"/>
  <c r="AF7" i="1"/>
  <c r="AI7" i="1"/>
  <c r="AG7" i="1"/>
  <c r="AE7" i="1"/>
  <c r="X7" i="1"/>
  <c r="Q7" i="1"/>
  <c r="P7" i="1"/>
  <c r="O7" i="1"/>
  <c r="N7" i="1"/>
  <c r="M7" i="1"/>
  <c r="H7" i="1"/>
  <c r="J7" i="1"/>
  <c r="I7" i="1"/>
  <c r="D7" i="1"/>
  <c r="F7" i="1"/>
  <c r="E7" i="1"/>
  <c r="A7" i="1"/>
  <c r="AD6" i="1"/>
  <c r="AF6" i="1"/>
  <c r="AI6" i="1"/>
  <c r="AG6" i="1"/>
  <c r="AE6" i="1"/>
  <c r="X6" i="1"/>
  <c r="Q6" i="1"/>
  <c r="P6" i="1"/>
  <c r="O6" i="1"/>
  <c r="N6" i="1"/>
  <c r="M6" i="1"/>
  <c r="H6" i="1"/>
  <c r="J6" i="1"/>
  <c r="I6" i="1"/>
  <c r="D6" i="1"/>
  <c r="F6" i="1"/>
  <c r="E6" i="1"/>
  <c r="A6" i="1"/>
  <c r="AD5" i="1"/>
  <c r="AF5" i="1"/>
  <c r="AI5" i="1"/>
  <c r="AG5" i="1"/>
  <c r="AE5" i="1"/>
  <c r="X5" i="1"/>
  <c r="Q5" i="1"/>
  <c r="P5" i="1"/>
  <c r="O5" i="1"/>
  <c r="N5" i="1"/>
  <c r="M5" i="1"/>
  <c r="H5" i="1"/>
  <c r="J5" i="1"/>
  <c r="I5" i="1"/>
  <c r="D5" i="1"/>
  <c r="F5" i="1"/>
  <c r="E5" i="1"/>
  <c r="A5" i="1"/>
  <c r="H5" i="2"/>
  <c r="E5" i="2"/>
  <c r="D5" i="2"/>
  <c r="H2" i="1"/>
  <c r="B5" i="2"/>
  <c r="H4" i="2"/>
  <c r="E4" i="2"/>
  <c r="D4" i="2"/>
  <c r="B4" i="2"/>
  <c r="H3" i="2"/>
  <c r="E3" i="2"/>
  <c r="D3" i="2"/>
  <c r="B3" i="2"/>
  <c r="N3" i="22"/>
  <c r="G3" i="22"/>
  <c r="F3" i="22"/>
  <c r="D3" i="22"/>
  <c r="C3" i="22"/>
  <c r="A3" i="22"/>
  <c r="E13" i="16"/>
  <c r="N2" i="22"/>
  <c r="G2" i="22"/>
  <c r="F2" i="22"/>
  <c r="D2" i="22"/>
  <c r="C2" i="22"/>
  <c r="A2" i="22"/>
  <c r="B123" i="19"/>
  <c r="C123" i="19"/>
  <c r="D123" i="19"/>
  <c r="F123" i="19"/>
  <c r="G123" i="19"/>
  <c r="B124" i="19"/>
  <c r="C124" i="19"/>
  <c r="D124" i="19"/>
  <c r="F124" i="19"/>
  <c r="G124" i="19"/>
  <c r="B125" i="19"/>
  <c r="C125" i="19"/>
  <c r="D125" i="19"/>
  <c r="F125" i="19"/>
  <c r="G125" i="19"/>
  <c r="B126" i="19"/>
  <c r="C126" i="19"/>
  <c r="D126" i="19"/>
  <c r="F126" i="19"/>
  <c r="G126" i="19"/>
  <c r="B127" i="19"/>
  <c r="C127" i="19"/>
  <c r="D127" i="19"/>
  <c r="F127" i="19"/>
  <c r="G127" i="19"/>
  <c r="B128" i="19"/>
  <c r="C128" i="19"/>
  <c r="D128" i="19"/>
  <c r="F128" i="19"/>
  <c r="G128" i="19"/>
  <c r="B129" i="19"/>
  <c r="C129" i="19"/>
  <c r="D129" i="19"/>
  <c r="F129" i="19"/>
  <c r="G129" i="19"/>
  <c r="B130" i="19"/>
  <c r="C130" i="19"/>
  <c r="D130" i="19"/>
  <c r="F130" i="19"/>
  <c r="G130" i="19"/>
  <c r="B131" i="19"/>
  <c r="C131" i="19"/>
  <c r="D131" i="19"/>
  <c r="F131" i="19"/>
  <c r="G131" i="19"/>
  <c r="B132" i="19"/>
  <c r="C132" i="19"/>
  <c r="D132" i="19"/>
  <c r="F132" i="19"/>
  <c r="G132" i="19"/>
  <c r="B133" i="19"/>
  <c r="C133" i="19"/>
  <c r="D133" i="19"/>
  <c r="F133" i="19"/>
  <c r="G133" i="19"/>
  <c r="B134" i="19"/>
  <c r="C134" i="19"/>
  <c r="D134" i="19"/>
  <c r="F134" i="19"/>
  <c r="G134" i="19"/>
  <c r="K122" i="19"/>
  <c r="L122" i="19"/>
  <c r="K123" i="19"/>
  <c r="L123" i="19"/>
  <c r="K124" i="19"/>
  <c r="L124" i="19"/>
  <c r="K125" i="19"/>
  <c r="L125" i="19"/>
  <c r="K126" i="19"/>
  <c r="L126" i="19"/>
  <c r="K127" i="19"/>
  <c r="L127" i="19"/>
  <c r="K128" i="19"/>
  <c r="L128" i="19"/>
  <c r="K129" i="19"/>
  <c r="L129" i="19"/>
  <c r="K130" i="19"/>
  <c r="L130" i="19"/>
  <c r="K131" i="19"/>
  <c r="L131" i="19"/>
  <c r="K132" i="19"/>
  <c r="L132" i="19"/>
  <c r="K133" i="19"/>
  <c r="L133" i="19"/>
  <c r="K134" i="19"/>
  <c r="L134" i="19"/>
  <c r="B122" i="19"/>
  <c r="C122" i="19"/>
  <c r="D122" i="19"/>
  <c r="F122" i="19"/>
  <c r="G122" i="19"/>
  <c r="B110" i="19"/>
  <c r="C110" i="19"/>
  <c r="D110" i="19"/>
  <c r="F110" i="19"/>
  <c r="G110" i="19"/>
  <c r="B111" i="19"/>
  <c r="C111" i="19"/>
  <c r="D111" i="19"/>
  <c r="F111" i="19"/>
  <c r="G111" i="19"/>
  <c r="B112" i="19"/>
  <c r="C112" i="19"/>
  <c r="D112" i="19"/>
  <c r="F112" i="19"/>
  <c r="G112" i="19"/>
  <c r="B113" i="19"/>
  <c r="C113" i="19"/>
  <c r="D113" i="19"/>
  <c r="F113" i="19"/>
  <c r="G113" i="19"/>
  <c r="B114" i="19"/>
  <c r="C114" i="19"/>
  <c r="D114" i="19"/>
  <c r="F114" i="19"/>
  <c r="G114" i="19"/>
  <c r="B115" i="19"/>
  <c r="C115" i="19"/>
  <c r="D115" i="19"/>
  <c r="F115" i="19"/>
  <c r="G115" i="19"/>
  <c r="B116" i="19"/>
  <c r="C116" i="19"/>
  <c r="D116" i="19"/>
  <c r="F116" i="19"/>
  <c r="G116" i="19"/>
  <c r="B117" i="19"/>
  <c r="C117" i="19"/>
  <c r="D117" i="19"/>
  <c r="F117" i="19"/>
  <c r="G117" i="19"/>
  <c r="B118" i="19"/>
  <c r="C118" i="19"/>
  <c r="D118" i="19"/>
  <c r="F118" i="19"/>
  <c r="G118" i="19"/>
  <c r="B119" i="19"/>
  <c r="C119" i="19"/>
  <c r="D119" i="19"/>
  <c r="F119" i="19"/>
  <c r="G119" i="19"/>
  <c r="B120" i="19"/>
  <c r="C120" i="19"/>
  <c r="D120" i="19"/>
  <c r="F120" i="19"/>
  <c r="G120" i="19"/>
  <c r="B121" i="19"/>
  <c r="C121" i="19"/>
  <c r="D121" i="19"/>
  <c r="F121" i="19"/>
  <c r="G121" i="19"/>
  <c r="K109" i="19"/>
  <c r="L109" i="19"/>
  <c r="K110" i="19"/>
  <c r="L110" i="19"/>
  <c r="K111" i="19"/>
  <c r="L111" i="19"/>
  <c r="K112" i="19"/>
  <c r="L112" i="19"/>
  <c r="K113" i="19"/>
  <c r="L113" i="19"/>
  <c r="K114" i="19"/>
  <c r="L114" i="19"/>
  <c r="K115" i="19"/>
  <c r="L115" i="19"/>
  <c r="K116" i="19"/>
  <c r="L116" i="19"/>
  <c r="K117" i="19"/>
  <c r="L117" i="19"/>
  <c r="K118" i="19"/>
  <c r="L118" i="19"/>
  <c r="K119" i="19"/>
  <c r="L119" i="19"/>
  <c r="K120" i="19"/>
  <c r="L120" i="19"/>
  <c r="K121" i="19"/>
  <c r="L121" i="19"/>
  <c r="B109" i="19"/>
  <c r="C109" i="19"/>
  <c r="D109" i="19"/>
  <c r="F109" i="19"/>
  <c r="G109" i="19"/>
  <c r="B95" i="19"/>
  <c r="C95" i="19"/>
  <c r="D95" i="19"/>
  <c r="F95" i="19"/>
  <c r="G95" i="19"/>
  <c r="B96" i="19"/>
  <c r="C96" i="19"/>
  <c r="D96" i="19"/>
  <c r="F96" i="19"/>
  <c r="G96" i="19"/>
  <c r="B97" i="19"/>
  <c r="C97" i="19"/>
  <c r="D97" i="19"/>
  <c r="F97" i="19"/>
  <c r="G97" i="19"/>
  <c r="B98" i="19"/>
  <c r="C98" i="19"/>
  <c r="D98" i="19"/>
  <c r="F98" i="19"/>
  <c r="G98" i="19"/>
  <c r="B99" i="19"/>
  <c r="C99" i="19"/>
  <c r="D99" i="19"/>
  <c r="F99" i="19"/>
  <c r="G99" i="19"/>
  <c r="B100" i="19"/>
  <c r="C100" i="19"/>
  <c r="D100" i="19"/>
  <c r="F100" i="19"/>
  <c r="G100" i="19"/>
  <c r="B101" i="19"/>
  <c r="C101" i="19"/>
  <c r="D101" i="19"/>
  <c r="F101" i="19"/>
  <c r="G101" i="19"/>
  <c r="B102" i="19"/>
  <c r="C102" i="19"/>
  <c r="D102" i="19"/>
  <c r="F102" i="19"/>
  <c r="G102" i="19"/>
  <c r="B103" i="19"/>
  <c r="C103" i="19"/>
  <c r="D103" i="19"/>
  <c r="F103" i="19"/>
  <c r="G103" i="19"/>
  <c r="B104" i="19"/>
  <c r="C104" i="19"/>
  <c r="D104" i="19"/>
  <c r="F104" i="19"/>
  <c r="G104" i="19"/>
  <c r="B105" i="19"/>
  <c r="C105" i="19"/>
  <c r="D105" i="19"/>
  <c r="F105" i="19"/>
  <c r="G105" i="19"/>
  <c r="B106" i="19"/>
  <c r="C106" i="19"/>
  <c r="D106" i="19"/>
  <c r="F106" i="19"/>
  <c r="G106" i="19"/>
  <c r="B107" i="19"/>
  <c r="C107" i="19"/>
  <c r="D107" i="19"/>
  <c r="F107" i="19"/>
  <c r="G107" i="19"/>
  <c r="B108" i="19"/>
  <c r="C108" i="19"/>
  <c r="D108" i="19"/>
  <c r="F108" i="19"/>
  <c r="G108" i="19"/>
  <c r="B94" i="19"/>
  <c r="C94" i="19"/>
  <c r="D94" i="19"/>
  <c r="F94" i="19"/>
  <c r="G94" i="19"/>
  <c r="K94" i="19"/>
  <c r="L94" i="19"/>
  <c r="K95" i="19"/>
  <c r="L95" i="19"/>
  <c r="K96" i="19"/>
  <c r="L96" i="19"/>
  <c r="K97" i="19"/>
  <c r="L97" i="19"/>
  <c r="K98" i="19"/>
  <c r="L98" i="19"/>
  <c r="K99" i="19"/>
  <c r="L99" i="19"/>
  <c r="K100" i="19"/>
  <c r="L100" i="19"/>
  <c r="K101" i="19"/>
  <c r="L101" i="19"/>
  <c r="K102" i="19"/>
  <c r="L102" i="19"/>
  <c r="K103" i="19"/>
  <c r="L103" i="19"/>
  <c r="K104" i="19"/>
  <c r="L104" i="19"/>
  <c r="K105" i="19"/>
  <c r="L105" i="19"/>
  <c r="K106" i="19"/>
  <c r="L106" i="19"/>
  <c r="K107" i="19"/>
  <c r="L107" i="19"/>
  <c r="K108" i="19"/>
  <c r="L108" i="19"/>
  <c r="B61" i="19"/>
  <c r="C61" i="19"/>
  <c r="D61" i="19"/>
  <c r="F61" i="19"/>
  <c r="G61" i="19"/>
  <c r="B62" i="19"/>
  <c r="C62" i="19"/>
  <c r="D62" i="19"/>
  <c r="F62" i="19"/>
  <c r="G62" i="19"/>
  <c r="B63" i="19"/>
  <c r="C63" i="19"/>
  <c r="D63" i="19"/>
  <c r="F63" i="19"/>
  <c r="G63" i="19"/>
  <c r="B64" i="19"/>
  <c r="C64" i="19"/>
  <c r="D64" i="19"/>
  <c r="F64" i="19"/>
  <c r="G64" i="19"/>
  <c r="B65" i="19"/>
  <c r="C65" i="19"/>
  <c r="D65" i="19"/>
  <c r="F65" i="19"/>
  <c r="G65" i="19"/>
  <c r="B66" i="19"/>
  <c r="C66" i="19"/>
  <c r="D66" i="19"/>
  <c r="F66" i="19"/>
  <c r="G66" i="19"/>
  <c r="B67" i="19"/>
  <c r="C67" i="19"/>
  <c r="D67" i="19"/>
  <c r="F67" i="19"/>
  <c r="G67" i="19"/>
  <c r="B68" i="19"/>
  <c r="C68" i="19"/>
  <c r="D68" i="19"/>
  <c r="F68" i="19"/>
  <c r="G68" i="19"/>
  <c r="B69" i="19"/>
  <c r="C69" i="19"/>
  <c r="D69" i="19"/>
  <c r="F69" i="19"/>
  <c r="G69" i="19"/>
  <c r="B70" i="19"/>
  <c r="C70" i="19"/>
  <c r="D70" i="19"/>
  <c r="F70" i="19"/>
  <c r="G70" i="19"/>
  <c r="B71" i="19"/>
  <c r="C71" i="19"/>
  <c r="D71" i="19"/>
  <c r="F71" i="19"/>
  <c r="G71" i="19"/>
  <c r="B72" i="19"/>
  <c r="C72" i="19"/>
  <c r="D72" i="19"/>
  <c r="F72" i="19"/>
  <c r="G72" i="19"/>
  <c r="B73" i="19"/>
  <c r="C73" i="19"/>
  <c r="D73" i="19"/>
  <c r="F73" i="19"/>
  <c r="G73" i="19"/>
  <c r="B74" i="19"/>
  <c r="C74" i="19"/>
  <c r="D74" i="19"/>
  <c r="F74" i="19"/>
  <c r="G74" i="19"/>
  <c r="B75" i="19"/>
  <c r="C75" i="19"/>
  <c r="D75" i="19"/>
  <c r="F75" i="19"/>
  <c r="G75" i="19"/>
  <c r="B76" i="19"/>
  <c r="C76" i="19"/>
  <c r="D76" i="19"/>
  <c r="F76" i="19"/>
  <c r="G76" i="19"/>
  <c r="B77" i="19"/>
  <c r="C77" i="19"/>
  <c r="D77" i="19"/>
  <c r="F77" i="19"/>
  <c r="G77" i="19"/>
  <c r="B78" i="19"/>
  <c r="C78" i="19"/>
  <c r="D78" i="19"/>
  <c r="F78" i="19"/>
  <c r="G78" i="19"/>
  <c r="B79" i="19"/>
  <c r="C79" i="19"/>
  <c r="D79" i="19"/>
  <c r="F79" i="19"/>
  <c r="G79" i="19"/>
  <c r="B80" i="19"/>
  <c r="C80" i="19"/>
  <c r="D80" i="19"/>
  <c r="F80" i="19"/>
  <c r="G80" i="19"/>
  <c r="B81" i="19"/>
  <c r="C81" i="19"/>
  <c r="D81" i="19"/>
  <c r="F81" i="19"/>
  <c r="G81" i="19"/>
  <c r="B82" i="19"/>
  <c r="C82" i="19"/>
  <c r="D82" i="19"/>
  <c r="F82" i="19"/>
  <c r="G82" i="19"/>
  <c r="B83" i="19"/>
  <c r="C83" i="19"/>
  <c r="D83" i="19"/>
  <c r="F83" i="19"/>
  <c r="G83" i="19"/>
  <c r="B84" i="19"/>
  <c r="C84" i="19"/>
  <c r="D84" i="19"/>
  <c r="F84" i="19"/>
  <c r="G84" i="19"/>
  <c r="B85" i="19"/>
  <c r="C85" i="19"/>
  <c r="D85" i="19"/>
  <c r="F85" i="19"/>
  <c r="G85" i="19"/>
  <c r="B86" i="19"/>
  <c r="C86" i="19"/>
  <c r="D86" i="19"/>
  <c r="F86" i="19"/>
  <c r="G86" i="19"/>
  <c r="B87" i="19"/>
  <c r="C87" i="19"/>
  <c r="D87" i="19"/>
  <c r="F87" i="19"/>
  <c r="G87" i="19"/>
  <c r="B88" i="19"/>
  <c r="C88" i="19"/>
  <c r="D88" i="19"/>
  <c r="F88" i="19"/>
  <c r="G88" i="19"/>
  <c r="B89" i="19"/>
  <c r="C89" i="19"/>
  <c r="D89" i="19"/>
  <c r="F89" i="19"/>
  <c r="G89" i="19"/>
  <c r="B90" i="19"/>
  <c r="C90" i="19"/>
  <c r="D90" i="19"/>
  <c r="F90" i="19"/>
  <c r="G90" i="19"/>
  <c r="B91" i="19"/>
  <c r="C91" i="19"/>
  <c r="D91" i="19"/>
  <c r="F91" i="19"/>
  <c r="G91" i="19"/>
  <c r="B92" i="19"/>
  <c r="C92" i="19"/>
  <c r="D92" i="19"/>
  <c r="F92" i="19"/>
  <c r="G92" i="19"/>
  <c r="B93" i="19"/>
  <c r="C93" i="19"/>
  <c r="D93" i="19"/>
  <c r="F93" i="19"/>
  <c r="G93" i="19"/>
  <c r="K60" i="19"/>
  <c r="L60" i="19"/>
  <c r="K61" i="19"/>
  <c r="L61" i="19"/>
  <c r="K62" i="19"/>
  <c r="L62" i="19"/>
  <c r="K63" i="19"/>
  <c r="L63" i="19"/>
  <c r="K64" i="19"/>
  <c r="L64" i="19"/>
  <c r="K65" i="19"/>
  <c r="L65" i="19"/>
  <c r="K66" i="19"/>
  <c r="L66" i="19"/>
  <c r="K67" i="19"/>
  <c r="L67" i="19"/>
  <c r="K68" i="19"/>
  <c r="L68" i="19"/>
  <c r="K69" i="19"/>
  <c r="L69" i="19"/>
  <c r="K70" i="19"/>
  <c r="L70" i="19"/>
  <c r="K71" i="19"/>
  <c r="L71" i="19"/>
  <c r="K72" i="19"/>
  <c r="L72" i="19"/>
  <c r="K73" i="19"/>
  <c r="L73" i="19"/>
  <c r="K74" i="19"/>
  <c r="L74" i="19"/>
  <c r="K75" i="19"/>
  <c r="L75" i="19"/>
  <c r="K76" i="19"/>
  <c r="L76" i="19"/>
  <c r="K77" i="19"/>
  <c r="L77" i="19"/>
  <c r="K78" i="19"/>
  <c r="L78" i="19"/>
  <c r="K79" i="19"/>
  <c r="L79" i="19"/>
  <c r="K80" i="19"/>
  <c r="L80" i="19"/>
  <c r="K81" i="19"/>
  <c r="L81" i="19"/>
  <c r="K82" i="19"/>
  <c r="L82" i="19"/>
  <c r="K83" i="19"/>
  <c r="L83" i="19"/>
  <c r="K84" i="19"/>
  <c r="L84" i="19"/>
  <c r="K85" i="19"/>
  <c r="L85" i="19"/>
  <c r="K86" i="19"/>
  <c r="L86" i="19"/>
  <c r="K87" i="19"/>
  <c r="L87" i="19"/>
  <c r="K88" i="19"/>
  <c r="L88" i="19"/>
  <c r="K89" i="19"/>
  <c r="L89" i="19"/>
  <c r="K90" i="19"/>
  <c r="L90" i="19"/>
  <c r="K91" i="19"/>
  <c r="L91" i="19"/>
  <c r="K92" i="19"/>
  <c r="L92" i="19"/>
  <c r="K93" i="19"/>
  <c r="L93" i="19"/>
  <c r="B60" i="19"/>
  <c r="C60" i="19"/>
  <c r="D60" i="19"/>
  <c r="F60" i="19"/>
  <c r="G60" i="19"/>
  <c r="B29" i="19"/>
  <c r="C29" i="19"/>
  <c r="D29" i="19"/>
  <c r="F29" i="19"/>
  <c r="G29" i="19"/>
  <c r="B30" i="19"/>
  <c r="C30" i="19"/>
  <c r="D30" i="19"/>
  <c r="F30" i="19"/>
  <c r="G30" i="19"/>
  <c r="B31" i="19"/>
  <c r="C31" i="19"/>
  <c r="D31" i="19"/>
  <c r="F31" i="19"/>
  <c r="G31" i="19"/>
  <c r="B32" i="19"/>
  <c r="C32" i="19"/>
  <c r="D32" i="19"/>
  <c r="F32" i="19"/>
  <c r="G32" i="19"/>
  <c r="B33" i="19"/>
  <c r="C33" i="19"/>
  <c r="D33" i="19"/>
  <c r="F33" i="19"/>
  <c r="G33" i="19"/>
  <c r="B34" i="19"/>
  <c r="C34" i="19"/>
  <c r="D34" i="19"/>
  <c r="F34" i="19"/>
  <c r="G34" i="19"/>
  <c r="B35" i="19"/>
  <c r="C35" i="19"/>
  <c r="D35" i="19"/>
  <c r="F35" i="19"/>
  <c r="G35" i="19"/>
  <c r="B36" i="19"/>
  <c r="C36" i="19"/>
  <c r="D36" i="19"/>
  <c r="F36" i="19"/>
  <c r="G36" i="19"/>
  <c r="B37" i="19"/>
  <c r="C37" i="19"/>
  <c r="D37" i="19"/>
  <c r="F37" i="19"/>
  <c r="G37" i="19"/>
  <c r="B38" i="19"/>
  <c r="C38" i="19"/>
  <c r="D38" i="19"/>
  <c r="F38" i="19"/>
  <c r="G38" i="19"/>
  <c r="B39" i="19"/>
  <c r="C39" i="19"/>
  <c r="D39" i="19"/>
  <c r="F39" i="19"/>
  <c r="G39" i="19"/>
  <c r="B40" i="19"/>
  <c r="C40" i="19"/>
  <c r="D40" i="19"/>
  <c r="F40" i="19"/>
  <c r="G40" i="19"/>
  <c r="B41" i="19"/>
  <c r="C41" i="19"/>
  <c r="D41" i="19"/>
  <c r="F41" i="19"/>
  <c r="G41" i="19"/>
  <c r="B42" i="19"/>
  <c r="C42" i="19"/>
  <c r="D42" i="19"/>
  <c r="F42" i="19"/>
  <c r="G42" i="19"/>
  <c r="B43" i="19"/>
  <c r="C43" i="19"/>
  <c r="D43" i="19"/>
  <c r="F43" i="19"/>
  <c r="G43" i="19"/>
  <c r="B44" i="19"/>
  <c r="C44" i="19"/>
  <c r="D44" i="19"/>
  <c r="F44" i="19"/>
  <c r="G44" i="19"/>
  <c r="B45" i="19"/>
  <c r="C45" i="19"/>
  <c r="D45" i="19"/>
  <c r="F45" i="19"/>
  <c r="G45" i="19"/>
  <c r="B46" i="19"/>
  <c r="C46" i="19"/>
  <c r="D46" i="19"/>
  <c r="F46" i="19"/>
  <c r="G46" i="19"/>
  <c r="B47" i="19"/>
  <c r="C47" i="19"/>
  <c r="D47" i="19"/>
  <c r="F47" i="19"/>
  <c r="G47" i="19"/>
  <c r="B48" i="19"/>
  <c r="C48" i="19"/>
  <c r="D48" i="19"/>
  <c r="F48" i="19"/>
  <c r="G48" i="19"/>
  <c r="B49" i="19"/>
  <c r="C49" i="19"/>
  <c r="D49" i="19"/>
  <c r="F49" i="19"/>
  <c r="G49" i="19"/>
  <c r="B50" i="19"/>
  <c r="C50" i="19"/>
  <c r="D50" i="19"/>
  <c r="F50" i="19"/>
  <c r="G50" i="19"/>
  <c r="B51" i="19"/>
  <c r="C51" i="19"/>
  <c r="D51" i="19"/>
  <c r="F51" i="19"/>
  <c r="G51" i="19"/>
  <c r="B52" i="19"/>
  <c r="C52" i="19"/>
  <c r="D52" i="19"/>
  <c r="F52" i="19"/>
  <c r="G52" i="19"/>
  <c r="B53" i="19"/>
  <c r="C53" i="19"/>
  <c r="D53" i="19"/>
  <c r="F53" i="19"/>
  <c r="G53" i="19"/>
  <c r="B54" i="19"/>
  <c r="C54" i="19"/>
  <c r="D54" i="19"/>
  <c r="F54" i="19"/>
  <c r="G54" i="19"/>
  <c r="B55" i="19"/>
  <c r="C55" i="19"/>
  <c r="D55" i="19"/>
  <c r="F55" i="19"/>
  <c r="G55" i="19"/>
  <c r="B56" i="19"/>
  <c r="C56" i="19"/>
  <c r="D56" i="19"/>
  <c r="F56" i="19"/>
  <c r="G56" i="19"/>
  <c r="B57" i="19"/>
  <c r="C57" i="19"/>
  <c r="D57" i="19"/>
  <c r="F57" i="19"/>
  <c r="G57" i="19"/>
  <c r="B58" i="19"/>
  <c r="C58" i="19"/>
  <c r="D58" i="19"/>
  <c r="F58" i="19"/>
  <c r="G58" i="19"/>
  <c r="B59" i="19"/>
  <c r="C59" i="19"/>
  <c r="D59" i="19"/>
  <c r="F59" i="19"/>
  <c r="G59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K34" i="19"/>
  <c r="L34" i="19"/>
  <c r="K35" i="19"/>
  <c r="L35" i="19"/>
  <c r="K36" i="19"/>
  <c r="L36" i="19"/>
  <c r="K37" i="19"/>
  <c r="L37" i="19"/>
  <c r="K38" i="19"/>
  <c r="L38" i="19"/>
  <c r="K39" i="19"/>
  <c r="L39" i="19"/>
  <c r="K40" i="19"/>
  <c r="L40" i="19"/>
  <c r="K41" i="19"/>
  <c r="L41" i="19"/>
  <c r="K42" i="19"/>
  <c r="L42" i="19"/>
  <c r="K43" i="19"/>
  <c r="L43" i="19"/>
  <c r="K44" i="19"/>
  <c r="L44" i="19"/>
  <c r="K45" i="19"/>
  <c r="L4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B28" i="19"/>
  <c r="C28" i="19"/>
  <c r="D28" i="19"/>
  <c r="F28" i="19"/>
  <c r="G28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B15" i="19"/>
  <c r="C15" i="19"/>
  <c r="D15" i="19"/>
  <c r="F15" i="19"/>
  <c r="G15" i="19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K27" i="19"/>
  <c r="L27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" i="19"/>
  <c r="L2" i="19"/>
  <c r="B2" i="21"/>
  <c r="I2" i="21"/>
  <c r="J2" i="21"/>
  <c r="G2" i="21"/>
  <c r="F2" i="21"/>
  <c r="D2" i="21"/>
  <c r="C2" i="21"/>
  <c r="E12" i="16"/>
  <c r="E11" i="16"/>
  <c r="B2" i="19"/>
  <c r="G2" i="19"/>
  <c r="F2" i="19"/>
  <c r="D2" i="19"/>
  <c r="C2" i="19"/>
  <c r="E10" i="16"/>
  <c r="A2" i="18"/>
  <c r="C2" i="18"/>
  <c r="D2" i="18"/>
  <c r="O2" i="9"/>
  <c r="N2" i="9"/>
  <c r="M2" i="9"/>
  <c r="L2" i="9"/>
  <c r="K2" i="9"/>
  <c r="J2" i="9"/>
  <c r="I2" i="9"/>
  <c r="H2" i="9"/>
  <c r="G2" i="9"/>
  <c r="D2" i="9"/>
  <c r="E9" i="16"/>
  <c r="Y2" i="7"/>
  <c r="X2" i="1"/>
  <c r="R2" i="7"/>
  <c r="Q2" i="7"/>
  <c r="P2" i="7"/>
  <c r="O2" i="7"/>
  <c r="N2" i="7"/>
  <c r="AD2" i="1"/>
  <c r="AG2" i="1"/>
  <c r="AF2" i="1"/>
  <c r="AE2" i="1"/>
  <c r="AC2" i="1"/>
  <c r="Q2" i="1"/>
  <c r="P2" i="1"/>
  <c r="O2" i="1"/>
  <c r="N2" i="1"/>
  <c r="M2" i="1"/>
  <c r="M4" i="10"/>
  <c r="T4" i="10"/>
  <c r="V4" i="10"/>
  <c r="N4" i="10"/>
  <c r="P4" i="10"/>
  <c r="G4" i="10"/>
  <c r="I4" i="10"/>
  <c r="X4" i="10"/>
  <c r="W4" i="10"/>
  <c r="U4" i="10"/>
  <c r="Y4" i="10"/>
  <c r="R4" i="10"/>
  <c r="Q4" i="10"/>
  <c r="O4" i="10"/>
  <c r="S4" i="10"/>
  <c r="K4" i="10"/>
  <c r="J4" i="10"/>
  <c r="H4" i="10"/>
  <c r="L4" i="10"/>
  <c r="AI2" i="1"/>
  <c r="H2" i="7"/>
  <c r="J2" i="7"/>
  <c r="E8" i="16"/>
  <c r="E7" i="16"/>
  <c r="E6" i="16"/>
  <c r="E5" i="16"/>
  <c r="E4" i="16"/>
  <c r="E3" i="16"/>
  <c r="E2" i="16"/>
  <c r="A2" i="1"/>
  <c r="A2" i="9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<sst xmlns="http://schemas.openxmlformats.org/spreadsheetml/2006/main" count="1451" uniqueCount="422">
  <si>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</si>
  <si>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</si>
  <si>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</si>
  <si>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</si>
  <si>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</si>
  <si>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</si>
  <si>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</si>
  <si>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</si>
  <si>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</si>
  <si>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</si>
  <si>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</si>
  <si>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</si>
  <si>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</si>
  <si>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</si>
  <si>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</si>
  <si>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</si>
  <si>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</si>
  <si>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</si>
  <si>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</si>
  <si>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</si>
  <si>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</si>
  <si>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</si>
  <si>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</si>
  <si>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</si>
  <si>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</si>
  <si>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</si>
  <si>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</si>
  <si>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</si>
  <si>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</si>
  <si>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</si>
  <si>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</si>
  <si>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</si>
  <si>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</si>
  <si>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</si>
  <si>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</si>
  <si>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</si>
  <si>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</si>
  <si>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</si>
  <si>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</si>
  <si>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</si>
  <si>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</si>
  <si>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</si>
  <si>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</si>
  <si>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</si>
  <si>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</si>
  <si>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</si>
  <si>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</si>
  <si>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</si>
  <si>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</si>
  <si>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</si>
  <si>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</si>
  <si>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</si>
  <si>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</si>
  <si>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</si>
  <si>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</si>
  <si>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</si>
  <si>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</si>
  <si>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</si>
  <si>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</si>
  <si>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</si>
  <si>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</si>
  <si>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</si>
  <si>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</si>
  <si>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</si>
  <si>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</si>
  <si>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</si>
  <si>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</si>
  <si>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</si>
  <si>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</si>
  <si>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</si>
  <si>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</si>
  <si>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</si>
  <si>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</si>
  <si>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</si>
  <si>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</si>
  <si>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</si>
  <si>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</si>
  <si>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</si>
  <si>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</si>
  <si>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</si>
  <si>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</si>
  <si>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</si>
  <si>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</si>
  <si>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</si>
  <si>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</si>
  <si>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</si>
  <si>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</si>
  <si>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</si>
  <si>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</si>
  <si>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</si>
  <si>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</si>
  <si>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</si>
  <si>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</si>
  <si>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</si>
  <si>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</si>
  <si>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</si>
  <si>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</si>
  <si>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</si>
  <si>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</si>
  <si>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</si>
  <si>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</si>
  <si>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</si>
  <si>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</si>
  <si>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</si>
  <si>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</si>
  <si>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</si>
  <si>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</si>
  <si>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</si>
  <si>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</si>
  <si>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</si>
  <si>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</si>
  <si>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</si>
  <si>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</si>
  <si>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</si>
  <si>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</si>
  <si>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</si>
  <si>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</si>
  <si>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</si>
  <si>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</si>
  <si>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</si>
  <si>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</si>
  <si>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</si>
  <si>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</si>
  <si>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</si>
  <si>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</si>
  <si>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</si>
  <si>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</si>
  <si>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</si>
  <si>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</si>
  <si>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</si>
  <si>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</si>
  <si>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</si>
  <si>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</si>
  <si>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</si>
  <si>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</si>
  <si>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</si>
  <si>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</si>
  <si>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</si>
  <si>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</si>
  <si>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</si>
  <si>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</si>
  <si>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</si>
  <si>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</si>
  <si>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</si>
  <si>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</si>
  <si>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</si>
  <si>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</si>
  <si>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</si>
  <si>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</si>
  <si>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</si>
  <si>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</si>
  <si>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</si>
  <si>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</si>
  <si>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</si>
  <si>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</si>
  <si>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</si>
  <si>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</si>
  <si>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</si>
  <si>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</si>
  <si>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</si>
  <si>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</si>
  <si>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</si>
  <si>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</si>
  <si>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</si>
  <si>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</si>
  <si>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</si>
  <si>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</si>
  <si>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</si>
  <si>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</si>
  <si>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null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</si>
  <si>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</si>
  <si>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</si>
  <si>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</si>
  <si>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</si>
  <si>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</si>
  <si>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</si>
  <si>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</si>
  <si>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</si>
  <si>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</si>
  <si>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</si>
  <si>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</si>
  <si>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</si>
  <si>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</si>
  <si>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</si>
  <si>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</si>
  <si>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</si>
  <si>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</si>
  <si>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</si>
  <si>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</si>
  <si>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</si>
  <si>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</si>
  <si>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</si>
  <si>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</si>
  <si>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</si>
  <si>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</si>
  <si>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</si>
  <si>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</si>
  <si>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</si>
  <si>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</si>
  <si>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</si>
  <si>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</si>
  <si>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</si>
  <si>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</si>
  <si>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</si>
  <si>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</si>
  <si>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</si>
  <si>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</si>
  <si>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</si>
  <si>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</si>
  <si>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</si>
  <si>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</si>
  <si>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</si>
  <si>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</si>
  <si>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</si>
  <si>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初級</t>
    <rPh sb="0" eb="2">
      <t>ショキュウ</t>
    </rPh>
    <phoneticPr fontId="5"/>
  </si>
  <si>
    <t>中級</t>
    <rPh sb="0" eb="2">
      <t>チュウキュウ</t>
    </rPh>
    <phoneticPr fontId="5"/>
  </si>
  <si>
    <t>上級</t>
    <rPh sb="0" eb="2">
      <t>ジョウキュウ</t>
    </rPh>
    <phoneticPr fontId="5"/>
  </si>
  <si>
    <t>超級</t>
    <rPh sb="0" eb="2">
      <t>チョウキュウ</t>
    </rPh>
    <phoneticPr fontId="5"/>
  </si>
  <si>
    <t>超絶級</t>
    <rPh sb="0" eb="2">
      <t>チョウゼツ</t>
    </rPh>
    <rPh sb="2" eb="3">
      <t>キュウ</t>
    </rPh>
    <phoneticPr fontId="5"/>
  </si>
  <si>
    <t>(超)ウィザード級</t>
    <rPh sb="1" eb="2">
      <t>チョウ</t>
    </rPh>
    <rPh sb="8" eb="9">
      <t>キュウ</t>
    </rPh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</si>
  <si>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</si>
  <si>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</si>
  <si>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</si>
  <si>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</si>
  <si>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</si>
  <si>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</si>
  <si>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</si>
  <si>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</si>
  <si>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</si>
  <si>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</si>
  <si>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</si>
  <si>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</si>
  <si>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</si>
  <si>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</si>
  <si>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</si>
  <si>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clear</t>
    <phoneticPr fontId="5"/>
  </si>
  <si>
    <t>unit</t>
    <phoneticPr fontId="5"/>
  </si>
  <si>
    <t>2016-5-27 0:00:00</t>
    <phoneticPr fontId="5"/>
  </si>
  <si>
    <t>2970-01-01 09:00:00</t>
    <phoneticPr fontId="5"/>
  </si>
  <si>
    <t>no_continue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</si>
  <si>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</si>
  <si>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</si>
  <si>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</si>
  <si>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</si>
  <si>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</si>
  <si>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</si>
  <si>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</si>
  <si>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</si>
  <si>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</si>
  <si>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</si>
  <si>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</si>
  <si>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</si>
  <si>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</si>
  <si>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</si>
  <si>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</si>
  <si>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</si>
  <si>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</si>
  <si>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</si>
  <si>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</si>
  <si>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</si>
  <si>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</si>
  <si>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</si>
  <si>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</si>
  <si>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攻略のヒント</t>
    <rPh sb="0" eb="2">
      <t>コウリャク</t>
    </rPh>
    <phoneticPr fontId="5"/>
  </si>
  <si>
    <t>null</t>
    <phoneticPr fontId="5"/>
  </si>
  <si>
    <t xml:space="preserve">[effect:enemy_message, val1:1.2, val2:1.2],[effect:spread, val:0.4]    </t>
    <phoneticPr fontId="5"/>
  </si>
  <si>
    <t>old</t>
  </si>
  <si>
    <t xml:space="preserve">[effect:enemy_message, val1:1.2, val2:1.2],[effect:enhance_enemy, target:myself, turn:-1, status:attack, val:0.2, calc:mul, animation:enemy_enhance_attack]    </t>
    <phoneticPr fontId="5"/>
  </si>
  <si>
    <t xml:space="preserve">[effect:enemy_message, val1:1.2, val2:1.2],[effect:enhance_enemy, target:myself, turn:-1, status:attack, val:0.5, calc:mul, animation:enemy_enhance_attack]    </t>
    <phoneticPr fontId="5"/>
  </si>
  <si>
    <t xml:space="preserve">[effect:enemy_message, val1:1.2, val2:1.2],[effect:rush, count:2, val:0.3]    </t>
    <phoneticPr fontId="5"/>
  </si>
  <si>
    <t>連続攻撃</t>
    <rPh sb="0" eb="4">
      <t>レンゾk</t>
    </rPh>
    <phoneticPr fontId="5"/>
  </si>
  <si>
    <t>[effect:enemy_message, val1:1.2, val2:1.2],[effect:crash_condition, target:unit_all, turn:3, val:3, animation:enemy_crash_extend]</t>
    <phoneticPr fontId="5"/>
  </si>
  <si>
    <t>クリティカル</t>
    <phoneticPr fontId="5"/>
  </si>
  <si>
    <t>全体攻撃</t>
    <rPh sb="0" eb="4">
      <t>ゼンタ</t>
    </rPh>
    <phoneticPr fontId="5"/>
  </si>
  <si>
    <t>[effect:enemy_message, val1:1.2, val2:1.2],[effect:enemy_message, val1:1.2, val2:1.2],[effect:enemy_message, val1:1.2, val2:1.2],[effect:enemy_message, val1:1.2, val2:1.2],[effect:rush, count:1, val:40]</t>
    <phoneticPr fontId="5"/>
  </si>
  <si>
    <t>どんどん強くなる攻撃</t>
    <rPh sb="4" eb="5">
      <t>ドンドンツヨk</t>
    </rPh>
    <phoneticPr fontId="5"/>
  </si>
  <si>
    <t>[effect:enemy_message, val1:1.2, val2:1.2],[effect:enemy_message, val1:1.2, val2:1.2],[effect:enemy_message, val1:1.2, val2:1.2],[effect:rush, count:1, val:0.7]</t>
    <phoneticPr fontId="5"/>
  </si>
  <si>
    <t>[effect:enemy_message, val1:1.2, val2:1.2],[effect:enemy_message, val1:1.2, val2:1.2],[effect:enemy_message, val1:1.2, val2:1.2],[effect:rush, count:1, val:80]</t>
    <phoneticPr fontId="5"/>
  </si>
  <si>
    <t>状態異常+爆風軽減6ターン+マシンスキルバインド99</t>
    <rPh sb="0" eb="4">
      <t>ジョウタ</t>
    </rPh>
    <rPh sb="5" eb="9">
      <t>バクフ</t>
    </rPh>
    <phoneticPr fontId="5"/>
  </si>
  <si>
    <t>緑パネル吸収攻撃</t>
    <rPh sb="0" eb="1">
      <t>ミドr</t>
    </rPh>
    <rPh sb="4" eb="8">
      <t>キュウシュ</t>
    </rPh>
    <phoneticPr fontId="5"/>
  </si>
  <si>
    <t>[effect:enemy_message, val1:1.2, val2:1.2],[effect:tolerance, target:myself, turn:-1, count:-1, tolerance_effect:all, animation:enemy_tolerance],[effect:change_bomb_range, target:unit_all, val:0.6, rate:1, turn:6, animation:bomb_small]</t>
    <phoneticPr fontId="5"/>
  </si>
  <si>
    <t>状態異常耐性+爆風軽減6</t>
    <rPh sb="0" eb="4">
      <t>ジョウタ</t>
    </rPh>
    <rPh sb="4" eb="6">
      <t>タイセ</t>
    </rPh>
    <rPh sb="7" eb="9">
      <t>バクフ</t>
    </rPh>
    <rPh sb="9" eb="11">
      <t>ケイゲn</t>
    </rPh>
    <phoneticPr fontId="5"/>
  </si>
  <si>
    <t xml:space="preserve">[effect:enemy_message, val1:1.2, val2:1.2],[effect:force_change_block, new_block:block_blue, target:block_heart, ignore01:block_positive, count:0, val:0]    </t>
    <phoneticPr fontId="5"/>
  </si>
  <si>
    <t>ハートパネルを青パネルに変換</t>
    <rPh sb="7" eb="8">
      <t>ア</t>
    </rPh>
    <phoneticPr fontId="5"/>
  </si>
  <si>
    <t>ダメージパネルを吸収して攻撃</t>
    <rPh sb="8" eb="10">
      <t>キュウシュ</t>
    </rPh>
    <rPh sb="12" eb="14">
      <t>コウゲk</t>
    </rPh>
    <phoneticPr fontId="5"/>
  </si>
  <si>
    <t>青パネル吸収して攻撃</t>
    <rPh sb="0" eb="1">
      <t>ア</t>
    </rPh>
    <rPh sb="4" eb="10">
      <t>キュウシュ</t>
    </rPh>
    <phoneticPr fontId="5"/>
  </si>
  <si>
    <t>状態異常耐性+永久ウイルス+マシンスキルバインド99</t>
    <rPh sb="0" eb="6">
      <t>ジョウタ</t>
    </rPh>
    <rPh sb="7" eb="9">
      <t>エイキュ</t>
    </rPh>
    <phoneticPr fontId="5"/>
  </si>
  <si>
    <t xml:space="preserve">[effect:enemy_message, val1:1.2, val2:1.2],[effect:damage_fix_absolute, target:unit_one, val:12000]    </t>
    <phoneticPr fontId="5"/>
  </si>
  <si>
    <t>12000固定ダメージ</t>
    <rPh sb="5" eb="7">
      <t>コt</t>
    </rPh>
    <phoneticPr fontId="5"/>
  </si>
  <si>
    <t>3回連続攻撃+攻撃ダウン3ターン</t>
    <rPh sb="1" eb="2">
      <t>k</t>
    </rPh>
    <rPh sb="2" eb="6">
      <t>レンゾk</t>
    </rPh>
    <rPh sb="7" eb="9">
      <t>コウゲk</t>
    </rPh>
    <phoneticPr fontId="5"/>
  </si>
  <si>
    <t xml:space="preserve">[effect:enemy_message, val1:1.2, val2:1.2],[effect:enhance_enemy, target:myself, turn:3, status:attack, val:0.3, calc:mul, animation:enemy_enhance_attack],[effect:degrade_unit, target:unit_all, turn:3, status:heal, val:3, calc:add, animation:degrade_unit_all_heal]    </t>
    <phoneticPr fontId="5"/>
  </si>
  <si>
    <t>攻撃アップ+回復力ダウン3ターン</t>
    <rPh sb="0" eb="2">
      <t>コウゲk</t>
    </rPh>
    <rPh sb="6" eb="9">
      <t>カイフクry</t>
    </rPh>
    <phoneticPr fontId="5"/>
  </si>
  <si>
    <t xml:space="preserve">[effect:enemy_message, val1:1.2, val2:1.2],[effect:rush, count:1, val:80]   </t>
    <phoneticPr fontId="5"/>
  </si>
  <si>
    <t>攻撃ダウン+単体攻撃</t>
    <rPh sb="0" eb="2">
      <t>コウゲk</t>
    </rPh>
    <rPh sb="6" eb="8">
      <t>タンタイ</t>
    </rPh>
    <rPh sb="8" eb="10">
      <t>コウゲk</t>
    </rPh>
    <phoneticPr fontId="5"/>
  </si>
  <si>
    <t>状態異常+永久ウイルス+爆破軽減6ターン</t>
    <rPh sb="0" eb="4">
      <t>ジョウタ</t>
    </rPh>
    <rPh sb="5" eb="7">
      <t>エイキュ</t>
    </rPh>
    <rPh sb="12" eb="16">
      <t>バクハケイ</t>
    </rPh>
    <phoneticPr fontId="5"/>
  </si>
  <si>
    <t>3回連続攻撃+Cパネル生成延長</t>
    <rPh sb="1" eb="2">
      <t>k</t>
    </rPh>
    <rPh sb="2" eb="6">
      <t>レンゾk</t>
    </rPh>
    <rPh sb="11" eb="13">
      <t>セイセ</t>
    </rPh>
    <rPh sb="13" eb="15">
      <t>エンチョ</t>
    </rPh>
    <phoneticPr fontId="5"/>
  </si>
  <si>
    <t>青パネル吸収攻撃</t>
    <phoneticPr fontId="5"/>
  </si>
  <si>
    <t>[effect:enemy_message, val1:1.2, val2:1.2],[effect:degrade_unit, target:unit_all, turn:5, status:heal, val:3, calc:add, animation:degrade_unit_all_heal],[effect:attack_break, target:unit_all, turn:5, val:0.4, calc:mul, animation:attack_break04]</t>
    <phoneticPr fontId="5"/>
  </si>
  <si>
    <t>攻撃、回復ダウン5ターン</t>
    <rPh sb="0" eb="2">
      <t>コウゲk</t>
    </rPh>
    <phoneticPr fontId="5"/>
  </si>
  <si>
    <t>ダメージパネル吸収攻撃</t>
    <rPh sb="7" eb="11">
      <t>キュウシュ</t>
    </rPh>
    <phoneticPr fontId="5"/>
  </si>
  <si>
    <t>攻撃アップ3+ダメージパネル６個変換</t>
    <rPh sb="0" eb="2">
      <t>コウゲキアッp</t>
    </rPh>
    <phoneticPr fontId="5"/>
  </si>
  <si>
    <t xml:space="preserve">[effect:enemy_message, val1:1.2, val2:1.2, dead_type:escape]    </t>
    <phoneticPr fontId="5"/>
  </si>
  <si>
    <t>死亡エスケープ</t>
    <rPh sb="0" eb="2">
      <t>シボ</t>
    </rPh>
    <phoneticPr fontId="5"/>
  </si>
  <si>
    <t>2回連続攻撃</t>
    <rPh sb="1" eb="2">
      <t>k</t>
    </rPh>
    <rPh sb="2" eb="4">
      <t>レンゾk</t>
    </rPh>
    <rPh sb="4" eb="6">
      <t>コウゲk</t>
    </rPh>
    <phoneticPr fontId="5"/>
  </si>
  <si>
    <t xml:space="preserve">[effect:enemy_message, val1:1.2, val2:1.2, dead_type:suicide]    </t>
    <phoneticPr fontId="5"/>
  </si>
  <si>
    <t>死亡</t>
    <rPh sb="0" eb="2">
      <t>シボ</t>
    </rPh>
    <phoneticPr fontId="5"/>
  </si>
  <si>
    <t>[effect:enemy_message, val1:1.2, val2:1.2],[effect:critical, val:1.2, animation:enemy_critical]</t>
    <phoneticPr fontId="5"/>
  </si>
  <si>
    <t>[effect:enemy_message, val1:1.2, val2:1.2],[effect:critical, val:1.3, animation:enemy_critical]</t>
    <phoneticPr fontId="5"/>
  </si>
  <si>
    <t>[effect:enemy_message, val1:1.2, val2:1.2],[effect:critical, val:1.5, animation:enemy_critical]</t>
    <phoneticPr fontId="5"/>
  </si>
  <si>
    <t>[effect:enemy_message, val1:1.2, val2:1.2],[effect:hungup, target:unit_machine, turn:99, rate:1, animation:hungup01]</t>
    <phoneticPr fontId="5"/>
  </si>
  <si>
    <t>[effect:enemy_message, val1:1.2, val2:1.2],[effect:tolerance, target:myself, turn:-1, count:-1, tolerance_effect:all, animation:enemy_tolerance],[effect:hungup, target:unit_machine, turn:99, rate:1, animation:hungup01],[effect:change_bomb_range, target:unit_all, val:0.6, rate:1, turn:6, animation:bomb_small]</t>
    <phoneticPr fontId="5"/>
  </si>
  <si>
    <t xml:space="preserve">[effect:enemy_message, val1:1.2, val2:1.2],[effect:rush, count:1, val:0.3],[effect:attack_break, target:unit_all, turn:5, val:0.4, calc:mul, animation:attack_break04]    </t>
    <phoneticPr fontId="5"/>
  </si>
  <si>
    <t xml:space="preserve">[effect:enemy_message, val1:1.2, val2:1.2],[effect:enemy_message, val1:1.2, val2:1.2],[effect:rush, count:2, val:0.5]    </t>
    <phoneticPr fontId="5"/>
  </si>
  <si>
    <t xml:space="preserve">[effect:enemy_message, val1:1.2, val2:1.2],[effect:enhance_enemy, target:myself, turn:3, status:attack, val:0.4, calc:mul, animation:enemy_enhance_attack]    </t>
    <phoneticPr fontId="5"/>
  </si>
  <si>
    <t xml:space="preserve">[effect:enemy_message, val1:1.2, val2:1.2],[effect:enemy_message, val1:1.2, val2:1.2],[effect:enemy_message, val1:1.2, val2:1.2],[effect:rush, count:1, val:0.6]    </t>
    <phoneticPr fontId="5"/>
  </si>
  <si>
    <t>回復タイプに特大なウイルスキラー</t>
    <rPh sb="0" eb="2">
      <t>カイフk</t>
    </rPh>
    <rPh sb="6" eb="8">
      <t>トクダ</t>
    </rPh>
    <phoneticPr fontId="5"/>
  </si>
  <si>
    <t xml:space="preserve">[effect:enemy_message, val1:1.2, val2:1.2],[effect:damage_anti_abnormal, target:unit_heal, target_effect01:virus, option:1, val1:1.5, val2:0.2] </t>
    <phoneticPr fontId="5"/>
  </si>
  <si>
    <t xml:space="preserve">[effect:enemy_message, val1:1.2, val2:1.2],[effect:enemy_message, val1:1.2, val2:1.2],[effect:rush, count:4, val:0.4]    </t>
    <phoneticPr fontId="5"/>
  </si>
  <si>
    <t xml:space="preserve">[effect:enemy_message, val1:1.2, val2:1.2],[effect:tolerance, target:myself, turn:-1, count:-1, tolerance_effect:all, animation:enemy_tolerance],[effect:virus, turn:6, rate:1, val:0.05, animation:enemy_virus]    </t>
    <phoneticPr fontId="5"/>
  </si>
  <si>
    <t xml:space="preserve">[effect:enemy_message, val1:1.2, val2:1.2],[effect:tolerance, target:myself, turn:-1, count:-1, tolerance_effect:all, animation:enemy_tolerance],[effect:virus, turn:5, rate:1, val:0.05, animation:enemy_virus]    </t>
    <phoneticPr fontId="5"/>
  </si>
  <si>
    <t>[effect:enemy_message, val1:1.2, val2:1.2],[effect:hungup, target:unit_machine, turn:99, rate:1, animation:hungup01],[effect:virus, turn:-1, rate:1, val:0.05, animation:enemy_virus],[effect:tolerance, target:myself, turn:-1, count:-1, tolerance_effect:all, animation:enemy_tolerance]</t>
    <phoneticPr fontId="5"/>
  </si>
  <si>
    <t>[effect:enemy_message, val1:1.2, val2:1.2],[effect:hungup, target:unit_machine, turn:-1, rate:1, animation:hungup01],[effect:virus, turn:-1, rate:1, val:0.05, animation:enemy_virus],[effect:change_bomb_range, target:unit_all, val:0.6, rate:1, turn:6, animation:bomb_small]</t>
    <phoneticPr fontId="5"/>
  </si>
  <si>
    <t>[effect:enemy_message, val1:1.2, val2:1.2],[effect:virus, target:unit_heal, turn:2, rate:1, val:1.5, animation:enemy_virus],[effect:rush, count:1, val:0.5]</t>
    <phoneticPr fontId="5"/>
  </si>
  <si>
    <t xml:space="preserve">[effect:enemy_message, val1:1.2, val2:1.2],[effect:virus, target:unit_heal, turn:2, rate:1, val:1.5, animation:enemy_virus],[effect:rush, count:1, val:0.5]    </t>
    <phoneticPr fontId="5"/>
  </si>
  <si>
    <t>[effect:break_attack, target:unit_one, val:0.1, lowest_val:1000, count:-1, color:yellow, block01:block_blue]</t>
    <phoneticPr fontId="5"/>
  </si>
  <si>
    <t xml:space="preserve">[effect:enemy_message, val1:1.2, val2:1.2],[effect:force_change_block, new_block:damage, target:block_all, ignore01:block_positive, count:8, val:0.1]    </t>
    <phoneticPr fontId="5"/>
  </si>
  <si>
    <t xml:space="preserve">[effect:enemy_message, val1:1.2, val2:1.2],[effect:force_change_block, new_block:damage, target:block_all, ignore01:block_positive, count:4, val:0.1]    </t>
    <phoneticPr fontId="5"/>
  </si>
  <si>
    <t>[effect:enemy_message, val1:1.2, val2:1.2],[effect:virus, turn:-1, rate:1, val:0.05, animation:enemy_virus],[effect:change_bomb_range, target:unit_all, val:0.6, rate:1, turn:6, animation:bomb_small],[effect:degrade_unit, target:unit_all, turn:6, status:heal, val:3, calc:add, animation:degrade_unit_all_heal]</t>
    <phoneticPr fontId="5"/>
  </si>
  <si>
    <t>[effect:enemy_message, val1:1.2, val2:1.2],[effect:enhance_enemy, target:myself, turn:3, status:attack, val:0.3, calc:mul, animation:enemy_enhance_attack],[effect:force_change_block, new_block:damage, target:block_all, ignore01:block_positive, count:6, val:0.07]</t>
    <phoneticPr fontId="5"/>
  </si>
  <si>
    <t>[effect:enemy_message, val1:1.2, val2:1.2],[effect:enemy_message, val1:1.2, val2:1.2],[effect:enemy_message, val1:1.2, val2:1.2],[effect:rush, count:1, val:1.0]</t>
    <phoneticPr fontId="5"/>
  </si>
  <si>
    <t>[effect:enemy_message, val1:1.2, val2:1.2],[effect:enemy_message, val1:1.2, val2:1.2],[effect:rush, count:3, val:0.3],[effect:crash_condition, target:unit_all, turn:3, val:3, animation:enemy_crash_extend]</t>
    <phoneticPr fontId="5"/>
  </si>
  <si>
    <t>4回連続攻撃</t>
    <rPh sb="1" eb="2">
      <t>カイ</t>
    </rPh>
    <rPh sb="2" eb="6">
      <t>レンゾクコウ</t>
    </rPh>
    <phoneticPr fontId="5"/>
  </si>
  <si>
    <t>ダメージパネル８個</t>
    <rPh sb="8" eb="9">
      <t>k</t>
    </rPh>
    <phoneticPr fontId="5"/>
  </si>
  <si>
    <t>状態異常耐性+永久ウイルス+爆破軽減6+回復力ダウン6ターン</t>
    <rPh sb="0" eb="6">
      <t>ジョウタ</t>
    </rPh>
    <rPh sb="7" eb="9">
      <t>エイキュ</t>
    </rPh>
    <rPh sb="14" eb="18">
      <t>バクh</t>
    </rPh>
    <rPh sb="20" eb="23">
      <t>カイフk</t>
    </rPh>
    <phoneticPr fontId="5"/>
  </si>
  <si>
    <t>攻撃・回復ダウン5ターン</t>
    <rPh sb="0" eb="2">
      <t>コウゲk</t>
    </rPh>
    <phoneticPr fontId="5"/>
  </si>
  <si>
    <t>３ターン攻撃アップ</t>
    <rPh sb="4" eb="6">
      <t>コウゲk</t>
    </rPh>
    <phoneticPr fontId="5"/>
  </si>
  <si>
    <t>99ターンマシンユニットにバインド</t>
    <phoneticPr fontId="5"/>
  </si>
  <si>
    <t>全体攻撃</t>
    <rPh sb="0" eb="2">
      <t>ゼンタ</t>
    </rPh>
    <rPh sb="2" eb="4">
      <t>コウゲk</t>
    </rPh>
    <phoneticPr fontId="5"/>
  </si>
  <si>
    <t>属性パネルをダメージパネルに4個変換</t>
    <rPh sb="0" eb="2">
      <t>ゾクセ</t>
    </rPh>
    <rPh sb="15" eb="16">
      <t>k</t>
    </rPh>
    <rPh sb="16" eb="18">
      <t>コヘn</t>
    </rPh>
    <phoneticPr fontId="5"/>
  </si>
  <si>
    <t>状態異常耐性+6ターンウイルス</t>
    <rPh sb="0" eb="6">
      <t>ジョウタ</t>
    </rPh>
    <phoneticPr fontId="5"/>
  </si>
  <si>
    <t>5ターン全ユニットに攻撃力40%DOWN+攻撃</t>
    <rPh sb="4" eb="5">
      <t>ゼンユニッt</t>
    </rPh>
    <rPh sb="10" eb="12">
      <t>コウゲk</t>
    </rPh>
    <rPh sb="12" eb="13">
      <t>リョk</t>
    </rPh>
    <rPh sb="21" eb="23">
      <t>コウゲk</t>
    </rPh>
    <phoneticPr fontId="5"/>
  </si>
  <si>
    <t>2回連続攻撃</t>
    <rPh sb="1" eb="2">
      <t>k</t>
    </rPh>
    <rPh sb="2" eb="6">
      <t>レンゾk</t>
    </rPh>
    <phoneticPr fontId="5"/>
  </si>
  <si>
    <t>3ターンCパネル生成延長効果特大</t>
    <rPh sb="8" eb="10">
      <t>セイs</t>
    </rPh>
    <rPh sb="10" eb="12">
      <t>エンチョ</t>
    </rPh>
    <rPh sb="12" eb="16">
      <t>コウk</t>
    </rPh>
    <phoneticPr fontId="5"/>
  </si>
  <si>
    <t>敵単体に大ダメージ</t>
    <rPh sb="0" eb="1">
      <t>テk</t>
    </rPh>
    <rPh sb="1" eb="3">
      <t>タンタ</t>
    </rPh>
    <rPh sb="4" eb="5">
      <t>ダ</t>
    </rPh>
    <phoneticPr fontId="5"/>
  </si>
  <si>
    <t>状態以上耐性+5ターンウイルス</t>
    <rPh sb="0" eb="2">
      <t>ジョウタ</t>
    </rPh>
    <rPh sb="2" eb="6">
      <t>イジョ</t>
    </rPh>
    <phoneticPr fontId="5"/>
  </si>
  <si>
    <t>トニー、スキル2</t>
    <phoneticPr fontId="5"/>
  </si>
  <si>
    <t>トニー、スキル1</t>
    <phoneticPr fontId="5"/>
  </si>
  <si>
    <t>フラウロス、スキル１</t>
    <phoneticPr fontId="5"/>
  </si>
  <si>
    <t>フラウロス、スキル２</t>
  </si>
  <si>
    <t>フラウロス、スキル３</t>
  </si>
  <si>
    <t>フラウロス、スキル４</t>
  </si>
  <si>
    <t>フラウロス、スキル５</t>
  </si>
  <si>
    <t>フラウロス、スキル６</t>
  </si>
  <si>
    <t>バフォメット1、スキル１</t>
    <phoneticPr fontId="5"/>
  </si>
  <si>
    <t>バフォメット1、スキル２</t>
  </si>
  <si>
    <t>バフォメット1、スキル３</t>
  </si>
  <si>
    <t>バフォメット1、スキル４</t>
  </si>
  <si>
    <t>バフォメット1、スキル５</t>
  </si>
  <si>
    <t>バフォメット2、スキル１</t>
    <phoneticPr fontId="5"/>
  </si>
  <si>
    <t>バフォメット2、スキル２</t>
  </si>
  <si>
    <t>バフォメット2、スキル３</t>
  </si>
  <si>
    <t>バフォメット2、スキル４</t>
  </si>
  <si>
    <t>バフォメット2、スキル５</t>
  </si>
  <si>
    <t>バフォメット2、スキル６</t>
  </si>
  <si>
    <t>バフォメット2、スキル７</t>
  </si>
  <si>
    <t>紅蓮1、スキル1</t>
    <rPh sb="0" eb="2">
      <t>グレn</t>
    </rPh>
    <phoneticPr fontId="5"/>
  </si>
  <si>
    <t>紅蓮1、スキル2</t>
    <rPh sb="0" eb="2">
      <t>グレn</t>
    </rPh>
    <phoneticPr fontId="5"/>
  </si>
  <si>
    <t>紅蓮1、スキル4</t>
    <rPh sb="0" eb="2">
      <t>グレn</t>
    </rPh>
    <phoneticPr fontId="5"/>
  </si>
  <si>
    <t>紅蓮1、スキル5</t>
    <rPh sb="0" eb="2">
      <t>グレn</t>
    </rPh>
    <phoneticPr fontId="5"/>
  </si>
  <si>
    <t>紅蓮1、スキル6</t>
    <rPh sb="0" eb="2">
      <t>グレn</t>
    </rPh>
    <phoneticPr fontId="5"/>
  </si>
  <si>
    <t>紅蓮2、スキル1</t>
    <rPh sb="0" eb="2">
      <t>グレn</t>
    </rPh>
    <phoneticPr fontId="5"/>
  </si>
  <si>
    <t>紅蓮2、スキル2</t>
    <rPh sb="0" eb="2">
      <t>グレn</t>
    </rPh>
    <phoneticPr fontId="5"/>
  </si>
  <si>
    <t>紅蓮2、スキル3</t>
    <rPh sb="0" eb="2">
      <t>グレn</t>
    </rPh>
    <phoneticPr fontId="5"/>
  </si>
  <si>
    <t>紅蓮2、スキル4</t>
    <rPh sb="0" eb="2">
      <t>グレn</t>
    </rPh>
    <phoneticPr fontId="5"/>
  </si>
  <si>
    <t>紅蓮2、スキル5</t>
    <rPh sb="0" eb="2">
      <t>グレn</t>
    </rPh>
    <phoneticPr fontId="5"/>
  </si>
  <si>
    <t>紅蓮2、スキル6</t>
    <rPh sb="0" eb="2">
      <t>グレn</t>
    </rPh>
    <phoneticPr fontId="5"/>
  </si>
  <si>
    <t>紅蓮2、スキル7</t>
    <rPh sb="0" eb="2">
      <t>グレn</t>
    </rPh>
    <phoneticPr fontId="5"/>
  </si>
  <si>
    <t>紅蓮2、スキル8</t>
    <rPh sb="0" eb="2">
      <t>グレn</t>
    </rPh>
    <phoneticPr fontId="5"/>
  </si>
  <si>
    <t>紅蓮2、スキル9</t>
    <rPh sb="0" eb="2">
      <t>グレn</t>
    </rPh>
    <phoneticPr fontId="5"/>
  </si>
  <si>
    <t>紅蓮3、スキル1</t>
    <rPh sb="0" eb="2">
      <t>グレn</t>
    </rPh>
    <phoneticPr fontId="5"/>
  </si>
  <si>
    <t>紅蓮3、スキル2</t>
    <rPh sb="0" eb="2">
      <t>グレn</t>
    </rPh>
    <phoneticPr fontId="5"/>
  </si>
  <si>
    <t>紅蓮3、スキル3</t>
    <rPh sb="0" eb="2">
      <t>グレn</t>
    </rPh>
    <phoneticPr fontId="5"/>
  </si>
  <si>
    <t>紅蓮3、スキル4</t>
    <rPh sb="0" eb="2">
      <t>グレn</t>
    </rPh>
    <phoneticPr fontId="5"/>
  </si>
  <si>
    <t>紅蓮3、スキル5</t>
    <rPh sb="0" eb="2">
      <t>グレn</t>
    </rPh>
    <phoneticPr fontId="5"/>
  </si>
  <si>
    <t>紅蓮3、スキル6</t>
    <rPh sb="0" eb="2">
      <t>グレn</t>
    </rPh>
    <phoneticPr fontId="5"/>
  </si>
  <si>
    <t>紅蓮3、スキル7</t>
    <rPh sb="0" eb="2">
      <t>グレn</t>
    </rPh>
    <phoneticPr fontId="5"/>
  </si>
  <si>
    <t>紅蓮3、スキル8</t>
    <rPh sb="0" eb="2">
      <t>グレn</t>
    </rPh>
    <phoneticPr fontId="5"/>
  </si>
  <si>
    <t>紅蓮1、スキル7　hp50以下で発動</t>
    <rPh sb="0" eb="2">
      <t>グレn</t>
    </rPh>
    <rPh sb="16" eb="18">
      <t>ハツ</t>
    </rPh>
    <phoneticPr fontId="5"/>
  </si>
  <si>
    <t>3ターン攻撃アップ+ダメージパネル２個</t>
    <rPh sb="4" eb="6">
      <t>コウゲキ</t>
    </rPh>
    <phoneticPr fontId="5"/>
  </si>
  <si>
    <t>5ターン攻撃ダウン</t>
    <rPh sb="4" eb="6">
      <t>コウゲキ</t>
    </rPh>
    <phoneticPr fontId="5"/>
  </si>
  <si>
    <t>回復タイプに強力なウイルス２ターン+攻撃</t>
    <rPh sb="0" eb="2">
      <t>カイフk</t>
    </rPh>
    <rPh sb="6" eb="8">
      <t>キョ</t>
    </rPh>
    <rPh sb="18" eb="20">
      <t>コウゲk</t>
    </rPh>
    <phoneticPr fontId="5"/>
  </si>
  <si>
    <t>攻撃ダウン5ターン+黄色パネルを赤パネルに変換</t>
    <rPh sb="0" eb="2">
      <t>コウゲk</t>
    </rPh>
    <rPh sb="10" eb="12">
      <t>キイr</t>
    </rPh>
    <rPh sb="16" eb="17">
      <t>アカパn</t>
    </rPh>
    <phoneticPr fontId="5"/>
  </si>
  <si>
    <t>回復タイプに強力なウイルス2ターン+攻撃</t>
    <rPh sb="0" eb="2">
      <t>カイフk</t>
    </rPh>
    <rPh sb="6" eb="8">
      <t>キョ</t>
    </rPh>
    <rPh sb="18" eb="20">
      <t>コウゲk</t>
    </rPh>
    <phoneticPr fontId="5"/>
  </si>
  <si>
    <t>ダメージパネル8個</t>
    <rPh sb="8" eb="9">
      <t>k</t>
    </rPh>
    <phoneticPr fontId="5"/>
  </si>
  <si>
    <t>どんどん強くなる攻撃
次のターン強力な攻撃</t>
    <rPh sb="4" eb="5">
      <t>ドンドンツヨk</t>
    </rPh>
    <rPh sb="11" eb="12">
      <t>ツg</t>
    </rPh>
    <rPh sb="16" eb="18">
      <t>キョウリョk</t>
    </rPh>
    <phoneticPr fontId="5"/>
  </si>
  <si>
    <t>クリティカル
次のターン強力な攻撃</t>
    <rPh sb="7" eb="8">
      <t>ツg</t>
    </rPh>
    <rPh sb="12" eb="14">
      <t>キョ</t>
    </rPh>
    <phoneticPr fontId="5"/>
  </si>
  <si>
    <t>攻撃力UP</t>
    <rPh sb="0" eb="3">
      <t>コウゲk</t>
    </rPh>
    <phoneticPr fontId="5"/>
  </si>
  <si>
    <t xml:space="preserve">[effect:enemy_message, val1:1.2, val2:1.2],[effect:break_attack, target:unit_one, val:0.1, lowest_val:5000, count:-1, color:yellow, block01:damage]    </t>
    <phoneticPr fontId="5"/>
  </si>
  <si>
    <t>[effect:break_attack, target:unit_one, val:0.1, lowest_val:5000, count:-1, color:yellow, block01:block_blue]</t>
    <phoneticPr fontId="5"/>
  </si>
  <si>
    <t>[effect:enemy_message, val1:1.2, val2:1.2],[effect:force_change_block, new_block:damage, target:block_all, ignore01:block_positive, count:2, val:0.2],[effect:enhance_enemy, target:myself, turn:3, status:attack, val:0.3, calc:mul, animation:enemy_enhance_attack]</t>
    <phoneticPr fontId="5"/>
  </si>
  <si>
    <t xml:space="preserve">[effect:enemy_message, val1:1.2, val2:1.2],[effect:break_attack, target:unit_one, val:0.1, lowest_val:5000, count:-1, color:yellow, block01:block_green]    </t>
    <phoneticPr fontId="5"/>
  </si>
  <si>
    <t xml:space="preserve">クリティカル
【3ターン後】強力な攻撃
</t>
    <rPh sb="12" eb="13">
      <t>アt</t>
    </rPh>
    <rPh sb="14" eb="16">
      <t>キョウry</t>
    </rPh>
    <rPh sb="17" eb="19">
      <t>コウゲk</t>
    </rPh>
    <phoneticPr fontId="5"/>
  </si>
  <si>
    <t>ハイディンオーガ、スキル１</t>
    <phoneticPr fontId="5"/>
  </si>
  <si>
    <t>ハイディンオーガ、スキル２</t>
  </si>
  <si>
    <t>ハイディンオーガ、スキル３</t>
  </si>
  <si>
    <t>ハイディンオーガ、スキル４</t>
  </si>
  <si>
    <t>ハイディンオーガ、スキル５</t>
  </si>
  <si>
    <t>ハイディンオーガ、スキル６</t>
  </si>
  <si>
    <t>ハイディンオーガ2、スキル１</t>
    <phoneticPr fontId="5"/>
  </si>
  <si>
    <t>ハイディンオーガ2、スキル２</t>
  </si>
  <si>
    <t>ハイディンオーガ2、スキル３</t>
  </si>
  <si>
    <t>ハイディンオーガ2、スキル４</t>
  </si>
  <si>
    <t>ハイディンオーガ2、スキル５</t>
  </si>
  <si>
    <t>ハイディンオーガ2、スキル６</t>
  </si>
  <si>
    <t>ハイディンオーガ2、スキル７</t>
  </si>
  <si>
    <t>ハイディンオーガ2、スキル８</t>
  </si>
  <si>
    <t xml:space="preserve">[effect:enemy_message, val1:1.2, val2:1.2],[effect:enemy_message, val1:1.2, val2:1.2],[effect:enemy_message, val1:1.2, val2:1.2],[effect:rush, count:1, val:0.9]    </t>
    <phoneticPr fontId="5"/>
  </si>
  <si>
    <t>[effect:enemy_message, val1:1.2, val2:1.2],[effect:attack_break, target:unit_all, turn:5, val:0.4, calc:mul, animation:attack_break02]</t>
    <phoneticPr fontId="5"/>
  </si>
  <si>
    <t xml:space="preserve">[effect:enemy_message, val1:1.2, val2:1.2],[effect:attack_break, target:unit_all, turn:5, val:0.4, calc:mul, animation:attack_break02],[effect:force_change_block, new_block:block_red, target:block_yellow, ignore01:block_positive, count:5, val:0]    </t>
    <phoneticPr fontId="5"/>
  </si>
  <si>
    <t>[effect:enemy_message, val1:1.2, val2:1.2],[effect:enemy_message, val1:1.2, val2:1.2],[effect:rush, count:3, val:0.4],[effect:attack_break, target:unit_all, turn:3, val:0.4, calc:mul, animation:attack_break02]</t>
    <phoneticPr fontId="5"/>
  </si>
  <si>
    <t xml:space="preserve">[effect:enemy_message, val1:1.2, val2:1.2],[effect:attack_break, target:unit_all, turn:5, val:0.4, calc:mul, animation:attack_break02],[effect:rush, count:1, val:0.4]   </t>
    <phoneticPr fontId="5"/>
  </si>
  <si>
    <t>,[effect:enemy_message, val1:1.2, val2:1.2],[effect:degrade_unit, target:unit_all, turn:5, status:heal, val:3, calc:add, animation:degrade_unit_all_heal],[effect:attack_break, target:unit_all, turn:5, val:0.4, calc:mul, animation:attack_break02]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</si>
</sst>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4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0"/>
      <color rgb="FFFF0000"/>
      <name val="ＭＳ Ｐゴシック"/>
      <family val="3"/>
      <charset val="128"/>
      <scheme val="minor"/>
    </font>
    <font>
      <sz val="10"/>
      <color rgb="FF0070C0"/>
      <name val="ＭＳ Ｐゴシック"/>
      <family val="3"/>
      <charset val="128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</borders>
  <cellStyleXfs count="702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48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38" fontId="16" fillId="0" borderId="7" xfId="628" applyFont="1" applyFill="1" applyBorder="1" applyAlignment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6" fillId="0" borderId="0" xfId="0" applyFont="1"/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16" fillId="0" borderId="12" xfId="0" applyFont="1" applyFill="1" applyBorder="1" applyAlignment="1">
      <alignment vertical="center"/>
    </xf>
    <xf numFmtId="0" fontId="16" fillId="0" borderId="12" xfId="0" applyFont="1" applyFill="1" applyBorder="1" applyAlignment="1">
      <alignment horizontal="left" vertical="center"/>
    </xf>
    <xf numFmtId="0" fontId="16" fillId="0" borderId="12" xfId="0" applyFont="1" applyFill="1" applyBorder="1" applyAlignment="1">
      <alignment horizontal="left" vertical="center" wrapText="1"/>
    </xf>
    <xf numFmtId="0" fontId="16" fillId="3" borderId="12" xfId="0" applyFont="1" applyFill="1" applyBorder="1" applyAlignment="1">
      <alignment horizontal="left" vertical="center" wrapText="1"/>
    </xf>
    <xf numFmtId="0" fontId="16" fillId="3" borderId="12" xfId="0" applyFont="1" applyFill="1" applyBorder="1" applyAlignment="1">
      <alignment vertical="center"/>
    </xf>
    <xf numFmtId="14" fontId="16" fillId="0" borderId="12" xfId="0" applyNumberFormat="1" applyFont="1" applyFill="1" applyBorder="1" applyAlignment="1">
      <alignment horizontal="left" vertical="center"/>
    </xf>
    <xf numFmtId="0" fontId="16" fillId="0" borderId="23" xfId="0" applyFont="1" applyFill="1" applyBorder="1" applyAlignment="1">
      <alignment vertical="center"/>
    </xf>
    <xf numFmtId="0" fontId="16" fillId="0" borderId="23" xfId="0" applyFont="1" applyFill="1" applyBorder="1" applyAlignment="1">
      <alignment horizontal="left" vertical="center"/>
    </xf>
    <xf numFmtId="0" fontId="16" fillId="0" borderId="23" xfId="0" applyFont="1" applyFill="1" applyBorder="1" applyAlignment="1">
      <alignment horizontal="left" vertical="center" wrapText="1"/>
    </xf>
    <xf numFmtId="0" fontId="16" fillId="3" borderId="23" xfId="0" applyFont="1" applyFill="1" applyBorder="1" applyAlignment="1">
      <alignment horizontal="left" vertical="center" wrapText="1"/>
    </xf>
    <xf numFmtId="0" fontId="16" fillId="3" borderId="23" xfId="0" applyFont="1" applyFill="1" applyBorder="1" applyAlignment="1">
      <alignment vertical="center"/>
    </xf>
    <xf numFmtId="14" fontId="16" fillId="0" borderId="23" xfId="0" applyNumberFormat="1" applyFont="1" applyFill="1" applyBorder="1" applyAlignment="1">
      <alignment horizontal="left" vertical="center"/>
    </xf>
    <xf numFmtId="0" fontId="16" fillId="0" borderId="24" xfId="0" applyFont="1" applyFill="1" applyBorder="1" applyAlignment="1">
      <alignment vertical="center"/>
    </xf>
    <xf numFmtId="0" fontId="16" fillId="0" borderId="2" xfId="0" applyFont="1" applyFill="1" applyBorder="1" applyAlignment="1">
      <alignment vertical="center"/>
    </xf>
    <xf numFmtId="0" fontId="16" fillId="0" borderId="2" xfId="0" applyFont="1" applyFill="1" applyBorder="1" applyAlignment="1">
      <alignment horizontal="left" vertical="center"/>
    </xf>
    <xf numFmtId="0" fontId="16" fillId="0" borderId="2" xfId="0" applyFont="1" applyFill="1" applyBorder="1" applyAlignment="1">
      <alignment horizontal="left" vertical="center" wrapText="1"/>
    </xf>
    <xf numFmtId="0" fontId="16" fillId="3" borderId="2" xfId="0" applyFont="1" applyFill="1" applyBorder="1" applyAlignment="1">
      <alignment horizontal="left" vertical="center" wrapText="1"/>
    </xf>
    <xf numFmtId="0" fontId="16" fillId="3" borderId="2" xfId="0" applyFont="1" applyFill="1" applyBorder="1" applyAlignment="1">
      <alignment vertical="center"/>
    </xf>
    <xf numFmtId="14" fontId="16" fillId="0" borderId="2" xfId="0" applyNumberFormat="1" applyFont="1" applyFill="1" applyBorder="1" applyAlignment="1">
      <alignment horizontal="left" vertical="center"/>
    </xf>
    <xf numFmtId="0" fontId="16" fillId="0" borderId="25" xfId="0" applyFont="1" applyFill="1" applyBorder="1" applyAlignment="1">
      <alignment horizontal="left" vertical="center"/>
    </xf>
    <xf numFmtId="0" fontId="16" fillId="3" borderId="25" xfId="0" applyFont="1" applyFill="1" applyBorder="1" applyAlignment="1">
      <alignment horizontal="left" vertical="center" wrapText="1"/>
    </xf>
    <xf numFmtId="0" fontId="16" fillId="3" borderId="25" xfId="0" applyFont="1" applyFill="1" applyBorder="1" applyAlignment="1">
      <alignment vertical="center"/>
    </xf>
    <xf numFmtId="14" fontId="16" fillId="0" borderId="25" xfId="0" applyNumberFormat="1" applyFont="1" applyFill="1" applyBorder="1" applyAlignment="1">
      <alignment horizontal="left" vertical="center"/>
    </xf>
    <xf numFmtId="0" fontId="11" fillId="0" borderId="7" xfId="0" applyFont="1" applyBorder="1" applyAlignment="1">
      <alignment vertical="center"/>
    </xf>
    <xf numFmtId="0" fontId="52" fillId="0" borderId="7" xfId="0" applyFont="1" applyFill="1" applyBorder="1" applyAlignment="1">
      <alignment vertical="center"/>
    </xf>
    <xf numFmtId="0" fontId="52" fillId="0" borderId="12" xfId="0" applyFont="1" applyFill="1" applyBorder="1" applyAlignment="1">
      <alignment vertical="center"/>
    </xf>
    <xf numFmtId="0" fontId="52" fillId="0" borderId="23" xfId="0" applyFont="1" applyFill="1" applyBorder="1" applyAlignment="1">
      <alignment vertical="center"/>
    </xf>
    <xf numFmtId="0" fontId="11" fillId="0" borderId="7" xfId="0" applyFont="1" applyBorder="1"/>
    <xf numFmtId="0" fontId="53" fillId="0" borderId="23" xfId="0" applyFont="1" applyFill="1" applyBorder="1" applyAlignment="1">
      <alignment vertical="center"/>
    </xf>
    <xf numFmtId="0" fontId="53" fillId="0" borderId="12" xfId="0" applyFont="1" applyFill="1" applyBorder="1" applyAlignment="1">
      <alignment vertical="center"/>
    </xf>
    <xf numFmtId="0" fontId="53" fillId="0" borderId="25" xfId="0" applyFont="1" applyFill="1" applyBorder="1" applyAlignment="1">
      <alignment vertical="center"/>
    </xf>
    <xf numFmtId="0" fontId="53" fillId="0" borderId="7" xfId="0" applyFont="1" applyFill="1" applyBorder="1" applyAlignment="1">
      <alignment vertical="center"/>
    </xf>
    <xf numFmtId="0" fontId="16" fillId="3" borderId="26" xfId="0" applyFont="1" applyFill="1" applyBorder="1" applyAlignment="1">
      <alignment horizontal="left" vertical="center" wrapText="1"/>
    </xf>
    <xf numFmtId="0" fontId="16" fillId="3" borderId="26" xfId="0" applyFont="1" applyFill="1" applyBorder="1" applyAlignment="1">
      <alignment vertical="center"/>
    </xf>
    <xf numFmtId="0" fontId="16" fillId="0" borderId="26" xfId="0" applyFont="1" applyFill="1" applyBorder="1" applyAlignment="1">
      <alignment horizontal="left" vertical="center"/>
    </xf>
    <xf numFmtId="14" fontId="16" fillId="0" borderId="26" xfId="0" applyNumberFormat="1" applyFont="1" applyFill="1" applyBorder="1" applyAlignment="1">
      <alignment horizontal="left" vertical="center"/>
    </xf>
    <xf numFmtId="0" fontId="53" fillId="0" borderId="26" xfId="0" applyFont="1" applyFill="1" applyBorder="1" applyAlignment="1">
      <alignment vertical="center"/>
    </xf>
    <xf numFmtId="0" fontId="52" fillId="0" borderId="26" xfId="0" applyFont="1" applyFill="1" applyBorder="1" applyAlignment="1">
      <alignment vertical="center"/>
    </xf>
  </cellXfs>
  <cellStyles count="702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赤字強調" xfId="431"/>
    <cellStyle name="青字強調" xfId="430"/>
  </cellStyles>
  <dxfs count="6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externalLink" Target="externalLinks/externalLink7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30050</v>
          </cell>
        </row>
        <row r="183">
          <cell r="A183">
            <v>38101</v>
          </cell>
        </row>
        <row r="184">
          <cell r="A184">
            <v>39001</v>
          </cell>
        </row>
        <row r="185">
          <cell r="A185">
            <v>39002</v>
          </cell>
        </row>
        <row r="186">
          <cell r="A186">
            <v>39003</v>
          </cell>
        </row>
        <row r="187">
          <cell r="A187">
            <v>39004</v>
          </cell>
        </row>
        <row r="188">
          <cell r="A188">
            <v>39005</v>
          </cell>
        </row>
        <row r="189">
          <cell r="A189">
            <v>39006</v>
          </cell>
        </row>
        <row r="190">
          <cell r="A190">
            <v>39007</v>
          </cell>
        </row>
        <row r="191">
          <cell r="A191">
            <v>39008</v>
          </cell>
        </row>
        <row r="192">
          <cell r="A192">
            <v>39009</v>
          </cell>
        </row>
        <row r="193">
          <cell r="A193">
            <v>39010</v>
          </cell>
        </row>
        <row r="194">
          <cell r="A194">
            <v>39011</v>
          </cell>
        </row>
        <row r="195">
          <cell r="A195">
            <v>39012</v>
          </cell>
        </row>
        <row r="196">
          <cell r="A196">
            <v>39013</v>
          </cell>
        </row>
        <row r="197">
          <cell r="A197">
            <v>39014</v>
          </cell>
        </row>
        <row r="198">
          <cell r="A198">
            <v>40001</v>
          </cell>
        </row>
        <row r="199">
          <cell r="A199">
            <v>40002</v>
          </cell>
        </row>
        <row r="200">
          <cell r="A200">
            <v>40003</v>
          </cell>
        </row>
        <row r="201">
          <cell r="A201">
            <v>40004</v>
          </cell>
        </row>
        <row r="202">
          <cell r="A202">
            <v>40005</v>
          </cell>
        </row>
        <row r="203">
          <cell r="A203">
            <v>40006</v>
          </cell>
        </row>
        <row r="204">
          <cell r="A204">
            <v>40007</v>
          </cell>
        </row>
        <row r="205">
          <cell r="A205">
            <v>40008</v>
          </cell>
        </row>
        <row r="206">
          <cell r="A206">
            <v>40009</v>
          </cell>
        </row>
        <row r="207">
          <cell r="A207">
            <v>40010</v>
          </cell>
        </row>
        <row r="208">
          <cell r="A208">
            <v>40011</v>
          </cell>
        </row>
        <row r="209">
          <cell r="A209">
            <v>40012</v>
          </cell>
        </row>
        <row r="210">
          <cell r="A210">
            <v>40013</v>
          </cell>
        </row>
        <row r="211">
          <cell r="A211">
            <v>40014</v>
          </cell>
        </row>
        <row r="212">
          <cell r="A212">
            <v>40015</v>
          </cell>
        </row>
        <row r="213">
          <cell r="A213">
            <v>40016</v>
          </cell>
        </row>
        <row r="214">
          <cell r="A214">
            <v>40017</v>
          </cell>
        </row>
        <row r="215">
          <cell r="A215">
            <v>40018</v>
          </cell>
        </row>
        <row r="216">
          <cell r="A216">
            <v>40019</v>
          </cell>
        </row>
        <row r="217">
          <cell r="A217">
            <v>40021</v>
          </cell>
        </row>
        <row r="218">
          <cell r="A218">
            <v>40022</v>
          </cell>
        </row>
        <row r="219">
          <cell r="A219">
            <v>40023</v>
          </cell>
        </row>
        <row r="220">
          <cell r="A220">
            <v>40024</v>
          </cell>
        </row>
        <row r="221">
          <cell r="A221">
            <v>40025</v>
          </cell>
        </row>
        <row r="222">
          <cell r="A222">
            <v>40026</v>
          </cell>
        </row>
        <row r="223">
          <cell r="A223">
            <v>40027</v>
          </cell>
        </row>
        <row r="224">
          <cell r="A224">
            <v>40028</v>
          </cell>
        </row>
        <row r="225">
          <cell r="A225">
            <v>40029</v>
          </cell>
        </row>
        <row r="226">
          <cell r="A226">
            <v>40030</v>
          </cell>
        </row>
        <row r="227">
          <cell r="A227">
            <v>40031</v>
          </cell>
        </row>
        <row r="228">
          <cell r="A228">
            <v>40032</v>
          </cell>
        </row>
        <row r="229">
          <cell r="A229">
            <v>40033</v>
          </cell>
        </row>
        <row r="230">
          <cell r="A230">
            <v>40034</v>
          </cell>
        </row>
        <row r="231">
          <cell r="A231">
            <v>40035</v>
          </cell>
        </row>
        <row r="232">
          <cell r="A232">
            <v>40036</v>
          </cell>
        </row>
        <row r="233">
          <cell r="A233">
            <v>40037</v>
          </cell>
        </row>
        <row r="234">
          <cell r="A234">
            <v>40038</v>
          </cell>
        </row>
        <row r="235">
          <cell r="A235">
            <v>40039</v>
          </cell>
        </row>
        <row r="236">
          <cell r="A236">
            <v>40040</v>
          </cell>
        </row>
        <row r="237">
          <cell r="A237">
            <v>40041</v>
          </cell>
        </row>
        <row r="238">
          <cell r="A238">
            <v>40042</v>
          </cell>
        </row>
        <row r="239">
          <cell r="A239">
            <v>40043</v>
          </cell>
        </row>
        <row r="240">
          <cell r="A240">
            <v>40044</v>
          </cell>
        </row>
        <row r="241">
          <cell r="A241">
            <v>40045</v>
          </cell>
        </row>
        <row r="242">
          <cell r="A242">
            <v>40046</v>
          </cell>
        </row>
        <row r="243">
          <cell r="A243">
            <v>48001</v>
          </cell>
        </row>
        <row r="244">
          <cell r="A244">
            <v>48002</v>
          </cell>
        </row>
        <row r="245">
          <cell r="A245">
            <v>48003</v>
          </cell>
        </row>
        <row r="246">
          <cell r="A246">
            <v>48004</v>
          </cell>
        </row>
        <row r="247">
          <cell r="A247">
            <v>48005</v>
          </cell>
        </row>
        <row r="248">
          <cell r="A248">
            <v>48006</v>
          </cell>
        </row>
        <row r="249">
          <cell r="A249">
            <v>48007</v>
          </cell>
        </row>
        <row r="250">
          <cell r="A250">
            <v>48008</v>
          </cell>
        </row>
        <row r="251">
          <cell r="A251">
            <v>48009</v>
          </cell>
        </row>
        <row r="252">
          <cell r="A252">
            <v>48010</v>
          </cell>
        </row>
        <row r="253">
          <cell r="A253">
            <v>48011</v>
          </cell>
        </row>
        <row r="254">
          <cell r="A254">
            <v>48012</v>
          </cell>
        </row>
        <row r="255">
          <cell r="A255">
            <v>48013</v>
          </cell>
        </row>
        <row r="256">
          <cell r="A256">
            <v>48014</v>
          </cell>
        </row>
        <row r="257">
          <cell r="A257">
            <v>48015</v>
          </cell>
        </row>
        <row r="258">
          <cell r="A258">
            <v>48016</v>
          </cell>
        </row>
        <row r="259">
          <cell r="A259">
            <v>48101</v>
          </cell>
        </row>
        <row r="260">
          <cell r="A260">
            <v>48501</v>
          </cell>
        </row>
        <row r="261">
          <cell r="A261">
            <v>48502</v>
          </cell>
        </row>
        <row r="262">
          <cell r="A262">
            <v>48503</v>
          </cell>
        </row>
        <row r="263">
          <cell r="A263">
            <v>48504</v>
          </cell>
        </row>
        <row r="264">
          <cell r="A264">
            <v>48701</v>
          </cell>
        </row>
        <row r="265">
          <cell r="A265">
            <v>48702</v>
          </cell>
        </row>
        <row r="266">
          <cell r="A266">
            <v>48703</v>
          </cell>
        </row>
        <row r="267">
          <cell r="A267">
            <v>41001</v>
          </cell>
        </row>
        <row r="268">
          <cell r="A268">
            <v>41002</v>
          </cell>
        </row>
        <row r="269">
          <cell r="A269">
            <v>41003</v>
          </cell>
        </row>
        <row r="270">
          <cell r="A270">
            <v>41004</v>
          </cell>
        </row>
        <row r="271">
          <cell r="A271">
            <v>41005</v>
          </cell>
        </row>
        <row r="272">
          <cell r="A272">
            <v>41006</v>
          </cell>
        </row>
        <row r="273">
          <cell r="A273">
            <v>41007</v>
          </cell>
        </row>
        <row r="274">
          <cell r="A274">
            <v>41008</v>
          </cell>
        </row>
        <row r="275">
          <cell r="A275">
            <v>41009</v>
          </cell>
        </row>
        <row r="276">
          <cell r="A276">
            <v>41010</v>
          </cell>
        </row>
        <row r="277">
          <cell r="A277">
            <v>41011</v>
          </cell>
        </row>
        <row r="278">
          <cell r="A278">
            <v>41012</v>
          </cell>
        </row>
        <row r="279">
          <cell r="A279">
            <v>41013</v>
          </cell>
        </row>
        <row r="280">
          <cell r="A280">
            <v>41014</v>
          </cell>
        </row>
        <row r="281">
          <cell r="A281">
            <v>41015</v>
          </cell>
        </row>
        <row r="282">
          <cell r="A282">
            <v>47001</v>
          </cell>
        </row>
        <row r="283">
          <cell r="A283">
            <v>47002</v>
          </cell>
        </row>
        <row r="284">
          <cell r="A284">
            <v>47003</v>
          </cell>
        </row>
        <row r="285">
          <cell r="A285">
            <v>47004</v>
          </cell>
        </row>
        <row r="286">
          <cell r="A286">
            <v>47005</v>
          </cell>
        </row>
        <row r="287">
          <cell r="A287">
            <v>47006</v>
          </cell>
        </row>
        <row r="288">
          <cell r="A288">
            <v>47007</v>
          </cell>
        </row>
        <row r="289">
          <cell r="A289">
            <v>47008</v>
          </cell>
        </row>
        <row r="290">
          <cell r="A290">
            <v>47009</v>
          </cell>
        </row>
        <row r="291">
          <cell r="A291">
            <v>47010</v>
          </cell>
        </row>
        <row r="292">
          <cell r="A292">
            <v>47011</v>
          </cell>
        </row>
        <row r="293">
          <cell r="A293">
            <v>47012</v>
          </cell>
        </row>
        <row r="294">
          <cell r="A294">
            <v>47013</v>
          </cell>
        </row>
        <row r="295">
          <cell r="A295">
            <v>47014</v>
          </cell>
        </row>
        <row r="296">
          <cell r="A296">
            <v>47015</v>
          </cell>
        </row>
        <row r="297">
          <cell r="A297">
            <v>47016</v>
          </cell>
        </row>
        <row r="298">
          <cell r="A298">
            <v>49001</v>
          </cell>
        </row>
        <row r="299">
          <cell r="A299">
            <v>49002</v>
          </cell>
        </row>
        <row r="300">
          <cell r="A300">
            <v>49003</v>
          </cell>
        </row>
        <row r="301">
          <cell r="A301">
            <v>49004</v>
          </cell>
        </row>
        <row r="302">
          <cell r="A302">
            <v>49005</v>
          </cell>
        </row>
        <row r="303">
          <cell r="A303">
            <v>49006</v>
          </cell>
        </row>
        <row r="304">
          <cell r="A304">
            <v>49007</v>
          </cell>
        </row>
        <row r="305">
          <cell r="A305">
            <v>49008</v>
          </cell>
        </row>
        <row r="306">
          <cell r="A306">
            <v>49009</v>
          </cell>
        </row>
        <row r="307">
          <cell r="A307">
            <v>49010</v>
          </cell>
        </row>
        <row r="308">
          <cell r="A308">
            <v>49011</v>
          </cell>
        </row>
        <row r="309">
          <cell r="A309">
            <v>49012</v>
          </cell>
        </row>
        <row r="310">
          <cell r="A310">
            <v>49013</v>
          </cell>
        </row>
        <row r="311">
          <cell r="A311">
            <v>49014</v>
          </cell>
        </row>
        <row r="312">
          <cell r="A312">
            <v>49015</v>
          </cell>
        </row>
        <row r="313">
          <cell r="A313">
            <v>49016</v>
          </cell>
        </row>
        <row r="314">
          <cell r="A314">
            <v>50001</v>
          </cell>
        </row>
        <row r="315">
          <cell r="A315">
            <v>50002</v>
          </cell>
        </row>
        <row r="316">
          <cell r="A316">
            <v>50003</v>
          </cell>
        </row>
        <row r="317">
          <cell r="A317">
            <v>50004</v>
          </cell>
        </row>
        <row r="318">
          <cell r="A318">
            <v>50005</v>
          </cell>
        </row>
        <row r="319">
          <cell r="A319">
            <v>50006</v>
          </cell>
        </row>
        <row r="320">
          <cell r="A320">
            <v>50007</v>
          </cell>
        </row>
        <row r="321">
          <cell r="A321">
            <v>50008</v>
          </cell>
        </row>
        <row r="322">
          <cell r="A322">
            <v>50009</v>
          </cell>
        </row>
        <row r="323">
          <cell r="A323">
            <v>50010</v>
          </cell>
        </row>
        <row r="324">
          <cell r="A324">
            <v>50011</v>
          </cell>
        </row>
        <row r="325">
          <cell r="A325">
            <v>50012</v>
          </cell>
        </row>
        <row r="326">
          <cell r="A326">
            <v>50013</v>
          </cell>
        </row>
        <row r="327">
          <cell r="A327">
            <v>50014</v>
          </cell>
        </row>
        <row r="328">
          <cell r="A328">
            <v>50015</v>
          </cell>
        </row>
        <row r="329">
          <cell r="A329">
            <v>50016</v>
          </cell>
        </row>
        <row r="330">
          <cell r="A330">
            <v>51001</v>
          </cell>
        </row>
        <row r="331">
          <cell r="A331">
            <v>51002</v>
          </cell>
        </row>
        <row r="332">
          <cell r="A332">
            <v>58001</v>
          </cell>
        </row>
        <row r="333">
          <cell r="A333">
            <v>58002</v>
          </cell>
        </row>
        <row r="334">
          <cell r="A334">
            <v>58003</v>
          </cell>
        </row>
        <row r="335">
          <cell r="A335">
            <v>58101</v>
          </cell>
        </row>
        <row r="336">
          <cell r="A336">
            <v>59001</v>
          </cell>
        </row>
        <row r="337">
          <cell r="A337">
            <v>59002</v>
          </cell>
        </row>
        <row r="338">
          <cell r="A338">
            <v>59003</v>
          </cell>
        </row>
        <row r="339">
          <cell r="A339">
            <v>60001</v>
          </cell>
        </row>
        <row r="340">
          <cell r="A340">
            <v>60002</v>
          </cell>
        </row>
        <row r="341">
          <cell r="A341">
            <v>60003</v>
          </cell>
        </row>
        <row r="342">
          <cell r="A342">
            <v>60004</v>
          </cell>
        </row>
        <row r="343">
          <cell r="A343">
            <v>60005</v>
          </cell>
        </row>
        <row r="344">
          <cell r="A344">
            <v>60006</v>
          </cell>
        </row>
        <row r="345">
          <cell r="A345">
            <v>60007</v>
          </cell>
        </row>
        <row r="346">
          <cell r="A346">
            <v>60010</v>
          </cell>
        </row>
        <row r="347">
          <cell r="A347">
            <v>60011</v>
          </cell>
        </row>
        <row r="348">
          <cell r="A348">
            <v>61011</v>
          </cell>
        </row>
        <row r="349">
          <cell r="A349">
            <v>60012</v>
          </cell>
        </row>
        <row r="350">
          <cell r="A350">
            <v>60013</v>
          </cell>
        </row>
        <row r="351">
          <cell r="A351">
            <v>60014</v>
          </cell>
        </row>
        <row r="352">
          <cell r="A352">
            <v>60015</v>
          </cell>
        </row>
        <row r="353">
          <cell r="A353">
            <v>60016</v>
          </cell>
        </row>
        <row r="354">
          <cell r="A354">
            <v>60017</v>
          </cell>
        </row>
        <row r="355">
          <cell r="A355">
            <v>60018</v>
          </cell>
        </row>
        <row r="356">
          <cell r="A356">
            <v>60019</v>
          </cell>
        </row>
        <row r="357">
          <cell r="A357">
            <v>60020</v>
          </cell>
        </row>
        <row r="358">
          <cell r="A358">
            <v>60025</v>
          </cell>
        </row>
        <row r="359">
          <cell r="A359">
            <v>60026</v>
          </cell>
        </row>
        <row r="360">
          <cell r="A360">
            <v>60027</v>
          </cell>
        </row>
        <row r="361">
          <cell r="A361">
            <v>60028</v>
          </cell>
        </row>
        <row r="362">
          <cell r="A362">
            <v>60029</v>
          </cell>
        </row>
        <row r="363">
          <cell r="A363">
            <v>60030</v>
          </cell>
        </row>
        <row r="364">
          <cell r="A364">
            <v>60031</v>
          </cell>
        </row>
        <row r="365">
          <cell r="A365">
            <v>60032</v>
          </cell>
        </row>
        <row r="366">
          <cell r="A366">
            <v>61001</v>
          </cell>
        </row>
        <row r="367">
          <cell r="A367">
            <v>65523</v>
          </cell>
        </row>
        <row r="368">
          <cell r="A368">
            <v>65524</v>
          </cell>
        </row>
        <row r="369">
          <cell r="A369">
            <v>65525</v>
          </cell>
        </row>
        <row r="370">
          <cell r="A370">
            <v>65526</v>
          </cell>
        </row>
        <row r="371">
          <cell r="A371">
            <v>65527</v>
          </cell>
        </row>
        <row r="372">
          <cell r="A372">
            <v>65528</v>
          </cell>
        </row>
        <row r="373">
          <cell r="A373">
            <v>65529</v>
          </cell>
        </row>
        <row r="374">
          <cell r="A374">
            <v>65530</v>
          </cell>
        </row>
        <row r="375">
          <cell r="A375">
            <v>65531</v>
          </cell>
        </row>
        <row r="376">
          <cell r="A376">
            <v>65532</v>
          </cell>
        </row>
        <row r="377">
          <cell r="A377">
            <v>65533</v>
          </cell>
        </row>
        <row r="378">
          <cell r="A378">
            <v>65534</v>
          </cell>
        </row>
        <row r="379">
          <cell r="A379">
            <v>65535</v>
          </cell>
        </row>
        <row r="380">
          <cell r="A380">
            <v>60021</v>
          </cell>
        </row>
        <row r="381">
          <cell r="A381">
            <v>60022</v>
          </cell>
        </row>
        <row r="382">
          <cell r="A382">
            <v>60023</v>
          </cell>
        </row>
        <row r="383">
          <cell r="A383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  <cell r="AM2" t="str">
            <v>stage_type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30050_1</v>
          </cell>
        </row>
        <row r="665">
          <cell r="A665" t="str">
            <v>30050_2</v>
          </cell>
        </row>
        <row r="666">
          <cell r="A666" t="str">
            <v>30050_3</v>
          </cell>
        </row>
        <row r="667">
          <cell r="A667" t="str">
            <v>38101_1</v>
          </cell>
        </row>
        <row r="668">
          <cell r="A668" t="str">
            <v>38101_2</v>
          </cell>
        </row>
        <row r="669">
          <cell r="A669" t="str">
            <v>38101_3</v>
          </cell>
        </row>
        <row r="670">
          <cell r="A670" t="str">
            <v>39001_1</v>
          </cell>
        </row>
        <row r="671">
          <cell r="A671" t="str">
            <v>39001_2</v>
          </cell>
        </row>
        <row r="672">
          <cell r="A672" t="str">
            <v>39001_3</v>
          </cell>
        </row>
        <row r="673">
          <cell r="A673" t="str">
            <v>39001_4</v>
          </cell>
        </row>
        <row r="674">
          <cell r="A674" t="str">
            <v>39001_5</v>
          </cell>
        </row>
        <row r="675">
          <cell r="A675" t="str">
            <v>39002_1</v>
          </cell>
        </row>
        <row r="676">
          <cell r="A676" t="str">
            <v>39002_2</v>
          </cell>
        </row>
        <row r="677">
          <cell r="A677" t="str">
            <v>39002_3</v>
          </cell>
        </row>
        <row r="678">
          <cell r="A678" t="str">
            <v>39002_4</v>
          </cell>
        </row>
        <row r="679">
          <cell r="A679" t="str">
            <v>39003_1</v>
          </cell>
        </row>
        <row r="680">
          <cell r="A680" t="str">
            <v>39003_2</v>
          </cell>
        </row>
        <row r="681">
          <cell r="A681" t="str">
            <v>39003_3</v>
          </cell>
        </row>
        <row r="682">
          <cell r="A682" t="str">
            <v>39003_4</v>
          </cell>
        </row>
        <row r="683">
          <cell r="A683" t="str">
            <v>39004_1</v>
          </cell>
        </row>
        <row r="684">
          <cell r="A684" t="str">
            <v>39004_2</v>
          </cell>
        </row>
        <row r="685">
          <cell r="A685" t="str">
            <v>39004_3</v>
          </cell>
        </row>
        <row r="686">
          <cell r="A686" t="str">
            <v>39004_4</v>
          </cell>
        </row>
        <row r="687">
          <cell r="A687" t="str">
            <v>39005_1</v>
          </cell>
        </row>
        <row r="688">
          <cell r="A688" t="str">
            <v>39005_2</v>
          </cell>
        </row>
        <row r="689">
          <cell r="A689" t="str">
            <v>39005_3</v>
          </cell>
        </row>
        <row r="690">
          <cell r="A690" t="str">
            <v>39005_4</v>
          </cell>
        </row>
        <row r="691">
          <cell r="A691" t="str">
            <v>39005_5</v>
          </cell>
        </row>
        <row r="692">
          <cell r="A692" t="str">
            <v>39006_1</v>
          </cell>
        </row>
        <row r="693">
          <cell r="A693" t="str">
            <v>39006_2</v>
          </cell>
        </row>
        <row r="694">
          <cell r="A694" t="str">
            <v>39006_3</v>
          </cell>
        </row>
        <row r="695">
          <cell r="A695" t="str">
            <v>39006_4</v>
          </cell>
        </row>
        <row r="696">
          <cell r="A696" t="str">
            <v>39007_1</v>
          </cell>
        </row>
        <row r="697">
          <cell r="A697" t="str">
            <v>39007_2</v>
          </cell>
        </row>
        <row r="698">
          <cell r="A698" t="str">
            <v>39007_3</v>
          </cell>
        </row>
        <row r="699">
          <cell r="A699" t="str">
            <v>39007_4</v>
          </cell>
        </row>
        <row r="700">
          <cell r="A700" t="str">
            <v>39008_1</v>
          </cell>
        </row>
        <row r="701">
          <cell r="A701" t="str">
            <v>39008_2</v>
          </cell>
        </row>
        <row r="702">
          <cell r="A702" t="str">
            <v>39008_3</v>
          </cell>
        </row>
        <row r="703">
          <cell r="A703" t="str">
            <v>39008_4</v>
          </cell>
        </row>
        <row r="704">
          <cell r="A704" t="str">
            <v>39008_5</v>
          </cell>
        </row>
        <row r="705">
          <cell r="A705" t="str">
            <v>39009_1</v>
          </cell>
        </row>
        <row r="706">
          <cell r="A706" t="str">
            <v>39009_2</v>
          </cell>
        </row>
        <row r="707">
          <cell r="A707" t="str">
            <v>39009_3</v>
          </cell>
        </row>
        <row r="708">
          <cell r="A708" t="str">
            <v>39009_4</v>
          </cell>
        </row>
        <row r="709">
          <cell r="A709" t="str">
            <v>39009_5</v>
          </cell>
        </row>
        <row r="710">
          <cell r="A710" t="str">
            <v>39010_1</v>
          </cell>
        </row>
        <row r="711">
          <cell r="A711" t="str">
            <v>39010_2</v>
          </cell>
        </row>
        <row r="712">
          <cell r="A712" t="str">
            <v>39010_3</v>
          </cell>
        </row>
        <row r="713">
          <cell r="A713" t="str">
            <v>39010_4</v>
          </cell>
        </row>
        <row r="714">
          <cell r="A714" t="str">
            <v>39011_1</v>
          </cell>
        </row>
        <row r="715">
          <cell r="A715" t="str">
            <v>39011_2</v>
          </cell>
        </row>
        <row r="716">
          <cell r="A716" t="str">
            <v>39011_3</v>
          </cell>
        </row>
        <row r="717">
          <cell r="A717" t="str">
            <v>39011_4</v>
          </cell>
        </row>
        <row r="718">
          <cell r="A718" t="str">
            <v>39012_1</v>
          </cell>
        </row>
        <row r="719">
          <cell r="A719" t="str">
            <v>39012_2</v>
          </cell>
        </row>
        <row r="720">
          <cell r="A720" t="str">
            <v>39012_3</v>
          </cell>
        </row>
        <row r="721">
          <cell r="A721" t="str">
            <v>39012_4</v>
          </cell>
        </row>
        <row r="722">
          <cell r="A722" t="str">
            <v>39012_5</v>
          </cell>
        </row>
        <row r="723">
          <cell r="A723" t="str">
            <v>39013_1</v>
          </cell>
        </row>
        <row r="724">
          <cell r="A724" t="str">
            <v>39013_2</v>
          </cell>
        </row>
        <row r="725">
          <cell r="A725" t="str">
            <v>39013_3</v>
          </cell>
        </row>
        <row r="726">
          <cell r="A726" t="str">
            <v>39013_4</v>
          </cell>
        </row>
        <row r="727">
          <cell r="A727" t="str">
            <v>39014_1</v>
          </cell>
        </row>
        <row r="728">
          <cell r="A728" t="str">
            <v>39014_2</v>
          </cell>
        </row>
        <row r="729">
          <cell r="A729" t="str">
            <v>40001_1</v>
          </cell>
        </row>
        <row r="730">
          <cell r="A730" t="str">
            <v>40002_1</v>
          </cell>
        </row>
        <row r="731">
          <cell r="A731" t="str">
            <v>40002_2</v>
          </cell>
        </row>
        <row r="732">
          <cell r="A732" t="str">
            <v>40002_3</v>
          </cell>
        </row>
        <row r="733">
          <cell r="A733" t="str">
            <v>40003_1</v>
          </cell>
        </row>
        <row r="734">
          <cell r="A734" t="str">
            <v>40004_1</v>
          </cell>
        </row>
        <row r="735">
          <cell r="A735" t="str">
            <v>40005_1</v>
          </cell>
        </row>
        <row r="736">
          <cell r="A736" t="str">
            <v>40006_1</v>
          </cell>
        </row>
        <row r="737">
          <cell r="A737" t="str">
            <v>40007_1</v>
          </cell>
        </row>
        <row r="738">
          <cell r="A738" t="str">
            <v>40008_1</v>
          </cell>
        </row>
        <row r="739">
          <cell r="A739" t="str">
            <v>40009_1</v>
          </cell>
        </row>
        <row r="740">
          <cell r="A740" t="str">
            <v>40010_1</v>
          </cell>
        </row>
        <row r="741">
          <cell r="A741" t="str">
            <v>40011_1</v>
          </cell>
        </row>
        <row r="742">
          <cell r="A742" t="str">
            <v>40012_1</v>
          </cell>
        </row>
        <row r="743">
          <cell r="A743" t="str">
            <v>40013_1</v>
          </cell>
        </row>
        <row r="744">
          <cell r="A744" t="str">
            <v>40014_1</v>
          </cell>
        </row>
        <row r="745">
          <cell r="A745" t="str">
            <v>40015_1</v>
          </cell>
        </row>
        <row r="746">
          <cell r="A746" t="str">
            <v>40016_1</v>
          </cell>
        </row>
        <row r="747">
          <cell r="A747" t="str">
            <v>40016_2</v>
          </cell>
        </row>
        <row r="748">
          <cell r="A748" t="str">
            <v>40017_1</v>
          </cell>
        </row>
        <row r="749">
          <cell r="A749" t="str">
            <v>40017_2</v>
          </cell>
        </row>
        <row r="750">
          <cell r="A750" t="str">
            <v>40017_3</v>
          </cell>
        </row>
        <row r="751">
          <cell r="A751" t="str">
            <v>40018_1</v>
          </cell>
        </row>
        <row r="752">
          <cell r="A752" t="str">
            <v>40018_2</v>
          </cell>
        </row>
        <row r="753">
          <cell r="A753" t="str">
            <v>40018_3</v>
          </cell>
        </row>
        <row r="754">
          <cell r="A754" t="str">
            <v>40019_1</v>
          </cell>
        </row>
        <row r="755">
          <cell r="A755" t="str">
            <v>40019_2</v>
          </cell>
        </row>
        <row r="756">
          <cell r="A756" t="str">
            <v>40019_3</v>
          </cell>
        </row>
        <row r="757">
          <cell r="A757" t="str">
            <v>40021_1</v>
          </cell>
        </row>
        <row r="758">
          <cell r="A758" t="str">
            <v>40021_2</v>
          </cell>
        </row>
        <row r="759">
          <cell r="A759" t="str">
            <v>40022_1</v>
          </cell>
        </row>
        <row r="760">
          <cell r="A760" t="str">
            <v>40022_2</v>
          </cell>
        </row>
        <row r="761">
          <cell r="A761" t="str">
            <v>40023_1</v>
          </cell>
        </row>
        <row r="762">
          <cell r="A762" t="str">
            <v>40023_2</v>
          </cell>
        </row>
        <row r="763">
          <cell r="A763" t="str">
            <v>40024_1</v>
          </cell>
        </row>
        <row r="764">
          <cell r="A764" t="str">
            <v>40024_2</v>
          </cell>
        </row>
        <row r="765">
          <cell r="A765" t="str">
            <v>40025_1</v>
          </cell>
        </row>
        <row r="766">
          <cell r="A766" t="str">
            <v>40025_2</v>
          </cell>
        </row>
        <row r="767">
          <cell r="A767" t="str">
            <v>40026_1</v>
          </cell>
        </row>
        <row r="768">
          <cell r="A768" t="str">
            <v>40026_2</v>
          </cell>
        </row>
        <row r="769">
          <cell r="A769" t="str">
            <v>40027_1</v>
          </cell>
        </row>
        <row r="770">
          <cell r="A770" t="str">
            <v>40027_2</v>
          </cell>
        </row>
        <row r="771">
          <cell r="A771" t="str">
            <v>40028_1</v>
          </cell>
        </row>
        <row r="772">
          <cell r="A772" t="str">
            <v>40028_2</v>
          </cell>
        </row>
        <row r="773">
          <cell r="A773" t="str">
            <v>40029_1</v>
          </cell>
        </row>
        <row r="774">
          <cell r="A774" t="str">
            <v>40029_2</v>
          </cell>
        </row>
        <row r="775">
          <cell r="A775" t="str">
            <v>40030_1</v>
          </cell>
        </row>
        <row r="776">
          <cell r="A776" t="str">
            <v>40030_2</v>
          </cell>
        </row>
        <row r="777">
          <cell r="A777" t="str">
            <v>40031_1</v>
          </cell>
        </row>
        <row r="778">
          <cell r="A778" t="str">
            <v>40031_2</v>
          </cell>
        </row>
        <row r="779">
          <cell r="A779" t="str">
            <v>40032_1</v>
          </cell>
        </row>
        <row r="780">
          <cell r="A780" t="str">
            <v>40032_2</v>
          </cell>
        </row>
        <row r="781">
          <cell r="A781" t="str">
            <v>40033_1</v>
          </cell>
        </row>
        <row r="782">
          <cell r="A782" t="str">
            <v>40033_2</v>
          </cell>
        </row>
        <row r="783">
          <cell r="A783" t="str">
            <v>40034_1</v>
          </cell>
        </row>
        <row r="784">
          <cell r="A784" t="str">
            <v>40034_2</v>
          </cell>
        </row>
        <row r="785">
          <cell r="A785" t="str">
            <v>40035_1</v>
          </cell>
        </row>
        <row r="786">
          <cell r="A786" t="str">
            <v>40035_2</v>
          </cell>
        </row>
        <row r="787">
          <cell r="A787" t="str">
            <v>40036_1</v>
          </cell>
        </row>
        <row r="788">
          <cell r="A788" t="str">
            <v>40036_2</v>
          </cell>
        </row>
        <row r="789">
          <cell r="A789" t="str">
            <v>40037_1</v>
          </cell>
        </row>
        <row r="790">
          <cell r="A790" t="str">
            <v>40037_2</v>
          </cell>
        </row>
        <row r="791">
          <cell r="A791" t="str">
            <v>40038_1</v>
          </cell>
        </row>
        <row r="792">
          <cell r="A792" t="str">
            <v>40038_2</v>
          </cell>
        </row>
        <row r="793">
          <cell r="A793" t="str">
            <v>40039_1</v>
          </cell>
        </row>
        <row r="794">
          <cell r="A794" t="str">
            <v>40039_2</v>
          </cell>
        </row>
        <row r="795">
          <cell r="A795" t="str">
            <v>40040_1</v>
          </cell>
        </row>
        <row r="796">
          <cell r="A796" t="str">
            <v>40040_2</v>
          </cell>
        </row>
        <row r="797">
          <cell r="A797" t="str">
            <v>40041_1</v>
          </cell>
        </row>
        <row r="798">
          <cell r="A798" t="str">
            <v>40041_2</v>
          </cell>
        </row>
        <row r="799">
          <cell r="A799" t="str">
            <v>40042_1</v>
          </cell>
        </row>
        <row r="800">
          <cell r="A800" t="str">
            <v>40042_2</v>
          </cell>
        </row>
        <row r="801">
          <cell r="A801" t="str">
            <v>40043_1</v>
          </cell>
        </row>
        <row r="802">
          <cell r="A802" t="str">
            <v>40043_2</v>
          </cell>
        </row>
        <row r="803">
          <cell r="A803" t="str">
            <v>40044_1</v>
          </cell>
        </row>
        <row r="804">
          <cell r="A804" t="str">
            <v>40044_2</v>
          </cell>
        </row>
        <row r="805">
          <cell r="A805" t="str">
            <v>40045_1</v>
          </cell>
        </row>
        <row r="806">
          <cell r="A806" t="str">
            <v>40045_2</v>
          </cell>
        </row>
        <row r="807">
          <cell r="A807" t="str">
            <v>40046_1</v>
          </cell>
        </row>
        <row r="808">
          <cell r="A808" t="str">
            <v>40046_2</v>
          </cell>
        </row>
        <row r="809">
          <cell r="A809" t="str">
            <v>41001_1</v>
          </cell>
        </row>
        <row r="810">
          <cell r="A810" t="str">
            <v>41001_2</v>
          </cell>
        </row>
        <row r="811">
          <cell r="A811" t="str">
            <v>41001_3</v>
          </cell>
        </row>
        <row r="812">
          <cell r="A812" t="str">
            <v>41001_4</v>
          </cell>
        </row>
        <row r="813">
          <cell r="A813" t="str">
            <v>41002_1</v>
          </cell>
        </row>
        <row r="814">
          <cell r="A814" t="str">
            <v>41002_2</v>
          </cell>
        </row>
        <row r="815">
          <cell r="A815" t="str">
            <v>41002_3</v>
          </cell>
        </row>
        <row r="816">
          <cell r="A816" t="str">
            <v>41002_4</v>
          </cell>
        </row>
        <row r="817">
          <cell r="A817" t="str">
            <v>41003_1</v>
          </cell>
        </row>
        <row r="818">
          <cell r="A818" t="str">
            <v>41003_2</v>
          </cell>
        </row>
        <row r="819">
          <cell r="A819" t="str">
            <v>41003_3</v>
          </cell>
        </row>
        <row r="820">
          <cell r="A820" t="str">
            <v>41003_4</v>
          </cell>
        </row>
        <row r="821">
          <cell r="A821" t="str">
            <v>41004_1</v>
          </cell>
        </row>
        <row r="822">
          <cell r="A822" t="str">
            <v>41004_2</v>
          </cell>
        </row>
        <row r="823">
          <cell r="A823" t="str">
            <v>41004_3</v>
          </cell>
        </row>
        <row r="824">
          <cell r="A824" t="str">
            <v>41005_1</v>
          </cell>
        </row>
        <row r="825">
          <cell r="A825" t="str">
            <v>41005_2</v>
          </cell>
        </row>
        <row r="826">
          <cell r="A826" t="str">
            <v>41005_3</v>
          </cell>
        </row>
        <row r="827">
          <cell r="A827" t="str">
            <v>41006_1</v>
          </cell>
        </row>
        <row r="828">
          <cell r="A828" t="str">
            <v>41006_2</v>
          </cell>
        </row>
        <row r="829">
          <cell r="A829" t="str">
            <v>41006_3</v>
          </cell>
        </row>
        <row r="830">
          <cell r="A830" t="str">
            <v>41007_1</v>
          </cell>
        </row>
        <row r="831">
          <cell r="A831" t="str">
            <v>41007_2</v>
          </cell>
        </row>
        <row r="832">
          <cell r="A832" t="str">
            <v>41007_3</v>
          </cell>
        </row>
        <row r="833">
          <cell r="A833" t="str">
            <v>41008_1</v>
          </cell>
        </row>
        <row r="834">
          <cell r="A834" t="str">
            <v>41008_2</v>
          </cell>
        </row>
        <row r="835">
          <cell r="A835" t="str">
            <v>41008_3</v>
          </cell>
        </row>
        <row r="836">
          <cell r="A836" t="str">
            <v>41009_1</v>
          </cell>
        </row>
        <row r="837">
          <cell r="A837" t="str">
            <v>41009_2</v>
          </cell>
        </row>
        <row r="838">
          <cell r="A838" t="str">
            <v>41009_3</v>
          </cell>
        </row>
        <row r="839">
          <cell r="A839" t="str">
            <v>41010_1</v>
          </cell>
        </row>
        <row r="840">
          <cell r="A840" t="str">
            <v>41010_2</v>
          </cell>
        </row>
        <row r="841">
          <cell r="A841" t="str">
            <v>41010_3</v>
          </cell>
        </row>
        <row r="842">
          <cell r="A842" t="str">
            <v>41011_1</v>
          </cell>
        </row>
        <row r="843">
          <cell r="A843" t="str">
            <v>41011_2</v>
          </cell>
        </row>
        <row r="844">
          <cell r="A844" t="str">
            <v>41012_1</v>
          </cell>
        </row>
        <row r="845">
          <cell r="A845" t="str">
            <v>41012_2</v>
          </cell>
        </row>
        <row r="846">
          <cell r="A846" t="str">
            <v>41013_1</v>
          </cell>
        </row>
        <row r="847">
          <cell r="A847" t="str">
            <v>41013_2</v>
          </cell>
        </row>
        <row r="848">
          <cell r="A848" t="str">
            <v>41014_1</v>
          </cell>
        </row>
        <row r="849">
          <cell r="A849" t="str">
            <v>41014_2</v>
          </cell>
        </row>
        <row r="850">
          <cell r="A850" t="str">
            <v>41015_1</v>
          </cell>
        </row>
        <row r="851">
          <cell r="A851" t="str">
            <v>41015_2</v>
          </cell>
        </row>
        <row r="852">
          <cell r="A852" t="str">
            <v>47001_1</v>
          </cell>
        </row>
        <row r="853">
          <cell r="A853" t="str">
            <v>47001_2</v>
          </cell>
        </row>
        <row r="854">
          <cell r="A854" t="str">
            <v>47002_1</v>
          </cell>
        </row>
        <row r="855">
          <cell r="A855" t="str">
            <v>47002_2</v>
          </cell>
        </row>
        <row r="856">
          <cell r="A856" t="str">
            <v>47003_1</v>
          </cell>
        </row>
        <row r="857">
          <cell r="A857" t="str">
            <v>47003_2</v>
          </cell>
        </row>
        <row r="858">
          <cell r="A858" t="str">
            <v>47003_3</v>
          </cell>
        </row>
        <row r="859">
          <cell r="A859" t="str">
            <v>47003_4</v>
          </cell>
        </row>
        <row r="860">
          <cell r="A860" t="str">
            <v>47004_1</v>
          </cell>
        </row>
        <row r="861">
          <cell r="A861" t="str">
            <v>47004_2</v>
          </cell>
        </row>
        <row r="862">
          <cell r="A862" t="str">
            <v>47004_3</v>
          </cell>
        </row>
        <row r="863">
          <cell r="A863" t="str">
            <v>47004_4</v>
          </cell>
        </row>
        <row r="864">
          <cell r="A864" t="str">
            <v>47005_1</v>
          </cell>
        </row>
        <row r="865">
          <cell r="A865" t="str">
            <v>47006_1</v>
          </cell>
        </row>
        <row r="866">
          <cell r="A866" t="str">
            <v>47006_2</v>
          </cell>
        </row>
        <row r="867">
          <cell r="A867" t="str">
            <v>47007_1</v>
          </cell>
        </row>
        <row r="868">
          <cell r="A868" t="str">
            <v>47007_2</v>
          </cell>
        </row>
        <row r="869">
          <cell r="A869" t="str">
            <v>47008_1</v>
          </cell>
        </row>
        <row r="870">
          <cell r="A870" t="str">
            <v>47008_2</v>
          </cell>
        </row>
        <row r="871">
          <cell r="A871" t="str">
            <v>47009_1</v>
          </cell>
        </row>
        <row r="872">
          <cell r="A872" t="str">
            <v>47009_2</v>
          </cell>
        </row>
        <row r="873">
          <cell r="A873" t="str">
            <v>47010_1</v>
          </cell>
        </row>
        <row r="874">
          <cell r="A874" t="str">
            <v>47010_2</v>
          </cell>
        </row>
        <row r="875">
          <cell r="A875" t="str">
            <v>47011_1</v>
          </cell>
        </row>
        <row r="876">
          <cell r="A876" t="str">
            <v>47012_1</v>
          </cell>
        </row>
        <row r="877">
          <cell r="A877" t="str">
            <v>47012_2</v>
          </cell>
        </row>
        <row r="878">
          <cell r="A878" t="str">
            <v>47013_1</v>
          </cell>
        </row>
        <row r="879">
          <cell r="A879" t="str">
            <v>47013_2</v>
          </cell>
        </row>
        <row r="880">
          <cell r="A880" t="str">
            <v>47013_3</v>
          </cell>
        </row>
        <row r="881">
          <cell r="A881" t="str">
            <v>47013_4</v>
          </cell>
        </row>
        <row r="882">
          <cell r="A882" t="str">
            <v>47014_1</v>
          </cell>
        </row>
        <row r="883">
          <cell r="A883" t="str">
            <v>47014_2</v>
          </cell>
        </row>
        <row r="884">
          <cell r="A884" t="str">
            <v>47014_3</v>
          </cell>
        </row>
        <row r="885">
          <cell r="A885" t="str">
            <v>47015_1</v>
          </cell>
        </row>
        <row r="886">
          <cell r="A886" t="str">
            <v>47015_2</v>
          </cell>
        </row>
        <row r="887">
          <cell r="A887" t="str">
            <v>47015_3</v>
          </cell>
        </row>
        <row r="888">
          <cell r="A888" t="str">
            <v>47016_1</v>
          </cell>
        </row>
        <row r="889">
          <cell r="A889" t="str">
            <v>47016_2</v>
          </cell>
        </row>
        <row r="890">
          <cell r="A890" t="str">
            <v>47016_3</v>
          </cell>
        </row>
        <row r="891">
          <cell r="A891" t="str">
            <v>48001_1</v>
          </cell>
        </row>
        <row r="892">
          <cell r="A892" t="str">
            <v>48002_1</v>
          </cell>
        </row>
        <row r="893">
          <cell r="A893" t="str">
            <v>48002_2</v>
          </cell>
        </row>
        <row r="894">
          <cell r="A894" t="str">
            <v>48002_3</v>
          </cell>
        </row>
        <row r="895">
          <cell r="A895" t="str">
            <v>48003_1</v>
          </cell>
        </row>
        <row r="896">
          <cell r="A896" t="str">
            <v>48003_2</v>
          </cell>
        </row>
        <row r="897">
          <cell r="A897" t="str">
            <v>48004_1</v>
          </cell>
        </row>
        <row r="898">
          <cell r="A898" t="str">
            <v>48004_2</v>
          </cell>
        </row>
        <row r="899">
          <cell r="A899" t="str">
            <v>48005_1</v>
          </cell>
        </row>
        <row r="900">
          <cell r="A900" t="str">
            <v>48005_2</v>
          </cell>
        </row>
        <row r="901">
          <cell r="A901" t="str">
            <v>48006_1</v>
          </cell>
        </row>
        <row r="902">
          <cell r="A902" t="str">
            <v>48006_2</v>
          </cell>
        </row>
        <row r="903">
          <cell r="A903" t="str">
            <v>48007_1</v>
          </cell>
        </row>
        <row r="904">
          <cell r="A904" t="str">
            <v>48007_2</v>
          </cell>
        </row>
        <row r="905">
          <cell r="A905" t="str">
            <v>48008_1</v>
          </cell>
        </row>
        <row r="906">
          <cell r="A906" t="str">
            <v>48008_2</v>
          </cell>
        </row>
        <row r="907">
          <cell r="A907" t="str">
            <v>48009_1</v>
          </cell>
        </row>
        <row r="908">
          <cell r="A908" t="str">
            <v>48009_2</v>
          </cell>
        </row>
        <row r="909">
          <cell r="A909" t="str">
            <v>48010_1</v>
          </cell>
        </row>
        <row r="910">
          <cell r="A910" t="str">
            <v>48011_1</v>
          </cell>
        </row>
        <row r="911">
          <cell r="A911" t="str">
            <v>48011_2</v>
          </cell>
        </row>
        <row r="912">
          <cell r="A912" t="str">
            <v>48012_1</v>
          </cell>
        </row>
        <row r="913">
          <cell r="A913" t="str">
            <v>48012_2</v>
          </cell>
        </row>
        <row r="914">
          <cell r="A914" t="str">
            <v>48013_1</v>
          </cell>
        </row>
        <row r="915">
          <cell r="A915" t="str">
            <v>48013_2</v>
          </cell>
        </row>
        <row r="916">
          <cell r="A916" t="str">
            <v>48014_1</v>
          </cell>
        </row>
        <row r="917">
          <cell r="A917" t="str">
            <v>48014_2</v>
          </cell>
        </row>
        <row r="918">
          <cell r="A918" t="str">
            <v>48015_1</v>
          </cell>
        </row>
        <row r="919">
          <cell r="A919" t="str">
            <v>48015_2</v>
          </cell>
        </row>
        <row r="920">
          <cell r="A920" t="str">
            <v>48016_1</v>
          </cell>
        </row>
        <row r="921">
          <cell r="A921" t="str">
            <v>48016_2</v>
          </cell>
        </row>
        <row r="922">
          <cell r="A922" t="str">
            <v>48101_1</v>
          </cell>
        </row>
        <row r="923">
          <cell r="A923" t="str">
            <v>48101_2</v>
          </cell>
        </row>
        <row r="924">
          <cell r="A924" t="str">
            <v>48501_1</v>
          </cell>
        </row>
        <row r="925">
          <cell r="A925" t="str">
            <v>48501_2</v>
          </cell>
        </row>
        <row r="926">
          <cell r="A926" t="str">
            <v>48502_1</v>
          </cell>
        </row>
        <row r="927">
          <cell r="A927" t="str">
            <v>48502_2</v>
          </cell>
        </row>
        <row r="928">
          <cell r="A928" t="str">
            <v>48503_1</v>
          </cell>
        </row>
        <row r="929">
          <cell r="A929" t="str">
            <v>48503_2</v>
          </cell>
        </row>
        <row r="930">
          <cell r="A930" t="str">
            <v>48504_1</v>
          </cell>
        </row>
        <row r="931">
          <cell r="A931" t="str">
            <v>48504_2</v>
          </cell>
        </row>
        <row r="932">
          <cell r="A932" t="str">
            <v>48701_1</v>
          </cell>
        </row>
        <row r="933">
          <cell r="A933" t="str">
            <v>48701_2</v>
          </cell>
        </row>
        <row r="934">
          <cell r="A934" t="str">
            <v>48702_1</v>
          </cell>
        </row>
        <row r="935">
          <cell r="A935" t="str">
            <v>48702_2</v>
          </cell>
        </row>
        <row r="936">
          <cell r="A936" t="str">
            <v>48703_1</v>
          </cell>
        </row>
        <row r="937">
          <cell r="A937" t="str">
            <v>49001_1</v>
          </cell>
        </row>
        <row r="938">
          <cell r="A938" t="str">
            <v>49002_1</v>
          </cell>
        </row>
        <row r="939">
          <cell r="A939" t="str">
            <v>49002_2</v>
          </cell>
        </row>
        <row r="940">
          <cell r="A940" t="str">
            <v>49003_1</v>
          </cell>
        </row>
        <row r="941">
          <cell r="A941" t="str">
            <v>49003_2</v>
          </cell>
        </row>
        <row r="942">
          <cell r="A942" t="str">
            <v>49004_1</v>
          </cell>
        </row>
        <row r="943">
          <cell r="A943" t="str">
            <v>49004_2</v>
          </cell>
        </row>
        <row r="944">
          <cell r="A944" t="str">
            <v>49004_3</v>
          </cell>
        </row>
        <row r="945">
          <cell r="A945" t="str">
            <v>49005_1</v>
          </cell>
        </row>
        <row r="946">
          <cell r="A946" t="str">
            <v>49006_1</v>
          </cell>
        </row>
        <row r="947">
          <cell r="A947" t="str">
            <v>49006_2</v>
          </cell>
        </row>
        <row r="948">
          <cell r="A948" t="str">
            <v>49007_1</v>
          </cell>
        </row>
        <row r="949">
          <cell r="A949" t="str">
            <v>49007_2</v>
          </cell>
        </row>
        <row r="950">
          <cell r="A950" t="str">
            <v>49007_3</v>
          </cell>
        </row>
        <row r="951">
          <cell r="A951" t="str">
            <v>49008_1</v>
          </cell>
        </row>
        <row r="952">
          <cell r="A952" t="str">
            <v>49009_1</v>
          </cell>
        </row>
        <row r="953">
          <cell r="A953" t="str">
            <v>49010_1</v>
          </cell>
        </row>
        <row r="954">
          <cell r="A954" t="str">
            <v>49011_1</v>
          </cell>
        </row>
        <row r="955">
          <cell r="A955" t="str">
            <v>49012_1</v>
          </cell>
        </row>
        <row r="956">
          <cell r="A956" t="str">
            <v>49013_1</v>
          </cell>
        </row>
        <row r="957">
          <cell r="A957" t="str">
            <v>49014_1</v>
          </cell>
        </row>
        <row r="958">
          <cell r="A958" t="str">
            <v>49014_2</v>
          </cell>
        </row>
        <row r="959">
          <cell r="A959" t="str">
            <v>49015_1</v>
          </cell>
        </row>
        <row r="960">
          <cell r="A960" t="str">
            <v>49015_2</v>
          </cell>
        </row>
        <row r="961">
          <cell r="A961" t="str">
            <v>49015_3</v>
          </cell>
        </row>
        <row r="962">
          <cell r="A962" t="str">
            <v>49016_1</v>
          </cell>
        </row>
        <row r="963">
          <cell r="A963" t="str">
            <v>49016_2</v>
          </cell>
        </row>
        <row r="964">
          <cell r="A964" t="str">
            <v>50001_1</v>
          </cell>
        </row>
        <row r="965">
          <cell r="A965" t="str">
            <v>50002_1</v>
          </cell>
        </row>
        <row r="966">
          <cell r="A966" t="str">
            <v>50003_1</v>
          </cell>
        </row>
        <row r="967">
          <cell r="A967" t="str">
            <v>50004_1</v>
          </cell>
        </row>
        <row r="968">
          <cell r="A968" t="str">
            <v>50005_1</v>
          </cell>
        </row>
        <row r="969">
          <cell r="A969" t="str">
            <v>50006_1</v>
          </cell>
        </row>
        <row r="970">
          <cell r="A970" t="str">
            <v>50007_1</v>
          </cell>
        </row>
        <row r="971">
          <cell r="A971" t="str">
            <v>50008_1</v>
          </cell>
        </row>
        <row r="972">
          <cell r="A972" t="str">
            <v>50009_1</v>
          </cell>
        </row>
        <row r="973">
          <cell r="A973" t="str">
            <v>50010_1</v>
          </cell>
        </row>
        <row r="974">
          <cell r="A974" t="str">
            <v>50011_1</v>
          </cell>
        </row>
        <row r="975">
          <cell r="A975" t="str">
            <v>50012_1</v>
          </cell>
        </row>
        <row r="976">
          <cell r="A976" t="str">
            <v>50013_1</v>
          </cell>
        </row>
        <row r="977">
          <cell r="A977" t="str">
            <v>50014_1</v>
          </cell>
        </row>
        <row r="978">
          <cell r="A978" t="str">
            <v>50015_1</v>
          </cell>
        </row>
        <row r="979">
          <cell r="A979" t="str">
            <v>50016_1</v>
          </cell>
        </row>
        <row r="980">
          <cell r="A980" t="str">
            <v>51001_1</v>
          </cell>
        </row>
        <row r="981">
          <cell r="A981" t="str">
            <v>51002_1</v>
          </cell>
        </row>
        <row r="982">
          <cell r="A982" t="str">
            <v>58001_1</v>
          </cell>
        </row>
        <row r="983">
          <cell r="A983" t="str">
            <v>58002_1</v>
          </cell>
        </row>
        <row r="984">
          <cell r="A984" t="str">
            <v>58003_1</v>
          </cell>
        </row>
        <row r="985">
          <cell r="A985" t="str">
            <v>58101_1</v>
          </cell>
        </row>
        <row r="986">
          <cell r="A986" t="str">
            <v>59001_1</v>
          </cell>
        </row>
        <row r="987">
          <cell r="A987" t="str">
            <v>59002_1</v>
          </cell>
        </row>
        <row r="988">
          <cell r="A988" t="str">
            <v>59003_1</v>
          </cell>
        </row>
        <row r="989">
          <cell r="A989" t="str">
            <v>59003_2</v>
          </cell>
        </row>
        <row r="990">
          <cell r="A990" t="str">
            <v>60001_1</v>
          </cell>
        </row>
        <row r="991">
          <cell r="A991" t="str">
            <v>60002_1</v>
          </cell>
        </row>
        <row r="992">
          <cell r="A992" t="str">
            <v>60002_2</v>
          </cell>
        </row>
        <row r="993">
          <cell r="A993" t="str">
            <v>60003_1</v>
          </cell>
        </row>
        <row r="994">
          <cell r="A994" t="str">
            <v>60003_2</v>
          </cell>
        </row>
        <row r="995">
          <cell r="A995" t="str">
            <v>60003_3</v>
          </cell>
        </row>
        <row r="996">
          <cell r="A996" t="str">
            <v>60004_1</v>
          </cell>
        </row>
        <row r="997">
          <cell r="A997" t="str">
            <v>60005_1</v>
          </cell>
        </row>
        <row r="998">
          <cell r="A998" t="str">
            <v>60006_1</v>
          </cell>
        </row>
        <row r="999">
          <cell r="A999" t="str">
            <v>60006_2</v>
          </cell>
        </row>
        <row r="1000">
          <cell r="A1000" t="str">
            <v>60006_3</v>
          </cell>
        </row>
        <row r="1001">
          <cell r="A1001" t="str">
            <v>60007_1</v>
          </cell>
        </row>
        <row r="1002">
          <cell r="A1002" t="str">
            <v>60007_2</v>
          </cell>
        </row>
        <row r="1003">
          <cell r="A1003" t="str">
            <v>60007_3</v>
          </cell>
        </row>
        <row r="1004">
          <cell r="A1004" t="str">
            <v>60010_1</v>
          </cell>
        </row>
        <row r="1005">
          <cell r="A1005" t="str">
            <v>60011_1</v>
          </cell>
        </row>
        <row r="1006">
          <cell r="A1006" t="str">
            <v>60011_2</v>
          </cell>
        </row>
        <row r="1007">
          <cell r="A1007" t="str">
            <v>60012_1</v>
          </cell>
        </row>
        <row r="1008">
          <cell r="A1008" t="str">
            <v>60013_1</v>
          </cell>
        </row>
        <row r="1009">
          <cell r="A1009" t="str">
            <v>60013_2</v>
          </cell>
        </row>
        <row r="1010">
          <cell r="A1010" t="str">
            <v>60013_3</v>
          </cell>
        </row>
        <row r="1011">
          <cell r="A1011" t="str">
            <v>60014_1</v>
          </cell>
        </row>
        <row r="1012">
          <cell r="A1012" t="str">
            <v>60015_1</v>
          </cell>
        </row>
        <row r="1013">
          <cell r="A1013" t="str">
            <v>60016_1</v>
          </cell>
        </row>
        <row r="1014">
          <cell r="A1014" t="str">
            <v>60017_1</v>
          </cell>
        </row>
        <row r="1015">
          <cell r="A1015" t="str">
            <v>60018_1</v>
          </cell>
        </row>
        <row r="1016">
          <cell r="A1016" t="str">
            <v>60019_1</v>
          </cell>
        </row>
        <row r="1017">
          <cell r="A1017" t="str">
            <v>60020_1</v>
          </cell>
        </row>
        <row r="1018">
          <cell r="A1018" t="str">
            <v>60021_3</v>
          </cell>
        </row>
        <row r="1019">
          <cell r="A1019" t="str">
            <v>60022_3</v>
          </cell>
        </row>
        <row r="1020">
          <cell r="A1020" t="str">
            <v>60023_3</v>
          </cell>
        </row>
        <row r="1021">
          <cell r="A1021" t="str">
            <v>60024_3</v>
          </cell>
        </row>
        <row r="1022">
          <cell r="A1022" t="str">
            <v>60025_1</v>
          </cell>
        </row>
        <row r="1023">
          <cell r="A1023" t="str">
            <v>60026_1</v>
          </cell>
        </row>
        <row r="1024">
          <cell r="A1024" t="str">
            <v>61011_1</v>
          </cell>
        </row>
        <row r="1025">
          <cell r="A1025" t="str">
            <v>60027_1</v>
          </cell>
        </row>
        <row r="1026">
          <cell r="A1026" t="str">
            <v>60028_1</v>
          </cell>
        </row>
        <row r="1027">
          <cell r="A1027" t="str">
            <v>60029_1</v>
          </cell>
        </row>
        <row r="1028">
          <cell r="A1028" t="str">
            <v>60030_1</v>
          </cell>
        </row>
        <row r="1029">
          <cell r="A1029" t="str">
            <v>60031_1</v>
          </cell>
        </row>
        <row r="1030">
          <cell r="A1030" t="str">
            <v>60032_1</v>
          </cell>
        </row>
        <row r="1031">
          <cell r="A1031" t="str">
            <v>61001_1</v>
          </cell>
        </row>
        <row r="1032">
          <cell r="A1032" t="str">
            <v>61001_2</v>
          </cell>
        </row>
        <row r="1033">
          <cell r="A1033" t="str">
            <v>61001_3</v>
          </cell>
        </row>
        <row r="1034">
          <cell r="A1034" t="str">
            <v>61001_4</v>
          </cell>
        </row>
        <row r="1035">
          <cell r="A1035" t="str">
            <v>61001_5</v>
          </cell>
        </row>
        <row r="1036">
          <cell r="A1036" t="str">
            <v>61001_6</v>
          </cell>
        </row>
        <row r="1037">
          <cell r="A1037" t="str">
            <v>61001_7</v>
          </cell>
        </row>
        <row r="1038">
          <cell r="A1038" t="str">
            <v>65523_1</v>
          </cell>
        </row>
        <row r="1039">
          <cell r="A1039" t="str">
            <v>65523_2</v>
          </cell>
        </row>
        <row r="1040">
          <cell r="A1040" t="str">
            <v>65523_3</v>
          </cell>
        </row>
        <row r="1041">
          <cell r="A1041" t="str">
            <v>65524_1</v>
          </cell>
        </row>
        <row r="1042">
          <cell r="A1042" t="str">
            <v>65524_2</v>
          </cell>
        </row>
        <row r="1043">
          <cell r="A1043" t="str">
            <v>65525_1</v>
          </cell>
        </row>
        <row r="1044">
          <cell r="A1044" t="str">
            <v>65526_1</v>
          </cell>
        </row>
        <row r="1045">
          <cell r="A1045" t="str">
            <v>65526_2</v>
          </cell>
        </row>
        <row r="1046">
          <cell r="A1046" t="str">
            <v>65527_1</v>
          </cell>
        </row>
        <row r="1047">
          <cell r="A1047" t="str">
            <v>65528_1</v>
          </cell>
        </row>
        <row r="1048">
          <cell r="A1048" t="str">
            <v>65529_1</v>
          </cell>
        </row>
        <row r="1049">
          <cell r="A1049" t="str">
            <v>65530_1</v>
          </cell>
        </row>
        <row r="1050">
          <cell r="A1050" t="str">
            <v>65531_1</v>
          </cell>
        </row>
        <row r="1051">
          <cell r="A1051" t="str">
            <v>65531_2</v>
          </cell>
        </row>
        <row r="1052">
          <cell r="A1052" t="str">
            <v>65532_1</v>
          </cell>
        </row>
        <row r="1053">
          <cell r="A1053" t="str">
            <v>65532_2</v>
          </cell>
        </row>
        <row r="1054">
          <cell r="A1054" t="str">
            <v>65533_1</v>
          </cell>
        </row>
        <row r="1055">
          <cell r="A1055" t="str">
            <v>65533_2</v>
          </cell>
        </row>
        <row r="1056">
          <cell r="A1056" t="str">
            <v>65534_1</v>
          </cell>
        </row>
        <row r="1057">
          <cell r="A1057" t="str">
            <v>65535_1</v>
          </cell>
        </row>
        <row r="1058">
          <cell r="A1058" t="str">
            <v>65535_2</v>
          </cell>
        </row>
        <row r="1059">
          <cell r="A1059" t="str">
            <v>65535_3</v>
          </cell>
        </row>
        <row r="1060">
          <cell r="A1060" t="str">
            <v>65535_4</v>
          </cell>
        </row>
        <row r="1061">
          <cell r="A1061" t="str">
            <v>65535_5</v>
          </cell>
        </row>
        <row r="1062">
          <cell r="A1062" t="str">
            <v>65535_6</v>
          </cell>
        </row>
        <row r="1063">
          <cell r="A1063" t="str">
            <v>65535_7</v>
          </cell>
        </row>
        <row r="1064">
          <cell r="A1064" t="str">
            <v>65535_8</v>
          </cell>
        </row>
        <row r="1065">
          <cell r="A1065" t="str">
            <v>65535_9</v>
          </cell>
        </row>
        <row r="1066">
          <cell r="A1066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1342</v>
          </cell>
        </row>
        <row r="1324">
          <cell r="A1324">
            <v>1343</v>
          </cell>
        </row>
        <row r="1325">
          <cell r="A1325">
            <v>1351</v>
          </cell>
        </row>
        <row r="1326">
          <cell r="A1326">
            <v>1352</v>
          </cell>
        </row>
        <row r="1327">
          <cell r="A1327">
            <v>1353</v>
          </cell>
        </row>
        <row r="1328">
          <cell r="A1328">
            <v>1354</v>
          </cell>
        </row>
        <row r="1329">
          <cell r="A1329">
            <v>1355</v>
          </cell>
        </row>
        <row r="1330">
          <cell r="A1330">
            <v>1356</v>
          </cell>
        </row>
        <row r="1331">
          <cell r="A1331">
            <v>1357</v>
          </cell>
        </row>
        <row r="1332">
          <cell r="A1332">
            <v>1358</v>
          </cell>
        </row>
        <row r="1333">
          <cell r="A1333">
            <v>1359</v>
          </cell>
        </row>
        <row r="1334">
          <cell r="A1334">
            <v>1360</v>
          </cell>
        </row>
        <row r="1335">
          <cell r="A1335">
            <v>1362</v>
          </cell>
        </row>
        <row r="1336">
          <cell r="A1336">
            <v>1363</v>
          </cell>
        </row>
        <row r="1337">
          <cell r="A1337">
            <v>1364</v>
          </cell>
        </row>
        <row r="1338">
          <cell r="A1338">
            <v>1373</v>
          </cell>
        </row>
        <row r="1339">
          <cell r="A1339">
            <v>1374</v>
          </cell>
        </row>
        <row r="1340">
          <cell r="A1340">
            <v>1375</v>
          </cell>
        </row>
        <row r="1341">
          <cell r="A1341">
            <v>1376</v>
          </cell>
        </row>
        <row r="1342">
          <cell r="A1342">
            <v>1379</v>
          </cell>
        </row>
        <row r="1343">
          <cell r="A1343">
            <v>1380</v>
          </cell>
        </row>
        <row r="1344">
          <cell r="A1344">
            <v>1405</v>
          </cell>
        </row>
        <row r="1345">
          <cell r="A1345">
            <v>1407</v>
          </cell>
        </row>
        <row r="1346">
          <cell r="A1346">
            <v>1408</v>
          </cell>
        </row>
        <row r="1347">
          <cell r="A1347">
            <v>1409</v>
          </cell>
        </row>
        <row r="1348">
          <cell r="A1348">
            <v>1410</v>
          </cell>
        </row>
        <row r="1349">
          <cell r="A1349">
            <v>1431</v>
          </cell>
        </row>
        <row r="1350">
          <cell r="A1350">
            <v>1432</v>
          </cell>
        </row>
        <row r="1351">
          <cell r="A1351">
            <v>1436</v>
          </cell>
        </row>
        <row r="1352">
          <cell r="A1352">
            <v>1437</v>
          </cell>
        </row>
        <row r="1353">
          <cell r="A1353">
            <v>1438</v>
          </cell>
        </row>
        <row r="1354">
          <cell r="A1354">
            <v>1439</v>
          </cell>
        </row>
        <row r="1355">
          <cell r="A1355">
            <v>1440</v>
          </cell>
        </row>
        <row r="1356">
          <cell r="A1356">
            <v>1441</v>
          </cell>
        </row>
        <row r="1357">
          <cell r="A1357">
            <v>1442</v>
          </cell>
        </row>
        <row r="1358">
          <cell r="A1358">
            <v>1443</v>
          </cell>
        </row>
        <row r="1359">
          <cell r="A1359">
            <v>1444</v>
          </cell>
        </row>
        <row r="1360">
          <cell r="A1360">
            <v>1445</v>
          </cell>
        </row>
        <row r="1361">
          <cell r="A1361">
            <v>1446</v>
          </cell>
        </row>
        <row r="1362">
          <cell r="A1362">
            <v>1447</v>
          </cell>
        </row>
        <row r="1363">
          <cell r="A1363">
            <v>1448</v>
          </cell>
        </row>
        <row r="1364">
          <cell r="A1364">
            <v>1449</v>
          </cell>
        </row>
        <row r="1365">
          <cell r="A1365">
            <v>1450</v>
          </cell>
        </row>
        <row r="1366">
          <cell r="A1366">
            <v>1451</v>
          </cell>
        </row>
        <row r="1367">
          <cell r="A1367">
            <v>1466</v>
          </cell>
        </row>
        <row r="1368">
          <cell r="A1368">
            <v>1467</v>
          </cell>
        </row>
        <row r="1369">
          <cell r="A1369">
            <v>1468</v>
          </cell>
        </row>
        <row r="1370">
          <cell r="A1370">
            <v>1469</v>
          </cell>
        </row>
        <row r="1371">
          <cell r="A1371">
            <v>1470</v>
          </cell>
        </row>
        <row r="1372">
          <cell r="A1372">
            <v>1471</v>
          </cell>
        </row>
        <row r="1373">
          <cell r="A1373">
            <v>1495</v>
          </cell>
        </row>
        <row r="1374">
          <cell r="A1374">
            <v>1496</v>
          </cell>
        </row>
        <row r="1375">
          <cell r="A1375">
            <v>1497</v>
          </cell>
        </row>
        <row r="1376">
          <cell r="A1376">
            <v>1498</v>
          </cell>
        </row>
        <row r="1377">
          <cell r="A1377">
            <v>1499</v>
          </cell>
        </row>
        <row r="1378">
          <cell r="A1378">
            <v>1500</v>
          </cell>
        </row>
        <row r="1379">
          <cell r="A1379">
            <v>1501</v>
          </cell>
        </row>
        <row r="1380">
          <cell r="A1380">
            <v>1502</v>
          </cell>
        </row>
        <row r="1381">
          <cell r="A1381">
            <v>1503</v>
          </cell>
        </row>
        <row r="1382">
          <cell r="A1382">
            <v>1504</v>
          </cell>
        </row>
        <row r="1383">
          <cell r="A1383">
            <v>1505</v>
          </cell>
        </row>
        <row r="1384">
          <cell r="A1384">
            <v>1506</v>
          </cell>
        </row>
        <row r="1385">
          <cell r="A1385">
            <v>1507</v>
          </cell>
        </row>
        <row r="1386">
          <cell r="A1386">
            <v>1508</v>
          </cell>
        </row>
        <row r="1387">
          <cell r="A1387">
            <v>1509</v>
          </cell>
        </row>
        <row r="1388">
          <cell r="A1388">
            <v>1510</v>
          </cell>
        </row>
        <row r="1389">
          <cell r="A1389">
            <v>1511</v>
          </cell>
        </row>
        <row r="1390">
          <cell r="A1390">
            <v>1512</v>
          </cell>
        </row>
        <row r="1391">
          <cell r="A1391">
            <v>1523</v>
          </cell>
        </row>
        <row r="1392">
          <cell r="A1392">
            <v>1524</v>
          </cell>
        </row>
        <row r="1393">
          <cell r="A1393">
            <v>1525</v>
          </cell>
        </row>
        <row r="1394">
          <cell r="A1394">
            <v>1526</v>
          </cell>
        </row>
        <row r="1395">
          <cell r="A1395">
            <v>1551</v>
          </cell>
        </row>
        <row r="1396">
          <cell r="A1396">
            <v>1552</v>
          </cell>
        </row>
        <row r="1397">
          <cell r="A1397">
            <v>1553</v>
          </cell>
        </row>
        <row r="1398">
          <cell r="A1398">
            <v>1554</v>
          </cell>
        </row>
        <row r="1399">
          <cell r="A1399">
            <v>1555</v>
          </cell>
        </row>
        <row r="1400">
          <cell r="A1400">
            <v>1556</v>
          </cell>
        </row>
        <row r="1401">
          <cell r="A1401">
            <v>1557</v>
          </cell>
        </row>
        <row r="1402">
          <cell r="A1402">
            <v>1558</v>
          </cell>
        </row>
        <row r="1403">
          <cell r="A1403">
            <v>1559</v>
          </cell>
        </row>
        <row r="1404">
          <cell r="A1404">
            <v>1560</v>
          </cell>
        </row>
        <row r="1405">
          <cell r="A1405">
            <v>1561</v>
          </cell>
        </row>
        <row r="1406">
          <cell r="A1406">
            <v>1562</v>
          </cell>
        </row>
        <row r="1407">
          <cell r="A1407">
            <v>1563</v>
          </cell>
        </row>
        <row r="1408">
          <cell r="A1408">
            <v>1564</v>
          </cell>
        </row>
        <row r="1409">
          <cell r="A1409">
            <v>1565</v>
          </cell>
        </row>
        <row r="1410">
          <cell r="A1410">
            <v>1566</v>
          </cell>
        </row>
        <row r="1411">
          <cell r="A1411">
            <v>1567</v>
          </cell>
        </row>
        <row r="1412">
          <cell r="A1412">
            <v>1568</v>
          </cell>
        </row>
        <row r="1413">
          <cell r="A1413">
            <v>1569</v>
          </cell>
        </row>
        <row r="1414">
          <cell r="A1414">
            <v>1570</v>
          </cell>
        </row>
        <row r="1415">
          <cell r="A1415">
            <v>1571</v>
          </cell>
        </row>
        <row r="1416">
          <cell r="A1416">
            <v>1572</v>
          </cell>
        </row>
        <row r="1417">
          <cell r="A1417">
            <v>1573</v>
          </cell>
        </row>
        <row r="1418">
          <cell r="A1418">
            <v>1574</v>
          </cell>
        </row>
        <row r="1419">
          <cell r="A1419">
            <v>1575</v>
          </cell>
        </row>
        <row r="1420">
          <cell r="A1420">
            <v>1576</v>
          </cell>
        </row>
        <row r="1421">
          <cell r="A1421">
            <v>1577</v>
          </cell>
        </row>
        <row r="1422">
          <cell r="A1422">
            <v>1578</v>
          </cell>
        </row>
        <row r="1423">
          <cell r="A1423">
            <v>1579</v>
          </cell>
        </row>
        <row r="1424">
          <cell r="A1424">
            <v>1580</v>
          </cell>
        </row>
        <row r="1425">
          <cell r="A1425">
            <v>1581</v>
          </cell>
        </row>
        <row r="1426">
          <cell r="A1426">
            <v>1582</v>
          </cell>
        </row>
        <row r="1427">
          <cell r="A1427">
            <v>1583</v>
          </cell>
        </row>
        <row r="1428">
          <cell r="A1428">
            <v>1584</v>
          </cell>
        </row>
        <row r="1429">
          <cell r="A1429">
            <v>1585</v>
          </cell>
        </row>
        <row r="1430">
          <cell r="A1430">
            <v>1586</v>
          </cell>
        </row>
        <row r="1431">
          <cell r="A1431">
            <v>1587</v>
          </cell>
        </row>
        <row r="1432">
          <cell r="A1432">
            <v>1588</v>
          </cell>
        </row>
        <row r="1433">
          <cell r="A1433">
            <v>1697</v>
          </cell>
        </row>
        <row r="1434">
          <cell r="A1434">
            <v>1698</v>
          </cell>
        </row>
        <row r="1435">
          <cell r="A1435">
            <v>1699</v>
          </cell>
        </row>
        <row r="1436">
          <cell r="A1436">
            <v>1700</v>
          </cell>
        </row>
        <row r="1437">
          <cell r="A1437">
            <v>1701</v>
          </cell>
        </row>
        <row r="1438">
          <cell r="A1438">
            <v>1702</v>
          </cell>
        </row>
        <row r="1439">
          <cell r="A1439">
            <v>1703</v>
          </cell>
        </row>
        <row r="1440">
          <cell r="A1440">
            <v>1704</v>
          </cell>
        </row>
        <row r="1441">
          <cell r="A1441">
            <v>1705</v>
          </cell>
        </row>
        <row r="1442">
          <cell r="A1442">
            <v>1706</v>
          </cell>
        </row>
        <row r="1443">
          <cell r="A1443">
            <v>1707</v>
          </cell>
        </row>
        <row r="1444">
          <cell r="A1444">
            <v>1708</v>
          </cell>
        </row>
        <row r="1445">
          <cell r="A1445">
            <v>1709</v>
          </cell>
        </row>
        <row r="1446">
          <cell r="A1446">
            <v>1710</v>
          </cell>
        </row>
        <row r="1447">
          <cell r="A1447">
            <v>1711</v>
          </cell>
        </row>
        <row r="1448">
          <cell r="A1448">
            <v>1712</v>
          </cell>
        </row>
        <row r="1449">
          <cell r="A1449">
            <v>1713</v>
          </cell>
        </row>
        <row r="1450">
          <cell r="A1450">
            <v>1714</v>
          </cell>
        </row>
        <row r="1451">
          <cell r="A1451">
            <v>1715</v>
          </cell>
        </row>
        <row r="1452">
          <cell r="A1452">
            <v>1716</v>
          </cell>
        </row>
        <row r="1453">
          <cell r="A1453">
            <v>1717</v>
          </cell>
        </row>
        <row r="1454">
          <cell r="A1454">
            <v>1718</v>
          </cell>
        </row>
        <row r="1455">
          <cell r="A1455">
            <v>1719</v>
          </cell>
        </row>
        <row r="1456">
          <cell r="A1456">
            <v>5001</v>
          </cell>
        </row>
        <row r="1457">
          <cell r="A1457">
            <v>5002</v>
          </cell>
        </row>
        <row r="1458">
          <cell r="A1458">
            <v>5003</v>
          </cell>
        </row>
        <row r="1459">
          <cell r="A1459">
            <v>5004</v>
          </cell>
        </row>
        <row r="1460">
          <cell r="A1460">
            <v>5005</v>
          </cell>
        </row>
        <row r="1461">
          <cell r="A1461">
            <v>5006</v>
          </cell>
        </row>
        <row r="1462">
          <cell r="A1462">
            <v>5007</v>
          </cell>
        </row>
        <row r="1463">
          <cell r="A1463">
            <v>5008</v>
          </cell>
        </row>
        <row r="1464">
          <cell r="A1464">
            <v>5011</v>
          </cell>
        </row>
        <row r="1465">
          <cell r="A1465">
            <v>5012</v>
          </cell>
        </row>
        <row r="1466">
          <cell r="A1466">
            <v>6001</v>
          </cell>
        </row>
        <row r="1467">
          <cell r="A1467">
            <v>6002</v>
          </cell>
        </row>
        <row r="1468">
          <cell r="A1468">
            <v>6003</v>
          </cell>
        </row>
        <row r="1469">
          <cell r="A1469">
            <v>6004</v>
          </cell>
        </row>
        <row r="1470">
          <cell r="A1470">
            <v>6005</v>
          </cell>
        </row>
        <row r="1471">
          <cell r="A1471">
            <v>6006</v>
          </cell>
        </row>
        <row r="1472">
          <cell r="A1472">
            <v>6007</v>
          </cell>
        </row>
        <row r="1473">
          <cell r="A1473">
            <v>6008</v>
          </cell>
        </row>
        <row r="1474">
          <cell r="A1474">
            <v>6009</v>
          </cell>
        </row>
        <row r="1475">
          <cell r="A1475">
            <v>6010</v>
          </cell>
        </row>
        <row r="1476">
          <cell r="A1476">
            <v>6011</v>
          </cell>
        </row>
        <row r="1477">
          <cell r="A1477">
            <v>6012</v>
          </cell>
        </row>
        <row r="1478">
          <cell r="A1478">
            <v>6013</v>
          </cell>
        </row>
        <row r="1479">
          <cell r="A1479">
            <v>6014</v>
          </cell>
        </row>
        <row r="1480">
          <cell r="A1480">
            <v>6015</v>
          </cell>
        </row>
        <row r="1481">
          <cell r="A1481">
            <v>6016</v>
          </cell>
        </row>
        <row r="1482">
          <cell r="A1482">
            <v>6017</v>
          </cell>
        </row>
        <row r="1483">
          <cell r="A1483">
            <v>6018</v>
          </cell>
        </row>
        <row r="1484">
          <cell r="A1484">
            <v>6019</v>
          </cell>
        </row>
        <row r="1485">
          <cell r="A1485">
            <v>6020</v>
          </cell>
        </row>
        <row r="1486">
          <cell r="A1486">
            <v>8001</v>
          </cell>
        </row>
        <row r="1487">
          <cell r="A1487">
            <v>8002</v>
          </cell>
        </row>
        <row r="1488">
          <cell r="A1488">
            <v>8003</v>
          </cell>
        </row>
        <row r="1489">
          <cell r="A1489">
            <v>8004</v>
          </cell>
        </row>
        <row r="1490">
          <cell r="A1490">
            <v>8005</v>
          </cell>
        </row>
        <row r="1491">
          <cell r="A1491">
            <v>8006</v>
          </cell>
        </row>
        <row r="1492">
          <cell r="A1492">
            <v>8007</v>
          </cell>
        </row>
        <row r="1493">
          <cell r="A1493">
            <v>8008</v>
          </cell>
        </row>
        <row r="1494">
          <cell r="A1494">
            <v>8009</v>
          </cell>
        </row>
        <row r="1495">
          <cell r="A1495">
            <v>8010</v>
          </cell>
        </row>
        <row r="1496">
          <cell r="A1496">
            <v>8011</v>
          </cell>
        </row>
        <row r="1497">
          <cell r="A1497">
            <v>8012</v>
          </cell>
        </row>
        <row r="1498">
          <cell r="A1498">
            <v>8013</v>
          </cell>
        </row>
        <row r="1499">
          <cell r="A1499">
            <v>8014</v>
          </cell>
        </row>
        <row r="1500">
          <cell r="A1500">
            <v>8015</v>
          </cell>
        </row>
        <row r="1501">
          <cell r="A1501">
            <v>8016</v>
          </cell>
        </row>
        <row r="1502">
          <cell r="A1502">
            <v>8017</v>
          </cell>
        </row>
        <row r="1503">
          <cell r="A1503">
            <v>8018</v>
          </cell>
        </row>
        <row r="1504">
          <cell r="A1504">
            <v>8019</v>
          </cell>
        </row>
        <row r="1505">
          <cell r="A1505">
            <v>8020</v>
          </cell>
        </row>
        <row r="1506">
          <cell r="A1506">
            <v>8021</v>
          </cell>
        </row>
        <row r="1507">
          <cell r="A1507">
            <v>8022</v>
          </cell>
        </row>
        <row r="1508">
          <cell r="A1508">
            <v>8023</v>
          </cell>
        </row>
        <row r="1509">
          <cell r="A1509">
            <v>8024</v>
          </cell>
        </row>
        <row r="1510">
          <cell r="A1510">
            <v>8025</v>
          </cell>
        </row>
        <row r="1511">
          <cell r="A1511">
            <v>8026</v>
          </cell>
        </row>
        <row r="1512">
          <cell r="A1512">
            <v>8027</v>
          </cell>
        </row>
        <row r="1513">
          <cell r="A1513">
            <v>8028</v>
          </cell>
        </row>
        <row r="1514">
          <cell r="A1514">
            <v>8029</v>
          </cell>
        </row>
        <row r="1515">
          <cell r="A1515">
            <v>8030</v>
          </cell>
        </row>
        <row r="1516">
          <cell r="A1516">
            <v>8031</v>
          </cell>
        </row>
        <row r="1517">
          <cell r="A1517">
            <v>8032</v>
          </cell>
        </row>
        <row r="1518">
          <cell r="A1518">
            <v>8033</v>
          </cell>
        </row>
        <row r="1519">
          <cell r="A1519">
            <v>8034</v>
          </cell>
        </row>
        <row r="1520">
          <cell r="A1520">
            <v>8035</v>
          </cell>
        </row>
        <row r="1521">
          <cell r="A1521">
            <v>8036</v>
          </cell>
        </row>
        <row r="1522">
          <cell r="A1522">
            <v>8037</v>
          </cell>
        </row>
        <row r="1523">
          <cell r="A1523">
            <v>8038</v>
          </cell>
        </row>
        <row r="1524">
          <cell r="A1524">
            <v>8039</v>
          </cell>
        </row>
        <row r="1525">
          <cell r="A1525">
            <v>8040</v>
          </cell>
        </row>
        <row r="1526">
          <cell r="A1526">
            <v>8041</v>
          </cell>
        </row>
        <row r="1527">
          <cell r="A1527">
            <v>8042</v>
          </cell>
        </row>
        <row r="1528">
          <cell r="A1528">
            <v>8043</v>
          </cell>
        </row>
        <row r="1529">
          <cell r="A1529">
            <v>8044</v>
          </cell>
        </row>
        <row r="1530">
          <cell r="A1530">
            <v>8045</v>
          </cell>
        </row>
        <row r="1531">
          <cell r="A1531">
            <v>8046</v>
          </cell>
        </row>
        <row r="1532">
          <cell r="A1532">
            <v>8047</v>
          </cell>
        </row>
        <row r="1533">
          <cell r="A1533">
            <v>8048</v>
          </cell>
        </row>
        <row r="1534">
          <cell r="A1534">
            <v>8049</v>
          </cell>
        </row>
        <row r="1535">
          <cell r="A1535">
            <v>8050</v>
          </cell>
        </row>
        <row r="1536">
          <cell r="A1536">
            <v>8051</v>
          </cell>
        </row>
        <row r="1537">
          <cell r="A1537">
            <v>8052</v>
          </cell>
        </row>
        <row r="1538">
          <cell r="A1538">
            <v>8053</v>
          </cell>
        </row>
        <row r="1539">
          <cell r="A1539">
            <v>8054</v>
          </cell>
        </row>
        <row r="1540">
          <cell r="A1540">
            <v>8055</v>
          </cell>
        </row>
        <row r="1541">
          <cell r="A1541">
            <v>8056</v>
          </cell>
        </row>
        <row r="1542">
          <cell r="A1542">
            <v>8057</v>
          </cell>
        </row>
        <row r="1543">
          <cell r="A1543">
            <v>8058</v>
          </cell>
        </row>
        <row r="1544">
          <cell r="A1544">
            <v>8059</v>
          </cell>
        </row>
        <row r="1545">
          <cell r="A1545">
            <v>8060</v>
          </cell>
        </row>
        <row r="1546">
          <cell r="A1546">
            <v>8061</v>
          </cell>
        </row>
        <row r="1547">
          <cell r="A1547">
            <v>8062</v>
          </cell>
        </row>
        <row r="1548">
          <cell r="A1548">
            <v>8063</v>
          </cell>
        </row>
        <row r="1549">
          <cell r="A1549">
            <v>8064</v>
          </cell>
        </row>
        <row r="1550">
          <cell r="A1550">
            <v>8065</v>
          </cell>
        </row>
        <row r="1551">
          <cell r="A1551">
            <v>8066</v>
          </cell>
        </row>
        <row r="1552">
          <cell r="A1552">
            <v>8067</v>
          </cell>
        </row>
        <row r="1553">
          <cell r="A1553">
            <v>8068</v>
          </cell>
        </row>
        <row r="1554">
          <cell r="A1554">
            <v>8069</v>
          </cell>
        </row>
        <row r="1555">
          <cell r="A1555">
            <v>8070</v>
          </cell>
        </row>
        <row r="1556">
          <cell r="A1556">
            <v>8071</v>
          </cell>
        </row>
        <row r="1557">
          <cell r="A1557">
            <v>8072</v>
          </cell>
        </row>
        <row r="1558">
          <cell r="A1558">
            <v>8073</v>
          </cell>
        </row>
        <row r="1559">
          <cell r="A1559">
            <v>8074</v>
          </cell>
        </row>
        <row r="1560">
          <cell r="A1560">
            <v>8077</v>
          </cell>
        </row>
        <row r="1561">
          <cell r="A1561">
            <v>8078</v>
          </cell>
        </row>
        <row r="1562">
          <cell r="A1562">
            <v>8079</v>
          </cell>
        </row>
        <row r="1563">
          <cell r="A1563">
            <v>8080</v>
          </cell>
        </row>
        <row r="1564">
          <cell r="A1564">
            <v>8081</v>
          </cell>
        </row>
        <row r="1565">
          <cell r="A1565">
            <v>8082</v>
          </cell>
        </row>
        <row r="1566">
          <cell r="A1566">
            <v>8083</v>
          </cell>
        </row>
        <row r="1567">
          <cell r="A1567">
            <v>8084</v>
          </cell>
        </row>
        <row r="1568">
          <cell r="A1568">
            <v>8085</v>
          </cell>
        </row>
        <row r="1569">
          <cell r="A1569">
            <v>8086</v>
          </cell>
        </row>
        <row r="1570">
          <cell r="A1570">
            <v>8087</v>
          </cell>
        </row>
        <row r="1571">
          <cell r="A1571">
            <v>8088</v>
          </cell>
        </row>
        <row r="1572">
          <cell r="A1572">
            <v>8089</v>
          </cell>
        </row>
        <row r="1573">
          <cell r="A1573">
            <v>8090</v>
          </cell>
        </row>
        <row r="1574">
          <cell r="A1574">
            <v>8095</v>
          </cell>
        </row>
        <row r="1575">
          <cell r="A1575">
            <v>8096</v>
          </cell>
        </row>
        <row r="1576">
          <cell r="A1576">
            <v>8097</v>
          </cell>
        </row>
        <row r="1577">
          <cell r="A1577">
            <v>8098</v>
          </cell>
        </row>
        <row r="1578">
          <cell r="A1578">
            <v>8099</v>
          </cell>
        </row>
        <row r="1579">
          <cell r="A1579">
            <v>8100</v>
          </cell>
        </row>
        <row r="1580">
          <cell r="A1580">
            <v>8101</v>
          </cell>
        </row>
        <row r="1581">
          <cell r="A1581">
            <v>8102</v>
          </cell>
        </row>
        <row r="1582">
          <cell r="A1582">
            <v>8103</v>
          </cell>
        </row>
        <row r="1583">
          <cell r="A1583">
            <v>8104</v>
          </cell>
        </row>
        <row r="1584">
          <cell r="A1584">
            <v>8105</v>
          </cell>
        </row>
        <row r="1585">
          <cell r="A1585">
            <v>8106</v>
          </cell>
        </row>
        <row r="1586">
          <cell r="A1586">
            <v>8111</v>
          </cell>
        </row>
        <row r="1587">
          <cell r="A1587">
            <v>8112</v>
          </cell>
        </row>
        <row r="1588">
          <cell r="A1588">
            <v>8113</v>
          </cell>
        </row>
        <row r="1589">
          <cell r="A1589">
            <v>8114</v>
          </cell>
        </row>
        <row r="1590">
          <cell r="A1590">
            <v>8115</v>
          </cell>
        </row>
        <row r="1591">
          <cell r="A1591">
            <v>8116</v>
          </cell>
        </row>
        <row r="1592">
          <cell r="A1592">
            <v>8117</v>
          </cell>
        </row>
        <row r="1593">
          <cell r="A1593">
            <v>8118</v>
          </cell>
        </row>
        <row r="1594">
          <cell r="A1594">
            <v>8119</v>
          </cell>
        </row>
        <row r="1595">
          <cell r="A1595">
            <v>8120</v>
          </cell>
        </row>
        <row r="1596">
          <cell r="A1596">
            <v>8121</v>
          </cell>
        </row>
        <row r="1597">
          <cell r="A1597">
            <v>8122</v>
          </cell>
        </row>
        <row r="1598">
          <cell r="A1598">
            <v>8127</v>
          </cell>
        </row>
        <row r="1599">
          <cell r="A1599">
            <v>8128</v>
          </cell>
        </row>
        <row r="1600">
          <cell r="A1600">
            <v>8129</v>
          </cell>
        </row>
        <row r="1601">
          <cell r="A1601">
            <v>8130</v>
          </cell>
        </row>
        <row r="1602">
          <cell r="A1602">
            <v>8131</v>
          </cell>
        </row>
        <row r="1603">
          <cell r="A1603">
            <v>8132</v>
          </cell>
        </row>
        <row r="1604">
          <cell r="A1604">
            <v>8133</v>
          </cell>
        </row>
        <row r="1605">
          <cell r="A1605">
            <v>8134</v>
          </cell>
        </row>
        <row r="1606">
          <cell r="A1606">
            <v>8135</v>
          </cell>
        </row>
        <row r="1607">
          <cell r="A1607">
            <v>8136</v>
          </cell>
        </row>
        <row r="1608">
          <cell r="A1608">
            <v>8137</v>
          </cell>
        </row>
        <row r="1609">
          <cell r="A1609">
            <v>8138</v>
          </cell>
        </row>
        <row r="1610">
          <cell r="A1610">
            <v>9001</v>
          </cell>
        </row>
        <row r="1611">
          <cell r="A1611">
            <v>9002</v>
          </cell>
        </row>
        <row r="1612">
          <cell r="A1612">
            <v>9003</v>
          </cell>
        </row>
        <row r="1613">
          <cell r="A1613">
            <v>9004</v>
          </cell>
        </row>
        <row r="1614">
          <cell r="A1614">
            <v>9005</v>
          </cell>
        </row>
        <row r="1615">
          <cell r="A1615">
            <v>9006</v>
          </cell>
        </row>
        <row r="1616">
          <cell r="A1616">
            <v>9007</v>
          </cell>
        </row>
        <row r="1617">
          <cell r="A1617">
            <v>9008</v>
          </cell>
        </row>
        <row r="1618">
          <cell r="A1618">
            <v>10101</v>
          </cell>
        </row>
        <row r="1619">
          <cell r="A1619">
            <v>10102</v>
          </cell>
        </row>
        <row r="1620">
          <cell r="A1620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1393</v>
          </cell>
        </row>
        <row r="1391">
          <cell r="A1391">
            <v>1394</v>
          </cell>
        </row>
        <row r="1392">
          <cell r="A1392">
            <v>1395</v>
          </cell>
        </row>
        <row r="1393">
          <cell r="A1393">
            <v>1399</v>
          </cell>
        </row>
        <row r="1394">
          <cell r="A1394">
            <v>1400</v>
          </cell>
        </row>
        <row r="1395">
          <cell r="A1395">
            <v>1401</v>
          </cell>
        </row>
        <row r="1396">
          <cell r="A1396">
            <v>1402</v>
          </cell>
        </row>
        <row r="1397">
          <cell r="A1397">
            <v>1403</v>
          </cell>
        </row>
        <row r="1398">
          <cell r="A1398">
            <v>1404</v>
          </cell>
        </row>
        <row r="1399">
          <cell r="A1399">
            <v>1405</v>
          </cell>
        </row>
        <row r="1400">
          <cell r="A1400">
            <v>1406</v>
          </cell>
        </row>
        <row r="1401">
          <cell r="A1401">
            <v>1407</v>
          </cell>
        </row>
        <row r="1402">
          <cell r="A1402">
            <v>1408</v>
          </cell>
        </row>
        <row r="1403">
          <cell r="A1403">
            <v>1409</v>
          </cell>
        </row>
        <row r="1404">
          <cell r="A1404">
            <v>1410</v>
          </cell>
        </row>
        <row r="1405">
          <cell r="A1405">
            <v>1411</v>
          </cell>
        </row>
        <row r="1406">
          <cell r="A1406">
            <v>1412</v>
          </cell>
        </row>
        <row r="1407">
          <cell r="A1407">
            <v>1413</v>
          </cell>
        </row>
        <row r="1408">
          <cell r="A1408">
            <v>1414</v>
          </cell>
        </row>
        <row r="1409">
          <cell r="A1409">
            <v>1415</v>
          </cell>
        </row>
        <row r="1410">
          <cell r="A1410">
            <v>1416</v>
          </cell>
        </row>
        <row r="1411">
          <cell r="A1411">
            <v>1417</v>
          </cell>
        </row>
        <row r="1412">
          <cell r="A1412">
            <v>1418</v>
          </cell>
        </row>
        <row r="1413">
          <cell r="A1413">
            <v>1419</v>
          </cell>
        </row>
        <row r="1414">
          <cell r="A1414">
            <v>1420</v>
          </cell>
        </row>
        <row r="1415">
          <cell r="A1415">
            <v>1421</v>
          </cell>
        </row>
        <row r="1416">
          <cell r="A1416">
            <v>1422</v>
          </cell>
        </row>
        <row r="1417">
          <cell r="A1417">
            <v>1423</v>
          </cell>
        </row>
        <row r="1418">
          <cell r="A1418">
            <v>1424</v>
          </cell>
        </row>
        <row r="1419">
          <cell r="A1419">
            <v>1425</v>
          </cell>
        </row>
        <row r="1420">
          <cell r="A1420">
            <v>1426</v>
          </cell>
        </row>
        <row r="1421">
          <cell r="A1421">
            <v>1427</v>
          </cell>
        </row>
        <row r="1422">
          <cell r="A1422">
            <v>1428</v>
          </cell>
        </row>
        <row r="1423">
          <cell r="A1423">
            <v>1431</v>
          </cell>
        </row>
        <row r="1424">
          <cell r="A1424">
            <v>1432</v>
          </cell>
        </row>
        <row r="1425">
          <cell r="A1425">
            <v>1433</v>
          </cell>
        </row>
        <row r="1426">
          <cell r="A1426">
            <v>1434</v>
          </cell>
        </row>
        <row r="1427">
          <cell r="A1427">
            <v>1435</v>
          </cell>
        </row>
        <row r="1428">
          <cell r="A1428">
            <v>1436</v>
          </cell>
        </row>
        <row r="1429">
          <cell r="A1429">
            <v>1437</v>
          </cell>
        </row>
        <row r="1430">
          <cell r="A1430">
            <v>1438</v>
          </cell>
        </row>
        <row r="1431">
          <cell r="A1431">
            <v>1439</v>
          </cell>
        </row>
        <row r="1432">
          <cell r="A1432">
            <v>1440</v>
          </cell>
        </row>
        <row r="1433">
          <cell r="A1433">
            <v>1441</v>
          </cell>
        </row>
        <row r="1434">
          <cell r="A1434">
            <v>1442</v>
          </cell>
        </row>
        <row r="1435">
          <cell r="A1435">
            <v>1443</v>
          </cell>
        </row>
        <row r="1436">
          <cell r="A1436">
            <v>1444</v>
          </cell>
        </row>
        <row r="1437">
          <cell r="A1437">
            <v>1445</v>
          </cell>
        </row>
        <row r="1438">
          <cell r="A1438">
            <v>1446</v>
          </cell>
        </row>
        <row r="1439">
          <cell r="A1439">
            <v>1447</v>
          </cell>
        </row>
        <row r="1440">
          <cell r="A1440">
            <v>1448</v>
          </cell>
        </row>
        <row r="1441">
          <cell r="A1441">
            <v>1449</v>
          </cell>
        </row>
        <row r="1442">
          <cell r="A1442">
            <v>1450</v>
          </cell>
        </row>
        <row r="1443">
          <cell r="A1443">
            <v>1451</v>
          </cell>
        </row>
        <row r="1444">
          <cell r="A1444">
            <v>1452</v>
          </cell>
        </row>
        <row r="1445">
          <cell r="A1445">
            <v>1453</v>
          </cell>
        </row>
        <row r="1446">
          <cell r="A1446">
            <v>1454</v>
          </cell>
        </row>
        <row r="1447">
          <cell r="A1447">
            <v>1455</v>
          </cell>
        </row>
        <row r="1448">
          <cell r="A1448">
            <v>1456</v>
          </cell>
        </row>
        <row r="1449">
          <cell r="A1449">
            <v>1457</v>
          </cell>
        </row>
        <row r="1450">
          <cell r="A1450">
            <v>1458</v>
          </cell>
        </row>
        <row r="1451">
          <cell r="A1451">
            <v>1459</v>
          </cell>
        </row>
        <row r="1452">
          <cell r="A1452">
            <v>1460</v>
          </cell>
        </row>
        <row r="1453">
          <cell r="A1453">
            <v>1461</v>
          </cell>
        </row>
        <row r="1454">
          <cell r="A1454">
            <v>1462</v>
          </cell>
        </row>
        <row r="1455">
          <cell r="A1455">
            <v>1463</v>
          </cell>
        </row>
        <row r="1456">
          <cell r="A1456">
            <v>1464</v>
          </cell>
        </row>
        <row r="1457">
          <cell r="A1457">
            <v>1465</v>
          </cell>
        </row>
        <row r="1458">
          <cell r="A1458">
            <v>1466</v>
          </cell>
        </row>
        <row r="1459">
          <cell r="A1459">
            <v>1467</v>
          </cell>
        </row>
        <row r="1460">
          <cell r="A1460">
            <v>1468</v>
          </cell>
        </row>
        <row r="1461">
          <cell r="A1461">
            <v>1469</v>
          </cell>
        </row>
        <row r="1462">
          <cell r="A1462">
            <v>1470</v>
          </cell>
        </row>
        <row r="1463">
          <cell r="A1463">
            <v>1471</v>
          </cell>
        </row>
        <row r="1464">
          <cell r="A1464">
            <v>1488</v>
          </cell>
        </row>
        <row r="1465">
          <cell r="A1465">
            <v>1489</v>
          </cell>
        </row>
        <row r="1466">
          <cell r="A1466">
            <v>1490</v>
          </cell>
        </row>
        <row r="1467">
          <cell r="A1467">
            <v>1491</v>
          </cell>
        </row>
        <row r="1468">
          <cell r="A1468">
            <v>1495</v>
          </cell>
        </row>
        <row r="1469">
          <cell r="A1469">
            <v>1496</v>
          </cell>
        </row>
        <row r="1470">
          <cell r="A1470">
            <v>1497</v>
          </cell>
        </row>
        <row r="1471">
          <cell r="A1471">
            <v>1498</v>
          </cell>
        </row>
        <row r="1472">
          <cell r="A1472">
            <v>1499</v>
          </cell>
        </row>
        <row r="1473">
          <cell r="A1473">
            <v>1500</v>
          </cell>
        </row>
        <row r="1474">
          <cell r="A1474">
            <v>1501</v>
          </cell>
        </row>
        <row r="1475">
          <cell r="A1475">
            <v>1502</v>
          </cell>
        </row>
        <row r="1476">
          <cell r="A1476">
            <v>1503</v>
          </cell>
        </row>
        <row r="1477">
          <cell r="A1477">
            <v>1504</v>
          </cell>
        </row>
        <row r="1478">
          <cell r="A1478">
            <v>1505</v>
          </cell>
        </row>
        <row r="1479">
          <cell r="A1479">
            <v>1506</v>
          </cell>
        </row>
        <row r="1480">
          <cell r="A1480">
            <v>1507</v>
          </cell>
        </row>
        <row r="1481">
          <cell r="A1481">
            <v>1508</v>
          </cell>
        </row>
        <row r="1482">
          <cell r="A1482">
            <v>1509</v>
          </cell>
        </row>
        <row r="1483">
          <cell r="A1483">
            <v>1510</v>
          </cell>
        </row>
        <row r="1484">
          <cell r="A1484">
            <v>1511</v>
          </cell>
        </row>
        <row r="1485">
          <cell r="A1485">
            <v>1512</v>
          </cell>
        </row>
        <row r="1486">
          <cell r="A1486">
            <v>1513</v>
          </cell>
        </row>
        <row r="1487">
          <cell r="A1487">
            <v>1514</v>
          </cell>
        </row>
        <row r="1488">
          <cell r="A1488">
            <v>1515</v>
          </cell>
        </row>
        <row r="1489">
          <cell r="A1489">
            <v>1516</v>
          </cell>
        </row>
        <row r="1490">
          <cell r="A1490">
            <v>1517</v>
          </cell>
        </row>
        <row r="1491">
          <cell r="A1491">
            <v>1518</v>
          </cell>
        </row>
        <row r="1492">
          <cell r="A1492">
            <v>1519</v>
          </cell>
        </row>
        <row r="1493">
          <cell r="A1493">
            <v>1520</v>
          </cell>
        </row>
        <row r="1494">
          <cell r="A1494">
            <v>1521</v>
          </cell>
        </row>
        <row r="1495">
          <cell r="A1495">
            <v>1522</v>
          </cell>
        </row>
        <row r="1496">
          <cell r="A1496">
            <v>1523</v>
          </cell>
        </row>
        <row r="1497">
          <cell r="A1497">
            <v>1524</v>
          </cell>
        </row>
        <row r="1498">
          <cell r="A1498">
            <v>1525</v>
          </cell>
        </row>
        <row r="1499">
          <cell r="A1499">
            <v>1526</v>
          </cell>
        </row>
        <row r="1500">
          <cell r="A1500">
            <v>1527</v>
          </cell>
        </row>
        <row r="1501">
          <cell r="A1501">
            <v>1528</v>
          </cell>
        </row>
        <row r="1502">
          <cell r="A1502">
            <v>1529</v>
          </cell>
        </row>
        <row r="1503">
          <cell r="A1503">
            <v>1530</v>
          </cell>
        </row>
        <row r="1504">
          <cell r="A1504">
            <v>1531</v>
          </cell>
        </row>
        <row r="1505">
          <cell r="A1505">
            <v>1532</v>
          </cell>
        </row>
        <row r="1506">
          <cell r="A1506">
            <v>1533</v>
          </cell>
        </row>
        <row r="1507">
          <cell r="A1507">
            <v>1534</v>
          </cell>
        </row>
        <row r="1508">
          <cell r="A1508">
            <v>1535</v>
          </cell>
        </row>
        <row r="1509">
          <cell r="A1509">
            <v>1536</v>
          </cell>
        </row>
        <row r="1510">
          <cell r="A1510">
            <v>1537</v>
          </cell>
        </row>
        <row r="1511">
          <cell r="A1511">
            <v>1538</v>
          </cell>
        </row>
        <row r="1512">
          <cell r="A1512">
            <v>1539</v>
          </cell>
        </row>
        <row r="1513">
          <cell r="A1513">
            <v>1540</v>
          </cell>
        </row>
        <row r="1514">
          <cell r="A1514">
            <v>1541</v>
          </cell>
        </row>
        <row r="1515">
          <cell r="A1515">
            <v>1542</v>
          </cell>
        </row>
        <row r="1516">
          <cell r="A1516">
            <v>1543</v>
          </cell>
        </row>
        <row r="1517">
          <cell r="A1517">
            <v>1544</v>
          </cell>
        </row>
        <row r="1518">
          <cell r="A1518">
            <v>1545</v>
          </cell>
        </row>
        <row r="1519">
          <cell r="A1519">
            <v>1546</v>
          </cell>
        </row>
        <row r="1520">
          <cell r="A1520">
            <v>1547</v>
          </cell>
        </row>
        <row r="1521">
          <cell r="A1521">
            <v>1548</v>
          </cell>
        </row>
        <row r="1522">
          <cell r="A1522">
            <v>1549</v>
          </cell>
        </row>
        <row r="1523">
          <cell r="A1523">
            <v>1550</v>
          </cell>
        </row>
        <row r="1524">
          <cell r="A1524">
            <v>1551</v>
          </cell>
        </row>
        <row r="1525">
          <cell r="A1525">
            <v>1552</v>
          </cell>
        </row>
        <row r="1526">
          <cell r="A1526">
            <v>1553</v>
          </cell>
        </row>
        <row r="1527">
          <cell r="A1527">
            <v>1554</v>
          </cell>
        </row>
        <row r="1528">
          <cell r="A1528">
            <v>1555</v>
          </cell>
        </row>
        <row r="1529">
          <cell r="A1529">
            <v>1556</v>
          </cell>
        </row>
        <row r="1530">
          <cell r="A1530">
            <v>1557</v>
          </cell>
        </row>
        <row r="1531">
          <cell r="A1531">
            <v>1558</v>
          </cell>
        </row>
        <row r="1532">
          <cell r="A1532">
            <v>1559</v>
          </cell>
        </row>
        <row r="1533">
          <cell r="A1533">
            <v>1560</v>
          </cell>
        </row>
        <row r="1534">
          <cell r="A1534">
            <v>1561</v>
          </cell>
        </row>
        <row r="1535">
          <cell r="A1535">
            <v>1562</v>
          </cell>
        </row>
        <row r="1536">
          <cell r="A1536">
            <v>1563</v>
          </cell>
        </row>
        <row r="1537">
          <cell r="A1537">
            <v>1564</v>
          </cell>
        </row>
        <row r="1538">
          <cell r="A1538">
            <v>1565</v>
          </cell>
        </row>
        <row r="1539">
          <cell r="A1539">
            <v>1566</v>
          </cell>
        </row>
        <row r="1540">
          <cell r="A1540">
            <v>1567</v>
          </cell>
        </row>
        <row r="1541">
          <cell r="A1541">
            <v>1568</v>
          </cell>
        </row>
        <row r="1542">
          <cell r="A1542">
            <v>1569</v>
          </cell>
        </row>
        <row r="1543">
          <cell r="A1543">
            <v>1570</v>
          </cell>
        </row>
        <row r="1544">
          <cell r="A1544">
            <v>1571</v>
          </cell>
        </row>
        <row r="1545">
          <cell r="A1545">
            <v>1572</v>
          </cell>
        </row>
        <row r="1546">
          <cell r="A1546">
            <v>1573</v>
          </cell>
        </row>
        <row r="1547">
          <cell r="A1547">
            <v>1574</v>
          </cell>
        </row>
        <row r="1548">
          <cell r="A1548">
            <v>1575</v>
          </cell>
        </row>
        <row r="1549">
          <cell r="A1549">
            <v>1576</v>
          </cell>
        </row>
        <row r="1550">
          <cell r="A1550">
            <v>1577</v>
          </cell>
        </row>
        <row r="1551">
          <cell r="A1551">
            <v>1578</v>
          </cell>
        </row>
        <row r="1552">
          <cell r="A1552">
            <v>1579</v>
          </cell>
        </row>
        <row r="1553">
          <cell r="A1553">
            <v>1580</v>
          </cell>
        </row>
        <row r="1554">
          <cell r="A1554">
            <v>1581</v>
          </cell>
        </row>
        <row r="1555">
          <cell r="A1555">
            <v>1582</v>
          </cell>
        </row>
        <row r="1556">
          <cell r="A1556">
            <v>1583</v>
          </cell>
        </row>
        <row r="1557">
          <cell r="A1557">
            <v>1584</v>
          </cell>
        </row>
        <row r="1558">
          <cell r="A1558">
            <v>1585</v>
          </cell>
        </row>
        <row r="1559">
          <cell r="A1559">
            <v>1586</v>
          </cell>
        </row>
        <row r="1560">
          <cell r="A1560">
            <v>1587</v>
          </cell>
        </row>
        <row r="1561">
          <cell r="A1561">
            <v>1588</v>
          </cell>
        </row>
        <row r="1562">
          <cell r="A1562">
            <v>1603</v>
          </cell>
        </row>
        <row r="1563">
          <cell r="A1563">
            <v>1604</v>
          </cell>
        </row>
        <row r="1564">
          <cell r="A1564">
            <v>1613</v>
          </cell>
        </row>
        <row r="1565">
          <cell r="A1565">
            <v>1614</v>
          </cell>
        </row>
        <row r="1566">
          <cell r="A1566">
            <v>1615</v>
          </cell>
        </row>
        <row r="1567">
          <cell r="A1567">
            <v>1616</v>
          </cell>
        </row>
        <row r="1568">
          <cell r="A1568">
            <v>1617</v>
          </cell>
        </row>
        <row r="1569">
          <cell r="A1569">
            <v>1618</v>
          </cell>
        </row>
        <row r="1570">
          <cell r="A1570">
            <v>1619</v>
          </cell>
        </row>
        <row r="1571">
          <cell r="A1571">
            <v>1620</v>
          </cell>
        </row>
        <row r="1572">
          <cell r="A1572">
            <v>1621</v>
          </cell>
        </row>
        <row r="1573">
          <cell r="A1573">
            <v>1622</v>
          </cell>
        </row>
        <row r="1574">
          <cell r="A1574">
            <v>1623</v>
          </cell>
        </row>
        <row r="1575">
          <cell r="A1575">
            <v>1624</v>
          </cell>
        </row>
        <row r="1576">
          <cell r="A1576">
            <v>1687</v>
          </cell>
        </row>
        <row r="1577">
          <cell r="A1577">
            <v>1688</v>
          </cell>
        </row>
        <row r="1578">
          <cell r="A1578">
            <v>1689</v>
          </cell>
        </row>
        <row r="1579">
          <cell r="A1579">
            <v>1690</v>
          </cell>
        </row>
        <row r="1580">
          <cell r="A1580">
            <v>1691</v>
          </cell>
        </row>
        <row r="1581">
          <cell r="A1581">
            <v>1692</v>
          </cell>
        </row>
        <row r="1582">
          <cell r="A1582">
            <v>1693</v>
          </cell>
        </row>
        <row r="1583">
          <cell r="A1583">
            <v>1694</v>
          </cell>
        </row>
        <row r="1584">
          <cell r="A1584">
            <v>1695</v>
          </cell>
        </row>
        <row r="1585">
          <cell r="A1585">
            <v>1696</v>
          </cell>
        </row>
        <row r="1586">
          <cell r="A1586">
            <v>1697</v>
          </cell>
        </row>
        <row r="1587">
          <cell r="A1587">
            <v>1698</v>
          </cell>
        </row>
        <row r="1588">
          <cell r="A1588">
            <v>1699</v>
          </cell>
        </row>
        <row r="1589">
          <cell r="A1589">
            <v>1700</v>
          </cell>
        </row>
        <row r="1590">
          <cell r="A1590">
            <v>1701</v>
          </cell>
        </row>
        <row r="1591">
          <cell r="A1591">
            <v>1702</v>
          </cell>
        </row>
        <row r="1592">
          <cell r="A1592">
            <v>1703</v>
          </cell>
        </row>
        <row r="1593">
          <cell r="A1593">
            <v>1704</v>
          </cell>
        </row>
        <row r="1594">
          <cell r="A1594">
            <v>1705</v>
          </cell>
        </row>
        <row r="1595">
          <cell r="A1595">
            <v>1706</v>
          </cell>
        </row>
        <row r="1596">
          <cell r="A1596">
            <v>1707</v>
          </cell>
        </row>
        <row r="1597">
          <cell r="A1597">
            <v>1708</v>
          </cell>
        </row>
        <row r="1598">
          <cell r="A1598">
            <v>1709</v>
          </cell>
        </row>
        <row r="1599">
          <cell r="A1599">
            <v>1710</v>
          </cell>
        </row>
        <row r="1600">
          <cell r="A1600">
            <v>1711</v>
          </cell>
        </row>
        <row r="1601">
          <cell r="A1601">
            <v>1712</v>
          </cell>
        </row>
        <row r="1602">
          <cell r="A1602">
            <v>1713</v>
          </cell>
        </row>
        <row r="1603">
          <cell r="A1603">
            <v>1714</v>
          </cell>
        </row>
        <row r="1604">
          <cell r="A1604">
            <v>1715</v>
          </cell>
        </row>
        <row r="1605">
          <cell r="A1605">
            <v>1716</v>
          </cell>
        </row>
        <row r="1606">
          <cell r="A1606">
            <v>1717</v>
          </cell>
        </row>
        <row r="1607">
          <cell r="A1607">
            <v>1718</v>
          </cell>
        </row>
        <row r="1608">
          <cell r="A1608">
            <v>1719</v>
          </cell>
        </row>
        <row r="1609">
          <cell r="A1609">
            <v>5001</v>
          </cell>
        </row>
        <row r="1610">
          <cell r="A1610">
            <v>5002</v>
          </cell>
        </row>
        <row r="1611">
          <cell r="A1611">
            <v>5003</v>
          </cell>
        </row>
        <row r="1612">
          <cell r="A1612">
            <v>5004</v>
          </cell>
        </row>
        <row r="1613">
          <cell r="A1613">
            <v>5005</v>
          </cell>
        </row>
        <row r="1614">
          <cell r="A1614">
            <v>5006</v>
          </cell>
        </row>
        <row r="1615">
          <cell r="A1615">
            <v>5007</v>
          </cell>
        </row>
        <row r="1616">
          <cell r="A1616">
            <v>5008</v>
          </cell>
        </row>
        <row r="1617">
          <cell r="A1617">
            <v>5009</v>
          </cell>
        </row>
        <row r="1618">
          <cell r="A1618">
            <v>5010</v>
          </cell>
        </row>
        <row r="1619">
          <cell r="A1619">
            <v>5011</v>
          </cell>
        </row>
        <row r="1620">
          <cell r="A1620">
            <v>5012</v>
          </cell>
        </row>
        <row r="1621">
          <cell r="A1621">
            <v>6001</v>
          </cell>
        </row>
        <row r="1622">
          <cell r="A1622">
            <v>6002</v>
          </cell>
        </row>
        <row r="1623">
          <cell r="A1623">
            <v>6003</v>
          </cell>
        </row>
        <row r="1624">
          <cell r="A1624">
            <v>6004</v>
          </cell>
        </row>
        <row r="1625">
          <cell r="A1625">
            <v>6005</v>
          </cell>
        </row>
        <row r="1626">
          <cell r="A1626">
            <v>6006</v>
          </cell>
        </row>
        <row r="1627">
          <cell r="A1627">
            <v>6007</v>
          </cell>
        </row>
        <row r="1628">
          <cell r="A1628">
            <v>6008</v>
          </cell>
        </row>
        <row r="1629">
          <cell r="A1629">
            <v>6009</v>
          </cell>
        </row>
        <row r="1630">
          <cell r="A1630">
            <v>6010</v>
          </cell>
        </row>
        <row r="1631">
          <cell r="A1631">
            <v>6011</v>
          </cell>
        </row>
        <row r="1632">
          <cell r="A1632">
            <v>6012</v>
          </cell>
        </row>
        <row r="1633">
          <cell r="A1633">
            <v>6013</v>
          </cell>
        </row>
        <row r="1634">
          <cell r="A1634">
            <v>6014</v>
          </cell>
        </row>
        <row r="1635">
          <cell r="A1635">
            <v>6015</v>
          </cell>
        </row>
        <row r="1636">
          <cell r="A1636">
            <v>6016</v>
          </cell>
        </row>
        <row r="1637">
          <cell r="A1637">
            <v>6017</v>
          </cell>
        </row>
        <row r="1638">
          <cell r="A1638">
            <v>6018</v>
          </cell>
        </row>
        <row r="1639">
          <cell r="A1639">
            <v>6019</v>
          </cell>
        </row>
        <row r="1640">
          <cell r="A1640">
            <v>6020</v>
          </cell>
        </row>
        <row r="1641">
          <cell r="A1641">
            <v>8001</v>
          </cell>
        </row>
        <row r="1642">
          <cell r="A1642">
            <v>8002</v>
          </cell>
        </row>
        <row r="1643">
          <cell r="A1643">
            <v>8003</v>
          </cell>
        </row>
        <row r="1644">
          <cell r="A1644">
            <v>8004</v>
          </cell>
        </row>
        <row r="1645">
          <cell r="A1645">
            <v>8005</v>
          </cell>
        </row>
        <row r="1646">
          <cell r="A1646">
            <v>8006</v>
          </cell>
        </row>
        <row r="1647">
          <cell r="A1647">
            <v>8007</v>
          </cell>
        </row>
        <row r="1648">
          <cell r="A1648">
            <v>8008</v>
          </cell>
        </row>
        <row r="1649">
          <cell r="A1649">
            <v>8009</v>
          </cell>
        </row>
        <row r="1650">
          <cell r="A1650">
            <v>8010</v>
          </cell>
        </row>
        <row r="1651">
          <cell r="A1651">
            <v>8011</v>
          </cell>
        </row>
        <row r="1652">
          <cell r="A1652">
            <v>8012</v>
          </cell>
        </row>
        <row r="1653">
          <cell r="A1653">
            <v>8013</v>
          </cell>
        </row>
        <row r="1654">
          <cell r="A1654">
            <v>8014</v>
          </cell>
        </row>
        <row r="1655">
          <cell r="A1655">
            <v>8015</v>
          </cell>
        </row>
        <row r="1656">
          <cell r="A1656">
            <v>8016</v>
          </cell>
        </row>
        <row r="1657">
          <cell r="A1657">
            <v>8017</v>
          </cell>
        </row>
        <row r="1658">
          <cell r="A1658">
            <v>8018</v>
          </cell>
        </row>
        <row r="1659">
          <cell r="A1659">
            <v>8019</v>
          </cell>
        </row>
        <row r="1660">
          <cell r="A1660">
            <v>8020</v>
          </cell>
        </row>
        <row r="1661">
          <cell r="A1661">
            <v>8021</v>
          </cell>
        </row>
        <row r="1662">
          <cell r="A1662">
            <v>8022</v>
          </cell>
        </row>
        <row r="1663">
          <cell r="A1663">
            <v>8023</v>
          </cell>
        </row>
        <row r="1664">
          <cell r="A1664">
            <v>8024</v>
          </cell>
        </row>
        <row r="1665">
          <cell r="A1665">
            <v>8025</v>
          </cell>
        </row>
        <row r="1666">
          <cell r="A1666">
            <v>8026</v>
          </cell>
        </row>
        <row r="1667">
          <cell r="A1667">
            <v>8027</v>
          </cell>
        </row>
        <row r="1668">
          <cell r="A1668">
            <v>8028</v>
          </cell>
        </row>
        <row r="1669">
          <cell r="A1669">
            <v>8029</v>
          </cell>
        </row>
        <row r="1670">
          <cell r="A1670">
            <v>8030</v>
          </cell>
        </row>
        <row r="1671">
          <cell r="A1671">
            <v>8031</v>
          </cell>
        </row>
        <row r="1672">
          <cell r="A1672">
            <v>8032</v>
          </cell>
        </row>
        <row r="1673">
          <cell r="A1673">
            <v>8033</v>
          </cell>
        </row>
        <row r="1674">
          <cell r="A1674">
            <v>8034</v>
          </cell>
        </row>
        <row r="1675">
          <cell r="A1675">
            <v>8035</v>
          </cell>
        </row>
        <row r="1676">
          <cell r="A1676">
            <v>8036</v>
          </cell>
        </row>
        <row r="1677">
          <cell r="A1677">
            <v>8037</v>
          </cell>
        </row>
        <row r="1678">
          <cell r="A1678">
            <v>8038</v>
          </cell>
        </row>
        <row r="1679">
          <cell r="A1679">
            <v>8039</v>
          </cell>
        </row>
        <row r="1680">
          <cell r="A1680">
            <v>8040</v>
          </cell>
        </row>
        <row r="1681">
          <cell r="A1681">
            <v>8041</v>
          </cell>
        </row>
        <row r="1682">
          <cell r="A1682">
            <v>8042</v>
          </cell>
        </row>
        <row r="1683">
          <cell r="A1683">
            <v>8043</v>
          </cell>
        </row>
        <row r="1684">
          <cell r="A1684">
            <v>8044</v>
          </cell>
        </row>
        <row r="1685">
          <cell r="A1685">
            <v>8045</v>
          </cell>
        </row>
        <row r="1686">
          <cell r="A1686">
            <v>8046</v>
          </cell>
        </row>
        <row r="1687">
          <cell r="A1687">
            <v>8047</v>
          </cell>
        </row>
        <row r="1688">
          <cell r="A1688">
            <v>8048</v>
          </cell>
        </row>
        <row r="1689">
          <cell r="A1689">
            <v>8049</v>
          </cell>
        </row>
        <row r="1690">
          <cell r="A1690">
            <v>8050</v>
          </cell>
        </row>
        <row r="1691">
          <cell r="A1691">
            <v>8051</v>
          </cell>
        </row>
        <row r="1692">
          <cell r="A1692">
            <v>8052</v>
          </cell>
        </row>
        <row r="1693">
          <cell r="A1693">
            <v>8053</v>
          </cell>
        </row>
        <row r="1694">
          <cell r="A1694">
            <v>8054</v>
          </cell>
        </row>
        <row r="1695">
          <cell r="A1695">
            <v>8055</v>
          </cell>
        </row>
        <row r="1696">
          <cell r="A1696">
            <v>8056</v>
          </cell>
        </row>
        <row r="1697">
          <cell r="A1697">
            <v>8057</v>
          </cell>
        </row>
        <row r="1698">
          <cell r="A1698">
            <v>8058</v>
          </cell>
        </row>
        <row r="1699">
          <cell r="A1699">
            <v>8059</v>
          </cell>
        </row>
        <row r="1700">
          <cell r="A1700">
            <v>8060</v>
          </cell>
        </row>
        <row r="1701">
          <cell r="A1701">
            <v>8061</v>
          </cell>
        </row>
        <row r="1702">
          <cell r="A1702">
            <v>8062</v>
          </cell>
        </row>
        <row r="1703">
          <cell r="A1703">
            <v>8063</v>
          </cell>
        </row>
        <row r="1704">
          <cell r="A1704">
            <v>8064</v>
          </cell>
        </row>
        <row r="1705">
          <cell r="A1705">
            <v>8065</v>
          </cell>
        </row>
        <row r="1706">
          <cell r="A1706">
            <v>8066</v>
          </cell>
        </row>
        <row r="1707">
          <cell r="A1707">
            <v>8067</v>
          </cell>
        </row>
        <row r="1708">
          <cell r="A1708">
            <v>8068</v>
          </cell>
        </row>
        <row r="1709">
          <cell r="A1709">
            <v>8069</v>
          </cell>
        </row>
        <row r="1710">
          <cell r="A1710">
            <v>8070</v>
          </cell>
        </row>
        <row r="1711">
          <cell r="A1711">
            <v>8071</v>
          </cell>
        </row>
        <row r="1712">
          <cell r="A1712">
            <v>8072</v>
          </cell>
        </row>
        <row r="1713">
          <cell r="A1713">
            <v>8073</v>
          </cell>
        </row>
        <row r="1714">
          <cell r="A1714">
            <v>8074</v>
          </cell>
        </row>
        <row r="1715">
          <cell r="A1715">
            <v>8075</v>
          </cell>
        </row>
        <row r="1716">
          <cell r="A1716">
            <v>8076</v>
          </cell>
        </row>
        <row r="1717">
          <cell r="A1717">
            <v>8077</v>
          </cell>
        </row>
        <row r="1718">
          <cell r="A1718">
            <v>8078</v>
          </cell>
        </row>
        <row r="1719">
          <cell r="A1719">
            <v>8079</v>
          </cell>
        </row>
        <row r="1720">
          <cell r="A1720">
            <v>8080</v>
          </cell>
        </row>
        <row r="1721">
          <cell r="A1721">
            <v>8081</v>
          </cell>
        </row>
        <row r="1722">
          <cell r="A1722">
            <v>8082</v>
          </cell>
        </row>
        <row r="1723">
          <cell r="A1723">
            <v>8083</v>
          </cell>
        </row>
        <row r="1724">
          <cell r="A1724">
            <v>8084</v>
          </cell>
        </row>
        <row r="1725">
          <cell r="A1725">
            <v>8085</v>
          </cell>
        </row>
        <row r="1726">
          <cell r="A1726">
            <v>8086</v>
          </cell>
        </row>
        <row r="1727">
          <cell r="A1727">
            <v>8087</v>
          </cell>
        </row>
        <row r="1728">
          <cell r="A1728">
            <v>8088</v>
          </cell>
        </row>
        <row r="1729">
          <cell r="A1729">
            <v>8089</v>
          </cell>
        </row>
        <row r="1730">
          <cell r="A1730">
            <v>8090</v>
          </cell>
        </row>
        <row r="1731">
          <cell r="A1731">
            <v>8095</v>
          </cell>
        </row>
        <row r="1732">
          <cell r="A1732">
            <v>8096</v>
          </cell>
        </row>
        <row r="1733">
          <cell r="A1733">
            <v>8097</v>
          </cell>
        </row>
        <row r="1734">
          <cell r="A1734">
            <v>8098</v>
          </cell>
        </row>
        <row r="1735">
          <cell r="A1735">
            <v>8099</v>
          </cell>
        </row>
        <row r="1736">
          <cell r="A1736">
            <v>8100</v>
          </cell>
        </row>
        <row r="1737">
          <cell r="A1737">
            <v>8101</v>
          </cell>
        </row>
        <row r="1738">
          <cell r="A1738">
            <v>8102</v>
          </cell>
        </row>
        <row r="1739">
          <cell r="A1739">
            <v>8103</v>
          </cell>
        </row>
        <row r="1740">
          <cell r="A1740">
            <v>8104</v>
          </cell>
        </row>
        <row r="1741">
          <cell r="A1741">
            <v>8105</v>
          </cell>
        </row>
        <row r="1742">
          <cell r="A1742">
            <v>8106</v>
          </cell>
        </row>
        <row r="1743">
          <cell r="A1743">
            <v>8111</v>
          </cell>
        </row>
        <row r="1744">
          <cell r="A1744">
            <v>8112</v>
          </cell>
        </row>
        <row r="1745">
          <cell r="A1745">
            <v>8113</v>
          </cell>
        </row>
        <row r="1746">
          <cell r="A1746">
            <v>8114</v>
          </cell>
        </row>
        <row r="1747">
          <cell r="A1747">
            <v>8115</v>
          </cell>
        </row>
        <row r="1748">
          <cell r="A1748">
            <v>8116</v>
          </cell>
        </row>
        <row r="1749">
          <cell r="A1749">
            <v>8117</v>
          </cell>
        </row>
        <row r="1750">
          <cell r="A1750">
            <v>8118</v>
          </cell>
        </row>
        <row r="1751">
          <cell r="A1751">
            <v>8119</v>
          </cell>
        </row>
        <row r="1752">
          <cell r="A1752">
            <v>8120</v>
          </cell>
        </row>
        <row r="1753">
          <cell r="A1753">
            <v>8121</v>
          </cell>
        </row>
        <row r="1754">
          <cell r="A1754">
            <v>8122</v>
          </cell>
        </row>
        <row r="1755">
          <cell r="A1755">
            <v>8123</v>
          </cell>
        </row>
        <row r="1756">
          <cell r="A1756">
            <v>8124</v>
          </cell>
        </row>
        <row r="1757">
          <cell r="A1757">
            <v>8125</v>
          </cell>
        </row>
        <row r="1758">
          <cell r="A1758">
            <v>8126</v>
          </cell>
        </row>
        <row r="1759">
          <cell r="A1759">
            <v>8127</v>
          </cell>
        </row>
        <row r="1760">
          <cell r="A1760">
            <v>8128</v>
          </cell>
        </row>
        <row r="1761">
          <cell r="A1761">
            <v>8129</v>
          </cell>
        </row>
        <row r="1762">
          <cell r="A1762">
            <v>8130</v>
          </cell>
        </row>
        <row r="1763">
          <cell r="A1763">
            <v>8131</v>
          </cell>
        </row>
        <row r="1764">
          <cell r="A1764">
            <v>8132</v>
          </cell>
        </row>
        <row r="1765">
          <cell r="A1765">
            <v>8133</v>
          </cell>
        </row>
        <row r="1766">
          <cell r="A1766">
            <v>8134</v>
          </cell>
        </row>
        <row r="1767">
          <cell r="A1767">
            <v>8135</v>
          </cell>
        </row>
        <row r="1768">
          <cell r="A1768">
            <v>8136</v>
          </cell>
        </row>
        <row r="1769">
          <cell r="A1769">
            <v>8137</v>
          </cell>
        </row>
        <row r="1770">
          <cell r="A1770">
            <v>8138</v>
          </cell>
        </row>
        <row r="1771">
          <cell r="A1771">
            <v>9001</v>
          </cell>
        </row>
        <row r="1772">
          <cell r="A1772">
            <v>9002</v>
          </cell>
        </row>
        <row r="1773">
          <cell r="A1773">
            <v>9003</v>
          </cell>
        </row>
        <row r="1774">
          <cell r="A1774">
            <v>9004</v>
          </cell>
        </row>
        <row r="1775">
          <cell r="A1775">
            <v>9005</v>
          </cell>
        </row>
        <row r="1776">
          <cell r="A1776">
            <v>9006</v>
          </cell>
        </row>
        <row r="1777">
          <cell r="A1777">
            <v>9007</v>
          </cell>
        </row>
        <row r="1778">
          <cell r="A1778">
            <v>9008</v>
          </cell>
        </row>
        <row r="1779">
          <cell r="A1779">
            <v>9009</v>
          </cell>
        </row>
        <row r="1780">
          <cell r="A1780">
            <v>9010</v>
          </cell>
        </row>
        <row r="1781">
          <cell r="A1781">
            <v>9011</v>
          </cell>
        </row>
        <row r="1782">
          <cell r="A1782">
            <v>9012</v>
          </cell>
        </row>
        <row r="1783">
          <cell r="A1783">
            <v>10001</v>
          </cell>
        </row>
        <row r="1784">
          <cell r="A1784">
            <v>10002</v>
          </cell>
        </row>
        <row r="1785">
          <cell r="A1785">
            <v>10003</v>
          </cell>
        </row>
        <row r="1786">
          <cell r="A1786">
            <v>10004</v>
          </cell>
        </row>
        <row r="1787">
          <cell r="A1787">
            <v>10005</v>
          </cell>
        </row>
        <row r="1788">
          <cell r="A1788">
            <v>10006</v>
          </cell>
        </row>
        <row r="1789">
          <cell r="A1789">
            <v>10007</v>
          </cell>
        </row>
        <row r="1790">
          <cell r="A1790">
            <v>10008</v>
          </cell>
        </row>
        <row r="1791">
          <cell r="A1791">
            <v>10009</v>
          </cell>
        </row>
        <row r="1792">
          <cell r="A1792">
            <v>10010</v>
          </cell>
        </row>
        <row r="1793">
          <cell r="A1793">
            <v>10011</v>
          </cell>
        </row>
        <row r="1794">
          <cell r="A1794">
            <v>10012</v>
          </cell>
        </row>
        <row r="1795">
          <cell r="A1795">
            <v>10013</v>
          </cell>
        </row>
        <row r="1796">
          <cell r="A1796">
            <v>10014</v>
          </cell>
        </row>
        <row r="1797">
          <cell r="A1797">
            <v>10015</v>
          </cell>
        </row>
        <row r="1798">
          <cell r="A1798">
            <v>10016</v>
          </cell>
        </row>
        <row r="1799">
          <cell r="A1799">
            <v>10017</v>
          </cell>
        </row>
        <row r="1800">
          <cell r="A1800">
            <v>10018</v>
          </cell>
        </row>
        <row r="1801">
          <cell r="A1801">
            <v>10019</v>
          </cell>
        </row>
        <row r="1802">
          <cell r="A1802">
            <v>10020</v>
          </cell>
        </row>
        <row r="1803">
          <cell r="A1803">
            <v>10021</v>
          </cell>
        </row>
        <row r="1804">
          <cell r="A1804">
            <v>10022</v>
          </cell>
        </row>
        <row r="1805">
          <cell r="A1805">
            <v>10023</v>
          </cell>
        </row>
        <row r="1806">
          <cell r="A1806">
            <v>10024</v>
          </cell>
        </row>
        <row r="1807">
          <cell r="A1807">
            <v>10025</v>
          </cell>
        </row>
        <row r="1808">
          <cell r="A1808">
            <v>10026</v>
          </cell>
        </row>
        <row r="1809">
          <cell r="A1809">
            <v>10027</v>
          </cell>
        </row>
        <row r="1810">
          <cell r="A1810">
            <v>10028</v>
          </cell>
        </row>
        <row r="1811">
          <cell r="A1811">
            <v>10029</v>
          </cell>
        </row>
        <row r="1812">
          <cell r="A1812">
            <v>10030</v>
          </cell>
        </row>
        <row r="1813">
          <cell r="A1813">
            <v>10031</v>
          </cell>
        </row>
        <row r="1814">
          <cell r="A1814">
            <v>10032</v>
          </cell>
        </row>
        <row r="1815">
          <cell r="A1815">
            <v>10033</v>
          </cell>
        </row>
        <row r="1816">
          <cell r="A1816">
            <v>10034</v>
          </cell>
        </row>
        <row r="1817">
          <cell r="A1817">
            <v>10035</v>
          </cell>
        </row>
        <row r="1818">
          <cell r="A1818">
            <v>10036</v>
          </cell>
        </row>
        <row r="1819">
          <cell r="A1819">
            <v>10037</v>
          </cell>
        </row>
        <row r="1820">
          <cell r="A1820">
            <v>10038</v>
          </cell>
        </row>
        <row r="1821">
          <cell r="A1821">
            <v>10039</v>
          </cell>
        </row>
        <row r="1822">
          <cell r="A1822">
            <v>10040</v>
          </cell>
        </row>
        <row r="1823">
          <cell r="A1823">
            <v>10041</v>
          </cell>
        </row>
        <row r="1824">
          <cell r="A1824">
            <v>10042</v>
          </cell>
        </row>
        <row r="1825">
          <cell r="A1825">
            <v>10043</v>
          </cell>
        </row>
        <row r="1826">
          <cell r="A1826">
            <v>10044</v>
          </cell>
        </row>
        <row r="1827">
          <cell r="A1827">
            <v>10045</v>
          </cell>
        </row>
        <row r="1828">
          <cell r="A1828">
            <v>10046</v>
          </cell>
        </row>
        <row r="1829">
          <cell r="A1829">
            <v>10047</v>
          </cell>
        </row>
        <row r="1830">
          <cell r="A1830">
            <v>10048</v>
          </cell>
        </row>
        <row r="1831">
          <cell r="A1831">
            <v>10049</v>
          </cell>
        </row>
        <row r="1832">
          <cell r="A1832">
            <v>10050</v>
          </cell>
        </row>
        <row r="1833">
          <cell r="A1833">
            <v>10051</v>
          </cell>
        </row>
        <row r="1834">
          <cell r="A1834">
            <v>10052</v>
          </cell>
        </row>
        <row r="1835">
          <cell r="A1835">
            <v>10053</v>
          </cell>
        </row>
        <row r="1836">
          <cell r="A1836">
            <v>10054</v>
          </cell>
        </row>
        <row r="1837">
          <cell r="A1837">
            <v>10055</v>
          </cell>
        </row>
        <row r="1838">
          <cell r="A1838">
            <v>10056</v>
          </cell>
        </row>
        <row r="1839">
          <cell r="A1839">
            <v>10057</v>
          </cell>
        </row>
        <row r="1840">
          <cell r="A1840">
            <v>10058</v>
          </cell>
        </row>
        <row r="1841">
          <cell r="A1841">
            <v>10059</v>
          </cell>
        </row>
        <row r="1842">
          <cell r="A1842">
            <v>10060</v>
          </cell>
        </row>
        <row r="1843">
          <cell r="A1843">
            <v>10061</v>
          </cell>
        </row>
        <row r="1844">
          <cell r="A1844">
            <v>10062</v>
          </cell>
        </row>
        <row r="1845">
          <cell r="A1845">
            <v>10063</v>
          </cell>
        </row>
        <row r="1846">
          <cell r="A1846">
            <v>10064</v>
          </cell>
        </row>
        <row r="1847">
          <cell r="A1847">
            <v>10065</v>
          </cell>
        </row>
        <row r="1848">
          <cell r="A1848">
            <v>10066</v>
          </cell>
        </row>
        <row r="1849">
          <cell r="A1849">
            <v>10067</v>
          </cell>
        </row>
        <row r="1850">
          <cell r="A1850">
            <v>10068</v>
          </cell>
        </row>
        <row r="1851">
          <cell r="A1851">
            <v>10069</v>
          </cell>
        </row>
        <row r="1852">
          <cell r="A1852">
            <v>10070</v>
          </cell>
        </row>
        <row r="1853">
          <cell r="A1853">
            <v>10071</v>
          </cell>
        </row>
        <row r="1854">
          <cell r="A1854">
            <v>10072</v>
          </cell>
        </row>
        <row r="1855">
          <cell r="A1855">
            <v>10073</v>
          </cell>
        </row>
        <row r="1856">
          <cell r="A1856">
            <v>10074</v>
          </cell>
        </row>
        <row r="1857">
          <cell r="A1857">
            <v>10075</v>
          </cell>
        </row>
        <row r="1858">
          <cell r="A1858">
            <v>10076</v>
          </cell>
        </row>
        <row r="1859">
          <cell r="A1859">
            <v>10077</v>
          </cell>
        </row>
        <row r="1860">
          <cell r="A1860">
            <v>10078</v>
          </cell>
        </row>
        <row r="1861">
          <cell r="A1861">
            <v>10079</v>
          </cell>
        </row>
        <row r="1862">
          <cell r="A1862">
            <v>10080</v>
          </cell>
        </row>
        <row r="1863">
          <cell r="A1863">
            <v>10081</v>
          </cell>
        </row>
        <row r="1864">
          <cell r="A1864">
            <v>10082</v>
          </cell>
        </row>
        <row r="1865">
          <cell r="A1865">
            <v>10083</v>
          </cell>
        </row>
        <row r="1866">
          <cell r="A1866">
            <v>10084</v>
          </cell>
        </row>
        <row r="1867">
          <cell r="A1867">
            <v>10085</v>
          </cell>
        </row>
        <row r="1868">
          <cell r="A1868">
            <v>10086</v>
          </cell>
        </row>
        <row r="1869">
          <cell r="A1869">
            <v>10087</v>
          </cell>
        </row>
        <row r="1870">
          <cell r="A1870">
            <v>10088</v>
          </cell>
        </row>
        <row r="1871">
          <cell r="A1871">
            <v>10089</v>
          </cell>
        </row>
        <row r="1872">
          <cell r="A1872">
            <v>10090</v>
          </cell>
        </row>
        <row r="1873">
          <cell r="A1873">
            <v>10101</v>
          </cell>
        </row>
        <row r="1874">
          <cell r="A1874">
            <v>10102</v>
          </cell>
        </row>
        <row r="1875">
          <cell r="A1875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  <row r="483">
          <cell r="B483">
            <v>560001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ゲリラクエストは要チェック</v>
          </cell>
          <cell r="D12" t="str">
            <v>時間限定の「アヒル捕獲作戦」では_x000D_経験値素材ユニットが多く手に入ります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果実を使って限界突破</v>
          </cell>
          <cell r="D25" t="str">
            <v>攻めの果実 癒しの果実_x000D_生命の果実をユニット強化に使うと_x000D_ステータスが限界突破します（計99個迄）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「秘術の果実」を強化に使うと_x000D_スキルレベルを上げることができます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A8" sqref="A8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130</v>
      </c>
      <c r="B1" s="55" t="s">
        <v>100</v>
      </c>
      <c r="C1" s="55" t="s">
        <v>101</v>
      </c>
      <c r="D1" s="55" t="s">
        <v>102</v>
      </c>
      <c r="E1" s="55" t="s">
        <v>103</v>
      </c>
      <c r="F1" s="55" t="s">
        <v>104</v>
      </c>
      <c r="G1" s="55" t="s">
        <v>105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266</v>
      </c>
      <c r="B2" s="57" t="s">
        <v>106</v>
      </c>
      <c r="C2" s="63">
        <v>48703</v>
      </c>
      <c r="D2" s="57" t="s">
        <v>107</v>
      </c>
      <c r="E2" s="56" t="str">
        <f>B2&amp;C2&amp;D2</f>
        <v>floors_48703.tmp</v>
      </c>
      <c r="F2" s="57" t="s">
        <v>108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266</v>
      </c>
      <c r="B3" s="57" t="s">
        <v>109</v>
      </c>
      <c r="C3" s="63">
        <v>48703</v>
      </c>
      <c r="D3" s="57" t="s">
        <v>107</v>
      </c>
      <c r="E3" s="56" t="str">
        <f>B3&amp;C3&amp;D3</f>
        <v>enemy_habitats_48703.tmp</v>
      </c>
      <c r="F3" s="57" t="s">
        <v>110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179</v>
      </c>
    </row>
    <row r="4" spans="1:30" x14ac:dyDescent="0.15">
      <c r="A4" s="61" t="s">
        <v>266</v>
      </c>
      <c r="B4" s="57" t="s">
        <v>111</v>
      </c>
      <c r="C4" s="63">
        <v>48703</v>
      </c>
      <c r="D4" s="57" t="s">
        <v>107</v>
      </c>
      <c r="E4" s="56" t="str">
        <f>B4&amp;C4&amp;D4</f>
        <v>enemy_habitat_S_48703.tmp</v>
      </c>
      <c r="F4" s="57" t="s">
        <v>112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266</v>
      </c>
      <c r="B5" s="57" t="s">
        <v>113</v>
      </c>
      <c r="C5" s="63">
        <v>48703</v>
      </c>
      <c r="D5" s="57" t="s">
        <v>107</v>
      </c>
      <c r="E5" s="56" t="str">
        <f>B5&amp;C5&amp;D5</f>
        <v>enemy_skill_sets_48703.tmp</v>
      </c>
      <c r="F5" s="57" t="s">
        <v>114</v>
      </c>
      <c r="G5" s="59" t="s">
        <v>22</v>
      </c>
      <c r="H5" s="59" t="s">
        <v>99</v>
      </c>
      <c r="I5" s="59" t="s">
        <v>94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266</v>
      </c>
      <c r="B6" s="57" t="s">
        <v>115</v>
      </c>
      <c r="C6" s="63">
        <v>48703</v>
      </c>
      <c r="D6" s="57" t="s">
        <v>116</v>
      </c>
      <c r="E6" s="56" t="str">
        <f t="shared" ref="E6:E10" si="0">B6&amp;C6&amp;D6</f>
        <v>enemy_skills_tmp_48703.tmp</v>
      </c>
      <c r="F6" s="57" t="s">
        <v>90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266</v>
      </c>
      <c r="B7" s="57" t="s">
        <v>117</v>
      </c>
      <c r="C7" s="63">
        <v>48703</v>
      </c>
      <c r="D7" s="57" t="s">
        <v>107</v>
      </c>
      <c r="E7" s="56" t="str">
        <f>B7&amp;C7&amp;D7</f>
        <v>enemy_skills_i18n_48703.tmp</v>
      </c>
      <c r="F7" s="57" t="s">
        <v>118</v>
      </c>
      <c r="G7" s="58" t="s">
        <v>79</v>
      </c>
      <c r="H7" s="58" t="s">
        <v>91</v>
      </c>
      <c r="I7" s="58" t="s">
        <v>92</v>
      </c>
      <c r="J7" s="58" t="s">
        <v>93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266</v>
      </c>
      <c r="B8" s="57" t="s">
        <v>119</v>
      </c>
      <c r="C8" s="63">
        <v>48703</v>
      </c>
      <c r="D8" s="57" t="s">
        <v>120</v>
      </c>
      <c r="E8" s="56" t="str">
        <f t="shared" si="0"/>
        <v>enemy_skill_triggers_48703.tmp</v>
      </c>
      <c r="F8" s="57" t="s">
        <v>121</v>
      </c>
      <c r="G8" s="58" t="s">
        <v>94</v>
      </c>
      <c r="H8" s="58" t="s">
        <v>95</v>
      </c>
      <c r="I8" s="58" t="s">
        <v>96</v>
      </c>
      <c r="J8" s="58" t="s">
        <v>97</v>
      </c>
      <c r="K8" s="58" t="s">
        <v>122</v>
      </c>
      <c r="L8" s="58" t="s">
        <v>98</v>
      </c>
      <c r="M8" s="58" t="s">
        <v>123</v>
      </c>
      <c r="N8" s="58" t="s">
        <v>124</v>
      </c>
      <c r="O8" s="58" t="s">
        <v>125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188</v>
      </c>
      <c r="B9" s="68" t="s">
        <v>178</v>
      </c>
      <c r="C9" s="63">
        <v>48703</v>
      </c>
      <c r="D9" s="68" t="s">
        <v>172</v>
      </c>
      <c r="E9" s="69" t="str">
        <f t="shared" si="0"/>
        <v>stage_bug_bonuses_48703.tmp</v>
      </c>
      <c r="F9" s="68" t="s">
        <v>173</v>
      </c>
      <c r="G9" s="65" t="s">
        <v>150</v>
      </c>
      <c r="H9" s="65" t="s">
        <v>174</v>
      </c>
      <c r="I9" s="65" t="s">
        <v>175</v>
      </c>
      <c r="J9" s="67" t="s">
        <v>176</v>
      </c>
      <c r="K9" s="65" t="s">
        <v>177</v>
      </c>
      <c r="L9" s="65" t="s">
        <v>156</v>
      </c>
      <c r="M9" s="65" t="s">
        <v>157</v>
      </c>
      <c r="N9" s="65" t="s">
        <v>158</v>
      </c>
      <c r="O9" s="65" t="s">
        <v>159</v>
      </c>
      <c r="P9" s="65" t="s">
        <v>160</v>
      </c>
      <c r="Q9" s="65" t="s">
        <v>161</v>
      </c>
      <c r="R9" s="65" t="s">
        <v>162</v>
      </c>
      <c r="S9" s="65" t="s">
        <v>163</v>
      </c>
      <c r="T9" s="65" t="s">
        <v>164</v>
      </c>
      <c r="U9" s="65" t="s">
        <v>165</v>
      </c>
      <c r="V9" s="65" t="s">
        <v>166</v>
      </c>
      <c r="W9" s="65" t="s">
        <v>167</v>
      </c>
      <c r="X9" s="57"/>
      <c r="Y9" s="57"/>
      <c r="Z9" s="57"/>
      <c r="AA9" s="57"/>
      <c r="AB9" s="57"/>
      <c r="AC9" s="57"/>
      <c r="AD9" s="57"/>
    </row>
    <row r="10" spans="1:30" s="76" customFormat="1" x14ac:dyDescent="0.15">
      <c r="A10" s="61" t="s">
        <v>188</v>
      </c>
      <c r="B10" s="68" t="s">
        <v>202</v>
      </c>
      <c r="C10" s="63">
        <v>48703</v>
      </c>
      <c r="D10" s="68" t="s">
        <v>181</v>
      </c>
      <c r="E10" s="69" t="str">
        <f t="shared" si="0"/>
        <v>stage_hints_data_c_48703.tmp</v>
      </c>
      <c r="F10" s="68" t="s">
        <v>210</v>
      </c>
      <c r="G10" s="74" t="s">
        <v>182</v>
      </c>
      <c r="H10" s="74" t="s">
        <v>174</v>
      </c>
      <c r="I10" s="75" t="s">
        <v>183</v>
      </c>
      <c r="J10" s="67" t="s">
        <v>184</v>
      </c>
      <c r="K10" s="67" t="s">
        <v>185</v>
      </c>
      <c r="L10" s="105"/>
      <c r="M10" s="105"/>
      <c r="N10" s="105"/>
      <c r="O10" s="105"/>
      <c r="P10" s="105"/>
      <c r="Q10" s="105"/>
      <c r="R10" s="105"/>
      <c r="S10" s="105"/>
      <c r="T10" s="105"/>
      <c r="U10" s="105"/>
      <c r="V10" s="105"/>
      <c r="W10" s="105"/>
      <c r="X10" s="105"/>
      <c r="Y10" s="105"/>
      <c r="Z10" s="105"/>
      <c r="AA10" s="105"/>
      <c r="AB10" s="105"/>
      <c r="AC10" s="105"/>
      <c r="AD10" s="105"/>
    </row>
    <row r="11" spans="1:30" s="76" customFormat="1" x14ac:dyDescent="0.15">
      <c r="A11" s="61" t="s">
        <v>188</v>
      </c>
      <c r="B11" s="68" t="s">
        <v>203</v>
      </c>
      <c r="C11" s="63">
        <v>48703</v>
      </c>
      <c r="D11" s="68" t="s">
        <v>172</v>
      </c>
      <c r="E11" s="69" t="str">
        <f t="shared" ref="E11:E13" si="1">B11&amp;C11&amp;D11</f>
        <v>stage_hints_data_f_48703.tmp</v>
      </c>
      <c r="F11" s="68" t="s">
        <v>212</v>
      </c>
      <c r="G11" s="74" t="s">
        <v>182</v>
      </c>
      <c r="H11" s="74" t="s">
        <v>174</v>
      </c>
      <c r="I11" s="75" t="s">
        <v>183</v>
      </c>
      <c r="J11" s="67" t="s">
        <v>184</v>
      </c>
      <c r="K11" s="67" t="s">
        <v>185</v>
      </c>
      <c r="L11" s="105"/>
      <c r="M11" s="105"/>
      <c r="N11" s="105"/>
      <c r="O11" s="105"/>
      <c r="P11" s="105"/>
      <c r="Q11" s="105"/>
      <c r="R11" s="105"/>
      <c r="S11" s="105"/>
      <c r="T11" s="105"/>
      <c r="U11" s="105"/>
      <c r="V11" s="105"/>
      <c r="W11" s="105"/>
      <c r="X11" s="105"/>
      <c r="Y11" s="105"/>
      <c r="Z11" s="105"/>
      <c r="AA11" s="105"/>
      <c r="AB11" s="105"/>
      <c r="AC11" s="105"/>
      <c r="AD11" s="105"/>
    </row>
    <row r="12" spans="1:30" s="76" customFormat="1" x14ac:dyDescent="0.15">
      <c r="A12" s="61" t="s">
        <v>188</v>
      </c>
      <c r="B12" s="68" t="s">
        <v>204</v>
      </c>
      <c r="C12" s="63">
        <v>48703</v>
      </c>
      <c r="D12" s="68" t="s">
        <v>172</v>
      </c>
      <c r="E12" s="69" t="str">
        <f t="shared" si="1"/>
        <v>stage_hints_i18n_48703.tmp</v>
      </c>
      <c r="F12" s="68" t="s">
        <v>213</v>
      </c>
      <c r="G12" s="75" t="s">
        <v>205</v>
      </c>
      <c r="H12" s="97" t="s">
        <v>206</v>
      </c>
      <c r="I12" s="74" t="s">
        <v>207</v>
      </c>
      <c r="J12" s="106" t="s">
        <v>208</v>
      </c>
      <c r="K12" s="67" t="s">
        <v>209</v>
      </c>
      <c r="L12" s="105"/>
      <c r="M12" s="105"/>
      <c r="N12" s="105"/>
      <c r="O12" s="105"/>
      <c r="P12" s="105"/>
      <c r="Q12" s="105"/>
      <c r="R12" s="105"/>
      <c r="S12" s="105"/>
      <c r="T12" s="105"/>
      <c r="U12" s="105"/>
      <c r="V12" s="105"/>
      <c r="W12" s="105"/>
      <c r="X12" s="105"/>
      <c r="Y12" s="105"/>
      <c r="Z12" s="105"/>
      <c r="AA12" s="105"/>
      <c r="AB12" s="105"/>
      <c r="AC12" s="105"/>
      <c r="AD12" s="105"/>
    </row>
    <row r="13" spans="1:30" s="76" customFormat="1" x14ac:dyDescent="0.15">
      <c r="A13" s="61" t="s">
        <v>188</v>
      </c>
      <c r="B13" s="68" t="s">
        <v>260</v>
      </c>
      <c r="C13" s="63">
        <v>48703</v>
      </c>
      <c r="D13" s="68" t="s">
        <v>241</v>
      </c>
      <c r="E13" s="69" t="str">
        <f t="shared" si="1"/>
        <v>stage_bonuses_48703.tmp</v>
      </c>
      <c r="F13" s="68" t="s">
        <v>240</v>
      </c>
      <c r="G13" s="74" t="s">
        <v>242</v>
      </c>
      <c r="H13" s="74" t="s">
        <v>243</v>
      </c>
      <c r="I13" s="74" t="s">
        <v>244</v>
      </c>
      <c r="J13" s="74" t="s">
        <v>245</v>
      </c>
      <c r="K13" s="74" t="s">
        <v>246</v>
      </c>
      <c r="L13" s="74" t="s">
        <v>247</v>
      </c>
      <c r="M13" s="74" t="s">
        <v>248</v>
      </c>
      <c r="N13" s="74" t="s">
        <v>249</v>
      </c>
      <c r="O13" s="74" t="s">
        <v>250</v>
      </c>
      <c r="P13" s="74" t="s">
        <v>251</v>
      </c>
      <c r="Q13" s="74" t="s">
        <v>252</v>
      </c>
      <c r="R13" s="74" t="s">
        <v>253</v>
      </c>
      <c r="S13" s="74" t="s">
        <v>254</v>
      </c>
      <c r="T13" s="74" t="s">
        <v>255</v>
      </c>
      <c r="U13" s="74" t="s">
        <v>256</v>
      </c>
      <c r="V13" s="74" t="s">
        <v>257</v>
      </c>
      <c r="W13" s="74" t="s">
        <v>258</v>
      </c>
      <c r="X13" s="74" t="s">
        <v>259</v>
      </c>
      <c r="Y13" s="105"/>
      <c r="Z13" s="105"/>
      <c r="AA13" s="105"/>
      <c r="AB13" s="105"/>
      <c r="AC13" s="105"/>
      <c r="AD13" s="105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5"/>
  <sheetViews>
    <sheetView showGridLines="0" workbookViewId="0">
      <pane ySplit="1" topLeftCell="A2" activePane="bottomLeft" state="frozen"/>
      <selection activeCell="V2" sqref="V2:X34"/>
      <selection pane="bottomLeft" activeCell="E9" sqref="E9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48703_1-1</v>
      </c>
      <c r="B2" s="16" t="str">
        <f>IF(COUNTIF(enemy_habitats!$H:$H,A2),"OK","NG")</f>
        <v>OK</v>
      </c>
      <c r="C2" s="7">
        <v>48703</v>
      </c>
      <c r="D2" s="11" t="str">
        <f ca="1">VLOOKUP($C2,OFFSET([2]quests!$A$1,0,0,COUNTA([2]quests!$A:$A),MATCH(D$1,[2]quests!$1:$1,0)-MATCH($C$1,[2]quests!$1:$1,0)+1),MATCH(D$1,[2]quests!$1:$1,0)-MATCH($C$1,[2]quests!$1:$1,0)+1,FALSE)</f>
        <v>紅蓮襲来！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韓国版降臨3</v>
      </c>
      <c r="F2" s="21">
        <v>1</v>
      </c>
      <c r="G2" s="23" t="str">
        <f>C2&amp;"_"&amp;F2</f>
        <v>48703_1</v>
      </c>
      <c r="H2" s="15" t="str">
        <f ca="1">VLOOKUP($G2,OFFSET([2]stages!$A$1,0,0,COUNTA([2]stages!$A:$A),MATCH(H$1,[2]stages!$2:$2,0)-MATCH($G$1,[2]stages!$2:$2,0)+1),MATCH(H$1,[2]stages!$2:$2,0)-MATCH($G$1,[2]stages!$2:$2,0)+1,FALSE)</f>
        <v>【ウィザード級】紅蓮襲来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>G3&amp;"-"&amp;I3</f>
        <v>48703_1-2</v>
      </c>
      <c r="B3" s="16" t="str">
        <f>IF(COUNTIF(enemy_habitats!$H:$H,A3),"OK","NG")</f>
        <v>OK</v>
      </c>
      <c r="C3" s="7">
        <v>48703</v>
      </c>
      <c r="D3" s="11" t="str">
        <f ca="1">VLOOKUP($C3,OFFSET([2]quests!$A$1,0,0,COUNTA([2]quests!$A:$A),MATCH(D$1,[2]quests!$1:$1,0)-MATCH($C$1,[2]quests!$1:$1,0)+1),MATCH(D$1,[2]quests!$1:$1,0)-MATCH($C$1,[2]quests!$1:$1,0)+1,FALSE)</f>
        <v>紅蓮襲来！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韓国版降臨3</v>
      </c>
      <c r="F3" s="21">
        <v>1</v>
      </c>
      <c r="G3" s="23" t="str">
        <f>C3&amp;"_"&amp;F3</f>
        <v>48703_1</v>
      </c>
      <c r="H3" s="15" t="str">
        <f ca="1">VLOOKUP($G3,OFFSET([2]stages!$A$1,0,0,COUNTA([2]stages!$A:$A),MATCH(H$1,[2]stages!$2:$2,0)-MATCH($G$1,[2]stages!$2:$2,0)+1),MATCH(H$1,[2]stages!$2:$2,0)-MATCH($G$1,[2]stages!$2:$2,0)+1,FALSE)</f>
        <v>【ウィザード級】紅蓮襲来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>G4&amp;"-"&amp;I4</f>
        <v>48703_1-3</v>
      </c>
      <c r="B4" s="16" t="str">
        <f>IF(COUNTIF(enemy_habitats!$H:$H,A4),"OK","NG")</f>
        <v>OK</v>
      </c>
      <c r="C4" s="7">
        <v>48703</v>
      </c>
      <c r="D4" s="11" t="str">
        <f ca="1">VLOOKUP($C4,OFFSET([2]quests!$A$1,0,0,COUNTA([2]quests!$A:$A),MATCH(D$1,[2]quests!$1:$1,0)-MATCH($C$1,[2]quests!$1:$1,0)+1),MATCH(D$1,[2]quests!$1:$1,0)-MATCH($C$1,[2]quests!$1:$1,0)+1,FALSE)</f>
        <v>紅蓮襲来！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韓国版降臨3</v>
      </c>
      <c r="F4" s="21">
        <v>1</v>
      </c>
      <c r="G4" s="23" t="str">
        <f>C4&amp;"_"&amp;F4</f>
        <v>48703_1</v>
      </c>
      <c r="H4" s="15" t="str">
        <f ca="1">VLOOKUP($G4,OFFSET([2]stages!$A$1,0,0,COUNTA([2]stages!$A:$A),MATCH(H$1,[2]stages!$2:$2,0)-MATCH($G$1,[2]stages!$2:$2,0)+1),MATCH(H$1,[2]stages!$2:$2,0)-MATCH($G$1,[2]stages!$2:$2,0)+1,FALSE)</f>
        <v>【ウィザード級】紅蓮襲来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>G5&amp;"-"&amp;I5</f>
        <v>48703_1-4</v>
      </c>
      <c r="B5" s="16" t="str">
        <f>IF(COUNTIF(enemy_habitats!$H:$H,A5),"OK","NG")</f>
        <v>OK</v>
      </c>
      <c r="C5" s="7">
        <v>48703</v>
      </c>
      <c r="D5" s="11" t="str">
        <f ca="1">VLOOKUP($C5,OFFSET([2]quests!$A$1,0,0,COUNTA([2]quests!$A:$A),MATCH(D$1,[2]quests!$1:$1,0)-MATCH($C$1,[2]quests!$1:$1,0)+1),MATCH(D$1,[2]quests!$1:$1,0)-MATCH($C$1,[2]quests!$1:$1,0)+1,FALSE)</f>
        <v>紅蓮襲来！</v>
      </c>
      <c r="E5" s="18" t="str">
        <f ca="1">VLOOKUP($C5,OFFSET([2]quests!$A$1,0,0,COUNTA([2]quests!$A:$A),MATCH(E$1,[2]quests!$1:$1,0)-MATCH($C$1,[2]quests!$1:$1,0)+1),MATCH(E$1,[2]quests!$1:$1,0)-MATCH($C$1,[2]quests!$1:$1,0)+1,FALSE)</f>
        <v>韓国版降臨3</v>
      </c>
      <c r="F5" s="21">
        <v>1</v>
      </c>
      <c r="G5" s="23" t="str">
        <f>C5&amp;"_"&amp;F5</f>
        <v>48703_1</v>
      </c>
      <c r="H5" s="15" t="str">
        <f ca="1">VLOOKUP($G5,OFFSET([2]stages!$A$1,0,0,COUNTA([2]stages!$A:$A),MATCH(H$1,[2]stages!$2:$2,0)-MATCH($G$1,[2]stages!$2:$2,0)+1),MATCH(H$1,[2]stages!$2:$2,0)-MATCH($G$1,[2]stages!$2:$2,0)+1,FALSE)</f>
        <v>【ウィザード級】紅蓮襲来</v>
      </c>
      <c r="I5" s="21">
        <v>4</v>
      </c>
      <c r="J5" s="12">
        <v>60</v>
      </c>
      <c r="K5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7"/>
  <sheetViews>
    <sheetView showGridLines="0" workbookViewId="0">
      <pane xSplit="17" ySplit="1" topLeftCell="S2" activePane="bottomRight" state="frozen"/>
      <selection pane="topRight" activeCell="N1" sqref="N1"/>
      <selection pane="bottomLeft" activeCell="A2" sqref="A2"/>
      <selection pane="bottomRight" activeCell="S7" sqref="S7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109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7" t="s">
        <v>261</v>
      </c>
      <c r="U1" s="26" t="s">
        <v>50</v>
      </c>
      <c r="V1" s="107" t="s">
        <v>262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180</v>
      </c>
    </row>
    <row r="2" spans="1:42" ht="21" customHeight="1" x14ac:dyDescent="0.15">
      <c r="A2" s="16" t="str">
        <f t="shared" ref="A2:A7" ca="1" si="0">B2&amp;"_"&amp;C2&amp;"-"&amp;G2&amp;"/"&amp;L2&amp;"&lt;lv"&amp;R2&amp;"&gt;s"&amp;AC2</f>
        <v>48703_1-1/63&lt;lv80&gt;s2</v>
      </c>
      <c r="B2" s="22">
        <v>48703</v>
      </c>
      <c r="C2" s="21">
        <v>1</v>
      </c>
      <c r="D2" s="2" t="str">
        <f t="shared" ref="D2:D7" si="1">B2&amp;"_"&amp;C2</f>
        <v>48703_1</v>
      </c>
      <c r="E2" s="4" t="str">
        <f ca="1">VLOOKUP($B2,OFFSET([2]quests!$A$1,0,0,COUNTA([2]quests!$A:$A),MATCH(E$1,[2]quests!$1:$1,0)-MATCH($B$1,[2]quests!$1:$1,0)+1),MATCH(E$1,[2]quests!$1:$1,0)-MATCH($B$1,[2]quests!$1:$1,0)+1,FALSE)</f>
        <v>紅蓮襲来！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【ウィザード級】紅蓮襲来</v>
      </c>
      <c r="G2" s="21">
        <v>1</v>
      </c>
      <c r="H2" s="15" t="str">
        <f t="shared" ref="H2:H7" si="2">B2&amp;"_"&amp;C2&amp;"-"&amp;G2</f>
        <v>48703_1-1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53</v>
      </c>
      <c r="L2" s="20">
        <v>63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トニー</v>
      </c>
      <c r="N2" s="17" t="str">
        <f ca="1">VLOOKUP($L2,OFFSET([3]enemies!$A$1,0,0,COUNTA([3]enemies!$A:$A),MATCH(N$1,[3]enemies!$1:$1,0)-MATCH($L$1,[3]enemies!$1:$1,0)+1),MATCH(N$1,[3]enemies!$1:$1,0)-MATCH($L$1,[3]enemies!$1:$1,0)+1,FALSE)</f>
        <v>yellow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Drop1N</v>
      </c>
      <c r="P2" s="17" t="str">
        <f ca="1">VLOOKUP($L2,OFFSET([3]enemies!$A$1,0,0,COUNTA([3]enemies!$A:$A),MATCH(P$1,[3]enemies!$1:$1,0)-MATCH($L$1,[3]enemies!$1:$1,0)+1),MATCH(P$1,[3]enemies!$1:$1,0)-MATCH($L$1,[3]enemies!$1:$1,0)+1,FALSE)</f>
        <v>animal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80</v>
      </c>
      <c r="S2" s="25">
        <f>55000/47443</f>
        <v>1.1592858798979828</v>
      </c>
      <c r="T2" s="108">
        <f>47443*S2</f>
        <v>55000</v>
      </c>
      <c r="U2" s="25">
        <f>3500/3667</f>
        <v>0.95445868557403868</v>
      </c>
      <c r="V2" s="108">
        <f>3667*U2</f>
        <v>3500</v>
      </c>
      <c r="W2" s="5">
        <v>0</v>
      </c>
      <c r="X2" s="4" t="e">
        <f ca="1">VLOOKUP($Y2,OFFSET([5]enemy_skill_sets!$B$1,0,0,COUNTA([5]enemy_skill_sets!$B:$B),MATCH(M$1,[5]enemy_skill_sets!$1:$1,0)-MATCH($Y$1,[5]enemy_skill_sets!$1:$1,0)+2),MATCH(M$1,[5]enemy_skill_sets!$1:$1,0)-MATCH($Y$1,[5]enemy_skill_sets!$1:$1,0)+2,FALSE)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2" s="62">
        <v>48703001</v>
      </c>
      <c r="Z2" s="6">
        <v>1</v>
      </c>
      <c r="AA2" s="6">
        <v>100</v>
      </c>
      <c r="AB2" s="6">
        <v>0</v>
      </c>
      <c r="AC2" s="17">
        <f ca="1">VLOOKUP($L2,OFFSET([3]enemies!$A$1,0,0,COUNTA([3]enemies!$A:$A),MATCH(AC$1,[3]enemies!$1:$1,0)-MATCH($L$1,[3]enemies!$1:$1,0)+1),MATCH(AC$1,[3]enemies!$1:$1,0)-MATCH($L$1,[3]enemies!$1:$1,0)+1,FALSE)</f>
        <v>2</v>
      </c>
      <c r="AD2" s="24">
        <f t="shared" ref="AD2:AD7" si="3">L2</f>
        <v>63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トニー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2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Drop1N</v>
      </c>
      <c r="AH2" s="7">
        <v>1</v>
      </c>
      <c r="AI2" s="24">
        <f t="shared" ref="AI2:AI7" ca="1" si="4">AF2</f>
        <v>2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70">
        <v>1</v>
      </c>
    </row>
    <row r="3" spans="1:42" ht="21" customHeight="1" x14ac:dyDescent="0.15">
      <c r="A3" s="16" t="str">
        <f t="shared" ref="A3:A4" si="5">B3&amp;"_"&amp;C3&amp;"-"&amp;G3&amp;"/"&amp;L3&amp;"&lt;lv"&amp;R3&amp;"&gt;s"&amp;AC3</f>
        <v>48703_1-1/854&lt;lv80&gt;s1</v>
      </c>
      <c r="B3" s="22">
        <v>48703</v>
      </c>
      <c r="C3" s="21">
        <v>1</v>
      </c>
      <c r="D3" s="2" t="str">
        <f t="shared" ref="D3:D4" si="6">B3&amp;"_"&amp;C3</f>
        <v>48703_1</v>
      </c>
      <c r="E3" s="4" t="str">
        <f ca="1">VLOOKUP($B3,OFFSET([2]quests!$A$1,0,0,COUNTA([2]quests!$A:$A),MATCH(E$1,[2]quests!$1:$1,0)-MATCH($B$1,[2]quests!$1:$1,0)+1),MATCH(E$1,[2]quests!$1:$1,0)-MATCH($B$1,[2]quests!$1:$1,0)+1,FALSE)</f>
        <v>紅蓮襲来！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【ウィザード級】紅蓮襲来</v>
      </c>
      <c r="G3" s="21">
        <v>1</v>
      </c>
      <c r="H3" s="15" t="str">
        <f t="shared" ref="H3:H4" si="7">B3&amp;"_"&amp;C3&amp;"-"&amp;G3</f>
        <v>48703_1-1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53</v>
      </c>
      <c r="L3" s="20">
        <v>854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フラウロス</v>
      </c>
      <c r="N3" s="17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PremiumS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7">
        <f ca="1">VLOOKUP($L3,OFFSET([3]enemies!$A$1,0,0,COUNTA([3]enemies!$A:$A),MATCH(Q$1,[3]enemies!$1:$1,0)-MATCH($L$1,[3]enemies!$1:$1,0)+1),MATCH(Q$1,[3]enemies!$1:$1,0)-MATCH($L$1,[3]enemies!$1:$1,0)+1,FALSE)</f>
        <v>30</v>
      </c>
      <c r="R3" s="5">
        <v>80</v>
      </c>
      <c r="S3" s="25">
        <f>100000/103831</f>
        <v>0.96310350473365369</v>
      </c>
      <c r="T3" s="108">
        <f>103831*S3</f>
        <v>100000</v>
      </c>
      <c r="U3" s="25">
        <f>4000/12212</f>
        <v>0.32754667540124466</v>
      </c>
      <c r="V3" s="108">
        <f>12212*U3</f>
        <v>3999.9999999999995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99ターンマシンユニットにバインド</v>
      </c>
      <c r="Y3" s="62">
        <v>48703002</v>
      </c>
      <c r="Z3" s="6">
        <v>1</v>
      </c>
      <c r="AA3" s="6">
        <v>100</v>
      </c>
      <c r="AB3" s="6">
        <v>1</v>
      </c>
      <c r="AC3" s="17">
        <v>1</v>
      </c>
      <c r="AD3" s="24">
        <f t="shared" ref="AD3:AD4" si="8">L3</f>
        <v>854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フラウロス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4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3" s="7">
        <v>1</v>
      </c>
      <c r="AI3" s="24">
        <f t="shared" ref="AI3:AI4" ca="1" si="9">AF3</f>
        <v>4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70">
        <v>1</v>
      </c>
    </row>
    <row r="4" spans="1:42" ht="21" customHeight="1" x14ac:dyDescent="0.15">
      <c r="A4" s="16" t="str">
        <f t="shared" ca="1" si="5"/>
        <v>48703_1-1/63&lt;lv81&gt;s2</v>
      </c>
      <c r="B4" s="22">
        <v>48703</v>
      </c>
      <c r="C4" s="21">
        <v>1</v>
      </c>
      <c r="D4" s="2" t="str">
        <f t="shared" si="6"/>
        <v>48703_1</v>
      </c>
      <c r="E4" s="4" t="str">
        <f ca="1">VLOOKUP($B4,OFFSET([2]quests!$A$1,0,0,COUNTA([2]quests!$A:$A),MATCH(E$1,[2]quests!$1:$1,0)-MATCH($B$1,[2]quests!$1:$1,0)+1),MATCH(E$1,[2]quests!$1:$1,0)-MATCH($B$1,[2]quests!$1:$1,0)+1,FALSE)</f>
        <v>紅蓮襲来！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【ウィザード級】紅蓮襲来</v>
      </c>
      <c r="G4" s="21">
        <v>1</v>
      </c>
      <c r="H4" s="15" t="str">
        <f t="shared" si="7"/>
        <v>48703_1-1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53</v>
      </c>
      <c r="L4" s="20">
        <v>63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トニー</v>
      </c>
      <c r="N4" s="17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Drop1N</v>
      </c>
      <c r="P4" s="17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7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81</v>
      </c>
      <c r="S4" s="25">
        <f>55000/48025</f>
        <v>1.1452368558042687</v>
      </c>
      <c r="T4" s="108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16666.631962519521</v>
      </c>
      <c r="U4" s="25">
        <f>3500/3712</f>
        <v>0.94288793103448276</v>
      </c>
      <c r="V4" s="108">
        <f>3712*U4</f>
        <v>3500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３ターン攻撃アップ</v>
      </c>
      <c r="Y4" s="62">
        <v>48703001</v>
      </c>
      <c r="Z4" s="6">
        <v>1</v>
      </c>
      <c r="AA4" s="6">
        <v>100</v>
      </c>
      <c r="AB4" s="6">
        <v>0</v>
      </c>
      <c r="AC4" s="17">
        <f ca="1">VLOOKUP($L4,OFFSET([3]enemies!$A$1,0,0,COUNTA([3]enemies!$A:$A),MATCH(AC$1,[3]enemies!$1:$1,0)-MATCH($L$1,[3]enemies!$1:$1,0)+1),MATCH(AC$1,[3]enemies!$1:$1,0)-MATCH($L$1,[3]enemies!$1:$1,0)+1,FALSE)</f>
        <v>2</v>
      </c>
      <c r="AD4" s="24">
        <f t="shared" si="8"/>
        <v>63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トニー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2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Drop1N</v>
      </c>
      <c r="AH4" s="7">
        <v>1</v>
      </c>
      <c r="AI4" s="24">
        <f t="shared" ca="1" si="9"/>
        <v>2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70">
        <v>1</v>
      </c>
    </row>
    <row r="5" spans="1:42" ht="21" customHeight="1" x14ac:dyDescent="0.15">
      <c r="A5" s="16" t="str">
        <f t="shared" si="0"/>
        <v>48703_1-2/504&lt;lv80&gt;s1</v>
      </c>
      <c r="B5" s="22">
        <v>48703</v>
      </c>
      <c r="C5" s="21">
        <v>1</v>
      </c>
      <c r="D5" s="2" t="str">
        <f t="shared" si="1"/>
        <v>48703_1</v>
      </c>
      <c r="E5" s="4" t="str">
        <f ca="1">VLOOKUP($B5,OFFSET([2]quests!$A$1,0,0,COUNTA([2]quests!$A:$A),MATCH(E$1,[2]quests!$1:$1,0)-MATCH($B$1,[2]quests!$1:$1,0)+1),MATCH(E$1,[2]quests!$1:$1,0)-MATCH($B$1,[2]quests!$1:$1,0)+1,FALSE)</f>
        <v>紅蓮襲来！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【ウィザード級】紅蓮襲来</v>
      </c>
      <c r="G5" s="21">
        <v>2</v>
      </c>
      <c r="H5" s="15" t="str">
        <f t="shared" si="2"/>
        <v>48703_1-2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1</v>
      </c>
      <c r="L5" s="20">
        <v>504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ハイディン・オーガ</v>
      </c>
      <c r="N5" s="17" t="str">
        <f ca="1">VLOOKUP($L5,OFFSET([3]enemies!$A$1,0,0,COUNTA([3]enemies!$A:$A),MATCH(N$1,[3]enemies!$1:$1,0)-MATCH($L$1,[3]enemies!$1:$1,0)+1),MATCH(N$1,[3]enemies!$1:$1,0)-MATCH($L$1,[3]enemies!$1:$1,0)+1,FALSE)</f>
        <v>green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Drop2N</v>
      </c>
      <c r="P5" s="17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7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80</v>
      </c>
      <c r="S5" s="25">
        <f>250000/108069</f>
        <v>2.3133368496053448</v>
      </c>
      <c r="T5" s="108">
        <f>S5*108069</f>
        <v>250000</v>
      </c>
      <c r="U5" s="25">
        <f>4800/11849</f>
        <v>0.40509747658030215</v>
      </c>
      <c r="V5" s="108">
        <f>11849*U5</f>
        <v>4800</v>
      </c>
      <c r="W5" s="5">
        <v>0</v>
      </c>
      <c r="X5" s="4" t="e">
        <f ca="1">VLOOKUP($Y5,OFFSET([5]enemy_skill_sets!$B$1,0,0,COUNTA([5]enemy_skill_sets!$B:$B),MATCH(M$1,[5]enemy_skill_sets!$1:$1,0)-MATCH($Y$1,[5]enemy_skill_sets!$1:$1,0)+2),MATCH(M$1,[5]enemy_skill_sets!$1:$1,0)-MATCH($Y$1,[5]enemy_skill_sets!$1:$1,0)+2,FALSE)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5" s="62">
        <v>48703003</v>
      </c>
      <c r="Z5" s="6">
        <v>1</v>
      </c>
      <c r="AA5" s="6">
        <v>100</v>
      </c>
      <c r="AB5" s="6">
        <v>0</v>
      </c>
      <c r="AC5" s="17">
        <v>1</v>
      </c>
      <c r="AD5" s="24">
        <f t="shared" si="3"/>
        <v>504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ハイディン・オーガ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4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Drop2N</v>
      </c>
      <c r="AH5" s="7">
        <v>1</v>
      </c>
      <c r="AI5" s="24">
        <f t="shared" ca="1" si="4"/>
        <v>4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70">
        <v>1</v>
      </c>
    </row>
    <row r="6" spans="1:42" ht="21" customHeight="1" x14ac:dyDescent="0.15">
      <c r="A6" s="16" t="str">
        <f t="shared" si="0"/>
        <v>48703_1-3/176&lt;lv80&gt;s1</v>
      </c>
      <c r="B6" s="22">
        <v>48703</v>
      </c>
      <c r="C6" s="21">
        <v>1</v>
      </c>
      <c r="D6" s="2" t="str">
        <f t="shared" si="1"/>
        <v>48703_1</v>
      </c>
      <c r="E6" s="4" t="str">
        <f ca="1">VLOOKUP($B6,OFFSET([2]quests!$A$1,0,0,COUNTA([2]quests!$A:$A),MATCH(E$1,[2]quests!$1:$1,0)-MATCH($B$1,[2]quests!$1:$1,0)+1),MATCH(E$1,[2]quests!$1:$1,0)-MATCH($B$1,[2]quests!$1:$1,0)+1,FALSE)</f>
        <v>紅蓮襲来！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【ウィザード級】紅蓮襲来</v>
      </c>
      <c r="G6" s="21">
        <v>3</v>
      </c>
      <c r="H6" s="15" t="str">
        <f t="shared" si="2"/>
        <v>48703_1-3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2</v>
      </c>
      <c r="L6" s="20">
        <v>176</v>
      </c>
      <c r="M6" s="17" t="str">
        <f ca="1">VLOOKUP($L6,OFFSET([3]enemies!$A$1,0,0,COUNTA([3]enemies!$A:$A),MATCH(M$1,[3]enemies!$1:$1,0)-MATCH($L$1,[3]enemies!$1:$1,0)+1),MATCH(M$1,[3]enemies!$1:$1,0)-MATCH($L$1,[3]enemies!$1:$1,0)+1,FALSE)</f>
        <v>異教徒 バフォメット</v>
      </c>
      <c r="N6" s="17" t="str">
        <f ca="1">VLOOKUP($L6,OFFSET([3]enemies!$A$1,0,0,COUNTA([3]enemies!$A:$A),MATCH(N$1,[3]enemies!$1:$1,0)-MATCH($L$1,[3]enemies!$1:$1,0)+1),MATCH(N$1,[3]enemies!$1:$1,0)-MATCH($L$1,[3]enemies!$1:$1,0)+1,FALSE)</f>
        <v>yellow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PremiumN</v>
      </c>
      <c r="P6" s="17" t="str">
        <f ca="1">VLOOKUP($L6,OFFSET([3]enemies!$A$1,0,0,COUNTA([3]enemies!$A:$A),MATCH(P$1,[3]enemies!$1:$1,0)-MATCH($L$1,[3]enemies!$1:$1,0)+1),MATCH(P$1,[3]enemies!$1:$1,0)-MATCH($L$1,[3]enemies!$1:$1,0)+1,FALSE)</f>
        <v>god</v>
      </c>
      <c r="Q6" s="17">
        <f ca="1">VLOOKUP($L6,OFFSET([3]enemies!$A$1,0,0,COUNTA([3]enemies!$A:$A),MATCH(Q$1,[3]enemies!$1:$1,0)-MATCH($L$1,[3]enemies!$1:$1,0)+1),MATCH(Q$1,[3]enemies!$1:$1,0)-MATCH($L$1,[3]enemies!$1:$1,0)+1,FALSE)</f>
        <v>30</v>
      </c>
      <c r="R6" s="5">
        <v>80</v>
      </c>
      <c r="S6" s="25">
        <f>350000/99679</f>
        <v>3.5112711804893708</v>
      </c>
      <c r="T6" s="108">
        <f>S6*99679</f>
        <v>350000</v>
      </c>
      <c r="U6" s="25">
        <f>5200/8493</f>
        <v>0.61226892735193694</v>
      </c>
      <c r="V6" s="108">
        <f>8493*U6</f>
        <v>5200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状態異常+爆風軽減6ターン+マシンスキルバインド99</v>
      </c>
      <c r="Y6" s="62">
        <v>48703005</v>
      </c>
      <c r="Z6" s="6">
        <v>1</v>
      </c>
      <c r="AA6" s="6">
        <v>100</v>
      </c>
      <c r="AB6" s="6">
        <v>0</v>
      </c>
      <c r="AC6" s="17">
        <v>1</v>
      </c>
      <c r="AD6" s="24">
        <f t="shared" si="3"/>
        <v>176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異教徒 バフォメット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4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PremiumN</v>
      </c>
      <c r="AH6" s="7">
        <v>1</v>
      </c>
      <c r="AI6" s="24">
        <f t="shared" ca="1" si="4"/>
        <v>4</v>
      </c>
      <c r="AJ6" s="8">
        <v>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70">
        <v>1</v>
      </c>
    </row>
    <row r="7" spans="1:42" ht="21" customHeight="1" x14ac:dyDescent="0.15">
      <c r="A7" s="16" t="str">
        <f t="shared" si="0"/>
        <v>48703_1-4/7&lt;lv80&gt;s1</v>
      </c>
      <c r="B7" s="22">
        <v>48703</v>
      </c>
      <c r="C7" s="21">
        <v>1</v>
      </c>
      <c r="D7" s="2" t="str">
        <f t="shared" si="1"/>
        <v>48703_1</v>
      </c>
      <c r="E7" s="4" t="str">
        <f ca="1">VLOOKUP($B7,OFFSET([2]quests!$A$1,0,0,COUNTA([2]quests!$A:$A),MATCH(E$1,[2]quests!$1:$1,0)-MATCH($B$1,[2]quests!$1:$1,0)+1),MATCH(E$1,[2]quests!$1:$1,0)-MATCH($B$1,[2]quests!$1:$1,0)+1,FALSE)</f>
        <v>紅蓮襲来！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【ウィザード級】紅蓮襲来</v>
      </c>
      <c r="G7" s="21">
        <v>4</v>
      </c>
      <c r="H7" s="15" t="str">
        <f t="shared" si="2"/>
        <v>48703_1-4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>
        <v>3</v>
      </c>
      <c r="L7" s="20">
        <v>7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エレキポット</v>
      </c>
      <c r="N7" s="17" t="str">
        <f ca="1">VLOOKUP($L7,OFFSET([3]enemies!$A$1,0,0,COUNTA([3]enemies!$A:$A),MATCH(N$1,[3]enemies!$1:$1,0)-MATCH($L$1,[3]enemies!$1:$1,0)+1),MATCH(N$1,[3]enemies!$1:$1,0)-MATCH($L$1,[3]enemies!$1:$1,0)+1,FALSE)</f>
        <v>yellow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Drop1T</v>
      </c>
      <c r="P7" s="17" t="str">
        <f ca="1">VLOOKUP($L7,OFFSET([3]enemies!$A$1,0,0,COUNTA([3]enemies!$A:$A),MATCH(P$1,[3]enemies!$1:$1,0)-MATCH($L$1,[3]enemies!$1:$1,0)+1),MATCH(P$1,[3]enemies!$1:$1,0)-MATCH($L$1,[3]enemies!$1:$1,0)+1,FALSE)</f>
        <v>unknown</v>
      </c>
      <c r="Q7" s="17">
        <f ca="1">VLOOKUP($L7,OFFSET([3]enemies!$A$1,0,0,COUNTA([3]enemies!$A:$A),MATCH(Q$1,[3]enemies!$1:$1,0)-MATCH($L$1,[3]enemies!$1:$1,0)+1),MATCH(Q$1,[3]enemies!$1:$1,0)-MATCH($L$1,[3]enemies!$1:$1,0)+1,FALSE)</f>
        <v>15</v>
      </c>
      <c r="R7" s="5">
        <v>80</v>
      </c>
      <c r="S7" s="25">
        <f>550000/16300</f>
        <v>33.742331288343557</v>
      </c>
      <c r="T7" s="108">
        <f>S7*16300</f>
        <v>550000</v>
      </c>
      <c r="U7" s="25">
        <f>7800/3649</f>
        <v>2.1375719375171278</v>
      </c>
      <c r="V7" s="108">
        <f>3649*U7</f>
        <v>7799.9999999999991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状態異常耐性+永久ウイルス+マシンスキルバインド99</v>
      </c>
      <c r="Y7" s="62">
        <v>48703007</v>
      </c>
      <c r="Z7" s="6">
        <v>1</v>
      </c>
      <c r="AA7" s="6">
        <v>100</v>
      </c>
      <c r="AB7" s="6">
        <v>0</v>
      </c>
      <c r="AC7" s="17">
        <v>1</v>
      </c>
      <c r="AD7" s="24">
        <f t="shared" si="3"/>
        <v>7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エレキポット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1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Drop1T</v>
      </c>
      <c r="AH7" s="7">
        <v>1</v>
      </c>
      <c r="AI7" s="24">
        <f t="shared" ca="1" si="4"/>
        <v>1</v>
      </c>
      <c r="AJ7" s="8">
        <v>100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70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5"/>
  <sheetViews>
    <sheetView showGridLines="0" tabSelected="1" workbookViewId="0">
      <pane xSplit="18" ySplit="1" topLeftCell="T2" activePane="bottomRight" state="frozen"/>
      <selection activeCell="E25" sqref="E25"/>
      <selection pane="topRight" activeCell="E25" sqref="E25"/>
      <selection pane="bottomLeft" activeCell="E25" sqref="E25"/>
      <selection pane="bottomRight" activeCell="T6" sqref="T6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7" t="s">
        <v>261</v>
      </c>
      <c r="V1" s="26" t="s">
        <v>50</v>
      </c>
      <c r="W1" s="107" t="s">
        <v>262</v>
      </c>
      <c r="X1" s="26" t="s">
        <v>52</v>
      </c>
      <c r="Y1" s="28" t="s">
        <v>129</v>
      </c>
      <c r="Z1" s="29" t="s">
        <v>128</v>
      </c>
      <c r="AA1" s="28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48703_1-2/505&lt;lv81&gt;sq1st2</v>
      </c>
      <c r="B2" s="22">
        <v>48703</v>
      </c>
      <c r="C2" s="21">
        <v>1</v>
      </c>
      <c r="D2" s="2" t="str">
        <f>B2&amp;"_"&amp;C2</f>
        <v>48703_1</v>
      </c>
      <c r="E2" s="4" t="str">
        <f ca="1">VLOOKUP($B2,OFFSET([2]quests!$A$1,0,0,COUNTA([2]quests!$A:$A),MATCH(E$1,[2]quests!$1:$1,0)-MATCH($B$1,[2]quests!$1:$1,0)+1),MATCH(E$1,[2]quests!$1:$1,0)-MATCH($B$1,[2]quests!$1:$1,0)+1,FALSE)</f>
        <v>紅蓮襲来！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【ウィザード級】紅蓮襲来</v>
      </c>
      <c r="G2" s="21">
        <v>2</v>
      </c>
      <c r="H2" s="15" t="str">
        <f>B2&amp;"_"&amp;C2&amp;"-"&amp;G2</f>
        <v>48703_1-2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505</v>
      </c>
      <c r="N2" s="17" t="str">
        <f ca="1">VLOOKUP($M2,OFFSET([3]enemies!$A$1,0,0,COUNTA([3]enemies!$A:$A),MATCH(N$1,[3]enemies!$1:$1,0)-MATCH($M$1,[3]enemies!$1:$1,0)+1),MATCH(N$1,[3]enemies!$1:$1,0)-MATCH($M$1,[3]enemies!$1:$1,0)+1,FALSE)</f>
        <v>暴虐の漏洩 ハイディン・オーガ</v>
      </c>
      <c r="O2" s="17" t="str">
        <f ca="1">VLOOKUP($M2,OFFSET([3]enemies!$A$1,0,0,COUNTA([3]enemies!$A:$A),MATCH(O$1,[3]enemies!$1:$1,0)-MATCH($M$1,[3]enemies!$1:$1,0)+1),MATCH(O$1,[3]enemies!$1:$1,0)-MATCH($M$1,[3]enemies!$1:$1,0)+1,FALSE)</f>
        <v>green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Drop2N</v>
      </c>
      <c r="Q2" s="17" t="str">
        <f ca="1">VLOOKUP($M2,OFFSET([3]enemies!$A$1,0,0,COUNTA([3]enemies!$A:$A),MATCH(Q$1,[3]enemies!$1:$1,0)-MATCH($M$1,[3]enemies!$1:$1,0)+1),MATCH(Q$1,[3]enemies!$1:$1,0)-MATCH($M$1,[3]enemies!$1:$1,0)+1,FALSE)</f>
        <v>animal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81</v>
      </c>
      <c r="T2" s="25">
        <f>400000/143055</f>
        <v>2.7961273636014119</v>
      </c>
      <c r="U2" s="108">
        <f>143055*T2</f>
        <v>400000</v>
      </c>
      <c r="V2" s="25">
        <f>5300/12917</f>
        <v>0.41031199194859486</v>
      </c>
      <c r="W2" s="108">
        <f>12917*V2</f>
        <v>5300</v>
      </c>
      <c r="X2" s="5">
        <v>0</v>
      </c>
      <c r="Y2" s="4" t="e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2" s="4">
        <v>48703004</v>
      </c>
      <c r="AA2" s="71">
        <v>1</v>
      </c>
    </row>
    <row r="3" spans="1:27" ht="21" customHeight="1" x14ac:dyDescent="0.15">
      <c r="A3" s="16" t="str">
        <f>B3&amp;"_"&amp;C3&amp;"-"&amp;G3&amp;"/"&amp;M3&amp;"&lt;lv"&amp;S3&amp;"&gt;sq"&amp;K3&amp;"st"&amp;L3</f>
        <v>48703_1-3/177&lt;lv81&gt;sq2st2</v>
      </c>
      <c r="B3" s="22">
        <v>48703</v>
      </c>
      <c r="C3" s="21">
        <v>1</v>
      </c>
      <c r="D3" s="2" t="str">
        <f>B3&amp;"_"&amp;C3</f>
        <v>48703_1</v>
      </c>
      <c r="E3" s="4" t="str">
        <f ca="1">VLOOKUP($B3,OFFSET([2]quests!$A$1,0,0,COUNTA([2]quests!$A:$A),MATCH(E$1,[2]quests!$1:$1,0)-MATCH($B$1,[2]quests!$1:$1,0)+1),MATCH(E$1,[2]quests!$1:$1,0)-MATCH($B$1,[2]quests!$1:$1,0)+1,FALSE)</f>
        <v>紅蓮襲来！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【ウィザード級】紅蓮襲来</v>
      </c>
      <c r="G3" s="21">
        <v>3</v>
      </c>
      <c r="H3" s="15" t="str">
        <f>B3&amp;"_"&amp;C3&amp;"-"&amp;G3</f>
        <v>48703_1-3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38">
        <v>2</v>
      </c>
      <c r="M3" s="20">
        <v>177</v>
      </c>
      <c r="N3" s="17" t="str">
        <f ca="1">VLOOKUP($M3,OFFSET([3]enemies!$A$1,0,0,COUNTA([3]enemies!$A:$A),MATCH(N$1,[3]enemies!$1:$1,0)-MATCH($M$1,[3]enemies!$1:$1,0)+1),MATCH(N$1,[3]enemies!$1:$1,0)-MATCH($M$1,[3]enemies!$1:$1,0)+1,FALSE)</f>
        <v>黒魔の異端師 バフォメット</v>
      </c>
      <c r="O3" s="17" t="str">
        <f ca="1">VLOOKUP($M3,OFFSET([3]enemies!$A$1,0,0,COUNTA([3]enemies!$A:$A),MATCH(O$1,[3]enemies!$1:$1,0)-MATCH($M$1,[3]enemies!$1:$1,0)+1),MATCH(O$1,[3]enemies!$1:$1,0)-MATCH($M$1,[3]enemies!$1:$1,0)+1,FALSE)</f>
        <v>yellow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PremiumN</v>
      </c>
      <c r="Q3" s="17" t="str">
        <f ca="1">VLOOKUP($M3,OFFSET([3]enemies!$A$1,0,0,COUNTA([3]enemies!$A:$A),MATCH(Q$1,[3]enemies!$1:$1,0)-MATCH($M$1,[3]enemies!$1:$1,0)+1),MATCH(Q$1,[3]enemies!$1:$1,0)-MATCH($M$1,[3]enemies!$1:$1,0)+1,FALSE)</f>
        <v>god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81</v>
      </c>
      <c r="T3" s="25">
        <f>500000/131948</f>
        <v>3.7893715706187288</v>
      </c>
      <c r="U3" s="108">
        <f>131948*T3</f>
        <v>500000</v>
      </c>
      <c r="V3" s="25">
        <f>5700/9258</f>
        <v>0.61568373298768631</v>
      </c>
      <c r="W3" s="108">
        <f>9258*V3</f>
        <v>5700</v>
      </c>
      <c r="X3" s="5">
        <v>0</v>
      </c>
      <c r="Y3" s="4" t="e">
        <f ca="1">VLOOKUP($Z3,OFFSET([5]enemy_skill_sets!$B$1,0,0,COUNTA([5]enemy_skill_sets!$B:$B),MATCH(N$1,[5]enemy_skill_sets!$1:$1,0)-MATCH($Z$1,[5]enemy_skill_sets!$1:$1,0)+2),MATCH(N$1,[5]enemy_skill_sets!$1:$1,0)-MATCH($Z$1,[5]enemy_skill_sets!$1:$1,0)+2,FALSE)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3" s="4">
        <v>48703006</v>
      </c>
      <c r="AA3" s="71">
        <v>1</v>
      </c>
    </row>
    <row r="4" spans="1:27" ht="21" customHeight="1" x14ac:dyDescent="0.15">
      <c r="A4" s="16" t="str">
        <f>B4&amp;"_"&amp;C4&amp;"-"&amp;G4&amp;"/"&amp;M4&amp;"&lt;lv"&amp;S4&amp;"&gt;sq"&amp;K4&amp;"st"&amp;L4</f>
        <v>48703_1-4/7&lt;lv81&gt;sq3st2</v>
      </c>
      <c r="B4" s="22">
        <v>48703</v>
      </c>
      <c r="C4" s="21">
        <v>1</v>
      </c>
      <c r="D4" s="2" t="str">
        <f>B4&amp;"_"&amp;C4</f>
        <v>48703_1</v>
      </c>
      <c r="E4" s="4" t="str">
        <f ca="1">VLOOKUP($B4,OFFSET([2]quests!$A$1,0,0,COUNTA([2]quests!$A:$A),MATCH(E$1,[2]quests!$1:$1,0)-MATCH($B$1,[2]quests!$1:$1,0)+1),MATCH(E$1,[2]quests!$1:$1,0)-MATCH($B$1,[2]quests!$1:$1,0)+1,FALSE)</f>
        <v>紅蓮襲来！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【ウィザード級】紅蓮襲来</v>
      </c>
      <c r="G4" s="21">
        <v>4</v>
      </c>
      <c r="H4" s="15" t="str">
        <f>B4&amp;"_"&amp;C4&amp;"-"&amp;G4</f>
        <v>48703_1-4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3</v>
      </c>
      <c r="L4" s="38">
        <v>2</v>
      </c>
      <c r="M4" s="20">
        <v>7</v>
      </c>
      <c r="N4" s="17" t="str">
        <f ca="1">VLOOKUP($M4,OFFSET([3]enemies!$A$1,0,0,COUNTA([3]enemies!$A:$A),MATCH(N$1,[3]enemies!$1:$1,0)-MATCH($M$1,[3]enemies!$1:$1,0)+1),MATCH(N$1,[3]enemies!$1:$1,0)-MATCH($M$1,[3]enemies!$1:$1,0)+1,FALSE)</f>
        <v>エレキポット</v>
      </c>
      <c r="O4" s="17" t="str">
        <f ca="1">VLOOKUP($M4,OFFSET([3]enemies!$A$1,0,0,COUNTA([3]enemies!$A:$A),MATCH(O$1,[3]enemies!$1:$1,0)-MATCH($M$1,[3]enemies!$1:$1,0)+1),MATCH(O$1,[3]enemies!$1:$1,0)-MATCH($M$1,[3]enemies!$1:$1,0)+1,FALSE)</f>
        <v>yellow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Drop1T</v>
      </c>
      <c r="Q4" s="17" t="str">
        <f ca="1">VLOOKUP($M4,OFFSET([3]enemies!$A$1,0,0,COUNTA([3]enemies!$A:$A),MATCH(Q$1,[3]enemies!$1:$1,0)-MATCH($M$1,[3]enemies!$1:$1,0)+1),MATCH(Q$1,[3]enemies!$1:$1,0)-MATCH($M$1,[3]enemies!$1:$1,0)+1,FALSE)</f>
        <v>unknown</v>
      </c>
      <c r="R4" s="17">
        <f ca="1">VLOOKUP($M4,OFFSET([3]enemies!$A$1,0,0,COUNTA([3]enemies!$A:$A),MATCH(R$1,[3]enemies!$1:$1,0)-MATCH($M$1,[3]enemies!$1:$1,0)+1),MATCH(R$1,[3]enemies!$1:$1,0)-MATCH($M$1,[3]enemies!$1:$1,0)+1,FALSE)</f>
        <v>15</v>
      </c>
      <c r="S4" s="5">
        <v>81</v>
      </c>
      <c r="T4" s="25">
        <f>700000/16500</f>
        <v>42.424242424242422</v>
      </c>
      <c r="U4" s="108">
        <f>16500*T4</f>
        <v>700000</v>
      </c>
      <c r="V4" s="25">
        <f>8700/3694</f>
        <v>2.3551705468327016</v>
      </c>
      <c r="W4" s="108">
        <f>3694*V4</f>
        <v>8700</v>
      </c>
      <c r="X4" s="5">
        <v>0</v>
      </c>
      <c r="Y4" s="4" t="e">
        <f ca="1">VLOOKUP($Z4,OFFSET([5]enemy_skill_sets!$B$1,0,0,COUNTA([5]enemy_skill_sets!$B:$B),MATCH(N$1,[5]enemy_skill_sets!$1:$1,0)-MATCH($Z$1,[5]enemy_skill_sets!$1:$1,0)+2),MATCH(N$1,[5]enemy_skill_sets!$1:$1,0)-MATCH($Z$1,[5]enemy_skill_sets!$1:$1,0)+2,FALSE)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4" s="4">
        <v>48703008</v>
      </c>
      <c r="AA4" s="71">
        <v>1</v>
      </c>
    </row>
    <row r="5" spans="1:27" ht="21" customHeight="1" x14ac:dyDescent="0.15">
      <c r="A5" s="16" t="str">
        <f>B5&amp;"_"&amp;C5&amp;"-"&amp;G5&amp;"/"&amp;M5&amp;"&lt;lv"&amp;S5&amp;"&gt;sq"&amp;K5&amp;"st"&amp;L5</f>
        <v>48703_1-4/7&lt;lv81&gt;sq3st3</v>
      </c>
      <c r="B5" s="22">
        <v>48703</v>
      </c>
      <c r="C5" s="21">
        <v>1</v>
      </c>
      <c r="D5" s="2" t="str">
        <f>B5&amp;"_"&amp;C5</f>
        <v>48703_1</v>
      </c>
      <c r="E5" s="4" t="str">
        <f ca="1">VLOOKUP($B5,OFFSET([2]quests!$A$1,0,0,COUNTA([2]quests!$A:$A),MATCH(E$1,[2]quests!$1:$1,0)-MATCH($B$1,[2]quests!$1:$1,0)+1),MATCH(E$1,[2]quests!$1:$1,0)-MATCH($B$1,[2]quests!$1:$1,0)+1,FALSE)</f>
        <v>紅蓮襲来！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【ウィザード級】紅蓮襲来</v>
      </c>
      <c r="G5" s="21">
        <v>4</v>
      </c>
      <c r="H5" s="15" t="str">
        <f>B5&amp;"_"&amp;C5&amp;"-"&amp;G5</f>
        <v>48703_1-4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3</v>
      </c>
      <c r="L5" s="38">
        <v>3</v>
      </c>
      <c r="M5" s="20">
        <v>7</v>
      </c>
      <c r="N5" s="17" t="str">
        <f ca="1">VLOOKUP($M5,OFFSET([3]enemies!$A$1,0,0,COUNTA([3]enemies!$A:$A),MATCH(N$1,[3]enemies!$1:$1,0)-MATCH($M$1,[3]enemies!$1:$1,0)+1),MATCH(N$1,[3]enemies!$1:$1,0)-MATCH($M$1,[3]enemies!$1:$1,0)+1,FALSE)</f>
        <v>エレキポット</v>
      </c>
      <c r="O5" s="17" t="str">
        <f ca="1">VLOOKUP($M5,OFFSET([3]enemies!$A$1,0,0,COUNTA([3]enemies!$A:$A),MATCH(O$1,[3]enemies!$1:$1,0)-MATCH($M$1,[3]enemies!$1:$1,0)+1),MATCH(O$1,[3]enemies!$1:$1,0)-MATCH($M$1,[3]enemies!$1:$1,0)+1,FALSE)</f>
        <v>yellow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Drop1T</v>
      </c>
      <c r="Q5" s="17" t="str">
        <f ca="1">VLOOKUP($M5,OFFSET([3]enemies!$A$1,0,0,COUNTA([3]enemies!$A:$A),MATCH(Q$1,[3]enemies!$1:$1,0)-MATCH($M$1,[3]enemies!$1:$1,0)+1),MATCH(Q$1,[3]enemies!$1:$1,0)-MATCH($M$1,[3]enemies!$1:$1,0)+1,FALSE)</f>
        <v>unknown</v>
      </c>
      <c r="R5" s="17">
        <f ca="1">VLOOKUP($M5,OFFSET([3]enemies!$A$1,0,0,COUNTA([3]enemies!$A:$A),MATCH(R$1,[3]enemies!$1:$1,0)-MATCH($M$1,[3]enemies!$1:$1,0)+1),MATCH(R$1,[3]enemies!$1:$1,0)-MATCH($M$1,[3]enemies!$1:$1,0)+1,FALSE)</f>
        <v>15</v>
      </c>
      <c r="S5" s="5">
        <v>81</v>
      </c>
      <c r="T5" s="25">
        <f>820000/16500</f>
        <v>49.696969696969695</v>
      </c>
      <c r="U5" s="108">
        <f>16500*T5</f>
        <v>820000</v>
      </c>
      <c r="V5" s="25">
        <f>9700/3694</f>
        <v>2.6258798050893342</v>
      </c>
      <c r="W5" s="108">
        <f>3694*V5</f>
        <v>9700</v>
      </c>
      <c r="X5" s="5">
        <v>0</v>
      </c>
      <c r="Y5" s="4" t="e">
        <f ca="1">VLOOKUP($Z5,OFFSET([5]enemy_skill_sets!$B$1,0,0,COUNTA([5]enemy_skill_sets!$B:$B),MATCH(N$1,[5]enemy_skill_sets!$1:$1,0)-MATCH($Z$1,[5]enemy_skill_sets!$1:$1,0)+2),MATCH(N$1,[5]enemy_skill_sets!$1:$1,0)-MATCH($Z$1,[5]enemy_skill_sets!$1:$1,0)+2,FALSE)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5" s="4">
        <v>48703009</v>
      </c>
      <c r="AA5" s="71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69"/>
  <sheetViews>
    <sheetView showGridLines="0" workbookViewId="0">
      <pane xSplit="5" ySplit="1" topLeftCell="H53" activePane="bottomRight" state="frozen"/>
      <selection pane="topRight"/>
      <selection pane="bottomLeft"/>
      <selection pane="bottomRight" activeCell="E63" sqref="E63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48703001_48703001</v>
      </c>
      <c r="B2" s="47">
        <v>48703001</v>
      </c>
      <c r="C2" s="134">
        <v>48703001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トニー、スキル1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３ターン攻撃アップ</v>
      </c>
      <c r="F2" s="134">
        <v>48703001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8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8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4" si="1">B3&amp;"_"&amp;C3</f>
        <v>48703001_48703002</v>
      </c>
      <c r="B3" s="47">
        <v>48703001</v>
      </c>
      <c r="C3" s="134">
        <v>48703002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トニー、スキル2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3" s="134">
        <v>48703002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8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1"/>
        <v>48703002_48703003</v>
      </c>
      <c r="B4" s="47">
        <v>48703002</v>
      </c>
      <c r="C4" s="141">
        <v>48703003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フラウロス、スキル１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99ターンマシンユニットにバインド</v>
      </c>
      <c r="F4" s="141">
        <v>48703003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" s="48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ref="A5:A8" si="2">B5&amp;"_"&amp;C5</f>
        <v>48703002_48703004</v>
      </c>
      <c r="B5" s="47">
        <v>48703002</v>
      </c>
      <c r="C5" s="141">
        <v>48703004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フラウロス、スキル２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全体攻撃</v>
      </c>
      <c r="F5" s="141">
        <v>48703004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8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 x14ac:dyDescent="0.15">
      <c r="A6" s="39" t="str">
        <f t="shared" si="2"/>
        <v>48703002_48703005</v>
      </c>
      <c r="B6" s="47">
        <v>48703002</v>
      </c>
      <c r="C6" s="141">
        <v>48703005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フラウロス、スキル３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属性パネルをダメージパネルに4個変換</v>
      </c>
      <c r="F6" s="141">
        <v>48703005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8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 x14ac:dyDescent="0.15">
      <c r="A7" s="39" t="str">
        <f t="shared" si="2"/>
        <v>48703002_48703006</v>
      </c>
      <c r="B7" s="47">
        <v>48703002</v>
      </c>
      <c r="C7" s="141">
        <v>48703006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フラウロス、スキル４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攻撃力UP</v>
      </c>
      <c r="F7" s="141">
        <v>48703006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63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 x14ac:dyDescent="0.15">
      <c r="A8" s="39" t="str">
        <f t="shared" si="2"/>
        <v>48703002_48703007</v>
      </c>
      <c r="B8" s="47">
        <v>48703002</v>
      </c>
      <c r="C8" s="141">
        <v>48703007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フラウロス、スキル５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攻撃力UP</v>
      </c>
      <c r="F8" s="141">
        <v>48703007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63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ref="A9:A16" si="3">B9&amp;"_"&amp;C9</f>
        <v>48703002_48703008</v>
      </c>
      <c r="B9" s="47">
        <v>48703002</v>
      </c>
      <c r="C9" s="141">
        <v>48703008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フラウロス、スキル６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死亡エスケープ</v>
      </c>
      <c r="F9" s="141">
        <v>48703008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 x14ac:dyDescent="0.15">
      <c r="A10" s="39" t="str">
        <f t="shared" si="3"/>
        <v>48703003_48703101</v>
      </c>
      <c r="B10" s="47">
        <v>48703003</v>
      </c>
      <c r="C10" s="134">
        <v>48703101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ハイディンオーガ、スキル１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状態異常耐性+6ターンウイルス</v>
      </c>
      <c r="F10" s="134">
        <v>48703101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48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3"/>
        <v>48703003_48703102</v>
      </c>
      <c r="B11" s="47">
        <v>48703003</v>
      </c>
      <c r="C11" s="134">
        <v>48703102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ハイディンオーガ、スキル２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5ターン全ユニットに攻撃力40%DOWN+攻撃</v>
      </c>
      <c r="F11" s="134">
        <v>48703102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8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si="3"/>
        <v>48703003_48703103</v>
      </c>
      <c r="B12" s="47">
        <v>48703003</v>
      </c>
      <c r="C12" s="134">
        <v>48703103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ハイディンオーガ、スキル３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12" s="134">
        <v>48703103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8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3"/>
        <v>48703003_48703104</v>
      </c>
      <c r="B13" s="47">
        <v>48703003</v>
      </c>
      <c r="C13" s="134">
        <v>48703104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ハイディンオーガ、スキル４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3ターンCパネル生成延長効果特大</v>
      </c>
      <c r="F13" s="134">
        <v>48703104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8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3"/>
        <v>48703003_48703105</v>
      </c>
      <c r="B14" s="47">
        <v>48703003</v>
      </c>
      <c r="C14" s="134">
        <v>48703105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ハイディンオーガ、スキル５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クリティカル_x000D_【3ターン後】強力な攻撃_x000D_</v>
      </c>
      <c r="F14" s="134">
        <v>48703105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8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3"/>
        <v>48703003_48703106</v>
      </c>
      <c r="B15" s="47">
        <v>48703003</v>
      </c>
      <c r="C15" s="134">
        <v>48703106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ハイディンオーガ、スキル６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敵単体に大ダメージ</v>
      </c>
      <c r="F15" s="134">
        <v>48703106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8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3"/>
        <v>48703004_48703201</v>
      </c>
      <c r="B16" s="47">
        <v>48703004</v>
      </c>
      <c r="C16" s="141">
        <v>48703201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ハイディンオーガ2、スキル１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状態以上耐性+5ターンウイルス</v>
      </c>
      <c r="F16" s="141">
        <v>48703201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48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ref="A17:A30" si="4">B17&amp;"_"&amp;C17</f>
        <v>48703004_48703202</v>
      </c>
      <c r="B17" s="47">
        <v>48703004</v>
      </c>
      <c r="C17" s="141">
        <v>48703202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ハイディンオーガ2、スキル２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3ターン攻撃アップ+ダメージパネル２個</v>
      </c>
      <c r="F17" s="141">
        <v>48703202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8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 x14ac:dyDescent="0.15">
      <c r="A18" s="39" t="str">
        <f t="shared" si="4"/>
        <v>48703004_48703203</v>
      </c>
      <c r="B18" s="47">
        <v>48703004</v>
      </c>
      <c r="C18" s="141">
        <v>48703203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ハイディンオーガ2、スキル３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18" s="141">
        <v>48703203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8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 x14ac:dyDescent="0.15">
      <c r="A19" s="39" t="str">
        <f t="shared" si="4"/>
        <v>48703004_48703204</v>
      </c>
      <c r="B19" s="47">
        <v>48703004</v>
      </c>
      <c r="C19" s="141">
        <v>48703204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ハイディンオーガ2、スキル４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5ターン攻撃ダウン</v>
      </c>
      <c r="F19" s="141">
        <v>48703204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8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si="4"/>
        <v>48703004_48703205</v>
      </c>
      <c r="B20" s="47">
        <v>48703004</v>
      </c>
      <c r="C20" s="141">
        <v>48703205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ハイディンオーガ2、スキル５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0" s="141">
        <v>48703205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8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4"/>
        <v>48703004_48703206</v>
      </c>
      <c r="B21" s="47">
        <v>48703004</v>
      </c>
      <c r="C21" s="141">
        <v>48703206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ハイディンオーガ2、スキル６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どんどん強くなる攻撃</v>
      </c>
      <c r="F21" s="141">
        <v>48703206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4"/>
        <v>48703004_48703207</v>
      </c>
      <c r="B22" s="47">
        <v>48703004</v>
      </c>
      <c r="C22" s="141">
        <v>48703207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ハイディンオーガ2、スキル７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どんどん強くなる攻撃_x000D_次のターン強力な攻撃</v>
      </c>
      <c r="F22" s="141">
        <v>48703207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210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8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4"/>
        <v>48703004_48703208</v>
      </c>
      <c r="B23" s="47">
        <v>48703004</v>
      </c>
      <c r="C23" s="141">
        <v>48703208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ハイディンオーガ2、スキル８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敵単体に大ダメージ</v>
      </c>
      <c r="F23" s="141">
        <v>48703210</v>
      </c>
      <c r="G23" s="48" t="e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#N/A</v>
      </c>
      <c r="H23" s="48" t="e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#N/A</v>
      </c>
      <c r="I23" s="48" t="e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#N/A</v>
      </c>
      <c r="J23" s="48" t="e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#N/A</v>
      </c>
      <c r="K23" s="48" t="e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#N/A</v>
      </c>
      <c r="L23" s="48" t="e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#N/A</v>
      </c>
      <c r="M23" s="48" t="e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#N/A</v>
      </c>
      <c r="N23" s="48" t="e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#N/A</v>
      </c>
      <c r="O23" s="48" t="e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#N/A</v>
      </c>
      <c r="P23" s="47"/>
      <c r="Q23" s="47"/>
      <c r="R23" s="47"/>
    </row>
    <row r="24" spans="1:18" ht="21" customHeight="1" x14ac:dyDescent="0.15">
      <c r="A24" s="39" t="str">
        <f t="shared" si="4"/>
        <v>48703005_48703301</v>
      </c>
      <c r="B24" s="47">
        <v>48703005</v>
      </c>
      <c r="C24" s="134">
        <v>48703301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バフォメット1、スキル１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状態異常+爆風軽減6ターン+マシンスキルバインド99</v>
      </c>
      <c r="F24" s="134">
        <v>48703301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" s="48" t="str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4"/>
        <v>48703005_48703302</v>
      </c>
      <c r="B25" s="47">
        <v>48703005</v>
      </c>
      <c r="C25" s="134">
        <v>48703302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バフォメット1、スキル２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回復タイプに強力なウイルス２ターン+攻撃</v>
      </c>
      <c r="F25" s="134">
        <v>48703302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8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4"/>
        <v>48703005_48703303</v>
      </c>
      <c r="B26" s="47">
        <v>48703005</v>
      </c>
      <c r="C26" s="134">
        <v>48703303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バフォメット1、スキル３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攻撃ダウン5ターン+黄色パネルを赤パネルに変換</v>
      </c>
      <c r="F26" s="134">
        <v>48703303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 t="str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" s="48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si="4"/>
        <v>48703005_48703304</v>
      </c>
      <c r="B27" s="47">
        <v>48703005</v>
      </c>
      <c r="C27" s="134">
        <v>48703304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バフォメット1、スキル４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連続攻撃</v>
      </c>
      <c r="F27" s="134">
        <v>48703304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8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si="4"/>
        <v>48703005_48703305</v>
      </c>
      <c r="B28" s="47">
        <v>48703005</v>
      </c>
      <c r="C28" s="134">
        <v>48703305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バフォメット1、スキル５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緑パネル吸収攻撃</v>
      </c>
      <c r="F28" s="134">
        <v>48703305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8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si="4"/>
        <v>48703006_48703401</v>
      </c>
      <c r="B29" s="47">
        <v>48703006</v>
      </c>
      <c r="C29" s="141">
        <v>48703401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バフォメット2、スキル１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状態異常耐性+爆風軽減6</v>
      </c>
      <c r="F29" s="141">
        <v>48703401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9" s="48" t="str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4"/>
        <v>48703006_48703402</v>
      </c>
      <c r="B30" s="47">
        <v>48703006</v>
      </c>
      <c r="C30" s="141">
        <v>48703402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バフォメット2、スキル２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回復タイプに強力なウイルス2ターン+攻撃</v>
      </c>
      <c r="F30" s="141">
        <v>48703402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48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ref="A31:A63" si="5">B31&amp;"_"&amp;C31</f>
        <v>48703006_48703403</v>
      </c>
      <c r="B31" s="47">
        <v>48703006</v>
      </c>
      <c r="C31" s="141">
        <v>48703403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バフォメット2、スキル３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ダメージパネル8個</v>
      </c>
      <c r="F31" s="141">
        <v>48703403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si="5"/>
        <v>48703006_48703404</v>
      </c>
      <c r="B32" s="47">
        <v>48703006</v>
      </c>
      <c r="C32" s="141">
        <v>48703404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バフォメット2、スキル４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ハートパネルを青パネルに変換</v>
      </c>
      <c r="F32" s="141">
        <v>48703404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48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si="5"/>
        <v>48703006_48703405</v>
      </c>
      <c r="B33" s="47">
        <v>48703006</v>
      </c>
      <c r="C33" s="141">
        <v>48703405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バフォメット2、スキル５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ダメージパネルを吸収して攻撃</v>
      </c>
      <c r="F33" s="141">
        <v>48703405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8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si="5"/>
        <v>48703006_48703406</v>
      </c>
      <c r="B34" s="47">
        <v>48703006</v>
      </c>
      <c r="C34" s="141">
        <v>48703406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バフォメット2、スキル６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青パネル吸収して攻撃</v>
      </c>
      <c r="F34" s="141">
        <v>48703406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 t="str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4" s="48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si="5"/>
        <v>48703006_48703407</v>
      </c>
      <c r="B35" s="47">
        <v>48703006</v>
      </c>
      <c r="C35" s="141">
        <v>48703407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バフォメット2、スキル７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死亡エスケープ</v>
      </c>
      <c r="F35" s="141">
        <v>48703407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 t="str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5" s="48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8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si="5"/>
        <v>48703007_48703501</v>
      </c>
      <c r="B36" s="47">
        <v>48703007</v>
      </c>
      <c r="C36" s="134">
        <v>48703501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紅蓮1、スキル1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状態異常耐性+永久ウイルス+マシンスキルバインド99</v>
      </c>
      <c r="F36" s="134">
        <v>48703501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" s="48" t="str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8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8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1" customHeight="1" x14ac:dyDescent="0.15">
      <c r="A37" s="39" t="str">
        <f t="shared" si="5"/>
        <v>48703007_48703502</v>
      </c>
      <c r="B37" s="47">
        <v>48703007</v>
      </c>
      <c r="C37" s="134">
        <v>48703502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紅蓮1、スキル1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状態異常耐性+永久ウイルス+マシンスキルバインド99</v>
      </c>
      <c r="F37" s="134">
        <v>48703502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8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8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9003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21" customHeight="1" x14ac:dyDescent="0.15">
      <c r="A38" s="39" t="str">
        <f t="shared" si="5"/>
        <v>48703007_48703503</v>
      </c>
      <c r="B38" s="47">
        <v>48703007</v>
      </c>
      <c r="C38" s="134">
        <v>48703503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紅蓮1、スキル1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状態異常耐性+永久ウイルス+マシンスキルバインド99</v>
      </c>
      <c r="F38" s="134">
        <v>48703503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101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8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8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9004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 x14ac:dyDescent="0.15">
      <c r="A39" s="39" t="str">
        <f t="shared" si="5"/>
        <v>48703007_48703504</v>
      </c>
      <c r="B39" s="47">
        <v>48703007</v>
      </c>
      <c r="C39" s="134">
        <v>48703504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紅蓮1、スキル1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状態異常耐性+永久ウイルス+マシンスキルバインド99</v>
      </c>
      <c r="F39" s="134">
        <v>48703504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102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8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8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9009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21" customHeight="1" x14ac:dyDescent="0.15">
      <c r="A40" s="39" t="str">
        <f t="shared" si="5"/>
        <v>48703007_48703505</v>
      </c>
      <c r="B40" s="47">
        <v>48703007</v>
      </c>
      <c r="C40" s="134">
        <v>48703505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紅蓮1、スキル1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状態異常耐性+永久ウイルス+マシンスキルバインド99</v>
      </c>
      <c r="F40" s="134">
        <v>48703505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103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8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8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8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9010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7"/>
      <c r="Q40" s="47"/>
      <c r="R40" s="47"/>
    </row>
    <row r="41" spans="1:18" ht="21" customHeight="1" x14ac:dyDescent="0.15">
      <c r="A41" s="39" t="str">
        <f t="shared" si="5"/>
        <v>48703007_48703506</v>
      </c>
      <c r="B41" s="47">
        <v>48703007</v>
      </c>
      <c r="C41" s="134">
        <v>48703506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紅蓮1、スキル2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12000固定ダメージ</v>
      </c>
      <c r="F41" s="134">
        <v>48703506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8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8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1" s="48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/>
    </row>
    <row r="42" spans="1:18" ht="21" customHeight="1" x14ac:dyDescent="0.15">
      <c r="A42" s="39" t="str">
        <f t="shared" si="5"/>
        <v>48703007_48703507</v>
      </c>
      <c r="B42" s="47">
        <v>48703007</v>
      </c>
      <c r="C42" s="134">
        <v>48703507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紅蓮1、スキル4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3回連続攻撃+攻撃ダウン3ターン</v>
      </c>
      <c r="F42" s="134">
        <v>48703508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8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 t="str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2" s="48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42" s="48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7"/>
      <c r="Q42" s="47"/>
      <c r="R42" s="47"/>
    </row>
    <row r="43" spans="1:18" ht="21" customHeight="1" x14ac:dyDescent="0.15">
      <c r="A43" s="39" t="str">
        <f t="shared" si="5"/>
        <v>48703007_48703508</v>
      </c>
      <c r="B43" s="47">
        <v>48703007</v>
      </c>
      <c r="C43" s="134">
        <v>48703508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紅蓮1、スキル5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攻撃アップ+回復力ダウン3ターン</v>
      </c>
      <c r="F43" s="134">
        <v>48703509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8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 t="str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3" s="48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43" s="48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7"/>
      <c r="Q43" s="47"/>
      <c r="R43" s="47"/>
    </row>
    <row r="44" spans="1:18" ht="21" customHeight="1" x14ac:dyDescent="0.15">
      <c r="A44" s="39" t="str">
        <f t="shared" si="5"/>
        <v>48703007_48703509</v>
      </c>
      <c r="B44" s="47">
        <v>48703007</v>
      </c>
      <c r="C44" s="134">
        <v>48703509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紅蓮1、スキル6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クリティカル</v>
      </c>
      <c r="F44" s="134">
        <v>48703510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8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4" s="48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  <row r="45" spans="1:18" ht="21" customHeight="1" x14ac:dyDescent="0.15">
      <c r="A45" s="39" t="str">
        <f t="shared" si="5"/>
        <v>48703007_48703510</v>
      </c>
      <c r="B45" s="47">
        <v>48703007</v>
      </c>
      <c r="C45" s="135">
        <v>48703510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紅蓮1、スキル7　hp50以下で発動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攻撃ダウン+単体攻撃</v>
      </c>
      <c r="F45" s="135">
        <v>48703711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8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5" s="48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8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9004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7"/>
      <c r="Q45" s="47"/>
      <c r="R45" s="47"/>
    </row>
    <row r="46" spans="1:18" ht="21" customHeight="1" x14ac:dyDescent="0.15">
      <c r="A46" s="39" t="str">
        <f t="shared" si="5"/>
        <v>48703007_48703511</v>
      </c>
      <c r="B46" s="47">
        <v>48703007</v>
      </c>
      <c r="C46" s="135">
        <v>48703511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紅蓮1、スキル7　hp50以下で発動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クリティカル_x000D_次のターン強力な攻撃</v>
      </c>
      <c r="F46" s="135">
        <v>48703712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8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6" s="48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8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9009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7"/>
      <c r="Q46" s="47"/>
      <c r="R46" s="47"/>
    </row>
    <row r="47" spans="1:18" ht="21" customHeight="1" x14ac:dyDescent="0.15">
      <c r="A47" s="39" t="str">
        <f t="shared" si="5"/>
        <v>48703007_48703512</v>
      </c>
      <c r="B47" s="47">
        <v>48703007</v>
      </c>
      <c r="C47" s="135">
        <v>48703512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紅蓮1、スキル7　hp50以下で発動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敵単体に大ダメージ</v>
      </c>
      <c r="F47" s="135">
        <v>48703713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8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8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7" s="48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8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9010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7"/>
      <c r="Q47" s="47"/>
      <c r="R47" s="47"/>
    </row>
    <row r="48" spans="1:18" ht="21" customHeight="1" x14ac:dyDescent="0.15">
      <c r="A48" s="39" t="str">
        <f t="shared" si="5"/>
        <v>48703008_48703601</v>
      </c>
      <c r="B48" s="47">
        <v>48703008</v>
      </c>
      <c r="C48" s="141">
        <v>48703601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紅蓮2、スキル1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状態異常+永久ウイルス+爆破軽減6ターン</v>
      </c>
      <c r="F48" s="141">
        <v>48703601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8" s="48" t="str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8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 t="str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8" s="48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8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7"/>
      <c r="Q48" s="47"/>
      <c r="R48" s="47"/>
    </row>
    <row r="49" spans="1:18" ht="21" customHeight="1" x14ac:dyDescent="0.15">
      <c r="A49" s="39" t="str">
        <f t="shared" si="5"/>
        <v>48703008_48703602</v>
      </c>
      <c r="B49" s="47">
        <v>48703008</v>
      </c>
      <c r="C49" s="141">
        <v>48703602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紅蓮2、スキル2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3回連続攻撃+Cパネル生成延長</v>
      </c>
      <c r="F49" s="141">
        <v>48703602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8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8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 t="str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9" s="48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9" s="48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  <c r="R49" s="47"/>
    </row>
    <row r="50" spans="1:18" ht="21" customHeight="1" x14ac:dyDescent="0.15">
      <c r="A50" s="39" t="str">
        <f t="shared" si="5"/>
        <v>48703008_48703603</v>
      </c>
      <c r="B50" s="47">
        <v>48703008</v>
      </c>
      <c r="C50" s="141">
        <v>48703603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紅蓮2、スキル3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青パネル吸収攻撃</v>
      </c>
      <c r="F50" s="141">
        <v>48703603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8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8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8" t="str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0" s="48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0" s="48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7"/>
      <c r="Q50" s="47"/>
      <c r="R50" s="47"/>
    </row>
    <row r="51" spans="1:18" ht="21" customHeight="1" x14ac:dyDescent="0.15">
      <c r="A51" s="39" t="str">
        <f t="shared" si="5"/>
        <v>48703008_48703604</v>
      </c>
      <c r="B51" s="47">
        <v>48703008</v>
      </c>
      <c r="C51" s="141">
        <v>48703604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紅蓮2、スキル4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ダメージパネル８個</v>
      </c>
      <c r="F51" s="141">
        <v>48703604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8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8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8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8" t="str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1" s="48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1" s="48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7"/>
      <c r="Q51" s="47"/>
      <c r="R51" s="47"/>
    </row>
    <row r="52" spans="1:18" ht="21" customHeight="1" x14ac:dyDescent="0.15">
      <c r="A52" s="39" t="str">
        <f t="shared" si="5"/>
        <v>48703008_48703605</v>
      </c>
      <c r="B52" s="47">
        <v>48703008</v>
      </c>
      <c r="C52" s="141">
        <v>48703605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紅蓮2、スキル5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攻撃、回復ダウン5ターン</v>
      </c>
      <c r="F52" s="141">
        <v>48703605</v>
      </c>
      <c r="G52" s="48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8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52" s="48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8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8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8" t="str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2" s="48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52" s="48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7"/>
      <c r="Q52" s="47"/>
      <c r="R52" s="47"/>
    </row>
    <row r="53" spans="1:18" ht="21" customHeight="1" x14ac:dyDescent="0.15">
      <c r="A53" s="39" t="str">
        <f t="shared" si="5"/>
        <v>48703008_48703606</v>
      </c>
      <c r="B53" s="47">
        <v>48703008</v>
      </c>
      <c r="C53" s="141">
        <v>48703606</v>
      </c>
      <c r="D53" s="4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紅蓮2、スキル6</v>
      </c>
      <c r="E53" s="46" t="str">
        <f ca="1">VLOOKUP($C53,OFFSET(enemy_skills!$A$1,0,0,COUNTA(enemy_skills!$A:$A),MATCH(E$1,enemy_skills!$1:$1,0)-MATCH("enemy_skill_id",enemy_skills!$1:$1,0)+1),MATCH(E$1,enemy_skills!$1:$1,0)-MATCH("enemy_skill_id",enemy_skills!$1:$1,0)+1,FALSE)</f>
        <v>ダメージパネル吸収攻撃</v>
      </c>
      <c r="F53" s="141">
        <v>48703606</v>
      </c>
      <c r="G53" s="48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8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53" s="48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8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8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8" t="str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3" s="48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53" s="48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8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7"/>
      <c r="Q53" s="47"/>
      <c r="R53" s="47"/>
    </row>
    <row r="54" spans="1:18" ht="21" customHeight="1" x14ac:dyDescent="0.15">
      <c r="A54" s="39" t="str">
        <f t="shared" si="5"/>
        <v>48703008_48703607</v>
      </c>
      <c r="B54" s="47">
        <v>48703008</v>
      </c>
      <c r="C54" s="141">
        <v>48703607</v>
      </c>
      <c r="D54" s="46" t="str">
        <f ca="1">VLOOKUP($C54,OFFSET(enemy_skills!$A$1,0,0,COUNTA(enemy_skills!$A:$A),MATCH(D$1,enemy_skills!$1:$1,0)-MATCH("enemy_skill_id",enemy_skills!$1:$1,0)+1),MATCH(D$1,enemy_skills!$1:$1,0)-MATCH("enemy_skill_id",enemy_skills!$1:$1,0)+1,FALSE)</f>
        <v>紅蓮2、スキル7</v>
      </c>
      <c r="E54" s="46" t="str">
        <f ca="1">VLOOKUP($C54,OFFSET(enemy_skills!$A$1,0,0,COUNTA(enemy_skills!$A:$A),MATCH(E$1,enemy_skills!$1:$1,0)-MATCH("enemy_skill_id",enemy_skills!$1:$1,0)+1),MATCH(E$1,enemy_skills!$1:$1,0)-MATCH("enemy_skill_id",enemy_skills!$1:$1,0)+1,FALSE)</f>
        <v>どんどん強くなる攻撃</v>
      </c>
      <c r="F54" s="141">
        <v>48703607</v>
      </c>
      <c r="G54" s="48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8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54" s="48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8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8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8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" s="48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54" s="48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48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7"/>
      <c r="Q54" s="47"/>
      <c r="R54" s="47"/>
    </row>
    <row r="55" spans="1:18" ht="21" customHeight="1" x14ac:dyDescent="0.15">
      <c r="A55" s="39" t="str">
        <f t="shared" si="5"/>
        <v>48703008_48703608</v>
      </c>
      <c r="B55" s="47">
        <v>48703008</v>
      </c>
      <c r="C55" s="141">
        <v>48703608</v>
      </c>
      <c r="D55" s="46" t="str">
        <f ca="1">VLOOKUP($C55,OFFSET(enemy_skills!$A$1,0,0,COUNTA(enemy_skills!$A:$A),MATCH(D$1,enemy_skills!$1:$1,0)-MATCH("enemy_skill_id",enemy_skills!$1:$1,0)+1),MATCH(D$1,enemy_skills!$1:$1,0)-MATCH("enemy_skill_id",enemy_skills!$1:$1,0)+1,FALSE)</f>
        <v>紅蓮2、スキル8</v>
      </c>
      <c r="E55" s="46" t="str">
        <f ca="1">VLOOKUP($C55,OFFSET(enemy_skills!$A$1,0,0,COUNTA(enemy_skills!$A:$A),MATCH(E$1,enemy_skills!$1:$1,0)-MATCH("enemy_skill_id",enemy_skills!$1:$1,0)+1),MATCH(E$1,enemy_skills!$1:$1,0)-MATCH("enemy_skill_id",enemy_skills!$1:$1,0)+1,FALSE)</f>
        <v>どんどん強くなる攻撃_x000D_次のターン強力な攻撃</v>
      </c>
      <c r="F55" s="141">
        <v>48703608</v>
      </c>
      <c r="G55" s="48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48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210</v>
      </c>
      <c r="I55" s="48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8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8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8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48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55" s="48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48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7"/>
      <c r="Q55" s="47"/>
      <c r="R55" s="47"/>
    </row>
    <row r="56" spans="1:18" ht="21" customHeight="1" x14ac:dyDescent="0.15">
      <c r="A56" s="39" t="str">
        <f t="shared" si="5"/>
        <v>48703008_48703609</v>
      </c>
      <c r="B56" s="47">
        <v>48703008</v>
      </c>
      <c r="C56" s="141">
        <v>48703609</v>
      </c>
      <c r="D56" s="46" t="str">
        <f ca="1">VLOOKUP($C56,OFFSET(enemy_skills!$A$1,0,0,COUNTA(enemy_skills!$A:$A),MATCH(D$1,enemy_skills!$1:$1,0)-MATCH("enemy_skill_id",enemy_skills!$1:$1,0)+1),MATCH(D$1,enemy_skills!$1:$1,0)-MATCH("enemy_skill_id",enemy_skills!$1:$1,0)+1,FALSE)</f>
        <v>紅蓮2、スキル9</v>
      </c>
      <c r="E56" s="46" t="str">
        <f ca="1">VLOOKUP($C56,OFFSET(enemy_skills!$A$1,0,0,COUNTA(enemy_skills!$A:$A),MATCH(E$1,enemy_skills!$1:$1,0)-MATCH("enemy_skill_id",enemy_skills!$1:$1,0)+1),MATCH(E$1,enemy_skills!$1:$1,0)-MATCH("enemy_skill_id",enemy_skills!$1:$1,0)+1,FALSE)</f>
        <v>敵単体に大ダメージ</v>
      </c>
      <c r="F56" s="141">
        <v>48703609</v>
      </c>
      <c r="G56" s="48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8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220</v>
      </c>
      <c r="I56" s="48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8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8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8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48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8</v>
      </c>
      <c r="N56" s="48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48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7"/>
      <c r="Q56" s="47"/>
      <c r="R56" s="47"/>
    </row>
    <row r="57" spans="1:18" ht="21" customHeight="1" x14ac:dyDescent="0.15">
      <c r="A57" s="39" t="str">
        <f t="shared" si="5"/>
        <v>48703009_48703701</v>
      </c>
      <c r="B57" s="47">
        <v>48703009</v>
      </c>
      <c r="C57" s="134">
        <v>48703701</v>
      </c>
      <c r="D57" s="46" t="str">
        <f ca="1">VLOOKUP($C57,OFFSET(enemy_skills!$A$1,0,0,COUNTA(enemy_skills!$A:$A),MATCH(D$1,enemy_skills!$1:$1,0)-MATCH("enemy_skill_id",enemy_skills!$1:$1,0)+1),MATCH(D$1,enemy_skills!$1:$1,0)-MATCH("enemy_skill_id",enemy_skills!$1:$1,0)+1,FALSE)</f>
        <v>紅蓮3、スキル1</v>
      </c>
      <c r="E57" s="46" t="str">
        <f ca="1">VLOOKUP($C57,OFFSET(enemy_skills!$A$1,0,0,COUNTA(enemy_skills!$A:$A),MATCH(E$1,enemy_skills!$1:$1,0)-MATCH("enemy_skill_id",enemy_skills!$1:$1,0)+1),MATCH(E$1,enemy_skills!$1:$1,0)-MATCH("enemy_skill_id",enemy_skills!$1:$1,0)+1,FALSE)</f>
        <v>状態異常耐性+永久ウイルス+爆破軽減6+回復力ダウン6ターン</v>
      </c>
      <c r="F57" s="134">
        <v>48703701</v>
      </c>
      <c r="G57" s="48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7" s="48" t="str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7" s="48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8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8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8" t="str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7" s="48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48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48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7"/>
      <c r="Q57" s="47"/>
      <c r="R57" s="47"/>
    </row>
    <row r="58" spans="1:18" ht="21" customHeight="1" x14ac:dyDescent="0.15">
      <c r="A58" s="39" t="str">
        <f t="shared" si="5"/>
        <v>48703009_48703702</v>
      </c>
      <c r="B58" s="47">
        <v>48703009</v>
      </c>
      <c r="C58" s="134">
        <v>48703702</v>
      </c>
      <c r="D58" s="46" t="str">
        <f ca="1">VLOOKUP($C58,OFFSET(enemy_skills!$A$1,0,0,COUNTA(enemy_skills!$A:$A),MATCH(D$1,enemy_skills!$1:$1,0)-MATCH("enemy_skill_id",enemy_skills!$1:$1,0)+1),MATCH(D$1,enemy_skills!$1:$1,0)-MATCH("enemy_skill_id",enemy_skills!$1:$1,0)+1,FALSE)</f>
        <v>紅蓮3、スキル2</v>
      </c>
      <c r="E58" s="46" t="str">
        <f ca="1">VLOOKUP($C58,OFFSET(enemy_skills!$A$1,0,0,COUNTA(enemy_skills!$A:$A),MATCH(E$1,enemy_skills!$1:$1,0)-MATCH("enemy_skill_id",enemy_skills!$1:$1,0)+1),MATCH(E$1,enemy_skills!$1:$1,0)-MATCH("enemy_skill_id",enemy_skills!$1:$1,0)+1,FALSE)</f>
        <v>攻撃アップ3+ダメージパネル６個変換</v>
      </c>
      <c r="F58" s="134">
        <v>48703702</v>
      </c>
      <c r="G58" s="48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8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8" s="48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8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8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8" t="str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8" s="48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8" s="48" t="str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8" s="48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7"/>
      <c r="Q58" s="47"/>
      <c r="R58" s="47"/>
    </row>
    <row r="59" spans="1:18" ht="21" customHeight="1" x14ac:dyDescent="0.15">
      <c r="A59" s="39" t="str">
        <f t="shared" si="5"/>
        <v>48703009_48703703</v>
      </c>
      <c r="B59" s="47">
        <v>48703009</v>
      </c>
      <c r="C59" s="134">
        <v>48703703</v>
      </c>
      <c r="D59" s="46" t="str">
        <f ca="1">VLOOKUP($C59,OFFSET(enemy_skills!$A$1,0,0,COUNTA(enemy_skills!$A:$A),MATCH(D$1,enemy_skills!$1:$1,0)-MATCH("enemy_skill_id",enemy_skills!$1:$1,0)+1),MATCH(D$1,enemy_skills!$1:$1,0)-MATCH("enemy_skill_id",enemy_skills!$1:$1,0)+1,FALSE)</f>
        <v>紅蓮3、スキル3</v>
      </c>
      <c r="E59" s="46" t="str">
        <f ca="1">VLOOKUP($C59,OFFSET(enemy_skills!$A$1,0,0,COUNTA(enemy_skills!$A:$A),MATCH(E$1,enemy_skills!$1:$1,0)-MATCH("enemy_skill_id",enemy_skills!$1:$1,0)+1),MATCH(E$1,enemy_skills!$1:$1,0)-MATCH("enemy_skill_id",enemy_skills!$1:$1,0)+1,FALSE)</f>
        <v>回復タイプに特大なウイルスキラー</v>
      </c>
      <c r="F59" s="134">
        <v>48703703</v>
      </c>
      <c r="G59" s="48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48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59" s="48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8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8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8" t="str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9" s="48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9" s="48" t="str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9" s="48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7"/>
      <c r="Q59" s="47"/>
      <c r="R59" s="47"/>
    </row>
    <row r="60" spans="1:18" ht="21" customHeight="1" x14ac:dyDescent="0.15">
      <c r="A60" s="39" t="str">
        <f t="shared" si="5"/>
        <v>48703009_48703704</v>
      </c>
      <c r="B60" s="47">
        <v>48703009</v>
      </c>
      <c r="C60" s="134">
        <v>48703704</v>
      </c>
      <c r="D60" s="46" t="str">
        <f ca="1">VLOOKUP($C60,OFFSET(enemy_skills!$A$1,0,0,COUNTA(enemy_skills!$A:$A),MATCH(D$1,enemy_skills!$1:$1,0)-MATCH("enemy_skill_id",enemy_skills!$1:$1,0)+1),MATCH(D$1,enemy_skills!$1:$1,0)-MATCH("enemy_skill_id",enemy_skills!$1:$1,0)+1,FALSE)</f>
        <v>紅蓮3、スキル4</v>
      </c>
      <c r="E60" s="46" t="str">
        <f ca="1">VLOOKUP($C60,OFFSET(enemy_skills!$A$1,0,0,COUNTA(enemy_skills!$A:$A),MATCH(E$1,enemy_skills!$1:$1,0)-MATCH("enemy_skill_id",enemy_skills!$1:$1,0)+1),MATCH(E$1,enemy_skills!$1:$1,0)-MATCH("enemy_skill_id",enemy_skills!$1:$1,0)+1,FALSE)</f>
        <v>攻撃・回復ダウン5ターン</v>
      </c>
      <c r="F60" s="134">
        <v>48703704</v>
      </c>
      <c r="G60" s="48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48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60" s="48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8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8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8" t="str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0" s="48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60" s="48" t="str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0" s="48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7"/>
      <c r="Q60" s="47"/>
      <c r="R60" s="47"/>
    </row>
    <row r="61" spans="1:18" ht="21" customHeight="1" x14ac:dyDescent="0.15">
      <c r="A61" s="39" t="str">
        <f t="shared" si="5"/>
        <v>48703009_48703705</v>
      </c>
      <c r="B61" s="47">
        <v>48703009</v>
      </c>
      <c r="C61" s="134">
        <v>48703705</v>
      </c>
      <c r="D61" s="46" t="str">
        <f ca="1">VLOOKUP($C61,OFFSET(enemy_skills!$A$1,0,0,COUNTA(enemy_skills!$A:$A),MATCH(D$1,enemy_skills!$1:$1,0)-MATCH("enemy_skill_id",enemy_skills!$1:$1,0)+1),MATCH(D$1,enemy_skills!$1:$1,0)-MATCH("enemy_skill_id",enemy_skills!$1:$1,0)+1,FALSE)</f>
        <v>紅蓮3、スキル5</v>
      </c>
      <c r="E61" s="46" t="str">
        <f ca="1">VLOOKUP($C61,OFFSET(enemy_skills!$A$1,0,0,COUNTA(enemy_skills!$A:$A),MATCH(E$1,enemy_skills!$1:$1,0)-MATCH("enemy_skill_id",enemy_skills!$1:$1,0)+1),MATCH(E$1,enemy_skills!$1:$1,0)-MATCH("enemy_skill_id",enemy_skills!$1:$1,0)+1,FALSE)</f>
        <v>どんどん強くなる攻撃</v>
      </c>
      <c r="F61" s="134">
        <v>48703705</v>
      </c>
      <c r="G61" s="48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48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61" s="48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8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8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8" t="str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1" s="48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61" s="48" t="str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1" s="48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7"/>
      <c r="Q61" s="47"/>
      <c r="R61" s="47"/>
    </row>
    <row r="62" spans="1:18" ht="21" customHeight="1" x14ac:dyDescent="0.15">
      <c r="A62" s="39" t="str">
        <f t="shared" ref="A62" si="6">B62&amp;"_"&amp;C62</f>
        <v>48703009_48703706</v>
      </c>
      <c r="B62" s="47">
        <v>48703009</v>
      </c>
      <c r="C62" s="134">
        <v>48703706</v>
      </c>
      <c r="D62" s="46" t="str">
        <f ca="1">VLOOKUP($C62,OFFSET(enemy_skills!$A$1,0,0,COUNTA(enemy_skills!$A:$A),MATCH(D$1,enemy_skills!$1:$1,0)-MATCH("enemy_skill_id",enemy_skills!$1:$1,0)+1),MATCH(D$1,enemy_skills!$1:$1,0)-MATCH("enemy_skill_id",enemy_skills!$1:$1,0)+1,FALSE)</f>
        <v>紅蓮3、スキル6</v>
      </c>
      <c r="E62" s="46" t="str">
        <f ca="1">VLOOKUP($C62,OFFSET(enemy_skills!$A$1,0,0,COUNTA(enemy_skills!$A:$A),MATCH(E$1,enemy_skills!$1:$1,0)-MATCH("enemy_skill_id",enemy_skills!$1:$1,0)+1),MATCH(E$1,enemy_skills!$1:$1,0)-MATCH("enemy_skill_id",enemy_skills!$1:$1,0)+1,FALSE)</f>
        <v>どんどん強くなる攻撃</v>
      </c>
      <c r="F62" s="134">
        <v>48703706</v>
      </c>
      <c r="G62" s="48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" s="48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62" s="48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8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48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8" t="str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2" s="48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62" s="48" t="str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2" s="48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7"/>
      <c r="Q62" s="47"/>
      <c r="R62" s="47"/>
    </row>
    <row r="63" spans="1:18" ht="21" customHeight="1" x14ac:dyDescent="0.15">
      <c r="A63" s="39" t="str">
        <f t="shared" si="5"/>
        <v>48703009_48703707</v>
      </c>
      <c r="B63" s="47">
        <v>48703009</v>
      </c>
      <c r="C63" s="135">
        <v>48703707</v>
      </c>
      <c r="D63" s="46" t="str">
        <f ca="1">VLOOKUP($C63,OFFSET(enemy_skills!$A$1,0,0,COUNTA(enemy_skills!$A:$A),MATCH(D$1,enemy_skills!$1:$1,0)-MATCH("enemy_skill_id",enemy_skills!$1:$1,0)+1),MATCH(D$1,enemy_skills!$1:$1,0)-MATCH("enemy_skill_id",enemy_skills!$1:$1,0)+1,FALSE)</f>
        <v>紅蓮3、スキル6</v>
      </c>
      <c r="E63" s="46" t="str">
        <f ca="1">VLOOKUP($C63,OFFSET(enemy_skills!$A$1,0,0,COUNTA(enemy_skills!$A:$A),MATCH(E$1,enemy_skills!$1:$1,0)-MATCH("enemy_skill_id",enemy_skills!$1:$1,0)+1),MATCH(E$1,enemy_skills!$1:$1,0)-MATCH("enemy_skill_id",enemy_skills!$1:$1,0)+1,FALSE)</f>
        <v>どんどん強くなる攻撃_x000D_次のターン強力な攻撃</v>
      </c>
      <c r="F63" s="135">
        <v>48703707</v>
      </c>
      <c r="G63" s="48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3" s="48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160</v>
      </c>
      <c r="I63" s="48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8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48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8" t="str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3" s="48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63" s="48" t="str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3" s="48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7"/>
      <c r="Q63" s="47"/>
      <c r="R63" s="47"/>
    </row>
    <row r="64" spans="1:18" ht="21" customHeight="1" x14ac:dyDescent="0.15">
      <c r="A64" s="39" t="str">
        <f t="shared" ref="A64:A69" si="7">B64&amp;"_"&amp;C64</f>
        <v>48703009_48703708</v>
      </c>
      <c r="B64" s="47">
        <v>48703009</v>
      </c>
      <c r="C64" s="135">
        <v>48703708</v>
      </c>
      <c r="D64" s="46" t="str">
        <f ca="1">VLOOKUP($C64,OFFSET(enemy_skills!$A$1,0,0,COUNTA(enemy_skills!$A:$A),MATCH(D$1,enemy_skills!$1:$1,0)-MATCH("enemy_skill_id",enemy_skills!$1:$1,0)+1),MATCH(D$1,enemy_skills!$1:$1,0)-MATCH("enemy_skill_id",enemy_skills!$1:$1,0)+1,FALSE)</f>
        <v>紅蓮3、スキル7</v>
      </c>
      <c r="E64" s="46" t="str">
        <f ca="1">VLOOKUP($C64,OFFSET(enemy_skills!$A$1,0,0,COUNTA(enemy_skills!$A:$A),MATCH(E$1,enemy_skills!$1:$1,0)-MATCH("enemy_skill_id",enemy_skills!$1:$1,0)+1),MATCH(E$1,enemy_skills!$1:$1,0)-MATCH("enemy_skill_id",enemy_skills!$1:$1,0)+1,FALSE)</f>
        <v>敵単体に大ダメージ</v>
      </c>
      <c r="F64" s="135">
        <v>48703708</v>
      </c>
      <c r="G64" s="48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4" s="48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190</v>
      </c>
      <c r="I64" s="48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8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8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8" t="str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4" s="48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64" s="48" t="str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4" s="48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7"/>
      <c r="Q64" s="47"/>
      <c r="R64" s="47"/>
    </row>
    <row r="65" spans="1:18" ht="21" customHeight="1" x14ac:dyDescent="0.15">
      <c r="A65" s="39" t="str">
        <f t="shared" si="7"/>
        <v>48703009_48703709</v>
      </c>
      <c r="B65" s="47">
        <v>48703009</v>
      </c>
      <c r="C65" s="135">
        <v>48703709</v>
      </c>
      <c r="D65" s="46" t="str">
        <f ca="1">VLOOKUP($C65,OFFSET(enemy_skills!$A$1,0,0,COUNTA(enemy_skills!$A:$A),MATCH(D$1,enemy_skills!$1:$1,0)-MATCH("enemy_skill_id",enemy_skills!$1:$1,0)+1),MATCH(D$1,enemy_skills!$1:$1,0)-MATCH("enemy_skill_id",enemy_skills!$1:$1,0)+1,FALSE)</f>
        <v>紅蓮3、スキル8</v>
      </c>
      <c r="E65" s="46" t="str">
        <f ca="1">VLOOKUP($C65,OFFSET(enemy_skills!$A$1,0,0,COUNTA(enemy_skills!$A:$A),MATCH(E$1,enemy_skills!$1:$1,0)-MATCH("enemy_skill_id",enemy_skills!$1:$1,0)+1),MATCH(E$1,enemy_skills!$1:$1,0)-MATCH("enemy_skill_id",enemy_skills!$1:$1,0)+1,FALSE)</f>
        <v>死亡</v>
      </c>
      <c r="F65" s="135">
        <v>48703709</v>
      </c>
      <c r="G65" s="48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5" s="48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65" s="48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8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48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8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5" s="48" t="str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" s="48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65" s="48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7"/>
      <c r="Q65" s="47"/>
      <c r="R65" s="47"/>
    </row>
    <row r="66" spans="1:18" ht="21" customHeight="1" x14ac:dyDescent="0.15">
      <c r="A66" s="39" t="str">
        <f t="shared" si="7"/>
        <v>48703009_48703710</v>
      </c>
      <c r="B66" s="47">
        <v>48703009</v>
      </c>
      <c r="C66" s="135">
        <v>48703710</v>
      </c>
      <c r="D66" s="46" t="str">
        <f ca="1">VLOOKUP($C66,OFFSET(enemy_skills!$A$1,0,0,COUNTA(enemy_skills!$A:$A),MATCH(D$1,enemy_skills!$1:$1,0)-MATCH("enemy_skill_id",enemy_skills!$1:$1,0)+1),MATCH(D$1,enemy_skills!$1:$1,0)-MATCH("enemy_skill_id",enemy_skills!$1:$1,0)+1,FALSE)</f>
        <v>紅蓮3、スキル8</v>
      </c>
      <c r="E66" s="46" t="str">
        <f ca="1">VLOOKUP($C66,OFFSET(enemy_skills!$A$1,0,0,COUNTA(enemy_skills!$A:$A),MATCH(E$1,enemy_skills!$1:$1,0)-MATCH("enemy_skill_id",enemy_skills!$1:$1,0)+1),MATCH(E$1,enemy_skills!$1:$1,0)-MATCH("enemy_skill_id",enemy_skills!$1:$1,0)+1,FALSE)</f>
        <v>死亡</v>
      </c>
      <c r="F66" s="135">
        <v>48703710</v>
      </c>
      <c r="G66" s="48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6" s="48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66" s="48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8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48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8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6" s="48" t="str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" s="48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9003</v>
      </c>
      <c r="O66" s="48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7"/>
      <c r="Q66" s="47"/>
      <c r="R66" s="47"/>
    </row>
    <row r="67" spans="1:18" ht="21" customHeight="1" x14ac:dyDescent="0.15">
      <c r="A67" s="39" t="str">
        <f t="shared" si="7"/>
        <v>48703009_48703711</v>
      </c>
      <c r="B67" s="47">
        <v>48703009</v>
      </c>
      <c r="C67" s="135">
        <v>48703711</v>
      </c>
      <c r="D67" s="46" t="str">
        <f ca="1">VLOOKUP($C67,OFFSET(enemy_skills!$A$1,0,0,COUNTA(enemy_skills!$A:$A),MATCH(D$1,enemy_skills!$1:$1,0)-MATCH("enemy_skill_id",enemy_skills!$1:$1,0)+1),MATCH(D$1,enemy_skills!$1:$1,0)-MATCH("enemy_skill_id",enemy_skills!$1:$1,0)+1,FALSE)</f>
        <v>紅蓮3、スキル8</v>
      </c>
      <c r="E67" s="46" t="str">
        <f ca="1">VLOOKUP($C67,OFFSET(enemy_skills!$A$1,0,0,COUNTA(enemy_skills!$A:$A),MATCH(E$1,enemy_skills!$1:$1,0)-MATCH("enemy_skill_id",enemy_skills!$1:$1,0)+1),MATCH(E$1,enemy_skills!$1:$1,0)-MATCH("enemy_skill_id",enemy_skills!$1:$1,0)+1,FALSE)</f>
        <v>死亡</v>
      </c>
      <c r="F67" s="135">
        <v>48703711</v>
      </c>
      <c r="G67" s="48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7" s="48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67" s="48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48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48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8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7" s="48" t="str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" s="48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9004</v>
      </c>
      <c r="O67" s="48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47"/>
      <c r="Q67" s="47"/>
      <c r="R67" s="47"/>
    </row>
    <row r="68" spans="1:18" ht="21" customHeight="1" x14ac:dyDescent="0.15">
      <c r="A68" s="39" t="str">
        <f t="shared" si="7"/>
        <v>48703009_48703712</v>
      </c>
      <c r="B68" s="47">
        <v>48703009</v>
      </c>
      <c r="C68" s="135">
        <v>48703712</v>
      </c>
      <c r="D68" s="46" t="str">
        <f ca="1">VLOOKUP($C68,OFFSET(enemy_skills!$A$1,0,0,COUNTA(enemy_skills!$A:$A),MATCH(D$1,enemy_skills!$1:$1,0)-MATCH("enemy_skill_id",enemy_skills!$1:$1,0)+1),MATCH(D$1,enemy_skills!$1:$1,0)-MATCH("enemy_skill_id",enemy_skills!$1:$1,0)+1,FALSE)</f>
        <v>紅蓮3、スキル8</v>
      </c>
      <c r="E68" s="46" t="str">
        <f ca="1">VLOOKUP($C68,OFFSET(enemy_skills!$A$1,0,0,COUNTA(enemy_skills!$A:$A),MATCH(E$1,enemy_skills!$1:$1,0)-MATCH("enemy_skill_id",enemy_skills!$1:$1,0)+1),MATCH(E$1,enemy_skills!$1:$1,0)-MATCH("enemy_skill_id",enemy_skills!$1:$1,0)+1,FALSE)</f>
        <v>死亡</v>
      </c>
      <c r="F68" s="135">
        <v>48703712</v>
      </c>
      <c r="G68" s="48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8" s="48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68" s="48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48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48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8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8" s="48" t="str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" s="48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9009</v>
      </c>
      <c r="O68" s="48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47"/>
      <c r="Q68" s="47"/>
      <c r="R68" s="47"/>
    </row>
    <row r="69" spans="1:18" ht="21" customHeight="1" x14ac:dyDescent="0.15">
      <c r="A69" s="39" t="str">
        <f t="shared" si="7"/>
        <v>48703009_48703713</v>
      </c>
      <c r="B69" s="47">
        <v>48703009</v>
      </c>
      <c r="C69" s="135">
        <v>48703713</v>
      </c>
      <c r="D69" s="46" t="str">
        <f ca="1">VLOOKUP($C69,OFFSET(enemy_skills!$A$1,0,0,COUNTA(enemy_skills!$A:$A),MATCH(D$1,enemy_skills!$1:$1,0)-MATCH("enemy_skill_id",enemy_skills!$1:$1,0)+1),MATCH(D$1,enemy_skills!$1:$1,0)-MATCH("enemy_skill_id",enemy_skills!$1:$1,0)+1,FALSE)</f>
        <v>紅蓮3、スキル8</v>
      </c>
      <c r="E69" s="46" t="str">
        <f ca="1">VLOOKUP($C69,OFFSET(enemy_skills!$A$1,0,0,COUNTA(enemy_skills!$A:$A),MATCH(E$1,enemy_skills!$1:$1,0)-MATCH("enemy_skill_id",enemy_skills!$1:$1,0)+1),MATCH(E$1,enemy_skills!$1:$1,0)-MATCH("enemy_skill_id",enemy_skills!$1:$1,0)+1,FALSE)</f>
        <v>死亡</v>
      </c>
      <c r="F69" s="135">
        <v>48703713</v>
      </c>
      <c r="G69" s="48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9" s="48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69" s="48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48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48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8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9" s="48" t="str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" s="48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9010</v>
      </c>
      <c r="O69" s="48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47"/>
      <c r="Q69" s="47"/>
      <c r="R69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70"/>
  <sheetViews>
    <sheetView showGridLines="0" zoomScale="120" zoomScaleNormal="120" zoomScalePageLayoutView="120" workbookViewId="0">
      <pane ySplit="1" topLeftCell="A58" activePane="bottomLeft" state="frozenSplit"/>
      <selection pane="bottomLeft" activeCell="F63" sqref="F63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customWidth="1" outlineLevel="1"/>
    <col min="8" max="8" width="18.33203125" style="49" customWidth="1" outlineLevel="1"/>
    <col min="9" max="11" width="18.6640625" style="49" customWidth="1" outlineLevel="1"/>
    <col min="12" max="12" width="23.6640625" style="49" customWidth="1"/>
    <col min="13" max="18" width="23.6640625" style="49" customWidth="1" outlineLevel="1"/>
    <col min="19" max="19" width="23.6640625" style="49" customWidth="1"/>
    <col min="20" max="24" width="23.6640625" style="49" customWidth="1" outlineLevel="1"/>
    <col min="25" max="25" width="23.6640625" style="49" customWidth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126</v>
      </c>
      <c r="E1" s="40" t="s">
        <v>82</v>
      </c>
      <c r="F1" s="40" t="s">
        <v>83</v>
      </c>
      <c r="G1" s="41" t="s">
        <v>132</v>
      </c>
      <c r="H1" s="41" t="s">
        <v>138</v>
      </c>
      <c r="I1" s="41" t="s">
        <v>140</v>
      </c>
      <c r="J1" s="41" t="s">
        <v>139</v>
      </c>
      <c r="K1" s="41" t="s">
        <v>141</v>
      </c>
      <c r="L1" s="41" t="s">
        <v>133</v>
      </c>
      <c r="M1" s="41" t="s">
        <v>131</v>
      </c>
      <c r="N1" s="41" t="s">
        <v>134</v>
      </c>
      <c r="O1" s="41" t="s">
        <v>142</v>
      </c>
      <c r="P1" s="41" t="s">
        <v>143</v>
      </c>
      <c r="Q1" s="41" t="s">
        <v>144</v>
      </c>
      <c r="R1" s="41" t="s">
        <v>145</v>
      </c>
      <c r="S1" s="41" t="s">
        <v>135</v>
      </c>
      <c r="T1" s="41" t="s">
        <v>136</v>
      </c>
      <c r="U1" s="41" t="s">
        <v>146</v>
      </c>
      <c r="V1" s="41" t="s">
        <v>147</v>
      </c>
      <c r="W1" s="41" t="s">
        <v>148</v>
      </c>
      <c r="X1" s="41" t="s">
        <v>149</v>
      </c>
      <c r="Y1" s="41" t="s">
        <v>137</v>
      </c>
      <c r="Z1" s="41" t="s">
        <v>76</v>
      </c>
      <c r="AA1" s="41" t="s">
        <v>77</v>
      </c>
      <c r="AB1" s="41" t="s">
        <v>78</v>
      </c>
    </row>
    <row r="2" spans="1:28" s="47" customFormat="1" ht="21" customHeight="1" x14ac:dyDescent="0.15">
      <c r="A2" s="134">
        <v>48703001</v>
      </c>
      <c r="B2" s="133" t="s">
        <v>313</v>
      </c>
      <c r="C2" s="50">
        <v>1</v>
      </c>
      <c r="D2" s="50" t="s">
        <v>127</v>
      </c>
      <c r="E2" s="51" t="s">
        <v>346</v>
      </c>
      <c r="F2" s="51" t="s">
        <v>335</v>
      </c>
      <c r="G2" s="64" t="str">
        <f>IFERROR(LEFT(B2,FIND("],",B2)),B2)</f>
        <v>[effect:enemy_message, val1:1.2, val2:1.2]</v>
      </c>
      <c r="H2" s="64">
        <f>FIND("effect:",G2)+7</f>
        <v>9</v>
      </c>
      <c r="I2" s="64">
        <f>IFERROR(FIND(",",G2),LEN(G2))</f>
        <v>22</v>
      </c>
      <c r="J2" s="64" t="e">
        <f>FIND("target:",G2)+7</f>
        <v>#VALUE!</v>
      </c>
      <c r="K2" s="64">
        <f>FIND(",",G2,I2+1)</f>
        <v>32</v>
      </c>
      <c r="L2" s="64" t="str">
        <f>IFERROR(VLOOKUP(MID(G2,J2,K2-J2),[6]skilldef!$C:$D,2,FALSE),"-") &amp; " / " &amp; IFERROR(VLOOKUP(MID(G2,H2,I2-H2),[6]skilldef!$A:$B,2,FALSE),"-")</f>
        <v>- / -</v>
      </c>
      <c r="M2" s="64" t="str">
        <f>IFERROR(RIGHT(B2,LEN(B2)-FIND("],",B2)-1),"none")</f>
        <v xml:space="preserve">[effect:enhance_enemy, target:myself, turn:3, status:attack, val:0.4, calc:mul, animation:enemy_enhance_attack]    </v>
      </c>
      <c r="N2" s="48" t="str">
        <f>IFERROR(LEFT(M2,FIND("],",M2)+S18),M2)</f>
        <v xml:space="preserve">[effect:enhance_enemy, target:myself, turn:3, status:attack, val:0.4, calc:mul, animation:enemy_enhance_attack]    </v>
      </c>
      <c r="O2" s="64">
        <f>FIND("effect:",N2)+7</f>
        <v>9</v>
      </c>
      <c r="P2" s="64">
        <f>IFERROR(FIND(",",N2),LEN(N2))</f>
        <v>22</v>
      </c>
      <c r="Q2" s="64">
        <f>FIND("target:",N2)+7</f>
        <v>31</v>
      </c>
      <c r="R2" s="64">
        <f>FIND(",",N2,P2+1)</f>
        <v>37</v>
      </c>
      <c r="S2" s="64" t="str">
        <f>IFERROR(VLOOKUP(MID(N2,Q2,R2-Q2),[6]skilldef!$C:$D,2,FALSE),"-") &amp; " / " &amp; IFERROR(VLOOKUP(MID(N2,O2,P2-O2),[6]skilldef!$A:$B,2,FALSE),"-")</f>
        <v>自分自身に / ステータス強化</v>
      </c>
      <c r="T2" s="48" t="str">
        <f>IFERROR(RIGHT(M2,LEN(M2)-FIND("],",M2)-1),"none")</f>
        <v>none</v>
      </c>
      <c r="U2" s="64" t="e">
        <f>FIND("effect:",T2)+7</f>
        <v>#VALUE!</v>
      </c>
      <c r="V2" s="64">
        <f>IFERROR(FIND(",",T2),LEN(T2))</f>
        <v>4</v>
      </c>
      <c r="W2" s="64" t="e">
        <f>FIND("target:",T2)+7</f>
        <v>#VALUE!</v>
      </c>
      <c r="X2" s="64" t="e">
        <f>FIND(",",T2,V2+1)</f>
        <v>#VALUE!</v>
      </c>
      <c r="Y2" s="64" t="str">
        <f>IFERROR(VLOOKUP(MID(T2,W2,X2-W2),[6]skilldef!$C:$D,2,FALSE),"-") &amp; " / " &amp; IFERROR(VLOOKUP(MID(T2,U2,V2-U2),[6]skilldef!$A:$B,2,FALSE),"-")</f>
        <v>- / -</v>
      </c>
      <c r="Z2" s="50"/>
      <c r="AA2" s="52"/>
      <c r="AB2" s="50"/>
    </row>
    <row r="3" spans="1:28" s="116" customFormat="1" ht="21" customHeight="1" thickBot="1" x14ac:dyDescent="0.2">
      <c r="A3" s="136">
        <v>48703002</v>
      </c>
      <c r="B3" s="116" t="s">
        <v>269</v>
      </c>
      <c r="C3" s="117">
        <v>1</v>
      </c>
      <c r="D3" s="117" t="s">
        <v>127</v>
      </c>
      <c r="E3" s="51" t="s">
        <v>345</v>
      </c>
      <c r="F3" s="118" t="s">
        <v>303</v>
      </c>
      <c r="G3" s="119" t="str">
        <f>IFERROR(LEFT(B3,FIND("],",B3)),B3)</f>
        <v>[effect:enemy_message, val1:1.2, val2:1.2]</v>
      </c>
      <c r="H3" s="119">
        <f>FIND("effect:",G3)+7</f>
        <v>9</v>
      </c>
      <c r="I3" s="119">
        <f>IFERROR(FIND(",",G3),LEN(G3))</f>
        <v>22</v>
      </c>
      <c r="J3" s="119" t="e">
        <f>FIND("target:",G3)+7</f>
        <v>#VALUE!</v>
      </c>
      <c r="K3" s="119">
        <f>FIND(",",G3,I3+1)</f>
        <v>32</v>
      </c>
      <c r="L3" s="119" t="str">
        <f>IFERROR(VLOOKUP(MID(G3,J3,K3-J3),[6]skilldef!$C:$D,2,FALSE),"-") &amp; " / " &amp; IFERROR(VLOOKUP(MID(G3,H3,I3-H3),[6]skilldef!$A:$B,2,FALSE),"-")</f>
        <v>- / -</v>
      </c>
      <c r="M3" s="119" t="str">
        <f>IFERROR(RIGHT(B3,LEN(B3)-FIND("],",B3)-1),"none")</f>
        <v xml:space="preserve">[effect:rush, count:2, val:0.3]    </v>
      </c>
      <c r="N3" s="120" t="str">
        <f>IFERROR(LEFT(M3,FIND("],",M3)+S19),M3)</f>
        <v xml:space="preserve">[effect:rush, count:2, val:0.3]    </v>
      </c>
      <c r="O3" s="119">
        <f>FIND("effect:",N3)+7</f>
        <v>9</v>
      </c>
      <c r="P3" s="119">
        <f>IFERROR(FIND(",",N3),LEN(N3))</f>
        <v>13</v>
      </c>
      <c r="Q3" s="119" t="e">
        <f>FIND("target:",N3)+7</f>
        <v>#VALUE!</v>
      </c>
      <c r="R3" s="119">
        <f>FIND(",",N3,P3+1)</f>
        <v>22</v>
      </c>
      <c r="S3" s="119" t="str">
        <f>IFERROR(VLOOKUP(MID(N3,Q3,R3-Q3),[6]skilldef!$C:$D,2,FALSE),"-") &amp; " / " &amp; IFERROR(VLOOKUP(MID(N3,O3,P3-O3),[6]skilldef!$A:$B,2,FALSE),"-")</f>
        <v>- / 連続攻撃</v>
      </c>
      <c r="T3" s="120" t="str">
        <f>IFERROR(RIGHT(M3,LEN(M3)-FIND("],",M3)-1),"none")</f>
        <v>none</v>
      </c>
      <c r="U3" s="119" t="e">
        <f>FIND("effect:",T3)+7</f>
        <v>#VALUE!</v>
      </c>
      <c r="V3" s="119">
        <f>IFERROR(FIND(",",T3),LEN(T3))</f>
        <v>4</v>
      </c>
      <c r="W3" s="119" t="e">
        <f>FIND("target:",T3)+7</f>
        <v>#VALUE!</v>
      </c>
      <c r="X3" s="119" t="e">
        <f>FIND(",",T3,V3+1)</f>
        <v>#VALUE!</v>
      </c>
      <c r="Y3" s="119" t="str">
        <f>IFERROR(VLOOKUP(MID(T3,W3,X3-W3),[6]skilldef!$C:$D,2,FALSE),"-") &amp; " / " &amp; IFERROR(VLOOKUP(MID(T3,U3,V3-U3),[6]skilldef!$A:$B,2,FALSE),"-")</f>
        <v>- / -</v>
      </c>
      <c r="Z3" s="117"/>
      <c r="AA3" s="121"/>
      <c r="AB3" s="117"/>
    </row>
    <row r="4" spans="1:28" ht="21" customHeight="1" x14ac:dyDescent="0.15">
      <c r="A4" s="139">
        <v>48703003</v>
      </c>
      <c r="B4" s="110" t="s">
        <v>309</v>
      </c>
      <c r="C4" s="111">
        <v>1</v>
      </c>
      <c r="D4" s="111" t="s">
        <v>127</v>
      </c>
      <c r="E4" s="112" t="s">
        <v>347</v>
      </c>
      <c r="F4" s="112" t="s">
        <v>336</v>
      </c>
      <c r="G4" s="113" t="str">
        <f t="shared" ref="G4:G32" si="0">IFERROR(LEFT(B4,FIND("],",B4)),B4)</f>
        <v>[effect:enemy_message, val1:1.2, val2:1.2]</v>
      </c>
      <c r="H4" s="113">
        <f t="shared" ref="H4:H68" si="1">FIND("effect:",G4)+7</f>
        <v>9</v>
      </c>
      <c r="I4" s="113">
        <f t="shared" ref="I4:I32" si="2">IFERROR(FIND(",",G4),LEN(G4))</f>
        <v>22</v>
      </c>
      <c r="J4" s="113" t="e">
        <f t="shared" ref="J4:J32" si="3">FIND("target:",G4)+7</f>
        <v>#VALUE!</v>
      </c>
      <c r="K4" s="113">
        <f t="shared" ref="K4:K32" si="4">FIND(",",G4,I4+1)</f>
        <v>32</v>
      </c>
      <c r="L4" s="113" t="str">
        <f>IFERROR(VLOOKUP(MID(G4,J4,K4-J4),[6]skilldef!$C:$D,2,FALSE),"-") &amp; " / " &amp; IFERROR(VLOOKUP(MID(G4,H4,I4-H4),[6]skilldef!$A:$B,2,FALSE),"-")</f>
        <v>- / -</v>
      </c>
      <c r="M4" s="113" t="str">
        <f t="shared" ref="M4:M32" si="5">IFERROR(RIGHT(B4,LEN(B4)-FIND("],",B4)-1),"none")</f>
        <v>[effect:hungup, target:unit_machine, turn:99, rate:1, animation:hungup01]</v>
      </c>
      <c r="N4" s="114" t="str">
        <f>IFERROR(LEFT(M4,FIND("],",M4)+S13),M4)</f>
        <v>[effect:hungup, target:unit_machine, turn:99, rate:1, animation:hungup01]</v>
      </c>
      <c r="O4" s="113">
        <f t="shared" ref="O4:O68" si="6">FIND("effect:",N4)+7</f>
        <v>9</v>
      </c>
      <c r="P4" s="113">
        <f t="shared" ref="P4:P32" si="7">IFERROR(FIND(",",N4),LEN(N4))</f>
        <v>15</v>
      </c>
      <c r="Q4" s="113">
        <f t="shared" ref="Q4:Q32" si="8">FIND("target:",N4)+7</f>
        <v>24</v>
      </c>
      <c r="R4" s="113">
        <f t="shared" ref="R4:R32" si="9">FIND(",",N4,P4+1)</f>
        <v>36</v>
      </c>
      <c r="S4" s="113" t="str">
        <f>IFERROR(VLOOKUP(MID(N4,Q4,R4-Q4),[6]skilldef!$C:$D,2,FALSE),"-") &amp; " / " &amp; IFERROR(VLOOKUP(MID(N4,O4,P4-O4),[6]skilldef!$A:$B,2,FALSE),"-")</f>
        <v>- / ハングアップ</v>
      </c>
      <c r="T4" s="114" t="str">
        <f t="shared" ref="T4:T32" si="10">IFERROR(RIGHT(M4,LEN(M4)-FIND("],",M4)-1),"none")</f>
        <v>none</v>
      </c>
      <c r="U4" s="113" t="e">
        <f t="shared" ref="U4:U68" si="11">FIND("effect:",T4)+7</f>
        <v>#VALUE!</v>
      </c>
      <c r="V4" s="113">
        <f t="shared" ref="V4:V32" si="12">IFERROR(FIND(",",T4),LEN(T4))</f>
        <v>4</v>
      </c>
      <c r="W4" s="113" t="e">
        <f t="shared" ref="W4:W32" si="13">FIND("target:",T4)+7</f>
        <v>#VALUE!</v>
      </c>
      <c r="X4" s="113" t="e">
        <f t="shared" ref="X4:X32" si="14">FIND(",",T4,V4+1)</f>
        <v>#VALUE!</v>
      </c>
      <c r="Y4" s="113" t="str">
        <f>IFERROR(VLOOKUP(MID(T4,W4,X4-W4),[6]skilldef!$C:$D,2,FALSE),"-") &amp; " / " &amp; IFERROR(VLOOKUP(MID(T4,U4,V4-U4),[6]skilldef!$A:$B,2,FALSE),"-")</f>
        <v>- / -</v>
      </c>
      <c r="Z4" s="111"/>
      <c r="AA4" s="115"/>
      <c r="AB4" s="111"/>
    </row>
    <row r="5" spans="1:28" ht="21" customHeight="1" x14ac:dyDescent="0.15">
      <c r="A5" s="141">
        <v>48703004</v>
      </c>
      <c r="B5" s="47" t="s">
        <v>265</v>
      </c>
      <c r="C5" s="50">
        <v>1</v>
      </c>
      <c r="D5" s="50" t="s">
        <v>127</v>
      </c>
      <c r="E5" s="112" t="s">
        <v>348</v>
      </c>
      <c r="F5" s="51" t="s">
        <v>337</v>
      </c>
      <c r="G5" s="64" t="str">
        <f t="shared" si="0"/>
        <v>[effect:enemy_message, val1:1.2, val2:1.2]</v>
      </c>
      <c r="H5" s="64">
        <f t="shared" si="1"/>
        <v>9</v>
      </c>
      <c r="I5" s="64">
        <f t="shared" si="2"/>
        <v>22</v>
      </c>
      <c r="J5" s="64" t="e">
        <f t="shared" si="3"/>
        <v>#VALUE!</v>
      </c>
      <c r="K5" s="64">
        <f t="shared" si="4"/>
        <v>32</v>
      </c>
      <c r="L5" s="64" t="str">
        <f>IFERROR(VLOOKUP(MID(G5,J5,K5-J5),[6]skilldef!$C:$D,2,FALSE),"-") &amp; " / " &amp; IFERROR(VLOOKUP(MID(G5,H5,I5-H5),[6]skilldef!$A:$B,2,FALSE),"-")</f>
        <v>- / -</v>
      </c>
      <c r="M5" s="64" t="str">
        <f t="shared" si="5"/>
        <v xml:space="preserve">[effect:spread, val:0.4]    </v>
      </c>
      <c r="N5" s="48" t="str">
        <f>IFERROR(LEFT(M5,FIND("],",M5)+S14),M5)</f>
        <v xml:space="preserve">[effect:spread, val:0.4]    </v>
      </c>
      <c r="O5" s="64">
        <f t="shared" si="6"/>
        <v>9</v>
      </c>
      <c r="P5" s="64">
        <f t="shared" si="7"/>
        <v>15</v>
      </c>
      <c r="Q5" s="64" t="e">
        <f t="shared" si="8"/>
        <v>#VALUE!</v>
      </c>
      <c r="R5" s="64" t="e">
        <f t="shared" si="9"/>
        <v>#VALUE!</v>
      </c>
      <c r="S5" s="64" t="str">
        <f>IFERROR(VLOOKUP(MID(N5,Q5,R5-Q5),[6]skilldef!$C:$D,2,FALSE),"-") &amp; " / " &amp; IFERROR(VLOOKUP(MID(N5,O5,P5-O5),[6]skilldef!$A:$B,2,FALSE),"-")</f>
        <v>- / 全体攻撃</v>
      </c>
      <c r="T5" s="48" t="str">
        <f t="shared" si="10"/>
        <v>none</v>
      </c>
      <c r="U5" s="64" t="e">
        <f t="shared" si="11"/>
        <v>#VALUE!</v>
      </c>
      <c r="V5" s="64">
        <f t="shared" si="12"/>
        <v>4</v>
      </c>
      <c r="W5" s="64" t="e">
        <f t="shared" si="13"/>
        <v>#VALUE!</v>
      </c>
      <c r="X5" s="64" t="e">
        <f t="shared" si="14"/>
        <v>#VALUE!</v>
      </c>
      <c r="Y5" s="64" t="str">
        <f>IFERROR(VLOOKUP(MID(T5,W5,X5-W5),[6]skilldef!$C:$D,2,FALSE),"-") &amp; " / " &amp; IFERROR(VLOOKUP(MID(T5,U5,V5-U5),[6]skilldef!$A:$B,2,FALSE),"-")</f>
        <v>- / -</v>
      </c>
      <c r="Z5" s="50"/>
      <c r="AA5" s="52"/>
      <c r="AB5" s="50"/>
    </row>
    <row r="6" spans="1:28" ht="21" customHeight="1" x14ac:dyDescent="0.15">
      <c r="A6" s="141">
        <v>48703005</v>
      </c>
      <c r="B6" s="123" t="s">
        <v>326</v>
      </c>
      <c r="C6" s="124">
        <v>1</v>
      </c>
      <c r="D6" s="124" t="s">
        <v>127</v>
      </c>
      <c r="E6" s="112" t="s">
        <v>349</v>
      </c>
      <c r="F6" s="125" t="s">
        <v>338</v>
      </c>
      <c r="G6" s="126" t="str">
        <f t="shared" si="0"/>
        <v>[effect:enemy_message, val1:1.2, val2:1.2]</v>
      </c>
      <c r="H6" s="126">
        <f t="shared" si="1"/>
        <v>9</v>
      </c>
      <c r="I6" s="126">
        <f t="shared" si="2"/>
        <v>22</v>
      </c>
      <c r="J6" s="126" t="e">
        <f t="shared" si="3"/>
        <v>#VALUE!</v>
      </c>
      <c r="K6" s="126">
        <f t="shared" si="4"/>
        <v>32</v>
      </c>
      <c r="L6" s="126" t="str">
        <f>IFERROR(VLOOKUP(MID(G6,J6,K6-J6),[6]skilldef!$C:$D,2,FALSE),"-") &amp; " / " &amp; IFERROR(VLOOKUP(MID(G6,H6,I6-H6),[6]skilldef!$A:$B,2,FALSE),"-")</f>
        <v>- / -</v>
      </c>
      <c r="M6" s="126" t="str">
        <f t="shared" si="5"/>
        <v xml:space="preserve">[effect:force_change_block, new_block:damage, target:block_all, ignore01:block_positive, count:4, val:0.1]    </v>
      </c>
      <c r="N6" s="127" t="str">
        <f>IFERROR(LEFT(M6,FIND("],",M6)+S15),M6)</f>
        <v xml:space="preserve">[effect:force_change_block, new_block:damage, target:block_all, ignore01:block_positive, count:4, val:0.1]    </v>
      </c>
      <c r="O6" s="126">
        <f t="shared" si="6"/>
        <v>9</v>
      </c>
      <c r="P6" s="126">
        <f t="shared" si="7"/>
        <v>27</v>
      </c>
      <c r="Q6" s="126">
        <f t="shared" si="8"/>
        <v>54</v>
      </c>
      <c r="R6" s="126">
        <f t="shared" si="9"/>
        <v>45</v>
      </c>
      <c r="S6" s="126" t="str">
        <f>IFERROR(VLOOKUP(MID(N6,Q6,R6-Q6),[6]skilldef!$C:$D,2,FALSE),"-") &amp; " / " &amp; IFERROR(VLOOKUP(MID(N6,O6,P6-O6),[6]skilldef!$A:$B,2,FALSE),"-")</f>
        <v>- / -</v>
      </c>
      <c r="T6" s="127" t="str">
        <f t="shared" si="10"/>
        <v>none</v>
      </c>
      <c r="U6" s="126" t="e">
        <f t="shared" si="11"/>
        <v>#VALUE!</v>
      </c>
      <c r="V6" s="126">
        <f t="shared" si="12"/>
        <v>4</v>
      </c>
      <c r="W6" s="126" t="e">
        <f t="shared" si="13"/>
        <v>#VALUE!</v>
      </c>
      <c r="X6" s="126" t="e">
        <f t="shared" si="14"/>
        <v>#VALUE!</v>
      </c>
      <c r="Y6" s="126" t="str">
        <f>IFERROR(VLOOKUP(MID(T6,W6,X6-W6),[6]skilldef!$C:$D,2,FALSE),"-") &amp; " / " &amp; IFERROR(VLOOKUP(MID(T6,U6,V6-U6),[6]skilldef!$A:$B,2,FALSE),"-")</f>
        <v>- / -</v>
      </c>
      <c r="Z6" s="124"/>
      <c r="AA6" s="128"/>
      <c r="AB6" s="124"/>
    </row>
    <row r="7" spans="1:28" s="47" customFormat="1" ht="21" customHeight="1" x14ac:dyDescent="0.15">
      <c r="A7" s="141">
        <v>48703006</v>
      </c>
      <c r="B7" s="47" t="s">
        <v>267</v>
      </c>
      <c r="C7" s="50">
        <v>1</v>
      </c>
      <c r="D7" s="50" t="s">
        <v>127</v>
      </c>
      <c r="E7" s="112" t="s">
        <v>350</v>
      </c>
      <c r="F7" s="51" t="s">
        <v>396</v>
      </c>
      <c r="G7" s="64" t="str">
        <f t="shared" si="0"/>
        <v>[effect:enemy_message, val1:1.2, val2:1.2]</v>
      </c>
      <c r="H7" s="64">
        <f t="shared" si="1"/>
        <v>9</v>
      </c>
      <c r="I7" s="64">
        <f t="shared" si="2"/>
        <v>22</v>
      </c>
      <c r="J7" s="64" t="e">
        <f t="shared" si="3"/>
        <v>#VALUE!</v>
      </c>
      <c r="K7" s="64">
        <f t="shared" si="4"/>
        <v>32</v>
      </c>
      <c r="L7" s="64" t="str">
        <f>IFERROR(VLOOKUP(MID(G7,J7,K7-J7),[6]skilldef!$C:$D,2,FALSE),"-") &amp; " / " &amp; IFERROR(VLOOKUP(MID(G7,H7,I7-H7),[6]skilldef!$A:$B,2,FALSE),"-")</f>
        <v>- / -</v>
      </c>
      <c r="M7" s="64" t="str">
        <f t="shared" si="5"/>
        <v xml:space="preserve">[effect:enhance_enemy, target:myself, turn:-1, status:attack, val:0.2, calc:mul, animation:enemy_enhance_attack]    </v>
      </c>
      <c r="N7" s="48" t="str">
        <f>IFERROR(LEFT(M7,FIND("],",M7)+S16),M7)</f>
        <v xml:space="preserve">[effect:enhance_enemy, target:myself, turn:-1, status:attack, val:0.2, calc:mul, animation:enemy_enhance_attack]    </v>
      </c>
      <c r="O7" s="64">
        <f t="shared" si="6"/>
        <v>9</v>
      </c>
      <c r="P7" s="64">
        <f t="shared" si="7"/>
        <v>22</v>
      </c>
      <c r="Q7" s="64">
        <f t="shared" si="8"/>
        <v>31</v>
      </c>
      <c r="R7" s="64">
        <f t="shared" si="9"/>
        <v>37</v>
      </c>
      <c r="S7" s="64" t="str">
        <f>IFERROR(VLOOKUP(MID(N7,Q7,R7-Q7),[6]skilldef!$C:$D,2,FALSE),"-") &amp; " / " &amp; IFERROR(VLOOKUP(MID(N7,O7,P7-O7),[6]skilldef!$A:$B,2,FALSE),"-")</f>
        <v>自分自身に / ステータス強化</v>
      </c>
      <c r="T7" s="48" t="str">
        <f t="shared" si="10"/>
        <v>none</v>
      </c>
      <c r="U7" s="64" t="e">
        <f t="shared" si="11"/>
        <v>#VALUE!</v>
      </c>
      <c r="V7" s="64">
        <f t="shared" si="12"/>
        <v>4</v>
      </c>
      <c r="W7" s="64" t="e">
        <f t="shared" si="13"/>
        <v>#VALUE!</v>
      </c>
      <c r="X7" s="64" t="e">
        <f t="shared" si="14"/>
        <v>#VALUE!</v>
      </c>
      <c r="Y7" s="64" t="str">
        <f>IFERROR(VLOOKUP(MID(T7,W7,X7-W7),[6]skilldef!$C:$D,2,FALSE),"-") &amp; " / " &amp; IFERROR(VLOOKUP(MID(T7,U7,V7-U7),[6]skilldef!$A:$B,2,FALSE),"-")</f>
        <v>- / -</v>
      </c>
      <c r="Z7" s="50"/>
      <c r="AA7" s="52"/>
      <c r="AB7" s="50"/>
    </row>
    <row r="8" spans="1:28" ht="21" customHeight="1" x14ac:dyDescent="0.15">
      <c r="A8" s="141">
        <v>48703007</v>
      </c>
      <c r="B8" s="47" t="s">
        <v>268</v>
      </c>
      <c r="C8" s="50">
        <v>1</v>
      </c>
      <c r="D8" s="50" t="s">
        <v>127</v>
      </c>
      <c r="E8" s="112" t="s">
        <v>351</v>
      </c>
      <c r="F8" s="51" t="s">
        <v>396</v>
      </c>
      <c r="G8" s="130" t="str">
        <f t="shared" ref="G8" si="15">IFERROR(LEFT(B8,FIND("],",B8)),B8)</f>
        <v>[effect:enemy_message, val1:1.2, val2:1.2]</v>
      </c>
      <c r="H8" s="130">
        <f t="shared" si="1"/>
        <v>9</v>
      </c>
      <c r="I8" s="130">
        <f t="shared" ref="I8" si="16">IFERROR(FIND(",",G8),LEN(G8))</f>
        <v>22</v>
      </c>
      <c r="J8" s="130" t="e">
        <f t="shared" ref="J8" si="17">FIND("target:",G8)+7</f>
        <v>#VALUE!</v>
      </c>
      <c r="K8" s="130">
        <f t="shared" ref="K8" si="18">FIND(",",G8,I8+1)</f>
        <v>32</v>
      </c>
      <c r="L8" s="130" t="str">
        <f>IFERROR(VLOOKUP(MID(G8,J8,K8-J8),[6]skilldef!$C:$D,2,FALSE),"-") &amp; " / " &amp; IFERROR(VLOOKUP(MID(G8,H8,I8-H8),[6]skilldef!$A:$B,2,FALSE),"-")</f>
        <v>- / -</v>
      </c>
      <c r="M8" s="130" t="str">
        <f t="shared" ref="M8" si="19">IFERROR(RIGHT(B8,LEN(B8)-FIND("],",B8)-1),"none")</f>
        <v xml:space="preserve">[effect:enhance_enemy, target:myself, turn:-1, status:attack, val:0.5, calc:mul, animation:enemy_enhance_attack]    </v>
      </c>
      <c r="N8" s="131" t="str">
        <f>IFERROR(LEFT(M8,FIND("],",M8)+S16),M8)</f>
        <v xml:space="preserve">[effect:enhance_enemy, target:myself, turn:-1, status:attack, val:0.5, calc:mul, animation:enemy_enhance_attack]    </v>
      </c>
      <c r="O8" s="130">
        <f t="shared" si="6"/>
        <v>9</v>
      </c>
      <c r="P8" s="130">
        <f t="shared" ref="P8" si="20">IFERROR(FIND(",",N8),LEN(N8))</f>
        <v>22</v>
      </c>
      <c r="Q8" s="130">
        <f t="shared" ref="Q8" si="21">FIND("target:",N8)+7</f>
        <v>31</v>
      </c>
      <c r="R8" s="130">
        <f t="shared" ref="R8" si="22">FIND(",",N8,P8+1)</f>
        <v>37</v>
      </c>
      <c r="S8" s="130" t="str">
        <f>IFERROR(VLOOKUP(MID(N8,Q8,R8-Q8),[6]skilldef!$C:$D,2,FALSE),"-") &amp; " / " &amp; IFERROR(VLOOKUP(MID(N8,O8,P8-O8),[6]skilldef!$A:$B,2,FALSE),"-")</f>
        <v>自分自身に / ステータス強化</v>
      </c>
      <c r="T8" s="131" t="str">
        <f t="shared" ref="T8" si="23">IFERROR(RIGHT(M8,LEN(M8)-FIND("],",M8)-1),"none")</f>
        <v>none</v>
      </c>
      <c r="U8" s="130" t="e">
        <f t="shared" si="11"/>
        <v>#VALUE!</v>
      </c>
      <c r="V8" s="130">
        <f t="shared" ref="V8" si="24">IFERROR(FIND(",",T8),LEN(T8))</f>
        <v>4</v>
      </c>
      <c r="W8" s="130" t="e">
        <f t="shared" ref="W8" si="25">FIND("target:",T8)+7</f>
        <v>#VALUE!</v>
      </c>
      <c r="X8" s="130" t="e">
        <f t="shared" ref="X8" si="26">FIND(",",T8,V8+1)</f>
        <v>#VALUE!</v>
      </c>
      <c r="Y8" s="130" t="str">
        <f>IFERROR(VLOOKUP(MID(T8,W8,X8-W8),[6]skilldef!$C:$D,2,FALSE),"-") &amp; " / " &amp; IFERROR(VLOOKUP(MID(T8,U8,V8-U8),[6]skilldef!$A:$B,2,FALSE),"-")</f>
        <v>- / -</v>
      </c>
      <c r="Z8" s="129"/>
      <c r="AA8" s="132"/>
      <c r="AB8" s="129"/>
    </row>
    <row r="9" spans="1:28" s="122" customFormat="1" ht="21" customHeight="1" thickBot="1" x14ac:dyDescent="0.2">
      <c r="A9" s="146">
        <v>48703008</v>
      </c>
      <c r="B9" s="116" t="s">
        <v>301</v>
      </c>
      <c r="C9" s="117">
        <v>1</v>
      </c>
      <c r="D9" s="117" t="s">
        <v>127</v>
      </c>
      <c r="E9" s="112" t="s">
        <v>352</v>
      </c>
      <c r="F9" s="118" t="s">
        <v>302</v>
      </c>
      <c r="G9" s="142" t="str">
        <f t="shared" si="0"/>
        <v xml:space="preserve">[effect:enemy_message, val1:1.2, val2:1.2, dead_type:escape]    </v>
      </c>
      <c r="H9" s="142">
        <f t="shared" si="1"/>
        <v>9</v>
      </c>
      <c r="I9" s="142">
        <f t="shared" si="2"/>
        <v>22</v>
      </c>
      <c r="J9" s="142" t="e">
        <f t="shared" si="3"/>
        <v>#VALUE!</v>
      </c>
      <c r="K9" s="142">
        <f t="shared" si="4"/>
        <v>32</v>
      </c>
      <c r="L9" s="142" t="str">
        <f>IFERROR(VLOOKUP(MID(G9,J9,K9-J9),[6]skilldef!$C:$D,2,FALSE),"-") &amp; " / " &amp; IFERROR(VLOOKUP(MID(G9,H9,I9-H9),[6]skilldef!$A:$B,2,FALSE),"-")</f>
        <v>- / -</v>
      </c>
      <c r="M9" s="142" t="str">
        <f t="shared" si="5"/>
        <v>none</v>
      </c>
      <c r="N9" s="143" t="str">
        <f>IFERROR(LEFT(M9,FIND("],",M9)+S17),M9)</f>
        <v>none</v>
      </c>
      <c r="O9" s="142" t="e">
        <f t="shared" si="6"/>
        <v>#VALUE!</v>
      </c>
      <c r="P9" s="142">
        <f t="shared" si="7"/>
        <v>4</v>
      </c>
      <c r="Q9" s="142" t="e">
        <f t="shared" si="8"/>
        <v>#VALUE!</v>
      </c>
      <c r="R9" s="142" t="e">
        <f t="shared" si="9"/>
        <v>#VALUE!</v>
      </c>
      <c r="S9" s="142" t="str">
        <f>IFERROR(VLOOKUP(MID(N9,Q9,R9-Q9),[6]skilldef!$C:$D,2,FALSE),"-") &amp; " / " &amp; IFERROR(VLOOKUP(MID(N9,O9,P9-O9),[6]skilldef!$A:$B,2,FALSE),"-")</f>
        <v>- / -</v>
      </c>
      <c r="T9" s="143" t="str">
        <f t="shared" si="10"/>
        <v>none</v>
      </c>
      <c r="U9" s="142" t="e">
        <f t="shared" si="11"/>
        <v>#VALUE!</v>
      </c>
      <c r="V9" s="142">
        <f t="shared" si="12"/>
        <v>4</v>
      </c>
      <c r="W9" s="142" t="e">
        <f t="shared" si="13"/>
        <v>#VALUE!</v>
      </c>
      <c r="X9" s="142" t="e">
        <f t="shared" si="14"/>
        <v>#VALUE!</v>
      </c>
      <c r="Y9" s="142" t="str">
        <f>IFERROR(VLOOKUP(MID(T9,W9,X9-W9),[6]skilldef!$C:$D,2,FALSE),"-") &amp; " / " &amp; IFERROR(VLOOKUP(MID(T9,U9,V9-U9),[6]skilldef!$A:$B,2,FALSE),"-")</f>
        <v>- / -</v>
      </c>
      <c r="Z9" s="144"/>
      <c r="AA9" s="145"/>
      <c r="AB9" s="144"/>
    </row>
    <row r="10" spans="1:28" ht="21" customHeight="1" x14ac:dyDescent="0.15">
      <c r="A10" s="135">
        <v>48703101</v>
      </c>
      <c r="B10" s="110" t="s">
        <v>318</v>
      </c>
      <c r="C10" s="111">
        <v>1</v>
      </c>
      <c r="D10" s="111" t="s">
        <v>127</v>
      </c>
      <c r="E10" s="112" t="s">
        <v>402</v>
      </c>
      <c r="F10" s="112" t="s">
        <v>339</v>
      </c>
      <c r="G10" s="113" t="str">
        <f t="shared" si="0"/>
        <v>[effect:enemy_message, val1:1.2, val2:1.2]</v>
      </c>
      <c r="H10" s="113">
        <f t="shared" si="1"/>
        <v>9</v>
      </c>
      <c r="I10" s="113">
        <f t="shared" si="2"/>
        <v>22</v>
      </c>
      <c r="J10" s="113" t="e">
        <f t="shared" si="3"/>
        <v>#VALUE!</v>
      </c>
      <c r="K10" s="113">
        <f t="shared" si="4"/>
        <v>32</v>
      </c>
      <c r="L10" s="113" t="str">
        <f>IFERROR(VLOOKUP(MID(G10,J10,K10-J10),[6]skilldef!$C:$D,2,FALSE),"-") &amp; " / " &amp; IFERROR(VLOOKUP(MID(G10,H10,I10-H10),[6]skilldef!$A:$B,2,FALSE),"-")</f>
        <v>- / -</v>
      </c>
      <c r="M10" s="113" t="str">
        <f t="shared" si="5"/>
        <v xml:space="preserve">[effect:tolerance, target:myself, turn:-1, count:-1, tolerance_effect:all, animation:enemy_tolerance],[effect:virus, turn:6, rate:1, val:0.05, animation:enemy_virus]    </v>
      </c>
      <c r="N10" s="114" t="str">
        <f t="shared" ref="N10:N23" si="27">IFERROR(LEFT(M10,FIND("],",M10)+S20),M10)</f>
        <v xml:space="preserve">[effect:tolerance, target:myself, turn:-1, count:-1, tolerance_effect:all, animation:enemy_tolerance],[effect:virus, turn:6, rate:1, val:0.05, animation:enemy_virus]    </v>
      </c>
      <c r="O10" s="113">
        <f t="shared" si="6"/>
        <v>9</v>
      </c>
      <c r="P10" s="113">
        <f t="shared" si="7"/>
        <v>18</v>
      </c>
      <c r="Q10" s="113">
        <f t="shared" si="8"/>
        <v>27</v>
      </c>
      <c r="R10" s="113">
        <f t="shared" si="9"/>
        <v>33</v>
      </c>
      <c r="S10" s="113" t="str">
        <f>IFERROR(VLOOKUP(MID(N10,Q10,R10-Q10),[6]skilldef!$C:$D,2,FALSE),"-") &amp; " / " &amp; IFERROR(VLOOKUP(MID(N10,O10,P10-O10),[6]skilldef!$A:$B,2,FALSE),"-")</f>
        <v>自分自身に / 状態異常耐性</v>
      </c>
      <c r="T10" s="114" t="str">
        <f t="shared" si="10"/>
        <v xml:space="preserve">[effect:virus, turn:6, rate:1, val:0.05, animation:enemy_virus]    </v>
      </c>
      <c r="U10" s="113">
        <f t="shared" si="11"/>
        <v>9</v>
      </c>
      <c r="V10" s="113">
        <f t="shared" si="12"/>
        <v>14</v>
      </c>
      <c r="W10" s="113" t="e">
        <f t="shared" si="13"/>
        <v>#VALUE!</v>
      </c>
      <c r="X10" s="113">
        <f t="shared" si="14"/>
        <v>22</v>
      </c>
      <c r="Y10" s="113" t="str">
        <f>IFERROR(VLOOKUP(MID(T10,W10,X10-W10),[6]skilldef!$C:$D,2,FALSE),"-") &amp; " / " &amp; IFERROR(VLOOKUP(MID(T10,U10,V10-U10),[6]skilldef!$A:$B,2,FALSE),"-")</f>
        <v>- / ウィルス</v>
      </c>
      <c r="Z10" s="111"/>
      <c r="AA10" s="115"/>
      <c r="AB10" s="111"/>
    </row>
    <row r="11" spans="1:28" ht="21" customHeight="1" x14ac:dyDescent="0.15">
      <c r="A11" s="135">
        <v>48703102</v>
      </c>
      <c r="B11" s="47" t="s">
        <v>311</v>
      </c>
      <c r="C11" s="50">
        <v>1</v>
      </c>
      <c r="D11" s="50" t="s">
        <v>127</v>
      </c>
      <c r="E11" s="112" t="s">
        <v>403</v>
      </c>
      <c r="F11" s="51" t="s">
        <v>340</v>
      </c>
      <c r="G11" s="64" t="str">
        <f t="shared" si="0"/>
        <v>[effect:enemy_message, val1:1.2, val2:1.2]</v>
      </c>
      <c r="H11" s="64">
        <f t="shared" si="1"/>
        <v>9</v>
      </c>
      <c r="I11" s="64">
        <f t="shared" si="2"/>
        <v>22</v>
      </c>
      <c r="J11" s="64" t="e">
        <f t="shared" si="3"/>
        <v>#VALUE!</v>
      </c>
      <c r="K11" s="64">
        <f t="shared" si="4"/>
        <v>32</v>
      </c>
      <c r="L11" s="64" t="str">
        <f>IFERROR(VLOOKUP(MID(G11,J11,K11-J11),[6]skilldef!$C:$D,2,FALSE),"-") &amp; " / " &amp; IFERROR(VLOOKUP(MID(G11,H11,I11-H11),[6]skilldef!$A:$B,2,FALSE),"-")</f>
        <v>- / -</v>
      </c>
      <c r="M11" s="64" t="str">
        <f t="shared" si="5"/>
        <v xml:space="preserve">[effect:rush, count:1, val:0.3],[effect:attack_break, target:unit_all, turn:5, val:0.4, calc:mul, animation:attack_break04]    </v>
      </c>
      <c r="N11" s="48" t="str">
        <f t="shared" si="27"/>
        <v xml:space="preserve">[effect:rush, count:1, val:0.3],[effect:attack_break, target:unit_all, turn:5, val:0.4, calc:mul, animation:attack_break04]    </v>
      </c>
      <c r="O11" s="64">
        <f t="shared" si="6"/>
        <v>9</v>
      </c>
      <c r="P11" s="64">
        <f t="shared" si="7"/>
        <v>13</v>
      </c>
      <c r="Q11" s="64">
        <f t="shared" si="8"/>
        <v>62</v>
      </c>
      <c r="R11" s="64">
        <f t="shared" si="9"/>
        <v>22</v>
      </c>
      <c r="S11" s="64" t="str">
        <f>IFERROR(VLOOKUP(MID(N11,Q11,R11-Q11),[6]skilldef!$C:$D,2,FALSE),"-") &amp; " / " &amp; IFERROR(VLOOKUP(MID(N11,O11,P11-O11),[6]skilldef!$A:$B,2,FALSE),"-")</f>
        <v>- / 連続攻撃</v>
      </c>
      <c r="T11" s="48" t="str">
        <f t="shared" si="10"/>
        <v xml:space="preserve">[effect:attack_break, target:unit_all, turn:5, val:0.4, calc:mul, animation:attack_break04]    </v>
      </c>
      <c r="U11" s="64">
        <f t="shared" si="11"/>
        <v>9</v>
      </c>
      <c r="V11" s="64">
        <f t="shared" si="12"/>
        <v>21</v>
      </c>
      <c r="W11" s="64">
        <f t="shared" si="13"/>
        <v>30</v>
      </c>
      <c r="X11" s="64">
        <f t="shared" si="14"/>
        <v>38</v>
      </c>
      <c r="Y11" s="64" t="str">
        <f>IFERROR(VLOOKUP(MID(T11,W11,X11-W11),[6]skilldef!$C:$D,2,FALSE),"-") &amp; " / " &amp; IFERROR(VLOOKUP(MID(T11,U11,V11-U11),[6]skilldef!$A:$B,2,FALSE),"-")</f>
        <v>味方全体に / -</v>
      </c>
      <c r="Z11" s="50"/>
      <c r="AA11" s="52"/>
      <c r="AB11" s="50"/>
    </row>
    <row r="12" spans="1:28" ht="21" customHeight="1" x14ac:dyDescent="0.15">
      <c r="A12" s="135">
        <v>48703103</v>
      </c>
      <c r="B12" s="47" t="s">
        <v>312</v>
      </c>
      <c r="C12" s="50">
        <v>1</v>
      </c>
      <c r="D12" s="50" t="s">
        <v>127</v>
      </c>
      <c r="E12" s="112" t="s">
        <v>404</v>
      </c>
      <c r="F12" s="51" t="s">
        <v>341</v>
      </c>
      <c r="G12" s="64" t="str">
        <f t="shared" si="0"/>
        <v>[effect:enemy_message, val1:1.2, val2:1.2]</v>
      </c>
      <c r="H12" s="64">
        <f t="shared" si="1"/>
        <v>9</v>
      </c>
      <c r="I12" s="64">
        <f t="shared" si="2"/>
        <v>22</v>
      </c>
      <c r="J12" s="64" t="e">
        <f t="shared" si="3"/>
        <v>#VALUE!</v>
      </c>
      <c r="K12" s="64">
        <f t="shared" si="4"/>
        <v>32</v>
      </c>
      <c r="L12" s="64" t="str">
        <f>IFERROR(VLOOKUP(MID(G12,J12,K12-J12),[6]skilldef!$C:$D,2,FALSE),"-") &amp; " / " &amp; IFERROR(VLOOKUP(MID(G12,H12,I12-H12),[6]skilldef!$A:$B,2,FALSE),"-")</f>
        <v>- / -</v>
      </c>
      <c r="M12" s="64" t="str">
        <f t="shared" si="5"/>
        <v xml:space="preserve">[effect:enemy_message, val1:1.2, val2:1.2],[effect:rush, count:2, val:0.5]    </v>
      </c>
      <c r="N12" s="48" t="str">
        <f t="shared" si="27"/>
        <v xml:space="preserve">[effect:enemy_message, val1:1.2, val2:1.2],[effect:rush, count:2, val:0.5]    </v>
      </c>
      <c r="O12" s="64">
        <f t="shared" si="6"/>
        <v>9</v>
      </c>
      <c r="P12" s="64">
        <f t="shared" si="7"/>
        <v>22</v>
      </c>
      <c r="Q12" s="64" t="e">
        <f t="shared" si="8"/>
        <v>#VALUE!</v>
      </c>
      <c r="R12" s="64">
        <f t="shared" si="9"/>
        <v>32</v>
      </c>
      <c r="S12" s="64" t="str">
        <f>IFERROR(VLOOKUP(MID(N12,Q12,R12-Q12),[6]skilldef!$C:$D,2,FALSE),"-") &amp; " / " &amp; IFERROR(VLOOKUP(MID(N12,O12,P12-O12),[6]skilldef!$A:$B,2,FALSE),"-")</f>
        <v>- / -</v>
      </c>
      <c r="T12" s="48" t="str">
        <f t="shared" si="10"/>
        <v xml:space="preserve">[effect:rush, count:2, val:0.5]    </v>
      </c>
      <c r="U12" s="64">
        <f t="shared" si="11"/>
        <v>9</v>
      </c>
      <c r="V12" s="64">
        <f t="shared" si="12"/>
        <v>13</v>
      </c>
      <c r="W12" s="64" t="e">
        <f t="shared" si="13"/>
        <v>#VALUE!</v>
      </c>
      <c r="X12" s="64">
        <f t="shared" si="14"/>
        <v>22</v>
      </c>
      <c r="Y12" s="64" t="str">
        <f>IFERROR(VLOOKUP(MID(T12,W12,X12-W12),[6]skilldef!$C:$D,2,FALSE),"-") &amp; " / " &amp; IFERROR(VLOOKUP(MID(T12,U12,V12-U12),[6]skilldef!$A:$B,2,FALSE),"-")</f>
        <v>- / 連続攻撃</v>
      </c>
      <c r="Z12" s="50"/>
      <c r="AA12" s="52"/>
      <c r="AB12" s="50"/>
    </row>
    <row r="13" spans="1:28" ht="31" customHeight="1" x14ac:dyDescent="0.15">
      <c r="A13" s="135">
        <v>48703104</v>
      </c>
      <c r="B13" s="47" t="s">
        <v>271</v>
      </c>
      <c r="C13" s="50">
        <v>1</v>
      </c>
      <c r="D13" s="50" t="s">
        <v>127</v>
      </c>
      <c r="E13" s="112" t="s">
        <v>405</v>
      </c>
      <c r="F13" s="51" t="s">
        <v>342</v>
      </c>
      <c r="G13" s="64" t="str">
        <f t="shared" si="0"/>
        <v>[effect:enemy_message, val1:1.2, val2:1.2]</v>
      </c>
      <c r="H13" s="64">
        <f t="shared" si="1"/>
        <v>9</v>
      </c>
      <c r="I13" s="64">
        <f t="shared" si="2"/>
        <v>22</v>
      </c>
      <c r="J13" s="64" t="e">
        <f t="shared" si="3"/>
        <v>#VALUE!</v>
      </c>
      <c r="K13" s="64">
        <f t="shared" si="4"/>
        <v>32</v>
      </c>
      <c r="L13" s="64" t="str">
        <f>IFERROR(VLOOKUP(MID(G13,J13,K13-J13),[6]skilldef!$C:$D,2,FALSE),"-") &amp; " / " &amp; IFERROR(VLOOKUP(MID(G13,H13,I13-H13),[6]skilldef!$A:$B,2,FALSE),"-")</f>
        <v>- / -</v>
      </c>
      <c r="M13" s="64" t="str">
        <f t="shared" si="5"/>
        <v>[effect:crash_condition, target:unit_all, turn:3, val:3, animation:enemy_crash_extend]</v>
      </c>
      <c r="N13" s="48" t="str">
        <f>IFERROR(LEFT(M13,FIND("],",M13)+#REF!),M13)</f>
        <v>[effect:crash_condition, target:unit_all, turn:3, val:3, animation:enemy_crash_extend]</v>
      </c>
      <c r="O13" s="64">
        <f t="shared" si="6"/>
        <v>9</v>
      </c>
      <c r="P13" s="64">
        <f t="shared" si="7"/>
        <v>24</v>
      </c>
      <c r="Q13" s="64">
        <f t="shared" si="8"/>
        <v>33</v>
      </c>
      <c r="R13" s="64">
        <f t="shared" si="9"/>
        <v>41</v>
      </c>
      <c r="S13" s="64" t="str">
        <f>IFERROR(VLOOKUP(MID(N13,Q13,R13-Q13),[6]skilldef!$C:$D,2,FALSE),"-") &amp; " / " &amp; IFERROR(VLOOKUP(MID(N13,O13,P13-O13),[6]skilldef!$A:$B,2,FALSE),"-")</f>
        <v>味方全体に / -</v>
      </c>
      <c r="T13" s="48" t="str">
        <f t="shared" si="10"/>
        <v>none</v>
      </c>
      <c r="U13" s="64" t="e">
        <f t="shared" si="11"/>
        <v>#VALUE!</v>
      </c>
      <c r="V13" s="64">
        <f t="shared" si="12"/>
        <v>4</v>
      </c>
      <c r="W13" s="64" t="e">
        <f t="shared" si="13"/>
        <v>#VALUE!</v>
      </c>
      <c r="X13" s="64" t="e">
        <f t="shared" si="14"/>
        <v>#VALUE!</v>
      </c>
      <c r="Y13" s="64" t="str">
        <f>IFERROR(VLOOKUP(MID(T13,W13,X13-W13),[6]skilldef!$C:$D,2,FALSE),"-") &amp; " / " &amp; IFERROR(VLOOKUP(MID(T13,U13,V13-U13),[6]skilldef!$A:$B,2,FALSE),"-")</f>
        <v>- / -</v>
      </c>
      <c r="Z13" s="50"/>
      <c r="AA13" s="52"/>
      <c r="AB13" s="50"/>
    </row>
    <row r="14" spans="1:28" ht="21" customHeight="1" x14ac:dyDescent="0.15">
      <c r="A14" s="135">
        <v>48703105</v>
      </c>
      <c r="B14" s="47" t="s">
        <v>306</v>
      </c>
      <c r="C14" s="50">
        <v>1</v>
      </c>
      <c r="D14" s="50" t="s">
        <v>127</v>
      </c>
      <c r="E14" s="112" t="s">
        <v>406</v>
      </c>
      <c r="F14" s="51" t="s">
        <v>401</v>
      </c>
      <c r="G14" s="64" t="str">
        <f t="shared" si="0"/>
        <v>[effect:enemy_message, val1:1.2, val2:1.2]</v>
      </c>
      <c r="H14" s="64">
        <f t="shared" si="1"/>
        <v>9</v>
      </c>
      <c r="I14" s="64">
        <f t="shared" si="2"/>
        <v>22</v>
      </c>
      <c r="J14" s="64" t="e">
        <f t="shared" si="3"/>
        <v>#VALUE!</v>
      </c>
      <c r="K14" s="64">
        <f t="shared" si="4"/>
        <v>32</v>
      </c>
      <c r="L14" s="64" t="str">
        <f>IFERROR(VLOOKUP(MID(G14,J14,K14-J14),[6]skilldef!$C:$D,2,FALSE),"-") &amp; " / " &amp; IFERROR(VLOOKUP(MID(G14,H14,I14-H14),[6]skilldef!$A:$B,2,FALSE),"-")</f>
        <v>- / -</v>
      </c>
      <c r="M14" s="64" t="str">
        <f t="shared" si="5"/>
        <v>[effect:critical, val:1.2, animation:enemy_critical]</v>
      </c>
      <c r="N14" s="48" t="str">
        <f>IFERROR(LEFT(M14,FIND("],",M14)+#REF!),M14)</f>
        <v>[effect:critical, val:1.2, animation:enemy_critical]</v>
      </c>
      <c r="O14" s="64">
        <f t="shared" si="6"/>
        <v>9</v>
      </c>
      <c r="P14" s="64">
        <f t="shared" si="7"/>
        <v>17</v>
      </c>
      <c r="Q14" s="64" t="e">
        <f t="shared" si="8"/>
        <v>#VALUE!</v>
      </c>
      <c r="R14" s="64">
        <f t="shared" si="9"/>
        <v>26</v>
      </c>
      <c r="S14" s="64" t="str">
        <f>IFERROR(VLOOKUP(MID(N14,Q14,R14-Q14),[6]skilldef!$C:$D,2,FALSE),"-") &amp; " / " &amp; IFERROR(VLOOKUP(MID(N14,O14,P14-O14),[6]skilldef!$A:$B,2,FALSE),"-")</f>
        <v>- / 大攻撃</v>
      </c>
      <c r="T14" s="48" t="str">
        <f t="shared" si="10"/>
        <v>none</v>
      </c>
      <c r="U14" s="64" t="e">
        <f t="shared" si="11"/>
        <v>#VALUE!</v>
      </c>
      <c r="V14" s="64">
        <f t="shared" si="12"/>
        <v>4</v>
      </c>
      <c r="W14" s="64" t="e">
        <f t="shared" si="13"/>
        <v>#VALUE!</v>
      </c>
      <c r="X14" s="64" t="e">
        <f t="shared" si="14"/>
        <v>#VALUE!</v>
      </c>
      <c r="Y14" s="64" t="str">
        <f>IFERROR(VLOOKUP(MID(T14,W14,X14-W14),[6]skilldef!$C:$D,2,FALSE),"-") &amp; " / " &amp; IFERROR(VLOOKUP(MID(T14,U14,V14-U14),[6]skilldef!$A:$B,2,FALSE),"-")</f>
        <v>- / -</v>
      </c>
      <c r="Z14" s="50"/>
      <c r="AA14" s="52"/>
      <c r="AB14" s="50"/>
    </row>
    <row r="15" spans="1:28" s="122" customFormat="1" ht="21" customHeight="1" thickBot="1" x14ac:dyDescent="0.2">
      <c r="A15" s="147">
        <v>48703106</v>
      </c>
      <c r="B15" s="116" t="s">
        <v>274</v>
      </c>
      <c r="C15" s="117">
        <v>1</v>
      </c>
      <c r="D15" s="117" t="s">
        <v>127</v>
      </c>
      <c r="E15" s="112" t="s">
        <v>407</v>
      </c>
      <c r="F15" s="118" t="s">
        <v>343</v>
      </c>
      <c r="G15" s="119" t="str">
        <f t="shared" si="0"/>
        <v>[effect:enemy_message, val1:1.2, val2:1.2]</v>
      </c>
      <c r="H15" s="119">
        <f t="shared" si="1"/>
        <v>9</v>
      </c>
      <c r="I15" s="119">
        <f t="shared" si="2"/>
        <v>22</v>
      </c>
      <c r="J15" s="119" t="e">
        <f t="shared" si="3"/>
        <v>#VALUE!</v>
      </c>
      <c r="K15" s="119">
        <f t="shared" si="4"/>
        <v>32</v>
      </c>
      <c r="L15" s="119" t="str">
        <f>IFERROR(VLOOKUP(MID(G15,J15,K15-J15),[6]skilldef!$C:$D,2,FALSE),"-") &amp; " / " &amp; IFERROR(VLOOKUP(MID(G15,H15,I15-H15),[6]skilldef!$A:$B,2,FALSE),"-")</f>
        <v>- / -</v>
      </c>
      <c r="M15" s="119" t="str">
        <f t="shared" si="5"/>
        <v>[effect:enemy_message, val1:1.2, val2:1.2],[effect:enemy_message, val1:1.2, val2:1.2],[effect:enemy_message, val1:1.2, val2:1.2],[effect:rush, count:1, val:40]</v>
      </c>
      <c r="N15" s="120" t="str">
        <f>IFERROR(LEFT(M15,FIND("],",M15)+S23),M15)</f>
        <v>[effect:enemy_message, val1:1.2, val2:1.2],[effect:enemy_message, val1:1.2, val2:1.2],[effect:enemy_message, val1:1.2, val2:1.2],[effect:rush, count:1, val:40]</v>
      </c>
      <c r="O15" s="119">
        <f t="shared" si="6"/>
        <v>9</v>
      </c>
      <c r="P15" s="119">
        <f t="shared" si="7"/>
        <v>22</v>
      </c>
      <c r="Q15" s="119" t="e">
        <f t="shared" si="8"/>
        <v>#VALUE!</v>
      </c>
      <c r="R15" s="119">
        <f t="shared" si="9"/>
        <v>32</v>
      </c>
      <c r="S15" s="119" t="str">
        <f>IFERROR(VLOOKUP(MID(N15,Q15,R15-Q15),[6]skilldef!$C:$D,2,FALSE),"-") &amp; " / " &amp; IFERROR(VLOOKUP(MID(N15,O15,P15-O15),[6]skilldef!$A:$B,2,FALSE),"-")</f>
        <v>- / -</v>
      </c>
      <c r="T15" s="120" t="str">
        <f t="shared" si="10"/>
        <v>[effect:enemy_message, val1:1.2, val2:1.2],[effect:enemy_message, val1:1.2, val2:1.2],[effect:rush, count:1, val:40]</v>
      </c>
      <c r="U15" s="119">
        <f t="shared" si="11"/>
        <v>9</v>
      </c>
      <c r="V15" s="119">
        <f t="shared" si="12"/>
        <v>22</v>
      </c>
      <c r="W15" s="119" t="e">
        <f t="shared" si="13"/>
        <v>#VALUE!</v>
      </c>
      <c r="X15" s="119">
        <f t="shared" si="14"/>
        <v>32</v>
      </c>
      <c r="Y15" s="119" t="str">
        <f>IFERROR(VLOOKUP(MID(T15,W15,X15-W15),[6]skilldef!$C:$D,2,FALSE),"-") &amp; " / " &amp; IFERROR(VLOOKUP(MID(T15,U15,V15-U15),[6]skilldef!$A:$B,2,FALSE),"-")</f>
        <v>- / -</v>
      </c>
      <c r="Z15" s="117"/>
      <c r="AA15" s="121"/>
      <c r="AB15" s="117"/>
    </row>
    <row r="16" spans="1:28" ht="21" customHeight="1" x14ac:dyDescent="0.15">
      <c r="A16" s="139">
        <v>48703201</v>
      </c>
      <c r="B16" s="110" t="s">
        <v>319</v>
      </c>
      <c r="C16" s="111">
        <v>1</v>
      </c>
      <c r="D16" s="111" t="s">
        <v>127</v>
      </c>
      <c r="E16" s="112" t="s">
        <v>408</v>
      </c>
      <c r="F16" s="112" t="s">
        <v>344</v>
      </c>
      <c r="G16" s="113" t="str">
        <f t="shared" si="0"/>
        <v>[effect:enemy_message, val1:1.2, val2:1.2]</v>
      </c>
      <c r="H16" s="113">
        <f t="shared" si="1"/>
        <v>9</v>
      </c>
      <c r="I16" s="113">
        <f t="shared" si="2"/>
        <v>22</v>
      </c>
      <c r="J16" s="113" t="e">
        <f t="shared" si="3"/>
        <v>#VALUE!</v>
      </c>
      <c r="K16" s="113">
        <f t="shared" si="4"/>
        <v>32</v>
      </c>
      <c r="L16" s="113" t="str">
        <f>IFERROR(VLOOKUP(MID(G16,J16,K16-J16),[6]skilldef!$C:$D,2,FALSE),"-") &amp; " / " &amp; IFERROR(VLOOKUP(MID(G16,H16,I16-H16),[6]skilldef!$A:$B,2,FALSE),"-")</f>
        <v>- / -</v>
      </c>
      <c r="M16" s="113" t="str">
        <f t="shared" si="5"/>
        <v xml:space="preserve">[effect:tolerance, target:myself, turn:-1, count:-1, tolerance_effect:all, animation:enemy_tolerance],[effect:virus, turn:5, rate:1, val:0.05, animation:enemy_virus]    </v>
      </c>
      <c r="N16" s="114" t="str">
        <f>IFERROR(LEFT(M16,FIND("],",M16)+S24),M16)</f>
        <v xml:space="preserve">[effect:tolerance, target:myself, turn:-1, count:-1, tolerance_effect:all, animation:enemy_tolerance],[effect:virus, turn:5, rate:1, val:0.05, animation:enemy_virus]    </v>
      </c>
      <c r="O16" s="113">
        <f t="shared" si="6"/>
        <v>9</v>
      </c>
      <c r="P16" s="113">
        <f t="shared" si="7"/>
        <v>18</v>
      </c>
      <c r="Q16" s="113">
        <f t="shared" si="8"/>
        <v>27</v>
      </c>
      <c r="R16" s="113">
        <f t="shared" si="9"/>
        <v>33</v>
      </c>
      <c r="S16" s="113" t="str">
        <f>IFERROR(VLOOKUP(MID(N16,Q16,R16-Q16),[6]skilldef!$C:$D,2,FALSE),"-") &amp; " / " &amp; IFERROR(VLOOKUP(MID(N16,O16,P16-O16),[6]skilldef!$A:$B,2,FALSE),"-")</f>
        <v>自分自身に / 状態異常耐性</v>
      </c>
      <c r="T16" s="114" t="str">
        <f t="shared" si="10"/>
        <v xml:space="preserve">[effect:virus, turn:5, rate:1, val:0.05, animation:enemy_virus]    </v>
      </c>
      <c r="U16" s="113">
        <f t="shared" si="11"/>
        <v>9</v>
      </c>
      <c r="V16" s="113">
        <f t="shared" si="12"/>
        <v>14</v>
      </c>
      <c r="W16" s="113" t="e">
        <f t="shared" si="13"/>
        <v>#VALUE!</v>
      </c>
      <c r="X16" s="113">
        <f t="shared" si="14"/>
        <v>22</v>
      </c>
      <c r="Y16" s="113" t="str">
        <f>IFERROR(VLOOKUP(MID(T16,W16,X16-W16),[6]skilldef!$C:$D,2,FALSE),"-") &amp; " / " &amp; IFERROR(VLOOKUP(MID(T16,U16,V16-U16),[6]skilldef!$A:$B,2,FALSE),"-")</f>
        <v>- / ウィルス</v>
      </c>
      <c r="Z16" s="111"/>
      <c r="AA16" s="115"/>
      <c r="AB16" s="111"/>
    </row>
    <row r="17" spans="1:28" ht="21" customHeight="1" x14ac:dyDescent="0.15">
      <c r="A17" s="139">
        <v>48703202</v>
      </c>
      <c r="B17" s="47" t="s">
        <v>399</v>
      </c>
      <c r="C17" s="50">
        <v>1</v>
      </c>
      <c r="D17" s="50" t="s">
        <v>127</v>
      </c>
      <c r="E17" s="112" t="s">
        <v>409</v>
      </c>
      <c r="F17" s="51" t="s">
        <v>388</v>
      </c>
      <c r="G17" s="64" t="str">
        <f t="shared" si="0"/>
        <v>[effect:enemy_message, val1:1.2, val2:1.2]</v>
      </c>
      <c r="H17" s="64">
        <f t="shared" si="1"/>
        <v>9</v>
      </c>
      <c r="I17" s="64">
        <f t="shared" si="2"/>
        <v>22</v>
      </c>
      <c r="J17" s="64" t="e">
        <f t="shared" si="3"/>
        <v>#VALUE!</v>
      </c>
      <c r="K17" s="64">
        <f t="shared" si="4"/>
        <v>32</v>
      </c>
      <c r="L17" s="64" t="str">
        <f>IFERROR(VLOOKUP(MID(G17,J17,K17-J17),[6]skilldef!$C:$D,2,FALSE),"-") &amp; " / " &amp; IFERROR(VLOOKUP(MID(G17,H17,I17-H17),[6]skilldef!$A:$B,2,FALSE),"-")</f>
        <v>- / -</v>
      </c>
      <c r="M17" s="64" t="str">
        <f t="shared" si="5"/>
        <v>[effect:force_change_block, new_block:damage, target:block_all, ignore01:block_positive, count:2, val:0.2],[effect:enhance_enemy, target:myself, turn:3, status:attack, val:0.3, calc:mul, animation:enemy_enhance_attack]</v>
      </c>
      <c r="N17" s="48" t="str">
        <f>IFERROR(LEFT(M17,FIND("],",M17)+S25),M17)</f>
        <v>[effect:force_change_block, new_block:damage, target:block_all, ignore01:block_positive, count:2, val:0.2],[effect:enhance_enemy, target:myself, turn:3, status:attack, val:0.3, calc:mul, animation:enemy_enhance_attack]</v>
      </c>
      <c r="O17" s="64">
        <f t="shared" si="6"/>
        <v>9</v>
      </c>
      <c r="P17" s="64">
        <f t="shared" si="7"/>
        <v>27</v>
      </c>
      <c r="Q17" s="64">
        <f t="shared" si="8"/>
        <v>54</v>
      </c>
      <c r="R17" s="64">
        <f t="shared" si="9"/>
        <v>45</v>
      </c>
      <c r="S17" s="64" t="str">
        <f>IFERROR(VLOOKUP(MID(N17,Q17,R17-Q17),[6]skilldef!$C:$D,2,FALSE),"-") &amp; " / " &amp; IFERROR(VLOOKUP(MID(N17,O17,P17-O17),[6]skilldef!$A:$B,2,FALSE),"-")</f>
        <v>- / -</v>
      </c>
      <c r="T17" s="48" t="str">
        <f t="shared" si="10"/>
        <v>[effect:enhance_enemy, target:myself, turn:3, status:attack, val:0.3, calc:mul, animation:enemy_enhance_attack]</v>
      </c>
      <c r="U17" s="64">
        <f t="shared" si="11"/>
        <v>9</v>
      </c>
      <c r="V17" s="64">
        <f t="shared" si="12"/>
        <v>22</v>
      </c>
      <c r="W17" s="64">
        <f t="shared" si="13"/>
        <v>31</v>
      </c>
      <c r="X17" s="64">
        <f t="shared" si="14"/>
        <v>37</v>
      </c>
      <c r="Y17" s="64" t="str">
        <f>IFERROR(VLOOKUP(MID(T17,W17,X17-W17),[6]skilldef!$C:$D,2,FALSE),"-") &amp; " / " &amp; IFERROR(VLOOKUP(MID(T17,U17,V17-U17),[6]skilldef!$A:$B,2,FALSE),"-")</f>
        <v>自分自身に / ステータス強化</v>
      </c>
      <c r="Z17" s="50"/>
      <c r="AA17" s="52"/>
      <c r="AB17" s="50"/>
    </row>
    <row r="18" spans="1:28" ht="21" customHeight="1" x14ac:dyDescent="0.15">
      <c r="A18" s="139">
        <v>48703203</v>
      </c>
      <c r="B18" s="47" t="s">
        <v>317</v>
      </c>
      <c r="C18" s="50">
        <v>1</v>
      </c>
      <c r="D18" s="50" t="s">
        <v>127</v>
      </c>
      <c r="E18" s="112" t="s">
        <v>410</v>
      </c>
      <c r="F18" s="51" t="s">
        <v>331</v>
      </c>
      <c r="G18" s="64" t="str">
        <f t="shared" si="0"/>
        <v>[effect:enemy_message, val1:1.2, val2:1.2]</v>
      </c>
      <c r="H18" s="64">
        <f t="shared" si="1"/>
        <v>9</v>
      </c>
      <c r="I18" s="64">
        <f t="shared" si="2"/>
        <v>22</v>
      </c>
      <c r="J18" s="64" t="e">
        <f t="shared" si="3"/>
        <v>#VALUE!</v>
      </c>
      <c r="K18" s="64">
        <f t="shared" si="4"/>
        <v>32</v>
      </c>
      <c r="L18" s="64" t="str">
        <f>IFERROR(VLOOKUP(MID(G18,J18,K18-J18),[6]skilldef!$C:$D,2,FALSE),"-") &amp; " / " &amp; IFERROR(VLOOKUP(MID(G18,H18,I18-H18),[6]skilldef!$A:$B,2,FALSE),"-")</f>
        <v>- / -</v>
      </c>
      <c r="M18" s="64" t="str">
        <f t="shared" si="5"/>
        <v xml:space="preserve">[effect:enemy_message, val1:1.2, val2:1.2],[effect:rush, count:4, val:0.4]    </v>
      </c>
      <c r="N18" s="48" t="str">
        <f>IFERROR(LEFT(M18,FIND("],",M18)+S26),M18)</f>
        <v xml:space="preserve">[effect:enemy_message, val1:1.2, val2:1.2],[effect:rush, count:4, val:0.4]    </v>
      </c>
      <c r="O18" s="64">
        <f t="shared" si="6"/>
        <v>9</v>
      </c>
      <c r="P18" s="64">
        <f t="shared" si="7"/>
        <v>22</v>
      </c>
      <c r="Q18" s="64" t="e">
        <f t="shared" si="8"/>
        <v>#VALUE!</v>
      </c>
      <c r="R18" s="64">
        <f t="shared" si="9"/>
        <v>32</v>
      </c>
      <c r="S18" s="64" t="str">
        <f>IFERROR(VLOOKUP(MID(N18,Q18,R18-Q18),[6]skilldef!$C:$D,2,FALSE),"-") &amp; " / " &amp; IFERROR(VLOOKUP(MID(N18,O18,P18-O18),[6]skilldef!$A:$B,2,FALSE),"-")</f>
        <v>- / -</v>
      </c>
      <c r="T18" s="48" t="str">
        <f t="shared" si="10"/>
        <v xml:space="preserve">[effect:rush, count:4, val:0.4]    </v>
      </c>
      <c r="U18" s="64">
        <f t="shared" si="11"/>
        <v>9</v>
      </c>
      <c r="V18" s="64">
        <f t="shared" si="12"/>
        <v>13</v>
      </c>
      <c r="W18" s="64" t="e">
        <f t="shared" si="13"/>
        <v>#VALUE!</v>
      </c>
      <c r="X18" s="64">
        <f t="shared" si="14"/>
        <v>22</v>
      </c>
      <c r="Y18" s="64" t="str">
        <f>IFERROR(VLOOKUP(MID(T18,W18,X18-W18),[6]skilldef!$C:$D,2,FALSE),"-") &amp; " / " &amp; IFERROR(VLOOKUP(MID(T18,U18,V18-U18),[6]skilldef!$A:$B,2,FALSE),"-")</f>
        <v>- / 連続攻撃</v>
      </c>
      <c r="Z18" s="50"/>
      <c r="AA18" s="52"/>
      <c r="AB18" s="50"/>
    </row>
    <row r="19" spans="1:28" ht="21" customHeight="1" x14ac:dyDescent="0.15">
      <c r="A19" s="139">
        <v>48703204</v>
      </c>
      <c r="B19" s="47" t="s">
        <v>417</v>
      </c>
      <c r="C19" s="50">
        <v>1</v>
      </c>
      <c r="D19" s="50" t="s">
        <v>127</v>
      </c>
      <c r="E19" s="112" t="s">
        <v>411</v>
      </c>
      <c r="F19" s="51" t="s">
        <v>389</v>
      </c>
      <c r="G19" s="64" t="str">
        <f t="shared" si="0"/>
        <v>[effect:enemy_message, val1:1.2, val2:1.2]</v>
      </c>
      <c r="H19" s="64">
        <f t="shared" si="1"/>
        <v>9</v>
      </c>
      <c r="I19" s="64">
        <f t="shared" si="2"/>
        <v>22</v>
      </c>
      <c r="J19" s="64" t="e">
        <f t="shared" si="3"/>
        <v>#VALUE!</v>
      </c>
      <c r="K19" s="64">
        <f t="shared" si="4"/>
        <v>32</v>
      </c>
      <c r="L19" s="64" t="str">
        <f>IFERROR(VLOOKUP(MID(G19,J19,K19-J19),[6]skilldef!$C:$D,2,FALSE),"-") &amp; " / " &amp; IFERROR(VLOOKUP(MID(G19,H19,I19-H19),[6]skilldef!$A:$B,2,FALSE),"-")</f>
        <v>- / -</v>
      </c>
      <c r="M19" s="64" t="str">
        <f t="shared" si="5"/>
        <v>[effect:attack_break, target:unit_all, turn:5, val:0.4, calc:mul, animation:attack_break02]</v>
      </c>
      <c r="N19" s="48" t="str">
        <f>IFERROR(LEFT(M19,FIND("],",M19)+S27),M19)</f>
        <v>[effect:attack_break, target:unit_all, turn:5, val:0.4, calc:mul, animation:attack_break02]</v>
      </c>
      <c r="O19" s="64">
        <f t="shared" si="6"/>
        <v>9</v>
      </c>
      <c r="P19" s="64">
        <f t="shared" si="7"/>
        <v>21</v>
      </c>
      <c r="Q19" s="64">
        <f t="shared" si="8"/>
        <v>30</v>
      </c>
      <c r="R19" s="64">
        <f t="shared" si="9"/>
        <v>38</v>
      </c>
      <c r="S19" s="64" t="str">
        <f>IFERROR(VLOOKUP(MID(N19,Q19,R19-Q19),[6]skilldef!$C:$D,2,FALSE),"-") &amp; " / " &amp; IFERROR(VLOOKUP(MID(N19,O19,P19-O19),[6]skilldef!$A:$B,2,FALSE),"-")</f>
        <v>味方全体に / -</v>
      </c>
      <c r="T19" s="48" t="str">
        <f t="shared" si="10"/>
        <v>none</v>
      </c>
      <c r="U19" s="64" t="e">
        <f t="shared" si="11"/>
        <v>#VALUE!</v>
      </c>
      <c r="V19" s="64">
        <f t="shared" si="12"/>
        <v>4</v>
      </c>
      <c r="W19" s="64" t="e">
        <f t="shared" si="13"/>
        <v>#VALUE!</v>
      </c>
      <c r="X19" s="64" t="e">
        <f t="shared" si="14"/>
        <v>#VALUE!</v>
      </c>
      <c r="Y19" s="64" t="str">
        <f>IFERROR(VLOOKUP(MID(T19,W19,X19-W19),[6]skilldef!$C:$D,2,FALSE),"-") &amp; " / " &amp; IFERROR(VLOOKUP(MID(T19,U19,V19-U19),[6]skilldef!$A:$B,2,FALSE),"-")</f>
        <v>- / -</v>
      </c>
      <c r="Z19" s="50"/>
      <c r="AA19" s="52"/>
      <c r="AB19" s="50"/>
    </row>
    <row r="20" spans="1:28" ht="21" customHeight="1" x14ac:dyDescent="0.15">
      <c r="A20" s="139">
        <v>48703205</v>
      </c>
      <c r="B20" s="47" t="s">
        <v>265</v>
      </c>
      <c r="C20" s="50">
        <v>1</v>
      </c>
      <c r="D20" s="50" t="s">
        <v>127</v>
      </c>
      <c r="E20" s="112" t="s">
        <v>412</v>
      </c>
      <c r="F20" s="51" t="s">
        <v>273</v>
      </c>
      <c r="G20" s="64" t="str">
        <f t="shared" si="0"/>
        <v>[effect:enemy_message, val1:1.2, val2:1.2]</v>
      </c>
      <c r="H20" s="64">
        <f t="shared" si="1"/>
        <v>9</v>
      </c>
      <c r="I20" s="64">
        <f t="shared" si="2"/>
        <v>22</v>
      </c>
      <c r="J20" s="64" t="e">
        <f t="shared" si="3"/>
        <v>#VALUE!</v>
      </c>
      <c r="K20" s="64">
        <f t="shared" si="4"/>
        <v>32</v>
      </c>
      <c r="L20" s="64" t="str">
        <f>IFERROR(VLOOKUP(MID(G20,J20,K20-J20),[6]skilldef!$C:$D,2,FALSE),"-") &amp; " / " &amp; IFERROR(VLOOKUP(MID(G20,H20,I20-H20),[6]skilldef!$A:$B,2,FALSE),"-")</f>
        <v>- / -</v>
      </c>
      <c r="M20" s="64" t="str">
        <f t="shared" si="5"/>
        <v xml:space="preserve">[effect:spread, val:0.4]    </v>
      </c>
      <c r="N20" s="48" t="str">
        <f>IFERROR(LEFT(M20,FIND("],",M20)+S28),M20)</f>
        <v xml:space="preserve">[effect:spread, val:0.4]    </v>
      </c>
      <c r="O20" s="64">
        <f t="shared" si="6"/>
        <v>9</v>
      </c>
      <c r="P20" s="64">
        <f t="shared" si="7"/>
        <v>15</v>
      </c>
      <c r="Q20" s="64" t="e">
        <f t="shared" si="8"/>
        <v>#VALUE!</v>
      </c>
      <c r="R20" s="64" t="e">
        <f t="shared" si="9"/>
        <v>#VALUE!</v>
      </c>
      <c r="S20" s="64" t="str">
        <f>IFERROR(VLOOKUP(MID(N20,Q20,R20-Q20),[6]skilldef!$C:$D,2,FALSE),"-") &amp; " / " &amp; IFERROR(VLOOKUP(MID(N20,O20,P20-O20),[6]skilldef!$A:$B,2,FALSE),"-")</f>
        <v>- / 全体攻撃</v>
      </c>
      <c r="T20" s="48" t="str">
        <f t="shared" si="10"/>
        <v>none</v>
      </c>
      <c r="U20" s="64" t="e">
        <f t="shared" si="11"/>
        <v>#VALUE!</v>
      </c>
      <c r="V20" s="64">
        <f t="shared" si="12"/>
        <v>4</v>
      </c>
      <c r="W20" s="64" t="e">
        <f t="shared" si="13"/>
        <v>#VALUE!</v>
      </c>
      <c r="X20" s="64" t="e">
        <f t="shared" si="14"/>
        <v>#VALUE!</v>
      </c>
      <c r="Y20" s="64" t="str">
        <f>IFERROR(VLOOKUP(MID(T20,W20,X20-W20),[6]skilldef!$C:$D,2,FALSE),"-") &amp; " / " &amp; IFERROR(VLOOKUP(MID(T20,U20,V20-U20),[6]skilldef!$A:$B,2,FALSE),"-")</f>
        <v>- / -</v>
      </c>
      <c r="Z20" s="50"/>
      <c r="AA20" s="52"/>
      <c r="AB20" s="50"/>
    </row>
    <row r="21" spans="1:28" ht="21" customHeight="1" x14ac:dyDescent="0.15">
      <c r="A21" s="139">
        <v>48703206</v>
      </c>
      <c r="B21" s="47" t="s">
        <v>416</v>
      </c>
      <c r="C21" s="50">
        <v>1</v>
      </c>
      <c r="D21" s="50" t="s">
        <v>127</v>
      </c>
      <c r="E21" s="112" t="s">
        <v>413</v>
      </c>
      <c r="F21" s="51" t="s">
        <v>275</v>
      </c>
      <c r="G21" s="64" t="str">
        <f t="shared" si="0"/>
        <v>[effect:enemy_message, val1:1.2, val2:1.2]</v>
      </c>
      <c r="H21" s="64">
        <f t="shared" si="1"/>
        <v>9</v>
      </c>
      <c r="I21" s="64">
        <f t="shared" si="2"/>
        <v>22</v>
      </c>
      <c r="J21" s="64" t="e">
        <f t="shared" si="3"/>
        <v>#VALUE!</v>
      </c>
      <c r="K21" s="64">
        <f t="shared" si="4"/>
        <v>32</v>
      </c>
      <c r="L21" s="64" t="str">
        <f>IFERROR(VLOOKUP(MID(G21,J21,K21-J21),[6]skilldef!$C:$D,2,FALSE),"-") &amp; " / " &amp; IFERROR(VLOOKUP(MID(G21,H21,I21-H21),[6]skilldef!$A:$B,2,FALSE),"-")</f>
        <v>- / -</v>
      </c>
      <c r="M21" s="64" t="str">
        <f t="shared" si="5"/>
        <v xml:space="preserve">[effect:enemy_message, val1:1.2, val2:1.2],[effect:enemy_message, val1:1.2, val2:1.2],[effect:rush, count:1, val:0.9]    </v>
      </c>
      <c r="N21" s="48" t="str">
        <f>IFERROR(LEFT(M21,FIND("],",M21)+S29),M21)</f>
        <v xml:space="preserve">[effect:enemy_message, val1:1.2, val2:1.2],[effect:enemy_message, val1:1.2, val2:1.2],[effect:rush, count:1, val:0.9]    </v>
      </c>
      <c r="O21" s="64">
        <f t="shared" si="6"/>
        <v>9</v>
      </c>
      <c r="P21" s="64">
        <f t="shared" si="7"/>
        <v>22</v>
      </c>
      <c r="Q21" s="64" t="e">
        <f t="shared" si="8"/>
        <v>#VALUE!</v>
      </c>
      <c r="R21" s="64">
        <f t="shared" si="9"/>
        <v>32</v>
      </c>
      <c r="S21" s="64" t="str">
        <f>IFERROR(VLOOKUP(MID(N21,Q21,R21-Q21),[6]skilldef!$C:$D,2,FALSE),"-") &amp; " / " &amp; IFERROR(VLOOKUP(MID(N21,O21,P21-O21),[6]skilldef!$A:$B,2,FALSE),"-")</f>
        <v>- / -</v>
      </c>
      <c r="T21" s="48" t="str">
        <f t="shared" si="10"/>
        <v xml:space="preserve">[effect:enemy_message, val1:1.2, val2:1.2],[effect:rush, count:1, val:0.9]    </v>
      </c>
      <c r="U21" s="64">
        <f t="shared" si="11"/>
        <v>9</v>
      </c>
      <c r="V21" s="64">
        <f t="shared" si="12"/>
        <v>22</v>
      </c>
      <c r="W21" s="64" t="e">
        <f t="shared" si="13"/>
        <v>#VALUE!</v>
      </c>
      <c r="X21" s="64">
        <f t="shared" si="14"/>
        <v>32</v>
      </c>
      <c r="Y21" s="64" t="str">
        <f>IFERROR(VLOOKUP(MID(T21,W21,X21-W21),[6]skilldef!$C:$D,2,FALSE),"-") &amp; " / " &amp; IFERROR(VLOOKUP(MID(T21,U21,V21-U21),[6]skilldef!$A:$B,2,FALSE),"-")</f>
        <v>- / -</v>
      </c>
      <c r="Z21" s="50"/>
      <c r="AA21" s="52"/>
      <c r="AB21" s="50"/>
    </row>
    <row r="22" spans="1:28" ht="30" customHeight="1" x14ac:dyDescent="0.15">
      <c r="A22" s="139">
        <v>48703207</v>
      </c>
      <c r="B22" s="47" t="s">
        <v>329</v>
      </c>
      <c r="C22" s="50">
        <v>1</v>
      </c>
      <c r="D22" s="50" t="s">
        <v>127</v>
      </c>
      <c r="E22" s="112" t="s">
        <v>414</v>
      </c>
      <c r="F22" s="51" t="s">
        <v>394</v>
      </c>
      <c r="G22" s="64" t="str">
        <f t="shared" si="0"/>
        <v>[effect:enemy_message, val1:1.2, val2:1.2]</v>
      </c>
      <c r="H22" s="64">
        <f t="shared" si="1"/>
        <v>9</v>
      </c>
      <c r="I22" s="64">
        <f t="shared" si="2"/>
        <v>22</v>
      </c>
      <c r="J22" s="64" t="e">
        <f t="shared" si="3"/>
        <v>#VALUE!</v>
      </c>
      <c r="K22" s="64">
        <f t="shared" si="4"/>
        <v>32</v>
      </c>
      <c r="L22" s="64" t="str">
        <f>IFERROR(VLOOKUP(MID(G22,J22,K22-J22),[6]skilldef!$C:$D,2,FALSE),"-") &amp; " / " &amp; IFERROR(VLOOKUP(MID(G22,H22,I22-H22),[6]skilldef!$A:$B,2,FALSE),"-")</f>
        <v>- / -</v>
      </c>
      <c r="M22" s="64" t="str">
        <f t="shared" si="5"/>
        <v>[effect:enemy_message, val1:1.2, val2:1.2],[effect:enemy_message, val1:1.2, val2:1.2],[effect:rush, count:1, val:1.0]</v>
      </c>
      <c r="N22" s="48" t="str">
        <f>IFERROR(LEFT(M22,FIND("],",M22)+S30),M22)</f>
        <v>[effect:enemy_message, val1:1.2, val2:1.2],[effect:enemy_message, val1:1.2, val2:1.2],[effect:rush, count:1, val:1.0]</v>
      </c>
      <c r="O22" s="64">
        <f t="shared" si="6"/>
        <v>9</v>
      </c>
      <c r="P22" s="64">
        <f t="shared" si="7"/>
        <v>22</v>
      </c>
      <c r="Q22" s="64" t="e">
        <f t="shared" si="8"/>
        <v>#VALUE!</v>
      </c>
      <c r="R22" s="64">
        <f t="shared" si="9"/>
        <v>32</v>
      </c>
      <c r="S22" s="64" t="str">
        <f>IFERROR(VLOOKUP(MID(N22,Q22,R22-Q22),[6]skilldef!$C:$D,2,FALSE),"-") &amp; " / " &amp; IFERROR(VLOOKUP(MID(N22,O22,P22-O22),[6]skilldef!$A:$B,2,FALSE),"-")</f>
        <v>- / -</v>
      </c>
      <c r="T22" s="48" t="str">
        <f t="shared" si="10"/>
        <v>[effect:enemy_message, val1:1.2, val2:1.2],[effect:rush, count:1, val:1.0]</v>
      </c>
      <c r="U22" s="64">
        <f t="shared" si="11"/>
        <v>9</v>
      </c>
      <c r="V22" s="64">
        <f t="shared" si="12"/>
        <v>22</v>
      </c>
      <c r="W22" s="64" t="e">
        <f t="shared" si="13"/>
        <v>#VALUE!</v>
      </c>
      <c r="X22" s="64">
        <f t="shared" si="14"/>
        <v>32</v>
      </c>
      <c r="Y22" s="64" t="str">
        <f>IFERROR(VLOOKUP(MID(T22,W22,X22-W22),[6]skilldef!$C:$D,2,FALSE),"-") &amp; " / " &amp; IFERROR(VLOOKUP(MID(T22,U22,V22-U22),[6]skilldef!$A:$B,2,FALSE),"-")</f>
        <v>- / -</v>
      </c>
      <c r="Z22" s="50"/>
      <c r="AA22" s="52"/>
      <c r="AB22" s="50"/>
    </row>
    <row r="23" spans="1:28" s="122" customFormat="1" ht="21" customHeight="1" thickBot="1" x14ac:dyDescent="0.2">
      <c r="A23" s="146">
        <v>48703208</v>
      </c>
      <c r="B23" s="116" t="s">
        <v>277</v>
      </c>
      <c r="C23" s="117">
        <v>1</v>
      </c>
      <c r="D23" s="117" t="s">
        <v>127</v>
      </c>
      <c r="E23" s="112" t="s">
        <v>415</v>
      </c>
      <c r="F23" s="118" t="s">
        <v>343</v>
      </c>
      <c r="G23" s="119" t="str">
        <f t="shared" si="0"/>
        <v>[effect:enemy_message, val1:1.2, val2:1.2]</v>
      </c>
      <c r="H23" s="119">
        <f t="shared" si="1"/>
        <v>9</v>
      </c>
      <c r="I23" s="119">
        <f t="shared" si="2"/>
        <v>22</v>
      </c>
      <c r="J23" s="119" t="e">
        <f t="shared" si="3"/>
        <v>#VALUE!</v>
      </c>
      <c r="K23" s="119">
        <f t="shared" si="4"/>
        <v>32</v>
      </c>
      <c r="L23" s="119" t="str">
        <f>IFERROR(VLOOKUP(MID(G23,J23,K23-J23),[6]skilldef!$C:$D,2,FALSE),"-") &amp; " / " &amp; IFERROR(VLOOKUP(MID(G23,H23,I23-H23),[6]skilldef!$A:$B,2,FALSE),"-")</f>
        <v>- / -</v>
      </c>
      <c r="M23" s="119" t="str">
        <f t="shared" si="5"/>
        <v>[effect:enemy_message, val1:1.2, val2:1.2],[effect:enemy_message, val1:1.2, val2:1.2],[effect:rush, count:1, val:80]</v>
      </c>
      <c r="N23" s="120" t="str">
        <f t="shared" si="27"/>
        <v>[effect:enemy_message, val1:1.2, val2:1.2],[effect:enemy_message, val1:1.2, val2:1.2],[effect:rush, count:1, val:80]</v>
      </c>
      <c r="O23" s="119">
        <f t="shared" si="6"/>
        <v>9</v>
      </c>
      <c r="P23" s="119">
        <f t="shared" si="7"/>
        <v>22</v>
      </c>
      <c r="Q23" s="119" t="e">
        <f t="shared" si="8"/>
        <v>#VALUE!</v>
      </c>
      <c r="R23" s="119">
        <f t="shared" si="9"/>
        <v>32</v>
      </c>
      <c r="S23" s="119" t="str">
        <f>IFERROR(VLOOKUP(MID(N23,Q23,R23-Q23),[6]skilldef!$C:$D,2,FALSE),"-") &amp; " / " &amp; IFERROR(VLOOKUP(MID(N23,O23,P23-O23),[6]skilldef!$A:$B,2,FALSE),"-")</f>
        <v>- / -</v>
      </c>
      <c r="T23" s="120" t="str">
        <f t="shared" si="10"/>
        <v>[effect:enemy_message, val1:1.2, val2:1.2],[effect:rush, count:1, val:80]</v>
      </c>
      <c r="U23" s="119">
        <f t="shared" si="11"/>
        <v>9</v>
      </c>
      <c r="V23" s="119">
        <f t="shared" si="12"/>
        <v>22</v>
      </c>
      <c r="W23" s="119" t="e">
        <f t="shared" si="13"/>
        <v>#VALUE!</v>
      </c>
      <c r="X23" s="119">
        <f t="shared" si="14"/>
        <v>32</v>
      </c>
      <c r="Y23" s="119" t="str">
        <f>IFERROR(VLOOKUP(MID(T23,W23,X23-W23),[6]skilldef!$C:$D,2,FALSE),"-") &amp; " / " &amp; IFERROR(VLOOKUP(MID(T23,U23,V23-U23),[6]skilldef!$A:$B,2,FALSE),"-")</f>
        <v>- / -</v>
      </c>
      <c r="Z23" s="117"/>
      <c r="AA23" s="121"/>
      <c r="AB23" s="117"/>
    </row>
    <row r="24" spans="1:28" ht="21" customHeight="1" x14ac:dyDescent="0.15">
      <c r="A24" s="135">
        <v>48703301</v>
      </c>
      <c r="B24" s="110" t="s">
        <v>310</v>
      </c>
      <c r="C24" s="111">
        <v>1</v>
      </c>
      <c r="D24" s="111" t="s">
        <v>127</v>
      </c>
      <c r="E24" s="112" t="s">
        <v>353</v>
      </c>
      <c r="F24" s="112" t="s">
        <v>278</v>
      </c>
      <c r="G24" s="113" t="str">
        <f t="shared" si="0"/>
        <v>[effect:enemy_message, val1:1.2, val2:1.2]</v>
      </c>
      <c r="H24" s="113">
        <f t="shared" si="1"/>
        <v>9</v>
      </c>
      <c r="I24" s="113">
        <f t="shared" si="2"/>
        <v>22</v>
      </c>
      <c r="J24" s="113" t="e">
        <f t="shared" si="3"/>
        <v>#VALUE!</v>
      </c>
      <c r="K24" s="113">
        <f t="shared" si="4"/>
        <v>32</v>
      </c>
      <c r="L24" s="113" t="str">
        <f>IFERROR(VLOOKUP(MID(G24,J24,K24-J24),[6]skilldef!$C:$D,2,FALSE),"-") &amp; " / " &amp; IFERROR(VLOOKUP(MID(G24,H24,I24-H24),[6]skilldef!$A:$B,2,FALSE),"-")</f>
        <v>- / -</v>
      </c>
      <c r="M24" s="113" t="str">
        <f t="shared" si="5"/>
        <v>[effect:tolerance, target:myself, turn:-1, count:-1, tolerance_effect:all, animation:enemy_tolerance],[effect:hungup, target:unit_machine, turn:99, rate:1, animation:hungup01],[effect:change_bomb_range, target:unit_all, val:0.6, rate:1, turn:6, animation:bomb_small]</v>
      </c>
      <c r="N24" s="114" t="str">
        <f>IFERROR(LEFT(M24,FIND("],",M24)+S34),M24)</f>
        <v>[effect:tolerance, target:myself, turn:-1, count:-1, tolerance_effect:all, animation:enemy_tolerance],[effect:hungup, target:unit_machine, turn:99, rate:1, animation:hungup01],[effect:change_bomb_range, target:unit_all, val:0.6, rate:1, turn:6, animation:bomb_small]</v>
      </c>
      <c r="O24" s="113">
        <f t="shared" si="6"/>
        <v>9</v>
      </c>
      <c r="P24" s="113">
        <f t="shared" si="7"/>
        <v>18</v>
      </c>
      <c r="Q24" s="113">
        <f t="shared" si="8"/>
        <v>27</v>
      </c>
      <c r="R24" s="113">
        <f t="shared" si="9"/>
        <v>33</v>
      </c>
      <c r="S24" s="113" t="str">
        <f>IFERROR(VLOOKUP(MID(N24,Q24,R24-Q24),[6]skilldef!$C:$D,2,FALSE),"-") &amp; " / " &amp; IFERROR(VLOOKUP(MID(N24,O24,P24-O24),[6]skilldef!$A:$B,2,FALSE),"-")</f>
        <v>自分自身に / 状態異常耐性</v>
      </c>
      <c r="T24" s="114" t="str">
        <f t="shared" si="10"/>
        <v>[effect:hungup, target:unit_machine, turn:99, rate:1, animation:hungup01],[effect:change_bomb_range, target:unit_all, val:0.6, rate:1, turn:6, animation:bomb_small]</v>
      </c>
      <c r="U24" s="113">
        <f t="shared" si="11"/>
        <v>9</v>
      </c>
      <c r="V24" s="113">
        <f t="shared" si="12"/>
        <v>15</v>
      </c>
      <c r="W24" s="113">
        <f t="shared" si="13"/>
        <v>24</v>
      </c>
      <c r="X24" s="113">
        <f t="shared" si="14"/>
        <v>36</v>
      </c>
      <c r="Y24" s="113" t="str">
        <f>IFERROR(VLOOKUP(MID(T24,W24,X24-W24),[6]skilldef!$C:$D,2,FALSE),"-") &amp; " / " &amp; IFERROR(VLOOKUP(MID(T24,U24,V24-U24),[6]skilldef!$A:$B,2,FALSE),"-")</f>
        <v>- / ハングアップ</v>
      </c>
      <c r="Z24" s="111"/>
      <c r="AA24" s="115"/>
      <c r="AB24" s="111"/>
    </row>
    <row r="25" spans="1:28" ht="21" customHeight="1" x14ac:dyDescent="0.15">
      <c r="A25" s="135">
        <v>48703302</v>
      </c>
      <c r="B25" s="47" t="s">
        <v>322</v>
      </c>
      <c r="C25" s="50">
        <v>1</v>
      </c>
      <c r="D25" s="50" t="s">
        <v>127</v>
      </c>
      <c r="E25" s="112" t="s">
        <v>354</v>
      </c>
      <c r="F25" s="51" t="s">
        <v>390</v>
      </c>
      <c r="G25" s="64" t="str">
        <f t="shared" si="0"/>
        <v>[effect:enemy_message, val1:1.2, val2:1.2]</v>
      </c>
      <c r="H25" s="64">
        <f t="shared" si="1"/>
        <v>9</v>
      </c>
      <c r="I25" s="64">
        <f t="shared" si="2"/>
        <v>22</v>
      </c>
      <c r="J25" s="64" t="e">
        <f t="shared" si="3"/>
        <v>#VALUE!</v>
      </c>
      <c r="K25" s="64">
        <f t="shared" si="4"/>
        <v>32</v>
      </c>
      <c r="L25" s="64" t="str">
        <f>IFERROR(VLOOKUP(MID(G25,J25,K25-J25),[6]skilldef!$C:$D,2,FALSE),"-") &amp; " / " &amp; IFERROR(VLOOKUP(MID(G25,H25,I25-H25),[6]skilldef!$A:$B,2,FALSE),"-")</f>
        <v>- / -</v>
      </c>
      <c r="M25" s="64" t="str">
        <f t="shared" si="5"/>
        <v>[effect:virus, target:unit_heal, turn:2, rate:1, val:1.5, animation:enemy_virus],[effect:rush, count:1, val:0.5]</v>
      </c>
      <c r="N25" s="48" t="str">
        <f>IFERROR(LEFT(M25,FIND("],",M25)+S40),M25)</f>
        <v>[effect:virus, target:unit_heal, turn:2, rate:1, val:1.5, animation:enemy_virus],[effect:rush, count:1, val:0.5]</v>
      </c>
      <c r="O25" s="64">
        <f t="shared" si="6"/>
        <v>9</v>
      </c>
      <c r="P25" s="64">
        <f t="shared" si="7"/>
        <v>14</v>
      </c>
      <c r="Q25" s="64">
        <f t="shared" si="8"/>
        <v>23</v>
      </c>
      <c r="R25" s="64">
        <f t="shared" si="9"/>
        <v>32</v>
      </c>
      <c r="S25" s="64" t="str">
        <f>IFERROR(VLOOKUP(MID(N25,Q25,R25-Q25),[6]skilldef!$C:$D,2,FALSE),"-") &amp; " / " &amp; IFERROR(VLOOKUP(MID(N25,O25,P25-O25),[6]skilldef!$A:$B,2,FALSE),"-")</f>
        <v>回復タイプの味方に / ウィルス</v>
      </c>
      <c r="T25" s="48" t="str">
        <f t="shared" si="10"/>
        <v>[effect:rush, count:1, val:0.5]</v>
      </c>
      <c r="U25" s="64">
        <f t="shared" si="11"/>
        <v>9</v>
      </c>
      <c r="V25" s="64">
        <f t="shared" si="12"/>
        <v>13</v>
      </c>
      <c r="W25" s="64" t="e">
        <f t="shared" si="13"/>
        <v>#VALUE!</v>
      </c>
      <c r="X25" s="64">
        <f t="shared" si="14"/>
        <v>22</v>
      </c>
      <c r="Y25" s="64" t="str">
        <f>IFERROR(VLOOKUP(MID(T25,W25,X25-W25),[6]skilldef!$C:$D,2,FALSE),"-") &amp; " / " &amp; IFERROR(VLOOKUP(MID(T25,U25,V25-U25),[6]skilldef!$A:$B,2,FALSE),"-")</f>
        <v>- / 連続攻撃</v>
      </c>
      <c r="Z25" s="50"/>
      <c r="AA25" s="52"/>
      <c r="AB25" s="50"/>
    </row>
    <row r="26" spans="1:28" ht="21" customHeight="1" x14ac:dyDescent="0.15">
      <c r="A26" s="135">
        <v>48703303</v>
      </c>
      <c r="B26" s="47" t="s">
        <v>418</v>
      </c>
      <c r="C26" s="50">
        <v>1</v>
      </c>
      <c r="D26" s="50" t="s">
        <v>127</v>
      </c>
      <c r="E26" s="112" t="s">
        <v>355</v>
      </c>
      <c r="F26" s="51" t="s">
        <v>391</v>
      </c>
      <c r="G26" s="64" t="str">
        <f t="shared" si="0"/>
        <v>[effect:enemy_message, val1:1.2, val2:1.2]</v>
      </c>
      <c r="H26" s="64">
        <f t="shared" si="1"/>
        <v>9</v>
      </c>
      <c r="I26" s="64">
        <f t="shared" si="2"/>
        <v>22</v>
      </c>
      <c r="J26" s="64" t="e">
        <f t="shared" si="3"/>
        <v>#VALUE!</v>
      </c>
      <c r="K26" s="64">
        <f t="shared" si="4"/>
        <v>32</v>
      </c>
      <c r="L26" s="64" t="str">
        <f>IFERROR(VLOOKUP(MID(G26,J26,K26-J26),[6]skilldef!$C:$D,2,FALSE),"-") &amp; " / " &amp; IFERROR(VLOOKUP(MID(G26,H26,I26-H26),[6]skilldef!$A:$B,2,FALSE),"-")</f>
        <v>- / -</v>
      </c>
      <c r="M26" s="64" t="str">
        <f t="shared" si="5"/>
        <v xml:space="preserve">[effect:attack_break, target:unit_all, turn:5, val:0.4, calc:mul, animation:attack_break02],[effect:force_change_block, new_block:block_red, target:block_yellow, ignore01:block_positive, count:5, val:0]    </v>
      </c>
      <c r="N26" s="48" t="str">
        <f>IFERROR(LEFT(M26,FIND("],",M26)+S41),M26)</f>
        <v xml:space="preserve">[effect:attack_break, target:unit_all, turn:5, val:0.4, calc:mul, animation:attack_break02],[effect:force_change_block, new_block:block_red, target:block_yellow, ignore01:block_positive, count:5, val:0]    </v>
      </c>
      <c r="O26" s="64">
        <f t="shared" si="6"/>
        <v>9</v>
      </c>
      <c r="P26" s="64">
        <f t="shared" si="7"/>
        <v>21</v>
      </c>
      <c r="Q26" s="64">
        <f t="shared" si="8"/>
        <v>30</v>
      </c>
      <c r="R26" s="64">
        <f t="shared" si="9"/>
        <v>38</v>
      </c>
      <c r="S26" s="64" t="str">
        <f>IFERROR(VLOOKUP(MID(N26,Q26,R26-Q26),[6]skilldef!$C:$D,2,FALSE),"-") &amp; " / " &amp; IFERROR(VLOOKUP(MID(N26,O26,P26-O26),[6]skilldef!$A:$B,2,FALSE),"-")</f>
        <v>味方全体に / -</v>
      </c>
      <c r="T26" s="48" t="str">
        <f t="shared" si="10"/>
        <v xml:space="preserve">[effect:force_change_block, new_block:block_red, target:block_yellow, ignore01:block_positive, count:5, val:0]    </v>
      </c>
      <c r="U26" s="64">
        <f t="shared" si="11"/>
        <v>9</v>
      </c>
      <c r="V26" s="64">
        <f t="shared" si="12"/>
        <v>27</v>
      </c>
      <c r="W26" s="64">
        <f t="shared" si="13"/>
        <v>57</v>
      </c>
      <c r="X26" s="64">
        <f t="shared" si="14"/>
        <v>48</v>
      </c>
      <c r="Y26" s="64" t="str">
        <f>IFERROR(VLOOKUP(MID(T26,W26,X26-W26),[6]skilldef!$C:$D,2,FALSE),"-") &amp; " / " &amp; IFERROR(VLOOKUP(MID(T26,U26,V26-U26),[6]skilldef!$A:$B,2,FALSE),"-")</f>
        <v>- / -</v>
      </c>
      <c r="Z26" s="50"/>
      <c r="AA26" s="52"/>
      <c r="AB26" s="50"/>
    </row>
    <row r="27" spans="1:28" ht="21" customHeight="1" x14ac:dyDescent="0.15">
      <c r="A27" s="135">
        <v>48703304</v>
      </c>
      <c r="B27" s="47" t="s">
        <v>312</v>
      </c>
      <c r="C27" s="50">
        <v>1</v>
      </c>
      <c r="D27" s="50" t="s">
        <v>127</v>
      </c>
      <c r="E27" s="112" t="s">
        <v>356</v>
      </c>
      <c r="F27" s="51" t="s">
        <v>270</v>
      </c>
      <c r="G27" s="64" t="str">
        <f t="shared" si="0"/>
        <v>[effect:enemy_message, val1:1.2, val2:1.2]</v>
      </c>
      <c r="H27" s="64">
        <f t="shared" si="1"/>
        <v>9</v>
      </c>
      <c r="I27" s="64">
        <f t="shared" si="2"/>
        <v>22</v>
      </c>
      <c r="J27" s="64" t="e">
        <f t="shared" si="3"/>
        <v>#VALUE!</v>
      </c>
      <c r="K27" s="64">
        <f t="shared" si="4"/>
        <v>32</v>
      </c>
      <c r="L27" s="64" t="str">
        <f>IFERROR(VLOOKUP(MID(G27,J27,K27-J27),[6]skilldef!$C:$D,2,FALSE),"-") &amp; " / " &amp; IFERROR(VLOOKUP(MID(G27,H27,I27-H27),[6]skilldef!$A:$B,2,FALSE),"-")</f>
        <v>- / -</v>
      </c>
      <c r="M27" s="64" t="str">
        <f t="shared" si="5"/>
        <v xml:space="preserve">[effect:enemy_message, val1:1.2, val2:1.2],[effect:rush, count:2, val:0.5]    </v>
      </c>
      <c r="N27" s="48" t="str">
        <f>IFERROR(LEFT(M27,FIND("],",M27)+#REF!),M27)</f>
        <v xml:space="preserve">[effect:enemy_message, val1:1.2, val2:1.2],[effect:rush, count:2, val:0.5]    </v>
      </c>
      <c r="O27" s="64">
        <f t="shared" si="6"/>
        <v>9</v>
      </c>
      <c r="P27" s="64">
        <f t="shared" si="7"/>
        <v>22</v>
      </c>
      <c r="Q27" s="64" t="e">
        <f t="shared" si="8"/>
        <v>#VALUE!</v>
      </c>
      <c r="R27" s="64">
        <f t="shared" si="9"/>
        <v>32</v>
      </c>
      <c r="S27" s="64" t="str">
        <f>IFERROR(VLOOKUP(MID(N27,Q27,R27-Q27),[6]skilldef!$C:$D,2,FALSE),"-") &amp; " / " &amp; IFERROR(VLOOKUP(MID(N27,O27,P27-O27),[6]skilldef!$A:$B,2,FALSE),"-")</f>
        <v>- / -</v>
      </c>
      <c r="T27" s="48" t="str">
        <f t="shared" si="10"/>
        <v xml:space="preserve">[effect:rush, count:2, val:0.5]    </v>
      </c>
      <c r="U27" s="64">
        <f t="shared" si="11"/>
        <v>9</v>
      </c>
      <c r="V27" s="64">
        <f t="shared" si="12"/>
        <v>13</v>
      </c>
      <c r="W27" s="64" t="e">
        <f t="shared" si="13"/>
        <v>#VALUE!</v>
      </c>
      <c r="X27" s="64">
        <f t="shared" si="14"/>
        <v>22</v>
      </c>
      <c r="Y27" s="64" t="str">
        <f>IFERROR(VLOOKUP(MID(T27,W27,X27-W27),[6]skilldef!$C:$D,2,FALSE),"-") &amp; " / " &amp; IFERROR(VLOOKUP(MID(T27,U27,V27-U27),[6]skilldef!$A:$B,2,FALSE),"-")</f>
        <v>- / 連続攻撃</v>
      </c>
      <c r="Z27" s="50"/>
      <c r="AA27" s="52"/>
      <c r="AB27" s="50"/>
    </row>
    <row r="28" spans="1:28" s="122" customFormat="1" ht="21" customHeight="1" thickBot="1" x14ac:dyDescent="0.2">
      <c r="A28" s="135">
        <v>48703305</v>
      </c>
      <c r="B28" s="116" t="s">
        <v>400</v>
      </c>
      <c r="C28" s="117">
        <v>1</v>
      </c>
      <c r="D28" s="117" t="s">
        <v>127</v>
      </c>
      <c r="E28" s="112" t="s">
        <v>357</v>
      </c>
      <c r="F28" s="118" t="s">
        <v>279</v>
      </c>
      <c r="G28" s="119" t="str">
        <f t="shared" si="0"/>
        <v>[effect:enemy_message, val1:1.2, val2:1.2]</v>
      </c>
      <c r="H28" s="119">
        <f t="shared" si="1"/>
        <v>9</v>
      </c>
      <c r="I28" s="119">
        <f t="shared" si="2"/>
        <v>22</v>
      </c>
      <c r="J28" s="119" t="e">
        <f t="shared" si="3"/>
        <v>#VALUE!</v>
      </c>
      <c r="K28" s="119">
        <f t="shared" si="4"/>
        <v>32</v>
      </c>
      <c r="L28" s="119" t="str">
        <f>IFERROR(VLOOKUP(MID(G28,J28,K28-J28),[6]skilldef!$C:$D,2,FALSE),"-") &amp; " / " &amp; IFERROR(VLOOKUP(MID(G28,H28,I28-H28),[6]skilldef!$A:$B,2,FALSE),"-")</f>
        <v>- / -</v>
      </c>
      <c r="M28" s="119" t="str">
        <f t="shared" si="5"/>
        <v xml:space="preserve">[effect:break_attack, target:unit_one, val:0.1, lowest_val:5000, count:-1, color:yellow, block01:block_green]    </v>
      </c>
      <c r="N28" s="120" t="str">
        <f>IFERROR(LEFT(M28,FIND("],",M28)+S42),M28)</f>
        <v xml:space="preserve">[effect:break_attack, target:unit_one, val:0.1, lowest_val:5000, count:-1, color:yellow, block01:block_green]    </v>
      </c>
      <c r="O28" s="119">
        <f t="shared" si="6"/>
        <v>9</v>
      </c>
      <c r="P28" s="119">
        <f t="shared" si="7"/>
        <v>21</v>
      </c>
      <c r="Q28" s="119">
        <f t="shared" si="8"/>
        <v>30</v>
      </c>
      <c r="R28" s="119">
        <f t="shared" si="9"/>
        <v>38</v>
      </c>
      <c r="S28" s="119" t="str">
        <f>IFERROR(VLOOKUP(MID(N28,Q28,R28-Q28),[6]skilldef!$C:$D,2,FALSE),"-") &amp; " / " &amp; IFERROR(VLOOKUP(MID(N28,O28,P28-O28),[6]skilldef!$A:$B,2,FALSE),"-")</f>
        <v>味方単体に / -</v>
      </c>
      <c r="T28" s="120" t="str">
        <f t="shared" si="10"/>
        <v>none</v>
      </c>
      <c r="U28" s="119" t="e">
        <f t="shared" si="11"/>
        <v>#VALUE!</v>
      </c>
      <c r="V28" s="119">
        <f t="shared" si="12"/>
        <v>4</v>
      </c>
      <c r="W28" s="119" t="e">
        <f t="shared" si="13"/>
        <v>#VALUE!</v>
      </c>
      <c r="X28" s="119" t="e">
        <f t="shared" si="14"/>
        <v>#VALUE!</v>
      </c>
      <c r="Y28" s="119" t="str">
        <f>IFERROR(VLOOKUP(MID(T28,W28,X28-W28),[6]skilldef!$C:$D,2,FALSE),"-") &amp; " / " &amp; IFERROR(VLOOKUP(MID(T28,U28,V28-U28),[6]skilldef!$A:$B,2,FALSE),"-")</f>
        <v>- / -</v>
      </c>
      <c r="Z28" s="117"/>
      <c r="AA28" s="121"/>
      <c r="AB28" s="117"/>
    </row>
    <row r="29" spans="1:28" ht="21" customHeight="1" x14ac:dyDescent="0.15">
      <c r="A29" s="139">
        <v>48703401</v>
      </c>
      <c r="B29" s="110" t="s">
        <v>280</v>
      </c>
      <c r="C29" s="111">
        <v>1</v>
      </c>
      <c r="D29" s="111" t="s">
        <v>127</v>
      </c>
      <c r="E29" s="112" t="s">
        <v>358</v>
      </c>
      <c r="F29" s="112" t="s">
        <v>281</v>
      </c>
      <c r="G29" s="113" t="str">
        <f t="shared" si="0"/>
        <v>[effect:enemy_message, val1:1.2, val2:1.2]</v>
      </c>
      <c r="H29" s="113">
        <f t="shared" si="1"/>
        <v>9</v>
      </c>
      <c r="I29" s="113">
        <f t="shared" si="2"/>
        <v>22</v>
      </c>
      <c r="J29" s="113" t="e">
        <f t="shared" si="3"/>
        <v>#VALUE!</v>
      </c>
      <c r="K29" s="113">
        <f t="shared" si="4"/>
        <v>32</v>
      </c>
      <c r="L29" s="113" t="str">
        <f>IFERROR(VLOOKUP(MID(G29,J29,K29-J29),[6]skilldef!$C:$D,2,FALSE),"-") &amp; " / " &amp; IFERROR(VLOOKUP(MID(G29,H29,I29-H29),[6]skilldef!$A:$B,2,FALSE),"-")</f>
        <v>- / -</v>
      </c>
      <c r="M29" s="113" t="str">
        <f t="shared" si="5"/>
        <v>[effect:tolerance, target:myself, turn:-1, count:-1, tolerance_effect:all, animation:enemy_tolerance],[effect:change_bomb_range, target:unit_all, val:0.6, rate:1, turn:6, animation:bomb_small]</v>
      </c>
      <c r="N29" s="114" t="str">
        <f>IFERROR(LEFT(M29,FIND("],",M29)+S43),M29)</f>
        <v>[effect:tolerance, target:myself, turn:-1, count:-1, tolerance_effect:all, animation:enemy_tolerance],[effect:change_bomb_range, target:unit_all, val:0.6, rate:1, turn:6, animation:bomb_small]</v>
      </c>
      <c r="O29" s="113">
        <f t="shared" si="6"/>
        <v>9</v>
      </c>
      <c r="P29" s="113">
        <f t="shared" si="7"/>
        <v>18</v>
      </c>
      <c r="Q29" s="113">
        <f t="shared" si="8"/>
        <v>27</v>
      </c>
      <c r="R29" s="113">
        <f t="shared" si="9"/>
        <v>33</v>
      </c>
      <c r="S29" s="113" t="str">
        <f>IFERROR(VLOOKUP(MID(N29,Q29,R29-Q29),[6]skilldef!$C:$D,2,FALSE),"-") &amp; " / " &amp; IFERROR(VLOOKUP(MID(N29,O29,P29-O29),[6]skilldef!$A:$B,2,FALSE),"-")</f>
        <v>自分自身に / 状態異常耐性</v>
      </c>
      <c r="T29" s="114" t="str">
        <f t="shared" si="10"/>
        <v>[effect:change_bomb_range, target:unit_all, val:0.6, rate:1, turn:6, animation:bomb_small]</v>
      </c>
      <c r="U29" s="113">
        <f t="shared" si="11"/>
        <v>9</v>
      </c>
      <c r="V29" s="113">
        <f t="shared" si="12"/>
        <v>26</v>
      </c>
      <c r="W29" s="113">
        <f t="shared" si="13"/>
        <v>35</v>
      </c>
      <c r="X29" s="113">
        <f t="shared" si="14"/>
        <v>43</v>
      </c>
      <c r="Y29" s="113" t="str">
        <f>IFERROR(VLOOKUP(MID(T29,W29,X29-W29),[6]skilldef!$C:$D,2,FALSE),"-") &amp; " / " &amp; IFERROR(VLOOKUP(MID(T29,U29,V29-U29),[6]skilldef!$A:$B,2,FALSE),"-")</f>
        <v>味方全体に / -</v>
      </c>
      <c r="Z29" s="111"/>
      <c r="AA29" s="115"/>
      <c r="AB29" s="111"/>
    </row>
    <row r="30" spans="1:28" ht="21" customHeight="1" x14ac:dyDescent="0.15">
      <c r="A30" s="139">
        <v>48703402</v>
      </c>
      <c r="B30" s="47" t="s">
        <v>323</v>
      </c>
      <c r="C30" s="50">
        <v>1</v>
      </c>
      <c r="D30" s="50" t="s">
        <v>127</v>
      </c>
      <c r="E30" s="112" t="s">
        <v>359</v>
      </c>
      <c r="F30" s="51" t="s">
        <v>392</v>
      </c>
      <c r="G30" s="64" t="str">
        <f t="shared" si="0"/>
        <v>[effect:enemy_message, val1:1.2, val2:1.2]</v>
      </c>
      <c r="H30" s="64">
        <f t="shared" si="1"/>
        <v>9</v>
      </c>
      <c r="I30" s="64">
        <f t="shared" si="2"/>
        <v>22</v>
      </c>
      <c r="J30" s="64" t="e">
        <f t="shared" si="3"/>
        <v>#VALUE!</v>
      </c>
      <c r="K30" s="64">
        <f t="shared" si="4"/>
        <v>32</v>
      </c>
      <c r="L30" s="64" t="str">
        <f>IFERROR(VLOOKUP(MID(G30,J30,K30-J30),[6]skilldef!$C:$D,2,FALSE),"-") &amp; " / " &amp; IFERROR(VLOOKUP(MID(G30,H30,I30-H30),[6]skilldef!$A:$B,2,FALSE),"-")</f>
        <v>- / -</v>
      </c>
      <c r="M30" s="64" t="str">
        <f t="shared" si="5"/>
        <v xml:space="preserve">[effect:virus, target:unit_heal, turn:2, rate:1, val:1.5, animation:enemy_virus],[effect:rush, count:1, val:0.5]    </v>
      </c>
      <c r="N30" s="48" t="str">
        <f>IFERROR(LEFT(M30,FIND("],",M30)+S44),M30)</f>
        <v xml:space="preserve">[effect:virus, target:unit_heal, turn:2, rate:1, val:1.5, animation:enemy_virus],[effect:rush, count:1, val:0.5]    </v>
      </c>
      <c r="O30" s="64">
        <f t="shared" si="6"/>
        <v>9</v>
      </c>
      <c r="P30" s="64">
        <f t="shared" si="7"/>
        <v>14</v>
      </c>
      <c r="Q30" s="64">
        <f t="shared" si="8"/>
        <v>23</v>
      </c>
      <c r="R30" s="64">
        <f t="shared" si="9"/>
        <v>32</v>
      </c>
      <c r="S30" s="64" t="str">
        <f>IFERROR(VLOOKUP(MID(N30,Q30,R30-Q30),[6]skilldef!$C:$D,2,FALSE),"-") &amp; " / " &amp; IFERROR(VLOOKUP(MID(N30,O30,P30-O30),[6]skilldef!$A:$B,2,FALSE),"-")</f>
        <v>回復タイプの味方に / ウィルス</v>
      </c>
      <c r="T30" s="48" t="str">
        <f t="shared" si="10"/>
        <v xml:space="preserve">[effect:rush, count:1, val:0.5]    </v>
      </c>
      <c r="U30" s="64">
        <f t="shared" si="11"/>
        <v>9</v>
      </c>
      <c r="V30" s="64">
        <f t="shared" si="12"/>
        <v>13</v>
      </c>
      <c r="W30" s="64" t="e">
        <f t="shared" si="13"/>
        <v>#VALUE!</v>
      </c>
      <c r="X30" s="64">
        <f t="shared" si="14"/>
        <v>22</v>
      </c>
      <c r="Y30" s="64" t="str">
        <f>IFERROR(VLOOKUP(MID(T30,W30,X30-W30),[6]skilldef!$C:$D,2,FALSE),"-") &amp; " / " &amp; IFERROR(VLOOKUP(MID(T30,U30,V30-U30),[6]skilldef!$A:$B,2,FALSE),"-")</f>
        <v>- / 連続攻撃</v>
      </c>
      <c r="Z30" s="50"/>
      <c r="AA30" s="52"/>
      <c r="AB30" s="50"/>
    </row>
    <row r="31" spans="1:28" ht="21" customHeight="1" x14ac:dyDescent="0.15">
      <c r="A31" s="139">
        <v>48703403</v>
      </c>
      <c r="B31" s="123" t="s">
        <v>325</v>
      </c>
      <c r="C31" s="50">
        <v>1</v>
      </c>
      <c r="D31" s="50" t="s">
        <v>127</v>
      </c>
      <c r="E31" s="112" t="s">
        <v>360</v>
      </c>
      <c r="F31" s="51" t="s">
        <v>393</v>
      </c>
      <c r="G31" s="64" t="str">
        <f t="shared" si="0"/>
        <v>[effect:enemy_message, val1:1.2, val2:1.2]</v>
      </c>
      <c r="H31" s="64">
        <f t="shared" si="1"/>
        <v>9</v>
      </c>
      <c r="I31" s="64">
        <f t="shared" si="2"/>
        <v>22</v>
      </c>
      <c r="J31" s="64" t="e">
        <f t="shared" si="3"/>
        <v>#VALUE!</v>
      </c>
      <c r="K31" s="64">
        <f t="shared" si="4"/>
        <v>32</v>
      </c>
      <c r="L31" s="64" t="str">
        <f>IFERROR(VLOOKUP(MID(G31,J31,K31-J31),[6]skilldef!$C:$D,2,FALSE),"-") &amp; " / " &amp; IFERROR(VLOOKUP(MID(G31,H31,I31-H31),[6]skilldef!$A:$B,2,FALSE),"-")</f>
        <v>- / -</v>
      </c>
      <c r="M31" s="64" t="str">
        <f t="shared" si="5"/>
        <v xml:space="preserve">[effect:force_change_block, new_block:damage, target:block_all, ignore01:block_positive, count:8, val:0.1]    </v>
      </c>
      <c r="N31" s="48" t="str">
        <f>IFERROR(LEFT(M31,FIND("],",M31)+S45),M31)</f>
        <v xml:space="preserve">[effect:force_change_block, new_block:damage, target:block_all, ignore01:block_positive, count:8, val:0.1]    </v>
      </c>
      <c r="O31" s="64">
        <f t="shared" si="6"/>
        <v>9</v>
      </c>
      <c r="P31" s="64">
        <f t="shared" si="7"/>
        <v>27</v>
      </c>
      <c r="Q31" s="64">
        <f t="shared" si="8"/>
        <v>54</v>
      </c>
      <c r="R31" s="64">
        <f t="shared" si="9"/>
        <v>45</v>
      </c>
      <c r="S31" s="64" t="str">
        <f>IFERROR(VLOOKUP(MID(N31,Q31,R31-Q31),[6]skilldef!$C:$D,2,FALSE),"-") &amp; " / " &amp; IFERROR(VLOOKUP(MID(N31,O31,P31-O31),[6]skilldef!$A:$B,2,FALSE),"-")</f>
        <v>- / -</v>
      </c>
      <c r="T31" s="48" t="str">
        <f t="shared" si="10"/>
        <v>none</v>
      </c>
      <c r="U31" s="64" t="e">
        <f t="shared" si="11"/>
        <v>#VALUE!</v>
      </c>
      <c r="V31" s="64">
        <f t="shared" si="12"/>
        <v>4</v>
      </c>
      <c r="W31" s="64" t="e">
        <f t="shared" si="13"/>
        <v>#VALUE!</v>
      </c>
      <c r="X31" s="64" t="e">
        <f t="shared" si="14"/>
        <v>#VALUE!</v>
      </c>
      <c r="Y31" s="64" t="str">
        <f>IFERROR(VLOOKUP(MID(T31,W31,X31-W31),[6]skilldef!$C:$D,2,FALSE),"-") &amp; " / " &amp; IFERROR(VLOOKUP(MID(T31,U31,V31-U31),[6]skilldef!$A:$B,2,FALSE),"-")</f>
        <v>- / -</v>
      </c>
      <c r="Z31" s="50"/>
      <c r="AA31" s="52"/>
      <c r="AB31" s="50"/>
    </row>
    <row r="32" spans="1:28" ht="21" customHeight="1" x14ac:dyDescent="0.15">
      <c r="A32" s="140">
        <v>48703404</v>
      </c>
      <c r="B32" s="123" t="s">
        <v>282</v>
      </c>
      <c r="C32" s="124">
        <v>1</v>
      </c>
      <c r="D32" s="124" t="s">
        <v>127</v>
      </c>
      <c r="E32" s="112" t="s">
        <v>361</v>
      </c>
      <c r="F32" s="125" t="s">
        <v>283</v>
      </c>
      <c r="G32" s="126" t="str">
        <f t="shared" si="0"/>
        <v>[effect:enemy_message, val1:1.2, val2:1.2]</v>
      </c>
      <c r="H32" s="126">
        <f t="shared" si="1"/>
        <v>9</v>
      </c>
      <c r="I32" s="126">
        <f t="shared" si="2"/>
        <v>22</v>
      </c>
      <c r="J32" s="126" t="e">
        <f t="shared" si="3"/>
        <v>#VALUE!</v>
      </c>
      <c r="K32" s="126">
        <f t="shared" si="4"/>
        <v>32</v>
      </c>
      <c r="L32" s="126" t="str">
        <f>IFERROR(VLOOKUP(MID(G32,J32,K32-J32),[6]skilldef!$C:$D,2,FALSE),"-") &amp; " / " &amp; IFERROR(VLOOKUP(MID(G32,H32,I32-H32),[6]skilldef!$A:$B,2,FALSE),"-")</f>
        <v>- / -</v>
      </c>
      <c r="M32" s="126" t="str">
        <f t="shared" si="5"/>
        <v xml:space="preserve">[effect:force_change_block, new_block:block_blue, target:block_heart, ignore01:block_positive, count:0, val:0]    </v>
      </c>
      <c r="N32" s="127" t="str">
        <f>IFERROR(LEFT(M32,FIND("],",M32)+S47),M32)</f>
        <v xml:space="preserve">[effect:force_change_block, new_block:block_blue, target:block_heart, ignore01:block_positive, count:0, val:0]    </v>
      </c>
      <c r="O32" s="126">
        <f t="shared" si="6"/>
        <v>9</v>
      </c>
      <c r="P32" s="126">
        <f t="shared" si="7"/>
        <v>27</v>
      </c>
      <c r="Q32" s="126">
        <f t="shared" si="8"/>
        <v>58</v>
      </c>
      <c r="R32" s="126">
        <f t="shared" si="9"/>
        <v>49</v>
      </c>
      <c r="S32" s="126" t="str">
        <f>IFERROR(VLOOKUP(MID(N32,Q32,R32-Q32),[6]skilldef!$C:$D,2,FALSE),"-") &amp; " / " &amp; IFERROR(VLOOKUP(MID(N32,O32,P32-O32),[6]skilldef!$A:$B,2,FALSE),"-")</f>
        <v>- / -</v>
      </c>
      <c r="T32" s="127" t="str">
        <f t="shared" si="10"/>
        <v>none</v>
      </c>
      <c r="U32" s="126" t="e">
        <f t="shared" si="11"/>
        <v>#VALUE!</v>
      </c>
      <c r="V32" s="126">
        <f t="shared" si="12"/>
        <v>4</v>
      </c>
      <c r="W32" s="126" t="e">
        <f t="shared" si="13"/>
        <v>#VALUE!</v>
      </c>
      <c r="X32" s="126" t="e">
        <f t="shared" si="14"/>
        <v>#VALUE!</v>
      </c>
      <c r="Y32" s="126" t="str">
        <f>IFERROR(VLOOKUP(MID(T32,W32,X32-W32),[6]skilldef!$C:$D,2,FALSE),"-") &amp; " / " &amp; IFERROR(VLOOKUP(MID(T32,U32,V32-U32),[6]skilldef!$A:$B,2,FALSE),"-")</f>
        <v>- / -</v>
      </c>
      <c r="Z32" s="124"/>
      <c r="AA32" s="128"/>
      <c r="AB32" s="124"/>
    </row>
    <row r="33" spans="1:28" s="47" customFormat="1" ht="21" customHeight="1" x14ac:dyDescent="0.15">
      <c r="A33" s="141">
        <v>48703405</v>
      </c>
      <c r="B33" s="47" t="s">
        <v>397</v>
      </c>
      <c r="C33" s="50">
        <v>1</v>
      </c>
      <c r="D33" s="50" t="s">
        <v>127</v>
      </c>
      <c r="E33" s="112" t="s">
        <v>362</v>
      </c>
      <c r="F33" s="51" t="s">
        <v>284</v>
      </c>
      <c r="G33" s="64" t="str">
        <f t="shared" ref="G33:G37" si="28">IFERROR(LEFT(B33,FIND("],",B33)),B33)</f>
        <v>[effect:enemy_message, val1:1.2, val2:1.2]</v>
      </c>
      <c r="H33" s="64">
        <f t="shared" si="1"/>
        <v>9</v>
      </c>
      <c r="I33" s="64">
        <f t="shared" ref="I33:I37" si="29">IFERROR(FIND(",",G33),LEN(G33))</f>
        <v>22</v>
      </c>
      <c r="J33" s="64" t="e">
        <f t="shared" ref="J33:J37" si="30">FIND("target:",G33)+7</f>
        <v>#VALUE!</v>
      </c>
      <c r="K33" s="64">
        <f t="shared" ref="K33:K37" si="31">FIND(",",G33,I33+1)</f>
        <v>32</v>
      </c>
      <c r="L33" s="64" t="str">
        <f>IFERROR(VLOOKUP(MID(G33,J33,K33-J33),[6]skilldef!$C:$D,2,FALSE),"-") &amp; " / " &amp; IFERROR(VLOOKUP(MID(G33,H33,I33-H33),[6]skilldef!$A:$B,2,FALSE),"-")</f>
        <v>- / -</v>
      </c>
      <c r="M33" s="64" t="str">
        <f t="shared" ref="M33:M37" si="32">IFERROR(RIGHT(B33,LEN(B33)-FIND("],",B33)-1),"none")</f>
        <v xml:space="preserve">[effect:break_attack, target:unit_one, val:0.1, lowest_val:5000, count:-1, color:yellow, block01:damage]    </v>
      </c>
      <c r="N33" s="48" t="str">
        <f>IFERROR(LEFT(M33,FIND("],",M33)+S48),M33)</f>
        <v xml:space="preserve">[effect:break_attack, target:unit_one, val:0.1, lowest_val:5000, count:-1, color:yellow, block01:damage]    </v>
      </c>
      <c r="O33" s="64">
        <f t="shared" si="6"/>
        <v>9</v>
      </c>
      <c r="P33" s="64">
        <f t="shared" ref="P33:P37" si="33">IFERROR(FIND(",",N33),LEN(N33))</f>
        <v>21</v>
      </c>
      <c r="Q33" s="64">
        <f t="shared" ref="Q33:Q37" si="34">FIND("target:",N33)+7</f>
        <v>30</v>
      </c>
      <c r="R33" s="64">
        <f t="shared" ref="R33:R37" si="35">FIND(",",N33,P33+1)</f>
        <v>38</v>
      </c>
      <c r="S33" s="64" t="str">
        <f>IFERROR(VLOOKUP(MID(N33,Q33,R33-Q33),[6]skilldef!$C:$D,2,FALSE),"-") &amp; " / " &amp; IFERROR(VLOOKUP(MID(N33,O33,P33-O33),[6]skilldef!$A:$B,2,FALSE),"-")</f>
        <v>味方単体に / -</v>
      </c>
      <c r="T33" s="48" t="str">
        <f t="shared" ref="T33:T37" si="36">IFERROR(RIGHT(M33,LEN(M33)-FIND("],",M33)-1),"none")</f>
        <v>none</v>
      </c>
      <c r="U33" s="64" t="e">
        <f t="shared" si="11"/>
        <v>#VALUE!</v>
      </c>
      <c r="V33" s="64">
        <f t="shared" ref="V33:V37" si="37">IFERROR(FIND(",",T33),LEN(T33))</f>
        <v>4</v>
      </c>
      <c r="W33" s="64" t="e">
        <f t="shared" ref="W33:W37" si="38">FIND("target:",T33)+7</f>
        <v>#VALUE!</v>
      </c>
      <c r="X33" s="64" t="e">
        <f t="shared" ref="X33:X37" si="39">FIND(",",T33,V33+1)</f>
        <v>#VALUE!</v>
      </c>
      <c r="Y33" s="64" t="str">
        <f>IFERROR(VLOOKUP(MID(T33,W33,X33-W33),[6]skilldef!$C:$D,2,FALSE),"-") &amp; " / " &amp; IFERROR(VLOOKUP(MID(T33,U33,V33-U33),[6]skilldef!$A:$B,2,FALSE),"-")</f>
        <v>- / -</v>
      </c>
      <c r="Z33" s="50"/>
      <c r="AA33" s="52"/>
      <c r="AB33" s="50"/>
    </row>
    <row r="34" spans="1:28" s="47" customFormat="1" ht="21" customHeight="1" x14ac:dyDescent="0.15">
      <c r="A34" s="141">
        <v>48703406</v>
      </c>
      <c r="B34" s="137" t="s">
        <v>398</v>
      </c>
      <c r="C34" s="50">
        <v>1</v>
      </c>
      <c r="D34" s="50" t="s">
        <v>127</v>
      </c>
      <c r="E34" s="112" t="s">
        <v>363</v>
      </c>
      <c r="F34" s="51" t="s">
        <v>285</v>
      </c>
      <c r="G34" s="64" t="str">
        <f t="shared" si="28"/>
        <v>[effect:break_attack, target:unit_one, val:0.1, lowest_val:5000, count:-1, color:yellow, block01:block_blue]</v>
      </c>
      <c r="H34" s="64">
        <f t="shared" si="1"/>
        <v>9</v>
      </c>
      <c r="I34" s="64">
        <f t="shared" si="29"/>
        <v>21</v>
      </c>
      <c r="J34" s="64">
        <f t="shared" si="30"/>
        <v>30</v>
      </c>
      <c r="K34" s="64">
        <f t="shared" si="31"/>
        <v>38</v>
      </c>
      <c r="L34" s="64" t="str">
        <f>IFERROR(VLOOKUP(MID(G34,J34,K34-J34),[6]skilldef!$C:$D,2,FALSE),"-") &amp; " / " &amp; IFERROR(VLOOKUP(MID(G34,H34,I34-H34),[6]skilldef!$A:$B,2,FALSE),"-")</f>
        <v>味方単体に / -</v>
      </c>
      <c r="M34" s="64" t="str">
        <f t="shared" si="32"/>
        <v>none</v>
      </c>
      <c r="N34" s="48" t="str">
        <f>IFERROR(LEFT(M34,FIND("],",M34)+S49),M34)</f>
        <v>none</v>
      </c>
      <c r="O34" s="64" t="e">
        <f t="shared" si="6"/>
        <v>#VALUE!</v>
      </c>
      <c r="P34" s="64">
        <f t="shared" si="33"/>
        <v>4</v>
      </c>
      <c r="Q34" s="64" t="e">
        <f t="shared" si="34"/>
        <v>#VALUE!</v>
      </c>
      <c r="R34" s="64" t="e">
        <f t="shared" si="35"/>
        <v>#VALUE!</v>
      </c>
      <c r="S34" s="64" t="str">
        <f>IFERROR(VLOOKUP(MID(N34,Q34,R34-Q34),[6]skilldef!$C:$D,2,FALSE),"-") &amp; " / " &amp; IFERROR(VLOOKUP(MID(N34,O34,P34-O34),[6]skilldef!$A:$B,2,FALSE),"-")</f>
        <v>- / -</v>
      </c>
      <c r="T34" s="48" t="str">
        <f t="shared" si="36"/>
        <v>none</v>
      </c>
      <c r="U34" s="64" t="e">
        <f t="shared" si="11"/>
        <v>#VALUE!</v>
      </c>
      <c r="V34" s="64">
        <f t="shared" si="37"/>
        <v>4</v>
      </c>
      <c r="W34" s="64" t="e">
        <f t="shared" si="38"/>
        <v>#VALUE!</v>
      </c>
      <c r="X34" s="64" t="e">
        <f t="shared" si="39"/>
        <v>#VALUE!</v>
      </c>
      <c r="Y34" s="64" t="str">
        <f>IFERROR(VLOOKUP(MID(T34,W34,X34-W34),[6]skilldef!$C:$D,2,FALSE),"-") &amp; " / " &amp; IFERROR(VLOOKUP(MID(T34,U34,V34-U34),[6]skilldef!$A:$B,2,FALSE),"-")</f>
        <v>- / -</v>
      </c>
      <c r="Z34" s="50"/>
      <c r="AA34" s="52"/>
      <c r="AB34" s="50"/>
    </row>
    <row r="35" spans="1:28" s="116" customFormat="1" ht="21" customHeight="1" thickBot="1" x14ac:dyDescent="0.2">
      <c r="A35" s="138">
        <v>48703407</v>
      </c>
      <c r="B35" s="116" t="s">
        <v>301</v>
      </c>
      <c r="C35" s="117">
        <v>1</v>
      </c>
      <c r="D35" s="117" t="s">
        <v>127</v>
      </c>
      <c r="E35" s="112" t="s">
        <v>364</v>
      </c>
      <c r="F35" s="118" t="s">
        <v>302</v>
      </c>
      <c r="G35" s="119" t="str">
        <f t="shared" si="28"/>
        <v xml:space="preserve">[effect:enemy_message, val1:1.2, val2:1.2, dead_type:escape]    </v>
      </c>
      <c r="H35" s="119">
        <f t="shared" si="1"/>
        <v>9</v>
      </c>
      <c r="I35" s="119">
        <f t="shared" si="29"/>
        <v>22</v>
      </c>
      <c r="J35" s="119" t="e">
        <f t="shared" si="30"/>
        <v>#VALUE!</v>
      </c>
      <c r="K35" s="119">
        <f t="shared" si="31"/>
        <v>32</v>
      </c>
      <c r="L35" s="119" t="str">
        <f>IFERROR(VLOOKUP(MID(G35,J35,K35-J35),[6]skilldef!$C:$D,2,FALSE),"-") &amp; " / " &amp; IFERROR(VLOOKUP(MID(G35,H35,I35-H35),[6]skilldef!$A:$B,2,FALSE),"-")</f>
        <v>- / -</v>
      </c>
      <c r="M35" s="119" t="str">
        <f t="shared" si="32"/>
        <v>none</v>
      </c>
      <c r="N35" s="120" t="str">
        <f>IFERROR(LEFT(M35,FIND("],",M35)+S44),M35)</f>
        <v>none</v>
      </c>
      <c r="O35" s="119" t="e">
        <f t="shared" si="6"/>
        <v>#VALUE!</v>
      </c>
      <c r="P35" s="119">
        <f t="shared" si="33"/>
        <v>4</v>
      </c>
      <c r="Q35" s="119" t="e">
        <f t="shared" si="34"/>
        <v>#VALUE!</v>
      </c>
      <c r="R35" s="119" t="e">
        <f t="shared" si="35"/>
        <v>#VALUE!</v>
      </c>
      <c r="S35" s="119" t="str">
        <f>IFERROR(VLOOKUP(MID(N35,Q35,R35-Q35),[6]skilldef!$C:$D,2,FALSE),"-") &amp; " / " &amp; IFERROR(VLOOKUP(MID(N35,O35,P35-O35),[6]skilldef!$A:$B,2,FALSE),"-")</f>
        <v>- / -</v>
      </c>
      <c r="T35" s="120" t="str">
        <f t="shared" si="36"/>
        <v>none</v>
      </c>
      <c r="U35" s="119" t="e">
        <f t="shared" si="11"/>
        <v>#VALUE!</v>
      </c>
      <c r="V35" s="119">
        <f t="shared" si="37"/>
        <v>4</v>
      </c>
      <c r="W35" s="119" t="e">
        <f t="shared" si="38"/>
        <v>#VALUE!</v>
      </c>
      <c r="X35" s="119" t="e">
        <f t="shared" si="39"/>
        <v>#VALUE!</v>
      </c>
      <c r="Y35" s="119" t="str">
        <f>IFERROR(VLOOKUP(MID(T35,W35,X35-W35),[6]skilldef!$C:$D,2,FALSE),"-") &amp; " / " &amp; IFERROR(VLOOKUP(MID(T35,U35,V35-U35),[6]skilldef!$A:$B,2,FALSE),"-")</f>
        <v>- / -</v>
      </c>
      <c r="Z35" s="117"/>
      <c r="AA35" s="121"/>
      <c r="AB35" s="117"/>
    </row>
    <row r="36" spans="1:28" ht="21" customHeight="1" x14ac:dyDescent="0.15">
      <c r="A36" s="135">
        <v>48703501</v>
      </c>
      <c r="B36" s="110" t="s">
        <v>320</v>
      </c>
      <c r="C36" s="111">
        <v>1</v>
      </c>
      <c r="D36" s="111" t="s">
        <v>127</v>
      </c>
      <c r="E36" s="112" t="s">
        <v>365</v>
      </c>
      <c r="F36" s="112" t="s">
        <v>286</v>
      </c>
      <c r="G36" s="113" t="str">
        <f t="shared" si="28"/>
        <v>[effect:enemy_message, val1:1.2, val2:1.2]</v>
      </c>
      <c r="H36" s="113">
        <f t="shared" si="1"/>
        <v>9</v>
      </c>
      <c r="I36" s="113">
        <f t="shared" si="29"/>
        <v>22</v>
      </c>
      <c r="J36" s="113" t="e">
        <f t="shared" si="30"/>
        <v>#VALUE!</v>
      </c>
      <c r="K36" s="113">
        <f t="shared" si="31"/>
        <v>32</v>
      </c>
      <c r="L36" s="113" t="str">
        <f>IFERROR(VLOOKUP(MID(G36,J36,K36-J36),[6]skilldef!$C:$D,2,FALSE),"-") &amp; " / " &amp; IFERROR(VLOOKUP(MID(G36,H36,I36-H36),[6]skilldef!$A:$B,2,FALSE),"-")</f>
        <v>- / -</v>
      </c>
      <c r="M36" s="113" t="str">
        <f t="shared" si="32"/>
        <v>[effect:hungup, target:unit_machine, turn:99, rate:1, animation:hungup01],[effect:virus, turn:-1, rate:1, val:0.05, animation:enemy_virus],[effect:tolerance, target:myself, turn:-1, count:-1, tolerance_effect:all, animation:enemy_tolerance]</v>
      </c>
      <c r="N36" s="114" t="str">
        <f>IFERROR(LEFT(M36,FIND("],",M36)+S49),M36)</f>
        <v>[effect:hungup, target:unit_machine, turn:99, rate:1, animation:hungup01],[effect:virus, turn:-1, rate:1, val:0.05, animation:enemy_virus],[effect:tolerance, target:myself, turn:-1, count:-1, tolerance_effect:all, animation:enemy_tolerance]</v>
      </c>
      <c r="O36" s="113">
        <f t="shared" si="6"/>
        <v>9</v>
      </c>
      <c r="P36" s="113">
        <f t="shared" si="33"/>
        <v>15</v>
      </c>
      <c r="Q36" s="113">
        <f t="shared" si="34"/>
        <v>24</v>
      </c>
      <c r="R36" s="113">
        <f t="shared" si="35"/>
        <v>36</v>
      </c>
      <c r="S36" s="113" t="str">
        <f>IFERROR(VLOOKUP(MID(N36,Q36,R36-Q36),[6]skilldef!$C:$D,2,FALSE),"-") &amp; " / " &amp; IFERROR(VLOOKUP(MID(N36,O36,P36-O36),[6]skilldef!$A:$B,2,FALSE),"-")</f>
        <v>- / ハングアップ</v>
      </c>
      <c r="T36" s="114" t="str">
        <f t="shared" si="36"/>
        <v>[effect:virus, turn:-1, rate:1, val:0.05, animation:enemy_virus],[effect:tolerance, target:myself, turn:-1, count:-1, tolerance_effect:all, animation:enemy_tolerance]</v>
      </c>
      <c r="U36" s="113">
        <f t="shared" si="11"/>
        <v>9</v>
      </c>
      <c r="V36" s="113">
        <f t="shared" si="37"/>
        <v>14</v>
      </c>
      <c r="W36" s="113">
        <f t="shared" si="38"/>
        <v>92</v>
      </c>
      <c r="X36" s="113">
        <f t="shared" si="39"/>
        <v>23</v>
      </c>
      <c r="Y36" s="113" t="str">
        <f>IFERROR(VLOOKUP(MID(T36,W36,X36-W36),[6]skilldef!$C:$D,2,FALSE),"-") &amp; " / " &amp; IFERROR(VLOOKUP(MID(T36,U36,V36-U36),[6]skilldef!$A:$B,2,FALSE),"-")</f>
        <v>- / ウィルス</v>
      </c>
      <c r="Z36" s="111"/>
      <c r="AA36" s="115"/>
      <c r="AB36" s="111"/>
    </row>
    <row r="37" spans="1:28" ht="21" customHeight="1" x14ac:dyDescent="0.15">
      <c r="A37" s="135">
        <v>48703502</v>
      </c>
      <c r="B37" s="110" t="s">
        <v>320</v>
      </c>
      <c r="C37" s="111">
        <v>1</v>
      </c>
      <c r="D37" s="111" t="s">
        <v>127</v>
      </c>
      <c r="E37" s="112" t="s">
        <v>365</v>
      </c>
      <c r="F37" s="112" t="s">
        <v>286</v>
      </c>
      <c r="G37" s="113" t="str">
        <f t="shared" si="28"/>
        <v>[effect:enemy_message, val1:1.2, val2:1.2]</v>
      </c>
      <c r="H37" s="113">
        <f t="shared" si="1"/>
        <v>9</v>
      </c>
      <c r="I37" s="113">
        <f t="shared" si="29"/>
        <v>22</v>
      </c>
      <c r="J37" s="113" t="e">
        <f t="shared" si="30"/>
        <v>#VALUE!</v>
      </c>
      <c r="K37" s="113">
        <f t="shared" si="31"/>
        <v>32</v>
      </c>
      <c r="L37" s="113" t="str">
        <f>IFERROR(VLOOKUP(MID(G37,J37,K37-J37),[6]skilldef!$C:$D,2,FALSE),"-") &amp; " / " &amp; IFERROR(VLOOKUP(MID(G37,H37,I37-H37),[6]skilldef!$A:$B,2,FALSE),"-")</f>
        <v>- / -</v>
      </c>
      <c r="M37" s="113" t="str">
        <f t="shared" si="32"/>
        <v>[effect:hungup, target:unit_machine, turn:99, rate:1, animation:hungup01],[effect:virus, turn:-1, rate:1, val:0.05, animation:enemy_virus],[effect:tolerance, target:myself, turn:-1, count:-1, tolerance_effect:all, animation:enemy_tolerance]</v>
      </c>
      <c r="N37" s="114" t="str">
        <f>IFERROR(LEFT(M37,FIND("],",M37)+S49),M37)</f>
        <v>[effect:hungup, target:unit_machine, turn:99, rate:1, animation:hungup01],[effect:virus, turn:-1, rate:1, val:0.05, animation:enemy_virus],[effect:tolerance, target:myself, turn:-1, count:-1, tolerance_effect:all, animation:enemy_tolerance]</v>
      </c>
      <c r="O37" s="113">
        <f t="shared" si="6"/>
        <v>9</v>
      </c>
      <c r="P37" s="113">
        <f t="shared" si="33"/>
        <v>15</v>
      </c>
      <c r="Q37" s="113">
        <f t="shared" si="34"/>
        <v>24</v>
      </c>
      <c r="R37" s="113">
        <f t="shared" si="35"/>
        <v>36</v>
      </c>
      <c r="S37" s="113" t="str">
        <f>IFERROR(VLOOKUP(MID(N37,Q37,R37-Q37),[6]skilldef!$C:$D,2,FALSE),"-") &amp; " / " &amp; IFERROR(VLOOKUP(MID(N37,O37,P37-O37),[6]skilldef!$A:$B,2,FALSE),"-")</f>
        <v>- / ハングアップ</v>
      </c>
      <c r="T37" s="114" t="str">
        <f t="shared" si="36"/>
        <v>[effect:virus, turn:-1, rate:1, val:0.05, animation:enemy_virus],[effect:tolerance, target:myself, turn:-1, count:-1, tolerance_effect:all, animation:enemy_tolerance]</v>
      </c>
      <c r="U37" s="113">
        <f t="shared" si="11"/>
        <v>9</v>
      </c>
      <c r="V37" s="113">
        <f t="shared" si="37"/>
        <v>14</v>
      </c>
      <c r="W37" s="113">
        <f t="shared" si="38"/>
        <v>92</v>
      </c>
      <c r="X37" s="113">
        <f t="shared" si="39"/>
        <v>23</v>
      </c>
      <c r="Y37" s="113" t="str">
        <f>IFERROR(VLOOKUP(MID(T37,W37,X37-W37),[6]skilldef!$C:$D,2,FALSE),"-") &amp; " / " &amp; IFERROR(VLOOKUP(MID(T37,U37,V37-U37),[6]skilldef!$A:$B,2,FALSE),"-")</f>
        <v>- / ウィルス</v>
      </c>
      <c r="Z37" s="111"/>
      <c r="AA37" s="115"/>
      <c r="AB37" s="111"/>
    </row>
    <row r="38" spans="1:28" ht="21" customHeight="1" x14ac:dyDescent="0.15">
      <c r="A38" s="135">
        <v>48703503</v>
      </c>
      <c r="B38" s="110" t="s">
        <v>320</v>
      </c>
      <c r="C38" s="111">
        <v>1</v>
      </c>
      <c r="D38" s="111" t="s">
        <v>127</v>
      </c>
      <c r="E38" s="112" t="s">
        <v>365</v>
      </c>
      <c r="F38" s="112" t="s">
        <v>286</v>
      </c>
      <c r="G38" s="113" t="str">
        <f t="shared" ref="G38:G39" si="40">IFERROR(LEFT(B38,FIND("],",B38)),B38)</f>
        <v>[effect:enemy_message, val1:1.2, val2:1.2]</v>
      </c>
      <c r="H38" s="113">
        <f t="shared" ref="H38:H39" si="41">FIND("effect:",G38)+7</f>
        <v>9</v>
      </c>
      <c r="I38" s="113">
        <f t="shared" ref="I38:I39" si="42">IFERROR(FIND(",",G38),LEN(G38))</f>
        <v>22</v>
      </c>
      <c r="J38" s="113" t="e">
        <f t="shared" ref="J38:J39" si="43">FIND("target:",G38)+7</f>
        <v>#VALUE!</v>
      </c>
      <c r="K38" s="113">
        <f t="shared" ref="K38:K39" si="44">FIND(",",G38,I38+1)</f>
        <v>32</v>
      </c>
      <c r="L38" s="113" t="str">
        <f>IFERROR(VLOOKUP(MID(G38,J38,K38-J38),[6]skilldef!$C:$D,2,FALSE),"-") &amp; " / " &amp; IFERROR(VLOOKUP(MID(G38,H38,I38-H38),[6]skilldef!$A:$B,2,FALSE),"-")</f>
        <v>- / -</v>
      </c>
      <c r="M38" s="113" t="str">
        <f t="shared" ref="M38:M39" si="45">IFERROR(RIGHT(B38,LEN(B38)-FIND("],",B38)-1),"none")</f>
        <v>[effect:hungup, target:unit_machine, turn:99, rate:1, animation:hungup01],[effect:virus, turn:-1, rate:1, val:0.05, animation:enemy_virus],[effect:tolerance, target:myself, turn:-1, count:-1, tolerance_effect:all, animation:enemy_tolerance]</v>
      </c>
      <c r="N38" s="114" t="str">
        <f>IFERROR(LEFT(M38,FIND("],",M38)+S51),M38)</f>
        <v>[effect:hungup, target:unit_machine, turn:99, rate:1, animation:hungup01],[effect:virus, turn:-1, rate:1, val:0.05, animation:enemy_virus],[effect:tolerance, target:myself, turn:-1, count:-1, tolerance_effect:all, animation:enemy_tolerance]</v>
      </c>
      <c r="O38" s="113">
        <f t="shared" ref="O38:O39" si="46">FIND("effect:",N38)+7</f>
        <v>9</v>
      </c>
      <c r="P38" s="113">
        <f t="shared" ref="P38:P39" si="47">IFERROR(FIND(",",N38),LEN(N38))</f>
        <v>15</v>
      </c>
      <c r="Q38" s="113">
        <f t="shared" ref="Q38:Q39" si="48">FIND("target:",N38)+7</f>
        <v>24</v>
      </c>
      <c r="R38" s="113">
        <f t="shared" ref="R38:R39" si="49">FIND(",",N38,P38+1)</f>
        <v>36</v>
      </c>
      <c r="S38" s="113" t="str">
        <f>IFERROR(VLOOKUP(MID(N38,Q38,R38-Q38),[6]skilldef!$C:$D,2,FALSE),"-") &amp; " / " &amp; IFERROR(VLOOKUP(MID(N38,O38,P38-O38),[6]skilldef!$A:$B,2,FALSE),"-")</f>
        <v>- / ハングアップ</v>
      </c>
      <c r="T38" s="114" t="str">
        <f t="shared" ref="T38:T39" si="50">IFERROR(RIGHT(M38,LEN(M38)-FIND("],",M38)-1),"none")</f>
        <v>[effect:virus, turn:-1, rate:1, val:0.05, animation:enemy_virus],[effect:tolerance, target:myself, turn:-1, count:-1, tolerance_effect:all, animation:enemy_tolerance]</v>
      </c>
      <c r="U38" s="113">
        <f t="shared" ref="U38:U39" si="51">FIND("effect:",T38)+7</f>
        <v>9</v>
      </c>
      <c r="V38" s="113">
        <f t="shared" ref="V38:V39" si="52">IFERROR(FIND(",",T38),LEN(T38))</f>
        <v>14</v>
      </c>
      <c r="W38" s="113">
        <f t="shared" ref="W38:W39" si="53">FIND("target:",T38)+7</f>
        <v>92</v>
      </c>
      <c r="X38" s="113">
        <f t="shared" ref="X38:X39" si="54">FIND(",",T38,V38+1)</f>
        <v>23</v>
      </c>
      <c r="Y38" s="113" t="str">
        <f>IFERROR(VLOOKUP(MID(T38,W38,X38-W38),[6]skilldef!$C:$D,2,FALSE),"-") &amp; " / " &amp; IFERROR(VLOOKUP(MID(T38,U38,V38-U38),[6]skilldef!$A:$B,2,FALSE),"-")</f>
        <v>- / ウィルス</v>
      </c>
      <c r="Z38" s="111"/>
      <c r="AA38" s="115"/>
      <c r="AB38" s="111"/>
    </row>
    <row r="39" spans="1:28" ht="21" customHeight="1" x14ac:dyDescent="0.15">
      <c r="A39" s="135">
        <v>48703504</v>
      </c>
      <c r="B39" s="110" t="s">
        <v>320</v>
      </c>
      <c r="C39" s="111">
        <v>1</v>
      </c>
      <c r="D39" s="111" t="s">
        <v>127</v>
      </c>
      <c r="E39" s="112" t="s">
        <v>365</v>
      </c>
      <c r="F39" s="112" t="s">
        <v>286</v>
      </c>
      <c r="G39" s="113" t="str">
        <f t="shared" si="40"/>
        <v>[effect:enemy_message, val1:1.2, val2:1.2]</v>
      </c>
      <c r="H39" s="113">
        <f t="shared" si="41"/>
        <v>9</v>
      </c>
      <c r="I39" s="113">
        <f t="shared" si="42"/>
        <v>22</v>
      </c>
      <c r="J39" s="113" t="e">
        <f t="shared" si="43"/>
        <v>#VALUE!</v>
      </c>
      <c r="K39" s="113">
        <f t="shared" si="44"/>
        <v>32</v>
      </c>
      <c r="L39" s="113" t="str">
        <f>IFERROR(VLOOKUP(MID(G39,J39,K39-J39),[6]skilldef!$C:$D,2,FALSE),"-") &amp; " / " &amp; IFERROR(VLOOKUP(MID(G39,H39,I39-H39),[6]skilldef!$A:$B,2,FALSE),"-")</f>
        <v>- / -</v>
      </c>
      <c r="M39" s="113" t="str">
        <f t="shared" si="45"/>
        <v>[effect:hungup, target:unit_machine, turn:99, rate:1, animation:hungup01],[effect:virus, turn:-1, rate:1, val:0.05, animation:enemy_virus],[effect:tolerance, target:myself, turn:-1, count:-1, tolerance_effect:all, animation:enemy_tolerance]</v>
      </c>
      <c r="N39" s="114" t="str">
        <f>IFERROR(LEFT(M39,FIND("],",M39)+S51),M39)</f>
        <v>[effect:hungup, target:unit_machine, turn:99, rate:1, animation:hungup01],[effect:virus, turn:-1, rate:1, val:0.05, animation:enemy_virus],[effect:tolerance, target:myself, turn:-1, count:-1, tolerance_effect:all, animation:enemy_tolerance]</v>
      </c>
      <c r="O39" s="113">
        <f t="shared" si="46"/>
        <v>9</v>
      </c>
      <c r="P39" s="113">
        <f t="shared" si="47"/>
        <v>15</v>
      </c>
      <c r="Q39" s="113">
        <f t="shared" si="48"/>
        <v>24</v>
      </c>
      <c r="R39" s="113">
        <f t="shared" si="49"/>
        <v>36</v>
      </c>
      <c r="S39" s="113" t="str">
        <f>IFERROR(VLOOKUP(MID(N39,Q39,R39-Q39),[6]skilldef!$C:$D,2,FALSE),"-") &amp; " / " &amp; IFERROR(VLOOKUP(MID(N39,O39,P39-O39),[6]skilldef!$A:$B,2,FALSE),"-")</f>
        <v>- / ハングアップ</v>
      </c>
      <c r="T39" s="114" t="str">
        <f t="shared" si="50"/>
        <v>[effect:virus, turn:-1, rate:1, val:0.05, animation:enemy_virus],[effect:tolerance, target:myself, turn:-1, count:-1, tolerance_effect:all, animation:enemy_tolerance]</v>
      </c>
      <c r="U39" s="113">
        <f t="shared" si="51"/>
        <v>9</v>
      </c>
      <c r="V39" s="113">
        <f t="shared" si="52"/>
        <v>14</v>
      </c>
      <c r="W39" s="113">
        <f t="shared" si="53"/>
        <v>92</v>
      </c>
      <c r="X39" s="113">
        <f t="shared" si="54"/>
        <v>23</v>
      </c>
      <c r="Y39" s="113" t="str">
        <f>IFERROR(VLOOKUP(MID(T39,W39,X39-W39),[6]skilldef!$C:$D,2,FALSE),"-") &amp; " / " &amp; IFERROR(VLOOKUP(MID(T39,U39,V39-U39),[6]skilldef!$A:$B,2,FALSE),"-")</f>
        <v>- / ウィルス</v>
      </c>
      <c r="Z39" s="111"/>
      <c r="AA39" s="115"/>
      <c r="AB39" s="111"/>
    </row>
    <row r="40" spans="1:28" ht="21" customHeight="1" x14ac:dyDescent="0.15">
      <c r="A40" s="135">
        <v>48703505</v>
      </c>
      <c r="B40" s="110" t="s">
        <v>320</v>
      </c>
      <c r="C40" s="111">
        <v>1</v>
      </c>
      <c r="D40" s="111" t="s">
        <v>127</v>
      </c>
      <c r="E40" s="112" t="s">
        <v>365</v>
      </c>
      <c r="F40" s="112" t="s">
        <v>286</v>
      </c>
      <c r="G40" s="113" t="str">
        <f t="shared" ref="G40:G42" si="55">IFERROR(LEFT(B40,FIND("],",B40)),B40)</f>
        <v>[effect:enemy_message, val1:1.2, val2:1.2]</v>
      </c>
      <c r="H40" s="113">
        <f t="shared" si="1"/>
        <v>9</v>
      </c>
      <c r="I40" s="113">
        <f t="shared" ref="I40:I42" si="56">IFERROR(FIND(",",G40),LEN(G40))</f>
        <v>22</v>
      </c>
      <c r="J40" s="113" t="e">
        <f t="shared" ref="J40:J42" si="57">FIND("target:",G40)+7</f>
        <v>#VALUE!</v>
      </c>
      <c r="K40" s="113">
        <f t="shared" ref="K40:K42" si="58">FIND(",",G40,I40+1)</f>
        <v>32</v>
      </c>
      <c r="L40" s="113" t="str">
        <f>IFERROR(VLOOKUP(MID(G40,J40,K40-J40),[6]skilldef!$C:$D,2,FALSE),"-") &amp; " / " &amp; IFERROR(VLOOKUP(MID(G40,H40,I40-H40),[6]skilldef!$A:$B,2,FALSE),"-")</f>
        <v>- / -</v>
      </c>
      <c r="M40" s="113" t="str">
        <f t="shared" ref="M40:M42" si="59">IFERROR(RIGHT(B40,LEN(B40)-FIND("],",B40)-1),"none")</f>
        <v>[effect:hungup, target:unit_machine, turn:99, rate:1, animation:hungup01],[effect:virus, turn:-1, rate:1, val:0.05, animation:enemy_virus],[effect:tolerance, target:myself, turn:-1, count:-1, tolerance_effect:all, animation:enemy_tolerance]</v>
      </c>
      <c r="N40" s="114" t="str">
        <f>IFERROR(LEFT(M40,FIND("],",M40)+S50),M40)</f>
        <v>[effect:hungup, target:unit_machine, turn:99, rate:1, animation:hungup01],[effect:virus, turn:-1, rate:1, val:0.05, animation:enemy_virus],[effect:tolerance, target:myself, turn:-1, count:-1, tolerance_effect:all, animation:enemy_tolerance]</v>
      </c>
      <c r="O40" s="113">
        <f t="shared" si="6"/>
        <v>9</v>
      </c>
      <c r="P40" s="113">
        <f t="shared" ref="P40:P42" si="60">IFERROR(FIND(",",N40),LEN(N40))</f>
        <v>15</v>
      </c>
      <c r="Q40" s="113">
        <f t="shared" ref="Q40:Q42" si="61">FIND("target:",N40)+7</f>
        <v>24</v>
      </c>
      <c r="R40" s="113">
        <f t="shared" ref="R40:R42" si="62">FIND(",",N40,P40+1)</f>
        <v>36</v>
      </c>
      <c r="S40" s="113" t="str">
        <f>IFERROR(VLOOKUP(MID(N40,Q40,R40-Q40),[6]skilldef!$C:$D,2,FALSE),"-") &amp; " / " &amp; IFERROR(VLOOKUP(MID(N40,O40,P40-O40),[6]skilldef!$A:$B,2,FALSE),"-")</f>
        <v>- / ハングアップ</v>
      </c>
      <c r="T40" s="114" t="str">
        <f t="shared" ref="T40:T42" si="63">IFERROR(RIGHT(M40,LEN(M40)-FIND("],",M40)-1),"none")</f>
        <v>[effect:virus, turn:-1, rate:1, val:0.05, animation:enemy_virus],[effect:tolerance, target:myself, turn:-1, count:-1, tolerance_effect:all, animation:enemy_tolerance]</v>
      </c>
      <c r="U40" s="113">
        <f t="shared" si="11"/>
        <v>9</v>
      </c>
      <c r="V40" s="113">
        <f t="shared" ref="V40:V42" si="64">IFERROR(FIND(",",T40),LEN(T40))</f>
        <v>14</v>
      </c>
      <c r="W40" s="113">
        <f t="shared" ref="W40:W42" si="65">FIND("target:",T40)+7</f>
        <v>92</v>
      </c>
      <c r="X40" s="113">
        <f t="shared" ref="X40:X42" si="66">FIND(",",T40,V40+1)</f>
        <v>23</v>
      </c>
      <c r="Y40" s="113" t="str">
        <f>IFERROR(VLOOKUP(MID(T40,W40,X40-W40),[6]skilldef!$C:$D,2,FALSE),"-") &amp; " / " &amp; IFERROR(VLOOKUP(MID(T40,U40,V40-U40),[6]skilldef!$A:$B,2,FALSE),"-")</f>
        <v>- / ウィルス</v>
      </c>
      <c r="Z40" s="111"/>
      <c r="AA40" s="115"/>
      <c r="AB40" s="111"/>
    </row>
    <row r="41" spans="1:28" ht="21" customHeight="1" x14ac:dyDescent="0.15">
      <c r="A41" s="135">
        <v>48703506</v>
      </c>
      <c r="B41" s="47" t="s">
        <v>287</v>
      </c>
      <c r="C41" s="50">
        <v>1</v>
      </c>
      <c r="D41" s="50" t="s">
        <v>127</v>
      </c>
      <c r="E41" s="112" t="s">
        <v>366</v>
      </c>
      <c r="F41" s="51" t="s">
        <v>288</v>
      </c>
      <c r="G41" s="64" t="str">
        <f t="shared" si="55"/>
        <v>[effect:enemy_message, val1:1.2, val2:1.2]</v>
      </c>
      <c r="H41" s="64">
        <f t="shared" si="1"/>
        <v>9</v>
      </c>
      <c r="I41" s="64">
        <f t="shared" si="56"/>
        <v>22</v>
      </c>
      <c r="J41" s="64" t="e">
        <f t="shared" si="57"/>
        <v>#VALUE!</v>
      </c>
      <c r="K41" s="64">
        <f t="shared" si="58"/>
        <v>32</v>
      </c>
      <c r="L41" s="64" t="str">
        <f>IFERROR(VLOOKUP(MID(G41,J41,K41-J41),[6]skilldef!$C:$D,2,FALSE),"-") &amp; " / " &amp; IFERROR(VLOOKUP(MID(G41,H41,I41-H41),[6]skilldef!$A:$B,2,FALSE),"-")</f>
        <v>- / -</v>
      </c>
      <c r="M41" s="64" t="str">
        <f t="shared" si="59"/>
        <v xml:space="preserve">[effect:damage_fix_absolute, target:unit_one, val:12000]    </v>
      </c>
      <c r="N41" s="48" t="str">
        <f>IFERROR(LEFT(M41,FIND("],",M41)+S51),M41)</f>
        <v xml:space="preserve">[effect:damage_fix_absolute, target:unit_one, val:12000]    </v>
      </c>
      <c r="O41" s="64">
        <f t="shared" si="6"/>
        <v>9</v>
      </c>
      <c r="P41" s="64">
        <f t="shared" si="60"/>
        <v>28</v>
      </c>
      <c r="Q41" s="64">
        <f t="shared" si="61"/>
        <v>37</v>
      </c>
      <c r="R41" s="64">
        <f t="shared" si="62"/>
        <v>45</v>
      </c>
      <c r="S41" s="64" t="str">
        <f>IFERROR(VLOOKUP(MID(N41,Q41,R41-Q41),[6]skilldef!$C:$D,2,FALSE),"-") &amp; " / " &amp; IFERROR(VLOOKUP(MID(N41,O41,P41-O41),[6]skilldef!$A:$B,2,FALSE),"-")</f>
        <v>味方単体に / -</v>
      </c>
      <c r="T41" s="48" t="str">
        <f t="shared" si="63"/>
        <v>none</v>
      </c>
      <c r="U41" s="64" t="e">
        <f t="shared" si="11"/>
        <v>#VALUE!</v>
      </c>
      <c r="V41" s="64">
        <f t="shared" si="64"/>
        <v>4</v>
      </c>
      <c r="W41" s="64" t="e">
        <f t="shared" si="65"/>
        <v>#VALUE!</v>
      </c>
      <c r="X41" s="64" t="e">
        <f t="shared" si="66"/>
        <v>#VALUE!</v>
      </c>
      <c r="Y41" s="64" t="str">
        <f>IFERROR(VLOOKUP(MID(T41,W41,X41-W41),[6]skilldef!$C:$D,2,FALSE),"-") &amp; " / " &amp; IFERROR(VLOOKUP(MID(T41,U41,V41-U41),[6]skilldef!$A:$B,2,FALSE),"-")</f>
        <v>- / -</v>
      </c>
      <c r="Z41" s="50"/>
      <c r="AA41" s="52"/>
      <c r="AB41" s="50"/>
    </row>
    <row r="42" spans="1:28" ht="21" customHeight="1" x14ac:dyDescent="0.15">
      <c r="A42" s="135">
        <v>48703507</v>
      </c>
      <c r="B42" s="47" t="s">
        <v>419</v>
      </c>
      <c r="C42" s="50">
        <v>1</v>
      </c>
      <c r="D42" s="50" t="s">
        <v>127</v>
      </c>
      <c r="E42" s="112" t="s">
        <v>367</v>
      </c>
      <c r="F42" s="51" t="s">
        <v>289</v>
      </c>
      <c r="G42" s="64" t="str">
        <f t="shared" si="55"/>
        <v>[effect:enemy_message, val1:1.2, val2:1.2]</v>
      </c>
      <c r="H42" s="64">
        <f t="shared" si="1"/>
        <v>9</v>
      </c>
      <c r="I42" s="64">
        <f t="shared" si="56"/>
        <v>22</v>
      </c>
      <c r="J42" s="64" t="e">
        <f t="shared" si="57"/>
        <v>#VALUE!</v>
      </c>
      <c r="K42" s="64">
        <f t="shared" si="58"/>
        <v>32</v>
      </c>
      <c r="L42" s="64" t="str">
        <f>IFERROR(VLOOKUP(MID(G42,J42,K42-J42),[6]skilldef!$C:$D,2,FALSE),"-") &amp; " / " &amp; IFERROR(VLOOKUP(MID(G42,H42,I42-H42),[6]skilldef!$A:$B,2,FALSE),"-")</f>
        <v>- / -</v>
      </c>
      <c r="M42" s="64" t="str">
        <f t="shared" si="59"/>
        <v>[effect:enemy_message, val1:1.2, val2:1.2],[effect:rush, count:3, val:0.4],[effect:attack_break, target:unit_all, turn:3, val:0.4, calc:mul, animation:attack_break02]</v>
      </c>
      <c r="N42" s="48" t="str">
        <f>IFERROR(LEFT(M42,FIND("],",M42)+S53),M42)</f>
        <v>[effect:enemy_message, val1:1.2, val2:1.2],[effect:rush, count:3, val:0.4],[effect:attack_break, target:unit_all, turn:3, val:0.4, calc:mul, animation:attack_break02]</v>
      </c>
      <c r="O42" s="64">
        <f t="shared" si="6"/>
        <v>9</v>
      </c>
      <c r="P42" s="64">
        <f t="shared" si="60"/>
        <v>22</v>
      </c>
      <c r="Q42" s="64">
        <f t="shared" si="61"/>
        <v>105</v>
      </c>
      <c r="R42" s="64">
        <f t="shared" si="62"/>
        <v>32</v>
      </c>
      <c r="S42" s="64" t="str">
        <f>IFERROR(VLOOKUP(MID(N42,Q42,R42-Q42),[6]skilldef!$C:$D,2,FALSE),"-") &amp; " / " &amp; IFERROR(VLOOKUP(MID(N42,O42,P42-O42),[6]skilldef!$A:$B,2,FALSE),"-")</f>
        <v>- / -</v>
      </c>
      <c r="T42" s="48" t="str">
        <f t="shared" si="63"/>
        <v>[effect:rush, count:3, val:0.4],[effect:attack_break, target:unit_all, turn:3, val:0.4, calc:mul, animation:attack_break02]</v>
      </c>
      <c r="U42" s="64">
        <f t="shared" si="11"/>
        <v>9</v>
      </c>
      <c r="V42" s="64">
        <f t="shared" si="64"/>
        <v>13</v>
      </c>
      <c r="W42" s="64">
        <f t="shared" si="65"/>
        <v>62</v>
      </c>
      <c r="X42" s="64">
        <f t="shared" si="66"/>
        <v>22</v>
      </c>
      <c r="Y42" s="64" t="str">
        <f>IFERROR(VLOOKUP(MID(T42,W42,X42-W42),[6]skilldef!$C:$D,2,FALSE),"-") &amp; " / " &amp; IFERROR(VLOOKUP(MID(T42,U42,V42-U42),[6]skilldef!$A:$B,2,FALSE),"-")</f>
        <v>- / 連続攻撃</v>
      </c>
      <c r="Z42" s="50"/>
      <c r="AA42" s="52"/>
      <c r="AB42" s="50"/>
    </row>
    <row r="43" spans="1:28" ht="21" customHeight="1" x14ac:dyDescent="0.15">
      <c r="A43" s="135">
        <v>48703508</v>
      </c>
      <c r="B43" s="47" t="s">
        <v>290</v>
      </c>
      <c r="C43" s="50">
        <v>1</v>
      </c>
      <c r="D43" s="50" t="s">
        <v>127</v>
      </c>
      <c r="E43" s="112" t="s">
        <v>368</v>
      </c>
      <c r="F43" s="51" t="s">
        <v>291</v>
      </c>
      <c r="G43" s="64" t="str">
        <f t="shared" ref="G43:G51" si="67">IFERROR(LEFT(B43,FIND("],",B43)),B43)</f>
        <v>[effect:enemy_message, val1:1.2, val2:1.2]</v>
      </c>
      <c r="H43" s="64">
        <f t="shared" si="1"/>
        <v>9</v>
      </c>
      <c r="I43" s="64">
        <f t="shared" ref="I43:I51" si="68">IFERROR(FIND(",",G43),LEN(G43))</f>
        <v>22</v>
      </c>
      <c r="J43" s="64" t="e">
        <f t="shared" ref="J43:J51" si="69">FIND("target:",G43)+7</f>
        <v>#VALUE!</v>
      </c>
      <c r="K43" s="64">
        <f t="shared" ref="K43:K51" si="70">FIND(",",G43,I43+1)</f>
        <v>32</v>
      </c>
      <c r="L43" s="64" t="str">
        <f>IFERROR(VLOOKUP(MID(G43,J43,K43-J43),[6]skilldef!$C:$D,2,FALSE),"-") &amp; " / " &amp; IFERROR(VLOOKUP(MID(G43,H43,I43-H43),[6]skilldef!$A:$B,2,FALSE),"-")</f>
        <v>- / -</v>
      </c>
      <c r="M43" s="64" t="str">
        <f t="shared" ref="M43:M51" si="71">IFERROR(RIGHT(B43,LEN(B43)-FIND("],",B43)-1),"none")</f>
        <v xml:space="preserve">[effect:enhance_enemy, target:myself, turn:3, status:attack, val:0.3, calc:mul, animation:enemy_enhance_attack],[effect:degrade_unit, target:unit_all, turn:3, status:heal, val:3, calc:add, animation:degrade_unit_all_heal]    </v>
      </c>
      <c r="N43" s="48" t="str">
        <f>IFERROR(LEFT(M43,FIND("],",M43)+S54),M43)</f>
        <v xml:space="preserve">[effect:enhance_enemy, target:myself, turn:3, status:attack, val:0.3, calc:mul, animation:enemy_enhance_attack],[effect:degrade_unit, target:unit_all, turn:3, status:heal, val:3, calc:add, animation:degrade_unit_all_heal]    </v>
      </c>
      <c r="O43" s="64">
        <f t="shared" si="6"/>
        <v>9</v>
      </c>
      <c r="P43" s="64">
        <f t="shared" ref="P43:P51" si="72">IFERROR(FIND(",",N43),LEN(N43))</f>
        <v>22</v>
      </c>
      <c r="Q43" s="64">
        <f t="shared" ref="Q43:Q51" si="73">FIND("target:",N43)+7</f>
        <v>31</v>
      </c>
      <c r="R43" s="64">
        <f t="shared" ref="R43:R51" si="74">FIND(",",N43,P43+1)</f>
        <v>37</v>
      </c>
      <c r="S43" s="64" t="str">
        <f>IFERROR(VLOOKUP(MID(N43,Q43,R43-Q43),[6]skilldef!$C:$D,2,FALSE),"-") &amp; " / " &amp; IFERROR(VLOOKUP(MID(N43,O43,P43-O43),[6]skilldef!$A:$B,2,FALSE),"-")</f>
        <v>自分自身に / ステータス強化</v>
      </c>
      <c r="T43" s="48" t="str">
        <f t="shared" ref="T43:T51" si="75">IFERROR(RIGHT(M43,LEN(M43)-FIND("],",M43)-1),"none")</f>
        <v xml:space="preserve">[effect:degrade_unit, target:unit_all, turn:3, status:heal, val:3, calc:add, animation:degrade_unit_all_heal]    </v>
      </c>
      <c r="U43" s="64">
        <f t="shared" si="11"/>
        <v>9</v>
      </c>
      <c r="V43" s="64">
        <f t="shared" ref="V43:V51" si="76">IFERROR(FIND(",",T43),LEN(T43))</f>
        <v>21</v>
      </c>
      <c r="W43" s="64">
        <f t="shared" ref="W43:W51" si="77">FIND("target:",T43)+7</f>
        <v>30</v>
      </c>
      <c r="X43" s="64">
        <f t="shared" ref="X43:X51" si="78">FIND(",",T43,V43+1)</f>
        <v>38</v>
      </c>
      <c r="Y43" s="64" t="str">
        <f>IFERROR(VLOOKUP(MID(T43,W43,X43-W43),[6]skilldef!$C:$D,2,FALSE),"-") &amp; " / " &amp; IFERROR(VLOOKUP(MID(T43,U43,V43-U43),[6]skilldef!$A:$B,2,FALSE),"-")</f>
        <v>味方全体に / ステータスDOWN</v>
      </c>
      <c r="Z43" s="50"/>
      <c r="AA43" s="52"/>
      <c r="AB43" s="50"/>
    </row>
    <row r="44" spans="1:28" ht="21" customHeight="1" x14ac:dyDescent="0.15">
      <c r="A44" s="135">
        <v>48703509</v>
      </c>
      <c r="B44" s="47" t="s">
        <v>307</v>
      </c>
      <c r="C44" s="50">
        <v>1</v>
      </c>
      <c r="D44" s="50" t="s">
        <v>127</v>
      </c>
      <c r="E44" s="112" t="s">
        <v>369</v>
      </c>
      <c r="F44" s="51" t="s">
        <v>272</v>
      </c>
      <c r="G44" s="64" t="str">
        <f t="shared" si="67"/>
        <v>[effect:enemy_message, val1:1.2, val2:1.2]</v>
      </c>
      <c r="H44" s="64">
        <f t="shared" si="1"/>
        <v>9</v>
      </c>
      <c r="I44" s="64">
        <f t="shared" si="68"/>
        <v>22</v>
      </c>
      <c r="J44" s="64" t="e">
        <f t="shared" si="69"/>
        <v>#VALUE!</v>
      </c>
      <c r="K44" s="64">
        <f t="shared" si="70"/>
        <v>32</v>
      </c>
      <c r="L44" s="64" t="str">
        <f>IFERROR(VLOOKUP(MID(G44,J44,K44-J44),[6]skilldef!$C:$D,2,FALSE),"-") &amp; " / " &amp; IFERROR(VLOOKUP(MID(G44,H44,I44-H44),[6]skilldef!$A:$B,2,FALSE),"-")</f>
        <v>- / -</v>
      </c>
      <c r="M44" s="64" t="str">
        <f t="shared" si="71"/>
        <v>[effect:critical, val:1.3, animation:enemy_critical]</v>
      </c>
      <c r="N44" s="48" t="str">
        <f>IFERROR(LEFT(M44,FIND("],",M44)+S55),M44)</f>
        <v>[effect:critical, val:1.3, animation:enemy_critical]</v>
      </c>
      <c r="O44" s="64">
        <f t="shared" si="6"/>
        <v>9</v>
      </c>
      <c r="P44" s="64">
        <f t="shared" si="72"/>
        <v>17</v>
      </c>
      <c r="Q44" s="64" t="e">
        <f t="shared" si="73"/>
        <v>#VALUE!</v>
      </c>
      <c r="R44" s="64">
        <f t="shared" si="74"/>
        <v>26</v>
      </c>
      <c r="S44" s="64" t="str">
        <f>IFERROR(VLOOKUP(MID(N44,Q44,R44-Q44),[6]skilldef!$C:$D,2,FALSE),"-") &amp; " / " &amp; IFERROR(VLOOKUP(MID(N44,O44,P44-O44),[6]skilldef!$A:$B,2,FALSE),"-")</f>
        <v>- / 大攻撃</v>
      </c>
      <c r="T44" s="48" t="str">
        <f t="shared" si="75"/>
        <v>none</v>
      </c>
      <c r="U44" s="64" t="e">
        <f t="shared" si="11"/>
        <v>#VALUE!</v>
      </c>
      <c r="V44" s="64">
        <f t="shared" si="76"/>
        <v>4</v>
      </c>
      <c r="W44" s="64" t="e">
        <f t="shared" si="77"/>
        <v>#VALUE!</v>
      </c>
      <c r="X44" s="64" t="e">
        <f t="shared" si="78"/>
        <v>#VALUE!</v>
      </c>
      <c r="Y44" s="64" t="str">
        <f>IFERROR(VLOOKUP(MID(T44,W44,X44-W44),[6]skilldef!$C:$D,2,FALSE),"-") &amp; " / " &amp; IFERROR(VLOOKUP(MID(T44,U44,V44-U44),[6]skilldef!$A:$B,2,FALSE),"-")</f>
        <v>- / -</v>
      </c>
      <c r="Z44" s="50"/>
      <c r="AA44" s="52"/>
      <c r="AB44" s="50"/>
    </row>
    <row r="45" spans="1:28" ht="21" customHeight="1" x14ac:dyDescent="0.15">
      <c r="A45" s="135">
        <v>48703510</v>
      </c>
      <c r="B45" s="47" t="s">
        <v>420</v>
      </c>
      <c r="C45" s="50">
        <v>1</v>
      </c>
      <c r="D45" s="50" t="s">
        <v>127</v>
      </c>
      <c r="E45" s="112" t="s">
        <v>387</v>
      </c>
      <c r="F45" s="51" t="s">
        <v>293</v>
      </c>
      <c r="G45" s="64" t="str">
        <f t="shared" si="67"/>
        <v>[effect:enemy_message, val1:1.2, val2:1.2]</v>
      </c>
      <c r="H45" s="64">
        <f t="shared" si="1"/>
        <v>9</v>
      </c>
      <c r="I45" s="64">
        <f t="shared" si="68"/>
        <v>22</v>
      </c>
      <c r="J45" s="64" t="e">
        <f t="shared" si="69"/>
        <v>#VALUE!</v>
      </c>
      <c r="K45" s="64">
        <f t="shared" si="70"/>
        <v>32</v>
      </c>
      <c r="L45" s="64" t="str">
        <f>IFERROR(VLOOKUP(MID(G45,J45,K45-J45),[6]skilldef!$C:$D,2,FALSE),"-") &amp; " / " &amp; IFERROR(VLOOKUP(MID(G45,H45,I45-H45),[6]skilldef!$A:$B,2,FALSE),"-")</f>
        <v>- / -</v>
      </c>
      <c r="M45" s="64" t="str">
        <f t="shared" si="71"/>
        <v xml:space="preserve">[effect:attack_break, target:unit_all, turn:5, val:0.4, calc:mul, animation:attack_break02],[effect:rush, count:1, val:0.4]   </v>
      </c>
      <c r="N45" s="48" t="str">
        <f>IFERROR(LEFT(M45,FIND("],",M45)+#REF!),M45)</f>
        <v xml:space="preserve">[effect:attack_break, target:unit_all, turn:5, val:0.4, calc:mul, animation:attack_break02],[effect:rush, count:1, val:0.4]   </v>
      </c>
      <c r="O45" s="64">
        <f t="shared" si="6"/>
        <v>9</v>
      </c>
      <c r="P45" s="64">
        <f t="shared" si="72"/>
        <v>21</v>
      </c>
      <c r="Q45" s="64">
        <f t="shared" si="73"/>
        <v>30</v>
      </c>
      <c r="R45" s="64">
        <f t="shared" si="74"/>
        <v>38</v>
      </c>
      <c r="S45" s="64" t="str">
        <f>IFERROR(VLOOKUP(MID(N45,Q45,R45-Q45),[6]skilldef!$C:$D,2,FALSE),"-") &amp; " / " &amp; IFERROR(VLOOKUP(MID(N45,O45,P45-O45),[6]skilldef!$A:$B,2,FALSE),"-")</f>
        <v>味方全体に / -</v>
      </c>
      <c r="T45" s="48" t="str">
        <f t="shared" si="75"/>
        <v xml:space="preserve">[effect:rush, count:1, val:0.4]   </v>
      </c>
      <c r="U45" s="64">
        <f t="shared" si="11"/>
        <v>9</v>
      </c>
      <c r="V45" s="64">
        <f t="shared" si="76"/>
        <v>13</v>
      </c>
      <c r="W45" s="64" t="e">
        <f t="shared" si="77"/>
        <v>#VALUE!</v>
      </c>
      <c r="X45" s="64">
        <f t="shared" si="78"/>
        <v>22</v>
      </c>
      <c r="Y45" s="64" t="str">
        <f>IFERROR(VLOOKUP(MID(T45,W45,X45-W45),[6]skilldef!$C:$D,2,FALSE),"-") &amp; " / " &amp; IFERROR(VLOOKUP(MID(T45,U45,V45-U45),[6]skilldef!$A:$B,2,FALSE),"-")</f>
        <v>- / 連続攻撃</v>
      </c>
      <c r="Z45" s="50"/>
      <c r="AA45" s="52"/>
      <c r="AB45" s="50"/>
    </row>
    <row r="46" spans="1:28" ht="44" customHeight="1" x14ac:dyDescent="0.15">
      <c r="A46" s="135">
        <v>48703511</v>
      </c>
      <c r="B46" s="47" t="s">
        <v>308</v>
      </c>
      <c r="C46" s="50">
        <v>1</v>
      </c>
      <c r="D46" s="50" t="s">
        <v>127</v>
      </c>
      <c r="E46" s="112" t="s">
        <v>387</v>
      </c>
      <c r="F46" s="51" t="s">
        <v>395</v>
      </c>
      <c r="G46" s="64" t="str">
        <f t="shared" ref="G46" si="79">IFERROR(LEFT(B46,FIND("],",B46)),B46)</f>
        <v>[effect:enemy_message, val1:1.2, val2:1.2]</v>
      </c>
      <c r="H46" s="64">
        <f t="shared" ref="H46" si="80">FIND("effect:",G46)+7</f>
        <v>9</v>
      </c>
      <c r="I46" s="64">
        <f t="shared" ref="I46" si="81">IFERROR(FIND(",",G46),LEN(G46))</f>
        <v>22</v>
      </c>
      <c r="J46" s="64" t="e">
        <f t="shared" ref="J46" si="82">FIND("target:",G46)+7</f>
        <v>#VALUE!</v>
      </c>
      <c r="K46" s="64">
        <f t="shared" ref="K46" si="83">FIND(",",G46,I46+1)</f>
        <v>32</v>
      </c>
      <c r="L46" s="64" t="str">
        <f>IFERROR(VLOOKUP(MID(G46,J46,K46-J46),[6]skilldef!$C:$D,2,FALSE),"-") &amp; " / " &amp; IFERROR(VLOOKUP(MID(G46,H46,I46-H46),[6]skilldef!$A:$B,2,FALSE),"-")</f>
        <v>- / -</v>
      </c>
      <c r="M46" s="64" t="str">
        <f t="shared" ref="M46" si="84">IFERROR(RIGHT(B46,LEN(B46)-FIND("],",B46)-1),"none")</f>
        <v>[effect:critical, val:1.5, animation:enemy_critical]</v>
      </c>
      <c r="N46" s="48" t="str">
        <f>IFERROR(LEFT(M46,FIND("],",M46)+#REF!),M46)</f>
        <v>[effect:critical, val:1.5, animation:enemy_critical]</v>
      </c>
      <c r="O46" s="64">
        <f t="shared" ref="O46" si="85">FIND("effect:",N46)+7</f>
        <v>9</v>
      </c>
      <c r="P46" s="64">
        <f t="shared" ref="P46" si="86">IFERROR(FIND(",",N46),LEN(N46))</f>
        <v>17</v>
      </c>
      <c r="Q46" s="64" t="e">
        <f t="shared" ref="Q46" si="87">FIND("target:",N46)+7</f>
        <v>#VALUE!</v>
      </c>
      <c r="R46" s="64">
        <f t="shared" ref="R46" si="88">FIND(",",N46,P46+1)</f>
        <v>26</v>
      </c>
      <c r="S46" s="64" t="str">
        <f>IFERROR(VLOOKUP(MID(N46,Q46,R46-Q46),[6]skilldef!$C:$D,2,FALSE),"-") &amp; " / " &amp; IFERROR(VLOOKUP(MID(N46,O46,P46-O46),[6]skilldef!$A:$B,2,FALSE),"-")</f>
        <v>- / 大攻撃</v>
      </c>
      <c r="T46" s="48" t="str">
        <f t="shared" ref="T46" si="89">IFERROR(RIGHT(M46,LEN(M46)-FIND("],",M46)-1),"none")</f>
        <v>none</v>
      </c>
      <c r="U46" s="64" t="e">
        <f t="shared" ref="U46" si="90">FIND("effect:",T46)+7</f>
        <v>#VALUE!</v>
      </c>
      <c r="V46" s="64">
        <f t="shared" ref="V46" si="91">IFERROR(FIND(",",T46),LEN(T46))</f>
        <v>4</v>
      </c>
      <c r="W46" s="64" t="e">
        <f t="shared" ref="W46" si="92">FIND("target:",T46)+7</f>
        <v>#VALUE!</v>
      </c>
      <c r="X46" s="64" t="e">
        <f t="shared" ref="X46" si="93">FIND(",",T46,V46+1)</f>
        <v>#VALUE!</v>
      </c>
      <c r="Y46" s="64" t="str">
        <f>IFERROR(VLOOKUP(MID(T46,W46,X46-W46),[6]skilldef!$C:$D,2,FALSE),"-") &amp; " / " &amp; IFERROR(VLOOKUP(MID(T46,U46,V46-U46),[6]skilldef!$A:$B,2,FALSE),"-")</f>
        <v>- / -</v>
      </c>
      <c r="Z46" s="50"/>
      <c r="AA46" s="52"/>
      <c r="AB46" s="50"/>
    </row>
    <row r="47" spans="1:28" s="122" customFormat="1" ht="21" customHeight="1" thickBot="1" x14ac:dyDescent="0.2">
      <c r="A47" s="135">
        <v>48703512</v>
      </c>
      <c r="B47" s="116" t="s">
        <v>292</v>
      </c>
      <c r="C47" s="117">
        <v>1</v>
      </c>
      <c r="D47" s="117" t="s">
        <v>127</v>
      </c>
      <c r="E47" s="112" t="s">
        <v>387</v>
      </c>
      <c r="F47" s="118" t="s">
        <v>343</v>
      </c>
      <c r="G47" s="119" t="str">
        <f t="shared" si="67"/>
        <v>[effect:enemy_message, val1:1.2, val2:1.2]</v>
      </c>
      <c r="H47" s="119">
        <f t="shared" si="1"/>
        <v>9</v>
      </c>
      <c r="I47" s="119">
        <f t="shared" si="68"/>
        <v>22</v>
      </c>
      <c r="J47" s="119" t="e">
        <f t="shared" si="69"/>
        <v>#VALUE!</v>
      </c>
      <c r="K47" s="119">
        <f t="shared" si="70"/>
        <v>32</v>
      </c>
      <c r="L47" s="119" t="str">
        <f>IFERROR(VLOOKUP(MID(G47,J47,K47-J47),[6]skilldef!$C:$D,2,FALSE),"-") &amp; " / " &amp; IFERROR(VLOOKUP(MID(G47,H47,I47-H47),[6]skilldef!$A:$B,2,FALSE),"-")</f>
        <v>- / -</v>
      </c>
      <c r="M47" s="119" t="str">
        <f t="shared" si="71"/>
        <v xml:space="preserve">[effect:rush, count:1, val:80]   </v>
      </c>
      <c r="N47" s="120" t="str">
        <f>IFERROR(LEFT(M47,FIND("],",M47)+#REF!),M47)</f>
        <v xml:space="preserve">[effect:rush, count:1, val:80]   </v>
      </c>
      <c r="O47" s="119">
        <f t="shared" si="6"/>
        <v>9</v>
      </c>
      <c r="P47" s="119">
        <f t="shared" si="72"/>
        <v>13</v>
      </c>
      <c r="Q47" s="119" t="e">
        <f t="shared" si="73"/>
        <v>#VALUE!</v>
      </c>
      <c r="R47" s="119">
        <f t="shared" si="74"/>
        <v>22</v>
      </c>
      <c r="S47" s="119" t="str">
        <f>IFERROR(VLOOKUP(MID(N47,Q47,R47-Q47),[6]skilldef!$C:$D,2,FALSE),"-") &amp; " / " &amp; IFERROR(VLOOKUP(MID(N47,O47,P47-O47),[6]skilldef!$A:$B,2,FALSE),"-")</f>
        <v>- / 連続攻撃</v>
      </c>
      <c r="T47" s="120" t="str">
        <f t="shared" si="75"/>
        <v>none</v>
      </c>
      <c r="U47" s="119" t="e">
        <f t="shared" si="11"/>
        <v>#VALUE!</v>
      </c>
      <c r="V47" s="119">
        <f t="shared" si="76"/>
        <v>4</v>
      </c>
      <c r="W47" s="119" t="e">
        <f t="shared" si="77"/>
        <v>#VALUE!</v>
      </c>
      <c r="X47" s="119" t="e">
        <f t="shared" si="78"/>
        <v>#VALUE!</v>
      </c>
      <c r="Y47" s="119" t="str">
        <f>IFERROR(VLOOKUP(MID(T47,W47,X47-W47),[6]skilldef!$C:$D,2,FALSE),"-") &amp; " / " &amp; IFERROR(VLOOKUP(MID(T47,U47,V47-U47),[6]skilldef!$A:$B,2,FALSE),"-")</f>
        <v>- / -</v>
      </c>
      <c r="Z47" s="117"/>
      <c r="AA47" s="121"/>
      <c r="AB47" s="117"/>
    </row>
    <row r="48" spans="1:28" ht="21" customHeight="1" x14ac:dyDescent="0.15">
      <c r="A48" s="139">
        <v>48703601</v>
      </c>
      <c r="B48" s="110" t="s">
        <v>321</v>
      </c>
      <c r="C48" s="111">
        <v>1</v>
      </c>
      <c r="D48" s="111" t="s">
        <v>127</v>
      </c>
      <c r="E48" s="112" t="s">
        <v>370</v>
      </c>
      <c r="F48" s="112" t="s">
        <v>294</v>
      </c>
      <c r="G48" s="113" t="str">
        <f t="shared" si="67"/>
        <v>[effect:enemy_message, val1:1.2, val2:1.2]</v>
      </c>
      <c r="H48" s="113">
        <f t="shared" si="1"/>
        <v>9</v>
      </c>
      <c r="I48" s="113">
        <f t="shared" si="68"/>
        <v>22</v>
      </c>
      <c r="J48" s="113" t="e">
        <f t="shared" si="69"/>
        <v>#VALUE!</v>
      </c>
      <c r="K48" s="113">
        <f t="shared" si="70"/>
        <v>32</v>
      </c>
      <c r="L48" s="113" t="str">
        <f>IFERROR(VLOOKUP(MID(G48,J48,K48-J48),[6]skilldef!$C:$D,2,FALSE),"-") &amp; " / " &amp; IFERROR(VLOOKUP(MID(G48,H48,I48-H48),[6]skilldef!$A:$B,2,FALSE),"-")</f>
        <v>- / -</v>
      </c>
      <c r="M48" s="113" t="str">
        <f t="shared" si="71"/>
        <v>[effect:hungup, target:unit_machine, turn:-1, rate:1, animation:hungup01],[effect:virus, turn:-1, rate:1, val:0.05, animation:enemy_virus],[effect:change_bomb_range, target:unit_all, val:0.6, rate:1, turn:6, animation:bomb_small]</v>
      </c>
      <c r="N48" s="114" t="str">
        <f>IFERROR(LEFT(M48,FIND("],",M48)+S56),M48)</f>
        <v>[effect:hungup, target:unit_machine, turn:-1, rate:1, animation:hungup01],[effect:virus, turn:-1, rate:1, val:0.05, animation:enemy_virus],[effect:change_bomb_range, target:unit_all, val:0.6, rate:1, turn:6, animation:bomb_small]</v>
      </c>
      <c r="O48" s="113">
        <f t="shared" si="6"/>
        <v>9</v>
      </c>
      <c r="P48" s="113">
        <f t="shared" si="72"/>
        <v>15</v>
      </c>
      <c r="Q48" s="113">
        <f t="shared" si="73"/>
        <v>24</v>
      </c>
      <c r="R48" s="113">
        <f t="shared" si="74"/>
        <v>36</v>
      </c>
      <c r="S48" s="113" t="str">
        <f>IFERROR(VLOOKUP(MID(N48,Q48,R48-Q48),[6]skilldef!$C:$D,2,FALSE),"-") &amp; " / " &amp; IFERROR(VLOOKUP(MID(N48,O48,P48-O48),[6]skilldef!$A:$B,2,FALSE),"-")</f>
        <v>- / ハングアップ</v>
      </c>
      <c r="T48" s="114" t="str">
        <f t="shared" si="75"/>
        <v>[effect:virus, turn:-1, rate:1, val:0.05, animation:enemy_virus],[effect:change_bomb_range, target:unit_all, val:0.6, rate:1, turn:6, animation:bomb_small]</v>
      </c>
      <c r="U48" s="113">
        <f t="shared" si="11"/>
        <v>9</v>
      </c>
      <c r="V48" s="113">
        <f t="shared" si="76"/>
        <v>14</v>
      </c>
      <c r="W48" s="113">
        <f t="shared" si="77"/>
        <v>100</v>
      </c>
      <c r="X48" s="113">
        <f t="shared" si="78"/>
        <v>23</v>
      </c>
      <c r="Y48" s="113" t="str">
        <f>IFERROR(VLOOKUP(MID(T48,W48,X48-W48),[6]skilldef!$C:$D,2,FALSE),"-") &amp; " / " &amp; IFERROR(VLOOKUP(MID(T48,U48,V48-U48),[6]skilldef!$A:$B,2,FALSE),"-")</f>
        <v>- / ウィルス</v>
      </c>
      <c r="Z48" s="111"/>
      <c r="AA48" s="115"/>
      <c r="AB48" s="111"/>
    </row>
    <row r="49" spans="1:28" ht="21" customHeight="1" x14ac:dyDescent="0.15">
      <c r="A49" s="140">
        <v>48703602</v>
      </c>
      <c r="B49" s="123" t="s">
        <v>330</v>
      </c>
      <c r="C49" s="124">
        <v>1</v>
      </c>
      <c r="D49" s="124" t="s">
        <v>127</v>
      </c>
      <c r="E49" s="112" t="s">
        <v>371</v>
      </c>
      <c r="F49" s="125" t="s">
        <v>295</v>
      </c>
      <c r="G49" s="126" t="str">
        <f t="shared" si="67"/>
        <v>[effect:enemy_message, val1:1.2, val2:1.2]</v>
      </c>
      <c r="H49" s="126">
        <f t="shared" si="1"/>
        <v>9</v>
      </c>
      <c r="I49" s="126">
        <f t="shared" si="68"/>
        <v>22</v>
      </c>
      <c r="J49" s="126" t="e">
        <f t="shared" si="69"/>
        <v>#VALUE!</v>
      </c>
      <c r="K49" s="126">
        <f t="shared" si="70"/>
        <v>32</v>
      </c>
      <c r="L49" s="126" t="str">
        <f>IFERROR(VLOOKUP(MID(G49,J49,K49-J49),[6]skilldef!$C:$D,2,FALSE),"-") &amp; " / " &amp; IFERROR(VLOOKUP(MID(G49,H49,I49-H49),[6]skilldef!$A:$B,2,FALSE),"-")</f>
        <v>- / -</v>
      </c>
      <c r="M49" s="126" t="str">
        <f t="shared" si="71"/>
        <v>[effect:enemy_message, val1:1.2, val2:1.2],[effect:rush, count:3, val:0.3],[effect:crash_condition, target:unit_all, turn:3, val:3, animation:enemy_crash_extend]</v>
      </c>
      <c r="N49" s="127" t="str">
        <f>IFERROR(LEFT(M49,FIND("],",M49)+#REF!),M49)</f>
        <v>[effect:enemy_message, val1:1.2, val2:1.2],[effect:rush, count:3, val:0.3],[effect:crash_condition, target:unit_all, turn:3, val:3, animation:enemy_crash_extend]</v>
      </c>
      <c r="O49" s="126">
        <f t="shared" si="6"/>
        <v>9</v>
      </c>
      <c r="P49" s="126">
        <f t="shared" si="72"/>
        <v>22</v>
      </c>
      <c r="Q49" s="126">
        <f t="shared" si="73"/>
        <v>108</v>
      </c>
      <c r="R49" s="126">
        <f t="shared" si="74"/>
        <v>32</v>
      </c>
      <c r="S49" s="126" t="str">
        <f>IFERROR(VLOOKUP(MID(N49,Q49,R49-Q49),[6]skilldef!$C:$D,2,FALSE),"-") &amp; " / " &amp; IFERROR(VLOOKUP(MID(N49,O49,P49-O49),[6]skilldef!$A:$B,2,FALSE),"-")</f>
        <v>- / -</v>
      </c>
      <c r="T49" s="127" t="str">
        <f t="shared" si="75"/>
        <v>[effect:rush, count:3, val:0.3],[effect:crash_condition, target:unit_all, turn:3, val:3, animation:enemy_crash_extend]</v>
      </c>
      <c r="U49" s="126">
        <f t="shared" si="11"/>
        <v>9</v>
      </c>
      <c r="V49" s="126">
        <f t="shared" si="76"/>
        <v>13</v>
      </c>
      <c r="W49" s="126">
        <f t="shared" si="77"/>
        <v>65</v>
      </c>
      <c r="X49" s="126">
        <f t="shared" si="78"/>
        <v>22</v>
      </c>
      <c r="Y49" s="126" t="str">
        <f>IFERROR(VLOOKUP(MID(T49,W49,X49-W49),[6]skilldef!$C:$D,2,FALSE),"-") &amp; " / " &amp; IFERROR(VLOOKUP(MID(T49,U49,V49-U49),[6]skilldef!$A:$B,2,FALSE),"-")</f>
        <v>- / 連続攻撃</v>
      </c>
      <c r="Z49" s="124"/>
      <c r="AA49" s="128"/>
      <c r="AB49" s="124"/>
    </row>
    <row r="50" spans="1:28" s="47" customFormat="1" ht="21" customHeight="1" x14ac:dyDescent="0.15">
      <c r="A50" s="141">
        <v>48703603</v>
      </c>
      <c r="B50" s="137" t="s">
        <v>324</v>
      </c>
      <c r="C50" s="50">
        <v>1</v>
      </c>
      <c r="D50" s="50" t="s">
        <v>127</v>
      </c>
      <c r="E50" s="112" t="s">
        <v>372</v>
      </c>
      <c r="F50" s="51" t="s">
        <v>296</v>
      </c>
      <c r="G50" s="64" t="str">
        <f t="shared" si="67"/>
        <v>[effect:break_attack, target:unit_one, val:0.1, lowest_val:1000, count:-1, color:yellow, block01:block_blue]</v>
      </c>
      <c r="H50" s="64">
        <f t="shared" si="1"/>
        <v>9</v>
      </c>
      <c r="I50" s="64">
        <f t="shared" si="68"/>
        <v>21</v>
      </c>
      <c r="J50" s="64">
        <f t="shared" si="69"/>
        <v>30</v>
      </c>
      <c r="K50" s="64">
        <f t="shared" si="70"/>
        <v>38</v>
      </c>
      <c r="L50" s="64" t="str">
        <f>IFERROR(VLOOKUP(MID(G50,J50,K50-J50),[6]skilldef!$C:$D,2,FALSE),"-") &amp; " / " &amp; IFERROR(VLOOKUP(MID(G50,H50,I50-H50),[6]skilldef!$A:$B,2,FALSE),"-")</f>
        <v>味方単体に / -</v>
      </c>
      <c r="M50" s="64" t="str">
        <f t="shared" si="71"/>
        <v>none</v>
      </c>
      <c r="N50" s="48" t="str">
        <f>IFERROR(LEFT(M50,FIND("],",M50)+S58),M50)</f>
        <v>none</v>
      </c>
      <c r="O50" s="64" t="e">
        <f t="shared" si="6"/>
        <v>#VALUE!</v>
      </c>
      <c r="P50" s="64">
        <f t="shared" si="72"/>
        <v>4</v>
      </c>
      <c r="Q50" s="64" t="e">
        <f t="shared" si="73"/>
        <v>#VALUE!</v>
      </c>
      <c r="R50" s="64" t="e">
        <f t="shared" si="74"/>
        <v>#VALUE!</v>
      </c>
      <c r="S50" s="64" t="str">
        <f>IFERROR(VLOOKUP(MID(N50,Q50,R50-Q50),[6]skilldef!$C:$D,2,FALSE),"-") &amp; " / " &amp; IFERROR(VLOOKUP(MID(N50,O50,P50-O50),[6]skilldef!$A:$B,2,FALSE),"-")</f>
        <v>- / -</v>
      </c>
      <c r="T50" s="48" t="str">
        <f t="shared" si="75"/>
        <v>none</v>
      </c>
      <c r="U50" s="64" t="e">
        <f t="shared" si="11"/>
        <v>#VALUE!</v>
      </c>
      <c r="V50" s="64">
        <f t="shared" si="76"/>
        <v>4</v>
      </c>
      <c r="W50" s="64" t="e">
        <f t="shared" si="77"/>
        <v>#VALUE!</v>
      </c>
      <c r="X50" s="64" t="e">
        <f t="shared" si="78"/>
        <v>#VALUE!</v>
      </c>
      <c r="Y50" s="64" t="str">
        <f>IFERROR(VLOOKUP(MID(T50,W50,X50-W50),[6]skilldef!$C:$D,2,FALSE),"-") &amp; " / " &amp; IFERROR(VLOOKUP(MID(T50,U50,V50-U50),[6]skilldef!$A:$B,2,FALSE),"-")</f>
        <v>- / -</v>
      </c>
      <c r="Z50" s="50"/>
      <c r="AA50" s="52"/>
      <c r="AB50" s="50"/>
    </row>
    <row r="51" spans="1:28" s="47" customFormat="1" ht="21" customHeight="1" x14ac:dyDescent="0.15">
      <c r="A51" s="141">
        <v>48703604</v>
      </c>
      <c r="B51" s="47" t="s">
        <v>325</v>
      </c>
      <c r="C51" s="50">
        <v>1</v>
      </c>
      <c r="D51" s="50" t="s">
        <v>127</v>
      </c>
      <c r="E51" s="112" t="s">
        <v>373</v>
      </c>
      <c r="F51" s="51" t="s">
        <v>332</v>
      </c>
      <c r="G51" s="64" t="str">
        <f t="shared" si="67"/>
        <v>[effect:enemy_message, val1:1.2, val2:1.2]</v>
      </c>
      <c r="H51" s="64">
        <f t="shared" si="1"/>
        <v>9</v>
      </c>
      <c r="I51" s="64">
        <f t="shared" si="68"/>
        <v>22</v>
      </c>
      <c r="J51" s="64" t="e">
        <f t="shared" si="69"/>
        <v>#VALUE!</v>
      </c>
      <c r="K51" s="64">
        <f t="shared" si="70"/>
        <v>32</v>
      </c>
      <c r="L51" s="64" t="str">
        <f>IFERROR(VLOOKUP(MID(G51,J51,K51-J51),[6]skilldef!$C:$D,2,FALSE),"-") &amp; " / " &amp; IFERROR(VLOOKUP(MID(G51,H51,I51-H51),[6]skilldef!$A:$B,2,FALSE),"-")</f>
        <v>- / -</v>
      </c>
      <c r="M51" s="64" t="str">
        <f t="shared" si="71"/>
        <v xml:space="preserve">[effect:force_change_block, new_block:damage, target:block_all, ignore01:block_positive, count:8, val:0.1]    </v>
      </c>
      <c r="N51" s="48" t="str">
        <f>IFERROR(LEFT(M51,FIND("],",M51)+S59),M51)</f>
        <v xml:space="preserve">[effect:force_change_block, new_block:damage, target:block_all, ignore01:block_positive, count:8, val:0.1]    </v>
      </c>
      <c r="O51" s="64">
        <f t="shared" si="6"/>
        <v>9</v>
      </c>
      <c r="P51" s="64">
        <f t="shared" si="72"/>
        <v>27</v>
      </c>
      <c r="Q51" s="64">
        <f t="shared" si="73"/>
        <v>54</v>
      </c>
      <c r="R51" s="64">
        <f t="shared" si="74"/>
        <v>45</v>
      </c>
      <c r="S51" s="64" t="str">
        <f>IFERROR(VLOOKUP(MID(N51,Q51,R51-Q51),[6]skilldef!$C:$D,2,FALSE),"-") &amp; " / " &amp; IFERROR(VLOOKUP(MID(N51,O51,P51-O51),[6]skilldef!$A:$B,2,FALSE),"-")</f>
        <v>- / -</v>
      </c>
      <c r="T51" s="48" t="str">
        <f t="shared" si="75"/>
        <v>none</v>
      </c>
      <c r="U51" s="64" t="e">
        <f t="shared" si="11"/>
        <v>#VALUE!</v>
      </c>
      <c r="V51" s="64">
        <f t="shared" si="76"/>
        <v>4</v>
      </c>
      <c r="W51" s="64" t="e">
        <f t="shared" si="77"/>
        <v>#VALUE!</v>
      </c>
      <c r="X51" s="64" t="e">
        <f t="shared" si="78"/>
        <v>#VALUE!</v>
      </c>
      <c r="Y51" s="64" t="str">
        <f>IFERROR(VLOOKUP(MID(T51,W51,X51-W51),[6]skilldef!$C:$D,2,FALSE),"-") &amp; " / " &amp; IFERROR(VLOOKUP(MID(T51,U51,V51-U51),[6]skilldef!$A:$B,2,FALSE),"-")</f>
        <v>- / -</v>
      </c>
      <c r="Z51" s="50"/>
      <c r="AA51" s="52"/>
      <c r="AB51" s="50"/>
    </row>
    <row r="52" spans="1:28" ht="21" customHeight="1" x14ac:dyDescent="0.15">
      <c r="A52" s="139">
        <v>48703605</v>
      </c>
      <c r="B52" s="110" t="s">
        <v>297</v>
      </c>
      <c r="C52" s="111">
        <v>1</v>
      </c>
      <c r="D52" s="111" t="s">
        <v>127</v>
      </c>
      <c r="E52" s="112" t="s">
        <v>374</v>
      </c>
      <c r="F52" s="112" t="s">
        <v>298</v>
      </c>
      <c r="G52" s="113" t="str">
        <f t="shared" ref="G52:G65" si="94">IFERROR(LEFT(B52,FIND("],",B52)),B52)</f>
        <v>[effect:enemy_message, val1:1.2, val2:1.2]</v>
      </c>
      <c r="H52" s="113">
        <f t="shared" si="1"/>
        <v>9</v>
      </c>
      <c r="I52" s="113">
        <f t="shared" ref="I52:I65" si="95">IFERROR(FIND(",",G52),LEN(G52))</f>
        <v>22</v>
      </c>
      <c r="J52" s="113" t="e">
        <f t="shared" ref="J52:J65" si="96">FIND("target:",G52)+7</f>
        <v>#VALUE!</v>
      </c>
      <c r="K52" s="113">
        <f t="shared" ref="K52:K65" si="97">FIND(",",G52,I52+1)</f>
        <v>32</v>
      </c>
      <c r="L52" s="113" t="str">
        <f>IFERROR(VLOOKUP(MID(G52,J52,K52-J52),[6]skilldef!$C:$D,2,FALSE),"-") &amp; " / " &amp; IFERROR(VLOOKUP(MID(G52,H52,I52-H52),[6]skilldef!$A:$B,2,FALSE),"-")</f>
        <v>- / -</v>
      </c>
      <c r="M52" s="113" t="str">
        <f t="shared" ref="M52:M65" si="98">IFERROR(RIGHT(B52,LEN(B52)-FIND("],",B52)-1),"none")</f>
        <v>[effect:degrade_unit, target:unit_all, turn:5, status:heal, val:3, calc:add, animation:degrade_unit_all_heal],[effect:attack_break, target:unit_all, turn:5, val:0.4, calc:mul, animation:attack_break04]</v>
      </c>
      <c r="N52" s="114" t="str">
        <f>IFERROR(LEFT(M52,FIND("],",M52)+S60),M52)</f>
        <v>[effect:degrade_unit, target:unit_all, turn:5, status:heal, val:3, calc:add, animation:degrade_unit_all_heal],[effect:attack_break, target:unit_all, turn:5, val:0.4, calc:mul, animation:attack_break04]</v>
      </c>
      <c r="O52" s="113">
        <f t="shared" si="6"/>
        <v>9</v>
      </c>
      <c r="P52" s="113">
        <f t="shared" ref="P52:P65" si="99">IFERROR(FIND(",",N52),LEN(N52))</f>
        <v>21</v>
      </c>
      <c r="Q52" s="113">
        <f t="shared" ref="Q52:Q65" si="100">FIND("target:",N52)+7</f>
        <v>30</v>
      </c>
      <c r="R52" s="113">
        <f t="shared" ref="R52:R65" si="101">FIND(",",N52,P52+1)</f>
        <v>38</v>
      </c>
      <c r="S52" s="113" t="str">
        <f>IFERROR(VLOOKUP(MID(N52,Q52,R52-Q52),[6]skilldef!$C:$D,2,FALSE),"-") &amp; " / " &amp; IFERROR(VLOOKUP(MID(N52,O52,P52-O52),[6]skilldef!$A:$B,2,FALSE),"-")</f>
        <v>味方全体に / ステータスDOWN</v>
      </c>
      <c r="T52" s="114" t="str">
        <f t="shared" ref="T52:T65" si="102">IFERROR(RIGHT(M52,LEN(M52)-FIND("],",M52)-1),"none")</f>
        <v>[effect:attack_break, target:unit_all, turn:5, val:0.4, calc:mul, animation:attack_break04]</v>
      </c>
      <c r="U52" s="113">
        <f t="shared" si="11"/>
        <v>9</v>
      </c>
      <c r="V52" s="113">
        <f t="shared" ref="V52:V65" si="103">IFERROR(FIND(",",T52),LEN(T52))</f>
        <v>21</v>
      </c>
      <c r="W52" s="113">
        <f t="shared" ref="W52:W65" si="104">FIND("target:",T52)+7</f>
        <v>30</v>
      </c>
      <c r="X52" s="113">
        <f t="shared" ref="X52:X65" si="105">FIND(",",T52,V52+1)</f>
        <v>38</v>
      </c>
      <c r="Y52" s="113" t="str">
        <f>IFERROR(VLOOKUP(MID(T52,W52,X52-W52),[6]skilldef!$C:$D,2,FALSE),"-") &amp; " / " &amp; IFERROR(VLOOKUP(MID(T52,U52,V52-U52),[6]skilldef!$A:$B,2,FALSE),"-")</f>
        <v>味方全体に / -</v>
      </c>
      <c r="Z52" s="111"/>
      <c r="AA52" s="115"/>
      <c r="AB52" s="111"/>
    </row>
    <row r="53" spans="1:28" ht="21" customHeight="1" x14ac:dyDescent="0.15">
      <c r="A53" s="139">
        <v>48703606</v>
      </c>
      <c r="B53" s="47" t="s">
        <v>397</v>
      </c>
      <c r="C53" s="50">
        <v>1</v>
      </c>
      <c r="D53" s="50" t="s">
        <v>127</v>
      </c>
      <c r="E53" s="112" t="s">
        <v>375</v>
      </c>
      <c r="F53" s="51" t="s">
        <v>299</v>
      </c>
      <c r="G53" s="64" t="str">
        <f t="shared" si="94"/>
        <v>[effect:enemy_message, val1:1.2, val2:1.2]</v>
      </c>
      <c r="H53" s="64">
        <f t="shared" si="1"/>
        <v>9</v>
      </c>
      <c r="I53" s="64">
        <f t="shared" si="95"/>
        <v>22</v>
      </c>
      <c r="J53" s="64" t="e">
        <f t="shared" si="96"/>
        <v>#VALUE!</v>
      </c>
      <c r="K53" s="64">
        <f t="shared" si="97"/>
        <v>32</v>
      </c>
      <c r="L53" s="64" t="str">
        <f>IFERROR(VLOOKUP(MID(G53,J53,K53-J53),[6]skilldef!$C:$D,2,FALSE),"-") &amp; " / " &amp; IFERROR(VLOOKUP(MID(G53,H53,I53-H53),[6]skilldef!$A:$B,2,FALSE),"-")</f>
        <v>- / -</v>
      </c>
      <c r="M53" s="64" t="str">
        <f t="shared" si="98"/>
        <v xml:space="preserve">[effect:break_attack, target:unit_one, val:0.1, lowest_val:5000, count:-1, color:yellow, block01:damage]    </v>
      </c>
      <c r="N53" s="48" t="str">
        <f>IFERROR(LEFT(M53,FIND("],",M53)+S61),M53)</f>
        <v xml:space="preserve">[effect:break_attack, target:unit_one, val:0.1, lowest_val:5000, count:-1, color:yellow, block01:damage]    </v>
      </c>
      <c r="O53" s="64">
        <f t="shared" si="6"/>
        <v>9</v>
      </c>
      <c r="P53" s="64">
        <f t="shared" si="99"/>
        <v>21</v>
      </c>
      <c r="Q53" s="64">
        <f t="shared" si="100"/>
        <v>30</v>
      </c>
      <c r="R53" s="64">
        <f t="shared" si="101"/>
        <v>38</v>
      </c>
      <c r="S53" s="64" t="str">
        <f>IFERROR(VLOOKUP(MID(N53,Q53,R53-Q53),[6]skilldef!$C:$D,2,FALSE),"-") &amp; " / " &amp; IFERROR(VLOOKUP(MID(N53,O53,P53-O53),[6]skilldef!$A:$B,2,FALSE),"-")</f>
        <v>味方単体に / -</v>
      </c>
      <c r="T53" s="48" t="str">
        <f t="shared" si="102"/>
        <v>none</v>
      </c>
      <c r="U53" s="64" t="e">
        <f t="shared" si="11"/>
        <v>#VALUE!</v>
      </c>
      <c r="V53" s="64">
        <f t="shared" si="103"/>
        <v>4</v>
      </c>
      <c r="W53" s="64" t="e">
        <f t="shared" si="104"/>
        <v>#VALUE!</v>
      </c>
      <c r="X53" s="64" t="e">
        <f t="shared" si="105"/>
        <v>#VALUE!</v>
      </c>
      <c r="Y53" s="64" t="str">
        <f>IFERROR(VLOOKUP(MID(T53,W53,X53-W53),[6]skilldef!$C:$D,2,FALSE),"-") &amp; " / " &amp; IFERROR(VLOOKUP(MID(T53,U53,V53-U53),[6]skilldef!$A:$B,2,FALSE),"-")</f>
        <v>- / -</v>
      </c>
      <c r="Z53" s="50"/>
      <c r="AA53" s="52"/>
      <c r="AB53" s="50"/>
    </row>
    <row r="54" spans="1:28" ht="21" customHeight="1" x14ac:dyDescent="0.15">
      <c r="A54" s="139">
        <v>48703607</v>
      </c>
      <c r="B54" s="47" t="s">
        <v>314</v>
      </c>
      <c r="C54" s="50">
        <v>1</v>
      </c>
      <c r="D54" s="50" t="s">
        <v>127</v>
      </c>
      <c r="E54" s="112" t="s">
        <v>376</v>
      </c>
      <c r="F54" s="51" t="s">
        <v>275</v>
      </c>
      <c r="G54" s="64" t="str">
        <f t="shared" si="94"/>
        <v>[effect:enemy_message, val1:1.2, val2:1.2]</v>
      </c>
      <c r="H54" s="64">
        <f t="shared" si="1"/>
        <v>9</v>
      </c>
      <c r="I54" s="64">
        <f t="shared" si="95"/>
        <v>22</v>
      </c>
      <c r="J54" s="64" t="e">
        <f t="shared" si="96"/>
        <v>#VALUE!</v>
      </c>
      <c r="K54" s="64">
        <f t="shared" si="97"/>
        <v>32</v>
      </c>
      <c r="L54" s="64" t="str">
        <f>IFERROR(VLOOKUP(MID(G54,J54,K54-J54),[6]skilldef!$C:$D,2,FALSE),"-") &amp; " / " &amp; IFERROR(VLOOKUP(MID(G54,H54,I54-H54),[6]skilldef!$A:$B,2,FALSE),"-")</f>
        <v>- / -</v>
      </c>
      <c r="M54" s="64" t="str">
        <f t="shared" si="98"/>
        <v xml:space="preserve">[effect:enemy_message, val1:1.2, val2:1.2],[effect:enemy_message, val1:1.2, val2:1.2],[effect:rush, count:1, val:0.6]    </v>
      </c>
      <c r="N54" s="48" t="str">
        <f>IFERROR(LEFT(M54,FIND("],",M54)+S63),M54)</f>
        <v xml:space="preserve">[effect:enemy_message, val1:1.2, val2:1.2],[effect:enemy_message, val1:1.2, val2:1.2],[effect:rush, count:1, val:0.6]    </v>
      </c>
      <c r="O54" s="64">
        <f t="shared" si="6"/>
        <v>9</v>
      </c>
      <c r="P54" s="64">
        <f t="shared" si="99"/>
        <v>22</v>
      </c>
      <c r="Q54" s="64" t="e">
        <f t="shared" si="100"/>
        <v>#VALUE!</v>
      </c>
      <c r="R54" s="64">
        <f t="shared" si="101"/>
        <v>32</v>
      </c>
      <c r="S54" s="64" t="str">
        <f>IFERROR(VLOOKUP(MID(N54,Q54,R54-Q54),[6]skilldef!$C:$D,2,FALSE),"-") &amp; " / " &amp; IFERROR(VLOOKUP(MID(N54,O54,P54-O54),[6]skilldef!$A:$B,2,FALSE),"-")</f>
        <v>- / -</v>
      </c>
      <c r="T54" s="48" t="str">
        <f t="shared" si="102"/>
        <v xml:space="preserve">[effect:enemy_message, val1:1.2, val2:1.2],[effect:rush, count:1, val:0.6]    </v>
      </c>
      <c r="U54" s="64">
        <f t="shared" si="11"/>
        <v>9</v>
      </c>
      <c r="V54" s="64">
        <f t="shared" si="103"/>
        <v>22</v>
      </c>
      <c r="W54" s="64" t="e">
        <f t="shared" si="104"/>
        <v>#VALUE!</v>
      </c>
      <c r="X54" s="64">
        <f t="shared" si="105"/>
        <v>32</v>
      </c>
      <c r="Y54" s="64" t="str">
        <f>IFERROR(VLOOKUP(MID(T54,W54,X54-W54),[6]skilldef!$C:$D,2,FALSE),"-") &amp; " / " &amp; IFERROR(VLOOKUP(MID(T54,U54,V54-U54),[6]skilldef!$A:$B,2,FALSE),"-")</f>
        <v>- / -</v>
      </c>
      <c r="Z54" s="50"/>
      <c r="AA54" s="52"/>
      <c r="AB54" s="50"/>
    </row>
    <row r="55" spans="1:28" ht="21" customHeight="1" x14ac:dyDescent="0.15">
      <c r="A55" s="139">
        <v>48703608</v>
      </c>
      <c r="B55" s="47" t="s">
        <v>276</v>
      </c>
      <c r="C55" s="50">
        <v>1</v>
      </c>
      <c r="D55" s="50" t="s">
        <v>127</v>
      </c>
      <c r="E55" s="112" t="s">
        <v>377</v>
      </c>
      <c r="F55" s="51" t="s">
        <v>394</v>
      </c>
      <c r="G55" s="64" t="str">
        <f t="shared" si="94"/>
        <v>[effect:enemy_message, val1:1.2, val2:1.2]</v>
      </c>
      <c r="H55" s="64">
        <f t="shared" si="1"/>
        <v>9</v>
      </c>
      <c r="I55" s="64">
        <f t="shared" si="95"/>
        <v>22</v>
      </c>
      <c r="J55" s="64" t="e">
        <f t="shared" si="96"/>
        <v>#VALUE!</v>
      </c>
      <c r="K55" s="64">
        <f t="shared" si="97"/>
        <v>32</v>
      </c>
      <c r="L55" s="64" t="str">
        <f>IFERROR(VLOOKUP(MID(G55,J55,K55-J55),[6]skilldef!$C:$D,2,FALSE),"-") &amp; " / " &amp; IFERROR(VLOOKUP(MID(G55,H55,I55-H55),[6]skilldef!$A:$B,2,FALSE),"-")</f>
        <v>- / -</v>
      </c>
      <c r="M55" s="64" t="str">
        <f t="shared" si="98"/>
        <v>[effect:enemy_message, val1:1.2, val2:1.2],[effect:enemy_message, val1:1.2, val2:1.2],[effect:rush, count:1, val:0.7]</v>
      </c>
      <c r="N55" s="48" t="str">
        <f>IFERROR(LEFT(M55,FIND("],",M55)+S64),M55)</f>
        <v>[effect:enemy_message, val1:1.2, val2:1.2],[effect:enemy_message, val1:1.2, val2:1.2],[effect:rush, count:1, val:0.7]</v>
      </c>
      <c r="O55" s="64">
        <f t="shared" si="6"/>
        <v>9</v>
      </c>
      <c r="P55" s="64">
        <f t="shared" si="99"/>
        <v>22</v>
      </c>
      <c r="Q55" s="64" t="e">
        <f t="shared" si="100"/>
        <v>#VALUE!</v>
      </c>
      <c r="R55" s="64">
        <f t="shared" si="101"/>
        <v>32</v>
      </c>
      <c r="S55" s="64" t="str">
        <f>IFERROR(VLOOKUP(MID(N55,Q55,R55-Q55),[6]skilldef!$C:$D,2,FALSE),"-") &amp; " / " &amp; IFERROR(VLOOKUP(MID(N55,O55,P55-O55),[6]skilldef!$A:$B,2,FALSE),"-")</f>
        <v>- / -</v>
      </c>
      <c r="T55" s="48" t="str">
        <f t="shared" si="102"/>
        <v>[effect:enemy_message, val1:1.2, val2:1.2],[effect:rush, count:1, val:0.7]</v>
      </c>
      <c r="U55" s="64">
        <f t="shared" si="11"/>
        <v>9</v>
      </c>
      <c r="V55" s="64">
        <f t="shared" si="103"/>
        <v>22</v>
      </c>
      <c r="W55" s="64" t="e">
        <f t="shared" si="104"/>
        <v>#VALUE!</v>
      </c>
      <c r="X55" s="64">
        <f t="shared" si="105"/>
        <v>32</v>
      </c>
      <c r="Y55" s="64" t="str">
        <f>IFERROR(VLOOKUP(MID(T55,W55,X55-W55),[6]skilldef!$C:$D,2,FALSE),"-") &amp; " / " &amp; IFERROR(VLOOKUP(MID(T55,U55,V55-U55),[6]skilldef!$A:$B,2,FALSE),"-")</f>
        <v>- / -</v>
      </c>
      <c r="Z55" s="50"/>
      <c r="AA55" s="52"/>
      <c r="AB55" s="50"/>
    </row>
    <row r="56" spans="1:28" s="122" customFormat="1" ht="21" customHeight="1" thickBot="1" x14ac:dyDescent="0.2">
      <c r="A56" s="146">
        <v>48703609</v>
      </c>
      <c r="B56" s="116" t="s">
        <v>277</v>
      </c>
      <c r="C56" s="117">
        <v>1</v>
      </c>
      <c r="D56" s="117" t="s">
        <v>127</v>
      </c>
      <c r="E56" s="112" t="s">
        <v>378</v>
      </c>
      <c r="F56" s="118" t="s">
        <v>343</v>
      </c>
      <c r="G56" s="119" t="str">
        <f t="shared" si="94"/>
        <v>[effect:enemy_message, val1:1.2, val2:1.2]</v>
      </c>
      <c r="H56" s="119">
        <f t="shared" si="1"/>
        <v>9</v>
      </c>
      <c r="I56" s="119">
        <f t="shared" si="95"/>
        <v>22</v>
      </c>
      <c r="J56" s="119" t="e">
        <f t="shared" si="96"/>
        <v>#VALUE!</v>
      </c>
      <c r="K56" s="119">
        <f t="shared" si="97"/>
        <v>32</v>
      </c>
      <c r="L56" s="119" t="str">
        <f>IFERROR(VLOOKUP(MID(G56,J56,K56-J56),[6]skilldef!$C:$D,2,FALSE),"-") &amp; " / " &amp; IFERROR(VLOOKUP(MID(G56,H56,I56-H56),[6]skilldef!$A:$B,2,FALSE),"-")</f>
        <v>- / -</v>
      </c>
      <c r="M56" s="119" t="str">
        <f t="shared" si="98"/>
        <v>[effect:enemy_message, val1:1.2, val2:1.2],[effect:enemy_message, val1:1.2, val2:1.2],[effect:rush, count:1, val:80]</v>
      </c>
      <c r="N56" s="120" t="str">
        <f>IFERROR(LEFT(M56,FIND("],",M56)+#REF!),M56)</f>
        <v>[effect:enemy_message, val1:1.2, val2:1.2],[effect:enemy_message, val1:1.2, val2:1.2],[effect:rush, count:1, val:80]</v>
      </c>
      <c r="O56" s="119">
        <f t="shared" si="6"/>
        <v>9</v>
      </c>
      <c r="P56" s="119">
        <f t="shared" si="99"/>
        <v>22</v>
      </c>
      <c r="Q56" s="119" t="e">
        <f t="shared" si="100"/>
        <v>#VALUE!</v>
      </c>
      <c r="R56" s="119">
        <f t="shared" si="101"/>
        <v>32</v>
      </c>
      <c r="S56" s="119" t="str">
        <f>IFERROR(VLOOKUP(MID(N56,Q56,R56-Q56),[6]skilldef!$C:$D,2,FALSE),"-") &amp; " / " &amp; IFERROR(VLOOKUP(MID(N56,O56,P56-O56),[6]skilldef!$A:$B,2,FALSE),"-")</f>
        <v>- / -</v>
      </c>
      <c r="T56" s="120" t="str">
        <f t="shared" si="102"/>
        <v>[effect:enemy_message, val1:1.2, val2:1.2],[effect:rush, count:1, val:80]</v>
      </c>
      <c r="U56" s="119">
        <f t="shared" si="11"/>
        <v>9</v>
      </c>
      <c r="V56" s="119">
        <f t="shared" si="103"/>
        <v>22</v>
      </c>
      <c r="W56" s="119" t="e">
        <f t="shared" si="104"/>
        <v>#VALUE!</v>
      </c>
      <c r="X56" s="119">
        <f t="shared" si="105"/>
        <v>32</v>
      </c>
      <c r="Y56" s="119" t="str">
        <f>IFERROR(VLOOKUP(MID(T56,W56,X56-W56),[6]skilldef!$C:$D,2,FALSE),"-") &amp; " / " &amp; IFERROR(VLOOKUP(MID(T56,U56,V56-U56),[6]skilldef!$A:$B,2,FALSE),"-")</f>
        <v>- / -</v>
      </c>
      <c r="Z56" s="117"/>
      <c r="AA56" s="121"/>
      <c r="AB56" s="117"/>
    </row>
    <row r="57" spans="1:28" ht="21" customHeight="1" x14ac:dyDescent="0.15">
      <c r="A57" s="135">
        <v>48703701</v>
      </c>
      <c r="B57" s="110" t="s">
        <v>327</v>
      </c>
      <c r="C57" s="111">
        <v>1</v>
      </c>
      <c r="D57" s="111" t="s">
        <v>127</v>
      </c>
      <c r="E57" s="112" t="s">
        <v>379</v>
      </c>
      <c r="F57" s="112" t="s">
        <v>333</v>
      </c>
      <c r="G57" s="113" t="str">
        <f t="shared" si="94"/>
        <v>[effect:enemy_message, val1:1.2, val2:1.2]</v>
      </c>
      <c r="H57" s="113">
        <f t="shared" si="1"/>
        <v>9</v>
      </c>
      <c r="I57" s="113">
        <f t="shared" si="95"/>
        <v>22</v>
      </c>
      <c r="J57" s="113" t="e">
        <f t="shared" si="96"/>
        <v>#VALUE!</v>
      </c>
      <c r="K57" s="113">
        <f t="shared" si="97"/>
        <v>32</v>
      </c>
      <c r="L57" s="113" t="str">
        <f>IFERROR(VLOOKUP(MID(G57,J57,K57-J57),[6]skilldef!$C:$D,2,FALSE),"-") &amp; " / " &amp; IFERROR(VLOOKUP(MID(G57,H57,I57-H57),[6]skilldef!$A:$B,2,FALSE),"-")</f>
        <v>- / -</v>
      </c>
      <c r="M57" s="113" t="str">
        <f t="shared" si="98"/>
        <v>[effect:virus, turn:-1, rate:1, val:0.05, animation:enemy_virus],[effect:change_bomb_range, target:unit_all, val:0.6, rate:1, turn:6, animation:bomb_small],[effect:degrade_unit, target:unit_all, turn:6, status:heal, val:3, calc:add, animation:degrade_unit_all_heal]</v>
      </c>
      <c r="N57" s="114" t="str">
        <f>IFERROR(LEFT(M57,FIND("],",M57)+#REF!),M57)</f>
        <v>[effect:virus, turn:-1, rate:1, val:0.05, animation:enemy_virus],[effect:change_bomb_range, target:unit_all, val:0.6, rate:1, turn:6, animation:bomb_small],[effect:degrade_unit, target:unit_all, turn:6, status:heal, val:3, calc:add, animation:degrade_unit_all_heal]</v>
      </c>
      <c r="O57" s="113">
        <f t="shared" si="6"/>
        <v>9</v>
      </c>
      <c r="P57" s="113">
        <f t="shared" si="99"/>
        <v>14</v>
      </c>
      <c r="Q57" s="113">
        <f t="shared" si="100"/>
        <v>100</v>
      </c>
      <c r="R57" s="113">
        <f t="shared" si="101"/>
        <v>23</v>
      </c>
      <c r="S57" s="113" t="str">
        <f>IFERROR(VLOOKUP(MID(N57,Q57,R57-Q57),[6]skilldef!$C:$D,2,FALSE),"-") &amp; " / " &amp; IFERROR(VLOOKUP(MID(N57,O57,P57-O57),[6]skilldef!$A:$B,2,FALSE),"-")</f>
        <v>- / ウィルス</v>
      </c>
      <c r="T57" s="114" t="str">
        <f t="shared" si="102"/>
        <v>[effect:change_bomb_range, target:unit_all, val:0.6, rate:1, turn:6, animation:bomb_small],[effect:degrade_unit, target:unit_all, turn:6, status:heal, val:3, calc:add, animation:degrade_unit_all_heal]</v>
      </c>
      <c r="U57" s="113">
        <f t="shared" si="11"/>
        <v>9</v>
      </c>
      <c r="V57" s="113">
        <f t="shared" si="103"/>
        <v>26</v>
      </c>
      <c r="W57" s="113">
        <f t="shared" si="104"/>
        <v>35</v>
      </c>
      <c r="X57" s="113">
        <f t="shared" si="105"/>
        <v>43</v>
      </c>
      <c r="Y57" s="113" t="str">
        <f>IFERROR(VLOOKUP(MID(T57,W57,X57-W57),[6]skilldef!$C:$D,2,FALSE),"-") &amp; " / " &amp; IFERROR(VLOOKUP(MID(T57,U57,V57-U57),[6]skilldef!$A:$B,2,FALSE),"-")</f>
        <v>味方全体に / -</v>
      </c>
      <c r="Z57" s="111"/>
      <c r="AA57" s="115"/>
      <c r="AB57" s="111"/>
    </row>
    <row r="58" spans="1:28" ht="21" customHeight="1" x14ac:dyDescent="0.15">
      <c r="A58" s="135">
        <v>48703702</v>
      </c>
      <c r="B58" s="47" t="s">
        <v>328</v>
      </c>
      <c r="C58" s="50">
        <v>1</v>
      </c>
      <c r="D58" s="50" t="s">
        <v>127</v>
      </c>
      <c r="E58" s="112" t="s">
        <v>380</v>
      </c>
      <c r="F58" s="51" t="s">
        <v>300</v>
      </c>
      <c r="G58" s="64" t="str">
        <f t="shared" si="94"/>
        <v>[effect:enemy_message, val1:1.2, val2:1.2]</v>
      </c>
      <c r="H58" s="64">
        <f t="shared" si="1"/>
        <v>9</v>
      </c>
      <c r="I58" s="64">
        <f t="shared" si="95"/>
        <v>22</v>
      </c>
      <c r="J58" s="64" t="e">
        <f t="shared" si="96"/>
        <v>#VALUE!</v>
      </c>
      <c r="K58" s="64">
        <f t="shared" si="97"/>
        <v>32</v>
      </c>
      <c r="L58" s="64" t="str">
        <f>IFERROR(VLOOKUP(MID(G58,J58,K58-J58),[6]skilldef!$C:$D,2,FALSE),"-") &amp; " / " &amp; IFERROR(VLOOKUP(MID(G58,H58,I58-H58),[6]skilldef!$A:$B,2,FALSE),"-")</f>
        <v>- / -</v>
      </c>
      <c r="M58" s="64" t="str">
        <f t="shared" si="98"/>
        <v>[effect:enhance_enemy, target:myself, turn:3, status:attack, val:0.3, calc:mul, animation:enemy_enhance_attack],[effect:force_change_block, new_block:damage, target:block_all, ignore01:block_positive, count:6, val:0.07]</v>
      </c>
      <c r="N58" s="48" t="str">
        <f>IFERROR(LEFT(M58,FIND("],",M58)+#REF!),M58)</f>
        <v>[effect:enhance_enemy, target:myself, turn:3, status:attack, val:0.3, calc:mul, animation:enemy_enhance_attack],[effect:force_change_block, new_block:damage, target:block_all, ignore01:block_positive, count:6, val:0.07]</v>
      </c>
      <c r="O58" s="64">
        <f t="shared" si="6"/>
        <v>9</v>
      </c>
      <c r="P58" s="64">
        <f t="shared" si="99"/>
        <v>22</v>
      </c>
      <c r="Q58" s="64">
        <f t="shared" si="100"/>
        <v>31</v>
      </c>
      <c r="R58" s="64">
        <f t="shared" si="101"/>
        <v>37</v>
      </c>
      <c r="S58" s="64" t="str">
        <f>IFERROR(VLOOKUP(MID(N58,Q58,R58-Q58),[6]skilldef!$C:$D,2,FALSE),"-") &amp; " / " &amp; IFERROR(VLOOKUP(MID(N58,O58,P58-O58),[6]skilldef!$A:$B,2,FALSE),"-")</f>
        <v>自分自身に / ステータス強化</v>
      </c>
      <c r="T58" s="48" t="str">
        <f t="shared" si="102"/>
        <v>[effect:force_change_block, new_block:damage, target:block_all, ignore01:block_positive, count:6, val:0.07]</v>
      </c>
      <c r="U58" s="64">
        <f t="shared" si="11"/>
        <v>9</v>
      </c>
      <c r="V58" s="64">
        <f t="shared" si="103"/>
        <v>27</v>
      </c>
      <c r="W58" s="64">
        <f t="shared" si="104"/>
        <v>54</v>
      </c>
      <c r="X58" s="64">
        <f t="shared" si="105"/>
        <v>45</v>
      </c>
      <c r="Y58" s="64" t="str">
        <f>IFERROR(VLOOKUP(MID(T58,W58,X58-W58),[6]skilldef!$C:$D,2,FALSE),"-") &amp; " / " &amp; IFERROR(VLOOKUP(MID(T58,U58,V58-U58),[6]skilldef!$A:$B,2,FALSE),"-")</f>
        <v>- / -</v>
      </c>
      <c r="Z58" s="50"/>
      <c r="AA58" s="52"/>
      <c r="AB58" s="50"/>
    </row>
    <row r="59" spans="1:28" ht="21" customHeight="1" x14ac:dyDescent="0.15">
      <c r="A59" s="135">
        <v>48703703</v>
      </c>
      <c r="B59" s="47" t="s">
        <v>316</v>
      </c>
      <c r="C59" s="50">
        <v>1</v>
      </c>
      <c r="D59" s="50" t="s">
        <v>127</v>
      </c>
      <c r="E59" s="112" t="s">
        <v>381</v>
      </c>
      <c r="F59" s="51" t="s">
        <v>315</v>
      </c>
      <c r="G59" s="64" t="str">
        <f t="shared" si="94"/>
        <v>[effect:enemy_message, val1:1.2, val2:1.2]</v>
      </c>
      <c r="H59" s="64">
        <f t="shared" si="1"/>
        <v>9</v>
      </c>
      <c r="I59" s="64">
        <f t="shared" si="95"/>
        <v>22</v>
      </c>
      <c r="J59" s="64" t="e">
        <f t="shared" si="96"/>
        <v>#VALUE!</v>
      </c>
      <c r="K59" s="64">
        <f t="shared" si="97"/>
        <v>32</v>
      </c>
      <c r="L59" s="64" t="str">
        <f>IFERROR(VLOOKUP(MID(G59,J59,K59-J59),[6]skilldef!$C:$D,2,FALSE),"-") &amp; " / " &amp; IFERROR(VLOOKUP(MID(G59,H59,I59-H59),[6]skilldef!$A:$B,2,FALSE),"-")</f>
        <v>- / -</v>
      </c>
      <c r="M59" s="64" t="str">
        <f t="shared" si="98"/>
        <v xml:space="preserve">[effect:damage_anti_abnormal, target:unit_heal, target_effect01:virus, option:1, val1:1.5, val2:0.2] </v>
      </c>
      <c r="N59" s="48" t="str">
        <f>IFERROR(LEFT(M59,FIND("],",M59)+#REF!),M59)</f>
        <v xml:space="preserve">[effect:damage_anti_abnormal, target:unit_heal, target_effect01:virus, option:1, val1:1.5, val2:0.2] </v>
      </c>
      <c r="O59" s="64">
        <f t="shared" si="6"/>
        <v>9</v>
      </c>
      <c r="P59" s="64">
        <f t="shared" si="99"/>
        <v>29</v>
      </c>
      <c r="Q59" s="64">
        <f t="shared" si="100"/>
        <v>38</v>
      </c>
      <c r="R59" s="64">
        <f t="shared" si="101"/>
        <v>47</v>
      </c>
      <c r="S59" s="64" t="str">
        <f>IFERROR(VLOOKUP(MID(N59,Q59,R59-Q59),[6]skilldef!$C:$D,2,FALSE),"-") &amp; " / " &amp; IFERROR(VLOOKUP(MID(N59,O59,P59-O59),[6]skilldef!$A:$B,2,FALSE),"-")</f>
        <v>回復タイプの味方に / -</v>
      </c>
      <c r="T59" s="48" t="str">
        <f t="shared" si="102"/>
        <v>none</v>
      </c>
      <c r="U59" s="64" t="e">
        <f t="shared" si="11"/>
        <v>#VALUE!</v>
      </c>
      <c r="V59" s="64">
        <f t="shared" si="103"/>
        <v>4</v>
      </c>
      <c r="W59" s="64" t="e">
        <f t="shared" si="104"/>
        <v>#VALUE!</v>
      </c>
      <c r="X59" s="64" t="e">
        <f t="shared" si="105"/>
        <v>#VALUE!</v>
      </c>
      <c r="Y59" s="64" t="str">
        <f>IFERROR(VLOOKUP(MID(T59,W59,X59-W59),[6]skilldef!$C:$D,2,FALSE),"-") &amp; " / " &amp; IFERROR(VLOOKUP(MID(T59,U59,V59-U59),[6]skilldef!$A:$B,2,FALSE),"-")</f>
        <v>- / -</v>
      </c>
      <c r="Z59" s="50"/>
      <c r="AA59" s="52"/>
      <c r="AB59" s="50"/>
    </row>
    <row r="60" spans="1:28" ht="21" customHeight="1" x14ac:dyDescent="0.15">
      <c r="A60" s="135">
        <v>48703704</v>
      </c>
      <c r="B60" s="47" t="s">
        <v>421</v>
      </c>
      <c r="C60" s="50">
        <v>1</v>
      </c>
      <c r="D60" s="50" t="s">
        <v>127</v>
      </c>
      <c r="E60" s="112" t="s">
        <v>382</v>
      </c>
      <c r="F60" s="51" t="s">
        <v>334</v>
      </c>
      <c r="G60" s="64" t="str">
        <f t="shared" si="94"/>
        <v>,[effect:enemy_message, val1:1.2, val2:1.2]</v>
      </c>
      <c r="H60" s="64">
        <f t="shared" si="1"/>
        <v>10</v>
      </c>
      <c r="I60" s="64">
        <f t="shared" si="95"/>
        <v>1</v>
      </c>
      <c r="J60" s="64" t="e">
        <f t="shared" si="96"/>
        <v>#VALUE!</v>
      </c>
      <c r="K60" s="64">
        <f t="shared" si="97"/>
        <v>23</v>
      </c>
      <c r="L60" s="64" t="str">
        <f>IFERROR(VLOOKUP(MID(G60,J60,K60-J60),[6]skilldef!$C:$D,2,FALSE),"-") &amp; " / " &amp; IFERROR(VLOOKUP(MID(G60,H60,I60-H60),[6]skilldef!$A:$B,2,FALSE),"-")</f>
        <v>- / -</v>
      </c>
      <c r="M60" s="64" t="str">
        <f t="shared" si="98"/>
        <v>[effect:degrade_unit, target:unit_all, turn:5, status:heal, val:3, calc:add, animation:degrade_unit_all_heal],[effect:attack_break, target:unit_all, turn:5, val:0.4, calc:mul, animation:attack_break02]</v>
      </c>
      <c r="N60" s="48" t="str">
        <f>IFERROR(LEFT(M60,FIND("],",M60)+#REF!),M60)</f>
        <v>[effect:degrade_unit, target:unit_all, turn:5, status:heal, val:3, calc:add, animation:degrade_unit_all_heal],[effect:attack_break, target:unit_all, turn:5, val:0.4, calc:mul, animation:attack_break02]</v>
      </c>
      <c r="O60" s="64">
        <f t="shared" si="6"/>
        <v>9</v>
      </c>
      <c r="P60" s="64">
        <f t="shared" si="99"/>
        <v>21</v>
      </c>
      <c r="Q60" s="64">
        <f t="shared" si="100"/>
        <v>30</v>
      </c>
      <c r="R60" s="64">
        <f t="shared" si="101"/>
        <v>38</v>
      </c>
      <c r="S60" s="64" t="str">
        <f>IFERROR(VLOOKUP(MID(N60,Q60,R60-Q60),[6]skilldef!$C:$D,2,FALSE),"-") &amp; " / " &amp; IFERROR(VLOOKUP(MID(N60,O60,P60-O60),[6]skilldef!$A:$B,2,FALSE),"-")</f>
        <v>味方全体に / ステータスDOWN</v>
      </c>
      <c r="T60" s="48" t="str">
        <f t="shared" si="102"/>
        <v>[effect:attack_break, target:unit_all, turn:5, val:0.4, calc:mul, animation:attack_break02]</v>
      </c>
      <c r="U60" s="64">
        <f t="shared" si="11"/>
        <v>9</v>
      </c>
      <c r="V60" s="64">
        <f t="shared" si="103"/>
        <v>21</v>
      </c>
      <c r="W60" s="64">
        <f t="shared" si="104"/>
        <v>30</v>
      </c>
      <c r="X60" s="64">
        <f t="shared" si="105"/>
        <v>38</v>
      </c>
      <c r="Y60" s="64" t="str">
        <f>IFERROR(VLOOKUP(MID(T60,W60,X60-W60),[6]skilldef!$C:$D,2,FALSE),"-") &amp; " / " &amp; IFERROR(VLOOKUP(MID(T60,U60,V60-U60),[6]skilldef!$A:$B,2,FALSE),"-")</f>
        <v>味方全体に / -</v>
      </c>
      <c r="Z60" s="50"/>
      <c r="AA60" s="52"/>
      <c r="AB60" s="50"/>
    </row>
    <row r="61" spans="1:28" ht="21" customHeight="1" x14ac:dyDescent="0.15">
      <c r="A61" s="135">
        <v>48703705</v>
      </c>
      <c r="B61" s="47" t="s">
        <v>314</v>
      </c>
      <c r="C61" s="50">
        <v>1</v>
      </c>
      <c r="D61" s="50" t="s">
        <v>127</v>
      </c>
      <c r="E61" s="112" t="s">
        <v>383</v>
      </c>
      <c r="F61" s="51" t="s">
        <v>275</v>
      </c>
      <c r="G61" s="64" t="str">
        <f t="shared" si="94"/>
        <v>[effect:enemy_message, val1:1.2, val2:1.2]</v>
      </c>
      <c r="H61" s="64">
        <f t="shared" si="1"/>
        <v>9</v>
      </c>
      <c r="I61" s="64">
        <f t="shared" si="95"/>
        <v>22</v>
      </c>
      <c r="J61" s="64" t="e">
        <f t="shared" si="96"/>
        <v>#VALUE!</v>
      </c>
      <c r="K61" s="64">
        <f t="shared" si="97"/>
        <v>32</v>
      </c>
      <c r="L61" s="64" t="str">
        <f>IFERROR(VLOOKUP(MID(G61,J61,K61-J61),[6]skilldef!$C:$D,2,FALSE),"-") &amp; " / " &amp; IFERROR(VLOOKUP(MID(G61,H61,I61-H61),[6]skilldef!$A:$B,2,FALSE),"-")</f>
        <v>- / -</v>
      </c>
      <c r="M61" s="64" t="str">
        <f t="shared" si="98"/>
        <v xml:space="preserve">[effect:enemy_message, val1:1.2, val2:1.2],[effect:enemy_message, val1:1.2, val2:1.2],[effect:rush, count:1, val:0.6]    </v>
      </c>
      <c r="N61" s="48" t="str">
        <f>IFERROR(LEFT(M61,FIND("],",M61)+#REF!),M61)</f>
        <v xml:space="preserve">[effect:enemy_message, val1:1.2, val2:1.2],[effect:enemy_message, val1:1.2, val2:1.2],[effect:rush, count:1, val:0.6]    </v>
      </c>
      <c r="O61" s="64">
        <f t="shared" si="6"/>
        <v>9</v>
      </c>
      <c r="P61" s="64">
        <f t="shared" si="99"/>
        <v>22</v>
      </c>
      <c r="Q61" s="64" t="e">
        <f t="shared" si="100"/>
        <v>#VALUE!</v>
      </c>
      <c r="R61" s="64">
        <f t="shared" si="101"/>
        <v>32</v>
      </c>
      <c r="S61" s="64" t="str">
        <f>IFERROR(VLOOKUP(MID(N61,Q61,R61-Q61),[6]skilldef!$C:$D,2,FALSE),"-") &amp; " / " &amp; IFERROR(VLOOKUP(MID(N61,O61,P61-O61),[6]skilldef!$A:$B,2,FALSE),"-")</f>
        <v>- / -</v>
      </c>
      <c r="T61" s="48" t="str">
        <f t="shared" si="102"/>
        <v xml:space="preserve">[effect:enemy_message, val1:1.2, val2:1.2],[effect:rush, count:1, val:0.6]    </v>
      </c>
      <c r="U61" s="64">
        <f t="shared" si="11"/>
        <v>9</v>
      </c>
      <c r="V61" s="64">
        <f t="shared" si="103"/>
        <v>22</v>
      </c>
      <c r="W61" s="64" t="e">
        <f t="shared" si="104"/>
        <v>#VALUE!</v>
      </c>
      <c r="X61" s="64">
        <f t="shared" si="105"/>
        <v>32</v>
      </c>
      <c r="Y61" s="64" t="str">
        <f>IFERROR(VLOOKUP(MID(T61,W61,X61-W61),[6]skilldef!$C:$D,2,FALSE),"-") &amp; " / " &amp; IFERROR(VLOOKUP(MID(T61,U61,V61-U61),[6]skilldef!$A:$B,2,FALSE),"-")</f>
        <v>- / -</v>
      </c>
      <c r="Z61" s="50"/>
      <c r="AA61" s="52"/>
      <c r="AB61" s="50"/>
    </row>
    <row r="62" spans="1:28" ht="21" customHeight="1" x14ac:dyDescent="0.15">
      <c r="A62" s="135">
        <v>48703706</v>
      </c>
      <c r="B62" s="47" t="s">
        <v>276</v>
      </c>
      <c r="C62" s="50">
        <v>1</v>
      </c>
      <c r="D62" s="50" t="s">
        <v>127</v>
      </c>
      <c r="E62" s="112" t="s">
        <v>384</v>
      </c>
      <c r="F62" s="51" t="s">
        <v>275</v>
      </c>
      <c r="G62" s="64" t="str">
        <f t="shared" ref="G62" si="106">IFERROR(LEFT(B62,FIND("],",B62)),B62)</f>
        <v>[effect:enemy_message, val1:1.2, val2:1.2]</v>
      </c>
      <c r="H62" s="64">
        <f t="shared" ref="H62" si="107">FIND("effect:",G62)+7</f>
        <v>9</v>
      </c>
      <c r="I62" s="64">
        <f t="shared" ref="I62" si="108">IFERROR(FIND(",",G62),LEN(G62))</f>
        <v>22</v>
      </c>
      <c r="J62" s="64" t="e">
        <f t="shared" ref="J62" si="109">FIND("target:",G62)+7</f>
        <v>#VALUE!</v>
      </c>
      <c r="K62" s="64">
        <f t="shared" ref="K62" si="110">FIND(",",G62,I62+1)</f>
        <v>32</v>
      </c>
      <c r="L62" s="64" t="str">
        <f>IFERROR(VLOOKUP(MID(G62,J62,K62-J62),[6]skilldef!$C:$D,2,FALSE),"-") &amp; " / " &amp; IFERROR(VLOOKUP(MID(G62,H62,I62-H62),[6]skilldef!$A:$B,2,FALSE),"-")</f>
        <v>- / -</v>
      </c>
      <c r="M62" s="64" t="str">
        <f t="shared" ref="M62" si="111">IFERROR(RIGHT(B62,LEN(B62)-FIND("],",B62)-1),"none")</f>
        <v>[effect:enemy_message, val1:1.2, val2:1.2],[effect:enemy_message, val1:1.2, val2:1.2],[effect:rush, count:1, val:0.7]</v>
      </c>
      <c r="N62" s="48" t="str">
        <f>IFERROR(LEFT(M62,FIND("],",M62)+#REF!),M62)</f>
        <v>[effect:enemy_message, val1:1.2, val2:1.2],[effect:enemy_message, val1:1.2, val2:1.2],[effect:rush, count:1, val:0.7]</v>
      </c>
      <c r="O62" s="64">
        <f t="shared" ref="O62" si="112">FIND("effect:",N62)+7</f>
        <v>9</v>
      </c>
      <c r="P62" s="64">
        <f t="shared" ref="P62" si="113">IFERROR(FIND(",",N62),LEN(N62))</f>
        <v>22</v>
      </c>
      <c r="Q62" s="64" t="e">
        <f t="shared" ref="Q62" si="114">FIND("target:",N62)+7</f>
        <v>#VALUE!</v>
      </c>
      <c r="R62" s="64">
        <f t="shared" ref="R62" si="115">FIND(",",N62,P62+1)</f>
        <v>32</v>
      </c>
      <c r="S62" s="64" t="str">
        <f>IFERROR(VLOOKUP(MID(N62,Q62,R62-Q62),[6]skilldef!$C:$D,2,FALSE),"-") &amp; " / " &amp; IFERROR(VLOOKUP(MID(N62,O62,P62-O62),[6]skilldef!$A:$B,2,FALSE),"-")</f>
        <v>- / -</v>
      </c>
      <c r="T62" s="48" t="str">
        <f t="shared" ref="T62" si="116">IFERROR(RIGHT(M62,LEN(M62)-FIND("],",M62)-1),"none")</f>
        <v>[effect:enemy_message, val1:1.2, val2:1.2],[effect:rush, count:1, val:0.7]</v>
      </c>
      <c r="U62" s="64">
        <f t="shared" ref="U62" si="117">FIND("effect:",T62)+7</f>
        <v>9</v>
      </c>
      <c r="V62" s="64">
        <f t="shared" ref="V62" si="118">IFERROR(FIND(",",T62),LEN(T62))</f>
        <v>22</v>
      </c>
      <c r="W62" s="64" t="e">
        <f t="shared" ref="W62" si="119">FIND("target:",T62)+7</f>
        <v>#VALUE!</v>
      </c>
      <c r="X62" s="64">
        <f t="shared" ref="X62" si="120">FIND(",",T62,V62+1)</f>
        <v>32</v>
      </c>
      <c r="Y62" s="64" t="str">
        <f>IFERROR(VLOOKUP(MID(T62,W62,X62-W62),[6]skilldef!$C:$D,2,FALSE),"-") &amp; " / " &amp; IFERROR(VLOOKUP(MID(T62,U62,V62-U62),[6]skilldef!$A:$B,2,FALSE),"-")</f>
        <v>- / -</v>
      </c>
      <c r="Z62" s="50"/>
      <c r="AA62" s="52"/>
      <c r="AB62" s="50"/>
    </row>
    <row r="63" spans="1:28" ht="21" customHeight="1" x14ac:dyDescent="0.15">
      <c r="A63" s="135">
        <v>48703707</v>
      </c>
      <c r="B63" s="47" t="s">
        <v>276</v>
      </c>
      <c r="C63" s="50">
        <v>1</v>
      </c>
      <c r="D63" s="50" t="s">
        <v>127</v>
      </c>
      <c r="E63" s="112" t="s">
        <v>384</v>
      </c>
      <c r="F63" s="51" t="s">
        <v>394</v>
      </c>
      <c r="G63" s="64" t="str">
        <f t="shared" si="94"/>
        <v>[effect:enemy_message, val1:1.2, val2:1.2]</v>
      </c>
      <c r="H63" s="64">
        <f t="shared" si="1"/>
        <v>9</v>
      </c>
      <c r="I63" s="64">
        <f t="shared" si="95"/>
        <v>22</v>
      </c>
      <c r="J63" s="64" t="e">
        <f t="shared" si="96"/>
        <v>#VALUE!</v>
      </c>
      <c r="K63" s="64">
        <f t="shared" si="97"/>
        <v>32</v>
      </c>
      <c r="L63" s="64" t="str">
        <f>IFERROR(VLOOKUP(MID(G63,J63,K63-J63),[6]skilldef!$C:$D,2,FALSE),"-") &amp; " / " &amp; IFERROR(VLOOKUP(MID(G63,H63,I63-H63),[6]skilldef!$A:$B,2,FALSE),"-")</f>
        <v>- / -</v>
      </c>
      <c r="M63" s="64" t="str">
        <f t="shared" si="98"/>
        <v>[effect:enemy_message, val1:1.2, val2:1.2],[effect:enemy_message, val1:1.2, val2:1.2],[effect:rush, count:1, val:0.7]</v>
      </c>
      <c r="N63" s="48" t="str">
        <f>IFERROR(LEFT(M63,FIND("],",M63)+#REF!),M63)</f>
        <v>[effect:enemy_message, val1:1.2, val2:1.2],[effect:enemy_message, val1:1.2, val2:1.2],[effect:rush, count:1, val:0.7]</v>
      </c>
      <c r="O63" s="64">
        <f t="shared" si="6"/>
        <v>9</v>
      </c>
      <c r="P63" s="64">
        <f t="shared" si="99"/>
        <v>22</v>
      </c>
      <c r="Q63" s="64" t="e">
        <f t="shared" si="100"/>
        <v>#VALUE!</v>
      </c>
      <c r="R63" s="64">
        <f t="shared" si="101"/>
        <v>32</v>
      </c>
      <c r="S63" s="64" t="str">
        <f>IFERROR(VLOOKUP(MID(N63,Q63,R63-Q63),[6]skilldef!$C:$D,2,FALSE),"-") &amp; " / " &amp; IFERROR(VLOOKUP(MID(N63,O63,P63-O63),[6]skilldef!$A:$B,2,FALSE),"-")</f>
        <v>- / -</v>
      </c>
      <c r="T63" s="48" t="str">
        <f t="shared" si="102"/>
        <v>[effect:enemy_message, val1:1.2, val2:1.2],[effect:rush, count:1, val:0.7]</v>
      </c>
      <c r="U63" s="64">
        <f t="shared" si="11"/>
        <v>9</v>
      </c>
      <c r="V63" s="64">
        <f t="shared" si="103"/>
        <v>22</v>
      </c>
      <c r="W63" s="64" t="e">
        <f t="shared" si="104"/>
        <v>#VALUE!</v>
      </c>
      <c r="X63" s="64">
        <f t="shared" si="105"/>
        <v>32</v>
      </c>
      <c r="Y63" s="64" t="str">
        <f>IFERROR(VLOOKUP(MID(T63,W63,X63-W63),[6]skilldef!$C:$D,2,FALSE),"-") &amp; " / " &amp; IFERROR(VLOOKUP(MID(T63,U63,V63-U63),[6]skilldef!$A:$B,2,FALSE),"-")</f>
        <v>- / -</v>
      </c>
      <c r="Z63" s="50"/>
      <c r="AA63" s="52"/>
      <c r="AB63" s="50"/>
    </row>
    <row r="64" spans="1:28" ht="21" customHeight="1" thickBot="1" x14ac:dyDescent="0.2">
      <c r="A64" s="135">
        <v>48703708</v>
      </c>
      <c r="B64" s="47" t="s">
        <v>277</v>
      </c>
      <c r="C64" s="50">
        <v>1</v>
      </c>
      <c r="D64" s="50" t="s">
        <v>127</v>
      </c>
      <c r="E64" s="112" t="s">
        <v>385</v>
      </c>
      <c r="F64" s="118" t="s">
        <v>343</v>
      </c>
      <c r="G64" s="64" t="str">
        <f t="shared" si="94"/>
        <v>[effect:enemy_message, val1:1.2, val2:1.2]</v>
      </c>
      <c r="H64" s="64">
        <f t="shared" si="1"/>
        <v>9</v>
      </c>
      <c r="I64" s="64">
        <f t="shared" si="95"/>
        <v>22</v>
      </c>
      <c r="J64" s="64" t="e">
        <f t="shared" si="96"/>
        <v>#VALUE!</v>
      </c>
      <c r="K64" s="64">
        <f t="shared" si="97"/>
        <v>32</v>
      </c>
      <c r="L64" s="64" t="str">
        <f>IFERROR(VLOOKUP(MID(G64,J64,K64-J64),[6]skilldef!$C:$D,2,FALSE),"-") &amp; " / " &amp; IFERROR(VLOOKUP(MID(G64,H64,I64-H64),[6]skilldef!$A:$B,2,FALSE),"-")</f>
        <v>- / -</v>
      </c>
      <c r="M64" s="64" t="str">
        <f t="shared" si="98"/>
        <v>[effect:enemy_message, val1:1.2, val2:1.2],[effect:enemy_message, val1:1.2, val2:1.2],[effect:rush, count:1, val:80]</v>
      </c>
      <c r="N64" s="48" t="str">
        <f>IFERROR(LEFT(M64,FIND("],",M64)+#REF!),M64)</f>
        <v>[effect:enemy_message, val1:1.2, val2:1.2],[effect:enemy_message, val1:1.2, val2:1.2],[effect:rush, count:1, val:80]</v>
      </c>
      <c r="O64" s="64">
        <f t="shared" si="6"/>
        <v>9</v>
      </c>
      <c r="P64" s="64">
        <f t="shared" si="99"/>
        <v>22</v>
      </c>
      <c r="Q64" s="64" t="e">
        <f t="shared" si="100"/>
        <v>#VALUE!</v>
      </c>
      <c r="R64" s="64">
        <f t="shared" si="101"/>
        <v>32</v>
      </c>
      <c r="S64" s="64" t="str">
        <f>IFERROR(VLOOKUP(MID(N64,Q64,R64-Q64),[6]skilldef!$C:$D,2,FALSE),"-") &amp; " / " &amp; IFERROR(VLOOKUP(MID(N64,O64,P64-O64),[6]skilldef!$A:$B,2,FALSE),"-")</f>
        <v>- / -</v>
      </c>
      <c r="T64" s="48" t="str">
        <f t="shared" si="102"/>
        <v>[effect:enemy_message, val1:1.2, val2:1.2],[effect:rush, count:1, val:80]</v>
      </c>
      <c r="U64" s="64">
        <f t="shared" si="11"/>
        <v>9</v>
      </c>
      <c r="V64" s="64">
        <f t="shared" si="103"/>
        <v>22</v>
      </c>
      <c r="W64" s="64" t="e">
        <f t="shared" si="104"/>
        <v>#VALUE!</v>
      </c>
      <c r="X64" s="64">
        <f t="shared" si="105"/>
        <v>32</v>
      </c>
      <c r="Y64" s="64" t="str">
        <f>IFERROR(VLOOKUP(MID(T64,W64,X64-W64),[6]skilldef!$C:$D,2,FALSE),"-") &amp; " / " &amp; IFERROR(VLOOKUP(MID(T64,U64,V64-U64),[6]skilldef!$A:$B,2,FALSE),"-")</f>
        <v>- / -</v>
      </c>
      <c r="Z64" s="50"/>
      <c r="AA64" s="52"/>
      <c r="AB64" s="50"/>
    </row>
    <row r="65" spans="1:28" ht="21" customHeight="1" x14ac:dyDescent="0.15">
      <c r="A65" s="135">
        <v>48703709</v>
      </c>
      <c r="B65" s="47" t="s">
        <v>304</v>
      </c>
      <c r="C65" s="50">
        <v>1</v>
      </c>
      <c r="D65" s="50" t="s">
        <v>127</v>
      </c>
      <c r="E65" s="112" t="s">
        <v>386</v>
      </c>
      <c r="F65" s="51" t="s">
        <v>305</v>
      </c>
      <c r="G65" s="64" t="str">
        <f t="shared" si="94"/>
        <v xml:space="preserve">[effect:enemy_message, val1:1.2, val2:1.2, dead_type:suicide]    </v>
      </c>
      <c r="H65" s="64">
        <f t="shared" si="1"/>
        <v>9</v>
      </c>
      <c r="I65" s="64">
        <f t="shared" si="95"/>
        <v>22</v>
      </c>
      <c r="J65" s="64" t="e">
        <f t="shared" si="96"/>
        <v>#VALUE!</v>
      </c>
      <c r="K65" s="64">
        <f t="shared" si="97"/>
        <v>32</v>
      </c>
      <c r="L65" s="64" t="str">
        <f>IFERROR(VLOOKUP(MID(G65,J65,K65-J65),[6]skilldef!$C:$D,2,FALSE),"-") &amp; " / " &amp; IFERROR(VLOOKUP(MID(G65,H65,I65-H65),[6]skilldef!$A:$B,2,FALSE),"-")</f>
        <v>- / -</v>
      </c>
      <c r="M65" s="64" t="str">
        <f t="shared" si="98"/>
        <v>none</v>
      </c>
      <c r="N65" s="48" t="str">
        <f>IFERROR(LEFT(M65,FIND("],",M65)+#REF!),M65)</f>
        <v>none</v>
      </c>
      <c r="O65" s="64" t="e">
        <f t="shared" si="6"/>
        <v>#VALUE!</v>
      </c>
      <c r="P65" s="64">
        <f t="shared" si="99"/>
        <v>4</v>
      </c>
      <c r="Q65" s="64" t="e">
        <f t="shared" si="100"/>
        <v>#VALUE!</v>
      </c>
      <c r="R65" s="64" t="e">
        <f t="shared" si="101"/>
        <v>#VALUE!</v>
      </c>
      <c r="S65" s="64" t="str">
        <f>IFERROR(VLOOKUP(MID(N65,Q65,R65-Q65),[6]skilldef!$C:$D,2,FALSE),"-") &amp; " / " &amp; IFERROR(VLOOKUP(MID(N65,O65,P65-O65),[6]skilldef!$A:$B,2,FALSE),"-")</f>
        <v>- / -</v>
      </c>
      <c r="T65" s="48" t="str">
        <f t="shared" si="102"/>
        <v>none</v>
      </c>
      <c r="U65" s="64" t="e">
        <f t="shared" si="11"/>
        <v>#VALUE!</v>
      </c>
      <c r="V65" s="64">
        <f t="shared" si="103"/>
        <v>4</v>
      </c>
      <c r="W65" s="64" t="e">
        <f t="shared" si="104"/>
        <v>#VALUE!</v>
      </c>
      <c r="X65" s="64" t="e">
        <f t="shared" si="105"/>
        <v>#VALUE!</v>
      </c>
      <c r="Y65" s="64" t="str">
        <f>IFERROR(VLOOKUP(MID(T65,W65,X65-W65),[6]skilldef!$C:$D,2,FALSE),"-") &amp; " / " &amp; IFERROR(VLOOKUP(MID(T65,U65,V65-U65),[6]skilldef!$A:$B,2,FALSE),"-")</f>
        <v>- / -</v>
      </c>
      <c r="Z65" s="50"/>
      <c r="AA65" s="52"/>
      <c r="AB65" s="50"/>
    </row>
    <row r="66" spans="1:28" ht="21" customHeight="1" x14ac:dyDescent="0.15">
      <c r="A66" s="135">
        <v>48703710</v>
      </c>
      <c r="B66" s="47" t="s">
        <v>304</v>
      </c>
      <c r="C66" s="50">
        <v>1</v>
      </c>
      <c r="D66" s="50" t="s">
        <v>127</v>
      </c>
      <c r="E66" s="112" t="s">
        <v>386</v>
      </c>
      <c r="F66" s="51" t="s">
        <v>305</v>
      </c>
      <c r="G66" s="64" t="str">
        <f t="shared" ref="G66:G67" si="121">IFERROR(LEFT(B66,FIND("],",B66)),B66)</f>
        <v xml:space="preserve">[effect:enemy_message, val1:1.2, val2:1.2, dead_type:suicide]    </v>
      </c>
      <c r="H66" s="64">
        <f t="shared" si="1"/>
        <v>9</v>
      </c>
      <c r="I66" s="64">
        <f t="shared" ref="I66:I67" si="122">IFERROR(FIND(",",G66),LEN(G66))</f>
        <v>22</v>
      </c>
      <c r="J66" s="64" t="e">
        <f t="shared" ref="J66:J67" si="123">FIND("target:",G66)+7</f>
        <v>#VALUE!</v>
      </c>
      <c r="K66" s="64">
        <f t="shared" ref="K66:K67" si="124">FIND(",",G66,I66+1)</f>
        <v>32</v>
      </c>
      <c r="L66" s="64" t="str">
        <f>IFERROR(VLOOKUP(MID(G66,J66,K66-J66),[6]skilldef!$C:$D,2,FALSE),"-") &amp; " / " &amp; IFERROR(VLOOKUP(MID(G66,H66,I66-H66),[6]skilldef!$A:$B,2,FALSE),"-")</f>
        <v>- / -</v>
      </c>
      <c r="M66" s="64" t="str">
        <f t="shared" ref="M66:M67" si="125">IFERROR(RIGHT(B66,LEN(B66)-FIND("],",B66)-1),"none")</f>
        <v>none</v>
      </c>
      <c r="N66" s="48" t="str">
        <f>IFERROR(LEFT(M66,FIND("],",M66)+#REF!),M66)</f>
        <v>none</v>
      </c>
      <c r="O66" s="64" t="e">
        <f t="shared" si="6"/>
        <v>#VALUE!</v>
      </c>
      <c r="P66" s="64">
        <f t="shared" ref="P66:P67" si="126">IFERROR(FIND(",",N66),LEN(N66))</f>
        <v>4</v>
      </c>
      <c r="Q66" s="64" t="e">
        <f t="shared" ref="Q66:Q67" si="127">FIND("target:",N66)+7</f>
        <v>#VALUE!</v>
      </c>
      <c r="R66" s="64" t="e">
        <f t="shared" ref="R66:R67" si="128">FIND(",",N66,P66+1)</f>
        <v>#VALUE!</v>
      </c>
      <c r="S66" s="64" t="str">
        <f>IFERROR(VLOOKUP(MID(N66,Q66,R66-Q66),[6]skilldef!$C:$D,2,FALSE),"-") &amp; " / " &amp; IFERROR(VLOOKUP(MID(N66,O66,P66-O66),[6]skilldef!$A:$B,2,FALSE),"-")</f>
        <v>- / -</v>
      </c>
      <c r="T66" s="48" t="str">
        <f t="shared" ref="T66:T67" si="129">IFERROR(RIGHT(M66,LEN(M66)-FIND("],",M66)-1),"none")</f>
        <v>none</v>
      </c>
      <c r="U66" s="64" t="e">
        <f t="shared" si="11"/>
        <v>#VALUE!</v>
      </c>
      <c r="V66" s="64">
        <f t="shared" ref="V66:V67" si="130">IFERROR(FIND(",",T66),LEN(T66))</f>
        <v>4</v>
      </c>
      <c r="W66" s="64" t="e">
        <f t="shared" ref="W66:W67" si="131">FIND("target:",T66)+7</f>
        <v>#VALUE!</v>
      </c>
      <c r="X66" s="64" t="e">
        <f t="shared" ref="X66:X67" si="132">FIND(",",T66,V66+1)</f>
        <v>#VALUE!</v>
      </c>
      <c r="Y66" s="64" t="str">
        <f>IFERROR(VLOOKUP(MID(T66,W66,X66-W66),[6]skilldef!$C:$D,2,FALSE),"-") &amp; " / " &amp; IFERROR(VLOOKUP(MID(T66,U66,V66-U66),[6]skilldef!$A:$B,2,FALSE),"-")</f>
        <v>- / -</v>
      </c>
      <c r="Z66" s="50"/>
      <c r="AA66" s="52"/>
      <c r="AB66" s="50"/>
    </row>
    <row r="67" spans="1:28" ht="21" customHeight="1" x14ac:dyDescent="0.15">
      <c r="A67" s="135">
        <v>48703711</v>
      </c>
      <c r="B67" s="47" t="s">
        <v>304</v>
      </c>
      <c r="C67" s="50">
        <v>1</v>
      </c>
      <c r="D67" s="50" t="s">
        <v>127</v>
      </c>
      <c r="E67" s="112" t="s">
        <v>386</v>
      </c>
      <c r="F67" s="51" t="s">
        <v>305</v>
      </c>
      <c r="G67" s="64" t="str">
        <f t="shared" si="121"/>
        <v xml:space="preserve">[effect:enemy_message, val1:1.2, val2:1.2, dead_type:suicide]    </v>
      </c>
      <c r="H67" s="64">
        <f t="shared" si="1"/>
        <v>9</v>
      </c>
      <c r="I67" s="64">
        <f t="shared" si="122"/>
        <v>22</v>
      </c>
      <c r="J67" s="64" t="e">
        <f t="shared" si="123"/>
        <v>#VALUE!</v>
      </c>
      <c r="K67" s="64">
        <f t="shared" si="124"/>
        <v>32</v>
      </c>
      <c r="L67" s="64" t="str">
        <f>IFERROR(VLOOKUP(MID(G67,J67,K67-J67),[6]skilldef!$C:$D,2,FALSE),"-") &amp; " / " &amp; IFERROR(VLOOKUP(MID(G67,H67,I67-H67),[6]skilldef!$A:$B,2,FALSE),"-")</f>
        <v>- / -</v>
      </c>
      <c r="M67" s="64" t="str">
        <f t="shared" si="125"/>
        <v>none</v>
      </c>
      <c r="N67" s="48" t="str">
        <f>IFERROR(LEFT(M67,FIND("],",M67)+#REF!),M67)</f>
        <v>none</v>
      </c>
      <c r="O67" s="64" t="e">
        <f t="shared" si="6"/>
        <v>#VALUE!</v>
      </c>
      <c r="P67" s="64">
        <f t="shared" si="126"/>
        <v>4</v>
      </c>
      <c r="Q67" s="64" t="e">
        <f t="shared" si="127"/>
        <v>#VALUE!</v>
      </c>
      <c r="R67" s="64" t="e">
        <f t="shared" si="128"/>
        <v>#VALUE!</v>
      </c>
      <c r="S67" s="64" t="str">
        <f>IFERROR(VLOOKUP(MID(N67,Q67,R67-Q67),[6]skilldef!$C:$D,2,FALSE),"-") &amp; " / " &amp; IFERROR(VLOOKUP(MID(N67,O67,P67-O67),[6]skilldef!$A:$B,2,FALSE),"-")</f>
        <v>- / -</v>
      </c>
      <c r="T67" s="48" t="str">
        <f t="shared" si="129"/>
        <v>none</v>
      </c>
      <c r="U67" s="64" t="e">
        <f t="shared" si="11"/>
        <v>#VALUE!</v>
      </c>
      <c r="V67" s="64">
        <f t="shared" si="130"/>
        <v>4</v>
      </c>
      <c r="W67" s="64" t="e">
        <f t="shared" si="131"/>
        <v>#VALUE!</v>
      </c>
      <c r="X67" s="64" t="e">
        <f t="shared" si="132"/>
        <v>#VALUE!</v>
      </c>
      <c r="Y67" s="64" t="str">
        <f>IFERROR(VLOOKUP(MID(T67,W67,X67-W67),[6]skilldef!$C:$D,2,FALSE),"-") &amp; " / " &amp; IFERROR(VLOOKUP(MID(T67,U67,V67-U67),[6]skilldef!$A:$B,2,FALSE),"-")</f>
        <v>- / -</v>
      </c>
      <c r="Z67" s="50"/>
      <c r="AA67" s="52"/>
      <c r="AB67" s="50"/>
    </row>
    <row r="68" spans="1:28" ht="21" customHeight="1" x14ac:dyDescent="0.15">
      <c r="A68" s="135">
        <v>48703712</v>
      </c>
      <c r="B68" s="47" t="s">
        <v>304</v>
      </c>
      <c r="C68" s="50">
        <v>1</v>
      </c>
      <c r="D68" s="50" t="s">
        <v>127</v>
      </c>
      <c r="E68" s="112" t="s">
        <v>386</v>
      </c>
      <c r="F68" s="51" t="s">
        <v>305</v>
      </c>
      <c r="G68" s="64" t="str">
        <f t="shared" ref="G68:G70" si="133">IFERROR(LEFT(B68,FIND("],",B68)),B68)</f>
        <v xml:space="preserve">[effect:enemy_message, val1:1.2, val2:1.2, dead_type:suicide]    </v>
      </c>
      <c r="H68" s="64">
        <f t="shared" si="1"/>
        <v>9</v>
      </c>
      <c r="I68" s="64">
        <f t="shared" ref="I68:I70" si="134">IFERROR(FIND(",",G68),LEN(G68))</f>
        <v>22</v>
      </c>
      <c r="J68" s="64" t="e">
        <f t="shared" ref="J68:J70" si="135">FIND("target:",G68)+7</f>
        <v>#VALUE!</v>
      </c>
      <c r="K68" s="64">
        <f t="shared" ref="K68:K70" si="136">FIND(",",G68,I68+1)</f>
        <v>32</v>
      </c>
      <c r="L68" s="64" t="str">
        <f>IFERROR(VLOOKUP(MID(G68,J68,K68-J68),[6]skilldef!$C:$D,2,FALSE),"-") &amp; " / " &amp; IFERROR(VLOOKUP(MID(G68,H68,I68-H68),[6]skilldef!$A:$B,2,FALSE),"-")</f>
        <v>- / -</v>
      </c>
      <c r="M68" s="64" t="str">
        <f t="shared" ref="M68:M70" si="137">IFERROR(RIGHT(B68,LEN(B68)-FIND("],",B68)-1),"none")</f>
        <v>none</v>
      </c>
      <c r="N68" s="48" t="str">
        <f>IFERROR(LEFT(M68,FIND("],",M68)+#REF!),M68)</f>
        <v>none</v>
      </c>
      <c r="O68" s="64" t="e">
        <f t="shared" si="6"/>
        <v>#VALUE!</v>
      </c>
      <c r="P68" s="64">
        <f t="shared" ref="P68:P70" si="138">IFERROR(FIND(",",N68),LEN(N68))</f>
        <v>4</v>
      </c>
      <c r="Q68" s="64" t="e">
        <f t="shared" ref="Q68:Q70" si="139">FIND("target:",N68)+7</f>
        <v>#VALUE!</v>
      </c>
      <c r="R68" s="64" t="e">
        <f t="shared" ref="R68:R70" si="140">FIND(",",N68,P68+1)</f>
        <v>#VALUE!</v>
      </c>
      <c r="S68" s="64" t="str">
        <f>IFERROR(VLOOKUP(MID(N68,Q68,R68-Q68),[6]skilldef!$C:$D,2,FALSE),"-") &amp; " / " &amp; IFERROR(VLOOKUP(MID(N68,O68,P68-O68),[6]skilldef!$A:$B,2,FALSE),"-")</f>
        <v>- / -</v>
      </c>
      <c r="T68" s="48" t="str">
        <f t="shared" ref="T68:T70" si="141">IFERROR(RIGHT(M68,LEN(M68)-FIND("],",M68)-1),"none")</f>
        <v>none</v>
      </c>
      <c r="U68" s="64" t="e">
        <f t="shared" si="11"/>
        <v>#VALUE!</v>
      </c>
      <c r="V68" s="64">
        <f t="shared" ref="V68:V70" si="142">IFERROR(FIND(",",T68),LEN(T68))</f>
        <v>4</v>
      </c>
      <c r="W68" s="64" t="e">
        <f t="shared" ref="W68:W70" si="143">FIND("target:",T68)+7</f>
        <v>#VALUE!</v>
      </c>
      <c r="X68" s="64" t="e">
        <f t="shared" ref="X68:X70" si="144">FIND(",",T68,V68+1)</f>
        <v>#VALUE!</v>
      </c>
      <c r="Y68" s="64" t="str">
        <f>IFERROR(VLOOKUP(MID(T68,W68,X68-W68),[6]skilldef!$C:$D,2,FALSE),"-") &amp; " / " &amp; IFERROR(VLOOKUP(MID(T68,U68,V68-U68),[6]skilldef!$A:$B,2,FALSE),"-")</f>
        <v>- / -</v>
      </c>
      <c r="Z68" s="50"/>
      <c r="AA68" s="52"/>
      <c r="AB68" s="50"/>
    </row>
    <row r="69" spans="1:28" ht="21" customHeight="1" x14ac:dyDescent="0.15">
      <c r="A69" s="135">
        <v>48703713</v>
      </c>
      <c r="B69" s="47" t="s">
        <v>304</v>
      </c>
      <c r="C69" s="50">
        <v>1</v>
      </c>
      <c r="D69" s="50" t="s">
        <v>127</v>
      </c>
      <c r="E69" s="112" t="s">
        <v>386</v>
      </c>
      <c r="F69" s="51" t="s">
        <v>305</v>
      </c>
      <c r="G69" s="64" t="str">
        <f t="shared" si="133"/>
        <v xml:space="preserve">[effect:enemy_message, val1:1.2, val2:1.2, dead_type:suicide]    </v>
      </c>
      <c r="H69" s="64">
        <f t="shared" ref="H69:H70" si="145">FIND("effect:",G69)+7</f>
        <v>9</v>
      </c>
      <c r="I69" s="64">
        <f t="shared" si="134"/>
        <v>22</v>
      </c>
      <c r="J69" s="64" t="e">
        <f t="shared" si="135"/>
        <v>#VALUE!</v>
      </c>
      <c r="K69" s="64">
        <f t="shared" si="136"/>
        <v>32</v>
      </c>
      <c r="L69" s="64" t="str">
        <f>IFERROR(VLOOKUP(MID(G69,J69,K69-J69),[6]skilldef!$C:$D,2,FALSE),"-") &amp; " / " &amp; IFERROR(VLOOKUP(MID(G69,H69,I69-H69),[6]skilldef!$A:$B,2,FALSE),"-")</f>
        <v>- / -</v>
      </c>
      <c r="M69" s="64" t="str">
        <f t="shared" si="137"/>
        <v>none</v>
      </c>
      <c r="N69" s="48" t="str">
        <f>IFERROR(LEFT(M69,FIND("],",M69)+#REF!),M69)</f>
        <v>none</v>
      </c>
      <c r="O69" s="64" t="e">
        <f t="shared" ref="O69:O70" si="146">FIND("effect:",N69)+7</f>
        <v>#VALUE!</v>
      </c>
      <c r="P69" s="64">
        <f t="shared" si="138"/>
        <v>4</v>
      </c>
      <c r="Q69" s="64" t="e">
        <f t="shared" si="139"/>
        <v>#VALUE!</v>
      </c>
      <c r="R69" s="64" t="e">
        <f t="shared" si="140"/>
        <v>#VALUE!</v>
      </c>
      <c r="S69" s="64" t="str">
        <f>IFERROR(VLOOKUP(MID(N69,Q69,R69-Q69),[6]skilldef!$C:$D,2,FALSE),"-") &amp; " / " &amp; IFERROR(VLOOKUP(MID(N69,O69,P69-O69),[6]skilldef!$A:$B,2,FALSE),"-")</f>
        <v>- / -</v>
      </c>
      <c r="T69" s="48" t="str">
        <f t="shared" si="141"/>
        <v>none</v>
      </c>
      <c r="U69" s="64" t="e">
        <f t="shared" ref="U69:U70" si="147">FIND("effect:",T69)+7</f>
        <v>#VALUE!</v>
      </c>
      <c r="V69" s="64">
        <f t="shared" si="142"/>
        <v>4</v>
      </c>
      <c r="W69" s="64" t="e">
        <f t="shared" si="143"/>
        <v>#VALUE!</v>
      </c>
      <c r="X69" s="64" t="e">
        <f t="shared" si="144"/>
        <v>#VALUE!</v>
      </c>
      <c r="Y69" s="64" t="str">
        <f>IFERROR(VLOOKUP(MID(T69,W69,X69-W69),[6]skilldef!$C:$D,2,FALSE),"-") &amp; " / " &amp; IFERROR(VLOOKUP(MID(T69,U69,V69-U69),[6]skilldef!$A:$B,2,FALSE),"-")</f>
        <v>- / -</v>
      </c>
      <c r="Z69" s="50"/>
      <c r="AA69" s="52"/>
      <c r="AB69" s="50"/>
    </row>
    <row r="70" spans="1:28" ht="21" customHeight="1" x14ac:dyDescent="0.15">
      <c r="G70" s="49">
        <f t="shared" si="133"/>
        <v>0</v>
      </c>
      <c r="H70" s="49" t="e">
        <f t="shared" si="145"/>
        <v>#VALUE!</v>
      </c>
      <c r="I70" s="49">
        <f t="shared" si="134"/>
        <v>1</v>
      </c>
      <c r="J70" s="49" t="e">
        <f t="shared" si="135"/>
        <v>#VALUE!</v>
      </c>
      <c r="K70" s="49" t="e">
        <f t="shared" si="136"/>
        <v>#VALUE!</v>
      </c>
      <c r="M70" s="49" t="str">
        <f t="shared" si="137"/>
        <v>none</v>
      </c>
      <c r="N70" s="49" t="str">
        <f>IFERROR(LEFT(M70,FIND("],",M70)+#REF!),M70)</f>
        <v>none</v>
      </c>
      <c r="O70" s="49" t="e">
        <f t="shared" si="146"/>
        <v>#VALUE!</v>
      </c>
      <c r="P70" s="49">
        <f t="shared" si="138"/>
        <v>4</v>
      </c>
      <c r="Q70" s="49" t="e">
        <f t="shared" si="139"/>
        <v>#VALUE!</v>
      </c>
      <c r="R70" s="49" t="e">
        <f t="shared" si="140"/>
        <v>#VALUE!</v>
      </c>
      <c r="T70" s="49" t="str">
        <f t="shared" si="141"/>
        <v>none</v>
      </c>
      <c r="U70" s="49" t="e">
        <f t="shared" si="147"/>
        <v>#VALUE!</v>
      </c>
      <c r="V70" s="49">
        <f t="shared" si="142"/>
        <v>4</v>
      </c>
      <c r="W70" s="49" t="e">
        <f t="shared" si="143"/>
        <v>#VALUE!</v>
      </c>
      <c r="X70" s="49" t="e">
        <f t="shared" si="144"/>
        <v>#VALUE!</v>
      </c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69"/>
  <sheetViews>
    <sheetView showGridLines="0" zoomScale="130" zoomScaleNormal="130" zoomScalePageLayoutView="130" workbookViewId="0">
      <pane ySplit="1" topLeftCell="A32" activePane="bottomLeft" state="frozenSplit"/>
      <selection pane="bottomLeft" activeCell="E47" sqref="E47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x14ac:dyDescent="0.15">
      <c r="A2" s="134">
        <v>48703001</v>
      </c>
      <c r="B2" s="47">
        <v>0</v>
      </c>
      <c r="C2" s="47">
        <v>100</v>
      </c>
      <c r="D2" s="47">
        <v>100</v>
      </c>
      <c r="E2" s="47" t="s">
        <v>264</v>
      </c>
      <c r="F2" s="47" t="s">
        <v>89</v>
      </c>
      <c r="G2" s="47" t="s">
        <v>264</v>
      </c>
      <c r="H2" s="47">
        <v>1</v>
      </c>
      <c r="I2" s="47" t="s">
        <v>89</v>
      </c>
      <c r="J2" s="48">
        <f t="shared" ref="J2" si="0">D2</f>
        <v>100</v>
      </c>
    </row>
    <row r="3" spans="1:11" ht="21" customHeight="1" x14ac:dyDescent="0.15">
      <c r="A3" s="134">
        <v>48703002</v>
      </c>
      <c r="B3" s="47">
        <v>0</v>
      </c>
      <c r="C3" s="47">
        <v>110</v>
      </c>
      <c r="D3" s="47">
        <v>100</v>
      </c>
      <c r="E3" s="47" t="s">
        <v>53</v>
      </c>
      <c r="F3" s="47" t="s">
        <v>53</v>
      </c>
      <c r="G3" s="47" t="s">
        <v>53</v>
      </c>
      <c r="H3" s="47">
        <v>2</v>
      </c>
      <c r="I3" s="47" t="s">
        <v>53</v>
      </c>
      <c r="J3" s="48">
        <f t="shared" ref="J3:J4" si="1">D3</f>
        <v>100</v>
      </c>
    </row>
    <row r="4" spans="1:11" ht="21" customHeight="1" x14ac:dyDescent="0.15">
      <c r="A4" s="141">
        <v>48703003</v>
      </c>
      <c r="B4" s="47">
        <v>1</v>
      </c>
      <c r="C4" s="47" t="s">
        <v>53</v>
      </c>
      <c r="D4" s="47">
        <v>100</v>
      </c>
      <c r="E4" s="47" t="s">
        <v>53</v>
      </c>
      <c r="F4" s="47" t="s">
        <v>53</v>
      </c>
      <c r="G4" s="47">
        <v>1</v>
      </c>
      <c r="H4" s="47" t="s">
        <v>53</v>
      </c>
      <c r="I4" s="47" t="s">
        <v>53</v>
      </c>
      <c r="J4" s="48">
        <f t="shared" si="1"/>
        <v>100</v>
      </c>
    </row>
    <row r="5" spans="1:11" ht="21" customHeight="1" x14ac:dyDescent="0.15">
      <c r="A5" s="141">
        <v>48703004</v>
      </c>
      <c r="B5" s="47">
        <v>0</v>
      </c>
      <c r="C5" s="47">
        <v>100</v>
      </c>
      <c r="D5" s="47">
        <v>100</v>
      </c>
      <c r="E5" s="47" t="s">
        <v>53</v>
      </c>
      <c r="F5" s="47" t="s">
        <v>53</v>
      </c>
      <c r="G5" s="47" t="s">
        <v>53</v>
      </c>
      <c r="H5" s="47">
        <v>2</v>
      </c>
      <c r="I5" s="47" t="s">
        <v>53</v>
      </c>
      <c r="J5" s="48">
        <f t="shared" ref="J5:J10" si="2">D5</f>
        <v>100</v>
      </c>
    </row>
    <row r="6" spans="1:11" ht="21" customHeight="1" x14ac:dyDescent="0.15">
      <c r="A6" s="141">
        <v>48703005</v>
      </c>
      <c r="B6" s="47">
        <v>0</v>
      </c>
      <c r="C6" s="47">
        <v>110</v>
      </c>
      <c r="D6" s="47">
        <v>100</v>
      </c>
      <c r="E6" s="47" t="s">
        <v>53</v>
      </c>
      <c r="F6" s="47" t="s">
        <v>53</v>
      </c>
      <c r="G6" s="47" t="s">
        <v>53</v>
      </c>
      <c r="H6" s="47">
        <v>4</v>
      </c>
      <c r="I6" s="47" t="s">
        <v>53</v>
      </c>
      <c r="J6" s="48">
        <f t="shared" si="2"/>
        <v>100</v>
      </c>
    </row>
    <row r="7" spans="1:11" ht="21" customHeight="1" x14ac:dyDescent="0.15">
      <c r="A7" s="141">
        <v>48703006</v>
      </c>
      <c r="B7" s="47">
        <v>0</v>
      </c>
      <c r="C7" s="47">
        <v>120</v>
      </c>
      <c r="D7" s="47">
        <v>100</v>
      </c>
      <c r="E7" s="47" t="s">
        <v>53</v>
      </c>
      <c r="F7" s="47" t="s">
        <v>53</v>
      </c>
      <c r="G7" s="47">
        <v>1</v>
      </c>
      <c r="H7" s="47" t="s">
        <v>53</v>
      </c>
      <c r="I7" s="47">
        <v>63</v>
      </c>
      <c r="J7" s="48">
        <f t="shared" si="2"/>
        <v>100</v>
      </c>
    </row>
    <row r="8" spans="1:11" ht="21" customHeight="1" x14ac:dyDescent="0.15">
      <c r="A8" s="141">
        <v>48703007</v>
      </c>
      <c r="B8" s="47">
        <v>0</v>
      </c>
      <c r="C8" s="47">
        <v>150</v>
      </c>
      <c r="D8" s="47">
        <v>100</v>
      </c>
      <c r="E8" s="47" t="s">
        <v>53</v>
      </c>
      <c r="F8" s="47" t="s">
        <v>53</v>
      </c>
      <c r="G8" s="47">
        <v>1</v>
      </c>
      <c r="H8" s="47" t="s">
        <v>53</v>
      </c>
      <c r="I8" s="47">
        <v>63</v>
      </c>
      <c r="J8" s="48">
        <f t="shared" si="2"/>
        <v>100</v>
      </c>
    </row>
    <row r="9" spans="1:11" ht="21" customHeight="1" x14ac:dyDescent="0.15">
      <c r="A9" s="141">
        <v>48703008</v>
      </c>
      <c r="B9" s="47">
        <v>0</v>
      </c>
      <c r="C9" s="47" t="s">
        <v>53</v>
      </c>
      <c r="D9" s="47">
        <v>100</v>
      </c>
      <c r="E9" s="47" t="s">
        <v>53</v>
      </c>
      <c r="F9" s="47" t="s">
        <v>53</v>
      </c>
      <c r="G9" s="47">
        <v>0</v>
      </c>
      <c r="H9" s="47" t="s">
        <v>53</v>
      </c>
      <c r="I9" s="47">
        <v>0</v>
      </c>
      <c r="J9" s="48">
        <f t="shared" si="2"/>
        <v>100</v>
      </c>
    </row>
    <row r="10" spans="1:11" ht="21" customHeight="1" x14ac:dyDescent="0.15">
      <c r="A10" s="134">
        <v>48703101</v>
      </c>
      <c r="B10" s="47">
        <v>1</v>
      </c>
      <c r="C10" s="47" t="s">
        <v>53</v>
      </c>
      <c r="D10" s="47">
        <v>100</v>
      </c>
      <c r="E10" s="47" t="s">
        <v>53</v>
      </c>
      <c r="F10" s="47" t="s">
        <v>53</v>
      </c>
      <c r="G10" s="47">
        <v>1</v>
      </c>
      <c r="H10" s="47" t="s">
        <v>53</v>
      </c>
      <c r="I10" s="47" t="s">
        <v>53</v>
      </c>
      <c r="J10" s="48">
        <f t="shared" si="2"/>
        <v>100</v>
      </c>
    </row>
    <row r="11" spans="1:11" ht="21" customHeight="1" x14ac:dyDescent="0.15">
      <c r="A11" s="135">
        <v>48703102</v>
      </c>
      <c r="B11" s="47">
        <v>0</v>
      </c>
      <c r="C11" s="47">
        <v>100</v>
      </c>
      <c r="D11" s="47">
        <v>100</v>
      </c>
      <c r="E11" s="47" t="s">
        <v>53</v>
      </c>
      <c r="F11" s="47" t="s">
        <v>53</v>
      </c>
      <c r="G11" s="47" t="s">
        <v>53</v>
      </c>
      <c r="H11" s="47">
        <v>2</v>
      </c>
      <c r="I11" s="47" t="s">
        <v>53</v>
      </c>
      <c r="J11" s="48">
        <f t="shared" ref="J11:J22" si="3">D11</f>
        <v>100</v>
      </c>
    </row>
    <row r="12" spans="1:11" ht="21" customHeight="1" x14ac:dyDescent="0.15">
      <c r="A12" s="135">
        <v>48703103</v>
      </c>
      <c r="B12" s="47">
        <v>0</v>
      </c>
      <c r="C12" s="47">
        <v>110</v>
      </c>
      <c r="D12" s="47">
        <v>100</v>
      </c>
      <c r="E12" s="47" t="s">
        <v>53</v>
      </c>
      <c r="F12" s="47" t="s">
        <v>53</v>
      </c>
      <c r="G12" s="47" t="s">
        <v>53</v>
      </c>
      <c r="H12" s="47">
        <v>3</v>
      </c>
      <c r="I12" s="47" t="s">
        <v>53</v>
      </c>
      <c r="J12" s="48">
        <f t="shared" si="3"/>
        <v>100</v>
      </c>
    </row>
    <row r="13" spans="1:11" ht="21" customHeight="1" x14ac:dyDescent="0.15">
      <c r="A13" s="135">
        <v>48703104</v>
      </c>
      <c r="B13" s="47">
        <v>0</v>
      </c>
      <c r="C13" s="47">
        <v>120</v>
      </c>
      <c r="D13" s="47">
        <v>100</v>
      </c>
      <c r="E13" s="47" t="s">
        <v>53</v>
      </c>
      <c r="F13" s="47" t="s">
        <v>53</v>
      </c>
      <c r="G13" s="47" t="s">
        <v>53</v>
      </c>
      <c r="H13" s="47">
        <v>4</v>
      </c>
      <c r="I13" s="47" t="s">
        <v>53</v>
      </c>
      <c r="J13" s="48">
        <f t="shared" si="3"/>
        <v>100</v>
      </c>
    </row>
    <row r="14" spans="1:11" ht="21" customHeight="1" x14ac:dyDescent="0.15">
      <c r="A14" s="135">
        <v>48703105</v>
      </c>
      <c r="B14" s="47">
        <v>0</v>
      </c>
      <c r="C14" s="47">
        <v>130</v>
      </c>
      <c r="D14" s="47">
        <v>100</v>
      </c>
      <c r="E14" s="47" t="s">
        <v>53</v>
      </c>
      <c r="F14" s="47" t="s">
        <v>53</v>
      </c>
      <c r="G14" s="47" t="s">
        <v>53</v>
      </c>
      <c r="H14" s="47">
        <v>5</v>
      </c>
      <c r="I14" s="47" t="s">
        <v>53</v>
      </c>
      <c r="J14" s="48">
        <f t="shared" si="3"/>
        <v>100</v>
      </c>
    </row>
    <row r="15" spans="1:11" ht="21" customHeight="1" x14ac:dyDescent="0.15">
      <c r="A15" s="135">
        <v>48703106</v>
      </c>
      <c r="B15" s="47">
        <v>0</v>
      </c>
      <c r="C15" s="47">
        <v>150</v>
      </c>
      <c r="D15" s="47">
        <v>100</v>
      </c>
      <c r="E15" s="47" t="s">
        <v>53</v>
      </c>
      <c r="F15" s="47" t="s">
        <v>53</v>
      </c>
      <c r="G15" s="47">
        <v>1</v>
      </c>
      <c r="H15" s="47">
        <v>8</v>
      </c>
      <c r="I15" s="47" t="s">
        <v>53</v>
      </c>
      <c r="J15" s="48">
        <f t="shared" si="3"/>
        <v>100</v>
      </c>
    </row>
    <row r="16" spans="1:11" ht="21" customHeight="1" x14ac:dyDescent="0.15">
      <c r="A16" s="139">
        <v>48703201</v>
      </c>
      <c r="B16" s="47">
        <v>1</v>
      </c>
      <c r="C16" s="47" t="s">
        <v>53</v>
      </c>
      <c r="D16" s="47">
        <v>100</v>
      </c>
      <c r="E16" s="47" t="s">
        <v>53</v>
      </c>
      <c r="F16" s="47" t="s">
        <v>53</v>
      </c>
      <c r="G16" s="47">
        <v>1</v>
      </c>
      <c r="H16" s="47" t="s">
        <v>53</v>
      </c>
      <c r="I16" s="47" t="s">
        <v>53</v>
      </c>
      <c r="J16" s="48">
        <f t="shared" si="3"/>
        <v>100</v>
      </c>
    </row>
    <row r="17" spans="1:10" ht="21" customHeight="1" x14ac:dyDescent="0.15">
      <c r="A17" s="139">
        <v>48703202</v>
      </c>
      <c r="B17" s="47">
        <v>0</v>
      </c>
      <c r="C17" s="47">
        <v>100</v>
      </c>
      <c r="D17" s="47">
        <v>100</v>
      </c>
      <c r="E17" s="47" t="s">
        <v>53</v>
      </c>
      <c r="F17" s="47" t="s">
        <v>53</v>
      </c>
      <c r="G17" s="47" t="s">
        <v>53</v>
      </c>
      <c r="H17" s="47">
        <v>2</v>
      </c>
      <c r="I17" s="47" t="s">
        <v>53</v>
      </c>
      <c r="J17" s="48">
        <f t="shared" si="3"/>
        <v>100</v>
      </c>
    </row>
    <row r="18" spans="1:10" ht="21" customHeight="1" x14ac:dyDescent="0.15">
      <c r="A18" s="139">
        <v>48703203</v>
      </c>
      <c r="B18" s="47">
        <v>0</v>
      </c>
      <c r="C18" s="47">
        <v>110</v>
      </c>
      <c r="D18" s="47">
        <v>100</v>
      </c>
      <c r="E18" s="47" t="s">
        <v>53</v>
      </c>
      <c r="F18" s="47" t="s">
        <v>53</v>
      </c>
      <c r="G18" s="47" t="s">
        <v>53</v>
      </c>
      <c r="H18" s="47">
        <v>3</v>
      </c>
      <c r="I18" s="47" t="s">
        <v>53</v>
      </c>
      <c r="J18" s="48">
        <f t="shared" si="3"/>
        <v>100</v>
      </c>
    </row>
    <row r="19" spans="1:10" ht="21" customHeight="1" x14ac:dyDescent="0.15">
      <c r="A19" s="139">
        <v>48703204</v>
      </c>
      <c r="B19" s="47">
        <v>0</v>
      </c>
      <c r="C19" s="47">
        <v>120</v>
      </c>
      <c r="D19" s="47">
        <v>100</v>
      </c>
      <c r="E19" s="47" t="s">
        <v>53</v>
      </c>
      <c r="F19" s="47" t="s">
        <v>53</v>
      </c>
      <c r="G19" s="47" t="s">
        <v>53</v>
      </c>
      <c r="H19" s="47">
        <v>4</v>
      </c>
      <c r="I19" s="47" t="s">
        <v>53</v>
      </c>
      <c r="J19" s="48">
        <f t="shared" si="3"/>
        <v>100</v>
      </c>
    </row>
    <row r="20" spans="1:10" ht="21" customHeight="1" x14ac:dyDescent="0.15">
      <c r="A20" s="139">
        <v>48703205</v>
      </c>
      <c r="B20" s="47">
        <v>0</v>
      </c>
      <c r="C20" s="47">
        <v>150</v>
      </c>
      <c r="D20" s="47">
        <v>100</v>
      </c>
      <c r="E20" s="47" t="s">
        <v>53</v>
      </c>
      <c r="F20" s="47" t="s">
        <v>53</v>
      </c>
      <c r="G20" s="47" t="s">
        <v>53</v>
      </c>
      <c r="H20" s="47">
        <v>5</v>
      </c>
      <c r="I20" s="47" t="s">
        <v>53</v>
      </c>
      <c r="J20" s="48">
        <f t="shared" si="3"/>
        <v>100</v>
      </c>
    </row>
    <row r="21" spans="1:10" ht="21" customHeight="1" x14ac:dyDescent="0.15">
      <c r="A21" s="139">
        <v>48703206</v>
      </c>
      <c r="B21" s="47">
        <v>0</v>
      </c>
      <c r="C21" s="47">
        <v>200</v>
      </c>
      <c r="D21" s="47">
        <v>100</v>
      </c>
      <c r="E21" s="47" t="s">
        <v>53</v>
      </c>
      <c r="F21" s="47" t="s">
        <v>53</v>
      </c>
      <c r="G21" s="47">
        <v>1</v>
      </c>
      <c r="H21" s="47">
        <v>6</v>
      </c>
      <c r="I21" s="47" t="s">
        <v>53</v>
      </c>
      <c r="J21" s="48">
        <f t="shared" si="3"/>
        <v>100</v>
      </c>
    </row>
    <row r="22" spans="1:10" ht="21" customHeight="1" x14ac:dyDescent="0.15">
      <c r="A22" s="139">
        <v>48703207</v>
      </c>
      <c r="B22" s="47">
        <v>0</v>
      </c>
      <c r="C22" s="47">
        <v>210</v>
      </c>
      <c r="D22" s="47">
        <v>100</v>
      </c>
      <c r="E22" s="47" t="s">
        <v>53</v>
      </c>
      <c r="F22" s="47" t="s">
        <v>53</v>
      </c>
      <c r="G22" s="47">
        <v>1</v>
      </c>
      <c r="H22" s="47">
        <v>7</v>
      </c>
      <c r="I22" s="47" t="s">
        <v>53</v>
      </c>
      <c r="J22" s="48">
        <f t="shared" si="3"/>
        <v>100</v>
      </c>
    </row>
    <row r="23" spans="1:10" ht="21" customHeight="1" x14ac:dyDescent="0.15">
      <c r="A23" s="139">
        <v>48703208</v>
      </c>
      <c r="B23" s="47">
        <v>0</v>
      </c>
      <c r="C23" s="47">
        <v>220</v>
      </c>
      <c r="D23" s="47">
        <v>100</v>
      </c>
      <c r="E23" s="47" t="s">
        <v>53</v>
      </c>
      <c r="F23" s="47" t="s">
        <v>53</v>
      </c>
      <c r="G23" s="47">
        <v>1</v>
      </c>
      <c r="H23" s="47">
        <v>8</v>
      </c>
      <c r="I23" s="47" t="s">
        <v>53</v>
      </c>
      <c r="J23" s="48">
        <f t="shared" ref="J23:J59" si="4">D23</f>
        <v>100</v>
      </c>
    </row>
    <row r="24" spans="1:10" ht="21" customHeight="1" x14ac:dyDescent="0.15">
      <c r="A24" s="135">
        <v>48703301</v>
      </c>
      <c r="B24" s="47">
        <v>1</v>
      </c>
      <c r="C24" s="47" t="s">
        <v>53</v>
      </c>
      <c r="D24" s="47">
        <v>100</v>
      </c>
      <c r="E24" s="47" t="s">
        <v>53</v>
      </c>
      <c r="F24" s="47" t="s">
        <v>53</v>
      </c>
      <c r="G24" s="47">
        <v>1</v>
      </c>
      <c r="H24" s="47" t="s">
        <v>53</v>
      </c>
      <c r="I24" s="47" t="s">
        <v>53</v>
      </c>
      <c r="J24" s="48">
        <f t="shared" si="4"/>
        <v>100</v>
      </c>
    </row>
    <row r="25" spans="1:10" ht="21" customHeight="1" x14ac:dyDescent="0.15">
      <c r="A25" s="135">
        <v>48703302</v>
      </c>
      <c r="B25" s="47">
        <v>0</v>
      </c>
      <c r="C25" s="47">
        <v>100</v>
      </c>
      <c r="D25" s="47">
        <v>100</v>
      </c>
      <c r="E25" s="47" t="s">
        <v>53</v>
      </c>
      <c r="F25" s="47" t="s">
        <v>53</v>
      </c>
      <c r="G25" s="47" t="s">
        <v>53</v>
      </c>
      <c r="H25" s="47">
        <v>1</v>
      </c>
      <c r="I25" s="47" t="s">
        <v>53</v>
      </c>
      <c r="J25" s="48">
        <f t="shared" si="4"/>
        <v>100</v>
      </c>
    </row>
    <row r="26" spans="1:10" ht="21" customHeight="1" x14ac:dyDescent="0.15">
      <c r="A26" s="135">
        <v>48703303</v>
      </c>
      <c r="B26" s="47">
        <v>0</v>
      </c>
      <c r="C26" s="47">
        <v>110</v>
      </c>
      <c r="D26" s="47">
        <v>100</v>
      </c>
      <c r="E26" s="47" t="s">
        <v>53</v>
      </c>
      <c r="F26" s="47" t="s">
        <v>53</v>
      </c>
      <c r="G26" s="47" t="s">
        <v>53</v>
      </c>
      <c r="H26" s="47">
        <v>2</v>
      </c>
      <c r="I26" s="47" t="s">
        <v>53</v>
      </c>
      <c r="J26" s="48">
        <f t="shared" si="4"/>
        <v>100</v>
      </c>
    </row>
    <row r="27" spans="1:10" ht="21" customHeight="1" x14ac:dyDescent="0.15">
      <c r="A27" s="135">
        <v>48703304</v>
      </c>
      <c r="B27" s="47">
        <v>0</v>
      </c>
      <c r="C27" s="47">
        <v>120</v>
      </c>
      <c r="D27" s="47">
        <v>100</v>
      </c>
      <c r="E27" s="47" t="s">
        <v>53</v>
      </c>
      <c r="F27" s="47" t="s">
        <v>53</v>
      </c>
      <c r="G27" s="47" t="s">
        <v>53</v>
      </c>
      <c r="H27" s="47">
        <v>3</v>
      </c>
      <c r="I27" s="47" t="s">
        <v>53</v>
      </c>
      <c r="J27" s="48">
        <f t="shared" si="4"/>
        <v>100</v>
      </c>
    </row>
    <row r="28" spans="1:10" ht="21" customHeight="1" x14ac:dyDescent="0.15">
      <c r="A28" s="135">
        <v>48703305</v>
      </c>
      <c r="B28" s="47">
        <v>0</v>
      </c>
      <c r="C28" s="47">
        <v>130</v>
      </c>
      <c r="D28" s="47">
        <v>100</v>
      </c>
      <c r="E28" s="47" t="s">
        <v>53</v>
      </c>
      <c r="F28" s="47" t="s">
        <v>53</v>
      </c>
      <c r="G28" s="47" t="s">
        <v>53</v>
      </c>
      <c r="H28" s="47">
        <v>4</v>
      </c>
      <c r="I28" s="47" t="s">
        <v>53</v>
      </c>
      <c r="J28" s="48">
        <f t="shared" si="4"/>
        <v>100</v>
      </c>
    </row>
    <row r="29" spans="1:10" ht="21" customHeight="1" x14ac:dyDescent="0.15">
      <c r="A29" s="139">
        <v>48703401</v>
      </c>
      <c r="B29" s="47">
        <v>1</v>
      </c>
      <c r="C29" s="47" t="s">
        <v>53</v>
      </c>
      <c r="D29" s="47">
        <v>100</v>
      </c>
      <c r="E29" s="47" t="s">
        <v>53</v>
      </c>
      <c r="F29" s="47" t="s">
        <v>53</v>
      </c>
      <c r="G29" s="47">
        <v>1</v>
      </c>
      <c r="H29" s="47" t="s">
        <v>53</v>
      </c>
      <c r="I29" s="47" t="s">
        <v>53</v>
      </c>
      <c r="J29" s="48">
        <f t="shared" si="4"/>
        <v>100</v>
      </c>
    </row>
    <row r="30" spans="1:10" ht="21" customHeight="1" x14ac:dyDescent="0.15">
      <c r="A30" s="139">
        <v>48703402</v>
      </c>
      <c r="B30" s="47">
        <v>0</v>
      </c>
      <c r="C30" s="47">
        <v>100</v>
      </c>
      <c r="D30" s="47">
        <v>100</v>
      </c>
      <c r="E30" s="47" t="s">
        <v>53</v>
      </c>
      <c r="F30" s="47" t="s">
        <v>53</v>
      </c>
      <c r="G30" s="47" t="s">
        <v>53</v>
      </c>
      <c r="H30" s="47">
        <v>1</v>
      </c>
      <c r="I30" s="47" t="s">
        <v>53</v>
      </c>
      <c r="J30" s="48">
        <f t="shared" si="4"/>
        <v>100</v>
      </c>
    </row>
    <row r="31" spans="1:10" ht="21" customHeight="1" x14ac:dyDescent="0.15">
      <c r="A31" s="139">
        <v>48703403</v>
      </c>
      <c r="B31" s="47">
        <v>0</v>
      </c>
      <c r="C31" s="47">
        <v>110</v>
      </c>
      <c r="D31" s="47">
        <v>100</v>
      </c>
      <c r="E31" s="47" t="s">
        <v>53</v>
      </c>
      <c r="F31" s="47" t="s">
        <v>53</v>
      </c>
      <c r="G31" s="47">
        <v>1</v>
      </c>
      <c r="H31" s="47">
        <v>2</v>
      </c>
      <c r="I31" s="47" t="s">
        <v>53</v>
      </c>
      <c r="J31" s="48">
        <f t="shared" si="4"/>
        <v>100</v>
      </c>
    </row>
    <row r="32" spans="1:10" ht="21" customHeight="1" x14ac:dyDescent="0.15">
      <c r="A32" s="140">
        <v>48703404</v>
      </c>
      <c r="B32" s="47">
        <v>0</v>
      </c>
      <c r="C32" s="47">
        <v>120</v>
      </c>
      <c r="D32" s="47">
        <v>100</v>
      </c>
      <c r="E32" s="47" t="s">
        <v>53</v>
      </c>
      <c r="F32" s="47" t="s">
        <v>53</v>
      </c>
      <c r="G32" s="47" t="s">
        <v>53</v>
      </c>
      <c r="H32" s="47">
        <v>3</v>
      </c>
      <c r="I32" s="47" t="s">
        <v>53</v>
      </c>
      <c r="J32" s="48">
        <f t="shared" si="4"/>
        <v>100</v>
      </c>
    </row>
    <row r="33" spans="1:10" ht="21" customHeight="1" x14ac:dyDescent="0.15">
      <c r="A33" s="141">
        <v>48703405</v>
      </c>
      <c r="B33" s="47">
        <v>0</v>
      </c>
      <c r="C33" s="47">
        <v>200</v>
      </c>
      <c r="D33" s="47">
        <v>100</v>
      </c>
      <c r="E33" s="47" t="s">
        <v>53</v>
      </c>
      <c r="F33" s="47" t="s">
        <v>53</v>
      </c>
      <c r="G33" s="47">
        <v>1</v>
      </c>
      <c r="H33" s="47">
        <v>4</v>
      </c>
      <c r="I33" s="47" t="s">
        <v>53</v>
      </c>
      <c r="J33" s="48">
        <f t="shared" si="4"/>
        <v>100</v>
      </c>
    </row>
    <row r="34" spans="1:10" ht="21" customHeight="1" x14ac:dyDescent="0.15">
      <c r="A34" s="141">
        <v>48703406</v>
      </c>
      <c r="B34" s="47">
        <v>0</v>
      </c>
      <c r="C34" s="47">
        <v>150</v>
      </c>
      <c r="D34" s="47">
        <v>100</v>
      </c>
      <c r="E34" s="47" t="s">
        <v>53</v>
      </c>
      <c r="F34" s="47" t="s">
        <v>53</v>
      </c>
      <c r="G34" s="47" t="s">
        <v>53</v>
      </c>
      <c r="H34" s="47">
        <v>4</v>
      </c>
      <c r="I34" s="47" t="s">
        <v>53</v>
      </c>
      <c r="J34" s="48">
        <f t="shared" si="4"/>
        <v>100</v>
      </c>
    </row>
    <row r="35" spans="1:10" ht="21" customHeight="1" x14ac:dyDescent="0.15">
      <c r="A35" s="141">
        <v>48703407</v>
      </c>
      <c r="B35" s="47">
        <v>0</v>
      </c>
      <c r="C35" s="47" t="s">
        <v>53</v>
      </c>
      <c r="D35" s="47">
        <v>100</v>
      </c>
      <c r="E35" s="47" t="s">
        <v>53</v>
      </c>
      <c r="F35" s="47" t="s">
        <v>53</v>
      </c>
      <c r="G35" s="47">
        <v>0</v>
      </c>
      <c r="H35" s="47" t="s">
        <v>53</v>
      </c>
      <c r="I35" s="47">
        <v>0</v>
      </c>
      <c r="J35" s="48">
        <f t="shared" si="4"/>
        <v>100</v>
      </c>
    </row>
    <row r="36" spans="1:10" ht="21" customHeight="1" x14ac:dyDescent="0.15">
      <c r="A36" s="134">
        <v>48703501</v>
      </c>
      <c r="B36" s="47">
        <v>1</v>
      </c>
      <c r="C36" s="47" t="s">
        <v>53</v>
      </c>
      <c r="D36" s="47">
        <v>100</v>
      </c>
      <c r="E36" s="47" t="s">
        <v>53</v>
      </c>
      <c r="F36" s="47" t="s">
        <v>53</v>
      </c>
      <c r="G36" s="47">
        <v>1</v>
      </c>
      <c r="H36" s="47" t="s">
        <v>53</v>
      </c>
      <c r="I36" s="47">
        <v>0</v>
      </c>
      <c r="J36" s="48">
        <f t="shared" ref="J36" si="5">D36</f>
        <v>100</v>
      </c>
    </row>
    <row r="37" spans="1:10" ht="21" customHeight="1" x14ac:dyDescent="0.15">
      <c r="A37" s="134">
        <v>48703502</v>
      </c>
      <c r="B37" s="47">
        <v>1</v>
      </c>
      <c r="C37" s="47">
        <v>100</v>
      </c>
      <c r="D37" s="47">
        <v>100</v>
      </c>
      <c r="E37" s="47" t="s">
        <v>53</v>
      </c>
      <c r="F37" s="47" t="s">
        <v>53</v>
      </c>
      <c r="G37" s="47">
        <v>1</v>
      </c>
      <c r="H37" s="47" t="s">
        <v>53</v>
      </c>
      <c r="I37" s="47">
        <v>9003</v>
      </c>
      <c r="J37" s="48">
        <f t="shared" si="4"/>
        <v>100</v>
      </c>
    </row>
    <row r="38" spans="1:10" ht="21" customHeight="1" x14ac:dyDescent="0.15">
      <c r="A38" s="134">
        <v>48703503</v>
      </c>
      <c r="B38" s="47">
        <v>1</v>
      </c>
      <c r="C38" s="47">
        <v>101</v>
      </c>
      <c r="D38" s="47">
        <v>100</v>
      </c>
      <c r="E38" s="47" t="s">
        <v>53</v>
      </c>
      <c r="F38" s="47" t="s">
        <v>53</v>
      </c>
      <c r="G38" s="47">
        <v>1</v>
      </c>
      <c r="H38" s="47" t="s">
        <v>53</v>
      </c>
      <c r="I38" s="47">
        <v>9004</v>
      </c>
      <c r="J38" s="48">
        <f t="shared" ref="J38" si="6">D38</f>
        <v>100</v>
      </c>
    </row>
    <row r="39" spans="1:10" ht="21" customHeight="1" x14ac:dyDescent="0.15">
      <c r="A39" s="134">
        <v>48703504</v>
      </c>
      <c r="B39" s="47">
        <v>1</v>
      </c>
      <c r="C39" s="47">
        <v>102</v>
      </c>
      <c r="D39" s="47">
        <v>100</v>
      </c>
      <c r="E39" s="47" t="s">
        <v>53</v>
      </c>
      <c r="F39" s="47" t="s">
        <v>53</v>
      </c>
      <c r="G39" s="47">
        <v>1</v>
      </c>
      <c r="H39" s="47" t="s">
        <v>53</v>
      </c>
      <c r="I39" s="47">
        <v>9009</v>
      </c>
      <c r="J39" s="48">
        <f t="shared" si="4"/>
        <v>100</v>
      </c>
    </row>
    <row r="40" spans="1:10" ht="21" customHeight="1" x14ac:dyDescent="0.15">
      <c r="A40" s="134">
        <v>48703505</v>
      </c>
      <c r="B40" s="47">
        <v>1</v>
      </c>
      <c r="C40" s="47">
        <v>103</v>
      </c>
      <c r="D40" s="47">
        <v>100</v>
      </c>
      <c r="E40" s="47" t="s">
        <v>53</v>
      </c>
      <c r="F40" s="47" t="s">
        <v>53</v>
      </c>
      <c r="G40" s="47">
        <v>1</v>
      </c>
      <c r="H40" s="47" t="s">
        <v>53</v>
      </c>
      <c r="I40" s="47">
        <v>9010</v>
      </c>
      <c r="J40" s="48">
        <f t="shared" si="4"/>
        <v>100</v>
      </c>
    </row>
    <row r="41" spans="1:10" ht="21" customHeight="1" x14ac:dyDescent="0.15">
      <c r="A41" s="134">
        <v>48703506</v>
      </c>
      <c r="B41" s="47">
        <v>0</v>
      </c>
      <c r="C41" s="47">
        <v>150</v>
      </c>
      <c r="D41" s="47">
        <v>100</v>
      </c>
      <c r="E41" s="47" t="s">
        <v>53</v>
      </c>
      <c r="F41" s="47" t="s">
        <v>53</v>
      </c>
      <c r="G41" s="47">
        <v>1</v>
      </c>
      <c r="H41" s="47">
        <v>1</v>
      </c>
      <c r="I41" s="47" t="s">
        <v>53</v>
      </c>
      <c r="J41" s="48">
        <f t="shared" si="4"/>
        <v>100</v>
      </c>
    </row>
    <row r="42" spans="1:10" ht="21" customHeight="1" x14ac:dyDescent="0.15">
      <c r="A42" s="134">
        <v>48703507</v>
      </c>
      <c r="B42" s="47">
        <v>0</v>
      </c>
      <c r="C42" s="47">
        <v>120</v>
      </c>
      <c r="D42" s="47">
        <v>100</v>
      </c>
      <c r="E42" s="47" t="s">
        <v>53</v>
      </c>
      <c r="F42" s="47" t="s">
        <v>53</v>
      </c>
      <c r="G42" s="47" t="s">
        <v>53</v>
      </c>
      <c r="H42" s="47">
        <v>3</v>
      </c>
      <c r="I42" s="47" t="s">
        <v>53</v>
      </c>
      <c r="J42" s="48">
        <f t="shared" si="4"/>
        <v>100</v>
      </c>
    </row>
    <row r="43" spans="1:10" ht="21" customHeight="1" x14ac:dyDescent="0.15">
      <c r="A43" s="134">
        <v>48703508</v>
      </c>
      <c r="B43" s="47">
        <v>0</v>
      </c>
      <c r="C43" s="47">
        <v>130</v>
      </c>
      <c r="D43" s="47">
        <v>100</v>
      </c>
      <c r="E43" s="47" t="s">
        <v>53</v>
      </c>
      <c r="F43" s="47" t="s">
        <v>53</v>
      </c>
      <c r="G43" s="47" t="s">
        <v>53</v>
      </c>
      <c r="H43" s="47">
        <v>4</v>
      </c>
      <c r="I43" s="47" t="s">
        <v>53</v>
      </c>
      <c r="J43" s="48">
        <f t="shared" si="4"/>
        <v>100</v>
      </c>
    </row>
    <row r="44" spans="1:10" ht="21" customHeight="1" x14ac:dyDescent="0.15">
      <c r="A44" s="134">
        <v>48703509</v>
      </c>
      <c r="B44" s="47">
        <v>0</v>
      </c>
      <c r="C44" s="47">
        <v>140</v>
      </c>
      <c r="D44" s="47">
        <v>100</v>
      </c>
      <c r="E44" s="47" t="s">
        <v>53</v>
      </c>
      <c r="F44" s="47" t="s">
        <v>53</v>
      </c>
      <c r="G44" s="47" t="s">
        <v>53</v>
      </c>
      <c r="H44" s="47">
        <v>5</v>
      </c>
      <c r="I44" s="47" t="s">
        <v>53</v>
      </c>
      <c r="J44" s="48">
        <f t="shared" si="4"/>
        <v>100</v>
      </c>
    </row>
    <row r="45" spans="1:10" ht="21" customHeight="1" x14ac:dyDescent="0.15">
      <c r="A45" s="134">
        <v>48703510</v>
      </c>
      <c r="B45" s="47">
        <v>0</v>
      </c>
      <c r="C45" s="47">
        <v>200</v>
      </c>
      <c r="D45" s="47">
        <v>100</v>
      </c>
      <c r="E45" s="47">
        <v>50</v>
      </c>
      <c r="F45" s="47" t="s">
        <v>53</v>
      </c>
      <c r="G45" s="47">
        <v>1</v>
      </c>
      <c r="H45" s="47">
        <v>1</v>
      </c>
      <c r="I45" s="47" t="s">
        <v>53</v>
      </c>
      <c r="J45" s="48">
        <f t="shared" si="4"/>
        <v>100</v>
      </c>
    </row>
    <row r="46" spans="1:10" ht="21" customHeight="1" x14ac:dyDescent="0.15">
      <c r="A46" s="134">
        <v>48703511</v>
      </c>
      <c r="B46" s="47">
        <v>0</v>
      </c>
      <c r="C46" s="47">
        <v>150</v>
      </c>
      <c r="D46" s="47">
        <v>100</v>
      </c>
      <c r="E46" s="47">
        <v>50</v>
      </c>
      <c r="F46" s="47" t="s">
        <v>53</v>
      </c>
      <c r="G46" s="47">
        <v>1</v>
      </c>
      <c r="H46" s="47">
        <v>1</v>
      </c>
      <c r="I46" s="47" t="s">
        <v>53</v>
      </c>
      <c r="J46" s="48">
        <f t="shared" ref="J46" si="7">D46</f>
        <v>100</v>
      </c>
    </row>
    <row r="47" spans="1:10" ht="21" customHeight="1" x14ac:dyDescent="0.15">
      <c r="A47" s="134">
        <v>48703512</v>
      </c>
      <c r="B47" s="47">
        <v>0</v>
      </c>
      <c r="C47" s="47">
        <v>100</v>
      </c>
      <c r="D47" s="47">
        <v>100</v>
      </c>
      <c r="E47" s="47">
        <v>50</v>
      </c>
      <c r="F47" s="47" t="s">
        <v>53</v>
      </c>
      <c r="G47" s="47">
        <v>1</v>
      </c>
      <c r="H47" s="47">
        <v>1</v>
      </c>
      <c r="I47" s="47" t="s">
        <v>53</v>
      </c>
      <c r="J47" s="48">
        <f t="shared" si="4"/>
        <v>100</v>
      </c>
    </row>
    <row r="48" spans="1:10" ht="21" customHeight="1" x14ac:dyDescent="0.15">
      <c r="A48" s="139">
        <v>48703601</v>
      </c>
      <c r="B48" s="47">
        <v>1</v>
      </c>
      <c r="C48" s="47" t="s">
        <v>53</v>
      </c>
      <c r="D48" s="47">
        <v>100</v>
      </c>
      <c r="E48" s="47" t="s">
        <v>53</v>
      </c>
      <c r="F48" s="47" t="s">
        <v>53</v>
      </c>
      <c r="G48" s="47" t="s">
        <v>53</v>
      </c>
      <c r="H48" s="47" t="s">
        <v>53</v>
      </c>
      <c r="I48" s="47" t="s">
        <v>53</v>
      </c>
      <c r="J48" s="48">
        <f t="shared" si="4"/>
        <v>100</v>
      </c>
    </row>
    <row r="49" spans="1:10" ht="21" customHeight="1" x14ac:dyDescent="0.15">
      <c r="A49" s="139">
        <v>48703602</v>
      </c>
      <c r="B49" s="47">
        <v>0</v>
      </c>
      <c r="C49" s="47">
        <v>100</v>
      </c>
      <c r="D49" s="47">
        <v>100</v>
      </c>
      <c r="E49" s="47" t="s">
        <v>53</v>
      </c>
      <c r="F49" s="47" t="s">
        <v>53</v>
      </c>
      <c r="G49" s="47" t="s">
        <v>53</v>
      </c>
      <c r="H49" s="47">
        <v>1</v>
      </c>
      <c r="I49" s="47" t="s">
        <v>53</v>
      </c>
      <c r="J49" s="48">
        <f t="shared" si="4"/>
        <v>100</v>
      </c>
    </row>
    <row r="50" spans="1:10" ht="21" customHeight="1" x14ac:dyDescent="0.15">
      <c r="A50" s="139">
        <v>48703603</v>
      </c>
      <c r="B50" s="47">
        <v>0</v>
      </c>
      <c r="C50" s="47">
        <v>120</v>
      </c>
      <c r="D50" s="47">
        <v>100</v>
      </c>
      <c r="E50" s="47" t="s">
        <v>53</v>
      </c>
      <c r="F50" s="47" t="s">
        <v>53</v>
      </c>
      <c r="G50" s="47" t="s">
        <v>53</v>
      </c>
      <c r="H50" s="47">
        <v>2</v>
      </c>
      <c r="I50" s="47" t="s">
        <v>53</v>
      </c>
      <c r="J50" s="48">
        <f t="shared" si="4"/>
        <v>100</v>
      </c>
    </row>
    <row r="51" spans="1:10" ht="21" customHeight="1" x14ac:dyDescent="0.15">
      <c r="A51" s="139">
        <v>48703604</v>
      </c>
      <c r="B51" s="47">
        <v>0</v>
      </c>
      <c r="C51" s="47">
        <v>130</v>
      </c>
      <c r="D51" s="47">
        <v>100</v>
      </c>
      <c r="E51" s="47" t="s">
        <v>53</v>
      </c>
      <c r="F51" s="47" t="s">
        <v>53</v>
      </c>
      <c r="G51" s="47" t="s">
        <v>53</v>
      </c>
      <c r="H51" s="47">
        <v>3</v>
      </c>
      <c r="I51" s="47" t="s">
        <v>53</v>
      </c>
      <c r="J51" s="48">
        <f t="shared" si="4"/>
        <v>100</v>
      </c>
    </row>
    <row r="52" spans="1:10" ht="21" customHeight="1" x14ac:dyDescent="0.15">
      <c r="A52" s="139">
        <v>48703605</v>
      </c>
      <c r="B52" s="47">
        <v>0</v>
      </c>
      <c r="C52" s="47">
        <v>140</v>
      </c>
      <c r="D52" s="47">
        <v>100</v>
      </c>
      <c r="E52" s="47" t="s">
        <v>53</v>
      </c>
      <c r="F52" s="47" t="s">
        <v>53</v>
      </c>
      <c r="G52" s="47" t="s">
        <v>53</v>
      </c>
      <c r="H52" s="47">
        <v>4</v>
      </c>
      <c r="I52" s="47" t="s">
        <v>53</v>
      </c>
      <c r="J52" s="48">
        <f t="shared" si="4"/>
        <v>100</v>
      </c>
    </row>
    <row r="53" spans="1:10" ht="21" customHeight="1" x14ac:dyDescent="0.15">
      <c r="A53" s="139">
        <v>48703606</v>
      </c>
      <c r="B53" s="47">
        <v>0</v>
      </c>
      <c r="C53" s="47">
        <v>150</v>
      </c>
      <c r="D53" s="47">
        <v>100</v>
      </c>
      <c r="E53" s="47" t="s">
        <v>53</v>
      </c>
      <c r="F53" s="47" t="s">
        <v>53</v>
      </c>
      <c r="G53" s="47" t="s">
        <v>53</v>
      </c>
      <c r="H53" s="47">
        <v>5</v>
      </c>
      <c r="I53" s="47" t="s">
        <v>53</v>
      </c>
      <c r="J53" s="48">
        <f t="shared" si="4"/>
        <v>100</v>
      </c>
    </row>
    <row r="54" spans="1:10" ht="21" customHeight="1" x14ac:dyDescent="0.15">
      <c r="A54" s="139">
        <v>48703607</v>
      </c>
      <c r="B54" s="47">
        <v>0</v>
      </c>
      <c r="C54" s="47">
        <v>200</v>
      </c>
      <c r="D54" s="47">
        <v>100</v>
      </c>
      <c r="E54" s="47" t="s">
        <v>53</v>
      </c>
      <c r="F54" s="47" t="s">
        <v>53</v>
      </c>
      <c r="G54" s="47">
        <v>1</v>
      </c>
      <c r="H54" s="47">
        <v>6</v>
      </c>
      <c r="I54" s="47" t="s">
        <v>53</v>
      </c>
      <c r="J54" s="48">
        <f t="shared" si="4"/>
        <v>100</v>
      </c>
    </row>
    <row r="55" spans="1:10" ht="21" customHeight="1" x14ac:dyDescent="0.15">
      <c r="A55" s="139">
        <v>48703608</v>
      </c>
      <c r="B55" s="47">
        <v>0</v>
      </c>
      <c r="C55" s="47">
        <v>210</v>
      </c>
      <c r="D55" s="47">
        <v>100</v>
      </c>
      <c r="E55" s="47" t="s">
        <v>53</v>
      </c>
      <c r="F55" s="47" t="s">
        <v>53</v>
      </c>
      <c r="G55" s="47">
        <v>1</v>
      </c>
      <c r="H55" s="47">
        <v>7</v>
      </c>
      <c r="I55" s="47" t="s">
        <v>53</v>
      </c>
      <c r="J55" s="48">
        <f t="shared" si="4"/>
        <v>100</v>
      </c>
    </row>
    <row r="56" spans="1:10" ht="21" customHeight="1" x14ac:dyDescent="0.15">
      <c r="A56" s="139">
        <v>48703609</v>
      </c>
      <c r="B56" s="47">
        <v>0</v>
      </c>
      <c r="C56" s="47">
        <v>220</v>
      </c>
      <c r="D56" s="47">
        <v>100</v>
      </c>
      <c r="E56" s="47" t="s">
        <v>53</v>
      </c>
      <c r="F56" s="47" t="s">
        <v>53</v>
      </c>
      <c r="G56" s="47">
        <v>1</v>
      </c>
      <c r="H56" s="47">
        <v>8</v>
      </c>
      <c r="I56" s="47" t="s">
        <v>53</v>
      </c>
      <c r="J56" s="48">
        <f t="shared" si="4"/>
        <v>100</v>
      </c>
    </row>
    <row r="57" spans="1:10" ht="21" customHeight="1" x14ac:dyDescent="0.15">
      <c r="A57" s="135">
        <v>48703701</v>
      </c>
      <c r="B57" s="47">
        <v>1</v>
      </c>
      <c r="C57" s="47" t="s">
        <v>53</v>
      </c>
      <c r="D57" s="47">
        <v>100</v>
      </c>
      <c r="E57" s="47" t="s">
        <v>53</v>
      </c>
      <c r="F57" s="47" t="s">
        <v>53</v>
      </c>
      <c r="G57" s="47" t="s">
        <v>53</v>
      </c>
      <c r="H57" s="47" t="s">
        <v>53</v>
      </c>
      <c r="I57" s="47" t="s">
        <v>53</v>
      </c>
      <c r="J57" s="48">
        <f t="shared" si="4"/>
        <v>100</v>
      </c>
    </row>
    <row r="58" spans="1:10" ht="21" customHeight="1" x14ac:dyDescent="0.15">
      <c r="A58" s="135">
        <v>48703702</v>
      </c>
      <c r="B58" s="47">
        <v>0</v>
      </c>
      <c r="C58" s="47">
        <v>100</v>
      </c>
      <c r="D58" s="47">
        <v>100</v>
      </c>
      <c r="E58" s="47" t="s">
        <v>53</v>
      </c>
      <c r="F58" s="47" t="s">
        <v>53</v>
      </c>
      <c r="G58" s="47" t="s">
        <v>53</v>
      </c>
      <c r="H58" s="47">
        <v>1</v>
      </c>
      <c r="I58" s="47" t="s">
        <v>53</v>
      </c>
      <c r="J58" s="48">
        <f t="shared" si="4"/>
        <v>100</v>
      </c>
    </row>
    <row r="59" spans="1:10" ht="21" customHeight="1" x14ac:dyDescent="0.15">
      <c r="A59" s="135">
        <v>48703703</v>
      </c>
      <c r="B59" s="47">
        <v>0</v>
      </c>
      <c r="C59" s="47">
        <v>110</v>
      </c>
      <c r="D59" s="47">
        <v>100</v>
      </c>
      <c r="E59" s="47" t="s">
        <v>53</v>
      </c>
      <c r="F59" s="47" t="s">
        <v>53</v>
      </c>
      <c r="G59" s="47" t="s">
        <v>53</v>
      </c>
      <c r="H59" s="47">
        <v>2</v>
      </c>
      <c r="I59" s="47" t="s">
        <v>53</v>
      </c>
      <c r="J59" s="48">
        <f t="shared" si="4"/>
        <v>100</v>
      </c>
    </row>
    <row r="60" spans="1:10" ht="21" customHeight="1" x14ac:dyDescent="0.15">
      <c r="A60" s="135">
        <v>48703704</v>
      </c>
      <c r="B60" s="47">
        <v>0</v>
      </c>
      <c r="C60" s="47">
        <v>120</v>
      </c>
      <c r="D60" s="47">
        <v>100</v>
      </c>
      <c r="E60" s="47" t="s">
        <v>53</v>
      </c>
      <c r="F60" s="47" t="s">
        <v>53</v>
      </c>
      <c r="G60" s="47" t="s">
        <v>53</v>
      </c>
      <c r="H60" s="47">
        <v>3</v>
      </c>
      <c r="I60" s="47" t="s">
        <v>53</v>
      </c>
      <c r="J60" s="48">
        <f t="shared" ref="J60:J69" si="8">D60</f>
        <v>100</v>
      </c>
    </row>
    <row r="61" spans="1:10" ht="21" customHeight="1" x14ac:dyDescent="0.15">
      <c r="A61" s="135">
        <v>48703705</v>
      </c>
      <c r="B61" s="47">
        <v>0</v>
      </c>
      <c r="C61" s="47">
        <v>130</v>
      </c>
      <c r="D61" s="47">
        <v>100</v>
      </c>
      <c r="E61" s="47" t="s">
        <v>53</v>
      </c>
      <c r="F61" s="47" t="s">
        <v>53</v>
      </c>
      <c r="G61" s="47" t="s">
        <v>53</v>
      </c>
      <c r="H61" s="47">
        <v>4</v>
      </c>
      <c r="I61" s="47" t="s">
        <v>53</v>
      </c>
      <c r="J61" s="48">
        <f t="shared" si="8"/>
        <v>100</v>
      </c>
    </row>
    <row r="62" spans="1:10" ht="21" customHeight="1" x14ac:dyDescent="0.15">
      <c r="A62" s="135">
        <v>48703706</v>
      </c>
      <c r="B62" s="47">
        <v>0</v>
      </c>
      <c r="C62" s="47">
        <v>150</v>
      </c>
      <c r="D62" s="47">
        <v>100</v>
      </c>
      <c r="E62" s="47" t="s">
        <v>53</v>
      </c>
      <c r="F62" s="47" t="s">
        <v>53</v>
      </c>
      <c r="G62" s="47" t="s">
        <v>53</v>
      </c>
      <c r="H62" s="47">
        <v>5</v>
      </c>
      <c r="I62" s="47" t="s">
        <v>53</v>
      </c>
      <c r="J62" s="48">
        <f t="shared" ref="J62" si="9">D62</f>
        <v>100</v>
      </c>
    </row>
    <row r="63" spans="1:10" ht="21" customHeight="1" x14ac:dyDescent="0.15">
      <c r="A63" s="135">
        <v>48703707</v>
      </c>
      <c r="B63" s="47">
        <v>0</v>
      </c>
      <c r="C63" s="47">
        <v>160</v>
      </c>
      <c r="D63" s="47">
        <v>100</v>
      </c>
      <c r="E63" s="47" t="s">
        <v>53</v>
      </c>
      <c r="F63" s="47" t="s">
        <v>53</v>
      </c>
      <c r="G63" s="47" t="s">
        <v>53</v>
      </c>
      <c r="H63" s="47">
        <v>6</v>
      </c>
      <c r="I63" s="47" t="s">
        <v>53</v>
      </c>
      <c r="J63" s="48">
        <f t="shared" si="8"/>
        <v>100</v>
      </c>
    </row>
    <row r="64" spans="1:10" ht="21" customHeight="1" x14ac:dyDescent="0.15">
      <c r="A64" s="135">
        <v>48703708</v>
      </c>
      <c r="B64" s="47">
        <v>0</v>
      </c>
      <c r="C64" s="47">
        <v>190</v>
      </c>
      <c r="D64" s="47">
        <v>100</v>
      </c>
      <c r="E64" s="47" t="s">
        <v>53</v>
      </c>
      <c r="F64" s="47" t="s">
        <v>53</v>
      </c>
      <c r="G64" s="47" t="s">
        <v>53</v>
      </c>
      <c r="H64" s="47">
        <v>7</v>
      </c>
      <c r="I64" s="47" t="s">
        <v>53</v>
      </c>
      <c r="J64" s="48">
        <f t="shared" si="8"/>
        <v>100</v>
      </c>
    </row>
    <row r="65" spans="1:10" ht="21" customHeight="1" x14ac:dyDescent="0.15">
      <c r="A65" s="135">
        <v>48703709</v>
      </c>
      <c r="B65" s="47">
        <v>0</v>
      </c>
      <c r="C65" s="47">
        <v>100</v>
      </c>
      <c r="D65" s="47">
        <v>100</v>
      </c>
      <c r="E65" s="47" t="s">
        <v>53</v>
      </c>
      <c r="F65" s="47" t="s">
        <v>53</v>
      </c>
      <c r="G65" s="47">
        <v>0</v>
      </c>
      <c r="H65" s="47" t="s">
        <v>53</v>
      </c>
      <c r="I65" s="47">
        <v>0</v>
      </c>
      <c r="J65" s="48">
        <f t="shared" si="8"/>
        <v>100</v>
      </c>
    </row>
    <row r="66" spans="1:10" ht="21" customHeight="1" x14ac:dyDescent="0.15">
      <c r="A66" s="135">
        <v>48703710</v>
      </c>
      <c r="B66" s="47">
        <v>0</v>
      </c>
      <c r="C66" s="47">
        <v>110</v>
      </c>
      <c r="D66" s="47">
        <v>100</v>
      </c>
      <c r="E66" s="47" t="s">
        <v>53</v>
      </c>
      <c r="F66" s="47" t="s">
        <v>53</v>
      </c>
      <c r="G66" s="47">
        <v>0</v>
      </c>
      <c r="H66" s="47" t="s">
        <v>53</v>
      </c>
      <c r="I66" s="47">
        <v>9003</v>
      </c>
      <c r="J66" s="48">
        <f t="shared" si="8"/>
        <v>100</v>
      </c>
    </row>
    <row r="67" spans="1:10" ht="21" customHeight="1" x14ac:dyDescent="0.15">
      <c r="A67" s="135">
        <v>48703711</v>
      </c>
      <c r="B67" s="47">
        <v>0</v>
      </c>
      <c r="C67" s="47">
        <v>120</v>
      </c>
      <c r="D67" s="47">
        <v>100</v>
      </c>
      <c r="E67" s="47" t="s">
        <v>53</v>
      </c>
      <c r="F67" s="47" t="s">
        <v>53</v>
      </c>
      <c r="G67" s="47">
        <v>0</v>
      </c>
      <c r="H67" s="47" t="s">
        <v>53</v>
      </c>
      <c r="I67" s="47">
        <v>9004</v>
      </c>
      <c r="J67" s="48">
        <f t="shared" si="8"/>
        <v>100</v>
      </c>
    </row>
    <row r="68" spans="1:10" ht="21" customHeight="1" x14ac:dyDescent="0.15">
      <c r="A68" s="135">
        <v>48703712</v>
      </c>
      <c r="B68" s="47">
        <v>0</v>
      </c>
      <c r="C68" s="47">
        <v>130</v>
      </c>
      <c r="D68" s="47">
        <v>100</v>
      </c>
      <c r="E68" s="47" t="s">
        <v>53</v>
      </c>
      <c r="F68" s="47" t="s">
        <v>53</v>
      </c>
      <c r="G68" s="47">
        <v>0</v>
      </c>
      <c r="H68" s="47" t="s">
        <v>53</v>
      </c>
      <c r="I68" s="47">
        <v>9009</v>
      </c>
      <c r="J68" s="48">
        <f t="shared" si="8"/>
        <v>100</v>
      </c>
    </row>
    <row r="69" spans="1:10" ht="21" customHeight="1" x14ac:dyDescent="0.15">
      <c r="A69" s="135">
        <v>48703713</v>
      </c>
      <c r="B69" s="47">
        <v>0</v>
      </c>
      <c r="C69" s="47">
        <v>140</v>
      </c>
      <c r="D69" s="47">
        <v>100</v>
      </c>
      <c r="E69" s="47" t="s">
        <v>53</v>
      </c>
      <c r="F69" s="47" t="s">
        <v>53</v>
      </c>
      <c r="G69" s="47">
        <v>0</v>
      </c>
      <c r="H69" s="47" t="s">
        <v>53</v>
      </c>
      <c r="I69" s="47">
        <v>9010</v>
      </c>
      <c r="J69" s="48">
        <f t="shared" si="8"/>
        <v>100</v>
      </c>
    </row>
  </sheetData>
  <autoFilter ref="A1:G1"/>
  <phoneticPr fontId="5"/>
  <conditionalFormatting sqref="K70:K1048576 K1:K2">
    <cfRule type="duplicateValues" dxfId="67" priority="80"/>
  </conditionalFormatting>
  <conditionalFormatting sqref="K3">
    <cfRule type="duplicateValues" dxfId="66" priority="79"/>
  </conditionalFormatting>
  <conditionalFormatting sqref="K4">
    <cfRule type="duplicateValues" dxfId="65" priority="78"/>
  </conditionalFormatting>
  <conditionalFormatting sqref="K5">
    <cfRule type="duplicateValues" dxfId="64" priority="77"/>
  </conditionalFormatting>
  <conditionalFormatting sqref="K6">
    <cfRule type="duplicateValues" dxfId="63" priority="76"/>
  </conditionalFormatting>
  <conditionalFormatting sqref="K7">
    <cfRule type="duplicateValues" dxfId="62" priority="75"/>
  </conditionalFormatting>
  <conditionalFormatting sqref="K8">
    <cfRule type="duplicateValues" dxfId="61" priority="74"/>
  </conditionalFormatting>
  <conditionalFormatting sqref="K9">
    <cfRule type="duplicateValues" dxfId="60" priority="73"/>
  </conditionalFormatting>
  <conditionalFormatting sqref="K10">
    <cfRule type="duplicateValues" dxfId="59" priority="72"/>
  </conditionalFormatting>
  <conditionalFormatting sqref="K11">
    <cfRule type="duplicateValues" dxfId="58" priority="71"/>
  </conditionalFormatting>
  <conditionalFormatting sqref="K12">
    <cfRule type="duplicateValues" dxfId="57" priority="70"/>
  </conditionalFormatting>
  <conditionalFormatting sqref="K13">
    <cfRule type="duplicateValues" dxfId="56" priority="69"/>
  </conditionalFormatting>
  <conditionalFormatting sqref="K14">
    <cfRule type="duplicateValues" dxfId="55" priority="68"/>
  </conditionalFormatting>
  <conditionalFormatting sqref="K15">
    <cfRule type="duplicateValues" dxfId="54" priority="67"/>
  </conditionalFormatting>
  <conditionalFormatting sqref="K16">
    <cfRule type="duplicateValues" dxfId="53" priority="66"/>
  </conditionalFormatting>
  <conditionalFormatting sqref="K17">
    <cfRule type="duplicateValues" dxfId="52" priority="65"/>
  </conditionalFormatting>
  <conditionalFormatting sqref="K18">
    <cfRule type="duplicateValues" dxfId="51" priority="64"/>
  </conditionalFormatting>
  <conditionalFormatting sqref="K19">
    <cfRule type="duplicateValues" dxfId="50" priority="63"/>
  </conditionalFormatting>
  <conditionalFormatting sqref="K20">
    <cfRule type="duplicateValues" dxfId="49" priority="62"/>
  </conditionalFormatting>
  <conditionalFormatting sqref="K21">
    <cfRule type="duplicateValues" dxfId="48" priority="61"/>
  </conditionalFormatting>
  <conditionalFormatting sqref="K22">
    <cfRule type="duplicateValues" dxfId="47" priority="60"/>
  </conditionalFormatting>
  <conditionalFormatting sqref="K23">
    <cfRule type="duplicateValues" dxfId="46" priority="59"/>
  </conditionalFormatting>
  <conditionalFormatting sqref="K24">
    <cfRule type="duplicateValues" dxfId="45" priority="56"/>
  </conditionalFormatting>
  <conditionalFormatting sqref="K25">
    <cfRule type="duplicateValues" dxfId="44" priority="55"/>
  </conditionalFormatting>
  <conditionalFormatting sqref="K26">
    <cfRule type="duplicateValues" dxfId="43" priority="54"/>
  </conditionalFormatting>
  <conditionalFormatting sqref="K27">
    <cfRule type="duplicateValues" dxfId="42" priority="53"/>
  </conditionalFormatting>
  <conditionalFormatting sqref="K28">
    <cfRule type="duplicateValues" dxfId="41" priority="52"/>
  </conditionalFormatting>
  <conditionalFormatting sqref="K29">
    <cfRule type="duplicateValues" dxfId="40" priority="51"/>
  </conditionalFormatting>
  <conditionalFormatting sqref="K30">
    <cfRule type="duplicateValues" dxfId="39" priority="50"/>
  </conditionalFormatting>
  <conditionalFormatting sqref="K31">
    <cfRule type="duplicateValues" dxfId="38" priority="49"/>
  </conditionalFormatting>
  <conditionalFormatting sqref="K32">
    <cfRule type="duplicateValues" dxfId="37" priority="48"/>
  </conditionalFormatting>
  <conditionalFormatting sqref="K33">
    <cfRule type="duplicateValues" dxfId="36" priority="47"/>
  </conditionalFormatting>
  <conditionalFormatting sqref="K34">
    <cfRule type="duplicateValues" dxfId="35" priority="46"/>
  </conditionalFormatting>
  <conditionalFormatting sqref="K35">
    <cfRule type="duplicateValues" dxfId="34" priority="45"/>
  </conditionalFormatting>
  <conditionalFormatting sqref="K37">
    <cfRule type="duplicateValues" dxfId="33" priority="44"/>
  </conditionalFormatting>
  <conditionalFormatting sqref="K39">
    <cfRule type="duplicateValues" dxfId="32" priority="43"/>
  </conditionalFormatting>
  <conditionalFormatting sqref="K40">
    <cfRule type="duplicateValues" dxfId="31" priority="42"/>
  </conditionalFormatting>
  <conditionalFormatting sqref="K41">
    <cfRule type="duplicateValues" dxfId="30" priority="41"/>
  </conditionalFormatting>
  <conditionalFormatting sqref="K42">
    <cfRule type="duplicateValues" dxfId="29" priority="39"/>
  </conditionalFormatting>
  <conditionalFormatting sqref="K43">
    <cfRule type="duplicateValues" dxfId="28" priority="38"/>
  </conditionalFormatting>
  <conditionalFormatting sqref="K44">
    <cfRule type="duplicateValues" dxfId="27" priority="37"/>
  </conditionalFormatting>
  <conditionalFormatting sqref="K45">
    <cfRule type="duplicateValues" dxfId="26" priority="36"/>
  </conditionalFormatting>
  <conditionalFormatting sqref="K47">
    <cfRule type="duplicateValues" dxfId="25" priority="35"/>
  </conditionalFormatting>
  <conditionalFormatting sqref="K48">
    <cfRule type="duplicateValues" dxfId="24" priority="34"/>
  </conditionalFormatting>
  <conditionalFormatting sqref="K49">
    <cfRule type="duplicateValues" dxfId="23" priority="33"/>
  </conditionalFormatting>
  <conditionalFormatting sqref="K50">
    <cfRule type="duplicateValues" dxfId="22" priority="32"/>
  </conditionalFormatting>
  <conditionalFormatting sqref="K51">
    <cfRule type="duplicateValues" dxfId="21" priority="31"/>
  </conditionalFormatting>
  <conditionalFormatting sqref="K52">
    <cfRule type="duplicateValues" dxfId="20" priority="30"/>
  </conditionalFormatting>
  <conditionalFormatting sqref="K53">
    <cfRule type="duplicateValues" dxfId="19" priority="29"/>
  </conditionalFormatting>
  <conditionalFormatting sqref="K54">
    <cfRule type="duplicateValues" dxfId="18" priority="28"/>
  </conditionalFormatting>
  <conditionalFormatting sqref="K55">
    <cfRule type="duplicateValues" dxfId="17" priority="27"/>
  </conditionalFormatting>
  <conditionalFormatting sqref="K56">
    <cfRule type="duplicateValues" dxfId="16" priority="26"/>
  </conditionalFormatting>
  <conditionalFormatting sqref="K57">
    <cfRule type="duplicateValues" dxfId="15" priority="23"/>
  </conditionalFormatting>
  <conditionalFormatting sqref="K58">
    <cfRule type="duplicateValues" dxfId="14" priority="22"/>
  </conditionalFormatting>
  <conditionalFormatting sqref="K59">
    <cfRule type="duplicateValues" dxfId="13" priority="21"/>
  </conditionalFormatting>
  <conditionalFormatting sqref="K60">
    <cfRule type="duplicateValues" dxfId="12" priority="20"/>
  </conditionalFormatting>
  <conditionalFormatting sqref="K61">
    <cfRule type="duplicateValues" dxfId="11" priority="19"/>
  </conditionalFormatting>
  <conditionalFormatting sqref="K63">
    <cfRule type="duplicateValues" dxfId="10" priority="18"/>
  </conditionalFormatting>
  <conditionalFormatting sqref="K64">
    <cfRule type="duplicateValues" dxfId="9" priority="16"/>
  </conditionalFormatting>
  <conditionalFormatting sqref="K65">
    <cfRule type="duplicateValues" dxfId="8" priority="15"/>
  </conditionalFormatting>
  <conditionalFormatting sqref="K66">
    <cfRule type="duplicateValues" dxfId="7" priority="14"/>
  </conditionalFormatting>
  <conditionalFormatting sqref="K67">
    <cfRule type="duplicateValues" dxfId="6" priority="13"/>
  </conditionalFormatting>
  <conditionalFormatting sqref="K68">
    <cfRule type="duplicateValues" dxfId="5" priority="12"/>
  </conditionalFormatting>
  <conditionalFormatting sqref="K69">
    <cfRule type="duplicateValues" dxfId="4" priority="11"/>
  </conditionalFormatting>
  <conditionalFormatting sqref="K38">
    <cfRule type="duplicateValues" dxfId="3" priority="4"/>
  </conditionalFormatting>
  <conditionalFormatting sqref="K36">
    <cfRule type="duplicateValues" dxfId="2" priority="3"/>
  </conditionalFormatting>
  <conditionalFormatting sqref="K46">
    <cfRule type="duplicateValues" dxfId="1" priority="2"/>
  </conditionalFormatting>
  <conditionalFormatting sqref="K62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5"/>
  <sheetViews>
    <sheetView workbookViewId="0">
      <selection activeCell="J32" sqref="J32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5" t="s">
        <v>150</v>
      </c>
      <c r="B1" s="65" t="s">
        <v>151</v>
      </c>
      <c r="C1" s="66" t="s">
        <v>152</v>
      </c>
      <c r="D1" s="73" t="s">
        <v>153</v>
      </c>
      <c r="E1" s="67" t="s">
        <v>154</v>
      </c>
      <c r="F1" s="65" t="s">
        <v>155</v>
      </c>
      <c r="G1" s="65" t="s">
        <v>156</v>
      </c>
      <c r="H1" s="65" t="s">
        <v>157</v>
      </c>
      <c r="I1" s="65" t="s">
        <v>158</v>
      </c>
      <c r="J1" s="65" t="s">
        <v>159</v>
      </c>
      <c r="K1" s="65" t="s">
        <v>160</v>
      </c>
      <c r="L1" s="65" t="s">
        <v>161</v>
      </c>
      <c r="M1" s="65" t="s">
        <v>162</v>
      </c>
      <c r="N1" s="65" t="s">
        <v>163</v>
      </c>
      <c r="O1" s="65" t="s">
        <v>164</v>
      </c>
      <c r="P1" s="65" t="s">
        <v>165</v>
      </c>
      <c r="Q1" s="65" t="s">
        <v>166</v>
      </c>
      <c r="R1" s="65" t="s">
        <v>167</v>
      </c>
    </row>
    <row r="2" spans="1:18" x14ac:dyDescent="0.15">
      <c r="A2" s="57">
        <f>floors!C2</f>
        <v>48703</v>
      </c>
      <c r="B2" s="57">
        <v>1</v>
      </c>
      <c r="C2" s="72" t="str">
        <f>A2&amp; "_"&amp;B2</f>
        <v>48703_1</v>
      </c>
      <c r="D2" s="1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7">
        <v>1</v>
      </c>
      <c r="F2" s="57" t="s">
        <v>168</v>
      </c>
      <c r="G2" s="57">
        <v>1000</v>
      </c>
      <c r="H2" s="57" t="s">
        <v>169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100</v>
      </c>
      <c r="Q2" s="57" t="s">
        <v>170</v>
      </c>
      <c r="R2" s="57" t="s">
        <v>171</v>
      </c>
    </row>
    <row r="3" spans="1:18" x14ac:dyDescent="0.15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</row>
    <row r="4" spans="1:18" x14ac:dyDescent="0.15">
      <c r="A4" s="57"/>
      <c r="B4" s="57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  <c r="R4" s="57"/>
    </row>
    <row r="5" spans="1:18" x14ac:dyDescent="0.15">
      <c r="A5" s="57"/>
      <c r="B5" s="57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</row>
  </sheetData>
  <phoneticPr fontId="5"/>
  <dataValidations disablePrompts="1" count="1">
    <dataValidation type="list" allowBlank="1" showInputMessage="1" showErrorMessage="1" sqref="F2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34"/>
  <sheetViews>
    <sheetView showGridLines="0" workbookViewId="0">
      <pane ySplit="1" topLeftCell="A2" activePane="bottomLeft" state="frozen"/>
      <selection pane="bottomLeft" activeCell="H102" sqref="H102"/>
    </sheetView>
  </sheetViews>
  <sheetFormatPr baseColWidth="12" defaultColWidth="13" defaultRowHeight="15" outlineLevelCol="1" x14ac:dyDescent="0.15"/>
  <cols>
    <col min="1" max="1" width="13" style="90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7" t="s">
        <v>189</v>
      </c>
      <c r="B1" s="74" t="s">
        <v>190</v>
      </c>
      <c r="C1" s="78" t="s">
        <v>191</v>
      </c>
      <c r="D1" s="78" t="s">
        <v>33</v>
      </c>
      <c r="E1" s="74" t="s">
        <v>192</v>
      </c>
      <c r="F1" s="78" t="s">
        <v>193</v>
      </c>
      <c r="G1" s="78" t="s">
        <v>33</v>
      </c>
      <c r="H1" s="74" t="s">
        <v>194</v>
      </c>
      <c r="I1" s="93" t="s">
        <v>196</v>
      </c>
      <c r="J1" s="80" t="s">
        <v>126</v>
      </c>
      <c r="K1" s="79" t="s">
        <v>187</v>
      </c>
      <c r="L1" s="94" t="s">
        <v>186</v>
      </c>
      <c r="M1" s="81" t="s">
        <v>197</v>
      </c>
    </row>
    <row r="2" spans="1:13" x14ac:dyDescent="0.15">
      <c r="A2" s="82" t="s">
        <v>201</v>
      </c>
      <c r="B2" s="83">
        <f>floors!$C$2</f>
        <v>48703</v>
      </c>
      <c r="C2" s="84" t="str">
        <f ca="1">VLOOKUP($B2,OFFSET([2]quests!$A$1,0,0,COUNTA([2]quests!$A:$A),MATCH(C$1,[2]quests!$1:$1,0)-MATCH($B$1,[2]quests!$1:$1,0)+1),MATCH(C$1,[2]quests!$1:$1,0)-MATCH($B$1,[2]quests!$1:$1,0)+1,FALSE)</f>
        <v>紅蓮襲来！</v>
      </c>
      <c r="D2" s="84" t="str">
        <f ca="1">VLOOKUP($B2,OFFSET([2]quests!$A$1,0,0,COUNTA([2]quests!$A:$A),MATCH(D$1,[2]quests!$1:$1,0)-MATCH($B$1,[2]quests!$1:$1,0)+1),MATCH(D$1,[2]quests!$1:$1,0)-MATCH($B$1,[2]quests!$1:$1,0)+1,FALSE)</f>
        <v>韓国版降臨3</v>
      </c>
      <c r="E2" s="88" t="s">
        <v>214</v>
      </c>
      <c r="F2" s="84" t="e">
        <f ca="1">VLOOKUP($B2&amp;"_"&amp;$E2,OFFSET([2]stages!$A$1,0,0,COUNTA([2]stages!$A:$A),MATCH(F$1,[2]stages!$2:$2,0)-MATCH("temp_stage",[2]stages!$2:$2,0)+1),MATCH(F$1,[2]stages!$2:$2,0)-MATCH("temp_stage",[2]stages!$2:$2,0)+1,FALSE)</f>
        <v>#N/A</v>
      </c>
      <c r="G2" s="84" t="e">
        <f ca="1">VLOOKUP($B2&amp;"_"&amp;$E2,OFFSET([2]stages!$A$1,0,0,COUNTA([2]stages!$A:$A),MATCH(G$1,[2]stages!$2:$2,0)-MATCH("temp_stage",[2]stages!$2:$2,0)+1),MATCH(G$1,[2]stages!$2:$2,0)-MATCH("temp_stage",[2]stages!$2:$2,0)+1,FALSE)</f>
        <v>#N/A</v>
      </c>
      <c r="H2" s="86">
        <v>0</v>
      </c>
      <c r="I2">
        <v>1</v>
      </c>
      <c r="J2" s="85" t="s">
        <v>199</v>
      </c>
      <c r="K2" s="95" t="str">
        <f>VLOOKUP(I2,[7]stage_hints!$A:$C,3,FALSE)</f>
        <v>長くつなげて大ダメージ</v>
      </c>
      <c r="L2" s="96" t="str">
        <f>VLOOKUP(I2,[7]stage_hints!$A:$D,4,FALSE)</f>
        <v>パネルを長くつなげるほど_x000D_大ダメージを与えることができます</v>
      </c>
      <c r="M2" s="57" t="s">
        <v>211</v>
      </c>
    </row>
    <row r="3" spans="1:13" x14ac:dyDescent="0.15">
      <c r="A3" s="82" t="s">
        <v>201</v>
      </c>
      <c r="B3" s="83">
        <f>floors!$C$2</f>
        <v>48703</v>
      </c>
      <c r="C3" s="84" t="str">
        <f ca="1">VLOOKUP($B3,OFFSET([2]quests!$A$1,0,0,COUNTA([2]quests!$A:$A),MATCH(C$1,[2]quests!$1:$1,0)-MATCH($B$1,[2]quests!$1:$1,0)+1),MATCH(C$1,[2]quests!$1:$1,0)-MATCH($B$1,[2]quests!$1:$1,0)+1,FALSE)</f>
        <v>紅蓮襲来！</v>
      </c>
      <c r="D3" s="84" t="str">
        <f ca="1">VLOOKUP($B3,OFFSET([2]quests!$A$1,0,0,COUNTA([2]quests!$A:$A),MATCH(D$1,[2]quests!$1:$1,0)-MATCH($B$1,[2]quests!$1:$1,0)+1),MATCH(D$1,[2]quests!$1:$1,0)-MATCH($B$1,[2]quests!$1:$1,0)+1,FALSE)</f>
        <v>韓国版降臨3</v>
      </c>
      <c r="E3" s="88" t="s">
        <v>214</v>
      </c>
      <c r="F3" s="84" t="e">
        <f ca="1">VLOOKUP($B3&amp;"_"&amp;$E3,OFFSET([2]stages!$A$1,0,0,COUNTA([2]stages!$A:$A),MATCH(F$1,[2]stages!$2:$2,0)-MATCH("temp_stage",[2]stages!$2:$2,0)+1),MATCH(F$1,[2]stages!$2:$2,0)-MATCH("temp_stage",[2]stages!$2:$2,0)+1,FALSE)</f>
        <v>#N/A</v>
      </c>
      <c r="G3" s="84" t="e">
        <f ca="1">VLOOKUP($B3&amp;"_"&amp;$E3,OFFSET([2]stages!$A$1,0,0,COUNTA([2]stages!$A:$A),MATCH(G$1,[2]stages!$2:$2,0)-MATCH("temp_stage",[2]stages!$2:$2,0)+1),MATCH(G$1,[2]stages!$2:$2,0)-MATCH("temp_stage",[2]stages!$2:$2,0)+1,FALSE)</f>
        <v>#N/A</v>
      </c>
      <c r="H3" s="86">
        <v>0</v>
      </c>
      <c r="I3">
        <v>2</v>
      </c>
      <c r="J3" s="85" t="s">
        <v>199</v>
      </c>
      <c r="K3" s="95" t="str">
        <f>VLOOKUP(I3,[7]stage_hints!$A:$C,3,FALSE)</f>
        <v>属性の相性</v>
      </c>
      <c r="L3" s="96" t="str">
        <f>VLOOKUP(I3,[7]stage_hints!$A:$D,4,FALSE)</f>
        <v>赤＞青　青＞黄　黄＞緑　緑＞赤_x000D_敵属性に最適なパーティがオススメです</v>
      </c>
      <c r="M3" s="57" t="s">
        <v>211</v>
      </c>
    </row>
    <row r="4" spans="1:13" x14ac:dyDescent="0.15">
      <c r="A4" s="82" t="s">
        <v>201</v>
      </c>
      <c r="B4" s="83">
        <f>floors!$C$2</f>
        <v>48703</v>
      </c>
      <c r="C4" s="84" t="str">
        <f ca="1">VLOOKUP($B4,OFFSET([2]quests!$A$1,0,0,COUNTA([2]quests!$A:$A),MATCH(C$1,[2]quests!$1:$1,0)-MATCH($B$1,[2]quests!$1:$1,0)+1),MATCH(C$1,[2]quests!$1:$1,0)-MATCH($B$1,[2]quests!$1:$1,0)+1,FALSE)</f>
        <v>紅蓮襲来！</v>
      </c>
      <c r="D4" s="84" t="str">
        <f ca="1">VLOOKUP($B4,OFFSET([2]quests!$A$1,0,0,COUNTA([2]quests!$A:$A),MATCH(D$1,[2]quests!$1:$1,0)-MATCH($B$1,[2]quests!$1:$1,0)+1),MATCH(D$1,[2]quests!$1:$1,0)-MATCH($B$1,[2]quests!$1:$1,0)+1,FALSE)</f>
        <v>韓国版降臨3</v>
      </c>
      <c r="E4" s="88" t="s">
        <v>214</v>
      </c>
      <c r="F4" s="84" t="e">
        <f ca="1">VLOOKUP($B4&amp;"_"&amp;$E4,OFFSET([2]stages!$A$1,0,0,COUNTA([2]stages!$A:$A),MATCH(F$1,[2]stages!$2:$2,0)-MATCH("temp_stage",[2]stages!$2:$2,0)+1),MATCH(F$1,[2]stages!$2:$2,0)-MATCH("temp_stage",[2]stages!$2:$2,0)+1,FALSE)</f>
        <v>#N/A</v>
      </c>
      <c r="G4" s="84" t="e">
        <f ca="1">VLOOKUP($B4&amp;"_"&amp;$E4,OFFSET([2]stages!$A$1,0,0,COUNTA([2]stages!$A:$A),MATCH(G$1,[2]stages!$2:$2,0)-MATCH("temp_stage",[2]stages!$2:$2,0)+1),MATCH(G$1,[2]stages!$2:$2,0)-MATCH("temp_stage",[2]stages!$2:$2,0)+1,FALSE)</f>
        <v>#N/A</v>
      </c>
      <c r="H4" s="86">
        <v>0</v>
      </c>
      <c r="I4">
        <v>3</v>
      </c>
      <c r="J4" s="85" t="s">
        <v>199</v>
      </c>
      <c r="K4" s="95" t="str">
        <f>VLOOKUP(I4,[7]stage_hints!$A:$C,3,FALSE)</f>
        <v>ターゲット</v>
      </c>
      <c r="L4" s="96" t="str">
        <f>VLOOKUP(I4,[7]stage_hints!$A:$D,4,FALSE)</f>
        <v>敵ユニットをタップすると_x000D_その敵を狙い撃ちできます</v>
      </c>
      <c r="M4" s="57" t="s">
        <v>211</v>
      </c>
    </row>
    <row r="5" spans="1:13" x14ac:dyDescent="0.15">
      <c r="A5" s="82" t="s">
        <v>201</v>
      </c>
      <c r="B5" s="83">
        <f>floors!$C$2</f>
        <v>48703</v>
      </c>
      <c r="C5" s="84" t="str">
        <f ca="1">VLOOKUP($B5,OFFSET([2]quests!$A$1,0,0,COUNTA([2]quests!$A:$A),MATCH(C$1,[2]quests!$1:$1,0)-MATCH($B$1,[2]quests!$1:$1,0)+1),MATCH(C$1,[2]quests!$1:$1,0)-MATCH($B$1,[2]quests!$1:$1,0)+1,FALSE)</f>
        <v>紅蓮襲来！</v>
      </c>
      <c r="D5" s="84" t="str">
        <f ca="1">VLOOKUP($B5,OFFSET([2]quests!$A$1,0,0,COUNTA([2]quests!$A:$A),MATCH(D$1,[2]quests!$1:$1,0)-MATCH($B$1,[2]quests!$1:$1,0)+1),MATCH(D$1,[2]quests!$1:$1,0)-MATCH($B$1,[2]quests!$1:$1,0)+1,FALSE)</f>
        <v>韓国版降臨3</v>
      </c>
      <c r="E5" s="88" t="s">
        <v>214</v>
      </c>
      <c r="F5" s="84" t="e">
        <f ca="1">VLOOKUP($B5&amp;"_"&amp;$E5,OFFSET([2]stages!$A$1,0,0,COUNTA([2]stages!$A:$A),MATCH(F$1,[2]stages!$2:$2,0)-MATCH("temp_stage",[2]stages!$2:$2,0)+1),MATCH(F$1,[2]stages!$2:$2,0)-MATCH("temp_stage",[2]stages!$2:$2,0)+1,FALSE)</f>
        <v>#N/A</v>
      </c>
      <c r="G5" s="84" t="e">
        <f ca="1">VLOOKUP($B5&amp;"_"&amp;$E5,OFFSET([2]stages!$A$1,0,0,COUNTA([2]stages!$A:$A),MATCH(G$1,[2]stages!$2:$2,0)-MATCH("temp_stage",[2]stages!$2:$2,0)+1),MATCH(G$1,[2]stages!$2:$2,0)-MATCH("temp_stage",[2]stages!$2:$2,0)+1,FALSE)</f>
        <v>#N/A</v>
      </c>
      <c r="H5" s="86">
        <v>0</v>
      </c>
      <c r="I5">
        <v>5</v>
      </c>
      <c r="J5" s="85" t="s">
        <v>199</v>
      </c>
      <c r="K5" s="95" t="str">
        <f>VLOOKUP(I5,[7]stage_hints!$A:$C,3,FALSE)</f>
        <v>ユニット強化でレベルアップ</v>
      </c>
      <c r="L5" s="96" t="str">
        <f>VLOOKUP(I5,[7]stage_hints!$A:$D,4,FALSE)</f>
        <v>「ユニット強化」でレベルアップすると_x000D_勝てない敵にも勝てるようになります</v>
      </c>
      <c r="M5" s="57" t="s">
        <v>211</v>
      </c>
    </row>
    <row r="6" spans="1:13" x14ac:dyDescent="0.15">
      <c r="A6" s="82" t="s">
        <v>201</v>
      </c>
      <c r="B6" s="83">
        <f>floors!$C$2</f>
        <v>48703</v>
      </c>
      <c r="C6" s="84" t="str">
        <f ca="1">VLOOKUP($B6,OFFSET([2]quests!$A$1,0,0,COUNTA([2]quests!$A:$A),MATCH(C$1,[2]quests!$1:$1,0)-MATCH($B$1,[2]quests!$1:$1,0)+1),MATCH(C$1,[2]quests!$1:$1,0)-MATCH($B$1,[2]quests!$1:$1,0)+1,FALSE)</f>
        <v>紅蓮襲来！</v>
      </c>
      <c r="D6" s="84" t="str">
        <f ca="1">VLOOKUP($B6,OFFSET([2]quests!$A$1,0,0,COUNTA([2]quests!$A:$A),MATCH(D$1,[2]quests!$1:$1,0)-MATCH($B$1,[2]quests!$1:$1,0)+1),MATCH(D$1,[2]quests!$1:$1,0)-MATCH($B$1,[2]quests!$1:$1,0)+1,FALSE)</f>
        <v>韓国版降臨3</v>
      </c>
      <c r="E6" s="88" t="s">
        <v>214</v>
      </c>
      <c r="F6" s="84" t="e">
        <f ca="1">VLOOKUP($B6&amp;"_"&amp;$E6,OFFSET([2]stages!$A$1,0,0,COUNTA([2]stages!$A:$A),MATCH(F$1,[2]stages!$2:$2,0)-MATCH("temp_stage",[2]stages!$2:$2,0)+1),MATCH(F$1,[2]stages!$2:$2,0)-MATCH("temp_stage",[2]stages!$2:$2,0)+1,FALSE)</f>
        <v>#N/A</v>
      </c>
      <c r="G6" s="84" t="e">
        <f ca="1">VLOOKUP($B6&amp;"_"&amp;$E6,OFFSET([2]stages!$A$1,0,0,COUNTA([2]stages!$A:$A),MATCH(G$1,[2]stages!$2:$2,0)-MATCH("temp_stage",[2]stages!$2:$2,0)+1),MATCH(G$1,[2]stages!$2:$2,0)-MATCH("temp_stage",[2]stages!$2:$2,0)+1,FALSE)</f>
        <v>#N/A</v>
      </c>
      <c r="H6" s="86">
        <v>0</v>
      </c>
      <c r="I6">
        <v>6</v>
      </c>
      <c r="J6" s="85" t="s">
        <v>199</v>
      </c>
      <c r="K6" s="95" t="str">
        <f>VLOOKUP(I6,[7]stage_hints!$A:$C,3,FALSE)</f>
        <v>ユニット強化の属性ボーナス</v>
      </c>
      <c r="L6" s="96" t="str">
        <f>VLOOKUP(I6,[7]stage_hints!$A:$D,4,FALSE)</f>
        <v>同属性ユニットを強化素材にすると_x000D_経験値が多くもらえます</v>
      </c>
      <c r="M6" s="57" t="s">
        <v>211</v>
      </c>
    </row>
    <row r="7" spans="1:13" x14ac:dyDescent="0.15">
      <c r="A7" s="82" t="s">
        <v>201</v>
      </c>
      <c r="B7" s="83">
        <f>floors!$C$2</f>
        <v>48703</v>
      </c>
      <c r="C7" s="84" t="str">
        <f ca="1">VLOOKUP($B7,OFFSET([2]quests!$A$1,0,0,COUNTA([2]quests!$A:$A),MATCH(C$1,[2]quests!$1:$1,0)-MATCH($B$1,[2]quests!$1:$1,0)+1),MATCH(C$1,[2]quests!$1:$1,0)-MATCH($B$1,[2]quests!$1:$1,0)+1,FALSE)</f>
        <v>紅蓮襲来！</v>
      </c>
      <c r="D7" s="84" t="str">
        <f ca="1">VLOOKUP($B7,OFFSET([2]quests!$A$1,0,0,COUNTA([2]quests!$A:$A),MATCH(D$1,[2]quests!$1:$1,0)-MATCH($B$1,[2]quests!$1:$1,0)+1),MATCH(D$1,[2]quests!$1:$1,0)-MATCH($B$1,[2]quests!$1:$1,0)+1,FALSE)</f>
        <v>韓国版降臨3</v>
      </c>
      <c r="E7" s="88" t="s">
        <v>214</v>
      </c>
      <c r="F7" s="84" t="e">
        <f ca="1">VLOOKUP($B7&amp;"_"&amp;$E7,OFFSET([2]stages!$A$1,0,0,COUNTA([2]stages!$A:$A),MATCH(F$1,[2]stages!$2:$2,0)-MATCH("temp_stage",[2]stages!$2:$2,0)+1),MATCH(F$1,[2]stages!$2:$2,0)-MATCH("temp_stage",[2]stages!$2:$2,0)+1,FALSE)</f>
        <v>#N/A</v>
      </c>
      <c r="G7" s="84" t="e">
        <f ca="1">VLOOKUP($B7&amp;"_"&amp;$E7,OFFSET([2]stages!$A$1,0,0,COUNTA([2]stages!$A:$A),MATCH(G$1,[2]stages!$2:$2,0)-MATCH("temp_stage",[2]stages!$2:$2,0)+1),MATCH(G$1,[2]stages!$2:$2,0)-MATCH("temp_stage",[2]stages!$2:$2,0)+1,FALSE)</f>
        <v>#N/A</v>
      </c>
      <c r="H7" s="86">
        <v>0</v>
      </c>
      <c r="I7">
        <v>7</v>
      </c>
      <c r="J7" s="85" t="s">
        <v>199</v>
      </c>
      <c r="K7" s="95" t="str">
        <f>VLOOKUP(I7,[7]stage_hints!$A:$C,3,FALSE)</f>
        <v>メタルダックで経験値を獲得</v>
      </c>
      <c r="L7" s="96" t="str">
        <f>VLOOKUP(I7,[7]stage_hints!$A:$D,4,FALSE)</f>
        <v>「メタルなアヒル」を強化素材にすると_x000D_大量の経験値がもらえます</v>
      </c>
      <c r="M7" s="57" t="s">
        <v>211</v>
      </c>
    </row>
    <row r="8" spans="1:13" x14ac:dyDescent="0.15">
      <c r="A8" s="82" t="s">
        <v>201</v>
      </c>
      <c r="B8" s="83">
        <f>floors!$C$2</f>
        <v>48703</v>
      </c>
      <c r="C8" s="84" t="str">
        <f ca="1">VLOOKUP($B8,OFFSET([2]quests!$A$1,0,0,COUNTA([2]quests!$A:$A),MATCH(C$1,[2]quests!$1:$1,0)-MATCH($B$1,[2]quests!$1:$1,0)+1),MATCH(C$1,[2]quests!$1:$1,0)-MATCH($B$1,[2]quests!$1:$1,0)+1,FALSE)</f>
        <v>紅蓮襲来！</v>
      </c>
      <c r="D8" s="84" t="str">
        <f ca="1">VLOOKUP($B8,OFFSET([2]quests!$A$1,0,0,COUNTA([2]quests!$A:$A),MATCH(D$1,[2]quests!$1:$1,0)-MATCH($B$1,[2]quests!$1:$1,0)+1),MATCH(D$1,[2]quests!$1:$1,0)-MATCH($B$1,[2]quests!$1:$1,0)+1,FALSE)</f>
        <v>韓国版降臨3</v>
      </c>
      <c r="E8" s="88" t="s">
        <v>214</v>
      </c>
      <c r="F8" s="84" t="e">
        <f ca="1">VLOOKUP($B8&amp;"_"&amp;$E8,OFFSET([2]stages!$A$1,0,0,COUNTA([2]stages!$A:$A),MATCH(F$1,[2]stages!$2:$2,0)-MATCH("temp_stage",[2]stages!$2:$2,0)+1),MATCH(F$1,[2]stages!$2:$2,0)-MATCH("temp_stage",[2]stages!$2:$2,0)+1,FALSE)</f>
        <v>#N/A</v>
      </c>
      <c r="G8" s="84" t="e">
        <f ca="1">VLOOKUP($B8&amp;"_"&amp;$E8,OFFSET([2]stages!$A$1,0,0,COUNTA([2]stages!$A:$A),MATCH(G$1,[2]stages!$2:$2,0)-MATCH("temp_stage",[2]stages!$2:$2,0)+1),MATCH(G$1,[2]stages!$2:$2,0)-MATCH("temp_stage",[2]stages!$2:$2,0)+1,FALSE)</f>
        <v>#N/A</v>
      </c>
      <c r="H8" s="86">
        <v>0</v>
      </c>
      <c r="I8">
        <v>8</v>
      </c>
      <c r="J8" s="85" t="s">
        <v>199</v>
      </c>
      <c r="K8" s="95" t="str">
        <f>VLOOKUP(I8,[7]stage_hints!$A:$C,3,FALSE)</f>
        <v>ゲリラクエストは要チェック</v>
      </c>
      <c r="L8" s="96" t="str">
        <f>VLOOKUP(I8,[7]stage_hints!$A:$D,4,FALSE)</f>
        <v>時間限定の「アヒル捕獲作戦」では_x000D_経験値素材ユニットが多く手に入ります</v>
      </c>
      <c r="M8" s="57" t="s">
        <v>211</v>
      </c>
    </row>
    <row r="9" spans="1:13" x14ac:dyDescent="0.15">
      <c r="A9" s="82" t="s">
        <v>201</v>
      </c>
      <c r="B9" s="83">
        <f>floors!$C$2</f>
        <v>48703</v>
      </c>
      <c r="C9" s="84" t="str">
        <f ca="1">VLOOKUP($B9,OFFSET([2]quests!$A$1,0,0,COUNTA([2]quests!$A:$A),MATCH(C$1,[2]quests!$1:$1,0)-MATCH($B$1,[2]quests!$1:$1,0)+1),MATCH(C$1,[2]quests!$1:$1,0)-MATCH($B$1,[2]quests!$1:$1,0)+1,FALSE)</f>
        <v>紅蓮襲来！</v>
      </c>
      <c r="D9" s="84" t="str">
        <f ca="1">VLOOKUP($B9,OFFSET([2]quests!$A$1,0,0,COUNTA([2]quests!$A:$A),MATCH(D$1,[2]quests!$1:$1,0)-MATCH($B$1,[2]quests!$1:$1,0)+1),MATCH(D$1,[2]quests!$1:$1,0)-MATCH($B$1,[2]quests!$1:$1,0)+1,FALSE)</f>
        <v>韓国版降臨3</v>
      </c>
      <c r="E9" s="88" t="s">
        <v>214</v>
      </c>
      <c r="F9" s="84" t="e">
        <f ca="1">VLOOKUP($B9&amp;"_"&amp;$E9,OFFSET([2]stages!$A$1,0,0,COUNTA([2]stages!$A:$A),MATCH(F$1,[2]stages!$2:$2,0)-MATCH("temp_stage",[2]stages!$2:$2,0)+1),MATCH(F$1,[2]stages!$2:$2,0)-MATCH("temp_stage",[2]stages!$2:$2,0)+1,FALSE)</f>
        <v>#N/A</v>
      </c>
      <c r="G9" s="84" t="e">
        <f ca="1">VLOOKUP($B9&amp;"_"&amp;$E9,OFFSET([2]stages!$A$1,0,0,COUNTA([2]stages!$A:$A),MATCH(G$1,[2]stages!$2:$2,0)-MATCH("temp_stage",[2]stages!$2:$2,0)+1),MATCH(G$1,[2]stages!$2:$2,0)-MATCH("temp_stage",[2]stages!$2:$2,0)+1,FALSE)</f>
        <v>#N/A</v>
      </c>
      <c r="H9" s="86">
        <v>0</v>
      </c>
      <c r="I9">
        <v>9</v>
      </c>
      <c r="J9" s="85" t="s">
        <v>199</v>
      </c>
      <c r="K9" s="95" t="str">
        <f>VLOOKUP(I9,[7]stage_hints!$A:$C,3,FALSE)</f>
        <v>ゴールドダックでビットを獲得</v>
      </c>
      <c r="L9" s="96" t="str">
        <f>VLOOKUP(I9,[7]stage_hints!$A:$D,4,FALSE)</f>
        <v>「ゴールドなアヒル」を売却すると_x000D_大量のビットがもらえます</v>
      </c>
      <c r="M9" s="57" t="s">
        <v>211</v>
      </c>
    </row>
    <row r="10" spans="1:13" x14ac:dyDescent="0.15">
      <c r="A10" s="82" t="s">
        <v>201</v>
      </c>
      <c r="B10" s="83">
        <f>floors!$C$2</f>
        <v>48703</v>
      </c>
      <c r="C10" s="84" t="str">
        <f ca="1">VLOOKUP($B10,OFFSET([2]quests!$A$1,0,0,COUNTA([2]quests!$A:$A),MATCH(C$1,[2]quests!$1:$1,0)-MATCH($B$1,[2]quests!$1:$1,0)+1),MATCH(C$1,[2]quests!$1:$1,0)-MATCH($B$1,[2]quests!$1:$1,0)+1,FALSE)</f>
        <v>紅蓮襲来！</v>
      </c>
      <c r="D10" s="84" t="str">
        <f ca="1">VLOOKUP($B10,OFFSET([2]quests!$A$1,0,0,COUNTA([2]quests!$A:$A),MATCH(D$1,[2]quests!$1:$1,0)-MATCH($B$1,[2]quests!$1:$1,0)+1),MATCH(D$1,[2]quests!$1:$1,0)-MATCH($B$1,[2]quests!$1:$1,0)+1,FALSE)</f>
        <v>韓国版降臨3</v>
      </c>
      <c r="E10" s="88" t="s">
        <v>214</v>
      </c>
      <c r="F10" s="84" t="e">
        <f ca="1">VLOOKUP($B10&amp;"_"&amp;$E10,OFFSET([2]stages!$A$1,0,0,COUNTA([2]stages!$A:$A),MATCH(F$1,[2]stages!$2:$2,0)-MATCH("temp_stage",[2]stages!$2:$2,0)+1),MATCH(F$1,[2]stages!$2:$2,0)-MATCH("temp_stage",[2]stages!$2:$2,0)+1,FALSE)</f>
        <v>#N/A</v>
      </c>
      <c r="G10" s="84" t="e">
        <f ca="1">VLOOKUP($B10&amp;"_"&amp;$E10,OFFSET([2]stages!$A$1,0,0,COUNTA([2]stages!$A:$A),MATCH(G$1,[2]stages!$2:$2,0)-MATCH("temp_stage",[2]stages!$2:$2,0)+1),MATCH(G$1,[2]stages!$2:$2,0)-MATCH("temp_stage",[2]stages!$2:$2,0)+1,FALSE)</f>
        <v>#N/A</v>
      </c>
      <c r="H10" s="86">
        <v>0</v>
      </c>
      <c r="I10">
        <v>10</v>
      </c>
      <c r="J10" s="85" t="s">
        <v>199</v>
      </c>
      <c r="K10" s="95" t="str">
        <f>VLOOKUP(I10,[7]stage_hints!$A:$C,3,FALSE)</f>
        <v>土日に大量のビットを獲得</v>
      </c>
      <c r="L10" s="96" t="str">
        <f>VLOOKUP(I10,[7]stage_hints!$A:$D,4,FALSE)</f>
        <v>土日限定の「ゴールドカジノ」では_x000D_売却素材ユニットが多く手に入ります</v>
      </c>
      <c r="M10" s="57" t="s">
        <v>211</v>
      </c>
    </row>
    <row r="11" spans="1:13" x14ac:dyDescent="0.15">
      <c r="A11" s="82" t="s">
        <v>201</v>
      </c>
      <c r="B11" s="83">
        <f>floors!$C$2</f>
        <v>48703</v>
      </c>
      <c r="C11" s="84" t="str">
        <f ca="1">VLOOKUP($B11,OFFSET([2]quests!$A$1,0,0,COUNTA([2]quests!$A:$A),MATCH(C$1,[2]quests!$1:$1,0)-MATCH($B$1,[2]quests!$1:$1,0)+1),MATCH(C$1,[2]quests!$1:$1,0)-MATCH($B$1,[2]quests!$1:$1,0)+1,FALSE)</f>
        <v>紅蓮襲来！</v>
      </c>
      <c r="D11" s="84" t="str">
        <f ca="1">VLOOKUP($B11,OFFSET([2]quests!$A$1,0,0,COUNTA([2]quests!$A:$A),MATCH(D$1,[2]quests!$1:$1,0)-MATCH($B$1,[2]quests!$1:$1,0)+1),MATCH(D$1,[2]quests!$1:$1,0)-MATCH($B$1,[2]quests!$1:$1,0)+1,FALSE)</f>
        <v>韓国版降臨3</v>
      </c>
      <c r="E11" s="88" t="s">
        <v>214</v>
      </c>
      <c r="F11" s="84" t="e">
        <f ca="1">VLOOKUP($B11&amp;"_"&amp;$E11,OFFSET([2]stages!$A$1,0,0,COUNTA([2]stages!$A:$A),MATCH(F$1,[2]stages!$2:$2,0)-MATCH("temp_stage",[2]stages!$2:$2,0)+1),MATCH(F$1,[2]stages!$2:$2,0)-MATCH("temp_stage",[2]stages!$2:$2,0)+1,FALSE)</f>
        <v>#N/A</v>
      </c>
      <c r="G11" s="84" t="e">
        <f ca="1">VLOOKUP($B11&amp;"_"&amp;$E11,OFFSET([2]stages!$A$1,0,0,COUNTA([2]stages!$A:$A),MATCH(G$1,[2]stages!$2:$2,0)-MATCH("temp_stage",[2]stages!$2:$2,0)+1),MATCH(G$1,[2]stages!$2:$2,0)-MATCH("temp_stage",[2]stages!$2:$2,0)+1,FALSE)</f>
        <v>#N/A</v>
      </c>
      <c r="H11" s="86">
        <v>0</v>
      </c>
      <c r="I11">
        <v>11</v>
      </c>
      <c r="J11" s="85" t="s">
        <v>199</v>
      </c>
      <c r="K11" s="95" t="str">
        <f>VLOOKUP(I11,[7]stage_hints!$A:$C,3,FALSE)</f>
        <v>ゲリラクエストは要チェック</v>
      </c>
      <c r="L11" s="96" t="str">
        <f>VLOOKUP(I11,[7]stage_hints!$A:$D,4,FALSE)</f>
        <v>時間限定の「アヒル捕獲作戦」では_x000D_経験値素材ユニットが多く手に入ります</v>
      </c>
      <c r="M11" s="57" t="s">
        <v>211</v>
      </c>
    </row>
    <row r="12" spans="1:13" x14ac:dyDescent="0.15">
      <c r="A12" s="82" t="s">
        <v>201</v>
      </c>
      <c r="B12" s="83">
        <f>floors!$C$2</f>
        <v>48703</v>
      </c>
      <c r="C12" s="84" t="str">
        <f ca="1">VLOOKUP($B12,OFFSET([2]quests!$A$1,0,0,COUNTA([2]quests!$A:$A),MATCH(C$1,[2]quests!$1:$1,0)-MATCH($B$1,[2]quests!$1:$1,0)+1),MATCH(C$1,[2]quests!$1:$1,0)-MATCH($B$1,[2]quests!$1:$1,0)+1,FALSE)</f>
        <v>紅蓮襲来！</v>
      </c>
      <c r="D12" s="84" t="str">
        <f ca="1">VLOOKUP($B12,OFFSET([2]quests!$A$1,0,0,COUNTA([2]quests!$A:$A),MATCH(D$1,[2]quests!$1:$1,0)-MATCH($B$1,[2]quests!$1:$1,0)+1),MATCH(D$1,[2]quests!$1:$1,0)-MATCH($B$1,[2]quests!$1:$1,0)+1,FALSE)</f>
        <v>韓国版降臨3</v>
      </c>
      <c r="E12" s="88" t="s">
        <v>214</v>
      </c>
      <c r="F12" s="84" t="e">
        <f ca="1">VLOOKUP($B12&amp;"_"&amp;$E12,OFFSET([2]stages!$A$1,0,0,COUNTA([2]stages!$A:$A),MATCH(F$1,[2]stages!$2:$2,0)-MATCH("temp_stage",[2]stages!$2:$2,0)+1),MATCH(F$1,[2]stages!$2:$2,0)-MATCH("temp_stage",[2]stages!$2:$2,0)+1,FALSE)</f>
        <v>#N/A</v>
      </c>
      <c r="G12" s="84" t="e">
        <f ca="1">VLOOKUP($B12&amp;"_"&amp;$E12,OFFSET([2]stages!$A$1,0,0,COUNTA([2]stages!$A:$A),MATCH(G$1,[2]stages!$2:$2,0)-MATCH("temp_stage",[2]stages!$2:$2,0)+1),MATCH(G$1,[2]stages!$2:$2,0)-MATCH("temp_stage",[2]stages!$2:$2,0)+1,FALSE)</f>
        <v>#N/A</v>
      </c>
      <c r="H12" s="86">
        <v>0</v>
      </c>
      <c r="I12">
        <v>12</v>
      </c>
      <c r="J12" s="85" t="s">
        <v>199</v>
      </c>
      <c r="K12" s="95" t="str">
        <f>VLOOKUP(I12,[7]stage_hints!$A:$C,3,FALSE)</f>
        <v>ユニットのお気に入り登録</v>
      </c>
      <c r="L12" s="96" t="str">
        <f>VLOOKUP(I12,[7]stage_hints!$A:$D,4,FALSE)</f>
        <v>大事なユニットを誤って消さないように_x000D_フォルダから「お気に入り登録」しましょう</v>
      </c>
      <c r="M12" s="57" t="s">
        <v>211</v>
      </c>
    </row>
    <row r="13" spans="1:13" x14ac:dyDescent="0.15">
      <c r="A13" s="82" t="s">
        <v>201</v>
      </c>
      <c r="B13" s="83">
        <f>floors!$C$2</f>
        <v>48703</v>
      </c>
      <c r="C13" s="84" t="str">
        <f ca="1">VLOOKUP($B13,OFFSET([2]quests!$A$1,0,0,COUNTA([2]quests!$A:$A),MATCH(C$1,[2]quests!$1:$1,0)-MATCH($B$1,[2]quests!$1:$1,0)+1),MATCH(C$1,[2]quests!$1:$1,0)-MATCH($B$1,[2]quests!$1:$1,0)+1,FALSE)</f>
        <v>紅蓮襲来！</v>
      </c>
      <c r="D13" s="84" t="str">
        <f ca="1">VLOOKUP($B13,OFFSET([2]quests!$A$1,0,0,COUNTA([2]quests!$A:$A),MATCH(D$1,[2]quests!$1:$1,0)-MATCH($B$1,[2]quests!$1:$1,0)+1),MATCH(D$1,[2]quests!$1:$1,0)-MATCH($B$1,[2]quests!$1:$1,0)+1,FALSE)</f>
        <v>韓国版降臨3</v>
      </c>
      <c r="E13" s="88" t="s">
        <v>214</v>
      </c>
      <c r="F13" s="84" t="e">
        <f ca="1">VLOOKUP($B13&amp;"_"&amp;$E13,OFFSET([2]stages!$A$1,0,0,COUNTA([2]stages!$A:$A),MATCH(F$1,[2]stages!$2:$2,0)-MATCH("temp_stage",[2]stages!$2:$2,0)+1),MATCH(F$1,[2]stages!$2:$2,0)-MATCH("temp_stage",[2]stages!$2:$2,0)+1,FALSE)</f>
        <v>#N/A</v>
      </c>
      <c r="G13" s="84" t="e">
        <f ca="1">VLOOKUP($B13&amp;"_"&amp;$E13,OFFSET([2]stages!$A$1,0,0,COUNTA([2]stages!$A:$A),MATCH(G$1,[2]stages!$2:$2,0)-MATCH("temp_stage",[2]stages!$2:$2,0)+1),MATCH(G$1,[2]stages!$2:$2,0)-MATCH("temp_stage",[2]stages!$2:$2,0)+1,FALSE)</f>
        <v>#N/A</v>
      </c>
      <c r="H13" s="86">
        <v>0</v>
      </c>
      <c r="I13">
        <v>13</v>
      </c>
      <c r="J13" s="85" t="s">
        <v>199</v>
      </c>
      <c r="K13" s="95" t="str">
        <f>VLOOKUP(I13,[7]stage_hints!$A:$C,3,FALSE)</f>
        <v>ユニットの覚醒</v>
      </c>
      <c r="L13" s="96" t="str">
        <f>VLOOKUP(I13,[7]stage_hints!$A:$D,4,FALSE)</f>
        <v>ユニットを覚醒させると_x000D_比べものにならない強さが手に入ります</v>
      </c>
      <c r="M13" s="57" t="s">
        <v>211</v>
      </c>
    </row>
    <row r="14" spans="1:13" x14ac:dyDescent="0.15">
      <c r="A14" s="82" t="s">
        <v>201</v>
      </c>
      <c r="B14" s="83">
        <f>floors!$C$2</f>
        <v>48703</v>
      </c>
      <c r="C14" s="84" t="str">
        <f ca="1">VLOOKUP($B14,OFFSET([2]quests!$A$1,0,0,COUNTA([2]quests!$A:$A),MATCH(C$1,[2]quests!$1:$1,0)-MATCH($B$1,[2]quests!$1:$1,0)+1),MATCH(C$1,[2]quests!$1:$1,0)-MATCH($B$1,[2]quests!$1:$1,0)+1,FALSE)</f>
        <v>紅蓮襲来！</v>
      </c>
      <c r="D14" s="84" t="str">
        <f ca="1">VLOOKUP($B14,OFFSET([2]quests!$A$1,0,0,COUNTA([2]quests!$A:$A),MATCH(D$1,[2]quests!$1:$1,0)-MATCH($B$1,[2]quests!$1:$1,0)+1),MATCH(D$1,[2]quests!$1:$1,0)-MATCH($B$1,[2]quests!$1:$1,0)+1,FALSE)</f>
        <v>韓国版降臨3</v>
      </c>
      <c r="E14" s="88" t="s">
        <v>214</v>
      </c>
      <c r="F14" s="84" t="e">
        <f ca="1">VLOOKUP($B14&amp;"_"&amp;$E14,OFFSET([2]stages!$A$1,0,0,COUNTA([2]stages!$A:$A),MATCH(F$1,[2]stages!$2:$2,0)-MATCH("temp_stage",[2]stages!$2:$2,0)+1),MATCH(F$1,[2]stages!$2:$2,0)-MATCH("temp_stage",[2]stages!$2:$2,0)+1,FALSE)</f>
        <v>#N/A</v>
      </c>
      <c r="G14" s="84" t="e">
        <f ca="1">VLOOKUP($B14&amp;"_"&amp;$E14,OFFSET([2]stages!$A$1,0,0,COUNTA([2]stages!$A:$A),MATCH(G$1,[2]stages!$2:$2,0)-MATCH("temp_stage",[2]stages!$2:$2,0)+1),MATCH(G$1,[2]stages!$2:$2,0)-MATCH("temp_stage",[2]stages!$2:$2,0)+1,FALSE)</f>
        <v>#N/A</v>
      </c>
      <c r="H14" s="86">
        <v>0</v>
      </c>
      <c r="I14">
        <v>14</v>
      </c>
      <c r="J14" s="85" t="s">
        <v>199</v>
      </c>
      <c r="K14" s="95" t="str">
        <f>VLOOKUP(I14,[7]stage_hints!$A:$C,3,FALSE)</f>
        <v>覚醒するにはレベルを最大に</v>
      </c>
      <c r="L14" s="96" t="str">
        <f>VLOOKUP(I14,[7]stage_hints!$A:$D,4,FALSE)</f>
        <v>覚醒するにはユニットのレベルを_x000D_最大まで上げる必要があります</v>
      </c>
      <c r="M14" s="57" t="s">
        <v>211</v>
      </c>
    </row>
    <row r="15" spans="1:13" x14ac:dyDescent="0.15">
      <c r="A15" s="82" t="s">
        <v>201</v>
      </c>
      <c r="B15" s="83">
        <f>floors!$C$2</f>
        <v>48703</v>
      </c>
      <c r="C15" s="84" t="str">
        <f ca="1">VLOOKUP($B15,OFFSET([2]quests!$A$1,0,0,COUNTA([2]quests!$A:$A),MATCH(C$1,[2]quests!$1:$1,0)-MATCH($B$1,[2]quests!$1:$1,0)+1),MATCH(C$1,[2]quests!$1:$1,0)-MATCH($B$1,[2]quests!$1:$1,0)+1,FALSE)</f>
        <v>紅蓮襲来！</v>
      </c>
      <c r="D15" s="84" t="str">
        <f ca="1">VLOOKUP($B15,OFFSET([2]quests!$A$1,0,0,COUNTA([2]quests!$A:$A),MATCH(D$1,[2]quests!$1:$1,0)-MATCH($B$1,[2]quests!$1:$1,0)+1),MATCH(D$1,[2]quests!$1:$1,0)-MATCH($B$1,[2]quests!$1:$1,0)+1,FALSE)</f>
        <v>韓国版降臨3</v>
      </c>
      <c r="E15" s="88" t="s">
        <v>214</v>
      </c>
      <c r="F15" s="84" t="e">
        <f ca="1">VLOOKUP($B15&amp;"_"&amp;$E15,OFFSET([2]stages!$A$1,0,0,COUNTA([2]stages!$A:$A),MATCH(F$1,[2]stages!$2:$2,0)-MATCH("temp_stage",[2]stages!$2:$2,0)+1),MATCH(F$1,[2]stages!$2:$2,0)-MATCH("temp_stage",[2]stages!$2:$2,0)+1,FALSE)</f>
        <v>#N/A</v>
      </c>
      <c r="G15" s="84" t="e">
        <f ca="1">VLOOKUP($B15&amp;"_"&amp;$E15,OFFSET([2]stages!$A$1,0,0,COUNTA([2]stages!$A:$A),MATCH(G$1,[2]stages!$2:$2,0)-MATCH("temp_stage",[2]stages!$2:$2,0)+1),MATCH(G$1,[2]stages!$2:$2,0)-MATCH("temp_stage",[2]stages!$2:$2,0)+1,FALSE)</f>
        <v>#N/A</v>
      </c>
      <c r="H15" s="86">
        <v>0</v>
      </c>
      <c r="I15">
        <v>15</v>
      </c>
      <c r="J15" s="85" t="s">
        <v>199</v>
      </c>
      <c r="K15" s="95" t="str">
        <f>VLOOKUP(I15,[7]stage_hints!$A:$C,3,FALSE)</f>
        <v>覚醒素材を獲得</v>
      </c>
      <c r="L15" s="96" t="str">
        <f>VLOOKUP(I15,[7]stage_hints!$A:$D,4,FALSE)</f>
        <v>「曜日クエスト」では_x000D_ユニットの覚醒に必要な素材が手に入ります</v>
      </c>
      <c r="M15" s="57" t="s">
        <v>211</v>
      </c>
    </row>
    <row r="16" spans="1:13" x14ac:dyDescent="0.15">
      <c r="A16" s="82" t="s">
        <v>201</v>
      </c>
      <c r="B16" s="83">
        <f>floors!$C$2</f>
        <v>48703</v>
      </c>
      <c r="C16" s="84" t="str">
        <f ca="1">VLOOKUP($B16,OFFSET([2]quests!$A$1,0,0,COUNTA([2]quests!$A:$A),MATCH(C$1,[2]quests!$1:$1,0)-MATCH($B$1,[2]quests!$1:$1,0)+1),MATCH(C$1,[2]quests!$1:$1,0)-MATCH($B$1,[2]quests!$1:$1,0)+1,FALSE)</f>
        <v>紅蓮襲来！</v>
      </c>
      <c r="D16" s="84" t="str">
        <f ca="1">VLOOKUP($B16,OFFSET([2]quests!$A$1,0,0,COUNTA([2]quests!$A:$A),MATCH(D$1,[2]quests!$1:$1,0)-MATCH($B$1,[2]quests!$1:$1,0)+1),MATCH(D$1,[2]quests!$1:$1,0)-MATCH($B$1,[2]quests!$1:$1,0)+1,FALSE)</f>
        <v>韓国版降臨3</v>
      </c>
      <c r="E16" s="88" t="s">
        <v>214</v>
      </c>
      <c r="F16" s="84" t="e">
        <f ca="1">VLOOKUP($B16&amp;"_"&amp;$E16,OFFSET([2]stages!$A$1,0,0,COUNTA([2]stages!$A:$A),MATCH(F$1,[2]stages!$2:$2,0)-MATCH("temp_stage",[2]stages!$2:$2,0)+1),MATCH(F$1,[2]stages!$2:$2,0)-MATCH("temp_stage",[2]stages!$2:$2,0)+1,FALSE)</f>
        <v>#N/A</v>
      </c>
      <c r="G16" s="84" t="e">
        <f ca="1">VLOOKUP($B16&amp;"_"&amp;$E16,OFFSET([2]stages!$A$1,0,0,COUNTA([2]stages!$A:$A),MATCH(G$1,[2]stages!$2:$2,0)-MATCH("temp_stage",[2]stages!$2:$2,0)+1),MATCH(G$1,[2]stages!$2:$2,0)-MATCH("temp_stage",[2]stages!$2:$2,0)+1,FALSE)</f>
        <v>#N/A</v>
      </c>
      <c r="H16" s="86">
        <v>0</v>
      </c>
      <c r="I16">
        <v>16</v>
      </c>
      <c r="J16" s="85" t="s">
        <v>199</v>
      </c>
      <c r="K16" s="95" t="str">
        <f>VLOOKUP(I16,[7]stage_hints!$A:$C,3,FALSE)</f>
        <v>マルチプレイのメリット（その1）</v>
      </c>
      <c r="L16" s="96" t="str">
        <f>VLOOKUP(I16,[7]stage_hints!$A:$D,4,FALSE)</f>
        <v>他のプレイヤーとマルチプレイで遊ぶと_x000D_ポリゴンがもらえます（100人まで）</v>
      </c>
      <c r="M16" s="57" t="s">
        <v>211</v>
      </c>
    </row>
    <row r="17" spans="1:13" x14ac:dyDescent="0.15">
      <c r="A17" s="82" t="s">
        <v>201</v>
      </c>
      <c r="B17" s="83">
        <f>floors!$C$2</f>
        <v>48703</v>
      </c>
      <c r="C17" s="84" t="str">
        <f ca="1">VLOOKUP($B17,OFFSET([2]quests!$A$1,0,0,COUNTA([2]quests!$A:$A),MATCH(C$1,[2]quests!$1:$1,0)-MATCH($B$1,[2]quests!$1:$1,0)+1),MATCH(C$1,[2]quests!$1:$1,0)-MATCH($B$1,[2]quests!$1:$1,0)+1,FALSE)</f>
        <v>紅蓮襲来！</v>
      </c>
      <c r="D17" s="84" t="str">
        <f ca="1">VLOOKUP($B17,OFFSET([2]quests!$A$1,0,0,COUNTA([2]quests!$A:$A),MATCH(D$1,[2]quests!$1:$1,0)-MATCH($B$1,[2]quests!$1:$1,0)+1),MATCH(D$1,[2]quests!$1:$1,0)-MATCH($B$1,[2]quests!$1:$1,0)+1,FALSE)</f>
        <v>韓国版降臨3</v>
      </c>
      <c r="E17" s="88" t="s">
        <v>214</v>
      </c>
      <c r="F17" s="84" t="e">
        <f ca="1">VLOOKUP($B17&amp;"_"&amp;$E17,OFFSET([2]stages!$A$1,0,0,COUNTA([2]stages!$A:$A),MATCH(F$1,[2]stages!$2:$2,0)-MATCH("temp_stage",[2]stages!$2:$2,0)+1),MATCH(F$1,[2]stages!$2:$2,0)-MATCH("temp_stage",[2]stages!$2:$2,0)+1,FALSE)</f>
        <v>#N/A</v>
      </c>
      <c r="G17" s="84" t="e">
        <f ca="1">VLOOKUP($B17&amp;"_"&amp;$E17,OFFSET([2]stages!$A$1,0,0,COUNTA([2]stages!$A:$A),MATCH(G$1,[2]stages!$2:$2,0)-MATCH("temp_stage",[2]stages!$2:$2,0)+1),MATCH(G$1,[2]stages!$2:$2,0)-MATCH("temp_stage",[2]stages!$2:$2,0)+1,FALSE)</f>
        <v>#N/A</v>
      </c>
      <c r="H17" s="86">
        <v>0</v>
      </c>
      <c r="I17">
        <v>17</v>
      </c>
      <c r="J17" s="85" t="s">
        <v>199</v>
      </c>
      <c r="K17" s="95" t="str">
        <f>VLOOKUP(I17,[7]stage_hints!$A:$C,3,FALSE)</f>
        <v>リンクガチャ</v>
      </c>
      <c r="L17" s="96" t="str">
        <f>VLOOKUP(I17,[7]stage_hints!$A:$D,4,FALSE)</f>
        <v>無料のリンクガチャを回して_x000D_経験値素材や売却素材を獲得しましょう</v>
      </c>
      <c r="M17" s="57" t="s">
        <v>211</v>
      </c>
    </row>
    <row r="18" spans="1:13" x14ac:dyDescent="0.15">
      <c r="A18" s="82" t="s">
        <v>201</v>
      </c>
      <c r="B18" s="83">
        <f>floors!$C$2</f>
        <v>48703</v>
      </c>
      <c r="C18" s="84" t="str">
        <f ca="1">VLOOKUP($B18,OFFSET([2]quests!$A$1,0,0,COUNTA([2]quests!$A:$A),MATCH(C$1,[2]quests!$1:$1,0)-MATCH($B$1,[2]quests!$1:$1,0)+1),MATCH(C$1,[2]quests!$1:$1,0)-MATCH($B$1,[2]quests!$1:$1,0)+1,FALSE)</f>
        <v>紅蓮襲来！</v>
      </c>
      <c r="D18" s="84" t="str">
        <f ca="1">VLOOKUP($B18,OFFSET([2]quests!$A$1,0,0,COUNTA([2]quests!$A:$A),MATCH(D$1,[2]quests!$1:$1,0)-MATCH($B$1,[2]quests!$1:$1,0)+1),MATCH(D$1,[2]quests!$1:$1,0)-MATCH($B$1,[2]quests!$1:$1,0)+1,FALSE)</f>
        <v>韓国版降臨3</v>
      </c>
      <c r="E18" s="88" t="s">
        <v>214</v>
      </c>
      <c r="F18" s="84" t="e">
        <f ca="1">VLOOKUP($B18&amp;"_"&amp;$E18,OFFSET([2]stages!$A$1,0,0,COUNTA([2]stages!$A:$A),MATCH(F$1,[2]stages!$2:$2,0)-MATCH("temp_stage",[2]stages!$2:$2,0)+1),MATCH(F$1,[2]stages!$2:$2,0)-MATCH("temp_stage",[2]stages!$2:$2,0)+1,FALSE)</f>
        <v>#N/A</v>
      </c>
      <c r="G18" s="84" t="e">
        <f ca="1">VLOOKUP($B18&amp;"_"&amp;$E18,OFFSET([2]stages!$A$1,0,0,COUNTA([2]stages!$A:$A),MATCH(G$1,[2]stages!$2:$2,0)-MATCH("temp_stage",[2]stages!$2:$2,0)+1),MATCH(G$1,[2]stages!$2:$2,0)-MATCH("temp_stage",[2]stages!$2:$2,0)+1,FALSE)</f>
        <v>#N/A</v>
      </c>
      <c r="H18" s="86">
        <v>0</v>
      </c>
      <c r="I18">
        <v>18</v>
      </c>
      <c r="J18" s="85" t="s">
        <v>199</v>
      </c>
      <c r="K18" s="95" t="str">
        <f>VLOOKUP(I18,[7]stage_hints!$A:$C,3,FALSE)</f>
        <v>マルチプレイのメリット（その2）</v>
      </c>
      <c r="L18" s="96" t="str">
        <f>VLOOKUP(I18,[7]stage_hints!$A:$D,4,FALSE)</f>
        <v>マルチプレイならリンクが2倍もらえます_x000D_リンクガチャをたくさん回しましょう</v>
      </c>
      <c r="M18" s="57" t="s">
        <v>211</v>
      </c>
    </row>
    <row r="19" spans="1:13" x14ac:dyDescent="0.15">
      <c r="A19" s="82" t="s">
        <v>201</v>
      </c>
      <c r="B19" s="83">
        <f>floors!$C$2</f>
        <v>48703</v>
      </c>
      <c r="C19" s="84" t="str">
        <f ca="1">VLOOKUP($B19,OFFSET([2]quests!$A$1,0,0,COUNTA([2]quests!$A:$A),MATCH(C$1,[2]quests!$1:$1,0)-MATCH($B$1,[2]quests!$1:$1,0)+1),MATCH(C$1,[2]quests!$1:$1,0)-MATCH($B$1,[2]quests!$1:$1,0)+1,FALSE)</f>
        <v>紅蓮襲来！</v>
      </c>
      <c r="D19" s="84" t="str">
        <f ca="1">VLOOKUP($B19,OFFSET([2]quests!$A$1,0,0,COUNTA([2]quests!$A:$A),MATCH(D$1,[2]quests!$1:$1,0)-MATCH($B$1,[2]quests!$1:$1,0)+1),MATCH(D$1,[2]quests!$1:$1,0)-MATCH($B$1,[2]quests!$1:$1,0)+1,FALSE)</f>
        <v>韓国版降臨3</v>
      </c>
      <c r="E19" s="88" t="s">
        <v>214</v>
      </c>
      <c r="F19" s="84" t="e">
        <f ca="1">VLOOKUP($B19&amp;"_"&amp;$E19,OFFSET([2]stages!$A$1,0,0,COUNTA([2]stages!$A:$A),MATCH(F$1,[2]stages!$2:$2,0)-MATCH("temp_stage",[2]stages!$2:$2,0)+1),MATCH(F$1,[2]stages!$2:$2,0)-MATCH("temp_stage",[2]stages!$2:$2,0)+1,FALSE)</f>
        <v>#N/A</v>
      </c>
      <c r="G19" s="84" t="e">
        <f ca="1">VLOOKUP($B19&amp;"_"&amp;$E19,OFFSET([2]stages!$A$1,0,0,COUNTA([2]stages!$A:$A),MATCH(G$1,[2]stages!$2:$2,0)-MATCH("temp_stage",[2]stages!$2:$2,0)+1),MATCH(G$1,[2]stages!$2:$2,0)-MATCH("temp_stage",[2]stages!$2:$2,0)+1,FALSE)</f>
        <v>#N/A</v>
      </c>
      <c r="H19" s="86">
        <v>0</v>
      </c>
      <c r="I19">
        <v>19</v>
      </c>
      <c r="J19" s="85" t="s">
        <v>199</v>
      </c>
      <c r="K19" s="95" t="str">
        <f>VLOOKUP(I19,[7]stage_hints!$A:$C,3,FALSE)</f>
        <v>ソロ専用タワーオブザクイーン</v>
      </c>
      <c r="L19" s="96" t="str">
        <f>VLOOKUP(I19,[7]stage_hints!$A:$D,4,FALSE)</f>
        <v>ソロ専用の「タワーオブザクイーン」は_x000D_期間限定で定期的に開催されます_x000D_ここでしか獲得できない報酬もあるようです</v>
      </c>
      <c r="M19" s="57" t="s">
        <v>211</v>
      </c>
    </row>
    <row r="20" spans="1:13" x14ac:dyDescent="0.15">
      <c r="A20" s="82" t="s">
        <v>201</v>
      </c>
      <c r="B20" s="83">
        <f>floors!$C$2</f>
        <v>48703</v>
      </c>
      <c r="C20" s="84" t="str">
        <f ca="1">VLOOKUP($B20,OFFSET([2]quests!$A$1,0,0,COUNTA([2]quests!$A:$A),MATCH(C$1,[2]quests!$1:$1,0)-MATCH($B$1,[2]quests!$1:$1,0)+1),MATCH(C$1,[2]quests!$1:$1,0)-MATCH($B$1,[2]quests!$1:$1,0)+1,FALSE)</f>
        <v>紅蓮襲来！</v>
      </c>
      <c r="D20" s="84" t="str">
        <f ca="1">VLOOKUP($B20,OFFSET([2]quests!$A$1,0,0,COUNTA([2]quests!$A:$A),MATCH(D$1,[2]quests!$1:$1,0)-MATCH($B$1,[2]quests!$1:$1,0)+1),MATCH(D$1,[2]quests!$1:$1,0)-MATCH($B$1,[2]quests!$1:$1,0)+1,FALSE)</f>
        <v>韓国版降臨3</v>
      </c>
      <c r="E20" s="88" t="s">
        <v>214</v>
      </c>
      <c r="F20" s="84" t="e">
        <f ca="1">VLOOKUP($B20&amp;"_"&amp;$E20,OFFSET([2]stages!$A$1,0,0,COUNTA([2]stages!$A:$A),MATCH(F$1,[2]stages!$2:$2,0)-MATCH("temp_stage",[2]stages!$2:$2,0)+1),MATCH(F$1,[2]stages!$2:$2,0)-MATCH("temp_stage",[2]stages!$2:$2,0)+1,FALSE)</f>
        <v>#N/A</v>
      </c>
      <c r="G20" s="84" t="e">
        <f ca="1">VLOOKUP($B20&amp;"_"&amp;$E20,OFFSET([2]stages!$A$1,0,0,COUNTA([2]stages!$A:$A),MATCH(G$1,[2]stages!$2:$2,0)-MATCH("temp_stage",[2]stages!$2:$2,0)+1),MATCH(G$1,[2]stages!$2:$2,0)-MATCH("temp_stage",[2]stages!$2:$2,0)+1,FALSE)</f>
        <v>#N/A</v>
      </c>
      <c r="H20" s="86">
        <v>0</v>
      </c>
      <c r="I20">
        <v>20</v>
      </c>
      <c r="J20" s="85" t="s">
        <v>199</v>
      </c>
      <c r="K20" s="95" t="str">
        <f>VLOOKUP(I20,[7]stage_hints!$A:$C,3,FALSE)</f>
        <v>マルチプレイのメリット（その3）</v>
      </c>
      <c r="L20" s="96" t="str">
        <f>VLOOKUP(I20,[7]stage_hints!$A:$D,4,FALSE)</f>
        <v>マルチプレイへの参加はエナジー消費ゼロ_x000D_いつでも好きなだけ遊ぶことができます</v>
      </c>
      <c r="M20" s="57" t="s">
        <v>211</v>
      </c>
    </row>
    <row r="21" spans="1:13" x14ac:dyDescent="0.15">
      <c r="A21" s="82" t="s">
        <v>201</v>
      </c>
      <c r="B21" s="83">
        <f>floors!$C$2</f>
        <v>48703</v>
      </c>
      <c r="C21" s="84" t="str">
        <f ca="1">VLOOKUP($B21,OFFSET([2]quests!$A$1,0,0,COUNTA([2]quests!$A:$A),MATCH(C$1,[2]quests!$1:$1,0)-MATCH($B$1,[2]quests!$1:$1,0)+1),MATCH(C$1,[2]quests!$1:$1,0)-MATCH($B$1,[2]quests!$1:$1,0)+1,FALSE)</f>
        <v>紅蓮襲来！</v>
      </c>
      <c r="D21" s="84" t="str">
        <f ca="1">VLOOKUP($B21,OFFSET([2]quests!$A$1,0,0,COUNTA([2]quests!$A:$A),MATCH(D$1,[2]quests!$1:$1,0)-MATCH($B$1,[2]quests!$1:$1,0)+1),MATCH(D$1,[2]quests!$1:$1,0)-MATCH($B$1,[2]quests!$1:$1,0)+1,FALSE)</f>
        <v>韓国版降臨3</v>
      </c>
      <c r="E21" s="88" t="s">
        <v>214</v>
      </c>
      <c r="F21" s="84" t="e">
        <f ca="1">VLOOKUP($B21&amp;"_"&amp;$E21,OFFSET([2]stages!$A$1,0,0,COUNTA([2]stages!$A:$A),MATCH(F$1,[2]stages!$2:$2,0)-MATCH("temp_stage",[2]stages!$2:$2,0)+1),MATCH(F$1,[2]stages!$2:$2,0)-MATCH("temp_stage",[2]stages!$2:$2,0)+1,FALSE)</f>
        <v>#N/A</v>
      </c>
      <c r="G21" s="84" t="e">
        <f ca="1">VLOOKUP($B21&amp;"_"&amp;$E21,OFFSET([2]stages!$A$1,0,0,COUNTA([2]stages!$A:$A),MATCH(G$1,[2]stages!$2:$2,0)-MATCH("temp_stage",[2]stages!$2:$2,0)+1),MATCH(G$1,[2]stages!$2:$2,0)-MATCH("temp_stage",[2]stages!$2:$2,0)+1,FALSE)</f>
        <v>#N/A</v>
      </c>
      <c r="H21" s="86">
        <v>0</v>
      </c>
      <c r="I21">
        <v>21</v>
      </c>
      <c r="J21" s="85" t="s">
        <v>199</v>
      </c>
      <c r="K21" s="95" t="str">
        <f>VLOOKUP(I21,[7]stage_hints!$A:$C,3,FALSE)</f>
        <v>スキルを有効に</v>
      </c>
      <c r="L21" s="96" t="str">
        <f>VLOOKUP(I21,[7]stage_hints!$A:$D,4,FALSE)</f>
        <v>ターン経過でユニットのスキルが使えます_x000D_強力スキルでバトルを有利に進めましょう</v>
      </c>
      <c r="M21" s="57" t="s">
        <v>211</v>
      </c>
    </row>
    <row r="22" spans="1:13" x14ac:dyDescent="0.15">
      <c r="A22" s="82" t="s">
        <v>201</v>
      </c>
      <c r="B22" s="83">
        <f>floors!$C$2</f>
        <v>48703</v>
      </c>
      <c r="C22" s="84" t="str">
        <f ca="1">VLOOKUP($B22,OFFSET([2]quests!$A$1,0,0,COUNTA([2]quests!$A:$A),MATCH(C$1,[2]quests!$1:$1,0)-MATCH($B$1,[2]quests!$1:$1,0)+1),MATCH(C$1,[2]quests!$1:$1,0)-MATCH($B$1,[2]quests!$1:$1,0)+1,FALSE)</f>
        <v>紅蓮襲来！</v>
      </c>
      <c r="D22" s="84" t="str">
        <f ca="1">VLOOKUP($B22,OFFSET([2]quests!$A$1,0,0,COUNTA([2]quests!$A:$A),MATCH(D$1,[2]quests!$1:$1,0)-MATCH($B$1,[2]quests!$1:$1,0)+1),MATCH(D$1,[2]quests!$1:$1,0)-MATCH($B$1,[2]quests!$1:$1,0)+1,FALSE)</f>
        <v>韓国版降臨3</v>
      </c>
      <c r="E22" s="88" t="s">
        <v>214</v>
      </c>
      <c r="F22" s="84" t="e">
        <f ca="1">VLOOKUP($B22&amp;"_"&amp;$E22,OFFSET([2]stages!$A$1,0,0,COUNTA([2]stages!$A:$A),MATCH(F$1,[2]stages!$2:$2,0)-MATCH("temp_stage",[2]stages!$2:$2,0)+1),MATCH(F$1,[2]stages!$2:$2,0)-MATCH("temp_stage",[2]stages!$2:$2,0)+1,FALSE)</f>
        <v>#N/A</v>
      </c>
      <c r="G22" s="84" t="e">
        <f ca="1">VLOOKUP($B22&amp;"_"&amp;$E22,OFFSET([2]stages!$A$1,0,0,COUNTA([2]stages!$A:$A),MATCH(G$1,[2]stages!$2:$2,0)-MATCH("temp_stage",[2]stages!$2:$2,0)+1),MATCH(G$1,[2]stages!$2:$2,0)-MATCH("temp_stage",[2]stages!$2:$2,0)+1,FALSE)</f>
        <v>#N/A</v>
      </c>
      <c r="H22" s="86">
        <v>0</v>
      </c>
      <c r="I22">
        <v>22</v>
      </c>
      <c r="J22" s="85" t="s">
        <v>199</v>
      </c>
      <c r="K22" s="95" t="str">
        <f>VLOOKUP(I22,[7]stage_hints!$A:$C,3,FALSE)</f>
        <v>フィーバーで一発逆転（その1）</v>
      </c>
      <c r="L22" s="96" t="str">
        <f>VLOOKUP(I22,[7]stage_hints!$A:$D,4,FALSE)</f>
        <v>フィーバーは攻撃と回復を兼ね備えます_x000D_ピンチからの一発逆転を狙いましょう</v>
      </c>
      <c r="M22" s="57" t="s">
        <v>211</v>
      </c>
    </row>
    <row r="23" spans="1:13" x14ac:dyDescent="0.15">
      <c r="A23" s="82" t="s">
        <v>201</v>
      </c>
      <c r="B23" s="83">
        <f>floors!$C$2</f>
        <v>48703</v>
      </c>
      <c r="C23" s="84" t="str">
        <f ca="1">VLOOKUP($B23,OFFSET([2]quests!$A$1,0,0,COUNTA([2]quests!$A:$A),MATCH(C$1,[2]quests!$1:$1,0)-MATCH($B$1,[2]quests!$1:$1,0)+1),MATCH(C$1,[2]quests!$1:$1,0)-MATCH($B$1,[2]quests!$1:$1,0)+1,FALSE)</f>
        <v>紅蓮襲来！</v>
      </c>
      <c r="D23" s="84" t="str">
        <f ca="1">VLOOKUP($B23,OFFSET([2]quests!$A$1,0,0,COUNTA([2]quests!$A:$A),MATCH(D$1,[2]quests!$1:$1,0)-MATCH($B$1,[2]quests!$1:$1,0)+1),MATCH(D$1,[2]quests!$1:$1,0)-MATCH($B$1,[2]quests!$1:$1,0)+1,FALSE)</f>
        <v>韓国版降臨3</v>
      </c>
      <c r="E23" s="88" t="s">
        <v>214</v>
      </c>
      <c r="F23" s="84" t="e">
        <f ca="1">VLOOKUP($B23&amp;"_"&amp;$E23,OFFSET([2]stages!$A$1,0,0,COUNTA([2]stages!$A:$A),MATCH(F$1,[2]stages!$2:$2,0)-MATCH("temp_stage",[2]stages!$2:$2,0)+1),MATCH(F$1,[2]stages!$2:$2,0)-MATCH("temp_stage",[2]stages!$2:$2,0)+1,FALSE)</f>
        <v>#N/A</v>
      </c>
      <c r="G23" s="84" t="e">
        <f ca="1">VLOOKUP($B23&amp;"_"&amp;$E23,OFFSET([2]stages!$A$1,0,0,COUNTA([2]stages!$A:$A),MATCH(G$1,[2]stages!$2:$2,0)-MATCH("temp_stage",[2]stages!$2:$2,0)+1),MATCH(G$1,[2]stages!$2:$2,0)-MATCH("temp_stage",[2]stages!$2:$2,0)+1,FALSE)</f>
        <v>#N/A</v>
      </c>
      <c r="H23" s="86">
        <v>0</v>
      </c>
      <c r="I23">
        <v>23</v>
      </c>
      <c r="J23" s="85" t="s">
        <v>199</v>
      </c>
      <c r="K23" s="95" t="str">
        <f>VLOOKUP(I23,[7]stage_hints!$A:$C,3,FALSE)</f>
        <v>フィーバーで一発逆転（その2）</v>
      </c>
      <c r="L23" s="96" t="str">
        <f>VLOOKUP(I23,[7]stage_hints!$A:$D,4,FALSE)</f>
        <v>フィーバー中は虹色のボムパネルを狙って_x000D_画面上のパネルを一気に破壊しましょう</v>
      </c>
      <c r="M23" s="57" t="s">
        <v>211</v>
      </c>
    </row>
    <row r="24" spans="1:13" x14ac:dyDescent="0.15">
      <c r="A24" s="82" t="s">
        <v>201</v>
      </c>
      <c r="B24" s="83">
        <f>floors!$C$2</f>
        <v>48703</v>
      </c>
      <c r="C24" s="84" t="str">
        <f ca="1">VLOOKUP($B24,OFFSET([2]quests!$A$1,0,0,COUNTA([2]quests!$A:$A),MATCH(C$1,[2]quests!$1:$1,0)-MATCH($B$1,[2]quests!$1:$1,0)+1),MATCH(C$1,[2]quests!$1:$1,0)-MATCH($B$1,[2]quests!$1:$1,0)+1,FALSE)</f>
        <v>紅蓮襲来！</v>
      </c>
      <c r="D24" s="84" t="str">
        <f ca="1">VLOOKUP($B24,OFFSET([2]quests!$A$1,0,0,COUNTA([2]quests!$A:$A),MATCH(D$1,[2]quests!$1:$1,0)-MATCH($B$1,[2]quests!$1:$1,0)+1),MATCH(D$1,[2]quests!$1:$1,0)-MATCH($B$1,[2]quests!$1:$1,0)+1,FALSE)</f>
        <v>韓国版降臨3</v>
      </c>
      <c r="E24" s="88" t="s">
        <v>214</v>
      </c>
      <c r="F24" s="84" t="e">
        <f ca="1">VLOOKUP($B24&amp;"_"&amp;$E24,OFFSET([2]stages!$A$1,0,0,COUNTA([2]stages!$A:$A),MATCH(F$1,[2]stages!$2:$2,0)-MATCH("temp_stage",[2]stages!$2:$2,0)+1),MATCH(F$1,[2]stages!$2:$2,0)-MATCH("temp_stage",[2]stages!$2:$2,0)+1,FALSE)</f>
        <v>#N/A</v>
      </c>
      <c r="G24" s="84" t="e">
        <f ca="1">VLOOKUP($B24&amp;"_"&amp;$E24,OFFSET([2]stages!$A$1,0,0,COUNTA([2]stages!$A:$A),MATCH(G$1,[2]stages!$2:$2,0)-MATCH("temp_stage",[2]stages!$2:$2,0)+1),MATCH(G$1,[2]stages!$2:$2,0)-MATCH("temp_stage",[2]stages!$2:$2,0)+1,FALSE)</f>
        <v>#N/A</v>
      </c>
      <c r="H24" s="86">
        <v>0</v>
      </c>
      <c r="I24">
        <v>24</v>
      </c>
      <c r="J24" s="85" t="s">
        <v>199</v>
      </c>
      <c r="K24" s="95" t="str">
        <f>VLOOKUP(I24,[7]stage_hints!$A:$C,3,FALSE)</f>
        <v>果実を使って限界突破</v>
      </c>
      <c r="L24" s="96" t="str">
        <f>VLOOKUP(I24,[7]stage_hints!$A:$D,4,FALSE)</f>
        <v>攻めの果実 癒しの果実_x000D_生命の果実をユニット強化に使うと_x000D_ステータスが限界突破します（計99個迄）</v>
      </c>
      <c r="M24" s="57" t="s">
        <v>211</v>
      </c>
    </row>
    <row r="25" spans="1:13" x14ac:dyDescent="0.15">
      <c r="A25" s="82" t="s">
        <v>201</v>
      </c>
      <c r="B25" s="83">
        <f>floors!$C$2</f>
        <v>48703</v>
      </c>
      <c r="C25" s="84" t="str">
        <f ca="1">VLOOKUP($B25,OFFSET([2]quests!$A$1,0,0,COUNTA([2]quests!$A:$A),MATCH(C$1,[2]quests!$1:$1,0)-MATCH($B$1,[2]quests!$1:$1,0)+1),MATCH(C$1,[2]quests!$1:$1,0)-MATCH($B$1,[2]quests!$1:$1,0)+1,FALSE)</f>
        <v>紅蓮襲来！</v>
      </c>
      <c r="D25" s="84" t="str">
        <f ca="1">VLOOKUP($B25,OFFSET([2]quests!$A$1,0,0,COUNTA([2]quests!$A:$A),MATCH(D$1,[2]quests!$1:$1,0)-MATCH($B$1,[2]quests!$1:$1,0)+1),MATCH(D$1,[2]quests!$1:$1,0)-MATCH($B$1,[2]quests!$1:$1,0)+1,FALSE)</f>
        <v>韓国版降臨3</v>
      </c>
      <c r="E25" s="88" t="s">
        <v>214</v>
      </c>
      <c r="F25" s="84" t="e">
        <f ca="1">VLOOKUP($B25&amp;"_"&amp;$E25,OFFSET([2]stages!$A$1,0,0,COUNTA([2]stages!$A:$A),MATCH(F$1,[2]stages!$2:$2,0)-MATCH("temp_stage",[2]stages!$2:$2,0)+1),MATCH(F$1,[2]stages!$2:$2,0)-MATCH("temp_stage",[2]stages!$2:$2,0)+1,FALSE)</f>
        <v>#N/A</v>
      </c>
      <c r="G25" s="84" t="e">
        <f ca="1">VLOOKUP($B25&amp;"_"&amp;$E25,OFFSET([2]stages!$A$1,0,0,COUNTA([2]stages!$A:$A),MATCH(G$1,[2]stages!$2:$2,0)-MATCH("temp_stage",[2]stages!$2:$2,0)+1),MATCH(G$1,[2]stages!$2:$2,0)-MATCH("temp_stage",[2]stages!$2:$2,0)+1,FALSE)</f>
        <v>#N/A</v>
      </c>
      <c r="H25" s="86">
        <v>0</v>
      </c>
      <c r="I25">
        <v>25</v>
      </c>
      <c r="J25" s="85" t="s">
        <v>199</v>
      </c>
      <c r="K25" s="95" t="str">
        <f>VLOOKUP(I25,[7]stage_hints!$A:$C,3,FALSE)</f>
        <v>スキルレベルアップ</v>
      </c>
      <c r="L25" s="96" t="str">
        <f>VLOOKUP(I25,[7]stage_hints!$A:$D,4,FALSE)</f>
        <v>「秘術の果実」を強化に使うと_x000D_スキルレベルを上げることができます</v>
      </c>
      <c r="M25" s="57" t="s">
        <v>211</v>
      </c>
    </row>
    <row r="26" spans="1:13" x14ac:dyDescent="0.15">
      <c r="A26" s="82" t="s">
        <v>201</v>
      </c>
      <c r="B26" s="83">
        <f>floors!$C$2</f>
        <v>48703</v>
      </c>
      <c r="C26" s="84" t="str">
        <f ca="1">VLOOKUP($B26,OFFSET([2]quests!$A$1,0,0,COUNTA([2]quests!$A:$A),MATCH(C$1,[2]quests!$1:$1,0)-MATCH($B$1,[2]quests!$1:$1,0)+1),MATCH(C$1,[2]quests!$1:$1,0)-MATCH($B$1,[2]quests!$1:$1,0)+1,FALSE)</f>
        <v>紅蓮襲来！</v>
      </c>
      <c r="D26" s="84" t="str">
        <f ca="1">VLOOKUP($B26,OFFSET([2]quests!$A$1,0,0,COUNTA([2]quests!$A:$A),MATCH(D$1,[2]quests!$1:$1,0)-MATCH($B$1,[2]quests!$1:$1,0)+1),MATCH(D$1,[2]quests!$1:$1,0)-MATCH($B$1,[2]quests!$1:$1,0)+1,FALSE)</f>
        <v>韓国版降臨3</v>
      </c>
      <c r="E26" s="88" t="s">
        <v>214</v>
      </c>
      <c r="F26" s="84" t="e">
        <f ca="1">VLOOKUP($B26&amp;"_"&amp;$E26,OFFSET([2]stages!$A$1,0,0,COUNTA([2]stages!$A:$A),MATCH(F$1,[2]stages!$2:$2,0)-MATCH("temp_stage",[2]stages!$2:$2,0)+1),MATCH(F$1,[2]stages!$2:$2,0)-MATCH("temp_stage",[2]stages!$2:$2,0)+1,FALSE)</f>
        <v>#N/A</v>
      </c>
      <c r="G26" s="84" t="e">
        <f ca="1">VLOOKUP($B26&amp;"_"&amp;$E26,OFFSET([2]stages!$A$1,0,0,COUNTA([2]stages!$A:$A),MATCH(G$1,[2]stages!$2:$2,0)-MATCH("temp_stage",[2]stages!$2:$2,0)+1),MATCH(G$1,[2]stages!$2:$2,0)-MATCH("temp_stage",[2]stages!$2:$2,0)+1,FALSE)</f>
        <v>#N/A</v>
      </c>
      <c r="H26" s="86">
        <v>0</v>
      </c>
      <c r="I26">
        <v>26</v>
      </c>
      <c r="J26" s="85" t="s">
        <v>199</v>
      </c>
      <c r="K26" s="95" t="str">
        <f>VLOOKUP(I26,[7]stage_hints!$A:$C,3,FALSE)</f>
        <v>スキルレベルの効果</v>
      </c>
      <c r="L26" s="96" t="str">
        <f>VLOOKUP(I26,[7]stage_hints!$A:$D,4,FALSE)</f>
        <v>スキルレベルが上がると_x000D_短いターンでスキルを使うことができます</v>
      </c>
      <c r="M26" s="57" t="s">
        <v>211</v>
      </c>
    </row>
    <row r="27" spans="1:13" x14ac:dyDescent="0.15">
      <c r="A27" s="82" t="s">
        <v>201</v>
      </c>
      <c r="B27" s="83">
        <f>floors!$C$2</f>
        <v>48703</v>
      </c>
      <c r="C27" s="84" t="str">
        <f ca="1">VLOOKUP($B27,OFFSET([2]quests!$A$1,0,0,COUNTA([2]quests!$A:$A),MATCH(C$1,[2]quests!$1:$1,0)-MATCH($B$1,[2]quests!$1:$1,0)+1),MATCH(C$1,[2]quests!$1:$1,0)-MATCH($B$1,[2]quests!$1:$1,0)+1,FALSE)</f>
        <v>紅蓮襲来！</v>
      </c>
      <c r="D27" s="84" t="str">
        <f ca="1">VLOOKUP($B27,OFFSET([2]quests!$A$1,0,0,COUNTA([2]quests!$A:$A),MATCH(D$1,[2]quests!$1:$1,0)-MATCH($B$1,[2]quests!$1:$1,0)+1),MATCH(D$1,[2]quests!$1:$1,0)-MATCH($B$1,[2]quests!$1:$1,0)+1,FALSE)</f>
        <v>韓国版降臨3</v>
      </c>
      <c r="E27" s="88" t="s">
        <v>214</v>
      </c>
      <c r="F27" s="84" t="e">
        <f ca="1">VLOOKUP($B27&amp;"_"&amp;$E27,OFFSET([2]stages!$A$1,0,0,COUNTA([2]stages!$A:$A),MATCH(F$1,[2]stages!$2:$2,0)-MATCH("temp_stage",[2]stages!$2:$2,0)+1),MATCH(F$1,[2]stages!$2:$2,0)-MATCH("temp_stage",[2]stages!$2:$2,0)+1,FALSE)</f>
        <v>#N/A</v>
      </c>
      <c r="G27" s="84" t="e">
        <f ca="1">VLOOKUP($B27&amp;"_"&amp;$E27,OFFSET([2]stages!$A$1,0,0,COUNTA([2]stages!$A:$A),MATCH(G$1,[2]stages!$2:$2,0)-MATCH("temp_stage",[2]stages!$2:$2,0)+1),MATCH(G$1,[2]stages!$2:$2,0)-MATCH("temp_stage",[2]stages!$2:$2,0)+1,FALSE)</f>
        <v>#N/A</v>
      </c>
      <c r="H27" s="86">
        <v>0</v>
      </c>
      <c r="I27">
        <v>39</v>
      </c>
      <c r="J27" s="85" t="s">
        <v>199</v>
      </c>
      <c r="K27" s="95" t="str">
        <f>VLOOKUP(I27,[7]stage_hints!$A:$C,3,FALSE)</f>
        <v>システム適合者を確認</v>
      </c>
      <c r="L27" s="96" t="str">
        <f>VLOOKUP(I27,[7]stage_hints!$A:$D,4,FALSE)</f>
        <v>ALICEが 「アナタ」を呼んでいます</v>
      </c>
      <c r="M27" s="57" t="s">
        <v>211</v>
      </c>
    </row>
    <row r="28" spans="1:13" x14ac:dyDescent="0.15">
      <c r="A28" s="82" t="s">
        <v>201</v>
      </c>
      <c r="B28" s="83">
        <f>floors!$C$2</f>
        <v>48703</v>
      </c>
      <c r="C28" s="84" t="str">
        <f ca="1">VLOOKUP($B28,OFFSET([2]quests!$A$1,0,0,COUNTA([2]quests!$A:$A),MATCH(C$1,[2]quests!$1:$1,0)-MATCH($B$1,[2]quests!$1:$1,0)+1),MATCH(C$1,[2]quests!$1:$1,0)-MATCH($B$1,[2]quests!$1:$1,0)+1,FALSE)</f>
        <v>紅蓮襲来！</v>
      </c>
      <c r="D28" s="84" t="str">
        <f ca="1">VLOOKUP($B28,OFFSET([2]quests!$A$1,0,0,COUNTA([2]quests!$A:$A),MATCH(D$1,[2]quests!$1:$1,0)-MATCH($B$1,[2]quests!$1:$1,0)+1),MATCH(D$1,[2]quests!$1:$1,0)-MATCH($B$1,[2]quests!$1:$1,0)+1,FALSE)</f>
        <v>韓国版降臨3</v>
      </c>
      <c r="E28" s="88" t="s">
        <v>215</v>
      </c>
      <c r="F28" s="84" t="e">
        <f ca="1">VLOOKUP($B28&amp;"_"&amp;$E28,OFFSET([2]stages!$A$1,0,0,COUNTA([2]stages!$A:$A),MATCH(F$1,[2]stages!$2:$2,0)-MATCH("temp_stage",[2]stages!$2:$2,0)+1),MATCH(F$1,[2]stages!$2:$2,0)-MATCH("temp_stage",[2]stages!$2:$2,0)+1,FALSE)</f>
        <v>#N/A</v>
      </c>
      <c r="G28" s="84" t="e">
        <f ca="1">VLOOKUP($B28&amp;"_"&amp;$E28,OFFSET([2]stages!$A$1,0,0,COUNTA([2]stages!$A:$A),MATCH(G$1,[2]stages!$2:$2,0)-MATCH("temp_stage",[2]stages!$2:$2,0)+1),MATCH(G$1,[2]stages!$2:$2,0)-MATCH("temp_stage",[2]stages!$2:$2,0)+1,FALSE)</f>
        <v>#N/A</v>
      </c>
      <c r="H28" s="86">
        <v>0</v>
      </c>
      <c r="I28">
        <v>3</v>
      </c>
      <c r="J28" s="85" t="s">
        <v>199</v>
      </c>
      <c r="K28" s="95" t="str">
        <f>VLOOKUP(I28,[7]stage_hints!$A:$C,3,FALSE)</f>
        <v>ターゲット</v>
      </c>
      <c r="L28" s="96" t="str">
        <f>VLOOKUP(I28,[7]stage_hints!$A:$D,4,FALSE)</f>
        <v>敵ユニットをタップすると_x000D_その敵を狙い撃ちできます</v>
      </c>
      <c r="M28" s="57" t="s">
        <v>211</v>
      </c>
    </row>
    <row r="29" spans="1:13" x14ac:dyDescent="0.15">
      <c r="A29" s="82" t="s">
        <v>201</v>
      </c>
      <c r="B29" s="83">
        <f>floors!$C$2</f>
        <v>48703</v>
      </c>
      <c r="C29" s="84" t="str">
        <f ca="1">VLOOKUP($B29,OFFSET([2]quests!$A$1,0,0,COUNTA([2]quests!$A:$A),MATCH(C$1,[2]quests!$1:$1,0)-MATCH($B$1,[2]quests!$1:$1,0)+1),MATCH(C$1,[2]quests!$1:$1,0)-MATCH($B$1,[2]quests!$1:$1,0)+1,FALSE)</f>
        <v>紅蓮襲来！</v>
      </c>
      <c r="D29" s="84" t="str">
        <f ca="1">VLOOKUP($B29,OFFSET([2]quests!$A$1,0,0,COUNTA([2]quests!$A:$A),MATCH(D$1,[2]quests!$1:$1,0)-MATCH($B$1,[2]quests!$1:$1,0)+1),MATCH(D$1,[2]quests!$1:$1,0)-MATCH($B$1,[2]quests!$1:$1,0)+1,FALSE)</f>
        <v>韓国版降臨3</v>
      </c>
      <c r="E29" s="88" t="s">
        <v>215</v>
      </c>
      <c r="F29" s="84" t="e">
        <f ca="1">VLOOKUP($B29&amp;"_"&amp;$E29,OFFSET([2]stages!$A$1,0,0,COUNTA([2]stages!$A:$A),MATCH(F$1,[2]stages!$2:$2,0)-MATCH("temp_stage",[2]stages!$2:$2,0)+1),MATCH(F$1,[2]stages!$2:$2,0)-MATCH("temp_stage",[2]stages!$2:$2,0)+1,FALSE)</f>
        <v>#N/A</v>
      </c>
      <c r="G29" s="84" t="e">
        <f ca="1">VLOOKUP($B29&amp;"_"&amp;$E29,OFFSET([2]stages!$A$1,0,0,COUNTA([2]stages!$A:$A),MATCH(G$1,[2]stages!$2:$2,0)-MATCH("temp_stage",[2]stages!$2:$2,0)+1),MATCH(G$1,[2]stages!$2:$2,0)-MATCH("temp_stage",[2]stages!$2:$2,0)+1,FALSE)</f>
        <v>#N/A</v>
      </c>
      <c r="H29" s="86">
        <v>0</v>
      </c>
      <c r="I29">
        <v>6</v>
      </c>
      <c r="J29" s="85" t="s">
        <v>199</v>
      </c>
      <c r="K29" s="95" t="str">
        <f>VLOOKUP(I29,[7]stage_hints!$A:$C,3,FALSE)</f>
        <v>ユニット強化の属性ボーナス</v>
      </c>
      <c r="L29" s="96" t="str">
        <f>VLOOKUP(I29,[7]stage_hints!$A:$D,4,FALSE)</f>
        <v>同属性ユニットを強化素材にすると_x000D_経験値が多くもらえます</v>
      </c>
      <c r="M29" s="57" t="s">
        <v>211</v>
      </c>
    </row>
    <row r="30" spans="1:13" x14ac:dyDescent="0.15">
      <c r="A30" s="82" t="s">
        <v>201</v>
      </c>
      <c r="B30" s="83">
        <f>floors!$C$2</f>
        <v>48703</v>
      </c>
      <c r="C30" s="84" t="str">
        <f ca="1">VLOOKUP($B30,OFFSET([2]quests!$A$1,0,0,COUNTA([2]quests!$A:$A),MATCH(C$1,[2]quests!$1:$1,0)-MATCH($B$1,[2]quests!$1:$1,0)+1),MATCH(C$1,[2]quests!$1:$1,0)-MATCH($B$1,[2]quests!$1:$1,0)+1,FALSE)</f>
        <v>紅蓮襲来！</v>
      </c>
      <c r="D30" s="84" t="str">
        <f ca="1">VLOOKUP($B30,OFFSET([2]quests!$A$1,0,0,COUNTA([2]quests!$A:$A),MATCH(D$1,[2]quests!$1:$1,0)-MATCH($B$1,[2]quests!$1:$1,0)+1),MATCH(D$1,[2]quests!$1:$1,0)-MATCH($B$1,[2]quests!$1:$1,0)+1,FALSE)</f>
        <v>韓国版降臨3</v>
      </c>
      <c r="E30" s="88" t="s">
        <v>215</v>
      </c>
      <c r="F30" s="84" t="e">
        <f ca="1">VLOOKUP($B30&amp;"_"&amp;$E30,OFFSET([2]stages!$A$1,0,0,COUNTA([2]stages!$A:$A),MATCH(F$1,[2]stages!$2:$2,0)-MATCH("temp_stage",[2]stages!$2:$2,0)+1),MATCH(F$1,[2]stages!$2:$2,0)-MATCH("temp_stage",[2]stages!$2:$2,0)+1,FALSE)</f>
        <v>#N/A</v>
      </c>
      <c r="G30" s="84" t="e">
        <f ca="1">VLOOKUP($B30&amp;"_"&amp;$E30,OFFSET([2]stages!$A$1,0,0,COUNTA([2]stages!$A:$A),MATCH(G$1,[2]stages!$2:$2,0)-MATCH("temp_stage",[2]stages!$2:$2,0)+1),MATCH(G$1,[2]stages!$2:$2,0)-MATCH("temp_stage",[2]stages!$2:$2,0)+1,FALSE)</f>
        <v>#N/A</v>
      </c>
      <c r="H30" s="86">
        <v>0</v>
      </c>
      <c r="I30">
        <v>7</v>
      </c>
      <c r="J30" s="85" t="s">
        <v>199</v>
      </c>
      <c r="K30" s="95" t="str">
        <f>VLOOKUP(I30,[7]stage_hints!$A:$C,3,FALSE)</f>
        <v>メタルダックで経験値を獲得</v>
      </c>
      <c r="L30" s="96" t="str">
        <f>VLOOKUP(I30,[7]stage_hints!$A:$D,4,FALSE)</f>
        <v>「メタルなアヒル」を強化素材にすると_x000D_大量の経験値がもらえます</v>
      </c>
      <c r="M30" s="57" t="s">
        <v>211</v>
      </c>
    </row>
    <row r="31" spans="1:13" x14ac:dyDescent="0.15">
      <c r="A31" s="82" t="s">
        <v>201</v>
      </c>
      <c r="B31" s="83">
        <f>floors!$C$2</f>
        <v>48703</v>
      </c>
      <c r="C31" s="84" t="str">
        <f ca="1">VLOOKUP($B31,OFFSET([2]quests!$A$1,0,0,COUNTA([2]quests!$A:$A),MATCH(C$1,[2]quests!$1:$1,0)-MATCH($B$1,[2]quests!$1:$1,0)+1),MATCH(C$1,[2]quests!$1:$1,0)-MATCH($B$1,[2]quests!$1:$1,0)+1,FALSE)</f>
        <v>紅蓮襲来！</v>
      </c>
      <c r="D31" s="84" t="str">
        <f ca="1">VLOOKUP($B31,OFFSET([2]quests!$A$1,0,0,COUNTA([2]quests!$A:$A),MATCH(D$1,[2]quests!$1:$1,0)-MATCH($B$1,[2]quests!$1:$1,0)+1),MATCH(D$1,[2]quests!$1:$1,0)-MATCH($B$1,[2]quests!$1:$1,0)+1,FALSE)</f>
        <v>韓国版降臨3</v>
      </c>
      <c r="E31" s="88" t="s">
        <v>215</v>
      </c>
      <c r="F31" s="84" t="e">
        <f ca="1">VLOOKUP($B31&amp;"_"&amp;$E31,OFFSET([2]stages!$A$1,0,0,COUNTA([2]stages!$A:$A),MATCH(F$1,[2]stages!$2:$2,0)-MATCH("temp_stage",[2]stages!$2:$2,0)+1),MATCH(F$1,[2]stages!$2:$2,0)-MATCH("temp_stage",[2]stages!$2:$2,0)+1,FALSE)</f>
        <v>#N/A</v>
      </c>
      <c r="G31" s="84" t="e">
        <f ca="1">VLOOKUP($B31&amp;"_"&amp;$E31,OFFSET([2]stages!$A$1,0,0,COUNTA([2]stages!$A:$A),MATCH(G$1,[2]stages!$2:$2,0)-MATCH("temp_stage",[2]stages!$2:$2,0)+1),MATCH(G$1,[2]stages!$2:$2,0)-MATCH("temp_stage",[2]stages!$2:$2,0)+1,FALSE)</f>
        <v>#N/A</v>
      </c>
      <c r="H31" s="86">
        <v>0</v>
      </c>
      <c r="I31">
        <v>8</v>
      </c>
      <c r="J31" s="85" t="s">
        <v>199</v>
      </c>
      <c r="K31" s="95" t="str">
        <f>VLOOKUP(I31,[7]stage_hints!$A:$C,3,FALSE)</f>
        <v>ゲリラクエストは要チェック</v>
      </c>
      <c r="L31" s="96" t="str">
        <f>VLOOKUP(I31,[7]stage_hints!$A:$D,4,FALSE)</f>
        <v>時間限定の「アヒル捕獲作戦」では_x000D_経験値素材ユニットが多く手に入ります</v>
      </c>
      <c r="M31" s="57" t="s">
        <v>211</v>
      </c>
    </row>
    <row r="32" spans="1:13" x14ac:dyDescent="0.15">
      <c r="A32" s="82" t="s">
        <v>201</v>
      </c>
      <c r="B32" s="83">
        <f>floors!$C$2</f>
        <v>48703</v>
      </c>
      <c r="C32" s="84" t="str">
        <f ca="1">VLOOKUP($B32,OFFSET([2]quests!$A$1,0,0,COUNTA([2]quests!$A:$A),MATCH(C$1,[2]quests!$1:$1,0)-MATCH($B$1,[2]quests!$1:$1,0)+1),MATCH(C$1,[2]quests!$1:$1,0)-MATCH($B$1,[2]quests!$1:$1,0)+1,FALSE)</f>
        <v>紅蓮襲来！</v>
      </c>
      <c r="D32" s="84" t="str">
        <f ca="1">VLOOKUP($B32,OFFSET([2]quests!$A$1,0,0,COUNTA([2]quests!$A:$A),MATCH(D$1,[2]quests!$1:$1,0)-MATCH($B$1,[2]quests!$1:$1,0)+1),MATCH(D$1,[2]quests!$1:$1,0)-MATCH($B$1,[2]quests!$1:$1,0)+1,FALSE)</f>
        <v>韓国版降臨3</v>
      </c>
      <c r="E32" s="88" t="s">
        <v>215</v>
      </c>
      <c r="F32" s="84" t="e">
        <f ca="1">VLOOKUP($B32&amp;"_"&amp;$E32,OFFSET([2]stages!$A$1,0,0,COUNTA([2]stages!$A:$A),MATCH(F$1,[2]stages!$2:$2,0)-MATCH("temp_stage",[2]stages!$2:$2,0)+1),MATCH(F$1,[2]stages!$2:$2,0)-MATCH("temp_stage",[2]stages!$2:$2,0)+1,FALSE)</f>
        <v>#N/A</v>
      </c>
      <c r="G32" s="84" t="e">
        <f ca="1">VLOOKUP($B32&amp;"_"&amp;$E32,OFFSET([2]stages!$A$1,0,0,COUNTA([2]stages!$A:$A),MATCH(G$1,[2]stages!$2:$2,0)-MATCH("temp_stage",[2]stages!$2:$2,0)+1),MATCH(G$1,[2]stages!$2:$2,0)-MATCH("temp_stage",[2]stages!$2:$2,0)+1,FALSE)</f>
        <v>#N/A</v>
      </c>
      <c r="H32" s="86">
        <v>0</v>
      </c>
      <c r="I32">
        <v>9</v>
      </c>
      <c r="J32" s="85" t="s">
        <v>199</v>
      </c>
      <c r="K32" s="95" t="str">
        <f>VLOOKUP(I32,[7]stage_hints!$A:$C,3,FALSE)</f>
        <v>ゴールドダックでビットを獲得</v>
      </c>
      <c r="L32" s="96" t="str">
        <f>VLOOKUP(I32,[7]stage_hints!$A:$D,4,FALSE)</f>
        <v>「ゴールドなアヒル」を売却すると_x000D_大量のビットがもらえます</v>
      </c>
      <c r="M32" s="57" t="s">
        <v>211</v>
      </c>
    </row>
    <row r="33" spans="1:13" x14ac:dyDescent="0.15">
      <c r="A33" s="82" t="s">
        <v>201</v>
      </c>
      <c r="B33" s="83">
        <f>floors!$C$2</f>
        <v>48703</v>
      </c>
      <c r="C33" s="84" t="str">
        <f ca="1">VLOOKUP($B33,OFFSET([2]quests!$A$1,0,0,COUNTA([2]quests!$A:$A),MATCH(C$1,[2]quests!$1:$1,0)-MATCH($B$1,[2]quests!$1:$1,0)+1),MATCH(C$1,[2]quests!$1:$1,0)-MATCH($B$1,[2]quests!$1:$1,0)+1,FALSE)</f>
        <v>紅蓮襲来！</v>
      </c>
      <c r="D33" s="84" t="str">
        <f ca="1">VLOOKUP($B33,OFFSET([2]quests!$A$1,0,0,COUNTA([2]quests!$A:$A),MATCH(D$1,[2]quests!$1:$1,0)-MATCH($B$1,[2]quests!$1:$1,0)+1),MATCH(D$1,[2]quests!$1:$1,0)-MATCH($B$1,[2]quests!$1:$1,0)+1,FALSE)</f>
        <v>韓国版降臨3</v>
      </c>
      <c r="E33" s="88" t="s">
        <v>215</v>
      </c>
      <c r="F33" s="84" t="e">
        <f ca="1">VLOOKUP($B33&amp;"_"&amp;$E33,OFFSET([2]stages!$A$1,0,0,COUNTA([2]stages!$A:$A),MATCH(F$1,[2]stages!$2:$2,0)-MATCH("temp_stage",[2]stages!$2:$2,0)+1),MATCH(F$1,[2]stages!$2:$2,0)-MATCH("temp_stage",[2]stages!$2:$2,0)+1,FALSE)</f>
        <v>#N/A</v>
      </c>
      <c r="G33" s="84" t="e">
        <f ca="1">VLOOKUP($B33&amp;"_"&amp;$E33,OFFSET([2]stages!$A$1,0,0,COUNTA([2]stages!$A:$A),MATCH(G$1,[2]stages!$2:$2,0)-MATCH("temp_stage",[2]stages!$2:$2,0)+1),MATCH(G$1,[2]stages!$2:$2,0)-MATCH("temp_stage",[2]stages!$2:$2,0)+1,FALSE)</f>
        <v>#N/A</v>
      </c>
      <c r="H33" s="86">
        <v>0</v>
      </c>
      <c r="I33">
        <v>10</v>
      </c>
      <c r="J33" s="85" t="s">
        <v>199</v>
      </c>
      <c r="K33" s="95" t="str">
        <f>VLOOKUP(I33,[7]stage_hints!$A:$C,3,FALSE)</f>
        <v>土日に大量のビットを獲得</v>
      </c>
      <c r="L33" s="96" t="str">
        <f>VLOOKUP(I33,[7]stage_hints!$A:$D,4,FALSE)</f>
        <v>土日限定の「ゴールドカジノ」では_x000D_売却素材ユニットが多く手に入ります</v>
      </c>
      <c r="M33" s="57" t="s">
        <v>211</v>
      </c>
    </row>
    <row r="34" spans="1:13" x14ac:dyDescent="0.15">
      <c r="A34" s="82" t="s">
        <v>201</v>
      </c>
      <c r="B34" s="83">
        <f>floors!$C$2</f>
        <v>48703</v>
      </c>
      <c r="C34" s="84" t="str">
        <f ca="1">VLOOKUP($B34,OFFSET([2]quests!$A$1,0,0,COUNTA([2]quests!$A:$A),MATCH(C$1,[2]quests!$1:$1,0)-MATCH($B$1,[2]quests!$1:$1,0)+1),MATCH(C$1,[2]quests!$1:$1,0)-MATCH($B$1,[2]quests!$1:$1,0)+1,FALSE)</f>
        <v>紅蓮襲来！</v>
      </c>
      <c r="D34" s="84" t="str">
        <f ca="1">VLOOKUP($B34,OFFSET([2]quests!$A$1,0,0,COUNTA([2]quests!$A:$A),MATCH(D$1,[2]quests!$1:$1,0)-MATCH($B$1,[2]quests!$1:$1,0)+1),MATCH(D$1,[2]quests!$1:$1,0)-MATCH($B$1,[2]quests!$1:$1,0)+1,FALSE)</f>
        <v>韓国版降臨3</v>
      </c>
      <c r="E34" s="88" t="s">
        <v>215</v>
      </c>
      <c r="F34" s="84" t="e">
        <f ca="1">VLOOKUP($B34&amp;"_"&amp;$E34,OFFSET([2]stages!$A$1,0,0,COUNTA([2]stages!$A:$A),MATCH(F$1,[2]stages!$2:$2,0)-MATCH("temp_stage",[2]stages!$2:$2,0)+1),MATCH(F$1,[2]stages!$2:$2,0)-MATCH("temp_stage",[2]stages!$2:$2,0)+1,FALSE)</f>
        <v>#N/A</v>
      </c>
      <c r="G34" s="84" t="e">
        <f ca="1">VLOOKUP($B34&amp;"_"&amp;$E34,OFFSET([2]stages!$A$1,0,0,COUNTA([2]stages!$A:$A),MATCH(G$1,[2]stages!$2:$2,0)-MATCH("temp_stage",[2]stages!$2:$2,0)+1),MATCH(G$1,[2]stages!$2:$2,0)-MATCH("temp_stage",[2]stages!$2:$2,0)+1,FALSE)</f>
        <v>#N/A</v>
      </c>
      <c r="H34" s="86">
        <v>0</v>
      </c>
      <c r="I34">
        <v>11</v>
      </c>
      <c r="J34" s="85" t="s">
        <v>199</v>
      </c>
      <c r="K34" s="95" t="str">
        <f>VLOOKUP(I34,[7]stage_hints!$A:$C,3,FALSE)</f>
        <v>ゲリラクエストは要チェック</v>
      </c>
      <c r="L34" s="96" t="str">
        <f>VLOOKUP(I34,[7]stage_hints!$A:$D,4,FALSE)</f>
        <v>時間限定の「アヒル捕獲作戦」では_x000D_経験値素材ユニットが多く手に入ります</v>
      </c>
      <c r="M34" s="57" t="s">
        <v>211</v>
      </c>
    </row>
    <row r="35" spans="1:13" x14ac:dyDescent="0.15">
      <c r="A35" s="82" t="s">
        <v>201</v>
      </c>
      <c r="B35" s="83">
        <f>floors!$C$2</f>
        <v>48703</v>
      </c>
      <c r="C35" s="84" t="str">
        <f ca="1">VLOOKUP($B35,OFFSET([2]quests!$A$1,0,0,COUNTA([2]quests!$A:$A),MATCH(C$1,[2]quests!$1:$1,0)-MATCH($B$1,[2]quests!$1:$1,0)+1),MATCH(C$1,[2]quests!$1:$1,0)-MATCH($B$1,[2]quests!$1:$1,0)+1,FALSE)</f>
        <v>紅蓮襲来！</v>
      </c>
      <c r="D35" s="84" t="str">
        <f ca="1">VLOOKUP($B35,OFFSET([2]quests!$A$1,0,0,COUNTA([2]quests!$A:$A),MATCH(D$1,[2]quests!$1:$1,0)-MATCH($B$1,[2]quests!$1:$1,0)+1),MATCH(D$1,[2]quests!$1:$1,0)-MATCH($B$1,[2]quests!$1:$1,0)+1,FALSE)</f>
        <v>韓国版降臨3</v>
      </c>
      <c r="E35" s="88" t="s">
        <v>215</v>
      </c>
      <c r="F35" s="84" t="e">
        <f ca="1">VLOOKUP($B35&amp;"_"&amp;$E35,OFFSET([2]stages!$A$1,0,0,COUNTA([2]stages!$A:$A),MATCH(F$1,[2]stages!$2:$2,0)-MATCH("temp_stage",[2]stages!$2:$2,0)+1),MATCH(F$1,[2]stages!$2:$2,0)-MATCH("temp_stage",[2]stages!$2:$2,0)+1,FALSE)</f>
        <v>#N/A</v>
      </c>
      <c r="G35" s="84" t="e">
        <f ca="1">VLOOKUP($B35&amp;"_"&amp;$E35,OFFSET([2]stages!$A$1,0,0,COUNTA([2]stages!$A:$A),MATCH(G$1,[2]stages!$2:$2,0)-MATCH("temp_stage",[2]stages!$2:$2,0)+1),MATCH(G$1,[2]stages!$2:$2,0)-MATCH("temp_stage",[2]stages!$2:$2,0)+1,FALSE)</f>
        <v>#N/A</v>
      </c>
      <c r="H35" s="86">
        <v>0</v>
      </c>
      <c r="I35">
        <v>12</v>
      </c>
      <c r="J35" s="85" t="s">
        <v>199</v>
      </c>
      <c r="K35" s="95" t="str">
        <f>VLOOKUP(I35,[7]stage_hints!$A:$C,3,FALSE)</f>
        <v>ユニットのお気に入り登録</v>
      </c>
      <c r="L35" s="96" t="str">
        <f>VLOOKUP(I35,[7]stage_hints!$A:$D,4,FALSE)</f>
        <v>大事なユニットを誤って消さないように_x000D_フォルダから「お気に入り登録」しましょう</v>
      </c>
      <c r="M35" s="57" t="s">
        <v>211</v>
      </c>
    </row>
    <row r="36" spans="1:13" x14ac:dyDescent="0.15">
      <c r="A36" s="82" t="s">
        <v>201</v>
      </c>
      <c r="B36" s="83">
        <f>floors!$C$2</f>
        <v>48703</v>
      </c>
      <c r="C36" s="84" t="str">
        <f ca="1">VLOOKUP($B36,OFFSET([2]quests!$A$1,0,0,COUNTA([2]quests!$A:$A),MATCH(C$1,[2]quests!$1:$1,0)-MATCH($B$1,[2]quests!$1:$1,0)+1),MATCH(C$1,[2]quests!$1:$1,0)-MATCH($B$1,[2]quests!$1:$1,0)+1,FALSE)</f>
        <v>紅蓮襲来！</v>
      </c>
      <c r="D36" s="84" t="str">
        <f ca="1">VLOOKUP($B36,OFFSET([2]quests!$A$1,0,0,COUNTA([2]quests!$A:$A),MATCH(D$1,[2]quests!$1:$1,0)-MATCH($B$1,[2]quests!$1:$1,0)+1),MATCH(D$1,[2]quests!$1:$1,0)-MATCH($B$1,[2]quests!$1:$1,0)+1,FALSE)</f>
        <v>韓国版降臨3</v>
      </c>
      <c r="E36" s="88" t="s">
        <v>215</v>
      </c>
      <c r="F36" s="84" t="e">
        <f ca="1">VLOOKUP($B36&amp;"_"&amp;$E36,OFFSET([2]stages!$A$1,0,0,COUNTA([2]stages!$A:$A),MATCH(F$1,[2]stages!$2:$2,0)-MATCH("temp_stage",[2]stages!$2:$2,0)+1),MATCH(F$1,[2]stages!$2:$2,0)-MATCH("temp_stage",[2]stages!$2:$2,0)+1,FALSE)</f>
        <v>#N/A</v>
      </c>
      <c r="G36" s="84" t="e">
        <f ca="1">VLOOKUP($B36&amp;"_"&amp;$E36,OFFSET([2]stages!$A$1,0,0,COUNTA([2]stages!$A:$A),MATCH(G$1,[2]stages!$2:$2,0)-MATCH("temp_stage",[2]stages!$2:$2,0)+1),MATCH(G$1,[2]stages!$2:$2,0)-MATCH("temp_stage",[2]stages!$2:$2,0)+1,FALSE)</f>
        <v>#N/A</v>
      </c>
      <c r="H36" s="86">
        <v>0</v>
      </c>
      <c r="I36">
        <v>13</v>
      </c>
      <c r="J36" s="85" t="s">
        <v>199</v>
      </c>
      <c r="K36" s="95" t="str">
        <f>VLOOKUP(I36,[7]stage_hints!$A:$C,3,FALSE)</f>
        <v>ユニットの覚醒</v>
      </c>
      <c r="L36" s="96" t="str">
        <f>VLOOKUP(I36,[7]stage_hints!$A:$D,4,FALSE)</f>
        <v>ユニットを覚醒させると_x000D_比べものにならない強さが手に入ります</v>
      </c>
      <c r="M36" s="57" t="s">
        <v>211</v>
      </c>
    </row>
    <row r="37" spans="1:13" x14ac:dyDescent="0.15">
      <c r="A37" s="82" t="s">
        <v>201</v>
      </c>
      <c r="B37" s="83">
        <f>floors!$C$2</f>
        <v>48703</v>
      </c>
      <c r="C37" s="84" t="str">
        <f ca="1">VLOOKUP($B37,OFFSET([2]quests!$A$1,0,0,COUNTA([2]quests!$A:$A),MATCH(C$1,[2]quests!$1:$1,0)-MATCH($B$1,[2]quests!$1:$1,0)+1),MATCH(C$1,[2]quests!$1:$1,0)-MATCH($B$1,[2]quests!$1:$1,0)+1,FALSE)</f>
        <v>紅蓮襲来！</v>
      </c>
      <c r="D37" s="84" t="str">
        <f ca="1">VLOOKUP($B37,OFFSET([2]quests!$A$1,0,0,COUNTA([2]quests!$A:$A),MATCH(D$1,[2]quests!$1:$1,0)-MATCH($B$1,[2]quests!$1:$1,0)+1),MATCH(D$1,[2]quests!$1:$1,0)-MATCH($B$1,[2]quests!$1:$1,0)+1,FALSE)</f>
        <v>韓国版降臨3</v>
      </c>
      <c r="E37" s="88" t="s">
        <v>215</v>
      </c>
      <c r="F37" s="84" t="e">
        <f ca="1">VLOOKUP($B37&amp;"_"&amp;$E37,OFFSET([2]stages!$A$1,0,0,COUNTA([2]stages!$A:$A),MATCH(F$1,[2]stages!$2:$2,0)-MATCH("temp_stage",[2]stages!$2:$2,0)+1),MATCH(F$1,[2]stages!$2:$2,0)-MATCH("temp_stage",[2]stages!$2:$2,0)+1,FALSE)</f>
        <v>#N/A</v>
      </c>
      <c r="G37" s="84" t="e">
        <f ca="1">VLOOKUP($B37&amp;"_"&amp;$E37,OFFSET([2]stages!$A$1,0,0,COUNTA([2]stages!$A:$A),MATCH(G$1,[2]stages!$2:$2,0)-MATCH("temp_stage",[2]stages!$2:$2,0)+1),MATCH(G$1,[2]stages!$2:$2,0)-MATCH("temp_stage",[2]stages!$2:$2,0)+1,FALSE)</f>
        <v>#N/A</v>
      </c>
      <c r="H37" s="86">
        <v>0</v>
      </c>
      <c r="I37">
        <v>14</v>
      </c>
      <c r="J37" s="85" t="s">
        <v>199</v>
      </c>
      <c r="K37" s="95" t="str">
        <f>VLOOKUP(I37,[7]stage_hints!$A:$C,3,FALSE)</f>
        <v>覚醒するにはレベルを最大に</v>
      </c>
      <c r="L37" s="96" t="str">
        <f>VLOOKUP(I37,[7]stage_hints!$A:$D,4,FALSE)</f>
        <v>覚醒するにはユニットのレベルを_x000D_最大まで上げる必要があります</v>
      </c>
      <c r="M37" s="57" t="s">
        <v>211</v>
      </c>
    </row>
    <row r="38" spans="1:13" x14ac:dyDescent="0.15">
      <c r="A38" s="82" t="s">
        <v>201</v>
      </c>
      <c r="B38" s="83">
        <f>floors!$C$2</f>
        <v>48703</v>
      </c>
      <c r="C38" s="84" t="str">
        <f ca="1">VLOOKUP($B38,OFFSET([2]quests!$A$1,0,0,COUNTA([2]quests!$A:$A),MATCH(C$1,[2]quests!$1:$1,0)-MATCH($B$1,[2]quests!$1:$1,0)+1),MATCH(C$1,[2]quests!$1:$1,0)-MATCH($B$1,[2]quests!$1:$1,0)+1,FALSE)</f>
        <v>紅蓮襲来！</v>
      </c>
      <c r="D38" s="84" t="str">
        <f ca="1">VLOOKUP($B38,OFFSET([2]quests!$A$1,0,0,COUNTA([2]quests!$A:$A),MATCH(D$1,[2]quests!$1:$1,0)-MATCH($B$1,[2]quests!$1:$1,0)+1),MATCH(D$1,[2]quests!$1:$1,0)-MATCH($B$1,[2]quests!$1:$1,0)+1,FALSE)</f>
        <v>韓国版降臨3</v>
      </c>
      <c r="E38" s="88" t="s">
        <v>215</v>
      </c>
      <c r="F38" s="84" t="e">
        <f ca="1">VLOOKUP($B38&amp;"_"&amp;$E38,OFFSET([2]stages!$A$1,0,0,COUNTA([2]stages!$A:$A),MATCH(F$1,[2]stages!$2:$2,0)-MATCH("temp_stage",[2]stages!$2:$2,0)+1),MATCH(F$1,[2]stages!$2:$2,0)-MATCH("temp_stage",[2]stages!$2:$2,0)+1,FALSE)</f>
        <v>#N/A</v>
      </c>
      <c r="G38" s="84" t="e">
        <f ca="1">VLOOKUP($B38&amp;"_"&amp;$E38,OFFSET([2]stages!$A$1,0,0,COUNTA([2]stages!$A:$A),MATCH(G$1,[2]stages!$2:$2,0)-MATCH("temp_stage",[2]stages!$2:$2,0)+1),MATCH(G$1,[2]stages!$2:$2,0)-MATCH("temp_stage",[2]stages!$2:$2,0)+1,FALSE)</f>
        <v>#N/A</v>
      </c>
      <c r="H38" s="86">
        <v>0</v>
      </c>
      <c r="I38">
        <v>15</v>
      </c>
      <c r="J38" s="85" t="s">
        <v>199</v>
      </c>
      <c r="K38" s="95" t="str">
        <f>VLOOKUP(I38,[7]stage_hints!$A:$C,3,FALSE)</f>
        <v>覚醒素材を獲得</v>
      </c>
      <c r="L38" s="96" t="str">
        <f>VLOOKUP(I38,[7]stage_hints!$A:$D,4,FALSE)</f>
        <v>「曜日クエスト」では_x000D_ユニットの覚醒に必要な素材が手に入ります</v>
      </c>
      <c r="M38" s="57" t="s">
        <v>211</v>
      </c>
    </row>
    <row r="39" spans="1:13" x14ac:dyDescent="0.15">
      <c r="A39" s="82" t="s">
        <v>201</v>
      </c>
      <c r="B39" s="83">
        <f>floors!$C$2</f>
        <v>48703</v>
      </c>
      <c r="C39" s="84" t="str">
        <f ca="1">VLOOKUP($B39,OFFSET([2]quests!$A$1,0,0,COUNTA([2]quests!$A:$A),MATCH(C$1,[2]quests!$1:$1,0)-MATCH($B$1,[2]quests!$1:$1,0)+1),MATCH(C$1,[2]quests!$1:$1,0)-MATCH($B$1,[2]quests!$1:$1,0)+1,FALSE)</f>
        <v>紅蓮襲来！</v>
      </c>
      <c r="D39" s="84" t="str">
        <f ca="1">VLOOKUP($B39,OFFSET([2]quests!$A$1,0,0,COUNTA([2]quests!$A:$A),MATCH(D$1,[2]quests!$1:$1,0)-MATCH($B$1,[2]quests!$1:$1,0)+1),MATCH(D$1,[2]quests!$1:$1,0)-MATCH($B$1,[2]quests!$1:$1,0)+1,FALSE)</f>
        <v>韓国版降臨3</v>
      </c>
      <c r="E39" s="88" t="s">
        <v>215</v>
      </c>
      <c r="F39" s="84" t="e">
        <f ca="1">VLOOKUP($B39&amp;"_"&amp;$E39,OFFSET([2]stages!$A$1,0,0,COUNTA([2]stages!$A:$A),MATCH(F$1,[2]stages!$2:$2,0)-MATCH("temp_stage",[2]stages!$2:$2,0)+1),MATCH(F$1,[2]stages!$2:$2,0)-MATCH("temp_stage",[2]stages!$2:$2,0)+1,FALSE)</f>
        <v>#N/A</v>
      </c>
      <c r="G39" s="84" t="e">
        <f ca="1">VLOOKUP($B39&amp;"_"&amp;$E39,OFFSET([2]stages!$A$1,0,0,COUNTA([2]stages!$A:$A),MATCH(G$1,[2]stages!$2:$2,0)-MATCH("temp_stage",[2]stages!$2:$2,0)+1),MATCH(G$1,[2]stages!$2:$2,0)-MATCH("temp_stage",[2]stages!$2:$2,0)+1,FALSE)</f>
        <v>#N/A</v>
      </c>
      <c r="H39" s="86">
        <v>0</v>
      </c>
      <c r="I39">
        <v>16</v>
      </c>
      <c r="J39" s="85" t="s">
        <v>199</v>
      </c>
      <c r="K39" s="95" t="str">
        <f>VLOOKUP(I39,[7]stage_hints!$A:$C,3,FALSE)</f>
        <v>マルチプレイのメリット（その1）</v>
      </c>
      <c r="L39" s="96" t="str">
        <f>VLOOKUP(I39,[7]stage_hints!$A:$D,4,FALSE)</f>
        <v>他のプレイヤーとマルチプレイで遊ぶと_x000D_ポリゴンがもらえます（100人まで）</v>
      </c>
      <c r="M39" s="57" t="s">
        <v>211</v>
      </c>
    </row>
    <row r="40" spans="1:13" x14ac:dyDescent="0.15">
      <c r="A40" s="82" t="s">
        <v>201</v>
      </c>
      <c r="B40" s="83">
        <f>floors!$C$2</f>
        <v>48703</v>
      </c>
      <c r="C40" s="84" t="str">
        <f ca="1">VLOOKUP($B40,OFFSET([2]quests!$A$1,0,0,COUNTA([2]quests!$A:$A),MATCH(C$1,[2]quests!$1:$1,0)-MATCH($B$1,[2]quests!$1:$1,0)+1),MATCH(C$1,[2]quests!$1:$1,0)-MATCH($B$1,[2]quests!$1:$1,0)+1,FALSE)</f>
        <v>紅蓮襲来！</v>
      </c>
      <c r="D40" s="84" t="str">
        <f ca="1">VLOOKUP($B40,OFFSET([2]quests!$A$1,0,0,COUNTA([2]quests!$A:$A),MATCH(D$1,[2]quests!$1:$1,0)-MATCH($B$1,[2]quests!$1:$1,0)+1),MATCH(D$1,[2]quests!$1:$1,0)-MATCH($B$1,[2]quests!$1:$1,0)+1,FALSE)</f>
        <v>韓国版降臨3</v>
      </c>
      <c r="E40" s="88" t="s">
        <v>215</v>
      </c>
      <c r="F40" s="84" t="e">
        <f ca="1">VLOOKUP($B40&amp;"_"&amp;$E40,OFFSET([2]stages!$A$1,0,0,COUNTA([2]stages!$A:$A),MATCH(F$1,[2]stages!$2:$2,0)-MATCH("temp_stage",[2]stages!$2:$2,0)+1),MATCH(F$1,[2]stages!$2:$2,0)-MATCH("temp_stage",[2]stages!$2:$2,0)+1,FALSE)</f>
        <v>#N/A</v>
      </c>
      <c r="G40" s="84" t="e">
        <f ca="1">VLOOKUP($B40&amp;"_"&amp;$E40,OFFSET([2]stages!$A$1,0,0,COUNTA([2]stages!$A:$A),MATCH(G$1,[2]stages!$2:$2,0)-MATCH("temp_stage",[2]stages!$2:$2,0)+1),MATCH(G$1,[2]stages!$2:$2,0)-MATCH("temp_stage",[2]stages!$2:$2,0)+1,FALSE)</f>
        <v>#N/A</v>
      </c>
      <c r="H40" s="86">
        <v>0</v>
      </c>
      <c r="I40">
        <v>17</v>
      </c>
      <c r="J40" s="85" t="s">
        <v>199</v>
      </c>
      <c r="K40" s="95" t="str">
        <f>VLOOKUP(I40,[7]stage_hints!$A:$C,3,FALSE)</f>
        <v>リンクガチャ</v>
      </c>
      <c r="L40" s="96" t="str">
        <f>VLOOKUP(I40,[7]stage_hints!$A:$D,4,FALSE)</f>
        <v>無料のリンクガチャを回して_x000D_経験値素材や売却素材を獲得しましょう</v>
      </c>
      <c r="M40" s="57" t="s">
        <v>211</v>
      </c>
    </row>
    <row r="41" spans="1:13" x14ac:dyDescent="0.15">
      <c r="A41" s="82" t="s">
        <v>201</v>
      </c>
      <c r="B41" s="83">
        <f>floors!$C$2</f>
        <v>48703</v>
      </c>
      <c r="C41" s="84" t="str">
        <f ca="1">VLOOKUP($B41,OFFSET([2]quests!$A$1,0,0,COUNTA([2]quests!$A:$A),MATCH(C$1,[2]quests!$1:$1,0)-MATCH($B$1,[2]quests!$1:$1,0)+1),MATCH(C$1,[2]quests!$1:$1,0)-MATCH($B$1,[2]quests!$1:$1,0)+1,FALSE)</f>
        <v>紅蓮襲来！</v>
      </c>
      <c r="D41" s="84" t="str">
        <f ca="1">VLOOKUP($B41,OFFSET([2]quests!$A$1,0,0,COUNTA([2]quests!$A:$A),MATCH(D$1,[2]quests!$1:$1,0)-MATCH($B$1,[2]quests!$1:$1,0)+1),MATCH(D$1,[2]quests!$1:$1,0)-MATCH($B$1,[2]quests!$1:$1,0)+1,FALSE)</f>
        <v>韓国版降臨3</v>
      </c>
      <c r="E41" s="88" t="s">
        <v>215</v>
      </c>
      <c r="F41" s="84" t="e">
        <f ca="1">VLOOKUP($B41&amp;"_"&amp;$E41,OFFSET([2]stages!$A$1,0,0,COUNTA([2]stages!$A:$A),MATCH(F$1,[2]stages!$2:$2,0)-MATCH("temp_stage",[2]stages!$2:$2,0)+1),MATCH(F$1,[2]stages!$2:$2,0)-MATCH("temp_stage",[2]stages!$2:$2,0)+1,FALSE)</f>
        <v>#N/A</v>
      </c>
      <c r="G41" s="84" t="e">
        <f ca="1">VLOOKUP($B41&amp;"_"&amp;$E41,OFFSET([2]stages!$A$1,0,0,COUNTA([2]stages!$A:$A),MATCH(G$1,[2]stages!$2:$2,0)-MATCH("temp_stage",[2]stages!$2:$2,0)+1),MATCH(G$1,[2]stages!$2:$2,0)-MATCH("temp_stage",[2]stages!$2:$2,0)+1,FALSE)</f>
        <v>#N/A</v>
      </c>
      <c r="H41" s="86">
        <v>0</v>
      </c>
      <c r="I41">
        <v>18</v>
      </c>
      <c r="J41" s="85" t="s">
        <v>199</v>
      </c>
      <c r="K41" s="95" t="str">
        <f>VLOOKUP(I41,[7]stage_hints!$A:$C,3,FALSE)</f>
        <v>マルチプレイのメリット（その2）</v>
      </c>
      <c r="L41" s="96" t="str">
        <f>VLOOKUP(I41,[7]stage_hints!$A:$D,4,FALSE)</f>
        <v>マルチプレイならリンクが2倍もらえます_x000D_リンクガチャをたくさん回しましょう</v>
      </c>
      <c r="M41" s="57" t="s">
        <v>211</v>
      </c>
    </row>
    <row r="42" spans="1:13" x14ac:dyDescent="0.15">
      <c r="A42" s="82" t="s">
        <v>201</v>
      </c>
      <c r="B42" s="83">
        <f>floors!$C$2</f>
        <v>48703</v>
      </c>
      <c r="C42" s="84" t="str">
        <f ca="1">VLOOKUP($B42,OFFSET([2]quests!$A$1,0,0,COUNTA([2]quests!$A:$A),MATCH(C$1,[2]quests!$1:$1,0)-MATCH($B$1,[2]quests!$1:$1,0)+1),MATCH(C$1,[2]quests!$1:$1,0)-MATCH($B$1,[2]quests!$1:$1,0)+1,FALSE)</f>
        <v>紅蓮襲来！</v>
      </c>
      <c r="D42" s="84" t="str">
        <f ca="1">VLOOKUP($B42,OFFSET([2]quests!$A$1,0,0,COUNTA([2]quests!$A:$A),MATCH(D$1,[2]quests!$1:$1,0)-MATCH($B$1,[2]quests!$1:$1,0)+1),MATCH(D$1,[2]quests!$1:$1,0)-MATCH($B$1,[2]quests!$1:$1,0)+1,FALSE)</f>
        <v>韓国版降臨3</v>
      </c>
      <c r="E42" s="88" t="s">
        <v>215</v>
      </c>
      <c r="F42" s="84" t="e">
        <f ca="1">VLOOKUP($B42&amp;"_"&amp;$E42,OFFSET([2]stages!$A$1,0,0,COUNTA([2]stages!$A:$A),MATCH(F$1,[2]stages!$2:$2,0)-MATCH("temp_stage",[2]stages!$2:$2,0)+1),MATCH(F$1,[2]stages!$2:$2,0)-MATCH("temp_stage",[2]stages!$2:$2,0)+1,FALSE)</f>
        <v>#N/A</v>
      </c>
      <c r="G42" s="84" t="e">
        <f ca="1">VLOOKUP($B42&amp;"_"&amp;$E42,OFFSET([2]stages!$A$1,0,0,COUNTA([2]stages!$A:$A),MATCH(G$1,[2]stages!$2:$2,0)-MATCH("temp_stage",[2]stages!$2:$2,0)+1),MATCH(G$1,[2]stages!$2:$2,0)-MATCH("temp_stage",[2]stages!$2:$2,0)+1,FALSE)</f>
        <v>#N/A</v>
      </c>
      <c r="H42" s="86">
        <v>0</v>
      </c>
      <c r="I42">
        <v>19</v>
      </c>
      <c r="J42" s="85" t="s">
        <v>199</v>
      </c>
      <c r="K42" s="95" t="str">
        <f>VLOOKUP(I42,[7]stage_hints!$A:$C,3,FALSE)</f>
        <v>ソロ専用タワーオブザクイーン</v>
      </c>
      <c r="L42" s="96" t="str">
        <f>VLOOKUP(I42,[7]stage_hints!$A:$D,4,FALSE)</f>
        <v>ソロ専用の「タワーオブザクイーン」は_x000D_期間限定で定期的に開催されます_x000D_ここでしか獲得できない報酬もあるようです</v>
      </c>
      <c r="M42" s="57" t="s">
        <v>211</v>
      </c>
    </row>
    <row r="43" spans="1:13" x14ac:dyDescent="0.15">
      <c r="A43" s="82" t="s">
        <v>201</v>
      </c>
      <c r="B43" s="83">
        <f>floors!$C$2</f>
        <v>48703</v>
      </c>
      <c r="C43" s="84" t="str">
        <f ca="1">VLOOKUP($B43,OFFSET([2]quests!$A$1,0,0,COUNTA([2]quests!$A:$A),MATCH(C$1,[2]quests!$1:$1,0)-MATCH($B$1,[2]quests!$1:$1,0)+1),MATCH(C$1,[2]quests!$1:$1,0)-MATCH($B$1,[2]quests!$1:$1,0)+1,FALSE)</f>
        <v>紅蓮襲来！</v>
      </c>
      <c r="D43" s="84" t="str">
        <f ca="1">VLOOKUP($B43,OFFSET([2]quests!$A$1,0,0,COUNTA([2]quests!$A:$A),MATCH(D$1,[2]quests!$1:$1,0)-MATCH($B$1,[2]quests!$1:$1,0)+1),MATCH(D$1,[2]quests!$1:$1,0)-MATCH($B$1,[2]quests!$1:$1,0)+1,FALSE)</f>
        <v>韓国版降臨3</v>
      </c>
      <c r="E43" s="88" t="s">
        <v>215</v>
      </c>
      <c r="F43" s="84" t="e">
        <f ca="1">VLOOKUP($B43&amp;"_"&amp;$E43,OFFSET([2]stages!$A$1,0,0,COUNTA([2]stages!$A:$A),MATCH(F$1,[2]stages!$2:$2,0)-MATCH("temp_stage",[2]stages!$2:$2,0)+1),MATCH(F$1,[2]stages!$2:$2,0)-MATCH("temp_stage",[2]stages!$2:$2,0)+1,FALSE)</f>
        <v>#N/A</v>
      </c>
      <c r="G43" s="84" t="e">
        <f ca="1">VLOOKUP($B43&amp;"_"&amp;$E43,OFFSET([2]stages!$A$1,0,0,COUNTA([2]stages!$A:$A),MATCH(G$1,[2]stages!$2:$2,0)-MATCH("temp_stage",[2]stages!$2:$2,0)+1),MATCH(G$1,[2]stages!$2:$2,0)-MATCH("temp_stage",[2]stages!$2:$2,0)+1,FALSE)</f>
        <v>#N/A</v>
      </c>
      <c r="H43" s="86">
        <v>0</v>
      </c>
      <c r="I43">
        <v>20</v>
      </c>
      <c r="J43" s="85" t="s">
        <v>199</v>
      </c>
      <c r="K43" s="95" t="str">
        <f>VLOOKUP(I43,[7]stage_hints!$A:$C,3,FALSE)</f>
        <v>マルチプレイのメリット（その3）</v>
      </c>
      <c r="L43" s="96" t="str">
        <f>VLOOKUP(I43,[7]stage_hints!$A:$D,4,FALSE)</f>
        <v>マルチプレイへの参加はエナジー消費ゼロ_x000D_いつでも好きなだけ遊ぶことができます</v>
      </c>
      <c r="M43" s="57" t="s">
        <v>211</v>
      </c>
    </row>
    <row r="44" spans="1:13" x14ac:dyDescent="0.15">
      <c r="A44" s="82" t="s">
        <v>201</v>
      </c>
      <c r="B44" s="83">
        <f>floors!$C$2</f>
        <v>48703</v>
      </c>
      <c r="C44" s="84" t="str">
        <f ca="1">VLOOKUP($B44,OFFSET([2]quests!$A$1,0,0,COUNTA([2]quests!$A:$A),MATCH(C$1,[2]quests!$1:$1,0)-MATCH($B$1,[2]quests!$1:$1,0)+1),MATCH(C$1,[2]quests!$1:$1,0)-MATCH($B$1,[2]quests!$1:$1,0)+1,FALSE)</f>
        <v>紅蓮襲来！</v>
      </c>
      <c r="D44" s="84" t="str">
        <f ca="1">VLOOKUP($B44,OFFSET([2]quests!$A$1,0,0,COUNTA([2]quests!$A:$A),MATCH(D$1,[2]quests!$1:$1,0)-MATCH($B$1,[2]quests!$1:$1,0)+1),MATCH(D$1,[2]quests!$1:$1,0)-MATCH($B$1,[2]quests!$1:$1,0)+1,FALSE)</f>
        <v>韓国版降臨3</v>
      </c>
      <c r="E44" s="88" t="s">
        <v>215</v>
      </c>
      <c r="F44" s="84" t="e">
        <f ca="1">VLOOKUP($B44&amp;"_"&amp;$E44,OFFSET([2]stages!$A$1,0,0,COUNTA([2]stages!$A:$A),MATCH(F$1,[2]stages!$2:$2,0)-MATCH("temp_stage",[2]stages!$2:$2,0)+1),MATCH(F$1,[2]stages!$2:$2,0)-MATCH("temp_stage",[2]stages!$2:$2,0)+1,FALSE)</f>
        <v>#N/A</v>
      </c>
      <c r="G44" s="84" t="e">
        <f ca="1">VLOOKUP($B44&amp;"_"&amp;$E44,OFFSET([2]stages!$A$1,0,0,COUNTA([2]stages!$A:$A),MATCH(G$1,[2]stages!$2:$2,0)-MATCH("temp_stage",[2]stages!$2:$2,0)+1),MATCH(G$1,[2]stages!$2:$2,0)-MATCH("temp_stage",[2]stages!$2:$2,0)+1,FALSE)</f>
        <v>#N/A</v>
      </c>
      <c r="H44" s="86">
        <v>0</v>
      </c>
      <c r="I44">
        <v>21</v>
      </c>
      <c r="J44" s="85" t="s">
        <v>199</v>
      </c>
      <c r="K44" s="95" t="str">
        <f>VLOOKUP(I44,[7]stage_hints!$A:$C,3,FALSE)</f>
        <v>スキルを有効に</v>
      </c>
      <c r="L44" s="96" t="str">
        <f>VLOOKUP(I44,[7]stage_hints!$A:$D,4,FALSE)</f>
        <v>ターン経過でユニットのスキルが使えます_x000D_強力スキルでバトルを有利に進めましょう</v>
      </c>
      <c r="M44" s="57" t="s">
        <v>211</v>
      </c>
    </row>
    <row r="45" spans="1:13" x14ac:dyDescent="0.15">
      <c r="A45" s="82" t="s">
        <v>201</v>
      </c>
      <c r="B45" s="83">
        <f>floors!$C$2</f>
        <v>48703</v>
      </c>
      <c r="C45" s="84" t="str">
        <f ca="1">VLOOKUP($B45,OFFSET([2]quests!$A$1,0,0,COUNTA([2]quests!$A:$A),MATCH(C$1,[2]quests!$1:$1,0)-MATCH($B$1,[2]quests!$1:$1,0)+1),MATCH(C$1,[2]quests!$1:$1,0)-MATCH($B$1,[2]quests!$1:$1,0)+1,FALSE)</f>
        <v>紅蓮襲来！</v>
      </c>
      <c r="D45" s="84" t="str">
        <f ca="1">VLOOKUP($B45,OFFSET([2]quests!$A$1,0,0,COUNTA([2]quests!$A:$A),MATCH(D$1,[2]quests!$1:$1,0)-MATCH($B$1,[2]quests!$1:$1,0)+1),MATCH(D$1,[2]quests!$1:$1,0)-MATCH($B$1,[2]quests!$1:$1,0)+1,FALSE)</f>
        <v>韓国版降臨3</v>
      </c>
      <c r="E45" s="88" t="s">
        <v>215</v>
      </c>
      <c r="F45" s="84" t="e">
        <f ca="1">VLOOKUP($B45&amp;"_"&amp;$E45,OFFSET([2]stages!$A$1,0,0,COUNTA([2]stages!$A:$A),MATCH(F$1,[2]stages!$2:$2,0)-MATCH("temp_stage",[2]stages!$2:$2,0)+1),MATCH(F$1,[2]stages!$2:$2,0)-MATCH("temp_stage",[2]stages!$2:$2,0)+1,FALSE)</f>
        <v>#N/A</v>
      </c>
      <c r="G45" s="84" t="e">
        <f ca="1">VLOOKUP($B45&amp;"_"&amp;$E45,OFFSET([2]stages!$A$1,0,0,COUNTA([2]stages!$A:$A),MATCH(G$1,[2]stages!$2:$2,0)-MATCH("temp_stage",[2]stages!$2:$2,0)+1),MATCH(G$1,[2]stages!$2:$2,0)-MATCH("temp_stage",[2]stages!$2:$2,0)+1,FALSE)</f>
        <v>#N/A</v>
      </c>
      <c r="H45" s="86">
        <v>0</v>
      </c>
      <c r="I45">
        <v>22</v>
      </c>
      <c r="J45" s="85" t="s">
        <v>199</v>
      </c>
      <c r="K45" s="95" t="str">
        <f>VLOOKUP(I45,[7]stage_hints!$A:$C,3,FALSE)</f>
        <v>フィーバーで一発逆転（その1）</v>
      </c>
      <c r="L45" s="96" t="str">
        <f>VLOOKUP(I45,[7]stage_hints!$A:$D,4,FALSE)</f>
        <v>フィーバーは攻撃と回復を兼ね備えます_x000D_ピンチからの一発逆転を狙いましょう</v>
      </c>
      <c r="M45" s="57" t="s">
        <v>211</v>
      </c>
    </row>
    <row r="46" spans="1:13" x14ac:dyDescent="0.15">
      <c r="A46" s="82" t="s">
        <v>201</v>
      </c>
      <c r="B46" s="83">
        <f>floors!$C$2</f>
        <v>48703</v>
      </c>
      <c r="C46" s="84" t="str">
        <f ca="1">VLOOKUP($B46,OFFSET([2]quests!$A$1,0,0,COUNTA([2]quests!$A:$A),MATCH(C$1,[2]quests!$1:$1,0)-MATCH($B$1,[2]quests!$1:$1,0)+1),MATCH(C$1,[2]quests!$1:$1,0)-MATCH($B$1,[2]quests!$1:$1,0)+1,FALSE)</f>
        <v>紅蓮襲来！</v>
      </c>
      <c r="D46" s="84" t="str">
        <f ca="1">VLOOKUP($B46,OFFSET([2]quests!$A$1,0,0,COUNTA([2]quests!$A:$A),MATCH(D$1,[2]quests!$1:$1,0)-MATCH($B$1,[2]quests!$1:$1,0)+1),MATCH(D$1,[2]quests!$1:$1,0)-MATCH($B$1,[2]quests!$1:$1,0)+1,FALSE)</f>
        <v>韓国版降臨3</v>
      </c>
      <c r="E46" s="88" t="s">
        <v>215</v>
      </c>
      <c r="F46" s="84" t="e">
        <f ca="1">VLOOKUP($B46&amp;"_"&amp;$E46,OFFSET([2]stages!$A$1,0,0,COUNTA([2]stages!$A:$A),MATCH(F$1,[2]stages!$2:$2,0)-MATCH("temp_stage",[2]stages!$2:$2,0)+1),MATCH(F$1,[2]stages!$2:$2,0)-MATCH("temp_stage",[2]stages!$2:$2,0)+1,FALSE)</f>
        <v>#N/A</v>
      </c>
      <c r="G46" s="84" t="e">
        <f ca="1">VLOOKUP($B46&amp;"_"&amp;$E46,OFFSET([2]stages!$A$1,0,0,COUNTA([2]stages!$A:$A),MATCH(G$1,[2]stages!$2:$2,0)-MATCH("temp_stage",[2]stages!$2:$2,0)+1),MATCH(G$1,[2]stages!$2:$2,0)-MATCH("temp_stage",[2]stages!$2:$2,0)+1,FALSE)</f>
        <v>#N/A</v>
      </c>
      <c r="H46" s="86">
        <v>0</v>
      </c>
      <c r="I46">
        <v>23</v>
      </c>
      <c r="J46" s="85" t="s">
        <v>199</v>
      </c>
      <c r="K46" s="95" t="str">
        <f>VLOOKUP(I46,[7]stage_hints!$A:$C,3,FALSE)</f>
        <v>フィーバーで一発逆転（その2）</v>
      </c>
      <c r="L46" s="96" t="str">
        <f>VLOOKUP(I46,[7]stage_hints!$A:$D,4,FALSE)</f>
        <v>フィーバー中は虹色のボムパネルを狙って_x000D_画面上のパネルを一気に破壊しましょう</v>
      </c>
      <c r="M46" s="57" t="s">
        <v>211</v>
      </c>
    </row>
    <row r="47" spans="1:13" x14ac:dyDescent="0.15">
      <c r="A47" s="82" t="s">
        <v>201</v>
      </c>
      <c r="B47" s="83">
        <f>floors!$C$2</f>
        <v>48703</v>
      </c>
      <c r="C47" s="84" t="str">
        <f ca="1">VLOOKUP($B47,OFFSET([2]quests!$A$1,0,0,COUNTA([2]quests!$A:$A),MATCH(C$1,[2]quests!$1:$1,0)-MATCH($B$1,[2]quests!$1:$1,0)+1),MATCH(C$1,[2]quests!$1:$1,0)-MATCH($B$1,[2]quests!$1:$1,0)+1,FALSE)</f>
        <v>紅蓮襲来！</v>
      </c>
      <c r="D47" s="84" t="str">
        <f ca="1">VLOOKUP($B47,OFFSET([2]quests!$A$1,0,0,COUNTA([2]quests!$A:$A),MATCH(D$1,[2]quests!$1:$1,0)-MATCH($B$1,[2]quests!$1:$1,0)+1),MATCH(D$1,[2]quests!$1:$1,0)-MATCH($B$1,[2]quests!$1:$1,0)+1,FALSE)</f>
        <v>韓国版降臨3</v>
      </c>
      <c r="E47" s="88" t="s">
        <v>215</v>
      </c>
      <c r="F47" s="84" t="e">
        <f ca="1">VLOOKUP($B47&amp;"_"&amp;$E47,OFFSET([2]stages!$A$1,0,0,COUNTA([2]stages!$A:$A),MATCH(F$1,[2]stages!$2:$2,0)-MATCH("temp_stage",[2]stages!$2:$2,0)+1),MATCH(F$1,[2]stages!$2:$2,0)-MATCH("temp_stage",[2]stages!$2:$2,0)+1,FALSE)</f>
        <v>#N/A</v>
      </c>
      <c r="G47" s="84" t="e">
        <f ca="1">VLOOKUP($B47&amp;"_"&amp;$E47,OFFSET([2]stages!$A$1,0,0,COUNTA([2]stages!$A:$A),MATCH(G$1,[2]stages!$2:$2,0)-MATCH("temp_stage",[2]stages!$2:$2,0)+1),MATCH(G$1,[2]stages!$2:$2,0)-MATCH("temp_stage",[2]stages!$2:$2,0)+1,FALSE)</f>
        <v>#N/A</v>
      </c>
      <c r="H47" s="86">
        <v>0</v>
      </c>
      <c r="I47">
        <v>24</v>
      </c>
      <c r="J47" s="85" t="s">
        <v>199</v>
      </c>
      <c r="K47" s="95" t="str">
        <f>VLOOKUP(I47,[7]stage_hints!$A:$C,3,FALSE)</f>
        <v>果実を使って限界突破</v>
      </c>
      <c r="L47" s="96" t="str">
        <f>VLOOKUP(I47,[7]stage_hints!$A:$D,4,FALSE)</f>
        <v>攻めの果実 癒しの果実_x000D_生命の果実をユニット強化に使うと_x000D_ステータスが限界突破します（計99個迄）</v>
      </c>
      <c r="M47" s="57" t="s">
        <v>211</v>
      </c>
    </row>
    <row r="48" spans="1:13" x14ac:dyDescent="0.15">
      <c r="A48" s="82" t="s">
        <v>201</v>
      </c>
      <c r="B48" s="83">
        <f>floors!$C$2</f>
        <v>48703</v>
      </c>
      <c r="C48" s="84" t="str">
        <f ca="1">VLOOKUP($B48,OFFSET([2]quests!$A$1,0,0,COUNTA([2]quests!$A:$A),MATCH(C$1,[2]quests!$1:$1,0)-MATCH($B$1,[2]quests!$1:$1,0)+1),MATCH(C$1,[2]quests!$1:$1,0)-MATCH($B$1,[2]quests!$1:$1,0)+1,FALSE)</f>
        <v>紅蓮襲来！</v>
      </c>
      <c r="D48" s="84" t="str">
        <f ca="1">VLOOKUP($B48,OFFSET([2]quests!$A$1,0,0,COUNTA([2]quests!$A:$A),MATCH(D$1,[2]quests!$1:$1,0)-MATCH($B$1,[2]quests!$1:$1,0)+1),MATCH(D$1,[2]quests!$1:$1,0)-MATCH($B$1,[2]quests!$1:$1,0)+1,FALSE)</f>
        <v>韓国版降臨3</v>
      </c>
      <c r="E48" s="88" t="s">
        <v>215</v>
      </c>
      <c r="F48" s="84" t="e">
        <f ca="1">VLOOKUP($B48&amp;"_"&amp;$E48,OFFSET([2]stages!$A$1,0,0,COUNTA([2]stages!$A:$A),MATCH(F$1,[2]stages!$2:$2,0)-MATCH("temp_stage",[2]stages!$2:$2,0)+1),MATCH(F$1,[2]stages!$2:$2,0)-MATCH("temp_stage",[2]stages!$2:$2,0)+1,FALSE)</f>
        <v>#N/A</v>
      </c>
      <c r="G48" s="84" t="e">
        <f ca="1">VLOOKUP($B48&amp;"_"&amp;$E48,OFFSET([2]stages!$A$1,0,0,COUNTA([2]stages!$A:$A),MATCH(G$1,[2]stages!$2:$2,0)-MATCH("temp_stage",[2]stages!$2:$2,0)+1),MATCH(G$1,[2]stages!$2:$2,0)-MATCH("temp_stage",[2]stages!$2:$2,0)+1,FALSE)</f>
        <v>#N/A</v>
      </c>
      <c r="H48" s="86">
        <v>0</v>
      </c>
      <c r="I48">
        <v>25</v>
      </c>
      <c r="J48" s="85" t="s">
        <v>199</v>
      </c>
      <c r="K48" s="95" t="str">
        <f>VLOOKUP(I48,[7]stage_hints!$A:$C,3,FALSE)</f>
        <v>スキルレベルアップ</v>
      </c>
      <c r="L48" s="96" t="str">
        <f>VLOOKUP(I48,[7]stage_hints!$A:$D,4,FALSE)</f>
        <v>「秘術の果実」を強化に使うと_x000D_スキルレベルを上げることができます</v>
      </c>
      <c r="M48" s="57" t="s">
        <v>211</v>
      </c>
    </row>
    <row r="49" spans="1:13" x14ac:dyDescent="0.15">
      <c r="A49" s="82" t="s">
        <v>201</v>
      </c>
      <c r="B49" s="83">
        <f>floors!$C$2</f>
        <v>48703</v>
      </c>
      <c r="C49" s="84" t="str">
        <f ca="1">VLOOKUP($B49,OFFSET([2]quests!$A$1,0,0,COUNTA([2]quests!$A:$A),MATCH(C$1,[2]quests!$1:$1,0)-MATCH($B$1,[2]quests!$1:$1,0)+1),MATCH(C$1,[2]quests!$1:$1,0)-MATCH($B$1,[2]quests!$1:$1,0)+1,FALSE)</f>
        <v>紅蓮襲来！</v>
      </c>
      <c r="D49" s="84" t="str">
        <f ca="1">VLOOKUP($B49,OFFSET([2]quests!$A$1,0,0,COUNTA([2]quests!$A:$A),MATCH(D$1,[2]quests!$1:$1,0)-MATCH($B$1,[2]quests!$1:$1,0)+1),MATCH(D$1,[2]quests!$1:$1,0)-MATCH($B$1,[2]quests!$1:$1,0)+1,FALSE)</f>
        <v>韓国版降臨3</v>
      </c>
      <c r="E49" s="88" t="s">
        <v>215</v>
      </c>
      <c r="F49" s="84" t="e">
        <f ca="1">VLOOKUP($B49&amp;"_"&amp;$E49,OFFSET([2]stages!$A$1,0,0,COUNTA([2]stages!$A:$A),MATCH(F$1,[2]stages!$2:$2,0)-MATCH("temp_stage",[2]stages!$2:$2,0)+1),MATCH(F$1,[2]stages!$2:$2,0)-MATCH("temp_stage",[2]stages!$2:$2,0)+1,FALSE)</f>
        <v>#N/A</v>
      </c>
      <c r="G49" s="84" t="e">
        <f ca="1">VLOOKUP($B49&amp;"_"&amp;$E49,OFFSET([2]stages!$A$1,0,0,COUNTA([2]stages!$A:$A),MATCH(G$1,[2]stages!$2:$2,0)-MATCH("temp_stage",[2]stages!$2:$2,0)+1),MATCH(G$1,[2]stages!$2:$2,0)-MATCH("temp_stage",[2]stages!$2:$2,0)+1,FALSE)</f>
        <v>#N/A</v>
      </c>
      <c r="H49" s="86">
        <v>0</v>
      </c>
      <c r="I49">
        <v>26</v>
      </c>
      <c r="J49" s="85" t="s">
        <v>199</v>
      </c>
      <c r="K49" s="95" t="str">
        <f>VLOOKUP(I49,[7]stage_hints!$A:$C,3,FALSE)</f>
        <v>スキルレベルの効果</v>
      </c>
      <c r="L49" s="96" t="str">
        <f>VLOOKUP(I49,[7]stage_hints!$A:$D,4,FALSE)</f>
        <v>スキルレベルが上がると_x000D_短いターンでスキルを使うことができます</v>
      </c>
      <c r="M49" s="57" t="s">
        <v>211</v>
      </c>
    </row>
    <row r="50" spans="1:13" x14ac:dyDescent="0.15">
      <c r="A50" s="82" t="s">
        <v>201</v>
      </c>
      <c r="B50" s="83">
        <f>floors!$C$2</f>
        <v>48703</v>
      </c>
      <c r="C50" s="84" t="str">
        <f ca="1">VLOOKUP($B50,OFFSET([2]quests!$A$1,0,0,COUNTA([2]quests!$A:$A),MATCH(C$1,[2]quests!$1:$1,0)-MATCH($B$1,[2]quests!$1:$1,0)+1),MATCH(C$1,[2]quests!$1:$1,0)-MATCH($B$1,[2]quests!$1:$1,0)+1,FALSE)</f>
        <v>紅蓮襲来！</v>
      </c>
      <c r="D50" s="84" t="str">
        <f ca="1">VLOOKUP($B50,OFFSET([2]quests!$A$1,0,0,COUNTA([2]quests!$A:$A),MATCH(D$1,[2]quests!$1:$1,0)-MATCH($B$1,[2]quests!$1:$1,0)+1),MATCH(D$1,[2]quests!$1:$1,0)-MATCH($B$1,[2]quests!$1:$1,0)+1,FALSE)</f>
        <v>韓国版降臨3</v>
      </c>
      <c r="E50" s="88" t="s">
        <v>215</v>
      </c>
      <c r="F50" s="84" t="e">
        <f ca="1">VLOOKUP($B50&amp;"_"&amp;$E50,OFFSET([2]stages!$A$1,0,0,COUNTA([2]stages!$A:$A),MATCH(F$1,[2]stages!$2:$2,0)-MATCH("temp_stage",[2]stages!$2:$2,0)+1),MATCH(F$1,[2]stages!$2:$2,0)-MATCH("temp_stage",[2]stages!$2:$2,0)+1,FALSE)</f>
        <v>#N/A</v>
      </c>
      <c r="G50" s="84" t="e">
        <f ca="1">VLOOKUP($B50&amp;"_"&amp;$E50,OFFSET([2]stages!$A$1,0,0,COUNTA([2]stages!$A:$A),MATCH(G$1,[2]stages!$2:$2,0)-MATCH("temp_stage",[2]stages!$2:$2,0)+1),MATCH(G$1,[2]stages!$2:$2,0)-MATCH("temp_stage",[2]stages!$2:$2,0)+1,FALSE)</f>
        <v>#N/A</v>
      </c>
      <c r="H50" s="86">
        <v>0</v>
      </c>
      <c r="I50">
        <v>27</v>
      </c>
      <c r="J50" s="85" t="s">
        <v>199</v>
      </c>
      <c r="K50" s="95" t="str">
        <f>VLOOKUP(I50,[7]stage_hints!$A:$C,3,FALSE)</f>
        <v>ホーム画面からデッキを編成</v>
      </c>
      <c r="L50" s="96" t="str">
        <f>VLOOKUP(I50,[7]stage_hints!$A:$D,4,FALSE)</f>
        <v>ホーム画面でユニットを長押しすると_x000D_すぐにパーティ編成に移動できます</v>
      </c>
      <c r="M50" s="57" t="s">
        <v>211</v>
      </c>
    </row>
    <row r="51" spans="1:13" x14ac:dyDescent="0.15">
      <c r="A51" s="82" t="s">
        <v>201</v>
      </c>
      <c r="B51" s="83">
        <f>floors!$C$2</f>
        <v>48703</v>
      </c>
      <c r="C51" s="84" t="str">
        <f ca="1">VLOOKUP($B51,OFFSET([2]quests!$A$1,0,0,COUNTA([2]quests!$A:$A),MATCH(C$1,[2]quests!$1:$1,0)-MATCH($B$1,[2]quests!$1:$1,0)+1),MATCH(C$1,[2]quests!$1:$1,0)-MATCH($B$1,[2]quests!$1:$1,0)+1,FALSE)</f>
        <v>紅蓮襲来！</v>
      </c>
      <c r="D51" s="84" t="str">
        <f ca="1">VLOOKUP($B51,OFFSET([2]quests!$A$1,0,0,COUNTA([2]quests!$A:$A),MATCH(D$1,[2]quests!$1:$1,0)-MATCH($B$1,[2]quests!$1:$1,0)+1),MATCH(D$1,[2]quests!$1:$1,0)-MATCH($B$1,[2]quests!$1:$1,0)+1,FALSE)</f>
        <v>韓国版降臨3</v>
      </c>
      <c r="E51" s="88" t="s">
        <v>215</v>
      </c>
      <c r="F51" s="84" t="e">
        <f ca="1">VLOOKUP($B51&amp;"_"&amp;$E51,OFFSET([2]stages!$A$1,0,0,COUNTA([2]stages!$A:$A),MATCH(F$1,[2]stages!$2:$2,0)-MATCH("temp_stage",[2]stages!$2:$2,0)+1),MATCH(F$1,[2]stages!$2:$2,0)-MATCH("temp_stage",[2]stages!$2:$2,0)+1,FALSE)</f>
        <v>#N/A</v>
      </c>
      <c r="G51" s="84" t="e">
        <f ca="1">VLOOKUP($B51&amp;"_"&amp;$E51,OFFSET([2]stages!$A$1,0,0,COUNTA([2]stages!$A:$A),MATCH(G$1,[2]stages!$2:$2,0)-MATCH("temp_stage",[2]stages!$2:$2,0)+1),MATCH(G$1,[2]stages!$2:$2,0)-MATCH("temp_stage",[2]stages!$2:$2,0)+1,FALSE)</f>
        <v>#N/A</v>
      </c>
      <c r="H51" s="86">
        <v>0</v>
      </c>
      <c r="I51">
        <v>28</v>
      </c>
      <c r="J51" s="85" t="s">
        <v>199</v>
      </c>
      <c r="K51" s="95" t="str">
        <f>VLOOKUP(I51,[7]stage_hints!$A:$C,3,FALSE)</f>
        <v>ステータス情報は長押しで</v>
      </c>
      <c r="L51" s="96" t="str">
        <f>VLOOKUP(I51,[7]stage_hints!$A:$D,4,FALSE)</f>
        <v>ユニットのアイコンを長押しすると_x000D_ステータス情報を確認することができます</v>
      </c>
      <c r="M51" s="57" t="s">
        <v>211</v>
      </c>
    </row>
    <row r="52" spans="1:13" x14ac:dyDescent="0.15">
      <c r="A52" s="82" t="s">
        <v>201</v>
      </c>
      <c r="B52" s="83">
        <f>floors!$C$2</f>
        <v>48703</v>
      </c>
      <c r="C52" s="84" t="str">
        <f ca="1">VLOOKUP($B52,OFFSET([2]quests!$A$1,0,0,COUNTA([2]quests!$A:$A),MATCH(C$1,[2]quests!$1:$1,0)-MATCH($B$1,[2]quests!$1:$1,0)+1),MATCH(C$1,[2]quests!$1:$1,0)-MATCH($B$1,[2]quests!$1:$1,0)+1,FALSE)</f>
        <v>紅蓮襲来！</v>
      </c>
      <c r="D52" s="84" t="str">
        <f ca="1">VLOOKUP($B52,OFFSET([2]quests!$A$1,0,0,COUNTA([2]quests!$A:$A),MATCH(D$1,[2]quests!$1:$1,0)-MATCH($B$1,[2]quests!$1:$1,0)+1),MATCH(D$1,[2]quests!$1:$1,0)-MATCH($B$1,[2]quests!$1:$1,0)+1,FALSE)</f>
        <v>韓国版降臨3</v>
      </c>
      <c r="E52" s="88" t="s">
        <v>215</v>
      </c>
      <c r="F52" s="84" t="e">
        <f ca="1">VLOOKUP($B52&amp;"_"&amp;$E52,OFFSET([2]stages!$A$1,0,0,COUNTA([2]stages!$A:$A),MATCH(F$1,[2]stages!$2:$2,0)-MATCH("temp_stage",[2]stages!$2:$2,0)+1),MATCH(F$1,[2]stages!$2:$2,0)-MATCH("temp_stage",[2]stages!$2:$2,0)+1,FALSE)</f>
        <v>#N/A</v>
      </c>
      <c r="G52" s="84" t="e">
        <f ca="1">VLOOKUP($B52&amp;"_"&amp;$E52,OFFSET([2]stages!$A$1,0,0,COUNTA([2]stages!$A:$A),MATCH(G$1,[2]stages!$2:$2,0)-MATCH("temp_stage",[2]stages!$2:$2,0)+1),MATCH(G$1,[2]stages!$2:$2,0)-MATCH("temp_stage",[2]stages!$2:$2,0)+1,FALSE)</f>
        <v>#N/A</v>
      </c>
      <c r="H52" s="86">
        <v>0</v>
      </c>
      <c r="I52">
        <v>29</v>
      </c>
      <c r="J52" s="85" t="s">
        <v>199</v>
      </c>
      <c r="K52" s="95" t="str">
        <f>VLOOKUP(I52,[7]stage_hints!$A:$C,3,FALSE)</f>
        <v>「バグ」のメリット</v>
      </c>
      <c r="L52" s="96" t="str">
        <f>VLOOKUP(I52,[7]stage_hints!$A:$D,4,FALSE)</f>
        <v>ユニットの「バグ」を増やすと_x000D_報酬をもらえる確率がアップします</v>
      </c>
      <c r="M52" s="57" t="s">
        <v>211</v>
      </c>
    </row>
    <row r="53" spans="1:13" x14ac:dyDescent="0.15">
      <c r="A53" s="82" t="s">
        <v>201</v>
      </c>
      <c r="B53" s="83">
        <f>floors!$C$2</f>
        <v>48703</v>
      </c>
      <c r="C53" s="84" t="str">
        <f ca="1">VLOOKUP($B53,OFFSET([2]quests!$A$1,0,0,COUNTA([2]quests!$A:$A),MATCH(C$1,[2]quests!$1:$1,0)-MATCH($B$1,[2]quests!$1:$1,0)+1),MATCH(C$1,[2]quests!$1:$1,0)-MATCH($B$1,[2]quests!$1:$1,0)+1,FALSE)</f>
        <v>紅蓮襲来！</v>
      </c>
      <c r="D53" s="84" t="str">
        <f ca="1">VLOOKUP($B53,OFFSET([2]quests!$A$1,0,0,COUNTA([2]quests!$A:$A),MATCH(D$1,[2]quests!$1:$1,0)-MATCH($B$1,[2]quests!$1:$1,0)+1),MATCH(D$1,[2]quests!$1:$1,0)-MATCH($B$1,[2]quests!$1:$1,0)+1,FALSE)</f>
        <v>韓国版降臨3</v>
      </c>
      <c r="E53" s="88" t="s">
        <v>215</v>
      </c>
      <c r="F53" s="84" t="e">
        <f ca="1">VLOOKUP($B53&amp;"_"&amp;$E53,OFFSET([2]stages!$A$1,0,0,COUNTA([2]stages!$A:$A),MATCH(F$1,[2]stages!$2:$2,0)-MATCH("temp_stage",[2]stages!$2:$2,0)+1),MATCH(F$1,[2]stages!$2:$2,0)-MATCH("temp_stage",[2]stages!$2:$2,0)+1,FALSE)</f>
        <v>#N/A</v>
      </c>
      <c r="G53" s="84" t="e">
        <f ca="1">VLOOKUP($B53&amp;"_"&amp;$E53,OFFSET([2]stages!$A$1,0,0,COUNTA([2]stages!$A:$A),MATCH(G$1,[2]stages!$2:$2,0)-MATCH("temp_stage",[2]stages!$2:$2,0)+1),MATCH(G$1,[2]stages!$2:$2,0)-MATCH("temp_stage",[2]stages!$2:$2,0)+1,FALSE)</f>
        <v>#N/A</v>
      </c>
      <c r="H53" s="86">
        <v>0</v>
      </c>
      <c r="I53">
        <v>30</v>
      </c>
      <c r="J53" s="85" t="s">
        <v>199</v>
      </c>
      <c r="K53" s="95" t="str">
        <f>VLOOKUP(I53,[7]stage_hints!$A:$C,3,FALSE)</f>
        <v>「バグ」の増やし方</v>
      </c>
      <c r="L53" s="96" t="str">
        <f>VLOOKUP(I53,[7]stage_hints!$A:$D,4,FALSE)</f>
        <v>同じユニット同士を強化で合成すると_x000D_「バグ」を増やすことができます</v>
      </c>
      <c r="M53" s="57" t="s">
        <v>211</v>
      </c>
    </row>
    <row r="54" spans="1:13" x14ac:dyDescent="0.15">
      <c r="A54" s="82" t="s">
        <v>201</v>
      </c>
      <c r="B54" s="83">
        <f>floors!$C$2</f>
        <v>48703</v>
      </c>
      <c r="C54" s="84" t="str">
        <f ca="1">VLOOKUP($B54,OFFSET([2]quests!$A$1,0,0,COUNTA([2]quests!$A:$A),MATCH(C$1,[2]quests!$1:$1,0)-MATCH($B$1,[2]quests!$1:$1,0)+1),MATCH(C$1,[2]quests!$1:$1,0)-MATCH($B$1,[2]quests!$1:$1,0)+1,FALSE)</f>
        <v>紅蓮襲来！</v>
      </c>
      <c r="D54" s="84" t="str">
        <f ca="1">VLOOKUP($B54,OFFSET([2]quests!$A$1,0,0,COUNTA([2]quests!$A:$A),MATCH(D$1,[2]quests!$1:$1,0)-MATCH($B$1,[2]quests!$1:$1,0)+1),MATCH(D$1,[2]quests!$1:$1,0)-MATCH($B$1,[2]quests!$1:$1,0)+1,FALSE)</f>
        <v>韓国版降臨3</v>
      </c>
      <c r="E54" s="88" t="s">
        <v>215</v>
      </c>
      <c r="F54" s="84" t="e">
        <f ca="1">VLOOKUP($B54&amp;"_"&amp;$E54,OFFSET([2]stages!$A$1,0,0,COUNTA([2]stages!$A:$A),MATCH(F$1,[2]stages!$2:$2,0)-MATCH("temp_stage",[2]stages!$2:$2,0)+1),MATCH(F$1,[2]stages!$2:$2,0)-MATCH("temp_stage",[2]stages!$2:$2,0)+1,FALSE)</f>
        <v>#N/A</v>
      </c>
      <c r="G54" s="84" t="e">
        <f ca="1">VLOOKUP($B54&amp;"_"&amp;$E54,OFFSET([2]stages!$A$1,0,0,COUNTA([2]stages!$A:$A),MATCH(G$1,[2]stages!$2:$2,0)-MATCH("temp_stage",[2]stages!$2:$2,0)+1),MATCH(G$1,[2]stages!$2:$2,0)-MATCH("temp_stage",[2]stages!$2:$2,0)+1,FALSE)</f>
        <v>#N/A</v>
      </c>
      <c r="H54" s="86">
        <v>0</v>
      </c>
      <c r="I54">
        <v>31</v>
      </c>
      <c r="J54" s="85" t="s">
        <v>199</v>
      </c>
      <c r="K54" s="95" t="str">
        <f>VLOOKUP(I54,[7]stage_hints!$A:$C,3,FALSE)</f>
        <v>イベントはお知らせでチェック</v>
      </c>
      <c r="L54" s="96" t="str">
        <f>VLOOKUP(I54,[7]stage_hints!$A:$D,4,FALSE)</f>
        <v>イベント限定ユニットを取り忘れないように_x000D_お知らせをこまめにチェックしましょう</v>
      </c>
      <c r="M54" s="57" t="s">
        <v>211</v>
      </c>
    </row>
    <row r="55" spans="1:13" x14ac:dyDescent="0.15">
      <c r="A55" s="82" t="s">
        <v>201</v>
      </c>
      <c r="B55" s="83">
        <f>floors!$C$2</f>
        <v>48703</v>
      </c>
      <c r="C55" s="84" t="str">
        <f ca="1">VLOOKUP($B55,OFFSET([2]quests!$A$1,0,0,COUNTA([2]quests!$A:$A),MATCH(C$1,[2]quests!$1:$1,0)-MATCH($B$1,[2]quests!$1:$1,0)+1),MATCH(C$1,[2]quests!$1:$1,0)-MATCH($B$1,[2]quests!$1:$1,0)+1,FALSE)</f>
        <v>紅蓮襲来！</v>
      </c>
      <c r="D55" s="84" t="str">
        <f ca="1">VLOOKUP($B55,OFFSET([2]quests!$A$1,0,0,COUNTA([2]quests!$A:$A),MATCH(D$1,[2]quests!$1:$1,0)-MATCH($B$1,[2]quests!$1:$1,0)+1),MATCH(D$1,[2]quests!$1:$1,0)-MATCH($B$1,[2]quests!$1:$1,0)+1,FALSE)</f>
        <v>韓国版降臨3</v>
      </c>
      <c r="E55" s="88" t="s">
        <v>215</v>
      </c>
      <c r="F55" s="84" t="e">
        <f ca="1">VLOOKUP($B55&amp;"_"&amp;$E55,OFFSET([2]stages!$A$1,0,0,COUNTA([2]stages!$A:$A),MATCH(F$1,[2]stages!$2:$2,0)-MATCH("temp_stage",[2]stages!$2:$2,0)+1),MATCH(F$1,[2]stages!$2:$2,0)-MATCH("temp_stage",[2]stages!$2:$2,0)+1,FALSE)</f>
        <v>#N/A</v>
      </c>
      <c r="G55" s="84" t="e">
        <f ca="1">VLOOKUP($B55&amp;"_"&amp;$E55,OFFSET([2]stages!$A$1,0,0,COUNTA([2]stages!$A:$A),MATCH(G$1,[2]stages!$2:$2,0)-MATCH("temp_stage",[2]stages!$2:$2,0)+1),MATCH(G$1,[2]stages!$2:$2,0)-MATCH("temp_stage",[2]stages!$2:$2,0)+1,FALSE)</f>
        <v>#N/A</v>
      </c>
      <c r="H55" s="86">
        <v>0</v>
      </c>
      <c r="I55">
        <v>32</v>
      </c>
      <c r="J55" s="85" t="s">
        <v>199</v>
      </c>
      <c r="K55" s="95" t="str">
        <f>VLOOKUP(I55,[7]stage_hints!$A:$C,3,FALSE)</f>
        <v>敵の連続攻撃には</v>
      </c>
      <c r="L55" s="96" t="str">
        <f>VLOOKUP(I55,[7]stage_hints!$A:$D,4,FALSE)</f>
        <v>カウンタースキルを持つユニットがいれば_x000D_ダメージ回数分の反撃ができます</v>
      </c>
      <c r="M55" s="57" t="s">
        <v>211</v>
      </c>
    </row>
    <row r="56" spans="1:13" x14ac:dyDescent="0.15">
      <c r="A56" s="82" t="s">
        <v>201</v>
      </c>
      <c r="B56" s="83">
        <f>floors!$C$2</f>
        <v>48703</v>
      </c>
      <c r="C56" s="84" t="str">
        <f ca="1">VLOOKUP($B56,OFFSET([2]quests!$A$1,0,0,COUNTA([2]quests!$A:$A),MATCH(C$1,[2]quests!$1:$1,0)-MATCH($B$1,[2]quests!$1:$1,0)+1),MATCH(C$1,[2]quests!$1:$1,0)-MATCH($B$1,[2]quests!$1:$1,0)+1,FALSE)</f>
        <v>紅蓮襲来！</v>
      </c>
      <c r="D56" s="84" t="str">
        <f ca="1">VLOOKUP($B56,OFFSET([2]quests!$A$1,0,0,COUNTA([2]quests!$A:$A),MATCH(D$1,[2]quests!$1:$1,0)-MATCH($B$1,[2]quests!$1:$1,0)+1),MATCH(D$1,[2]quests!$1:$1,0)-MATCH($B$1,[2]quests!$1:$1,0)+1,FALSE)</f>
        <v>韓国版降臨3</v>
      </c>
      <c r="E56" s="88" t="s">
        <v>215</v>
      </c>
      <c r="F56" s="84" t="e">
        <f ca="1">VLOOKUP($B56&amp;"_"&amp;$E56,OFFSET([2]stages!$A$1,0,0,COUNTA([2]stages!$A:$A),MATCH(F$1,[2]stages!$2:$2,0)-MATCH("temp_stage",[2]stages!$2:$2,0)+1),MATCH(F$1,[2]stages!$2:$2,0)-MATCH("temp_stage",[2]stages!$2:$2,0)+1,FALSE)</f>
        <v>#N/A</v>
      </c>
      <c r="G56" s="84" t="e">
        <f ca="1">VLOOKUP($B56&amp;"_"&amp;$E56,OFFSET([2]stages!$A$1,0,0,COUNTA([2]stages!$A:$A),MATCH(G$1,[2]stages!$2:$2,0)-MATCH("temp_stage",[2]stages!$2:$2,0)+1),MATCH(G$1,[2]stages!$2:$2,0)-MATCH("temp_stage",[2]stages!$2:$2,0)+1,FALSE)</f>
        <v>#N/A</v>
      </c>
      <c r="H56" s="86">
        <v>0</v>
      </c>
      <c r="I56">
        <v>33</v>
      </c>
      <c r="J56" s="85" t="s">
        <v>199</v>
      </c>
      <c r="K56" s="95" t="str">
        <f>VLOOKUP(I56,[7]stage_hints!$A:$C,3,FALSE)</f>
        <v>敵のカウンター攻撃には</v>
      </c>
      <c r="L56" s="96" t="str">
        <f>VLOOKUP(I56,[7]stage_hints!$A:$D,4,FALSE)</f>
        <v>カウンターブレイクスキルを持っていれば_x000D_敵のカウンターを解除して攻撃ができます</v>
      </c>
      <c r="M56" s="57" t="s">
        <v>211</v>
      </c>
    </row>
    <row r="57" spans="1:13" x14ac:dyDescent="0.15">
      <c r="A57" s="82" t="s">
        <v>201</v>
      </c>
      <c r="B57" s="83">
        <f>floors!$C$2</f>
        <v>48703</v>
      </c>
      <c r="C57" s="84" t="str">
        <f ca="1">VLOOKUP($B57,OFFSET([2]quests!$A$1,0,0,COUNTA([2]quests!$A:$A),MATCH(C$1,[2]quests!$1:$1,0)-MATCH($B$1,[2]quests!$1:$1,0)+1),MATCH(C$1,[2]quests!$1:$1,0)-MATCH($B$1,[2]quests!$1:$1,0)+1,FALSE)</f>
        <v>紅蓮襲来！</v>
      </c>
      <c r="D57" s="84" t="str">
        <f ca="1">VLOOKUP($B57,OFFSET([2]quests!$A$1,0,0,COUNTA([2]quests!$A:$A),MATCH(D$1,[2]quests!$1:$1,0)-MATCH($B$1,[2]quests!$1:$1,0)+1),MATCH(D$1,[2]quests!$1:$1,0)-MATCH($B$1,[2]quests!$1:$1,0)+1,FALSE)</f>
        <v>韓国版降臨3</v>
      </c>
      <c r="E57" s="88" t="s">
        <v>215</v>
      </c>
      <c r="F57" s="84" t="e">
        <f ca="1">VLOOKUP($B57&amp;"_"&amp;$E57,OFFSET([2]stages!$A$1,0,0,COUNTA([2]stages!$A:$A),MATCH(F$1,[2]stages!$2:$2,0)-MATCH("temp_stage",[2]stages!$2:$2,0)+1),MATCH(F$1,[2]stages!$2:$2,0)-MATCH("temp_stage",[2]stages!$2:$2,0)+1,FALSE)</f>
        <v>#N/A</v>
      </c>
      <c r="G57" s="84" t="e">
        <f ca="1">VLOOKUP($B57&amp;"_"&amp;$E57,OFFSET([2]stages!$A$1,0,0,COUNTA([2]stages!$A:$A),MATCH(G$1,[2]stages!$2:$2,0)-MATCH("temp_stage",[2]stages!$2:$2,0)+1),MATCH(G$1,[2]stages!$2:$2,0)-MATCH("temp_stage",[2]stages!$2:$2,0)+1,FALSE)</f>
        <v>#N/A</v>
      </c>
      <c r="H57" s="86">
        <v>0</v>
      </c>
      <c r="I57">
        <v>34</v>
      </c>
      <c r="J57" s="85" t="s">
        <v>199</v>
      </c>
      <c r="K57" s="95" t="str">
        <f>VLOOKUP(I57,[7]stage_hints!$A:$C,3,FALSE)</f>
        <v>ステータスをスキルで下げられたら</v>
      </c>
      <c r="L57" s="96" t="str">
        <f>VLOOKUP(I57,[7]stage_hints!$A:$D,4,FALSE)</f>
        <v>ステータスダウンのスキルを受けたら_x000D_ステータスアップスキルで上書きしましょう</v>
      </c>
      <c r="M57" s="57" t="s">
        <v>211</v>
      </c>
    </row>
    <row r="58" spans="1:13" x14ac:dyDescent="0.15">
      <c r="A58" s="82" t="s">
        <v>201</v>
      </c>
      <c r="B58" s="83">
        <f>floors!$C$2</f>
        <v>48703</v>
      </c>
      <c r="C58" s="84" t="str">
        <f ca="1">VLOOKUP($B58,OFFSET([2]quests!$A$1,0,0,COUNTA([2]quests!$A:$A),MATCH(C$1,[2]quests!$1:$1,0)-MATCH($B$1,[2]quests!$1:$1,0)+1),MATCH(C$1,[2]quests!$1:$1,0)-MATCH($B$1,[2]quests!$1:$1,0)+1,FALSE)</f>
        <v>紅蓮襲来！</v>
      </c>
      <c r="D58" s="84" t="str">
        <f ca="1">VLOOKUP($B58,OFFSET([2]quests!$A$1,0,0,COUNTA([2]quests!$A:$A),MATCH(D$1,[2]quests!$1:$1,0)-MATCH($B$1,[2]quests!$1:$1,0)+1),MATCH(D$1,[2]quests!$1:$1,0)-MATCH($B$1,[2]quests!$1:$1,0)+1,FALSE)</f>
        <v>韓国版降臨3</v>
      </c>
      <c r="E58" s="88" t="s">
        <v>215</v>
      </c>
      <c r="F58" s="84" t="e">
        <f ca="1">VLOOKUP($B58&amp;"_"&amp;$E58,OFFSET([2]stages!$A$1,0,0,COUNTA([2]stages!$A:$A),MATCH(F$1,[2]stages!$2:$2,0)-MATCH("temp_stage",[2]stages!$2:$2,0)+1),MATCH(F$1,[2]stages!$2:$2,0)-MATCH("temp_stage",[2]stages!$2:$2,0)+1,FALSE)</f>
        <v>#N/A</v>
      </c>
      <c r="G58" s="84" t="e">
        <f ca="1">VLOOKUP($B58&amp;"_"&amp;$E58,OFFSET([2]stages!$A$1,0,0,COUNTA([2]stages!$A:$A),MATCH(G$1,[2]stages!$2:$2,0)-MATCH("temp_stage",[2]stages!$2:$2,0)+1),MATCH(G$1,[2]stages!$2:$2,0)-MATCH("temp_stage",[2]stages!$2:$2,0)+1,FALSE)</f>
        <v>#N/A</v>
      </c>
      <c r="H58" s="86">
        <v>0</v>
      </c>
      <c r="I58">
        <v>35</v>
      </c>
      <c r="J58" s="85" t="s">
        <v>199</v>
      </c>
      <c r="K58" s="95" t="str">
        <f>VLOOKUP(I58,[7]stage_hints!$A:$C,3,FALSE)</f>
        <v>敵のステータスがスキルで上がったら</v>
      </c>
      <c r="L58" s="96" t="str">
        <f>VLOOKUP(I58,[7]stage_hints!$A:$D,4,FALSE)</f>
        <v>敵のステータスがスキルでアップしたときは_x000D_ステータスダウンスキルで上書きしましょう</v>
      </c>
      <c r="M58" s="57" t="s">
        <v>211</v>
      </c>
    </row>
    <row r="59" spans="1:13" x14ac:dyDescent="0.15">
      <c r="A59" s="82" t="s">
        <v>201</v>
      </c>
      <c r="B59" s="83">
        <f>floors!$C$2</f>
        <v>48703</v>
      </c>
      <c r="C59" s="84" t="str">
        <f ca="1">VLOOKUP($B59,OFFSET([2]quests!$A$1,0,0,COUNTA([2]quests!$A:$A),MATCH(C$1,[2]quests!$1:$1,0)-MATCH($B$1,[2]quests!$1:$1,0)+1),MATCH(C$1,[2]quests!$1:$1,0)-MATCH($B$1,[2]quests!$1:$1,0)+1,FALSE)</f>
        <v>紅蓮襲来！</v>
      </c>
      <c r="D59" s="84" t="str">
        <f ca="1">VLOOKUP($B59,OFFSET([2]quests!$A$1,0,0,COUNTA([2]quests!$A:$A),MATCH(D$1,[2]quests!$1:$1,0)-MATCH($B$1,[2]quests!$1:$1,0)+1),MATCH(D$1,[2]quests!$1:$1,0)-MATCH($B$1,[2]quests!$1:$1,0)+1,FALSE)</f>
        <v>韓国版降臨3</v>
      </c>
      <c r="E59" s="88" t="s">
        <v>215</v>
      </c>
      <c r="F59" s="84" t="e">
        <f ca="1">VLOOKUP($B59&amp;"_"&amp;$E59,OFFSET([2]stages!$A$1,0,0,COUNTA([2]stages!$A:$A),MATCH(F$1,[2]stages!$2:$2,0)-MATCH("temp_stage",[2]stages!$2:$2,0)+1),MATCH(F$1,[2]stages!$2:$2,0)-MATCH("temp_stage",[2]stages!$2:$2,0)+1,FALSE)</f>
        <v>#N/A</v>
      </c>
      <c r="G59" s="84" t="e">
        <f ca="1">VLOOKUP($B59&amp;"_"&amp;$E59,OFFSET([2]stages!$A$1,0,0,COUNTA([2]stages!$A:$A),MATCH(G$1,[2]stages!$2:$2,0)-MATCH("temp_stage",[2]stages!$2:$2,0)+1),MATCH(G$1,[2]stages!$2:$2,0)-MATCH("temp_stage",[2]stages!$2:$2,0)+1,FALSE)</f>
        <v>#N/A</v>
      </c>
      <c r="H59" s="86">
        <v>0</v>
      </c>
      <c r="I59">
        <v>39</v>
      </c>
      <c r="J59" s="85" t="s">
        <v>199</v>
      </c>
      <c r="K59" s="95" t="str">
        <f>VLOOKUP(I59,[7]stage_hints!$A:$C,3,FALSE)</f>
        <v>システム適合者を確認</v>
      </c>
      <c r="L59" s="96" t="str">
        <f>VLOOKUP(I59,[7]stage_hints!$A:$D,4,FALSE)</f>
        <v>ALICEが 「アナタ」を呼んでいます</v>
      </c>
      <c r="M59" s="57" t="s">
        <v>211</v>
      </c>
    </row>
    <row r="60" spans="1:13" x14ac:dyDescent="0.15">
      <c r="A60" s="82" t="s">
        <v>201</v>
      </c>
      <c r="B60" s="83">
        <f>floors!$C$2</f>
        <v>48703</v>
      </c>
      <c r="C60" s="84" t="str">
        <f ca="1">VLOOKUP($B60,OFFSET([2]quests!$A$1,0,0,COUNTA([2]quests!$A:$A),MATCH(C$1,[2]quests!$1:$1,0)-MATCH($B$1,[2]quests!$1:$1,0)+1),MATCH(C$1,[2]quests!$1:$1,0)-MATCH($B$1,[2]quests!$1:$1,0)+1,FALSE)</f>
        <v>紅蓮襲来！</v>
      </c>
      <c r="D60" s="84" t="str">
        <f ca="1">VLOOKUP($B60,OFFSET([2]quests!$A$1,0,0,COUNTA([2]quests!$A:$A),MATCH(D$1,[2]quests!$1:$1,0)-MATCH($B$1,[2]quests!$1:$1,0)+1),MATCH(D$1,[2]quests!$1:$1,0)-MATCH($B$1,[2]quests!$1:$1,0)+1,FALSE)</f>
        <v>韓国版降臨3</v>
      </c>
      <c r="E60" s="88" t="s">
        <v>216</v>
      </c>
      <c r="F60" s="84" t="e">
        <f ca="1">VLOOKUP($B60&amp;"_"&amp;$E60,OFFSET([2]stages!$A$1,0,0,COUNTA([2]stages!$A:$A),MATCH(F$1,[2]stages!$2:$2,0)-MATCH("temp_stage",[2]stages!$2:$2,0)+1),MATCH(F$1,[2]stages!$2:$2,0)-MATCH("temp_stage",[2]stages!$2:$2,0)+1,FALSE)</f>
        <v>#N/A</v>
      </c>
      <c r="G60" s="84" t="e">
        <f ca="1">VLOOKUP($B60&amp;"_"&amp;$E60,OFFSET([2]stages!$A$1,0,0,COUNTA([2]stages!$A:$A),MATCH(G$1,[2]stages!$2:$2,0)-MATCH("temp_stage",[2]stages!$2:$2,0)+1),MATCH(G$1,[2]stages!$2:$2,0)-MATCH("temp_stage",[2]stages!$2:$2,0)+1,FALSE)</f>
        <v>#N/A</v>
      </c>
      <c r="H60" s="86">
        <v>0</v>
      </c>
      <c r="I60" s="98">
        <v>3</v>
      </c>
      <c r="J60" s="85" t="s">
        <v>199</v>
      </c>
      <c r="K60" s="95" t="str">
        <f>VLOOKUP(I60,[7]stage_hints!$A:$C,3,FALSE)</f>
        <v>ターゲット</v>
      </c>
      <c r="L60" s="96" t="str">
        <f>VLOOKUP(I60,[7]stage_hints!$A:$D,4,FALSE)</f>
        <v>敵ユニットをタップすると_x000D_その敵を狙い撃ちできます</v>
      </c>
      <c r="M60" s="57" t="s">
        <v>211</v>
      </c>
    </row>
    <row r="61" spans="1:13" x14ac:dyDescent="0.15">
      <c r="A61" s="82" t="s">
        <v>201</v>
      </c>
      <c r="B61" s="83">
        <f>floors!$C$2</f>
        <v>48703</v>
      </c>
      <c r="C61" s="84" t="str">
        <f ca="1">VLOOKUP($B61,OFFSET([2]quests!$A$1,0,0,COUNTA([2]quests!$A:$A),MATCH(C$1,[2]quests!$1:$1,0)-MATCH($B$1,[2]quests!$1:$1,0)+1),MATCH(C$1,[2]quests!$1:$1,0)-MATCH($B$1,[2]quests!$1:$1,0)+1,FALSE)</f>
        <v>紅蓮襲来！</v>
      </c>
      <c r="D61" s="84" t="str">
        <f ca="1">VLOOKUP($B61,OFFSET([2]quests!$A$1,0,0,COUNTA([2]quests!$A:$A),MATCH(D$1,[2]quests!$1:$1,0)-MATCH($B$1,[2]quests!$1:$1,0)+1),MATCH(D$1,[2]quests!$1:$1,0)-MATCH($B$1,[2]quests!$1:$1,0)+1,FALSE)</f>
        <v>韓国版降臨3</v>
      </c>
      <c r="E61" s="88" t="s">
        <v>216</v>
      </c>
      <c r="F61" s="84" t="e">
        <f ca="1">VLOOKUP($B61&amp;"_"&amp;$E61,OFFSET([2]stages!$A$1,0,0,COUNTA([2]stages!$A:$A),MATCH(F$1,[2]stages!$2:$2,0)-MATCH("temp_stage",[2]stages!$2:$2,0)+1),MATCH(F$1,[2]stages!$2:$2,0)-MATCH("temp_stage",[2]stages!$2:$2,0)+1,FALSE)</f>
        <v>#N/A</v>
      </c>
      <c r="G61" s="84" t="e">
        <f ca="1">VLOOKUP($B61&amp;"_"&amp;$E61,OFFSET([2]stages!$A$1,0,0,COUNTA([2]stages!$A:$A),MATCH(G$1,[2]stages!$2:$2,0)-MATCH("temp_stage",[2]stages!$2:$2,0)+1),MATCH(G$1,[2]stages!$2:$2,0)-MATCH("temp_stage",[2]stages!$2:$2,0)+1,FALSE)</f>
        <v>#N/A</v>
      </c>
      <c r="H61" s="86">
        <v>0</v>
      </c>
      <c r="I61" s="98">
        <v>6</v>
      </c>
      <c r="J61" s="85" t="s">
        <v>199</v>
      </c>
      <c r="K61" s="95" t="str">
        <f>VLOOKUP(I61,[7]stage_hints!$A:$C,3,FALSE)</f>
        <v>ユニット強化の属性ボーナス</v>
      </c>
      <c r="L61" s="96" t="str">
        <f>VLOOKUP(I61,[7]stage_hints!$A:$D,4,FALSE)</f>
        <v>同属性ユニットを強化素材にすると_x000D_経験値が多くもらえます</v>
      </c>
      <c r="M61" s="57" t="s">
        <v>211</v>
      </c>
    </row>
    <row r="62" spans="1:13" x14ac:dyDescent="0.15">
      <c r="A62" s="82" t="s">
        <v>201</v>
      </c>
      <c r="B62" s="83">
        <f>floors!$C$2</f>
        <v>48703</v>
      </c>
      <c r="C62" s="84" t="str">
        <f ca="1">VLOOKUP($B62,OFFSET([2]quests!$A$1,0,0,COUNTA([2]quests!$A:$A),MATCH(C$1,[2]quests!$1:$1,0)-MATCH($B$1,[2]quests!$1:$1,0)+1),MATCH(C$1,[2]quests!$1:$1,0)-MATCH($B$1,[2]quests!$1:$1,0)+1,FALSE)</f>
        <v>紅蓮襲来！</v>
      </c>
      <c r="D62" s="84" t="str">
        <f ca="1">VLOOKUP($B62,OFFSET([2]quests!$A$1,0,0,COUNTA([2]quests!$A:$A),MATCH(D$1,[2]quests!$1:$1,0)-MATCH($B$1,[2]quests!$1:$1,0)+1),MATCH(D$1,[2]quests!$1:$1,0)-MATCH($B$1,[2]quests!$1:$1,0)+1,FALSE)</f>
        <v>韓国版降臨3</v>
      </c>
      <c r="E62" s="88" t="s">
        <v>216</v>
      </c>
      <c r="F62" s="84" t="e">
        <f ca="1">VLOOKUP($B62&amp;"_"&amp;$E62,OFFSET([2]stages!$A$1,0,0,COUNTA([2]stages!$A:$A),MATCH(F$1,[2]stages!$2:$2,0)-MATCH("temp_stage",[2]stages!$2:$2,0)+1),MATCH(F$1,[2]stages!$2:$2,0)-MATCH("temp_stage",[2]stages!$2:$2,0)+1,FALSE)</f>
        <v>#N/A</v>
      </c>
      <c r="G62" s="84" t="e">
        <f ca="1">VLOOKUP($B62&amp;"_"&amp;$E62,OFFSET([2]stages!$A$1,0,0,COUNTA([2]stages!$A:$A),MATCH(G$1,[2]stages!$2:$2,0)-MATCH("temp_stage",[2]stages!$2:$2,0)+1),MATCH(G$1,[2]stages!$2:$2,0)-MATCH("temp_stage",[2]stages!$2:$2,0)+1,FALSE)</f>
        <v>#N/A</v>
      </c>
      <c r="H62" s="86">
        <v>0</v>
      </c>
      <c r="I62" s="98">
        <v>7</v>
      </c>
      <c r="J62" s="85" t="s">
        <v>199</v>
      </c>
      <c r="K62" s="95" t="str">
        <f>VLOOKUP(I62,[7]stage_hints!$A:$C,3,FALSE)</f>
        <v>メタルダックで経験値を獲得</v>
      </c>
      <c r="L62" s="96" t="str">
        <f>VLOOKUP(I62,[7]stage_hints!$A:$D,4,FALSE)</f>
        <v>「メタルなアヒル」を強化素材にすると_x000D_大量の経験値がもらえます</v>
      </c>
      <c r="M62" s="57" t="s">
        <v>211</v>
      </c>
    </row>
    <row r="63" spans="1:13" x14ac:dyDescent="0.15">
      <c r="A63" s="82" t="s">
        <v>201</v>
      </c>
      <c r="B63" s="83">
        <f>floors!$C$2</f>
        <v>48703</v>
      </c>
      <c r="C63" s="84" t="str">
        <f ca="1">VLOOKUP($B63,OFFSET([2]quests!$A$1,0,0,COUNTA([2]quests!$A:$A),MATCH(C$1,[2]quests!$1:$1,0)-MATCH($B$1,[2]quests!$1:$1,0)+1),MATCH(C$1,[2]quests!$1:$1,0)-MATCH($B$1,[2]quests!$1:$1,0)+1,FALSE)</f>
        <v>紅蓮襲来！</v>
      </c>
      <c r="D63" s="84" t="str">
        <f ca="1">VLOOKUP($B63,OFFSET([2]quests!$A$1,0,0,COUNTA([2]quests!$A:$A),MATCH(D$1,[2]quests!$1:$1,0)-MATCH($B$1,[2]quests!$1:$1,0)+1),MATCH(D$1,[2]quests!$1:$1,0)-MATCH($B$1,[2]quests!$1:$1,0)+1,FALSE)</f>
        <v>韓国版降臨3</v>
      </c>
      <c r="E63" s="88" t="s">
        <v>216</v>
      </c>
      <c r="F63" s="84" t="e">
        <f ca="1">VLOOKUP($B63&amp;"_"&amp;$E63,OFFSET([2]stages!$A$1,0,0,COUNTA([2]stages!$A:$A),MATCH(F$1,[2]stages!$2:$2,0)-MATCH("temp_stage",[2]stages!$2:$2,0)+1),MATCH(F$1,[2]stages!$2:$2,0)-MATCH("temp_stage",[2]stages!$2:$2,0)+1,FALSE)</f>
        <v>#N/A</v>
      </c>
      <c r="G63" s="84" t="e">
        <f ca="1">VLOOKUP($B63&amp;"_"&amp;$E63,OFFSET([2]stages!$A$1,0,0,COUNTA([2]stages!$A:$A),MATCH(G$1,[2]stages!$2:$2,0)-MATCH("temp_stage",[2]stages!$2:$2,0)+1),MATCH(G$1,[2]stages!$2:$2,0)-MATCH("temp_stage",[2]stages!$2:$2,0)+1,FALSE)</f>
        <v>#N/A</v>
      </c>
      <c r="H63" s="86">
        <v>0</v>
      </c>
      <c r="I63" s="98">
        <v>8</v>
      </c>
      <c r="J63" s="85" t="s">
        <v>199</v>
      </c>
      <c r="K63" s="95" t="str">
        <f>VLOOKUP(I63,[7]stage_hints!$A:$C,3,FALSE)</f>
        <v>ゲリラクエストは要チェック</v>
      </c>
      <c r="L63" s="96" t="str">
        <f>VLOOKUP(I63,[7]stage_hints!$A:$D,4,FALSE)</f>
        <v>時間限定の「アヒル捕獲作戦」では_x000D_経験値素材ユニットが多く手に入ります</v>
      </c>
      <c r="M63" s="57" t="s">
        <v>211</v>
      </c>
    </row>
    <row r="64" spans="1:13" x14ac:dyDescent="0.15">
      <c r="A64" s="82" t="s">
        <v>201</v>
      </c>
      <c r="B64" s="83">
        <f>floors!$C$2</f>
        <v>48703</v>
      </c>
      <c r="C64" s="84" t="str">
        <f ca="1">VLOOKUP($B64,OFFSET([2]quests!$A$1,0,0,COUNTA([2]quests!$A:$A),MATCH(C$1,[2]quests!$1:$1,0)-MATCH($B$1,[2]quests!$1:$1,0)+1),MATCH(C$1,[2]quests!$1:$1,0)-MATCH($B$1,[2]quests!$1:$1,0)+1,FALSE)</f>
        <v>紅蓮襲来！</v>
      </c>
      <c r="D64" s="84" t="str">
        <f ca="1">VLOOKUP($B64,OFFSET([2]quests!$A$1,0,0,COUNTA([2]quests!$A:$A),MATCH(D$1,[2]quests!$1:$1,0)-MATCH($B$1,[2]quests!$1:$1,0)+1),MATCH(D$1,[2]quests!$1:$1,0)-MATCH($B$1,[2]quests!$1:$1,0)+1,FALSE)</f>
        <v>韓国版降臨3</v>
      </c>
      <c r="E64" s="88" t="s">
        <v>216</v>
      </c>
      <c r="F64" s="84" t="e">
        <f ca="1">VLOOKUP($B64&amp;"_"&amp;$E64,OFFSET([2]stages!$A$1,0,0,COUNTA([2]stages!$A:$A),MATCH(F$1,[2]stages!$2:$2,0)-MATCH("temp_stage",[2]stages!$2:$2,0)+1),MATCH(F$1,[2]stages!$2:$2,0)-MATCH("temp_stage",[2]stages!$2:$2,0)+1,FALSE)</f>
        <v>#N/A</v>
      </c>
      <c r="G64" s="84" t="e">
        <f ca="1">VLOOKUP($B64&amp;"_"&amp;$E64,OFFSET([2]stages!$A$1,0,0,COUNTA([2]stages!$A:$A),MATCH(G$1,[2]stages!$2:$2,0)-MATCH("temp_stage",[2]stages!$2:$2,0)+1),MATCH(G$1,[2]stages!$2:$2,0)-MATCH("temp_stage",[2]stages!$2:$2,0)+1,FALSE)</f>
        <v>#N/A</v>
      </c>
      <c r="H64" s="86">
        <v>0</v>
      </c>
      <c r="I64" s="98">
        <v>9</v>
      </c>
      <c r="J64" s="85" t="s">
        <v>199</v>
      </c>
      <c r="K64" s="95" t="str">
        <f>VLOOKUP(I64,[7]stage_hints!$A:$C,3,FALSE)</f>
        <v>ゴールドダックでビットを獲得</v>
      </c>
      <c r="L64" s="96" t="str">
        <f>VLOOKUP(I64,[7]stage_hints!$A:$D,4,FALSE)</f>
        <v>「ゴールドなアヒル」を売却すると_x000D_大量のビットがもらえます</v>
      </c>
      <c r="M64" s="57" t="s">
        <v>211</v>
      </c>
    </row>
    <row r="65" spans="1:13" x14ac:dyDescent="0.15">
      <c r="A65" s="82" t="s">
        <v>201</v>
      </c>
      <c r="B65" s="83">
        <f>floors!$C$2</f>
        <v>48703</v>
      </c>
      <c r="C65" s="84" t="str">
        <f ca="1">VLOOKUP($B65,OFFSET([2]quests!$A$1,0,0,COUNTA([2]quests!$A:$A),MATCH(C$1,[2]quests!$1:$1,0)-MATCH($B$1,[2]quests!$1:$1,0)+1),MATCH(C$1,[2]quests!$1:$1,0)-MATCH($B$1,[2]quests!$1:$1,0)+1,FALSE)</f>
        <v>紅蓮襲来！</v>
      </c>
      <c r="D65" s="84" t="str">
        <f ca="1">VLOOKUP($B65,OFFSET([2]quests!$A$1,0,0,COUNTA([2]quests!$A:$A),MATCH(D$1,[2]quests!$1:$1,0)-MATCH($B$1,[2]quests!$1:$1,0)+1),MATCH(D$1,[2]quests!$1:$1,0)-MATCH($B$1,[2]quests!$1:$1,0)+1,FALSE)</f>
        <v>韓国版降臨3</v>
      </c>
      <c r="E65" s="88" t="s">
        <v>216</v>
      </c>
      <c r="F65" s="84" t="e">
        <f ca="1">VLOOKUP($B65&amp;"_"&amp;$E65,OFFSET([2]stages!$A$1,0,0,COUNTA([2]stages!$A:$A),MATCH(F$1,[2]stages!$2:$2,0)-MATCH("temp_stage",[2]stages!$2:$2,0)+1),MATCH(F$1,[2]stages!$2:$2,0)-MATCH("temp_stage",[2]stages!$2:$2,0)+1,FALSE)</f>
        <v>#N/A</v>
      </c>
      <c r="G65" s="84" t="e">
        <f ca="1">VLOOKUP($B65&amp;"_"&amp;$E65,OFFSET([2]stages!$A$1,0,0,COUNTA([2]stages!$A:$A),MATCH(G$1,[2]stages!$2:$2,0)-MATCH("temp_stage",[2]stages!$2:$2,0)+1),MATCH(G$1,[2]stages!$2:$2,0)-MATCH("temp_stage",[2]stages!$2:$2,0)+1,FALSE)</f>
        <v>#N/A</v>
      </c>
      <c r="H65" s="86">
        <v>0</v>
      </c>
      <c r="I65" s="98">
        <v>10</v>
      </c>
      <c r="J65" s="85" t="s">
        <v>199</v>
      </c>
      <c r="K65" s="95" t="str">
        <f>VLOOKUP(I65,[7]stage_hints!$A:$C,3,FALSE)</f>
        <v>土日に大量のビットを獲得</v>
      </c>
      <c r="L65" s="96" t="str">
        <f>VLOOKUP(I65,[7]stage_hints!$A:$D,4,FALSE)</f>
        <v>土日限定の「ゴールドカジノ」では_x000D_売却素材ユニットが多く手に入ります</v>
      </c>
      <c r="M65" s="57" t="s">
        <v>211</v>
      </c>
    </row>
    <row r="66" spans="1:13" x14ac:dyDescent="0.15">
      <c r="A66" s="82" t="s">
        <v>201</v>
      </c>
      <c r="B66" s="83">
        <f>floors!$C$2</f>
        <v>48703</v>
      </c>
      <c r="C66" s="84" t="str">
        <f ca="1">VLOOKUP($B66,OFFSET([2]quests!$A$1,0,0,COUNTA([2]quests!$A:$A),MATCH(C$1,[2]quests!$1:$1,0)-MATCH($B$1,[2]quests!$1:$1,0)+1),MATCH(C$1,[2]quests!$1:$1,0)-MATCH($B$1,[2]quests!$1:$1,0)+1,FALSE)</f>
        <v>紅蓮襲来！</v>
      </c>
      <c r="D66" s="84" t="str">
        <f ca="1">VLOOKUP($B66,OFFSET([2]quests!$A$1,0,0,COUNTA([2]quests!$A:$A),MATCH(D$1,[2]quests!$1:$1,0)-MATCH($B$1,[2]quests!$1:$1,0)+1),MATCH(D$1,[2]quests!$1:$1,0)-MATCH($B$1,[2]quests!$1:$1,0)+1,FALSE)</f>
        <v>韓国版降臨3</v>
      </c>
      <c r="E66" s="88" t="s">
        <v>216</v>
      </c>
      <c r="F66" s="84" t="e">
        <f ca="1">VLOOKUP($B66&amp;"_"&amp;$E66,OFFSET([2]stages!$A$1,0,0,COUNTA([2]stages!$A:$A),MATCH(F$1,[2]stages!$2:$2,0)-MATCH("temp_stage",[2]stages!$2:$2,0)+1),MATCH(F$1,[2]stages!$2:$2,0)-MATCH("temp_stage",[2]stages!$2:$2,0)+1,FALSE)</f>
        <v>#N/A</v>
      </c>
      <c r="G66" s="84" t="e">
        <f ca="1">VLOOKUP($B66&amp;"_"&amp;$E66,OFFSET([2]stages!$A$1,0,0,COUNTA([2]stages!$A:$A),MATCH(G$1,[2]stages!$2:$2,0)-MATCH("temp_stage",[2]stages!$2:$2,0)+1),MATCH(G$1,[2]stages!$2:$2,0)-MATCH("temp_stage",[2]stages!$2:$2,0)+1,FALSE)</f>
        <v>#N/A</v>
      </c>
      <c r="H66" s="86">
        <v>0</v>
      </c>
      <c r="I66" s="98">
        <v>11</v>
      </c>
      <c r="J66" s="85" t="s">
        <v>199</v>
      </c>
      <c r="K66" s="95" t="str">
        <f>VLOOKUP(I66,[7]stage_hints!$A:$C,3,FALSE)</f>
        <v>ゲリラクエストは要チェック</v>
      </c>
      <c r="L66" s="96" t="str">
        <f>VLOOKUP(I66,[7]stage_hints!$A:$D,4,FALSE)</f>
        <v>時間限定の「アヒル捕獲作戦」では_x000D_経験値素材ユニットが多く手に入ります</v>
      </c>
      <c r="M66" s="57" t="s">
        <v>211</v>
      </c>
    </row>
    <row r="67" spans="1:13" x14ac:dyDescent="0.15">
      <c r="A67" s="82" t="s">
        <v>201</v>
      </c>
      <c r="B67" s="83">
        <f>floors!$C$2</f>
        <v>48703</v>
      </c>
      <c r="C67" s="84" t="str">
        <f ca="1">VLOOKUP($B67,OFFSET([2]quests!$A$1,0,0,COUNTA([2]quests!$A:$A),MATCH(C$1,[2]quests!$1:$1,0)-MATCH($B$1,[2]quests!$1:$1,0)+1),MATCH(C$1,[2]quests!$1:$1,0)-MATCH($B$1,[2]quests!$1:$1,0)+1,FALSE)</f>
        <v>紅蓮襲来！</v>
      </c>
      <c r="D67" s="84" t="str">
        <f ca="1">VLOOKUP($B67,OFFSET([2]quests!$A$1,0,0,COUNTA([2]quests!$A:$A),MATCH(D$1,[2]quests!$1:$1,0)-MATCH($B$1,[2]quests!$1:$1,0)+1),MATCH(D$1,[2]quests!$1:$1,0)-MATCH($B$1,[2]quests!$1:$1,0)+1,FALSE)</f>
        <v>韓国版降臨3</v>
      </c>
      <c r="E67" s="88" t="s">
        <v>216</v>
      </c>
      <c r="F67" s="84" t="e">
        <f ca="1">VLOOKUP($B67&amp;"_"&amp;$E67,OFFSET([2]stages!$A$1,0,0,COUNTA([2]stages!$A:$A),MATCH(F$1,[2]stages!$2:$2,0)-MATCH("temp_stage",[2]stages!$2:$2,0)+1),MATCH(F$1,[2]stages!$2:$2,0)-MATCH("temp_stage",[2]stages!$2:$2,0)+1,FALSE)</f>
        <v>#N/A</v>
      </c>
      <c r="G67" s="84" t="e">
        <f ca="1">VLOOKUP($B67&amp;"_"&amp;$E67,OFFSET([2]stages!$A$1,0,0,COUNTA([2]stages!$A:$A),MATCH(G$1,[2]stages!$2:$2,0)-MATCH("temp_stage",[2]stages!$2:$2,0)+1),MATCH(G$1,[2]stages!$2:$2,0)-MATCH("temp_stage",[2]stages!$2:$2,0)+1,FALSE)</f>
        <v>#N/A</v>
      </c>
      <c r="H67" s="86">
        <v>0</v>
      </c>
      <c r="I67" s="98">
        <v>12</v>
      </c>
      <c r="J67" s="85" t="s">
        <v>199</v>
      </c>
      <c r="K67" s="95" t="str">
        <f>VLOOKUP(I67,[7]stage_hints!$A:$C,3,FALSE)</f>
        <v>ユニットのお気に入り登録</v>
      </c>
      <c r="L67" s="96" t="str">
        <f>VLOOKUP(I67,[7]stage_hints!$A:$D,4,FALSE)</f>
        <v>大事なユニットを誤って消さないように_x000D_フォルダから「お気に入り登録」しましょう</v>
      </c>
      <c r="M67" s="57" t="s">
        <v>211</v>
      </c>
    </row>
    <row r="68" spans="1:13" x14ac:dyDescent="0.15">
      <c r="A68" s="82" t="s">
        <v>201</v>
      </c>
      <c r="B68" s="83">
        <f>floors!$C$2</f>
        <v>48703</v>
      </c>
      <c r="C68" s="84" t="str">
        <f ca="1">VLOOKUP($B68,OFFSET([2]quests!$A$1,0,0,COUNTA([2]quests!$A:$A),MATCH(C$1,[2]quests!$1:$1,0)-MATCH($B$1,[2]quests!$1:$1,0)+1),MATCH(C$1,[2]quests!$1:$1,0)-MATCH($B$1,[2]quests!$1:$1,0)+1,FALSE)</f>
        <v>紅蓮襲来！</v>
      </c>
      <c r="D68" s="84" t="str">
        <f ca="1">VLOOKUP($B68,OFFSET([2]quests!$A$1,0,0,COUNTA([2]quests!$A:$A),MATCH(D$1,[2]quests!$1:$1,0)-MATCH($B$1,[2]quests!$1:$1,0)+1),MATCH(D$1,[2]quests!$1:$1,0)-MATCH($B$1,[2]quests!$1:$1,0)+1,FALSE)</f>
        <v>韓国版降臨3</v>
      </c>
      <c r="E68" s="88" t="s">
        <v>216</v>
      </c>
      <c r="F68" s="84" t="e">
        <f ca="1">VLOOKUP($B68&amp;"_"&amp;$E68,OFFSET([2]stages!$A$1,0,0,COUNTA([2]stages!$A:$A),MATCH(F$1,[2]stages!$2:$2,0)-MATCH("temp_stage",[2]stages!$2:$2,0)+1),MATCH(F$1,[2]stages!$2:$2,0)-MATCH("temp_stage",[2]stages!$2:$2,0)+1,FALSE)</f>
        <v>#N/A</v>
      </c>
      <c r="G68" s="84" t="e">
        <f ca="1">VLOOKUP($B68&amp;"_"&amp;$E68,OFFSET([2]stages!$A$1,0,0,COUNTA([2]stages!$A:$A),MATCH(G$1,[2]stages!$2:$2,0)-MATCH("temp_stage",[2]stages!$2:$2,0)+1),MATCH(G$1,[2]stages!$2:$2,0)-MATCH("temp_stage",[2]stages!$2:$2,0)+1,FALSE)</f>
        <v>#N/A</v>
      </c>
      <c r="H68" s="86">
        <v>0</v>
      </c>
      <c r="I68" s="98">
        <v>13</v>
      </c>
      <c r="J68" s="85" t="s">
        <v>199</v>
      </c>
      <c r="K68" s="95" t="str">
        <f>VLOOKUP(I68,[7]stage_hints!$A:$C,3,FALSE)</f>
        <v>ユニットの覚醒</v>
      </c>
      <c r="L68" s="96" t="str">
        <f>VLOOKUP(I68,[7]stage_hints!$A:$D,4,FALSE)</f>
        <v>ユニットを覚醒させると_x000D_比べものにならない強さが手に入ります</v>
      </c>
      <c r="M68" s="57" t="s">
        <v>211</v>
      </c>
    </row>
    <row r="69" spans="1:13" x14ac:dyDescent="0.15">
      <c r="A69" s="82" t="s">
        <v>201</v>
      </c>
      <c r="B69" s="83">
        <f>floors!$C$2</f>
        <v>48703</v>
      </c>
      <c r="C69" s="84" t="str">
        <f ca="1">VLOOKUP($B69,OFFSET([2]quests!$A$1,0,0,COUNTA([2]quests!$A:$A),MATCH(C$1,[2]quests!$1:$1,0)-MATCH($B$1,[2]quests!$1:$1,0)+1),MATCH(C$1,[2]quests!$1:$1,0)-MATCH($B$1,[2]quests!$1:$1,0)+1,FALSE)</f>
        <v>紅蓮襲来！</v>
      </c>
      <c r="D69" s="84" t="str">
        <f ca="1">VLOOKUP($B69,OFFSET([2]quests!$A$1,0,0,COUNTA([2]quests!$A:$A),MATCH(D$1,[2]quests!$1:$1,0)-MATCH($B$1,[2]quests!$1:$1,0)+1),MATCH(D$1,[2]quests!$1:$1,0)-MATCH($B$1,[2]quests!$1:$1,0)+1,FALSE)</f>
        <v>韓国版降臨3</v>
      </c>
      <c r="E69" s="88" t="s">
        <v>216</v>
      </c>
      <c r="F69" s="84" t="e">
        <f ca="1">VLOOKUP($B69&amp;"_"&amp;$E69,OFFSET([2]stages!$A$1,0,0,COUNTA([2]stages!$A:$A),MATCH(F$1,[2]stages!$2:$2,0)-MATCH("temp_stage",[2]stages!$2:$2,0)+1),MATCH(F$1,[2]stages!$2:$2,0)-MATCH("temp_stage",[2]stages!$2:$2,0)+1,FALSE)</f>
        <v>#N/A</v>
      </c>
      <c r="G69" s="84" t="e">
        <f ca="1">VLOOKUP($B69&amp;"_"&amp;$E69,OFFSET([2]stages!$A$1,0,0,COUNTA([2]stages!$A:$A),MATCH(G$1,[2]stages!$2:$2,0)-MATCH("temp_stage",[2]stages!$2:$2,0)+1),MATCH(G$1,[2]stages!$2:$2,0)-MATCH("temp_stage",[2]stages!$2:$2,0)+1,FALSE)</f>
        <v>#N/A</v>
      </c>
      <c r="H69" s="86">
        <v>0</v>
      </c>
      <c r="I69" s="98">
        <v>14</v>
      </c>
      <c r="J69" s="85" t="s">
        <v>199</v>
      </c>
      <c r="K69" s="95" t="str">
        <f>VLOOKUP(I69,[7]stage_hints!$A:$C,3,FALSE)</f>
        <v>覚醒するにはレベルを最大に</v>
      </c>
      <c r="L69" s="96" t="str">
        <f>VLOOKUP(I69,[7]stage_hints!$A:$D,4,FALSE)</f>
        <v>覚醒するにはユニットのレベルを_x000D_最大まで上げる必要があります</v>
      </c>
      <c r="M69" s="57" t="s">
        <v>211</v>
      </c>
    </row>
    <row r="70" spans="1:13" x14ac:dyDescent="0.15">
      <c r="A70" s="82" t="s">
        <v>201</v>
      </c>
      <c r="B70" s="83">
        <f>floors!$C$2</f>
        <v>48703</v>
      </c>
      <c r="C70" s="84" t="str">
        <f ca="1">VLOOKUP($B70,OFFSET([2]quests!$A$1,0,0,COUNTA([2]quests!$A:$A),MATCH(C$1,[2]quests!$1:$1,0)-MATCH($B$1,[2]quests!$1:$1,0)+1),MATCH(C$1,[2]quests!$1:$1,0)-MATCH($B$1,[2]quests!$1:$1,0)+1,FALSE)</f>
        <v>紅蓮襲来！</v>
      </c>
      <c r="D70" s="84" t="str">
        <f ca="1">VLOOKUP($B70,OFFSET([2]quests!$A$1,0,0,COUNTA([2]quests!$A:$A),MATCH(D$1,[2]quests!$1:$1,0)-MATCH($B$1,[2]quests!$1:$1,0)+1),MATCH(D$1,[2]quests!$1:$1,0)-MATCH($B$1,[2]quests!$1:$1,0)+1,FALSE)</f>
        <v>韓国版降臨3</v>
      </c>
      <c r="E70" s="88" t="s">
        <v>216</v>
      </c>
      <c r="F70" s="84" t="e">
        <f ca="1">VLOOKUP($B70&amp;"_"&amp;$E70,OFFSET([2]stages!$A$1,0,0,COUNTA([2]stages!$A:$A),MATCH(F$1,[2]stages!$2:$2,0)-MATCH("temp_stage",[2]stages!$2:$2,0)+1),MATCH(F$1,[2]stages!$2:$2,0)-MATCH("temp_stage",[2]stages!$2:$2,0)+1,FALSE)</f>
        <v>#N/A</v>
      </c>
      <c r="G70" s="84" t="e">
        <f ca="1">VLOOKUP($B70&amp;"_"&amp;$E70,OFFSET([2]stages!$A$1,0,0,COUNTA([2]stages!$A:$A),MATCH(G$1,[2]stages!$2:$2,0)-MATCH("temp_stage",[2]stages!$2:$2,0)+1),MATCH(G$1,[2]stages!$2:$2,0)-MATCH("temp_stage",[2]stages!$2:$2,0)+1,FALSE)</f>
        <v>#N/A</v>
      </c>
      <c r="H70" s="86">
        <v>0</v>
      </c>
      <c r="I70" s="98">
        <v>15</v>
      </c>
      <c r="J70" s="85" t="s">
        <v>199</v>
      </c>
      <c r="K70" s="95" t="str">
        <f>VLOOKUP(I70,[7]stage_hints!$A:$C,3,FALSE)</f>
        <v>覚醒素材を獲得</v>
      </c>
      <c r="L70" s="96" t="str">
        <f>VLOOKUP(I70,[7]stage_hints!$A:$D,4,FALSE)</f>
        <v>「曜日クエスト」では_x000D_ユニットの覚醒に必要な素材が手に入ります</v>
      </c>
      <c r="M70" s="57" t="s">
        <v>211</v>
      </c>
    </row>
    <row r="71" spans="1:13" x14ac:dyDescent="0.15">
      <c r="A71" s="82" t="s">
        <v>201</v>
      </c>
      <c r="B71" s="83">
        <f>floors!$C$2</f>
        <v>48703</v>
      </c>
      <c r="C71" s="84" t="str">
        <f ca="1">VLOOKUP($B71,OFFSET([2]quests!$A$1,0,0,COUNTA([2]quests!$A:$A),MATCH(C$1,[2]quests!$1:$1,0)-MATCH($B$1,[2]quests!$1:$1,0)+1),MATCH(C$1,[2]quests!$1:$1,0)-MATCH($B$1,[2]quests!$1:$1,0)+1,FALSE)</f>
        <v>紅蓮襲来！</v>
      </c>
      <c r="D71" s="84" t="str">
        <f ca="1">VLOOKUP($B71,OFFSET([2]quests!$A$1,0,0,COUNTA([2]quests!$A:$A),MATCH(D$1,[2]quests!$1:$1,0)-MATCH($B$1,[2]quests!$1:$1,0)+1),MATCH(D$1,[2]quests!$1:$1,0)-MATCH($B$1,[2]quests!$1:$1,0)+1,FALSE)</f>
        <v>韓国版降臨3</v>
      </c>
      <c r="E71" s="88" t="s">
        <v>216</v>
      </c>
      <c r="F71" s="84" t="e">
        <f ca="1">VLOOKUP($B71&amp;"_"&amp;$E71,OFFSET([2]stages!$A$1,0,0,COUNTA([2]stages!$A:$A),MATCH(F$1,[2]stages!$2:$2,0)-MATCH("temp_stage",[2]stages!$2:$2,0)+1),MATCH(F$1,[2]stages!$2:$2,0)-MATCH("temp_stage",[2]stages!$2:$2,0)+1,FALSE)</f>
        <v>#N/A</v>
      </c>
      <c r="G71" s="84" t="e">
        <f ca="1">VLOOKUP($B71&amp;"_"&amp;$E71,OFFSET([2]stages!$A$1,0,0,COUNTA([2]stages!$A:$A),MATCH(G$1,[2]stages!$2:$2,0)-MATCH("temp_stage",[2]stages!$2:$2,0)+1),MATCH(G$1,[2]stages!$2:$2,0)-MATCH("temp_stage",[2]stages!$2:$2,0)+1,FALSE)</f>
        <v>#N/A</v>
      </c>
      <c r="H71" s="86">
        <v>0</v>
      </c>
      <c r="I71" s="98">
        <v>16</v>
      </c>
      <c r="J71" s="85" t="s">
        <v>199</v>
      </c>
      <c r="K71" s="95" t="str">
        <f>VLOOKUP(I71,[7]stage_hints!$A:$C,3,FALSE)</f>
        <v>マルチプレイのメリット（その1）</v>
      </c>
      <c r="L71" s="96" t="str">
        <f>VLOOKUP(I71,[7]stage_hints!$A:$D,4,FALSE)</f>
        <v>他のプレイヤーとマルチプレイで遊ぶと_x000D_ポリゴンがもらえます（100人まで）</v>
      </c>
      <c r="M71" s="57" t="s">
        <v>211</v>
      </c>
    </row>
    <row r="72" spans="1:13" x14ac:dyDescent="0.15">
      <c r="A72" s="82" t="s">
        <v>201</v>
      </c>
      <c r="B72" s="83">
        <f>floors!$C$2</f>
        <v>48703</v>
      </c>
      <c r="C72" s="84" t="str">
        <f ca="1">VLOOKUP($B72,OFFSET([2]quests!$A$1,0,0,COUNTA([2]quests!$A:$A),MATCH(C$1,[2]quests!$1:$1,0)-MATCH($B$1,[2]quests!$1:$1,0)+1),MATCH(C$1,[2]quests!$1:$1,0)-MATCH($B$1,[2]quests!$1:$1,0)+1,FALSE)</f>
        <v>紅蓮襲来！</v>
      </c>
      <c r="D72" s="84" t="str">
        <f ca="1">VLOOKUP($B72,OFFSET([2]quests!$A$1,0,0,COUNTA([2]quests!$A:$A),MATCH(D$1,[2]quests!$1:$1,0)-MATCH($B$1,[2]quests!$1:$1,0)+1),MATCH(D$1,[2]quests!$1:$1,0)-MATCH($B$1,[2]quests!$1:$1,0)+1,FALSE)</f>
        <v>韓国版降臨3</v>
      </c>
      <c r="E72" s="88" t="s">
        <v>216</v>
      </c>
      <c r="F72" s="84" t="e">
        <f ca="1">VLOOKUP($B72&amp;"_"&amp;$E72,OFFSET([2]stages!$A$1,0,0,COUNTA([2]stages!$A:$A),MATCH(F$1,[2]stages!$2:$2,0)-MATCH("temp_stage",[2]stages!$2:$2,0)+1),MATCH(F$1,[2]stages!$2:$2,0)-MATCH("temp_stage",[2]stages!$2:$2,0)+1,FALSE)</f>
        <v>#N/A</v>
      </c>
      <c r="G72" s="84" t="e">
        <f ca="1">VLOOKUP($B72&amp;"_"&amp;$E72,OFFSET([2]stages!$A$1,0,0,COUNTA([2]stages!$A:$A),MATCH(G$1,[2]stages!$2:$2,0)-MATCH("temp_stage",[2]stages!$2:$2,0)+1),MATCH(G$1,[2]stages!$2:$2,0)-MATCH("temp_stage",[2]stages!$2:$2,0)+1,FALSE)</f>
        <v>#N/A</v>
      </c>
      <c r="H72" s="86">
        <v>0</v>
      </c>
      <c r="I72" s="98">
        <v>17</v>
      </c>
      <c r="J72" s="85" t="s">
        <v>199</v>
      </c>
      <c r="K72" s="95" t="str">
        <f>VLOOKUP(I72,[7]stage_hints!$A:$C,3,FALSE)</f>
        <v>リンクガチャ</v>
      </c>
      <c r="L72" s="96" t="str">
        <f>VLOOKUP(I72,[7]stage_hints!$A:$D,4,FALSE)</f>
        <v>無料のリンクガチャを回して_x000D_経験値素材や売却素材を獲得しましょう</v>
      </c>
      <c r="M72" s="57" t="s">
        <v>211</v>
      </c>
    </row>
    <row r="73" spans="1:13" x14ac:dyDescent="0.15">
      <c r="A73" s="82" t="s">
        <v>201</v>
      </c>
      <c r="B73" s="83">
        <f>floors!$C$2</f>
        <v>48703</v>
      </c>
      <c r="C73" s="84" t="str">
        <f ca="1">VLOOKUP($B73,OFFSET([2]quests!$A$1,0,0,COUNTA([2]quests!$A:$A),MATCH(C$1,[2]quests!$1:$1,0)-MATCH($B$1,[2]quests!$1:$1,0)+1),MATCH(C$1,[2]quests!$1:$1,0)-MATCH($B$1,[2]quests!$1:$1,0)+1,FALSE)</f>
        <v>紅蓮襲来！</v>
      </c>
      <c r="D73" s="84" t="str">
        <f ca="1">VLOOKUP($B73,OFFSET([2]quests!$A$1,0,0,COUNTA([2]quests!$A:$A),MATCH(D$1,[2]quests!$1:$1,0)-MATCH($B$1,[2]quests!$1:$1,0)+1),MATCH(D$1,[2]quests!$1:$1,0)-MATCH($B$1,[2]quests!$1:$1,0)+1,FALSE)</f>
        <v>韓国版降臨3</v>
      </c>
      <c r="E73" s="88" t="s">
        <v>216</v>
      </c>
      <c r="F73" s="84" t="e">
        <f ca="1">VLOOKUP($B73&amp;"_"&amp;$E73,OFFSET([2]stages!$A$1,0,0,COUNTA([2]stages!$A:$A),MATCH(F$1,[2]stages!$2:$2,0)-MATCH("temp_stage",[2]stages!$2:$2,0)+1),MATCH(F$1,[2]stages!$2:$2,0)-MATCH("temp_stage",[2]stages!$2:$2,0)+1,FALSE)</f>
        <v>#N/A</v>
      </c>
      <c r="G73" s="84" t="e">
        <f ca="1">VLOOKUP($B73&amp;"_"&amp;$E73,OFFSET([2]stages!$A$1,0,0,COUNTA([2]stages!$A:$A),MATCH(G$1,[2]stages!$2:$2,0)-MATCH("temp_stage",[2]stages!$2:$2,0)+1),MATCH(G$1,[2]stages!$2:$2,0)-MATCH("temp_stage",[2]stages!$2:$2,0)+1,FALSE)</f>
        <v>#N/A</v>
      </c>
      <c r="H73" s="86">
        <v>0</v>
      </c>
      <c r="I73" s="98">
        <v>18</v>
      </c>
      <c r="J73" s="85" t="s">
        <v>199</v>
      </c>
      <c r="K73" s="95" t="str">
        <f>VLOOKUP(I73,[7]stage_hints!$A:$C,3,FALSE)</f>
        <v>マルチプレイのメリット（その2）</v>
      </c>
      <c r="L73" s="96" t="str">
        <f>VLOOKUP(I73,[7]stage_hints!$A:$D,4,FALSE)</f>
        <v>マルチプレイならリンクが2倍もらえます_x000D_リンクガチャをたくさん回しましょう</v>
      </c>
      <c r="M73" s="57" t="s">
        <v>211</v>
      </c>
    </row>
    <row r="74" spans="1:13" x14ac:dyDescent="0.15">
      <c r="A74" s="82" t="s">
        <v>201</v>
      </c>
      <c r="B74" s="83">
        <f>floors!$C$2</f>
        <v>48703</v>
      </c>
      <c r="C74" s="84" t="str">
        <f ca="1">VLOOKUP($B74,OFFSET([2]quests!$A$1,0,0,COUNTA([2]quests!$A:$A),MATCH(C$1,[2]quests!$1:$1,0)-MATCH($B$1,[2]quests!$1:$1,0)+1),MATCH(C$1,[2]quests!$1:$1,0)-MATCH($B$1,[2]quests!$1:$1,0)+1,FALSE)</f>
        <v>紅蓮襲来！</v>
      </c>
      <c r="D74" s="84" t="str">
        <f ca="1">VLOOKUP($B74,OFFSET([2]quests!$A$1,0,0,COUNTA([2]quests!$A:$A),MATCH(D$1,[2]quests!$1:$1,0)-MATCH($B$1,[2]quests!$1:$1,0)+1),MATCH(D$1,[2]quests!$1:$1,0)-MATCH($B$1,[2]quests!$1:$1,0)+1,FALSE)</f>
        <v>韓国版降臨3</v>
      </c>
      <c r="E74" s="88" t="s">
        <v>216</v>
      </c>
      <c r="F74" s="84" t="e">
        <f ca="1">VLOOKUP($B74&amp;"_"&amp;$E74,OFFSET([2]stages!$A$1,0,0,COUNTA([2]stages!$A:$A),MATCH(F$1,[2]stages!$2:$2,0)-MATCH("temp_stage",[2]stages!$2:$2,0)+1),MATCH(F$1,[2]stages!$2:$2,0)-MATCH("temp_stage",[2]stages!$2:$2,0)+1,FALSE)</f>
        <v>#N/A</v>
      </c>
      <c r="G74" s="84" t="e">
        <f ca="1">VLOOKUP($B74&amp;"_"&amp;$E74,OFFSET([2]stages!$A$1,0,0,COUNTA([2]stages!$A:$A),MATCH(G$1,[2]stages!$2:$2,0)-MATCH("temp_stage",[2]stages!$2:$2,0)+1),MATCH(G$1,[2]stages!$2:$2,0)-MATCH("temp_stage",[2]stages!$2:$2,0)+1,FALSE)</f>
        <v>#N/A</v>
      </c>
      <c r="H74" s="86">
        <v>0</v>
      </c>
      <c r="I74" s="98">
        <v>19</v>
      </c>
      <c r="J74" s="85" t="s">
        <v>199</v>
      </c>
      <c r="K74" s="95" t="str">
        <f>VLOOKUP(I74,[7]stage_hints!$A:$C,3,FALSE)</f>
        <v>ソロ専用タワーオブザクイーン</v>
      </c>
      <c r="L74" s="96" t="str">
        <f>VLOOKUP(I74,[7]stage_hints!$A:$D,4,FALSE)</f>
        <v>ソロ専用の「タワーオブザクイーン」は_x000D_期間限定で定期的に開催されます_x000D_ここでしか獲得できない報酬もあるようです</v>
      </c>
      <c r="M74" s="57" t="s">
        <v>211</v>
      </c>
    </row>
    <row r="75" spans="1:13" x14ac:dyDescent="0.15">
      <c r="A75" s="82" t="s">
        <v>201</v>
      </c>
      <c r="B75" s="83">
        <f>floors!$C$2</f>
        <v>48703</v>
      </c>
      <c r="C75" s="84" t="str">
        <f ca="1">VLOOKUP($B75,OFFSET([2]quests!$A$1,0,0,COUNTA([2]quests!$A:$A),MATCH(C$1,[2]quests!$1:$1,0)-MATCH($B$1,[2]quests!$1:$1,0)+1),MATCH(C$1,[2]quests!$1:$1,0)-MATCH($B$1,[2]quests!$1:$1,0)+1,FALSE)</f>
        <v>紅蓮襲来！</v>
      </c>
      <c r="D75" s="84" t="str">
        <f ca="1">VLOOKUP($B75,OFFSET([2]quests!$A$1,0,0,COUNTA([2]quests!$A:$A),MATCH(D$1,[2]quests!$1:$1,0)-MATCH($B$1,[2]quests!$1:$1,0)+1),MATCH(D$1,[2]quests!$1:$1,0)-MATCH($B$1,[2]quests!$1:$1,0)+1,FALSE)</f>
        <v>韓国版降臨3</v>
      </c>
      <c r="E75" s="88" t="s">
        <v>216</v>
      </c>
      <c r="F75" s="84" t="e">
        <f ca="1">VLOOKUP($B75&amp;"_"&amp;$E75,OFFSET([2]stages!$A$1,0,0,COUNTA([2]stages!$A:$A),MATCH(F$1,[2]stages!$2:$2,0)-MATCH("temp_stage",[2]stages!$2:$2,0)+1),MATCH(F$1,[2]stages!$2:$2,0)-MATCH("temp_stage",[2]stages!$2:$2,0)+1,FALSE)</f>
        <v>#N/A</v>
      </c>
      <c r="G75" s="84" t="e">
        <f ca="1">VLOOKUP($B75&amp;"_"&amp;$E75,OFFSET([2]stages!$A$1,0,0,COUNTA([2]stages!$A:$A),MATCH(G$1,[2]stages!$2:$2,0)-MATCH("temp_stage",[2]stages!$2:$2,0)+1),MATCH(G$1,[2]stages!$2:$2,0)-MATCH("temp_stage",[2]stages!$2:$2,0)+1,FALSE)</f>
        <v>#N/A</v>
      </c>
      <c r="H75" s="86">
        <v>0</v>
      </c>
      <c r="I75" s="98">
        <v>20</v>
      </c>
      <c r="J75" s="85" t="s">
        <v>199</v>
      </c>
      <c r="K75" s="95" t="str">
        <f>VLOOKUP(I75,[7]stage_hints!$A:$C,3,FALSE)</f>
        <v>マルチプレイのメリット（その3）</v>
      </c>
      <c r="L75" s="96" t="str">
        <f>VLOOKUP(I75,[7]stage_hints!$A:$D,4,FALSE)</f>
        <v>マルチプレイへの参加はエナジー消費ゼロ_x000D_いつでも好きなだけ遊ぶことができます</v>
      </c>
      <c r="M75" s="57" t="s">
        <v>211</v>
      </c>
    </row>
    <row r="76" spans="1:13" x14ac:dyDescent="0.15">
      <c r="A76" s="82" t="s">
        <v>201</v>
      </c>
      <c r="B76" s="83">
        <f>floors!$C$2</f>
        <v>48703</v>
      </c>
      <c r="C76" s="84" t="str">
        <f ca="1">VLOOKUP($B76,OFFSET([2]quests!$A$1,0,0,COUNTA([2]quests!$A:$A),MATCH(C$1,[2]quests!$1:$1,0)-MATCH($B$1,[2]quests!$1:$1,0)+1),MATCH(C$1,[2]quests!$1:$1,0)-MATCH($B$1,[2]quests!$1:$1,0)+1,FALSE)</f>
        <v>紅蓮襲来！</v>
      </c>
      <c r="D76" s="84" t="str">
        <f ca="1">VLOOKUP($B76,OFFSET([2]quests!$A$1,0,0,COUNTA([2]quests!$A:$A),MATCH(D$1,[2]quests!$1:$1,0)-MATCH($B$1,[2]quests!$1:$1,0)+1),MATCH(D$1,[2]quests!$1:$1,0)-MATCH($B$1,[2]quests!$1:$1,0)+1,FALSE)</f>
        <v>韓国版降臨3</v>
      </c>
      <c r="E76" s="88" t="s">
        <v>216</v>
      </c>
      <c r="F76" s="84" t="e">
        <f ca="1">VLOOKUP($B76&amp;"_"&amp;$E76,OFFSET([2]stages!$A$1,0,0,COUNTA([2]stages!$A:$A),MATCH(F$1,[2]stages!$2:$2,0)-MATCH("temp_stage",[2]stages!$2:$2,0)+1),MATCH(F$1,[2]stages!$2:$2,0)-MATCH("temp_stage",[2]stages!$2:$2,0)+1,FALSE)</f>
        <v>#N/A</v>
      </c>
      <c r="G76" s="84" t="e">
        <f ca="1">VLOOKUP($B76&amp;"_"&amp;$E76,OFFSET([2]stages!$A$1,0,0,COUNTA([2]stages!$A:$A),MATCH(G$1,[2]stages!$2:$2,0)-MATCH("temp_stage",[2]stages!$2:$2,0)+1),MATCH(G$1,[2]stages!$2:$2,0)-MATCH("temp_stage",[2]stages!$2:$2,0)+1,FALSE)</f>
        <v>#N/A</v>
      </c>
      <c r="H76" s="86">
        <v>0</v>
      </c>
      <c r="I76" s="98">
        <v>21</v>
      </c>
      <c r="J76" s="85" t="s">
        <v>199</v>
      </c>
      <c r="K76" s="95" t="str">
        <f>VLOOKUP(I76,[7]stage_hints!$A:$C,3,FALSE)</f>
        <v>スキルを有効に</v>
      </c>
      <c r="L76" s="96" t="str">
        <f>VLOOKUP(I76,[7]stage_hints!$A:$D,4,FALSE)</f>
        <v>ターン経過でユニットのスキルが使えます_x000D_強力スキルでバトルを有利に進めましょう</v>
      </c>
      <c r="M76" s="57" t="s">
        <v>211</v>
      </c>
    </row>
    <row r="77" spans="1:13" x14ac:dyDescent="0.15">
      <c r="A77" s="82" t="s">
        <v>201</v>
      </c>
      <c r="B77" s="83">
        <f>floors!$C$2</f>
        <v>48703</v>
      </c>
      <c r="C77" s="84" t="str">
        <f ca="1">VLOOKUP($B77,OFFSET([2]quests!$A$1,0,0,COUNTA([2]quests!$A:$A),MATCH(C$1,[2]quests!$1:$1,0)-MATCH($B$1,[2]quests!$1:$1,0)+1),MATCH(C$1,[2]quests!$1:$1,0)-MATCH($B$1,[2]quests!$1:$1,0)+1,FALSE)</f>
        <v>紅蓮襲来！</v>
      </c>
      <c r="D77" s="84" t="str">
        <f ca="1">VLOOKUP($B77,OFFSET([2]quests!$A$1,0,0,COUNTA([2]quests!$A:$A),MATCH(D$1,[2]quests!$1:$1,0)-MATCH($B$1,[2]quests!$1:$1,0)+1),MATCH(D$1,[2]quests!$1:$1,0)-MATCH($B$1,[2]quests!$1:$1,0)+1,FALSE)</f>
        <v>韓国版降臨3</v>
      </c>
      <c r="E77" s="88" t="s">
        <v>216</v>
      </c>
      <c r="F77" s="84" t="e">
        <f ca="1">VLOOKUP($B77&amp;"_"&amp;$E77,OFFSET([2]stages!$A$1,0,0,COUNTA([2]stages!$A:$A),MATCH(F$1,[2]stages!$2:$2,0)-MATCH("temp_stage",[2]stages!$2:$2,0)+1),MATCH(F$1,[2]stages!$2:$2,0)-MATCH("temp_stage",[2]stages!$2:$2,0)+1,FALSE)</f>
        <v>#N/A</v>
      </c>
      <c r="G77" s="84" t="e">
        <f ca="1">VLOOKUP($B77&amp;"_"&amp;$E77,OFFSET([2]stages!$A$1,0,0,COUNTA([2]stages!$A:$A),MATCH(G$1,[2]stages!$2:$2,0)-MATCH("temp_stage",[2]stages!$2:$2,0)+1),MATCH(G$1,[2]stages!$2:$2,0)-MATCH("temp_stage",[2]stages!$2:$2,0)+1,FALSE)</f>
        <v>#N/A</v>
      </c>
      <c r="H77" s="86">
        <v>0</v>
      </c>
      <c r="I77" s="98">
        <v>22</v>
      </c>
      <c r="J77" s="85" t="s">
        <v>199</v>
      </c>
      <c r="K77" s="95" t="str">
        <f>VLOOKUP(I77,[7]stage_hints!$A:$C,3,FALSE)</f>
        <v>フィーバーで一発逆転（その1）</v>
      </c>
      <c r="L77" s="96" t="str">
        <f>VLOOKUP(I77,[7]stage_hints!$A:$D,4,FALSE)</f>
        <v>フィーバーは攻撃と回復を兼ね備えます_x000D_ピンチからの一発逆転を狙いましょう</v>
      </c>
      <c r="M77" s="57" t="s">
        <v>211</v>
      </c>
    </row>
    <row r="78" spans="1:13" x14ac:dyDescent="0.15">
      <c r="A78" s="82" t="s">
        <v>201</v>
      </c>
      <c r="B78" s="83">
        <f>floors!$C$2</f>
        <v>48703</v>
      </c>
      <c r="C78" s="84" t="str">
        <f ca="1">VLOOKUP($B78,OFFSET([2]quests!$A$1,0,0,COUNTA([2]quests!$A:$A),MATCH(C$1,[2]quests!$1:$1,0)-MATCH($B$1,[2]quests!$1:$1,0)+1),MATCH(C$1,[2]quests!$1:$1,0)-MATCH($B$1,[2]quests!$1:$1,0)+1,FALSE)</f>
        <v>紅蓮襲来！</v>
      </c>
      <c r="D78" s="84" t="str">
        <f ca="1">VLOOKUP($B78,OFFSET([2]quests!$A$1,0,0,COUNTA([2]quests!$A:$A),MATCH(D$1,[2]quests!$1:$1,0)-MATCH($B$1,[2]quests!$1:$1,0)+1),MATCH(D$1,[2]quests!$1:$1,0)-MATCH($B$1,[2]quests!$1:$1,0)+1,FALSE)</f>
        <v>韓国版降臨3</v>
      </c>
      <c r="E78" s="88" t="s">
        <v>216</v>
      </c>
      <c r="F78" s="84" t="e">
        <f ca="1">VLOOKUP($B78&amp;"_"&amp;$E78,OFFSET([2]stages!$A$1,0,0,COUNTA([2]stages!$A:$A),MATCH(F$1,[2]stages!$2:$2,0)-MATCH("temp_stage",[2]stages!$2:$2,0)+1),MATCH(F$1,[2]stages!$2:$2,0)-MATCH("temp_stage",[2]stages!$2:$2,0)+1,FALSE)</f>
        <v>#N/A</v>
      </c>
      <c r="G78" s="84" t="e">
        <f ca="1">VLOOKUP($B78&amp;"_"&amp;$E78,OFFSET([2]stages!$A$1,0,0,COUNTA([2]stages!$A:$A),MATCH(G$1,[2]stages!$2:$2,0)-MATCH("temp_stage",[2]stages!$2:$2,0)+1),MATCH(G$1,[2]stages!$2:$2,0)-MATCH("temp_stage",[2]stages!$2:$2,0)+1,FALSE)</f>
        <v>#N/A</v>
      </c>
      <c r="H78" s="86">
        <v>0</v>
      </c>
      <c r="I78" s="98">
        <v>23</v>
      </c>
      <c r="J78" s="85" t="s">
        <v>199</v>
      </c>
      <c r="K78" s="95" t="str">
        <f>VLOOKUP(I78,[7]stage_hints!$A:$C,3,FALSE)</f>
        <v>フィーバーで一発逆転（その2）</v>
      </c>
      <c r="L78" s="96" t="str">
        <f>VLOOKUP(I78,[7]stage_hints!$A:$D,4,FALSE)</f>
        <v>フィーバー中は虹色のボムパネルを狙って_x000D_画面上のパネルを一気に破壊しましょう</v>
      </c>
      <c r="M78" s="57" t="s">
        <v>211</v>
      </c>
    </row>
    <row r="79" spans="1:13" x14ac:dyDescent="0.15">
      <c r="A79" s="82" t="s">
        <v>201</v>
      </c>
      <c r="B79" s="83">
        <f>floors!$C$2</f>
        <v>48703</v>
      </c>
      <c r="C79" s="84" t="str">
        <f ca="1">VLOOKUP($B79,OFFSET([2]quests!$A$1,0,0,COUNTA([2]quests!$A:$A),MATCH(C$1,[2]quests!$1:$1,0)-MATCH($B$1,[2]quests!$1:$1,0)+1),MATCH(C$1,[2]quests!$1:$1,0)-MATCH($B$1,[2]quests!$1:$1,0)+1,FALSE)</f>
        <v>紅蓮襲来！</v>
      </c>
      <c r="D79" s="84" t="str">
        <f ca="1">VLOOKUP($B79,OFFSET([2]quests!$A$1,0,0,COUNTA([2]quests!$A:$A),MATCH(D$1,[2]quests!$1:$1,0)-MATCH($B$1,[2]quests!$1:$1,0)+1),MATCH(D$1,[2]quests!$1:$1,0)-MATCH($B$1,[2]quests!$1:$1,0)+1,FALSE)</f>
        <v>韓国版降臨3</v>
      </c>
      <c r="E79" s="88" t="s">
        <v>216</v>
      </c>
      <c r="F79" s="84" t="e">
        <f ca="1">VLOOKUP($B79&amp;"_"&amp;$E79,OFFSET([2]stages!$A$1,0,0,COUNTA([2]stages!$A:$A),MATCH(F$1,[2]stages!$2:$2,0)-MATCH("temp_stage",[2]stages!$2:$2,0)+1),MATCH(F$1,[2]stages!$2:$2,0)-MATCH("temp_stage",[2]stages!$2:$2,0)+1,FALSE)</f>
        <v>#N/A</v>
      </c>
      <c r="G79" s="84" t="e">
        <f ca="1">VLOOKUP($B79&amp;"_"&amp;$E79,OFFSET([2]stages!$A$1,0,0,COUNTA([2]stages!$A:$A),MATCH(G$1,[2]stages!$2:$2,0)-MATCH("temp_stage",[2]stages!$2:$2,0)+1),MATCH(G$1,[2]stages!$2:$2,0)-MATCH("temp_stage",[2]stages!$2:$2,0)+1,FALSE)</f>
        <v>#N/A</v>
      </c>
      <c r="H79" s="86">
        <v>0</v>
      </c>
      <c r="I79" s="98">
        <v>24</v>
      </c>
      <c r="J79" s="85" t="s">
        <v>199</v>
      </c>
      <c r="K79" s="95" t="str">
        <f>VLOOKUP(I79,[7]stage_hints!$A:$C,3,FALSE)</f>
        <v>果実を使って限界突破</v>
      </c>
      <c r="L79" s="96" t="str">
        <f>VLOOKUP(I79,[7]stage_hints!$A:$D,4,FALSE)</f>
        <v>攻めの果実 癒しの果実_x000D_生命の果実をユニット強化に使うと_x000D_ステータスが限界突破します（計99個迄）</v>
      </c>
      <c r="M79" s="57" t="s">
        <v>211</v>
      </c>
    </row>
    <row r="80" spans="1:13" x14ac:dyDescent="0.15">
      <c r="A80" s="82" t="s">
        <v>201</v>
      </c>
      <c r="B80" s="83">
        <f>floors!$C$2</f>
        <v>48703</v>
      </c>
      <c r="C80" s="84" t="str">
        <f ca="1">VLOOKUP($B80,OFFSET([2]quests!$A$1,0,0,COUNTA([2]quests!$A:$A),MATCH(C$1,[2]quests!$1:$1,0)-MATCH($B$1,[2]quests!$1:$1,0)+1),MATCH(C$1,[2]quests!$1:$1,0)-MATCH($B$1,[2]quests!$1:$1,0)+1,FALSE)</f>
        <v>紅蓮襲来！</v>
      </c>
      <c r="D80" s="84" t="str">
        <f ca="1">VLOOKUP($B80,OFFSET([2]quests!$A$1,0,0,COUNTA([2]quests!$A:$A),MATCH(D$1,[2]quests!$1:$1,0)-MATCH($B$1,[2]quests!$1:$1,0)+1),MATCH(D$1,[2]quests!$1:$1,0)-MATCH($B$1,[2]quests!$1:$1,0)+1,FALSE)</f>
        <v>韓国版降臨3</v>
      </c>
      <c r="E80" s="88" t="s">
        <v>216</v>
      </c>
      <c r="F80" s="84" t="e">
        <f ca="1">VLOOKUP($B80&amp;"_"&amp;$E80,OFFSET([2]stages!$A$1,0,0,COUNTA([2]stages!$A:$A),MATCH(F$1,[2]stages!$2:$2,0)-MATCH("temp_stage",[2]stages!$2:$2,0)+1),MATCH(F$1,[2]stages!$2:$2,0)-MATCH("temp_stage",[2]stages!$2:$2,0)+1,FALSE)</f>
        <v>#N/A</v>
      </c>
      <c r="G80" s="84" t="e">
        <f ca="1">VLOOKUP($B80&amp;"_"&amp;$E80,OFFSET([2]stages!$A$1,0,0,COUNTA([2]stages!$A:$A),MATCH(G$1,[2]stages!$2:$2,0)-MATCH("temp_stage",[2]stages!$2:$2,0)+1),MATCH(G$1,[2]stages!$2:$2,0)-MATCH("temp_stage",[2]stages!$2:$2,0)+1,FALSE)</f>
        <v>#N/A</v>
      </c>
      <c r="H80" s="86">
        <v>0</v>
      </c>
      <c r="I80" s="98">
        <v>25</v>
      </c>
      <c r="J80" s="85" t="s">
        <v>199</v>
      </c>
      <c r="K80" s="95" t="str">
        <f>VLOOKUP(I80,[7]stage_hints!$A:$C,3,FALSE)</f>
        <v>スキルレベルアップ</v>
      </c>
      <c r="L80" s="96" t="str">
        <f>VLOOKUP(I80,[7]stage_hints!$A:$D,4,FALSE)</f>
        <v>「秘術の果実」を強化に使うと_x000D_スキルレベルを上げることができます</v>
      </c>
      <c r="M80" s="57" t="s">
        <v>211</v>
      </c>
    </row>
    <row r="81" spans="1:13" x14ac:dyDescent="0.15">
      <c r="A81" s="82" t="s">
        <v>201</v>
      </c>
      <c r="B81" s="83">
        <f>floors!$C$2</f>
        <v>48703</v>
      </c>
      <c r="C81" s="84" t="str">
        <f ca="1">VLOOKUP($B81,OFFSET([2]quests!$A$1,0,0,COUNTA([2]quests!$A:$A),MATCH(C$1,[2]quests!$1:$1,0)-MATCH($B$1,[2]quests!$1:$1,0)+1),MATCH(C$1,[2]quests!$1:$1,0)-MATCH($B$1,[2]quests!$1:$1,0)+1,FALSE)</f>
        <v>紅蓮襲来！</v>
      </c>
      <c r="D81" s="84" t="str">
        <f ca="1">VLOOKUP($B81,OFFSET([2]quests!$A$1,0,0,COUNTA([2]quests!$A:$A),MATCH(D$1,[2]quests!$1:$1,0)-MATCH($B$1,[2]quests!$1:$1,0)+1),MATCH(D$1,[2]quests!$1:$1,0)-MATCH($B$1,[2]quests!$1:$1,0)+1,FALSE)</f>
        <v>韓国版降臨3</v>
      </c>
      <c r="E81" s="88" t="s">
        <v>216</v>
      </c>
      <c r="F81" s="84" t="e">
        <f ca="1">VLOOKUP($B81&amp;"_"&amp;$E81,OFFSET([2]stages!$A$1,0,0,COUNTA([2]stages!$A:$A),MATCH(F$1,[2]stages!$2:$2,0)-MATCH("temp_stage",[2]stages!$2:$2,0)+1),MATCH(F$1,[2]stages!$2:$2,0)-MATCH("temp_stage",[2]stages!$2:$2,0)+1,FALSE)</f>
        <v>#N/A</v>
      </c>
      <c r="G81" s="84" t="e">
        <f ca="1">VLOOKUP($B81&amp;"_"&amp;$E81,OFFSET([2]stages!$A$1,0,0,COUNTA([2]stages!$A:$A),MATCH(G$1,[2]stages!$2:$2,0)-MATCH("temp_stage",[2]stages!$2:$2,0)+1),MATCH(G$1,[2]stages!$2:$2,0)-MATCH("temp_stage",[2]stages!$2:$2,0)+1,FALSE)</f>
        <v>#N/A</v>
      </c>
      <c r="H81" s="86">
        <v>0</v>
      </c>
      <c r="I81" s="98">
        <v>26</v>
      </c>
      <c r="J81" s="85" t="s">
        <v>199</v>
      </c>
      <c r="K81" s="95" t="str">
        <f>VLOOKUP(I81,[7]stage_hints!$A:$C,3,FALSE)</f>
        <v>スキルレベルの効果</v>
      </c>
      <c r="L81" s="96" t="str">
        <f>VLOOKUP(I81,[7]stage_hints!$A:$D,4,FALSE)</f>
        <v>スキルレベルが上がると_x000D_短いターンでスキルを使うことができます</v>
      </c>
      <c r="M81" s="57" t="s">
        <v>211</v>
      </c>
    </row>
    <row r="82" spans="1:13" x14ac:dyDescent="0.15">
      <c r="A82" s="82" t="s">
        <v>201</v>
      </c>
      <c r="B82" s="83">
        <f>floors!$C$2</f>
        <v>48703</v>
      </c>
      <c r="C82" s="84" t="str">
        <f ca="1">VLOOKUP($B82,OFFSET([2]quests!$A$1,0,0,COUNTA([2]quests!$A:$A),MATCH(C$1,[2]quests!$1:$1,0)-MATCH($B$1,[2]quests!$1:$1,0)+1),MATCH(C$1,[2]quests!$1:$1,0)-MATCH($B$1,[2]quests!$1:$1,0)+1,FALSE)</f>
        <v>紅蓮襲来！</v>
      </c>
      <c r="D82" s="84" t="str">
        <f ca="1">VLOOKUP($B82,OFFSET([2]quests!$A$1,0,0,COUNTA([2]quests!$A:$A),MATCH(D$1,[2]quests!$1:$1,0)-MATCH($B$1,[2]quests!$1:$1,0)+1),MATCH(D$1,[2]quests!$1:$1,0)-MATCH($B$1,[2]quests!$1:$1,0)+1,FALSE)</f>
        <v>韓国版降臨3</v>
      </c>
      <c r="E82" s="88" t="s">
        <v>216</v>
      </c>
      <c r="F82" s="84" t="e">
        <f ca="1">VLOOKUP($B82&amp;"_"&amp;$E82,OFFSET([2]stages!$A$1,0,0,COUNTA([2]stages!$A:$A),MATCH(F$1,[2]stages!$2:$2,0)-MATCH("temp_stage",[2]stages!$2:$2,0)+1),MATCH(F$1,[2]stages!$2:$2,0)-MATCH("temp_stage",[2]stages!$2:$2,0)+1,FALSE)</f>
        <v>#N/A</v>
      </c>
      <c r="G82" s="84" t="e">
        <f ca="1">VLOOKUP($B82&amp;"_"&amp;$E82,OFFSET([2]stages!$A$1,0,0,COUNTA([2]stages!$A:$A),MATCH(G$1,[2]stages!$2:$2,0)-MATCH("temp_stage",[2]stages!$2:$2,0)+1),MATCH(G$1,[2]stages!$2:$2,0)-MATCH("temp_stage",[2]stages!$2:$2,0)+1,FALSE)</f>
        <v>#N/A</v>
      </c>
      <c r="H82" s="86">
        <v>0</v>
      </c>
      <c r="I82" s="98">
        <v>27</v>
      </c>
      <c r="J82" s="85" t="s">
        <v>199</v>
      </c>
      <c r="K82" s="95" t="str">
        <f>VLOOKUP(I82,[7]stage_hints!$A:$C,3,FALSE)</f>
        <v>ホーム画面からデッキを編成</v>
      </c>
      <c r="L82" s="96" t="str">
        <f>VLOOKUP(I82,[7]stage_hints!$A:$D,4,FALSE)</f>
        <v>ホーム画面でユニットを長押しすると_x000D_すぐにパーティ編成に移動できます</v>
      </c>
      <c r="M82" s="57" t="s">
        <v>211</v>
      </c>
    </row>
    <row r="83" spans="1:13" x14ac:dyDescent="0.15">
      <c r="A83" s="82" t="s">
        <v>201</v>
      </c>
      <c r="B83" s="83">
        <f>floors!$C$2</f>
        <v>48703</v>
      </c>
      <c r="C83" s="84" t="str">
        <f ca="1">VLOOKUP($B83,OFFSET([2]quests!$A$1,0,0,COUNTA([2]quests!$A:$A),MATCH(C$1,[2]quests!$1:$1,0)-MATCH($B$1,[2]quests!$1:$1,0)+1),MATCH(C$1,[2]quests!$1:$1,0)-MATCH($B$1,[2]quests!$1:$1,0)+1,FALSE)</f>
        <v>紅蓮襲来！</v>
      </c>
      <c r="D83" s="84" t="str">
        <f ca="1">VLOOKUP($B83,OFFSET([2]quests!$A$1,0,0,COUNTA([2]quests!$A:$A),MATCH(D$1,[2]quests!$1:$1,0)-MATCH($B$1,[2]quests!$1:$1,0)+1),MATCH(D$1,[2]quests!$1:$1,0)-MATCH($B$1,[2]quests!$1:$1,0)+1,FALSE)</f>
        <v>韓国版降臨3</v>
      </c>
      <c r="E83" s="88" t="s">
        <v>216</v>
      </c>
      <c r="F83" s="84" t="e">
        <f ca="1">VLOOKUP($B83&amp;"_"&amp;$E83,OFFSET([2]stages!$A$1,0,0,COUNTA([2]stages!$A:$A),MATCH(F$1,[2]stages!$2:$2,0)-MATCH("temp_stage",[2]stages!$2:$2,0)+1),MATCH(F$1,[2]stages!$2:$2,0)-MATCH("temp_stage",[2]stages!$2:$2,0)+1,FALSE)</f>
        <v>#N/A</v>
      </c>
      <c r="G83" s="84" t="e">
        <f ca="1">VLOOKUP($B83&amp;"_"&amp;$E83,OFFSET([2]stages!$A$1,0,0,COUNTA([2]stages!$A:$A),MATCH(G$1,[2]stages!$2:$2,0)-MATCH("temp_stage",[2]stages!$2:$2,0)+1),MATCH(G$1,[2]stages!$2:$2,0)-MATCH("temp_stage",[2]stages!$2:$2,0)+1,FALSE)</f>
        <v>#N/A</v>
      </c>
      <c r="H83" s="86">
        <v>0</v>
      </c>
      <c r="I83" s="98">
        <v>28</v>
      </c>
      <c r="J83" s="85" t="s">
        <v>199</v>
      </c>
      <c r="K83" s="95" t="str">
        <f>VLOOKUP(I83,[7]stage_hints!$A:$C,3,FALSE)</f>
        <v>ステータス情報は長押しで</v>
      </c>
      <c r="L83" s="96" t="str">
        <f>VLOOKUP(I83,[7]stage_hints!$A:$D,4,FALSE)</f>
        <v>ユニットのアイコンを長押しすると_x000D_ステータス情報を確認することができます</v>
      </c>
      <c r="M83" s="57" t="s">
        <v>211</v>
      </c>
    </row>
    <row r="84" spans="1:13" x14ac:dyDescent="0.15">
      <c r="A84" s="82" t="s">
        <v>201</v>
      </c>
      <c r="B84" s="83">
        <f>floors!$C$2</f>
        <v>48703</v>
      </c>
      <c r="C84" s="84" t="str">
        <f ca="1">VLOOKUP($B84,OFFSET([2]quests!$A$1,0,0,COUNTA([2]quests!$A:$A),MATCH(C$1,[2]quests!$1:$1,0)-MATCH($B$1,[2]quests!$1:$1,0)+1),MATCH(C$1,[2]quests!$1:$1,0)-MATCH($B$1,[2]quests!$1:$1,0)+1,FALSE)</f>
        <v>紅蓮襲来！</v>
      </c>
      <c r="D84" s="84" t="str">
        <f ca="1">VLOOKUP($B84,OFFSET([2]quests!$A$1,0,0,COUNTA([2]quests!$A:$A),MATCH(D$1,[2]quests!$1:$1,0)-MATCH($B$1,[2]quests!$1:$1,0)+1),MATCH(D$1,[2]quests!$1:$1,0)-MATCH($B$1,[2]quests!$1:$1,0)+1,FALSE)</f>
        <v>韓国版降臨3</v>
      </c>
      <c r="E84" s="88" t="s">
        <v>216</v>
      </c>
      <c r="F84" s="84" t="e">
        <f ca="1">VLOOKUP($B84&amp;"_"&amp;$E84,OFFSET([2]stages!$A$1,0,0,COUNTA([2]stages!$A:$A),MATCH(F$1,[2]stages!$2:$2,0)-MATCH("temp_stage",[2]stages!$2:$2,0)+1),MATCH(F$1,[2]stages!$2:$2,0)-MATCH("temp_stage",[2]stages!$2:$2,0)+1,FALSE)</f>
        <v>#N/A</v>
      </c>
      <c r="G84" s="84" t="e">
        <f ca="1">VLOOKUP($B84&amp;"_"&amp;$E84,OFFSET([2]stages!$A$1,0,0,COUNTA([2]stages!$A:$A),MATCH(G$1,[2]stages!$2:$2,0)-MATCH("temp_stage",[2]stages!$2:$2,0)+1),MATCH(G$1,[2]stages!$2:$2,0)-MATCH("temp_stage",[2]stages!$2:$2,0)+1,FALSE)</f>
        <v>#N/A</v>
      </c>
      <c r="H84" s="86">
        <v>0</v>
      </c>
      <c r="I84" s="98">
        <v>29</v>
      </c>
      <c r="J84" s="85" t="s">
        <v>199</v>
      </c>
      <c r="K84" s="95" t="str">
        <f>VLOOKUP(I84,[7]stage_hints!$A:$C,3,FALSE)</f>
        <v>「バグ」のメリット</v>
      </c>
      <c r="L84" s="96" t="str">
        <f>VLOOKUP(I84,[7]stage_hints!$A:$D,4,FALSE)</f>
        <v>ユニットの「バグ」を増やすと_x000D_報酬をもらえる確率がアップします</v>
      </c>
      <c r="M84" s="57" t="s">
        <v>211</v>
      </c>
    </row>
    <row r="85" spans="1:13" x14ac:dyDescent="0.15">
      <c r="A85" s="82" t="s">
        <v>201</v>
      </c>
      <c r="B85" s="83">
        <f>floors!$C$2</f>
        <v>48703</v>
      </c>
      <c r="C85" s="84" t="str">
        <f ca="1">VLOOKUP($B85,OFFSET([2]quests!$A$1,0,0,COUNTA([2]quests!$A:$A),MATCH(C$1,[2]quests!$1:$1,0)-MATCH($B$1,[2]quests!$1:$1,0)+1),MATCH(C$1,[2]quests!$1:$1,0)-MATCH($B$1,[2]quests!$1:$1,0)+1,FALSE)</f>
        <v>紅蓮襲来！</v>
      </c>
      <c r="D85" s="84" t="str">
        <f ca="1">VLOOKUP($B85,OFFSET([2]quests!$A$1,0,0,COUNTA([2]quests!$A:$A),MATCH(D$1,[2]quests!$1:$1,0)-MATCH($B$1,[2]quests!$1:$1,0)+1),MATCH(D$1,[2]quests!$1:$1,0)-MATCH($B$1,[2]quests!$1:$1,0)+1,FALSE)</f>
        <v>韓国版降臨3</v>
      </c>
      <c r="E85" s="88" t="s">
        <v>216</v>
      </c>
      <c r="F85" s="84" t="e">
        <f ca="1">VLOOKUP($B85&amp;"_"&amp;$E85,OFFSET([2]stages!$A$1,0,0,COUNTA([2]stages!$A:$A),MATCH(F$1,[2]stages!$2:$2,0)-MATCH("temp_stage",[2]stages!$2:$2,0)+1),MATCH(F$1,[2]stages!$2:$2,0)-MATCH("temp_stage",[2]stages!$2:$2,0)+1,FALSE)</f>
        <v>#N/A</v>
      </c>
      <c r="G85" s="84" t="e">
        <f ca="1">VLOOKUP($B85&amp;"_"&amp;$E85,OFFSET([2]stages!$A$1,0,0,COUNTA([2]stages!$A:$A),MATCH(G$1,[2]stages!$2:$2,0)-MATCH("temp_stage",[2]stages!$2:$2,0)+1),MATCH(G$1,[2]stages!$2:$2,0)-MATCH("temp_stage",[2]stages!$2:$2,0)+1,FALSE)</f>
        <v>#N/A</v>
      </c>
      <c r="H85" s="86">
        <v>0</v>
      </c>
      <c r="I85" s="98">
        <v>30</v>
      </c>
      <c r="J85" s="85" t="s">
        <v>199</v>
      </c>
      <c r="K85" s="95" t="str">
        <f>VLOOKUP(I85,[7]stage_hints!$A:$C,3,FALSE)</f>
        <v>「バグ」の増やし方</v>
      </c>
      <c r="L85" s="96" t="str">
        <f>VLOOKUP(I85,[7]stage_hints!$A:$D,4,FALSE)</f>
        <v>同じユニット同士を強化で合成すると_x000D_「バグ」を増やすことができます</v>
      </c>
      <c r="M85" s="57" t="s">
        <v>211</v>
      </c>
    </row>
    <row r="86" spans="1:13" x14ac:dyDescent="0.15">
      <c r="A86" s="82" t="s">
        <v>201</v>
      </c>
      <c r="B86" s="83">
        <f>floors!$C$2</f>
        <v>48703</v>
      </c>
      <c r="C86" s="84" t="str">
        <f ca="1">VLOOKUP($B86,OFFSET([2]quests!$A$1,0,0,COUNTA([2]quests!$A:$A),MATCH(C$1,[2]quests!$1:$1,0)-MATCH($B$1,[2]quests!$1:$1,0)+1),MATCH(C$1,[2]quests!$1:$1,0)-MATCH($B$1,[2]quests!$1:$1,0)+1,FALSE)</f>
        <v>紅蓮襲来！</v>
      </c>
      <c r="D86" s="84" t="str">
        <f ca="1">VLOOKUP($B86,OFFSET([2]quests!$A$1,0,0,COUNTA([2]quests!$A:$A),MATCH(D$1,[2]quests!$1:$1,0)-MATCH($B$1,[2]quests!$1:$1,0)+1),MATCH(D$1,[2]quests!$1:$1,0)-MATCH($B$1,[2]quests!$1:$1,0)+1,FALSE)</f>
        <v>韓国版降臨3</v>
      </c>
      <c r="E86" s="88" t="s">
        <v>216</v>
      </c>
      <c r="F86" s="84" t="e">
        <f ca="1">VLOOKUP($B86&amp;"_"&amp;$E86,OFFSET([2]stages!$A$1,0,0,COUNTA([2]stages!$A:$A),MATCH(F$1,[2]stages!$2:$2,0)-MATCH("temp_stage",[2]stages!$2:$2,0)+1),MATCH(F$1,[2]stages!$2:$2,0)-MATCH("temp_stage",[2]stages!$2:$2,0)+1,FALSE)</f>
        <v>#N/A</v>
      </c>
      <c r="G86" s="84" t="e">
        <f ca="1">VLOOKUP($B86&amp;"_"&amp;$E86,OFFSET([2]stages!$A$1,0,0,COUNTA([2]stages!$A:$A),MATCH(G$1,[2]stages!$2:$2,0)-MATCH("temp_stage",[2]stages!$2:$2,0)+1),MATCH(G$1,[2]stages!$2:$2,0)-MATCH("temp_stage",[2]stages!$2:$2,0)+1,FALSE)</f>
        <v>#N/A</v>
      </c>
      <c r="H86" s="86">
        <v>0</v>
      </c>
      <c r="I86" s="98">
        <v>31</v>
      </c>
      <c r="J86" s="85" t="s">
        <v>199</v>
      </c>
      <c r="K86" s="95" t="str">
        <f>VLOOKUP(I86,[7]stage_hints!$A:$C,3,FALSE)</f>
        <v>イベントはお知らせでチェック</v>
      </c>
      <c r="L86" s="96" t="str">
        <f>VLOOKUP(I86,[7]stage_hints!$A:$D,4,FALSE)</f>
        <v>イベント限定ユニットを取り忘れないように_x000D_お知らせをこまめにチェックしましょう</v>
      </c>
      <c r="M86" s="57" t="s">
        <v>211</v>
      </c>
    </row>
    <row r="87" spans="1:13" x14ac:dyDescent="0.15">
      <c r="A87" s="82" t="s">
        <v>201</v>
      </c>
      <c r="B87" s="83">
        <f>floors!$C$2</f>
        <v>48703</v>
      </c>
      <c r="C87" s="84" t="str">
        <f ca="1">VLOOKUP($B87,OFFSET([2]quests!$A$1,0,0,COUNTA([2]quests!$A:$A),MATCH(C$1,[2]quests!$1:$1,0)-MATCH($B$1,[2]quests!$1:$1,0)+1),MATCH(C$1,[2]quests!$1:$1,0)-MATCH($B$1,[2]quests!$1:$1,0)+1,FALSE)</f>
        <v>紅蓮襲来！</v>
      </c>
      <c r="D87" s="84" t="str">
        <f ca="1">VLOOKUP($B87,OFFSET([2]quests!$A$1,0,0,COUNTA([2]quests!$A:$A),MATCH(D$1,[2]quests!$1:$1,0)-MATCH($B$1,[2]quests!$1:$1,0)+1),MATCH(D$1,[2]quests!$1:$1,0)-MATCH($B$1,[2]quests!$1:$1,0)+1,FALSE)</f>
        <v>韓国版降臨3</v>
      </c>
      <c r="E87" s="88" t="s">
        <v>216</v>
      </c>
      <c r="F87" s="84" t="e">
        <f ca="1">VLOOKUP($B87&amp;"_"&amp;$E87,OFFSET([2]stages!$A$1,0,0,COUNTA([2]stages!$A:$A),MATCH(F$1,[2]stages!$2:$2,0)-MATCH("temp_stage",[2]stages!$2:$2,0)+1),MATCH(F$1,[2]stages!$2:$2,0)-MATCH("temp_stage",[2]stages!$2:$2,0)+1,FALSE)</f>
        <v>#N/A</v>
      </c>
      <c r="G87" s="84" t="e">
        <f ca="1">VLOOKUP($B87&amp;"_"&amp;$E87,OFFSET([2]stages!$A$1,0,0,COUNTA([2]stages!$A:$A),MATCH(G$1,[2]stages!$2:$2,0)-MATCH("temp_stage",[2]stages!$2:$2,0)+1),MATCH(G$1,[2]stages!$2:$2,0)-MATCH("temp_stage",[2]stages!$2:$2,0)+1,FALSE)</f>
        <v>#N/A</v>
      </c>
      <c r="H87" s="86">
        <v>0</v>
      </c>
      <c r="I87" s="98">
        <v>32</v>
      </c>
      <c r="J87" s="85" t="s">
        <v>199</v>
      </c>
      <c r="K87" s="95" t="str">
        <f>VLOOKUP(I87,[7]stage_hints!$A:$C,3,FALSE)</f>
        <v>敵の連続攻撃には</v>
      </c>
      <c r="L87" s="96" t="str">
        <f>VLOOKUP(I87,[7]stage_hints!$A:$D,4,FALSE)</f>
        <v>カウンタースキルを持つユニットがいれば_x000D_ダメージ回数分の反撃ができます</v>
      </c>
      <c r="M87" s="57" t="s">
        <v>211</v>
      </c>
    </row>
    <row r="88" spans="1:13" x14ac:dyDescent="0.15">
      <c r="A88" s="82" t="s">
        <v>201</v>
      </c>
      <c r="B88" s="83">
        <f>floors!$C$2</f>
        <v>48703</v>
      </c>
      <c r="C88" s="84" t="str">
        <f ca="1">VLOOKUP($B88,OFFSET([2]quests!$A$1,0,0,COUNTA([2]quests!$A:$A),MATCH(C$1,[2]quests!$1:$1,0)-MATCH($B$1,[2]quests!$1:$1,0)+1),MATCH(C$1,[2]quests!$1:$1,0)-MATCH($B$1,[2]quests!$1:$1,0)+1,FALSE)</f>
        <v>紅蓮襲来！</v>
      </c>
      <c r="D88" s="84" t="str">
        <f ca="1">VLOOKUP($B88,OFFSET([2]quests!$A$1,0,0,COUNTA([2]quests!$A:$A),MATCH(D$1,[2]quests!$1:$1,0)-MATCH($B$1,[2]quests!$1:$1,0)+1),MATCH(D$1,[2]quests!$1:$1,0)-MATCH($B$1,[2]quests!$1:$1,0)+1,FALSE)</f>
        <v>韓国版降臨3</v>
      </c>
      <c r="E88" s="88" t="s">
        <v>216</v>
      </c>
      <c r="F88" s="84" t="e">
        <f ca="1">VLOOKUP($B88&amp;"_"&amp;$E88,OFFSET([2]stages!$A$1,0,0,COUNTA([2]stages!$A:$A),MATCH(F$1,[2]stages!$2:$2,0)-MATCH("temp_stage",[2]stages!$2:$2,0)+1),MATCH(F$1,[2]stages!$2:$2,0)-MATCH("temp_stage",[2]stages!$2:$2,0)+1,FALSE)</f>
        <v>#N/A</v>
      </c>
      <c r="G88" s="84" t="e">
        <f ca="1">VLOOKUP($B88&amp;"_"&amp;$E88,OFFSET([2]stages!$A$1,0,0,COUNTA([2]stages!$A:$A),MATCH(G$1,[2]stages!$2:$2,0)-MATCH("temp_stage",[2]stages!$2:$2,0)+1),MATCH(G$1,[2]stages!$2:$2,0)-MATCH("temp_stage",[2]stages!$2:$2,0)+1,FALSE)</f>
        <v>#N/A</v>
      </c>
      <c r="H88" s="86">
        <v>0</v>
      </c>
      <c r="I88" s="98">
        <v>33</v>
      </c>
      <c r="J88" s="85" t="s">
        <v>199</v>
      </c>
      <c r="K88" s="95" t="str">
        <f>VLOOKUP(I88,[7]stage_hints!$A:$C,3,FALSE)</f>
        <v>敵のカウンター攻撃には</v>
      </c>
      <c r="L88" s="96" t="str">
        <f>VLOOKUP(I88,[7]stage_hints!$A:$D,4,FALSE)</f>
        <v>カウンターブレイクスキルを持っていれば_x000D_敵のカウンターを解除して攻撃ができます</v>
      </c>
      <c r="M88" s="57" t="s">
        <v>211</v>
      </c>
    </row>
    <row r="89" spans="1:13" x14ac:dyDescent="0.15">
      <c r="A89" s="82" t="s">
        <v>201</v>
      </c>
      <c r="B89" s="83">
        <f>floors!$C$2</f>
        <v>48703</v>
      </c>
      <c r="C89" s="84" t="str">
        <f ca="1">VLOOKUP($B89,OFFSET([2]quests!$A$1,0,0,COUNTA([2]quests!$A:$A),MATCH(C$1,[2]quests!$1:$1,0)-MATCH($B$1,[2]quests!$1:$1,0)+1),MATCH(C$1,[2]quests!$1:$1,0)-MATCH($B$1,[2]quests!$1:$1,0)+1,FALSE)</f>
        <v>紅蓮襲来！</v>
      </c>
      <c r="D89" s="84" t="str">
        <f ca="1">VLOOKUP($B89,OFFSET([2]quests!$A$1,0,0,COUNTA([2]quests!$A:$A),MATCH(D$1,[2]quests!$1:$1,0)-MATCH($B$1,[2]quests!$1:$1,0)+1),MATCH(D$1,[2]quests!$1:$1,0)-MATCH($B$1,[2]quests!$1:$1,0)+1,FALSE)</f>
        <v>韓国版降臨3</v>
      </c>
      <c r="E89" s="88" t="s">
        <v>216</v>
      </c>
      <c r="F89" s="84" t="e">
        <f ca="1">VLOOKUP($B89&amp;"_"&amp;$E89,OFFSET([2]stages!$A$1,0,0,COUNTA([2]stages!$A:$A),MATCH(F$1,[2]stages!$2:$2,0)-MATCH("temp_stage",[2]stages!$2:$2,0)+1),MATCH(F$1,[2]stages!$2:$2,0)-MATCH("temp_stage",[2]stages!$2:$2,0)+1,FALSE)</f>
        <v>#N/A</v>
      </c>
      <c r="G89" s="84" t="e">
        <f ca="1">VLOOKUP($B89&amp;"_"&amp;$E89,OFFSET([2]stages!$A$1,0,0,COUNTA([2]stages!$A:$A),MATCH(G$1,[2]stages!$2:$2,0)-MATCH("temp_stage",[2]stages!$2:$2,0)+1),MATCH(G$1,[2]stages!$2:$2,0)-MATCH("temp_stage",[2]stages!$2:$2,0)+1,FALSE)</f>
        <v>#N/A</v>
      </c>
      <c r="H89" s="86">
        <v>0</v>
      </c>
      <c r="I89" s="98">
        <v>34</v>
      </c>
      <c r="J89" s="85" t="s">
        <v>199</v>
      </c>
      <c r="K89" s="95" t="str">
        <f>VLOOKUP(I89,[7]stage_hints!$A:$C,3,FALSE)</f>
        <v>ステータスをスキルで下げられたら</v>
      </c>
      <c r="L89" s="96" t="str">
        <f>VLOOKUP(I89,[7]stage_hints!$A:$D,4,FALSE)</f>
        <v>ステータスダウンのスキルを受けたら_x000D_ステータスアップスキルで上書きしましょう</v>
      </c>
      <c r="M89" s="57" t="s">
        <v>211</v>
      </c>
    </row>
    <row r="90" spans="1:13" x14ac:dyDescent="0.15">
      <c r="A90" s="82" t="s">
        <v>201</v>
      </c>
      <c r="B90" s="83">
        <f>floors!$C$2</f>
        <v>48703</v>
      </c>
      <c r="C90" s="84" t="str">
        <f ca="1">VLOOKUP($B90,OFFSET([2]quests!$A$1,0,0,COUNTA([2]quests!$A:$A),MATCH(C$1,[2]quests!$1:$1,0)-MATCH($B$1,[2]quests!$1:$1,0)+1),MATCH(C$1,[2]quests!$1:$1,0)-MATCH($B$1,[2]quests!$1:$1,0)+1,FALSE)</f>
        <v>紅蓮襲来！</v>
      </c>
      <c r="D90" s="84" t="str">
        <f ca="1">VLOOKUP($B90,OFFSET([2]quests!$A$1,0,0,COUNTA([2]quests!$A:$A),MATCH(D$1,[2]quests!$1:$1,0)-MATCH($B$1,[2]quests!$1:$1,0)+1),MATCH(D$1,[2]quests!$1:$1,0)-MATCH($B$1,[2]quests!$1:$1,0)+1,FALSE)</f>
        <v>韓国版降臨3</v>
      </c>
      <c r="E90" s="88" t="s">
        <v>216</v>
      </c>
      <c r="F90" s="84" t="e">
        <f ca="1">VLOOKUP($B90&amp;"_"&amp;$E90,OFFSET([2]stages!$A$1,0,0,COUNTA([2]stages!$A:$A),MATCH(F$1,[2]stages!$2:$2,0)-MATCH("temp_stage",[2]stages!$2:$2,0)+1),MATCH(F$1,[2]stages!$2:$2,0)-MATCH("temp_stage",[2]stages!$2:$2,0)+1,FALSE)</f>
        <v>#N/A</v>
      </c>
      <c r="G90" s="84" t="e">
        <f ca="1">VLOOKUP($B90&amp;"_"&amp;$E90,OFFSET([2]stages!$A$1,0,0,COUNTA([2]stages!$A:$A),MATCH(G$1,[2]stages!$2:$2,0)-MATCH("temp_stage",[2]stages!$2:$2,0)+1),MATCH(G$1,[2]stages!$2:$2,0)-MATCH("temp_stage",[2]stages!$2:$2,0)+1,FALSE)</f>
        <v>#N/A</v>
      </c>
      <c r="H90" s="86">
        <v>0</v>
      </c>
      <c r="I90" s="98">
        <v>35</v>
      </c>
      <c r="J90" s="85" t="s">
        <v>199</v>
      </c>
      <c r="K90" s="95" t="str">
        <f>VLOOKUP(I90,[7]stage_hints!$A:$C,3,FALSE)</f>
        <v>敵のステータスがスキルで上がったら</v>
      </c>
      <c r="L90" s="96" t="str">
        <f>VLOOKUP(I90,[7]stage_hints!$A:$D,4,FALSE)</f>
        <v>敵のステータスがスキルでアップしたときは_x000D_ステータスダウンスキルで上書きしましょう</v>
      </c>
      <c r="M90" s="57" t="s">
        <v>211</v>
      </c>
    </row>
    <row r="91" spans="1:13" x14ac:dyDescent="0.15">
      <c r="A91" s="82" t="s">
        <v>201</v>
      </c>
      <c r="B91" s="83">
        <f>floors!$C$2</f>
        <v>48703</v>
      </c>
      <c r="C91" s="84" t="str">
        <f ca="1">VLOOKUP($B91,OFFSET([2]quests!$A$1,0,0,COUNTA([2]quests!$A:$A),MATCH(C$1,[2]quests!$1:$1,0)-MATCH($B$1,[2]quests!$1:$1,0)+1),MATCH(C$1,[2]quests!$1:$1,0)-MATCH($B$1,[2]quests!$1:$1,0)+1,FALSE)</f>
        <v>紅蓮襲来！</v>
      </c>
      <c r="D91" s="84" t="str">
        <f ca="1">VLOOKUP($B91,OFFSET([2]quests!$A$1,0,0,COUNTA([2]quests!$A:$A),MATCH(D$1,[2]quests!$1:$1,0)-MATCH($B$1,[2]quests!$1:$1,0)+1),MATCH(D$1,[2]quests!$1:$1,0)-MATCH($B$1,[2]quests!$1:$1,0)+1,FALSE)</f>
        <v>韓国版降臨3</v>
      </c>
      <c r="E91" s="88" t="s">
        <v>216</v>
      </c>
      <c r="F91" s="84" t="e">
        <f ca="1">VLOOKUP($B91&amp;"_"&amp;$E91,OFFSET([2]stages!$A$1,0,0,COUNTA([2]stages!$A:$A),MATCH(F$1,[2]stages!$2:$2,0)-MATCH("temp_stage",[2]stages!$2:$2,0)+1),MATCH(F$1,[2]stages!$2:$2,0)-MATCH("temp_stage",[2]stages!$2:$2,0)+1,FALSE)</f>
        <v>#N/A</v>
      </c>
      <c r="G91" s="84" t="e">
        <f ca="1">VLOOKUP($B91&amp;"_"&amp;$E91,OFFSET([2]stages!$A$1,0,0,COUNTA([2]stages!$A:$A),MATCH(G$1,[2]stages!$2:$2,0)-MATCH("temp_stage",[2]stages!$2:$2,0)+1),MATCH(G$1,[2]stages!$2:$2,0)-MATCH("temp_stage",[2]stages!$2:$2,0)+1,FALSE)</f>
        <v>#N/A</v>
      </c>
      <c r="H91" s="86">
        <v>0</v>
      </c>
      <c r="I91" s="98">
        <v>36</v>
      </c>
      <c r="J91" s="85" t="s">
        <v>199</v>
      </c>
      <c r="K91" s="95" t="str">
        <f>VLOOKUP(I91,[7]stage_hints!$A:$C,3,FALSE)</f>
        <v>タワーオブザクイーンのボス</v>
      </c>
      <c r="L91" s="96" t="str">
        <f>VLOOKUP(I91,[7]stage_hints!$A:$D,4,FALSE)</f>
        <v>「タワーオブザクイーン」最上階のボスは_x000D_15階の初回クリア報酬で獲得できるほか_x000D_その階にて低確率でドロップもします</v>
      </c>
      <c r="M91" s="57" t="s">
        <v>211</v>
      </c>
    </row>
    <row r="92" spans="1:13" x14ac:dyDescent="0.15">
      <c r="A92" s="82" t="s">
        <v>201</v>
      </c>
      <c r="B92" s="83">
        <f>floors!$C$2</f>
        <v>48703</v>
      </c>
      <c r="C92" s="84" t="str">
        <f ca="1">VLOOKUP($B92,OFFSET([2]quests!$A$1,0,0,COUNTA([2]quests!$A:$A),MATCH(C$1,[2]quests!$1:$1,0)-MATCH($B$1,[2]quests!$1:$1,0)+1),MATCH(C$1,[2]quests!$1:$1,0)-MATCH($B$1,[2]quests!$1:$1,0)+1,FALSE)</f>
        <v>紅蓮襲来！</v>
      </c>
      <c r="D92" s="84" t="str">
        <f ca="1">VLOOKUP($B92,OFFSET([2]quests!$A$1,0,0,COUNTA([2]quests!$A:$A),MATCH(D$1,[2]quests!$1:$1,0)-MATCH($B$1,[2]quests!$1:$1,0)+1),MATCH(D$1,[2]quests!$1:$1,0)-MATCH($B$1,[2]quests!$1:$1,0)+1,FALSE)</f>
        <v>韓国版降臨3</v>
      </c>
      <c r="E92" s="88" t="s">
        <v>216</v>
      </c>
      <c r="F92" s="84" t="e">
        <f ca="1">VLOOKUP($B92&amp;"_"&amp;$E92,OFFSET([2]stages!$A$1,0,0,COUNTA([2]stages!$A:$A),MATCH(F$1,[2]stages!$2:$2,0)-MATCH("temp_stage",[2]stages!$2:$2,0)+1),MATCH(F$1,[2]stages!$2:$2,0)-MATCH("temp_stage",[2]stages!$2:$2,0)+1,FALSE)</f>
        <v>#N/A</v>
      </c>
      <c r="G92" s="84" t="e">
        <f ca="1">VLOOKUP($B92&amp;"_"&amp;$E92,OFFSET([2]stages!$A$1,0,0,COUNTA([2]stages!$A:$A),MATCH(G$1,[2]stages!$2:$2,0)-MATCH("temp_stage",[2]stages!$2:$2,0)+1),MATCH(G$1,[2]stages!$2:$2,0)-MATCH("temp_stage",[2]stages!$2:$2,0)+1,FALSE)</f>
        <v>#N/A</v>
      </c>
      <c r="H92" s="86">
        <v>0</v>
      </c>
      <c r="I92" s="98">
        <v>37</v>
      </c>
      <c r="J92" s="85" t="s">
        <v>199</v>
      </c>
      <c r="K92" s="95" t="str">
        <f>VLOOKUP(I92,[7]stage_hints!$A:$C,3,FALSE)</f>
        <v>限界突破値の引き継ぎ</v>
      </c>
      <c r="L92" s="96" t="str">
        <f>VLOOKUP(I92,[7]stage_hints!$A:$D,4,FALSE)</f>
        <v>同じユニットを強化で合成すると_x000D_限界突破値を引き継げます（覚醒前後も可）</v>
      </c>
      <c r="M92" s="57" t="s">
        <v>211</v>
      </c>
    </row>
    <row r="93" spans="1:13" x14ac:dyDescent="0.15">
      <c r="A93" s="82" t="s">
        <v>201</v>
      </c>
      <c r="B93" s="83">
        <f>floors!$C$2</f>
        <v>48703</v>
      </c>
      <c r="C93" s="84" t="str">
        <f ca="1">VLOOKUP($B93,OFFSET([2]quests!$A$1,0,0,COUNTA([2]quests!$A:$A),MATCH(C$1,[2]quests!$1:$1,0)-MATCH($B$1,[2]quests!$1:$1,0)+1),MATCH(C$1,[2]quests!$1:$1,0)-MATCH($B$1,[2]quests!$1:$1,0)+1,FALSE)</f>
        <v>紅蓮襲来！</v>
      </c>
      <c r="D93" s="84" t="str">
        <f ca="1">VLOOKUP($B93,OFFSET([2]quests!$A$1,0,0,COUNTA([2]quests!$A:$A),MATCH(D$1,[2]quests!$1:$1,0)-MATCH($B$1,[2]quests!$1:$1,0)+1),MATCH(D$1,[2]quests!$1:$1,0)-MATCH($B$1,[2]quests!$1:$1,0)+1,FALSE)</f>
        <v>韓国版降臨3</v>
      </c>
      <c r="E93" s="88" t="s">
        <v>216</v>
      </c>
      <c r="F93" s="84" t="e">
        <f ca="1">VLOOKUP($B93&amp;"_"&amp;$E93,OFFSET([2]stages!$A$1,0,0,COUNTA([2]stages!$A:$A),MATCH(F$1,[2]stages!$2:$2,0)-MATCH("temp_stage",[2]stages!$2:$2,0)+1),MATCH(F$1,[2]stages!$2:$2,0)-MATCH("temp_stage",[2]stages!$2:$2,0)+1,FALSE)</f>
        <v>#N/A</v>
      </c>
      <c r="G93" s="84" t="e">
        <f ca="1">VLOOKUP($B93&amp;"_"&amp;$E93,OFFSET([2]stages!$A$1,0,0,COUNTA([2]stages!$A:$A),MATCH(G$1,[2]stages!$2:$2,0)-MATCH("temp_stage",[2]stages!$2:$2,0)+1),MATCH(G$1,[2]stages!$2:$2,0)-MATCH("temp_stage",[2]stages!$2:$2,0)+1,FALSE)</f>
        <v>#N/A</v>
      </c>
      <c r="H93" s="86">
        <v>0</v>
      </c>
      <c r="I93" s="98">
        <v>39</v>
      </c>
      <c r="J93" s="85" t="s">
        <v>199</v>
      </c>
      <c r="K93" s="95" t="str">
        <f>VLOOKUP(I93,[7]stage_hints!$A:$C,3,FALSE)</f>
        <v>システム適合者を確認</v>
      </c>
      <c r="L93" s="96" t="str">
        <f>VLOOKUP(I93,[7]stage_hints!$A:$D,4,FALSE)</f>
        <v>ALICEが 「アナタ」を呼んでいます</v>
      </c>
      <c r="M93" s="57" t="s">
        <v>211</v>
      </c>
    </row>
    <row r="94" spans="1:13" x14ac:dyDescent="0.15">
      <c r="A94" s="82" t="s">
        <v>201</v>
      </c>
      <c r="B94" s="83">
        <f>floors!$C$2</f>
        <v>48703</v>
      </c>
      <c r="C94" s="84" t="str">
        <f ca="1">VLOOKUP($B94,OFFSET([2]quests!$A$1,0,0,COUNTA([2]quests!$A:$A),MATCH(C$1,[2]quests!$1:$1,0)-MATCH($B$1,[2]quests!$1:$1,0)+1),MATCH(C$1,[2]quests!$1:$1,0)-MATCH($B$1,[2]quests!$1:$1,0)+1,FALSE)</f>
        <v>紅蓮襲来！</v>
      </c>
      <c r="D94" s="84" t="str">
        <f ca="1">VLOOKUP($B94,OFFSET([2]quests!$A$1,0,0,COUNTA([2]quests!$A:$A),MATCH(D$1,[2]quests!$1:$1,0)-MATCH($B$1,[2]quests!$1:$1,0)+1),MATCH(D$1,[2]quests!$1:$1,0)-MATCH($B$1,[2]quests!$1:$1,0)+1,FALSE)</f>
        <v>韓国版降臨3</v>
      </c>
      <c r="E94" s="88" t="s">
        <v>217</v>
      </c>
      <c r="F94" s="84" t="e">
        <f ca="1">VLOOKUP($B94&amp;"_"&amp;$E94,OFFSET([2]stages!$A$1,0,0,COUNTA([2]stages!$A:$A),MATCH(F$1,[2]stages!$2:$2,0)-MATCH("temp_stage",[2]stages!$2:$2,0)+1),MATCH(F$1,[2]stages!$2:$2,0)-MATCH("temp_stage",[2]stages!$2:$2,0)+1,FALSE)</f>
        <v>#N/A</v>
      </c>
      <c r="G94" s="84" t="e">
        <f ca="1">VLOOKUP($B94&amp;"_"&amp;$E94,OFFSET([2]stages!$A$1,0,0,COUNTA([2]stages!$A:$A),MATCH(G$1,[2]stages!$2:$2,0)-MATCH("temp_stage",[2]stages!$2:$2,0)+1),MATCH(G$1,[2]stages!$2:$2,0)-MATCH("temp_stage",[2]stages!$2:$2,0)+1,FALSE)</f>
        <v>#N/A</v>
      </c>
      <c r="H94" s="86">
        <v>0</v>
      </c>
      <c r="I94">
        <v>12</v>
      </c>
      <c r="J94" s="85" t="s">
        <v>199</v>
      </c>
      <c r="K94" s="95" t="str">
        <f>VLOOKUP(I94,[7]stage_hints!$A:$C,3,FALSE)</f>
        <v>ユニットのお気に入り登録</v>
      </c>
      <c r="L94" s="96" t="str">
        <f>VLOOKUP(I94,[7]stage_hints!$A:$D,4,FALSE)</f>
        <v>大事なユニットを誤って消さないように_x000D_フォルダから「お気に入り登録」しましょう</v>
      </c>
      <c r="M94" s="57" t="s">
        <v>211</v>
      </c>
    </row>
    <row r="95" spans="1:13" x14ac:dyDescent="0.15">
      <c r="A95" s="82" t="s">
        <v>201</v>
      </c>
      <c r="B95" s="83">
        <f>floors!$C$2</f>
        <v>48703</v>
      </c>
      <c r="C95" s="84" t="str">
        <f ca="1">VLOOKUP($B95,OFFSET([2]quests!$A$1,0,0,COUNTA([2]quests!$A:$A),MATCH(C$1,[2]quests!$1:$1,0)-MATCH($B$1,[2]quests!$1:$1,0)+1),MATCH(C$1,[2]quests!$1:$1,0)-MATCH($B$1,[2]quests!$1:$1,0)+1,FALSE)</f>
        <v>紅蓮襲来！</v>
      </c>
      <c r="D95" s="84" t="str">
        <f ca="1">VLOOKUP($B95,OFFSET([2]quests!$A$1,0,0,COUNTA([2]quests!$A:$A),MATCH(D$1,[2]quests!$1:$1,0)-MATCH($B$1,[2]quests!$1:$1,0)+1),MATCH(D$1,[2]quests!$1:$1,0)-MATCH($B$1,[2]quests!$1:$1,0)+1,FALSE)</f>
        <v>韓国版降臨3</v>
      </c>
      <c r="E95" s="88" t="s">
        <v>217</v>
      </c>
      <c r="F95" s="84" t="e">
        <f ca="1">VLOOKUP($B95&amp;"_"&amp;$E95,OFFSET([2]stages!$A$1,0,0,COUNTA([2]stages!$A:$A),MATCH(F$1,[2]stages!$2:$2,0)-MATCH("temp_stage",[2]stages!$2:$2,0)+1),MATCH(F$1,[2]stages!$2:$2,0)-MATCH("temp_stage",[2]stages!$2:$2,0)+1,FALSE)</f>
        <v>#N/A</v>
      </c>
      <c r="G95" s="84" t="e">
        <f ca="1">VLOOKUP($B95&amp;"_"&amp;$E95,OFFSET([2]stages!$A$1,0,0,COUNTA([2]stages!$A:$A),MATCH(G$1,[2]stages!$2:$2,0)-MATCH("temp_stage",[2]stages!$2:$2,0)+1),MATCH(G$1,[2]stages!$2:$2,0)-MATCH("temp_stage",[2]stages!$2:$2,0)+1,FALSE)</f>
        <v>#N/A</v>
      </c>
      <c r="H95" s="86">
        <v>0</v>
      </c>
      <c r="I95">
        <v>17</v>
      </c>
      <c r="J95" s="85" t="s">
        <v>199</v>
      </c>
      <c r="K95" s="95" t="str">
        <f>VLOOKUP(I95,[7]stage_hints!$A:$C,3,FALSE)</f>
        <v>リンクガチャ</v>
      </c>
      <c r="L95" s="96" t="str">
        <f>VLOOKUP(I95,[7]stage_hints!$A:$D,4,FALSE)</f>
        <v>無料のリンクガチャを回して_x000D_経験値素材や売却素材を獲得しましょう</v>
      </c>
      <c r="M95" s="57" t="s">
        <v>211</v>
      </c>
    </row>
    <row r="96" spans="1:13" x14ac:dyDescent="0.15">
      <c r="A96" s="82" t="s">
        <v>201</v>
      </c>
      <c r="B96" s="83">
        <f>floors!$C$2</f>
        <v>48703</v>
      </c>
      <c r="C96" s="84" t="str">
        <f ca="1">VLOOKUP($B96,OFFSET([2]quests!$A$1,0,0,COUNTA([2]quests!$A:$A),MATCH(C$1,[2]quests!$1:$1,0)-MATCH($B$1,[2]quests!$1:$1,0)+1),MATCH(C$1,[2]quests!$1:$1,0)-MATCH($B$1,[2]quests!$1:$1,0)+1,FALSE)</f>
        <v>紅蓮襲来！</v>
      </c>
      <c r="D96" s="84" t="str">
        <f ca="1">VLOOKUP($B96,OFFSET([2]quests!$A$1,0,0,COUNTA([2]quests!$A:$A),MATCH(D$1,[2]quests!$1:$1,0)-MATCH($B$1,[2]quests!$1:$1,0)+1),MATCH(D$1,[2]quests!$1:$1,0)-MATCH($B$1,[2]quests!$1:$1,0)+1,FALSE)</f>
        <v>韓国版降臨3</v>
      </c>
      <c r="E96" s="88" t="s">
        <v>217</v>
      </c>
      <c r="F96" s="84" t="e">
        <f ca="1">VLOOKUP($B96&amp;"_"&amp;$E96,OFFSET([2]stages!$A$1,0,0,COUNTA([2]stages!$A:$A),MATCH(F$1,[2]stages!$2:$2,0)-MATCH("temp_stage",[2]stages!$2:$2,0)+1),MATCH(F$1,[2]stages!$2:$2,0)-MATCH("temp_stage",[2]stages!$2:$2,0)+1,FALSE)</f>
        <v>#N/A</v>
      </c>
      <c r="G96" s="84" t="e">
        <f ca="1">VLOOKUP($B96&amp;"_"&amp;$E96,OFFSET([2]stages!$A$1,0,0,COUNTA([2]stages!$A:$A),MATCH(G$1,[2]stages!$2:$2,0)-MATCH("temp_stage",[2]stages!$2:$2,0)+1),MATCH(G$1,[2]stages!$2:$2,0)-MATCH("temp_stage",[2]stages!$2:$2,0)+1,FALSE)</f>
        <v>#N/A</v>
      </c>
      <c r="H96" s="86">
        <v>0</v>
      </c>
      <c r="I96">
        <v>19</v>
      </c>
      <c r="J96" s="85" t="s">
        <v>199</v>
      </c>
      <c r="K96" s="95" t="str">
        <f>VLOOKUP(I96,[7]stage_hints!$A:$C,3,FALSE)</f>
        <v>ソロ専用タワーオブザクイーン</v>
      </c>
      <c r="L96" s="96" t="str">
        <f>VLOOKUP(I96,[7]stage_hints!$A:$D,4,FALSE)</f>
        <v>ソロ専用の「タワーオブザクイーン」は_x000D_期間限定で定期的に開催されます_x000D_ここでしか獲得できない報酬もあるようです</v>
      </c>
      <c r="M96" s="57" t="s">
        <v>211</v>
      </c>
    </row>
    <row r="97" spans="1:13" x14ac:dyDescent="0.15">
      <c r="A97" s="82" t="s">
        <v>201</v>
      </c>
      <c r="B97" s="83">
        <f>floors!$C$2</f>
        <v>48703</v>
      </c>
      <c r="C97" s="84" t="str">
        <f ca="1">VLOOKUP($B97,OFFSET([2]quests!$A$1,0,0,COUNTA([2]quests!$A:$A),MATCH(C$1,[2]quests!$1:$1,0)-MATCH($B$1,[2]quests!$1:$1,0)+1),MATCH(C$1,[2]quests!$1:$1,0)-MATCH($B$1,[2]quests!$1:$1,0)+1,FALSE)</f>
        <v>紅蓮襲来！</v>
      </c>
      <c r="D97" s="84" t="str">
        <f ca="1">VLOOKUP($B97,OFFSET([2]quests!$A$1,0,0,COUNTA([2]quests!$A:$A),MATCH(D$1,[2]quests!$1:$1,0)-MATCH($B$1,[2]quests!$1:$1,0)+1),MATCH(D$1,[2]quests!$1:$1,0)-MATCH($B$1,[2]quests!$1:$1,0)+1,FALSE)</f>
        <v>韓国版降臨3</v>
      </c>
      <c r="E97" s="88" t="s">
        <v>217</v>
      </c>
      <c r="F97" s="84" t="e">
        <f ca="1">VLOOKUP($B97&amp;"_"&amp;$E97,OFFSET([2]stages!$A$1,0,0,COUNTA([2]stages!$A:$A),MATCH(F$1,[2]stages!$2:$2,0)-MATCH("temp_stage",[2]stages!$2:$2,0)+1),MATCH(F$1,[2]stages!$2:$2,0)-MATCH("temp_stage",[2]stages!$2:$2,0)+1,FALSE)</f>
        <v>#N/A</v>
      </c>
      <c r="G97" s="84" t="e">
        <f ca="1">VLOOKUP($B97&amp;"_"&amp;$E97,OFFSET([2]stages!$A$1,0,0,COUNTA([2]stages!$A:$A),MATCH(G$1,[2]stages!$2:$2,0)-MATCH("temp_stage",[2]stages!$2:$2,0)+1),MATCH(G$1,[2]stages!$2:$2,0)-MATCH("temp_stage",[2]stages!$2:$2,0)+1,FALSE)</f>
        <v>#N/A</v>
      </c>
      <c r="H97" s="86">
        <v>0</v>
      </c>
      <c r="I97">
        <v>21</v>
      </c>
      <c r="J97" s="85" t="s">
        <v>199</v>
      </c>
      <c r="K97" s="95" t="str">
        <f>VLOOKUP(I97,[7]stage_hints!$A:$C,3,FALSE)</f>
        <v>スキルを有効に</v>
      </c>
      <c r="L97" s="96" t="str">
        <f>VLOOKUP(I97,[7]stage_hints!$A:$D,4,FALSE)</f>
        <v>ターン経過でユニットのスキルが使えます_x000D_強力スキルでバトルを有利に進めましょう</v>
      </c>
      <c r="M97" s="57" t="s">
        <v>211</v>
      </c>
    </row>
    <row r="98" spans="1:13" x14ac:dyDescent="0.15">
      <c r="A98" s="82" t="s">
        <v>201</v>
      </c>
      <c r="B98" s="83">
        <f>floors!$C$2</f>
        <v>48703</v>
      </c>
      <c r="C98" s="84" t="str">
        <f ca="1">VLOOKUP($B98,OFFSET([2]quests!$A$1,0,0,COUNTA([2]quests!$A:$A),MATCH(C$1,[2]quests!$1:$1,0)-MATCH($B$1,[2]quests!$1:$1,0)+1),MATCH(C$1,[2]quests!$1:$1,0)-MATCH($B$1,[2]quests!$1:$1,0)+1,FALSE)</f>
        <v>紅蓮襲来！</v>
      </c>
      <c r="D98" s="84" t="str">
        <f ca="1">VLOOKUP($B98,OFFSET([2]quests!$A$1,0,0,COUNTA([2]quests!$A:$A),MATCH(D$1,[2]quests!$1:$1,0)-MATCH($B$1,[2]quests!$1:$1,0)+1),MATCH(D$1,[2]quests!$1:$1,0)-MATCH($B$1,[2]quests!$1:$1,0)+1,FALSE)</f>
        <v>韓国版降臨3</v>
      </c>
      <c r="E98" s="88" t="s">
        <v>217</v>
      </c>
      <c r="F98" s="84" t="e">
        <f ca="1">VLOOKUP($B98&amp;"_"&amp;$E98,OFFSET([2]stages!$A$1,0,0,COUNTA([2]stages!$A:$A),MATCH(F$1,[2]stages!$2:$2,0)-MATCH("temp_stage",[2]stages!$2:$2,0)+1),MATCH(F$1,[2]stages!$2:$2,0)-MATCH("temp_stage",[2]stages!$2:$2,0)+1,FALSE)</f>
        <v>#N/A</v>
      </c>
      <c r="G98" s="84" t="e">
        <f ca="1">VLOOKUP($B98&amp;"_"&amp;$E98,OFFSET([2]stages!$A$1,0,0,COUNTA([2]stages!$A:$A),MATCH(G$1,[2]stages!$2:$2,0)-MATCH("temp_stage",[2]stages!$2:$2,0)+1),MATCH(G$1,[2]stages!$2:$2,0)-MATCH("temp_stage",[2]stages!$2:$2,0)+1,FALSE)</f>
        <v>#N/A</v>
      </c>
      <c r="H98" s="86">
        <v>0</v>
      </c>
      <c r="I98">
        <v>27</v>
      </c>
      <c r="J98" s="85" t="s">
        <v>199</v>
      </c>
      <c r="K98" s="95" t="str">
        <f>VLOOKUP(I98,[7]stage_hints!$A:$C,3,FALSE)</f>
        <v>ホーム画面からデッキを編成</v>
      </c>
      <c r="L98" s="96" t="str">
        <f>VLOOKUP(I98,[7]stage_hints!$A:$D,4,FALSE)</f>
        <v>ホーム画面でユニットを長押しすると_x000D_すぐにパーティ編成に移動できます</v>
      </c>
      <c r="M98" s="57" t="s">
        <v>211</v>
      </c>
    </row>
    <row r="99" spans="1:13" x14ac:dyDescent="0.15">
      <c r="A99" s="82" t="s">
        <v>201</v>
      </c>
      <c r="B99" s="83">
        <f>floors!$C$2</f>
        <v>48703</v>
      </c>
      <c r="C99" s="84" t="str">
        <f ca="1">VLOOKUP($B99,OFFSET([2]quests!$A$1,0,0,COUNTA([2]quests!$A:$A),MATCH(C$1,[2]quests!$1:$1,0)-MATCH($B$1,[2]quests!$1:$1,0)+1),MATCH(C$1,[2]quests!$1:$1,0)-MATCH($B$1,[2]quests!$1:$1,0)+1,FALSE)</f>
        <v>紅蓮襲来！</v>
      </c>
      <c r="D99" s="84" t="str">
        <f ca="1">VLOOKUP($B99,OFFSET([2]quests!$A$1,0,0,COUNTA([2]quests!$A:$A),MATCH(D$1,[2]quests!$1:$1,0)-MATCH($B$1,[2]quests!$1:$1,0)+1),MATCH(D$1,[2]quests!$1:$1,0)-MATCH($B$1,[2]quests!$1:$1,0)+1,FALSE)</f>
        <v>韓国版降臨3</v>
      </c>
      <c r="E99" s="88" t="s">
        <v>217</v>
      </c>
      <c r="F99" s="84" t="e">
        <f ca="1">VLOOKUP($B99&amp;"_"&amp;$E99,OFFSET([2]stages!$A$1,0,0,COUNTA([2]stages!$A:$A),MATCH(F$1,[2]stages!$2:$2,0)-MATCH("temp_stage",[2]stages!$2:$2,0)+1),MATCH(F$1,[2]stages!$2:$2,0)-MATCH("temp_stage",[2]stages!$2:$2,0)+1,FALSE)</f>
        <v>#N/A</v>
      </c>
      <c r="G99" s="84" t="e">
        <f ca="1">VLOOKUP($B99&amp;"_"&amp;$E99,OFFSET([2]stages!$A$1,0,0,COUNTA([2]stages!$A:$A),MATCH(G$1,[2]stages!$2:$2,0)-MATCH("temp_stage",[2]stages!$2:$2,0)+1),MATCH(G$1,[2]stages!$2:$2,0)-MATCH("temp_stage",[2]stages!$2:$2,0)+1,FALSE)</f>
        <v>#N/A</v>
      </c>
      <c r="H99" s="86">
        <v>0</v>
      </c>
      <c r="I99">
        <v>28</v>
      </c>
      <c r="J99" s="85" t="s">
        <v>199</v>
      </c>
      <c r="K99" s="95" t="str">
        <f>VLOOKUP(I99,[7]stage_hints!$A:$C,3,FALSE)</f>
        <v>ステータス情報は長押しで</v>
      </c>
      <c r="L99" s="96" t="str">
        <f>VLOOKUP(I99,[7]stage_hints!$A:$D,4,FALSE)</f>
        <v>ユニットのアイコンを長押しすると_x000D_ステータス情報を確認することができます</v>
      </c>
      <c r="M99" s="57" t="s">
        <v>211</v>
      </c>
    </row>
    <row r="100" spans="1:13" x14ac:dyDescent="0.15">
      <c r="A100" s="82" t="s">
        <v>201</v>
      </c>
      <c r="B100" s="83">
        <f>floors!$C$2</f>
        <v>48703</v>
      </c>
      <c r="C100" s="84" t="str">
        <f ca="1">VLOOKUP($B100,OFFSET([2]quests!$A$1,0,0,COUNTA([2]quests!$A:$A),MATCH(C$1,[2]quests!$1:$1,0)-MATCH($B$1,[2]quests!$1:$1,0)+1),MATCH(C$1,[2]quests!$1:$1,0)-MATCH($B$1,[2]quests!$1:$1,0)+1,FALSE)</f>
        <v>紅蓮襲来！</v>
      </c>
      <c r="D100" s="84" t="str">
        <f ca="1">VLOOKUP($B100,OFFSET([2]quests!$A$1,0,0,COUNTA([2]quests!$A:$A),MATCH(D$1,[2]quests!$1:$1,0)-MATCH($B$1,[2]quests!$1:$1,0)+1),MATCH(D$1,[2]quests!$1:$1,0)-MATCH($B$1,[2]quests!$1:$1,0)+1,FALSE)</f>
        <v>韓国版降臨3</v>
      </c>
      <c r="E100" s="88" t="s">
        <v>217</v>
      </c>
      <c r="F100" s="84" t="e">
        <f ca="1">VLOOKUP($B100&amp;"_"&amp;$E100,OFFSET([2]stages!$A$1,0,0,COUNTA([2]stages!$A:$A),MATCH(F$1,[2]stages!$2:$2,0)-MATCH("temp_stage",[2]stages!$2:$2,0)+1),MATCH(F$1,[2]stages!$2:$2,0)-MATCH("temp_stage",[2]stages!$2:$2,0)+1,FALSE)</f>
        <v>#N/A</v>
      </c>
      <c r="G100" s="84" t="e">
        <f ca="1">VLOOKUP($B100&amp;"_"&amp;$E100,OFFSET([2]stages!$A$1,0,0,COUNTA([2]stages!$A:$A),MATCH(G$1,[2]stages!$2:$2,0)-MATCH("temp_stage",[2]stages!$2:$2,0)+1),MATCH(G$1,[2]stages!$2:$2,0)-MATCH("temp_stage",[2]stages!$2:$2,0)+1,FALSE)</f>
        <v>#N/A</v>
      </c>
      <c r="H100" s="86">
        <v>0</v>
      </c>
      <c r="I100">
        <v>29</v>
      </c>
      <c r="J100" s="85" t="s">
        <v>199</v>
      </c>
      <c r="K100" s="95" t="str">
        <f>VLOOKUP(I100,[7]stage_hints!$A:$C,3,FALSE)</f>
        <v>「バグ」のメリット</v>
      </c>
      <c r="L100" s="96" t="str">
        <f>VLOOKUP(I100,[7]stage_hints!$A:$D,4,FALSE)</f>
        <v>ユニットの「バグ」を増やすと_x000D_報酬をもらえる確率がアップします</v>
      </c>
      <c r="M100" s="57" t="s">
        <v>211</v>
      </c>
    </row>
    <row r="101" spans="1:13" x14ac:dyDescent="0.15">
      <c r="A101" s="82" t="s">
        <v>201</v>
      </c>
      <c r="B101" s="83">
        <f>floors!$C$2</f>
        <v>48703</v>
      </c>
      <c r="C101" s="84" t="str">
        <f ca="1">VLOOKUP($B101,OFFSET([2]quests!$A$1,0,0,COUNTA([2]quests!$A:$A),MATCH(C$1,[2]quests!$1:$1,0)-MATCH($B$1,[2]quests!$1:$1,0)+1),MATCH(C$1,[2]quests!$1:$1,0)-MATCH($B$1,[2]quests!$1:$1,0)+1,FALSE)</f>
        <v>紅蓮襲来！</v>
      </c>
      <c r="D101" s="84" t="str">
        <f ca="1">VLOOKUP($B101,OFFSET([2]quests!$A$1,0,0,COUNTA([2]quests!$A:$A),MATCH(D$1,[2]quests!$1:$1,0)-MATCH($B$1,[2]quests!$1:$1,0)+1),MATCH(D$1,[2]quests!$1:$1,0)-MATCH($B$1,[2]quests!$1:$1,0)+1,FALSE)</f>
        <v>韓国版降臨3</v>
      </c>
      <c r="E101" s="88" t="s">
        <v>217</v>
      </c>
      <c r="F101" s="84" t="e">
        <f ca="1">VLOOKUP($B101&amp;"_"&amp;$E101,OFFSET([2]stages!$A$1,0,0,COUNTA([2]stages!$A:$A),MATCH(F$1,[2]stages!$2:$2,0)-MATCH("temp_stage",[2]stages!$2:$2,0)+1),MATCH(F$1,[2]stages!$2:$2,0)-MATCH("temp_stage",[2]stages!$2:$2,0)+1,FALSE)</f>
        <v>#N/A</v>
      </c>
      <c r="G101" s="84" t="e">
        <f ca="1">VLOOKUP($B101&amp;"_"&amp;$E101,OFFSET([2]stages!$A$1,0,0,COUNTA([2]stages!$A:$A),MATCH(G$1,[2]stages!$2:$2,0)-MATCH("temp_stage",[2]stages!$2:$2,0)+1),MATCH(G$1,[2]stages!$2:$2,0)-MATCH("temp_stage",[2]stages!$2:$2,0)+1,FALSE)</f>
        <v>#N/A</v>
      </c>
      <c r="H101" s="86">
        <v>0</v>
      </c>
      <c r="I101">
        <v>30</v>
      </c>
      <c r="J101" s="85" t="s">
        <v>199</v>
      </c>
      <c r="K101" s="95" t="str">
        <f>VLOOKUP(I101,[7]stage_hints!$A:$C,3,FALSE)</f>
        <v>「バグ」の増やし方</v>
      </c>
      <c r="L101" s="96" t="str">
        <f>VLOOKUP(I101,[7]stage_hints!$A:$D,4,FALSE)</f>
        <v>同じユニット同士を強化で合成すると_x000D_「バグ」を増やすことができます</v>
      </c>
      <c r="M101" s="57" t="s">
        <v>211</v>
      </c>
    </row>
    <row r="102" spans="1:13" x14ac:dyDescent="0.15">
      <c r="A102" s="82" t="s">
        <v>201</v>
      </c>
      <c r="B102" s="83">
        <f>floors!$C$2</f>
        <v>48703</v>
      </c>
      <c r="C102" s="84" t="str">
        <f ca="1">VLOOKUP($B102,OFFSET([2]quests!$A$1,0,0,COUNTA([2]quests!$A:$A),MATCH(C$1,[2]quests!$1:$1,0)-MATCH($B$1,[2]quests!$1:$1,0)+1),MATCH(C$1,[2]quests!$1:$1,0)-MATCH($B$1,[2]quests!$1:$1,0)+1,FALSE)</f>
        <v>紅蓮襲来！</v>
      </c>
      <c r="D102" s="84" t="str">
        <f ca="1">VLOOKUP($B102,OFFSET([2]quests!$A$1,0,0,COUNTA([2]quests!$A:$A),MATCH(D$1,[2]quests!$1:$1,0)-MATCH($B$1,[2]quests!$1:$1,0)+1),MATCH(D$1,[2]quests!$1:$1,0)-MATCH($B$1,[2]quests!$1:$1,0)+1,FALSE)</f>
        <v>韓国版降臨3</v>
      </c>
      <c r="E102" s="88" t="s">
        <v>217</v>
      </c>
      <c r="F102" s="84" t="e">
        <f ca="1">VLOOKUP($B102&amp;"_"&amp;$E102,OFFSET([2]stages!$A$1,0,0,COUNTA([2]stages!$A:$A),MATCH(F$1,[2]stages!$2:$2,0)-MATCH("temp_stage",[2]stages!$2:$2,0)+1),MATCH(F$1,[2]stages!$2:$2,0)-MATCH("temp_stage",[2]stages!$2:$2,0)+1,FALSE)</f>
        <v>#N/A</v>
      </c>
      <c r="G102" s="84" t="e">
        <f ca="1">VLOOKUP($B102&amp;"_"&amp;$E102,OFFSET([2]stages!$A$1,0,0,COUNTA([2]stages!$A:$A),MATCH(G$1,[2]stages!$2:$2,0)-MATCH("temp_stage",[2]stages!$2:$2,0)+1),MATCH(G$1,[2]stages!$2:$2,0)-MATCH("temp_stage",[2]stages!$2:$2,0)+1,FALSE)</f>
        <v>#N/A</v>
      </c>
      <c r="H102" s="86">
        <v>0</v>
      </c>
      <c r="I102">
        <v>32</v>
      </c>
      <c r="J102" s="85" t="s">
        <v>199</v>
      </c>
      <c r="K102" s="95" t="str">
        <f>VLOOKUP(I102,[7]stage_hints!$A:$C,3,FALSE)</f>
        <v>敵の連続攻撃には</v>
      </c>
      <c r="L102" s="96" t="str">
        <f>VLOOKUP(I102,[7]stage_hints!$A:$D,4,FALSE)</f>
        <v>カウンタースキルを持つユニットがいれば_x000D_ダメージ回数分の反撃ができます</v>
      </c>
      <c r="M102" s="57" t="s">
        <v>211</v>
      </c>
    </row>
    <row r="103" spans="1:13" x14ac:dyDescent="0.15">
      <c r="A103" s="82" t="s">
        <v>201</v>
      </c>
      <c r="B103" s="83">
        <f>floors!$C$2</f>
        <v>48703</v>
      </c>
      <c r="C103" s="84" t="str">
        <f ca="1">VLOOKUP($B103,OFFSET([2]quests!$A$1,0,0,COUNTA([2]quests!$A:$A),MATCH(C$1,[2]quests!$1:$1,0)-MATCH($B$1,[2]quests!$1:$1,0)+1),MATCH(C$1,[2]quests!$1:$1,0)-MATCH($B$1,[2]quests!$1:$1,0)+1,FALSE)</f>
        <v>紅蓮襲来！</v>
      </c>
      <c r="D103" s="84" t="str">
        <f ca="1">VLOOKUP($B103,OFFSET([2]quests!$A$1,0,0,COUNTA([2]quests!$A:$A),MATCH(D$1,[2]quests!$1:$1,0)-MATCH($B$1,[2]quests!$1:$1,0)+1),MATCH(D$1,[2]quests!$1:$1,0)-MATCH($B$1,[2]quests!$1:$1,0)+1,FALSE)</f>
        <v>韓国版降臨3</v>
      </c>
      <c r="E103" s="88" t="s">
        <v>217</v>
      </c>
      <c r="F103" s="84" t="e">
        <f ca="1">VLOOKUP($B103&amp;"_"&amp;$E103,OFFSET([2]stages!$A$1,0,0,COUNTA([2]stages!$A:$A),MATCH(F$1,[2]stages!$2:$2,0)-MATCH("temp_stage",[2]stages!$2:$2,0)+1),MATCH(F$1,[2]stages!$2:$2,0)-MATCH("temp_stage",[2]stages!$2:$2,0)+1,FALSE)</f>
        <v>#N/A</v>
      </c>
      <c r="G103" s="84" t="e">
        <f ca="1">VLOOKUP($B103&amp;"_"&amp;$E103,OFFSET([2]stages!$A$1,0,0,COUNTA([2]stages!$A:$A),MATCH(G$1,[2]stages!$2:$2,0)-MATCH("temp_stage",[2]stages!$2:$2,0)+1),MATCH(G$1,[2]stages!$2:$2,0)-MATCH("temp_stage",[2]stages!$2:$2,0)+1,FALSE)</f>
        <v>#N/A</v>
      </c>
      <c r="H103" s="86">
        <v>0</v>
      </c>
      <c r="I103">
        <v>33</v>
      </c>
      <c r="J103" s="85" t="s">
        <v>199</v>
      </c>
      <c r="K103" s="95" t="str">
        <f>VLOOKUP(I103,[7]stage_hints!$A:$C,3,FALSE)</f>
        <v>敵のカウンター攻撃には</v>
      </c>
      <c r="L103" s="96" t="str">
        <f>VLOOKUP(I103,[7]stage_hints!$A:$D,4,FALSE)</f>
        <v>カウンターブレイクスキルを持っていれば_x000D_敵のカウンターを解除して攻撃ができます</v>
      </c>
      <c r="M103" s="57" t="s">
        <v>211</v>
      </c>
    </row>
    <row r="104" spans="1:13" x14ac:dyDescent="0.15">
      <c r="A104" s="82" t="s">
        <v>201</v>
      </c>
      <c r="B104" s="83">
        <f>floors!$C$2</f>
        <v>48703</v>
      </c>
      <c r="C104" s="84" t="str">
        <f ca="1">VLOOKUP($B104,OFFSET([2]quests!$A$1,0,0,COUNTA([2]quests!$A:$A),MATCH(C$1,[2]quests!$1:$1,0)-MATCH($B$1,[2]quests!$1:$1,0)+1),MATCH(C$1,[2]quests!$1:$1,0)-MATCH($B$1,[2]quests!$1:$1,0)+1,FALSE)</f>
        <v>紅蓮襲来！</v>
      </c>
      <c r="D104" s="84" t="str">
        <f ca="1">VLOOKUP($B104,OFFSET([2]quests!$A$1,0,0,COUNTA([2]quests!$A:$A),MATCH(D$1,[2]quests!$1:$1,0)-MATCH($B$1,[2]quests!$1:$1,0)+1),MATCH(D$1,[2]quests!$1:$1,0)-MATCH($B$1,[2]quests!$1:$1,0)+1,FALSE)</f>
        <v>韓国版降臨3</v>
      </c>
      <c r="E104" s="88" t="s">
        <v>217</v>
      </c>
      <c r="F104" s="84" t="e">
        <f ca="1">VLOOKUP($B104&amp;"_"&amp;$E104,OFFSET([2]stages!$A$1,0,0,COUNTA([2]stages!$A:$A),MATCH(F$1,[2]stages!$2:$2,0)-MATCH("temp_stage",[2]stages!$2:$2,0)+1),MATCH(F$1,[2]stages!$2:$2,0)-MATCH("temp_stage",[2]stages!$2:$2,0)+1,FALSE)</f>
        <v>#N/A</v>
      </c>
      <c r="G104" s="84" t="e">
        <f ca="1">VLOOKUP($B104&amp;"_"&amp;$E104,OFFSET([2]stages!$A$1,0,0,COUNTA([2]stages!$A:$A),MATCH(G$1,[2]stages!$2:$2,0)-MATCH("temp_stage",[2]stages!$2:$2,0)+1),MATCH(G$1,[2]stages!$2:$2,0)-MATCH("temp_stage",[2]stages!$2:$2,0)+1,FALSE)</f>
        <v>#N/A</v>
      </c>
      <c r="H104" s="86">
        <v>0</v>
      </c>
      <c r="I104">
        <v>34</v>
      </c>
      <c r="J104" s="85" t="s">
        <v>199</v>
      </c>
      <c r="K104" s="95" t="str">
        <f>VLOOKUP(I104,[7]stage_hints!$A:$C,3,FALSE)</f>
        <v>ステータスをスキルで下げられたら</v>
      </c>
      <c r="L104" s="96" t="str">
        <f>VLOOKUP(I104,[7]stage_hints!$A:$D,4,FALSE)</f>
        <v>ステータスダウンのスキルを受けたら_x000D_ステータスアップスキルで上書きしましょう</v>
      </c>
      <c r="M104" s="57" t="s">
        <v>211</v>
      </c>
    </row>
    <row r="105" spans="1:13" x14ac:dyDescent="0.15">
      <c r="A105" s="82" t="s">
        <v>201</v>
      </c>
      <c r="B105" s="83">
        <f>floors!$C$2</f>
        <v>48703</v>
      </c>
      <c r="C105" s="84" t="str">
        <f ca="1">VLOOKUP($B105,OFFSET([2]quests!$A$1,0,0,COUNTA([2]quests!$A:$A),MATCH(C$1,[2]quests!$1:$1,0)-MATCH($B$1,[2]quests!$1:$1,0)+1),MATCH(C$1,[2]quests!$1:$1,0)-MATCH($B$1,[2]quests!$1:$1,0)+1,FALSE)</f>
        <v>紅蓮襲来！</v>
      </c>
      <c r="D105" s="84" t="str">
        <f ca="1">VLOOKUP($B105,OFFSET([2]quests!$A$1,0,0,COUNTA([2]quests!$A:$A),MATCH(D$1,[2]quests!$1:$1,0)-MATCH($B$1,[2]quests!$1:$1,0)+1),MATCH(D$1,[2]quests!$1:$1,0)-MATCH($B$1,[2]quests!$1:$1,0)+1,FALSE)</f>
        <v>韓国版降臨3</v>
      </c>
      <c r="E105" s="88" t="s">
        <v>217</v>
      </c>
      <c r="F105" s="84" t="e">
        <f ca="1">VLOOKUP($B105&amp;"_"&amp;$E105,OFFSET([2]stages!$A$1,0,0,COUNTA([2]stages!$A:$A),MATCH(F$1,[2]stages!$2:$2,0)-MATCH("temp_stage",[2]stages!$2:$2,0)+1),MATCH(F$1,[2]stages!$2:$2,0)-MATCH("temp_stage",[2]stages!$2:$2,0)+1,FALSE)</f>
        <v>#N/A</v>
      </c>
      <c r="G105" s="84" t="e">
        <f ca="1">VLOOKUP($B105&amp;"_"&amp;$E105,OFFSET([2]stages!$A$1,0,0,COUNTA([2]stages!$A:$A),MATCH(G$1,[2]stages!$2:$2,0)-MATCH("temp_stage",[2]stages!$2:$2,0)+1),MATCH(G$1,[2]stages!$2:$2,0)-MATCH("temp_stage",[2]stages!$2:$2,0)+1,FALSE)</f>
        <v>#N/A</v>
      </c>
      <c r="H105" s="86">
        <v>0</v>
      </c>
      <c r="I105">
        <v>35</v>
      </c>
      <c r="J105" s="85" t="s">
        <v>199</v>
      </c>
      <c r="K105" s="95" t="str">
        <f>VLOOKUP(I105,[7]stage_hints!$A:$C,3,FALSE)</f>
        <v>敵のステータスがスキルで上がったら</v>
      </c>
      <c r="L105" s="96" t="str">
        <f>VLOOKUP(I105,[7]stage_hints!$A:$D,4,FALSE)</f>
        <v>敵のステータスがスキルでアップしたときは_x000D_ステータスダウンスキルで上書きしましょう</v>
      </c>
      <c r="M105" s="57" t="s">
        <v>211</v>
      </c>
    </row>
    <row r="106" spans="1:13" x14ac:dyDescent="0.15">
      <c r="A106" s="82" t="s">
        <v>201</v>
      </c>
      <c r="B106" s="83">
        <f>floors!$C$2</f>
        <v>48703</v>
      </c>
      <c r="C106" s="84" t="str">
        <f ca="1">VLOOKUP($B106,OFFSET([2]quests!$A$1,0,0,COUNTA([2]quests!$A:$A),MATCH(C$1,[2]quests!$1:$1,0)-MATCH($B$1,[2]quests!$1:$1,0)+1),MATCH(C$1,[2]quests!$1:$1,0)-MATCH($B$1,[2]quests!$1:$1,0)+1,FALSE)</f>
        <v>紅蓮襲来！</v>
      </c>
      <c r="D106" s="84" t="str">
        <f ca="1">VLOOKUP($B106,OFFSET([2]quests!$A$1,0,0,COUNTA([2]quests!$A:$A),MATCH(D$1,[2]quests!$1:$1,0)-MATCH($B$1,[2]quests!$1:$1,0)+1),MATCH(D$1,[2]quests!$1:$1,0)-MATCH($B$1,[2]quests!$1:$1,0)+1,FALSE)</f>
        <v>韓国版降臨3</v>
      </c>
      <c r="E106" s="88" t="s">
        <v>217</v>
      </c>
      <c r="F106" s="84" t="e">
        <f ca="1">VLOOKUP($B106&amp;"_"&amp;$E106,OFFSET([2]stages!$A$1,0,0,COUNTA([2]stages!$A:$A),MATCH(F$1,[2]stages!$2:$2,0)-MATCH("temp_stage",[2]stages!$2:$2,0)+1),MATCH(F$1,[2]stages!$2:$2,0)-MATCH("temp_stage",[2]stages!$2:$2,0)+1,FALSE)</f>
        <v>#N/A</v>
      </c>
      <c r="G106" s="84" t="e">
        <f ca="1">VLOOKUP($B106&amp;"_"&amp;$E106,OFFSET([2]stages!$A$1,0,0,COUNTA([2]stages!$A:$A),MATCH(G$1,[2]stages!$2:$2,0)-MATCH("temp_stage",[2]stages!$2:$2,0)+1),MATCH(G$1,[2]stages!$2:$2,0)-MATCH("temp_stage",[2]stages!$2:$2,0)+1,FALSE)</f>
        <v>#N/A</v>
      </c>
      <c r="H106" s="86">
        <v>0</v>
      </c>
      <c r="I106">
        <v>36</v>
      </c>
      <c r="J106" s="85" t="s">
        <v>199</v>
      </c>
      <c r="K106" s="95" t="str">
        <f>VLOOKUP(I106,[7]stage_hints!$A:$C,3,FALSE)</f>
        <v>タワーオブザクイーンのボス</v>
      </c>
      <c r="L106" s="96" t="str">
        <f>VLOOKUP(I106,[7]stage_hints!$A:$D,4,FALSE)</f>
        <v>「タワーオブザクイーン」最上階のボスは_x000D_15階の初回クリア報酬で獲得できるほか_x000D_その階にて低確率でドロップもします</v>
      </c>
      <c r="M106" s="57" t="s">
        <v>211</v>
      </c>
    </row>
    <row r="107" spans="1:13" x14ac:dyDescent="0.15">
      <c r="A107" s="82" t="s">
        <v>201</v>
      </c>
      <c r="B107" s="83">
        <f>floors!$C$2</f>
        <v>48703</v>
      </c>
      <c r="C107" s="84" t="str">
        <f ca="1">VLOOKUP($B107,OFFSET([2]quests!$A$1,0,0,COUNTA([2]quests!$A:$A),MATCH(C$1,[2]quests!$1:$1,0)-MATCH($B$1,[2]quests!$1:$1,0)+1),MATCH(C$1,[2]quests!$1:$1,0)-MATCH($B$1,[2]quests!$1:$1,0)+1,FALSE)</f>
        <v>紅蓮襲来！</v>
      </c>
      <c r="D107" s="84" t="str">
        <f ca="1">VLOOKUP($B107,OFFSET([2]quests!$A$1,0,0,COUNTA([2]quests!$A:$A),MATCH(D$1,[2]quests!$1:$1,0)-MATCH($B$1,[2]quests!$1:$1,0)+1),MATCH(D$1,[2]quests!$1:$1,0)-MATCH($B$1,[2]quests!$1:$1,0)+1,FALSE)</f>
        <v>韓国版降臨3</v>
      </c>
      <c r="E107" s="88" t="s">
        <v>217</v>
      </c>
      <c r="F107" s="84" t="e">
        <f ca="1">VLOOKUP($B107&amp;"_"&amp;$E107,OFFSET([2]stages!$A$1,0,0,COUNTA([2]stages!$A:$A),MATCH(F$1,[2]stages!$2:$2,0)-MATCH("temp_stage",[2]stages!$2:$2,0)+1),MATCH(F$1,[2]stages!$2:$2,0)-MATCH("temp_stage",[2]stages!$2:$2,0)+1,FALSE)</f>
        <v>#N/A</v>
      </c>
      <c r="G107" s="84" t="e">
        <f ca="1">VLOOKUP($B107&amp;"_"&amp;$E107,OFFSET([2]stages!$A$1,0,0,COUNTA([2]stages!$A:$A),MATCH(G$1,[2]stages!$2:$2,0)-MATCH("temp_stage",[2]stages!$2:$2,0)+1),MATCH(G$1,[2]stages!$2:$2,0)-MATCH("temp_stage",[2]stages!$2:$2,0)+1,FALSE)</f>
        <v>#N/A</v>
      </c>
      <c r="H107" s="86">
        <v>0</v>
      </c>
      <c r="I107">
        <v>37</v>
      </c>
      <c r="J107" s="85" t="s">
        <v>199</v>
      </c>
      <c r="K107" s="95" t="str">
        <f>VLOOKUP(I107,[7]stage_hints!$A:$C,3,FALSE)</f>
        <v>限界突破値の引き継ぎ</v>
      </c>
      <c r="L107" s="96" t="str">
        <f>VLOOKUP(I107,[7]stage_hints!$A:$D,4,FALSE)</f>
        <v>同じユニットを強化で合成すると_x000D_限界突破値を引き継げます（覚醒前後も可）</v>
      </c>
      <c r="M107" s="57" t="s">
        <v>211</v>
      </c>
    </row>
    <row r="108" spans="1:13" x14ac:dyDescent="0.15">
      <c r="A108" s="82" t="s">
        <v>201</v>
      </c>
      <c r="B108" s="83">
        <f>floors!$C$2</f>
        <v>48703</v>
      </c>
      <c r="C108" s="84" t="str">
        <f ca="1">VLOOKUP($B108,OFFSET([2]quests!$A$1,0,0,COUNTA([2]quests!$A:$A),MATCH(C$1,[2]quests!$1:$1,0)-MATCH($B$1,[2]quests!$1:$1,0)+1),MATCH(C$1,[2]quests!$1:$1,0)-MATCH($B$1,[2]quests!$1:$1,0)+1,FALSE)</f>
        <v>紅蓮襲来！</v>
      </c>
      <c r="D108" s="84" t="str">
        <f ca="1">VLOOKUP($B108,OFFSET([2]quests!$A$1,0,0,COUNTA([2]quests!$A:$A),MATCH(D$1,[2]quests!$1:$1,0)-MATCH($B$1,[2]quests!$1:$1,0)+1),MATCH(D$1,[2]quests!$1:$1,0)-MATCH($B$1,[2]quests!$1:$1,0)+1,FALSE)</f>
        <v>韓国版降臨3</v>
      </c>
      <c r="E108" s="88" t="s">
        <v>217</v>
      </c>
      <c r="F108" s="84" t="e">
        <f ca="1">VLOOKUP($B108&amp;"_"&amp;$E108,OFFSET([2]stages!$A$1,0,0,COUNTA([2]stages!$A:$A),MATCH(F$1,[2]stages!$2:$2,0)-MATCH("temp_stage",[2]stages!$2:$2,0)+1),MATCH(F$1,[2]stages!$2:$2,0)-MATCH("temp_stage",[2]stages!$2:$2,0)+1,FALSE)</f>
        <v>#N/A</v>
      </c>
      <c r="G108" s="84" t="e">
        <f ca="1">VLOOKUP($B108&amp;"_"&amp;$E108,OFFSET([2]stages!$A$1,0,0,COUNTA([2]stages!$A:$A),MATCH(G$1,[2]stages!$2:$2,0)-MATCH("temp_stage",[2]stages!$2:$2,0)+1),MATCH(G$1,[2]stages!$2:$2,0)-MATCH("temp_stage",[2]stages!$2:$2,0)+1,FALSE)</f>
        <v>#N/A</v>
      </c>
      <c r="H108" s="86">
        <v>0</v>
      </c>
      <c r="I108">
        <v>39</v>
      </c>
      <c r="J108" s="85" t="s">
        <v>199</v>
      </c>
      <c r="K108" s="95" t="str">
        <f>VLOOKUP(I108,[7]stage_hints!$A:$C,3,FALSE)</f>
        <v>システム適合者を確認</v>
      </c>
      <c r="L108" s="96" t="str">
        <f>VLOOKUP(I108,[7]stage_hints!$A:$D,4,FALSE)</f>
        <v>ALICEが 「アナタ」を呼んでいます</v>
      </c>
      <c r="M108" s="57" t="s">
        <v>211</v>
      </c>
    </row>
    <row r="109" spans="1:13" x14ac:dyDescent="0.15">
      <c r="A109" s="82" t="s">
        <v>201</v>
      </c>
      <c r="B109" s="83">
        <f>floors!$C$2</f>
        <v>48703</v>
      </c>
      <c r="C109" s="84" t="str">
        <f ca="1">VLOOKUP($B109,OFFSET([2]quests!$A$1,0,0,COUNTA([2]quests!$A:$A),MATCH(C$1,[2]quests!$1:$1,0)-MATCH($B$1,[2]quests!$1:$1,0)+1),MATCH(C$1,[2]quests!$1:$1,0)-MATCH($B$1,[2]quests!$1:$1,0)+1,FALSE)</f>
        <v>紅蓮襲来！</v>
      </c>
      <c r="D109" s="84" t="str">
        <f ca="1">VLOOKUP($B109,OFFSET([2]quests!$A$1,0,0,COUNTA([2]quests!$A:$A),MATCH(D$1,[2]quests!$1:$1,0)-MATCH($B$1,[2]quests!$1:$1,0)+1),MATCH(D$1,[2]quests!$1:$1,0)-MATCH($B$1,[2]quests!$1:$1,0)+1,FALSE)</f>
        <v>韓国版降臨3</v>
      </c>
      <c r="E109" s="88" t="s">
        <v>218</v>
      </c>
      <c r="F109" s="84" t="e">
        <f ca="1">VLOOKUP($B109&amp;"_"&amp;$E109,OFFSET([2]stages!$A$1,0,0,COUNTA([2]stages!$A:$A),MATCH(F$1,[2]stages!$2:$2,0)-MATCH("temp_stage",[2]stages!$2:$2,0)+1),MATCH(F$1,[2]stages!$2:$2,0)-MATCH("temp_stage",[2]stages!$2:$2,0)+1,FALSE)</f>
        <v>#N/A</v>
      </c>
      <c r="G109" s="84" t="e">
        <f ca="1">VLOOKUP($B109&amp;"_"&amp;$E109,OFFSET([2]stages!$A$1,0,0,COUNTA([2]stages!$A:$A),MATCH(G$1,[2]stages!$2:$2,0)-MATCH("temp_stage",[2]stages!$2:$2,0)+1),MATCH(G$1,[2]stages!$2:$2,0)-MATCH("temp_stage",[2]stages!$2:$2,0)+1,FALSE)</f>
        <v>#N/A</v>
      </c>
      <c r="H109" s="86">
        <v>0</v>
      </c>
      <c r="I109">
        <v>12</v>
      </c>
      <c r="J109" s="85" t="s">
        <v>199</v>
      </c>
      <c r="K109" s="95" t="str">
        <f>VLOOKUP(I109,[7]stage_hints!$A:$C,3,FALSE)</f>
        <v>ユニットのお気に入り登録</v>
      </c>
      <c r="L109" s="96" t="str">
        <f>VLOOKUP(I109,[7]stage_hints!$A:$D,4,FALSE)</f>
        <v>大事なユニットを誤って消さないように_x000D_フォルダから「お気に入り登録」しましょう</v>
      </c>
      <c r="M109" s="57" t="s">
        <v>211</v>
      </c>
    </row>
    <row r="110" spans="1:13" x14ac:dyDescent="0.15">
      <c r="A110" s="82" t="s">
        <v>201</v>
      </c>
      <c r="B110" s="83">
        <f>floors!$C$2</f>
        <v>48703</v>
      </c>
      <c r="C110" s="84" t="str">
        <f ca="1">VLOOKUP($B110,OFFSET([2]quests!$A$1,0,0,COUNTA([2]quests!$A:$A),MATCH(C$1,[2]quests!$1:$1,0)-MATCH($B$1,[2]quests!$1:$1,0)+1),MATCH(C$1,[2]quests!$1:$1,0)-MATCH($B$1,[2]quests!$1:$1,0)+1,FALSE)</f>
        <v>紅蓮襲来！</v>
      </c>
      <c r="D110" s="84" t="str">
        <f ca="1">VLOOKUP($B110,OFFSET([2]quests!$A$1,0,0,COUNTA([2]quests!$A:$A),MATCH(D$1,[2]quests!$1:$1,0)-MATCH($B$1,[2]quests!$1:$1,0)+1),MATCH(D$1,[2]quests!$1:$1,0)-MATCH($B$1,[2]quests!$1:$1,0)+1,FALSE)</f>
        <v>韓国版降臨3</v>
      </c>
      <c r="E110" s="88" t="s">
        <v>218</v>
      </c>
      <c r="F110" s="84" t="e">
        <f ca="1">VLOOKUP($B110&amp;"_"&amp;$E110,OFFSET([2]stages!$A$1,0,0,COUNTA([2]stages!$A:$A),MATCH(F$1,[2]stages!$2:$2,0)-MATCH("temp_stage",[2]stages!$2:$2,0)+1),MATCH(F$1,[2]stages!$2:$2,0)-MATCH("temp_stage",[2]stages!$2:$2,0)+1,FALSE)</f>
        <v>#N/A</v>
      </c>
      <c r="G110" s="84" t="e">
        <f ca="1">VLOOKUP($B110&amp;"_"&amp;$E110,OFFSET([2]stages!$A$1,0,0,COUNTA([2]stages!$A:$A),MATCH(G$1,[2]stages!$2:$2,0)-MATCH("temp_stage",[2]stages!$2:$2,0)+1),MATCH(G$1,[2]stages!$2:$2,0)-MATCH("temp_stage",[2]stages!$2:$2,0)+1,FALSE)</f>
        <v>#N/A</v>
      </c>
      <c r="H110" s="86">
        <v>0</v>
      </c>
      <c r="I110">
        <v>17</v>
      </c>
      <c r="J110" s="85" t="s">
        <v>199</v>
      </c>
      <c r="K110" s="95" t="str">
        <f>VLOOKUP(I110,[7]stage_hints!$A:$C,3,FALSE)</f>
        <v>リンクガチャ</v>
      </c>
      <c r="L110" s="96" t="str">
        <f>VLOOKUP(I110,[7]stage_hints!$A:$D,4,FALSE)</f>
        <v>無料のリンクガチャを回して_x000D_経験値素材や売却素材を獲得しましょう</v>
      </c>
      <c r="M110" s="57" t="s">
        <v>211</v>
      </c>
    </row>
    <row r="111" spans="1:13" x14ac:dyDescent="0.15">
      <c r="A111" s="82" t="s">
        <v>201</v>
      </c>
      <c r="B111" s="83">
        <f>floors!$C$2</f>
        <v>48703</v>
      </c>
      <c r="C111" s="84" t="str">
        <f ca="1">VLOOKUP($B111,OFFSET([2]quests!$A$1,0,0,COUNTA([2]quests!$A:$A),MATCH(C$1,[2]quests!$1:$1,0)-MATCH($B$1,[2]quests!$1:$1,0)+1),MATCH(C$1,[2]quests!$1:$1,0)-MATCH($B$1,[2]quests!$1:$1,0)+1,FALSE)</f>
        <v>紅蓮襲来！</v>
      </c>
      <c r="D111" s="84" t="str">
        <f ca="1">VLOOKUP($B111,OFFSET([2]quests!$A$1,0,0,COUNTA([2]quests!$A:$A),MATCH(D$1,[2]quests!$1:$1,0)-MATCH($B$1,[2]quests!$1:$1,0)+1),MATCH(D$1,[2]quests!$1:$1,0)-MATCH($B$1,[2]quests!$1:$1,0)+1,FALSE)</f>
        <v>韓国版降臨3</v>
      </c>
      <c r="E111" s="88" t="s">
        <v>218</v>
      </c>
      <c r="F111" s="84" t="e">
        <f ca="1">VLOOKUP($B111&amp;"_"&amp;$E111,OFFSET([2]stages!$A$1,0,0,COUNTA([2]stages!$A:$A),MATCH(F$1,[2]stages!$2:$2,0)-MATCH("temp_stage",[2]stages!$2:$2,0)+1),MATCH(F$1,[2]stages!$2:$2,0)-MATCH("temp_stage",[2]stages!$2:$2,0)+1,FALSE)</f>
        <v>#N/A</v>
      </c>
      <c r="G111" s="84" t="e">
        <f ca="1">VLOOKUP($B111&amp;"_"&amp;$E111,OFFSET([2]stages!$A$1,0,0,COUNTA([2]stages!$A:$A),MATCH(G$1,[2]stages!$2:$2,0)-MATCH("temp_stage",[2]stages!$2:$2,0)+1),MATCH(G$1,[2]stages!$2:$2,0)-MATCH("temp_stage",[2]stages!$2:$2,0)+1,FALSE)</f>
        <v>#N/A</v>
      </c>
      <c r="H111" s="86">
        <v>0</v>
      </c>
      <c r="I111">
        <v>19</v>
      </c>
      <c r="J111" s="85" t="s">
        <v>199</v>
      </c>
      <c r="K111" s="95" t="str">
        <f>VLOOKUP(I111,[7]stage_hints!$A:$C,3,FALSE)</f>
        <v>ソロ専用タワーオブザクイーン</v>
      </c>
      <c r="L111" s="96" t="str">
        <f>VLOOKUP(I111,[7]stage_hints!$A:$D,4,FALSE)</f>
        <v>ソロ専用の「タワーオブザクイーン」は_x000D_期間限定で定期的に開催されます_x000D_ここでしか獲得できない報酬もあるようです</v>
      </c>
      <c r="M111" s="57" t="s">
        <v>211</v>
      </c>
    </row>
    <row r="112" spans="1:13" x14ac:dyDescent="0.15">
      <c r="A112" s="82" t="s">
        <v>201</v>
      </c>
      <c r="B112" s="83">
        <f>floors!$C$2</f>
        <v>48703</v>
      </c>
      <c r="C112" s="84" t="str">
        <f ca="1">VLOOKUP($B112,OFFSET([2]quests!$A$1,0,0,COUNTA([2]quests!$A:$A),MATCH(C$1,[2]quests!$1:$1,0)-MATCH($B$1,[2]quests!$1:$1,0)+1),MATCH(C$1,[2]quests!$1:$1,0)-MATCH($B$1,[2]quests!$1:$1,0)+1,FALSE)</f>
        <v>紅蓮襲来！</v>
      </c>
      <c r="D112" s="84" t="str">
        <f ca="1">VLOOKUP($B112,OFFSET([2]quests!$A$1,0,0,COUNTA([2]quests!$A:$A),MATCH(D$1,[2]quests!$1:$1,0)-MATCH($B$1,[2]quests!$1:$1,0)+1),MATCH(D$1,[2]quests!$1:$1,0)-MATCH($B$1,[2]quests!$1:$1,0)+1,FALSE)</f>
        <v>韓国版降臨3</v>
      </c>
      <c r="E112" s="88" t="s">
        <v>218</v>
      </c>
      <c r="F112" s="84" t="e">
        <f ca="1">VLOOKUP($B112&amp;"_"&amp;$E112,OFFSET([2]stages!$A$1,0,0,COUNTA([2]stages!$A:$A),MATCH(F$1,[2]stages!$2:$2,0)-MATCH("temp_stage",[2]stages!$2:$2,0)+1),MATCH(F$1,[2]stages!$2:$2,0)-MATCH("temp_stage",[2]stages!$2:$2,0)+1,FALSE)</f>
        <v>#N/A</v>
      </c>
      <c r="G112" s="84" t="e">
        <f ca="1">VLOOKUP($B112&amp;"_"&amp;$E112,OFFSET([2]stages!$A$1,0,0,COUNTA([2]stages!$A:$A),MATCH(G$1,[2]stages!$2:$2,0)-MATCH("temp_stage",[2]stages!$2:$2,0)+1),MATCH(G$1,[2]stages!$2:$2,0)-MATCH("temp_stage",[2]stages!$2:$2,0)+1,FALSE)</f>
        <v>#N/A</v>
      </c>
      <c r="H112" s="86">
        <v>0</v>
      </c>
      <c r="I112">
        <v>21</v>
      </c>
      <c r="J112" s="85" t="s">
        <v>199</v>
      </c>
      <c r="K112" s="95" t="str">
        <f>VLOOKUP(I112,[7]stage_hints!$A:$C,3,FALSE)</f>
        <v>スキルを有効に</v>
      </c>
      <c r="L112" s="96" t="str">
        <f>VLOOKUP(I112,[7]stage_hints!$A:$D,4,FALSE)</f>
        <v>ターン経過でユニットのスキルが使えます_x000D_強力スキルでバトルを有利に進めましょう</v>
      </c>
      <c r="M112" s="57" t="s">
        <v>211</v>
      </c>
    </row>
    <row r="113" spans="1:13" x14ac:dyDescent="0.15">
      <c r="A113" s="82" t="s">
        <v>201</v>
      </c>
      <c r="B113" s="83">
        <f>floors!$C$2</f>
        <v>48703</v>
      </c>
      <c r="C113" s="84" t="str">
        <f ca="1">VLOOKUP($B113,OFFSET([2]quests!$A$1,0,0,COUNTA([2]quests!$A:$A),MATCH(C$1,[2]quests!$1:$1,0)-MATCH($B$1,[2]quests!$1:$1,0)+1),MATCH(C$1,[2]quests!$1:$1,0)-MATCH($B$1,[2]quests!$1:$1,0)+1,FALSE)</f>
        <v>紅蓮襲来！</v>
      </c>
      <c r="D113" s="84" t="str">
        <f ca="1">VLOOKUP($B113,OFFSET([2]quests!$A$1,0,0,COUNTA([2]quests!$A:$A),MATCH(D$1,[2]quests!$1:$1,0)-MATCH($B$1,[2]quests!$1:$1,0)+1),MATCH(D$1,[2]quests!$1:$1,0)-MATCH($B$1,[2]quests!$1:$1,0)+1,FALSE)</f>
        <v>韓国版降臨3</v>
      </c>
      <c r="E113" s="88" t="s">
        <v>218</v>
      </c>
      <c r="F113" s="84" t="e">
        <f ca="1">VLOOKUP($B113&amp;"_"&amp;$E113,OFFSET([2]stages!$A$1,0,0,COUNTA([2]stages!$A:$A),MATCH(F$1,[2]stages!$2:$2,0)-MATCH("temp_stage",[2]stages!$2:$2,0)+1),MATCH(F$1,[2]stages!$2:$2,0)-MATCH("temp_stage",[2]stages!$2:$2,0)+1,FALSE)</f>
        <v>#N/A</v>
      </c>
      <c r="G113" s="84" t="e">
        <f ca="1">VLOOKUP($B113&amp;"_"&amp;$E113,OFFSET([2]stages!$A$1,0,0,COUNTA([2]stages!$A:$A),MATCH(G$1,[2]stages!$2:$2,0)-MATCH("temp_stage",[2]stages!$2:$2,0)+1),MATCH(G$1,[2]stages!$2:$2,0)-MATCH("temp_stage",[2]stages!$2:$2,0)+1,FALSE)</f>
        <v>#N/A</v>
      </c>
      <c r="H113" s="86">
        <v>0</v>
      </c>
      <c r="I113">
        <v>29</v>
      </c>
      <c r="J113" s="85" t="s">
        <v>199</v>
      </c>
      <c r="K113" s="95" t="str">
        <f>VLOOKUP(I113,[7]stage_hints!$A:$C,3,FALSE)</f>
        <v>「バグ」のメリット</v>
      </c>
      <c r="L113" s="96" t="str">
        <f>VLOOKUP(I113,[7]stage_hints!$A:$D,4,FALSE)</f>
        <v>ユニットの「バグ」を増やすと_x000D_報酬をもらえる確率がアップします</v>
      </c>
      <c r="M113" s="57" t="s">
        <v>211</v>
      </c>
    </row>
    <row r="114" spans="1:13" x14ac:dyDescent="0.15">
      <c r="A114" s="82" t="s">
        <v>201</v>
      </c>
      <c r="B114" s="83">
        <f>floors!$C$2</f>
        <v>48703</v>
      </c>
      <c r="C114" s="84" t="str">
        <f ca="1">VLOOKUP($B114,OFFSET([2]quests!$A$1,0,0,COUNTA([2]quests!$A:$A),MATCH(C$1,[2]quests!$1:$1,0)-MATCH($B$1,[2]quests!$1:$1,0)+1),MATCH(C$1,[2]quests!$1:$1,0)-MATCH($B$1,[2]quests!$1:$1,0)+1,FALSE)</f>
        <v>紅蓮襲来！</v>
      </c>
      <c r="D114" s="84" t="str">
        <f ca="1">VLOOKUP($B114,OFFSET([2]quests!$A$1,0,0,COUNTA([2]quests!$A:$A),MATCH(D$1,[2]quests!$1:$1,0)-MATCH($B$1,[2]quests!$1:$1,0)+1),MATCH(D$1,[2]quests!$1:$1,0)-MATCH($B$1,[2]quests!$1:$1,0)+1,FALSE)</f>
        <v>韓国版降臨3</v>
      </c>
      <c r="E114" s="88" t="s">
        <v>218</v>
      </c>
      <c r="F114" s="84" t="e">
        <f ca="1">VLOOKUP($B114&amp;"_"&amp;$E114,OFFSET([2]stages!$A$1,0,0,COUNTA([2]stages!$A:$A),MATCH(F$1,[2]stages!$2:$2,0)-MATCH("temp_stage",[2]stages!$2:$2,0)+1),MATCH(F$1,[2]stages!$2:$2,0)-MATCH("temp_stage",[2]stages!$2:$2,0)+1,FALSE)</f>
        <v>#N/A</v>
      </c>
      <c r="G114" s="84" t="e">
        <f ca="1">VLOOKUP($B114&amp;"_"&amp;$E114,OFFSET([2]stages!$A$1,0,0,COUNTA([2]stages!$A:$A),MATCH(G$1,[2]stages!$2:$2,0)-MATCH("temp_stage",[2]stages!$2:$2,0)+1),MATCH(G$1,[2]stages!$2:$2,0)-MATCH("temp_stage",[2]stages!$2:$2,0)+1,FALSE)</f>
        <v>#N/A</v>
      </c>
      <c r="H114" s="86">
        <v>0</v>
      </c>
      <c r="I114">
        <v>30</v>
      </c>
      <c r="J114" s="85" t="s">
        <v>199</v>
      </c>
      <c r="K114" s="95" t="str">
        <f>VLOOKUP(I114,[7]stage_hints!$A:$C,3,FALSE)</f>
        <v>「バグ」の増やし方</v>
      </c>
      <c r="L114" s="96" t="str">
        <f>VLOOKUP(I114,[7]stage_hints!$A:$D,4,FALSE)</f>
        <v>同じユニット同士を強化で合成すると_x000D_「バグ」を増やすことができます</v>
      </c>
      <c r="M114" s="57" t="s">
        <v>211</v>
      </c>
    </row>
    <row r="115" spans="1:13" x14ac:dyDescent="0.15">
      <c r="A115" s="82" t="s">
        <v>201</v>
      </c>
      <c r="B115" s="83">
        <f>floors!$C$2</f>
        <v>48703</v>
      </c>
      <c r="C115" s="84" t="str">
        <f ca="1">VLOOKUP($B115,OFFSET([2]quests!$A$1,0,0,COUNTA([2]quests!$A:$A),MATCH(C$1,[2]quests!$1:$1,0)-MATCH($B$1,[2]quests!$1:$1,0)+1),MATCH(C$1,[2]quests!$1:$1,0)-MATCH($B$1,[2]quests!$1:$1,0)+1,FALSE)</f>
        <v>紅蓮襲来！</v>
      </c>
      <c r="D115" s="84" t="str">
        <f ca="1">VLOOKUP($B115,OFFSET([2]quests!$A$1,0,0,COUNTA([2]quests!$A:$A),MATCH(D$1,[2]quests!$1:$1,0)-MATCH($B$1,[2]quests!$1:$1,0)+1),MATCH(D$1,[2]quests!$1:$1,0)-MATCH($B$1,[2]quests!$1:$1,0)+1,FALSE)</f>
        <v>韓国版降臨3</v>
      </c>
      <c r="E115" s="88" t="s">
        <v>218</v>
      </c>
      <c r="F115" s="84" t="e">
        <f ca="1">VLOOKUP($B115&amp;"_"&amp;$E115,OFFSET([2]stages!$A$1,0,0,COUNTA([2]stages!$A:$A),MATCH(F$1,[2]stages!$2:$2,0)-MATCH("temp_stage",[2]stages!$2:$2,0)+1),MATCH(F$1,[2]stages!$2:$2,0)-MATCH("temp_stage",[2]stages!$2:$2,0)+1,FALSE)</f>
        <v>#N/A</v>
      </c>
      <c r="G115" s="84" t="e">
        <f ca="1">VLOOKUP($B115&amp;"_"&amp;$E115,OFFSET([2]stages!$A$1,0,0,COUNTA([2]stages!$A:$A),MATCH(G$1,[2]stages!$2:$2,0)-MATCH("temp_stage",[2]stages!$2:$2,0)+1),MATCH(G$1,[2]stages!$2:$2,0)-MATCH("temp_stage",[2]stages!$2:$2,0)+1,FALSE)</f>
        <v>#N/A</v>
      </c>
      <c r="H115" s="86">
        <v>0</v>
      </c>
      <c r="I115">
        <v>32</v>
      </c>
      <c r="J115" s="85" t="s">
        <v>199</v>
      </c>
      <c r="K115" s="95" t="str">
        <f>VLOOKUP(I115,[7]stage_hints!$A:$C,3,FALSE)</f>
        <v>敵の連続攻撃には</v>
      </c>
      <c r="L115" s="96" t="str">
        <f>VLOOKUP(I115,[7]stage_hints!$A:$D,4,FALSE)</f>
        <v>カウンタースキルを持つユニットがいれば_x000D_ダメージ回数分の反撃ができます</v>
      </c>
      <c r="M115" s="57" t="s">
        <v>211</v>
      </c>
    </row>
    <row r="116" spans="1:13" x14ac:dyDescent="0.15">
      <c r="A116" s="82" t="s">
        <v>201</v>
      </c>
      <c r="B116" s="83">
        <f>floors!$C$2</f>
        <v>48703</v>
      </c>
      <c r="C116" s="84" t="str">
        <f ca="1">VLOOKUP($B116,OFFSET([2]quests!$A$1,0,0,COUNTA([2]quests!$A:$A),MATCH(C$1,[2]quests!$1:$1,0)-MATCH($B$1,[2]quests!$1:$1,0)+1),MATCH(C$1,[2]quests!$1:$1,0)-MATCH($B$1,[2]quests!$1:$1,0)+1,FALSE)</f>
        <v>紅蓮襲来！</v>
      </c>
      <c r="D116" s="84" t="str">
        <f ca="1">VLOOKUP($B116,OFFSET([2]quests!$A$1,0,0,COUNTA([2]quests!$A:$A),MATCH(D$1,[2]quests!$1:$1,0)-MATCH($B$1,[2]quests!$1:$1,0)+1),MATCH(D$1,[2]quests!$1:$1,0)-MATCH($B$1,[2]quests!$1:$1,0)+1,FALSE)</f>
        <v>韓国版降臨3</v>
      </c>
      <c r="E116" s="88" t="s">
        <v>218</v>
      </c>
      <c r="F116" s="84" t="e">
        <f ca="1">VLOOKUP($B116&amp;"_"&amp;$E116,OFFSET([2]stages!$A$1,0,0,COUNTA([2]stages!$A:$A),MATCH(F$1,[2]stages!$2:$2,0)-MATCH("temp_stage",[2]stages!$2:$2,0)+1),MATCH(F$1,[2]stages!$2:$2,0)-MATCH("temp_stage",[2]stages!$2:$2,0)+1,FALSE)</f>
        <v>#N/A</v>
      </c>
      <c r="G116" s="84" t="e">
        <f ca="1">VLOOKUP($B116&amp;"_"&amp;$E116,OFFSET([2]stages!$A$1,0,0,COUNTA([2]stages!$A:$A),MATCH(G$1,[2]stages!$2:$2,0)-MATCH("temp_stage",[2]stages!$2:$2,0)+1),MATCH(G$1,[2]stages!$2:$2,0)-MATCH("temp_stage",[2]stages!$2:$2,0)+1,FALSE)</f>
        <v>#N/A</v>
      </c>
      <c r="H116" s="86">
        <v>0</v>
      </c>
      <c r="I116">
        <v>33</v>
      </c>
      <c r="J116" s="85" t="s">
        <v>199</v>
      </c>
      <c r="K116" s="95" t="str">
        <f>VLOOKUP(I116,[7]stage_hints!$A:$C,3,FALSE)</f>
        <v>敵のカウンター攻撃には</v>
      </c>
      <c r="L116" s="96" t="str">
        <f>VLOOKUP(I116,[7]stage_hints!$A:$D,4,FALSE)</f>
        <v>カウンターブレイクスキルを持っていれば_x000D_敵のカウンターを解除して攻撃ができます</v>
      </c>
      <c r="M116" s="57" t="s">
        <v>211</v>
      </c>
    </row>
    <row r="117" spans="1:13" x14ac:dyDescent="0.15">
      <c r="A117" s="82" t="s">
        <v>201</v>
      </c>
      <c r="B117" s="83">
        <f>floors!$C$2</f>
        <v>48703</v>
      </c>
      <c r="C117" s="84" t="str">
        <f ca="1">VLOOKUP($B117,OFFSET([2]quests!$A$1,0,0,COUNTA([2]quests!$A:$A),MATCH(C$1,[2]quests!$1:$1,0)-MATCH($B$1,[2]quests!$1:$1,0)+1),MATCH(C$1,[2]quests!$1:$1,0)-MATCH($B$1,[2]quests!$1:$1,0)+1,FALSE)</f>
        <v>紅蓮襲来！</v>
      </c>
      <c r="D117" s="84" t="str">
        <f ca="1">VLOOKUP($B117,OFFSET([2]quests!$A$1,0,0,COUNTA([2]quests!$A:$A),MATCH(D$1,[2]quests!$1:$1,0)-MATCH($B$1,[2]quests!$1:$1,0)+1),MATCH(D$1,[2]quests!$1:$1,0)-MATCH($B$1,[2]quests!$1:$1,0)+1,FALSE)</f>
        <v>韓国版降臨3</v>
      </c>
      <c r="E117" s="88" t="s">
        <v>218</v>
      </c>
      <c r="F117" s="84" t="e">
        <f ca="1">VLOOKUP($B117&amp;"_"&amp;$E117,OFFSET([2]stages!$A$1,0,0,COUNTA([2]stages!$A:$A),MATCH(F$1,[2]stages!$2:$2,0)-MATCH("temp_stage",[2]stages!$2:$2,0)+1),MATCH(F$1,[2]stages!$2:$2,0)-MATCH("temp_stage",[2]stages!$2:$2,0)+1,FALSE)</f>
        <v>#N/A</v>
      </c>
      <c r="G117" s="84" t="e">
        <f ca="1">VLOOKUP($B117&amp;"_"&amp;$E117,OFFSET([2]stages!$A$1,0,0,COUNTA([2]stages!$A:$A),MATCH(G$1,[2]stages!$2:$2,0)-MATCH("temp_stage",[2]stages!$2:$2,0)+1),MATCH(G$1,[2]stages!$2:$2,0)-MATCH("temp_stage",[2]stages!$2:$2,0)+1,FALSE)</f>
        <v>#N/A</v>
      </c>
      <c r="H117" s="86">
        <v>0</v>
      </c>
      <c r="I117">
        <v>34</v>
      </c>
      <c r="J117" s="85" t="s">
        <v>199</v>
      </c>
      <c r="K117" s="95" t="str">
        <f>VLOOKUP(I117,[7]stage_hints!$A:$C,3,FALSE)</f>
        <v>ステータスをスキルで下げられたら</v>
      </c>
      <c r="L117" s="96" t="str">
        <f>VLOOKUP(I117,[7]stage_hints!$A:$D,4,FALSE)</f>
        <v>ステータスダウンのスキルを受けたら_x000D_ステータスアップスキルで上書きしましょう</v>
      </c>
      <c r="M117" s="57" t="s">
        <v>211</v>
      </c>
    </row>
    <row r="118" spans="1:13" x14ac:dyDescent="0.15">
      <c r="A118" s="82" t="s">
        <v>201</v>
      </c>
      <c r="B118" s="83">
        <f>floors!$C$2</f>
        <v>48703</v>
      </c>
      <c r="C118" s="84" t="str">
        <f ca="1">VLOOKUP($B118,OFFSET([2]quests!$A$1,0,0,COUNTA([2]quests!$A:$A),MATCH(C$1,[2]quests!$1:$1,0)-MATCH($B$1,[2]quests!$1:$1,0)+1),MATCH(C$1,[2]quests!$1:$1,0)-MATCH($B$1,[2]quests!$1:$1,0)+1,FALSE)</f>
        <v>紅蓮襲来！</v>
      </c>
      <c r="D118" s="84" t="str">
        <f ca="1">VLOOKUP($B118,OFFSET([2]quests!$A$1,0,0,COUNTA([2]quests!$A:$A),MATCH(D$1,[2]quests!$1:$1,0)-MATCH($B$1,[2]quests!$1:$1,0)+1),MATCH(D$1,[2]quests!$1:$1,0)-MATCH($B$1,[2]quests!$1:$1,0)+1,FALSE)</f>
        <v>韓国版降臨3</v>
      </c>
      <c r="E118" s="88" t="s">
        <v>218</v>
      </c>
      <c r="F118" s="84" t="e">
        <f ca="1">VLOOKUP($B118&amp;"_"&amp;$E118,OFFSET([2]stages!$A$1,0,0,COUNTA([2]stages!$A:$A),MATCH(F$1,[2]stages!$2:$2,0)-MATCH("temp_stage",[2]stages!$2:$2,0)+1),MATCH(F$1,[2]stages!$2:$2,0)-MATCH("temp_stage",[2]stages!$2:$2,0)+1,FALSE)</f>
        <v>#N/A</v>
      </c>
      <c r="G118" s="84" t="e">
        <f ca="1">VLOOKUP($B118&amp;"_"&amp;$E118,OFFSET([2]stages!$A$1,0,0,COUNTA([2]stages!$A:$A),MATCH(G$1,[2]stages!$2:$2,0)-MATCH("temp_stage",[2]stages!$2:$2,0)+1),MATCH(G$1,[2]stages!$2:$2,0)-MATCH("temp_stage",[2]stages!$2:$2,0)+1,FALSE)</f>
        <v>#N/A</v>
      </c>
      <c r="H118" s="86">
        <v>0</v>
      </c>
      <c r="I118">
        <v>35</v>
      </c>
      <c r="J118" s="85" t="s">
        <v>199</v>
      </c>
      <c r="K118" s="95" t="str">
        <f>VLOOKUP(I118,[7]stage_hints!$A:$C,3,FALSE)</f>
        <v>敵のステータスがスキルで上がったら</v>
      </c>
      <c r="L118" s="96" t="str">
        <f>VLOOKUP(I118,[7]stage_hints!$A:$D,4,FALSE)</f>
        <v>敵のステータスがスキルでアップしたときは_x000D_ステータスダウンスキルで上書きしましょう</v>
      </c>
      <c r="M118" s="57" t="s">
        <v>211</v>
      </c>
    </row>
    <row r="119" spans="1:13" x14ac:dyDescent="0.15">
      <c r="A119" s="82" t="s">
        <v>201</v>
      </c>
      <c r="B119" s="83">
        <f>floors!$C$2</f>
        <v>48703</v>
      </c>
      <c r="C119" s="84" t="str">
        <f ca="1">VLOOKUP($B119,OFFSET([2]quests!$A$1,0,0,COUNTA([2]quests!$A:$A),MATCH(C$1,[2]quests!$1:$1,0)-MATCH($B$1,[2]quests!$1:$1,0)+1),MATCH(C$1,[2]quests!$1:$1,0)-MATCH($B$1,[2]quests!$1:$1,0)+1,FALSE)</f>
        <v>紅蓮襲来！</v>
      </c>
      <c r="D119" s="84" t="str">
        <f ca="1">VLOOKUP($B119,OFFSET([2]quests!$A$1,0,0,COUNTA([2]quests!$A:$A),MATCH(D$1,[2]quests!$1:$1,0)-MATCH($B$1,[2]quests!$1:$1,0)+1),MATCH(D$1,[2]quests!$1:$1,0)-MATCH($B$1,[2]quests!$1:$1,0)+1,FALSE)</f>
        <v>韓国版降臨3</v>
      </c>
      <c r="E119" s="88" t="s">
        <v>218</v>
      </c>
      <c r="F119" s="84" t="e">
        <f ca="1">VLOOKUP($B119&amp;"_"&amp;$E119,OFFSET([2]stages!$A$1,0,0,COUNTA([2]stages!$A:$A),MATCH(F$1,[2]stages!$2:$2,0)-MATCH("temp_stage",[2]stages!$2:$2,0)+1),MATCH(F$1,[2]stages!$2:$2,0)-MATCH("temp_stage",[2]stages!$2:$2,0)+1,FALSE)</f>
        <v>#N/A</v>
      </c>
      <c r="G119" s="84" t="e">
        <f ca="1">VLOOKUP($B119&amp;"_"&amp;$E119,OFFSET([2]stages!$A$1,0,0,COUNTA([2]stages!$A:$A),MATCH(G$1,[2]stages!$2:$2,0)-MATCH("temp_stage",[2]stages!$2:$2,0)+1),MATCH(G$1,[2]stages!$2:$2,0)-MATCH("temp_stage",[2]stages!$2:$2,0)+1,FALSE)</f>
        <v>#N/A</v>
      </c>
      <c r="H119" s="86">
        <v>0</v>
      </c>
      <c r="I119">
        <v>36</v>
      </c>
      <c r="J119" s="85" t="s">
        <v>199</v>
      </c>
      <c r="K119" s="95" t="str">
        <f>VLOOKUP(I119,[7]stage_hints!$A:$C,3,FALSE)</f>
        <v>タワーオブザクイーンのボス</v>
      </c>
      <c r="L119" s="96" t="str">
        <f>VLOOKUP(I119,[7]stage_hints!$A:$D,4,FALSE)</f>
        <v>「タワーオブザクイーン」最上階のボスは_x000D_15階の初回クリア報酬で獲得できるほか_x000D_その階にて低確率でドロップもします</v>
      </c>
      <c r="M119" s="57" t="s">
        <v>211</v>
      </c>
    </row>
    <row r="120" spans="1:13" x14ac:dyDescent="0.15">
      <c r="A120" s="82" t="s">
        <v>201</v>
      </c>
      <c r="B120" s="83">
        <f>floors!$C$2</f>
        <v>48703</v>
      </c>
      <c r="C120" s="84" t="str">
        <f ca="1">VLOOKUP($B120,OFFSET([2]quests!$A$1,0,0,COUNTA([2]quests!$A:$A),MATCH(C$1,[2]quests!$1:$1,0)-MATCH($B$1,[2]quests!$1:$1,0)+1),MATCH(C$1,[2]quests!$1:$1,0)-MATCH($B$1,[2]quests!$1:$1,0)+1,FALSE)</f>
        <v>紅蓮襲来！</v>
      </c>
      <c r="D120" s="84" t="str">
        <f ca="1">VLOOKUP($B120,OFFSET([2]quests!$A$1,0,0,COUNTA([2]quests!$A:$A),MATCH(D$1,[2]quests!$1:$1,0)-MATCH($B$1,[2]quests!$1:$1,0)+1),MATCH(D$1,[2]quests!$1:$1,0)-MATCH($B$1,[2]quests!$1:$1,0)+1,FALSE)</f>
        <v>韓国版降臨3</v>
      </c>
      <c r="E120" s="88" t="s">
        <v>218</v>
      </c>
      <c r="F120" s="84" t="e">
        <f ca="1">VLOOKUP($B120&amp;"_"&amp;$E120,OFFSET([2]stages!$A$1,0,0,COUNTA([2]stages!$A:$A),MATCH(F$1,[2]stages!$2:$2,0)-MATCH("temp_stage",[2]stages!$2:$2,0)+1),MATCH(F$1,[2]stages!$2:$2,0)-MATCH("temp_stage",[2]stages!$2:$2,0)+1,FALSE)</f>
        <v>#N/A</v>
      </c>
      <c r="G120" s="84" t="e">
        <f ca="1">VLOOKUP($B120&amp;"_"&amp;$E120,OFFSET([2]stages!$A$1,0,0,COUNTA([2]stages!$A:$A),MATCH(G$1,[2]stages!$2:$2,0)-MATCH("temp_stage",[2]stages!$2:$2,0)+1),MATCH(G$1,[2]stages!$2:$2,0)-MATCH("temp_stage",[2]stages!$2:$2,0)+1,FALSE)</f>
        <v>#N/A</v>
      </c>
      <c r="H120" s="86">
        <v>0</v>
      </c>
      <c r="I120">
        <v>37</v>
      </c>
      <c r="J120" s="85" t="s">
        <v>199</v>
      </c>
      <c r="K120" s="95" t="str">
        <f>VLOOKUP(I120,[7]stage_hints!$A:$C,3,FALSE)</f>
        <v>限界突破値の引き継ぎ</v>
      </c>
      <c r="L120" s="96" t="str">
        <f>VLOOKUP(I120,[7]stage_hints!$A:$D,4,FALSE)</f>
        <v>同じユニットを強化で合成すると_x000D_限界突破値を引き継げます（覚醒前後も可）</v>
      </c>
      <c r="M120" s="57" t="s">
        <v>211</v>
      </c>
    </row>
    <row r="121" spans="1:13" x14ac:dyDescent="0.15">
      <c r="A121" s="82" t="s">
        <v>201</v>
      </c>
      <c r="B121" s="83">
        <f>floors!$C$2</f>
        <v>48703</v>
      </c>
      <c r="C121" s="84" t="str">
        <f ca="1">VLOOKUP($B121,OFFSET([2]quests!$A$1,0,0,COUNTA([2]quests!$A:$A),MATCH(C$1,[2]quests!$1:$1,0)-MATCH($B$1,[2]quests!$1:$1,0)+1),MATCH(C$1,[2]quests!$1:$1,0)-MATCH($B$1,[2]quests!$1:$1,0)+1,FALSE)</f>
        <v>紅蓮襲来！</v>
      </c>
      <c r="D121" s="84" t="str">
        <f ca="1">VLOOKUP($B121,OFFSET([2]quests!$A$1,0,0,COUNTA([2]quests!$A:$A),MATCH(D$1,[2]quests!$1:$1,0)-MATCH($B$1,[2]quests!$1:$1,0)+1),MATCH(D$1,[2]quests!$1:$1,0)-MATCH($B$1,[2]quests!$1:$1,0)+1,FALSE)</f>
        <v>韓国版降臨3</v>
      </c>
      <c r="E121" s="88" t="s">
        <v>218</v>
      </c>
      <c r="F121" s="84" t="e">
        <f ca="1">VLOOKUP($B121&amp;"_"&amp;$E121,OFFSET([2]stages!$A$1,0,0,COUNTA([2]stages!$A:$A),MATCH(F$1,[2]stages!$2:$2,0)-MATCH("temp_stage",[2]stages!$2:$2,0)+1),MATCH(F$1,[2]stages!$2:$2,0)-MATCH("temp_stage",[2]stages!$2:$2,0)+1,FALSE)</f>
        <v>#N/A</v>
      </c>
      <c r="G121" s="84" t="e">
        <f ca="1">VLOOKUP($B121&amp;"_"&amp;$E121,OFFSET([2]stages!$A$1,0,0,COUNTA([2]stages!$A:$A),MATCH(G$1,[2]stages!$2:$2,0)-MATCH("temp_stage",[2]stages!$2:$2,0)+1),MATCH(G$1,[2]stages!$2:$2,0)-MATCH("temp_stage",[2]stages!$2:$2,0)+1,FALSE)</f>
        <v>#N/A</v>
      </c>
      <c r="H121" s="86">
        <v>0</v>
      </c>
      <c r="I121">
        <v>39</v>
      </c>
      <c r="J121" s="85" t="s">
        <v>199</v>
      </c>
      <c r="K121" s="95" t="str">
        <f>VLOOKUP(I121,[7]stage_hints!$A:$C,3,FALSE)</f>
        <v>システム適合者を確認</v>
      </c>
      <c r="L121" s="96" t="str">
        <f>VLOOKUP(I121,[7]stage_hints!$A:$D,4,FALSE)</f>
        <v>ALICEが 「アナタ」を呼んでいます</v>
      </c>
      <c r="M121" s="57" t="s">
        <v>211</v>
      </c>
    </row>
    <row r="122" spans="1:13" x14ac:dyDescent="0.15">
      <c r="A122" s="82" t="s">
        <v>201</v>
      </c>
      <c r="B122" s="83">
        <f>floors!$C$2</f>
        <v>48703</v>
      </c>
      <c r="C122" s="84" t="str">
        <f ca="1">VLOOKUP($B122,OFFSET([2]quests!$A$1,0,0,COUNTA([2]quests!$A:$A),MATCH(C$1,[2]quests!$1:$1,0)-MATCH($B$1,[2]quests!$1:$1,0)+1),MATCH(C$1,[2]quests!$1:$1,0)-MATCH($B$1,[2]quests!$1:$1,0)+1,FALSE)</f>
        <v>紅蓮襲来！</v>
      </c>
      <c r="D122" s="84" t="str">
        <f ca="1">VLOOKUP($B122,OFFSET([2]quests!$A$1,0,0,COUNTA([2]quests!$A:$A),MATCH(D$1,[2]quests!$1:$1,0)-MATCH($B$1,[2]quests!$1:$1,0)+1),MATCH(D$1,[2]quests!$1:$1,0)-MATCH($B$1,[2]quests!$1:$1,0)+1,FALSE)</f>
        <v>韓国版降臨3</v>
      </c>
      <c r="E122" s="88" t="s">
        <v>219</v>
      </c>
      <c r="F122" s="84" t="e">
        <f ca="1">VLOOKUP($B122&amp;"_"&amp;$E122,OFFSET([2]stages!$A$1,0,0,COUNTA([2]stages!$A:$A),MATCH(F$1,[2]stages!$2:$2,0)-MATCH("temp_stage",[2]stages!$2:$2,0)+1),MATCH(F$1,[2]stages!$2:$2,0)-MATCH("temp_stage",[2]stages!$2:$2,0)+1,FALSE)</f>
        <v>#N/A</v>
      </c>
      <c r="G122" s="84" t="e">
        <f ca="1">VLOOKUP($B122&amp;"_"&amp;$E122,OFFSET([2]stages!$A$1,0,0,COUNTA([2]stages!$A:$A),MATCH(G$1,[2]stages!$2:$2,0)-MATCH("temp_stage",[2]stages!$2:$2,0)+1),MATCH(G$1,[2]stages!$2:$2,0)-MATCH("temp_stage",[2]stages!$2:$2,0)+1,FALSE)</f>
        <v>#N/A</v>
      </c>
      <c r="H122" s="86">
        <v>0</v>
      </c>
      <c r="I122">
        <v>12</v>
      </c>
      <c r="J122" s="85" t="s">
        <v>199</v>
      </c>
      <c r="K122" s="95" t="str">
        <f>VLOOKUP(I122,[7]stage_hints!$A:$C,3,FALSE)</f>
        <v>ユニットのお気に入り登録</v>
      </c>
      <c r="L122" s="96" t="str">
        <f>VLOOKUP(I122,[7]stage_hints!$A:$D,4,FALSE)</f>
        <v>大事なユニットを誤って消さないように_x000D_フォルダから「お気に入り登録」しましょう</v>
      </c>
      <c r="M122" s="57" t="s">
        <v>211</v>
      </c>
    </row>
    <row r="123" spans="1:13" x14ac:dyDescent="0.15">
      <c r="A123" s="82" t="s">
        <v>201</v>
      </c>
      <c r="B123" s="83">
        <f>floors!$C$2</f>
        <v>48703</v>
      </c>
      <c r="C123" s="84" t="str">
        <f ca="1">VLOOKUP($B123,OFFSET([2]quests!$A$1,0,0,COUNTA([2]quests!$A:$A),MATCH(C$1,[2]quests!$1:$1,0)-MATCH($B$1,[2]quests!$1:$1,0)+1),MATCH(C$1,[2]quests!$1:$1,0)-MATCH($B$1,[2]quests!$1:$1,0)+1,FALSE)</f>
        <v>紅蓮襲来！</v>
      </c>
      <c r="D123" s="84" t="str">
        <f ca="1">VLOOKUP($B123,OFFSET([2]quests!$A$1,0,0,COUNTA([2]quests!$A:$A),MATCH(D$1,[2]quests!$1:$1,0)-MATCH($B$1,[2]quests!$1:$1,0)+1),MATCH(D$1,[2]quests!$1:$1,0)-MATCH($B$1,[2]quests!$1:$1,0)+1,FALSE)</f>
        <v>韓国版降臨3</v>
      </c>
      <c r="E123" s="88" t="s">
        <v>219</v>
      </c>
      <c r="F123" s="84" t="e">
        <f ca="1">VLOOKUP($B123&amp;"_"&amp;$E123,OFFSET([2]stages!$A$1,0,0,COUNTA([2]stages!$A:$A),MATCH(F$1,[2]stages!$2:$2,0)-MATCH("temp_stage",[2]stages!$2:$2,0)+1),MATCH(F$1,[2]stages!$2:$2,0)-MATCH("temp_stage",[2]stages!$2:$2,0)+1,FALSE)</f>
        <v>#N/A</v>
      </c>
      <c r="G123" s="84" t="e">
        <f ca="1">VLOOKUP($B123&amp;"_"&amp;$E123,OFFSET([2]stages!$A$1,0,0,COUNTA([2]stages!$A:$A),MATCH(G$1,[2]stages!$2:$2,0)-MATCH("temp_stage",[2]stages!$2:$2,0)+1),MATCH(G$1,[2]stages!$2:$2,0)-MATCH("temp_stage",[2]stages!$2:$2,0)+1,FALSE)</f>
        <v>#N/A</v>
      </c>
      <c r="H123" s="86">
        <v>0</v>
      </c>
      <c r="I123">
        <v>17</v>
      </c>
      <c r="J123" s="85" t="s">
        <v>199</v>
      </c>
      <c r="K123" s="95" t="str">
        <f>VLOOKUP(I123,[7]stage_hints!$A:$C,3,FALSE)</f>
        <v>リンクガチャ</v>
      </c>
      <c r="L123" s="96" t="str">
        <f>VLOOKUP(I123,[7]stage_hints!$A:$D,4,FALSE)</f>
        <v>無料のリンクガチャを回して_x000D_経験値素材や売却素材を獲得しましょう</v>
      </c>
      <c r="M123" s="57" t="s">
        <v>211</v>
      </c>
    </row>
    <row r="124" spans="1:13" x14ac:dyDescent="0.15">
      <c r="A124" s="82" t="s">
        <v>201</v>
      </c>
      <c r="B124" s="83">
        <f>floors!$C$2</f>
        <v>48703</v>
      </c>
      <c r="C124" s="84" t="str">
        <f ca="1">VLOOKUP($B124,OFFSET([2]quests!$A$1,0,0,COUNTA([2]quests!$A:$A),MATCH(C$1,[2]quests!$1:$1,0)-MATCH($B$1,[2]quests!$1:$1,0)+1),MATCH(C$1,[2]quests!$1:$1,0)-MATCH($B$1,[2]quests!$1:$1,0)+1,FALSE)</f>
        <v>紅蓮襲来！</v>
      </c>
      <c r="D124" s="84" t="str">
        <f ca="1">VLOOKUP($B124,OFFSET([2]quests!$A$1,0,0,COUNTA([2]quests!$A:$A),MATCH(D$1,[2]quests!$1:$1,0)-MATCH($B$1,[2]quests!$1:$1,0)+1),MATCH(D$1,[2]quests!$1:$1,0)-MATCH($B$1,[2]quests!$1:$1,0)+1,FALSE)</f>
        <v>韓国版降臨3</v>
      </c>
      <c r="E124" s="88" t="s">
        <v>219</v>
      </c>
      <c r="F124" s="84" t="e">
        <f ca="1">VLOOKUP($B124&amp;"_"&amp;$E124,OFFSET([2]stages!$A$1,0,0,COUNTA([2]stages!$A:$A),MATCH(F$1,[2]stages!$2:$2,0)-MATCH("temp_stage",[2]stages!$2:$2,0)+1),MATCH(F$1,[2]stages!$2:$2,0)-MATCH("temp_stage",[2]stages!$2:$2,0)+1,FALSE)</f>
        <v>#N/A</v>
      </c>
      <c r="G124" s="84" t="e">
        <f ca="1">VLOOKUP($B124&amp;"_"&amp;$E124,OFFSET([2]stages!$A$1,0,0,COUNTA([2]stages!$A:$A),MATCH(G$1,[2]stages!$2:$2,0)-MATCH("temp_stage",[2]stages!$2:$2,0)+1),MATCH(G$1,[2]stages!$2:$2,0)-MATCH("temp_stage",[2]stages!$2:$2,0)+1,FALSE)</f>
        <v>#N/A</v>
      </c>
      <c r="H124" s="86">
        <v>0</v>
      </c>
      <c r="I124">
        <v>19</v>
      </c>
      <c r="J124" s="85" t="s">
        <v>199</v>
      </c>
      <c r="K124" s="95" t="str">
        <f>VLOOKUP(I124,[7]stage_hints!$A:$C,3,FALSE)</f>
        <v>ソロ専用タワーオブザクイーン</v>
      </c>
      <c r="L124" s="96" t="str">
        <f>VLOOKUP(I124,[7]stage_hints!$A:$D,4,FALSE)</f>
        <v>ソロ専用の「タワーオブザクイーン」は_x000D_期間限定で定期的に開催されます_x000D_ここでしか獲得できない報酬もあるようです</v>
      </c>
      <c r="M124" s="57" t="s">
        <v>211</v>
      </c>
    </row>
    <row r="125" spans="1:13" x14ac:dyDescent="0.15">
      <c r="A125" s="82" t="s">
        <v>201</v>
      </c>
      <c r="B125" s="83">
        <f>floors!$C$2</f>
        <v>48703</v>
      </c>
      <c r="C125" s="84" t="str">
        <f ca="1">VLOOKUP($B125,OFFSET([2]quests!$A$1,0,0,COUNTA([2]quests!$A:$A),MATCH(C$1,[2]quests!$1:$1,0)-MATCH($B$1,[2]quests!$1:$1,0)+1),MATCH(C$1,[2]quests!$1:$1,0)-MATCH($B$1,[2]quests!$1:$1,0)+1,FALSE)</f>
        <v>紅蓮襲来！</v>
      </c>
      <c r="D125" s="84" t="str">
        <f ca="1">VLOOKUP($B125,OFFSET([2]quests!$A$1,0,0,COUNTA([2]quests!$A:$A),MATCH(D$1,[2]quests!$1:$1,0)-MATCH($B$1,[2]quests!$1:$1,0)+1),MATCH(D$1,[2]quests!$1:$1,0)-MATCH($B$1,[2]quests!$1:$1,0)+1,FALSE)</f>
        <v>韓国版降臨3</v>
      </c>
      <c r="E125" s="88" t="s">
        <v>219</v>
      </c>
      <c r="F125" s="84" t="e">
        <f ca="1">VLOOKUP($B125&amp;"_"&amp;$E125,OFFSET([2]stages!$A$1,0,0,COUNTA([2]stages!$A:$A),MATCH(F$1,[2]stages!$2:$2,0)-MATCH("temp_stage",[2]stages!$2:$2,0)+1),MATCH(F$1,[2]stages!$2:$2,0)-MATCH("temp_stage",[2]stages!$2:$2,0)+1,FALSE)</f>
        <v>#N/A</v>
      </c>
      <c r="G125" s="84" t="e">
        <f ca="1">VLOOKUP($B125&amp;"_"&amp;$E125,OFFSET([2]stages!$A$1,0,0,COUNTA([2]stages!$A:$A),MATCH(G$1,[2]stages!$2:$2,0)-MATCH("temp_stage",[2]stages!$2:$2,0)+1),MATCH(G$1,[2]stages!$2:$2,0)-MATCH("temp_stage",[2]stages!$2:$2,0)+1,FALSE)</f>
        <v>#N/A</v>
      </c>
      <c r="H125" s="86">
        <v>0</v>
      </c>
      <c r="I125">
        <v>21</v>
      </c>
      <c r="J125" s="85" t="s">
        <v>199</v>
      </c>
      <c r="K125" s="95" t="str">
        <f>VLOOKUP(I125,[7]stage_hints!$A:$C,3,FALSE)</f>
        <v>スキルを有効に</v>
      </c>
      <c r="L125" s="96" t="str">
        <f>VLOOKUP(I125,[7]stage_hints!$A:$D,4,FALSE)</f>
        <v>ターン経過でユニットのスキルが使えます_x000D_強力スキルでバトルを有利に進めましょう</v>
      </c>
      <c r="M125" s="57" t="s">
        <v>211</v>
      </c>
    </row>
    <row r="126" spans="1:13" x14ac:dyDescent="0.15">
      <c r="A126" s="82" t="s">
        <v>201</v>
      </c>
      <c r="B126" s="83">
        <f>floors!$C$2</f>
        <v>48703</v>
      </c>
      <c r="C126" s="84" t="str">
        <f ca="1">VLOOKUP($B126,OFFSET([2]quests!$A$1,0,0,COUNTA([2]quests!$A:$A),MATCH(C$1,[2]quests!$1:$1,0)-MATCH($B$1,[2]quests!$1:$1,0)+1),MATCH(C$1,[2]quests!$1:$1,0)-MATCH($B$1,[2]quests!$1:$1,0)+1,FALSE)</f>
        <v>紅蓮襲来！</v>
      </c>
      <c r="D126" s="84" t="str">
        <f ca="1">VLOOKUP($B126,OFFSET([2]quests!$A$1,0,0,COUNTA([2]quests!$A:$A),MATCH(D$1,[2]quests!$1:$1,0)-MATCH($B$1,[2]quests!$1:$1,0)+1),MATCH(D$1,[2]quests!$1:$1,0)-MATCH($B$1,[2]quests!$1:$1,0)+1,FALSE)</f>
        <v>韓国版降臨3</v>
      </c>
      <c r="E126" s="88" t="s">
        <v>219</v>
      </c>
      <c r="F126" s="84" t="e">
        <f ca="1">VLOOKUP($B126&amp;"_"&amp;$E126,OFFSET([2]stages!$A$1,0,0,COUNTA([2]stages!$A:$A),MATCH(F$1,[2]stages!$2:$2,0)-MATCH("temp_stage",[2]stages!$2:$2,0)+1),MATCH(F$1,[2]stages!$2:$2,0)-MATCH("temp_stage",[2]stages!$2:$2,0)+1,FALSE)</f>
        <v>#N/A</v>
      </c>
      <c r="G126" s="84" t="e">
        <f ca="1">VLOOKUP($B126&amp;"_"&amp;$E126,OFFSET([2]stages!$A$1,0,0,COUNTA([2]stages!$A:$A),MATCH(G$1,[2]stages!$2:$2,0)-MATCH("temp_stage",[2]stages!$2:$2,0)+1),MATCH(G$1,[2]stages!$2:$2,0)-MATCH("temp_stage",[2]stages!$2:$2,0)+1,FALSE)</f>
        <v>#N/A</v>
      </c>
      <c r="H126" s="86">
        <v>0</v>
      </c>
      <c r="I126">
        <v>29</v>
      </c>
      <c r="J126" s="85" t="s">
        <v>199</v>
      </c>
      <c r="K126" s="95" t="str">
        <f>VLOOKUP(I126,[7]stage_hints!$A:$C,3,FALSE)</f>
        <v>「バグ」のメリット</v>
      </c>
      <c r="L126" s="96" t="str">
        <f>VLOOKUP(I126,[7]stage_hints!$A:$D,4,FALSE)</f>
        <v>ユニットの「バグ」を増やすと_x000D_報酬をもらえる確率がアップします</v>
      </c>
      <c r="M126" s="57" t="s">
        <v>211</v>
      </c>
    </row>
    <row r="127" spans="1:13" x14ac:dyDescent="0.15">
      <c r="A127" s="82" t="s">
        <v>201</v>
      </c>
      <c r="B127" s="83">
        <f>floors!$C$2</f>
        <v>48703</v>
      </c>
      <c r="C127" s="84" t="str">
        <f ca="1">VLOOKUP($B127,OFFSET([2]quests!$A$1,0,0,COUNTA([2]quests!$A:$A),MATCH(C$1,[2]quests!$1:$1,0)-MATCH($B$1,[2]quests!$1:$1,0)+1),MATCH(C$1,[2]quests!$1:$1,0)-MATCH($B$1,[2]quests!$1:$1,0)+1,FALSE)</f>
        <v>紅蓮襲来！</v>
      </c>
      <c r="D127" s="84" t="str">
        <f ca="1">VLOOKUP($B127,OFFSET([2]quests!$A$1,0,0,COUNTA([2]quests!$A:$A),MATCH(D$1,[2]quests!$1:$1,0)-MATCH($B$1,[2]quests!$1:$1,0)+1),MATCH(D$1,[2]quests!$1:$1,0)-MATCH($B$1,[2]quests!$1:$1,0)+1,FALSE)</f>
        <v>韓国版降臨3</v>
      </c>
      <c r="E127" s="88" t="s">
        <v>219</v>
      </c>
      <c r="F127" s="84" t="e">
        <f ca="1">VLOOKUP($B127&amp;"_"&amp;$E127,OFFSET([2]stages!$A$1,0,0,COUNTA([2]stages!$A:$A),MATCH(F$1,[2]stages!$2:$2,0)-MATCH("temp_stage",[2]stages!$2:$2,0)+1),MATCH(F$1,[2]stages!$2:$2,0)-MATCH("temp_stage",[2]stages!$2:$2,0)+1,FALSE)</f>
        <v>#N/A</v>
      </c>
      <c r="G127" s="84" t="e">
        <f ca="1">VLOOKUP($B127&amp;"_"&amp;$E127,OFFSET([2]stages!$A$1,0,0,COUNTA([2]stages!$A:$A),MATCH(G$1,[2]stages!$2:$2,0)-MATCH("temp_stage",[2]stages!$2:$2,0)+1),MATCH(G$1,[2]stages!$2:$2,0)-MATCH("temp_stage",[2]stages!$2:$2,0)+1,FALSE)</f>
        <v>#N/A</v>
      </c>
      <c r="H127" s="86">
        <v>0</v>
      </c>
      <c r="I127">
        <v>30</v>
      </c>
      <c r="J127" s="85" t="s">
        <v>199</v>
      </c>
      <c r="K127" s="95" t="str">
        <f>VLOOKUP(I127,[7]stage_hints!$A:$C,3,FALSE)</f>
        <v>「バグ」の増やし方</v>
      </c>
      <c r="L127" s="96" t="str">
        <f>VLOOKUP(I127,[7]stage_hints!$A:$D,4,FALSE)</f>
        <v>同じユニット同士を強化で合成すると_x000D_「バグ」を増やすことができます</v>
      </c>
      <c r="M127" s="57" t="s">
        <v>211</v>
      </c>
    </row>
    <row r="128" spans="1:13" x14ac:dyDescent="0.15">
      <c r="A128" s="82" t="s">
        <v>201</v>
      </c>
      <c r="B128" s="83">
        <f>floors!$C$2</f>
        <v>48703</v>
      </c>
      <c r="C128" s="84" t="str">
        <f ca="1">VLOOKUP($B128,OFFSET([2]quests!$A$1,0,0,COUNTA([2]quests!$A:$A),MATCH(C$1,[2]quests!$1:$1,0)-MATCH($B$1,[2]quests!$1:$1,0)+1),MATCH(C$1,[2]quests!$1:$1,0)-MATCH($B$1,[2]quests!$1:$1,0)+1,FALSE)</f>
        <v>紅蓮襲来！</v>
      </c>
      <c r="D128" s="84" t="str">
        <f ca="1">VLOOKUP($B128,OFFSET([2]quests!$A$1,0,0,COUNTA([2]quests!$A:$A),MATCH(D$1,[2]quests!$1:$1,0)-MATCH($B$1,[2]quests!$1:$1,0)+1),MATCH(D$1,[2]quests!$1:$1,0)-MATCH($B$1,[2]quests!$1:$1,0)+1,FALSE)</f>
        <v>韓国版降臨3</v>
      </c>
      <c r="E128" s="88" t="s">
        <v>219</v>
      </c>
      <c r="F128" s="84" t="e">
        <f ca="1">VLOOKUP($B128&amp;"_"&amp;$E128,OFFSET([2]stages!$A$1,0,0,COUNTA([2]stages!$A:$A),MATCH(F$1,[2]stages!$2:$2,0)-MATCH("temp_stage",[2]stages!$2:$2,0)+1),MATCH(F$1,[2]stages!$2:$2,0)-MATCH("temp_stage",[2]stages!$2:$2,0)+1,FALSE)</f>
        <v>#N/A</v>
      </c>
      <c r="G128" s="84" t="e">
        <f ca="1">VLOOKUP($B128&amp;"_"&amp;$E128,OFFSET([2]stages!$A$1,0,0,COUNTA([2]stages!$A:$A),MATCH(G$1,[2]stages!$2:$2,0)-MATCH("temp_stage",[2]stages!$2:$2,0)+1),MATCH(G$1,[2]stages!$2:$2,0)-MATCH("temp_stage",[2]stages!$2:$2,0)+1,FALSE)</f>
        <v>#N/A</v>
      </c>
      <c r="H128" s="86">
        <v>0</v>
      </c>
      <c r="I128">
        <v>32</v>
      </c>
      <c r="J128" s="85" t="s">
        <v>199</v>
      </c>
      <c r="K128" s="95" t="str">
        <f>VLOOKUP(I128,[7]stage_hints!$A:$C,3,FALSE)</f>
        <v>敵の連続攻撃には</v>
      </c>
      <c r="L128" s="96" t="str">
        <f>VLOOKUP(I128,[7]stage_hints!$A:$D,4,FALSE)</f>
        <v>カウンタースキルを持つユニットがいれば_x000D_ダメージ回数分の反撃ができます</v>
      </c>
      <c r="M128" s="57" t="s">
        <v>211</v>
      </c>
    </row>
    <row r="129" spans="1:13" x14ac:dyDescent="0.15">
      <c r="A129" s="82" t="s">
        <v>201</v>
      </c>
      <c r="B129" s="83">
        <f>floors!$C$2</f>
        <v>48703</v>
      </c>
      <c r="C129" s="84" t="str">
        <f ca="1">VLOOKUP($B129,OFFSET([2]quests!$A$1,0,0,COUNTA([2]quests!$A:$A),MATCH(C$1,[2]quests!$1:$1,0)-MATCH($B$1,[2]quests!$1:$1,0)+1),MATCH(C$1,[2]quests!$1:$1,0)-MATCH($B$1,[2]quests!$1:$1,0)+1,FALSE)</f>
        <v>紅蓮襲来！</v>
      </c>
      <c r="D129" s="84" t="str">
        <f ca="1">VLOOKUP($B129,OFFSET([2]quests!$A$1,0,0,COUNTA([2]quests!$A:$A),MATCH(D$1,[2]quests!$1:$1,0)-MATCH($B$1,[2]quests!$1:$1,0)+1),MATCH(D$1,[2]quests!$1:$1,0)-MATCH($B$1,[2]quests!$1:$1,0)+1,FALSE)</f>
        <v>韓国版降臨3</v>
      </c>
      <c r="E129" s="88" t="s">
        <v>219</v>
      </c>
      <c r="F129" s="84" t="e">
        <f ca="1">VLOOKUP($B129&amp;"_"&amp;$E129,OFFSET([2]stages!$A$1,0,0,COUNTA([2]stages!$A:$A),MATCH(F$1,[2]stages!$2:$2,0)-MATCH("temp_stage",[2]stages!$2:$2,0)+1),MATCH(F$1,[2]stages!$2:$2,0)-MATCH("temp_stage",[2]stages!$2:$2,0)+1,FALSE)</f>
        <v>#N/A</v>
      </c>
      <c r="G129" s="84" t="e">
        <f ca="1">VLOOKUP($B129&amp;"_"&amp;$E129,OFFSET([2]stages!$A$1,0,0,COUNTA([2]stages!$A:$A),MATCH(G$1,[2]stages!$2:$2,0)-MATCH("temp_stage",[2]stages!$2:$2,0)+1),MATCH(G$1,[2]stages!$2:$2,0)-MATCH("temp_stage",[2]stages!$2:$2,0)+1,FALSE)</f>
        <v>#N/A</v>
      </c>
      <c r="H129" s="86">
        <v>0</v>
      </c>
      <c r="I129">
        <v>33</v>
      </c>
      <c r="J129" s="85" t="s">
        <v>199</v>
      </c>
      <c r="K129" s="95" t="str">
        <f>VLOOKUP(I129,[7]stage_hints!$A:$C,3,FALSE)</f>
        <v>敵のカウンター攻撃には</v>
      </c>
      <c r="L129" s="96" t="str">
        <f>VLOOKUP(I129,[7]stage_hints!$A:$D,4,FALSE)</f>
        <v>カウンターブレイクスキルを持っていれば_x000D_敵のカウンターを解除して攻撃ができます</v>
      </c>
      <c r="M129" s="57" t="s">
        <v>211</v>
      </c>
    </row>
    <row r="130" spans="1:13" x14ac:dyDescent="0.15">
      <c r="A130" s="82" t="s">
        <v>201</v>
      </c>
      <c r="B130" s="83">
        <f>floors!$C$2</f>
        <v>48703</v>
      </c>
      <c r="C130" s="84" t="str">
        <f ca="1">VLOOKUP($B130,OFFSET([2]quests!$A$1,0,0,COUNTA([2]quests!$A:$A),MATCH(C$1,[2]quests!$1:$1,0)-MATCH($B$1,[2]quests!$1:$1,0)+1),MATCH(C$1,[2]quests!$1:$1,0)-MATCH($B$1,[2]quests!$1:$1,0)+1,FALSE)</f>
        <v>紅蓮襲来！</v>
      </c>
      <c r="D130" s="84" t="str">
        <f ca="1">VLOOKUP($B130,OFFSET([2]quests!$A$1,0,0,COUNTA([2]quests!$A:$A),MATCH(D$1,[2]quests!$1:$1,0)-MATCH($B$1,[2]quests!$1:$1,0)+1),MATCH(D$1,[2]quests!$1:$1,0)-MATCH($B$1,[2]quests!$1:$1,0)+1,FALSE)</f>
        <v>韓国版降臨3</v>
      </c>
      <c r="E130" s="88" t="s">
        <v>219</v>
      </c>
      <c r="F130" s="84" t="e">
        <f ca="1">VLOOKUP($B130&amp;"_"&amp;$E130,OFFSET([2]stages!$A$1,0,0,COUNTA([2]stages!$A:$A),MATCH(F$1,[2]stages!$2:$2,0)-MATCH("temp_stage",[2]stages!$2:$2,0)+1),MATCH(F$1,[2]stages!$2:$2,0)-MATCH("temp_stage",[2]stages!$2:$2,0)+1,FALSE)</f>
        <v>#N/A</v>
      </c>
      <c r="G130" s="84" t="e">
        <f ca="1">VLOOKUP($B130&amp;"_"&amp;$E130,OFFSET([2]stages!$A$1,0,0,COUNTA([2]stages!$A:$A),MATCH(G$1,[2]stages!$2:$2,0)-MATCH("temp_stage",[2]stages!$2:$2,0)+1),MATCH(G$1,[2]stages!$2:$2,0)-MATCH("temp_stage",[2]stages!$2:$2,0)+1,FALSE)</f>
        <v>#N/A</v>
      </c>
      <c r="H130" s="86">
        <v>0</v>
      </c>
      <c r="I130">
        <v>34</v>
      </c>
      <c r="J130" s="85" t="s">
        <v>199</v>
      </c>
      <c r="K130" s="95" t="str">
        <f>VLOOKUP(I130,[7]stage_hints!$A:$C,3,FALSE)</f>
        <v>ステータスをスキルで下げられたら</v>
      </c>
      <c r="L130" s="96" t="str">
        <f>VLOOKUP(I130,[7]stage_hints!$A:$D,4,FALSE)</f>
        <v>ステータスダウンのスキルを受けたら_x000D_ステータスアップスキルで上書きしましょう</v>
      </c>
      <c r="M130" s="57" t="s">
        <v>211</v>
      </c>
    </row>
    <row r="131" spans="1:13" x14ac:dyDescent="0.15">
      <c r="A131" s="82" t="s">
        <v>201</v>
      </c>
      <c r="B131" s="83">
        <f>floors!$C$2</f>
        <v>48703</v>
      </c>
      <c r="C131" s="84" t="str">
        <f ca="1">VLOOKUP($B131,OFFSET([2]quests!$A$1,0,0,COUNTA([2]quests!$A:$A),MATCH(C$1,[2]quests!$1:$1,0)-MATCH($B$1,[2]quests!$1:$1,0)+1),MATCH(C$1,[2]quests!$1:$1,0)-MATCH($B$1,[2]quests!$1:$1,0)+1,FALSE)</f>
        <v>紅蓮襲来！</v>
      </c>
      <c r="D131" s="84" t="str">
        <f ca="1">VLOOKUP($B131,OFFSET([2]quests!$A$1,0,0,COUNTA([2]quests!$A:$A),MATCH(D$1,[2]quests!$1:$1,0)-MATCH($B$1,[2]quests!$1:$1,0)+1),MATCH(D$1,[2]quests!$1:$1,0)-MATCH($B$1,[2]quests!$1:$1,0)+1,FALSE)</f>
        <v>韓国版降臨3</v>
      </c>
      <c r="E131" s="88" t="s">
        <v>219</v>
      </c>
      <c r="F131" s="84" t="e">
        <f ca="1">VLOOKUP($B131&amp;"_"&amp;$E131,OFFSET([2]stages!$A$1,0,0,COUNTA([2]stages!$A:$A),MATCH(F$1,[2]stages!$2:$2,0)-MATCH("temp_stage",[2]stages!$2:$2,0)+1),MATCH(F$1,[2]stages!$2:$2,0)-MATCH("temp_stage",[2]stages!$2:$2,0)+1,FALSE)</f>
        <v>#N/A</v>
      </c>
      <c r="G131" s="84" t="e">
        <f ca="1">VLOOKUP($B131&amp;"_"&amp;$E131,OFFSET([2]stages!$A$1,0,0,COUNTA([2]stages!$A:$A),MATCH(G$1,[2]stages!$2:$2,0)-MATCH("temp_stage",[2]stages!$2:$2,0)+1),MATCH(G$1,[2]stages!$2:$2,0)-MATCH("temp_stage",[2]stages!$2:$2,0)+1,FALSE)</f>
        <v>#N/A</v>
      </c>
      <c r="H131" s="86">
        <v>0</v>
      </c>
      <c r="I131">
        <v>35</v>
      </c>
      <c r="J131" s="85" t="s">
        <v>199</v>
      </c>
      <c r="K131" s="95" t="str">
        <f>VLOOKUP(I131,[7]stage_hints!$A:$C,3,FALSE)</f>
        <v>敵のステータスがスキルで上がったら</v>
      </c>
      <c r="L131" s="96" t="str">
        <f>VLOOKUP(I131,[7]stage_hints!$A:$D,4,FALSE)</f>
        <v>敵のステータスがスキルでアップしたときは_x000D_ステータスダウンスキルで上書きしましょう</v>
      </c>
      <c r="M131" s="57" t="s">
        <v>211</v>
      </c>
    </row>
    <row r="132" spans="1:13" x14ac:dyDescent="0.15">
      <c r="A132" s="82" t="s">
        <v>201</v>
      </c>
      <c r="B132" s="83">
        <f>floors!$C$2</f>
        <v>48703</v>
      </c>
      <c r="C132" s="84" t="str">
        <f ca="1">VLOOKUP($B132,OFFSET([2]quests!$A$1,0,0,COUNTA([2]quests!$A:$A),MATCH(C$1,[2]quests!$1:$1,0)-MATCH($B$1,[2]quests!$1:$1,0)+1),MATCH(C$1,[2]quests!$1:$1,0)-MATCH($B$1,[2]quests!$1:$1,0)+1,FALSE)</f>
        <v>紅蓮襲来！</v>
      </c>
      <c r="D132" s="84" t="str">
        <f ca="1">VLOOKUP($B132,OFFSET([2]quests!$A$1,0,0,COUNTA([2]quests!$A:$A),MATCH(D$1,[2]quests!$1:$1,0)-MATCH($B$1,[2]quests!$1:$1,0)+1),MATCH(D$1,[2]quests!$1:$1,0)-MATCH($B$1,[2]quests!$1:$1,0)+1,FALSE)</f>
        <v>韓国版降臨3</v>
      </c>
      <c r="E132" s="88" t="s">
        <v>219</v>
      </c>
      <c r="F132" s="84" t="e">
        <f ca="1">VLOOKUP($B132&amp;"_"&amp;$E132,OFFSET([2]stages!$A$1,0,0,COUNTA([2]stages!$A:$A),MATCH(F$1,[2]stages!$2:$2,0)-MATCH("temp_stage",[2]stages!$2:$2,0)+1),MATCH(F$1,[2]stages!$2:$2,0)-MATCH("temp_stage",[2]stages!$2:$2,0)+1,FALSE)</f>
        <v>#N/A</v>
      </c>
      <c r="G132" s="84" t="e">
        <f ca="1">VLOOKUP($B132&amp;"_"&amp;$E132,OFFSET([2]stages!$A$1,0,0,COUNTA([2]stages!$A:$A),MATCH(G$1,[2]stages!$2:$2,0)-MATCH("temp_stage",[2]stages!$2:$2,0)+1),MATCH(G$1,[2]stages!$2:$2,0)-MATCH("temp_stage",[2]stages!$2:$2,0)+1,FALSE)</f>
        <v>#N/A</v>
      </c>
      <c r="H132" s="86">
        <v>0</v>
      </c>
      <c r="I132">
        <v>36</v>
      </c>
      <c r="J132" s="85" t="s">
        <v>199</v>
      </c>
      <c r="K132" s="95" t="str">
        <f>VLOOKUP(I132,[7]stage_hints!$A:$C,3,FALSE)</f>
        <v>タワーオブザクイーンのボス</v>
      </c>
      <c r="L132" s="96" t="str">
        <f>VLOOKUP(I132,[7]stage_hints!$A:$D,4,FALSE)</f>
        <v>「タワーオブザクイーン」最上階のボスは_x000D_15階の初回クリア報酬で獲得できるほか_x000D_その階にて低確率でドロップもします</v>
      </c>
      <c r="M132" s="57" t="s">
        <v>211</v>
      </c>
    </row>
    <row r="133" spans="1:13" x14ac:dyDescent="0.15">
      <c r="A133" s="82" t="s">
        <v>201</v>
      </c>
      <c r="B133" s="83">
        <f>floors!$C$2</f>
        <v>48703</v>
      </c>
      <c r="C133" s="84" t="str">
        <f ca="1">VLOOKUP($B133,OFFSET([2]quests!$A$1,0,0,COUNTA([2]quests!$A:$A),MATCH(C$1,[2]quests!$1:$1,0)-MATCH($B$1,[2]quests!$1:$1,0)+1),MATCH(C$1,[2]quests!$1:$1,0)-MATCH($B$1,[2]quests!$1:$1,0)+1,FALSE)</f>
        <v>紅蓮襲来！</v>
      </c>
      <c r="D133" s="84" t="str">
        <f ca="1">VLOOKUP($B133,OFFSET([2]quests!$A$1,0,0,COUNTA([2]quests!$A:$A),MATCH(D$1,[2]quests!$1:$1,0)-MATCH($B$1,[2]quests!$1:$1,0)+1),MATCH(D$1,[2]quests!$1:$1,0)-MATCH($B$1,[2]quests!$1:$1,0)+1,FALSE)</f>
        <v>韓国版降臨3</v>
      </c>
      <c r="E133" s="88" t="s">
        <v>219</v>
      </c>
      <c r="F133" s="84" t="e">
        <f ca="1">VLOOKUP($B133&amp;"_"&amp;$E133,OFFSET([2]stages!$A$1,0,0,COUNTA([2]stages!$A:$A),MATCH(F$1,[2]stages!$2:$2,0)-MATCH("temp_stage",[2]stages!$2:$2,0)+1),MATCH(F$1,[2]stages!$2:$2,0)-MATCH("temp_stage",[2]stages!$2:$2,0)+1,FALSE)</f>
        <v>#N/A</v>
      </c>
      <c r="G133" s="84" t="e">
        <f ca="1">VLOOKUP($B133&amp;"_"&amp;$E133,OFFSET([2]stages!$A$1,0,0,COUNTA([2]stages!$A:$A),MATCH(G$1,[2]stages!$2:$2,0)-MATCH("temp_stage",[2]stages!$2:$2,0)+1),MATCH(G$1,[2]stages!$2:$2,0)-MATCH("temp_stage",[2]stages!$2:$2,0)+1,FALSE)</f>
        <v>#N/A</v>
      </c>
      <c r="H133" s="86">
        <v>0</v>
      </c>
      <c r="I133">
        <v>37</v>
      </c>
      <c r="J133" s="85" t="s">
        <v>199</v>
      </c>
      <c r="K133" s="95" t="str">
        <f>VLOOKUP(I133,[7]stage_hints!$A:$C,3,FALSE)</f>
        <v>限界突破値の引き継ぎ</v>
      </c>
      <c r="L133" s="96" t="str">
        <f>VLOOKUP(I133,[7]stage_hints!$A:$D,4,FALSE)</f>
        <v>同じユニットを強化で合成すると_x000D_限界突破値を引き継げます（覚醒前後も可）</v>
      </c>
      <c r="M133" s="57" t="s">
        <v>211</v>
      </c>
    </row>
    <row r="134" spans="1:13" x14ac:dyDescent="0.15">
      <c r="A134" s="82" t="s">
        <v>201</v>
      </c>
      <c r="B134" s="83">
        <f>floors!$C$2</f>
        <v>48703</v>
      </c>
      <c r="C134" s="84" t="str">
        <f ca="1">VLOOKUP($B134,OFFSET([2]quests!$A$1,0,0,COUNTA([2]quests!$A:$A),MATCH(C$1,[2]quests!$1:$1,0)-MATCH($B$1,[2]quests!$1:$1,0)+1),MATCH(C$1,[2]quests!$1:$1,0)-MATCH($B$1,[2]quests!$1:$1,0)+1,FALSE)</f>
        <v>紅蓮襲来！</v>
      </c>
      <c r="D134" s="84" t="str">
        <f ca="1">VLOOKUP($B134,OFFSET([2]quests!$A$1,0,0,COUNTA([2]quests!$A:$A),MATCH(D$1,[2]quests!$1:$1,0)-MATCH($B$1,[2]quests!$1:$1,0)+1),MATCH(D$1,[2]quests!$1:$1,0)-MATCH($B$1,[2]quests!$1:$1,0)+1,FALSE)</f>
        <v>韓国版降臨3</v>
      </c>
      <c r="E134" s="88" t="s">
        <v>219</v>
      </c>
      <c r="F134" s="84" t="e">
        <f ca="1">VLOOKUP($B134&amp;"_"&amp;$E134,OFFSET([2]stages!$A$1,0,0,COUNTA([2]stages!$A:$A),MATCH(F$1,[2]stages!$2:$2,0)-MATCH("temp_stage",[2]stages!$2:$2,0)+1),MATCH(F$1,[2]stages!$2:$2,0)-MATCH("temp_stage",[2]stages!$2:$2,0)+1,FALSE)</f>
        <v>#N/A</v>
      </c>
      <c r="G134" s="84" t="e">
        <f ca="1">VLOOKUP($B134&amp;"_"&amp;$E134,OFFSET([2]stages!$A$1,0,0,COUNTA([2]stages!$A:$A),MATCH(G$1,[2]stages!$2:$2,0)-MATCH("temp_stage",[2]stages!$2:$2,0)+1),MATCH(G$1,[2]stages!$2:$2,0)-MATCH("temp_stage",[2]stages!$2:$2,0)+1,FALSE)</f>
        <v>#N/A</v>
      </c>
      <c r="H134" s="86">
        <v>0</v>
      </c>
      <c r="I134">
        <v>39</v>
      </c>
      <c r="J134" s="85" t="s">
        <v>199</v>
      </c>
      <c r="K134" s="95" t="str">
        <f>VLOOKUP(I134,[7]stage_hints!$A:$C,3,FALSE)</f>
        <v>システム適合者を確認</v>
      </c>
      <c r="L134" s="96" t="str">
        <f>VLOOKUP(I134,[7]stage_hints!$A:$D,4,FALSE)</f>
        <v>ALICEが 「アナタ」を呼んでいます</v>
      </c>
      <c r="M134" s="57" t="s">
        <v>211</v>
      </c>
    </row>
  </sheetData>
  <phoneticPr fontId="5"/>
  <dataValidations count="1">
    <dataValidation type="list" allowBlank="1" showInputMessage="1" showErrorMessage="1" sqref="A2:A13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2"/>
  <sheetViews>
    <sheetView showGridLines="0" workbookViewId="0">
      <pane ySplit="1" topLeftCell="A2" activePane="bottomLeft" state="frozen"/>
      <selection pane="bottomLeft" activeCell="J22" sqref="J22"/>
    </sheetView>
  </sheetViews>
  <sheetFormatPr baseColWidth="12" defaultColWidth="13" defaultRowHeight="15" outlineLevelCol="1" x14ac:dyDescent="0.15"/>
  <cols>
    <col min="1" max="1" width="13" style="90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7" t="s">
        <v>189</v>
      </c>
      <c r="B1" s="74" t="s">
        <v>150</v>
      </c>
      <c r="C1" s="78" t="s">
        <v>191</v>
      </c>
      <c r="D1" s="78" t="s">
        <v>33</v>
      </c>
      <c r="E1" s="74" t="s">
        <v>192</v>
      </c>
      <c r="F1" s="78" t="s">
        <v>18</v>
      </c>
      <c r="G1" s="78" t="s">
        <v>33</v>
      </c>
      <c r="H1" s="74" t="s">
        <v>194</v>
      </c>
      <c r="I1" s="91" t="s">
        <v>195</v>
      </c>
      <c r="J1" s="93" t="s">
        <v>196</v>
      </c>
      <c r="K1" s="80" t="s">
        <v>126</v>
      </c>
      <c r="L1" s="79" t="s">
        <v>187</v>
      </c>
      <c r="M1" s="94" t="s">
        <v>186</v>
      </c>
      <c r="N1" s="81" t="s">
        <v>197</v>
      </c>
    </row>
    <row r="2" spans="1:14" x14ac:dyDescent="0.15">
      <c r="A2" s="82" t="s">
        <v>198</v>
      </c>
      <c r="B2" s="83">
        <f>floors!$C$2</f>
        <v>48703</v>
      </c>
      <c r="C2" s="84" t="str">
        <f ca="1">VLOOKUP($B2,OFFSET([2]quests!$A$1,0,0,COUNTA([2]quests!$A:$A),MATCH(C$1,[2]quests!$1:$1,0)-MATCH($B$1,[2]quests!$1:$1,0)+1),MATCH(C$1,[2]quests!$1:$1,0)-MATCH($B$1,[2]quests!$1:$1,0)+1,FALSE)</f>
        <v>紅蓮襲来！</v>
      </c>
      <c r="D2" s="84" t="str">
        <f ca="1">VLOOKUP($B2,OFFSET([2]quests!$A$1,0,0,COUNTA([2]quests!$A:$A),MATCH(D$1,[2]quests!$1:$1,0)-MATCH($B$1,[2]quests!$1:$1,0)+1),MATCH(D$1,[2]quests!$1:$1,0)-MATCH($B$1,[2]quests!$1:$1,0)+1,FALSE)</f>
        <v>韓国版降臨3</v>
      </c>
      <c r="E2" s="85">
        <v>99</v>
      </c>
      <c r="F2" s="84" t="e">
        <f ca="1">VLOOKUP($B2&amp;"_"&amp;$E2,OFFSET([2]stages!$A$1,0,0,COUNTA([2]stages!$A:$A),MATCH(F$1,[2]stages!$2:$2,0)-MATCH("temp_stage",[2]stages!$2:$2,0)+1),MATCH(F$1,[2]stages!$2:$2,0)-MATCH("temp_stage",[2]stages!$2:$2,0)+1,FALSE)</f>
        <v>#N/A</v>
      </c>
      <c r="G2" s="84" t="e">
        <f ca="1">VLOOKUP($B2&amp;"_"&amp;$E2,OFFSET([2]stages!$A$1,0,0,COUNTA([2]stages!$A:$A),MATCH(G$1,[2]stages!$2:$2,0)-MATCH("temp_stage",[2]stages!$2:$2,0)+1),MATCH(G$1,[2]stages!$2:$2,0)-MATCH("temp_stage",[2]stages!$2:$2,0)+1,FALSE)</f>
        <v>#N/A</v>
      </c>
      <c r="H2" s="86">
        <v>99</v>
      </c>
      <c r="I2" s="92">
        <f>ROW()-1</f>
        <v>1</v>
      </c>
      <c r="J2" s="87" t="str">
        <f>B2&amp;TEXT(I2,"00")</f>
        <v>4870301</v>
      </c>
      <c r="K2" s="85" t="s">
        <v>199</v>
      </c>
      <c r="L2" s="88" t="s">
        <v>263</v>
      </c>
      <c r="M2" s="89"/>
      <c r="N2" s="57" t="s">
        <v>200</v>
      </c>
    </row>
  </sheetData>
  <phoneticPr fontId="5"/>
  <dataValidations count="1">
    <dataValidation type="list" allowBlank="1" showInputMessage="1" showErrorMessage="1" sqref="A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L7" sqref="L7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9" t="s">
        <v>220</v>
      </c>
      <c r="B1" s="100" t="s">
        <v>221</v>
      </c>
      <c r="C1" s="78" t="s">
        <v>222</v>
      </c>
      <c r="D1" s="78" t="s">
        <v>33</v>
      </c>
      <c r="E1" s="100" t="s">
        <v>223</v>
      </c>
      <c r="F1" s="78" t="s">
        <v>224</v>
      </c>
      <c r="G1" s="78" t="s">
        <v>33</v>
      </c>
      <c r="H1" s="100" t="s">
        <v>225</v>
      </c>
      <c r="I1" s="100" t="s">
        <v>226</v>
      </c>
      <c r="J1" s="100" t="s">
        <v>227</v>
      </c>
      <c r="K1" s="74" t="s">
        <v>228</v>
      </c>
      <c r="L1" s="74" t="s">
        <v>229</v>
      </c>
      <c r="M1" s="74" t="s">
        <v>156</v>
      </c>
      <c r="N1" s="78" t="s">
        <v>16</v>
      </c>
      <c r="O1" s="74" t="s">
        <v>230</v>
      </c>
      <c r="P1" s="74" t="s">
        <v>57</v>
      </c>
      <c r="Q1" s="74" t="s">
        <v>231</v>
      </c>
      <c r="R1" s="74" t="s">
        <v>38</v>
      </c>
      <c r="S1" s="74" t="s">
        <v>40</v>
      </c>
      <c r="T1" s="74" t="s">
        <v>42</v>
      </c>
      <c r="U1" s="74" t="s">
        <v>44</v>
      </c>
      <c r="V1" s="74" t="s">
        <v>46</v>
      </c>
      <c r="W1" s="74" t="s">
        <v>232</v>
      </c>
      <c r="X1" s="74" t="s">
        <v>233</v>
      </c>
    </row>
    <row r="2" spans="1:24" x14ac:dyDescent="0.15">
      <c r="A2" s="101" t="str">
        <f>B2&amp;"_"&amp;E2&amp;"_"&amp;H2&amp;"_"&amp;I2&amp;"_"&amp;J2</f>
        <v>48703_7_everyone_clear_1</v>
      </c>
      <c r="B2" s="83">
        <v>48703</v>
      </c>
      <c r="C2" s="84" t="str">
        <f ca="1">VLOOKUP($B2,OFFSET([2]quests!$A$1,0,0,COUNTA([2]quests!$A:$A),MATCH(C$1,[2]quests!$1:$1,0)-MATCH($B$1,[2]quests!$1:$1,0)+1),MATCH(C$1,[2]quests!$1:$1,0)-MATCH($B$1,[2]quests!$1:$1,0)+1,FALSE)</f>
        <v>紅蓮襲来！</v>
      </c>
      <c r="D2" s="84" t="str">
        <f ca="1">VLOOKUP($B2,OFFSET([2]quests!$A$1,0,0,COUNTA([2]quests!$A:$A),MATCH(D$1,[2]quests!$1:$1,0)-MATCH($B$1,[2]quests!$1:$1,0)+1),MATCH(D$1,[2]quests!$1:$1,0)-MATCH($B$1,[2]quests!$1:$1,0)+1,FALSE)</f>
        <v>韓国版降臨3</v>
      </c>
      <c r="E2" s="85">
        <v>7</v>
      </c>
      <c r="F2" s="84" t="e">
        <f ca="1">VLOOKUP($B2&amp;"_"&amp;$E2,OFFSET([2]stages!$A$1,0,0,COUNTA([2]stages!$A:$A),MATCH(F$1,[2]stages!$2:$2,0)-MATCH("temp_stage",[2]stages!$2:$2,0)+1),MATCH(F$1,[2]stages!$2:$2,0)-MATCH("temp_stage",[2]stages!$2:$2,0)+1,FALSE)</f>
        <v>#N/A</v>
      </c>
      <c r="G2" s="84" t="e">
        <f ca="1">VLOOKUP($B2&amp;"_"&amp;$E2,OFFSET([2]stages!$A$1,0,0,COUNTA([2]stages!$A:$A),MATCH(G$1,[2]stages!$2:$2,0)-MATCH("temp_stage",[2]stages!$2:$2,0)+1),MATCH(G$1,[2]stages!$2:$2,0)-MATCH("temp_stage",[2]stages!$2:$2,0)+1,FALSE)</f>
        <v>#N/A</v>
      </c>
      <c r="H2" s="86" t="s">
        <v>234</v>
      </c>
      <c r="I2" s="85" t="s">
        <v>235</v>
      </c>
      <c r="J2" s="85">
        <v>1</v>
      </c>
      <c r="K2" s="85">
        <v>610</v>
      </c>
      <c r="L2" s="85" t="s">
        <v>236</v>
      </c>
      <c r="M2" s="85">
        <v>334</v>
      </c>
      <c r="N2" s="102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炎のメタルダック</v>
      </c>
      <c r="O2" s="85">
        <v>1</v>
      </c>
      <c r="P2" s="85">
        <v>1</v>
      </c>
      <c r="Q2" s="85">
        <v>1</v>
      </c>
      <c r="R2" s="85">
        <v>0</v>
      </c>
      <c r="S2" s="85">
        <v>0</v>
      </c>
      <c r="T2" s="85">
        <v>0</v>
      </c>
      <c r="U2" s="85">
        <v>0</v>
      </c>
      <c r="V2" s="85">
        <v>1</v>
      </c>
      <c r="W2" s="103" t="s">
        <v>237</v>
      </c>
      <c r="X2" s="104" t="s">
        <v>238</v>
      </c>
    </row>
    <row r="3" spans="1:24" x14ac:dyDescent="0.15">
      <c r="A3" s="101" t="str">
        <f>B3&amp;"_"&amp;E3&amp;"_"&amp;H3&amp;"_"&amp;I3&amp;"_"&amp;J3</f>
        <v>48703_7_everyone_no_continue_1</v>
      </c>
      <c r="B3" s="83">
        <v>48703</v>
      </c>
      <c r="C3" s="84" t="str">
        <f ca="1">VLOOKUP($B3,OFFSET([2]quests!$A$1,0,0,COUNTA([2]quests!$A:$A),MATCH(C$1,[2]quests!$1:$1,0)-MATCH($B$1,[2]quests!$1:$1,0)+1),MATCH(C$1,[2]quests!$1:$1,0)-MATCH($B$1,[2]quests!$1:$1,0)+1,FALSE)</f>
        <v>紅蓮襲来！</v>
      </c>
      <c r="D3" s="84" t="str">
        <f ca="1">VLOOKUP($B3,OFFSET([2]quests!$A$1,0,0,COUNTA([2]quests!$A:$A),MATCH(D$1,[2]quests!$1:$1,0)-MATCH($B$1,[2]quests!$1:$1,0)+1),MATCH(D$1,[2]quests!$1:$1,0)-MATCH($B$1,[2]quests!$1:$1,0)+1,FALSE)</f>
        <v>韓国版降臨3</v>
      </c>
      <c r="E3" s="85">
        <v>7</v>
      </c>
      <c r="F3" s="84" t="e">
        <f ca="1">VLOOKUP($B3&amp;"_"&amp;$E3,OFFSET([2]stages!$A$1,0,0,COUNTA([2]stages!$A:$A),MATCH(F$1,[2]stages!$2:$2,0)-MATCH("temp_stage",[2]stages!$2:$2,0)+1),MATCH(F$1,[2]stages!$2:$2,0)-MATCH("temp_stage",[2]stages!$2:$2,0)+1,FALSE)</f>
        <v>#N/A</v>
      </c>
      <c r="G3" s="84" t="e">
        <f ca="1">VLOOKUP($B3&amp;"_"&amp;$E3,OFFSET([2]stages!$A$1,0,0,COUNTA([2]stages!$A:$A),MATCH(G$1,[2]stages!$2:$2,0)-MATCH("temp_stage",[2]stages!$2:$2,0)+1),MATCH(G$1,[2]stages!$2:$2,0)-MATCH("temp_stage",[2]stages!$2:$2,0)+1,FALSE)</f>
        <v>#N/A</v>
      </c>
      <c r="H3" s="86" t="s">
        <v>234</v>
      </c>
      <c r="I3" s="85" t="s">
        <v>239</v>
      </c>
      <c r="J3" s="85">
        <v>1</v>
      </c>
      <c r="K3" s="85">
        <v>610</v>
      </c>
      <c r="L3" s="85" t="s">
        <v>236</v>
      </c>
      <c r="M3" s="85">
        <v>334</v>
      </c>
      <c r="N3" s="102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炎のメタルダック</v>
      </c>
      <c r="O3" s="85">
        <v>1</v>
      </c>
      <c r="P3" s="85">
        <v>1</v>
      </c>
      <c r="Q3" s="85">
        <v>1</v>
      </c>
      <c r="R3" s="85">
        <v>0</v>
      </c>
      <c r="S3" s="85">
        <v>0</v>
      </c>
      <c r="T3" s="85">
        <v>0</v>
      </c>
      <c r="U3" s="85">
        <v>0</v>
      </c>
      <c r="V3" s="85">
        <v>1</v>
      </c>
      <c r="W3" s="103" t="s">
        <v>237</v>
      </c>
      <c r="X3" s="104" t="s">
        <v>238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2017-06-08T09:24:53Z</dcterms:modified>
</cp:coreProperties>
</file>