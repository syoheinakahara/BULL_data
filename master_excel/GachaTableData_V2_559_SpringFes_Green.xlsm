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109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obaryosuke/Documents/BULL_data/master_excel/"/>
    </mc:Choice>
  </mc:AlternateContent>
  <bookViews>
    <workbookView xWindow="-4320" yWindow="-21140" windowWidth="38400" windowHeight="21140" tabRatio="943" activeTab="2"/>
  </bookViews>
  <sheets>
    <sheet name="確率の考え方" sheetId="110" r:id="rId1"/>
    <sheet name="Sheet1" sheetId="107" r:id="rId2"/>
    <sheet name="output" sheetId="103" r:id="rId3"/>
    <sheet name="input_559100" sheetId="157" r:id="rId4"/>
    <sheet name="tables_559100" sheetId="158" r:id="rId5"/>
    <sheet name="tables_settle_559100" sheetId="159" r:id="rId6"/>
    <sheet name="gacha_bonus_tables" sheetId="98" r:id="rId7"/>
    <sheet name="R6追加前" sheetId="111" r:id="rId8"/>
    <sheet name="R6開放" sheetId="112" r:id="rId9"/>
  </sheets>
  <externalReferences>
    <externalReference r:id="rId10"/>
  </externalReferences>
  <definedNames>
    <definedName name="_xlnm._FilterDatabase" localSheetId="6" hidden="1">gacha_bonus_tables!$A$1:$F$1</definedName>
    <definedName name="_xlnm._FilterDatabase" localSheetId="4" hidden="1">tables_559100!$A$1:$V$359</definedName>
    <definedName name="_xlnm._FilterDatabase" localSheetId="5" hidden="1">tables_settle_559100!$A$1:$V$158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31" i="157" l="1"/>
  <c r="C30" i="157"/>
  <c r="I2" i="159"/>
  <c r="D2" i="159"/>
  <c r="I3" i="159"/>
  <c r="D3" i="159"/>
  <c r="I4" i="159"/>
  <c r="D4" i="159"/>
  <c r="I5" i="159"/>
  <c r="D5" i="159"/>
  <c r="I6" i="159"/>
  <c r="D6" i="159"/>
  <c r="I7" i="159"/>
  <c r="D7" i="159"/>
  <c r="I8" i="159"/>
  <c r="D8" i="159"/>
  <c r="I9" i="159"/>
  <c r="D9" i="159"/>
  <c r="I10" i="159"/>
  <c r="D10" i="159"/>
  <c r="I11" i="159"/>
  <c r="D11" i="159"/>
  <c r="I12" i="159"/>
  <c r="D12" i="159"/>
  <c r="I13" i="159"/>
  <c r="D13" i="159"/>
  <c r="I14" i="159"/>
  <c r="D14" i="159"/>
  <c r="I15" i="159"/>
  <c r="D15" i="159"/>
  <c r="I16" i="159"/>
  <c r="D16" i="159"/>
  <c r="I17" i="159"/>
  <c r="D17" i="159"/>
  <c r="I18" i="159"/>
  <c r="D18" i="159"/>
  <c r="I19" i="159"/>
  <c r="D19" i="159"/>
  <c r="I20" i="159"/>
  <c r="D20" i="159"/>
  <c r="I21" i="159"/>
  <c r="D21" i="159"/>
  <c r="I22" i="159"/>
  <c r="D22" i="159"/>
  <c r="I23" i="159"/>
  <c r="D23" i="159"/>
  <c r="I24" i="159"/>
  <c r="D24" i="159"/>
  <c r="I25" i="159"/>
  <c r="D25" i="159"/>
  <c r="I26" i="159"/>
  <c r="D26" i="159"/>
  <c r="I27" i="159"/>
  <c r="D27" i="159"/>
  <c r="I28" i="159"/>
  <c r="D28" i="159"/>
  <c r="I29" i="159"/>
  <c r="D29" i="159"/>
  <c r="I30" i="159"/>
  <c r="D30" i="159"/>
  <c r="I31" i="159"/>
  <c r="D31" i="159"/>
  <c r="I32" i="159"/>
  <c r="D32" i="159"/>
  <c r="I33" i="159"/>
  <c r="D33" i="159"/>
  <c r="I34" i="159"/>
  <c r="D34" i="159"/>
  <c r="I35" i="159"/>
  <c r="D35" i="159"/>
  <c r="I36" i="159"/>
  <c r="D36" i="159"/>
  <c r="I37" i="159"/>
  <c r="D37" i="159"/>
  <c r="I38" i="159"/>
  <c r="D38" i="159"/>
  <c r="I39" i="159"/>
  <c r="D39" i="159"/>
  <c r="I40" i="159"/>
  <c r="D40" i="159"/>
  <c r="I41" i="159"/>
  <c r="D41" i="159"/>
  <c r="I42" i="159"/>
  <c r="D42" i="159"/>
  <c r="I43" i="159"/>
  <c r="D43" i="159"/>
  <c r="I44" i="159"/>
  <c r="D44" i="159"/>
  <c r="I45" i="159"/>
  <c r="D45" i="159"/>
  <c r="I46" i="159"/>
  <c r="D46" i="159"/>
  <c r="I47" i="159"/>
  <c r="D47" i="159"/>
  <c r="I48" i="159"/>
  <c r="D48" i="159"/>
  <c r="I49" i="159"/>
  <c r="D49" i="159"/>
  <c r="I50" i="159"/>
  <c r="D50" i="159"/>
  <c r="I51" i="159"/>
  <c r="D51" i="159"/>
  <c r="I52" i="159"/>
  <c r="D52" i="159"/>
  <c r="I53" i="159"/>
  <c r="D53" i="159"/>
  <c r="I54" i="159"/>
  <c r="D54" i="159"/>
  <c r="I55" i="159"/>
  <c r="D55" i="159"/>
  <c r="I56" i="159"/>
  <c r="D56" i="159"/>
  <c r="I57" i="159"/>
  <c r="D57" i="159"/>
  <c r="I58" i="159"/>
  <c r="D58" i="159"/>
  <c r="I59" i="159"/>
  <c r="D59" i="159"/>
  <c r="I60" i="159"/>
  <c r="D60" i="159"/>
  <c r="I61" i="159"/>
  <c r="D61" i="159"/>
  <c r="I62" i="159"/>
  <c r="D62" i="159"/>
  <c r="I63" i="159"/>
  <c r="D63" i="159"/>
  <c r="I64" i="159"/>
  <c r="D64" i="159"/>
  <c r="I65" i="159"/>
  <c r="D65" i="159"/>
  <c r="I66" i="159"/>
  <c r="J66" i="159"/>
  <c r="D66" i="159"/>
  <c r="I67" i="159"/>
  <c r="J67" i="159"/>
  <c r="D67" i="159"/>
  <c r="I68" i="159"/>
  <c r="J68" i="159"/>
  <c r="D68" i="159"/>
  <c r="I69" i="159"/>
  <c r="J69" i="159"/>
  <c r="D69" i="159"/>
  <c r="I70" i="159"/>
  <c r="J70" i="159"/>
  <c r="D70" i="159"/>
  <c r="I71" i="159"/>
  <c r="J71" i="159"/>
  <c r="D71" i="159"/>
  <c r="I72" i="159"/>
  <c r="D72" i="159"/>
  <c r="I73" i="159"/>
  <c r="D73" i="159"/>
  <c r="I74" i="159"/>
  <c r="D74" i="159"/>
  <c r="I75" i="159"/>
  <c r="D75" i="159"/>
  <c r="I76" i="159"/>
  <c r="D76" i="159"/>
  <c r="I77" i="159"/>
  <c r="D77" i="159"/>
  <c r="I78" i="159"/>
  <c r="D78" i="159"/>
  <c r="I79" i="159"/>
  <c r="D79" i="159"/>
  <c r="I80" i="159"/>
  <c r="D80" i="159"/>
  <c r="I81" i="159"/>
  <c r="D81" i="159"/>
  <c r="I82" i="159"/>
  <c r="D82" i="159"/>
  <c r="I83" i="159"/>
  <c r="D83" i="159"/>
  <c r="I84" i="159"/>
  <c r="D84" i="159"/>
  <c r="I85" i="159"/>
  <c r="D85" i="159"/>
  <c r="I86" i="159"/>
  <c r="D86" i="159"/>
  <c r="I87" i="159"/>
  <c r="D87" i="159"/>
  <c r="I88" i="159"/>
  <c r="D88" i="159"/>
  <c r="I89" i="159"/>
  <c r="D89" i="159"/>
  <c r="I90" i="159"/>
  <c r="D90" i="159"/>
  <c r="I91" i="159"/>
  <c r="D91" i="159"/>
  <c r="I92" i="159"/>
  <c r="D92" i="159"/>
  <c r="I93" i="159"/>
  <c r="D93" i="159"/>
  <c r="I94" i="159"/>
  <c r="D94" i="159"/>
  <c r="I95" i="159"/>
  <c r="D95" i="159"/>
  <c r="I96" i="159"/>
  <c r="D96" i="159"/>
  <c r="I97" i="159"/>
  <c r="D97" i="159"/>
  <c r="I98" i="159"/>
  <c r="D98" i="159"/>
  <c r="I99" i="159"/>
  <c r="D99" i="159"/>
  <c r="I100" i="159"/>
  <c r="D100" i="159"/>
  <c r="I101" i="159"/>
  <c r="D101" i="159"/>
  <c r="I102" i="159"/>
  <c r="D102" i="159"/>
  <c r="I103" i="159"/>
  <c r="D103" i="159"/>
  <c r="I104" i="159"/>
  <c r="D104" i="159"/>
  <c r="I105" i="159"/>
  <c r="D105" i="159"/>
  <c r="I106" i="159"/>
  <c r="D106" i="159"/>
  <c r="I107" i="159"/>
  <c r="D107" i="159"/>
  <c r="I108" i="159"/>
  <c r="D108" i="159"/>
  <c r="I109" i="159"/>
  <c r="D109" i="159"/>
  <c r="I110" i="159"/>
  <c r="D110" i="159"/>
  <c r="I111" i="159"/>
  <c r="D111" i="159"/>
  <c r="I112" i="159"/>
  <c r="D112" i="159"/>
  <c r="I113" i="159"/>
  <c r="D113" i="159"/>
  <c r="I114" i="159"/>
  <c r="D114" i="159"/>
  <c r="I115" i="159"/>
  <c r="D115" i="159"/>
  <c r="I116" i="159"/>
  <c r="D116" i="159"/>
  <c r="I117" i="159"/>
  <c r="D117" i="159"/>
  <c r="I118" i="159"/>
  <c r="D118" i="159"/>
  <c r="I119" i="159"/>
  <c r="D119" i="159"/>
  <c r="I120" i="159"/>
  <c r="D120" i="159"/>
  <c r="I121" i="159"/>
  <c r="D121" i="159"/>
  <c r="I122" i="159"/>
  <c r="D122" i="159"/>
  <c r="I123" i="159"/>
  <c r="D123" i="159"/>
  <c r="I124" i="159"/>
  <c r="D124" i="159"/>
  <c r="I125" i="159"/>
  <c r="D125" i="159"/>
  <c r="I126" i="159"/>
  <c r="D126" i="159"/>
  <c r="I127" i="159"/>
  <c r="D127" i="159"/>
  <c r="I128" i="159"/>
  <c r="D128" i="159"/>
  <c r="I129" i="159"/>
  <c r="D129" i="159"/>
  <c r="I130" i="159"/>
  <c r="D130" i="159"/>
  <c r="I131" i="159"/>
  <c r="D131" i="159"/>
  <c r="I132" i="159"/>
  <c r="D132" i="159"/>
  <c r="I133" i="159"/>
  <c r="D133" i="159"/>
  <c r="I134" i="159"/>
  <c r="D134" i="159"/>
  <c r="I135" i="159"/>
  <c r="D135" i="159"/>
  <c r="I136" i="159"/>
  <c r="D136" i="159"/>
  <c r="I137" i="159"/>
  <c r="D137" i="159"/>
  <c r="I138" i="159"/>
  <c r="D138" i="159"/>
  <c r="I139" i="159"/>
  <c r="D139" i="159"/>
  <c r="I140" i="159"/>
  <c r="D140" i="159"/>
  <c r="I141" i="159"/>
  <c r="D141" i="159"/>
  <c r="I142" i="159"/>
  <c r="D142" i="159"/>
  <c r="I143" i="159"/>
  <c r="D143" i="159"/>
  <c r="I144" i="159"/>
  <c r="D144" i="159"/>
  <c r="I145" i="159"/>
  <c r="D145" i="159"/>
  <c r="I146" i="159"/>
  <c r="D146" i="159"/>
  <c r="I147" i="159"/>
  <c r="D147" i="159"/>
  <c r="I148" i="159"/>
  <c r="D148" i="159"/>
  <c r="I149" i="159"/>
  <c r="D149" i="159"/>
  <c r="I150" i="159"/>
  <c r="D150" i="159"/>
  <c r="I151" i="159"/>
  <c r="D151" i="159"/>
  <c r="I152" i="159"/>
  <c r="D152" i="159"/>
  <c r="I153" i="159"/>
  <c r="D153" i="159"/>
  <c r="I154" i="159"/>
  <c r="D154" i="159"/>
  <c r="I155" i="159"/>
  <c r="D155" i="159"/>
  <c r="I156" i="159"/>
  <c r="D156" i="159"/>
  <c r="I157" i="159"/>
  <c r="D157" i="159"/>
  <c r="I158" i="159"/>
  <c r="D158" i="159"/>
  <c r="X2" i="159"/>
  <c r="X3" i="159"/>
  <c r="X4" i="159"/>
  <c r="X5" i="159"/>
  <c r="Y2" i="159"/>
  <c r="Y4" i="159"/>
  <c r="Y3" i="159"/>
  <c r="O4" i="159"/>
  <c r="O3" i="159"/>
  <c r="O2" i="159"/>
  <c r="O158" i="159"/>
  <c r="O5" i="159"/>
  <c r="O6" i="159"/>
  <c r="O7" i="159"/>
  <c r="O8" i="159"/>
  <c r="O9" i="159"/>
  <c r="O10" i="159"/>
  <c r="O11" i="159"/>
  <c r="O12" i="159"/>
  <c r="O13" i="159"/>
  <c r="O14" i="159"/>
  <c r="O15" i="159"/>
  <c r="O16" i="159"/>
  <c r="O17" i="159"/>
  <c r="O18" i="159"/>
  <c r="O19" i="159"/>
  <c r="O20" i="159"/>
  <c r="O21" i="159"/>
  <c r="O22" i="159"/>
  <c r="O23" i="159"/>
  <c r="O24" i="159"/>
  <c r="O25" i="159"/>
  <c r="O26" i="159"/>
  <c r="O27" i="159"/>
  <c r="O28" i="159"/>
  <c r="O29" i="159"/>
  <c r="O30" i="159"/>
  <c r="O31" i="159"/>
  <c r="O32" i="159"/>
  <c r="O33" i="159"/>
  <c r="O34" i="159"/>
  <c r="O35" i="159"/>
  <c r="O36" i="159"/>
  <c r="O37" i="159"/>
  <c r="O38" i="159"/>
  <c r="O39" i="159"/>
  <c r="O40" i="159"/>
  <c r="O41" i="159"/>
  <c r="O42" i="159"/>
  <c r="O43" i="159"/>
  <c r="O44" i="159"/>
  <c r="O45" i="159"/>
  <c r="O46" i="159"/>
  <c r="O47" i="159"/>
  <c r="O48" i="159"/>
  <c r="O49" i="159"/>
  <c r="O50" i="159"/>
  <c r="O51" i="159"/>
  <c r="O52" i="159"/>
  <c r="O53" i="159"/>
  <c r="O54" i="159"/>
  <c r="O55" i="159"/>
  <c r="O56" i="159"/>
  <c r="O57" i="159"/>
  <c r="O58" i="159"/>
  <c r="O59" i="159"/>
  <c r="O60" i="159"/>
  <c r="O61" i="159"/>
  <c r="O62" i="159"/>
  <c r="O63" i="159"/>
  <c r="O64" i="159"/>
  <c r="O65" i="159"/>
  <c r="O66" i="159"/>
  <c r="O67" i="159"/>
  <c r="O68" i="159"/>
  <c r="O69" i="159"/>
  <c r="O70" i="159"/>
  <c r="O71" i="159"/>
  <c r="O72" i="159"/>
  <c r="O73" i="159"/>
  <c r="O74" i="159"/>
  <c r="O75" i="159"/>
  <c r="O76" i="159"/>
  <c r="O77" i="159"/>
  <c r="O78" i="159"/>
  <c r="O79" i="159"/>
  <c r="O80" i="159"/>
  <c r="O81" i="159"/>
  <c r="O82" i="159"/>
  <c r="O83" i="159"/>
  <c r="O84" i="159"/>
  <c r="O85" i="159"/>
  <c r="O86" i="159"/>
  <c r="O87" i="159"/>
  <c r="O88" i="159"/>
  <c r="O89" i="159"/>
  <c r="O90" i="159"/>
  <c r="O91" i="159"/>
  <c r="O92" i="159"/>
  <c r="O93" i="159"/>
  <c r="O94" i="159"/>
  <c r="O95" i="159"/>
  <c r="O96" i="159"/>
  <c r="O97" i="159"/>
  <c r="O98" i="159"/>
  <c r="O99" i="159"/>
  <c r="O100" i="159"/>
  <c r="O101" i="159"/>
  <c r="O102" i="159"/>
  <c r="O103" i="159"/>
  <c r="O104" i="159"/>
  <c r="O105" i="159"/>
  <c r="O106" i="159"/>
  <c r="O107" i="159"/>
  <c r="O108" i="159"/>
  <c r="O109" i="159"/>
  <c r="O110" i="159"/>
  <c r="O111" i="159"/>
  <c r="O112" i="159"/>
  <c r="O113" i="159"/>
  <c r="O114" i="159"/>
  <c r="O115" i="159"/>
  <c r="O116" i="159"/>
  <c r="O117" i="159"/>
  <c r="O118" i="159"/>
  <c r="O119" i="159"/>
  <c r="O120" i="159"/>
  <c r="O121" i="159"/>
  <c r="O122" i="159"/>
  <c r="O123" i="159"/>
  <c r="O124" i="159"/>
  <c r="O125" i="159"/>
  <c r="O126" i="159"/>
  <c r="O127" i="159"/>
  <c r="O128" i="159"/>
  <c r="O129" i="159"/>
  <c r="O130" i="159"/>
  <c r="O131" i="159"/>
  <c r="O132" i="159"/>
  <c r="O133" i="159"/>
  <c r="O134" i="159"/>
  <c r="O135" i="159"/>
  <c r="O136" i="159"/>
  <c r="O137" i="159"/>
  <c r="O138" i="159"/>
  <c r="O139" i="159"/>
  <c r="O140" i="159"/>
  <c r="O141" i="159"/>
  <c r="O142" i="159"/>
  <c r="O143" i="159"/>
  <c r="O144" i="159"/>
  <c r="O145" i="159"/>
  <c r="O146" i="159"/>
  <c r="O147" i="159"/>
  <c r="O148" i="159"/>
  <c r="O149" i="159"/>
  <c r="O150" i="159"/>
  <c r="O151" i="159"/>
  <c r="O152" i="159"/>
  <c r="O153" i="159"/>
  <c r="O154" i="159"/>
  <c r="O155" i="159"/>
  <c r="O156" i="159"/>
  <c r="O157" i="159"/>
  <c r="P158" i="159"/>
  <c r="P157" i="159"/>
  <c r="P156" i="159"/>
  <c r="N158" i="159"/>
  <c r="M158" i="159"/>
  <c r="L158" i="159"/>
  <c r="K158" i="159"/>
  <c r="J158" i="159"/>
  <c r="H158" i="159"/>
  <c r="F158" i="159"/>
  <c r="E158" i="159"/>
  <c r="C158" i="159"/>
  <c r="N157" i="159"/>
  <c r="M157" i="159"/>
  <c r="L157" i="159"/>
  <c r="K157" i="159"/>
  <c r="J157" i="159"/>
  <c r="H157" i="159"/>
  <c r="F157" i="159"/>
  <c r="E157" i="159"/>
  <c r="C157" i="159"/>
  <c r="N156" i="159"/>
  <c r="M156" i="159"/>
  <c r="L156" i="159"/>
  <c r="K156" i="159"/>
  <c r="J156" i="159"/>
  <c r="H156" i="159"/>
  <c r="F156" i="159"/>
  <c r="E156" i="159"/>
  <c r="C156" i="159"/>
  <c r="P155" i="159"/>
  <c r="N155" i="159"/>
  <c r="M155" i="159"/>
  <c r="L155" i="159"/>
  <c r="K155" i="159"/>
  <c r="J155" i="159"/>
  <c r="H155" i="159"/>
  <c r="F155" i="159"/>
  <c r="E155" i="159"/>
  <c r="C155" i="159"/>
  <c r="P154" i="159"/>
  <c r="N154" i="159"/>
  <c r="M154" i="159"/>
  <c r="L154" i="159"/>
  <c r="K154" i="159"/>
  <c r="J154" i="159"/>
  <c r="H154" i="159"/>
  <c r="F154" i="159"/>
  <c r="E154" i="159"/>
  <c r="C154" i="159"/>
  <c r="P153" i="159"/>
  <c r="N153" i="159"/>
  <c r="M153" i="159"/>
  <c r="L153" i="159"/>
  <c r="K153" i="159"/>
  <c r="J153" i="159"/>
  <c r="H153" i="159"/>
  <c r="F153" i="159"/>
  <c r="E153" i="159"/>
  <c r="C153" i="159"/>
  <c r="P152" i="159"/>
  <c r="N152" i="159"/>
  <c r="M152" i="159"/>
  <c r="L152" i="159"/>
  <c r="K152" i="159"/>
  <c r="J152" i="159"/>
  <c r="H152" i="159"/>
  <c r="F152" i="159"/>
  <c r="E152" i="159"/>
  <c r="C152" i="159"/>
  <c r="P151" i="159"/>
  <c r="N151" i="159"/>
  <c r="M151" i="159"/>
  <c r="L151" i="159"/>
  <c r="K151" i="159"/>
  <c r="J151" i="159"/>
  <c r="H151" i="159"/>
  <c r="F151" i="159"/>
  <c r="E151" i="159"/>
  <c r="C151" i="159"/>
  <c r="P150" i="159"/>
  <c r="N150" i="159"/>
  <c r="M150" i="159"/>
  <c r="L150" i="159"/>
  <c r="K150" i="159"/>
  <c r="J150" i="159"/>
  <c r="H150" i="159"/>
  <c r="F150" i="159"/>
  <c r="E150" i="159"/>
  <c r="C150" i="159"/>
  <c r="P149" i="159"/>
  <c r="N149" i="159"/>
  <c r="M149" i="159"/>
  <c r="L149" i="159"/>
  <c r="K149" i="159"/>
  <c r="J149" i="159"/>
  <c r="H149" i="159"/>
  <c r="F149" i="159"/>
  <c r="E149" i="159"/>
  <c r="C149" i="159"/>
  <c r="P148" i="159"/>
  <c r="N148" i="159"/>
  <c r="M148" i="159"/>
  <c r="L148" i="159"/>
  <c r="K148" i="159"/>
  <c r="J148" i="159"/>
  <c r="H148" i="159"/>
  <c r="F148" i="159"/>
  <c r="E148" i="159"/>
  <c r="C148" i="159"/>
  <c r="P147" i="159"/>
  <c r="N147" i="159"/>
  <c r="M147" i="159"/>
  <c r="L147" i="159"/>
  <c r="K147" i="159"/>
  <c r="J147" i="159"/>
  <c r="H147" i="159"/>
  <c r="F147" i="159"/>
  <c r="E147" i="159"/>
  <c r="C147" i="159"/>
  <c r="P146" i="159"/>
  <c r="N146" i="159"/>
  <c r="M146" i="159"/>
  <c r="L146" i="159"/>
  <c r="K146" i="159"/>
  <c r="J146" i="159"/>
  <c r="H146" i="159"/>
  <c r="F146" i="159"/>
  <c r="E146" i="159"/>
  <c r="C146" i="159"/>
  <c r="P145" i="159"/>
  <c r="N145" i="159"/>
  <c r="M145" i="159"/>
  <c r="L145" i="159"/>
  <c r="K145" i="159"/>
  <c r="J145" i="159"/>
  <c r="H145" i="159"/>
  <c r="F145" i="159"/>
  <c r="E145" i="159"/>
  <c r="C145" i="159"/>
  <c r="P144" i="159"/>
  <c r="N144" i="159"/>
  <c r="M144" i="159"/>
  <c r="L144" i="159"/>
  <c r="K144" i="159"/>
  <c r="J144" i="159"/>
  <c r="H144" i="159"/>
  <c r="F144" i="159"/>
  <c r="E144" i="159"/>
  <c r="C144" i="159"/>
  <c r="P143" i="159"/>
  <c r="N143" i="159"/>
  <c r="M143" i="159"/>
  <c r="L143" i="159"/>
  <c r="K143" i="159"/>
  <c r="J143" i="159"/>
  <c r="H143" i="159"/>
  <c r="F143" i="159"/>
  <c r="E143" i="159"/>
  <c r="C143" i="159"/>
  <c r="P142" i="159"/>
  <c r="N142" i="159"/>
  <c r="M142" i="159"/>
  <c r="L142" i="159"/>
  <c r="K142" i="159"/>
  <c r="J142" i="159"/>
  <c r="H142" i="159"/>
  <c r="F142" i="159"/>
  <c r="E142" i="159"/>
  <c r="C142" i="159"/>
  <c r="P141" i="159"/>
  <c r="N141" i="159"/>
  <c r="M141" i="159"/>
  <c r="L141" i="159"/>
  <c r="K141" i="159"/>
  <c r="J141" i="159"/>
  <c r="H141" i="159"/>
  <c r="F141" i="159"/>
  <c r="E141" i="159"/>
  <c r="C141" i="159"/>
  <c r="P140" i="159"/>
  <c r="N140" i="159"/>
  <c r="M140" i="159"/>
  <c r="L140" i="159"/>
  <c r="K140" i="159"/>
  <c r="J140" i="159"/>
  <c r="H140" i="159"/>
  <c r="F140" i="159"/>
  <c r="E140" i="159"/>
  <c r="C140" i="159"/>
  <c r="P139" i="159"/>
  <c r="N139" i="159"/>
  <c r="M139" i="159"/>
  <c r="L139" i="159"/>
  <c r="K139" i="159"/>
  <c r="J139" i="159"/>
  <c r="H139" i="159"/>
  <c r="F139" i="159"/>
  <c r="E139" i="159"/>
  <c r="C139" i="159"/>
  <c r="P138" i="159"/>
  <c r="N138" i="159"/>
  <c r="M138" i="159"/>
  <c r="L138" i="159"/>
  <c r="K138" i="159"/>
  <c r="J138" i="159"/>
  <c r="H138" i="159"/>
  <c r="F138" i="159"/>
  <c r="E138" i="159"/>
  <c r="C138" i="159"/>
  <c r="P137" i="159"/>
  <c r="N137" i="159"/>
  <c r="M137" i="159"/>
  <c r="L137" i="159"/>
  <c r="K137" i="159"/>
  <c r="J137" i="159"/>
  <c r="H137" i="159"/>
  <c r="F137" i="159"/>
  <c r="E137" i="159"/>
  <c r="C137" i="159"/>
  <c r="P136" i="159"/>
  <c r="N136" i="159"/>
  <c r="M136" i="159"/>
  <c r="L136" i="159"/>
  <c r="K136" i="159"/>
  <c r="J136" i="159"/>
  <c r="H136" i="159"/>
  <c r="F136" i="159"/>
  <c r="E136" i="159"/>
  <c r="C136" i="159"/>
  <c r="P135" i="159"/>
  <c r="N135" i="159"/>
  <c r="M135" i="159"/>
  <c r="L135" i="159"/>
  <c r="K135" i="159"/>
  <c r="J135" i="159"/>
  <c r="H135" i="159"/>
  <c r="F135" i="159"/>
  <c r="E135" i="159"/>
  <c r="C135" i="159"/>
  <c r="P134" i="159"/>
  <c r="N134" i="159"/>
  <c r="M134" i="159"/>
  <c r="L134" i="159"/>
  <c r="K134" i="159"/>
  <c r="J134" i="159"/>
  <c r="H134" i="159"/>
  <c r="F134" i="159"/>
  <c r="E134" i="159"/>
  <c r="C134" i="159"/>
  <c r="P133" i="159"/>
  <c r="N133" i="159"/>
  <c r="M133" i="159"/>
  <c r="L133" i="159"/>
  <c r="K133" i="159"/>
  <c r="J133" i="159"/>
  <c r="H133" i="159"/>
  <c r="F133" i="159"/>
  <c r="E133" i="159"/>
  <c r="C133" i="159"/>
  <c r="P132" i="159"/>
  <c r="N132" i="159"/>
  <c r="M132" i="159"/>
  <c r="L132" i="159"/>
  <c r="K132" i="159"/>
  <c r="J132" i="159"/>
  <c r="H132" i="159"/>
  <c r="F132" i="159"/>
  <c r="E132" i="159"/>
  <c r="C132" i="159"/>
  <c r="P131" i="159"/>
  <c r="N131" i="159"/>
  <c r="M131" i="159"/>
  <c r="L131" i="159"/>
  <c r="K131" i="159"/>
  <c r="J131" i="159"/>
  <c r="H131" i="159"/>
  <c r="F131" i="159"/>
  <c r="E131" i="159"/>
  <c r="C131" i="159"/>
  <c r="P130" i="159"/>
  <c r="N130" i="159"/>
  <c r="M130" i="159"/>
  <c r="L130" i="159"/>
  <c r="K130" i="159"/>
  <c r="J130" i="159"/>
  <c r="H130" i="159"/>
  <c r="F130" i="159"/>
  <c r="E130" i="159"/>
  <c r="C130" i="159"/>
  <c r="P129" i="159"/>
  <c r="N129" i="159"/>
  <c r="M129" i="159"/>
  <c r="L129" i="159"/>
  <c r="K129" i="159"/>
  <c r="J129" i="159"/>
  <c r="H129" i="159"/>
  <c r="F129" i="159"/>
  <c r="E129" i="159"/>
  <c r="C129" i="159"/>
  <c r="P128" i="159"/>
  <c r="N128" i="159"/>
  <c r="M128" i="159"/>
  <c r="L128" i="159"/>
  <c r="K128" i="159"/>
  <c r="J128" i="159"/>
  <c r="H128" i="159"/>
  <c r="F128" i="159"/>
  <c r="E128" i="159"/>
  <c r="C128" i="159"/>
  <c r="P127" i="159"/>
  <c r="N127" i="159"/>
  <c r="M127" i="159"/>
  <c r="L127" i="159"/>
  <c r="K127" i="159"/>
  <c r="J127" i="159"/>
  <c r="H127" i="159"/>
  <c r="F127" i="159"/>
  <c r="E127" i="159"/>
  <c r="C127" i="159"/>
  <c r="P126" i="159"/>
  <c r="N126" i="159"/>
  <c r="M126" i="159"/>
  <c r="L126" i="159"/>
  <c r="K126" i="159"/>
  <c r="J126" i="159"/>
  <c r="H126" i="159"/>
  <c r="F126" i="159"/>
  <c r="E126" i="159"/>
  <c r="C126" i="159"/>
  <c r="P125" i="159"/>
  <c r="N125" i="159"/>
  <c r="M125" i="159"/>
  <c r="L125" i="159"/>
  <c r="K125" i="159"/>
  <c r="J125" i="159"/>
  <c r="H125" i="159"/>
  <c r="F125" i="159"/>
  <c r="E125" i="159"/>
  <c r="C125" i="159"/>
  <c r="P124" i="159"/>
  <c r="N124" i="159"/>
  <c r="M124" i="159"/>
  <c r="L124" i="159"/>
  <c r="K124" i="159"/>
  <c r="J124" i="159"/>
  <c r="H124" i="159"/>
  <c r="F124" i="159"/>
  <c r="E124" i="159"/>
  <c r="C124" i="159"/>
  <c r="P123" i="159"/>
  <c r="N123" i="159"/>
  <c r="M123" i="159"/>
  <c r="L123" i="159"/>
  <c r="K123" i="159"/>
  <c r="J123" i="159"/>
  <c r="H123" i="159"/>
  <c r="F123" i="159"/>
  <c r="E123" i="159"/>
  <c r="C123" i="159"/>
  <c r="P122" i="159"/>
  <c r="N122" i="159"/>
  <c r="M122" i="159"/>
  <c r="L122" i="159"/>
  <c r="K122" i="159"/>
  <c r="J122" i="159"/>
  <c r="H122" i="159"/>
  <c r="F122" i="159"/>
  <c r="E122" i="159"/>
  <c r="C122" i="159"/>
  <c r="P121" i="159"/>
  <c r="N121" i="159"/>
  <c r="M121" i="159"/>
  <c r="L121" i="159"/>
  <c r="K121" i="159"/>
  <c r="J121" i="159"/>
  <c r="H121" i="159"/>
  <c r="F121" i="159"/>
  <c r="E121" i="159"/>
  <c r="C121" i="159"/>
  <c r="P120" i="159"/>
  <c r="N120" i="159"/>
  <c r="M120" i="159"/>
  <c r="L120" i="159"/>
  <c r="K120" i="159"/>
  <c r="J120" i="159"/>
  <c r="H120" i="159"/>
  <c r="F120" i="159"/>
  <c r="E120" i="159"/>
  <c r="C120" i="159"/>
  <c r="P119" i="159"/>
  <c r="N119" i="159"/>
  <c r="M119" i="159"/>
  <c r="L119" i="159"/>
  <c r="K119" i="159"/>
  <c r="J119" i="159"/>
  <c r="H119" i="159"/>
  <c r="F119" i="159"/>
  <c r="E119" i="159"/>
  <c r="C119" i="159"/>
  <c r="P118" i="159"/>
  <c r="N118" i="159"/>
  <c r="M118" i="159"/>
  <c r="L118" i="159"/>
  <c r="K118" i="159"/>
  <c r="J118" i="159"/>
  <c r="H118" i="159"/>
  <c r="F118" i="159"/>
  <c r="E118" i="159"/>
  <c r="C118" i="159"/>
  <c r="P117" i="159"/>
  <c r="N117" i="159"/>
  <c r="M117" i="159"/>
  <c r="L117" i="159"/>
  <c r="K117" i="159"/>
  <c r="J117" i="159"/>
  <c r="H117" i="159"/>
  <c r="F117" i="159"/>
  <c r="E117" i="159"/>
  <c r="C117" i="159"/>
  <c r="P116" i="159"/>
  <c r="N116" i="159"/>
  <c r="M116" i="159"/>
  <c r="L116" i="159"/>
  <c r="K116" i="159"/>
  <c r="J116" i="159"/>
  <c r="H116" i="159"/>
  <c r="F116" i="159"/>
  <c r="E116" i="159"/>
  <c r="C116" i="159"/>
  <c r="P115" i="159"/>
  <c r="N115" i="159"/>
  <c r="M115" i="159"/>
  <c r="L115" i="159"/>
  <c r="K115" i="159"/>
  <c r="J115" i="159"/>
  <c r="H115" i="159"/>
  <c r="F115" i="159"/>
  <c r="E115" i="159"/>
  <c r="C115" i="159"/>
  <c r="P114" i="159"/>
  <c r="N114" i="159"/>
  <c r="M114" i="159"/>
  <c r="L114" i="159"/>
  <c r="K114" i="159"/>
  <c r="J114" i="159"/>
  <c r="H114" i="159"/>
  <c r="F114" i="159"/>
  <c r="E114" i="159"/>
  <c r="C114" i="159"/>
  <c r="P113" i="159"/>
  <c r="N113" i="159"/>
  <c r="M113" i="159"/>
  <c r="L113" i="159"/>
  <c r="K113" i="159"/>
  <c r="J113" i="159"/>
  <c r="H113" i="159"/>
  <c r="F113" i="159"/>
  <c r="E113" i="159"/>
  <c r="C113" i="159"/>
  <c r="P112" i="159"/>
  <c r="N112" i="159"/>
  <c r="M112" i="159"/>
  <c r="L112" i="159"/>
  <c r="K112" i="159"/>
  <c r="J112" i="159"/>
  <c r="H112" i="159"/>
  <c r="F112" i="159"/>
  <c r="E112" i="159"/>
  <c r="C112" i="159"/>
  <c r="P111" i="159"/>
  <c r="N111" i="159"/>
  <c r="M111" i="159"/>
  <c r="L111" i="159"/>
  <c r="K111" i="159"/>
  <c r="J111" i="159"/>
  <c r="H111" i="159"/>
  <c r="F111" i="159"/>
  <c r="E111" i="159"/>
  <c r="C111" i="159"/>
  <c r="P110" i="159"/>
  <c r="N110" i="159"/>
  <c r="M110" i="159"/>
  <c r="L110" i="159"/>
  <c r="K110" i="159"/>
  <c r="J110" i="159"/>
  <c r="H110" i="159"/>
  <c r="F110" i="159"/>
  <c r="E110" i="159"/>
  <c r="C110" i="159"/>
  <c r="P109" i="159"/>
  <c r="N109" i="159"/>
  <c r="M109" i="159"/>
  <c r="L109" i="159"/>
  <c r="K109" i="159"/>
  <c r="J109" i="159"/>
  <c r="H109" i="159"/>
  <c r="F109" i="159"/>
  <c r="E109" i="159"/>
  <c r="C109" i="159"/>
  <c r="P108" i="159"/>
  <c r="N108" i="159"/>
  <c r="M108" i="159"/>
  <c r="L108" i="159"/>
  <c r="K108" i="159"/>
  <c r="J108" i="159"/>
  <c r="H108" i="159"/>
  <c r="F108" i="159"/>
  <c r="E108" i="159"/>
  <c r="C108" i="159"/>
  <c r="P107" i="159"/>
  <c r="N107" i="159"/>
  <c r="M107" i="159"/>
  <c r="L107" i="159"/>
  <c r="K107" i="159"/>
  <c r="J107" i="159"/>
  <c r="H107" i="159"/>
  <c r="F107" i="159"/>
  <c r="E107" i="159"/>
  <c r="C107" i="159"/>
  <c r="P106" i="159"/>
  <c r="N106" i="159"/>
  <c r="M106" i="159"/>
  <c r="L106" i="159"/>
  <c r="K106" i="159"/>
  <c r="J106" i="159"/>
  <c r="H106" i="159"/>
  <c r="F106" i="159"/>
  <c r="E106" i="159"/>
  <c r="C106" i="159"/>
  <c r="P105" i="159"/>
  <c r="N105" i="159"/>
  <c r="M105" i="159"/>
  <c r="L105" i="159"/>
  <c r="K105" i="159"/>
  <c r="J105" i="159"/>
  <c r="H105" i="159"/>
  <c r="F105" i="159"/>
  <c r="E105" i="159"/>
  <c r="C105" i="159"/>
  <c r="P104" i="159"/>
  <c r="N104" i="159"/>
  <c r="M104" i="159"/>
  <c r="L104" i="159"/>
  <c r="K104" i="159"/>
  <c r="J104" i="159"/>
  <c r="H104" i="159"/>
  <c r="F104" i="159"/>
  <c r="E104" i="159"/>
  <c r="C104" i="159"/>
  <c r="P103" i="159"/>
  <c r="N103" i="159"/>
  <c r="M103" i="159"/>
  <c r="L103" i="159"/>
  <c r="K103" i="159"/>
  <c r="J103" i="159"/>
  <c r="H103" i="159"/>
  <c r="F103" i="159"/>
  <c r="E103" i="159"/>
  <c r="C103" i="159"/>
  <c r="P102" i="159"/>
  <c r="N102" i="159"/>
  <c r="M102" i="159"/>
  <c r="L102" i="159"/>
  <c r="K102" i="159"/>
  <c r="J102" i="159"/>
  <c r="H102" i="159"/>
  <c r="F102" i="159"/>
  <c r="E102" i="159"/>
  <c r="C102" i="159"/>
  <c r="P101" i="159"/>
  <c r="N101" i="159"/>
  <c r="M101" i="159"/>
  <c r="L101" i="159"/>
  <c r="K101" i="159"/>
  <c r="J101" i="159"/>
  <c r="H101" i="159"/>
  <c r="F101" i="159"/>
  <c r="E101" i="159"/>
  <c r="C101" i="159"/>
  <c r="P100" i="159"/>
  <c r="N100" i="159"/>
  <c r="M100" i="159"/>
  <c r="L100" i="159"/>
  <c r="K100" i="159"/>
  <c r="J100" i="159"/>
  <c r="H100" i="159"/>
  <c r="F100" i="159"/>
  <c r="E100" i="159"/>
  <c r="C100" i="159"/>
  <c r="P99" i="159"/>
  <c r="N99" i="159"/>
  <c r="M99" i="159"/>
  <c r="L99" i="159"/>
  <c r="K99" i="159"/>
  <c r="J99" i="159"/>
  <c r="H99" i="159"/>
  <c r="F99" i="159"/>
  <c r="E99" i="159"/>
  <c r="C99" i="159"/>
  <c r="P98" i="159"/>
  <c r="N98" i="159"/>
  <c r="M98" i="159"/>
  <c r="L98" i="159"/>
  <c r="K98" i="159"/>
  <c r="J98" i="159"/>
  <c r="H98" i="159"/>
  <c r="F98" i="159"/>
  <c r="E98" i="159"/>
  <c r="C98" i="159"/>
  <c r="P97" i="159"/>
  <c r="N97" i="159"/>
  <c r="M97" i="159"/>
  <c r="L97" i="159"/>
  <c r="K97" i="159"/>
  <c r="J97" i="159"/>
  <c r="H97" i="159"/>
  <c r="F97" i="159"/>
  <c r="E97" i="159"/>
  <c r="C97" i="159"/>
  <c r="P96" i="159"/>
  <c r="N96" i="159"/>
  <c r="M96" i="159"/>
  <c r="L96" i="159"/>
  <c r="K96" i="159"/>
  <c r="J96" i="159"/>
  <c r="H96" i="159"/>
  <c r="F96" i="159"/>
  <c r="E96" i="159"/>
  <c r="C96" i="159"/>
  <c r="P95" i="159"/>
  <c r="N95" i="159"/>
  <c r="M95" i="159"/>
  <c r="L95" i="159"/>
  <c r="K95" i="159"/>
  <c r="J95" i="159"/>
  <c r="H95" i="159"/>
  <c r="F95" i="159"/>
  <c r="E95" i="159"/>
  <c r="C95" i="159"/>
  <c r="P94" i="159"/>
  <c r="N94" i="159"/>
  <c r="M94" i="159"/>
  <c r="L94" i="159"/>
  <c r="K94" i="159"/>
  <c r="J94" i="159"/>
  <c r="H94" i="159"/>
  <c r="F94" i="159"/>
  <c r="E94" i="159"/>
  <c r="C94" i="159"/>
  <c r="P93" i="159"/>
  <c r="N93" i="159"/>
  <c r="M93" i="159"/>
  <c r="L93" i="159"/>
  <c r="K93" i="159"/>
  <c r="J93" i="159"/>
  <c r="H93" i="159"/>
  <c r="F93" i="159"/>
  <c r="E93" i="159"/>
  <c r="C93" i="159"/>
  <c r="P92" i="159"/>
  <c r="N92" i="159"/>
  <c r="M92" i="159"/>
  <c r="L92" i="159"/>
  <c r="K92" i="159"/>
  <c r="J92" i="159"/>
  <c r="H92" i="159"/>
  <c r="F92" i="159"/>
  <c r="E92" i="159"/>
  <c r="C92" i="159"/>
  <c r="P91" i="159"/>
  <c r="N91" i="159"/>
  <c r="M91" i="159"/>
  <c r="L91" i="159"/>
  <c r="K91" i="159"/>
  <c r="J91" i="159"/>
  <c r="H91" i="159"/>
  <c r="F91" i="159"/>
  <c r="E91" i="159"/>
  <c r="C91" i="159"/>
  <c r="P90" i="159"/>
  <c r="N90" i="159"/>
  <c r="M90" i="159"/>
  <c r="L90" i="159"/>
  <c r="K90" i="159"/>
  <c r="J90" i="159"/>
  <c r="H90" i="159"/>
  <c r="F90" i="159"/>
  <c r="E90" i="159"/>
  <c r="C90" i="159"/>
  <c r="P89" i="159"/>
  <c r="N89" i="159"/>
  <c r="M89" i="159"/>
  <c r="L89" i="159"/>
  <c r="K89" i="159"/>
  <c r="J89" i="159"/>
  <c r="H89" i="159"/>
  <c r="F89" i="159"/>
  <c r="E89" i="159"/>
  <c r="C89" i="159"/>
  <c r="P88" i="159"/>
  <c r="N88" i="159"/>
  <c r="M88" i="159"/>
  <c r="L88" i="159"/>
  <c r="K88" i="159"/>
  <c r="J88" i="159"/>
  <c r="H88" i="159"/>
  <c r="F88" i="159"/>
  <c r="E88" i="159"/>
  <c r="C88" i="159"/>
  <c r="P87" i="159"/>
  <c r="N87" i="159"/>
  <c r="M87" i="159"/>
  <c r="L87" i="159"/>
  <c r="K87" i="159"/>
  <c r="J87" i="159"/>
  <c r="H87" i="159"/>
  <c r="F87" i="159"/>
  <c r="E87" i="159"/>
  <c r="C87" i="159"/>
  <c r="P86" i="159"/>
  <c r="N86" i="159"/>
  <c r="M86" i="159"/>
  <c r="L86" i="159"/>
  <c r="K86" i="159"/>
  <c r="J86" i="159"/>
  <c r="H86" i="159"/>
  <c r="F86" i="159"/>
  <c r="E86" i="159"/>
  <c r="C86" i="159"/>
  <c r="P85" i="159"/>
  <c r="N85" i="159"/>
  <c r="M85" i="159"/>
  <c r="L85" i="159"/>
  <c r="K85" i="159"/>
  <c r="J85" i="159"/>
  <c r="H85" i="159"/>
  <c r="F85" i="159"/>
  <c r="E85" i="159"/>
  <c r="C85" i="159"/>
  <c r="P84" i="159"/>
  <c r="N84" i="159"/>
  <c r="M84" i="159"/>
  <c r="L84" i="159"/>
  <c r="K84" i="159"/>
  <c r="J84" i="159"/>
  <c r="H84" i="159"/>
  <c r="F84" i="159"/>
  <c r="E84" i="159"/>
  <c r="C84" i="159"/>
  <c r="P83" i="159"/>
  <c r="N83" i="159"/>
  <c r="M83" i="159"/>
  <c r="L83" i="159"/>
  <c r="K83" i="159"/>
  <c r="J83" i="159"/>
  <c r="H83" i="159"/>
  <c r="F83" i="159"/>
  <c r="E83" i="159"/>
  <c r="C83" i="159"/>
  <c r="P82" i="159"/>
  <c r="N82" i="159"/>
  <c r="M82" i="159"/>
  <c r="L82" i="159"/>
  <c r="K82" i="159"/>
  <c r="J82" i="159"/>
  <c r="H82" i="159"/>
  <c r="F82" i="159"/>
  <c r="E82" i="159"/>
  <c r="C82" i="159"/>
  <c r="P81" i="159"/>
  <c r="N81" i="159"/>
  <c r="M81" i="159"/>
  <c r="L81" i="159"/>
  <c r="K81" i="159"/>
  <c r="J81" i="159"/>
  <c r="H81" i="159"/>
  <c r="F81" i="159"/>
  <c r="E81" i="159"/>
  <c r="C81" i="159"/>
  <c r="P80" i="159"/>
  <c r="N80" i="159"/>
  <c r="M80" i="159"/>
  <c r="L80" i="159"/>
  <c r="K80" i="159"/>
  <c r="J80" i="159"/>
  <c r="H80" i="159"/>
  <c r="F80" i="159"/>
  <c r="E80" i="159"/>
  <c r="C80" i="159"/>
  <c r="P79" i="159"/>
  <c r="N79" i="159"/>
  <c r="M79" i="159"/>
  <c r="L79" i="159"/>
  <c r="K79" i="159"/>
  <c r="J79" i="159"/>
  <c r="H79" i="159"/>
  <c r="F79" i="159"/>
  <c r="E79" i="159"/>
  <c r="C79" i="159"/>
  <c r="P78" i="159"/>
  <c r="N78" i="159"/>
  <c r="M78" i="159"/>
  <c r="L78" i="159"/>
  <c r="K78" i="159"/>
  <c r="J78" i="159"/>
  <c r="H78" i="159"/>
  <c r="F78" i="159"/>
  <c r="E78" i="159"/>
  <c r="C78" i="159"/>
  <c r="P77" i="159"/>
  <c r="N77" i="159"/>
  <c r="M77" i="159"/>
  <c r="L77" i="159"/>
  <c r="K77" i="159"/>
  <c r="J77" i="159"/>
  <c r="H77" i="159"/>
  <c r="F77" i="159"/>
  <c r="E77" i="159"/>
  <c r="C77" i="159"/>
  <c r="P76" i="159"/>
  <c r="N76" i="159"/>
  <c r="M76" i="159"/>
  <c r="L76" i="159"/>
  <c r="K76" i="159"/>
  <c r="J76" i="159"/>
  <c r="H76" i="159"/>
  <c r="F76" i="159"/>
  <c r="E76" i="159"/>
  <c r="C76" i="159"/>
  <c r="P75" i="159"/>
  <c r="N75" i="159"/>
  <c r="M75" i="159"/>
  <c r="L75" i="159"/>
  <c r="K75" i="159"/>
  <c r="J75" i="159"/>
  <c r="H75" i="159"/>
  <c r="F75" i="159"/>
  <c r="E75" i="159"/>
  <c r="C75" i="159"/>
  <c r="P74" i="159"/>
  <c r="N74" i="159"/>
  <c r="M74" i="159"/>
  <c r="L74" i="159"/>
  <c r="K74" i="159"/>
  <c r="J74" i="159"/>
  <c r="H74" i="159"/>
  <c r="F74" i="159"/>
  <c r="E74" i="159"/>
  <c r="C74" i="159"/>
  <c r="P73" i="159"/>
  <c r="N73" i="159"/>
  <c r="M73" i="159"/>
  <c r="L73" i="159"/>
  <c r="K73" i="159"/>
  <c r="J73" i="159"/>
  <c r="H73" i="159"/>
  <c r="F73" i="159"/>
  <c r="E73" i="159"/>
  <c r="C73" i="159"/>
  <c r="P72" i="159"/>
  <c r="N72" i="159"/>
  <c r="M72" i="159"/>
  <c r="L72" i="159"/>
  <c r="K72" i="159"/>
  <c r="J72" i="159"/>
  <c r="H72" i="159"/>
  <c r="F72" i="159"/>
  <c r="E72" i="159"/>
  <c r="C72" i="159"/>
  <c r="P71" i="159"/>
  <c r="N71" i="159"/>
  <c r="M71" i="159"/>
  <c r="L71" i="159"/>
  <c r="K71" i="159"/>
  <c r="H71" i="159"/>
  <c r="F71" i="159"/>
  <c r="E71" i="159"/>
  <c r="C71" i="159"/>
  <c r="P70" i="159"/>
  <c r="N70" i="159"/>
  <c r="M70" i="159"/>
  <c r="L70" i="159"/>
  <c r="K70" i="159"/>
  <c r="H70" i="159"/>
  <c r="F70" i="159"/>
  <c r="E70" i="159"/>
  <c r="C70" i="159"/>
  <c r="P69" i="159"/>
  <c r="N69" i="159"/>
  <c r="M69" i="159"/>
  <c r="L69" i="159"/>
  <c r="K69" i="159"/>
  <c r="H69" i="159"/>
  <c r="F69" i="159"/>
  <c r="E69" i="159"/>
  <c r="C69" i="159"/>
  <c r="P68" i="159"/>
  <c r="N68" i="159"/>
  <c r="M68" i="159"/>
  <c r="L68" i="159"/>
  <c r="K68" i="159"/>
  <c r="H68" i="159"/>
  <c r="F68" i="159"/>
  <c r="E68" i="159"/>
  <c r="C68" i="159"/>
  <c r="P67" i="159"/>
  <c r="N67" i="159"/>
  <c r="M67" i="159"/>
  <c r="L67" i="159"/>
  <c r="K67" i="159"/>
  <c r="H67" i="159"/>
  <c r="F67" i="159"/>
  <c r="E67" i="159"/>
  <c r="C67" i="159"/>
  <c r="P66" i="159"/>
  <c r="N66" i="159"/>
  <c r="M66" i="159"/>
  <c r="L66" i="159"/>
  <c r="K66" i="159"/>
  <c r="H66" i="159"/>
  <c r="F66" i="159"/>
  <c r="E66" i="159"/>
  <c r="C66" i="159"/>
  <c r="P65" i="159"/>
  <c r="N65" i="159"/>
  <c r="M65" i="159"/>
  <c r="L65" i="159"/>
  <c r="K65" i="159"/>
  <c r="J65" i="159"/>
  <c r="H65" i="159"/>
  <c r="F65" i="159"/>
  <c r="E65" i="159"/>
  <c r="C65" i="159"/>
  <c r="P64" i="159"/>
  <c r="N64" i="159"/>
  <c r="M64" i="159"/>
  <c r="L64" i="159"/>
  <c r="K64" i="159"/>
  <c r="J64" i="159"/>
  <c r="H64" i="159"/>
  <c r="F64" i="159"/>
  <c r="E64" i="159"/>
  <c r="C64" i="159"/>
  <c r="P63" i="159"/>
  <c r="N63" i="159"/>
  <c r="M63" i="159"/>
  <c r="L63" i="159"/>
  <c r="K63" i="159"/>
  <c r="J63" i="159"/>
  <c r="H63" i="159"/>
  <c r="F63" i="159"/>
  <c r="E63" i="159"/>
  <c r="C63" i="159"/>
  <c r="P62" i="159"/>
  <c r="N62" i="159"/>
  <c r="M62" i="159"/>
  <c r="L62" i="159"/>
  <c r="K62" i="159"/>
  <c r="J62" i="159"/>
  <c r="H62" i="159"/>
  <c r="F62" i="159"/>
  <c r="E62" i="159"/>
  <c r="C62" i="159"/>
  <c r="P61" i="159"/>
  <c r="N61" i="159"/>
  <c r="M61" i="159"/>
  <c r="L61" i="159"/>
  <c r="K61" i="159"/>
  <c r="J61" i="159"/>
  <c r="H61" i="159"/>
  <c r="F61" i="159"/>
  <c r="E61" i="159"/>
  <c r="C61" i="159"/>
  <c r="P60" i="159"/>
  <c r="N60" i="159"/>
  <c r="M60" i="159"/>
  <c r="L60" i="159"/>
  <c r="K60" i="159"/>
  <c r="J60" i="159"/>
  <c r="H60" i="159"/>
  <c r="F60" i="159"/>
  <c r="E60" i="159"/>
  <c r="C60" i="159"/>
  <c r="P59" i="159"/>
  <c r="N59" i="159"/>
  <c r="M59" i="159"/>
  <c r="L59" i="159"/>
  <c r="K59" i="159"/>
  <c r="J59" i="159"/>
  <c r="H59" i="159"/>
  <c r="F59" i="159"/>
  <c r="E59" i="159"/>
  <c r="C59" i="159"/>
  <c r="P58" i="159"/>
  <c r="N58" i="159"/>
  <c r="M58" i="159"/>
  <c r="L58" i="159"/>
  <c r="K58" i="159"/>
  <c r="J58" i="159"/>
  <c r="H58" i="159"/>
  <c r="F58" i="159"/>
  <c r="E58" i="159"/>
  <c r="C58" i="159"/>
  <c r="P57" i="159"/>
  <c r="N57" i="159"/>
  <c r="M57" i="159"/>
  <c r="L57" i="159"/>
  <c r="K57" i="159"/>
  <c r="J57" i="159"/>
  <c r="H57" i="159"/>
  <c r="F57" i="159"/>
  <c r="E57" i="159"/>
  <c r="C57" i="159"/>
  <c r="P56" i="159"/>
  <c r="N56" i="159"/>
  <c r="M56" i="159"/>
  <c r="L56" i="159"/>
  <c r="K56" i="159"/>
  <c r="J56" i="159"/>
  <c r="H56" i="159"/>
  <c r="F56" i="159"/>
  <c r="E56" i="159"/>
  <c r="C56" i="159"/>
  <c r="P55" i="159"/>
  <c r="N55" i="159"/>
  <c r="M55" i="159"/>
  <c r="L55" i="159"/>
  <c r="K55" i="159"/>
  <c r="J55" i="159"/>
  <c r="H55" i="159"/>
  <c r="F55" i="159"/>
  <c r="E55" i="159"/>
  <c r="C55" i="159"/>
  <c r="P54" i="159"/>
  <c r="N54" i="159"/>
  <c r="M54" i="159"/>
  <c r="L54" i="159"/>
  <c r="K54" i="159"/>
  <c r="J54" i="159"/>
  <c r="H54" i="159"/>
  <c r="F54" i="159"/>
  <c r="E54" i="159"/>
  <c r="C54" i="159"/>
  <c r="P53" i="159"/>
  <c r="N53" i="159"/>
  <c r="M53" i="159"/>
  <c r="L53" i="159"/>
  <c r="K53" i="159"/>
  <c r="J53" i="159"/>
  <c r="H53" i="159"/>
  <c r="F53" i="159"/>
  <c r="E53" i="159"/>
  <c r="C53" i="159"/>
  <c r="P52" i="159"/>
  <c r="N52" i="159"/>
  <c r="M52" i="159"/>
  <c r="L52" i="159"/>
  <c r="K52" i="159"/>
  <c r="J52" i="159"/>
  <c r="H52" i="159"/>
  <c r="F52" i="159"/>
  <c r="E52" i="159"/>
  <c r="C52" i="159"/>
  <c r="P51" i="159"/>
  <c r="N51" i="159"/>
  <c r="M51" i="159"/>
  <c r="L51" i="159"/>
  <c r="K51" i="159"/>
  <c r="J51" i="159"/>
  <c r="H51" i="159"/>
  <c r="F51" i="159"/>
  <c r="E51" i="159"/>
  <c r="C51" i="159"/>
  <c r="P50" i="159"/>
  <c r="N50" i="159"/>
  <c r="M50" i="159"/>
  <c r="L50" i="159"/>
  <c r="K50" i="159"/>
  <c r="J50" i="159"/>
  <c r="H50" i="159"/>
  <c r="F50" i="159"/>
  <c r="E50" i="159"/>
  <c r="C50" i="159"/>
  <c r="P49" i="159"/>
  <c r="N49" i="159"/>
  <c r="M49" i="159"/>
  <c r="L49" i="159"/>
  <c r="K49" i="159"/>
  <c r="J49" i="159"/>
  <c r="H49" i="159"/>
  <c r="F49" i="159"/>
  <c r="E49" i="159"/>
  <c r="C49" i="159"/>
  <c r="P48" i="159"/>
  <c r="N48" i="159"/>
  <c r="M48" i="159"/>
  <c r="L48" i="159"/>
  <c r="K48" i="159"/>
  <c r="J48" i="159"/>
  <c r="H48" i="159"/>
  <c r="F48" i="159"/>
  <c r="E48" i="159"/>
  <c r="C48" i="159"/>
  <c r="P47" i="159"/>
  <c r="N47" i="159"/>
  <c r="M47" i="159"/>
  <c r="L47" i="159"/>
  <c r="K47" i="159"/>
  <c r="J47" i="159"/>
  <c r="H47" i="159"/>
  <c r="F47" i="159"/>
  <c r="E47" i="159"/>
  <c r="C47" i="159"/>
  <c r="P46" i="159"/>
  <c r="N46" i="159"/>
  <c r="M46" i="159"/>
  <c r="L46" i="159"/>
  <c r="K46" i="159"/>
  <c r="J46" i="159"/>
  <c r="H46" i="159"/>
  <c r="F46" i="159"/>
  <c r="E46" i="159"/>
  <c r="C46" i="159"/>
  <c r="P45" i="159"/>
  <c r="N45" i="159"/>
  <c r="M45" i="159"/>
  <c r="L45" i="159"/>
  <c r="K45" i="159"/>
  <c r="J45" i="159"/>
  <c r="H45" i="159"/>
  <c r="F45" i="159"/>
  <c r="E45" i="159"/>
  <c r="C45" i="159"/>
  <c r="P44" i="159"/>
  <c r="N44" i="159"/>
  <c r="M44" i="159"/>
  <c r="L44" i="159"/>
  <c r="K44" i="159"/>
  <c r="J44" i="159"/>
  <c r="H44" i="159"/>
  <c r="F44" i="159"/>
  <c r="E44" i="159"/>
  <c r="C44" i="159"/>
  <c r="A2" i="157"/>
  <c r="A158" i="159"/>
  <c r="A157" i="159"/>
  <c r="A156" i="159"/>
  <c r="A155" i="159"/>
  <c r="A154" i="159"/>
  <c r="A153" i="159"/>
  <c r="A152" i="159"/>
  <c r="A151" i="159"/>
  <c r="A150" i="159"/>
  <c r="A149" i="159"/>
  <c r="A148" i="159"/>
  <c r="A147" i="159"/>
  <c r="A146" i="159"/>
  <c r="A145" i="159"/>
  <c r="A144" i="159"/>
  <c r="A143" i="159"/>
  <c r="A142" i="159"/>
  <c r="A141" i="159"/>
  <c r="A140" i="159"/>
  <c r="A139" i="159"/>
  <c r="A138" i="159"/>
  <c r="A137" i="159"/>
  <c r="A136" i="159"/>
  <c r="A135" i="159"/>
  <c r="A134" i="159"/>
  <c r="A133" i="159"/>
  <c r="A132" i="159"/>
  <c r="A131" i="159"/>
  <c r="A130" i="159"/>
  <c r="A129" i="159"/>
  <c r="A128" i="159"/>
  <c r="A127" i="159"/>
  <c r="A126" i="159"/>
  <c r="A125" i="159"/>
  <c r="A124" i="159"/>
  <c r="A123" i="159"/>
  <c r="A122" i="159"/>
  <c r="A121" i="159"/>
  <c r="A120" i="159"/>
  <c r="A119" i="159"/>
  <c r="A118" i="159"/>
  <c r="A117" i="159"/>
  <c r="A116" i="159"/>
  <c r="A115" i="159"/>
  <c r="A114" i="159"/>
  <c r="A113" i="159"/>
  <c r="A112" i="159"/>
  <c r="A111" i="159"/>
  <c r="A110" i="159"/>
  <c r="A109" i="159"/>
  <c r="A108" i="159"/>
  <c r="A107" i="159"/>
  <c r="A106" i="159"/>
  <c r="A105" i="159"/>
  <c r="A104" i="159"/>
  <c r="A103" i="159"/>
  <c r="A102" i="159"/>
  <c r="A101" i="159"/>
  <c r="A100" i="159"/>
  <c r="A99" i="159"/>
  <c r="A98" i="159"/>
  <c r="A97" i="159"/>
  <c r="A96" i="159"/>
  <c r="A95" i="159"/>
  <c r="A94" i="159"/>
  <c r="A93" i="159"/>
  <c r="A92" i="159"/>
  <c r="A91" i="159"/>
  <c r="A90" i="159"/>
  <c r="A89" i="159"/>
  <c r="A88" i="159"/>
  <c r="A87" i="159"/>
  <c r="A86" i="159"/>
  <c r="A85" i="159"/>
  <c r="A84" i="159"/>
  <c r="A83" i="159"/>
  <c r="A82" i="159"/>
  <c r="A81" i="159"/>
  <c r="A80" i="159"/>
  <c r="A79" i="159"/>
  <c r="A78" i="159"/>
  <c r="A77" i="159"/>
  <c r="A76" i="159"/>
  <c r="A75" i="159"/>
  <c r="A74" i="159"/>
  <c r="A73" i="159"/>
  <c r="A72" i="159"/>
  <c r="A71" i="159"/>
  <c r="A70" i="159"/>
  <c r="A69" i="159"/>
  <c r="A68" i="159"/>
  <c r="A67" i="159"/>
  <c r="A66" i="159"/>
  <c r="A65" i="159"/>
  <c r="A64" i="159"/>
  <c r="A63" i="159"/>
  <c r="A62" i="159"/>
  <c r="A61" i="159"/>
  <c r="A60" i="159"/>
  <c r="A59" i="159"/>
  <c r="A58" i="159"/>
  <c r="A57" i="159"/>
  <c r="A56" i="159"/>
  <c r="A55" i="159"/>
  <c r="A54" i="159"/>
  <c r="A53" i="159"/>
  <c r="A52" i="159"/>
  <c r="A51" i="159"/>
  <c r="A50" i="159"/>
  <c r="A49" i="159"/>
  <c r="A48" i="159"/>
  <c r="A47" i="159"/>
  <c r="A46" i="159"/>
  <c r="A45" i="159"/>
  <c r="A44" i="159"/>
  <c r="A43" i="159"/>
  <c r="A42" i="159"/>
  <c r="A41" i="159"/>
  <c r="A40" i="159"/>
  <c r="A39" i="159"/>
  <c r="A38" i="159"/>
  <c r="A37" i="159"/>
  <c r="A36" i="159"/>
  <c r="A35" i="159"/>
  <c r="A34" i="159"/>
  <c r="A33" i="159"/>
  <c r="A32" i="159"/>
  <c r="A31" i="159"/>
  <c r="A30" i="159"/>
  <c r="A29" i="159"/>
  <c r="A28" i="159"/>
  <c r="A27" i="159"/>
  <c r="A26" i="159"/>
  <c r="A25" i="159"/>
  <c r="A24" i="159"/>
  <c r="A23" i="159"/>
  <c r="A22" i="159"/>
  <c r="A21" i="159"/>
  <c r="A20" i="159"/>
  <c r="A19" i="159"/>
  <c r="A18" i="159"/>
  <c r="A17" i="159"/>
  <c r="A16" i="159"/>
  <c r="A15" i="159"/>
  <c r="A14" i="159"/>
  <c r="A13" i="159"/>
  <c r="A12" i="159"/>
  <c r="A11" i="159"/>
  <c r="A10" i="159"/>
  <c r="A9" i="159"/>
  <c r="A8" i="159"/>
  <c r="A7" i="159"/>
  <c r="A6" i="159"/>
  <c r="A5" i="159"/>
  <c r="A4" i="159"/>
  <c r="A3" i="159"/>
  <c r="A2" i="159"/>
  <c r="I2" i="158"/>
  <c r="J2" i="158"/>
  <c r="D2" i="158"/>
  <c r="E2" i="158"/>
  <c r="F2" i="158"/>
  <c r="C2" i="158"/>
  <c r="I3" i="158"/>
  <c r="J3" i="158"/>
  <c r="D3" i="158"/>
  <c r="E3" i="158"/>
  <c r="F3" i="158"/>
  <c r="C3" i="158"/>
  <c r="I4" i="158"/>
  <c r="J4" i="158"/>
  <c r="D4" i="158"/>
  <c r="E4" i="158"/>
  <c r="F4" i="158"/>
  <c r="C4" i="158"/>
  <c r="I5" i="158"/>
  <c r="J5" i="158"/>
  <c r="D5" i="158"/>
  <c r="E5" i="158"/>
  <c r="F5" i="158"/>
  <c r="C5" i="158"/>
  <c r="I6" i="158"/>
  <c r="J6" i="158"/>
  <c r="D6" i="158"/>
  <c r="E6" i="158"/>
  <c r="F6" i="158"/>
  <c r="C6" i="158"/>
  <c r="I7" i="158"/>
  <c r="J7" i="158"/>
  <c r="D7" i="158"/>
  <c r="E7" i="158"/>
  <c r="F7" i="158"/>
  <c r="C7" i="158"/>
  <c r="I8" i="158"/>
  <c r="J8" i="158"/>
  <c r="D8" i="158"/>
  <c r="E8" i="158"/>
  <c r="F8" i="158"/>
  <c r="C8" i="158"/>
  <c r="I9" i="158"/>
  <c r="J9" i="158"/>
  <c r="D9" i="158"/>
  <c r="E9" i="158"/>
  <c r="F9" i="158"/>
  <c r="C9" i="158"/>
  <c r="I10" i="158"/>
  <c r="J10" i="158"/>
  <c r="D10" i="158"/>
  <c r="E10" i="158"/>
  <c r="F10" i="158"/>
  <c r="C10" i="158"/>
  <c r="I11" i="158"/>
  <c r="J11" i="158"/>
  <c r="D11" i="158"/>
  <c r="E11" i="158"/>
  <c r="F11" i="158"/>
  <c r="C11" i="158"/>
  <c r="I12" i="158"/>
  <c r="J12" i="158"/>
  <c r="D12" i="158"/>
  <c r="E12" i="158"/>
  <c r="F12" i="158"/>
  <c r="C12" i="158"/>
  <c r="I13" i="158"/>
  <c r="J13" i="158"/>
  <c r="D13" i="158"/>
  <c r="E13" i="158"/>
  <c r="F13" i="158"/>
  <c r="C13" i="158"/>
  <c r="I14" i="158"/>
  <c r="J14" i="158"/>
  <c r="D14" i="158"/>
  <c r="E14" i="158"/>
  <c r="F14" i="158"/>
  <c r="C14" i="158"/>
  <c r="I15" i="158"/>
  <c r="J15" i="158"/>
  <c r="D15" i="158"/>
  <c r="E15" i="158"/>
  <c r="F15" i="158"/>
  <c r="C15" i="158"/>
  <c r="I16" i="158"/>
  <c r="J16" i="158"/>
  <c r="D16" i="158"/>
  <c r="E16" i="158"/>
  <c r="F16" i="158"/>
  <c r="C16" i="158"/>
  <c r="I17" i="158"/>
  <c r="J17" i="158"/>
  <c r="D17" i="158"/>
  <c r="E17" i="158"/>
  <c r="F17" i="158"/>
  <c r="C17" i="158"/>
  <c r="I18" i="158"/>
  <c r="J18" i="158"/>
  <c r="D18" i="158"/>
  <c r="E18" i="158"/>
  <c r="F18" i="158"/>
  <c r="C18" i="158"/>
  <c r="I19" i="158"/>
  <c r="J19" i="158"/>
  <c r="D19" i="158"/>
  <c r="E19" i="158"/>
  <c r="F19" i="158"/>
  <c r="C19" i="158"/>
  <c r="I20" i="158"/>
  <c r="J20" i="158"/>
  <c r="D20" i="158"/>
  <c r="E20" i="158"/>
  <c r="F20" i="158"/>
  <c r="C20" i="158"/>
  <c r="I21" i="158"/>
  <c r="J21" i="158"/>
  <c r="D21" i="158"/>
  <c r="E21" i="158"/>
  <c r="F21" i="158"/>
  <c r="C21" i="158"/>
  <c r="I22" i="158"/>
  <c r="J22" i="158"/>
  <c r="D22" i="158"/>
  <c r="E22" i="158"/>
  <c r="F22" i="158"/>
  <c r="C22" i="158"/>
  <c r="I23" i="158"/>
  <c r="J23" i="158"/>
  <c r="D23" i="158"/>
  <c r="E23" i="158"/>
  <c r="F23" i="158"/>
  <c r="C23" i="158"/>
  <c r="I24" i="158"/>
  <c r="J24" i="158"/>
  <c r="D24" i="158"/>
  <c r="E24" i="158"/>
  <c r="F24" i="158"/>
  <c r="C24" i="158"/>
  <c r="I25" i="158"/>
  <c r="J25" i="158"/>
  <c r="D25" i="158"/>
  <c r="E25" i="158"/>
  <c r="F25" i="158"/>
  <c r="C25" i="158"/>
  <c r="I26" i="158"/>
  <c r="J26" i="158"/>
  <c r="D26" i="158"/>
  <c r="E26" i="158"/>
  <c r="F26" i="158"/>
  <c r="C26" i="158"/>
  <c r="I27" i="158"/>
  <c r="J27" i="158"/>
  <c r="D27" i="158"/>
  <c r="E27" i="158"/>
  <c r="F27" i="158"/>
  <c r="C27" i="158"/>
  <c r="I28" i="158"/>
  <c r="J28" i="158"/>
  <c r="D28" i="158"/>
  <c r="E28" i="158"/>
  <c r="F28" i="158"/>
  <c r="C28" i="158"/>
  <c r="I29" i="158"/>
  <c r="J29" i="158"/>
  <c r="D29" i="158"/>
  <c r="E29" i="158"/>
  <c r="F29" i="158"/>
  <c r="C29" i="158"/>
  <c r="I30" i="158"/>
  <c r="J30" i="158"/>
  <c r="D30" i="158"/>
  <c r="E30" i="158"/>
  <c r="F30" i="158"/>
  <c r="C30" i="158"/>
  <c r="I31" i="158"/>
  <c r="J31" i="158"/>
  <c r="D31" i="158"/>
  <c r="E31" i="158"/>
  <c r="F31" i="158"/>
  <c r="C31" i="158"/>
  <c r="I32" i="158"/>
  <c r="J32" i="158"/>
  <c r="D32" i="158"/>
  <c r="E32" i="158"/>
  <c r="F32" i="158"/>
  <c r="C32" i="158"/>
  <c r="I33" i="158"/>
  <c r="J33" i="158"/>
  <c r="D33" i="158"/>
  <c r="E33" i="158"/>
  <c r="F33" i="158"/>
  <c r="C33" i="158"/>
  <c r="I34" i="158"/>
  <c r="J34" i="158"/>
  <c r="D34" i="158"/>
  <c r="E34" i="158"/>
  <c r="F34" i="158"/>
  <c r="C34" i="158"/>
  <c r="I35" i="158"/>
  <c r="J35" i="158"/>
  <c r="D35" i="158"/>
  <c r="E35" i="158"/>
  <c r="F35" i="158"/>
  <c r="C35" i="158"/>
  <c r="I36" i="158"/>
  <c r="J36" i="158"/>
  <c r="D36" i="158"/>
  <c r="E36" i="158"/>
  <c r="F36" i="158"/>
  <c r="C36" i="158"/>
  <c r="I37" i="158"/>
  <c r="J37" i="158"/>
  <c r="D37" i="158"/>
  <c r="E37" i="158"/>
  <c r="F37" i="158"/>
  <c r="C37" i="158"/>
  <c r="I38" i="158"/>
  <c r="J38" i="158"/>
  <c r="D38" i="158"/>
  <c r="E38" i="158"/>
  <c r="F38" i="158"/>
  <c r="C38" i="158"/>
  <c r="I39" i="158"/>
  <c r="J39" i="158"/>
  <c r="D39" i="158"/>
  <c r="E39" i="158"/>
  <c r="F39" i="158"/>
  <c r="C39" i="158"/>
  <c r="I40" i="158"/>
  <c r="J40" i="158"/>
  <c r="D40" i="158"/>
  <c r="E40" i="158"/>
  <c r="F40" i="158"/>
  <c r="C40" i="158"/>
  <c r="I41" i="158"/>
  <c r="J41" i="158"/>
  <c r="D41" i="158"/>
  <c r="E41" i="158"/>
  <c r="F41" i="158"/>
  <c r="C41" i="158"/>
  <c r="I42" i="158"/>
  <c r="D42" i="158"/>
  <c r="J42" i="158"/>
  <c r="E42" i="158"/>
  <c r="F42" i="158"/>
  <c r="C42" i="158"/>
  <c r="I43" i="158"/>
  <c r="D43" i="158"/>
  <c r="J43" i="158"/>
  <c r="E43" i="158"/>
  <c r="F43" i="158"/>
  <c r="C43" i="158"/>
  <c r="I44" i="158"/>
  <c r="D44" i="158"/>
  <c r="J44" i="158"/>
  <c r="E44" i="158"/>
  <c r="F44" i="158"/>
  <c r="C44" i="158"/>
  <c r="I45" i="158"/>
  <c r="D45" i="158"/>
  <c r="J45" i="158"/>
  <c r="E45" i="158"/>
  <c r="F45" i="158"/>
  <c r="C45" i="158"/>
  <c r="I46" i="158"/>
  <c r="D46" i="158"/>
  <c r="J46" i="158"/>
  <c r="E46" i="158"/>
  <c r="F46" i="158"/>
  <c r="C46" i="158"/>
  <c r="I47" i="158"/>
  <c r="D47" i="158"/>
  <c r="J47" i="158"/>
  <c r="E47" i="158"/>
  <c r="F47" i="158"/>
  <c r="C47" i="158"/>
  <c r="I48" i="158"/>
  <c r="D48" i="158"/>
  <c r="J48" i="158"/>
  <c r="E48" i="158"/>
  <c r="F48" i="158"/>
  <c r="C48" i="158"/>
  <c r="I49" i="158"/>
  <c r="D49" i="158"/>
  <c r="J49" i="158"/>
  <c r="E49" i="158"/>
  <c r="F49" i="158"/>
  <c r="C49" i="158"/>
  <c r="I50" i="158"/>
  <c r="D50" i="158"/>
  <c r="J50" i="158"/>
  <c r="E50" i="158"/>
  <c r="F50" i="158"/>
  <c r="C50" i="158"/>
  <c r="I51" i="158"/>
  <c r="D51" i="158"/>
  <c r="J51" i="158"/>
  <c r="E51" i="158"/>
  <c r="F51" i="158"/>
  <c r="C51" i="158"/>
  <c r="I52" i="158"/>
  <c r="D52" i="158"/>
  <c r="J52" i="158"/>
  <c r="E52" i="158"/>
  <c r="F52" i="158"/>
  <c r="C52" i="158"/>
  <c r="I53" i="158"/>
  <c r="D53" i="158"/>
  <c r="J53" i="158"/>
  <c r="E53" i="158"/>
  <c r="F53" i="158"/>
  <c r="C53" i="158"/>
  <c r="I54" i="158"/>
  <c r="D54" i="158"/>
  <c r="J54" i="158"/>
  <c r="E54" i="158"/>
  <c r="F54" i="158"/>
  <c r="C54" i="158"/>
  <c r="I55" i="158"/>
  <c r="D55" i="158"/>
  <c r="J55" i="158"/>
  <c r="E55" i="158"/>
  <c r="F55" i="158"/>
  <c r="C55" i="158"/>
  <c r="I56" i="158"/>
  <c r="D56" i="158"/>
  <c r="J56" i="158"/>
  <c r="E56" i="158"/>
  <c r="F56" i="158"/>
  <c r="C56" i="158"/>
  <c r="I57" i="158"/>
  <c r="D57" i="158"/>
  <c r="J57" i="158"/>
  <c r="E57" i="158"/>
  <c r="F57" i="158"/>
  <c r="C57" i="158"/>
  <c r="I58" i="158"/>
  <c r="D58" i="158"/>
  <c r="J58" i="158"/>
  <c r="E58" i="158"/>
  <c r="F58" i="158"/>
  <c r="C58" i="158"/>
  <c r="I59" i="158"/>
  <c r="D59" i="158"/>
  <c r="J59" i="158"/>
  <c r="E59" i="158"/>
  <c r="F59" i="158"/>
  <c r="C59" i="158"/>
  <c r="I60" i="158"/>
  <c r="D60" i="158"/>
  <c r="J60" i="158"/>
  <c r="E60" i="158"/>
  <c r="F60" i="158"/>
  <c r="C60" i="158"/>
  <c r="I61" i="158"/>
  <c r="D61" i="158"/>
  <c r="J61" i="158"/>
  <c r="E61" i="158"/>
  <c r="F61" i="158"/>
  <c r="C61" i="158"/>
  <c r="I62" i="158"/>
  <c r="D62" i="158"/>
  <c r="J62" i="158"/>
  <c r="E62" i="158"/>
  <c r="F62" i="158"/>
  <c r="C62" i="158"/>
  <c r="I63" i="158"/>
  <c r="D63" i="158"/>
  <c r="J63" i="158"/>
  <c r="E63" i="158"/>
  <c r="F63" i="158"/>
  <c r="C63" i="158"/>
  <c r="I64" i="158"/>
  <c r="D64" i="158"/>
  <c r="J64" i="158"/>
  <c r="E64" i="158"/>
  <c r="F64" i="158"/>
  <c r="C64" i="158"/>
  <c r="I65" i="158"/>
  <c r="D65" i="158"/>
  <c r="J65" i="158"/>
  <c r="E65" i="158"/>
  <c r="F65" i="158"/>
  <c r="C65" i="158"/>
  <c r="I66" i="158"/>
  <c r="D66" i="158"/>
  <c r="J66" i="158"/>
  <c r="E66" i="158"/>
  <c r="F66" i="158"/>
  <c r="C66" i="158"/>
  <c r="I67" i="158"/>
  <c r="D67" i="158"/>
  <c r="J67" i="158"/>
  <c r="E67" i="158"/>
  <c r="F67" i="158"/>
  <c r="C67" i="158"/>
  <c r="I68" i="158"/>
  <c r="D68" i="158"/>
  <c r="J68" i="158"/>
  <c r="E68" i="158"/>
  <c r="F68" i="158"/>
  <c r="C68" i="158"/>
  <c r="I69" i="158"/>
  <c r="D69" i="158"/>
  <c r="J69" i="158"/>
  <c r="E69" i="158"/>
  <c r="F69" i="158"/>
  <c r="C69" i="158"/>
  <c r="I70" i="158"/>
  <c r="D70" i="158"/>
  <c r="J70" i="158"/>
  <c r="E70" i="158"/>
  <c r="F70" i="158"/>
  <c r="C70" i="158"/>
  <c r="I71" i="158"/>
  <c r="D71" i="158"/>
  <c r="J71" i="158"/>
  <c r="E71" i="158"/>
  <c r="F71" i="158"/>
  <c r="C71" i="158"/>
  <c r="I72" i="158"/>
  <c r="D72" i="158"/>
  <c r="J72" i="158"/>
  <c r="E72" i="158"/>
  <c r="F72" i="158"/>
  <c r="C72" i="158"/>
  <c r="I73" i="158"/>
  <c r="D73" i="158"/>
  <c r="J73" i="158"/>
  <c r="E73" i="158"/>
  <c r="F73" i="158"/>
  <c r="C73" i="158"/>
  <c r="I74" i="158"/>
  <c r="D74" i="158"/>
  <c r="J74" i="158"/>
  <c r="E74" i="158"/>
  <c r="F74" i="158"/>
  <c r="C74" i="158"/>
  <c r="I75" i="158"/>
  <c r="D75" i="158"/>
  <c r="J75" i="158"/>
  <c r="E75" i="158"/>
  <c r="F75" i="158"/>
  <c r="C75" i="158"/>
  <c r="I76" i="158"/>
  <c r="D76" i="158"/>
  <c r="J76" i="158"/>
  <c r="E76" i="158"/>
  <c r="F76" i="158"/>
  <c r="C76" i="158"/>
  <c r="I77" i="158"/>
  <c r="D77" i="158"/>
  <c r="J77" i="158"/>
  <c r="E77" i="158"/>
  <c r="F77" i="158"/>
  <c r="C77" i="158"/>
  <c r="I78" i="158"/>
  <c r="D78" i="158"/>
  <c r="J78" i="158"/>
  <c r="E78" i="158"/>
  <c r="F78" i="158"/>
  <c r="C78" i="158"/>
  <c r="I79" i="158"/>
  <c r="D79" i="158"/>
  <c r="J79" i="158"/>
  <c r="E79" i="158"/>
  <c r="F79" i="158"/>
  <c r="C79" i="158"/>
  <c r="I80" i="158"/>
  <c r="D80" i="158"/>
  <c r="J80" i="158"/>
  <c r="E80" i="158"/>
  <c r="F80" i="158"/>
  <c r="C80" i="158"/>
  <c r="I81" i="158"/>
  <c r="D81" i="158"/>
  <c r="J81" i="158"/>
  <c r="E81" i="158"/>
  <c r="F81" i="158"/>
  <c r="C81" i="158"/>
  <c r="I82" i="158"/>
  <c r="D82" i="158"/>
  <c r="J82" i="158"/>
  <c r="E82" i="158"/>
  <c r="F82" i="158"/>
  <c r="C82" i="158"/>
  <c r="I83" i="158"/>
  <c r="D83" i="158"/>
  <c r="J83" i="158"/>
  <c r="E83" i="158"/>
  <c r="F83" i="158"/>
  <c r="C83" i="158"/>
  <c r="I84" i="158"/>
  <c r="D84" i="158"/>
  <c r="J84" i="158"/>
  <c r="E84" i="158"/>
  <c r="F84" i="158"/>
  <c r="C84" i="158"/>
  <c r="I85" i="158"/>
  <c r="D85" i="158"/>
  <c r="J85" i="158"/>
  <c r="E85" i="158"/>
  <c r="F85" i="158"/>
  <c r="C85" i="158"/>
  <c r="I86" i="158"/>
  <c r="D86" i="158"/>
  <c r="J86" i="158"/>
  <c r="E86" i="158"/>
  <c r="F86" i="158"/>
  <c r="C86" i="158"/>
  <c r="I87" i="158"/>
  <c r="D87" i="158"/>
  <c r="J87" i="158"/>
  <c r="E87" i="158"/>
  <c r="F87" i="158"/>
  <c r="C87" i="158"/>
  <c r="I88" i="158"/>
  <c r="D88" i="158"/>
  <c r="J88" i="158"/>
  <c r="E88" i="158"/>
  <c r="F88" i="158"/>
  <c r="C88" i="158"/>
  <c r="I89" i="158"/>
  <c r="D89" i="158"/>
  <c r="J89" i="158"/>
  <c r="E89" i="158"/>
  <c r="F89" i="158"/>
  <c r="C89" i="158"/>
  <c r="I90" i="158"/>
  <c r="D90" i="158"/>
  <c r="J90" i="158"/>
  <c r="E90" i="158"/>
  <c r="F90" i="158"/>
  <c r="C90" i="158"/>
  <c r="I91" i="158"/>
  <c r="D91" i="158"/>
  <c r="J91" i="158"/>
  <c r="E91" i="158"/>
  <c r="F91" i="158"/>
  <c r="C91" i="158"/>
  <c r="I92" i="158"/>
  <c r="D92" i="158"/>
  <c r="J92" i="158"/>
  <c r="E92" i="158"/>
  <c r="F92" i="158"/>
  <c r="C92" i="158"/>
  <c r="I93" i="158"/>
  <c r="D93" i="158"/>
  <c r="J93" i="158"/>
  <c r="E93" i="158"/>
  <c r="F93" i="158"/>
  <c r="C93" i="158"/>
  <c r="I94" i="158"/>
  <c r="D94" i="158"/>
  <c r="J94" i="158"/>
  <c r="E94" i="158"/>
  <c r="F94" i="158"/>
  <c r="C94" i="158"/>
  <c r="I95" i="158"/>
  <c r="D95" i="158"/>
  <c r="J95" i="158"/>
  <c r="E95" i="158"/>
  <c r="F95" i="158"/>
  <c r="C95" i="158"/>
  <c r="I96" i="158"/>
  <c r="D96" i="158"/>
  <c r="J96" i="158"/>
  <c r="E96" i="158"/>
  <c r="F96" i="158"/>
  <c r="C96" i="158"/>
  <c r="I97" i="158"/>
  <c r="D97" i="158"/>
  <c r="J97" i="158"/>
  <c r="E97" i="158"/>
  <c r="F97" i="158"/>
  <c r="C97" i="158"/>
  <c r="I98" i="158"/>
  <c r="D98" i="158"/>
  <c r="J98" i="158"/>
  <c r="E98" i="158"/>
  <c r="F98" i="158"/>
  <c r="C98" i="158"/>
  <c r="I99" i="158"/>
  <c r="D99" i="158"/>
  <c r="J99" i="158"/>
  <c r="E99" i="158"/>
  <c r="F99" i="158"/>
  <c r="C99" i="158"/>
  <c r="I100" i="158"/>
  <c r="D100" i="158"/>
  <c r="J100" i="158"/>
  <c r="E100" i="158"/>
  <c r="F100" i="158"/>
  <c r="C100" i="158"/>
  <c r="I101" i="158"/>
  <c r="D101" i="158"/>
  <c r="J101" i="158"/>
  <c r="E101" i="158"/>
  <c r="F101" i="158"/>
  <c r="C101" i="158"/>
  <c r="I102" i="158"/>
  <c r="D102" i="158"/>
  <c r="J102" i="158"/>
  <c r="E102" i="158"/>
  <c r="F102" i="158"/>
  <c r="C102" i="158"/>
  <c r="I103" i="158"/>
  <c r="D103" i="158"/>
  <c r="J103" i="158"/>
  <c r="E103" i="158"/>
  <c r="F103" i="158"/>
  <c r="C103" i="158"/>
  <c r="I104" i="158"/>
  <c r="D104" i="158"/>
  <c r="J104" i="158"/>
  <c r="E104" i="158"/>
  <c r="F104" i="158"/>
  <c r="C104" i="158"/>
  <c r="I105" i="158"/>
  <c r="D105" i="158"/>
  <c r="J105" i="158"/>
  <c r="E105" i="158"/>
  <c r="F105" i="158"/>
  <c r="C105" i="158"/>
  <c r="I106" i="158"/>
  <c r="D106" i="158"/>
  <c r="J106" i="158"/>
  <c r="E106" i="158"/>
  <c r="F106" i="158"/>
  <c r="C106" i="158"/>
  <c r="I107" i="158"/>
  <c r="D107" i="158"/>
  <c r="J107" i="158"/>
  <c r="E107" i="158"/>
  <c r="F107" i="158"/>
  <c r="C107" i="158"/>
  <c r="I108" i="158"/>
  <c r="D108" i="158"/>
  <c r="J108" i="158"/>
  <c r="E108" i="158"/>
  <c r="F108" i="158"/>
  <c r="C108" i="158"/>
  <c r="I109" i="158"/>
  <c r="D109" i="158"/>
  <c r="J109" i="158"/>
  <c r="E109" i="158"/>
  <c r="F109" i="158"/>
  <c r="C109" i="158"/>
  <c r="I110" i="158"/>
  <c r="D110" i="158"/>
  <c r="J110" i="158"/>
  <c r="E110" i="158"/>
  <c r="F110" i="158"/>
  <c r="C110" i="158"/>
  <c r="I111" i="158"/>
  <c r="D111" i="158"/>
  <c r="J111" i="158"/>
  <c r="E111" i="158"/>
  <c r="F111" i="158"/>
  <c r="C111" i="158"/>
  <c r="I112" i="158"/>
  <c r="D112" i="158"/>
  <c r="J112" i="158"/>
  <c r="E112" i="158"/>
  <c r="F112" i="158"/>
  <c r="C112" i="158"/>
  <c r="I113" i="158"/>
  <c r="D113" i="158"/>
  <c r="J113" i="158"/>
  <c r="E113" i="158"/>
  <c r="F113" i="158"/>
  <c r="C113" i="158"/>
  <c r="I114" i="158"/>
  <c r="D114" i="158"/>
  <c r="J114" i="158"/>
  <c r="E114" i="158"/>
  <c r="F114" i="158"/>
  <c r="C114" i="158"/>
  <c r="I115" i="158"/>
  <c r="D115" i="158"/>
  <c r="J115" i="158"/>
  <c r="E115" i="158"/>
  <c r="F115" i="158"/>
  <c r="C115" i="158"/>
  <c r="I116" i="158"/>
  <c r="D116" i="158"/>
  <c r="J116" i="158"/>
  <c r="E116" i="158"/>
  <c r="F116" i="158"/>
  <c r="C116" i="158"/>
  <c r="I117" i="158"/>
  <c r="D117" i="158"/>
  <c r="J117" i="158"/>
  <c r="E117" i="158"/>
  <c r="F117" i="158"/>
  <c r="C117" i="158"/>
  <c r="I118" i="158"/>
  <c r="D118" i="158"/>
  <c r="J118" i="158"/>
  <c r="E118" i="158"/>
  <c r="F118" i="158"/>
  <c r="C118" i="158"/>
  <c r="I119" i="158"/>
  <c r="D119" i="158"/>
  <c r="J119" i="158"/>
  <c r="E119" i="158"/>
  <c r="F119" i="158"/>
  <c r="C119" i="158"/>
  <c r="I120" i="158"/>
  <c r="D120" i="158"/>
  <c r="J120" i="158"/>
  <c r="E120" i="158"/>
  <c r="F120" i="158"/>
  <c r="C120" i="158"/>
  <c r="I121" i="158"/>
  <c r="D121" i="158"/>
  <c r="J121" i="158"/>
  <c r="E121" i="158"/>
  <c r="F121" i="158"/>
  <c r="C121" i="158"/>
  <c r="I122" i="158"/>
  <c r="D122" i="158"/>
  <c r="J122" i="158"/>
  <c r="E122" i="158"/>
  <c r="F122" i="158"/>
  <c r="C122" i="158"/>
  <c r="I123" i="158"/>
  <c r="D123" i="158"/>
  <c r="J123" i="158"/>
  <c r="E123" i="158"/>
  <c r="F123" i="158"/>
  <c r="C123" i="158"/>
  <c r="I124" i="158"/>
  <c r="D124" i="158"/>
  <c r="J124" i="158"/>
  <c r="E124" i="158"/>
  <c r="F124" i="158"/>
  <c r="C124" i="158"/>
  <c r="I125" i="158"/>
  <c r="D125" i="158"/>
  <c r="J125" i="158"/>
  <c r="E125" i="158"/>
  <c r="F125" i="158"/>
  <c r="C125" i="158"/>
  <c r="I126" i="158"/>
  <c r="D126" i="158"/>
  <c r="J126" i="158"/>
  <c r="E126" i="158"/>
  <c r="F126" i="158"/>
  <c r="C126" i="158"/>
  <c r="I127" i="158"/>
  <c r="D127" i="158"/>
  <c r="J127" i="158"/>
  <c r="E127" i="158"/>
  <c r="F127" i="158"/>
  <c r="C127" i="158"/>
  <c r="I128" i="158"/>
  <c r="D128" i="158"/>
  <c r="J128" i="158"/>
  <c r="E128" i="158"/>
  <c r="F128" i="158"/>
  <c r="C128" i="158"/>
  <c r="I129" i="158"/>
  <c r="D129" i="158"/>
  <c r="J129" i="158"/>
  <c r="E129" i="158"/>
  <c r="F129" i="158"/>
  <c r="C129" i="158"/>
  <c r="I130" i="158"/>
  <c r="D130" i="158"/>
  <c r="J130" i="158"/>
  <c r="E130" i="158"/>
  <c r="F130" i="158"/>
  <c r="C130" i="158"/>
  <c r="I131" i="158"/>
  <c r="D131" i="158"/>
  <c r="J131" i="158"/>
  <c r="E131" i="158"/>
  <c r="F131" i="158"/>
  <c r="C131" i="158"/>
  <c r="I132" i="158"/>
  <c r="D132" i="158"/>
  <c r="J132" i="158"/>
  <c r="E132" i="158"/>
  <c r="F132" i="158"/>
  <c r="C132" i="158"/>
  <c r="I133" i="158"/>
  <c r="D133" i="158"/>
  <c r="J133" i="158"/>
  <c r="E133" i="158"/>
  <c r="F133" i="158"/>
  <c r="C133" i="158"/>
  <c r="I134" i="158"/>
  <c r="D134" i="158"/>
  <c r="J134" i="158"/>
  <c r="E134" i="158"/>
  <c r="F134" i="158"/>
  <c r="C134" i="158"/>
  <c r="I135" i="158"/>
  <c r="D135" i="158"/>
  <c r="J135" i="158"/>
  <c r="E135" i="158"/>
  <c r="F135" i="158"/>
  <c r="C135" i="158"/>
  <c r="I136" i="158"/>
  <c r="D136" i="158"/>
  <c r="J136" i="158"/>
  <c r="E136" i="158"/>
  <c r="F136" i="158"/>
  <c r="C136" i="158"/>
  <c r="I137" i="158"/>
  <c r="D137" i="158"/>
  <c r="J137" i="158"/>
  <c r="E137" i="158"/>
  <c r="F137" i="158"/>
  <c r="C137" i="158"/>
  <c r="I138" i="158"/>
  <c r="D138" i="158"/>
  <c r="J138" i="158"/>
  <c r="E138" i="158"/>
  <c r="F138" i="158"/>
  <c r="C138" i="158"/>
  <c r="I139" i="158"/>
  <c r="D139" i="158"/>
  <c r="J139" i="158"/>
  <c r="E139" i="158"/>
  <c r="F139" i="158"/>
  <c r="C139" i="158"/>
  <c r="I140" i="158"/>
  <c r="D140" i="158"/>
  <c r="J140" i="158"/>
  <c r="E140" i="158"/>
  <c r="F140" i="158"/>
  <c r="C140" i="158"/>
  <c r="I141" i="158"/>
  <c r="D141" i="158"/>
  <c r="J141" i="158"/>
  <c r="E141" i="158"/>
  <c r="F141" i="158"/>
  <c r="C141" i="158"/>
  <c r="I142" i="158"/>
  <c r="D142" i="158"/>
  <c r="J142" i="158"/>
  <c r="E142" i="158"/>
  <c r="F142" i="158"/>
  <c r="C142" i="158"/>
  <c r="I143" i="158"/>
  <c r="D143" i="158"/>
  <c r="J143" i="158"/>
  <c r="E143" i="158"/>
  <c r="F143" i="158"/>
  <c r="C143" i="158"/>
  <c r="I144" i="158"/>
  <c r="D144" i="158"/>
  <c r="J144" i="158"/>
  <c r="E144" i="158"/>
  <c r="F144" i="158"/>
  <c r="C144" i="158"/>
  <c r="I145" i="158"/>
  <c r="D145" i="158"/>
  <c r="J145" i="158"/>
  <c r="E145" i="158"/>
  <c r="F145" i="158"/>
  <c r="C145" i="158"/>
  <c r="I146" i="158"/>
  <c r="D146" i="158"/>
  <c r="J146" i="158"/>
  <c r="E146" i="158"/>
  <c r="F146" i="158"/>
  <c r="C146" i="158"/>
  <c r="I147" i="158"/>
  <c r="D147" i="158"/>
  <c r="J147" i="158"/>
  <c r="E147" i="158"/>
  <c r="F147" i="158"/>
  <c r="C147" i="158"/>
  <c r="I148" i="158"/>
  <c r="D148" i="158"/>
  <c r="J148" i="158"/>
  <c r="E148" i="158"/>
  <c r="F148" i="158"/>
  <c r="C148" i="158"/>
  <c r="I149" i="158"/>
  <c r="D149" i="158"/>
  <c r="J149" i="158"/>
  <c r="E149" i="158"/>
  <c r="F149" i="158"/>
  <c r="C149" i="158"/>
  <c r="I150" i="158"/>
  <c r="D150" i="158"/>
  <c r="J150" i="158"/>
  <c r="E150" i="158"/>
  <c r="F150" i="158"/>
  <c r="C150" i="158"/>
  <c r="I151" i="158"/>
  <c r="D151" i="158"/>
  <c r="J151" i="158"/>
  <c r="E151" i="158"/>
  <c r="F151" i="158"/>
  <c r="C151" i="158"/>
  <c r="I152" i="158"/>
  <c r="D152" i="158"/>
  <c r="J152" i="158"/>
  <c r="E152" i="158"/>
  <c r="F152" i="158"/>
  <c r="C152" i="158"/>
  <c r="I153" i="158"/>
  <c r="D153" i="158"/>
  <c r="J153" i="158"/>
  <c r="E153" i="158"/>
  <c r="F153" i="158"/>
  <c r="C153" i="158"/>
  <c r="I154" i="158"/>
  <c r="D154" i="158"/>
  <c r="J154" i="158"/>
  <c r="E154" i="158"/>
  <c r="F154" i="158"/>
  <c r="C154" i="158"/>
  <c r="I155" i="158"/>
  <c r="D155" i="158"/>
  <c r="J155" i="158"/>
  <c r="E155" i="158"/>
  <c r="F155" i="158"/>
  <c r="C155" i="158"/>
  <c r="I156" i="158"/>
  <c r="D156" i="158"/>
  <c r="J156" i="158"/>
  <c r="E156" i="158"/>
  <c r="F156" i="158"/>
  <c r="C156" i="158"/>
  <c r="I157" i="158"/>
  <c r="D157" i="158"/>
  <c r="J157" i="158"/>
  <c r="E157" i="158"/>
  <c r="F157" i="158"/>
  <c r="C157" i="158"/>
  <c r="I158" i="158"/>
  <c r="D158" i="158"/>
  <c r="J158" i="158"/>
  <c r="E158" i="158"/>
  <c r="F158" i="158"/>
  <c r="C158" i="158"/>
  <c r="I159" i="158"/>
  <c r="D159" i="158"/>
  <c r="J159" i="158"/>
  <c r="E159" i="158"/>
  <c r="F159" i="158"/>
  <c r="C159" i="158"/>
  <c r="I160" i="158"/>
  <c r="D160" i="158"/>
  <c r="J160" i="158"/>
  <c r="E160" i="158"/>
  <c r="F160" i="158"/>
  <c r="C160" i="158"/>
  <c r="I161" i="158"/>
  <c r="D161" i="158"/>
  <c r="J161" i="158"/>
  <c r="E161" i="158"/>
  <c r="F161" i="158"/>
  <c r="C161" i="158"/>
  <c r="I162" i="158"/>
  <c r="D162" i="158"/>
  <c r="J162" i="158"/>
  <c r="E162" i="158"/>
  <c r="F162" i="158"/>
  <c r="C162" i="158"/>
  <c r="I163" i="158"/>
  <c r="D163" i="158"/>
  <c r="J163" i="158"/>
  <c r="E163" i="158"/>
  <c r="F163" i="158"/>
  <c r="C163" i="158"/>
  <c r="I164" i="158"/>
  <c r="D164" i="158"/>
  <c r="J164" i="158"/>
  <c r="E164" i="158"/>
  <c r="F164" i="158"/>
  <c r="C164" i="158"/>
  <c r="I165" i="158"/>
  <c r="D165" i="158"/>
  <c r="J165" i="158"/>
  <c r="E165" i="158"/>
  <c r="F165" i="158"/>
  <c r="C165" i="158"/>
  <c r="I166" i="158"/>
  <c r="D166" i="158"/>
  <c r="J166" i="158"/>
  <c r="E166" i="158"/>
  <c r="F166" i="158"/>
  <c r="C166" i="158"/>
  <c r="I167" i="158"/>
  <c r="D167" i="158"/>
  <c r="J167" i="158"/>
  <c r="E167" i="158"/>
  <c r="F167" i="158"/>
  <c r="C167" i="158"/>
  <c r="I168" i="158"/>
  <c r="D168" i="158"/>
  <c r="J168" i="158"/>
  <c r="E168" i="158"/>
  <c r="F168" i="158"/>
  <c r="C168" i="158"/>
  <c r="I169" i="158"/>
  <c r="D169" i="158"/>
  <c r="J169" i="158"/>
  <c r="E169" i="158"/>
  <c r="F169" i="158"/>
  <c r="C169" i="158"/>
  <c r="I170" i="158"/>
  <c r="D170" i="158"/>
  <c r="J170" i="158"/>
  <c r="E170" i="158"/>
  <c r="F170" i="158"/>
  <c r="C170" i="158"/>
  <c r="I171" i="158"/>
  <c r="D171" i="158"/>
  <c r="J171" i="158"/>
  <c r="E171" i="158"/>
  <c r="F171" i="158"/>
  <c r="C171" i="158"/>
  <c r="I172" i="158"/>
  <c r="D172" i="158"/>
  <c r="J172" i="158"/>
  <c r="E172" i="158"/>
  <c r="F172" i="158"/>
  <c r="C172" i="158"/>
  <c r="I173" i="158"/>
  <c r="D173" i="158"/>
  <c r="J173" i="158"/>
  <c r="E173" i="158"/>
  <c r="F173" i="158"/>
  <c r="C173" i="158"/>
  <c r="I174" i="158"/>
  <c r="D174" i="158"/>
  <c r="J174" i="158"/>
  <c r="E174" i="158"/>
  <c r="F174" i="158"/>
  <c r="C174" i="158"/>
  <c r="I175" i="158"/>
  <c r="D175" i="158"/>
  <c r="J175" i="158"/>
  <c r="E175" i="158"/>
  <c r="F175" i="158"/>
  <c r="C175" i="158"/>
  <c r="I176" i="158"/>
  <c r="D176" i="158"/>
  <c r="J176" i="158"/>
  <c r="E176" i="158"/>
  <c r="F176" i="158"/>
  <c r="C176" i="158"/>
  <c r="I177" i="158"/>
  <c r="D177" i="158"/>
  <c r="J177" i="158"/>
  <c r="E177" i="158"/>
  <c r="F177" i="158"/>
  <c r="C177" i="158"/>
  <c r="I178" i="158"/>
  <c r="D178" i="158"/>
  <c r="J178" i="158"/>
  <c r="E178" i="158"/>
  <c r="F178" i="158"/>
  <c r="C178" i="158"/>
  <c r="I179" i="158"/>
  <c r="D179" i="158"/>
  <c r="J179" i="158"/>
  <c r="E179" i="158"/>
  <c r="F179" i="158"/>
  <c r="C179" i="158"/>
  <c r="I180" i="158"/>
  <c r="D180" i="158"/>
  <c r="J180" i="158"/>
  <c r="E180" i="158"/>
  <c r="F180" i="158"/>
  <c r="C180" i="158"/>
  <c r="I181" i="158"/>
  <c r="D181" i="158"/>
  <c r="J181" i="158"/>
  <c r="E181" i="158"/>
  <c r="F181" i="158"/>
  <c r="C181" i="158"/>
  <c r="I182" i="158"/>
  <c r="D182" i="158"/>
  <c r="J182" i="158"/>
  <c r="E182" i="158"/>
  <c r="F182" i="158"/>
  <c r="C182" i="158"/>
  <c r="I183" i="158"/>
  <c r="D183" i="158"/>
  <c r="J183" i="158"/>
  <c r="E183" i="158"/>
  <c r="F183" i="158"/>
  <c r="C183" i="158"/>
  <c r="I184" i="158"/>
  <c r="D184" i="158"/>
  <c r="J184" i="158"/>
  <c r="E184" i="158"/>
  <c r="F184" i="158"/>
  <c r="C184" i="158"/>
  <c r="I185" i="158"/>
  <c r="D185" i="158"/>
  <c r="J185" i="158"/>
  <c r="E185" i="158"/>
  <c r="F185" i="158"/>
  <c r="C185" i="158"/>
  <c r="I186" i="158"/>
  <c r="D186" i="158"/>
  <c r="J186" i="158"/>
  <c r="E186" i="158"/>
  <c r="F186" i="158"/>
  <c r="C186" i="158"/>
  <c r="I187" i="158"/>
  <c r="D187" i="158"/>
  <c r="J187" i="158"/>
  <c r="E187" i="158"/>
  <c r="F187" i="158"/>
  <c r="C187" i="158"/>
  <c r="I188" i="158"/>
  <c r="D188" i="158"/>
  <c r="J188" i="158"/>
  <c r="E188" i="158"/>
  <c r="F188" i="158"/>
  <c r="C188" i="158"/>
  <c r="I189" i="158"/>
  <c r="D189" i="158"/>
  <c r="J189" i="158"/>
  <c r="E189" i="158"/>
  <c r="F189" i="158"/>
  <c r="C189" i="158"/>
  <c r="I190" i="158"/>
  <c r="D190" i="158"/>
  <c r="J190" i="158"/>
  <c r="E190" i="158"/>
  <c r="F190" i="158"/>
  <c r="C190" i="158"/>
  <c r="I191" i="158"/>
  <c r="D191" i="158"/>
  <c r="J191" i="158"/>
  <c r="E191" i="158"/>
  <c r="F191" i="158"/>
  <c r="C191" i="158"/>
  <c r="I192" i="158"/>
  <c r="D192" i="158"/>
  <c r="J192" i="158"/>
  <c r="E192" i="158"/>
  <c r="F192" i="158"/>
  <c r="C192" i="158"/>
  <c r="I193" i="158"/>
  <c r="D193" i="158"/>
  <c r="J193" i="158"/>
  <c r="E193" i="158"/>
  <c r="F193" i="158"/>
  <c r="C193" i="158"/>
  <c r="I194" i="158"/>
  <c r="D194" i="158"/>
  <c r="J194" i="158"/>
  <c r="E194" i="158"/>
  <c r="F194" i="158"/>
  <c r="C194" i="158"/>
  <c r="I195" i="158"/>
  <c r="D195" i="158"/>
  <c r="J195" i="158"/>
  <c r="E195" i="158"/>
  <c r="F195" i="158"/>
  <c r="C195" i="158"/>
  <c r="I196" i="158"/>
  <c r="D196" i="158"/>
  <c r="J196" i="158"/>
  <c r="E196" i="158"/>
  <c r="F196" i="158"/>
  <c r="C196" i="158"/>
  <c r="I197" i="158"/>
  <c r="D197" i="158"/>
  <c r="J197" i="158"/>
  <c r="E197" i="158"/>
  <c r="F197" i="158"/>
  <c r="C197" i="158"/>
  <c r="I198" i="158"/>
  <c r="D198" i="158"/>
  <c r="J198" i="158"/>
  <c r="E198" i="158"/>
  <c r="F198" i="158"/>
  <c r="C198" i="158"/>
  <c r="I199" i="158"/>
  <c r="D199" i="158"/>
  <c r="J199" i="158"/>
  <c r="E199" i="158"/>
  <c r="F199" i="158"/>
  <c r="C199" i="158"/>
  <c r="I200" i="158"/>
  <c r="D200" i="158"/>
  <c r="J200" i="158"/>
  <c r="E200" i="158"/>
  <c r="F200" i="158"/>
  <c r="C200" i="158"/>
  <c r="I201" i="158"/>
  <c r="D201" i="158"/>
  <c r="J201" i="158"/>
  <c r="E201" i="158"/>
  <c r="F201" i="158"/>
  <c r="C201" i="158"/>
  <c r="I202" i="158"/>
  <c r="D202" i="158"/>
  <c r="J202" i="158"/>
  <c r="E202" i="158"/>
  <c r="F202" i="158"/>
  <c r="C202" i="158"/>
  <c r="I203" i="158"/>
  <c r="D203" i="158"/>
  <c r="J203" i="158"/>
  <c r="E203" i="158"/>
  <c r="F203" i="158"/>
  <c r="C203" i="158"/>
  <c r="I204" i="158"/>
  <c r="D204" i="158"/>
  <c r="J204" i="158"/>
  <c r="E204" i="158"/>
  <c r="F204" i="158"/>
  <c r="C204" i="158"/>
  <c r="I205" i="158"/>
  <c r="D205" i="158"/>
  <c r="J205" i="158"/>
  <c r="E205" i="158"/>
  <c r="F205" i="158"/>
  <c r="C205" i="158"/>
  <c r="I206" i="158"/>
  <c r="D206" i="158"/>
  <c r="J206" i="158"/>
  <c r="E206" i="158"/>
  <c r="F206" i="158"/>
  <c r="C206" i="158"/>
  <c r="I207" i="158"/>
  <c r="D207" i="158"/>
  <c r="J207" i="158"/>
  <c r="E207" i="158"/>
  <c r="F207" i="158"/>
  <c r="C207" i="158"/>
  <c r="I208" i="158"/>
  <c r="D208" i="158"/>
  <c r="J208" i="158"/>
  <c r="E208" i="158"/>
  <c r="F208" i="158"/>
  <c r="C208" i="158"/>
  <c r="I209" i="158"/>
  <c r="D209" i="158"/>
  <c r="J209" i="158"/>
  <c r="E209" i="158"/>
  <c r="F209" i="158"/>
  <c r="C209" i="158"/>
  <c r="I210" i="158"/>
  <c r="D210" i="158"/>
  <c r="J210" i="158"/>
  <c r="E210" i="158"/>
  <c r="F210" i="158"/>
  <c r="C210" i="158"/>
  <c r="I211" i="158"/>
  <c r="D211" i="158"/>
  <c r="J211" i="158"/>
  <c r="E211" i="158"/>
  <c r="F211" i="158"/>
  <c r="C211" i="158"/>
  <c r="I212" i="158"/>
  <c r="D212" i="158"/>
  <c r="J212" i="158"/>
  <c r="E212" i="158"/>
  <c r="F212" i="158"/>
  <c r="C212" i="158"/>
  <c r="I213" i="158"/>
  <c r="D213" i="158"/>
  <c r="J213" i="158"/>
  <c r="E213" i="158"/>
  <c r="F213" i="158"/>
  <c r="C213" i="158"/>
  <c r="I214" i="158"/>
  <c r="D214" i="158"/>
  <c r="J214" i="158"/>
  <c r="E214" i="158"/>
  <c r="F214" i="158"/>
  <c r="C214" i="158"/>
  <c r="I215" i="158"/>
  <c r="J215" i="158"/>
  <c r="D215" i="158"/>
  <c r="E215" i="158"/>
  <c r="F215" i="158"/>
  <c r="C215" i="158"/>
  <c r="I216" i="158"/>
  <c r="J216" i="158"/>
  <c r="D216" i="158"/>
  <c r="E216" i="158"/>
  <c r="F216" i="158"/>
  <c r="C216" i="158"/>
  <c r="I217" i="158"/>
  <c r="J217" i="158"/>
  <c r="D217" i="158"/>
  <c r="E217" i="158"/>
  <c r="F217" i="158"/>
  <c r="C217" i="158"/>
  <c r="I218" i="158"/>
  <c r="J218" i="158"/>
  <c r="D218" i="158"/>
  <c r="E218" i="158"/>
  <c r="F218" i="158"/>
  <c r="C218" i="158"/>
  <c r="I219" i="158"/>
  <c r="J219" i="158"/>
  <c r="D219" i="158"/>
  <c r="E219" i="158"/>
  <c r="F219" i="158"/>
  <c r="C219" i="158"/>
  <c r="I220" i="158"/>
  <c r="J220" i="158"/>
  <c r="D220" i="158"/>
  <c r="E220" i="158"/>
  <c r="F220" i="158"/>
  <c r="C220" i="158"/>
  <c r="I221" i="158"/>
  <c r="D221" i="158"/>
  <c r="J221" i="158"/>
  <c r="E221" i="158"/>
  <c r="F221" i="158"/>
  <c r="C221" i="158"/>
  <c r="I222" i="158"/>
  <c r="D222" i="158"/>
  <c r="J222" i="158"/>
  <c r="E222" i="158"/>
  <c r="F222" i="158"/>
  <c r="C222" i="158"/>
  <c r="I223" i="158"/>
  <c r="D223" i="158"/>
  <c r="J223" i="158"/>
  <c r="E223" i="158"/>
  <c r="F223" i="158"/>
  <c r="C223" i="158"/>
  <c r="I224" i="158"/>
  <c r="D224" i="158"/>
  <c r="J224" i="158"/>
  <c r="E224" i="158"/>
  <c r="F224" i="158"/>
  <c r="C224" i="158"/>
  <c r="I225" i="158"/>
  <c r="D225" i="158"/>
  <c r="J225" i="158"/>
  <c r="E225" i="158"/>
  <c r="F225" i="158"/>
  <c r="C225" i="158"/>
  <c r="I226" i="158"/>
  <c r="D226" i="158"/>
  <c r="J226" i="158"/>
  <c r="E226" i="158"/>
  <c r="F226" i="158"/>
  <c r="C226" i="158"/>
  <c r="I227" i="158"/>
  <c r="D227" i="158"/>
  <c r="J227" i="158"/>
  <c r="E227" i="158"/>
  <c r="F227" i="158"/>
  <c r="C227" i="158"/>
  <c r="I228" i="158"/>
  <c r="D228" i="158"/>
  <c r="J228" i="158"/>
  <c r="E228" i="158"/>
  <c r="F228" i="158"/>
  <c r="C228" i="158"/>
  <c r="I229" i="158"/>
  <c r="D229" i="158"/>
  <c r="J229" i="158"/>
  <c r="E229" i="158"/>
  <c r="F229" i="158"/>
  <c r="C229" i="158"/>
  <c r="I230" i="158"/>
  <c r="D230" i="158"/>
  <c r="J230" i="158"/>
  <c r="E230" i="158"/>
  <c r="F230" i="158"/>
  <c r="C230" i="158"/>
  <c r="I231" i="158"/>
  <c r="D231" i="158"/>
  <c r="J231" i="158"/>
  <c r="E231" i="158"/>
  <c r="F231" i="158"/>
  <c r="C231" i="158"/>
  <c r="I232" i="158"/>
  <c r="D232" i="158"/>
  <c r="J232" i="158"/>
  <c r="E232" i="158"/>
  <c r="F232" i="158"/>
  <c r="C232" i="158"/>
  <c r="I233" i="158"/>
  <c r="D233" i="158"/>
  <c r="J233" i="158"/>
  <c r="E233" i="158"/>
  <c r="F233" i="158"/>
  <c r="C233" i="158"/>
  <c r="I234" i="158"/>
  <c r="D234" i="158"/>
  <c r="J234" i="158"/>
  <c r="E234" i="158"/>
  <c r="F234" i="158"/>
  <c r="C234" i="158"/>
  <c r="I235" i="158"/>
  <c r="D235" i="158"/>
  <c r="J235" i="158"/>
  <c r="E235" i="158"/>
  <c r="F235" i="158"/>
  <c r="C235" i="158"/>
  <c r="I236" i="158"/>
  <c r="D236" i="158"/>
  <c r="J236" i="158"/>
  <c r="E236" i="158"/>
  <c r="F236" i="158"/>
  <c r="C236" i="158"/>
  <c r="I237" i="158"/>
  <c r="D237" i="158"/>
  <c r="J237" i="158"/>
  <c r="E237" i="158"/>
  <c r="F237" i="158"/>
  <c r="C237" i="158"/>
  <c r="I238" i="158"/>
  <c r="D238" i="158"/>
  <c r="J238" i="158"/>
  <c r="E238" i="158"/>
  <c r="F238" i="158"/>
  <c r="C238" i="158"/>
  <c r="I239" i="158"/>
  <c r="D239" i="158"/>
  <c r="J239" i="158"/>
  <c r="E239" i="158"/>
  <c r="F239" i="158"/>
  <c r="C239" i="158"/>
  <c r="I240" i="158"/>
  <c r="D240" i="158"/>
  <c r="J240" i="158"/>
  <c r="E240" i="158"/>
  <c r="F240" i="158"/>
  <c r="C240" i="158"/>
  <c r="I241" i="158"/>
  <c r="D241" i="158"/>
  <c r="J241" i="158"/>
  <c r="E241" i="158"/>
  <c r="F241" i="158"/>
  <c r="C241" i="158"/>
  <c r="I242" i="158"/>
  <c r="D242" i="158"/>
  <c r="J242" i="158"/>
  <c r="E242" i="158"/>
  <c r="F242" i="158"/>
  <c r="C242" i="158"/>
  <c r="I243" i="158"/>
  <c r="D243" i="158"/>
  <c r="J243" i="158"/>
  <c r="E243" i="158"/>
  <c r="F243" i="158"/>
  <c r="C243" i="158"/>
  <c r="I244" i="158"/>
  <c r="D244" i="158"/>
  <c r="J244" i="158"/>
  <c r="E244" i="158"/>
  <c r="F244" i="158"/>
  <c r="C244" i="158"/>
  <c r="I245" i="158"/>
  <c r="D245" i="158"/>
  <c r="J245" i="158"/>
  <c r="E245" i="158"/>
  <c r="F245" i="158"/>
  <c r="C245" i="158"/>
  <c r="I246" i="158"/>
  <c r="D246" i="158"/>
  <c r="J246" i="158"/>
  <c r="E246" i="158"/>
  <c r="F246" i="158"/>
  <c r="C246" i="158"/>
  <c r="I247" i="158"/>
  <c r="D247" i="158"/>
  <c r="J247" i="158"/>
  <c r="E247" i="158"/>
  <c r="F247" i="158"/>
  <c r="C247" i="158"/>
  <c r="I248" i="158"/>
  <c r="D248" i="158"/>
  <c r="J248" i="158"/>
  <c r="E248" i="158"/>
  <c r="F248" i="158"/>
  <c r="C248" i="158"/>
  <c r="I249" i="158"/>
  <c r="D249" i="158"/>
  <c r="J249" i="158"/>
  <c r="E249" i="158"/>
  <c r="F249" i="158"/>
  <c r="C249" i="158"/>
  <c r="I250" i="158"/>
  <c r="D250" i="158"/>
  <c r="J250" i="158"/>
  <c r="E250" i="158"/>
  <c r="F250" i="158"/>
  <c r="C250" i="158"/>
  <c r="I251" i="158"/>
  <c r="D251" i="158"/>
  <c r="J251" i="158"/>
  <c r="E251" i="158"/>
  <c r="F251" i="158"/>
  <c r="C251" i="158"/>
  <c r="I252" i="158"/>
  <c r="D252" i="158"/>
  <c r="J252" i="158"/>
  <c r="E252" i="158"/>
  <c r="F252" i="158"/>
  <c r="C252" i="158"/>
  <c r="I253" i="158"/>
  <c r="D253" i="158"/>
  <c r="J253" i="158"/>
  <c r="E253" i="158"/>
  <c r="F253" i="158"/>
  <c r="C253" i="158"/>
  <c r="I254" i="158"/>
  <c r="D254" i="158"/>
  <c r="J254" i="158"/>
  <c r="E254" i="158"/>
  <c r="F254" i="158"/>
  <c r="C254" i="158"/>
  <c r="I255" i="158"/>
  <c r="D255" i="158"/>
  <c r="J255" i="158"/>
  <c r="E255" i="158"/>
  <c r="F255" i="158"/>
  <c r="C255" i="158"/>
  <c r="I256" i="158"/>
  <c r="D256" i="158"/>
  <c r="J256" i="158"/>
  <c r="E256" i="158"/>
  <c r="F256" i="158"/>
  <c r="C256" i="158"/>
  <c r="I257" i="158"/>
  <c r="D257" i="158"/>
  <c r="J257" i="158"/>
  <c r="E257" i="158"/>
  <c r="F257" i="158"/>
  <c r="C257" i="158"/>
  <c r="I258" i="158"/>
  <c r="D258" i="158"/>
  <c r="J258" i="158"/>
  <c r="E258" i="158"/>
  <c r="F258" i="158"/>
  <c r="C258" i="158"/>
  <c r="I259" i="158"/>
  <c r="D259" i="158"/>
  <c r="J259" i="158"/>
  <c r="E259" i="158"/>
  <c r="F259" i="158"/>
  <c r="C259" i="158"/>
  <c r="I260" i="158"/>
  <c r="D260" i="158"/>
  <c r="J260" i="158"/>
  <c r="E260" i="158"/>
  <c r="F260" i="158"/>
  <c r="C260" i="158"/>
  <c r="I261" i="158"/>
  <c r="D261" i="158"/>
  <c r="J261" i="158"/>
  <c r="E261" i="158"/>
  <c r="F261" i="158"/>
  <c r="C261" i="158"/>
  <c r="I262" i="158"/>
  <c r="D262" i="158"/>
  <c r="J262" i="158"/>
  <c r="E262" i="158"/>
  <c r="F262" i="158"/>
  <c r="C262" i="158"/>
  <c r="I263" i="158"/>
  <c r="D263" i="158"/>
  <c r="J263" i="158"/>
  <c r="E263" i="158"/>
  <c r="F263" i="158"/>
  <c r="C263" i="158"/>
  <c r="I264" i="158"/>
  <c r="D264" i="158"/>
  <c r="J264" i="158"/>
  <c r="E264" i="158"/>
  <c r="F264" i="158"/>
  <c r="C264" i="158"/>
  <c r="I265" i="158"/>
  <c r="D265" i="158"/>
  <c r="J265" i="158"/>
  <c r="E265" i="158"/>
  <c r="F265" i="158"/>
  <c r="C265" i="158"/>
  <c r="I266" i="158"/>
  <c r="D266" i="158"/>
  <c r="J266" i="158"/>
  <c r="E266" i="158"/>
  <c r="F266" i="158"/>
  <c r="C266" i="158"/>
  <c r="I267" i="158"/>
  <c r="D267" i="158"/>
  <c r="J267" i="158"/>
  <c r="E267" i="158"/>
  <c r="F267" i="158"/>
  <c r="C267" i="158"/>
  <c r="I268" i="158"/>
  <c r="D268" i="158"/>
  <c r="J268" i="158"/>
  <c r="E268" i="158"/>
  <c r="F268" i="158"/>
  <c r="C268" i="158"/>
  <c r="I269" i="158"/>
  <c r="D269" i="158"/>
  <c r="J269" i="158"/>
  <c r="E269" i="158"/>
  <c r="F269" i="158"/>
  <c r="C269" i="158"/>
  <c r="I270" i="158"/>
  <c r="D270" i="158"/>
  <c r="J270" i="158"/>
  <c r="E270" i="158"/>
  <c r="F270" i="158"/>
  <c r="C270" i="158"/>
  <c r="I271" i="158"/>
  <c r="D271" i="158"/>
  <c r="J271" i="158"/>
  <c r="E271" i="158"/>
  <c r="F271" i="158"/>
  <c r="C271" i="158"/>
  <c r="I272" i="158"/>
  <c r="D272" i="158"/>
  <c r="J272" i="158"/>
  <c r="E272" i="158"/>
  <c r="F272" i="158"/>
  <c r="C272" i="158"/>
  <c r="I273" i="158"/>
  <c r="D273" i="158"/>
  <c r="J273" i="158"/>
  <c r="E273" i="158"/>
  <c r="F273" i="158"/>
  <c r="C273" i="158"/>
  <c r="I274" i="158"/>
  <c r="D274" i="158"/>
  <c r="J274" i="158"/>
  <c r="E274" i="158"/>
  <c r="F274" i="158"/>
  <c r="C274" i="158"/>
  <c r="I275" i="158"/>
  <c r="D275" i="158"/>
  <c r="J275" i="158"/>
  <c r="E275" i="158"/>
  <c r="F275" i="158"/>
  <c r="C275" i="158"/>
  <c r="I276" i="158"/>
  <c r="D276" i="158"/>
  <c r="J276" i="158"/>
  <c r="E276" i="158"/>
  <c r="F276" i="158"/>
  <c r="C276" i="158"/>
  <c r="I277" i="158"/>
  <c r="D277" i="158"/>
  <c r="J277" i="158"/>
  <c r="E277" i="158"/>
  <c r="F277" i="158"/>
  <c r="C277" i="158"/>
  <c r="I278" i="158"/>
  <c r="D278" i="158"/>
  <c r="J278" i="158"/>
  <c r="E278" i="158"/>
  <c r="F278" i="158"/>
  <c r="C278" i="158"/>
  <c r="I279" i="158"/>
  <c r="D279" i="158"/>
  <c r="J279" i="158"/>
  <c r="E279" i="158"/>
  <c r="F279" i="158"/>
  <c r="C279" i="158"/>
  <c r="I280" i="158"/>
  <c r="D280" i="158"/>
  <c r="J280" i="158"/>
  <c r="E280" i="158"/>
  <c r="F280" i="158"/>
  <c r="C280" i="158"/>
  <c r="I281" i="158"/>
  <c r="D281" i="158"/>
  <c r="J281" i="158"/>
  <c r="E281" i="158"/>
  <c r="F281" i="158"/>
  <c r="C281" i="158"/>
  <c r="I282" i="158"/>
  <c r="D282" i="158"/>
  <c r="J282" i="158"/>
  <c r="E282" i="158"/>
  <c r="F282" i="158"/>
  <c r="C282" i="158"/>
  <c r="I283" i="158"/>
  <c r="D283" i="158"/>
  <c r="J283" i="158"/>
  <c r="E283" i="158"/>
  <c r="F283" i="158"/>
  <c r="C283" i="158"/>
  <c r="I284" i="158"/>
  <c r="D284" i="158"/>
  <c r="J284" i="158"/>
  <c r="E284" i="158"/>
  <c r="F284" i="158"/>
  <c r="C284" i="158"/>
  <c r="I285" i="158"/>
  <c r="D285" i="158"/>
  <c r="J285" i="158"/>
  <c r="E285" i="158"/>
  <c r="F285" i="158"/>
  <c r="C285" i="158"/>
  <c r="I286" i="158"/>
  <c r="D286" i="158"/>
  <c r="J286" i="158"/>
  <c r="E286" i="158"/>
  <c r="F286" i="158"/>
  <c r="C286" i="158"/>
  <c r="I287" i="158"/>
  <c r="D287" i="158"/>
  <c r="J287" i="158"/>
  <c r="E287" i="158"/>
  <c r="F287" i="158"/>
  <c r="C287" i="158"/>
  <c r="I288" i="158"/>
  <c r="D288" i="158"/>
  <c r="J288" i="158"/>
  <c r="E288" i="158"/>
  <c r="F288" i="158"/>
  <c r="C288" i="158"/>
  <c r="I289" i="158"/>
  <c r="D289" i="158"/>
  <c r="J289" i="158"/>
  <c r="E289" i="158"/>
  <c r="F289" i="158"/>
  <c r="C289" i="158"/>
  <c r="I290" i="158"/>
  <c r="D290" i="158"/>
  <c r="J290" i="158"/>
  <c r="E290" i="158"/>
  <c r="F290" i="158"/>
  <c r="C290" i="158"/>
  <c r="I291" i="158"/>
  <c r="D291" i="158"/>
  <c r="J291" i="158"/>
  <c r="E291" i="158"/>
  <c r="F291" i="158"/>
  <c r="C291" i="158"/>
  <c r="I292" i="158"/>
  <c r="D292" i="158"/>
  <c r="J292" i="158"/>
  <c r="E292" i="158"/>
  <c r="F292" i="158"/>
  <c r="C292" i="158"/>
  <c r="I293" i="158"/>
  <c r="D293" i="158"/>
  <c r="J293" i="158"/>
  <c r="E293" i="158"/>
  <c r="F293" i="158"/>
  <c r="C293" i="158"/>
  <c r="I294" i="158"/>
  <c r="D294" i="158"/>
  <c r="J294" i="158"/>
  <c r="E294" i="158"/>
  <c r="F294" i="158"/>
  <c r="C294" i="158"/>
  <c r="I295" i="158"/>
  <c r="D295" i="158"/>
  <c r="J295" i="158"/>
  <c r="E295" i="158"/>
  <c r="F295" i="158"/>
  <c r="C295" i="158"/>
  <c r="I296" i="158"/>
  <c r="D296" i="158"/>
  <c r="J296" i="158"/>
  <c r="E296" i="158"/>
  <c r="F296" i="158"/>
  <c r="C296" i="158"/>
  <c r="I297" i="158"/>
  <c r="D297" i="158"/>
  <c r="J297" i="158"/>
  <c r="E297" i="158"/>
  <c r="F297" i="158"/>
  <c r="C297" i="158"/>
  <c r="I298" i="158"/>
  <c r="D298" i="158"/>
  <c r="J298" i="158"/>
  <c r="E298" i="158"/>
  <c r="F298" i="158"/>
  <c r="C298" i="158"/>
  <c r="I299" i="158"/>
  <c r="D299" i="158"/>
  <c r="J299" i="158"/>
  <c r="E299" i="158"/>
  <c r="F299" i="158"/>
  <c r="C299" i="158"/>
  <c r="I300" i="158"/>
  <c r="D300" i="158"/>
  <c r="J300" i="158"/>
  <c r="E300" i="158"/>
  <c r="F300" i="158"/>
  <c r="C300" i="158"/>
  <c r="I301" i="158"/>
  <c r="D301" i="158"/>
  <c r="J301" i="158"/>
  <c r="E301" i="158"/>
  <c r="F301" i="158"/>
  <c r="C301" i="158"/>
  <c r="I302" i="158"/>
  <c r="D302" i="158"/>
  <c r="J302" i="158"/>
  <c r="E302" i="158"/>
  <c r="F302" i="158"/>
  <c r="C302" i="158"/>
  <c r="I303" i="158"/>
  <c r="D303" i="158"/>
  <c r="J303" i="158"/>
  <c r="E303" i="158"/>
  <c r="F303" i="158"/>
  <c r="C303" i="158"/>
  <c r="I304" i="158"/>
  <c r="D304" i="158"/>
  <c r="J304" i="158"/>
  <c r="E304" i="158"/>
  <c r="F304" i="158"/>
  <c r="C304" i="158"/>
  <c r="I305" i="158"/>
  <c r="D305" i="158"/>
  <c r="J305" i="158"/>
  <c r="E305" i="158"/>
  <c r="F305" i="158"/>
  <c r="C305" i="158"/>
  <c r="I306" i="158"/>
  <c r="D306" i="158"/>
  <c r="J306" i="158"/>
  <c r="E306" i="158"/>
  <c r="F306" i="158"/>
  <c r="C306" i="158"/>
  <c r="I307" i="158"/>
  <c r="D307" i="158"/>
  <c r="J307" i="158"/>
  <c r="E307" i="158"/>
  <c r="F307" i="158"/>
  <c r="C307" i="158"/>
  <c r="I308" i="158"/>
  <c r="D308" i="158"/>
  <c r="J308" i="158"/>
  <c r="E308" i="158"/>
  <c r="F308" i="158"/>
  <c r="C308" i="158"/>
  <c r="I309" i="158"/>
  <c r="D309" i="158"/>
  <c r="J309" i="158"/>
  <c r="E309" i="158"/>
  <c r="F309" i="158"/>
  <c r="C309" i="158"/>
  <c r="I310" i="158"/>
  <c r="D310" i="158"/>
  <c r="J310" i="158"/>
  <c r="E310" i="158"/>
  <c r="F310" i="158"/>
  <c r="C310" i="158"/>
  <c r="I311" i="158"/>
  <c r="D311" i="158"/>
  <c r="J311" i="158"/>
  <c r="E311" i="158"/>
  <c r="F311" i="158"/>
  <c r="C311" i="158"/>
  <c r="I312" i="158"/>
  <c r="D312" i="158"/>
  <c r="J312" i="158"/>
  <c r="E312" i="158"/>
  <c r="F312" i="158"/>
  <c r="C312" i="158"/>
  <c r="I313" i="158"/>
  <c r="D313" i="158"/>
  <c r="J313" i="158"/>
  <c r="E313" i="158"/>
  <c r="F313" i="158"/>
  <c r="C313" i="158"/>
  <c r="I314" i="158"/>
  <c r="D314" i="158"/>
  <c r="J314" i="158"/>
  <c r="E314" i="158"/>
  <c r="F314" i="158"/>
  <c r="C314" i="158"/>
  <c r="I315" i="158"/>
  <c r="D315" i="158"/>
  <c r="J315" i="158"/>
  <c r="E315" i="158"/>
  <c r="F315" i="158"/>
  <c r="C315" i="158"/>
  <c r="I316" i="158"/>
  <c r="D316" i="158"/>
  <c r="J316" i="158"/>
  <c r="E316" i="158"/>
  <c r="F316" i="158"/>
  <c r="C316" i="158"/>
  <c r="I317" i="158"/>
  <c r="D317" i="158"/>
  <c r="J317" i="158"/>
  <c r="E317" i="158"/>
  <c r="F317" i="158"/>
  <c r="C317" i="158"/>
  <c r="I318" i="158"/>
  <c r="D318" i="158"/>
  <c r="J318" i="158"/>
  <c r="E318" i="158"/>
  <c r="F318" i="158"/>
  <c r="C318" i="158"/>
  <c r="I319" i="158"/>
  <c r="D319" i="158"/>
  <c r="J319" i="158"/>
  <c r="E319" i="158"/>
  <c r="F319" i="158"/>
  <c r="C319" i="158"/>
  <c r="I320" i="158"/>
  <c r="D320" i="158"/>
  <c r="J320" i="158"/>
  <c r="E320" i="158"/>
  <c r="F320" i="158"/>
  <c r="C320" i="158"/>
  <c r="I321" i="158"/>
  <c r="D321" i="158"/>
  <c r="J321" i="158"/>
  <c r="E321" i="158"/>
  <c r="F321" i="158"/>
  <c r="C321" i="158"/>
  <c r="I322" i="158"/>
  <c r="D322" i="158"/>
  <c r="J322" i="158"/>
  <c r="E322" i="158"/>
  <c r="F322" i="158"/>
  <c r="C322" i="158"/>
  <c r="I323" i="158"/>
  <c r="D323" i="158"/>
  <c r="J323" i="158"/>
  <c r="E323" i="158"/>
  <c r="F323" i="158"/>
  <c r="C323" i="158"/>
  <c r="I324" i="158"/>
  <c r="D324" i="158"/>
  <c r="J324" i="158"/>
  <c r="E324" i="158"/>
  <c r="F324" i="158"/>
  <c r="C324" i="158"/>
  <c r="I325" i="158"/>
  <c r="D325" i="158"/>
  <c r="J325" i="158"/>
  <c r="E325" i="158"/>
  <c r="F325" i="158"/>
  <c r="C325" i="158"/>
  <c r="I326" i="158"/>
  <c r="D326" i="158"/>
  <c r="J326" i="158"/>
  <c r="E326" i="158"/>
  <c r="F326" i="158"/>
  <c r="C326" i="158"/>
  <c r="I327" i="158"/>
  <c r="D327" i="158"/>
  <c r="J327" i="158"/>
  <c r="E327" i="158"/>
  <c r="F327" i="158"/>
  <c r="C327" i="158"/>
  <c r="I328" i="158"/>
  <c r="D328" i="158"/>
  <c r="J328" i="158"/>
  <c r="E328" i="158"/>
  <c r="F328" i="158"/>
  <c r="C328" i="158"/>
  <c r="I329" i="158"/>
  <c r="D329" i="158"/>
  <c r="J329" i="158"/>
  <c r="E329" i="158"/>
  <c r="F329" i="158"/>
  <c r="C329" i="158"/>
  <c r="I330" i="158"/>
  <c r="D330" i="158"/>
  <c r="J330" i="158"/>
  <c r="E330" i="158"/>
  <c r="F330" i="158"/>
  <c r="C330" i="158"/>
  <c r="I331" i="158"/>
  <c r="D331" i="158"/>
  <c r="J331" i="158"/>
  <c r="E331" i="158"/>
  <c r="F331" i="158"/>
  <c r="C331" i="158"/>
  <c r="I332" i="158"/>
  <c r="D332" i="158"/>
  <c r="J332" i="158"/>
  <c r="E332" i="158"/>
  <c r="F332" i="158"/>
  <c r="C332" i="158"/>
  <c r="I333" i="158"/>
  <c r="D333" i="158"/>
  <c r="J333" i="158"/>
  <c r="E333" i="158"/>
  <c r="F333" i="158"/>
  <c r="C333" i="158"/>
  <c r="I334" i="158"/>
  <c r="D334" i="158"/>
  <c r="J334" i="158"/>
  <c r="E334" i="158"/>
  <c r="F334" i="158"/>
  <c r="C334" i="158"/>
  <c r="I335" i="158"/>
  <c r="D335" i="158"/>
  <c r="J335" i="158"/>
  <c r="E335" i="158"/>
  <c r="F335" i="158"/>
  <c r="C335" i="158"/>
  <c r="I336" i="158"/>
  <c r="D336" i="158"/>
  <c r="J336" i="158"/>
  <c r="E336" i="158"/>
  <c r="F336" i="158"/>
  <c r="C336" i="158"/>
  <c r="I337" i="158"/>
  <c r="D337" i="158"/>
  <c r="J337" i="158"/>
  <c r="E337" i="158"/>
  <c r="F337" i="158"/>
  <c r="C337" i="158"/>
  <c r="I338" i="158"/>
  <c r="D338" i="158"/>
  <c r="J338" i="158"/>
  <c r="E338" i="158"/>
  <c r="F338" i="158"/>
  <c r="C338" i="158"/>
  <c r="I339" i="158"/>
  <c r="D339" i="158"/>
  <c r="J339" i="158"/>
  <c r="E339" i="158"/>
  <c r="F339" i="158"/>
  <c r="C339" i="158"/>
  <c r="I340" i="158"/>
  <c r="D340" i="158"/>
  <c r="J340" i="158"/>
  <c r="E340" i="158"/>
  <c r="F340" i="158"/>
  <c r="C340" i="158"/>
  <c r="I341" i="158"/>
  <c r="D341" i="158"/>
  <c r="J341" i="158"/>
  <c r="E341" i="158"/>
  <c r="F341" i="158"/>
  <c r="C341" i="158"/>
  <c r="I342" i="158"/>
  <c r="D342" i="158"/>
  <c r="J342" i="158"/>
  <c r="E342" i="158"/>
  <c r="F342" i="158"/>
  <c r="C342" i="158"/>
  <c r="I343" i="158"/>
  <c r="D343" i="158"/>
  <c r="J343" i="158"/>
  <c r="E343" i="158"/>
  <c r="F343" i="158"/>
  <c r="C343" i="158"/>
  <c r="I344" i="158"/>
  <c r="D344" i="158"/>
  <c r="J344" i="158"/>
  <c r="E344" i="158"/>
  <c r="F344" i="158"/>
  <c r="C344" i="158"/>
  <c r="I345" i="158"/>
  <c r="D345" i="158"/>
  <c r="J345" i="158"/>
  <c r="E345" i="158"/>
  <c r="F345" i="158"/>
  <c r="C345" i="158"/>
  <c r="I346" i="158"/>
  <c r="D346" i="158"/>
  <c r="J346" i="158"/>
  <c r="E346" i="158"/>
  <c r="F346" i="158"/>
  <c r="C346" i="158"/>
  <c r="I347" i="158"/>
  <c r="D347" i="158"/>
  <c r="J347" i="158"/>
  <c r="E347" i="158"/>
  <c r="F347" i="158"/>
  <c r="C347" i="158"/>
  <c r="I348" i="158"/>
  <c r="D348" i="158"/>
  <c r="J348" i="158"/>
  <c r="E348" i="158"/>
  <c r="F348" i="158"/>
  <c r="C348" i="158"/>
  <c r="I349" i="158"/>
  <c r="D349" i="158"/>
  <c r="J349" i="158"/>
  <c r="E349" i="158"/>
  <c r="F349" i="158"/>
  <c r="C349" i="158"/>
  <c r="I350" i="158"/>
  <c r="D350" i="158"/>
  <c r="J350" i="158"/>
  <c r="E350" i="158"/>
  <c r="F350" i="158"/>
  <c r="C350" i="158"/>
  <c r="I351" i="158"/>
  <c r="D351" i="158"/>
  <c r="J351" i="158"/>
  <c r="E351" i="158"/>
  <c r="F351" i="158"/>
  <c r="C351" i="158"/>
  <c r="I352" i="158"/>
  <c r="D352" i="158"/>
  <c r="J352" i="158"/>
  <c r="E352" i="158"/>
  <c r="F352" i="158"/>
  <c r="C352" i="158"/>
  <c r="I353" i="158"/>
  <c r="D353" i="158"/>
  <c r="J353" i="158"/>
  <c r="E353" i="158"/>
  <c r="F353" i="158"/>
  <c r="C353" i="158"/>
  <c r="I354" i="158"/>
  <c r="D354" i="158"/>
  <c r="J354" i="158"/>
  <c r="E354" i="158"/>
  <c r="F354" i="158"/>
  <c r="C354" i="158"/>
  <c r="I355" i="158"/>
  <c r="D355" i="158"/>
  <c r="J355" i="158"/>
  <c r="E355" i="158"/>
  <c r="F355" i="158"/>
  <c r="C355" i="158"/>
  <c r="I356" i="158"/>
  <c r="D356" i="158"/>
  <c r="J356" i="158"/>
  <c r="E356" i="158"/>
  <c r="F356" i="158"/>
  <c r="C356" i="158"/>
  <c r="I357" i="158"/>
  <c r="D357" i="158"/>
  <c r="J357" i="158"/>
  <c r="E357" i="158"/>
  <c r="F357" i="158"/>
  <c r="C357" i="158"/>
  <c r="I358" i="158"/>
  <c r="D358" i="158"/>
  <c r="J358" i="158"/>
  <c r="E358" i="158"/>
  <c r="F358" i="158"/>
  <c r="C358" i="158"/>
  <c r="I359" i="158"/>
  <c r="D359" i="158"/>
  <c r="J359" i="158"/>
  <c r="E359" i="158"/>
  <c r="F359" i="158"/>
  <c r="C359" i="158"/>
  <c r="F5" i="157"/>
  <c r="F6" i="157"/>
  <c r="A36" i="157"/>
  <c r="E6" i="157"/>
  <c r="Q3" i="157"/>
  <c r="Q4" i="157"/>
  <c r="Q5" i="157"/>
  <c r="Q6" i="157"/>
  <c r="Q7" i="157"/>
  <c r="Q8" i="157"/>
  <c r="Q9" i="157"/>
  <c r="Q10" i="157"/>
  <c r="Q11" i="157"/>
  <c r="Q12" i="157"/>
  <c r="Q13" i="157"/>
  <c r="Q14" i="157"/>
  <c r="Q15" i="157"/>
  <c r="Q16" i="157"/>
  <c r="Q17" i="157"/>
  <c r="Q18" i="157"/>
  <c r="Q19" i="157"/>
  <c r="Q20" i="157"/>
  <c r="E19" i="157"/>
  <c r="B19" i="157"/>
  <c r="E24" i="157"/>
  <c r="B24" i="157"/>
  <c r="B17" i="157"/>
  <c r="G17" i="157"/>
  <c r="E17" i="157"/>
  <c r="H17" i="157"/>
  <c r="O2" i="158"/>
  <c r="E20" i="157"/>
  <c r="B20" i="157"/>
  <c r="E22" i="157"/>
  <c r="E23" i="157"/>
  <c r="B23" i="157"/>
  <c r="B22" i="157"/>
  <c r="E25" i="157"/>
  <c r="B25" i="157"/>
  <c r="E5" i="157"/>
  <c r="E27" i="157"/>
  <c r="B27" i="157"/>
  <c r="B18" i="157"/>
  <c r="G18" i="157"/>
  <c r="E18" i="157"/>
  <c r="H18" i="157"/>
  <c r="O3" i="158"/>
  <c r="O4" i="158"/>
  <c r="O5" i="158"/>
  <c r="O6" i="158"/>
  <c r="O7" i="158"/>
  <c r="O8" i="158"/>
  <c r="O9" i="158"/>
  <c r="O10" i="158"/>
  <c r="O11" i="158"/>
  <c r="O12" i="158"/>
  <c r="O13" i="158"/>
  <c r="O14" i="158"/>
  <c r="O15" i="158"/>
  <c r="O16" i="158"/>
  <c r="O17" i="158"/>
  <c r="O18" i="158"/>
  <c r="O19" i="158"/>
  <c r="O20" i="158"/>
  <c r="O21" i="158"/>
  <c r="O22" i="158"/>
  <c r="O23" i="158"/>
  <c r="O24" i="158"/>
  <c r="O25" i="158"/>
  <c r="O26" i="158"/>
  <c r="O27" i="158"/>
  <c r="O28" i="158"/>
  <c r="O29" i="158"/>
  <c r="O30" i="158"/>
  <c r="O31" i="158"/>
  <c r="O32" i="158"/>
  <c r="O33" i="158"/>
  <c r="O34" i="158"/>
  <c r="O35" i="158"/>
  <c r="O36" i="158"/>
  <c r="O37" i="158"/>
  <c r="O38" i="158"/>
  <c r="O39" i="158"/>
  <c r="O40" i="158"/>
  <c r="O41" i="158"/>
  <c r="G24" i="157"/>
  <c r="H24" i="157"/>
  <c r="O42" i="158"/>
  <c r="G25" i="157"/>
  <c r="H25" i="157"/>
  <c r="O43" i="158"/>
  <c r="E26" i="157"/>
  <c r="B26" i="157"/>
  <c r="G26" i="157"/>
  <c r="H26" i="157"/>
  <c r="O44" i="158"/>
  <c r="O45" i="158"/>
  <c r="O46" i="158"/>
  <c r="O47" i="158"/>
  <c r="O48" i="158"/>
  <c r="O49" i="158"/>
  <c r="O50" i="158"/>
  <c r="G19" i="157"/>
  <c r="H19" i="157"/>
  <c r="O51" i="158"/>
  <c r="G20" i="157"/>
  <c r="H20" i="157"/>
  <c r="O52" i="158"/>
  <c r="E28" i="157"/>
  <c r="B28" i="157"/>
  <c r="B29" i="157"/>
  <c r="B21" i="157"/>
  <c r="G21" i="157"/>
  <c r="E21" i="157"/>
  <c r="H21" i="157"/>
  <c r="O53" i="158"/>
  <c r="O54" i="158"/>
  <c r="O55" i="158"/>
  <c r="O56" i="158"/>
  <c r="O57" i="158"/>
  <c r="O58" i="158"/>
  <c r="O59" i="158"/>
  <c r="O60" i="158"/>
  <c r="O61" i="158"/>
  <c r="O62" i="158"/>
  <c r="O63" i="158"/>
  <c r="O64" i="158"/>
  <c r="O65" i="158"/>
  <c r="O66" i="158"/>
  <c r="O67" i="158"/>
  <c r="O68" i="158"/>
  <c r="O69" i="158"/>
  <c r="O70" i="158"/>
  <c r="O71" i="158"/>
  <c r="O72" i="158"/>
  <c r="O73" i="158"/>
  <c r="O74" i="158"/>
  <c r="O75" i="158"/>
  <c r="O76" i="158"/>
  <c r="O77" i="158"/>
  <c r="O78" i="158"/>
  <c r="O79" i="158"/>
  <c r="O80" i="158"/>
  <c r="O81" i="158"/>
  <c r="O82" i="158"/>
  <c r="O83" i="158"/>
  <c r="O84" i="158"/>
  <c r="O85" i="158"/>
  <c r="O86" i="158"/>
  <c r="O87" i="158"/>
  <c r="O88" i="158"/>
  <c r="O89" i="158"/>
  <c r="O90" i="158"/>
  <c r="O91" i="158"/>
  <c r="O92" i="158"/>
  <c r="O93" i="158"/>
  <c r="O94" i="158"/>
  <c r="O95" i="158"/>
  <c r="O96" i="158"/>
  <c r="O97" i="158"/>
  <c r="O98" i="158"/>
  <c r="O99" i="158"/>
  <c r="O100" i="158"/>
  <c r="O101" i="158"/>
  <c r="O102" i="158"/>
  <c r="O103" i="158"/>
  <c r="O104" i="158"/>
  <c r="O105" i="158"/>
  <c r="O106" i="158"/>
  <c r="O107" i="158"/>
  <c r="O108" i="158"/>
  <c r="O109" i="158"/>
  <c r="O110" i="158"/>
  <c r="O111" i="158"/>
  <c r="O112" i="158"/>
  <c r="O113" i="158"/>
  <c r="O114" i="158"/>
  <c r="O115" i="158"/>
  <c r="O116" i="158"/>
  <c r="O117" i="158"/>
  <c r="O118" i="158"/>
  <c r="O119" i="158"/>
  <c r="O120" i="158"/>
  <c r="O121" i="158"/>
  <c r="O122" i="158"/>
  <c r="O123" i="158"/>
  <c r="O124" i="158"/>
  <c r="O125" i="158"/>
  <c r="O126" i="158"/>
  <c r="O127" i="158"/>
  <c r="O128" i="158"/>
  <c r="O129" i="158"/>
  <c r="O130" i="158"/>
  <c r="O131" i="158"/>
  <c r="O132" i="158"/>
  <c r="O133" i="158"/>
  <c r="O134" i="158"/>
  <c r="O135" i="158"/>
  <c r="O136" i="158"/>
  <c r="O137" i="158"/>
  <c r="G27" i="157"/>
  <c r="H27" i="157"/>
  <c r="O138" i="158"/>
  <c r="G28" i="157"/>
  <c r="H28" i="157"/>
  <c r="O139" i="158"/>
  <c r="O140" i="158"/>
  <c r="O141" i="158"/>
  <c r="O142" i="158"/>
  <c r="O143" i="158"/>
  <c r="O144" i="158"/>
  <c r="O145" i="158"/>
  <c r="O146" i="158"/>
  <c r="O147" i="158"/>
  <c r="O148" i="158"/>
  <c r="O149" i="158"/>
  <c r="O150" i="158"/>
  <c r="O151" i="158"/>
  <c r="O152" i="158"/>
  <c r="O153" i="158"/>
  <c r="O154" i="158"/>
  <c r="O155" i="158"/>
  <c r="O156" i="158"/>
  <c r="O157" i="158"/>
  <c r="O158" i="158"/>
  <c r="O159" i="158"/>
  <c r="O160" i="158"/>
  <c r="O161" i="158"/>
  <c r="O162" i="158"/>
  <c r="O163" i="158"/>
  <c r="O164" i="158"/>
  <c r="O165" i="158"/>
  <c r="O166" i="158"/>
  <c r="O167" i="158"/>
  <c r="O168" i="158"/>
  <c r="O169" i="158"/>
  <c r="O170" i="158"/>
  <c r="O171" i="158"/>
  <c r="O172" i="158"/>
  <c r="O173" i="158"/>
  <c r="O174" i="158"/>
  <c r="O175" i="158"/>
  <c r="O176" i="158"/>
  <c r="O177" i="158"/>
  <c r="O178" i="158"/>
  <c r="O179" i="158"/>
  <c r="O180" i="158"/>
  <c r="O181" i="158"/>
  <c r="O182" i="158"/>
  <c r="O183" i="158"/>
  <c r="O184" i="158"/>
  <c r="O185" i="158"/>
  <c r="O186" i="158"/>
  <c r="O187" i="158"/>
  <c r="O188" i="158"/>
  <c r="O189" i="158"/>
  <c r="O190" i="158"/>
  <c r="O191" i="158"/>
  <c r="O192" i="158"/>
  <c r="O193" i="158"/>
  <c r="O194" i="158"/>
  <c r="O195" i="158"/>
  <c r="O196" i="158"/>
  <c r="O197" i="158"/>
  <c r="O198" i="158"/>
  <c r="O199" i="158"/>
  <c r="O200" i="158"/>
  <c r="O201" i="158"/>
  <c r="O202" i="158"/>
  <c r="O203" i="158"/>
  <c r="O204" i="158"/>
  <c r="O205" i="158"/>
  <c r="O206" i="158"/>
  <c r="O207" i="158"/>
  <c r="O208" i="158"/>
  <c r="O209" i="158"/>
  <c r="O210" i="158"/>
  <c r="O211" i="158"/>
  <c r="O212" i="158"/>
  <c r="O213" i="158"/>
  <c r="O214" i="158"/>
  <c r="G23" i="157"/>
  <c r="H23" i="157"/>
  <c r="O215" i="158"/>
  <c r="O216" i="158"/>
  <c r="O217" i="158"/>
  <c r="O218" i="158"/>
  <c r="O219" i="158"/>
  <c r="O220" i="158"/>
  <c r="O221" i="158"/>
  <c r="O222" i="158"/>
  <c r="O223" i="158"/>
  <c r="O224" i="158"/>
  <c r="O225" i="158"/>
  <c r="O226" i="158"/>
  <c r="O227" i="158"/>
  <c r="O228" i="158"/>
  <c r="O229" i="158"/>
  <c r="O230" i="158"/>
  <c r="O231" i="158"/>
  <c r="O232" i="158"/>
  <c r="O233" i="158"/>
  <c r="O234" i="158"/>
  <c r="O235" i="158"/>
  <c r="O236" i="158"/>
  <c r="O237" i="158"/>
  <c r="O238" i="158"/>
  <c r="O239" i="158"/>
  <c r="O240" i="158"/>
  <c r="O241" i="158"/>
  <c r="O242" i="158"/>
  <c r="O243" i="158"/>
  <c r="O244" i="158"/>
  <c r="O245" i="158"/>
  <c r="O246" i="158"/>
  <c r="O247" i="158"/>
  <c r="O248" i="158"/>
  <c r="O249" i="158"/>
  <c r="O250" i="158"/>
  <c r="O251" i="158"/>
  <c r="O252" i="158"/>
  <c r="O253" i="158"/>
  <c r="O254" i="158"/>
  <c r="O255" i="158"/>
  <c r="O256" i="158"/>
  <c r="O257" i="158"/>
  <c r="O258" i="158"/>
  <c r="O259" i="158"/>
  <c r="O260" i="158"/>
  <c r="O261" i="158"/>
  <c r="G22" i="157"/>
  <c r="H22" i="157"/>
  <c r="O262" i="158"/>
  <c r="O263" i="158"/>
  <c r="O264" i="158"/>
  <c r="O265" i="158"/>
  <c r="G29" i="157"/>
  <c r="E29" i="157"/>
  <c r="H29" i="157"/>
  <c r="O266" i="158"/>
  <c r="O267" i="158"/>
  <c r="O268" i="158"/>
  <c r="O269" i="158"/>
  <c r="O270" i="158"/>
  <c r="O271" i="158"/>
  <c r="O272" i="158"/>
  <c r="O273" i="158"/>
  <c r="O274" i="158"/>
  <c r="O275" i="158"/>
  <c r="O276" i="158"/>
  <c r="O277" i="158"/>
  <c r="O278" i="158"/>
  <c r="O279" i="158"/>
  <c r="O280" i="158"/>
  <c r="O281" i="158"/>
  <c r="O282" i="158"/>
  <c r="O283" i="158"/>
  <c r="O284" i="158"/>
  <c r="O285" i="158"/>
  <c r="O286" i="158"/>
  <c r="O287" i="158"/>
  <c r="O288" i="158"/>
  <c r="O289" i="158"/>
  <c r="O290" i="158"/>
  <c r="O291" i="158"/>
  <c r="O292" i="158"/>
  <c r="O293" i="158"/>
  <c r="O294" i="158"/>
  <c r="O295" i="158"/>
  <c r="O296" i="158"/>
  <c r="O297" i="158"/>
  <c r="O298" i="158"/>
  <c r="O299" i="158"/>
  <c r="O300" i="158"/>
  <c r="O301" i="158"/>
  <c r="O302" i="158"/>
  <c r="O303" i="158"/>
  <c r="O304" i="158"/>
  <c r="O305" i="158"/>
  <c r="O306" i="158"/>
  <c r="O307" i="158"/>
  <c r="O308" i="158"/>
  <c r="O309" i="158"/>
  <c r="O310" i="158"/>
  <c r="O311" i="158"/>
  <c r="O312" i="158"/>
  <c r="O313" i="158"/>
  <c r="O314" i="158"/>
  <c r="O315" i="158"/>
  <c r="O316" i="158"/>
  <c r="O317" i="158"/>
  <c r="O318" i="158"/>
  <c r="O319" i="158"/>
  <c r="O320" i="158"/>
  <c r="O321" i="158"/>
  <c r="O322" i="158"/>
  <c r="O323" i="158"/>
  <c r="O324" i="158"/>
  <c r="O325" i="158"/>
  <c r="O326" i="158"/>
  <c r="O327" i="158"/>
  <c r="O328" i="158"/>
  <c r="O329" i="158"/>
  <c r="O330" i="158"/>
  <c r="O331" i="158"/>
  <c r="O332" i="158"/>
  <c r="O333" i="158"/>
  <c r="O334" i="158"/>
  <c r="O335" i="158"/>
  <c r="O336" i="158"/>
  <c r="O337" i="158"/>
  <c r="O338" i="158"/>
  <c r="O339" i="158"/>
  <c r="O340" i="158"/>
  <c r="O341" i="158"/>
  <c r="O342" i="158"/>
  <c r="O343" i="158"/>
  <c r="O344" i="158"/>
  <c r="O345" i="158"/>
  <c r="O346" i="158"/>
  <c r="O347" i="158"/>
  <c r="O348" i="158"/>
  <c r="O349" i="158"/>
  <c r="O350" i="158"/>
  <c r="O351" i="158"/>
  <c r="O352" i="158"/>
  <c r="O353" i="158"/>
  <c r="O354" i="158"/>
  <c r="O355" i="158"/>
  <c r="R3" i="157"/>
  <c r="E31" i="157"/>
  <c r="G31" i="157"/>
  <c r="H31" i="157"/>
  <c r="O356" i="158"/>
  <c r="R4" i="157"/>
  <c r="O357" i="158"/>
  <c r="R5" i="157"/>
  <c r="E30" i="157"/>
  <c r="G30" i="157"/>
  <c r="H30" i="157"/>
  <c r="O358" i="158"/>
  <c r="R6" i="157"/>
  <c r="O359" i="158"/>
  <c r="B46" i="157"/>
  <c r="B10" i="157"/>
  <c r="P359" i="158"/>
  <c r="N359" i="158"/>
  <c r="M359" i="158"/>
  <c r="L359" i="158"/>
  <c r="K359" i="158"/>
  <c r="H359" i="158"/>
  <c r="P358" i="158"/>
  <c r="N358" i="158"/>
  <c r="M358" i="158"/>
  <c r="L358" i="158"/>
  <c r="K358" i="158"/>
  <c r="H358" i="158"/>
  <c r="P357" i="158"/>
  <c r="N357" i="158"/>
  <c r="M357" i="158"/>
  <c r="L357" i="158"/>
  <c r="K357" i="158"/>
  <c r="H357" i="158"/>
  <c r="P356" i="158"/>
  <c r="N356" i="158"/>
  <c r="M356" i="158"/>
  <c r="L356" i="158"/>
  <c r="K356" i="158"/>
  <c r="H356" i="158"/>
  <c r="A359" i="158"/>
  <c r="A358" i="158"/>
  <c r="A357" i="158"/>
  <c r="A356" i="158"/>
  <c r="P355" i="158"/>
  <c r="N355" i="158"/>
  <c r="M355" i="158"/>
  <c r="L355" i="158"/>
  <c r="K355" i="158"/>
  <c r="H355" i="158"/>
  <c r="P354" i="158"/>
  <c r="N354" i="158"/>
  <c r="M354" i="158"/>
  <c r="L354" i="158"/>
  <c r="K354" i="158"/>
  <c r="H354" i="158"/>
  <c r="P353" i="158"/>
  <c r="N353" i="158"/>
  <c r="M353" i="158"/>
  <c r="L353" i="158"/>
  <c r="K353" i="158"/>
  <c r="H353" i="158"/>
  <c r="P352" i="158"/>
  <c r="N352" i="158"/>
  <c r="M352" i="158"/>
  <c r="L352" i="158"/>
  <c r="K352" i="158"/>
  <c r="H352" i="158"/>
  <c r="P351" i="158"/>
  <c r="N351" i="158"/>
  <c r="M351" i="158"/>
  <c r="L351" i="158"/>
  <c r="K351" i="158"/>
  <c r="H351" i="158"/>
  <c r="P350" i="158"/>
  <c r="N350" i="158"/>
  <c r="M350" i="158"/>
  <c r="L350" i="158"/>
  <c r="K350" i="158"/>
  <c r="H350" i="158"/>
  <c r="P349" i="158"/>
  <c r="N349" i="158"/>
  <c r="M349" i="158"/>
  <c r="L349" i="158"/>
  <c r="K349" i="158"/>
  <c r="H349" i="158"/>
  <c r="P348" i="158"/>
  <c r="N348" i="158"/>
  <c r="M348" i="158"/>
  <c r="L348" i="158"/>
  <c r="K348" i="158"/>
  <c r="H348" i="158"/>
  <c r="P347" i="158"/>
  <c r="N347" i="158"/>
  <c r="M347" i="158"/>
  <c r="L347" i="158"/>
  <c r="K347" i="158"/>
  <c r="H347" i="158"/>
  <c r="P346" i="158"/>
  <c r="N346" i="158"/>
  <c r="M346" i="158"/>
  <c r="L346" i="158"/>
  <c r="K346" i="158"/>
  <c r="H346" i="158"/>
  <c r="P345" i="158"/>
  <c r="N345" i="158"/>
  <c r="M345" i="158"/>
  <c r="L345" i="158"/>
  <c r="K345" i="158"/>
  <c r="H345" i="158"/>
  <c r="P344" i="158"/>
  <c r="N344" i="158"/>
  <c r="M344" i="158"/>
  <c r="L344" i="158"/>
  <c r="K344" i="158"/>
  <c r="H344" i="158"/>
  <c r="P343" i="158"/>
  <c r="N343" i="158"/>
  <c r="M343" i="158"/>
  <c r="L343" i="158"/>
  <c r="K343" i="158"/>
  <c r="H343" i="158"/>
  <c r="P342" i="158"/>
  <c r="N342" i="158"/>
  <c r="M342" i="158"/>
  <c r="L342" i="158"/>
  <c r="K342" i="158"/>
  <c r="H342" i="158"/>
  <c r="P341" i="158"/>
  <c r="N341" i="158"/>
  <c r="M341" i="158"/>
  <c r="L341" i="158"/>
  <c r="K341" i="158"/>
  <c r="H341" i="158"/>
  <c r="P340" i="158"/>
  <c r="N340" i="158"/>
  <c r="M340" i="158"/>
  <c r="L340" i="158"/>
  <c r="K340" i="158"/>
  <c r="H340" i="158"/>
  <c r="P339" i="158"/>
  <c r="N339" i="158"/>
  <c r="M339" i="158"/>
  <c r="L339" i="158"/>
  <c r="K339" i="158"/>
  <c r="H339" i="158"/>
  <c r="P338" i="158"/>
  <c r="N338" i="158"/>
  <c r="M338" i="158"/>
  <c r="L338" i="158"/>
  <c r="K338" i="158"/>
  <c r="H338" i="158"/>
  <c r="P337" i="158"/>
  <c r="N337" i="158"/>
  <c r="M337" i="158"/>
  <c r="L337" i="158"/>
  <c r="K337" i="158"/>
  <c r="H337" i="158"/>
  <c r="P336" i="158"/>
  <c r="N336" i="158"/>
  <c r="M336" i="158"/>
  <c r="L336" i="158"/>
  <c r="K336" i="158"/>
  <c r="H336" i="158"/>
  <c r="P335" i="158"/>
  <c r="N335" i="158"/>
  <c r="M335" i="158"/>
  <c r="L335" i="158"/>
  <c r="K335" i="158"/>
  <c r="H335" i="158"/>
  <c r="P334" i="158"/>
  <c r="N334" i="158"/>
  <c r="M334" i="158"/>
  <c r="L334" i="158"/>
  <c r="K334" i="158"/>
  <c r="H334" i="158"/>
  <c r="P333" i="158"/>
  <c r="N333" i="158"/>
  <c r="M333" i="158"/>
  <c r="L333" i="158"/>
  <c r="K333" i="158"/>
  <c r="H333" i="158"/>
  <c r="P332" i="158"/>
  <c r="N332" i="158"/>
  <c r="M332" i="158"/>
  <c r="L332" i="158"/>
  <c r="K332" i="158"/>
  <c r="H332" i="158"/>
  <c r="P331" i="158"/>
  <c r="N331" i="158"/>
  <c r="M331" i="158"/>
  <c r="L331" i="158"/>
  <c r="K331" i="158"/>
  <c r="H331" i="158"/>
  <c r="P330" i="158"/>
  <c r="N330" i="158"/>
  <c r="M330" i="158"/>
  <c r="L330" i="158"/>
  <c r="K330" i="158"/>
  <c r="H330" i="158"/>
  <c r="P329" i="158"/>
  <c r="N329" i="158"/>
  <c r="M329" i="158"/>
  <c r="L329" i="158"/>
  <c r="K329" i="158"/>
  <c r="H329" i="158"/>
  <c r="P328" i="158"/>
  <c r="N328" i="158"/>
  <c r="M328" i="158"/>
  <c r="L328" i="158"/>
  <c r="K328" i="158"/>
  <c r="H328" i="158"/>
  <c r="P327" i="158"/>
  <c r="N327" i="158"/>
  <c r="M327" i="158"/>
  <c r="L327" i="158"/>
  <c r="K327" i="158"/>
  <c r="H327" i="158"/>
  <c r="P326" i="158"/>
  <c r="N326" i="158"/>
  <c r="M326" i="158"/>
  <c r="L326" i="158"/>
  <c r="K326" i="158"/>
  <c r="H326" i="158"/>
  <c r="P325" i="158"/>
  <c r="N325" i="158"/>
  <c r="M325" i="158"/>
  <c r="L325" i="158"/>
  <c r="K325" i="158"/>
  <c r="H325" i="158"/>
  <c r="P324" i="158"/>
  <c r="N324" i="158"/>
  <c r="M324" i="158"/>
  <c r="L324" i="158"/>
  <c r="K324" i="158"/>
  <c r="H324" i="158"/>
  <c r="P323" i="158"/>
  <c r="N323" i="158"/>
  <c r="M323" i="158"/>
  <c r="L323" i="158"/>
  <c r="K323" i="158"/>
  <c r="H323" i="158"/>
  <c r="P322" i="158"/>
  <c r="N322" i="158"/>
  <c r="M322" i="158"/>
  <c r="L322" i="158"/>
  <c r="K322" i="158"/>
  <c r="H322" i="158"/>
  <c r="P321" i="158"/>
  <c r="N321" i="158"/>
  <c r="M321" i="158"/>
  <c r="L321" i="158"/>
  <c r="K321" i="158"/>
  <c r="H321" i="158"/>
  <c r="P320" i="158"/>
  <c r="N320" i="158"/>
  <c r="M320" i="158"/>
  <c r="L320" i="158"/>
  <c r="K320" i="158"/>
  <c r="H320" i="158"/>
  <c r="P319" i="158"/>
  <c r="N319" i="158"/>
  <c r="M319" i="158"/>
  <c r="L319" i="158"/>
  <c r="K319" i="158"/>
  <c r="H319" i="158"/>
  <c r="P318" i="158"/>
  <c r="N318" i="158"/>
  <c r="M318" i="158"/>
  <c r="L318" i="158"/>
  <c r="K318" i="158"/>
  <c r="H318" i="158"/>
  <c r="P317" i="158"/>
  <c r="N317" i="158"/>
  <c r="M317" i="158"/>
  <c r="L317" i="158"/>
  <c r="K317" i="158"/>
  <c r="H317" i="158"/>
  <c r="P316" i="158"/>
  <c r="N316" i="158"/>
  <c r="M316" i="158"/>
  <c r="L316" i="158"/>
  <c r="K316" i="158"/>
  <c r="H316" i="158"/>
  <c r="P315" i="158"/>
  <c r="N315" i="158"/>
  <c r="M315" i="158"/>
  <c r="L315" i="158"/>
  <c r="K315" i="158"/>
  <c r="H315" i="158"/>
  <c r="P314" i="158"/>
  <c r="N314" i="158"/>
  <c r="M314" i="158"/>
  <c r="L314" i="158"/>
  <c r="K314" i="158"/>
  <c r="H314" i="158"/>
  <c r="P313" i="158"/>
  <c r="N313" i="158"/>
  <c r="M313" i="158"/>
  <c r="L313" i="158"/>
  <c r="K313" i="158"/>
  <c r="H313" i="158"/>
  <c r="P312" i="158"/>
  <c r="N312" i="158"/>
  <c r="M312" i="158"/>
  <c r="L312" i="158"/>
  <c r="K312" i="158"/>
  <c r="H312" i="158"/>
  <c r="P311" i="158"/>
  <c r="N311" i="158"/>
  <c r="M311" i="158"/>
  <c r="L311" i="158"/>
  <c r="K311" i="158"/>
  <c r="H311" i="158"/>
  <c r="P310" i="158"/>
  <c r="N310" i="158"/>
  <c r="M310" i="158"/>
  <c r="L310" i="158"/>
  <c r="K310" i="158"/>
  <c r="H310" i="158"/>
  <c r="P309" i="158"/>
  <c r="N309" i="158"/>
  <c r="M309" i="158"/>
  <c r="L309" i="158"/>
  <c r="K309" i="158"/>
  <c r="H309" i="158"/>
  <c r="P308" i="158"/>
  <c r="N308" i="158"/>
  <c r="M308" i="158"/>
  <c r="L308" i="158"/>
  <c r="K308" i="158"/>
  <c r="H308" i="158"/>
  <c r="P307" i="158"/>
  <c r="N307" i="158"/>
  <c r="M307" i="158"/>
  <c r="L307" i="158"/>
  <c r="K307" i="158"/>
  <c r="H307" i="158"/>
  <c r="P306" i="158"/>
  <c r="N306" i="158"/>
  <c r="M306" i="158"/>
  <c r="L306" i="158"/>
  <c r="K306" i="158"/>
  <c r="H306" i="158"/>
  <c r="P305" i="158"/>
  <c r="N305" i="158"/>
  <c r="M305" i="158"/>
  <c r="L305" i="158"/>
  <c r="K305" i="158"/>
  <c r="H305" i="158"/>
  <c r="P304" i="158"/>
  <c r="N304" i="158"/>
  <c r="M304" i="158"/>
  <c r="L304" i="158"/>
  <c r="K304" i="158"/>
  <c r="H304" i="158"/>
  <c r="P303" i="158"/>
  <c r="N303" i="158"/>
  <c r="M303" i="158"/>
  <c r="L303" i="158"/>
  <c r="K303" i="158"/>
  <c r="H303" i="158"/>
  <c r="P302" i="158"/>
  <c r="N302" i="158"/>
  <c r="M302" i="158"/>
  <c r="L302" i="158"/>
  <c r="K302" i="158"/>
  <c r="H302" i="158"/>
  <c r="P301" i="158"/>
  <c r="N301" i="158"/>
  <c r="M301" i="158"/>
  <c r="L301" i="158"/>
  <c r="K301" i="158"/>
  <c r="H301" i="158"/>
  <c r="P300" i="158"/>
  <c r="N300" i="158"/>
  <c r="M300" i="158"/>
  <c r="L300" i="158"/>
  <c r="K300" i="158"/>
  <c r="H300" i="158"/>
  <c r="P299" i="158"/>
  <c r="N299" i="158"/>
  <c r="M299" i="158"/>
  <c r="L299" i="158"/>
  <c r="K299" i="158"/>
  <c r="H299" i="158"/>
  <c r="P298" i="158"/>
  <c r="N298" i="158"/>
  <c r="M298" i="158"/>
  <c r="L298" i="158"/>
  <c r="K298" i="158"/>
  <c r="H298" i="158"/>
  <c r="P297" i="158"/>
  <c r="N297" i="158"/>
  <c r="M297" i="158"/>
  <c r="L297" i="158"/>
  <c r="K297" i="158"/>
  <c r="H297" i="158"/>
  <c r="P296" i="158"/>
  <c r="N296" i="158"/>
  <c r="M296" i="158"/>
  <c r="L296" i="158"/>
  <c r="K296" i="158"/>
  <c r="H296" i="158"/>
  <c r="P295" i="158"/>
  <c r="N295" i="158"/>
  <c r="M295" i="158"/>
  <c r="L295" i="158"/>
  <c r="K295" i="158"/>
  <c r="H295" i="158"/>
  <c r="P294" i="158"/>
  <c r="N294" i="158"/>
  <c r="M294" i="158"/>
  <c r="L294" i="158"/>
  <c r="K294" i="158"/>
  <c r="H294" i="158"/>
  <c r="P293" i="158"/>
  <c r="N293" i="158"/>
  <c r="M293" i="158"/>
  <c r="L293" i="158"/>
  <c r="K293" i="158"/>
  <c r="H293" i="158"/>
  <c r="P292" i="158"/>
  <c r="N292" i="158"/>
  <c r="M292" i="158"/>
  <c r="L292" i="158"/>
  <c r="K292" i="158"/>
  <c r="H292" i="158"/>
  <c r="P291" i="158"/>
  <c r="N291" i="158"/>
  <c r="M291" i="158"/>
  <c r="L291" i="158"/>
  <c r="K291" i="158"/>
  <c r="H291" i="158"/>
  <c r="P290" i="158"/>
  <c r="N290" i="158"/>
  <c r="M290" i="158"/>
  <c r="L290" i="158"/>
  <c r="K290" i="158"/>
  <c r="H290" i="158"/>
  <c r="P289" i="158"/>
  <c r="N289" i="158"/>
  <c r="M289" i="158"/>
  <c r="L289" i="158"/>
  <c r="K289" i="158"/>
  <c r="H289" i="158"/>
  <c r="P288" i="158"/>
  <c r="N288" i="158"/>
  <c r="M288" i="158"/>
  <c r="L288" i="158"/>
  <c r="K288" i="158"/>
  <c r="H288" i="158"/>
  <c r="P287" i="158"/>
  <c r="N287" i="158"/>
  <c r="M287" i="158"/>
  <c r="L287" i="158"/>
  <c r="K287" i="158"/>
  <c r="H287" i="158"/>
  <c r="P286" i="158"/>
  <c r="N286" i="158"/>
  <c r="M286" i="158"/>
  <c r="L286" i="158"/>
  <c r="K286" i="158"/>
  <c r="H286" i="158"/>
  <c r="P285" i="158"/>
  <c r="N285" i="158"/>
  <c r="M285" i="158"/>
  <c r="L285" i="158"/>
  <c r="K285" i="158"/>
  <c r="H285" i="158"/>
  <c r="P284" i="158"/>
  <c r="N284" i="158"/>
  <c r="M284" i="158"/>
  <c r="L284" i="158"/>
  <c r="K284" i="158"/>
  <c r="H284" i="158"/>
  <c r="P283" i="158"/>
  <c r="N283" i="158"/>
  <c r="M283" i="158"/>
  <c r="L283" i="158"/>
  <c r="K283" i="158"/>
  <c r="H283" i="158"/>
  <c r="P282" i="158"/>
  <c r="N282" i="158"/>
  <c r="M282" i="158"/>
  <c r="L282" i="158"/>
  <c r="K282" i="158"/>
  <c r="H282" i="158"/>
  <c r="P281" i="158"/>
  <c r="N281" i="158"/>
  <c r="M281" i="158"/>
  <c r="L281" i="158"/>
  <c r="K281" i="158"/>
  <c r="H281" i="158"/>
  <c r="P280" i="158"/>
  <c r="N280" i="158"/>
  <c r="M280" i="158"/>
  <c r="L280" i="158"/>
  <c r="K280" i="158"/>
  <c r="H280" i="158"/>
  <c r="P279" i="158"/>
  <c r="N279" i="158"/>
  <c r="M279" i="158"/>
  <c r="L279" i="158"/>
  <c r="K279" i="158"/>
  <c r="H279" i="158"/>
  <c r="P278" i="158"/>
  <c r="N278" i="158"/>
  <c r="M278" i="158"/>
  <c r="L278" i="158"/>
  <c r="K278" i="158"/>
  <c r="H278" i="158"/>
  <c r="P277" i="158"/>
  <c r="N277" i="158"/>
  <c r="M277" i="158"/>
  <c r="L277" i="158"/>
  <c r="K277" i="158"/>
  <c r="H277" i="158"/>
  <c r="P276" i="158"/>
  <c r="N276" i="158"/>
  <c r="M276" i="158"/>
  <c r="L276" i="158"/>
  <c r="K276" i="158"/>
  <c r="H276" i="158"/>
  <c r="P275" i="158"/>
  <c r="N275" i="158"/>
  <c r="M275" i="158"/>
  <c r="L275" i="158"/>
  <c r="K275" i="158"/>
  <c r="H275" i="158"/>
  <c r="P274" i="158"/>
  <c r="N274" i="158"/>
  <c r="M274" i="158"/>
  <c r="L274" i="158"/>
  <c r="K274" i="158"/>
  <c r="H274" i="158"/>
  <c r="P273" i="158"/>
  <c r="N273" i="158"/>
  <c r="M273" i="158"/>
  <c r="L273" i="158"/>
  <c r="K273" i="158"/>
  <c r="H273" i="158"/>
  <c r="P272" i="158"/>
  <c r="N272" i="158"/>
  <c r="M272" i="158"/>
  <c r="L272" i="158"/>
  <c r="K272" i="158"/>
  <c r="H272" i="158"/>
  <c r="P271" i="158"/>
  <c r="N271" i="158"/>
  <c r="M271" i="158"/>
  <c r="L271" i="158"/>
  <c r="K271" i="158"/>
  <c r="H271" i="158"/>
  <c r="P270" i="158"/>
  <c r="N270" i="158"/>
  <c r="M270" i="158"/>
  <c r="L270" i="158"/>
  <c r="K270" i="158"/>
  <c r="H270" i="158"/>
  <c r="P269" i="158"/>
  <c r="N269" i="158"/>
  <c r="M269" i="158"/>
  <c r="L269" i="158"/>
  <c r="K269" i="158"/>
  <c r="H269" i="158"/>
  <c r="P268" i="158"/>
  <c r="N268" i="158"/>
  <c r="M268" i="158"/>
  <c r="L268" i="158"/>
  <c r="K268" i="158"/>
  <c r="H268" i="158"/>
  <c r="P267" i="158"/>
  <c r="N267" i="158"/>
  <c r="M267" i="158"/>
  <c r="L267" i="158"/>
  <c r="K267" i="158"/>
  <c r="H267" i="158"/>
  <c r="P266" i="158"/>
  <c r="N266" i="158"/>
  <c r="M266" i="158"/>
  <c r="L266" i="158"/>
  <c r="K266" i="158"/>
  <c r="H266" i="158"/>
  <c r="P265" i="158"/>
  <c r="N265" i="158"/>
  <c r="M265" i="158"/>
  <c r="L265" i="158"/>
  <c r="K265" i="158"/>
  <c r="H265" i="158"/>
  <c r="P264" i="158"/>
  <c r="N264" i="158"/>
  <c r="M264" i="158"/>
  <c r="L264" i="158"/>
  <c r="K264" i="158"/>
  <c r="H264" i="158"/>
  <c r="P263" i="158"/>
  <c r="N263" i="158"/>
  <c r="M263" i="158"/>
  <c r="L263" i="158"/>
  <c r="K263" i="158"/>
  <c r="H263" i="158"/>
  <c r="P262" i="158"/>
  <c r="N262" i="158"/>
  <c r="M262" i="158"/>
  <c r="L262" i="158"/>
  <c r="K262" i="158"/>
  <c r="H262" i="158"/>
  <c r="P261" i="158"/>
  <c r="N261" i="158"/>
  <c r="M261" i="158"/>
  <c r="L261" i="158"/>
  <c r="K261" i="158"/>
  <c r="H261" i="158"/>
  <c r="P260" i="158"/>
  <c r="N260" i="158"/>
  <c r="M260" i="158"/>
  <c r="L260" i="158"/>
  <c r="K260" i="158"/>
  <c r="H260" i="158"/>
  <c r="P259" i="158"/>
  <c r="N259" i="158"/>
  <c r="M259" i="158"/>
  <c r="L259" i="158"/>
  <c r="K259" i="158"/>
  <c r="H259" i="158"/>
  <c r="P258" i="158"/>
  <c r="N258" i="158"/>
  <c r="M258" i="158"/>
  <c r="L258" i="158"/>
  <c r="K258" i="158"/>
  <c r="H258" i="158"/>
  <c r="P257" i="158"/>
  <c r="N257" i="158"/>
  <c r="M257" i="158"/>
  <c r="L257" i="158"/>
  <c r="K257" i="158"/>
  <c r="H257" i="158"/>
  <c r="P256" i="158"/>
  <c r="N256" i="158"/>
  <c r="M256" i="158"/>
  <c r="L256" i="158"/>
  <c r="K256" i="158"/>
  <c r="H256" i="158"/>
  <c r="P255" i="158"/>
  <c r="N255" i="158"/>
  <c r="M255" i="158"/>
  <c r="L255" i="158"/>
  <c r="K255" i="158"/>
  <c r="H255" i="158"/>
  <c r="P254" i="158"/>
  <c r="N254" i="158"/>
  <c r="M254" i="158"/>
  <c r="L254" i="158"/>
  <c r="K254" i="158"/>
  <c r="H254" i="158"/>
  <c r="P253" i="158"/>
  <c r="N253" i="158"/>
  <c r="M253" i="158"/>
  <c r="L253" i="158"/>
  <c r="K253" i="158"/>
  <c r="H253" i="158"/>
  <c r="P252" i="158"/>
  <c r="N252" i="158"/>
  <c r="M252" i="158"/>
  <c r="L252" i="158"/>
  <c r="K252" i="158"/>
  <c r="H252" i="158"/>
  <c r="P251" i="158"/>
  <c r="N251" i="158"/>
  <c r="M251" i="158"/>
  <c r="L251" i="158"/>
  <c r="K251" i="158"/>
  <c r="H251" i="158"/>
  <c r="P250" i="158"/>
  <c r="N250" i="158"/>
  <c r="M250" i="158"/>
  <c r="L250" i="158"/>
  <c r="K250" i="158"/>
  <c r="H250" i="158"/>
  <c r="P249" i="158"/>
  <c r="N249" i="158"/>
  <c r="M249" i="158"/>
  <c r="L249" i="158"/>
  <c r="K249" i="158"/>
  <c r="H249" i="158"/>
  <c r="P248" i="158"/>
  <c r="N248" i="158"/>
  <c r="M248" i="158"/>
  <c r="L248" i="158"/>
  <c r="K248" i="158"/>
  <c r="H248" i="158"/>
  <c r="P247" i="158"/>
  <c r="N247" i="158"/>
  <c r="M247" i="158"/>
  <c r="L247" i="158"/>
  <c r="K247" i="158"/>
  <c r="H247" i="158"/>
  <c r="P246" i="158"/>
  <c r="N246" i="158"/>
  <c r="M246" i="158"/>
  <c r="L246" i="158"/>
  <c r="K246" i="158"/>
  <c r="H246" i="158"/>
  <c r="P245" i="158"/>
  <c r="N245" i="158"/>
  <c r="M245" i="158"/>
  <c r="L245" i="158"/>
  <c r="K245" i="158"/>
  <c r="H245" i="158"/>
  <c r="P244" i="158"/>
  <c r="N244" i="158"/>
  <c r="M244" i="158"/>
  <c r="L244" i="158"/>
  <c r="K244" i="158"/>
  <c r="H244" i="158"/>
  <c r="P243" i="158"/>
  <c r="N243" i="158"/>
  <c r="M243" i="158"/>
  <c r="L243" i="158"/>
  <c r="K243" i="158"/>
  <c r="H243" i="158"/>
  <c r="P242" i="158"/>
  <c r="N242" i="158"/>
  <c r="M242" i="158"/>
  <c r="L242" i="158"/>
  <c r="K242" i="158"/>
  <c r="H242" i="158"/>
  <c r="P241" i="158"/>
  <c r="N241" i="158"/>
  <c r="M241" i="158"/>
  <c r="L241" i="158"/>
  <c r="K241" i="158"/>
  <c r="H241" i="158"/>
  <c r="P240" i="158"/>
  <c r="N240" i="158"/>
  <c r="M240" i="158"/>
  <c r="L240" i="158"/>
  <c r="K240" i="158"/>
  <c r="H240" i="158"/>
  <c r="P239" i="158"/>
  <c r="N239" i="158"/>
  <c r="M239" i="158"/>
  <c r="L239" i="158"/>
  <c r="K239" i="158"/>
  <c r="H239" i="158"/>
  <c r="P238" i="158"/>
  <c r="N238" i="158"/>
  <c r="M238" i="158"/>
  <c r="L238" i="158"/>
  <c r="K238" i="158"/>
  <c r="H238" i="158"/>
  <c r="P237" i="158"/>
  <c r="N237" i="158"/>
  <c r="M237" i="158"/>
  <c r="L237" i="158"/>
  <c r="K237" i="158"/>
  <c r="H237" i="158"/>
  <c r="P236" i="158"/>
  <c r="N236" i="158"/>
  <c r="M236" i="158"/>
  <c r="L236" i="158"/>
  <c r="K236" i="158"/>
  <c r="H236" i="158"/>
  <c r="P235" i="158"/>
  <c r="N235" i="158"/>
  <c r="M235" i="158"/>
  <c r="L235" i="158"/>
  <c r="K235" i="158"/>
  <c r="H235" i="158"/>
  <c r="P234" i="158"/>
  <c r="N234" i="158"/>
  <c r="M234" i="158"/>
  <c r="L234" i="158"/>
  <c r="K234" i="158"/>
  <c r="H234" i="158"/>
  <c r="P233" i="158"/>
  <c r="N233" i="158"/>
  <c r="M233" i="158"/>
  <c r="L233" i="158"/>
  <c r="K233" i="158"/>
  <c r="H233" i="158"/>
  <c r="P232" i="158"/>
  <c r="N232" i="158"/>
  <c r="M232" i="158"/>
  <c r="L232" i="158"/>
  <c r="K232" i="158"/>
  <c r="H232" i="158"/>
  <c r="P231" i="158"/>
  <c r="N231" i="158"/>
  <c r="M231" i="158"/>
  <c r="L231" i="158"/>
  <c r="K231" i="158"/>
  <c r="H231" i="158"/>
  <c r="P230" i="158"/>
  <c r="N230" i="158"/>
  <c r="M230" i="158"/>
  <c r="L230" i="158"/>
  <c r="K230" i="158"/>
  <c r="H230" i="158"/>
  <c r="P229" i="158"/>
  <c r="N229" i="158"/>
  <c r="M229" i="158"/>
  <c r="L229" i="158"/>
  <c r="K229" i="158"/>
  <c r="H229" i="158"/>
  <c r="P228" i="158"/>
  <c r="N228" i="158"/>
  <c r="M228" i="158"/>
  <c r="L228" i="158"/>
  <c r="K228" i="158"/>
  <c r="H228" i="158"/>
  <c r="P227" i="158"/>
  <c r="N227" i="158"/>
  <c r="M227" i="158"/>
  <c r="L227" i="158"/>
  <c r="K227" i="158"/>
  <c r="H227" i="158"/>
  <c r="P226" i="158"/>
  <c r="N226" i="158"/>
  <c r="M226" i="158"/>
  <c r="L226" i="158"/>
  <c r="K226" i="158"/>
  <c r="H226" i="158"/>
  <c r="P225" i="158"/>
  <c r="N225" i="158"/>
  <c r="M225" i="158"/>
  <c r="L225" i="158"/>
  <c r="K225" i="158"/>
  <c r="H225" i="158"/>
  <c r="P224" i="158"/>
  <c r="N224" i="158"/>
  <c r="M224" i="158"/>
  <c r="L224" i="158"/>
  <c r="K224" i="158"/>
  <c r="H224" i="158"/>
  <c r="P223" i="158"/>
  <c r="N223" i="158"/>
  <c r="M223" i="158"/>
  <c r="L223" i="158"/>
  <c r="K223" i="158"/>
  <c r="H223" i="158"/>
  <c r="P222" i="158"/>
  <c r="N222" i="158"/>
  <c r="M222" i="158"/>
  <c r="L222" i="158"/>
  <c r="K222" i="158"/>
  <c r="H222" i="158"/>
  <c r="P221" i="158"/>
  <c r="N221" i="158"/>
  <c r="M221" i="158"/>
  <c r="L221" i="158"/>
  <c r="K221" i="158"/>
  <c r="H221" i="158"/>
  <c r="P220" i="158"/>
  <c r="N220" i="158"/>
  <c r="M220" i="158"/>
  <c r="L220" i="158"/>
  <c r="K220" i="158"/>
  <c r="H220" i="158"/>
  <c r="P219" i="158"/>
  <c r="N219" i="158"/>
  <c r="M219" i="158"/>
  <c r="L219" i="158"/>
  <c r="K219" i="158"/>
  <c r="H219" i="158"/>
  <c r="P218" i="158"/>
  <c r="N218" i="158"/>
  <c r="M218" i="158"/>
  <c r="L218" i="158"/>
  <c r="K218" i="158"/>
  <c r="H218" i="158"/>
  <c r="P217" i="158"/>
  <c r="N217" i="158"/>
  <c r="M217" i="158"/>
  <c r="L217" i="158"/>
  <c r="K217" i="158"/>
  <c r="H217" i="158"/>
  <c r="P216" i="158"/>
  <c r="N216" i="158"/>
  <c r="M216" i="158"/>
  <c r="L216" i="158"/>
  <c r="K216" i="158"/>
  <c r="H216" i="158"/>
  <c r="P215" i="158"/>
  <c r="N215" i="158"/>
  <c r="M215" i="158"/>
  <c r="L215" i="158"/>
  <c r="K215" i="158"/>
  <c r="H215" i="158"/>
  <c r="P214" i="158"/>
  <c r="N214" i="158"/>
  <c r="M214" i="158"/>
  <c r="L214" i="158"/>
  <c r="K214" i="158"/>
  <c r="H214" i="158"/>
  <c r="P213" i="158"/>
  <c r="N213" i="158"/>
  <c r="M213" i="158"/>
  <c r="L213" i="158"/>
  <c r="K213" i="158"/>
  <c r="H213" i="158"/>
  <c r="P212" i="158"/>
  <c r="N212" i="158"/>
  <c r="M212" i="158"/>
  <c r="L212" i="158"/>
  <c r="K212" i="158"/>
  <c r="H212" i="158"/>
  <c r="P211" i="158"/>
  <c r="N211" i="158"/>
  <c r="M211" i="158"/>
  <c r="L211" i="158"/>
  <c r="K211" i="158"/>
  <c r="H211" i="158"/>
  <c r="P210" i="158"/>
  <c r="N210" i="158"/>
  <c r="M210" i="158"/>
  <c r="L210" i="158"/>
  <c r="K210" i="158"/>
  <c r="H210" i="158"/>
  <c r="P209" i="158"/>
  <c r="N209" i="158"/>
  <c r="M209" i="158"/>
  <c r="L209" i="158"/>
  <c r="K209" i="158"/>
  <c r="H209" i="158"/>
  <c r="P208" i="158"/>
  <c r="N208" i="158"/>
  <c r="M208" i="158"/>
  <c r="L208" i="158"/>
  <c r="K208" i="158"/>
  <c r="H208" i="158"/>
  <c r="P207" i="158"/>
  <c r="N207" i="158"/>
  <c r="M207" i="158"/>
  <c r="L207" i="158"/>
  <c r="K207" i="158"/>
  <c r="H207" i="158"/>
  <c r="P206" i="158"/>
  <c r="N206" i="158"/>
  <c r="M206" i="158"/>
  <c r="L206" i="158"/>
  <c r="K206" i="158"/>
  <c r="H206" i="158"/>
  <c r="P205" i="158"/>
  <c r="N205" i="158"/>
  <c r="M205" i="158"/>
  <c r="L205" i="158"/>
  <c r="K205" i="158"/>
  <c r="H205" i="158"/>
  <c r="P204" i="158"/>
  <c r="N204" i="158"/>
  <c r="M204" i="158"/>
  <c r="L204" i="158"/>
  <c r="K204" i="158"/>
  <c r="H204" i="158"/>
  <c r="P203" i="158"/>
  <c r="N203" i="158"/>
  <c r="M203" i="158"/>
  <c r="L203" i="158"/>
  <c r="K203" i="158"/>
  <c r="H203" i="158"/>
  <c r="P202" i="158"/>
  <c r="N202" i="158"/>
  <c r="M202" i="158"/>
  <c r="L202" i="158"/>
  <c r="K202" i="158"/>
  <c r="H202" i="158"/>
  <c r="P201" i="158"/>
  <c r="N201" i="158"/>
  <c r="M201" i="158"/>
  <c r="L201" i="158"/>
  <c r="K201" i="158"/>
  <c r="H201" i="158"/>
  <c r="P200" i="158"/>
  <c r="N200" i="158"/>
  <c r="M200" i="158"/>
  <c r="L200" i="158"/>
  <c r="K200" i="158"/>
  <c r="H200" i="158"/>
  <c r="P199" i="158"/>
  <c r="N199" i="158"/>
  <c r="M199" i="158"/>
  <c r="L199" i="158"/>
  <c r="K199" i="158"/>
  <c r="H199" i="158"/>
  <c r="P198" i="158"/>
  <c r="N198" i="158"/>
  <c r="M198" i="158"/>
  <c r="L198" i="158"/>
  <c r="K198" i="158"/>
  <c r="H198" i="158"/>
  <c r="P197" i="158"/>
  <c r="N197" i="158"/>
  <c r="M197" i="158"/>
  <c r="L197" i="158"/>
  <c r="K197" i="158"/>
  <c r="H197" i="158"/>
  <c r="P196" i="158"/>
  <c r="N196" i="158"/>
  <c r="M196" i="158"/>
  <c r="L196" i="158"/>
  <c r="K196" i="158"/>
  <c r="H196" i="158"/>
  <c r="P195" i="158"/>
  <c r="N195" i="158"/>
  <c r="M195" i="158"/>
  <c r="L195" i="158"/>
  <c r="K195" i="158"/>
  <c r="H195" i="158"/>
  <c r="P194" i="158"/>
  <c r="N194" i="158"/>
  <c r="M194" i="158"/>
  <c r="L194" i="158"/>
  <c r="K194" i="158"/>
  <c r="H194" i="158"/>
  <c r="P193" i="158"/>
  <c r="N193" i="158"/>
  <c r="M193" i="158"/>
  <c r="L193" i="158"/>
  <c r="K193" i="158"/>
  <c r="H193" i="158"/>
  <c r="P192" i="158"/>
  <c r="N192" i="158"/>
  <c r="M192" i="158"/>
  <c r="L192" i="158"/>
  <c r="K192" i="158"/>
  <c r="H192" i="158"/>
  <c r="P191" i="158"/>
  <c r="N191" i="158"/>
  <c r="M191" i="158"/>
  <c r="L191" i="158"/>
  <c r="K191" i="158"/>
  <c r="H191" i="158"/>
  <c r="P190" i="158"/>
  <c r="N190" i="158"/>
  <c r="M190" i="158"/>
  <c r="L190" i="158"/>
  <c r="K190" i="158"/>
  <c r="H190" i="158"/>
  <c r="P189" i="158"/>
  <c r="N189" i="158"/>
  <c r="M189" i="158"/>
  <c r="L189" i="158"/>
  <c r="K189" i="158"/>
  <c r="H189" i="158"/>
  <c r="P188" i="158"/>
  <c r="N188" i="158"/>
  <c r="M188" i="158"/>
  <c r="L188" i="158"/>
  <c r="K188" i="158"/>
  <c r="H188" i="158"/>
  <c r="P187" i="158"/>
  <c r="N187" i="158"/>
  <c r="M187" i="158"/>
  <c r="L187" i="158"/>
  <c r="K187" i="158"/>
  <c r="H187" i="158"/>
  <c r="P186" i="158"/>
  <c r="N186" i="158"/>
  <c r="M186" i="158"/>
  <c r="L186" i="158"/>
  <c r="K186" i="158"/>
  <c r="H186" i="158"/>
  <c r="P185" i="158"/>
  <c r="N185" i="158"/>
  <c r="M185" i="158"/>
  <c r="L185" i="158"/>
  <c r="K185" i="158"/>
  <c r="H185" i="158"/>
  <c r="P184" i="158"/>
  <c r="N184" i="158"/>
  <c r="M184" i="158"/>
  <c r="L184" i="158"/>
  <c r="K184" i="158"/>
  <c r="H184" i="158"/>
  <c r="P183" i="158"/>
  <c r="N183" i="158"/>
  <c r="M183" i="158"/>
  <c r="L183" i="158"/>
  <c r="K183" i="158"/>
  <c r="H183" i="158"/>
  <c r="P182" i="158"/>
  <c r="N182" i="158"/>
  <c r="M182" i="158"/>
  <c r="L182" i="158"/>
  <c r="K182" i="158"/>
  <c r="H182" i="158"/>
  <c r="P181" i="158"/>
  <c r="N181" i="158"/>
  <c r="M181" i="158"/>
  <c r="L181" i="158"/>
  <c r="K181" i="158"/>
  <c r="H181" i="158"/>
  <c r="P180" i="158"/>
  <c r="N180" i="158"/>
  <c r="M180" i="158"/>
  <c r="L180" i="158"/>
  <c r="K180" i="158"/>
  <c r="H180" i="158"/>
  <c r="P179" i="158"/>
  <c r="N179" i="158"/>
  <c r="M179" i="158"/>
  <c r="L179" i="158"/>
  <c r="K179" i="158"/>
  <c r="H179" i="158"/>
  <c r="P178" i="158"/>
  <c r="N178" i="158"/>
  <c r="M178" i="158"/>
  <c r="L178" i="158"/>
  <c r="K178" i="158"/>
  <c r="H178" i="158"/>
  <c r="P177" i="158"/>
  <c r="N177" i="158"/>
  <c r="M177" i="158"/>
  <c r="L177" i="158"/>
  <c r="K177" i="158"/>
  <c r="H177" i="158"/>
  <c r="P176" i="158"/>
  <c r="N176" i="158"/>
  <c r="M176" i="158"/>
  <c r="L176" i="158"/>
  <c r="K176" i="158"/>
  <c r="H176" i="158"/>
  <c r="P175" i="158"/>
  <c r="N175" i="158"/>
  <c r="M175" i="158"/>
  <c r="L175" i="158"/>
  <c r="K175" i="158"/>
  <c r="H175" i="158"/>
  <c r="P174" i="158"/>
  <c r="N174" i="158"/>
  <c r="M174" i="158"/>
  <c r="L174" i="158"/>
  <c r="K174" i="158"/>
  <c r="H174" i="158"/>
  <c r="P173" i="158"/>
  <c r="N173" i="158"/>
  <c r="M173" i="158"/>
  <c r="L173" i="158"/>
  <c r="K173" i="158"/>
  <c r="H173" i="158"/>
  <c r="P172" i="158"/>
  <c r="N172" i="158"/>
  <c r="M172" i="158"/>
  <c r="L172" i="158"/>
  <c r="K172" i="158"/>
  <c r="H172" i="158"/>
  <c r="P171" i="158"/>
  <c r="N171" i="158"/>
  <c r="M171" i="158"/>
  <c r="L171" i="158"/>
  <c r="K171" i="158"/>
  <c r="H171" i="158"/>
  <c r="P170" i="158"/>
  <c r="N170" i="158"/>
  <c r="M170" i="158"/>
  <c r="L170" i="158"/>
  <c r="K170" i="158"/>
  <c r="H170" i="158"/>
  <c r="P169" i="158"/>
  <c r="N169" i="158"/>
  <c r="M169" i="158"/>
  <c r="L169" i="158"/>
  <c r="K169" i="158"/>
  <c r="H169" i="158"/>
  <c r="P168" i="158"/>
  <c r="N168" i="158"/>
  <c r="M168" i="158"/>
  <c r="L168" i="158"/>
  <c r="K168" i="158"/>
  <c r="H168" i="158"/>
  <c r="P167" i="158"/>
  <c r="N167" i="158"/>
  <c r="M167" i="158"/>
  <c r="L167" i="158"/>
  <c r="K167" i="158"/>
  <c r="H167" i="158"/>
  <c r="P166" i="158"/>
  <c r="N166" i="158"/>
  <c r="M166" i="158"/>
  <c r="L166" i="158"/>
  <c r="K166" i="158"/>
  <c r="H166" i="158"/>
  <c r="P165" i="158"/>
  <c r="N165" i="158"/>
  <c r="M165" i="158"/>
  <c r="L165" i="158"/>
  <c r="K165" i="158"/>
  <c r="H165" i="158"/>
  <c r="P164" i="158"/>
  <c r="N164" i="158"/>
  <c r="M164" i="158"/>
  <c r="L164" i="158"/>
  <c r="K164" i="158"/>
  <c r="H164" i="158"/>
  <c r="P163" i="158"/>
  <c r="N163" i="158"/>
  <c r="M163" i="158"/>
  <c r="L163" i="158"/>
  <c r="K163" i="158"/>
  <c r="H163" i="158"/>
  <c r="P162" i="158"/>
  <c r="N162" i="158"/>
  <c r="M162" i="158"/>
  <c r="L162" i="158"/>
  <c r="K162" i="158"/>
  <c r="H162" i="158"/>
  <c r="P161" i="158"/>
  <c r="N161" i="158"/>
  <c r="M161" i="158"/>
  <c r="L161" i="158"/>
  <c r="K161" i="158"/>
  <c r="H161" i="158"/>
  <c r="P160" i="158"/>
  <c r="N160" i="158"/>
  <c r="M160" i="158"/>
  <c r="L160" i="158"/>
  <c r="K160" i="158"/>
  <c r="H160" i="158"/>
  <c r="P159" i="158"/>
  <c r="N159" i="158"/>
  <c r="M159" i="158"/>
  <c r="L159" i="158"/>
  <c r="K159" i="158"/>
  <c r="H159" i="158"/>
  <c r="P158" i="158"/>
  <c r="N158" i="158"/>
  <c r="M158" i="158"/>
  <c r="L158" i="158"/>
  <c r="K158" i="158"/>
  <c r="H158" i="158"/>
  <c r="P157" i="158"/>
  <c r="N157" i="158"/>
  <c r="M157" i="158"/>
  <c r="L157" i="158"/>
  <c r="K157" i="158"/>
  <c r="H157" i="158"/>
  <c r="P156" i="158"/>
  <c r="N156" i="158"/>
  <c r="M156" i="158"/>
  <c r="L156" i="158"/>
  <c r="K156" i="158"/>
  <c r="H156" i="158"/>
  <c r="P155" i="158"/>
  <c r="N155" i="158"/>
  <c r="M155" i="158"/>
  <c r="L155" i="158"/>
  <c r="K155" i="158"/>
  <c r="H155" i="158"/>
  <c r="P154" i="158"/>
  <c r="N154" i="158"/>
  <c r="M154" i="158"/>
  <c r="L154" i="158"/>
  <c r="K154" i="158"/>
  <c r="H154" i="158"/>
  <c r="P153" i="158"/>
  <c r="N153" i="158"/>
  <c r="M153" i="158"/>
  <c r="L153" i="158"/>
  <c r="K153" i="158"/>
  <c r="H153" i="158"/>
  <c r="P152" i="158"/>
  <c r="N152" i="158"/>
  <c r="M152" i="158"/>
  <c r="L152" i="158"/>
  <c r="K152" i="158"/>
  <c r="H152" i="158"/>
  <c r="P151" i="158"/>
  <c r="N151" i="158"/>
  <c r="M151" i="158"/>
  <c r="L151" i="158"/>
  <c r="K151" i="158"/>
  <c r="H151" i="158"/>
  <c r="P150" i="158"/>
  <c r="N150" i="158"/>
  <c r="M150" i="158"/>
  <c r="L150" i="158"/>
  <c r="K150" i="158"/>
  <c r="H150" i="158"/>
  <c r="P149" i="158"/>
  <c r="N149" i="158"/>
  <c r="M149" i="158"/>
  <c r="L149" i="158"/>
  <c r="K149" i="158"/>
  <c r="H149" i="158"/>
  <c r="P148" i="158"/>
  <c r="N148" i="158"/>
  <c r="M148" i="158"/>
  <c r="L148" i="158"/>
  <c r="K148" i="158"/>
  <c r="H148" i="158"/>
  <c r="P147" i="158"/>
  <c r="N147" i="158"/>
  <c r="M147" i="158"/>
  <c r="L147" i="158"/>
  <c r="K147" i="158"/>
  <c r="H147" i="158"/>
  <c r="P146" i="158"/>
  <c r="N146" i="158"/>
  <c r="M146" i="158"/>
  <c r="L146" i="158"/>
  <c r="K146" i="158"/>
  <c r="H146" i="158"/>
  <c r="P145" i="158"/>
  <c r="N145" i="158"/>
  <c r="M145" i="158"/>
  <c r="L145" i="158"/>
  <c r="K145" i="158"/>
  <c r="H145" i="158"/>
  <c r="P144" i="158"/>
  <c r="N144" i="158"/>
  <c r="M144" i="158"/>
  <c r="L144" i="158"/>
  <c r="K144" i="158"/>
  <c r="H144" i="158"/>
  <c r="P143" i="158"/>
  <c r="N143" i="158"/>
  <c r="M143" i="158"/>
  <c r="L143" i="158"/>
  <c r="K143" i="158"/>
  <c r="H143" i="158"/>
  <c r="P142" i="158"/>
  <c r="N142" i="158"/>
  <c r="M142" i="158"/>
  <c r="L142" i="158"/>
  <c r="K142" i="158"/>
  <c r="H142" i="158"/>
  <c r="P141" i="158"/>
  <c r="N141" i="158"/>
  <c r="M141" i="158"/>
  <c r="L141" i="158"/>
  <c r="K141" i="158"/>
  <c r="H141" i="158"/>
  <c r="P140" i="158"/>
  <c r="N140" i="158"/>
  <c r="M140" i="158"/>
  <c r="L140" i="158"/>
  <c r="K140" i="158"/>
  <c r="H140" i="158"/>
  <c r="P139" i="158"/>
  <c r="N139" i="158"/>
  <c r="M139" i="158"/>
  <c r="L139" i="158"/>
  <c r="K139" i="158"/>
  <c r="H139" i="158"/>
  <c r="P138" i="158"/>
  <c r="N138" i="158"/>
  <c r="M138" i="158"/>
  <c r="L138" i="158"/>
  <c r="K138" i="158"/>
  <c r="H138" i="158"/>
  <c r="P137" i="158"/>
  <c r="N137" i="158"/>
  <c r="M137" i="158"/>
  <c r="L137" i="158"/>
  <c r="K137" i="158"/>
  <c r="H137" i="158"/>
  <c r="P136" i="158"/>
  <c r="N136" i="158"/>
  <c r="M136" i="158"/>
  <c r="L136" i="158"/>
  <c r="K136" i="158"/>
  <c r="H136" i="158"/>
  <c r="P135" i="158"/>
  <c r="N135" i="158"/>
  <c r="M135" i="158"/>
  <c r="L135" i="158"/>
  <c r="K135" i="158"/>
  <c r="H135" i="158"/>
  <c r="P134" i="158"/>
  <c r="N134" i="158"/>
  <c r="M134" i="158"/>
  <c r="L134" i="158"/>
  <c r="K134" i="158"/>
  <c r="H134" i="158"/>
  <c r="P133" i="158"/>
  <c r="N133" i="158"/>
  <c r="M133" i="158"/>
  <c r="L133" i="158"/>
  <c r="K133" i="158"/>
  <c r="H133" i="158"/>
  <c r="P132" i="158"/>
  <c r="N132" i="158"/>
  <c r="M132" i="158"/>
  <c r="L132" i="158"/>
  <c r="K132" i="158"/>
  <c r="H132" i="158"/>
  <c r="P131" i="158"/>
  <c r="N131" i="158"/>
  <c r="M131" i="158"/>
  <c r="L131" i="158"/>
  <c r="K131" i="158"/>
  <c r="H131" i="158"/>
  <c r="P130" i="158"/>
  <c r="N130" i="158"/>
  <c r="M130" i="158"/>
  <c r="L130" i="158"/>
  <c r="K130" i="158"/>
  <c r="H130" i="158"/>
  <c r="P129" i="158"/>
  <c r="N129" i="158"/>
  <c r="M129" i="158"/>
  <c r="L129" i="158"/>
  <c r="K129" i="158"/>
  <c r="H129" i="158"/>
  <c r="P128" i="158"/>
  <c r="N128" i="158"/>
  <c r="M128" i="158"/>
  <c r="L128" i="158"/>
  <c r="K128" i="158"/>
  <c r="H128" i="158"/>
  <c r="P127" i="158"/>
  <c r="N127" i="158"/>
  <c r="M127" i="158"/>
  <c r="L127" i="158"/>
  <c r="K127" i="158"/>
  <c r="H127" i="158"/>
  <c r="P126" i="158"/>
  <c r="N126" i="158"/>
  <c r="M126" i="158"/>
  <c r="L126" i="158"/>
  <c r="K126" i="158"/>
  <c r="H126" i="158"/>
  <c r="P125" i="158"/>
  <c r="N125" i="158"/>
  <c r="M125" i="158"/>
  <c r="L125" i="158"/>
  <c r="K125" i="158"/>
  <c r="H125" i="158"/>
  <c r="P124" i="158"/>
  <c r="N124" i="158"/>
  <c r="M124" i="158"/>
  <c r="L124" i="158"/>
  <c r="K124" i="158"/>
  <c r="H124" i="158"/>
  <c r="P123" i="158"/>
  <c r="N123" i="158"/>
  <c r="M123" i="158"/>
  <c r="L123" i="158"/>
  <c r="K123" i="158"/>
  <c r="H123" i="158"/>
  <c r="P122" i="158"/>
  <c r="N122" i="158"/>
  <c r="M122" i="158"/>
  <c r="L122" i="158"/>
  <c r="K122" i="158"/>
  <c r="H122" i="158"/>
  <c r="P121" i="158"/>
  <c r="N121" i="158"/>
  <c r="M121" i="158"/>
  <c r="L121" i="158"/>
  <c r="K121" i="158"/>
  <c r="H121" i="158"/>
  <c r="P120" i="158"/>
  <c r="N120" i="158"/>
  <c r="M120" i="158"/>
  <c r="L120" i="158"/>
  <c r="K120" i="158"/>
  <c r="H120" i="158"/>
  <c r="P119" i="158"/>
  <c r="N119" i="158"/>
  <c r="M119" i="158"/>
  <c r="L119" i="158"/>
  <c r="K119" i="158"/>
  <c r="H119" i="158"/>
  <c r="P118" i="158"/>
  <c r="N118" i="158"/>
  <c r="M118" i="158"/>
  <c r="L118" i="158"/>
  <c r="K118" i="158"/>
  <c r="H118" i="158"/>
  <c r="P117" i="158"/>
  <c r="N117" i="158"/>
  <c r="M117" i="158"/>
  <c r="L117" i="158"/>
  <c r="K117" i="158"/>
  <c r="H117" i="158"/>
  <c r="P116" i="158"/>
  <c r="N116" i="158"/>
  <c r="M116" i="158"/>
  <c r="L116" i="158"/>
  <c r="K116" i="158"/>
  <c r="H116" i="158"/>
  <c r="P115" i="158"/>
  <c r="N115" i="158"/>
  <c r="M115" i="158"/>
  <c r="L115" i="158"/>
  <c r="K115" i="158"/>
  <c r="H115" i="158"/>
  <c r="P114" i="158"/>
  <c r="N114" i="158"/>
  <c r="M114" i="158"/>
  <c r="L114" i="158"/>
  <c r="K114" i="158"/>
  <c r="H114" i="158"/>
  <c r="P113" i="158"/>
  <c r="N113" i="158"/>
  <c r="M113" i="158"/>
  <c r="L113" i="158"/>
  <c r="K113" i="158"/>
  <c r="H113" i="158"/>
  <c r="P112" i="158"/>
  <c r="N112" i="158"/>
  <c r="M112" i="158"/>
  <c r="L112" i="158"/>
  <c r="K112" i="158"/>
  <c r="H112" i="158"/>
  <c r="P111" i="158"/>
  <c r="N111" i="158"/>
  <c r="M111" i="158"/>
  <c r="L111" i="158"/>
  <c r="K111" i="158"/>
  <c r="H111" i="158"/>
  <c r="P110" i="158"/>
  <c r="N110" i="158"/>
  <c r="M110" i="158"/>
  <c r="L110" i="158"/>
  <c r="K110" i="158"/>
  <c r="H110" i="158"/>
  <c r="P109" i="158"/>
  <c r="N109" i="158"/>
  <c r="M109" i="158"/>
  <c r="L109" i="158"/>
  <c r="K109" i="158"/>
  <c r="H109" i="158"/>
  <c r="P108" i="158"/>
  <c r="N108" i="158"/>
  <c r="M108" i="158"/>
  <c r="L108" i="158"/>
  <c r="K108" i="158"/>
  <c r="H108" i="158"/>
  <c r="P107" i="158"/>
  <c r="N107" i="158"/>
  <c r="M107" i="158"/>
  <c r="L107" i="158"/>
  <c r="K107" i="158"/>
  <c r="H107" i="158"/>
  <c r="P106" i="158"/>
  <c r="N106" i="158"/>
  <c r="M106" i="158"/>
  <c r="L106" i="158"/>
  <c r="K106" i="158"/>
  <c r="H106" i="158"/>
  <c r="P105" i="158"/>
  <c r="N105" i="158"/>
  <c r="M105" i="158"/>
  <c r="L105" i="158"/>
  <c r="K105" i="158"/>
  <c r="H105" i="158"/>
  <c r="P104" i="158"/>
  <c r="N104" i="158"/>
  <c r="M104" i="158"/>
  <c r="L104" i="158"/>
  <c r="K104" i="158"/>
  <c r="H104" i="158"/>
  <c r="P103" i="158"/>
  <c r="N103" i="158"/>
  <c r="M103" i="158"/>
  <c r="L103" i="158"/>
  <c r="K103" i="158"/>
  <c r="H103" i="158"/>
  <c r="P102" i="158"/>
  <c r="N102" i="158"/>
  <c r="M102" i="158"/>
  <c r="L102" i="158"/>
  <c r="K102" i="158"/>
  <c r="H102" i="158"/>
  <c r="P101" i="158"/>
  <c r="N101" i="158"/>
  <c r="M101" i="158"/>
  <c r="L101" i="158"/>
  <c r="K101" i="158"/>
  <c r="H101" i="158"/>
  <c r="P100" i="158"/>
  <c r="N100" i="158"/>
  <c r="M100" i="158"/>
  <c r="L100" i="158"/>
  <c r="K100" i="158"/>
  <c r="H100" i="158"/>
  <c r="P99" i="158"/>
  <c r="N99" i="158"/>
  <c r="M99" i="158"/>
  <c r="L99" i="158"/>
  <c r="K99" i="158"/>
  <c r="H99" i="158"/>
  <c r="P98" i="158"/>
  <c r="N98" i="158"/>
  <c r="M98" i="158"/>
  <c r="L98" i="158"/>
  <c r="K98" i="158"/>
  <c r="H98" i="158"/>
  <c r="P97" i="158"/>
  <c r="N97" i="158"/>
  <c r="M97" i="158"/>
  <c r="L97" i="158"/>
  <c r="K97" i="158"/>
  <c r="H97" i="158"/>
  <c r="P96" i="158"/>
  <c r="N96" i="158"/>
  <c r="M96" i="158"/>
  <c r="L96" i="158"/>
  <c r="K96" i="158"/>
  <c r="H96" i="158"/>
  <c r="P95" i="158"/>
  <c r="N95" i="158"/>
  <c r="M95" i="158"/>
  <c r="L95" i="158"/>
  <c r="K95" i="158"/>
  <c r="H95" i="158"/>
  <c r="P94" i="158"/>
  <c r="N94" i="158"/>
  <c r="M94" i="158"/>
  <c r="L94" i="158"/>
  <c r="K94" i="158"/>
  <c r="H94" i="158"/>
  <c r="P93" i="158"/>
  <c r="N93" i="158"/>
  <c r="M93" i="158"/>
  <c r="L93" i="158"/>
  <c r="K93" i="158"/>
  <c r="H93" i="158"/>
  <c r="P92" i="158"/>
  <c r="N92" i="158"/>
  <c r="M92" i="158"/>
  <c r="L92" i="158"/>
  <c r="K92" i="158"/>
  <c r="H92" i="158"/>
  <c r="P91" i="158"/>
  <c r="N91" i="158"/>
  <c r="M91" i="158"/>
  <c r="L91" i="158"/>
  <c r="K91" i="158"/>
  <c r="H91" i="158"/>
  <c r="P90" i="158"/>
  <c r="N90" i="158"/>
  <c r="M90" i="158"/>
  <c r="L90" i="158"/>
  <c r="K90" i="158"/>
  <c r="H90" i="158"/>
  <c r="P89" i="158"/>
  <c r="N89" i="158"/>
  <c r="M89" i="158"/>
  <c r="L89" i="158"/>
  <c r="K89" i="158"/>
  <c r="H89" i="158"/>
  <c r="P88" i="158"/>
  <c r="N88" i="158"/>
  <c r="M88" i="158"/>
  <c r="L88" i="158"/>
  <c r="K88" i="158"/>
  <c r="H88" i="158"/>
  <c r="P87" i="158"/>
  <c r="N87" i="158"/>
  <c r="M87" i="158"/>
  <c r="L87" i="158"/>
  <c r="K87" i="158"/>
  <c r="H87" i="158"/>
  <c r="P86" i="158"/>
  <c r="N86" i="158"/>
  <c r="M86" i="158"/>
  <c r="L86" i="158"/>
  <c r="K86" i="158"/>
  <c r="H86" i="158"/>
  <c r="P85" i="158"/>
  <c r="N85" i="158"/>
  <c r="M85" i="158"/>
  <c r="L85" i="158"/>
  <c r="K85" i="158"/>
  <c r="H85" i="158"/>
  <c r="P84" i="158"/>
  <c r="N84" i="158"/>
  <c r="M84" i="158"/>
  <c r="L84" i="158"/>
  <c r="K84" i="158"/>
  <c r="H84" i="158"/>
  <c r="P83" i="158"/>
  <c r="N83" i="158"/>
  <c r="M83" i="158"/>
  <c r="L83" i="158"/>
  <c r="K83" i="158"/>
  <c r="H83" i="158"/>
  <c r="P82" i="158"/>
  <c r="N82" i="158"/>
  <c r="M82" i="158"/>
  <c r="L82" i="158"/>
  <c r="K82" i="158"/>
  <c r="H82" i="158"/>
  <c r="P81" i="158"/>
  <c r="N81" i="158"/>
  <c r="M81" i="158"/>
  <c r="L81" i="158"/>
  <c r="K81" i="158"/>
  <c r="H81" i="158"/>
  <c r="P80" i="158"/>
  <c r="N80" i="158"/>
  <c r="M80" i="158"/>
  <c r="L80" i="158"/>
  <c r="K80" i="158"/>
  <c r="H80" i="158"/>
  <c r="P79" i="158"/>
  <c r="N79" i="158"/>
  <c r="M79" i="158"/>
  <c r="L79" i="158"/>
  <c r="K79" i="158"/>
  <c r="H79" i="158"/>
  <c r="P78" i="158"/>
  <c r="N78" i="158"/>
  <c r="M78" i="158"/>
  <c r="L78" i="158"/>
  <c r="K78" i="158"/>
  <c r="H78" i="158"/>
  <c r="P77" i="158"/>
  <c r="N77" i="158"/>
  <c r="M77" i="158"/>
  <c r="L77" i="158"/>
  <c r="K77" i="158"/>
  <c r="H77" i="158"/>
  <c r="P76" i="158"/>
  <c r="N76" i="158"/>
  <c r="M76" i="158"/>
  <c r="L76" i="158"/>
  <c r="K76" i="158"/>
  <c r="H76" i="158"/>
  <c r="P75" i="158"/>
  <c r="N75" i="158"/>
  <c r="M75" i="158"/>
  <c r="L75" i="158"/>
  <c r="K75" i="158"/>
  <c r="H75" i="158"/>
  <c r="P74" i="158"/>
  <c r="N74" i="158"/>
  <c r="M74" i="158"/>
  <c r="L74" i="158"/>
  <c r="K74" i="158"/>
  <c r="H74" i="158"/>
  <c r="A355" i="158"/>
  <c r="A354" i="158"/>
  <c r="A353" i="158"/>
  <c r="A352" i="158"/>
  <c r="A351" i="158"/>
  <c r="A350" i="158"/>
  <c r="A349" i="158"/>
  <c r="A348" i="158"/>
  <c r="A347" i="158"/>
  <c r="A346" i="158"/>
  <c r="A345" i="158"/>
  <c r="A344" i="158"/>
  <c r="A343" i="158"/>
  <c r="A342" i="158"/>
  <c r="A341" i="158"/>
  <c r="A340" i="158"/>
  <c r="A339" i="158"/>
  <c r="A338" i="158"/>
  <c r="A337" i="158"/>
  <c r="A336" i="158"/>
  <c r="A335" i="158"/>
  <c r="A334" i="158"/>
  <c r="A333" i="158"/>
  <c r="A332" i="158"/>
  <c r="A331" i="158"/>
  <c r="A330" i="158"/>
  <c r="A329" i="158"/>
  <c r="A328" i="158"/>
  <c r="A327" i="158"/>
  <c r="A326" i="158"/>
  <c r="A325" i="158"/>
  <c r="A324" i="158"/>
  <c r="A323" i="158"/>
  <c r="A322" i="158"/>
  <c r="A321" i="158"/>
  <c r="A320" i="158"/>
  <c r="A319" i="158"/>
  <c r="A318" i="158"/>
  <c r="A317" i="158"/>
  <c r="A316" i="158"/>
  <c r="A315" i="158"/>
  <c r="A314" i="158"/>
  <c r="A313" i="158"/>
  <c r="A312" i="158"/>
  <c r="A311" i="158"/>
  <c r="A310" i="158"/>
  <c r="A309" i="158"/>
  <c r="A308" i="158"/>
  <c r="A307" i="158"/>
  <c r="A306" i="158"/>
  <c r="A305" i="158"/>
  <c r="A304" i="158"/>
  <c r="A303" i="158"/>
  <c r="A302" i="158"/>
  <c r="A301" i="158"/>
  <c r="A300" i="158"/>
  <c r="A299" i="158"/>
  <c r="A298" i="158"/>
  <c r="A297" i="158"/>
  <c r="A296" i="158"/>
  <c r="A295" i="158"/>
  <c r="A294" i="158"/>
  <c r="A293" i="158"/>
  <c r="A292" i="158"/>
  <c r="A291" i="158"/>
  <c r="A290" i="158"/>
  <c r="A289" i="158"/>
  <c r="A288" i="158"/>
  <c r="A287" i="158"/>
  <c r="A286" i="158"/>
  <c r="A285" i="158"/>
  <c r="A284" i="158"/>
  <c r="A283" i="158"/>
  <c r="A282" i="158"/>
  <c r="A281" i="158"/>
  <c r="A280" i="158"/>
  <c r="A279" i="158"/>
  <c r="A278" i="158"/>
  <c r="A277" i="158"/>
  <c r="A276" i="158"/>
  <c r="A275" i="158"/>
  <c r="A274" i="158"/>
  <c r="A273" i="158"/>
  <c r="A272" i="158"/>
  <c r="A271" i="158"/>
  <c r="A270" i="158"/>
  <c r="A269" i="158"/>
  <c r="A268" i="158"/>
  <c r="A267" i="158"/>
  <c r="A266" i="158"/>
  <c r="A265" i="158"/>
  <c r="A264" i="158"/>
  <c r="A263" i="158"/>
  <c r="A262" i="158"/>
  <c r="A261" i="158"/>
  <c r="A260" i="158"/>
  <c r="A259" i="158"/>
  <c r="A258" i="158"/>
  <c r="A257" i="158"/>
  <c r="A256" i="158"/>
  <c r="A255" i="158"/>
  <c r="A254" i="158"/>
  <c r="A253" i="158"/>
  <c r="A252" i="158"/>
  <c r="A251" i="158"/>
  <c r="A250" i="158"/>
  <c r="A249" i="158"/>
  <c r="A248" i="158"/>
  <c r="A247" i="158"/>
  <c r="A246" i="158"/>
  <c r="A245" i="158"/>
  <c r="A244" i="158"/>
  <c r="A243" i="158"/>
  <c r="A242" i="158"/>
  <c r="A241" i="158"/>
  <c r="A240" i="158"/>
  <c r="A239" i="158"/>
  <c r="A238" i="158"/>
  <c r="A237" i="158"/>
  <c r="A236" i="158"/>
  <c r="A235" i="158"/>
  <c r="A234" i="158"/>
  <c r="A233" i="158"/>
  <c r="A232" i="158"/>
  <c r="A231" i="158"/>
  <c r="A230" i="158"/>
  <c r="A229" i="158"/>
  <c r="A228" i="158"/>
  <c r="A227" i="158"/>
  <c r="A226" i="158"/>
  <c r="A225" i="158"/>
  <c r="A224" i="158"/>
  <c r="A223" i="158"/>
  <c r="A222" i="158"/>
  <c r="A221" i="158"/>
  <c r="A220" i="158"/>
  <c r="A219" i="158"/>
  <c r="A218" i="158"/>
  <c r="A217" i="158"/>
  <c r="A216" i="158"/>
  <c r="A215" i="158"/>
  <c r="A214" i="158"/>
  <c r="A213" i="158"/>
  <c r="A212" i="158"/>
  <c r="A211" i="158"/>
  <c r="A210" i="158"/>
  <c r="A209" i="158"/>
  <c r="A208" i="158"/>
  <c r="A207" i="158"/>
  <c r="A206" i="158"/>
  <c r="A205" i="158"/>
  <c r="A204" i="158"/>
  <c r="A203" i="158"/>
  <c r="A202" i="158"/>
  <c r="A201" i="158"/>
  <c r="A200" i="158"/>
  <c r="A199" i="158"/>
  <c r="A198" i="158"/>
  <c r="A197" i="158"/>
  <c r="A196" i="158"/>
  <c r="A195" i="158"/>
  <c r="A194" i="158"/>
  <c r="A193" i="158"/>
  <c r="A192" i="158"/>
  <c r="A191" i="158"/>
  <c r="A190" i="158"/>
  <c r="A189" i="158"/>
  <c r="A188" i="158"/>
  <c r="A187" i="158"/>
  <c r="A186" i="158"/>
  <c r="A185" i="158"/>
  <c r="A184" i="158"/>
  <c r="A183" i="158"/>
  <c r="A182" i="158"/>
  <c r="A181" i="158"/>
  <c r="A180" i="158"/>
  <c r="A179" i="158"/>
  <c r="A178" i="158"/>
  <c r="A177" i="158"/>
  <c r="A176" i="158"/>
  <c r="A175" i="158"/>
  <c r="A174" i="158"/>
  <c r="A173" i="158"/>
  <c r="A172" i="158"/>
  <c r="A171" i="158"/>
  <c r="A170" i="158"/>
  <c r="A169" i="158"/>
  <c r="A168" i="158"/>
  <c r="A167" i="158"/>
  <c r="A166" i="158"/>
  <c r="A165" i="158"/>
  <c r="A164" i="158"/>
  <c r="A163" i="158"/>
  <c r="A162" i="158"/>
  <c r="A161" i="158"/>
  <c r="A160" i="158"/>
  <c r="A159" i="158"/>
  <c r="A158" i="158"/>
  <c r="A157" i="158"/>
  <c r="A156" i="158"/>
  <c r="A155" i="158"/>
  <c r="A154" i="158"/>
  <c r="A153" i="158"/>
  <c r="A152" i="158"/>
  <c r="A151" i="158"/>
  <c r="A150" i="158"/>
  <c r="A149" i="158"/>
  <c r="A148" i="158"/>
  <c r="A147" i="158"/>
  <c r="A146" i="158"/>
  <c r="A145" i="158"/>
  <c r="A144" i="158"/>
  <c r="A143" i="158"/>
  <c r="A142" i="158"/>
  <c r="A141" i="158"/>
  <c r="A140" i="158"/>
  <c r="A139" i="158"/>
  <c r="A138" i="158"/>
  <c r="A137" i="158"/>
  <c r="A136" i="158"/>
  <c r="A135" i="158"/>
  <c r="A134" i="158"/>
  <c r="A133" i="158"/>
  <c r="A132" i="158"/>
  <c r="A131" i="158"/>
  <c r="A130" i="158"/>
  <c r="A129" i="158"/>
  <c r="A128" i="158"/>
  <c r="A127" i="158"/>
  <c r="A126" i="158"/>
  <c r="A125" i="158"/>
  <c r="A124" i="158"/>
  <c r="A123" i="158"/>
  <c r="A122" i="158"/>
  <c r="A121" i="158"/>
  <c r="A120" i="158"/>
  <c r="A119" i="158"/>
  <c r="A118" i="158"/>
  <c r="A117" i="158"/>
  <c r="A116" i="158"/>
  <c r="A115" i="158"/>
  <c r="A114" i="158"/>
  <c r="A113" i="158"/>
  <c r="A112" i="158"/>
  <c r="A111" i="158"/>
  <c r="A110" i="158"/>
  <c r="A109" i="158"/>
  <c r="A108" i="158"/>
  <c r="A107" i="158"/>
  <c r="A106" i="158"/>
  <c r="A105" i="158"/>
  <c r="A104" i="158"/>
  <c r="A103" i="158"/>
  <c r="A102" i="158"/>
  <c r="A101" i="158"/>
  <c r="A100" i="158"/>
  <c r="A99" i="158"/>
  <c r="A98" i="158"/>
  <c r="A97" i="158"/>
  <c r="A96" i="158"/>
  <c r="A95" i="158"/>
  <c r="A94" i="158"/>
  <c r="A93" i="158"/>
  <c r="A92" i="158"/>
  <c r="A91" i="158"/>
  <c r="A90" i="158"/>
  <c r="A89" i="158"/>
  <c r="A88" i="158"/>
  <c r="A87" i="158"/>
  <c r="A86" i="158"/>
  <c r="A85" i="158"/>
  <c r="A84" i="158"/>
  <c r="A83" i="158"/>
  <c r="A82" i="158"/>
  <c r="A81" i="158"/>
  <c r="A80" i="158"/>
  <c r="A79" i="158"/>
  <c r="A78" i="158"/>
  <c r="A77" i="158"/>
  <c r="A76" i="158"/>
  <c r="A75" i="158"/>
  <c r="A74" i="158"/>
  <c r="B30" i="157"/>
  <c r="P23" i="158"/>
  <c r="P24" i="158"/>
  <c r="P27" i="158"/>
  <c r="P28" i="158"/>
  <c r="P2" i="158"/>
  <c r="P3" i="158"/>
  <c r="P4" i="158"/>
  <c r="P5" i="158"/>
  <c r="P6" i="158"/>
  <c r="P7" i="158"/>
  <c r="P8" i="158"/>
  <c r="P9" i="158"/>
  <c r="P10" i="158"/>
  <c r="P11" i="158"/>
  <c r="P12" i="158"/>
  <c r="P13" i="158"/>
  <c r="P14" i="158"/>
  <c r="P15" i="158"/>
  <c r="P16" i="158"/>
  <c r="P17" i="158"/>
  <c r="P18" i="158"/>
  <c r="P19" i="158"/>
  <c r="P20" i="158"/>
  <c r="P21" i="158"/>
  <c r="P22" i="158"/>
  <c r="P25" i="158"/>
  <c r="P26" i="158"/>
  <c r="P29" i="158"/>
  <c r="P30" i="158"/>
  <c r="P31" i="158"/>
  <c r="P32" i="158"/>
  <c r="P33" i="158"/>
  <c r="P34" i="158"/>
  <c r="P35" i="158"/>
  <c r="P36" i="158"/>
  <c r="P37" i="158"/>
  <c r="P38" i="158"/>
  <c r="P39" i="158"/>
  <c r="P40" i="158"/>
  <c r="P41" i="158"/>
  <c r="P42" i="158"/>
  <c r="P43" i="158"/>
  <c r="P44" i="158"/>
  <c r="P45" i="158"/>
  <c r="P46" i="158"/>
  <c r="P47" i="158"/>
  <c r="P48" i="158"/>
  <c r="P49" i="158"/>
  <c r="P50" i="158"/>
  <c r="P51" i="158"/>
  <c r="P52" i="158"/>
  <c r="P53" i="158"/>
  <c r="P54" i="158"/>
  <c r="P55" i="158"/>
  <c r="P56" i="158"/>
  <c r="P57" i="158"/>
  <c r="P58" i="158"/>
  <c r="P59" i="158"/>
  <c r="P60" i="158"/>
  <c r="P61" i="158"/>
  <c r="P62" i="158"/>
  <c r="P63" i="158"/>
  <c r="P64" i="158"/>
  <c r="P65" i="158"/>
  <c r="P66" i="158"/>
  <c r="P67" i="158"/>
  <c r="P68" i="158"/>
  <c r="P69" i="158"/>
  <c r="P70" i="158"/>
  <c r="P71" i="158"/>
  <c r="P72" i="158"/>
  <c r="P73" i="158"/>
  <c r="F48" i="157"/>
  <c r="F49" i="157"/>
  <c r="F50" i="157"/>
  <c r="J18" i="159"/>
  <c r="J19" i="159"/>
  <c r="J38" i="159"/>
  <c r="E38" i="159"/>
  <c r="F38" i="159"/>
  <c r="C38" i="159"/>
  <c r="H38" i="159"/>
  <c r="K38" i="159"/>
  <c r="L38" i="159"/>
  <c r="M38" i="159"/>
  <c r="N38" i="159"/>
  <c r="P38" i="159"/>
  <c r="J39" i="159"/>
  <c r="E39" i="159"/>
  <c r="F39" i="159"/>
  <c r="C39" i="159"/>
  <c r="H39" i="159"/>
  <c r="K39" i="159"/>
  <c r="L39" i="159"/>
  <c r="M39" i="159"/>
  <c r="N39" i="159"/>
  <c r="P39" i="159"/>
  <c r="J40" i="159"/>
  <c r="E40" i="159"/>
  <c r="F40" i="159"/>
  <c r="C40" i="159"/>
  <c r="H40" i="159"/>
  <c r="K40" i="159"/>
  <c r="L40" i="159"/>
  <c r="M40" i="159"/>
  <c r="N40" i="159"/>
  <c r="P40" i="159"/>
  <c r="J41" i="159"/>
  <c r="E41" i="159"/>
  <c r="F41" i="159"/>
  <c r="C41" i="159"/>
  <c r="H41" i="159"/>
  <c r="K41" i="159"/>
  <c r="L41" i="159"/>
  <c r="M41" i="159"/>
  <c r="N41" i="159"/>
  <c r="P41" i="159"/>
  <c r="J42" i="159"/>
  <c r="E42" i="159"/>
  <c r="F42" i="159"/>
  <c r="C42" i="159"/>
  <c r="H42" i="159"/>
  <c r="K42" i="159"/>
  <c r="L42" i="159"/>
  <c r="M42" i="159"/>
  <c r="N42" i="159"/>
  <c r="P42" i="159"/>
  <c r="J43" i="159"/>
  <c r="E43" i="159"/>
  <c r="F43" i="159"/>
  <c r="C43" i="159"/>
  <c r="H43" i="159"/>
  <c r="K43" i="159"/>
  <c r="L43" i="159"/>
  <c r="M43" i="159"/>
  <c r="N43" i="159"/>
  <c r="P43" i="159"/>
  <c r="R7" i="157"/>
  <c r="R8" i="157"/>
  <c r="R9" i="157"/>
  <c r="F42" i="157"/>
  <c r="G42" i="157"/>
  <c r="H70" i="158"/>
  <c r="K70" i="158"/>
  <c r="L70" i="158"/>
  <c r="M70" i="158"/>
  <c r="N70" i="158"/>
  <c r="H71" i="158"/>
  <c r="K71" i="158"/>
  <c r="L71" i="158"/>
  <c r="M71" i="158"/>
  <c r="N71" i="158"/>
  <c r="H72" i="158"/>
  <c r="K72" i="158"/>
  <c r="L72" i="158"/>
  <c r="M72" i="158"/>
  <c r="N72" i="158"/>
  <c r="H73" i="158"/>
  <c r="K73" i="158"/>
  <c r="L73" i="158"/>
  <c r="M73" i="158"/>
  <c r="N73" i="158"/>
  <c r="A70" i="158"/>
  <c r="A71" i="158"/>
  <c r="A72" i="158"/>
  <c r="A73" i="158"/>
  <c r="F41" i="157"/>
  <c r="G41" i="157"/>
  <c r="J2" i="159"/>
  <c r="E2" i="159"/>
  <c r="F2" i="159"/>
  <c r="C2" i="159"/>
  <c r="J3" i="159"/>
  <c r="E3" i="159"/>
  <c r="F3" i="159"/>
  <c r="C3" i="159"/>
  <c r="J4" i="159"/>
  <c r="E4" i="159"/>
  <c r="F4" i="159"/>
  <c r="C4" i="159"/>
  <c r="J5" i="159"/>
  <c r="E5" i="159"/>
  <c r="F5" i="159"/>
  <c r="C5" i="159"/>
  <c r="J6" i="159"/>
  <c r="E6" i="159"/>
  <c r="F6" i="159"/>
  <c r="C6" i="159"/>
  <c r="J7" i="159"/>
  <c r="E7" i="159"/>
  <c r="F7" i="159"/>
  <c r="C7" i="159"/>
  <c r="J8" i="159"/>
  <c r="E8" i="159"/>
  <c r="F8" i="159"/>
  <c r="C8" i="159"/>
  <c r="J9" i="159"/>
  <c r="E9" i="159"/>
  <c r="F9" i="159"/>
  <c r="C9" i="159"/>
  <c r="J10" i="159"/>
  <c r="E10" i="159"/>
  <c r="F10" i="159"/>
  <c r="C10" i="159"/>
  <c r="J11" i="159"/>
  <c r="E11" i="159"/>
  <c r="F11" i="159"/>
  <c r="C11" i="159"/>
  <c r="J12" i="159"/>
  <c r="E12" i="159"/>
  <c r="F12" i="159"/>
  <c r="C12" i="159"/>
  <c r="J13" i="159"/>
  <c r="E13" i="159"/>
  <c r="F13" i="159"/>
  <c r="C13" i="159"/>
  <c r="J14" i="159"/>
  <c r="E14" i="159"/>
  <c r="F14" i="159"/>
  <c r="C14" i="159"/>
  <c r="J15" i="159"/>
  <c r="E15" i="159"/>
  <c r="F15" i="159"/>
  <c r="C15" i="159"/>
  <c r="J16" i="159"/>
  <c r="E16" i="159"/>
  <c r="F16" i="159"/>
  <c r="C16" i="159"/>
  <c r="J17" i="159"/>
  <c r="E17" i="159"/>
  <c r="F17" i="159"/>
  <c r="C17" i="159"/>
  <c r="E18" i="159"/>
  <c r="F18" i="159"/>
  <c r="C18" i="159"/>
  <c r="E19" i="159"/>
  <c r="F19" i="159"/>
  <c r="C19" i="159"/>
  <c r="J20" i="159"/>
  <c r="E20" i="159"/>
  <c r="F20" i="159"/>
  <c r="C20" i="159"/>
  <c r="J21" i="159"/>
  <c r="E21" i="159"/>
  <c r="F21" i="159"/>
  <c r="C21" i="159"/>
  <c r="J22" i="159"/>
  <c r="E22" i="159"/>
  <c r="F22" i="159"/>
  <c r="C22" i="159"/>
  <c r="J23" i="159"/>
  <c r="E23" i="159"/>
  <c r="F23" i="159"/>
  <c r="C23" i="159"/>
  <c r="J24" i="159"/>
  <c r="E24" i="159"/>
  <c r="F24" i="159"/>
  <c r="C24" i="159"/>
  <c r="J25" i="159"/>
  <c r="E25" i="159"/>
  <c r="F25" i="159"/>
  <c r="C25" i="159"/>
  <c r="J26" i="159"/>
  <c r="E26" i="159"/>
  <c r="F26" i="159"/>
  <c r="C26" i="159"/>
  <c r="J27" i="159"/>
  <c r="E27" i="159"/>
  <c r="F27" i="159"/>
  <c r="C27" i="159"/>
  <c r="J28" i="159"/>
  <c r="E28" i="159"/>
  <c r="F28" i="159"/>
  <c r="C28" i="159"/>
  <c r="J29" i="159"/>
  <c r="E29" i="159"/>
  <c r="F29" i="159"/>
  <c r="C29" i="159"/>
  <c r="J30" i="159"/>
  <c r="E30" i="159"/>
  <c r="F30" i="159"/>
  <c r="C30" i="159"/>
  <c r="J31" i="159"/>
  <c r="E31" i="159"/>
  <c r="F31" i="159"/>
  <c r="C31" i="159"/>
  <c r="J32" i="159"/>
  <c r="E32" i="159"/>
  <c r="F32" i="159"/>
  <c r="C32" i="159"/>
  <c r="J33" i="159"/>
  <c r="E33" i="159"/>
  <c r="F33" i="159"/>
  <c r="C33" i="159"/>
  <c r="J34" i="159"/>
  <c r="E34" i="159"/>
  <c r="F34" i="159"/>
  <c r="C34" i="159"/>
  <c r="J35" i="159"/>
  <c r="E35" i="159"/>
  <c r="F35" i="159"/>
  <c r="C35" i="159"/>
  <c r="J36" i="159"/>
  <c r="E36" i="159"/>
  <c r="F36" i="159"/>
  <c r="C36" i="159"/>
  <c r="J37" i="159"/>
  <c r="E37" i="159"/>
  <c r="F37" i="159"/>
  <c r="C37" i="159"/>
  <c r="P37" i="159"/>
  <c r="N37" i="159"/>
  <c r="M37" i="159"/>
  <c r="L37" i="159"/>
  <c r="K37" i="159"/>
  <c r="H37" i="159"/>
  <c r="P36" i="159"/>
  <c r="N36" i="159"/>
  <c r="M36" i="159"/>
  <c r="L36" i="159"/>
  <c r="K36" i="159"/>
  <c r="H36" i="159"/>
  <c r="P35" i="159"/>
  <c r="N35" i="159"/>
  <c r="M35" i="159"/>
  <c r="L35" i="159"/>
  <c r="K35" i="159"/>
  <c r="H35" i="159"/>
  <c r="P34" i="159"/>
  <c r="N34" i="159"/>
  <c r="M34" i="159"/>
  <c r="L34" i="159"/>
  <c r="K34" i="159"/>
  <c r="H34" i="159"/>
  <c r="P33" i="159"/>
  <c r="N33" i="159"/>
  <c r="M33" i="159"/>
  <c r="L33" i="159"/>
  <c r="K33" i="159"/>
  <c r="H33" i="159"/>
  <c r="P32" i="159"/>
  <c r="N32" i="159"/>
  <c r="M32" i="159"/>
  <c r="L32" i="159"/>
  <c r="K32" i="159"/>
  <c r="H32" i="159"/>
  <c r="P31" i="159"/>
  <c r="N31" i="159"/>
  <c r="M31" i="159"/>
  <c r="L31" i="159"/>
  <c r="K31" i="159"/>
  <c r="H31" i="159"/>
  <c r="P30" i="159"/>
  <c r="N30" i="159"/>
  <c r="M30" i="159"/>
  <c r="L30" i="159"/>
  <c r="K30" i="159"/>
  <c r="H30" i="159"/>
  <c r="P29" i="159"/>
  <c r="N29" i="159"/>
  <c r="M29" i="159"/>
  <c r="L29" i="159"/>
  <c r="K29" i="159"/>
  <c r="H29" i="159"/>
  <c r="P28" i="159"/>
  <c r="N28" i="159"/>
  <c r="M28" i="159"/>
  <c r="L28" i="159"/>
  <c r="K28" i="159"/>
  <c r="H28" i="159"/>
  <c r="P27" i="159"/>
  <c r="N27" i="159"/>
  <c r="M27" i="159"/>
  <c r="L27" i="159"/>
  <c r="K27" i="159"/>
  <c r="H27" i="159"/>
  <c r="P26" i="159"/>
  <c r="N26" i="159"/>
  <c r="M26" i="159"/>
  <c r="L26" i="159"/>
  <c r="K26" i="159"/>
  <c r="H26" i="159"/>
  <c r="P25" i="159"/>
  <c r="N25" i="159"/>
  <c r="M25" i="159"/>
  <c r="L25" i="159"/>
  <c r="K25" i="159"/>
  <c r="H25" i="159"/>
  <c r="P24" i="159"/>
  <c r="N24" i="159"/>
  <c r="M24" i="159"/>
  <c r="L24" i="159"/>
  <c r="K24" i="159"/>
  <c r="H24" i="159"/>
  <c r="P23" i="159"/>
  <c r="N23" i="159"/>
  <c r="M23" i="159"/>
  <c r="L23" i="159"/>
  <c r="K23" i="159"/>
  <c r="H23" i="159"/>
  <c r="P22" i="159"/>
  <c r="N22" i="159"/>
  <c r="M22" i="159"/>
  <c r="L22" i="159"/>
  <c r="K22" i="159"/>
  <c r="H22" i="159"/>
  <c r="P21" i="159"/>
  <c r="N21" i="159"/>
  <c r="M21" i="159"/>
  <c r="L21" i="159"/>
  <c r="K21" i="159"/>
  <c r="H21" i="159"/>
  <c r="P20" i="159"/>
  <c r="N20" i="159"/>
  <c r="M20" i="159"/>
  <c r="L20" i="159"/>
  <c r="K20" i="159"/>
  <c r="H20" i="159"/>
  <c r="P19" i="159"/>
  <c r="N19" i="159"/>
  <c r="M19" i="159"/>
  <c r="L19" i="159"/>
  <c r="K19" i="159"/>
  <c r="H19" i="159"/>
  <c r="P18" i="159"/>
  <c r="N18" i="159"/>
  <c r="M18" i="159"/>
  <c r="L18" i="159"/>
  <c r="K18" i="159"/>
  <c r="H18" i="159"/>
  <c r="P17" i="159"/>
  <c r="N17" i="159"/>
  <c r="M17" i="159"/>
  <c r="L17" i="159"/>
  <c r="K17" i="159"/>
  <c r="H17" i="159"/>
  <c r="P16" i="159"/>
  <c r="N16" i="159"/>
  <c r="M16" i="159"/>
  <c r="L16" i="159"/>
  <c r="K16" i="159"/>
  <c r="H16" i="159"/>
  <c r="P15" i="159"/>
  <c r="N15" i="159"/>
  <c r="M15" i="159"/>
  <c r="L15" i="159"/>
  <c r="K15" i="159"/>
  <c r="H15" i="159"/>
  <c r="P14" i="159"/>
  <c r="N14" i="159"/>
  <c r="M14" i="159"/>
  <c r="L14" i="159"/>
  <c r="K14" i="159"/>
  <c r="H14" i="159"/>
  <c r="P13" i="159"/>
  <c r="N13" i="159"/>
  <c r="M13" i="159"/>
  <c r="L13" i="159"/>
  <c r="K13" i="159"/>
  <c r="H13" i="159"/>
  <c r="P12" i="159"/>
  <c r="N12" i="159"/>
  <c r="M12" i="159"/>
  <c r="L12" i="159"/>
  <c r="K12" i="159"/>
  <c r="H12" i="159"/>
  <c r="P11" i="159"/>
  <c r="N11" i="159"/>
  <c r="M11" i="159"/>
  <c r="L11" i="159"/>
  <c r="K11" i="159"/>
  <c r="H11" i="159"/>
  <c r="P10" i="159"/>
  <c r="N10" i="159"/>
  <c r="M10" i="159"/>
  <c r="L10" i="159"/>
  <c r="K10" i="159"/>
  <c r="H10" i="159"/>
  <c r="P9" i="159"/>
  <c r="N9" i="159"/>
  <c r="M9" i="159"/>
  <c r="L9" i="159"/>
  <c r="K9" i="159"/>
  <c r="H9" i="159"/>
  <c r="P8" i="159"/>
  <c r="N8" i="159"/>
  <c r="M8" i="159"/>
  <c r="L8" i="159"/>
  <c r="K8" i="159"/>
  <c r="H8" i="159"/>
  <c r="P7" i="159"/>
  <c r="N7" i="159"/>
  <c r="M7" i="159"/>
  <c r="L7" i="159"/>
  <c r="K7" i="159"/>
  <c r="H7" i="159"/>
  <c r="P6" i="159"/>
  <c r="N6" i="159"/>
  <c r="M6" i="159"/>
  <c r="L6" i="159"/>
  <c r="K6" i="159"/>
  <c r="H6" i="159"/>
  <c r="P5" i="159"/>
  <c r="N5" i="159"/>
  <c r="M5" i="159"/>
  <c r="L5" i="159"/>
  <c r="K5" i="159"/>
  <c r="H5" i="159"/>
  <c r="P4" i="159"/>
  <c r="N4" i="159"/>
  <c r="M4" i="159"/>
  <c r="L4" i="159"/>
  <c r="K4" i="159"/>
  <c r="H4" i="159"/>
  <c r="P3" i="159"/>
  <c r="N3" i="159"/>
  <c r="M3" i="159"/>
  <c r="L3" i="159"/>
  <c r="K3" i="159"/>
  <c r="H3" i="159"/>
  <c r="P2" i="159"/>
  <c r="N2" i="159"/>
  <c r="M2" i="159"/>
  <c r="L2" i="159"/>
  <c r="K2" i="159"/>
  <c r="H2" i="159"/>
  <c r="C19" i="157"/>
  <c r="C20" i="157"/>
  <c r="C21" i="157"/>
  <c r="C22" i="157"/>
  <c r="C23" i="157"/>
  <c r="C24" i="157"/>
  <c r="C25" i="157"/>
  <c r="C26" i="157"/>
  <c r="C27" i="157"/>
  <c r="C28" i="157"/>
  <c r="C29" i="157"/>
  <c r="C32" i="157"/>
  <c r="C4" i="103"/>
  <c r="E4" i="103"/>
  <c r="R10" i="157"/>
  <c r="N69" i="158"/>
  <c r="M69" i="158"/>
  <c r="L69" i="158"/>
  <c r="K69" i="158"/>
  <c r="H69" i="158"/>
  <c r="A69" i="158"/>
  <c r="N68" i="158"/>
  <c r="M68" i="158"/>
  <c r="L68" i="158"/>
  <c r="K68" i="158"/>
  <c r="H68" i="158"/>
  <c r="A68" i="158"/>
  <c r="N67" i="158"/>
  <c r="M67" i="158"/>
  <c r="L67" i="158"/>
  <c r="K67" i="158"/>
  <c r="H67" i="158"/>
  <c r="A67" i="158"/>
  <c r="N66" i="158"/>
  <c r="M66" i="158"/>
  <c r="L66" i="158"/>
  <c r="K66" i="158"/>
  <c r="H66" i="158"/>
  <c r="A66" i="158"/>
  <c r="N65" i="158"/>
  <c r="M65" i="158"/>
  <c r="L65" i="158"/>
  <c r="K65" i="158"/>
  <c r="H65" i="158"/>
  <c r="A65" i="158"/>
  <c r="N64" i="158"/>
  <c r="M64" i="158"/>
  <c r="L64" i="158"/>
  <c r="K64" i="158"/>
  <c r="H64" i="158"/>
  <c r="A64" i="158"/>
  <c r="N63" i="158"/>
  <c r="M63" i="158"/>
  <c r="L63" i="158"/>
  <c r="K63" i="158"/>
  <c r="H63" i="158"/>
  <c r="A63" i="158"/>
  <c r="N62" i="158"/>
  <c r="M62" i="158"/>
  <c r="L62" i="158"/>
  <c r="K62" i="158"/>
  <c r="H62" i="158"/>
  <c r="A62" i="158"/>
  <c r="N61" i="158"/>
  <c r="M61" i="158"/>
  <c r="L61" i="158"/>
  <c r="K61" i="158"/>
  <c r="H61" i="158"/>
  <c r="A61" i="158"/>
  <c r="N60" i="158"/>
  <c r="M60" i="158"/>
  <c r="L60" i="158"/>
  <c r="K60" i="158"/>
  <c r="H60" i="158"/>
  <c r="A60" i="158"/>
  <c r="N59" i="158"/>
  <c r="M59" i="158"/>
  <c r="L59" i="158"/>
  <c r="K59" i="158"/>
  <c r="H59" i="158"/>
  <c r="A59" i="158"/>
  <c r="N58" i="158"/>
  <c r="M58" i="158"/>
  <c r="L58" i="158"/>
  <c r="K58" i="158"/>
  <c r="H58" i="158"/>
  <c r="A58" i="158"/>
  <c r="N57" i="158"/>
  <c r="M57" i="158"/>
  <c r="L57" i="158"/>
  <c r="K57" i="158"/>
  <c r="H57" i="158"/>
  <c r="A57" i="158"/>
  <c r="N56" i="158"/>
  <c r="M56" i="158"/>
  <c r="L56" i="158"/>
  <c r="K56" i="158"/>
  <c r="H56" i="158"/>
  <c r="A56" i="158"/>
  <c r="N55" i="158"/>
  <c r="M55" i="158"/>
  <c r="L55" i="158"/>
  <c r="K55" i="158"/>
  <c r="H55" i="158"/>
  <c r="A55" i="158"/>
  <c r="N54" i="158"/>
  <c r="M54" i="158"/>
  <c r="L54" i="158"/>
  <c r="K54" i="158"/>
  <c r="H54" i="158"/>
  <c r="A54" i="158"/>
  <c r="N53" i="158"/>
  <c r="M53" i="158"/>
  <c r="L53" i="158"/>
  <c r="K53" i="158"/>
  <c r="H53" i="158"/>
  <c r="A53" i="158"/>
  <c r="N52" i="158"/>
  <c r="M52" i="158"/>
  <c r="L52" i="158"/>
  <c r="K52" i="158"/>
  <c r="H52" i="158"/>
  <c r="A52" i="158"/>
  <c r="N51" i="158"/>
  <c r="M51" i="158"/>
  <c r="L51" i="158"/>
  <c r="K51" i="158"/>
  <c r="H51" i="158"/>
  <c r="A51" i="158"/>
  <c r="N50" i="158"/>
  <c r="M50" i="158"/>
  <c r="L50" i="158"/>
  <c r="K50" i="158"/>
  <c r="H50" i="158"/>
  <c r="A50" i="158"/>
  <c r="N49" i="158"/>
  <c r="M49" i="158"/>
  <c r="L49" i="158"/>
  <c r="K49" i="158"/>
  <c r="H49" i="158"/>
  <c r="A49" i="158"/>
  <c r="N48" i="158"/>
  <c r="M48" i="158"/>
  <c r="L48" i="158"/>
  <c r="K48" i="158"/>
  <c r="H48" i="158"/>
  <c r="A48" i="158"/>
  <c r="N47" i="158"/>
  <c r="M47" i="158"/>
  <c r="L47" i="158"/>
  <c r="K47" i="158"/>
  <c r="H47" i="158"/>
  <c r="A47" i="158"/>
  <c r="N46" i="158"/>
  <c r="M46" i="158"/>
  <c r="L46" i="158"/>
  <c r="K46" i="158"/>
  <c r="H46" i="158"/>
  <c r="A46" i="158"/>
  <c r="N45" i="158"/>
  <c r="M45" i="158"/>
  <c r="L45" i="158"/>
  <c r="K45" i="158"/>
  <c r="H45" i="158"/>
  <c r="A45" i="158"/>
  <c r="N44" i="158"/>
  <c r="M44" i="158"/>
  <c r="L44" i="158"/>
  <c r="K44" i="158"/>
  <c r="H44" i="158"/>
  <c r="A44" i="158"/>
  <c r="N43" i="158"/>
  <c r="M43" i="158"/>
  <c r="L43" i="158"/>
  <c r="K43" i="158"/>
  <c r="H43" i="158"/>
  <c r="A43" i="158"/>
  <c r="N42" i="158"/>
  <c r="M42" i="158"/>
  <c r="L42" i="158"/>
  <c r="K42" i="158"/>
  <c r="H42" i="158"/>
  <c r="A42" i="158"/>
  <c r="N41" i="158"/>
  <c r="M41" i="158"/>
  <c r="L41" i="158"/>
  <c r="K41" i="158"/>
  <c r="H41" i="158"/>
  <c r="A41" i="158"/>
  <c r="N40" i="158"/>
  <c r="M40" i="158"/>
  <c r="L40" i="158"/>
  <c r="K40" i="158"/>
  <c r="H40" i="158"/>
  <c r="A40" i="158"/>
  <c r="N39" i="158"/>
  <c r="M39" i="158"/>
  <c r="L39" i="158"/>
  <c r="K39" i="158"/>
  <c r="H39" i="158"/>
  <c r="A39" i="158"/>
  <c r="N38" i="158"/>
  <c r="M38" i="158"/>
  <c r="L38" i="158"/>
  <c r="K38" i="158"/>
  <c r="H38" i="158"/>
  <c r="A38" i="158"/>
  <c r="N37" i="158"/>
  <c r="M37" i="158"/>
  <c r="L37" i="158"/>
  <c r="K37" i="158"/>
  <c r="H37" i="158"/>
  <c r="A37" i="158"/>
  <c r="N36" i="158"/>
  <c r="M36" i="158"/>
  <c r="L36" i="158"/>
  <c r="K36" i="158"/>
  <c r="H36" i="158"/>
  <c r="A36" i="158"/>
  <c r="N35" i="158"/>
  <c r="M35" i="158"/>
  <c r="L35" i="158"/>
  <c r="K35" i="158"/>
  <c r="H35" i="158"/>
  <c r="A35" i="158"/>
  <c r="N34" i="158"/>
  <c r="M34" i="158"/>
  <c r="L34" i="158"/>
  <c r="K34" i="158"/>
  <c r="H34" i="158"/>
  <c r="A34" i="158"/>
  <c r="N33" i="158"/>
  <c r="M33" i="158"/>
  <c r="L33" i="158"/>
  <c r="K33" i="158"/>
  <c r="H33" i="158"/>
  <c r="A33" i="158"/>
  <c r="N32" i="158"/>
  <c r="M32" i="158"/>
  <c r="L32" i="158"/>
  <c r="K32" i="158"/>
  <c r="H32" i="158"/>
  <c r="A32" i="158"/>
  <c r="N31" i="158"/>
  <c r="M31" i="158"/>
  <c r="L31" i="158"/>
  <c r="K31" i="158"/>
  <c r="H31" i="158"/>
  <c r="A31" i="158"/>
  <c r="N30" i="158"/>
  <c r="M30" i="158"/>
  <c r="L30" i="158"/>
  <c r="K30" i="158"/>
  <c r="H30" i="158"/>
  <c r="A30" i="158"/>
  <c r="N29" i="158"/>
  <c r="M29" i="158"/>
  <c r="L29" i="158"/>
  <c r="K29" i="158"/>
  <c r="H29" i="158"/>
  <c r="A29" i="158"/>
  <c r="N28" i="158"/>
  <c r="M28" i="158"/>
  <c r="L28" i="158"/>
  <c r="K28" i="158"/>
  <c r="H28" i="158"/>
  <c r="A28" i="158"/>
  <c r="N27" i="158"/>
  <c r="M27" i="158"/>
  <c r="L27" i="158"/>
  <c r="K27" i="158"/>
  <c r="H27" i="158"/>
  <c r="A27" i="158"/>
  <c r="N26" i="158"/>
  <c r="M26" i="158"/>
  <c r="L26" i="158"/>
  <c r="K26" i="158"/>
  <c r="H26" i="158"/>
  <c r="A26" i="158"/>
  <c r="N25" i="158"/>
  <c r="M25" i="158"/>
  <c r="L25" i="158"/>
  <c r="K25" i="158"/>
  <c r="H25" i="158"/>
  <c r="A25" i="158"/>
  <c r="N24" i="158"/>
  <c r="M24" i="158"/>
  <c r="L24" i="158"/>
  <c r="K24" i="158"/>
  <c r="H24" i="158"/>
  <c r="A24" i="158"/>
  <c r="N23" i="158"/>
  <c r="M23" i="158"/>
  <c r="L23" i="158"/>
  <c r="K23" i="158"/>
  <c r="H23" i="158"/>
  <c r="A23" i="158"/>
  <c r="N22" i="158"/>
  <c r="M22" i="158"/>
  <c r="L22" i="158"/>
  <c r="K22" i="158"/>
  <c r="H22" i="158"/>
  <c r="A22" i="158"/>
  <c r="N21" i="158"/>
  <c r="M21" i="158"/>
  <c r="L21" i="158"/>
  <c r="K21" i="158"/>
  <c r="H21" i="158"/>
  <c r="A21" i="158"/>
  <c r="N20" i="158"/>
  <c r="M20" i="158"/>
  <c r="L20" i="158"/>
  <c r="K20" i="158"/>
  <c r="H20" i="158"/>
  <c r="A20" i="158"/>
  <c r="N19" i="158"/>
  <c r="M19" i="158"/>
  <c r="L19" i="158"/>
  <c r="K19" i="158"/>
  <c r="H19" i="158"/>
  <c r="A19" i="158"/>
  <c r="N18" i="158"/>
  <c r="M18" i="158"/>
  <c r="L18" i="158"/>
  <c r="K18" i="158"/>
  <c r="H18" i="158"/>
  <c r="A18" i="158"/>
  <c r="N17" i="158"/>
  <c r="M17" i="158"/>
  <c r="L17" i="158"/>
  <c r="K17" i="158"/>
  <c r="H17" i="158"/>
  <c r="A17" i="158"/>
  <c r="N16" i="158"/>
  <c r="M16" i="158"/>
  <c r="L16" i="158"/>
  <c r="K16" i="158"/>
  <c r="H16" i="158"/>
  <c r="A16" i="158"/>
  <c r="N15" i="158"/>
  <c r="M15" i="158"/>
  <c r="L15" i="158"/>
  <c r="K15" i="158"/>
  <c r="H15" i="158"/>
  <c r="A15" i="158"/>
  <c r="N14" i="158"/>
  <c r="M14" i="158"/>
  <c r="L14" i="158"/>
  <c r="K14" i="158"/>
  <c r="H14" i="158"/>
  <c r="A14" i="158"/>
  <c r="N13" i="158"/>
  <c r="M13" i="158"/>
  <c r="L13" i="158"/>
  <c r="K13" i="158"/>
  <c r="H13" i="158"/>
  <c r="A13" i="158"/>
  <c r="N12" i="158"/>
  <c r="M12" i="158"/>
  <c r="L12" i="158"/>
  <c r="K12" i="158"/>
  <c r="H12" i="158"/>
  <c r="A12" i="158"/>
  <c r="N11" i="158"/>
  <c r="M11" i="158"/>
  <c r="L11" i="158"/>
  <c r="K11" i="158"/>
  <c r="H11" i="158"/>
  <c r="A11" i="158"/>
  <c r="N10" i="158"/>
  <c r="M10" i="158"/>
  <c r="L10" i="158"/>
  <c r="K10" i="158"/>
  <c r="H10" i="158"/>
  <c r="A10" i="158"/>
  <c r="N9" i="158"/>
  <c r="M9" i="158"/>
  <c r="L9" i="158"/>
  <c r="K9" i="158"/>
  <c r="H9" i="158"/>
  <c r="A9" i="158"/>
  <c r="N8" i="158"/>
  <c r="M8" i="158"/>
  <c r="L8" i="158"/>
  <c r="K8" i="158"/>
  <c r="H8" i="158"/>
  <c r="A8" i="158"/>
  <c r="N7" i="158"/>
  <c r="M7" i="158"/>
  <c r="L7" i="158"/>
  <c r="K7" i="158"/>
  <c r="H7" i="158"/>
  <c r="A7" i="158"/>
  <c r="N6" i="158"/>
  <c r="M6" i="158"/>
  <c r="L6" i="158"/>
  <c r="K6" i="158"/>
  <c r="H6" i="158"/>
  <c r="A6" i="158"/>
  <c r="N5" i="158"/>
  <c r="M5" i="158"/>
  <c r="L5" i="158"/>
  <c r="K5" i="158"/>
  <c r="H5" i="158"/>
  <c r="A5" i="158"/>
  <c r="N4" i="158"/>
  <c r="M4" i="158"/>
  <c r="L4" i="158"/>
  <c r="K4" i="158"/>
  <c r="H4" i="158"/>
  <c r="A4" i="158"/>
  <c r="N3" i="158"/>
  <c r="M3" i="158"/>
  <c r="L3" i="158"/>
  <c r="K3" i="158"/>
  <c r="H3" i="158"/>
  <c r="A3" i="158"/>
  <c r="N2" i="158"/>
  <c r="M2" i="158"/>
  <c r="L2" i="158"/>
  <c r="K2" i="158"/>
  <c r="H2" i="158"/>
  <c r="A2" i="158"/>
  <c r="F47" i="157"/>
  <c r="B40" i="157"/>
  <c r="B41" i="157"/>
  <c r="B42" i="157"/>
  <c r="B43" i="157"/>
  <c r="B44" i="157"/>
  <c r="B45" i="157"/>
  <c r="B47" i="157"/>
  <c r="C40" i="157"/>
  <c r="C41" i="157"/>
  <c r="C42" i="157"/>
  <c r="C43" i="157"/>
  <c r="C44" i="157"/>
  <c r="C45" i="157"/>
  <c r="C46" i="157"/>
  <c r="C47" i="157"/>
  <c r="F46" i="157"/>
  <c r="F45" i="157"/>
  <c r="F40" i="157"/>
  <c r="G40" i="157"/>
  <c r="B32" i="157"/>
  <c r="D32" i="157"/>
  <c r="I31" i="157"/>
  <c r="J31" i="157"/>
  <c r="F31" i="157"/>
  <c r="D31" i="157"/>
  <c r="I30" i="157"/>
  <c r="J30" i="157"/>
  <c r="F30" i="157"/>
  <c r="D30" i="157"/>
  <c r="I29" i="157"/>
  <c r="J29" i="157"/>
  <c r="F29" i="157"/>
  <c r="D29" i="157"/>
  <c r="I28" i="157"/>
  <c r="J28" i="157"/>
  <c r="F28" i="157"/>
  <c r="D28" i="157"/>
  <c r="I27" i="157"/>
  <c r="J27" i="157"/>
  <c r="F27" i="157"/>
  <c r="D27" i="157"/>
  <c r="I26" i="157"/>
  <c r="J26" i="157"/>
  <c r="F26" i="157"/>
  <c r="D26" i="157"/>
  <c r="I25" i="157"/>
  <c r="J25" i="157"/>
  <c r="F25" i="157"/>
  <c r="D25" i="157"/>
  <c r="I24" i="157"/>
  <c r="J24" i="157"/>
  <c r="F24" i="157"/>
  <c r="D24" i="157"/>
  <c r="I23" i="157"/>
  <c r="J23" i="157"/>
  <c r="F23" i="157"/>
  <c r="D23" i="157"/>
  <c r="I22" i="157"/>
  <c r="J22" i="157"/>
  <c r="F22" i="157"/>
  <c r="D22" i="157"/>
  <c r="I21" i="157"/>
  <c r="J21" i="157"/>
  <c r="F21" i="157"/>
  <c r="D21" i="157"/>
  <c r="R20" i="157"/>
  <c r="P20" i="157"/>
  <c r="O20" i="157"/>
  <c r="M20" i="157"/>
  <c r="I20" i="157"/>
  <c r="J20" i="157"/>
  <c r="F20" i="157"/>
  <c r="D20" i="157"/>
  <c r="R19" i="157"/>
  <c r="P19" i="157"/>
  <c r="O19" i="157"/>
  <c r="M19" i="157"/>
  <c r="I19" i="157"/>
  <c r="J19" i="157"/>
  <c r="F19" i="157"/>
  <c r="D19" i="157"/>
  <c r="R18" i="157"/>
  <c r="P18" i="157"/>
  <c r="O18" i="157"/>
  <c r="M18" i="157"/>
  <c r="I18" i="157"/>
  <c r="J18" i="157"/>
  <c r="F18" i="157"/>
  <c r="C18" i="157"/>
  <c r="D18" i="157"/>
  <c r="R17" i="157"/>
  <c r="P17" i="157"/>
  <c r="O17" i="157"/>
  <c r="M17" i="157"/>
  <c r="I17" i="157"/>
  <c r="J17" i="157"/>
  <c r="F17" i="157"/>
  <c r="C17" i="157"/>
  <c r="D17" i="157"/>
  <c r="V16" i="157"/>
  <c r="R16" i="157"/>
  <c r="P16" i="157"/>
  <c r="O16" i="157"/>
  <c r="M16" i="157"/>
  <c r="V15" i="157"/>
  <c r="R15" i="157"/>
  <c r="P15" i="157"/>
  <c r="O15" i="157"/>
  <c r="M15" i="157"/>
  <c r="V14" i="157"/>
  <c r="R14" i="157"/>
  <c r="P14" i="157"/>
  <c r="O14" i="157"/>
  <c r="M14" i="157"/>
  <c r="V13" i="157"/>
  <c r="R13" i="157"/>
  <c r="P13" i="157"/>
  <c r="O13" i="157"/>
  <c r="M13" i="157"/>
  <c r="V12" i="157"/>
  <c r="R12" i="157"/>
  <c r="P12" i="157"/>
  <c r="O12" i="157"/>
  <c r="M12" i="157"/>
  <c r="V11" i="157"/>
  <c r="R11" i="157"/>
  <c r="P11" i="157"/>
  <c r="O11" i="157"/>
  <c r="M11" i="157"/>
  <c r="V10" i="157"/>
  <c r="P10" i="157"/>
  <c r="O10" i="157"/>
  <c r="M10" i="157"/>
  <c r="V9" i="157"/>
  <c r="P9" i="157"/>
  <c r="O9" i="157"/>
  <c r="M9" i="157"/>
  <c r="V8" i="157"/>
  <c r="P8" i="157"/>
  <c r="O8" i="157"/>
  <c r="M8" i="157"/>
  <c r="V7" i="157"/>
  <c r="P7" i="157"/>
  <c r="O7" i="157"/>
  <c r="M7" i="157"/>
  <c r="V6" i="157"/>
  <c r="P6" i="157"/>
  <c r="O6" i="157"/>
  <c r="M6" i="157"/>
  <c r="V5" i="157"/>
  <c r="P5" i="157"/>
  <c r="O5" i="157"/>
  <c r="M5" i="157"/>
  <c r="V4" i="157"/>
  <c r="P4" i="157"/>
  <c r="O4" i="157"/>
  <c r="M4" i="157"/>
  <c r="V3" i="157"/>
  <c r="P3" i="157"/>
  <c r="O3" i="157"/>
  <c r="M3" i="157"/>
  <c r="V2" i="157"/>
  <c r="C5" i="103"/>
  <c r="E5" i="103"/>
  <c r="C6" i="103"/>
  <c r="E6" i="103"/>
  <c r="C2" i="103"/>
  <c r="E2" i="103"/>
  <c r="C7" i="103"/>
  <c r="E7" i="103"/>
  <c r="B14" i="112"/>
  <c r="B13" i="112"/>
  <c r="B12" i="112"/>
  <c r="B11" i="112"/>
  <c r="B10" i="112"/>
  <c r="B9" i="112"/>
  <c r="B8" i="112"/>
  <c r="B7" i="112"/>
  <c r="B6" i="112"/>
  <c r="B5" i="112"/>
  <c r="B4" i="112"/>
  <c r="B3" i="112"/>
  <c r="B266" i="111"/>
  <c r="B265" i="111"/>
  <c r="B264" i="111"/>
  <c r="B263" i="111"/>
  <c r="B262" i="111"/>
  <c r="B261" i="111"/>
  <c r="B260" i="111"/>
  <c r="B259" i="111"/>
  <c r="B258" i="111"/>
  <c r="B257" i="111"/>
  <c r="B256" i="111"/>
  <c r="B255" i="111"/>
  <c r="B254" i="111"/>
  <c r="B253" i="111"/>
  <c r="B252" i="111"/>
  <c r="B251" i="111"/>
  <c r="B250" i="111"/>
  <c r="B249" i="111"/>
  <c r="B248" i="111"/>
  <c r="B247" i="111"/>
  <c r="B246" i="111"/>
  <c r="B245" i="111"/>
  <c r="B244" i="111"/>
  <c r="B243" i="111"/>
  <c r="B242" i="111"/>
  <c r="B241" i="111"/>
  <c r="B240" i="111"/>
  <c r="B239" i="111"/>
  <c r="B238" i="111"/>
  <c r="B237" i="111"/>
  <c r="B236" i="111"/>
  <c r="B235" i="111"/>
  <c r="B234" i="111"/>
  <c r="B233" i="111"/>
  <c r="B232" i="111"/>
  <c r="B231" i="111"/>
  <c r="B230" i="111"/>
  <c r="B229" i="111"/>
  <c r="B228" i="111"/>
  <c r="B227" i="111"/>
  <c r="B226" i="111"/>
  <c r="B225" i="111"/>
  <c r="B224" i="111"/>
  <c r="B223" i="111"/>
  <c r="B222" i="111"/>
  <c r="B221" i="111"/>
  <c r="B220" i="111"/>
  <c r="B219" i="111"/>
  <c r="B218" i="111"/>
  <c r="B217" i="111"/>
  <c r="B216" i="111"/>
  <c r="B215" i="111"/>
  <c r="B214" i="111"/>
  <c r="B213" i="111"/>
  <c r="B212" i="111"/>
  <c r="B211" i="111"/>
  <c r="B210" i="111"/>
  <c r="B209" i="111"/>
  <c r="B208" i="111"/>
  <c r="B207" i="111"/>
  <c r="B206" i="111"/>
  <c r="B205" i="111"/>
  <c r="B204" i="111"/>
  <c r="B203" i="111"/>
  <c r="B202" i="111"/>
  <c r="B201" i="111"/>
  <c r="B200" i="111"/>
  <c r="B199" i="111"/>
  <c r="B198" i="111"/>
  <c r="B197" i="111"/>
  <c r="B196" i="111"/>
  <c r="B195" i="111"/>
  <c r="B194" i="111"/>
  <c r="B193" i="111"/>
  <c r="B192" i="111"/>
  <c r="B191" i="111"/>
  <c r="B190" i="111"/>
  <c r="B189" i="111"/>
  <c r="B188" i="111"/>
  <c r="B187" i="111"/>
  <c r="B186" i="111"/>
  <c r="B185" i="111"/>
  <c r="B184" i="111"/>
  <c r="B183" i="111"/>
  <c r="B182" i="111"/>
  <c r="B181" i="111"/>
  <c r="B180" i="111"/>
  <c r="B179" i="111"/>
  <c r="B178" i="111"/>
  <c r="B177" i="111"/>
  <c r="B176" i="111"/>
  <c r="B175" i="111"/>
  <c r="B174" i="111"/>
  <c r="B173" i="111"/>
  <c r="B172" i="111"/>
  <c r="B171" i="111"/>
  <c r="B170" i="111"/>
  <c r="B169" i="111"/>
  <c r="B168" i="111"/>
  <c r="B167" i="111"/>
  <c r="B166" i="111"/>
  <c r="B165" i="111"/>
  <c r="B164" i="111"/>
  <c r="B163" i="111"/>
  <c r="B162" i="111"/>
  <c r="B161" i="111"/>
  <c r="B160" i="111"/>
  <c r="B159" i="111"/>
  <c r="B158" i="111"/>
  <c r="B157" i="111"/>
  <c r="B156" i="111"/>
  <c r="B155" i="111"/>
  <c r="B154" i="111"/>
  <c r="B153" i="111"/>
  <c r="B152" i="111"/>
  <c r="B151" i="111"/>
  <c r="B150" i="111"/>
  <c r="B149" i="111"/>
  <c r="B148" i="111"/>
  <c r="B147" i="111"/>
  <c r="B146" i="111"/>
  <c r="B145" i="111"/>
  <c r="B144" i="111"/>
  <c r="B143" i="111"/>
  <c r="B142" i="111"/>
  <c r="B141" i="111"/>
  <c r="B140" i="111"/>
  <c r="B139" i="111"/>
  <c r="B138" i="111"/>
  <c r="B137" i="111"/>
  <c r="B136" i="111"/>
  <c r="B135" i="111"/>
  <c r="B134" i="111"/>
  <c r="B133" i="111"/>
  <c r="B132" i="111"/>
  <c r="B131" i="111"/>
  <c r="B130" i="111"/>
  <c r="B129" i="111"/>
  <c r="B128" i="111"/>
  <c r="B127" i="111"/>
  <c r="B126" i="111"/>
  <c r="B125" i="111"/>
  <c r="B124" i="111"/>
  <c r="B123" i="111"/>
  <c r="B122" i="111"/>
  <c r="B121" i="111"/>
  <c r="B120" i="111"/>
  <c r="B119" i="111"/>
  <c r="B118" i="111"/>
  <c r="B117" i="111"/>
  <c r="B116" i="111"/>
  <c r="B115" i="111"/>
  <c r="B114" i="111"/>
  <c r="B113" i="111"/>
  <c r="B112" i="111"/>
  <c r="B111" i="111"/>
  <c r="B110" i="111"/>
  <c r="B109" i="111"/>
  <c r="B108" i="111"/>
  <c r="B107" i="111"/>
  <c r="B106" i="111"/>
  <c r="B105" i="111"/>
  <c r="B104" i="111"/>
  <c r="B103" i="111"/>
  <c r="B102" i="111"/>
  <c r="B101" i="111"/>
  <c r="B100" i="111"/>
  <c r="B99" i="111"/>
  <c r="B98" i="111"/>
  <c r="B97" i="111"/>
  <c r="B96" i="111"/>
  <c r="B95" i="111"/>
  <c r="B94" i="111"/>
  <c r="B93" i="111"/>
  <c r="B92" i="111"/>
  <c r="B91" i="111"/>
  <c r="B90" i="111"/>
  <c r="B89" i="111"/>
  <c r="B88" i="111"/>
  <c r="B87" i="111"/>
  <c r="B86" i="111"/>
  <c r="B85" i="111"/>
  <c r="B84" i="111"/>
  <c r="B83" i="111"/>
  <c r="B82" i="111"/>
  <c r="B81" i="111"/>
  <c r="B80" i="111"/>
  <c r="B79" i="111"/>
  <c r="B78" i="111"/>
  <c r="B77" i="111"/>
  <c r="B76" i="111"/>
  <c r="B75" i="111"/>
  <c r="B74" i="111"/>
  <c r="B73" i="111"/>
  <c r="B72" i="111"/>
  <c r="B71" i="111"/>
  <c r="B70" i="111"/>
  <c r="B69" i="111"/>
  <c r="B68" i="111"/>
  <c r="B67" i="111"/>
  <c r="B66" i="111"/>
  <c r="B65" i="111"/>
  <c r="B64" i="111"/>
  <c r="B63" i="111"/>
  <c r="B62" i="111"/>
  <c r="B61" i="111"/>
  <c r="B60" i="111"/>
  <c r="B59" i="111"/>
  <c r="B58" i="111"/>
  <c r="B57" i="111"/>
  <c r="B56" i="111"/>
  <c r="B55" i="111"/>
  <c r="B54" i="111"/>
  <c r="B53" i="111"/>
  <c r="B52" i="111"/>
  <c r="B51" i="111"/>
  <c r="B50" i="111"/>
  <c r="B49" i="111"/>
  <c r="B48" i="111"/>
  <c r="B47" i="111"/>
  <c r="B46" i="111"/>
  <c r="B45" i="111"/>
  <c r="B44" i="111"/>
  <c r="B43" i="111"/>
  <c r="B42" i="111"/>
  <c r="B41" i="111"/>
  <c r="B40" i="111"/>
  <c r="B39" i="111"/>
  <c r="B38" i="111"/>
  <c r="B37" i="111"/>
  <c r="B36" i="111"/>
  <c r="B35" i="111"/>
  <c r="B34" i="111"/>
  <c r="B33" i="111"/>
  <c r="B32" i="111"/>
  <c r="B31" i="111"/>
  <c r="B30" i="111"/>
  <c r="B29" i="111"/>
  <c r="B28" i="111"/>
  <c r="B27" i="111"/>
  <c r="B26" i="111"/>
  <c r="B25" i="111"/>
  <c r="B24" i="111"/>
  <c r="B23" i="111"/>
  <c r="B22" i="111"/>
  <c r="B21" i="111"/>
  <c r="B20" i="111"/>
  <c r="B19" i="111"/>
  <c r="B18" i="111"/>
  <c r="B17" i="111"/>
  <c r="B16" i="111"/>
  <c r="B15" i="111"/>
  <c r="B14" i="111"/>
  <c r="B13" i="111"/>
  <c r="B12" i="111"/>
  <c r="B11" i="111"/>
  <c r="B10" i="111"/>
  <c r="B9" i="111"/>
  <c r="B8" i="111"/>
  <c r="B7" i="111"/>
  <c r="B6" i="111"/>
  <c r="B5" i="111"/>
  <c r="B4" i="111"/>
  <c r="B3" i="111"/>
  <c r="B2" i="111"/>
  <c r="C3" i="103"/>
  <c r="E10" i="103"/>
  <c r="E9" i="103"/>
  <c r="E8" i="103"/>
  <c r="E3" i="103"/>
</calcChain>
</file>

<file path=xl/comments1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3.xml><?xml version="1.0" encoding="utf-8"?>
<comments xmlns="http://schemas.openxmlformats.org/spreadsheetml/2006/main">
  <authors>
    <author>加藤 雅大</author>
    <author>鷲見 政明</author>
  </authors>
  <commentList>
    <comment ref="B1" authorId="0">
      <text>
        <r>
          <rPr>
            <b/>
            <sz val="10"/>
            <color indexed="81"/>
            <rFont val="ＭＳ Ｐゴシック"/>
            <family val="3"/>
            <charset val="128"/>
          </rPr>
          <t>加藤 雅大:
ガチャ：
ガチャid3桁+識別子2桁でと思います
ランキング:
ランキングid5桁+識別子2桁
パック販売：
70000 + 識別子2桁</t>
        </r>
      </text>
    </comment>
    <comment ref="F1" authorId="1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<sst xmlns="http://schemas.openxmlformats.org/spreadsheetml/2006/main" count="425" uniqueCount="256">
  <si>
    <t>character_id</t>
  </si>
  <si>
    <t>character_id</t>
    <phoneticPr fontId="20"/>
  </si>
  <si>
    <t>weight</t>
    <phoneticPr fontId="20"/>
  </si>
  <si>
    <t>unit_level</t>
  </si>
  <si>
    <t>weight</t>
  </si>
  <si>
    <t>hp_plus</t>
  </si>
  <si>
    <t>attack_plus</t>
  </si>
  <si>
    <t>defense_plus</t>
  </si>
  <si>
    <t>heal_plus</t>
  </si>
  <si>
    <t>bug</t>
  </si>
  <si>
    <t>bonus_table_no</t>
    <phoneticPr fontId="20"/>
  </si>
  <si>
    <t>bonus_table_no</t>
    <phoneticPr fontId="20"/>
  </si>
  <si>
    <t>weight</t>
    <phoneticPr fontId="20"/>
  </si>
  <si>
    <t>gift_id</t>
    <phoneticPr fontId="20"/>
  </si>
  <si>
    <t>gift_id</t>
    <phoneticPr fontId="20"/>
  </si>
  <si>
    <t>gift_type</t>
    <phoneticPr fontId="20"/>
  </si>
  <si>
    <t>gift_value</t>
    <phoneticPr fontId="20"/>
  </si>
  <si>
    <t>gift_count</t>
    <phoneticPr fontId="20"/>
  </si>
  <si>
    <t>language</t>
    <phoneticPr fontId="20"/>
  </si>
  <si>
    <t>title</t>
    <phoneticPr fontId="20"/>
  </si>
  <si>
    <t>detail</t>
    <phoneticPr fontId="20"/>
  </si>
  <si>
    <t>message</t>
    <phoneticPr fontId="20"/>
  </si>
  <si>
    <t>gift_id</t>
    <phoneticPr fontId="20"/>
  </si>
  <si>
    <t>gift_value</t>
    <phoneticPr fontId="20"/>
  </si>
  <si>
    <t>gift_value</t>
    <phoneticPr fontId="20"/>
  </si>
  <si>
    <t>gift_count</t>
    <phoneticPr fontId="20"/>
  </si>
  <si>
    <t>language</t>
    <phoneticPr fontId="20"/>
  </si>
  <si>
    <t>title</t>
    <phoneticPr fontId="20"/>
  </si>
  <si>
    <t>detail</t>
    <phoneticPr fontId="20"/>
  </si>
  <si>
    <t>message</t>
    <phoneticPr fontId="20"/>
  </si>
  <si>
    <t>gift_type</t>
    <phoneticPr fontId="20"/>
  </si>
  <si>
    <t>備考</t>
    <rPh sb="0" eb="2">
      <t>ビコウ</t>
    </rPh>
    <phoneticPr fontId="20"/>
  </si>
  <si>
    <t>character_id</t>
    <phoneticPr fontId="20"/>
  </si>
  <si>
    <t>name</t>
    <phoneticPr fontId="20"/>
  </si>
  <si>
    <t>drop_label</t>
    <phoneticPr fontId="20"/>
  </si>
  <si>
    <t>rare</t>
    <phoneticPr fontId="20"/>
  </si>
  <si>
    <t>character_type_id</t>
    <phoneticPr fontId="20"/>
  </si>
  <si>
    <t>character_tribe_id</t>
    <phoneticPr fontId="20"/>
  </si>
  <si>
    <t>unit_level</t>
    <phoneticPr fontId="20"/>
  </si>
  <si>
    <t>接頭語</t>
    <rPh sb="0" eb="3">
      <t>セットウゴ</t>
    </rPh>
    <phoneticPr fontId="53"/>
  </si>
  <si>
    <t>識別子</t>
    <rPh sb="0" eb="3">
      <t>シキベツシ</t>
    </rPh>
    <phoneticPr fontId="53"/>
  </si>
  <si>
    <t>形式</t>
    <rPh sb="0" eb="2">
      <t>ケイシキ</t>
    </rPh>
    <phoneticPr fontId="53"/>
  </si>
  <si>
    <t>出力ファイル名</t>
    <rPh sb="0" eb="2">
      <t>シュツリョク</t>
    </rPh>
    <rPh sb="6" eb="7">
      <t>メイ</t>
    </rPh>
    <phoneticPr fontId="53"/>
  </si>
  <si>
    <t>入力シート名</t>
    <rPh sb="0" eb="2">
      <t>ニュウリョク</t>
    </rPh>
    <rPh sb="5" eb="6">
      <t>メイ</t>
    </rPh>
    <phoneticPr fontId="53"/>
  </si>
  <si>
    <t>出力データ</t>
    <rPh sb="0" eb="2">
      <t>シュツリョク</t>
    </rPh>
    <phoneticPr fontId="53"/>
  </si>
  <si>
    <t>.tmp</t>
    <phoneticPr fontId="53"/>
  </si>
  <si>
    <t>.tmp</t>
    <phoneticPr fontId="53"/>
  </si>
  <si>
    <t>gacha_bonus_tables</t>
    <phoneticPr fontId="53"/>
  </si>
  <si>
    <t>gifts_tmp_</t>
    <phoneticPr fontId="20"/>
  </si>
  <si>
    <t>gifts_i18n_</t>
    <phoneticPr fontId="20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</si>
  <si>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20"/>
  </si>
  <si>
    <t>出力flg</t>
    <rPh sb="0" eb="2">
      <t>シュツリョク</t>
    </rPh>
    <phoneticPr fontId="53"/>
  </si>
  <si>
    <t>color</t>
    <phoneticPr fontId="20"/>
  </si>
  <si>
    <t>レアリティ別確率</t>
    <rPh sb="5" eb="6">
      <t>ベツ</t>
    </rPh>
    <rPh sb="6" eb="8">
      <t>カクリツ</t>
    </rPh>
    <phoneticPr fontId="20"/>
  </si>
  <si>
    <t>ラベル別確率</t>
    <rPh sb="3" eb="4">
      <t>ベツ</t>
    </rPh>
    <rPh sb="4" eb="6">
      <t>カクリツ</t>
    </rPh>
    <phoneticPr fontId="20"/>
  </si>
  <si>
    <t>SSS</t>
    <phoneticPr fontId="20"/>
  </si>
  <si>
    <t>SS</t>
    <phoneticPr fontId="20"/>
  </si>
  <si>
    <t>ラベル*レアリティ標準確率</t>
    <rPh sb="9" eb="11">
      <t>ヒョウジュン</t>
    </rPh>
    <rPh sb="11" eb="13">
      <t>カクリツ</t>
    </rPh>
    <phoneticPr fontId="20"/>
  </si>
  <si>
    <t>性別</t>
    <rPh sb="0" eb="2">
      <t>セイベツ</t>
    </rPh>
    <phoneticPr fontId="20"/>
  </si>
  <si>
    <t>合計</t>
    <rPh sb="0" eb="2">
      <t>ゴウケイ</t>
    </rPh>
    <phoneticPr fontId="20"/>
  </si>
  <si>
    <t>グループ</t>
    <phoneticPr fontId="20"/>
  </si>
  <si>
    <t>ピックアップ確率</t>
    <rPh sb="6" eb="8">
      <t>カクリツ</t>
    </rPh>
    <phoneticPr fontId="20"/>
  </si>
  <si>
    <t>残り確率</t>
    <rPh sb="0" eb="1">
      <t>ノコ</t>
    </rPh>
    <rPh sb="2" eb="4">
      <t>カクリツ</t>
    </rPh>
    <phoneticPr fontId="20"/>
  </si>
  <si>
    <t>確率</t>
    <rPh sb="0" eb="2">
      <t>カクリツ</t>
    </rPh>
    <phoneticPr fontId="20"/>
  </si>
  <si>
    <t>所属グループ</t>
    <rPh sb="0" eb="2">
      <t>ショゾク</t>
    </rPh>
    <phoneticPr fontId="20"/>
  </si>
  <si>
    <t>名前</t>
    <rPh sb="0" eb="2">
      <t>ナマエ</t>
    </rPh>
    <phoneticPr fontId="20"/>
  </si>
  <si>
    <t>レアリティ</t>
    <phoneticPr fontId="20"/>
  </si>
  <si>
    <t>ラベル</t>
    <phoneticPr fontId="20"/>
  </si>
  <si>
    <t>R3</t>
    <phoneticPr fontId="20"/>
  </si>
  <si>
    <t>R4</t>
    <phoneticPr fontId="20"/>
  </si>
  <si>
    <t>R5</t>
    <phoneticPr fontId="20"/>
  </si>
  <si>
    <t>個別確率</t>
    <rPh sb="0" eb="4">
      <t>コベツカクリツ</t>
    </rPh>
    <phoneticPr fontId="20"/>
  </si>
  <si>
    <t>該当数(ピックアップ除く)</t>
    <rPh sb="0" eb="2">
      <t>ガイトウ</t>
    </rPh>
    <rPh sb="2" eb="3">
      <t>スウ</t>
    </rPh>
    <rPh sb="10" eb="11">
      <t>ノゾ</t>
    </rPh>
    <phoneticPr fontId="20"/>
  </si>
  <si>
    <t>個別weight</t>
    <rPh sb="0" eb="2">
      <t>コベツ</t>
    </rPh>
    <phoneticPr fontId="20"/>
  </si>
  <si>
    <t>グループweight</t>
    <phoneticPr fontId="20"/>
  </si>
  <si>
    <t>端数</t>
    <rPh sb="0" eb="2">
      <t>ハスウ</t>
    </rPh>
    <phoneticPr fontId="20"/>
  </si>
  <si>
    <t>--検算用--</t>
    <rPh sb="3" eb="6">
      <t>ケンザンヨウ</t>
    </rPh>
    <phoneticPr fontId="20"/>
  </si>
  <si>
    <t>端数逆数</t>
    <rPh sb="0" eb="2">
      <t>ハスウ</t>
    </rPh>
    <rPh sb="2" eb="4">
      <t>ギャクスウ</t>
    </rPh>
    <phoneticPr fontId="20"/>
  </si>
  <si>
    <t>テーブルを増やしたい場合</t>
    <rPh sb="5" eb="6">
      <t>フ</t>
    </rPh>
    <rPh sb="10" eb="12">
      <t>バアイ</t>
    </rPh>
    <phoneticPr fontId="20"/>
  </si>
  <si>
    <t>１．Inputのシートを複製する（名前は一意につける）</t>
    <rPh sb="12" eb="14">
      <t>フクセイ</t>
    </rPh>
    <rPh sb="17" eb="19">
      <t>ナマエ</t>
    </rPh>
    <rPh sb="20" eb="22">
      <t>イチイ</t>
    </rPh>
    <phoneticPr fontId="20"/>
  </si>
  <si>
    <t>２．tablesのシートを複製する（名前は一意につける）</t>
    <rPh sb="13" eb="15">
      <t>フクセイ</t>
    </rPh>
    <rPh sb="18" eb="20">
      <t>ナマエ</t>
    </rPh>
    <rPh sb="21" eb="23">
      <t>イチイ</t>
    </rPh>
    <phoneticPr fontId="20"/>
  </si>
  <si>
    <t>３．outputシートで２で作ったtablesを指定する</t>
    <rPh sb="14" eb="15">
      <t>ツク</t>
    </rPh>
    <rPh sb="24" eb="26">
      <t>シテイ</t>
    </rPh>
    <phoneticPr fontId="20"/>
  </si>
  <si>
    <t>テーブルid</t>
    <phoneticPr fontId="20"/>
  </si>
  <si>
    <t>→ピックアップの確率は右のほうにいます</t>
    <rPh sb="8" eb="10">
      <t>カクリツ</t>
    </rPh>
    <rPh sb="11" eb="12">
      <t>ミギ</t>
    </rPh>
    <phoneticPr fontId="20"/>
  </si>
  <si>
    <t>table_no</t>
    <phoneticPr fontId="20"/>
  </si>
  <si>
    <t>table_no</t>
    <phoneticPr fontId="20"/>
  </si>
  <si>
    <t>skill_level</t>
  </si>
  <si>
    <t>level</t>
  </si>
  <si>
    <t>hp_plus</t>
    <phoneticPr fontId="53"/>
  </si>
  <si>
    <t>attack_plus</t>
    <phoneticPr fontId="53"/>
  </si>
  <si>
    <t>heal_plus</t>
    <phoneticPr fontId="53"/>
  </si>
  <si>
    <t>defense_plus</t>
    <phoneticPr fontId="53"/>
  </si>
  <si>
    <t>level</t>
    <phoneticPr fontId="53"/>
  </si>
  <si>
    <t>skill_level</t>
    <phoneticPr fontId="53"/>
  </si>
  <si>
    <t>bug</t>
    <phoneticPr fontId="53"/>
  </si>
  <si>
    <t>drop_label2</t>
    <phoneticPr fontId="20"/>
  </si>
  <si>
    <t>Premium</t>
    <phoneticPr fontId="20"/>
  </si>
  <si>
    <t>Premium3</t>
    <phoneticPr fontId="20"/>
  </si>
  <si>
    <t>Premium4</t>
    <phoneticPr fontId="20"/>
  </si>
  <si>
    <t>Premium5</t>
    <phoneticPr fontId="20"/>
  </si>
  <si>
    <t>グループ確率</t>
    <rPh sb="4" eb="6">
      <t>カクリツ</t>
    </rPh>
    <phoneticPr fontId="20"/>
  </si>
  <si>
    <t>レア度別確率</t>
    <rPh sb="2" eb="4">
      <t>ドベツ</t>
    </rPh>
    <rPh sb="4" eb="6">
      <t>カクリツ</t>
    </rPh>
    <phoneticPr fontId="20"/>
  </si>
  <si>
    <t>color2</t>
    <phoneticPr fontId="20"/>
  </si>
  <si>
    <t>Premium3</t>
  </si>
  <si>
    <t>Premium4</t>
  </si>
  <si>
    <t>Premium5</t>
  </si>
  <si>
    <t>PremiumSS4</t>
    <phoneticPr fontId="20"/>
  </si>
  <si>
    <t>PremiumSS5</t>
    <phoneticPr fontId="20"/>
  </si>
  <si>
    <t>PremiumSSS5</t>
    <phoneticPr fontId="20"/>
  </si>
  <si>
    <t>PremiumSSS4</t>
    <phoneticPr fontId="20"/>
  </si>
  <si>
    <t>gacha_select_tables_</t>
    <phoneticPr fontId="20"/>
  </si>
  <si>
    <t>ラベル確率で考えましょう</t>
    <rPh sb="6" eb="7">
      <t>カンガエマショウ</t>
    </rPh>
    <phoneticPr fontId="53"/>
  </si>
  <si>
    <t>ラベル</t>
    <phoneticPr fontId="53"/>
  </si>
  <si>
    <t>レアリティ</t>
    <phoneticPr fontId="53"/>
  </si>
  <si>
    <t>{W}</t>
    <phoneticPr fontId="53"/>
  </si>
  <si>
    <t>{N,S}</t>
    <phoneticPr fontId="53"/>
  </si>
  <si>
    <t>{N,S}R3less</t>
    <phoneticPr fontId="53"/>
  </si>
  <si>
    <t>{N,S}R6release</t>
    <phoneticPr fontId="53"/>
  </si>
  <si>
    <t>{SS}</t>
    <phoneticPr fontId="53"/>
  </si>
  <si>
    <t>{SS}R6only</t>
    <phoneticPr fontId="53"/>
  </si>
  <si>
    <t>小計</t>
    <rPh sb="0" eb="2">
      <t>ショウケイ</t>
    </rPh>
    <phoneticPr fontId="53"/>
  </si>
  <si>
    <t>A</t>
    <phoneticPr fontId="53"/>
  </si>
  <si>
    <t>C</t>
    <phoneticPr fontId="53"/>
  </si>
  <si>
    <t>H</t>
    <phoneticPr fontId="53"/>
  </si>
  <si>
    <t>B</t>
    <phoneticPr fontId="53"/>
  </si>
  <si>
    <t>D</t>
    <phoneticPr fontId="53"/>
  </si>
  <si>
    <t>F</t>
    <phoneticPr fontId="53"/>
  </si>
  <si>
    <t>I</t>
    <phoneticPr fontId="53"/>
  </si>
  <si>
    <t>K</t>
    <phoneticPr fontId="53"/>
  </si>
  <si>
    <t>E</t>
    <phoneticPr fontId="53"/>
  </si>
  <si>
    <t>G</t>
    <phoneticPr fontId="53"/>
  </si>
  <si>
    <t>J</t>
    <phoneticPr fontId="53"/>
  </si>
  <si>
    <t>L</t>
    <phoneticPr fontId="53"/>
  </si>
  <si>
    <t>M</t>
    <phoneticPr fontId="53"/>
  </si>
  <si>
    <t>→</t>
    <phoneticPr fontId="53"/>
  </si>
  <si>
    <t>1-SS率</t>
    <rPh sb="4" eb="5">
      <t>リツ</t>
    </rPh>
    <phoneticPr fontId="53"/>
  </si>
  <si>
    <t>SS率</t>
    <rPh sb="2" eb="3">
      <t>リツ</t>
    </rPh>
    <phoneticPr fontId="53"/>
  </si>
  <si>
    <t>考え方を変える</t>
    <rPh sb="0" eb="1">
      <t>カンガエカタ</t>
    </rPh>
    <rPh sb="4" eb="5">
      <t>カエル</t>
    </rPh>
    <phoneticPr fontId="53"/>
  </si>
  <si>
    <t>SS4%は確定事項</t>
    <rPh sb="5" eb="7">
      <t>カクテイ</t>
    </rPh>
    <rPh sb="7" eb="9">
      <t>ジコウ</t>
    </rPh>
    <phoneticPr fontId="53"/>
  </si>
  <si>
    <t>当たりは分配</t>
    <rPh sb="0" eb="1">
      <t>アタリ</t>
    </rPh>
    <rPh sb="4" eb="6">
      <t>ブンパイ</t>
    </rPh>
    <phoneticPr fontId="53"/>
  </si>
  <si>
    <t>当たり素体確率 X = SS率/(SS+R6release) とする</t>
    <rPh sb="0" eb="1">
      <t>アタリ</t>
    </rPh>
    <rPh sb="3" eb="5">
      <t>ソタイ</t>
    </rPh>
    <rPh sb="5" eb="7">
      <t>カクリツ</t>
    </rPh>
    <phoneticPr fontId="53"/>
  </si>
  <si>
    <t>=</t>
    <phoneticPr fontId="53"/>
  </si>
  <si>
    <t>X*{SS R5only}</t>
    <phoneticPr fontId="53"/>
  </si>
  <si>
    <t>K</t>
    <phoneticPr fontId="53"/>
  </si>
  <si>
    <t>=</t>
    <phoneticPr fontId="53"/>
  </si>
  <si>
    <t>X*{SS}*(R3率+R4率)</t>
    <rPh sb="10" eb="11">
      <t>リツ</t>
    </rPh>
    <rPh sb="14" eb="15">
      <t>リツ</t>
    </rPh>
    <phoneticPr fontId="53"/>
  </si>
  <si>
    <t>L</t>
    <phoneticPr fontId="53"/>
  </si>
  <si>
    <t>X*{SS}*R5率</t>
    <rPh sb="9" eb="10">
      <t>リツ</t>
    </rPh>
    <phoneticPr fontId="53"/>
  </si>
  <si>
    <t>X*{R6release}*R3率</t>
    <rPh sb="16" eb="17">
      <t>リツ</t>
    </rPh>
    <phoneticPr fontId="53"/>
  </si>
  <si>
    <t>X*{R6release}*R4率</t>
    <rPh sb="16" eb="17">
      <t>リツ</t>
    </rPh>
    <phoneticPr fontId="53"/>
  </si>
  <si>
    <t>J</t>
    <phoneticPr fontId="53"/>
  </si>
  <si>
    <t>X*{R6release}*R5率</t>
    <rPh sb="16" eb="17">
      <t>リツ</t>
    </rPh>
    <phoneticPr fontId="53"/>
  </si>
  <si>
    <t>ハズレで確率を整える</t>
    <rPh sb="4" eb="6">
      <t>カクリツ</t>
    </rPh>
    <rPh sb="7" eb="8">
      <t>トトノエル</t>
    </rPh>
    <phoneticPr fontId="53"/>
  </si>
  <si>
    <t>ハズレ素体確率 Y = (1-SS率)/(W+N+S-R6release)</t>
    <rPh sb="3" eb="5">
      <t>ソタイカクリ</t>
    </rPh>
    <rPh sb="5" eb="7">
      <t>カクリツ</t>
    </rPh>
    <rPh sb="17" eb="18">
      <t>リツ</t>
    </rPh>
    <phoneticPr fontId="53"/>
  </si>
  <si>
    <t>A + C</t>
    <phoneticPr fontId="53"/>
  </si>
  <si>
    <t>=</t>
    <phoneticPr fontId="53"/>
  </si>
  <si>
    <t>50%-H</t>
    <phoneticPr fontId="53"/>
  </si>
  <si>
    <t>①</t>
    <phoneticPr fontId="53"/>
  </si>
  <si>
    <t>B + D + F</t>
    <phoneticPr fontId="53"/>
  </si>
  <si>
    <t>45%-I-K</t>
    <phoneticPr fontId="53"/>
  </si>
  <si>
    <t>②</t>
    <phoneticPr fontId="53"/>
  </si>
  <si>
    <t>E+G</t>
    <phoneticPr fontId="53"/>
  </si>
  <si>
    <t>5%-J-L-M</t>
    <phoneticPr fontId="53"/>
  </si>
  <si>
    <t>③</t>
    <phoneticPr fontId="53"/>
  </si>
  <si>
    <t>A+B</t>
    <phoneticPr fontId="53"/>
  </si>
  <si>
    <t>Y*{W}</t>
    <phoneticPr fontId="53"/>
  </si>
  <si>
    <t>④</t>
    <phoneticPr fontId="53"/>
  </si>
  <si>
    <t>C+D+E</t>
    <phoneticPr fontId="53"/>
  </si>
  <si>
    <t>Y*{N,S}</t>
    <phoneticPr fontId="53"/>
  </si>
  <si>
    <t>⑤</t>
    <phoneticPr fontId="53"/>
  </si>
  <si>
    <t>F+G</t>
    <phoneticPr fontId="53"/>
  </si>
  <si>
    <t>Y*{N,S R3less}</t>
    <phoneticPr fontId="53"/>
  </si>
  <si>
    <t>⑥</t>
    <phoneticPr fontId="53"/>
  </si>
  <si>
    <t>A+B+C+D+E+F+G</t>
    <phoneticPr fontId="53"/>
  </si>
  <si>
    <t>⑦</t>
    <phoneticPr fontId="53"/>
  </si>
  <si>
    <t>←これは4,5,6で作れるのでダメだわ</t>
    <rPh sb="10" eb="11">
      <t>ツクレル</t>
    </rPh>
    <phoneticPr fontId="53"/>
  </si>
  <si>
    <t>E*R3率/R5率</t>
    <rPh sb="4" eb="5">
      <t>リツ</t>
    </rPh>
    <rPh sb="8" eb="9">
      <t>リツ</t>
    </rPh>
    <phoneticPr fontId="53"/>
  </si>
  <si>
    <t>←{N,S}を想定分配すると決めてしまう</t>
    <rPh sb="7" eb="9">
      <t>ソウテイ</t>
    </rPh>
    <rPh sb="9" eb="11">
      <t>ブンパイ</t>
    </rPh>
    <rPh sb="14" eb="15">
      <t>キメテシマウ</t>
    </rPh>
    <phoneticPr fontId="53"/>
  </si>
  <si>
    <t>E*R4率/R5率</t>
    <rPh sb="4" eb="5">
      <t>リツ</t>
    </rPh>
    <rPh sb="8" eb="9">
      <t>リツ</t>
    </rPh>
    <phoneticPr fontId="53"/>
  </si>
  <si>
    <t>∴</t>
    <phoneticPr fontId="53"/>
  </si>
  <si>
    <t>E</t>
    <phoneticPr fontId="53"/>
  </si>
  <si>
    <t>Y*{N,S}*R5率</t>
    <rPh sb="10" eb="11">
      <t>リツ</t>
    </rPh>
    <phoneticPr fontId="53"/>
  </si>
  <si>
    <t>Y*{N,S}*R4率</t>
    <rPh sb="10" eb="11">
      <t>リツ</t>
    </rPh>
    <phoneticPr fontId="53"/>
  </si>
  <si>
    <t>Y*{N,S}*R3率</t>
    <rPh sb="10" eb="11">
      <t>リツ</t>
    </rPh>
    <phoneticPr fontId="53"/>
  </si>
  <si>
    <t>50%-H-C</t>
    <phoneticPr fontId="53"/>
  </si>
  <si>
    <t>Y*{W}-A</t>
    <phoneticPr fontId="53"/>
  </si>
  <si>
    <t>5%-J-L-M-E</t>
    <phoneticPr fontId="53"/>
  </si>
  <si>
    <t>Y*{N,S R3less} - G</t>
    <phoneticPr fontId="53"/>
  </si>
  <si>
    <t>R6境界前後</t>
    <rPh sb="2" eb="4">
      <t>キョウカイ</t>
    </rPh>
    <rPh sb="4" eb="6">
      <t>ゼンゴ</t>
    </rPh>
    <phoneticPr fontId="20"/>
  </si>
  <si>
    <t>R6事後開放N,S</t>
    <rPh sb="2" eb="6">
      <t>ジゴカイホウ</t>
    </rPh>
    <phoneticPr fontId="20"/>
  </si>
  <si>
    <t>PremiumW3</t>
    <phoneticPr fontId="20"/>
  </si>
  <si>
    <t>PremiumW4</t>
    <phoneticPr fontId="20"/>
  </si>
  <si>
    <t>ラベル確率</t>
    <rPh sb="3" eb="5">
      <t>カクリツ</t>
    </rPh>
    <phoneticPr fontId="20"/>
  </si>
  <si>
    <t>Premium3R6release</t>
  </si>
  <si>
    <t>Premium4R6release</t>
  </si>
  <si>
    <t>Premium5R6release</t>
  </si>
  <si>
    <t>Premium4R3less</t>
  </si>
  <si>
    <t>Premium5R3less</t>
  </si>
  <si>
    <t>PremiumSSS4</t>
    <phoneticPr fontId="20"/>
  </si>
  <si>
    <t>PremiumSS5R5only</t>
  </si>
  <si>
    <t>計算用中間データ</t>
    <rPh sb="0" eb="3">
      <t>ケイサンヨウ</t>
    </rPh>
    <rPh sb="3" eb="5">
      <t>チュウカン</t>
    </rPh>
    <phoneticPr fontId="20"/>
  </si>
  <si>
    <t>X</t>
    <phoneticPr fontId="20"/>
  </si>
  <si>
    <t>Y</t>
    <phoneticPr fontId="20"/>
  </si>
  <si>
    <t>対象数</t>
    <rPh sb="0" eb="3">
      <t>タイショウスウ</t>
    </rPh>
    <phoneticPr fontId="20"/>
  </si>
  <si>
    <t>PremiumW</t>
    <phoneticPr fontId="20"/>
  </si>
  <si>
    <t>PremiumN</t>
    <phoneticPr fontId="20"/>
  </si>
  <si>
    <t>PremiumS</t>
    <phoneticPr fontId="20"/>
  </si>
  <si>
    <t>PremiumSS</t>
    <phoneticPr fontId="20"/>
  </si>
  <si>
    <t>←R6分はここから差し引く</t>
    <rPh sb="3" eb="4">
      <t>ブン</t>
    </rPh>
    <rPh sb="9" eb="10">
      <t>サシヒク</t>
    </rPh>
    <phoneticPr fontId="20"/>
  </si>
  <si>
    <t>除外確率</t>
    <rPh sb="0" eb="2">
      <t>ジョガイ</t>
    </rPh>
    <rPh sb="2" eb="4">
      <t>カクリツ</t>
    </rPh>
    <phoneticPr fontId="20"/>
  </si>
  <si>
    <t>除外数</t>
    <rPh sb="0" eb="3">
      <t>ジョガイスウ</t>
    </rPh>
    <phoneticPr fontId="20"/>
  </si>
  <si>
    <t>もうここは手で入れよう…</t>
    <rPh sb="5" eb="6">
      <t>テ</t>
    </rPh>
    <rPh sb="7" eb="8">
      <t>イレヨウ</t>
    </rPh>
    <phoneticPr fontId="20"/>
  </si>
  <si>
    <t>通常weight</t>
    <rPh sb="0" eb="2">
      <t>ツウジョウ</t>
    </rPh>
    <phoneticPr fontId="20"/>
  </si>
  <si>
    <t>A</t>
    <phoneticPr fontId="20"/>
  </si>
  <si>
    <t>B</t>
    <phoneticPr fontId="20"/>
  </si>
  <si>
    <t>PremiumW4</t>
    <phoneticPr fontId="20"/>
  </si>
  <si>
    <t>C</t>
    <phoneticPr fontId="20"/>
  </si>
  <si>
    <t>Premium3</t>
    <phoneticPr fontId="20"/>
  </si>
  <si>
    <t>D</t>
    <phoneticPr fontId="20"/>
  </si>
  <si>
    <t>Premium4</t>
    <phoneticPr fontId="20"/>
  </si>
  <si>
    <t>E</t>
    <phoneticPr fontId="20"/>
  </si>
  <si>
    <t>Premium5</t>
    <phoneticPr fontId="20"/>
  </si>
  <si>
    <t>F</t>
    <phoneticPr fontId="20"/>
  </si>
  <si>
    <t>Premium4R3less</t>
    <phoneticPr fontId="20"/>
  </si>
  <si>
    <t>G</t>
    <phoneticPr fontId="20"/>
  </si>
  <si>
    <t>Premium5R3less</t>
    <phoneticPr fontId="20"/>
  </si>
  <si>
    <t>H</t>
    <phoneticPr fontId="20"/>
  </si>
  <si>
    <t>I</t>
    <phoneticPr fontId="20"/>
  </si>
  <si>
    <t>J</t>
    <phoneticPr fontId="20"/>
  </si>
  <si>
    <t>K</t>
    <phoneticPr fontId="20"/>
  </si>
  <si>
    <t>Premium3R6release</t>
    <phoneticPr fontId="20"/>
  </si>
  <si>
    <t>Premium4R6release</t>
    <phoneticPr fontId="20"/>
  </si>
  <si>
    <t>Premium5R6release</t>
    <phoneticPr fontId="20"/>
  </si>
  <si>
    <t>PremiumSS4</t>
    <phoneticPr fontId="20"/>
  </si>
  <si>
    <t>PremiumSS5</t>
    <phoneticPr fontId="20"/>
  </si>
  <si>
    <t>L</t>
    <phoneticPr fontId="20"/>
  </si>
  <si>
    <t>M</t>
    <phoneticPr fontId="20"/>
  </si>
  <si>
    <t>PremiumSS5R5only</t>
    <phoneticPr fontId="20"/>
  </si>
  <si>
    <t>50% - H - C</t>
    <phoneticPr fontId="20"/>
  </si>
  <si>
    <t>PremiumSSS4R3less</t>
    <phoneticPr fontId="20"/>
  </si>
  <si>
    <t>PremiumSSS5R3less</t>
    <phoneticPr fontId="20"/>
  </si>
  <si>
    <t>skip</t>
    <phoneticPr fontId="20"/>
  </si>
  <si>
    <t>通常確率</t>
    <phoneticPr fontId="20"/>
  </si>
  <si>
    <t>tables_363104</t>
    <phoneticPr fontId="20"/>
  </si>
  <si>
    <t>tables_363105</t>
    <phoneticPr fontId="20"/>
  </si>
  <si>
    <t>tables_363100</t>
    <phoneticPr fontId="20"/>
  </si>
  <si>
    <t>gacha_settle_tables_</t>
    <phoneticPr fontId="20"/>
  </si>
  <si>
    <t>.tmp</t>
    <phoneticPr fontId="53"/>
  </si>
  <si>
    <t>PremiumSSw</t>
    <phoneticPr fontId="20"/>
  </si>
  <si>
    <t>old</t>
    <phoneticPr fontId="20"/>
  </si>
  <si>
    <t>PremiumSSS</t>
    <phoneticPr fontId="20"/>
  </si>
  <si>
    <t>Premium</t>
  </si>
  <si>
    <t>PremiumSS</t>
  </si>
  <si>
    <t>tables_559100</t>
    <phoneticPr fontId="20"/>
  </si>
  <si>
    <t>tables_559010</t>
    <phoneticPr fontId="20"/>
  </si>
  <si>
    <t>tables_settle_559100</t>
    <phoneticPr fontId="20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</si>
</sst>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76" formatCode="0.000%"/>
    <numFmt numFmtId="177" formatCode="0.0000%"/>
    <numFmt numFmtId="178" formatCode="0.0%"/>
    <numFmt numFmtId="179" formatCode="0.00000%"/>
    <numFmt numFmtId="180" formatCode="0.0000000000000000%"/>
    <numFmt numFmtId="181" formatCode="0.000000%"/>
    <numFmt numFmtId="182" formatCode="0.000000000000000%"/>
    <numFmt numFmtId="183" formatCode="0.00000000000000%"/>
  </numFmts>
  <fonts count="58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b/>
      <sz val="10"/>
      <color rgb="FFFF0000"/>
      <name val="ＭＳ Ｐゴシック"/>
      <family val="3"/>
      <charset val="128"/>
    </font>
    <font>
      <sz val="10"/>
      <color theme="0"/>
      <name val="ＭＳ Ｐゴシック"/>
      <family val="3"/>
      <charset val="128"/>
    </font>
  </fonts>
  <fills count="3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rgb="FF000000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3670">
    <xf numFmtId="0" fontId="0" fillId="0" borderId="0"/>
    <xf numFmtId="0" fontId="19" fillId="0" borderId="0"/>
    <xf numFmtId="0" fontId="23" fillId="0" borderId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18" fillId="0" borderId="0"/>
    <xf numFmtId="0" fontId="30" fillId="5" borderId="2" applyNumberFormat="0" applyAlignment="0" applyProtection="0"/>
    <xf numFmtId="0" fontId="31" fillId="6" borderId="0" applyNumberFormat="0" applyBorder="0" applyAlignment="0" applyProtection="0"/>
    <xf numFmtId="0" fontId="32" fillId="7" borderId="3" applyNumberFormat="0" applyAlignment="0" applyProtection="0"/>
    <xf numFmtId="0" fontId="33" fillId="0" borderId="0" applyNumberFormat="0" applyFill="0" applyBorder="0" applyAlignment="0" applyProtection="0"/>
    <xf numFmtId="0" fontId="34" fillId="8" borderId="0" applyNumberFormat="0" applyBorder="0" applyAlignment="0" applyProtection="0"/>
    <xf numFmtId="0" fontId="35" fillId="9" borderId="4" applyNumberFormat="0" applyAlignment="0" applyProtection="0"/>
    <xf numFmtId="0" fontId="36" fillId="0" borderId="0" applyNumberFormat="0" applyFill="0" applyBorder="0" applyAlignment="0" applyProtection="0"/>
    <xf numFmtId="0" fontId="37" fillId="0" borderId="5" applyNumberFormat="0" applyFill="0" applyAlignment="0" applyProtection="0"/>
    <xf numFmtId="0" fontId="38" fillId="0" borderId="6" applyNumberFormat="0" applyFill="0" applyAlignment="0" applyProtection="0"/>
    <xf numFmtId="0" fontId="39" fillId="0" borderId="7" applyNumberFormat="0" applyFill="0" applyAlignment="0" applyProtection="0"/>
    <xf numFmtId="0" fontId="39" fillId="0" borderId="0" applyNumberFormat="0" applyFill="0" applyBorder="0" applyAlignment="0" applyProtection="0"/>
    <xf numFmtId="0" fontId="40" fillId="7" borderId="0" applyNumberFormat="0" applyBorder="0" applyAlignment="0" applyProtection="0"/>
    <xf numFmtId="0" fontId="40" fillId="6" borderId="0" applyNumberFormat="0" applyBorder="0" applyAlignment="0" applyProtection="0"/>
    <xf numFmtId="0" fontId="40" fillId="10" borderId="0" applyNumberFormat="0" applyBorder="0" applyAlignment="0" applyProtection="0"/>
    <xf numFmtId="0" fontId="40" fillId="7" borderId="0" applyNumberFormat="0" applyBorder="0" applyAlignment="0" applyProtection="0"/>
    <xf numFmtId="0" fontId="40" fillId="11" borderId="0" applyNumberFormat="0" applyBorder="0" applyAlignment="0" applyProtection="0"/>
    <xf numFmtId="0" fontId="40" fillId="5" borderId="0" applyNumberFormat="0" applyBorder="0" applyAlignment="0" applyProtection="0"/>
    <xf numFmtId="0" fontId="40" fillId="7" borderId="0" applyNumberFormat="0" applyBorder="0" applyAlignment="0" applyProtection="0"/>
    <xf numFmtId="0" fontId="40" fillId="12" borderId="0" applyNumberFormat="0" applyBorder="0" applyAlignment="0" applyProtection="0"/>
    <xf numFmtId="0" fontId="40" fillId="10" borderId="0" applyNumberFormat="0" applyBorder="0" applyAlignment="0" applyProtection="0"/>
    <xf numFmtId="0" fontId="40" fillId="7" borderId="0" applyNumberFormat="0" applyBorder="0" applyAlignment="0" applyProtection="0"/>
    <xf numFmtId="0" fontId="40" fillId="13" borderId="0" applyNumberFormat="0" applyBorder="0" applyAlignment="0" applyProtection="0"/>
    <xf numFmtId="0" fontId="40" fillId="6" borderId="0" applyNumberFormat="0" applyBorder="0" applyAlignment="0" applyProtection="0"/>
    <xf numFmtId="0" fontId="41" fillId="14" borderId="0" applyNumberFormat="0" applyBorder="0" applyAlignment="0" applyProtection="0"/>
    <xf numFmtId="0" fontId="41" fillId="12" borderId="0" applyNumberFormat="0" applyBorder="0" applyAlignment="0" applyProtection="0"/>
    <xf numFmtId="0" fontId="41" fillId="10" borderId="0" applyNumberFormat="0" applyBorder="0" applyAlignment="0" applyProtection="0"/>
    <xf numFmtId="0" fontId="41" fillId="7" borderId="0" applyNumberFormat="0" applyBorder="0" applyAlignment="0" applyProtection="0"/>
    <xf numFmtId="0" fontId="41" fillId="14" borderId="0" applyNumberFormat="0" applyBorder="0" applyAlignment="0" applyProtection="0"/>
    <xf numFmtId="0" fontId="41" fillId="6" borderId="0" applyNumberFormat="0" applyBorder="0" applyAlignment="0" applyProtection="0"/>
    <xf numFmtId="0" fontId="33" fillId="0" borderId="0" applyNumberFormat="0" applyFill="0" applyBorder="0" applyAlignment="0" applyProtection="0"/>
    <xf numFmtId="0" fontId="41" fillId="14" borderId="0" applyNumberFormat="0" applyBorder="0" applyAlignment="0" applyProtection="0"/>
    <xf numFmtId="0" fontId="41" fillId="15" borderId="0" applyNumberFormat="0" applyBorder="0" applyAlignment="0" applyProtection="0"/>
    <xf numFmtId="0" fontId="41" fillId="10" borderId="0" applyNumberFormat="0" applyBorder="0" applyAlignment="0" applyProtection="0"/>
    <xf numFmtId="0" fontId="41" fillId="16" borderId="0" applyNumberFormat="0" applyBorder="0" applyAlignment="0" applyProtection="0"/>
    <xf numFmtId="0" fontId="41" fillId="14" borderId="0" applyNumberFormat="0" applyBorder="0" applyAlignment="0" applyProtection="0"/>
    <xf numFmtId="0" fontId="41" fillId="12" borderId="0" applyNumberFormat="0" applyBorder="0" applyAlignment="0" applyProtection="0"/>
    <xf numFmtId="0" fontId="42" fillId="17" borderId="0" applyNumberFormat="0" applyBorder="0" applyAlignment="0" applyProtection="0"/>
    <xf numFmtId="0" fontId="31" fillId="6" borderId="0" applyNumberFormat="0" applyBorder="0" applyAlignment="0" applyProtection="0"/>
    <xf numFmtId="0" fontId="43" fillId="0" borderId="8" applyNumberFormat="0" applyFill="0" applyAlignment="0" applyProtection="0"/>
    <xf numFmtId="0" fontId="44" fillId="7" borderId="9" applyNumberFormat="0" applyAlignment="0" applyProtection="0"/>
    <xf numFmtId="0" fontId="44" fillId="18" borderId="9" applyNumberFormat="0" applyAlignment="0" applyProtection="0"/>
    <xf numFmtId="0" fontId="32" fillId="6" borderId="3" applyNumberFormat="0" applyAlignment="0" applyProtection="0"/>
    <xf numFmtId="0" fontId="45" fillId="0" borderId="10" applyNumberFormat="0" applyFill="0" applyAlignment="0" applyProtection="0"/>
    <xf numFmtId="0" fontId="46" fillId="18" borderId="3" applyNumberFormat="0" applyAlignment="0" applyProtection="0"/>
    <xf numFmtId="0" fontId="47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48" fillId="0" borderId="11" applyNumberFormat="0" applyFill="0" applyAlignment="0" applyProtection="0"/>
    <xf numFmtId="38" fontId="18" fillId="0" borderId="0" applyFont="0" applyFill="0" applyBorder="0" applyAlignment="0" applyProtection="0">
      <alignment vertical="center"/>
    </xf>
    <xf numFmtId="0" fontId="49" fillId="19" borderId="0" applyNumberFormat="0" applyBorder="0" applyAlignment="0" applyProtection="0"/>
    <xf numFmtId="0" fontId="50" fillId="20" borderId="0" applyNumberFormat="0" applyBorder="0" applyAlignment="0" applyProtection="0"/>
    <xf numFmtId="0" fontId="18" fillId="0" borderId="0"/>
    <xf numFmtId="0" fontId="51" fillId="20" borderId="0" applyNumberFormat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13" fillId="0" borderId="0"/>
    <xf numFmtId="0" fontId="54" fillId="0" borderId="0">
      <alignment vertical="center"/>
    </xf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11" fillId="0" borderId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9" fontId="55" fillId="0" borderId="0" applyFon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7" fillId="0" borderId="0"/>
    <xf numFmtId="38" fontId="55" fillId="0" borderId="0" applyFon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</cellStyleXfs>
  <cellXfs count="99">
    <xf numFmtId="0" fontId="0" fillId="0" borderId="0" xfId="0"/>
    <xf numFmtId="0" fontId="25" fillId="0" borderId="0" xfId="2" applyFont="1" applyAlignment="1">
      <alignment vertical="center"/>
    </xf>
    <xf numFmtId="0" fontId="25" fillId="0" borderId="1" xfId="2" applyFont="1" applyBorder="1" applyAlignment="1">
      <alignment vertical="center"/>
    </xf>
    <xf numFmtId="0" fontId="25" fillId="3" borderId="1" xfId="2" applyFont="1" applyFill="1" applyBorder="1" applyAlignment="1">
      <alignment horizontal="center" vertical="center"/>
    </xf>
    <xf numFmtId="0" fontId="25" fillId="0" borderId="0" xfId="2" applyFont="1" applyAlignment="1">
      <alignment horizontal="center" vertical="center"/>
    </xf>
    <xf numFmtId="0" fontId="25" fillId="4" borderId="1" xfId="2" applyFont="1" applyFill="1" applyBorder="1" applyAlignment="1">
      <alignment vertical="center"/>
    </xf>
    <xf numFmtId="0" fontId="24" fillId="4" borderId="1" xfId="0" applyFont="1" applyFill="1" applyBorder="1" applyAlignment="1">
      <alignment horizontal="right" vertical="center"/>
    </xf>
    <xf numFmtId="0" fontId="25" fillId="3" borderId="1" xfId="2" applyFont="1" applyFill="1" applyBorder="1" applyAlignment="1">
      <alignment vertical="center"/>
    </xf>
    <xf numFmtId="0" fontId="26" fillId="4" borderId="1" xfId="0" applyFont="1" applyFill="1" applyBorder="1" applyAlignment="1">
      <alignment vertical="center"/>
    </xf>
    <xf numFmtId="0" fontId="25" fillId="0" borderId="13" xfId="2" applyFont="1" applyBorder="1" applyAlignment="1">
      <alignment vertical="center"/>
    </xf>
    <xf numFmtId="0" fontId="24" fillId="4" borderId="12" xfId="0" applyFont="1" applyFill="1" applyBorder="1" applyAlignment="1">
      <alignment horizontal="right" vertical="center"/>
    </xf>
    <xf numFmtId="0" fontId="24" fillId="4" borderId="14" xfId="0" applyFont="1" applyFill="1" applyBorder="1" applyAlignment="1">
      <alignment horizontal="right" vertical="center"/>
    </xf>
    <xf numFmtId="0" fontId="25" fillId="0" borderId="15" xfId="2" applyFont="1" applyBorder="1" applyAlignment="1">
      <alignment vertical="center"/>
    </xf>
    <xf numFmtId="0" fontId="25" fillId="2" borderId="1" xfId="2" applyFont="1" applyFill="1" applyBorder="1" applyAlignment="1">
      <alignment horizontal="left" vertical="center"/>
    </xf>
    <xf numFmtId="0" fontId="52" fillId="21" borderId="1" xfId="0" applyFont="1" applyFill="1" applyBorder="1" applyAlignment="1">
      <alignment horizontal="left" vertical="center"/>
    </xf>
    <xf numFmtId="0" fontId="25" fillId="2" borderId="1" xfId="2" applyFont="1" applyFill="1" applyBorder="1" applyAlignment="1">
      <alignment horizontal="center" vertical="center"/>
    </xf>
    <xf numFmtId="0" fontId="27" fillId="22" borderId="1" xfId="2978" applyFont="1" applyFill="1" applyBorder="1"/>
    <xf numFmtId="0" fontId="13" fillId="22" borderId="1" xfId="2978" applyFill="1" applyBorder="1"/>
    <xf numFmtId="0" fontId="13" fillId="0" borderId="0" xfId="2978"/>
    <xf numFmtId="0" fontId="13" fillId="0" borderId="1" xfId="2978" applyBorder="1"/>
    <xf numFmtId="0" fontId="13" fillId="2" borderId="1" xfId="2978" applyFill="1" applyBorder="1"/>
    <xf numFmtId="0" fontId="17" fillId="2" borderId="1" xfId="19" applyFont="1" applyFill="1" applyBorder="1"/>
    <xf numFmtId="0" fontId="18" fillId="2" borderId="1" xfId="19" applyFill="1" applyBorder="1"/>
    <xf numFmtId="0" fontId="16" fillId="2" borderId="1" xfId="19" applyFont="1" applyFill="1" applyBorder="1"/>
    <xf numFmtId="0" fontId="14" fillId="2" borderId="1" xfId="19" applyFont="1" applyFill="1" applyBorder="1"/>
    <xf numFmtId="0" fontId="15" fillId="2" borderId="1" xfId="19" applyFont="1" applyFill="1" applyBorder="1"/>
    <xf numFmtId="0" fontId="13" fillId="2" borderId="1" xfId="19" applyFont="1" applyFill="1" applyBorder="1"/>
    <xf numFmtId="0" fontId="12" fillId="0" borderId="1" xfId="2978" applyFont="1" applyBorder="1"/>
    <xf numFmtId="0" fontId="27" fillId="22" borderId="1" xfId="0" applyFont="1" applyFill="1" applyBorder="1"/>
    <xf numFmtId="0" fontId="52" fillId="23" borderId="1" xfId="0" applyFont="1" applyFill="1" applyBorder="1" applyAlignment="1">
      <alignment horizontal="center" vertical="center"/>
    </xf>
    <xf numFmtId="0" fontId="52" fillId="3" borderId="1" xfId="0" applyFont="1" applyFill="1" applyBorder="1" applyAlignment="1">
      <alignment vertical="center"/>
    </xf>
    <xf numFmtId="0" fontId="0" fillId="4" borderId="0" xfId="0" applyFill="1"/>
    <xf numFmtId="0" fontId="10" fillId="0" borderId="1" xfId="2978" applyFont="1" applyBorder="1"/>
    <xf numFmtId="0" fontId="0" fillId="0" borderId="1" xfId="0" applyBorder="1"/>
    <xf numFmtId="0" fontId="0" fillId="25" borderId="0" xfId="0" applyFill="1"/>
    <xf numFmtId="0" fontId="0" fillId="24" borderId="0" xfId="0" applyFill="1"/>
    <xf numFmtId="0" fontId="0" fillId="26" borderId="0" xfId="0" applyFill="1"/>
    <xf numFmtId="0" fontId="0" fillId="3" borderId="1" xfId="0" applyFill="1" applyBorder="1"/>
    <xf numFmtId="0" fontId="0" fillId="27" borderId="0" xfId="0" applyFill="1"/>
    <xf numFmtId="0" fontId="0" fillId="28" borderId="1" xfId="0" applyFill="1" applyBorder="1"/>
    <xf numFmtId="10" fontId="0" fillId="28" borderId="1" xfId="0" applyNumberFormat="1" applyFill="1" applyBorder="1"/>
    <xf numFmtId="178" fontId="0" fillId="28" borderId="1" xfId="3575" applyNumberFormat="1" applyFont="1" applyFill="1" applyBorder="1"/>
    <xf numFmtId="177" fontId="0" fillId="28" borderId="1" xfId="0" applyNumberFormat="1" applyFill="1" applyBorder="1"/>
    <xf numFmtId="179" fontId="0" fillId="0" borderId="0" xfId="3575" applyNumberFormat="1" applyFont="1"/>
    <xf numFmtId="0" fontId="0" fillId="3" borderId="16" xfId="0" applyFill="1" applyBorder="1"/>
    <xf numFmtId="0" fontId="0" fillId="29" borderId="1" xfId="0" applyFill="1" applyBorder="1"/>
    <xf numFmtId="177" fontId="0" fillId="29" borderId="1" xfId="3575" applyNumberFormat="1" applyFont="1" applyFill="1" applyBorder="1"/>
    <xf numFmtId="0" fontId="0" fillId="0" borderId="0" xfId="0" quotePrefix="1"/>
    <xf numFmtId="0" fontId="0" fillId="28" borderId="0" xfId="0" applyFill="1"/>
    <xf numFmtId="0" fontId="9" fillId="2" borderId="1" xfId="19" applyFont="1" applyFill="1" applyBorder="1"/>
    <xf numFmtId="0" fontId="9" fillId="4" borderId="1" xfId="2978" applyFont="1" applyFill="1" applyBorder="1"/>
    <xf numFmtId="0" fontId="0" fillId="2" borderId="0" xfId="0" applyFill="1"/>
    <xf numFmtId="0" fontId="52" fillId="30" borderId="1" xfId="0" applyFont="1" applyFill="1" applyBorder="1" applyAlignment="1">
      <alignment horizontal="left" vertical="center"/>
    </xf>
    <xf numFmtId="0" fontId="25" fillId="25" borderId="1" xfId="2" applyFont="1" applyFill="1" applyBorder="1" applyAlignment="1">
      <alignment horizontal="left" vertical="center"/>
    </xf>
    <xf numFmtId="10" fontId="0" fillId="0" borderId="0" xfId="3575" applyNumberFormat="1" applyFont="1"/>
    <xf numFmtId="10" fontId="0" fillId="0" borderId="0" xfId="0" applyNumberFormat="1"/>
    <xf numFmtId="177" fontId="0" fillId="4" borderId="1" xfId="0" applyNumberFormat="1" applyFill="1" applyBorder="1"/>
    <xf numFmtId="0" fontId="0" fillId="0" borderId="1" xfId="0" applyFill="1" applyBorder="1"/>
    <xf numFmtId="10" fontId="0" fillId="0" borderId="1" xfId="0" applyNumberFormat="1" applyFill="1" applyBorder="1"/>
    <xf numFmtId="0" fontId="0" fillId="0" borderId="0" xfId="0" applyFill="1"/>
    <xf numFmtId="0" fontId="24" fillId="25" borderId="1" xfId="0" applyFont="1" applyFill="1" applyBorder="1" applyAlignment="1">
      <alignment horizontal="right" vertical="center"/>
    </xf>
    <xf numFmtId="0" fontId="8" fillId="0" borderId="1" xfId="2978" applyFont="1" applyBorder="1"/>
    <xf numFmtId="0" fontId="0" fillId="0" borderId="0" xfId="0" applyNumberFormat="1"/>
    <xf numFmtId="176" fontId="0" fillId="0" borderId="1" xfId="0" applyNumberFormat="1" applyBorder="1"/>
    <xf numFmtId="0" fontId="7" fillId="0" borderId="0" xfId="3662"/>
    <xf numFmtId="0" fontId="7" fillId="4" borderId="0" xfId="3662" applyFill="1"/>
    <xf numFmtId="9" fontId="7" fillId="0" borderId="0" xfId="3662" applyNumberFormat="1"/>
    <xf numFmtId="0" fontId="7" fillId="0" borderId="0" xfId="3662" applyFill="1"/>
    <xf numFmtId="9" fontId="7" fillId="0" borderId="0" xfId="3662" applyNumberFormat="1" applyAlignment="1"/>
    <xf numFmtId="0" fontId="7" fillId="0" borderId="0" xfId="3662" applyNumberFormat="1"/>
    <xf numFmtId="180" fontId="0" fillId="4" borderId="1" xfId="0" applyNumberFormat="1" applyFont="1" applyFill="1" applyBorder="1"/>
    <xf numFmtId="10" fontId="0" fillId="0" borderId="1" xfId="0" applyNumberFormat="1" applyBorder="1"/>
    <xf numFmtId="178" fontId="0" fillId="0" borderId="1" xfId="0" applyNumberFormat="1" applyBorder="1"/>
    <xf numFmtId="0" fontId="56" fillId="0" borderId="0" xfId="0" applyFont="1"/>
    <xf numFmtId="177" fontId="0" fillId="31" borderId="1" xfId="0" applyNumberFormat="1" applyFill="1" applyBorder="1"/>
    <xf numFmtId="181" fontId="0" fillId="4" borderId="1" xfId="0" applyNumberFormat="1" applyFont="1" applyFill="1" applyBorder="1"/>
    <xf numFmtId="177" fontId="0" fillId="0" borderId="0" xfId="3575" applyNumberFormat="1" applyFont="1"/>
    <xf numFmtId="178" fontId="57" fillId="32" borderId="1" xfId="0" applyNumberFormat="1" applyFont="1" applyFill="1" applyBorder="1"/>
    <xf numFmtId="38" fontId="25" fillId="4" borderId="1" xfId="3663" quotePrefix="1" applyFont="1" applyFill="1" applyBorder="1" applyAlignment="1">
      <alignment vertical="center"/>
    </xf>
    <xf numFmtId="0" fontId="52" fillId="0" borderId="1" xfId="0" applyFont="1" applyBorder="1" applyAlignment="1">
      <alignment vertical="center"/>
    </xf>
    <xf numFmtId="0" fontId="52" fillId="0" borderId="1" xfId="0" applyFont="1" applyBorder="1" applyAlignment="1">
      <alignment vertical="center" wrapText="1"/>
    </xf>
    <xf numFmtId="182" fontId="0" fillId="4" borderId="1" xfId="0" applyNumberFormat="1" applyFill="1" applyBorder="1"/>
    <xf numFmtId="0" fontId="6" fillId="0" borderId="0" xfId="3662" applyFont="1"/>
    <xf numFmtId="178" fontId="0" fillId="4" borderId="0" xfId="0" applyNumberFormat="1" applyFill="1"/>
    <xf numFmtId="10" fontId="0" fillId="0" borderId="1" xfId="3575" applyNumberFormat="1" applyFont="1" applyFill="1" applyBorder="1"/>
    <xf numFmtId="0" fontId="25" fillId="0" borderId="0" xfId="2" applyFont="1" applyFill="1" applyBorder="1" applyAlignment="1">
      <alignment vertical="center"/>
    </xf>
    <xf numFmtId="0" fontId="5" fillId="0" borderId="1" xfId="3036" applyFont="1" applyBorder="1"/>
    <xf numFmtId="0" fontId="24" fillId="25" borderId="0" xfId="0" applyFont="1" applyFill="1" applyBorder="1" applyAlignment="1">
      <alignment horizontal="right" vertical="center"/>
    </xf>
    <xf numFmtId="10" fontId="0" fillId="4" borderId="0" xfId="0" applyNumberFormat="1" applyFill="1"/>
    <xf numFmtId="0" fontId="4" fillId="4" borderId="1" xfId="2978" applyFont="1" applyFill="1" applyBorder="1"/>
    <xf numFmtId="0" fontId="26" fillId="25" borderId="1" xfId="0" applyFont="1" applyFill="1" applyBorder="1" applyAlignment="1">
      <alignment vertical="center"/>
    </xf>
    <xf numFmtId="183" fontId="0" fillId="4" borderId="1" xfId="0" applyNumberFormat="1" applyFill="1" applyBorder="1"/>
    <xf numFmtId="0" fontId="3" fillId="0" borderId="1" xfId="2978" applyFont="1" applyBorder="1"/>
    <xf numFmtId="0" fontId="3" fillId="4" borderId="1" xfId="2978" applyFont="1" applyFill="1" applyBorder="1"/>
    <xf numFmtId="178" fontId="0" fillId="0" borderId="0" xfId="0" applyNumberFormat="1"/>
    <xf numFmtId="0" fontId="2" fillId="0" borderId="1" xfId="3036" applyFont="1" applyBorder="1"/>
    <xf numFmtId="0" fontId="24" fillId="33" borderId="1" xfId="0" applyFont="1" applyFill="1" applyBorder="1" applyAlignment="1">
      <alignment horizontal="right" vertical="center"/>
    </xf>
    <xf numFmtId="180" fontId="0" fillId="4" borderId="1" xfId="0" applyNumberFormat="1" applyFill="1" applyBorder="1"/>
    <xf numFmtId="0" fontId="1" fillId="4" borderId="1" xfId="2978" applyFont="1" applyFill="1" applyBorder="1"/>
  </cellXfs>
  <cellStyles count="3670"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Excel Built-in Normal" xfId="1"/>
    <cellStyle name="^Cg" xfId="26"/>
    <cellStyle name="`FbN Z" xfId="25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" xfId="20"/>
    <cellStyle name="N Z" xfId="58"/>
    <cellStyle name="_" xfId="21"/>
    <cellStyle name="«¢" xfId="24"/>
    <cellStyle name="vZ" xfId="63"/>
    <cellStyle name="x÷" xfId="65"/>
    <cellStyle name="x¶" xfId="64"/>
    <cellStyle name="ýo_ 1" xfId="66"/>
    <cellStyle name="©oµ 1" xfId="27"/>
    <cellStyle name="©oµ 2" xfId="28"/>
    <cellStyle name="©oµ 3" xfId="29"/>
    <cellStyle name="©oµ 4" xfId="30"/>
    <cellStyle name="v" xfId="62"/>
    <cellStyle name="o_" xfId="59"/>
    <cellStyle name="oÍ" xfId="60"/>
    <cellStyle name="__÷" xfId="23"/>
    <cellStyle name="à¾¶" xfId="49"/>
    <cellStyle name="__" xfId="22"/>
    <cellStyle name="üÍ" xfId="61"/>
    <cellStyle name="Ê" xfId="57"/>
    <cellStyle name="Ç¢" xfId="56"/>
    <cellStyle name="パーセント" xfId="3575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6" builtinId="8" hidden="1"/>
    <cellStyle name="ハイパーリンク" xfId="3578" builtinId="8" hidden="1"/>
    <cellStyle name="ハイパーリンク" xfId="3580" builtinId="8" hidden="1"/>
    <cellStyle name="ハイパーリンク" xfId="3582" builtinId="8" hidden="1"/>
    <cellStyle name="ハイパーリンク" xfId="3584" builtinId="8" hidden="1"/>
    <cellStyle name="ハイパーリンク" xfId="3586" builtinId="8" hidden="1"/>
    <cellStyle name="ハイパーリンク" xfId="3588" builtinId="8" hidden="1"/>
    <cellStyle name="ハイパーリンク" xfId="3590" builtinId="8" hidden="1"/>
    <cellStyle name="ハイパーリンク" xfId="3592" builtinId="8" hidden="1"/>
    <cellStyle name="ハイパーリンク" xfId="3594" builtinId="8" hidden="1"/>
    <cellStyle name="ハイパーリンク" xfId="3596" builtinId="8" hidden="1"/>
    <cellStyle name="ハイパーリンク" xfId="3598" builtinId="8" hidden="1"/>
    <cellStyle name="ハイパーリンク" xfId="3600" builtinId="8" hidden="1"/>
    <cellStyle name="ハイパーリンク" xfId="3602" builtinId="8" hidden="1"/>
    <cellStyle name="ハイパーリンク" xfId="3604" builtinId="8" hidden="1"/>
    <cellStyle name="ハイパーリンク" xfId="3606" builtinId="8" hidden="1"/>
    <cellStyle name="ハイパーリンク" xfId="3608" builtinId="8" hidden="1"/>
    <cellStyle name="ハイパーリンク" xfId="3610" builtinId="8" hidden="1"/>
    <cellStyle name="ハイパーリンク" xfId="3612" builtinId="8" hidden="1"/>
    <cellStyle name="ハイパーリンク" xfId="3614" builtinId="8" hidden="1"/>
    <cellStyle name="ハイパーリンク" xfId="3616" builtinId="8" hidden="1"/>
    <cellStyle name="ハイパーリンク" xfId="3618" builtinId="8" hidden="1"/>
    <cellStyle name="ハイパーリンク" xfId="3620" builtinId="8" hidden="1"/>
    <cellStyle name="ハイパーリンク" xfId="3622" builtinId="8" hidden="1"/>
    <cellStyle name="ハイパーリンク" xfId="3624" builtinId="8" hidden="1"/>
    <cellStyle name="ハイパーリンク" xfId="3626" builtinId="8" hidden="1"/>
    <cellStyle name="ハイパーリンク" xfId="3628" builtinId="8" hidden="1"/>
    <cellStyle name="ハイパーリンク" xfId="3630" builtinId="8" hidden="1"/>
    <cellStyle name="ハイパーリンク" xfId="3632" builtinId="8" hidden="1"/>
    <cellStyle name="ハイパーリンク" xfId="3634" builtinId="8" hidden="1"/>
    <cellStyle name="ハイパーリンク" xfId="3636" builtinId="8" hidden="1"/>
    <cellStyle name="ハイパーリンク" xfId="3638" builtinId="8" hidden="1"/>
    <cellStyle name="ハイパーリンク" xfId="3640" builtinId="8" hidden="1"/>
    <cellStyle name="ハイパーリンク" xfId="3642" builtinId="8" hidden="1"/>
    <cellStyle name="ハイパーリンク" xfId="3644" builtinId="8" hidden="1"/>
    <cellStyle name="ハイパーリンク" xfId="3646" builtinId="8" hidden="1"/>
    <cellStyle name="ハイパーリンク" xfId="3648" builtinId="8" hidden="1"/>
    <cellStyle name="ハイパーリンク" xfId="3650" builtinId="8" hidden="1"/>
    <cellStyle name="ハイパーリンク" xfId="3652" builtinId="8" hidden="1"/>
    <cellStyle name="ハイパーリンク" xfId="3654" builtinId="8" hidden="1"/>
    <cellStyle name="ハイパーリンク" xfId="3656" builtinId="8" hidden="1"/>
    <cellStyle name="ハイパーリンク" xfId="3658" builtinId="8" hidden="1"/>
    <cellStyle name="ハイパーリンク" xfId="3660" builtinId="8" hidden="1"/>
    <cellStyle name="ハイパーリンク" xfId="3664" builtinId="8" hidden="1"/>
    <cellStyle name="ハイパーリンク" xfId="3666" builtinId="8" hidden="1"/>
    <cellStyle name="ハイパーリンク" xfId="3668" builtinId="8" hidden="1"/>
    <cellStyle name="桁区切り 2" xfId="67"/>
    <cellStyle name="桁区切り [0]" xfId="3663" builtinId="6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標準 7" xfId="3662"/>
    <cellStyle name="無題1" xfId="7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7" builtinId="9" hidden="1"/>
    <cellStyle name="表示済みのハイパーリンク" xfId="3579" builtinId="9" hidden="1"/>
    <cellStyle name="表示済みのハイパーリンク" xfId="3581" builtinId="9" hidden="1"/>
    <cellStyle name="表示済みのハイパーリンク" xfId="3583" builtinId="9" hidden="1"/>
    <cellStyle name="表示済みのハイパーリンク" xfId="3585" builtinId="9" hidden="1"/>
    <cellStyle name="表示済みのハイパーリンク" xfId="3587" builtinId="9" hidden="1"/>
    <cellStyle name="表示済みのハイパーリンク" xfId="3589" builtinId="9" hidden="1"/>
    <cellStyle name="表示済みのハイパーリンク" xfId="3591" builtinId="9" hidden="1"/>
    <cellStyle name="表示済みのハイパーリンク" xfId="3593" builtinId="9" hidden="1"/>
    <cellStyle name="表示済みのハイパーリンク" xfId="3595" builtinId="9" hidden="1"/>
    <cellStyle name="表示済みのハイパーリンク" xfId="3597" builtinId="9" hidden="1"/>
    <cellStyle name="表示済みのハイパーリンク" xfId="3599" builtinId="9" hidden="1"/>
    <cellStyle name="表示済みのハイパーリンク" xfId="3601" builtinId="9" hidden="1"/>
    <cellStyle name="表示済みのハイパーリンク" xfId="3603" builtinId="9" hidden="1"/>
    <cellStyle name="表示済みのハイパーリンク" xfId="3605" builtinId="9" hidden="1"/>
    <cellStyle name="表示済みのハイパーリンク" xfId="3607" builtinId="9" hidden="1"/>
    <cellStyle name="表示済みのハイパーリンク" xfId="3609" builtinId="9" hidden="1"/>
    <cellStyle name="表示済みのハイパーリンク" xfId="3611" builtinId="9" hidden="1"/>
    <cellStyle name="表示済みのハイパーリンク" xfId="3613" builtinId="9" hidden="1"/>
    <cellStyle name="表示済みのハイパーリンク" xfId="3615" builtinId="9" hidden="1"/>
    <cellStyle name="表示済みのハイパーリンク" xfId="3617" builtinId="9" hidden="1"/>
    <cellStyle name="表示済みのハイパーリンク" xfId="3619" builtinId="9" hidden="1"/>
    <cellStyle name="表示済みのハイパーリンク" xfId="3621" builtinId="9" hidden="1"/>
    <cellStyle name="表示済みのハイパーリンク" xfId="3623" builtinId="9" hidden="1"/>
    <cellStyle name="表示済みのハイパーリンク" xfId="3625" builtinId="9" hidden="1"/>
    <cellStyle name="表示済みのハイパーリンク" xfId="3627" builtinId="9" hidden="1"/>
    <cellStyle name="表示済みのハイパーリンク" xfId="3629" builtinId="9" hidden="1"/>
    <cellStyle name="表示済みのハイパーリンク" xfId="3631" builtinId="9" hidden="1"/>
    <cellStyle name="表示済みのハイパーリンク" xfId="3633" builtinId="9" hidden="1"/>
    <cellStyle name="表示済みのハイパーリンク" xfId="3635" builtinId="9" hidden="1"/>
    <cellStyle name="表示済みのハイパーリンク" xfId="3637" builtinId="9" hidden="1"/>
    <cellStyle name="表示済みのハイパーリンク" xfId="3639" builtinId="9" hidden="1"/>
    <cellStyle name="表示済みのハイパーリンク" xfId="3641" builtinId="9" hidden="1"/>
    <cellStyle name="表示済みのハイパーリンク" xfId="3643" builtinId="9" hidden="1"/>
    <cellStyle name="表示済みのハイパーリンク" xfId="3645" builtinId="9" hidden="1"/>
    <cellStyle name="表示済みのハイパーリンク" xfId="3647" builtinId="9" hidden="1"/>
    <cellStyle name="表示済みのハイパーリンク" xfId="3649" builtinId="9" hidden="1"/>
    <cellStyle name="表示済みのハイパーリンク" xfId="3651" builtinId="9" hidden="1"/>
    <cellStyle name="表示済みのハイパーリンク" xfId="3653" builtinId="9" hidden="1"/>
    <cellStyle name="表示済みのハイパーリンク" xfId="3655" builtinId="9" hidden="1"/>
    <cellStyle name="表示済みのハイパーリンク" xfId="3657" builtinId="9" hidden="1"/>
    <cellStyle name="表示済みのハイパーリンク" xfId="3659" builtinId="9" hidden="1"/>
    <cellStyle name="表示済みのハイパーリンク" xfId="3661" builtinId="9" hidden="1"/>
    <cellStyle name="表示済みのハイパーリンク" xfId="3665" builtinId="9" hidden="1"/>
    <cellStyle name="表示済みのハイパーリンク" xfId="3667" builtinId="9" hidden="1"/>
    <cellStyle name="表示済みのハイパーリンク" xfId="3669" builtinId="9" hidden="1"/>
    <cellStyle name="赤字強調" xfId="69"/>
    <cellStyle name="青字強調" xfId="68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theme" Target="theme/theme1.xml"/><Relationship Id="rId12" Type="http://schemas.openxmlformats.org/officeDocument/2006/relationships/styles" Target="styles.xml"/><Relationship Id="rId13" Type="http://schemas.openxmlformats.org/officeDocument/2006/relationships/sharedStrings" Target="sharedStrings.xml"/><Relationship Id="rId14" Type="http://schemas.openxmlformats.org/officeDocument/2006/relationships/calcChain" Target="calcChain.xml"/><Relationship Id="rId15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externalLink" Target="externalLinks/externalLink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麒麟クエストアイコンシルエット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麒麟クエストアイコンシルエット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Usagi-chan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オーディンクエストアイコンシルエット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5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6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5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6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5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6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5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6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5</v>
          </cell>
          <cell r="J429" t="str">
            <v>Material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5</v>
          </cell>
          <cell r="J430" t="str">
            <v>Material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5</v>
          </cell>
          <cell r="J431" t="str">
            <v>Material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5</v>
          </cell>
          <cell r="J432" t="str">
            <v>Material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  <cell r="K445" t="str">
            <v>exp</v>
          </cell>
          <cell r="L445" t="str">
            <v>強化素材タイプ</v>
          </cell>
          <cell r="M445" t="str">
            <v>unknown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  <cell r="K446" t="str">
            <v>exp</v>
          </cell>
          <cell r="L446" t="str">
            <v>強化素材タイプ</v>
          </cell>
          <cell r="M446" t="str">
            <v>unknown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  <cell r="K447" t="str">
            <v>exp</v>
          </cell>
          <cell r="L447" t="str">
            <v>強化素材タイプ</v>
          </cell>
          <cell r="M447" t="str">
            <v>unknown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  <cell r="K448" t="str">
            <v>exp</v>
          </cell>
          <cell r="L448" t="str">
            <v>強化素材タイプ</v>
          </cell>
          <cell r="M448" t="str">
            <v>unknown</v>
          </cell>
        </row>
        <row r="449">
          <cell r="A449">
            <v>448</v>
          </cell>
          <cell r="B449" t="str">
            <v>ja</v>
          </cell>
          <cell r="C449" t="str">
            <v>浮上する夢想学士 シャルル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6</v>
          </cell>
          <cell r="J449" t="str">
            <v>DropWizS</v>
          </cell>
          <cell r="K449" t="str">
            <v>heal</v>
          </cell>
          <cell r="L449" t="str">
            <v>回復タイプ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  <cell r="D561" t="str">
            <v>R５覚醒</v>
          </cell>
          <cell r="E561" t="str">
            <v>アバター</v>
          </cell>
          <cell r="F561" t="str">
            <v>美しい</v>
          </cell>
          <cell r="G561" t="str">
            <v>女性</v>
          </cell>
          <cell r="H561" t="str">
            <v>red</v>
          </cell>
          <cell r="I561">
            <v>5</v>
          </cell>
          <cell r="J561" t="str">
            <v>PremiumW</v>
          </cell>
          <cell r="K561" t="str">
            <v>attack</v>
          </cell>
          <cell r="L561" t="str">
            <v>攻撃タイプ</v>
          </cell>
          <cell r="M561" t="str">
            <v>human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  <cell r="D562" t="str">
            <v>R５覚醒</v>
          </cell>
          <cell r="E562" t="str">
            <v>アバター</v>
          </cell>
          <cell r="F562" t="str">
            <v>格好いい</v>
          </cell>
          <cell r="G562" t="str">
            <v>女性</v>
          </cell>
          <cell r="H562" t="str">
            <v>green</v>
          </cell>
          <cell r="I562">
            <v>5</v>
          </cell>
          <cell r="J562" t="str">
            <v>PremiumW</v>
          </cell>
          <cell r="K562" t="str">
            <v>attack</v>
          </cell>
          <cell r="L562" t="str">
            <v>攻撃タイプ</v>
          </cell>
          <cell r="M562" t="str">
            <v>human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  <cell r="D563" t="str">
            <v>R５覚醒</v>
          </cell>
          <cell r="E563" t="str">
            <v>アバター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5</v>
          </cell>
          <cell r="J563" t="str">
            <v>PremiumW</v>
          </cell>
          <cell r="K563" t="str">
            <v>attack</v>
          </cell>
          <cell r="L563" t="str">
            <v>攻撃タイプ</v>
          </cell>
          <cell r="M563" t="str">
            <v>animal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  <cell r="D564" t="str">
            <v>R５覚醒</v>
          </cell>
          <cell r="E564" t="str">
            <v>アバター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5</v>
          </cell>
          <cell r="J564" t="str">
            <v>PremiumW</v>
          </cell>
          <cell r="K564" t="str">
            <v>attack</v>
          </cell>
          <cell r="L564" t="str">
            <v>攻撃タイプ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赤ずきん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red</v>
          </cell>
          <cell r="I565">
            <v>5</v>
          </cell>
          <cell r="J565" t="str">
            <v>PremiumW</v>
          </cell>
          <cell r="K565" t="str">
            <v>balance</v>
          </cell>
          <cell r="L565" t="str">
            <v>バランスタイプ</v>
          </cell>
          <cell r="M565" t="str">
            <v>human</v>
          </cell>
        </row>
        <row r="566">
          <cell r="A566">
            <v>565</v>
          </cell>
          <cell r="B566" t="str">
            <v>ja</v>
          </cell>
          <cell r="C566" t="str">
            <v>かぐや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green</v>
          </cell>
          <cell r="I566">
            <v>5</v>
          </cell>
          <cell r="J566" t="str">
            <v>PremiumW</v>
          </cell>
          <cell r="K566" t="str">
            <v>hp</v>
          </cell>
          <cell r="L566" t="str">
            <v>体力タイプ</v>
          </cell>
          <cell r="M566" t="str">
            <v>human</v>
          </cell>
        </row>
        <row r="567">
          <cell r="A567">
            <v>566</v>
          </cell>
          <cell r="B567" t="str">
            <v>ja</v>
          </cell>
          <cell r="C567" t="str">
            <v>遊歩遊泳プリンセス マーメイド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blue</v>
          </cell>
          <cell r="I567">
            <v>5</v>
          </cell>
          <cell r="J567" t="str">
            <v>PremiumW</v>
          </cell>
          <cell r="K567" t="str">
            <v>hp</v>
          </cell>
          <cell r="L567" t="str">
            <v>体力タイプ</v>
          </cell>
          <cell r="M567" t="str">
            <v>human</v>
          </cell>
        </row>
        <row r="568">
          <cell r="A568">
            <v>567</v>
          </cell>
          <cell r="B568" t="str">
            <v>ja</v>
          </cell>
          <cell r="C568" t="str">
            <v>紅揚の祭狐宴舞 タマモ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yellow</v>
          </cell>
          <cell r="I568">
            <v>5</v>
          </cell>
          <cell r="J568" t="str">
            <v>PremiumW</v>
          </cell>
          <cell r="K568" t="str">
            <v>balance</v>
          </cell>
          <cell r="L568" t="str">
            <v>バランスタイプ</v>
          </cell>
          <cell r="M568" t="str">
            <v>animal</v>
          </cell>
        </row>
        <row r="569">
          <cell r="A569">
            <v>568</v>
          </cell>
          <cell r="B569" t="str">
            <v>ja</v>
          </cell>
          <cell r="C569" t="str">
            <v>空駆ける電能師 テスラ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yellow</v>
          </cell>
          <cell r="I569">
            <v>6</v>
          </cell>
          <cell r="J569" t="str">
            <v>DropWizS</v>
          </cell>
          <cell r="K569" t="str">
            <v>balance</v>
          </cell>
          <cell r="L569" t="str">
            <v>バランスタイプ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ハッピー102</v>
          </cell>
          <cell r="D570" t="str">
            <v>イベント:ウィルス01</v>
          </cell>
          <cell r="E570" t="str">
            <v>ウィルス</v>
          </cell>
          <cell r="F570" t="str">
            <v>世界観</v>
          </cell>
          <cell r="G570" t="str">
            <v>女性</v>
          </cell>
          <cell r="H570" t="str">
            <v>green</v>
          </cell>
          <cell r="I570">
            <v>5</v>
          </cell>
          <cell r="J570" t="str">
            <v>DropWizS</v>
          </cell>
          <cell r="K570" t="str">
            <v>heal</v>
          </cell>
          <cell r="L570" t="str">
            <v>回復タイプ</v>
          </cell>
          <cell r="M570" t="str">
            <v>unknown</v>
          </cell>
        </row>
        <row r="571">
          <cell r="A571">
            <v>570</v>
          </cell>
          <cell r="B571" t="str">
            <v>ja</v>
          </cell>
          <cell r="C571" t="str">
            <v>幸響の電心 ハッピー</v>
          </cell>
          <cell r="D571" t="str">
            <v>イベント:ウィルス01</v>
          </cell>
          <cell r="E571" t="str">
            <v>ウィルス</v>
          </cell>
          <cell r="F571" t="str">
            <v>世界観</v>
          </cell>
          <cell r="G571" t="str">
            <v>女性</v>
          </cell>
          <cell r="H571" t="str">
            <v>green</v>
          </cell>
          <cell r="I571">
            <v>6</v>
          </cell>
          <cell r="J571" t="str">
            <v>DropWizS</v>
          </cell>
          <cell r="K571" t="str">
            <v>heal</v>
          </cell>
          <cell r="L571" t="str">
            <v>回復タイプ</v>
          </cell>
          <cell r="M571" t="str">
            <v>unknown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未定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academia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academia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メガラニカ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green</v>
          </cell>
          <cell r="I628">
            <v>5</v>
          </cell>
          <cell r="J628" t="str">
            <v>PremiumSSw</v>
          </cell>
          <cell r="K628" t="str">
            <v>balance</v>
          </cell>
          <cell r="L628" t="str">
            <v>バランスタイプ</v>
          </cell>
          <cell r="M628" t="str">
            <v>animal</v>
          </cell>
        </row>
        <row r="629">
          <cell r="A629">
            <v>628</v>
          </cell>
          <cell r="B629" t="str">
            <v>ja</v>
          </cell>
          <cell r="C629" t="str">
            <v>玄装の指南隊 メガラニカ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green</v>
          </cell>
          <cell r="I629">
            <v>6</v>
          </cell>
          <cell r="J629" t="str">
            <v>PremiumSSw</v>
          </cell>
          <cell r="K629" t="str">
            <v>balance</v>
          </cell>
          <cell r="L629" t="str">
            <v>バランスタイプ</v>
          </cell>
          <cell r="M629" t="str">
            <v>animal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5</v>
          </cell>
          <cell r="J630" t="str">
            <v>PremiumSSS</v>
          </cell>
          <cell r="K630" t="str">
            <v>hp</v>
          </cell>
          <cell r="L630" t="str">
            <v>体力タイプ</v>
          </cell>
          <cell r="M630" t="str">
            <v>god</v>
          </cell>
        </row>
        <row r="631">
          <cell r="A631">
            <v>630</v>
          </cell>
          <cell r="B631" t="str">
            <v>ja</v>
          </cell>
          <cell r="C631" t="str">
            <v>明快の突戦車 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6</v>
          </cell>
          <cell r="J631" t="str">
            <v>PremiumSSS</v>
          </cell>
          <cell r="K631" t="str">
            <v>hp</v>
          </cell>
          <cell r="L631" t="str">
            <v>体力タイプ</v>
          </cell>
          <cell r="M631" t="str">
            <v>god</v>
          </cell>
        </row>
        <row r="632">
          <cell r="A632">
            <v>631</v>
          </cell>
          <cell r="B632" t="str">
            <v>ja</v>
          </cell>
          <cell r="C632" t="str">
            <v>華恋なる宮護隊 パレ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yellow</v>
          </cell>
          <cell r="I632">
            <v>5</v>
          </cell>
          <cell r="J632" t="str">
            <v>Drop2N</v>
          </cell>
          <cell r="K632" t="str">
            <v>balance</v>
          </cell>
          <cell r="L632" t="str">
            <v>バランスタイプ</v>
          </cell>
          <cell r="M632" t="str">
            <v>human</v>
          </cell>
        </row>
        <row r="633">
          <cell r="A633">
            <v>632</v>
          </cell>
          <cell r="B633" t="str">
            <v>ja</v>
          </cell>
          <cell r="C633" t="str">
            <v>緋壁の城塞 アーグラ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6</v>
          </cell>
          <cell r="J633" t="str">
            <v>DropWizS</v>
          </cell>
          <cell r="K633" t="str">
            <v>technical</v>
          </cell>
          <cell r="L633" t="str">
            <v>テクニカルタイプ</v>
          </cell>
          <cell r="M633" t="str">
            <v>god</v>
          </cell>
        </row>
        <row r="634">
          <cell r="A634">
            <v>633</v>
          </cell>
          <cell r="B634" t="str">
            <v>ja</v>
          </cell>
          <cell r="C634" t="str">
            <v>麗邸の遊撃守 エリゼ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blue</v>
          </cell>
          <cell r="I634">
            <v>6</v>
          </cell>
          <cell r="J634" t="str">
            <v>DropWizS</v>
          </cell>
          <cell r="K634" t="str">
            <v>balance</v>
          </cell>
          <cell r="L634" t="str">
            <v>バランスタイプ</v>
          </cell>
          <cell r="M634" t="str">
            <v>unknown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ローズR3(旧)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DropWizSSS</v>
          </cell>
          <cell r="K637" t="str">
            <v>attack</v>
          </cell>
          <cell r="L637" t="str">
            <v>攻撃タイプ</v>
          </cell>
          <cell r="M637" t="str">
            <v>queen</v>
          </cell>
        </row>
        <row r="638">
          <cell r="A638">
            <v>637</v>
          </cell>
          <cell r="B638" t="str">
            <v>ja</v>
          </cell>
          <cell r="C638" t="str">
            <v>ローズR4(旧)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DropWizSSS</v>
          </cell>
          <cell r="K638" t="str">
            <v>attack</v>
          </cell>
          <cell r="L638" t="str">
            <v>攻撃タイプ</v>
          </cell>
          <cell r="M638" t="str">
            <v>queen</v>
          </cell>
        </row>
        <row r="639">
          <cell r="A639">
            <v>638</v>
          </cell>
          <cell r="B639" t="str">
            <v>ja</v>
          </cell>
          <cell r="C639" t="str">
            <v>神さま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yellow</v>
          </cell>
          <cell r="I639">
            <v>6</v>
          </cell>
          <cell r="J639" t="str">
            <v>DropWizS</v>
          </cell>
          <cell r="K639" t="str">
            <v>balance</v>
          </cell>
          <cell r="L639" t="str">
            <v>バランスタイプ</v>
          </cell>
          <cell r="M639" t="str">
            <v>god</v>
          </cell>
        </row>
        <row r="640">
          <cell r="A640">
            <v>639</v>
          </cell>
          <cell r="B640" t="str">
            <v>ja</v>
          </cell>
          <cell r="C640" t="str">
            <v>看板娘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5</v>
          </cell>
          <cell r="J640" t="str">
            <v>Drop2N</v>
          </cell>
          <cell r="K640" t="str">
            <v>balance</v>
          </cell>
          <cell r="L640" t="str">
            <v>バランスタイプ</v>
          </cell>
          <cell r="M640" t="str">
            <v>human</v>
          </cell>
        </row>
        <row r="641">
          <cell r="A641">
            <v>640</v>
          </cell>
          <cell r="B641" t="str">
            <v>ja</v>
          </cell>
          <cell r="C641" t="str">
            <v>ブラックマ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green</v>
          </cell>
          <cell r="I641">
            <v>5</v>
          </cell>
          <cell r="J641" t="str">
            <v>Drop2N</v>
          </cell>
          <cell r="K641" t="str">
            <v>balance</v>
          </cell>
          <cell r="L641" t="str">
            <v>バランスタイプ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砦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blue</v>
          </cell>
          <cell r="I642">
            <v>5</v>
          </cell>
          <cell r="J642" t="str">
            <v>Drop2N</v>
          </cell>
          <cell r="K642" t="str">
            <v>balance</v>
          </cell>
          <cell r="L642" t="str">
            <v>バランスタイプ</v>
          </cell>
          <cell r="M642" t="str">
            <v>unknown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 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暗躍する偽帝 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黄巾賊の将軍 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生きる都市伝説 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 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豪腕静穏な寿司屋 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愛月撤灯の闇医者 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池袋最強の暴走 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聡明な戦狂女 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  <cell r="K751" t="str">
            <v>balance</v>
          </cell>
          <cell r="L751" t="str">
            <v>バランスタイプ</v>
          </cell>
          <cell r="M751" t="str">
            <v>academia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  <cell r="K752" t="str">
            <v>balance</v>
          </cell>
          <cell r="L752" t="str">
            <v>バランスタイプ</v>
          </cell>
          <cell r="M752" t="str">
            <v>academia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</row>
        <row r="781">
          <cell r="A781">
            <v>780</v>
          </cell>
          <cell r="B781" t="str">
            <v>ja</v>
          </cell>
          <cell r="C781" t="str">
            <v>カスケード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yellow</v>
          </cell>
          <cell r="I781">
            <v>5</v>
          </cell>
          <cell r="J781" t="str">
            <v>DropWizS</v>
          </cell>
          <cell r="K781" t="str">
            <v>technical</v>
          </cell>
          <cell r="L781" t="str">
            <v>テクニカルタイプ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崩落の大瀑布 カスケード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yellow</v>
          </cell>
          <cell r="I782">
            <v>6</v>
          </cell>
          <cell r="J782" t="str">
            <v>DropWizS</v>
          </cell>
          <cell r="K782" t="str">
            <v>technical</v>
          </cell>
          <cell r="L782" t="str">
            <v>テクニカルタイプ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機甲雷天使 ミカエル・グロリアス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yellow</v>
          </cell>
          <cell r="I783">
            <v>6</v>
          </cell>
          <cell r="J783" t="str">
            <v>PremiumS</v>
          </cell>
          <cell r="K783" t="str">
            <v>attack</v>
          </cell>
          <cell r="L783" t="str">
            <v>攻撃タイプ</v>
          </cell>
          <cell r="M783" t="str">
            <v>machine</v>
          </cell>
        </row>
        <row r="784">
          <cell r="A784">
            <v>783</v>
          </cell>
          <cell r="B784" t="str">
            <v>ja</v>
          </cell>
          <cell r="C784" t="str">
            <v>モールス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red</v>
          </cell>
          <cell r="I784">
            <v>5</v>
          </cell>
          <cell r="J784" t="str">
            <v>PremiumSSS</v>
          </cell>
          <cell r="K784" t="str">
            <v>technical</v>
          </cell>
          <cell r="L784" t="str">
            <v>テクニカルタイプ</v>
          </cell>
          <cell r="M784" t="str">
            <v>academia</v>
          </cell>
        </row>
        <row r="785">
          <cell r="A785">
            <v>784</v>
          </cell>
          <cell r="B785" t="str">
            <v>ja</v>
          </cell>
          <cell r="C785" t="str">
            <v>想心の恋鎖 モールス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red</v>
          </cell>
          <cell r="I785">
            <v>6</v>
          </cell>
          <cell r="J785" t="str">
            <v>PremiumSSS</v>
          </cell>
          <cell r="K785" t="str">
            <v>technical</v>
          </cell>
          <cell r="L785" t="str">
            <v>テクニカルタイプ</v>
          </cell>
          <cell r="M785" t="str">
            <v>academia</v>
          </cell>
        </row>
        <row r="786">
          <cell r="A786">
            <v>785</v>
          </cell>
          <cell r="B786" t="str">
            <v>ja</v>
          </cell>
          <cell r="C786" t="str">
            <v>あけおめダック2017</v>
          </cell>
          <cell r="D786" t="str">
            <v>イベント:お正月2016</v>
          </cell>
          <cell r="E786" t="str">
            <v>執行者</v>
          </cell>
          <cell r="F786" t="str">
            <v>格好いい</v>
          </cell>
          <cell r="G786" t="str">
            <v>不明</v>
          </cell>
          <cell r="H786" t="str">
            <v>yellow</v>
          </cell>
          <cell r="I786">
            <v>6</v>
          </cell>
          <cell r="J786" t="str">
            <v>Material</v>
          </cell>
          <cell r="K786" t="str">
            <v>coin</v>
          </cell>
          <cell r="L786" t="str">
            <v>コインタイプ</v>
          </cell>
          <cell r="M786" t="str">
            <v>unknown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アトラス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DropWizS</v>
          </cell>
          <cell r="K789" t="str">
            <v>balance</v>
          </cell>
          <cell r="L789" t="str">
            <v>バランスタイプ</v>
          </cell>
          <cell r="M789" t="str">
            <v>god</v>
          </cell>
        </row>
        <row r="790">
          <cell r="A790">
            <v>789</v>
          </cell>
          <cell r="B790" t="str">
            <v>ja</v>
          </cell>
          <cell r="C790" t="str">
            <v>極闘の大鋼腕 アトラス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DropWizS</v>
          </cell>
          <cell r="K790" t="str">
            <v>balance</v>
          </cell>
          <cell r="L790" t="str">
            <v>バランスタイプ</v>
          </cell>
          <cell r="M790" t="str">
            <v>god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machine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academia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heal</v>
          </cell>
          <cell r="L826" t="str">
            <v>回復タイプ</v>
          </cell>
          <cell r="M826" t="str">
            <v>animal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animal</v>
          </cell>
        </row>
        <row r="828">
          <cell r="A828">
            <v>827</v>
          </cell>
          <cell r="B828" t="str">
            <v>ja</v>
          </cell>
          <cell r="C828" t="str">
            <v>光神しき彩雲龍 アルフヘイム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dragon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technical</v>
          </cell>
          <cell r="L829" t="str">
            <v>テクニカルタイプ</v>
          </cell>
          <cell r="M829" t="str">
            <v>machine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red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unknown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PremiumSS</v>
          </cell>
          <cell r="K831" t="str">
            <v>balance</v>
          </cell>
          <cell r="L831" t="str">
            <v>バランスタイプ</v>
          </cell>
          <cell r="M831" t="str">
            <v>unknown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DropWizS</v>
          </cell>
          <cell r="K832" t="str">
            <v>technical</v>
          </cell>
          <cell r="L832" t="str">
            <v>テクニカルタイプ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god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god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balance</v>
          </cell>
          <cell r="L835" t="str">
            <v>バランスタイプ</v>
          </cell>
          <cell r="M835" t="str">
            <v>god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balance</v>
          </cell>
          <cell r="L836" t="str">
            <v>バランスタイプ</v>
          </cell>
          <cell r="M836" t="str">
            <v>god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balance</v>
          </cell>
          <cell r="L837" t="str">
            <v>バランスタイプ</v>
          </cell>
          <cell r="M837" t="str">
            <v>god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red</v>
          </cell>
          <cell r="I839">
            <v>6</v>
          </cell>
          <cell r="J839" t="str">
            <v>PremiumSS</v>
          </cell>
          <cell r="K839" t="str">
            <v>hp</v>
          </cell>
          <cell r="L839" t="str">
            <v>体力タイプ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green</v>
          </cell>
          <cell r="I840">
            <v>6</v>
          </cell>
          <cell r="J840" t="str">
            <v>PremiumSS</v>
          </cell>
          <cell r="K840" t="str">
            <v>balance</v>
          </cell>
          <cell r="L840" t="str">
            <v>バランスタイプ</v>
          </cell>
          <cell r="M840" t="str">
            <v>human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</row>
        <row r="883">
          <cell r="A883">
            <v>882</v>
          </cell>
          <cell r="B883" t="str">
            <v>ja</v>
          </cell>
          <cell r="C883" t="str">
            <v>歪極する星壊 シュヴァルツシルト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blue</v>
          </cell>
          <cell r="I883">
            <v>6</v>
          </cell>
          <cell r="J883" t="str">
            <v>PremiumSSS</v>
          </cell>
          <cell r="K883" t="str">
            <v>attack</v>
          </cell>
          <cell r="L883" t="str">
            <v>攻撃タイプ</v>
          </cell>
          <cell r="M883" t="str">
            <v>academia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PremiumS</v>
          </cell>
          <cell r="K884" t="str">
            <v>hp</v>
          </cell>
          <cell r="L884" t="str">
            <v>体力タイプ</v>
          </cell>
          <cell r="M884" t="str">
            <v>god</v>
          </cell>
        </row>
        <row r="885">
          <cell r="A885">
            <v>884</v>
          </cell>
          <cell r="B885" t="str">
            <v>ja</v>
          </cell>
          <cell r="C885" t="str">
            <v>咲園の爛漫神 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green</v>
          </cell>
          <cell r="I885">
            <v>6</v>
          </cell>
          <cell r="J885" t="str">
            <v>PremiumS</v>
          </cell>
          <cell r="K885" t="str">
            <v>hp</v>
          </cell>
          <cell r="L885" t="str">
            <v>体力タイプ</v>
          </cell>
          <cell r="M885" t="str">
            <v>god</v>
          </cell>
        </row>
        <row r="886">
          <cell r="A886">
            <v>885</v>
          </cell>
          <cell r="B886" t="str">
            <v>ja</v>
          </cell>
          <cell r="C886" t="str">
            <v>御群の絶海女神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PremiumS</v>
          </cell>
          <cell r="K886" t="str">
            <v>hp</v>
          </cell>
          <cell r="L886" t="str">
            <v>体力タイプ</v>
          </cell>
          <cell r="M886" t="str">
            <v>god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PremiumS</v>
          </cell>
          <cell r="K887" t="str">
            <v>balance</v>
          </cell>
          <cell r="L887" t="str">
            <v>バランスタイプ</v>
          </cell>
          <cell r="M887" t="str">
            <v>god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DropWizS</v>
          </cell>
          <cell r="K888" t="str">
            <v>attack</v>
          </cell>
          <cell r="L888" t="str">
            <v>攻撃タイプ</v>
          </cell>
          <cell r="M888" t="str">
            <v>god</v>
          </cell>
        </row>
        <row r="889">
          <cell r="A889">
            <v>888</v>
          </cell>
          <cell r="B889" t="str">
            <v>ja</v>
          </cell>
          <cell r="C889" t="str">
            <v>禍根の暴送者 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DropWizS</v>
          </cell>
          <cell r="K889" t="str">
            <v>attack</v>
          </cell>
          <cell r="L889" t="str">
            <v>攻撃タイプ</v>
          </cell>
          <cell r="M889" t="str">
            <v>god</v>
          </cell>
        </row>
        <row r="890">
          <cell r="A890">
            <v>889</v>
          </cell>
          <cell r="B890" t="str">
            <v>ja</v>
          </cell>
          <cell r="C890" t="str">
            <v>未定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</row>
        <row r="891">
          <cell r="A891">
            <v>890</v>
          </cell>
          <cell r="B891" t="str">
            <v>ja</v>
          </cell>
          <cell r="C891" t="str">
            <v>未定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DropWizS</v>
          </cell>
          <cell r="K892" t="str">
            <v>hp</v>
          </cell>
          <cell r="L892" t="str">
            <v>体力タイプ</v>
          </cell>
          <cell r="M892" t="str">
            <v>god</v>
          </cell>
        </row>
        <row r="893">
          <cell r="A893">
            <v>892</v>
          </cell>
          <cell r="B893" t="str">
            <v>ja</v>
          </cell>
          <cell r="C893" t="str">
            <v>金碧の羊星 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DropWizS</v>
          </cell>
          <cell r="K893" t="str">
            <v>hp</v>
          </cell>
          <cell r="L893" t="str">
            <v>体力タイプ</v>
          </cell>
          <cell r="M893" t="str">
            <v>god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DropWizS</v>
          </cell>
          <cell r="K894" t="str">
            <v>balance</v>
          </cell>
          <cell r="L894" t="str">
            <v>バランスタイプ</v>
          </cell>
          <cell r="M894" t="str">
            <v>god</v>
          </cell>
        </row>
        <row r="895">
          <cell r="A895">
            <v>894</v>
          </cell>
          <cell r="B895" t="str">
            <v>ja</v>
          </cell>
          <cell r="C895" t="str">
            <v>聖澄の戦慧神 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DropWizS</v>
          </cell>
          <cell r="K895" t="str">
            <v>balance</v>
          </cell>
          <cell r="L895" t="str">
            <v>バランスタイプ</v>
          </cell>
          <cell r="M895" t="str">
            <v>god</v>
          </cell>
        </row>
        <row r="896">
          <cell r="A896">
            <v>895</v>
          </cell>
          <cell r="B896" t="str">
            <v>ja</v>
          </cell>
          <cell r="C896" t="str">
            <v>未定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blue</v>
          </cell>
          <cell r="I896">
            <v>5</v>
          </cell>
          <cell r="J896" t="str">
            <v>Drop2N</v>
          </cell>
          <cell r="K896" t="str">
            <v>attack</v>
          </cell>
          <cell r="L896" t="str">
            <v>攻撃タイプ</v>
          </cell>
          <cell r="M896" t="str">
            <v>human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red</v>
          </cell>
          <cell r="I897">
            <v>6</v>
          </cell>
          <cell r="J897" t="str">
            <v>PremiumSS</v>
          </cell>
          <cell r="K897" t="str">
            <v>balance</v>
          </cell>
          <cell r="L897" t="str">
            <v>バランスタイプ</v>
          </cell>
          <cell r="M897" t="str">
            <v>animal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green</v>
          </cell>
          <cell r="I898">
            <v>6</v>
          </cell>
          <cell r="J898" t="str">
            <v>PremiumSS</v>
          </cell>
          <cell r="K898" t="str">
            <v>balance</v>
          </cell>
          <cell r="L898" t="str">
            <v>バランスタイプ</v>
          </cell>
          <cell r="M898" t="str">
            <v>animal</v>
          </cell>
        </row>
        <row r="899">
          <cell r="A899">
            <v>898</v>
          </cell>
          <cell r="B899" t="str">
            <v>ja</v>
          </cell>
          <cell r="C899" t="str">
            <v>未定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red</v>
          </cell>
          <cell r="I899">
            <v>6</v>
          </cell>
          <cell r="J899" t="str">
            <v>Drop2N</v>
          </cell>
          <cell r="K899" t="str">
            <v>attack</v>
          </cell>
          <cell r="L899" t="str">
            <v>攻撃タイプ</v>
          </cell>
          <cell r="M899" t="str">
            <v>human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  <cell r="K932" t="str">
            <v>technical</v>
          </cell>
          <cell r="L932" t="str">
            <v>テクニカルタイプ</v>
          </cell>
          <cell r="M932" t="str">
            <v>human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  <cell r="K933" t="str">
            <v>technical</v>
          </cell>
          <cell r="L933" t="str">
            <v>テクニカルタイプ</v>
          </cell>
          <cell r="M933" t="str">
            <v>human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unknown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unknown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  <cell r="K936" t="str">
            <v>balance</v>
          </cell>
          <cell r="L936" t="str">
            <v>バランスタイプ</v>
          </cell>
          <cell r="M936" t="str">
            <v>human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  <cell r="K937" t="str">
            <v>balance</v>
          </cell>
          <cell r="L937" t="str">
            <v>バランスタイプ</v>
          </cell>
          <cell r="M937" t="str">
            <v>human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  <cell r="K938" t="str">
            <v>balance</v>
          </cell>
          <cell r="L938" t="str">
            <v>バランスタイプ</v>
          </cell>
          <cell r="M938" t="str">
            <v>human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  <cell r="K939" t="str">
            <v>balance</v>
          </cell>
          <cell r="L939" t="str">
            <v>バランスタイプ</v>
          </cell>
          <cell r="M939" t="str">
            <v>human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  <cell r="K940" t="str">
            <v>hp</v>
          </cell>
          <cell r="L940" t="str">
            <v>体力タイプ</v>
          </cell>
          <cell r="M940" t="str">
            <v>unknown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  <cell r="K941" t="str">
            <v>hp</v>
          </cell>
          <cell r="L941" t="str">
            <v>体力タイプ</v>
          </cell>
          <cell r="M941" t="str">
            <v>unknown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  <cell r="K942" t="str">
            <v>technical</v>
          </cell>
          <cell r="L942" t="str">
            <v>テクニカルタイプ</v>
          </cell>
          <cell r="M942" t="str">
            <v>human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  <cell r="K943" t="str">
            <v>technical</v>
          </cell>
          <cell r="L943" t="str">
            <v>テクニカルタイプ</v>
          </cell>
          <cell r="M943" t="str">
            <v>human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  <cell r="K944" t="str">
            <v>attack</v>
          </cell>
          <cell r="L944" t="str">
            <v>攻撃タイプ</v>
          </cell>
          <cell r="M944" t="str">
            <v>human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  <cell r="K945" t="str">
            <v>attack</v>
          </cell>
          <cell r="L945" t="str">
            <v>攻撃タイプ</v>
          </cell>
          <cell r="M945" t="str">
            <v>human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PremiumSSS</v>
          </cell>
          <cell r="K946" t="str">
            <v>attack</v>
          </cell>
          <cell r="L946" t="str">
            <v>攻撃タイプ</v>
          </cell>
          <cell r="M946" t="str">
            <v>academia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PremiumSSS</v>
          </cell>
          <cell r="K947" t="str">
            <v>attack</v>
          </cell>
          <cell r="L947" t="str">
            <v>攻撃タイプ</v>
          </cell>
          <cell r="M947" t="str">
            <v>academia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  <cell r="K948" t="str">
            <v>attack</v>
          </cell>
          <cell r="L948" t="str">
            <v>攻撃タイプ</v>
          </cell>
          <cell r="M948" t="str">
            <v>weapon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  <cell r="K949" t="str">
            <v>attack</v>
          </cell>
          <cell r="L949" t="str">
            <v>攻撃タイプ</v>
          </cell>
          <cell r="M949" t="str">
            <v>weapon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  <cell r="K950" t="str">
            <v>balance</v>
          </cell>
          <cell r="L950" t="str">
            <v>バランスタイプ</v>
          </cell>
          <cell r="M950" t="str">
            <v>weapon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  <cell r="K951" t="str">
            <v>balance</v>
          </cell>
          <cell r="L951" t="str">
            <v>バランスタイプ</v>
          </cell>
          <cell r="M951" t="str">
            <v>weapon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  <cell r="K952" t="str">
            <v>attack</v>
          </cell>
          <cell r="L952" t="str">
            <v>攻撃タイプ</v>
          </cell>
          <cell r="M952" t="str">
            <v>weapon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  <cell r="K953" t="str">
            <v>attack</v>
          </cell>
          <cell r="L953" t="str">
            <v>攻撃タイプ</v>
          </cell>
          <cell r="M953" t="str">
            <v>weapon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PremiumSSS</v>
          </cell>
          <cell r="K956" t="str">
            <v>technical</v>
          </cell>
          <cell r="L956" t="str">
            <v>テクニカルタイプ</v>
          </cell>
          <cell r="M956" t="str">
            <v>academia</v>
          </cell>
        </row>
        <row r="957">
          <cell r="A957">
            <v>956</v>
          </cell>
          <cell r="B957" t="str">
            <v>ja</v>
          </cell>
          <cell r="C957" t="str">
            <v>導環の崇論 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PremiumSSS</v>
          </cell>
          <cell r="K957" t="str">
            <v>technical</v>
          </cell>
          <cell r="L957" t="str">
            <v>テクニカルタイプ</v>
          </cell>
          <cell r="M957" t="str">
            <v>academia</v>
          </cell>
        </row>
        <row r="958">
          <cell r="A958">
            <v>957</v>
          </cell>
          <cell r="B958" t="str">
            <v>ja</v>
          </cell>
          <cell r="C958" t="str">
            <v>浮環の流律論 マクローリン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red</v>
          </cell>
          <cell r="I958">
            <v>6</v>
          </cell>
          <cell r="J958" t="str">
            <v>PremiumSSS</v>
          </cell>
          <cell r="K958" t="str">
            <v>hp</v>
          </cell>
          <cell r="L958" t="str">
            <v>体力タイプ</v>
          </cell>
          <cell r="M958" t="str">
            <v>academia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green</v>
          </cell>
          <cell r="I959">
            <v>5</v>
          </cell>
          <cell r="J959" t="str">
            <v>PremiumSSS</v>
          </cell>
          <cell r="K959" t="str">
            <v>balance</v>
          </cell>
          <cell r="L959" t="str">
            <v>バランスタイプ</v>
          </cell>
          <cell r="M959" t="str">
            <v>academia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green</v>
          </cell>
          <cell r="I960">
            <v>6</v>
          </cell>
          <cell r="J960" t="str">
            <v>PremiumSSS</v>
          </cell>
          <cell r="K960" t="str">
            <v>balance</v>
          </cell>
          <cell r="L960" t="str">
            <v>バランスタイプ</v>
          </cell>
          <cell r="M960" t="str">
            <v>academia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green</v>
          </cell>
          <cell r="I961">
            <v>6</v>
          </cell>
          <cell r="J961" t="str">
            <v>PremiumSSS</v>
          </cell>
          <cell r="K961" t="str">
            <v>heal</v>
          </cell>
          <cell r="L961" t="str">
            <v>回復タイプ</v>
          </cell>
          <cell r="M961" t="str">
            <v>academia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green</v>
          </cell>
          <cell r="I962">
            <v>6</v>
          </cell>
          <cell r="J962" t="str">
            <v>DropWizS</v>
          </cell>
          <cell r="K962" t="str">
            <v>technical</v>
          </cell>
          <cell r="L962" t="str">
            <v>テクニカルタイプ</v>
          </cell>
          <cell r="M962" t="str">
            <v>human</v>
          </cell>
        </row>
        <row r="963">
          <cell r="A963">
            <v>962</v>
          </cell>
          <cell r="B963" t="str">
            <v>ja</v>
          </cell>
          <cell r="C963" t="str">
            <v>酩酊する大宴龍 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green</v>
          </cell>
          <cell r="I963">
            <v>6</v>
          </cell>
          <cell r="J963" t="str">
            <v>PremiumSS</v>
          </cell>
          <cell r="K963" t="str">
            <v>hp</v>
          </cell>
          <cell r="L963" t="str">
            <v>体力タイプ</v>
          </cell>
          <cell r="M963" t="str">
            <v>dragon</v>
          </cell>
        </row>
        <row r="964">
          <cell r="A964">
            <v>963</v>
          </cell>
          <cell r="B964" t="str">
            <v>ja</v>
          </cell>
          <cell r="C964" t="str">
            <v>天蛇の閃皇貴魔 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  <cell r="K964" t="str">
            <v>attack</v>
          </cell>
          <cell r="L964" t="str">
            <v>攻撃タイプ</v>
          </cell>
          <cell r="M964" t="str">
            <v>god</v>
          </cell>
        </row>
        <row r="965">
          <cell r="A965">
            <v>964</v>
          </cell>
          <cell r="B965" t="str">
            <v>ja</v>
          </cell>
          <cell r="C965" t="str">
            <v>海破雨散の海龍 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  <cell r="K965" t="str">
            <v>balance</v>
          </cell>
          <cell r="L965" t="str">
            <v>バランスタイプ</v>
          </cell>
          <cell r="M965" t="str">
            <v>dragon</v>
          </cell>
        </row>
        <row r="966">
          <cell r="A966">
            <v>965</v>
          </cell>
          <cell r="B966" t="str">
            <v>ja</v>
          </cell>
          <cell r="C966" t="str">
            <v>穿熱の緋龍王 キング・ドライグ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  <cell r="K966" t="str">
            <v>attack</v>
          </cell>
          <cell r="L966" t="str">
            <v>攻撃タイプ</v>
          </cell>
          <cell r="M966" t="str">
            <v>dragon</v>
          </cell>
        </row>
        <row r="967">
          <cell r="A967">
            <v>966</v>
          </cell>
          <cell r="B967" t="str">
            <v>ja</v>
          </cell>
          <cell r="C967" t="str">
            <v>麗嵐の颯愛志士 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green</v>
          </cell>
          <cell r="I967">
            <v>6</v>
          </cell>
          <cell r="J967" t="str">
            <v>PremiumSS</v>
          </cell>
          <cell r="K967" t="str">
            <v>attack</v>
          </cell>
          <cell r="L967" t="str">
            <v>攻撃タイプ</v>
          </cell>
          <cell r="M967" t="str">
            <v>human</v>
          </cell>
        </row>
        <row r="968">
          <cell r="A968">
            <v>967</v>
          </cell>
          <cell r="B968" t="str">
            <v>ja</v>
          </cell>
          <cell r="C968" t="str">
            <v>討滅の凶妖志士 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  <cell r="K968" t="str">
            <v>technical</v>
          </cell>
          <cell r="L968" t="str">
            <v>テクニカルタイプ</v>
          </cell>
          <cell r="M968" t="str">
            <v>human</v>
          </cell>
        </row>
        <row r="969">
          <cell r="A969">
            <v>968</v>
          </cell>
          <cell r="B969" t="str">
            <v>ja</v>
          </cell>
          <cell r="C969" t="str">
            <v>夢謀の愚幻者 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  <cell r="K969" t="str">
            <v>technical</v>
          </cell>
          <cell r="L969" t="str">
            <v>テクニカルタイプ</v>
          </cell>
          <cell r="M969" t="str">
            <v>god</v>
          </cell>
        </row>
        <row r="970">
          <cell r="A970">
            <v>969</v>
          </cell>
          <cell r="B970" t="str">
            <v>ja</v>
          </cell>
          <cell r="C970" t="str">
            <v>超排撃の焔砲巨神 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  <cell r="K970" t="str">
            <v>hp</v>
          </cell>
          <cell r="L970" t="str">
            <v>体力タイプ</v>
          </cell>
          <cell r="M970" t="str">
            <v>machine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  <cell r="K971" t="str">
            <v>balance</v>
          </cell>
          <cell r="L971" t="str">
            <v>バランスタイプ</v>
          </cell>
          <cell r="M971" t="str">
            <v>human</v>
          </cell>
        </row>
        <row r="972">
          <cell r="A972">
            <v>971</v>
          </cell>
          <cell r="B972" t="str">
            <v>ja</v>
          </cell>
          <cell r="C972" t="str">
            <v>機獅蛮勇 ブレイブリー・ライオン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  <cell r="K972" t="str">
            <v>hp</v>
          </cell>
          <cell r="L972" t="str">
            <v>体力タイプ</v>
          </cell>
          <cell r="M972" t="str">
            <v>animal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PremiumSSS</v>
          </cell>
          <cell r="K973" t="str">
            <v>attack</v>
          </cell>
          <cell r="L973" t="str">
            <v>攻撃タイプ</v>
          </cell>
          <cell r="M973" t="str">
            <v>academia</v>
          </cell>
        </row>
        <row r="974">
          <cell r="A974">
            <v>973</v>
          </cell>
          <cell r="B974" t="str">
            <v>ja</v>
          </cell>
          <cell r="C974" t="str">
            <v>幻蜜なる怪跡 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PremiumSSS</v>
          </cell>
          <cell r="K974" t="str">
            <v>attack</v>
          </cell>
          <cell r="L974" t="str">
            <v>攻撃タイプ</v>
          </cell>
          <cell r="M974" t="str">
            <v>academia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unknown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unknown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unknown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unknown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unknown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unknown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unknown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4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5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4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5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4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5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4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5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heal</v>
          </cell>
          <cell r="L1007" t="str">
            <v>回復タイプ</v>
          </cell>
          <cell r="M1007" t="str">
            <v>god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heal</v>
          </cell>
          <cell r="L1008" t="str">
            <v>回復タイプ</v>
          </cell>
          <cell r="M1008" t="str">
            <v>god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hp</v>
          </cell>
          <cell r="L1015" t="str">
            <v>体力タイプ</v>
          </cell>
          <cell r="M1015" t="str">
            <v>god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hp</v>
          </cell>
          <cell r="L1016" t="str">
            <v>体力タイプ</v>
          </cell>
          <cell r="M1016" t="str">
            <v>god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</row>
        <row r="1036">
          <cell r="A1036">
            <v>1035</v>
          </cell>
          <cell r="B1036" t="str">
            <v>ja</v>
          </cell>
          <cell r="C1036" t="str">
            <v>ウザリーマン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yellow</v>
          </cell>
          <cell r="I1036">
            <v>5</v>
          </cell>
          <cell r="J1036" t="str">
            <v>PremiumSSS</v>
          </cell>
          <cell r="K1036" t="str">
            <v>technical</v>
          </cell>
          <cell r="L1036" t="str">
            <v>テクニカルタイプ</v>
          </cell>
          <cell r="M1036" t="str">
            <v>unknown</v>
          </cell>
        </row>
        <row r="1037">
          <cell r="A1037">
            <v>1036</v>
          </cell>
          <cell r="B1037" t="str">
            <v>ja</v>
          </cell>
          <cell r="C1037" t="str">
            <v>ウザリーマン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yellow</v>
          </cell>
          <cell r="I1037">
            <v>6</v>
          </cell>
          <cell r="J1037" t="str">
            <v>PremiumSSS</v>
          </cell>
          <cell r="K1037" t="str">
            <v>technical</v>
          </cell>
          <cell r="L1037" t="str">
            <v>テクニカルタイプ</v>
          </cell>
          <cell r="M1037" t="str">
            <v>unknown</v>
          </cell>
        </row>
        <row r="1038">
          <cell r="A1038">
            <v>1037</v>
          </cell>
          <cell r="B1038" t="str">
            <v>ja</v>
          </cell>
          <cell r="C1038" t="str">
            <v>ミューズ</v>
          </cell>
          <cell r="D1038" t="str">
            <v>ミューズ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Drop2N</v>
          </cell>
          <cell r="K1038" t="str">
            <v>balance</v>
          </cell>
          <cell r="L1038" t="str">
            <v>バランスタイプ</v>
          </cell>
          <cell r="M1038" t="str">
            <v>unknown</v>
          </cell>
        </row>
        <row r="1039">
          <cell r="A1039">
            <v>1038</v>
          </cell>
          <cell r="B1039" t="str">
            <v>ja</v>
          </cell>
          <cell r="C1039" t="str">
            <v>歌音届ける楽愛神 ミューズ</v>
          </cell>
          <cell r="D1039" t="str">
            <v>ミューズ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Drop2N</v>
          </cell>
          <cell r="K1039" t="str">
            <v>balance</v>
          </cell>
          <cell r="L1039" t="str">
            <v>バランスタイプ</v>
          </cell>
          <cell r="M1039" t="str">
            <v>unknown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academia</v>
          </cell>
        </row>
        <row r="1041">
          <cell r="A1041">
            <v>1040</v>
          </cell>
          <cell r="B1041" t="str">
            <v>ja</v>
          </cell>
          <cell r="C1041" t="str">
            <v>蒼流の電磁団 ディラック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academia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attack</v>
          </cell>
          <cell r="L1042" t="str">
            <v>攻撃タイプ</v>
          </cell>
          <cell r="M1042" t="str">
            <v>god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attack</v>
          </cell>
          <cell r="L1043" t="str">
            <v>攻撃タイプ</v>
          </cell>
          <cell r="M1043" t="str">
            <v>god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god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god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blue</v>
          </cell>
          <cell r="I1046">
            <v>6</v>
          </cell>
          <cell r="J1046" t="str">
            <v>PremiumSSS</v>
          </cell>
          <cell r="K1046" t="str">
            <v>balance</v>
          </cell>
          <cell r="L1046" t="str">
            <v>バランスタイプ</v>
          </cell>
          <cell r="M1046" t="str">
            <v>academia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blue</v>
          </cell>
          <cell r="I1047">
            <v>5</v>
          </cell>
          <cell r="J1047" t="str">
            <v>PremiumS</v>
          </cell>
          <cell r="K1047" t="str">
            <v>attack</v>
          </cell>
          <cell r="L1047" t="str">
            <v>攻撃タイプ</v>
          </cell>
          <cell r="M1047" t="str">
            <v>animal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blue</v>
          </cell>
          <cell r="I1048">
            <v>6</v>
          </cell>
          <cell r="J1048" t="str">
            <v>PremiumSSS</v>
          </cell>
          <cell r="K1048" t="str">
            <v>balance</v>
          </cell>
          <cell r="L1048" t="str">
            <v>バランスタイプ</v>
          </cell>
          <cell r="M1048" t="str">
            <v>academia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blue</v>
          </cell>
          <cell r="I1049">
            <v>5</v>
          </cell>
          <cell r="J1049" t="str">
            <v>PremiumS</v>
          </cell>
          <cell r="K1049" t="str">
            <v>hp</v>
          </cell>
          <cell r="L1049" t="str">
            <v>体力タイプ</v>
          </cell>
          <cell r="M1049" t="str">
            <v>dragon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balance</v>
          </cell>
          <cell r="L1050" t="str">
            <v>バランスタイプ</v>
          </cell>
          <cell r="M1050" t="str">
            <v>academia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balance</v>
          </cell>
          <cell r="L1051" t="str">
            <v>バランスタイプ</v>
          </cell>
          <cell r="M1051" t="str">
            <v>god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blue</v>
          </cell>
          <cell r="I1052">
            <v>6</v>
          </cell>
          <cell r="J1052" t="str">
            <v>PremiumSSS</v>
          </cell>
          <cell r="K1052" t="str">
            <v>balance</v>
          </cell>
          <cell r="L1052" t="str">
            <v>バランスタイプ</v>
          </cell>
          <cell r="M1052" t="str">
            <v>academia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blue</v>
          </cell>
          <cell r="I1053">
            <v>5</v>
          </cell>
          <cell r="J1053" t="str">
            <v>PremiumS</v>
          </cell>
          <cell r="K1053" t="str">
            <v>heal</v>
          </cell>
          <cell r="L1053" t="str">
            <v>回復タイプ</v>
          </cell>
          <cell r="M1053" t="str">
            <v>god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red</v>
          </cell>
          <cell r="I1054">
            <v>5</v>
          </cell>
          <cell r="J1054" t="str">
            <v>DropWizS</v>
          </cell>
          <cell r="K1054" t="str">
            <v>balance</v>
          </cell>
          <cell r="L1054" t="str">
            <v>バランスタイプ</v>
          </cell>
          <cell r="M1054" t="str">
            <v>god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red</v>
          </cell>
          <cell r="I1055">
            <v>6</v>
          </cell>
          <cell r="J1055" t="str">
            <v>DropWizS</v>
          </cell>
          <cell r="K1055" t="str">
            <v>balance</v>
          </cell>
          <cell r="L1055" t="str">
            <v>バランスタイプ</v>
          </cell>
          <cell r="M1055" t="str">
            <v>god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demon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demon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demon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  <cell r="D1060" t="str">
            <v>イザナミ_分岐</v>
          </cell>
          <cell r="E1060" t="str">
            <v>執行者</v>
          </cell>
          <cell r="F1060" t="str">
            <v>格好いい</v>
          </cell>
          <cell r="G1060" t="str">
            <v>男性</v>
          </cell>
          <cell r="H1060" t="str">
            <v>green</v>
          </cell>
          <cell r="I1060">
            <v>4</v>
          </cell>
          <cell r="J1060" t="str">
            <v>Drop2N</v>
          </cell>
          <cell r="K1060" t="str">
            <v>balance</v>
          </cell>
          <cell r="L1060" t="str">
            <v>バランスタイプ</v>
          </cell>
          <cell r="M1060" t="str">
            <v>god</v>
          </cell>
        </row>
        <row r="1061">
          <cell r="A1061">
            <v>1060</v>
          </cell>
          <cell r="B1061" t="str">
            <v>ja</v>
          </cell>
          <cell r="C1061" t="str">
            <v>熱扇風の幼魔 パズズ</v>
          </cell>
          <cell r="D1061" t="str">
            <v>イザナミ_分岐</v>
          </cell>
          <cell r="E1061" t="str">
            <v>執行者</v>
          </cell>
          <cell r="F1061" t="str">
            <v>格好いい</v>
          </cell>
          <cell r="G1061" t="str">
            <v>男性</v>
          </cell>
          <cell r="H1061" t="str">
            <v>green</v>
          </cell>
          <cell r="I1061">
            <v>5</v>
          </cell>
          <cell r="J1061" t="str">
            <v>Drop2N</v>
          </cell>
          <cell r="K1061" t="str">
            <v>balance</v>
          </cell>
          <cell r="L1061" t="str">
            <v>バランスタイプ</v>
          </cell>
          <cell r="M1061" t="str">
            <v>god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  <cell r="D1062" t="str">
            <v>イザナミ_分岐</v>
          </cell>
          <cell r="E1062" t="str">
            <v>執行者</v>
          </cell>
          <cell r="F1062" t="str">
            <v>格好いい</v>
          </cell>
          <cell r="G1062" t="str">
            <v>男性</v>
          </cell>
          <cell r="H1062" t="str">
            <v>yellow</v>
          </cell>
          <cell r="I1062">
            <v>4</v>
          </cell>
          <cell r="J1062" t="str">
            <v>Drop2N</v>
          </cell>
          <cell r="K1062" t="str">
            <v>hp</v>
          </cell>
          <cell r="L1062" t="str">
            <v>体力タイプ</v>
          </cell>
          <cell r="M1062" t="str">
            <v>animal</v>
          </cell>
        </row>
        <row r="1063">
          <cell r="A1063">
            <v>1062</v>
          </cell>
          <cell r="B1063" t="str">
            <v>ja</v>
          </cell>
          <cell r="C1063" t="str">
            <v>停止不能の蛮躯 フンババ</v>
          </cell>
          <cell r="D1063" t="str">
            <v>イザナミ_分岐</v>
          </cell>
          <cell r="E1063" t="str">
            <v>執行者</v>
          </cell>
          <cell r="F1063" t="str">
            <v>格好いい</v>
          </cell>
          <cell r="G1063" t="str">
            <v>男性</v>
          </cell>
          <cell r="H1063" t="str">
            <v>yellow</v>
          </cell>
          <cell r="I1063">
            <v>5</v>
          </cell>
          <cell r="J1063" t="str">
            <v>Drop2N</v>
          </cell>
          <cell r="K1063" t="str">
            <v>hp</v>
          </cell>
          <cell r="L1063" t="str">
            <v>体力タイプ</v>
          </cell>
          <cell r="M1063" t="str">
            <v>animal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  <cell r="D1064" t="str">
            <v>イザナミ_分岐</v>
          </cell>
          <cell r="E1064" t="str">
            <v>執行者</v>
          </cell>
          <cell r="F1064" t="str">
            <v>格好いい</v>
          </cell>
          <cell r="G1064" t="str">
            <v>男性</v>
          </cell>
          <cell r="H1064" t="str">
            <v>blue</v>
          </cell>
          <cell r="I1064">
            <v>5</v>
          </cell>
          <cell r="J1064" t="str">
            <v>DropWizS</v>
          </cell>
          <cell r="K1064" t="str">
            <v>technical</v>
          </cell>
          <cell r="L1064" t="str">
            <v>テクニカルタイプ</v>
          </cell>
          <cell r="M1064" t="str">
            <v>god</v>
          </cell>
        </row>
        <row r="1065">
          <cell r="A1065">
            <v>1064</v>
          </cell>
          <cell r="B1065" t="str">
            <v>ja</v>
          </cell>
          <cell r="C1065" t="str">
            <v>混沌の猛飛沫 ティアマト</v>
          </cell>
          <cell r="D1065" t="str">
            <v>イザナミ_分岐</v>
          </cell>
          <cell r="E1065" t="str">
            <v>執行者</v>
          </cell>
          <cell r="F1065" t="str">
            <v>格好いい</v>
          </cell>
          <cell r="G1065" t="str">
            <v>男性</v>
          </cell>
          <cell r="H1065" t="str">
            <v>blue</v>
          </cell>
          <cell r="I1065">
            <v>6</v>
          </cell>
          <cell r="J1065" t="str">
            <v>DropWizS</v>
          </cell>
          <cell r="K1065" t="str">
            <v>technical</v>
          </cell>
          <cell r="L1065" t="str">
            <v>テクニカルタイプ</v>
          </cell>
          <cell r="M1065" t="str">
            <v>god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  <cell r="D1066" t="str">
            <v>イザナミ_分岐</v>
          </cell>
          <cell r="E1066" t="str">
            <v>執行者</v>
          </cell>
          <cell r="F1066" t="str">
            <v>格好いい</v>
          </cell>
          <cell r="G1066" t="str">
            <v>男性</v>
          </cell>
          <cell r="H1066" t="str">
            <v>red</v>
          </cell>
          <cell r="I1066">
            <v>5</v>
          </cell>
          <cell r="J1066" t="str">
            <v>DropWizSS</v>
          </cell>
          <cell r="K1066" t="str">
            <v>attack</v>
          </cell>
          <cell r="L1066" t="str">
            <v>攻撃タイプ</v>
          </cell>
          <cell r="M1066" t="str">
            <v>god</v>
          </cell>
        </row>
        <row r="1067">
          <cell r="A1067">
            <v>1066</v>
          </cell>
          <cell r="B1067" t="str">
            <v>ja</v>
          </cell>
          <cell r="C1067" t="str">
            <v>放縦の序獅子 ギルガメッシュ</v>
          </cell>
          <cell r="D1067" t="str">
            <v>イザナミ_分岐</v>
          </cell>
          <cell r="E1067" t="str">
            <v>執行者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6</v>
          </cell>
          <cell r="J1067" t="str">
            <v>DropWizSS</v>
          </cell>
          <cell r="K1067" t="str">
            <v>attack</v>
          </cell>
          <cell r="L1067" t="str">
            <v>攻撃タイプ</v>
          </cell>
          <cell r="M1067" t="str">
            <v>god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  <cell r="D1068" t="str">
            <v>イザナミ_分岐</v>
          </cell>
          <cell r="E1068" t="str">
            <v>執行者</v>
          </cell>
          <cell r="F1068" t="str">
            <v>格好いい</v>
          </cell>
          <cell r="G1068" t="str">
            <v>男性</v>
          </cell>
          <cell r="H1068" t="str">
            <v>red</v>
          </cell>
          <cell r="I1068">
            <v>4</v>
          </cell>
          <cell r="J1068" t="str">
            <v>PremiumS</v>
          </cell>
          <cell r="K1068" t="str">
            <v>balance</v>
          </cell>
          <cell r="L1068" t="str">
            <v>バランスタイプ</v>
          </cell>
          <cell r="M1068" t="str">
            <v>dragon</v>
          </cell>
        </row>
        <row r="1069">
          <cell r="A1069">
            <v>1068</v>
          </cell>
          <cell r="B1069" t="str">
            <v>ja</v>
          </cell>
          <cell r="C1069" t="str">
            <v>想母の羽龍 ウシュムガル</v>
          </cell>
          <cell r="D1069" t="str">
            <v>イザナミ_分岐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5</v>
          </cell>
          <cell r="J1069" t="str">
            <v>PremiumS</v>
          </cell>
          <cell r="K1069" t="str">
            <v>balance</v>
          </cell>
          <cell r="L1069" t="str">
            <v>バランスタイプ</v>
          </cell>
          <cell r="M1069" t="str">
            <v>dragon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  <cell r="D1070" t="str">
            <v>イザナミ_分岐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green</v>
          </cell>
          <cell r="I1070">
            <v>5</v>
          </cell>
          <cell r="J1070" t="str">
            <v>PremiumSS</v>
          </cell>
          <cell r="K1070" t="str">
            <v>technical</v>
          </cell>
          <cell r="L1070" t="str">
            <v>テクニカルタイプ</v>
          </cell>
          <cell r="M1070" t="str">
            <v>god</v>
          </cell>
        </row>
        <row r="1071">
          <cell r="A1071">
            <v>1070</v>
          </cell>
          <cell r="B1071" t="str">
            <v>ja</v>
          </cell>
          <cell r="C1071" t="str">
            <v>駆脳する造愛 イシュタル</v>
          </cell>
          <cell r="D1071" t="str">
            <v>イザナミ_分岐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green</v>
          </cell>
          <cell r="I1071">
            <v>6</v>
          </cell>
          <cell r="J1071" t="str">
            <v>PremiumSS</v>
          </cell>
          <cell r="K1071" t="str">
            <v>technical</v>
          </cell>
          <cell r="L1071" t="str">
            <v>テクニカルタイプ</v>
          </cell>
          <cell r="M1071" t="str">
            <v>god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  <cell r="D1072" t="str">
            <v>イザナミ_分岐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green</v>
          </cell>
          <cell r="I1072">
            <v>6</v>
          </cell>
          <cell r="J1072" t="str">
            <v>PremiumSS</v>
          </cell>
          <cell r="K1072" t="str">
            <v>attack</v>
          </cell>
          <cell r="L1072" t="str">
            <v>攻撃タイプ</v>
          </cell>
          <cell r="M1072" t="str">
            <v>god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  <cell r="D1073" t="str">
            <v>イザナミ_分岐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5</v>
          </cell>
          <cell r="J1073" t="str">
            <v>PremiumSSw</v>
          </cell>
          <cell r="K1073" t="str">
            <v>attack</v>
          </cell>
          <cell r="L1073" t="str">
            <v>攻撃タイプ</v>
          </cell>
          <cell r="M1073" t="str">
            <v>human</v>
          </cell>
        </row>
        <row r="1074">
          <cell r="A1074">
            <v>1073</v>
          </cell>
          <cell r="B1074" t="str">
            <v>ja</v>
          </cell>
          <cell r="C1074" t="str">
            <v>静穏なる獣勇 エンキドゥ</v>
          </cell>
          <cell r="D1074" t="str">
            <v>イザナミ_分岐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6</v>
          </cell>
          <cell r="J1074" t="str">
            <v>PremiumSSw</v>
          </cell>
          <cell r="K1074" t="str">
            <v>attack</v>
          </cell>
          <cell r="L1074" t="str">
            <v>攻撃タイプ</v>
          </cell>
          <cell r="M1074" t="str">
            <v>human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  <cell r="D1075" t="str">
            <v>イザナミ_分岐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yellow</v>
          </cell>
          <cell r="I1075">
            <v>5</v>
          </cell>
          <cell r="J1075" t="str">
            <v>PremiumSS</v>
          </cell>
          <cell r="K1075" t="str">
            <v>technical</v>
          </cell>
          <cell r="L1075" t="str">
            <v>テクニカルタイプ</v>
          </cell>
          <cell r="M1075" t="str">
            <v>god</v>
          </cell>
        </row>
        <row r="1076">
          <cell r="A1076">
            <v>1075</v>
          </cell>
          <cell r="B1076" t="str">
            <v>ja</v>
          </cell>
          <cell r="C1076" t="str">
            <v>虚塔の神王 マルドゥク</v>
          </cell>
          <cell r="D1076" t="str">
            <v>イザナミ_分岐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yellow</v>
          </cell>
          <cell r="I1076">
            <v>6</v>
          </cell>
          <cell r="J1076" t="str">
            <v>PremiumSS</v>
          </cell>
          <cell r="K1076" t="str">
            <v>technical</v>
          </cell>
          <cell r="L1076" t="str">
            <v>テクニカルタイプ</v>
          </cell>
          <cell r="M1076" t="str">
            <v>god</v>
          </cell>
        </row>
        <row r="1077">
          <cell r="A1077">
            <v>1076</v>
          </cell>
          <cell r="B1077" t="str">
            <v>ja</v>
          </cell>
          <cell r="C1077" t="str">
            <v>パレート</v>
          </cell>
          <cell r="D1077" t="str">
            <v>イザナミ_分岐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green</v>
          </cell>
          <cell r="I1077">
            <v>5</v>
          </cell>
          <cell r="J1077" t="str">
            <v>PremiumSSS</v>
          </cell>
          <cell r="K1077" t="str">
            <v>balance</v>
          </cell>
          <cell r="L1077" t="str">
            <v>バランスタイプ</v>
          </cell>
          <cell r="M1077" t="str">
            <v>academia</v>
          </cell>
        </row>
        <row r="1078">
          <cell r="A1078">
            <v>1077</v>
          </cell>
          <cell r="B1078" t="str">
            <v>ja</v>
          </cell>
          <cell r="C1078" t="str">
            <v>彩適な幸詠隊 パレート</v>
          </cell>
          <cell r="D1078" t="str">
            <v>イザナミ_分岐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green</v>
          </cell>
          <cell r="I1078">
            <v>6</v>
          </cell>
          <cell r="J1078" t="str">
            <v>PremiumSSS</v>
          </cell>
          <cell r="K1078" t="str">
            <v>balance</v>
          </cell>
          <cell r="L1078" t="str">
            <v>バランスタイプ</v>
          </cell>
          <cell r="M1078" t="str">
            <v>academia</v>
          </cell>
        </row>
        <row r="1079">
          <cell r="A1079">
            <v>1078</v>
          </cell>
          <cell r="B1079" t="str">
            <v>ja</v>
          </cell>
          <cell r="C1079" t="str">
            <v>パレート_分岐覚醒</v>
          </cell>
          <cell r="D1079" t="str">
            <v>イザナミ_分岐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green</v>
          </cell>
          <cell r="I1079">
            <v>6</v>
          </cell>
          <cell r="J1079" t="str">
            <v>PremiumSSS</v>
          </cell>
          <cell r="K1079" t="str">
            <v>technical</v>
          </cell>
          <cell r="L1079" t="str">
            <v>テクニカルタイプ</v>
          </cell>
          <cell r="M1079" t="str">
            <v>academia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  <cell r="D1080" t="str">
            <v>未定</v>
          </cell>
          <cell r="E1080" t="str">
            <v>アリス</v>
          </cell>
          <cell r="F1080" t="str">
            <v>世界観</v>
          </cell>
          <cell r="G1080" t="str">
            <v>不明</v>
          </cell>
          <cell r="H1080" t="str">
            <v>red</v>
          </cell>
          <cell r="I1080">
            <v>6</v>
          </cell>
          <cell r="J1080" t="str">
            <v>Material</v>
          </cell>
          <cell r="K1080" t="str">
            <v>exp</v>
          </cell>
          <cell r="L1080" t="str">
            <v>強化素材タイプ</v>
          </cell>
          <cell r="M1080" t="str">
            <v>unknown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  <cell r="D1081" t="str">
            <v>未定</v>
          </cell>
          <cell r="E1081" t="str">
            <v>アリス</v>
          </cell>
          <cell r="F1081" t="str">
            <v>世界観</v>
          </cell>
          <cell r="G1081" t="str">
            <v>不明</v>
          </cell>
          <cell r="H1081" t="str">
            <v>green</v>
          </cell>
          <cell r="I1081">
            <v>6</v>
          </cell>
          <cell r="J1081" t="str">
            <v>Material</v>
          </cell>
          <cell r="K1081" t="str">
            <v>exp</v>
          </cell>
          <cell r="L1081" t="str">
            <v>強化素材タイプ</v>
          </cell>
          <cell r="M1081" t="str">
            <v>unknown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  <cell r="D1082" t="str">
            <v>未定</v>
          </cell>
          <cell r="E1082" t="str">
            <v>アリス</v>
          </cell>
          <cell r="F1082" t="str">
            <v>世界観</v>
          </cell>
          <cell r="G1082" t="str">
            <v>不明</v>
          </cell>
          <cell r="H1082" t="str">
            <v>blue</v>
          </cell>
          <cell r="I1082">
            <v>6</v>
          </cell>
          <cell r="J1082" t="str">
            <v>Material</v>
          </cell>
          <cell r="K1082" t="str">
            <v>exp</v>
          </cell>
          <cell r="L1082" t="str">
            <v>強化素材タイプ</v>
          </cell>
          <cell r="M1082" t="str">
            <v>unknown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  <cell r="D1083" t="str">
            <v>未定</v>
          </cell>
          <cell r="E1083" t="str">
            <v>アリス</v>
          </cell>
          <cell r="F1083" t="str">
            <v>世界観</v>
          </cell>
          <cell r="G1083" t="str">
            <v>不明</v>
          </cell>
          <cell r="H1083" t="str">
            <v>yellow</v>
          </cell>
          <cell r="I1083">
            <v>6</v>
          </cell>
          <cell r="J1083" t="str">
            <v>Material</v>
          </cell>
          <cell r="K1083" t="str">
            <v>exp</v>
          </cell>
          <cell r="L1083" t="str">
            <v>強化素材タイプ</v>
          </cell>
          <cell r="M1083" t="str">
            <v>unknown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  <cell r="D1084" t="str">
            <v>未定</v>
          </cell>
          <cell r="E1084" t="str">
            <v>アリス</v>
          </cell>
          <cell r="F1084" t="str">
            <v>世界観</v>
          </cell>
          <cell r="G1084" t="str">
            <v>不明</v>
          </cell>
          <cell r="H1084" t="str">
            <v>yellow</v>
          </cell>
          <cell r="I1084">
            <v>5</v>
          </cell>
          <cell r="J1084" t="str">
            <v>PremiumSSS</v>
          </cell>
          <cell r="K1084" t="str">
            <v>technical</v>
          </cell>
          <cell r="L1084" t="str">
            <v>テクニカルタイプ</v>
          </cell>
          <cell r="M1084" t="str">
            <v>god</v>
          </cell>
        </row>
        <row r="1085">
          <cell r="A1085">
            <v>1084</v>
          </cell>
          <cell r="B1085" t="str">
            <v>ja</v>
          </cell>
          <cell r="C1085" t="str">
            <v>驚創する術想師  マジシャン</v>
          </cell>
          <cell r="D1085" t="str">
            <v>未定</v>
          </cell>
          <cell r="E1085" t="str">
            <v>アリス</v>
          </cell>
          <cell r="F1085" t="str">
            <v>世界観</v>
          </cell>
          <cell r="G1085" t="str">
            <v>不明</v>
          </cell>
          <cell r="H1085" t="str">
            <v>yellow</v>
          </cell>
          <cell r="I1085">
            <v>6</v>
          </cell>
          <cell r="J1085" t="str">
            <v>PremiumSSS</v>
          </cell>
          <cell r="K1085" t="str">
            <v>technical</v>
          </cell>
          <cell r="L1085" t="str">
            <v>テクニカルタイプ</v>
          </cell>
          <cell r="M1085" t="str">
            <v>god</v>
          </cell>
        </row>
        <row r="1086">
          <cell r="A1086">
            <v>1085</v>
          </cell>
          <cell r="B1086" t="str">
            <v>ja</v>
          </cell>
          <cell r="C1086" t="str">
            <v>ルメートル</v>
          </cell>
          <cell r="D1086" t="str">
            <v>未定</v>
          </cell>
          <cell r="E1086" t="str">
            <v>アリス</v>
          </cell>
          <cell r="F1086" t="str">
            <v>世界観</v>
          </cell>
          <cell r="G1086" t="str">
            <v>不明</v>
          </cell>
          <cell r="H1086" t="str">
            <v>green</v>
          </cell>
          <cell r="I1086">
            <v>5</v>
          </cell>
          <cell r="J1086" t="str">
            <v>PremiumSSS</v>
          </cell>
          <cell r="K1086" t="str">
            <v>technical</v>
          </cell>
          <cell r="L1086" t="str">
            <v>テクニカルタイプ</v>
          </cell>
          <cell r="M1086" t="str">
            <v>academia</v>
          </cell>
        </row>
        <row r="1087">
          <cell r="A1087">
            <v>1086</v>
          </cell>
          <cell r="B1087" t="str">
            <v>ja</v>
          </cell>
          <cell r="C1087" t="str">
            <v>宇宙の線術家 ルメートル</v>
          </cell>
          <cell r="D1087" t="str">
            <v>未定</v>
          </cell>
          <cell r="E1087" t="str">
            <v>アリス</v>
          </cell>
          <cell r="F1087" t="str">
            <v>世界観</v>
          </cell>
          <cell r="G1087" t="str">
            <v>不明</v>
          </cell>
          <cell r="H1087" t="str">
            <v>green</v>
          </cell>
          <cell r="I1087">
            <v>6</v>
          </cell>
          <cell r="J1087" t="str">
            <v>PremiumSSS</v>
          </cell>
          <cell r="K1087" t="str">
            <v>technical</v>
          </cell>
          <cell r="L1087" t="str">
            <v>テクニカルタイプ</v>
          </cell>
          <cell r="M1087" t="str">
            <v>academia</v>
          </cell>
        </row>
        <row r="1088">
          <cell r="A1088">
            <v>1087</v>
          </cell>
          <cell r="B1088" t="str">
            <v>ja</v>
          </cell>
          <cell r="C1088" t="str">
            <v>宇宙線の神業師 ルメートル</v>
          </cell>
          <cell r="D1088" t="str">
            <v>未定</v>
          </cell>
          <cell r="E1088" t="str">
            <v>アリス</v>
          </cell>
          <cell r="F1088" t="str">
            <v>世界観</v>
          </cell>
          <cell r="G1088" t="str">
            <v>不明</v>
          </cell>
          <cell r="H1088" t="str">
            <v>green</v>
          </cell>
          <cell r="I1088">
            <v>6</v>
          </cell>
          <cell r="J1088" t="str">
            <v>PremiumSSS</v>
          </cell>
          <cell r="K1088" t="str">
            <v>balance</v>
          </cell>
          <cell r="L1088" t="str">
            <v>バランスタイプ</v>
          </cell>
          <cell r="M1088" t="str">
            <v>academia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  <cell r="D1089" t="str">
            <v>未定</v>
          </cell>
          <cell r="E1089" t="str">
            <v>アリス</v>
          </cell>
          <cell r="F1089" t="str">
            <v>世界観</v>
          </cell>
          <cell r="G1089" t="str">
            <v>不明</v>
          </cell>
          <cell r="H1089" t="str">
            <v>green</v>
          </cell>
          <cell r="I1089">
            <v>5</v>
          </cell>
          <cell r="J1089" t="str">
            <v>DropWizS</v>
          </cell>
          <cell r="K1089" t="str">
            <v>technical</v>
          </cell>
          <cell r="L1089" t="str">
            <v>テクニカルタイプ</v>
          </cell>
          <cell r="M1089" t="str">
            <v>unknown</v>
          </cell>
        </row>
        <row r="1090">
          <cell r="A1090">
            <v>1089</v>
          </cell>
          <cell r="B1090" t="str">
            <v>ja</v>
          </cell>
          <cell r="C1090" t="str">
            <v>破壊の発誕 ミケランジェロ</v>
          </cell>
          <cell r="D1090" t="str">
            <v>未定</v>
          </cell>
          <cell r="E1090" t="str">
            <v>アリス</v>
          </cell>
          <cell r="F1090" t="str">
            <v>世界観</v>
          </cell>
          <cell r="G1090" t="str">
            <v>不明</v>
          </cell>
          <cell r="H1090" t="str">
            <v>green</v>
          </cell>
          <cell r="I1090">
            <v>6</v>
          </cell>
          <cell r="J1090" t="str">
            <v>DropWizS</v>
          </cell>
          <cell r="K1090" t="str">
            <v>technical</v>
          </cell>
          <cell r="L1090" t="str">
            <v>テクニカルタイプ</v>
          </cell>
          <cell r="M1090" t="str">
            <v>unknown</v>
          </cell>
        </row>
        <row r="1091">
          <cell r="A1091">
            <v>1090</v>
          </cell>
          <cell r="B1091" t="str">
            <v>ja</v>
          </cell>
          <cell r="C1091" t="str">
            <v>ラプラス</v>
          </cell>
          <cell r="D1091" t="str">
            <v>未定</v>
          </cell>
          <cell r="E1091" t="str">
            <v>アリス</v>
          </cell>
          <cell r="F1091" t="str">
            <v>世界観</v>
          </cell>
          <cell r="G1091" t="str">
            <v>不明</v>
          </cell>
          <cell r="H1091" t="str">
            <v>yellow</v>
          </cell>
          <cell r="I1091">
            <v>5</v>
          </cell>
          <cell r="J1091" t="str">
            <v>PremiumSSS</v>
          </cell>
          <cell r="K1091" t="str">
            <v>attack</v>
          </cell>
          <cell r="L1091" t="str">
            <v>攻撃タイプ</v>
          </cell>
          <cell r="M1091" t="str">
            <v>academia</v>
          </cell>
        </row>
        <row r="1092">
          <cell r="A1092">
            <v>1091</v>
          </cell>
          <cell r="B1092" t="str">
            <v>ja</v>
          </cell>
          <cell r="C1092" t="str">
            <v>予眼する魔姫 ラプラス</v>
          </cell>
          <cell r="D1092" t="str">
            <v>未定</v>
          </cell>
          <cell r="E1092" t="str">
            <v>アリス</v>
          </cell>
          <cell r="F1092" t="str">
            <v>世界観</v>
          </cell>
          <cell r="G1092" t="str">
            <v>不明</v>
          </cell>
          <cell r="H1092" t="str">
            <v>yellow</v>
          </cell>
          <cell r="I1092">
            <v>6</v>
          </cell>
          <cell r="J1092" t="str">
            <v>PremiumSSS</v>
          </cell>
          <cell r="K1092" t="str">
            <v>attack</v>
          </cell>
          <cell r="L1092" t="str">
            <v>攻撃タイプ</v>
          </cell>
          <cell r="M1092" t="str">
            <v>academia</v>
          </cell>
        </row>
        <row r="1093">
          <cell r="A1093">
            <v>1092</v>
          </cell>
          <cell r="B1093" t="str">
            <v>ja</v>
          </cell>
          <cell r="C1093" t="str">
            <v>究護の戦王子 レイヴン</v>
          </cell>
          <cell r="D1093" t="str">
            <v>未定</v>
          </cell>
          <cell r="E1093" t="str">
            <v>アリス</v>
          </cell>
          <cell r="F1093" t="str">
            <v>世界観</v>
          </cell>
          <cell r="G1093" t="str">
            <v>不明</v>
          </cell>
          <cell r="H1093" t="str">
            <v>green</v>
          </cell>
          <cell r="I1093">
            <v>6</v>
          </cell>
          <cell r="J1093" t="str">
            <v>PremiumSS</v>
          </cell>
          <cell r="K1093" t="str">
            <v>attack</v>
          </cell>
          <cell r="L1093" t="str">
            <v>攻撃タイプ</v>
          </cell>
          <cell r="M1093" t="str">
            <v>human</v>
          </cell>
        </row>
        <row r="1094">
          <cell r="A1094">
            <v>1093</v>
          </cell>
          <cell r="B1094" t="str">
            <v>ja</v>
          </cell>
          <cell r="C1094" t="str">
            <v>未定</v>
          </cell>
          <cell r="D1094" t="str">
            <v>未定</v>
          </cell>
          <cell r="E1094" t="str">
            <v>アリス</v>
          </cell>
          <cell r="F1094" t="str">
            <v>世界観</v>
          </cell>
          <cell r="G1094" t="str">
            <v>不明</v>
          </cell>
          <cell r="H1094" t="str">
            <v>yellow</v>
          </cell>
          <cell r="I1094">
            <v>6</v>
          </cell>
          <cell r="J1094" t="str">
            <v>DropWizS</v>
          </cell>
          <cell r="K1094" t="str">
            <v>attack</v>
          </cell>
          <cell r="L1094" t="str">
            <v>攻撃タイプ</v>
          </cell>
          <cell r="M1094" t="str">
            <v>unknown</v>
          </cell>
        </row>
        <row r="1095">
          <cell r="A1095">
            <v>1094</v>
          </cell>
          <cell r="B1095" t="str">
            <v>ja</v>
          </cell>
          <cell r="C1095" t="str">
            <v>メルクシャ</v>
          </cell>
          <cell r="D1095" t="str">
            <v>未定</v>
          </cell>
          <cell r="E1095" t="str">
            <v>アリス</v>
          </cell>
          <cell r="F1095" t="str">
            <v>世界観</v>
          </cell>
          <cell r="G1095" t="str">
            <v>不明</v>
          </cell>
          <cell r="H1095" t="str">
            <v>blue</v>
          </cell>
          <cell r="I1095">
            <v>4</v>
          </cell>
          <cell r="J1095" t="str">
            <v>Drop2N</v>
          </cell>
          <cell r="K1095" t="str">
            <v>technical</v>
          </cell>
          <cell r="L1095" t="str">
            <v>テクニカルタイプ</v>
          </cell>
          <cell r="M1095" t="str">
            <v>animal</v>
          </cell>
        </row>
        <row r="1096">
          <cell r="A1096">
            <v>1095</v>
          </cell>
          <cell r="B1096" t="str">
            <v>ja</v>
          </cell>
          <cell r="C1096" t="str">
            <v>誓愛の絵花 メルクシャ</v>
          </cell>
          <cell r="D1096" t="str">
            <v>未定</v>
          </cell>
          <cell r="E1096" t="str">
            <v>アリス</v>
          </cell>
          <cell r="F1096" t="str">
            <v>世界観</v>
          </cell>
          <cell r="G1096" t="str">
            <v>不明</v>
          </cell>
          <cell r="H1096" t="str">
            <v>blue</v>
          </cell>
          <cell r="I1096">
            <v>5</v>
          </cell>
          <cell r="J1096" t="str">
            <v>Drop2N</v>
          </cell>
          <cell r="K1096" t="str">
            <v>technical</v>
          </cell>
          <cell r="L1096" t="str">
            <v>テクニカルタイプ</v>
          </cell>
          <cell r="M1096" t="str">
            <v>animal</v>
          </cell>
        </row>
        <row r="1097">
          <cell r="A1097">
            <v>1096</v>
          </cell>
          <cell r="B1097" t="str">
            <v>ja</v>
          </cell>
          <cell r="C1097" t="str">
            <v>ジャ・リダルサ</v>
          </cell>
          <cell r="D1097" t="str">
            <v>未定</v>
          </cell>
          <cell r="E1097" t="str">
            <v>アリス</v>
          </cell>
          <cell r="F1097" t="str">
            <v>世界観</v>
          </cell>
          <cell r="G1097" t="str">
            <v>不明</v>
          </cell>
          <cell r="H1097" t="str">
            <v>red</v>
          </cell>
          <cell r="I1097">
            <v>4</v>
          </cell>
          <cell r="J1097" t="str">
            <v>Drop2N</v>
          </cell>
          <cell r="K1097" t="str">
            <v>technical</v>
          </cell>
          <cell r="L1097" t="str">
            <v>テクニカルタイプ</v>
          </cell>
          <cell r="M1097" t="str">
            <v>unknown</v>
          </cell>
        </row>
        <row r="1098">
          <cell r="A1098">
            <v>1097</v>
          </cell>
          <cell r="B1098" t="str">
            <v>ja</v>
          </cell>
          <cell r="C1098" t="str">
            <v>超現実才奇 ジャ・リダルサ</v>
          </cell>
          <cell r="D1098" t="str">
            <v>未定</v>
          </cell>
          <cell r="E1098" t="str">
            <v>アリス</v>
          </cell>
          <cell r="F1098" t="str">
            <v>世界観</v>
          </cell>
          <cell r="G1098" t="str">
            <v>不明</v>
          </cell>
          <cell r="H1098" t="str">
            <v>red</v>
          </cell>
          <cell r="I1098">
            <v>5</v>
          </cell>
          <cell r="J1098" t="str">
            <v>Drop2N</v>
          </cell>
          <cell r="K1098" t="str">
            <v>technical</v>
          </cell>
          <cell r="L1098" t="str">
            <v>テクニカルタイプ</v>
          </cell>
          <cell r="M1098" t="str">
            <v>unknown</v>
          </cell>
        </row>
        <row r="1099">
          <cell r="A1099">
            <v>1098</v>
          </cell>
          <cell r="B1099" t="str">
            <v>ja</v>
          </cell>
          <cell r="C1099" t="str">
            <v>ルピカ</v>
          </cell>
          <cell r="D1099" t="str">
            <v>未定</v>
          </cell>
          <cell r="E1099" t="str">
            <v>アリス</v>
          </cell>
          <cell r="F1099" t="str">
            <v>世界観</v>
          </cell>
          <cell r="G1099" t="str">
            <v>不明</v>
          </cell>
          <cell r="H1099" t="str">
            <v>yellow</v>
          </cell>
          <cell r="I1099">
            <v>5</v>
          </cell>
          <cell r="J1099" t="str">
            <v>DropWizS</v>
          </cell>
          <cell r="K1099" t="str">
            <v>technical</v>
          </cell>
          <cell r="L1099" t="str">
            <v>テクニカルタイプ</v>
          </cell>
          <cell r="M1099" t="str">
            <v>human</v>
          </cell>
        </row>
        <row r="1100">
          <cell r="A1100">
            <v>1099</v>
          </cell>
          <cell r="B1100" t="str">
            <v>ja</v>
          </cell>
          <cell r="C1100" t="str">
            <v>破築の連創 ルピカ</v>
          </cell>
          <cell r="D1100" t="str">
            <v>未定</v>
          </cell>
          <cell r="E1100" t="str">
            <v>アリス</v>
          </cell>
          <cell r="F1100" t="str">
            <v>世界観</v>
          </cell>
          <cell r="G1100" t="str">
            <v>不明</v>
          </cell>
          <cell r="H1100" t="str">
            <v>yellow</v>
          </cell>
          <cell r="I1100">
            <v>6</v>
          </cell>
          <cell r="J1100" t="str">
            <v>DropWizS</v>
          </cell>
          <cell r="K1100" t="str">
            <v>technical</v>
          </cell>
          <cell r="L1100" t="str">
            <v>テクニカルタイプ</v>
          </cell>
          <cell r="M1100" t="str">
            <v>human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  <cell r="D1101" t="str">
            <v>未定</v>
          </cell>
          <cell r="E1101" t="str">
            <v>アリス</v>
          </cell>
          <cell r="F1101" t="str">
            <v>世界観</v>
          </cell>
          <cell r="G1101" t="str">
            <v>不明</v>
          </cell>
          <cell r="H1101" t="str">
            <v>red</v>
          </cell>
          <cell r="I1101">
            <v>5</v>
          </cell>
          <cell r="J1101" t="str">
            <v>PremiumSS</v>
          </cell>
          <cell r="K1101" t="str">
            <v>attack</v>
          </cell>
          <cell r="L1101" t="str">
            <v>攻撃タイプ</v>
          </cell>
          <cell r="M1101" t="str">
            <v>human</v>
          </cell>
        </row>
        <row r="1102">
          <cell r="A1102">
            <v>1101</v>
          </cell>
          <cell r="B1102" t="str">
            <v>ja</v>
          </cell>
          <cell r="C1102" t="str">
            <v>浮世万物の筆刻者 北斎</v>
          </cell>
          <cell r="D1102" t="str">
            <v>未定</v>
          </cell>
          <cell r="E1102" t="str">
            <v>アリス</v>
          </cell>
          <cell r="F1102" t="str">
            <v>世界観</v>
          </cell>
          <cell r="G1102" t="str">
            <v>不明</v>
          </cell>
          <cell r="H1102" t="str">
            <v>red</v>
          </cell>
          <cell r="I1102">
            <v>6</v>
          </cell>
          <cell r="J1102" t="str">
            <v>PremiumSS</v>
          </cell>
          <cell r="K1102" t="str">
            <v>attack</v>
          </cell>
          <cell r="L1102" t="str">
            <v>攻撃タイプ</v>
          </cell>
          <cell r="M1102" t="str">
            <v>human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  <cell r="D1103" t="str">
            <v>未定</v>
          </cell>
          <cell r="E1103" t="str">
            <v>アリス</v>
          </cell>
          <cell r="F1103" t="str">
            <v>世界観</v>
          </cell>
          <cell r="G1103" t="str">
            <v>不明</v>
          </cell>
          <cell r="H1103" t="str">
            <v>green</v>
          </cell>
          <cell r="I1103">
            <v>5</v>
          </cell>
          <cell r="J1103" t="str">
            <v>PremiumSSw</v>
          </cell>
          <cell r="K1103" t="str">
            <v>balance</v>
          </cell>
          <cell r="L1103" t="str">
            <v>バランスタイプ</v>
          </cell>
          <cell r="M1103" t="str">
            <v>animal</v>
          </cell>
        </row>
        <row r="1104">
          <cell r="A1104">
            <v>1103</v>
          </cell>
          <cell r="B1104" t="str">
            <v>ja</v>
          </cell>
          <cell r="C1104" t="str">
            <v>舞台裏の鼠展 ドガ</v>
          </cell>
          <cell r="D1104" t="str">
            <v>未定</v>
          </cell>
          <cell r="E1104" t="str">
            <v>アリス</v>
          </cell>
          <cell r="F1104" t="str">
            <v>世界観</v>
          </cell>
          <cell r="G1104" t="str">
            <v>不明</v>
          </cell>
          <cell r="H1104" t="str">
            <v>green</v>
          </cell>
          <cell r="I1104">
            <v>6</v>
          </cell>
          <cell r="J1104" t="str">
            <v>PremiumSSw</v>
          </cell>
          <cell r="K1104" t="str">
            <v>balance</v>
          </cell>
          <cell r="L1104" t="str">
            <v>バランスタイプ</v>
          </cell>
          <cell r="M1104" t="str">
            <v>animal</v>
          </cell>
        </row>
        <row r="1105">
          <cell r="A1105">
            <v>1104</v>
          </cell>
          <cell r="B1105" t="str">
            <v>ja</v>
          </cell>
          <cell r="C1105" t="str">
            <v>クリムト</v>
          </cell>
          <cell r="D1105" t="str">
            <v>未定</v>
          </cell>
          <cell r="E1105" t="str">
            <v>アリス</v>
          </cell>
          <cell r="F1105" t="str">
            <v>世界観</v>
          </cell>
          <cell r="G1105" t="str">
            <v>不明</v>
          </cell>
          <cell r="H1105" t="str">
            <v>blue</v>
          </cell>
          <cell r="I1105">
            <v>4</v>
          </cell>
          <cell r="J1105" t="str">
            <v>PremiumS</v>
          </cell>
          <cell r="K1105" t="str">
            <v>technical</v>
          </cell>
          <cell r="L1105" t="str">
            <v>テクニカルタイプ</v>
          </cell>
          <cell r="M1105" t="str">
            <v>human</v>
          </cell>
        </row>
        <row r="1106">
          <cell r="A1106">
            <v>1105</v>
          </cell>
          <cell r="B1106" t="str">
            <v>ja</v>
          </cell>
          <cell r="C1106" t="str">
            <v>甘美なる背徳 クリムト</v>
          </cell>
          <cell r="D1106" t="str">
            <v>未定</v>
          </cell>
          <cell r="E1106" t="str">
            <v>アリス</v>
          </cell>
          <cell r="F1106" t="str">
            <v>世界観</v>
          </cell>
          <cell r="G1106" t="str">
            <v>不明</v>
          </cell>
          <cell r="H1106" t="str">
            <v>blue</v>
          </cell>
          <cell r="I1106">
            <v>5</v>
          </cell>
          <cell r="J1106" t="str">
            <v>PremiumS</v>
          </cell>
          <cell r="K1106" t="str">
            <v>technical</v>
          </cell>
          <cell r="L1106" t="str">
            <v>テクニカルタイプ</v>
          </cell>
          <cell r="M1106" t="str">
            <v>human</v>
          </cell>
        </row>
        <row r="1107">
          <cell r="A1107">
            <v>1106</v>
          </cell>
          <cell r="B1107" t="str">
            <v>ja</v>
          </cell>
          <cell r="C1107" t="str">
            <v>ラファエロ</v>
          </cell>
          <cell r="D1107" t="str">
            <v>未定</v>
          </cell>
          <cell r="E1107" t="str">
            <v>アリス</v>
          </cell>
          <cell r="F1107" t="str">
            <v>世界観</v>
          </cell>
          <cell r="G1107" t="str">
            <v>不明</v>
          </cell>
          <cell r="H1107" t="str">
            <v>yellow</v>
          </cell>
          <cell r="I1107">
            <v>5</v>
          </cell>
          <cell r="J1107" t="str">
            <v>PremiumSS</v>
          </cell>
          <cell r="K1107" t="str">
            <v>attack</v>
          </cell>
          <cell r="L1107" t="str">
            <v>攻撃タイプ</v>
          </cell>
          <cell r="M1107" t="str">
            <v>human</v>
          </cell>
        </row>
        <row r="1108">
          <cell r="A1108">
            <v>1107</v>
          </cell>
          <cell r="B1108" t="str">
            <v>ja</v>
          </cell>
          <cell r="C1108" t="str">
            <v>天浄の鮮風 ラファエロ</v>
          </cell>
          <cell r="D1108" t="str">
            <v>未定</v>
          </cell>
          <cell r="E1108" t="str">
            <v>アリス</v>
          </cell>
          <cell r="F1108" t="str">
            <v>世界観</v>
          </cell>
          <cell r="G1108" t="str">
            <v>不明</v>
          </cell>
          <cell r="H1108" t="str">
            <v>yellow</v>
          </cell>
          <cell r="I1108">
            <v>6</v>
          </cell>
          <cell r="J1108" t="str">
            <v>PremiumSS</v>
          </cell>
          <cell r="K1108" t="str">
            <v>attack</v>
          </cell>
          <cell r="L1108" t="str">
            <v>攻撃タイプ</v>
          </cell>
          <cell r="M1108" t="str">
            <v>human</v>
          </cell>
        </row>
        <row r="1109">
          <cell r="A1109">
            <v>1108</v>
          </cell>
          <cell r="B1109" t="str">
            <v>ja</v>
          </cell>
          <cell r="C1109" t="str">
            <v>交鏡の光波 フレネル</v>
          </cell>
          <cell r="D1109" t="str">
            <v>未定</v>
          </cell>
          <cell r="E1109" t="str">
            <v>アリス</v>
          </cell>
          <cell r="F1109" t="str">
            <v>世界観</v>
          </cell>
          <cell r="G1109" t="str">
            <v>不明</v>
          </cell>
          <cell r="H1109" t="str">
            <v>yellow</v>
          </cell>
          <cell r="I1109">
            <v>6</v>
          </cell>
          <cell r="J1109" t="str">
            <v>PremiumSSS</v>
          </cell>
          <cell r="K1109" t="str">
            <v>attack</v>
          </cell>
          <cell r="L1109" t="str">
            <v>攻撃タイプ</v>
          </cell>
          <cell r="M1109" t="str">
            <v>academia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  <cell r="D1110" t="str">
            <v>未定</v>
          </cell>
          <cell r="E1110" t="str">
            <v>アリス</v>
          </cell>
          <cell r="F1110" t="str">
            <v>世界観</v>
          </cell>
          <cell r="G1110" t="str">
            <v>不明</v>
          </cell>
          <cell r="H1110" t="str">
            <v>red</v>
          </cell>
          <cell r="I1110">
            <v>5</v>
          </cell>
          <cell r="J1110" t="str">
            <v>PremiumSSS</v>
          </cell>
          <cell r="K1110" t="str">
            <v>technical</v>
          </cell>
          <cell r="L1110" t="str">
            <v>テクニカルタイプ</v>
          </cell>
          <cell r="M1110" t="str">
            <v>academia</v>
          </cell>
        </row>
        <row r="1111">
          <cell r="A1111">
            <v>1110</v>
          </cell>
          <cell r="B1111" t="str">
            <v>ja</v>
          </cell>
          <cell r="C1111" t="str">
            <v>天竄の炎斬式 セキ</v>
          </cell>
          <cell r="D1111" t="str">
            <v>未定</v>
          </cell>
          <cell r="E1111" t="str">
            <v>アリス</v>
          </cell>
          <cell r="F1111" t="str">
            <v>世界観</v>
          </cell>
          <cell r="G1111" t="str">
            <v>不明</v>
          </cell>
          <cell r="H1111" t="str">
            <v>red</v>
          </cell>
          <cell r="I1111">
            <v>6</v>
          </cell>
          <cell r="J1111" t="str">
            <v>PremiumSSS</v>
          </cell>
          <cell r="K1111" t="str">
            <v>technical</v>
          </cell>
          <cell r="L1111" t="str">
            <v>テクニカルタイプ</v>
          </cell>
          <cell r="M1111" t="str">
            <v>academia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  <cell r="D1112" t="str">
            <v>未定</v>
          </cell>
          <cell r="E1112" t="str">
            <v>アリス</v>
          </cell>
          <cell r="F1112" t="str">
            <v>世界観</v>
          </cell>
          <cell r="G1112" t="str">
            <v>不明</v>
          </cell>
          <cell r="H1112" t="str">
            <v>blue</v>
          </cell>
          <cell r="I1112">
            <v>5</v>
          </cell>
          <cell r="J1112" t="str">
            <v>PremiumSSS</v>
          </cell>
          <cell r="K1112" t="str">
            <v>attack</v>
          </cell>
          <cell r="L1112" t="str">
            <v>攻撃タイプ</v>
          </cell>
          <cell r="M1112" t="str">
            <v>academia</v>
          </cell>
        </row>
        <row r="1113">
          <cell r="A1113">
            <v>1112</v>
          </cell>
          <cell r="B1113" t="str">
            <v>ja</v>
          </cell>
          <cell r="C1113" t="str">
            <v>正統なる傑晶 ウィグナー</v>
          </cell>
          <cell r="D1113" t="str">
            <v>未定</v>
          </cell>
          <cell r="E1113" t="str">
            <v>アリス</v>
          </cell>
          <cell r="F1113" t="str">
            <v>世界観</v>
          </cell>
          <cell r="G1113" t="str">
            <v>不明</v>
          </cell>
          <cell r="H1113" t="str">
            <v>blue</v>
          </cell>
          <cell r="I1113">
            <v>6</v>
          </cell>
          <cell r="J1113" t="str">
            <v>PremiumSSS</v>
          </cell>
          <cell r="K1113" t="str">
            <v>attack</v>
          </cell>
          <cell r="L1113" t="str">
            <v>攻撃タイプ</v>
          </cell>
          <cell r="M1113" t="str">
            <v>academia</v>
          </cell>
        </row>
        <row r="1114">
          <cell r="A1114">
            <v>1113</v>
          </cell>
          <cell r="B1114" t="str">
            <v>ja</v>
          </cell>
          <cell r="C1114" t="str">
            <v>聖結たる輝晶獣 ウィグナー</v>
          </cell>
          <cell r="D1114" t="str">
            <v>未定</v>
          </cell>
          <cell r="E1114" t="str">
            <v>アリス</v>
          </cell>
          <cell r="F1114" t="str">
            <v>世界観</v>
          </cell>
          <cell r="G1114" t="str">
            <v>不明</v>
          </cell>
          <cell r="H1114" t="str">
            <v>blue</v>
          </cell>
          <cell r="I1114">
            <v>6</v>
          </cell>
          <cell r="J1114" t="str">
            <v>PremiumSSS</v>
          </cell>
          <cell r="K1114" t="str">
            <v>balance</v>
          </cell>
          <cell r="L1114" t="str">
            <v>バランスタイプ</v>
          </cell>
          <cell r="M1114" t="str">
            <v>academia</v>
          </cell>
        </row>
        <row r="1115">
          <cell r="A1115">
            <v>1114</v>
          </cell>
          <cell r="B1115" t="str">
            <v>ja</v>
          </cell>
          <cell r="C1115" t="str">
            <v>ボナンザ</v>
          </cell>
          <cell r="D1115" t="str">
            <v>未定</v>
          </cell>
          <cell r="E1115" t="str">
            <v>アリス</v>
          </cell>
          <cell r="F1115" t="str">
            <v>世界観</v>
          </cell>
          <cell r="G1115" t="str">
            <v>不明</v>
          </cell>
          <cell r="H1115" t="str">
            <v>green</v>
          </cell>
          <cell r="I1115">
            <v>5</v>
          </cell>
          <cell r="J1115" t="str">
            <v>DropWizSSS</v>
          </cell>
          <cell r="K1115" t="str">
            <v>technical</v>
          </cell>
          <cell r="L1115" t="str">
            <v>テクニカルタイプ</v>
          </cell>
          <cell r="M1115" t="str">
            <v>queen</v>
          </cell>
        </row>
        <row r="1116">
          <cell r="A1116">
            <v>1115</v>
          </cell>
          <cell r="B1116" t="str">
            <v>ja</v>
          </cell>
          <cell r="C1116" t="str">
            <v>アヴァルシアの女王 ボナンザ</v>
          </cell>
          <cell r="D1116" t="str">
            <v>未定</v>
          </cell>
          <cell r="E1116" t="str">
            <v>アリス</v>
          </cell>
          <cell r="F1116" t="str">
            <v>世界観</v>
          </cell>
          <cell r="G1116" t="str">
            <v>不明</v>
          </cell>
          <cell r="H1116" t="str">
            <v>green</v>
          </cell>
          <cell r="I1116">
            <v>6</v>
          </cell>
          <cell r="J1116" t="str">
            <v>DropWizSSS</v>
          </cell>
          <cell r="K1116" t="str">
            <v>technical</v>
          </cell>
          <cell r="L1116" t="str">
            <v>テクニカルタイプ</v>
          </cell>
          <cell r="M1116" t="str">
            <v>queen</v>
          </cell>
        </row>
        <row r="1117">
          <cell r="A1117">
            <v>1116</v>
          </cell>
          <cell r="B1117" t="str">
            <v>ja</v>
          </cell>
          <cell r="C1117" t="str">
            <v>天檄総氏神 アマテラス</v>
          </cell>
          <cell r="D1117" t="str">
            <v>未定</v>
          </cell>
          <cell r="E1117" t="str">
            <v>アリス</v>
          </cell>
          <cell r="F1117" t="str">
            <v>世界観</v>
          </cell>
          <cell r="G1117" t="str">
            <v>不明</v>
          </cell>
          <cell r="H1117" t="str">
            <v>red</v>
          </cell>
          <cell r="I1117">
            <v>6</v>
          </cell>
          <cell r="J1117" t="str">
            <v>DropWizS</v>
          </cell>
          <cell r="K1117" t="str">
            <v>attack</v>
          </cell>
          <cell r="L1117" t="str">
            <v>攻撃タイプ</v>
          </cell>
          <cell r="M1117" t="str">
            <v>god</v>
          </cell>
        </row>
        <row r="1118">
          <cell r="A1118">
            <v>1117</v>
          </cell>
          <cell r="B1118" t="str">
            <v>ja</v>
          </cell>
          <cell r="C1118" t="str">
            <v>凶天慟地の覇腕 アザゼル</v>
          </cell>
          <cell r="D1118" t="str">
            <v>未定</v>
          </cell>
          <cell r="E1118" t="str">
            <v>アリス</v>
          </cell>
          <cell r="F1118" t="str">
            <v>世界観</v>
          </cell>
          <cell r="G1118" t="str">
            <v>不明</v>
          </cell>
          <cell r="H1118" t="str">
            <v>green</v>
          </cell>
          <cell r="I1118">
            <v>6</v>
          </cell>
          <cell r="J1118" t="str">
            <v>DropWizS</v>
          </cell>
          <cell r="K1118" t="str">
            <v>technical</v>
          </cell>
          <cell r="L1118" t="str">
            <v>テクニカルタイプ</v>
          </cell>
          <cell r="M1118" t="str">
            <v>demon</v>
          </cell>
        </row>
        <row r="1119">
          <cell r="A1119">
            <v>1118</v>
          </cell>
          <cell r="B1119" t="str">
            <v>ja</v>
          </cell>
          <cell r="C1119" t="str">
            <v>超過速路の閃導者 ジャンヌ</v>
          </cell>
          <cell r="D1119" t="str">
            <v>未定</v>
          </cell>
          <cell r="E1119" t="str">
            <v>アリス</v>
          </cell>
          <cell r="F1119" t="str">
            <v>世界観</v>
          </cell>
          <cell r="G1119" t="str">
            <v>不明</v>
          </cell>
          <cell r="H1119" t="str">
            <v>blue</v>
          </cell>
          <cell r="I1119">
            <v>6</v>
          </cell>
          <cell r="J1119" t="str">
            <v>DropWizS</v>
          </cell>
          <cell r="K1119" t="str">
            <v>heal</v>
          </cell>
          <cell r="L1119" t="str">
            <v>回復タイプ</v>
          </cell>
          <cell r="M1119" t="str">
            <v>human</v>
          </cell>
        </row>
        <row r="1120">
          <cell r="A1120">
            <v>1119</v>
          </cell>
          <cell r="B1120" t="str">
            <v>ja</v>
          </cell>
          <cell r="C1120" t="str">
            <v>刹・廻天一流 宮本武蔵</v>
          </cell>
          <cell r="D1120" t="str">
            <v>未定</v>
          </cell>
          <cell r="E1120" t="str">
            <v>アリス</v>
          </cell>
          <cell r="F1120" t="str">
            <v>世界観</v>
          </cell>
          <cell r="G1120" t="str">
            <v>不明</v>
          </cell>
          <cell r="H1120" t="str">
            <v>yellow</v>
          </cell>
          <cell r="I1120">
            <v>6</v>
          </cell>
          <cell r="J1120" t="str">
            <v>DropWizS</v>
          </cell>
          <cell r="K1120" t="str">
            <v>attack</v>
          </cell>
          <cell r="L1120" t="str">
            <v>攻撃タイプ</v>
          </cell>
          <cell r="M1120" t="str">
            <v>human</v>
          </cell>
        </row>
        <row r="1121">
          <cell r="A1121">
            <v>1120</v>
          </cell>
          <cell r="B1121" t="str">
            <v>ja</v>
          </cell>
          <cell r="C1121" t="str">
            <v>四聖猛煌の皇獣 麒麟</v>
          </cell>
          <cell r="D1121" t="str">
            <v>未定</v>
          </cell>
          <cell r="E1121" t="str">
            <v>アリス</v>
          </cell>
          <cell r="F1121" t="str">
            <v>世界観</v>
          </cell>
          <cell r="G1121" t="str">
            <v>不明</v>
          </cell>
          <cell r="H1121" t="str">
            <v>yellow</v>
          </cell>
          <cell r="I1121">
            <v>6</v>
          </cell>
          <cell r="J1121" t="str">
            <v>DropWizSS</v>
          </cell>
          <cell r="K1121" t="str">
            <v>attack</v>
          </cell>
          <cell r="L1121" t="str">
            <v>攻撃タイプ</v>
          </cell>
          <cell r="M1121" t="str">
            <v>god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  <cell r="D1122" t="str">
            <v>未定</v>
          </cell>
          <cell r="E1122" t="str">
            <v>アリス</v>
          </cell>
          <cell r="F1122" t="str">
            <v>世界観</v>
          </cell>
          <cell r="G1122" t="str">
            <v>不明</v>
          </cell>
          <cell r="H1122" t="str">
            <v>green</v>
          </cell>
          <cell r="I1122">
            <v>6</v>
          </cell>
          <cell r="J1122" t="str">
            <v>PremiumSSS</v>
          </cell>
          <cell r="K1122" t="str">
            <v>balance</v>
          </cell>
          <cell r="L1122" t="str">
            <v>バランスタイプ</v>
          </cell>
          <cell r="M1122" t="str">
            <v>academia</v>
          </cell>
        </row>
        <row r="1123">
          <cell r="A1123">
            <v>1122</v>
          </cell>
          <cell r="B1123" t="str">
            <v>ja</v>
          </cell>
          <cell r="C1123" t="str">
            <v>不可能性の現翼 メビウス</v>
          </cell>
          <cell r="D1123" t="str">
            <v>未定</v>
          </cell>
          <cell r="E1123" t="str">
            <v>アリス</v>
          </cell>
          <cell r="F1123" t="str">
            <v>世界観</v>
          </cell>
          <cell r="G1123" t="str">
            <v>不明</v>
          </cell>
          <cell r="H1123" t="str">
            <v>blue</v>
          </cell>
          <cell r="I1123">
            <v>6</v>
          </cell>
          <cell r="J1123" t="str">
            <v>PremiumSSS</v>
          </cell>
          <cell r="K1123" t="str">
            <v>balance</v>
          </cell>
          <cell r="L1123" t="str">
            <v>バランスタイプ</v>
          </cell>
          <cell r="M1123" t="str">
            <v>academia</v>
          </cell>
        </row>
        <row r="1124">
          <cell r="A1124">
            <v>1123</v>
          </cell>
          <cell r="B1124" t="str">
            <v>ja</v>
          </cell>
          <cell r="C1124" t="str">
            <v>舞降りし綺鏡羽 ブール</v>
          </cell>
          <cell r="D1124" t="str">
            <v>未定</v>
          </cell>
          <cell r="E1124" t="str">
            <v>アリス</v>
          </cell>
          <cell r="F1124" t="str">
            <v>世界観</v>
          </cell>
          <cell r="G1124" t="str">
            <v>不明</v>
          </cell>
          <cell r="H1124" t="str">
            <v>blue</v>
          </cell>
          <cell r="I1124">
            <v>6</v>
          </cell>
          <cell r="J1124" t="str">
            <v>PremiumSSS</v>
          </cell>
          <cell r="K1124" t="str">
            <v>balance</v>
          </cell>
          <cell r="L1124" t="str">
            <v>バランスタイプ</v>
          </cell>
          <cell r="M1124" t="str">
            <v>academia</v>
          </cell>
        </row>
        <row r="1125">
          <cell r="A1125">
            <v>1124</v>
          </cell>
          <cell r="B1125" t="str">
            <v>ja</v>
          </cell>
          <cell r="C1125" t="str">
            <v>超絶界析 ラグランジュ</v>
          </cell>
          <cell r="D1125" t="str">
            <v>未定</v>
          </cell>
          <cell r="E1125" t="str">
            <v>アリス</v>
          </cell>
          <cell r="F1125" t="str">
            <v>世界観</v>
          </cell>
          <cell r="G1125" t="str">
            <v>不明</v>
          </cell>
          <cell r="H1125" t="str">
            <v>red</v>
          </cell>
          <cell r="I1125">
            <v>6</v>
          </cell>
          <cell r="J1125" t="str">
            <v>PremiumSSS</v>
          </cell>
          <cell r="K1125" t="str">
            <v>technical</v>
          </cell>
          <cell r="L1125" t="str">
            <v>テクニカルタイプ</v>
          </cell>
          <cell r="M1125" t="str">
            <v>academia</v>
          </cell>
        </row>
        <row r="1126">
          <cell r="A1126">
            <v>1125</v>
          </cell>
          <cell r="B1126" t="str">
            <v>ja</v>
          </cell>
          <cell r="C1126" t="str">
            <v>累々たる世解 シュレディンガー</v>
          </cell>
          <cell r="D1126" t="str">
            <v>未定</v>
          </cell>
          <cell r="E1126" t="str">
            <v>アリス</v>
          </cell>
          <cell r="F1126" t="str">
            <v>世界観</v>
          </cell>
          <cell r="G1126" t="str">
            <v>不明</v>
          </cell>
          <cell r="H1126" t="str">
            <v>red</v>
          </cell>
          <cell r="I1126">
            <v>6</v>
          </cell>
          <cell r="J1126" t="str">
            <v>PremiumSSS</v>
          </cell>
          <cell r="K1126" t="str">
            <v>technical</v>
          </cell>
          <cell r="L1126" t="str">
            <v>テクニカルタイプ</v>
          </cell>
          <cell r="M1126" t="str">
            <v>academia</v>
          </cell>
        </row>
        <row r="1127">
          <cell r="A1127">
            <v>1126</v>
          </cell>
          <cell r="B1127" t="str">
            <v>ja</v>
          </cell>
          <cell r="C1127" t="str">
            <v>最終焉算の鋼砲 チューリング</v>
          </cell>
          <cell r="D1127" t="str">
            <v>未定</v>
          </cell>
          <cell r="E1127" t="str">
            <v>アリス</v>
          </cell>
          <cell r="F1127" t="str">
            <v>世界観</v>
          </cell>
          <cell r="G1127" t="str">
            <v>不明</v>
          </cell>
          <cell r="H1127" t="str">
            <v>green</v>
          </cell>
          <cell r="I1127">
            <v>6</v>
          </cell>
          <cell r="J1127" t="str">
            <v>PremiumSSS</v>
          </cell>
          <cell r="K1127" t="str">
            <v>hp</v>
          </cell>
          <cell r="L1127" t="str">
            <v>体力タイプ</v>
          </cell>
          <cell r="M1127" t="str">
            <v>academia</v>
          </cell>
        </row>
        <row r="1128">
          <cell r="A1128">
            <v>1127</v>
          </cell>
          <cell r="B1128" t="str">
            <v>ja</v>
          </cell>
          <cell r="C1128" t="str">
            <v>真蒼導く対偶 ヘンペル</v>
          </cell>
          <cell r="D1128" t="str">
            <v>未定</v>
          </cell>
          <cell r="E1128" t="str">
            <v>アリス</v>
          </cell>
          <cell r="F1128" t="str">
            <v>世界観</v>
          </cell>
          <cell r="G1128" t="str">
            <v>不明</v>
          </cell>
          <cell r="H1128" t="str">
            <v>blue</v>
          </cell>
          <cell r="I1128">
            <v>6</v>
          </cell>
          <cell r="J1128" t="str">
            <v>PremiumSSS</v>
          </cell>
          <cell r="K1128" t="str">
            <v>attack</v>
          </cell>
          <cell r="L1128" t="str">
            <v>攻撃タイプ</v>
          </cell>
          <cell r="M1128" t="str">
            <v>academia</v>
          </cell>
        </row>
        <row r="1129">
          <cell r="A1129">
            <v>1128</v>
          </cell>
          <cell r="B1129" t="str">
            <v>ja</v>
          </cell>
          <cell r="C1129" t="str">
            <v>宇宙天紡の星明 ハップル</v>
          </cell>
          <cell r="D1129" t="str">
            <v>未定</v>
          </cell>
          <cell r="E1129" t="str">
            <v>アリス</v>
          </cell>
          <cell r="F1129" t="str">
            <v>世界観</v>
          </cell>
          <cell r="G1129" t="str">
            <v>不明</v>
          </cell>
          <cell r="H1129" t="str">
            <v>yellow</v>
          </cell>
          <cell r="I1129">
            <v>6</v>
          </cell>
          <cell r="J1129" t="str">
            <v>PremiumSSS</v>
          </cell>
          <cell r="K1129" t="str">
            <v>technical</v>
          </cell>
          <cell r="L1129" t="str">
            <v>テクニカルタイプ</v>
          </cell>
          <cell r="M1129" t="str">
            <v>academia</v>
          </cell>
        </row>
        <row r="1130">
          <cell r="A1130">
            <v>1129</v>
          </cell>
          <cell r="B1130" t="str">
            <v>ja</v>
          </cell>
          <cell r="C1130" t="str">
            <v>赤兎馬</v>
          </cell>
          <cell r="D1130" t="str">
            <v>未定</v>
          </cell>
          <cell r="E1130" t="str">
            <v>アリス</v>
          </cell>
          <cell r="F1130" t="str">
            <v>世界観</v>
          </cell>
          <cell r="G1130" t="str">
            <v>不明</v>
          </cell>
          <cell r="H1130" t="str">
            <v>red</v>
          </cell>
          <cell r="I1130">
            <v>4</v>
          </cell>
          <cell r="J1130" t="str">
            <v>Drop2N</v>
          </cell>
          <cell r="K1130" t="str">
            <v>attack</v>
          </cell>
          <cell r="L1130" t="str">
            <v>攻撃タイプ</v>
          </cell>
          <cell r="M1130" t="str">
            <v>animal</v>
          </cell>
        </row>
        <row r="1131">
          <cell r="A1131">
            <v>1130</v>
          </cell>
          <cell r="B1131" t="str">
            <v>ja</v>
          </cell>
          <cell r="C1131" t="str">
            <v>紅鋼の疾躁獣 赤兎馬</v>
          </cell>
          <cell r="D1131" t="str">
            <v>未定</v>
          </cell>
          <cell r="E1131" t="str">
            <v>アリス</v>
          </cell>
          <cell r="F1131" t="str">
            <v>世界観</v>
          </cell>
          <cell r="G1131" t="str">
            <v>不明</v>
          </cell>
          <cell r="H1131" t="str">
            <v>red</v>
          </cell>
          <cell r="I1131">
            <v>5</v>
          </cell>
          <cell r="J1131" t="str">
            <v>Drop2N</v>
          </cell>
          <cell r="K1131" t="str">
            <v>attack</v>
          </cell>
          <cell r="L1131" t="str">
            <v>攻撃タイプ</v>
          </cell>
          <cell r="M1131" t="str">
            <v>animal</v>
          </cell>
        </row>
        <row r="1132">
          <cell r="A1132">
            <v>1131</v>
          </cell>
          <cell r="B1132" t="str">
            <v>ja</v>
          </cell>
          <cell r="C1132" t="str">
            <v>董卓</v>
          </cell>
          <cell r="D1132" t="str">
            <v>未定</v>
          </cell>
          <cell r="E1132" t="str">
            <v>アリス</v>
          </cell>
          <cell r="F1132" t="str">
            <v>世界観</v>
          </cell>
          <cell r="G1132" t="str">
            <v>不明</v>
          </cell>
          <cell r="H1132" t="str">
            <v>green</v>
          </cell>
          <cell r="I1132">
            <v>5</v>
          </cell>
          <cell r="J1132" t="str">
            <v>DropWizS</v>
          </cell>
          <cell r="K1132" t="str">
            <v>hp</v>
          </cell>
          <cell r="L1132" t="str">
            <v>体力タイプ</v>
          </cell>
          <cell r="M1132" t="str">
            <v>samurai</v>
          </cell>
        </row>
        <row r="1133">
          <cell r="A1133">
            <v>1132</v>
          </cell>
          <cell r="B1133" t="str">
            <v>ja</v>
          </cell>
          <cell r="C1133" t="str">
            <v>偏執なる狂騒君 董卓</v>
          </cell>
          <cell r="D1133" t="str">
            <v>未定</v>
          </cell>
          <cell r="E1133" t="str">
            <v>アリス</v>
          </cell>
          <cell r="F1133" t="str">
            <v>世界観</v>
          </cell>
          <cell r="G1133" t="str">
            <v>不明</v>
          </cell>
          <cell r="H1133" t="str">
            <v>green</v>
          </cell>
          <cell r="I1133">
            <v>6</v>
          </cell>
          <cell r="J1133" t="str">
            <v>DropWizS</v>
          </cell>
          <cell r="K1133" t="str">
            <v>hp</v>
          </cell>
          <cell r="L1133" t="str">
            <v>体力タイプ</v>
          </cell>
          <cell r="M1133" t="str">
            <v>samurai</v>
          </cell>
        </row>
        <row r="1134">
          <cell r="A1134">
            <v>1133</v>
          </cell>
          <cell r="B1134" t="str">
            <v>ja</v>
          </cell>
          <cell r="C1134" t="str">
            <v>貂蝉</v>
          </cell>
          <cell r="D1134" t="str">
            <v>未定</v>
          </cell>
          <cell r="E1134" t="str">
            <v>アリス</v>
          </cell>
          <cell r="F1134" t="str">
            <v>世界観</v>
          </cell>
          <cell r="G1134" t="str">
            <v>不明</v>
          </cell>
          <cell r="H1134" t="str">
            <v>yellow</v>
          </cell>
          <cell r="I1134">
            <v>5</v>
          </cell>
          <cell r="J1134" t="str">
            <v>DropWizS</v>
          </cell>
          <cell r="K1134" t="str">
            <v>technical</v>
          </cell>
          <cell r="L1134" t="str">
            <v>テクニカルタイプ</v>
          </cell>
          <cell r="M1134" t="str">
            <v>samurai</v>
          </cell>
        </row>
        <row r="1135">
          <cell r="A1135">
            <v>1134</v>
          </cell>
          <cell r="B1135" t="str">
            <v>ja</v>
          </cell>
          <cell r="C1135" t="str">
            <v>月隠れの美麗酔 貂蝉</v>
          </cell>
          <cell r="D1135" t="str">
            <v>未定</v>
          </cell>
          <cell r="E1135" t="str">
            <v>アリス</v>
          </cell>
          <cell r="F1135" t="str">
            <v>世界観</v>
          </cell>
          <cell r="G1135" t="str">
            <v>不明</v>
          </cell>
          <cell r="H1135" t="str">
            <v>yellow</v>
          </cell>
          <cell r="I1135">
            <v>6</v>
          </cell>
          <cell r="J1135" t="str">
            <v>DropWizS</v>
          </cell>
          <cell r="K1135" t="str">
            <v>technical</v>
          </cell>
          <cell r="L1135" t="str">
            <v>テクニカルタイプ</v>
          </cell>
          <cell r="M1135" t="str">
            <v>samurai</v>
          </cell>
        </row>
        <row r="1136">
          <cell r="A1136">
            <v>1135</v>
          </cell>
          <cell r="B1136" t="str">
            <v>ja</v>
          </cell>
          <cell r="C1136" t="str">
            <v>呂布</v>
          </cell>
          <cell r="D1136" t="str">
            <v>未定</v>
          </cell>
          <cell r="E1136" t="str">
            <v>アリス</v>
          </cell>
          <cell r="F1136" t="str">
            <v>世界観</v>
          </cell>
          <cell r="G1136" t="str">
            <v>不明</v>
          </cell>
          <cell r="H1136" t="str">
            <v>green</v>
          </cell>
          <cell r="I1136">
            <v>5</v>
          </cell>
          <cell r="J1136" t="str">
            <v>DropWizSS</v>
          </cell>
          <cell r="K1136" t="str">
            <v>attack</v>
          </cell>
          <cell r="L1136" t="str">
            <v>攻撃タイプ</v>
          </cell>
          <cell r="M1136" t="str">
            <v>samurai</v>
          </cell>
        </row>
        <row r="1137">
          <cell r="A1137">
            <v>1136</v>
          </cell>
          <cell r="B1137" t="str">
            <v>ja</v>
          </cell>
          <cell r="C1137" t="str">
            <v>豪拳烈創の激将 呂布</v>
          </cell>
          <cell r="D1137" t="str">
            <v>未定</v>
          </cell>
          <cell r="E1137" t="str">
            <v>アリス</v>
          </cell>
          <cell r="F1137" t="str">
            <v>世界観</v>
          </cell>
          <cell r="G1137" t="str">
            <v>不明</v>
          </cell>
          <cell r="H1137" t="str">
            <v>green</v>
          </cell>
          <cell r="I1137">
            <v>6</v>
          </cell>
          <cell r="J1137" t="str">
            <v>DropWizSS</v>
          </cell>
          <cell r="K1137" t="str">
            <v>attack</v>
          </cell>
          <cell r="L1137" t="str">
            <v>攻撃タイプ</v>
          </cell>
          <cell r="M1137" t="str">
            <v>samurai</v>
          </cell>
        </row>
        <row r="1138">
          <cell r="A1138">
            <v>1137</v>
          </cell>
          <cell r="B1138" t="str">
            <v>ja</v>
          </cell>
          <cell r="C1138" t="str">
            <v>諸葛亮</v>
          </cell>
          <cell r="D1138" t="str">
            <v>未定</v>
          </cell>
          <cell r="E1138" t="str">
            <v>アリス</v>
          </cell>
          <cell r="F1138" t="str">
            <v>世界観</v>
          </cell>
          <cell r="G1138" t="str">
            <v>不明</v>
          </cell>
          <cell r="H1138" t="str">
            <v>red</v>
          </cell>
          <cell r="I1138">
            <v>5</v>
          </cell>
          <cell r="J1138" t="str">
            <v>PremiumSSw</v>
          </cell>
          <cell r="K1138" t="str">
            <v>technical</v>
          </cell>
          <cell r="L1138" t="str">
            <v>テクニカルタイプ</v>
          </cell>
          <cell r="M1138" t="str">
            <v>samurai</v>
          </cell>
        </row>
        <row r="1139">
          <cell r="A1139">
            <v>1138</v>
          </cell>
          <cell r="B1139" t="str">
            <v>ja</v>
          </cell>
          <cell r="C1139" t="str">
            <v>神算鬼謀の宰相 諸葛亮</v>
          </cell>
          <cell r="D1139" t="str">
            <v>未定</v>
          </cell>
          <cell r="E1139" t="str">
            <v>アリス</v>
          </cell>
          <cell r="F1139" t="str">
            <v>世界観</v>
          </cell>
          <cell r="G1139" t="str">
            <v>不明</v>
          </cell>
          <cell r="H1139" t="str">
            <v>red</v>
          </cell>
          <cell r="I1139">
            <v>6</v>
          </cell>
          <cell r="J1139" t="str">
            <v>PremiumSSw</v>
          </cell>
          <cell r="K1139" t="str">
            <v>technical</v>
          </cell>
          <cell r="L1139" t="str">
            <v>テクニカルタイプ</v>
          </cell>
          <cell r="M1139" t="str">
            <v>samurai</v>
          </cell>
        </row>
        <row r="1140">
          <cell r="A1140">
            <v>1139</v>
          </cell>
          <cell r="B1140" t="str">
            <v>ja</v>
          </cell>
          <cell r="C1140" t="str">
            <v>趙雲</v>
          </cell>
          <cell r="D1140" t="str">
            <v>未定</v>
          </cell>
          <cell r="E1140" t="str">
            <v>アリス</v>
          </cell>
          <cell r="F1140" t="str">
            <v>世界観</v>
          </cell>
          <cell r="G1140" t="str">
            <v>不明</v>
          </cell>
          <cell r="H1140" t="str">
            <v>green</v>
          </cell>
          <cell r="I1140">
            <v>5</v>
          </cell>
          <cell r="J1140" t="str">
            <v>PremiumSS</v>
          </cell>
          <cell r="K1140" t="str">
            <v>balance</v>
          </cell>
          <cell r="L1140" t="str">
            <v>バランスタイプ</v>
          </cell>
          <cell r="M1140" t="str">
            <v>samurai</v>
          </cell>
        </row>
        <row r="1141">
          <cell r="A1141">
            <v>1140</v>
          </cell>
          <cell r="B1141" t="str">
            <v>ja</v>
          </cell>
          <cell r="C1141" t="str">
            <v>綱紀粛正の傑璧 趙雲</v>
          </cell>
          <cell r="D1141" t="str">
            <v>未定</v>
          </cell>
          <cell r="E1141" t="str">
            <v>アリス</v>
          </cell>
          <cell r="F1141" t="str">
            <v>世界観</v>
          </cell>
          <cell r="G1141" t="str">
            <v>不明</v>
          </cell>
          <cell r="H1141" t="str">
            <v>green</v>
          </cell>
          <cell r="I1141">
            <v>6</v>
          </cell>
          <cell r="J1141" t="str">
            <v>PremiumSS</v>
          </cell>
          <cell r="K1141" t="str">
            <v>balance</v>
          </cell>
          <cell r="L1141" t="str">
            <v>バランスタイプ</v>
          </cell>
          <cell r="M1141" t="str">
            <v>samurai</v>
          </cell>
        </row>
        <row r="1142">
          <cell r="A1142">
            <v>1141</v>
          </cell>
          <cell r="B1142" t="str">
            <v>ja</v>
          </cell>
          <cell r="C1142" t="str">
            <v>月英</v>
          </cell>
          <cell r="D1142" t="str">
            <v>未定</v>
          </cell>
          <cell r="E1142" t="str">
            <v>アリス</v>
          </cell>
          <cell r="F1142" t="str">
            <v>世界観</v>
          </cell>
          <cell r="G1142" t="str">
            <v>不明</v>
          </cell>
          <cell r="H1142" t="str">
            <v>blue</v>
          </cell>
          <cell r="I1142">
            <v>5</v>
          </cell>
          <cell r="J1142" t="str">
            <v>PremiumSS</v>
          </cell>
          <cell r="K1142" t="str">
            <v>balance</v>
          </cell>
          <cell r="L1142" t="str">
            <v>バランスタイプ</v>
          </cell>
          <cell r="M1142" t="str">
            <v>human</v>
          </cell>
        </row>
        <row r="1143">
          <cell r="A1143">
            <v>1142</v>
          </cell>
          <cell r="B1143" t="str">
            <v>ja</v>
          </cell>
          <cell r="C1143" t="str">
            <v>蒼明な機鋼士 月英</v>
          </cell>
          <cell r="D1143" t="str">
            <v>未定</v>
          </cell>
          <cell r="E1143" t="str">
            <v>アリス</v>
          </cell>
          <cell r="F1143" t="str">
            <v>世界観</v>
          </cell>
          <cell r="G1143" t="str">
            <v>不明</v>
          </cell>
          <cell r="H1143" t="str">
            <v>blue</v>
          </cell>
          <cell r="I1143">
            <v>6</v>
          </cell>
          <cell r="J1143" t="str">
            <v>PremiumSS</v>
          </cell>
          <cell r="K1143" t="str">
            <v>balance</v>
          </cell>
          <cell r="L1143" t="str">
            <v>バランスタイプ</v>
          </cell>
          <cell r="M1143" t="str">
            <v>human</v>
          </cell>
        </row>
        <row r="1144">
          <cell r="A1144">
            <v>1143</v>
          </cell>
          <cell r="B1144" t="str">
            <v>ja</v>
          </cell>
          <cell r="C1144" t="str">
            <v>黄忠</v>
          </cell>
          <cell r="D1144" t="str">
            <v>未定</v>
          </cell>
          <cell r="E1144" t="str">
            <v>アリス</v>
          </cell>
          <cell r="F1144" t="str">
            <v>世界観</v>
          </cell>
          <cell r="G1144" t="str">
            <v>不明</v>
          </cell>
          <cell r="H1144" t="str">
            <v>yellow</v>
          </cell>
          <cell r="I1144">
            <v>4</v>
          </cell>
          <cell r="J1144" t="str">
            <v>PremiumS</v>
          </cell>
          <cell r="K1144" t="str">
            <v>technical</v>
          </cell>
          <cell r="L1144" t="str">
            <v>テクニカルタイプ</v>
          </cell>
          <cell r="M1144" t="str">
            <v>samurai</v>
          </cell>
        </row>
        <row r="1145">
          <cell r="A1145">
            <v>1144</v>
          </cell>
          <cell r="B1145" t="str">
            <v>ja</v>
          </cell>
          <cell r="C1145" t="str">
            <v>白星を射る老将 黄忠</v>
          </cell>
          <cell r="D1145" t="str">
            <v>未定</v>
          </cell>
          <cell r="E1145" t="str">
            <v>アリス</v>
          </cell>
          <cell r="F1145" t="str">
            <v>世界観</v>
          </cell>
          <cell r="G1145" t="str">
            <v>不明</v>
          </cell>
          <cell r="H1145" t="str">
            <v>yellow</v>
          </cell>
          <cell r="I1145">
            <v>5</v>
          </cell>
          <cell r="J1145" t="str">
            <v>PremiumS</v>
          </cell>
          <cell r="K1145" t="str">
            <v>technical</v>
          </cell>
          <cell r="L1145" t="str">
            <v>テクニカルタイプ</v>
          </cell>
          <cell r="M1145" t="str">
            <v>samurai</v>
          </cell>
        </row>
        <row r="1146">
          <cell r="A1146">
            <v>1145</v>
          </cell>
          <cell r="B1146" t="str">
            <v>ja</v>
          </cell>
          <cell r="C1146" t="str">
            <v>ヴリトラ</v>
          </cell>
          <cell r="D1146" t="str">
            <v>未定</v>
          </cell>
          <cell r="E1146" t="str">
            <v>アリス</v>
          </cell>
          <cell r="F1146" t="str">
            <v>世界観</v>
          </cell>
          <cell r="G1146" t="str">
            <v>不明</v>
          </cell>
          <cell r="H1146" t="str">
            <v>yellow</v>
          </cell>
          <cell r="I1146">
            <v>4</v>
          </cell>
          <cell r="J1146" t="str">
            <v>Drop2N</v>
          </cell>
          <cell r="K1146" t="str">
            <v>hp</v>
          </cell>
          <cell r="L1146" t="str">
            <v>体力タイプ</v>
          </cell>
          <cell r="M1146" t="str">
            <v>dragon</v>
          </cell>
        </row>
        <row r="1147">
          <cell r="A1147">
            <v>1146</v>
          </cell>
          <cell r="B1147" t="str">
            <v>ja</v>
          </cell>
          <cell r="C1147" t="str">
            <v>宙覆す破魃竜 ヴリトラ</v>
          </cell>
          <cell r="D1147" t="str">
            <v>未定</v>
          </cell>
          <cell r="E1147" t="str">
            <v>アリス</v>
          </cell>
          <cell r="F1147" t="str">
            <v>世界観</v>
          </cell>
          <cell r="G1147" t="str">
            <v>不明</v>
          </cell>
          <cell r="H1147" t="str">
            <v>yellow</v>
          </cell>
          <cell r="I1147">
            <v>5</v>
          </cell>
          <cell r="J1147" t="str">
            <v>Drop2N</v>
          </cell>
          <cell r="K1147" t="str">
            <v>hp</v>
          </cell>
          <cell r="L1147" t="str">
            <v>体力タイプ</v>
          </cell>
          <cell r="M1147" t="str">
            <v>dragon</v>
          </cell>
        </row>
        <row r="1148">
          <cell r="A1148">
            <v>1147</v>
          </cell>
          <cell r="B1148" t="str">
            <v>ja</v>
          </cell>
          <cell r="C1148" t="str">
            <v>カーリー</v>
          </cell>
          <cell r="D1148" t="str">
            <v>未定</v>
          </cell>
          <cell r="E1148" t="str">
            <v>アリス</v>
          </cell>
          <cell r="F1148" t="str">
            <v>世界観</v>
          </cell>
          <cell r="G1148" t="str">
            <v>不明</v>
          </cell>
          <cell r="H1148" t="str">
            <v>red</v>
          </cell>
          <cell r="I1148">
            <v>5</v>
          </cell>
          <cell r="J1148" t="str">
            <v>DropWizS</v>
          </cell>
          <cell r="K1148" t="str">
            <v>technical</v>
          </cell>
          <cell r="L1148" t="str">
            <v>テクニカルタイプ</v>
          </cell>
          <cell r="M1148" t="str">
            <v>god</v>
          </cell>
        </row>
        <row r="1149">
          <cell r="A1149">
            <v>1148</v>
          </cell>
          <cell r="B1149" t="str">
            <v>ja</v>
          </cell>
          <cell r="C1149" t="str">
            <v>嫉神の黎き滅意 カーリー</v>
          </cell>
          <cell r="D1149" t="str">
            <v>未定</v>
          </cell>
          <cell r="E1149" t="str">
            <v>アリス</v>
          </cell>
          <cell r="F1149" t="str">
            <v>世界観</v>
          </cell>
          <cell r="G1149" t="str">
            <v>不明</v>
          </cell>
          <cell r="H1149" t="str">
            <v>red</v>
          </cell>
          <cell r="I1149">
            <v>6</v>
          </cell>
          <cell r="J1149" t="str">
            <v>DropWizS</v>
          </cell>
          <cell r="K1149" t="str">
            <v>technical</v>
          </cell>
          <cell r="L1149" t="str">
            <v>テクニカルタイプ</v>
          </cell>
          <cell r="M1149" t="str">
            <v>god</v>
          </cell>
        </row>
        <row r="1150">
          <cell r="A1150">
            <v>1149</v>
          </cell>
          <cell r="B1150" t="str">
            <v>ja</v>
          </cell>
          <cell r="C1150" t="str">
            <v>ブラフマー</v>
          </cell>
          <cell r="D1150" t="str">
            <v>未定</v>
          </cell>
          <cell r="E1150" t="str">
            <v>アリス</v>
          </cell>
          <cell r="F1150" t="str">
            <v>世界観</v>
          </cell>
          <cell r="G1150" t="str">
            <v>不明</v>
          </cell>
          <cell r="H1150" t="str">
            <v>blue</v>
          </cell>
          <cell r="I1150">
            <v>5</v>
          </cell>
          <cell r="J1150" t="str">
            <v>DropWizS</v>
          </cell>
          <cell r="K1150" t="str">
            <v>technical</v>
          </cell>
          <cell r="L1150" t="str">
            <v>テクニカルタイプ</v>
          </cell>
          <cell r="M1150" t="str">
            <v>god</v>
          </cell>
        </row>
        <row r="1151">
          <cell r="A1151">
            <v>1150</v>
          </cell>
          <cell r="B1151" t="str">
            <v>ja</v>
          </cell>
          <cell r="C1151" t="str">
            <v>封智の元創神 ブラフマー</v>
          </cell>
          <cell r="D1151" t="str">
            <v>未定</v>
          </cell>
          <cell r="E1151" t="str">
            <v>アリス</v>
          </cell>
          <cell r="F1151" t="str">
            <v>世界観</v>
          </cell>
          <cell r="G1151" t="str">
            <v>不明</v>
          </cell>
          <cell r="H1151" t="str">
            <v>blue</v>
          </cell>
          <cell r="I1151">
            <v>6</v>
          </cell>
          <cell r="J1151" t="str">
            <v>DropWizS</v>
          </cell>
          <cell r="K1151" t="str">
            <v>technical</v>
          </cell>
          <cell r="L1151" t="str">
            <v>テクニカルタイプ</v>
          </cell>
          <cell r="M1151" t="str">
            <v>god</v>
          </cell>
        </row>
        <row r="1152">
          <cell r="A1152">
            <v>1151</v>
          </cell>
          <cell r="B1152" t="str">
            <v>ja</v>
          </cell>
          <cell r="C1152" t="str">
            <v>ガネーシャ</v>
          </cell>
          <cell r="D1152" t="str">
            <v>未定</v>
          </cell>
          <cell r="E1152" t="str">
            <v>アリス</v>
          </cell>
          <cell r="F1152" t="str">
            <v>世界観</v>
          </cell>
          <cell r="G1152" t="str">
            <v>不明</v>
          </cell>
          <cell r="H1152" t="str">
            <v>red</v>
          </cell>
          <cell r="I1152">
            <v>4</v>
          </cell>
          <cell r="J1152" t="str">
            <v>PremiumS</v>
          </cell>
          <cell r="K1152" t="str">
            <v>heal</v>
          </cell>
          <cell r="L1152" t="str">
            <v>回復タイプ</v>
          </cell>
          <cell r="M1152" t="str">
            <v>god</v>
          </cell>
        </row>
        <row r="1153">
          <cell r="A1153">
            <v>1152</v>
          </cell>
          <cell r="B1153" t="str">
            <v>ja</v>
          </cell>
          <cell r="C1153" t="str">
            <v>衆知の富益神 ガネーシャ</v>
          </cell>
          <cell r="D1153" t="str">
            <v>未定</v>
          </cell>
          <cell r="E1153" t="str">
            <v>アリス</v>
          </cell>
          <cell r="F1153" t="str">
            <v>世界観</v>
          </cell>
          <cell r="G1153" t="str">
            <v>不明</v>
          </cell>
          <cell r="H1153" t="str">
            <v>red</v>
          </cell>
          <cell r="I1153">
            <v>5</v>
          </cell>
          <cell r="J1153" t="str">
            <v>PremiumS</v>
          </cell>
          <cell r="K1153" t="str">
            <v>heal</v>
          </cell>
          <cell r="L1153" t="str">
            <v>回復タイプ</v>
          </cell>
          <cell r="M1153" t="str">
            <v>god</v>
          </cell>
        </row>
        <row r="1154">
          <cell r="A1154">
            <v>1153</v>
          </cell>
          <cell r="B1154" t="str">
            <v>ja</v>
          </cell>
          <cell r="C1154" t="str">
            <v>ラクシュミー</v>
          </cell>
          <cell r="D1154" t="str">
            <v>未定</v>
          </cell>
          <cell r="E1154" t="str">
            <v>アリス</v>
          </cell>
          <cell r="F1154" t="str">
            <v>世界観</v>
          </cell>
          <cell r="G1154" t="str">
            <v>不明</v>
          </cell>
          <cell r="H1154" t="str">
            <v>green</v>
          </cell>
          <cell r="I1154">
            <v>5</v>
          </cell>
          <cell r="J1154" t="str">
            <v>PremiumSSw</v>
          </cell>
          <cell r="K1154" t="str">
            <v>hp</v>
          </cell>
          <cell r="L1154" t="str">
            <v>体力タイプ</v>
          </cell>
          <cell r="M1154" t="str">
            <v>god</v>
          </cell>
        </row>
        <row r="1155">
          <cell r="A1155">
            <v>1154</v>
          </cell>
          <cell r="B1155" t="str">
            <v>ja</v>
          </cell>
          <cell r="C1155" t="str">
            <v>幸吹の蓮華粧 ラクシュミー</v>
          </cell>
          <cell r="D1155" t="str">
            <v>未定</v>
          </cell>
          <cell r="E1155" t="str">
            <v>アリス</v>
          </cell>
          <cell r="F1155" t="str">
            <v>世界観</v>
          </cell>
          <cell r="G1155" t="str">
            <v>不明</v>
          </cell>
          <cell r="H1155" t="str">
            <v>green</v>
          </cell>
          <cell r="I1155">
            <v>6</v>
          </cell>
          <cell r="J1155" t="str">
            <v>PremiumSSw</v>
          </cell>
          <cell r="K1155" t="str">
            <v>hp</v>
          </cell>
          <cell r="L1155" t="str">
            <v>体力タイプ</v>
          </cell>
          <cell r="M1155" t="str">
            <v>god</v>
          </cell>
        </row>
        <row r="1156">
          <cell r="A1156">
            <v>1155</v>
          </cell>
          <cell r="B1156" t="str">
            <v>ja</v>
          </cell>
          <cell r="C1156" t="str">
            <v>ドゥルガー</v>
          </cell>
          <cell r="D1156" t="str">
            <v>未定</v>
          </cell>
          <cell r="E1156" t="str">
            <v>アリス</v>
          </cell>
          <cell r="F1156" t="str">
            <v>世界観</v>
          </cell>
          <cell r="G1156" t="str">
            <v>不明</v>
          </cell>
          <cell r="H1156" t="str">
            <v>blue</v>
          </cell>
          <cell r="I1156">
            <v>5</v>
          </cell>
          <cell r="J1156" t="str">
            <v>PremiumSS</v>
          </cell>
          <cell r="K1156" t="str">
            <v>balance</v>
          </cell>
          <cell r="L1156" t="str">
            <v>バランスタイプ</v>
          </cell>
          <cell r="M1156" t="str">
            <v>god</v>
          </cell>
        </row>
        <row r="1157">
          <cell r="A1157">
            <v>1156</v>
          </cell>
          <cell r="B1157" t="str">
            <v>ja</v>
          </cell>
          <cell r="C1157" t="str">
            <v>麗逆の武操神 ドゥルガー</v>
          </cell>
          <cell r="D1157" t="str">
            <v>未定</v>
          </cell>
          <cell r="E1157" t="str">
            <v>アリス</v>
          </cell>
          <cell r="F1157" t="str">
            <v>世界観</v>
          </cell>
          <cell r="G1157" t="str">
            <v>不明</v>
          </cell>
          <cell r="H1157" t="str">
            <v>blue</v>
          </cell>
          <cell r="I1157">
            <v>6</v>
          </cell>
          <cell r="J1157" t="str">
            <v>PremiumSS</v>
          </cell>
          <cell r="K1157" t="str">
            <v>balance</v>
          </cell>
          <cell r="L1157" t="str">
            <v>バランスタイプ</v>
          </cell>
          <cell r="M1157" t="str">
            <v>god</v>
          </cell>
        </row>
        <row r="1158">
          <cell r="A1158">
            <v>1157</v>
          </cell>
          <cell r="B1158" t="str">
            <v>ja</v>
          </cell>
          <cell r="C1158" t="str">
            <v>インドラ</v>
          </cell>
          <cell r="D1158" t="str">
            <v>未定</v>
          </cell>
          <cell r="E1158" t="str">
            <v>アリス</v>
          </cell>
          <cell r="F1158" t="str">
            <v>世界観</v>
          </cell>
          <cell r="G1158" t="str">
            <v>不明</v>
          </cell>
          <cell r="H1158" t="str">
            <v>yellow</v>
          </cell>
          <cell r="I1158">
            <v>5</v>
          </cell>
          <cell r="J1158" t="str">
            <v>PremiumSS</v>
          </cell>
          <cell r="K1158" t="str">
            <v>attack</v>
          </cell>
          <cell r="L1158" t="str">
            <v>攻撃タイプ</v>
          </cell>
          <cell r="M1158" t="str">
            <v>god</v>
          </cell>
        </row>
        <row r="1159">
          <cell r="A1159">
            <v>1158</v>
          </cell>
          <cell r="B1159" t="str">
            <v>ja</v>
          </cell>
          <cell r="C1159" t="str">
            <v>天英の雷霆神 インドラ</v>
          </cell>
          <cell r="D1159" t="str">
            <v>未定</v>
          </cell>
          <cell r="E1159" t="str">
            <v>アリス</v>
          </cell>
          <cell r="F1159" t="str">
            <v>世界観</v>
          </cell>
          <cell r="G1159" t="str">
            <v>不明</v>
          </cell>
          <cell r="H1159" t="str">
            <v>yellow</v>
          </cell>
          <cell r="I1159">
            <v>6</v>
          </cell>
          <cell r="J1159" t="str">
            <v>PremiumSS</v>
          </cell>
          <cell r="K1159" t="str">
            <v>attack</v>
          </cell>
          <cell r="L1159" t="str">
            <v>攻撃タイプ</v>
          </cell>
          <cell r="M1159" t="str">
            <v>god</v>
          </cell>
        </row>
        <row r="1160">
          <cell r="A1160">
            <v>1159</v>
          </cell>
          <cell r="B1160" t="str">
            <v>ja</v>
          </cell>
          <cell r="C1160" t="str">
            <v>ガロア</v>
          </cell>
          <cell r="D1160" t="str">
            <v>未定</v>
          </cell>
          <cell r="E1160" t="str">
            <v>アリス</v>
          </cell>
          <cell r="F1160" t="str">
            <v>世界観</v>
          </cell>
          <cell r="G1160" t="str">
            <v>不明</v>
          </cell>
          <cell r="H1160" t="str">
            <v>green</v>
          </cell>
          <cell r="I1160">
            <v>5</v>
          </cell>
          <cell r="J1160" t="str">
            <v>PremiumSSS</v>
          </cell>
          <cell r="K1160" t="str">
            <v>attack</v>
          </cell>
          <cell r="L1160" t="str">
            <v>攻撃タイプ</v>
          </cell>
          <cell r="M1160" t="str">
            <v>academia</v>
          </cell>
        </row>
        <row r="1161">
          <cell r="A1161">
            <v>1160</v>
          </cell>
          <cell r="B1161" t="str">
            <v>ja</v>
          </cell>
          <cell r="C1161" t="str">
            <v>拡命の大群論 ガロア</v>
          </cell>
          <cell r="D1161" t="str">
            <v>未定</v>
          </cell>
          <cell r="E1161" t="str">
            <v>アリス</v>
          </cell>
          <cell r="F1161" t="str">
            <v>世界観</v>
          </cell>
          <cell r="G1161" t="str">
            <v>不明</v>
          </cell>
          <cell r="H1161" t="str">
            <v>green</v>
          </cell>
          <cell r="I1161">
            <v>6</v>
          </cell>
          <cell r="J1161" t="str">
            <v>PremiumSSS</v>
          </cell>
          <cell r="K1161" t="str">
            <v>attack</v>
          </cell>
          <cell r="L1161" t="str">
            <v>攻撃タイプ</v>
          </cell>
          <cell r="M1161" t="str">
            <v>academia</v>
          </cell>
        </row>
        <row r="1162">
          <cell r="A1162">
            <v>1161</v>
          </cell>
          <cell r="B1162" t="str">
            <v>ja</v>
          </cell>
          <cell r="C1162" t="str">
            <v>ヒルベルト</v>
          </cell>
          <cell r="D1162" t="str">
            <v>未定</v>
          </cell>
          <cell r="E1162" t="str">
            <v>アリス</v>
          </cell>
          <cell r="F1162" t="str">
            <v>世界観</v>
          </cell>
          <cell r="G1162" t="str">
            <v>不明</v>
          </cell>
          <cell r="H1162" t="str">
            <v>yellow</v>
          </cell>
          <cell r="I1162">
            <v>5</v>
          </cell>
          <cell r="J1162" t="str">
            <v>PremiumSSS</v>
          </cell>
          <cell r="K1162" t="str">
            <v>attack</v>
          </cell>
          <cell r="L1162" t="str">
            <v>攻撃タイプ</v>
          </cell>
          <cell r="M1162" t="str">
            <v>academia</v>
          </cell>
        </row>
        <row r="1163">
          <cell r="A1163">
            <v>1162</v>
          </cell>
          <cell r="B1163" t="str">
            <v>ja</v>
          </cell>
          <cell r="C1163" t="str">
            <v>夢験次元の抽唱 ヒルベルト</v>
          </cell>
          <cell r="D1163" t="str">
            <v>未定</v>
          </cell>
          <cell r="E1163" t="str">
            <v>アリス</v>
          </cell>
          <cell r="F1163" t="str">
            <v>世界観</v>
          </cell>
          <cell r="G1163" t="str">
            <v>不明</v>
          </cell>
          <cell r="H1163" t="str">
            <v>yellow</v>
          </cell>
          <cell r="I1163">
            <v>6</v>
          </cell>
          <cell r="J1163" t="str">
            <v>PremiumSSS</v>
          </cell>
          <cell r="K1163" t="str">
            <v>attack</v>
          </cell>
          <cell r="L1163" t="str">
            <v>攻撃タイプ</v>
          </cell>
          <cell r="M1163" t="str">
            <v>academia</v>
          </cell>
        </row>
        <row r="1164">
          <cell r="A1164">
            <v>1163</v>
          </cell>
          <cell r="B1164" t="str">
            <v>ja</v>
          </cell>
          <cell r="C1164" t="str">
            <v>命題唱鳴計画 ヒルベルト</v>
          </cell>
          <cell r="D1164" t="str">
            <v>未定</v>
          </cell>
          <cell r="E1164" t="str">
            <v>アリス</v>
          </cell>
          <cell r="F1164" t="str">
            <v>世界観</v>
          </cell>
          <cell r="G1164" t="str">
            <v>不明</v>
          </cell>
          <cell r="H1164" t="str">
            <v>yellow</v>
          </cell>
          <cell r="I1164">
            <v>6</v>
          </cell>
          <cell r="J1164" t="str">
            <v>PremiumSSS</v>
          </cell>
          <cell r="K1164" t="str">
            <v>attack</v>
          </cell>
          <cell r="L1164" t="str">
            <v>攻撃タイプ</v>
          </cell>
          <cell r="M1164" t="str">
            <v>academia</v>
          </cell>
        </row>
        <row r="1165">
          <cell r="A1165">
            <v>1164</v>
          </cell>
          <cell r="B1165" t="str">
            <v>ja</v>
          </cell>
          <cell r="C1165" t="str">
            <v>ガンバンテイン</v>
          </cell>
          <cell r="D1165" t="str">
            <v>未定</v>
          </cell>
          <cell r="E1165" t="str">
            <v>アリス</v>
          </cell>
          <cell r="F1165" t="str">
            <v>世界観</v>
          </cell>
          <cell r="G1165" t="str">
            <v>不明</v>
          </cell>
          <cell r="H1165" t="str">
            <v>red</v>
          </cell>
          <cell r="I1165">
            <v>5</v>
          </cell>
          <cell r="J1165" t="str">
            <v>DropWizSSS</v>
          </cell>
          <cell r="K1165" t="str">
            <v>heal</v>
          </cell>
          <cell r="L1165" t="str">
            <v>回復タイプ</v>
          </cell>
          <cell r="M1165" t="str">
            <v>weapon</v>
          </cell>
        </row>
        <row r="1166">
          <cell r="A1166">
            <v>1165</v>
          </cell>
          <cell r="B1166" t="str">
            <v>ja</v>
          </cell>
          <cell r="C1166" t="str">
            <v>夢香華の耀杖 ガンバンテイン</v>
          </cell>
          <cell r="D1166" t="str">
            <v>未定</v>
          </cell>
          <cell r="E1166" t="str">
            <v>アリス</v>
          </cell>
          <cell r="F1166" t="str">
            <v>世界観</v>
          </cell>
          <cell r="G1166" t="str">
            <v>不明</v>
          </cell>
          <cell r="H1166" t="str">
            <v>red</v>
          </cell>
          <cell r="I1166">
            <v>6</v>
          </cell>
          <cell r="J1166" t="str">
            <v>DropWizSSS</v>
          </cell>
          <cell r="K1166" t="str">
            <v>heal</v>
          </cell>
          <cell r="L1166" t="str">
            <v>回復タイプ</v>
          </cell>
          <cell r="M1166" t="str">
            <v>weapon</v>
          </cell>
        </row>
        <row r="1167">
          <cell r="A1167">
            <v>1166</v>
          </cell>
          <cell r="B1167" t="str">
            <v>ja</v>
          </cell>
          <cell r="C1167" t="str">
            <v>降魔宝杖</v>
          </cell>
          <cell r="D1167" t="str">
            <v>未定</v>
          </cell>
          <cell r="E1167" t="str">
            <v>アリス</v>
          </cell>
          <cell r="F1167" t="str">
            <v>世界観</v>
          </cell>
          <cell r="G1167" t="str">
            <v>不明</v>
          </cell>
          <cell r="H1167" t="str">
            <v>blue</v>
          </cell>
          <cell r="I1167">
            <v>5</v>
          </cell>
          <cell r="J1167" t="str">
            <v>DropWizSSS</v>
          </cell>
          <cell r="K1167" t="str">
            <v>attack</v>
          </cell>
          <cell r="L1167" t="str">
            <v>攻撃タイプ</v>
          </cell>
          <cell r="M1167" t="str">
            <v>weapon</v>
          </cell>
        </row>
        <row r="1168">
          <cell r="A1168">
            <v>1167</v>
          </cell>
          <cell r="B1168" t="str">
            <v>ja</v>
          </cell>
          <cell r="C1168" t="str">
            <v>月河の黄金器 降魔宝杖</v>
          </cell>
          <cell r="D1168" t="str">
            <v>未定</v>
          </cell>
          <cell r="E1168" t="str">
            <v>アリス</v>
          </cell>
          <cell r="F1168" t="str">
            <v>世界観</v>
          </cell>
          <cell r="G1168" t="str">
            <v>不明</v>
          </cell>
          <cell r="H1168" t="str">
            <v>blue</v>
          </cell>
          <cell r="I1168">
            <v>6</v>
          </cell>
          <cell r="J1168" t="str">
            <v>DropWizSSS</v>
          </cell>
          <cell r="K1168" t="str">
            <v>attack</v>
          </cell>
          <cell r="L1168" t="str">
            <v>攻撃タイプ</v>
          </cell>
          <cell r="M1168" t="str">
            <v>weapon</v>
          </cell>
        </row>
        <row r="1169">
          <cell r="A1169">
            <v>1168</v>
          </cell>
          <cell r="B1169" t="str">
            <v>ja</v>
          </cell>
          <cell r="C1169" t="str">
            <v>カドゥケウス</v>
          </cell>
          <cell r="D1169" t="str">
            <v>未定</v>
          </cell>
          <cell r="E1169" t="str">
            <v>アリス</v>
          </cell>
          <cell r="F1169" t="str">
            <v>世界観</v>
          </cell>
          <cell r="G1169" t="str">
            <v>不明</v>
          </cell>
          <cell r="H1169" t="str">
            <v>yellow</v>
          </cell>
          <cell r="I1169">
            <v>5</v>
          </cell>
          <cell r="J1169" t="str">
            <v>DropWizSSS</v>
          </cell>
          <cell r="K1169" t="str">
            <v>technical</v>
          </cell>
          <cell r="L1169" t="str">
            <v>テクニカルタイプ</v>
          </cell>
          <cell r="M1169" t="str">
            <v>weapon</v>
          </cell>
        </row>
        <row r="1170">
          <cell r="A1170">
            <v>1169</v>
          </cell>
          <cell r="B1170" t="str">
            <v>ja</v>
          </cell>
          <cell r="C1170" t="str">
            <v>睡醒の令杖 カドゥケウス</v>
          </cell>
          <cell r="D1170" t="str">
            <v>未定</v>
          </cell>
          <cell r="E1170" t="str">
            <v>アリス</v>
          </cell>
          <cell r="F1170" t="str">
            <v>世界観</v>
          </cell>
          <cell r="G1170" t="str">
            <v>不明</v>
          </cell>
          <cell r="H1170" t="str">
            <v>yellow</v>
          </cell>
          <cell r="I1170">
            <v>6</v>
          </cell>
          <cell r="J1170" t="str">
            <v>DropWizSSS</v>
          </cell>
          <cell r="K1170" t="str">
            <v>technical</v>
          </cell>
          <cell r="L1170" t="str">
            <v>テクニカルタイプ</v>
          </cell>
          <cell r="M1170" t="str">
            <v>weapon</v>
          </cell>
        </row>
        <row r="1171">
          <cell r="A1171">
            <v>1170</v>
          </cell>
          <cell r="B1171" t="str">
            <v>ja</v>
          </cell>
          <cell r="C1171" t="str">
            <v>極彩龍筆 ヘイウェイ</v>
          </cell>
          <cell r="D1171" t="str">
            <v>未定</v>
          </cell>
          <cell r="E1171" t="str">
            <v>アリス</v>
          </cell>
          <cell r="F1171" t="str">
            <v>世界観</v>
          </cell>
          <cell r="G1171" t="str">
            <v>不明</v>
          </cell>
          <cell r="H1171" t="str">
            <v>red</v>
          </cell>
          <cell r="I1171">
            <v>6</v>
          </cell>
          <cell r="J1171" t="str">
            <v>PremiumSSS</v>
          </cell>
          <cell r="K1171" t="str">
            <v>technical</v>
          </cell>
          <cell r="L1171" t="str">
            <v>テクニカルタイプ</v>
          </cell>
          <cell r="M1171" t="str">
            <v>dragon</v>
          </cell>
        </row>
        <row r="1172">
          <cell r="A1172">
            <v>1171</v>
          </cell>
          <cell r="B1172" t="str">
            <v>ja</v>
          </cell>
          <cell r="C1172" t="str">
            <v>解匣する交率 ポアソン</v>
          </cell>
          <cell r="D1172" t="str">
            <v>未定</v>
          </cell>
          <cell r="E1172" t="str">
            <v>アリス</v>
          </cell>
          <cell r="F1172" t="str">
            <v>世界観</v>
          </cell>
          <cell r="G1172" t="str">
            <v>不明</v>
          </cell>
          <cell r="H1172" t="str">
            <v>green</v>
          </cell>
          <cell r="I1172">
            <v>6</v>
          </cell>
          <cell r="J1172" t="str">
            <v>PremiumSSS</v>
          </cell>
          <cell r="K1172" t="str">
            <v>balance</v>
          </cell>
          <cell r="L1172" t="str">
            <v>バランスタイプ</v>
          </cell>
          <cell r="M1172" t="str">
            <v>academia</v>
          </cell>
        </row>
        <row r="1173">
          <cell r="A1173">
            <v>1172</v>
          </cell>
          <cell r="B1173" t="str">
            <v>ja</v>
          </cell>
          <cell r="C1173" t="str">
            <v>極限解析の讃嬢 クロネッカー</v>
          </cell>
          <cell r="D1173" t="str">
            <v>未定</v>
          </cell>
          <cell r="E1173" t="str">
            <v>アリス</v>
          </cell>
          <cell r="F1173" t="str">
            <v>世界観</v>
          </cell>
          <cell r="G1173" t="str">
            <v>不明</v>
          </cell>
          <cell r="H1173" t="str">
            <v>yellow</v>
          </cell>
          <cell r="I1173">
            <v>6</v>
          </cell>
          <cell r="J1173" t="str">
            <v>PremiumSSS</v>
          </cell>
          <cell r="K1173" t="str">
            <v>balance</v>
          </cell>
          <cell r="L1173" t="str">
            <v>バランスタイプ</v>
          </cell>
          <cell r="M1173" t="str">
            <v>academia</v>
          </cell>
        </row>
        <row r="1174">
          <cell r="A1174">
            <v>1173</v>
          </cell>
          <cell r="B1174" t="str">
            <v>ja</v>
          </cell>
          <cell r="C1174" t="str">
            <v>愛を咲かせる春羽妖精 ファータ</v>
          </cell>
          <cell r="D1174" t="str">
            <v>未定</v>
          </cell>
          <cell r="E1174" t="str">
            <v>アリス</v>
          </cell>
          <cell r="F1174" t="str">
            <v>世界観</v>
          </cell>
          <cell r="G1174" t="str">
            <v>不明</v>
          </cell>
          <cell r="H1174" t="str">
            <v>green</v>
          </cell>
          <cell r="I1174">
            <v>6</v>
          </cell>
          <cell r="J1174" t="str">
            <v>PremiumS</v>
          </cell>
          <cell r="K1174" t="str">
            <v>heal</v>
          </cell>
          <cell r="L1174" t="str">
            <v>回復タイプ</v>
          </cell>
          <cell r="M1174" t="str">
            <v>unknown</v>
          </cell>
        </row>
        <row r="1175">
          <cell r="A1175">
            <v>1174</v>
          </cell>
          <cell r="B1175" t="str">
            <v>ja</v>
          </cell>
          <cell r="C1175" t="str">
            <v>護翼の望詠光 バルドル</v>
          </cell>
          <cell r="D1175" t="str">
            <v>未定</v>
          </cell>
          <cell r="E1175" t="str">
            <v>アリス</v>
          </cell>
          <cell r="F1175" t="str">
            <v>世界観</v>
          </cell>
          <cell r="G1175" t="str">
            <v>不明</v>
          </cell>
          <cell r="H1175" t="str">
            <v>yellow</v>
          </cell>
          <cell r="I1175">
            <v>6</v>
          </cell>
          <cell r="J1175" t="str">
            <v>PremiumS</v>
          </cell>
          <cell r="K1175" t="str">
            <v>heal</v>
          </cell>
          <cell r="L1175" t="str">
            <v>回復タイプ</v>
          </cell>
          <cell r="M1175" t="str">
            <v>god</v>
          </cell>
        </row>
        <row r="1176">
          <cell r="A1176">
            <v>1175</v>
          </cell>
          <cell r="B1176" t="str">
            <v>ja</v>
          </cell>
          <cell r="C1176" t="str">
            <v>蘇尊の誓聖義 アーサー</v>
          </cell>
          <cell r="D1176" t="str">
            <v>未定</v>
          </cell>
          <cell r="E1176" t="str">
            <v>アリス</v>
          </cell>
          <cell r="F1176" t="str">
            <v>世界観</v>
          </cell>
          <cell r="G1176" t="str">
            <v>不明</v>
          </cell>
          <cell r="H1176" t="str">
            <v>red</v>
          </cell>
          <cell r="I1176">
            <v>6</v>
          </cell>
          <cell r="J1176" t="str">
            <v>DropWizS</v>
          </cell>
          <cell r="K1176" t="str">
            <v>balance</v>
          </cell>
          <cell r="L1176" t="str">
            <v>バランスタイプ</v>
          </cell>
          <cell r="M1176" t="str">
            <v>human</v>
          </cell>
        </row>
        <row r="1177">
          <cell r="A1177">
            <v>1176</v>
          </cell>
          <cell r="B1177" t="str">
            <v>ja</v>
          </cell>
          <cell r="C1177" t="str">
            <v>夢二夢斬の遊猟 フロイト</v>
          </cell>
          <cell r="D1177" t="str">
            <v>未定</v>
          </cell>
          <cell r="E1177" t="str">
            <v>アリス</v>
          </cell>
          <cell r="F1177" t="str">
            <v>世界観</v>
          </cell>
          <cell r="G1177" t="str">
            <v>不明</v>
          </cell>
          <cell r="H1177" t="str">
            <v>red</v>
          </cell>
          <cell r="I1177">
            <v>6</v>
          </cell>
          <cell r="J1177" t="str">
            <v>PremiumSSS</v>
          </cell>
          <cell r="K1177" t="str">
            <v>balance</v>
          </cell>
          <cell r="L1177" t="str">
            <v>バランスタイプ</v>
          </cell>
          <cell r="M1177" t="str">
            <v>academia</v>
          </cell>
        </row>
        <row r="1178">
          <cell r="A1178">
            <v>1177</v>
          </cell>
          <cell r="B1178" t="str">
            <v>ja</v>
          </cell>
          <cell r="C1178" t="str">
            <v>虚閃を弄する豪輪 オズ</v>
          </cell>
          <cell r="D1178" t="str">
            <v>未定</v>
          </cell>
          <cell r="E1178" t="str">
            <v>アリス</v>
          </cell>
          <cell r="F1178" t="str">
            <v>世界観</v>
          </cell>
          <cell r="G1178" t="str">
            <v>不明</v>
          </cell>
          <cell r="H1178" t="str">
            <v>green</v>
          </cell>
          <cell r="I1178">
            <v>6</v>
          </cell>
          <cell r="J1178" t="str">
            <v>DropWizS</v>
          </cell>
          <cell r="K1178" t="str">
            <v>balance</v>
          </cell>
          <cell r="L1178" t="str">
            <v>バランスタイプ</v>
          </cell>
          <cell r="M1178" t="str">
            <v>human</v>
          </cell>
        </row>
        <row r="1179">
          <cell r="A1179">
            <v>1178</v>
          </cell>
          <cell r="B1179" t="str">
            <v>ja</v>
          </cell>
          <cell r="C1179" t="str">
            <v>グリム_超覚醒</v>
          </cell>
          <cell r="D1179" t="str">
            <v>未定</v>
          </cell>
          <cell r="E1179" t="str">
            <v>アリス</v>
          </cell>
          <cell r="F1179" t="str">
            <v>世界観</v>
          </cell>
          <cell r="G1179" t="str">
            <v>不明</v>
          </cell>
          <cell r="H1179" t="str">
            <v>green</v>
          </cell>
          <cell r="I1179">
            <v>6</v>
          </cell>
          <cell r="J1179" t="str">
            <v>DropWizS</v>
          </cell>
          <cell r="K1179" t="str">
            <v>hp</v>
          </cell>
          <cell r="L1179" t="str">
            <v>体力タイプ</v>
          </cell>
          <cell r="M1179" t="str">
            <v>human</v>
          </cell>
        </row>
        <row r="1180">
          <cell r="A1180">
            <v>1179</v>
          </cell>
          <cell r="B1180" t="str">
            <v>ja</v>
          </cell>
          <cell r="C1180" t="str">
            <v>厳核なる巨大炉 ハイゼンベルク</v>
          </cell>
          <cell r="D1180" t="str">
            <v>各属性相性良3・黄・R558</v>
          </cell>
          <cell r="E1180" t="str">
            <v>執行者</v>
          </cell>
          <cell r="F1180" t="str">
            <v>格好いい</v>
          </cell>
          <cell r="G1180" t="str">
            <v>男性</v>
          </cell>
          <cell r="H1180" t="str">
            <v>green</v>
          </cell>
          <cell r="I1180">
            <v>6</v>
          </cell>
          <cell r="J1180" t="str">
            <v>PremiumSSS</v>
          </cell>
          <cell r="K1180" t="str">
            <v>attack</v>
          </cell>
          <cell r="L1180" t="str">
            <v>攻撃タイプ</v>
          </cell>
          <cell r="M1180" t="str">
            <v>academia</v>
          </cell>
        </row>
        <row r="1181">
          <cell r="A1181">
            <v>1180</v>
          </cell>
          <cell r="B1181" t="str">
            <v>ja</v>
          </cell>
          <cell r="C1181" t="str">
            <v>毅戦たる蒼機神 オーディン</v>
          </cell>
          <cell r="D1181" t="str">
            <v>各属性相性良3・黄・R558</v>
          </cell>
          <cell r="E1181" t="str">
            <v>執行者</v>
          </cell>
          <cell r="F1181" t="str">
            <v>格好いい</v>
          </cell>
          <cell r="G1181" t="str">
            <v>男性</v>
          </cell>
          <cell r="H1181" t="str">
            <v>blue</v>
          </cell>
          <cell r="I1181">
            <v>6</v>
          </cell>
          <cell r="J1181" t="str">
            <v>DropWizSS</v>
          </cell>
          <cell r="K1181" t="str">
            <v>hp</v>
          </cell>
          <cell r="L1181" t="str">
            <v>体力タイプ</v>
          </cell>
          <cell r="M1181" t="str">
            <v>machine</v>
          </cell>
        </row>
        <row r="1182">
          <cell r="A1182">
            <v>1181</v>
          </cell>
          <cell r="B1182" t="str">
            <v>ja</v>
          </cell>
          <cell r="C1182" t="str">
            <v>永存の究極論 ユークリッド</v>
          </cell>
          <cell r="D1182" t="str">
            <v>超覚醒ハーシェル</v>
          </cell>
          <cell r="E1182" t="str">
            <v>アリス</v>
          </cell>
          <cell r="F1182" t="str">
            <v>世界観</v>
          </cell>
          <cell r="G1182" t="str">
            <v>不明</v>
          </cell>
          <cell r="H1182" t="str">
            <v>blue</v>
          </cell>
          <cell r="I1182">
            <v>6</v>
          </cell>
          <cell r="J1182" t="str">
            <v>PremiumSSS</v>
          </cell>
          <cell r="K1182" t="str">
            <v>balance</v>
          </cell>
          <cell r="L1182" t="str">
            <v>バランスタイプ</v>
          </cell>
          <cell r="M1182" t="str">
            <v>academia</v>
          </cell>
        </row>
        <row r="1183">
          <cell r="A1183">
            <v>1182</v>
          </cell>
          <cell r="B1183" t="str">
            <v>ja</v>
          </cell>
          <cell r="C1183" t="str">
            <v>黄金螺旋の閃鋼機 フィボナッチ</v>
          </cell>
          <cell r="D1183" t="str">
            <v>超覚醒ハーシェル</v>
          </cell>
          <cell r="E1183" t="str">
            <v>アリス</v>
          </cell>
          <cell r="F1183" t="str">
            <v>世界観</v>
          </cell>
          <cell r="G1183" t="str">
            <v>不明</v>
          </cell>
          <cell r="H1183" t="str">
            <v>blue</v>
          </cell>
          <cell r="I1183">
            <v>6</v>
          </cell>
          <cell r="J1183" t="str">
            <v>PremiumSSS</v>
          </cell>
          <cell r="K1183" t="str">
            <v>balance</v>
          </cell>
          <cell r="L1183" t="str">
            <v>バランスタイプ</v>
          </cell>
          <cell r="M1183" t="str">
            <v>academia</v>
          </cell>
        </row>
        <row r="1184">
          <cell r="A1184">
            <v>1183</v>
          </cell>
          <cell r="B1184" t="str">
            <v>ja</v>
          </cell>
          <cell r="C1184" t="str">
            <v>Gスターチルドレン(旧子供)_超覚醒</v>
          </cell>
          <cell r="D1184" t="str">
            <v>超覚醒ハーシェル</v>
          </cell>
          <cell r="E1184" t="str">
            <v>アリス</v>
          </cell>
          <cell r="F1184" t="str">
            <v>世界観</v>
          </cell>
          <cell r="G1184" t="str">
            <v>不明</v>
          </cell>
          <cell r="H1184" t="str">
            <v>yellow</v>
          </cell>
          <cell r="I1184">
            <v>6</v>
          </cell>
          <cell r="J1184" t="str">
            <v>DropWizS</v>
          </cell>
          <cell r="K1184" t="str">
            <v>technical</v>
          </cell>
          <cell r="L1184" t="str">
            <v>テクニカルタイプ</v>
          </cell>
          <cell r="M1184" t="str">
            <v>unknown</v>
          </cell>
        </row>
        <row r="1185">
          <cell r="A1185">
            <v>1184</v>
          </cell>
          <cell r="B1185" t="str">
            <v>ja</v>
          </cell>
          <cell r="C1185" t="str">
            <v>電装の烙雷芯 ファラデー</v>
          </cell>
          <cell r="D1185" t="str">
            <v>超覚醒ハーシェル</v>
          </cell>
          <cell r="E1185" t="str">
            <v>アリス</v>
          </cell>
          <cell r="F1185" t="str">
            <v>世界観</v>
          </cell>
          <cell r="G1185" t="str">
            <v>不明</v>
          </cell>
          <cell r="H1185" t="str">
            <v>yellow</v>
          </cell>
          <cell r="I1185">
            <v>6</v>
          </cell>
          <cell r="J1185" t="str">
            <v>PremiumSSS</v>
          </cell>
          <cell r="K1185" t="str">
            <v>attack</v>
          </cell>
          <cell r="L1185" t="str">
            <v>攻撃タイプ</v>
          </cell>
          <cell r="M1185" t="str">
            <v>academia</v>
          </cell>
        </row>
        <row r="1186">
          <cell r="A1186">
            <v>1185</v>
          </cell>
          <cell r="B1186" t="str">
            <v>ja</v>
          </cell>
          <cell r="C1186" t="str">
            <v>兆銀河団の星観者 ハーシェル</v>
          </cell>
          <cell r="D1186" t="str">
            <v>超覚醒ハーシェル</v>
          </cell>
          <cell r="E1186" t="str">
            <v>アリス</v>
          </cell>
          <cell r="F1186" t="str">
            <v>世界観</v>
          </cell>
          <cell r="G1186" t="str">
            <v>不明</v>
          </cell>
          <cell r="H1186" t="str">
            <v>yellow</v>
          </cell>
          <cell r="I1186">
            <v>6</v>
          </cell>
          <cell r="J1186" t="str">
            <v>PremiumSSS</v>
          </cell>
          <cell r="K1186" t="str">
            <v>heal</v>
          </cell>
          <cell r="L1186" t="str">
            <v>回復タイプ</v>
          </cell>
          <cell r="M1186" t="str">
            <v>academia</v>
          </cell>
        </row>
        <row r="1187">
          <cell r="A1187">
            <v>1186</v>
          </cell>
          <cell r="B1187" t="str">
            <v>ja</v>
          </cell>
          <cell r="C1187" t="str">
            <v>超疾の最理者 フェルマー</v>
          </cell>
          <cell r="H1187" t="str">
            <v>yellow</v>
          </cell>
          <cell r="I1187">
            <v>6</v>
          </cell>
          <cell r="J1187" t="str">
            <v>PremiumSSS</v>
          </cell>
          <cell r="K1187" t="str">
            <v>balance</v>
          </cell>
          <cell r="L1187" t="str">
            <v>バランスタイプ</v>
          </cell>
          <cell r="M1187" t="str">
            <v>academia</v>
          </cell>
        </row>
        <row r="1188">
          <cell r="A1188">
            <v>1187</v>
          </cell>
          <cell r="B1188" t="str">
            <v>ja</v>
          </cell>
          <cell r="C1188" t="str">
            <v>ハッピーハロウィン ポチ</v>
          </cell>
          <cell r="H1188" t="str">
            <v>red</v>
          </cell>
          <cell r="I1188">
            <v>1</v>
          </cell>
          <cell r="J1188" t="str">
            <v>Drop1T</v>
          </cell>
          <cell r="K1188" t="str">
            <v>heal</v>
          </cell>
          <cell r="L1188" t="str">
            <v>回復タイプ</v>
          </cell>
          <cell r="M1188" t="str">
            <v>unknown</v>
          </cell>
        </row>
        <row r="1189">
          <cell r="A1189">
            <v>1188</v>
          </cell>
          <cell r="B1189" t="str">
            <v>ja</v>
          </cell>
          <cell r="C1189" t="str">
            <v>ハッピーハロウィン ジョー</v>
          </cell>
          <cell r="H1189" t="str">
            <v>green</v>
          </cell>
          <cell r="I1189">
            <v>1</v>
          </cell>
          <cell r="J1189" t="str">
            <v>Drop1T</v>
          </cell>
          <cell r="K1189" t="str">
            <v>balance</v>
          </cell>
          <cell r="L1189" t="str">
            <v>バランスタイプ</v>
          </cell>
          <cell r="M1189" t="str">
            <v>unknown</v>
          </cell>
        </row>
        <row r="1190">
          <cell r="A1190">
            <v>1189</v>
          </cell>
          <cell r="B1190" t="str">
            <v>ja</v>
          </cell>
          <cell r="C1190" t="str">
            <v>ハッピーハロウィン ジェリー</v>
          </cell>
          <cell r="H1190" t="str">
            <v>blue</v>
          </cell>
          <cell r="I1190">
            <v>1</v>
          </cell>
          <cell r="J1190" t="str">
            <v>Drop1T</v>
          </cell>
          <cell r="K1190" t="str">
            <v>attack</v>
          </cell>
          <cell r="L1190" t="str">
            <v>攻撃タイプ</v>
          </cell>
          <cell r="M1190" t="str">
            <v>unknown</v>
          </cell>
        </row>
        <row r="1191">
          <cell r="A1191">
            <v>1190</v>
          </cell>
          <cell r="B1191" t="str">
            <v>ja</v>
          </cell>
          <cell r="C1191" t="str">
            <v>ハッピーハロウィン エレキポット</v>
          </cell>
          <cell r="H1191" t="str">
            <v>yellow</v>
          </cell>
          <cell r="I1191">
            <v>1</v>
          </cell>
          <cell r="J1191" t="str">
            <v>Drop1T</v>
          </cell>
          <cell r="K1191" t="str">
            <v>attack</v>
          </cell>
          <cell r="L1191" t="str">
            <v>攻撃タイプ</v>
          </cell>
          <cell r="M1191" t="str">
            <v>unknown</v>
          </cell>
        </row>
        <row r="1192">
          <cell r="A1192">
            <v>1191</v>
          </cell>
          <cell r="B1192" t="str">
            <v>ja</v>
          </cell>
          <cell r="C1192" t="str">
            <v>ドルチェ</v>
          </cell>
          <cell r="D1192" t="str">
            <v>未定</v>
          </cell>
          <cell r="E1192" t="str">
            <v>アリス</v>
          </cell>
          <cell r="F1192" t="str">
            <v>世界観</v>
          </cell>
          <cell r="G1192" t="str">
            <v>不明</v>
          </cell>
          <cell r="H1192" t="str">
            <v>yellow</v>
          </cell>
          <cell r="I1192">
            <v>5</v>
          </cell>
          <cell r="J1192" t="str">
            <v>DropWizS</v>
          </cell>
          <cell r="K1192" t="str">
            <v>technical</v>
          </cell>
          <cell r="L1192" t="str">
            <v>テクニカルタイプ</v>
          </cell>
          <cell r="M1192" t="str">
            <v>unknown</v>
          </cell>
        </row>
        <row r="1193">
          <cell r="A1193">
            <v>1192</v>
          </cell>
          <cell r="B1193" t="str">
            <v>ja</v>
          </cell>
          <cell r="C1193" t="str">
            <v>徹宵悪戯の甘美魔 ドルチェ</v>
          </cell>
          <cell r="D1193" t="str">
            <v>未定</v>
          </cell>
          <cell r="E1193" t="str">
            <v>アリス</v>
          </cell>
          <cell r="F1193" t="str">
            <v>世界観</v>
          </cell>
          <cell r="G1193" t="str">
            <v>不明</v>
          </cell>
          <cell r="H1193" t="str">
            <v>yellow</v>
          </cell>
          <cell r="I1193">
            <v>6</v>
          </cell>
          <cell r="J1193" t="str">
            <v>DropWizS</v>
          </cell>
          <cell r="K1193" t="str">
            <v>balance</v>
          </cell>
          <cell r="L1193" t="str">
            <v>バランスタイプ</v>
          </cell>
          <cell r="M1193" t="str">
            <v>unknown</v>
          </cell>
        </row>
        <row r="1194">
          <cell r="A1194">
            <v>1193</v>
          </cell>
          <cell r="B1194" t="str">
            <v>ja</v>
          </cell>
          <cell r="C1194" t="str">
            <v>血飢なる夜想卿 ランスロット</v>
          </cell>
          <cell r="D1194" t="str">
            <v>未定</v>
          </cell>
          <cell r="E1194" t="str">
            <v>アリス</v>
          </cell>
          <cell r="F1194" t="str">
            <v>世界観</v>
          </cell>
          <cell r="G1194" t="str">
            <v>不明</v>
          </cell>
          <cell r="H1194" t="str">
            <v>red</v>
          </cell>
          <cell r="I1194">
            <v>6</v>
          </cell>
          <cell r="J1194" t="str">
            <v>PremiumSS</v>
          </cell>
          <cell r="K1194" t="str">
            <v>attack</v>
          </cell>
          <cell r="L1194" t="str">
            <v>攻撃タイプ</v>
          </cell>
          <cell r="M1194" t="str">
            <v>human</v>
          </cell>
        </row>
        <row r="1195">
          <cell r="A1195">
            <v>1194</v>
          </cell>
          <cell r="B1195" t="str">
            <v>ja</v>
          </cell>
          <cell r="C1195" t="str">
            <v>ハーヴェスト</v>
          </cell>
          <cell r="D1195" t="str">
            <v>未定</v>
          </cell>
          <cell r="E1195" t="str">
            <v>アリス</v>
          </cell>
          <cell r="F1195" t="str">
            <v>世界観</v>
          </cell>
          <cell r="G1195" t="str">
            <v>不明</v>
          </cell>
          <cell r="H1195" t="str">
            <v>green</v>
          </cell>
          <cell r="I1195">
            <v>5</v>
          </cell>
          <cell r="J1195" t="str">
            <v>PremiumSS</v>
          </cell>
          <cell r="K1195" t="str">
            <v>balance</v>
          </cell>
          <cell r="L1195" t="str">
            <v>バランスタイプ</v>
          </cell>
          <cell r="M1195" t="str">
            <v>unknown</v>
          </cell>
        </row>
        <row r="1196">
          <cell r="A1196">
            <v>1195</v>
          </cell>
          <cell r="B1196" t="str">
            <v>ja</v>
          </cell>
          <cell r="C1196" t="str">
            <v>賑夜の幼魔 ハーヴェスト</v>
          </cell>
          <cell r="D1196" t="str">
            <v>未定</v>
          </cell>
          <cell r="E1196" t="str">
            <v>アリス</v>
          </cell>
          <cell r="F1196" t="str">
            <v>世界観</v>
          </cell>
          <cell r="G1196" t="str">
            <v>不明</v>
          </cell>
          <cell r="H1196" t="str">
            <v>green</v>
          </cell>
          <cell r="I1196">
            <v>6</v>
          </cell>
          <cell r="J1196" t="str">
            <v>PremiumSS</v>
          </cell>
          <cell r="K1196" t="str">
            <v>balance</v>
          </cell>
          <cell r="L1196" t="str">
            <v>バランスタイプ</v>
          </cell>
          <cell r="M1196" t="str">
            <v>unknown</v>
          </cell>
        </row>
        <row r="1197">
          <cell r="A1197">
            <v>1196</v>
          </cell>
          <cell r="B1197" t="str">
            <v>ja</v>
          </cell>
          <cell r="C1197" t="str">
            <v>華装の闇鋏 ラプンツェル</v>
          </cell>
          <cell r="D1197" t="str">
            <v>各属性相性良3・黄・R558</v>
          </cell>
          <cell r="E1197" t="str">
            <v>執行者</v>
          </cell>
          <cell r="F1197" t="str">
            <v>格好いい</v>
          </cell>
          <cell r="G1197" t="str">
            <v>男性</v>
          </cell>
          <cell r="H1197" t="str">
            <v>green</v>
          </cell>
          <cell r="I1197">
            <v>6</v>
          </cell>
          <cell r="J1197" t="str">
            <v>PremiumSS</v>
          </cell>
          <cell r="K1197" t="str">
            <v>balance</v>
          </cell>
          <cell r="L1197" t="str">
            <v>バランスタイプ</v>
          </cell>
          <cell r="M1197" t="str">
            <v>human</v>
          </cell>
        </row>
        <row r="1198">
          <cell r="A1198">
            <v>1197</v>
          </cell>
          <cell r="B1198" t="str">
            <v>ja</v>
          </cell>
          <cell r="C1198" t="str">
            <v>冥装の闇黒魔 バフォメット</v>
          </cell>
          <cell r="D1198" t="str">
            <v>超覚醒ハーシェル</v>
          </cell>
          <cell r="E1198" t="str">
            <v>アリス</v>
          </cell>
          <cell r="F1198" t="str">
            <v>世界観</v>
          </cell>
          <cell r="G1198" t="str">
            <v>不明</v>
          </cell>
          <cell r="H1198" t="str">
            <v>green</v>
          </cell>
          <cell r="I1198">
            <v>5</v>
          </cell>
          <cell r="J1198" t="str">
            <v>PremiumS</v>
          </cell>
          <cell r="K1198" t="str">
            <v>attack</v>
          </cell>
          <cell r="L1198" t="str">
            <v>攻撃タイプ</v>
          </cell>
          <cell r="M1198" t="str">
            <v>demon</v>
          </cell>
        </row>
        <row r="1199">
          <cell r="A1199">
            <v>1198</v>
          </cell>
          <cell r="B1199" t="str">
            <v>ja</v>
          </cell>
          <cell r="C1199" t="str">
            <v>幽縛の霊線 ピノキオ</v>
          </cell>
          <cell r="D1199" t="str">
            <v>超覚醒ハーシェル</v>
          </cell>
          <cell r="E1199" t="str">
            <v>アリス</v>
          </cell>
          <cell r="F1199" t="str">
            <v>世界観</v>
          </cell>
          <cell r="G1199" t="str">
            <v>不明</v>
          </cell>
          <cell r="H1199" t="str">
            <v>blue</v>
          </cell>
          <cell r="I1199">
            <v>5</v>
          </cell>
          <cell r="J1199" t="str">
            <v>PremiumS</v>
          </cell>
          <cell r="K1199" t="str">
            <v>technical</v>
          </cell>
          <cell r="L1199" t="str">
            <v>テクニカルタイプ</v>
          </cell>
          <cell r="M1199" t="str">
            <v>machine</v>
          </cell>
        </row>
        <row r="1200">
          <cell r="A1200">
            <v>1199</v>
          </cell>
          <cell r="B1200" t="str">
            <v>ja</v>
          </cell>
          <cell r="C1200" t="str">
            <v>看装の巡回者 ケルベロス</v>
          </cell>
          <cell r="D1200" t="str">
            <v>超覚醒ハーシェル</v>
          </cell>
          <cell r="E1200" t="str">
            <v>アリス</v>
          </cell>
          <cell r="F1200" t="str">
            <v>世界観</v>
          </cell>
          <cell r="G1200" t="str">
            <v>不明</v>
          </cell>
          <cell r="H1200" t="str">
            <v>yellow</v>
          </cell>
          <cell r="I1200">
            <v>5</v>
          </cell>
          <cell r="J1200" t="str">
            <v>PremiumS</v>
          </cell>
          <cell r="K1200" t="str">
            <v>heal</v>
          </cell>
          <cell r="L1200" t="str">
            <v>回復タイプ</v>
          </cell>
          <cell r="M1200" t="str">
            <v>animal</v>
          </cell>
        </row>
        <row r="1201">
          <cell r="A1201">
            <v>1200</v>
          </cell>
          <cell r="B1201" t="str">
            <v>ja</v>
          </cell>
          <cell r="C1201" t="str">
            <v>サイクロプス</v>
          </cell>
          <cell r="H1201" t="str">
            <v>blue</v>
          </cell>
          <cell r="I1201">
            <v>4</v>
          </cell>
          <cell r="J1201" t="str">
            <v>Drop2N</v>
          </cell>
          <cell r="K1201" t="str">
            <v>technical</v>
          </cell>
          <cell r="L1201" t="str">
            <v>テクニカルタイプ</v>
          </cell>
          <cell r="M1201" t="str">
            <v>unknown</v>
          </cell>
        </row>
        <row r="1202">
          <cell r="A1202">
            <v>1201</v>
          </cell>
          <cell r="B1202" t="str">
            <v>ja</v>
          </cell>
          <cell r="C1202" t="str">
            <v>器装の眼囚徒 サイクロプス</v>
          </cell>
          <cell r="H1202" t="str">
            <v>blue</v>
          </cell>
          <cell r="I1202">
            <v>5</v>
          </cell>
          <cell r="J1202" t="str">
            <v>Drop2N</v>
          </cell>
          <cell r="K1202" t="str">
            <v>technical</v>
          </cell>
          <cell r="L1202" t="str">
            <v>テクニカルタイプ</v>
          </cell>
          <cell r="M1202" t="str">
            <v>unknown</v>
          </cell>
        </row>
        <row r="1203">
          <cell r="A1203">
            <v>1202</v>
          </cell>
          <cell r="B1203" t="str">
            <v>ja</v>
          </cell>
          <cell r="C1203" t="str">
            <v>ウラヌス</v>
          </cell>
          <cell r="H1203" t="str">
            <v>red</v>
          </cell>
          <cell r="I1203">
            <v>5</v>
          </cell>
          <cell r="J1203" t="str">
            <v>DropWizS</v>
          </cell>
          <cell r="K1203" t="str">
            <v>technical</v>
          </cell>
          <cell r="L1203" t="str">
            <v>テクニカルタイプ</v>
          </cell>
          <cell r="M1203" t="str">
            <v>god</v>
          </cell>
        </row>
        <row r="1204">
          <cell r="A1204">
            <v>1203</v>
          </cell>
          <cell r="B1204" t="str">
            <v>ja</v>
          </cell>
          <cell r="C1204" t="str">
            <v>掌星の原天神 ウラヌス</v>
          </cell>
          <cell r="H1204" t="str">
            <v>red</v>
          </cell>
          <cell r="I1204">
            <v>6</v>
          </cell>
          <cell r="J1204" t="str">
            <v>DropWizS</v>
          </cell>
          <cell r="K1204" t="str">
            <v>technical</v>
          </cell>
          <cell r="L1204" t="str">
            <v>テクニカルタイプ</v>
          </cell>
          <cell r="M1204" t="str">
            <v>god</v>
          </cell>
        </row>
        <row r="1205">
          <cell r="A1205">
            <v>1204</v>
          </cell>
          <cell r="B1205" t="str">
            <v>ja</v>
          </cell>
          <cell r="C1205" t="str">
            <v>デルピュネー</v>
          </cell>
          <cell r="H1205" t="str">
            <v>green</v>
          </cell>
          <cell r="I1205">
            <v>5</v>
          </cell>
          <cell r="J1205" t="str">
            <v>DropWizS</v>
          </cell>
          <cell r="K1205" t="str">
            <v>attack</v>
          </cell>
          <cell r="L1205" t="str">
            <v>攻撃タイプ</v>
          </cell>
          <cell r="M1205" t="str">
            <v>god</v>
          </cell>
        </row>
        <row r="1206">
          <cell r="A1206">
            <v>1205</v>
          </cell>
          <cell r="B1206" t="str">
            <v>ja</v>
          </cell>
          <cell r="C1206" t="str">
            <v>襲奪の竜鱗姫 デルピュネー</v>
          </cell>
          <cell r="H1206" t="str">
            <v>green</v>
          </cell>
          <cell r="I1206">
            <v>6</v>
          </cell>
          <cell r="J1206" t="str">
            <v>DropWizS</v>
          </cell>
          <cell r="K1206" t="str">
            <v>attack</v>
          </cell>
          <cell r="L1206" t="str">
            <v>攻撃タイプ</v>
          </cell>
          <cell r="M1206" t="str">
            <v>god</v>
          </cell>
        </row>
        <row r="1207">
          <cell r="A1207">
            <v>1206</v>
          </cell>
          <cell r="B1207" t="str">
            <v>ja</v>
          </cell>
          <cell r="C1207" t="str">
            <v>ヘラ</v>
          </cell>
          <cell r="H1207" t="str">
            <v>yellow</v>
          </cell>
          <cell r="I1207">
            <v>5</v>
          </cell>
          <cell r="J1207" t="str">
            <v>DropWizSS</v>
          </cell>
          <cell r="K1207" t="str">
            <v>technical</v>
          </cell>
          <cell r="L1207" t="str">
            <v>テクニカルタイプ</v>
          </cell>
          <cell r="M1207" t="str">
            <v>god</v>
          </cell>
        </row>
        <row r="1208">
          <cell r="A1208">
            <v>1207</v>
          </cell>
          <cell r="B1208" t="str">
            <v>ja</v>
          </cell>
          <cell r="C1208" t="str">
            <v>典麗なる悋気神 ヘラ</v>
          </cell>
          <cell r="H1208" t="str">
            <v>yellow</v>
          </cell>
          <cell r="I1208">
            <v>6</v>
          </cell>
          <cell r="J1208" t="str">
            <v>DropWizSS</v>
          </cell>
          <cell r="K1208" t="str">
            <v>technical</v>
          </cell>
          <cell r="L1208" t="str">
            <v>テクニカルタイプ</v>
          </cell>
          <cell r="M1208" t="str">
            <v>god</v>
          </cell>
        </row>
        <row r="1209">
          <cell r="A1209">
            <v>1208</v>
          </cell>
          <cell r="B1209" t="str">
            <v>ja</v>
          </cell>
          <cell r="C1209" t="str">
            <v>ネメシス</v>
          </cell>
          <cell r="H1209" t="str">
            <v>red</v>
          </cell>
          <cell r="I1209">
            <v>5</v>
          </cell>
          <cell r="J1209" t="str">
            <v>PremiumSS</v>
          </cell>
          <cell r="K1209" t="str">
            <v>hp</v>
          </cell>
          <cell r="L1209" t="str">
            <v>体力タイプ</v>
          </cell>
          <cell r="M1209" t="str">
            <v>god</v>
          </cell>
        </row>
        <row r="1210">
          <cell r="A1210">
            <v>1209</v>
          </cell>
          <cell r="B1210" t="str">
            <v>ja</v>
          </cell>
          <cell r="C1210" t="str">
            <v>刹那の過罰神 ネメシス</v>
          </cell>
          <cell r="H1210" t="str">
            <v>red</v>
          </cell>
          <cell r="I1210">
            <v>6</v>
          </cell>
          <cell r="J1210" t="str">
            <v>PremiumSS</v>
          </cell>
          <cell r="K1210" t="str">
            <v>hp</v>
          </cell>
          <cell r="L1210" t="str">
            <v>体力タイプ</v>
          </cell>
          <cell r="M1210" t="str">
            <v>god</v>
          </cell>
        </row>
        <row r="1211">
          <cell r="A1211">
            <v>1210</v>
          </cell>
          <cell r="B1211" t="str">
            <v>ja</v>
          </cell>
          <cell r="C1211" t="str">
            <v>ケンタウロス</v>
          </cell>
          <cell r="H1211" t="str">
            <v>green</v>
          </cell>
          <cell r="I1211">
            <v>4</v>
          </cell>
          <cell r="J1211" t="str">
            <v>PremiumS</v>
          </cell>
          <cell r="K1211" t="str">
            <v>attack</v>
          </cell>
          <cell r="L1211" t="str">
            <v>攻撃タイプ</v>
          </cell>
          <cell r="M1211" t="str">
            <v>god</v>
          </cell>
        </row>
        <row r="1212">
          <cell r="A1212">
            <v>1211</v>
          </cell>
          <cell r="B1212" t="str">
            <v>ja</v>
          </cell>
          <cell r="C1212" t="str">
            <v>奏駆の翻騎 ケンタウロス</v>
          </cell>
          <cell r="H1212" t="str">
            <v>green</v>
          </cell>
          <cell r="I1212">
            <v>5</v>
          </cell>
          <cell r="J1212" t="str">
            <v>PremiumS</v>
          </cell>
          <cell r="K1212" t="str">
            <v>attack</v>
          </cell>
          <cell r="L1212" t="str">
            <v>攻撃タイプ</v>
          </cell>
          <cell r="M1212" t="str">
            <v>god</v>
          </cell>
        </row>
        <row r="1213">
          <cell r="A1213">
            <v>1212</v>
          </cell>
          <cell r="B1213" t="str">
            <v>ja</v>
          </cell>
          <cell r="C1213" t="str">
            <v>クロノス</v>
          </cell>
          <cell r="H1213" t="str">
            <v>blue</v>
          </cell>
          <cell r="I1213">
            <v>5</v>
          </cell>
          <cell r="J1213" t="str">
            <v>PremiumSS</v>
          </cell>
          <cell r="K1213" t="str">
            <v>technical</v>
          </cell>
          <cell r="L1213" t="str">
            <v>テクニカルタイプ</v>
          </cell>
          <cell r="M1213" t="str">
            <v>god</v>
          </cell>
        </row>
        <row r="1214">
          <cell r="A1214">
            <v>1213</v>
          </cell>
          <cell r="B1214" t="str">
            <v>ja</v>
          </cell>
          <cell r="C1214" t="str">
            <v>能洪の永地神 クロノス</v>
          </cell>
          <cell r="H1214" t="str">
            <v>blue</v>
          </cell>
          <cell r="I1214">
            <v>6</v>
          </cell>
          <cell r="J1214" t="str">
            <v>PremiumSS</v>
          </cell>
          <cell r="K1214" t="str">
            <v>technical</v>
          </cell>
          <cell r="L1214" t="str">
            <v>テクニカルタイプ</v>
          </cell>
          <cell r="M1214" t="str">
            <v>god</v>
          </cell>
        </row>
        <row r="1215">
          <cell r="A1215">
            <v>1214</v>
          </cell>
          <cell r="B1215" t="str">
            <v>ja</v>
          </cell>
          <cell r="C1215" t="str">
            <v>アルテミス</v>
          </cell>
          <cell r="H1215" t="str">
            <v>yellow</v>
          </cell>
          <cell r="I1215">
            <v>5</v>
          </cell>
          <cell r="J1215" t="str">
            <v>PremiumSSw</v>
          </cell>
          <cell r="K1215" t="str">
            <v>balance</v>
          </cell>
          <cell r="L1215" t="str">
            <v>バランスタイプ</v>
          </cell>
          <cell r="M1215" t="str">
            <v>god</v>
          </cell>
        </row>
        <row r="1216">
          <cell r="A1216">
            <v>1215</v>
          </cell>
          <cell r="B1216" t="str">
            <v>ja</v>
          </cell>
          <cell r="C1216" t="str">
            <v>穿潮の雷月神 アルテミス</v>
          </cell>
          <cell r="H1216" t="str">
            <v>yellow</v>
          </cell>
          <cell r="I1216">
            <v>6</v>
          </cell>
          <cell r="J1216" t="str">
            <v>PremiumSSw</v>
          </cell>
          <cell r="K1216" t="str">
            <v>balance</v>
          </cell>
          <cell r="L1216" t="str">
            <v>バランスタイプ</v>
          </cell>
          <cell r="M1216" t="str">
            <v>god</v>
          </cell>
        </row>
        <row r="1217">
          <cell r="A1217">
            <v>1216</v>
          </cell>
          <cell r="B1217" t="str">
            <v>ja</v>
          </cell>
          <cell r="C1217" t="str">
            <v>梶井基次郎</v>
          </cell>
          <cell r="H1217" t="str">
            <v>green</v>
          </cell>
          <cell r="I1217">
            <v>4</v>
          </cell>
          <cell r="J1217" t="str">
            <v>Drop2N</v>
          </cell>
          <cell r="K1217" t="str">
            <v>attack</v>
          </cell>
          <cell r="L1217" t="str">
            <v>攻撃タイプ</v>
          </cell>
          <cell r="M1217" t="str">
            <v>human</v>
          </cell>
        </row>
        <row r="1218">
          <cell r="A1218">
            <v>1217</v>
          </cell>
          <cell r="B1218" t="str">
            <v>ja</v>
          </cell>
          <cell r="C1218" t="str">
            <v>鮮彩の鬱情 梶井基次郎</v>
          </cell>
          <cell r="H1218" t="str">
            <v>green</v>
          </cell>
          <cell r="I1218">
            <v>5</v>
          </cell>
          <cell r="J1218" t="str">
            <v>Drop2N</v>
          </cell>
          <cell r="K1218" t="str">
            <v>attack</v>
          </cell>
          <cell r="L1218" t="str">
            <v>攻撃タイプ</v>
          </cell>
          <cell r="M1218" t="str">
            <v>human</v>
          </cell>
        </row>
        <row r="1219">
          <cell r="A1219">
            <v>1218</v>
          </cell>
          <cell r="B1219" t="str">
            <v>ja</v>
          </cell>
          <cell r="C1219" t="str">
            <v>太宰治</v>
          </cell>
          <cell r="H1219" t="str">
            <v>blue</v>
          </cell>
          <cell r="I1219">
            <v>5</v>
          </cell>
          <cell r="J1219" t="str">
            <v>DropWizS</v>
          </cell>
          <cell r="K1219" t="str">
            <v>hp</v>
          </cell>
          <cell r="L1219" t="str">
            <v>体力タイプ</v>
          </cell>
          <cell r="M1219" t="str">
            <v>human</v>
          </cell>
        </row>
        <row r="1220">
          <cell r="A1220">
            <v>1219</v>
          </cell>
          <cell r="B1220" t="str">
            <v>ja</v>
          </cell>
          <cell r="C1220" t="str">
            <v>世絶の失格者 太宰治</v>
          </cell>
          <cell r="H1220" t="str">
            <v>blue</v>
          </cell>
          <cell r="I1220">
            <v>6</v>
          </cell>
          <cell r="J1220" t="str">
            <v>DropWizS</v>
          </cell>
          <cell r="K1220" t="str">
            <v>hp</v>
          </cell>
          <cell r="L1220" t="str">
            <v>体力タイプ</v>
          </cell>
          <cell r="M1220" t="str">
            <v>human</v>
          </cell>
        </row>
        <row r="1221">
          <cell r="A1221">
            <v>1220</v>
          </cell>
          <cell r="B1221" t="str">
            <v>ja</v>
          </cell>
          <cell r="C1221" t="str">
            <v>シェイクスピア</v>
          </cell>
          <cell r="H1221" t="str">
            <v>yellow</v>
          </cell>
          <cell r="I1221">
            <v>5</v>
          </cell>
          <cell r="J1221" t="str">
            <v>DropWizS</v>
          </cell>
          <cell r="K1221" t="str">
            <v>balance</v>
          </cell>
          <cell r="L1221" t="str">
            <v>バランスタイプ</v>
          </cell>
          <cell r="M1221" t="str">
            <v>human</v>
          </cell>
        </row>
        <row r="1222">
          <cell r="A1222">
            <v>1221</v>
          </cell>
          <cell r="B1222" t="str">
            <v>ja</v>
          </cell>
          <cell r="C1222" t="str">
            <v>命愛の恋劇家 シェイクスピア</v>
          </cell>
          <cell r="H1222" t="str">
            <v>yellow</v>
          </cell>
          <cell r="I1222">
            <v>6</v>
          </cell>
          <cell r="J1222" t="str">
            <v>DropWizS</v>
          </cell>
          <cell r="K1222" t="str">
            <v>balance</v>
          </cell>
          <cell r="L1222" t="str">
            <v>バランスタイプ</v>
          </cell>
          <cell r="M1222" t="str">
            <v>human</v>
          </cell>
        </row>
        <row r="1223">
          <cell r="A1223">
            <v>1222</v>
          </cell>
          <cell r="B1223" t="str">
            <v>ja</v>
          </cell>
          <cell r="C1223" t="str">
            <v>カフカ</v>
          </cell>
          <cell r="H1223" t="str">
            <v>blue</v>
          </cell>
          <cell r="I1223">
            <v>5</v>
          </cell>
          <cell r="J1223" t="str">
            <v>DropWizSS</v>
          </cell>
          <cell r="K1223" t="str">
            <v>technical</v>
          </cell>
          <cell r="L1223" t="str">
            <v>テクニカルタイプ</v>
          </cell>
          <cell r="M1223" t="str">
            <v>human</v>
          </cell>
        </row>
        <row r="1224">
          <cell r="A1224">
            <v>1223</v>
          </cell>
          <cell r="B1224" t="str">
            <v>ja</v>
          </cell>
          <cell r="C1224" t="str">
            <v>凌蛾の変身 カフカ</v>
          </cell>
          <cell r="H1224" t="str">
            <v>blue</v>
          </cell>
          <cell r="I1224">
            <v>6</v>
          </cell>
          <cell r="J1224" t="str">
            <v>DropWizSS</v>
          </cell>
          <cell r="K1224" t="str">
            <v>technical</v>
          </cell>
          <cell r="L1224" t="str">
            <v>テクニカルタイプ</v>
          </cell>
          <cell r="M1224" t="str">
            <v>human</v>
          </cell>
        </row>
        <row r="1225">
          <cell r="A1225">
            <v>1224</v>
          </cell>
          <cell r="B1225" t="str">
            <v>ja</v>
          </cell>
          <cell r="C1225" t="str">
            <v>セルバンテス</v>
          </cell>
          <cell r="H1225" t="str">
            <v>red</v>
          </cell>
          <cell r="I1225">
            <v>4</v>
          </cell>
          <cell r="J1225" t="str">
            <v>PremiumS</v>
          </cell>
          <cell r="K1225" t="str">
            <v>attack</v>
          </cell>
          <cell r="L1225" t="str">
            <v>攻撃タイプ</v>
          </cell>
          <cell r="M1225" t="str">
            <v>human</v>
          </cell>
        </row>
        <row r="1226">
          <cell r="A1226">
            <v>1225</v>
          </cell>
          <cell r="B1226" t="str">
            <v>ja</v>
          </cell>
          <cell r="C1226" t="str">
            <v>優柔なる風断者 セルバンテス</v>
          </cell>
          <cell r="H1226" t="str">
            <v>red</v>
          </cell>
          <cell r="I1226">
            <v>5</v>
          </cell>
          <cell r="J1226" t="str">
            <v>PremiumS</v>
          </cell>
          <cell r="K1226" t="str">
            <v>attack</v>
          </cell>
          <cell r="L1226" t="str">
            <v>攻撃タイプ</v>
          </cell>
          <cell r="M1226" t="str">
            <v>human</v>
          </cell>
        </row>
        <row r="1227">
          <cell r="A1227">
            <v>1226</v>
          </cell>
          <cell r="B1227" t="str">
            <v>ja</v>
          </cell>
          <cell r="C1227" t="str">
            <v>トルストイ</v>
          </cell>
          <cell r="H1227" t="str">
            <v>green</v>
          </cell>
          <cell r="I1227">
            <v>5</v>
          </cell>
          <cell r="J1227" t="str">
            <v>PremiumSS</v>
          </cell>
          <cell r="K1227" t="str">
            <v>attack</v>
          </cell>
          <cell r="L1227" t="str">
            <v>攻撃タイプ</v>
          </cell>
          <cell r="M1227" t="str">
            <v>human</v>
          </cell>
        </row>
        <row r="1228">
          <cell r="A1228">
            <v>1227</v>
          </cell>
          <cell r="B1228" t="str">
            <v>ja</v>
          </cell>
          <cell r="C1228" t="str">
            <v>欲望の占猟者 トルストイ</v>
          </cell>
          <cell r="H1228" t="str">
            <v>green</v>
          </cell>
          <cell r="I1228">
            <v>6</v>
          </cell>
          <cell r="J1228" t="str">
            <v>PremiumSS</v>
          </cell>
          <cell r="K1228" t="str">
            <v>attack</v>
          </cell>
          <cell r="L1228" t="str">
            <v>攻撃タイプ</v>
          </cell>
          <cell r="M1228" t="str">
            <v>human</v>
          </cell>
        </row>
        <row r="1229">
          <cell r="A1229">
            <v>1228</v>
          </cell>
          <cell r="B1229" t="str">
            <v>ja</v>
          </cell>
          <cell r="C1229" t="str">
            <v>芥川龍之介</v>
          </cell>
          <cell r="H1229" t="str">
            <v>blue</v>
          </cell>
          <cell r="I1229">
            <v>5</v>
          </cell>
          <cell r="J1229" t="str">
            <v>PremiumSSw</v>
          </cell>
          <cell r="K1229" t="str">
            <v>attack</v>
          </cell>
          <cell r="L1229" t="str">
            <v>攻撃タイプ</v>
          </cell>
          <cell r="M1229" t="str">
            <v>human</v>
          </cell>
        </row>
        <row r="1230">
          <cell r="A1230">
            <v>1229</v>
          </cell>
          <cell r="B1230" t="str">
            <v>ja</v>
          </cell>
          <cell r="C1230" t="str">
            <v>羅生の鬼我 芥川龍之介</v>
          </cell>
          <cell r="H1230" t="str">
            <v>blue</v>
          </cell>
          <cell r="I1230">
            <v>6</v>
          </cell>
          <cell r="J1230" t="str">
            <v>PremiumSSw</v>
          </cell>
          <cell r="K1230" t="str">
            <v>attack</v>
          </cell>
          <cell r="L1230" t="str">
            <v>攻撃タイプ</v>
          </cell>
          <cell r="M1230" t="str">
            <v>human</v>
          </cell>
        </row>
        <row r="1231">
          <cell r="A1231">
            <v>1230</v>
          </cell>
          <cell r="B1231" t="str">
            <v>ja</v>
          </cell>
          <cell r="C1231" t="str">
            <v>夏目漱石</v>
          </cell>
          <cell r="H1231" t="str">
            <v>yellow</v>
          </cell>
          <cell r="I1231">
            <v>5</v>
          </cell>
          <cell r="J1231" t="str">
            <v>PremiumSS</v>
          </cell>
          <cell r="K1231" t="str">
            <v>heal</v>
          </cell>
          <cell r="L1231" t="str">
            <v>回復タイプ</v>
          </cell>
          <cell r="M1231" t="str">
            <v>animal</v>
          </cell>
        </row>
        <row r="1232">
          <cell r="A1232">
            <v>1231</v>
          </cell>
          <cell r="B1232" t="str">
            <v>ja</v>
          </cell>
          <cell r="C1232" t="str">
            <v>思索する愛猫 夏目漱石</v>
          </cell>
          <cell r="H1232" t="str">
            <v>yellow</v>
          </cell>
          <cell r="I1232">
            <v>6</v>
          </cell>
          <cell r="J1232" t="str">
            <v>PremiumSS</v>
          </cell>
          <cell r="K1232" t="str">
            <v>heal</v>
          </cell>
          <cell r="L1232" t="str">
            <v>回復タイプ</v>
          </cell>
          <cell r="M1232" t="str">
            <v>animal</v>
          </cell>
        </row>
        <row r="1233">
          <cell r="A1233">
            <v>1232</v>
          </cell>
          <cell r="B1233" t="str">
            <v>ja</v>
          </cell>
          <cell r="C1233" t="str">
            <v>ケプラー</v>
          </cell>
          <cell r="H1233" t="str">
            <v>yellow</v>
          </cell>
          <cell r="I1233">
            <v>5</v>
          </cell>
          <cell r="J1233" t="str">
            <v>PremiumSSS</v>
          </cell>
          <cell r="K1233" t="str">
            <v>attack</v>
          </cell>
          <cell r="L1233" t="str">
            <v>攻撃タイプ</v>
          </cell>
          <cell r="M1233" t="str">
            <v>academia</v>
          </cell>
        </row>
        <row r="1234">
          <cell r="A1234">
            <v>1233</v>
          </cell>
          <cell r="B1234" t="str">
            <v>ja</v>
          </cell>
          <cell r="C1234" t="str">
            <v>天体の大砲速 ケプラー</v>
          </cell>
          <cell r="H1234" t="str">
            <v>yellow</v>
          </cell>
          <cell r="I1234">
            <v>6</v>
          </cell>
          <cell r="J1234" t="str">
            <v>PremiumSSS</v>
          </cell>
          <cell r="K1234" t="str">
            <v>attack</v>
          </cell>
          <cell r="L1234" t="str">
            <v>攻撃タイプ</v>
          </cell>
          <cell r="M1234" t="str">
            <v>academia</v>
          </cell>
        </row>
        <row r="1235">
          <cell r="A1235">
            <v>1234</v>
          </cell>
          <cell r="B1235" t="str">
            <v>ja</v>
          </cell>
          <cell r="C1235" t="str">
            <v>ボーア</v>
          </cell>
          <cell r="H1235" t="str">
            <v>red</v>
          </cell>
          <cell r="I1235">
            <v>5</v>
          </cell>
          <cell r="J1235" t="str">
            <v>PremiumSSS</v>
          </cell>
          <cell r="K1235" t="str">
            <v>attack</v>
          </cell>
          <cell r="L1235" t="str">
            <v>攻撃タイプ</v>
          </cell>
          <cell r="M1235" t="str">
            <v>academia</v>
          </cell>
        </row>
        <row r="1236">
          <cell r="A1236">
            <v>1235</v>
          </cell>
          <cell r="B1236" t="str">
            <v>ja</v>
          </cell>
          <cell r="C1236" t="str">
            <v>哲壁の育護者 ボーア</v>
          </cell>
          <cell r="H1236" t="str">
            <v>red</v>
          </cell>
          <cell r="I1236">
            <v>6</v>
          </cell>
          <cell r="J1236" t="str">
            <v>PremiumSSS</v>
          </cell>
          <cell r="K1236" t="str">
            <v>attack</v>
          </cell>
          <cell r="L1236" t="str">
            <v>攻撃タイプ</v>
          </cell>
          <cell r="M1236" t="str">
            <v>academia</v>
          </cell>
        </row>
        <row r="1237">
          <cell r="A1237">
            <v>1236</v>
          </cell>
          <cell r="B1237" t="str">
            <v>ja</v>
          </cell>
          <cell r="C1237" t="str">
            <v>千利休</v>
          </cell>
          <cell r="H1237" t="str">
            <v>yellow</v>
          </cell>
          <cell r="I1237">
            <v>4</v>
          </cell>
          <cell r="J1237" t="str">
            <v>Drop2N</v>
          </cell>
          <cell r="K1237" t="str">
            <v>balance</v>
          </cell>
          <cell r="L1237" t="str">
            <v>バランスタイプ</v>
          </cell>
          <cell r="M1237" t="str">
            <v>unknown</v>
          </cell>
        </row>
        <row r="1238">
          <cell r="A1238">
            <v>1237</v>
          </cell>
          <cell r="B1238" t="str">
            <v>ja</v>
          </cell>
          <cell r="C1238" t="str">
            <v>夢茶の目付役 千利休</v>
          </cell>
          <cell r="H1238" t="str">
            <v>yellow</v>
          </cell>
          <cell r="I1238">
            <v>5</v>
          </cell>
          <cell r="J1238" t="str">
            <v>Drop2N</v>
          </cell>
          <cell r="K1238" t="str">
            <v>balance</v>
          </cell>
          <cell r="L1238" t="str">
            <v>バランスタイプ</v>
          </cell>
          <cell r="M1238" t="str">
            <v>unknown</v>
          </cell>
        </row>
        <row r="1239">
          <cell r="A1239">
            <v>1238</v>
          </cell>
          <cell r="B1239" t="str">
            <v>ja</v>
          </cell>
          <cell r="C1239" t="str">
            <v>服部半蔵</v>
          </cell>
          <cell r="H1239" t="str">
            <v>green</v>
          </cell>
          <cell r="I1239">
            <v>5</v>
          </cell>
          <cell r="J1239" t="str">
            <v>DropWizS</v>
          </cell>
          <cell r="K1239" t="str">
            <v>technical</v>
          </cell>
          <cell r="L1239" t="str">
            <v>テクニカルタイプ</v>
          </cell>
          <cell r="M1239" t="str">
            <v>human</v>
          </cell>
        </row>
        <row r="1240">
          <cell r="A1240">
            <v>1239</v>
          </cell>
          <cell r="B1240" t="str">
            <v>ja</v>
          </cell>
          <cell r="C1240" t="str">
            <v>音無の機密忍 服部半蔵</v>
          </cell>
          <cell r="H1240" t="str">
            <v>green</v>
          </cell>
          <cell r="I1240">
            <v>6</v>
          </cell>
          <cell r="J1240" t="str">
            <v>DropWizS</v>
          </cell>
          <cell r="K1240" t="str">
            <v>technical</v>
          </cell>
          <cell r="L1240" t="str">
            <v>テクニカルタイプ</v>
          </cell>
          <cell r="M1240" t="str">
            <v>human</v>
          </cell>
        </row>
        <row r="1241">
          <cell r="A1241">
            <v>1240</v>
          </cell>
          <cell r="B1241" t="str">
            <v>ja</v>
          </cell>
          <cell r="C1241" t="str">
            <v>竹中半兵衛</v>
          </cell>
          <cell r="H1241" t="str">
            <v>blue</v>
          </cell>
          <cell r="I1241">
            <v>5</v>
          </cell>
          <cell r="J1241" t="str">
            <v>DropWizS</v>
          </cell>
          <cell r="K1241" t="str">
            <v>hp</v>
          </cell>
          <cell r="L1241" t="str">
            <v>体力タイプ</v>
          </cell>
          <cell r="M1241" t="str">
            <v>human</v>
          </cell>
        </row>
        <row r="1242">
          <cell r="A1242">
            <v>1241</v>
          </cell>
          <cell r="B1242" t="str">
            <v>ja</v>
          </cell>
          <cell r="C1242" t="str">
            <v>巧妙なる嬢舌 竹中半兵衛</v>
          </cell>
          <cell r="H1242" t="str">
            <v>blue</v>
          </cell>
          <cell r="I1242">
            <v>6</v>
          </cell>
          <cell r="J1242" t="str">
            <v>DropWizS</v>
          </cell>
          <cell r="K1242" t="str">
            <v>hp</v>
          </cell>
          <cell r="L1242" t="str">
            <v>体力タイプ</v>
          </cell>
          <cell r="M1242" t="str">
            <v>human</v>
          </cell>
        </row>
        <row r="1243">
          <cell r="A1243">
            <v>1242</v>
          </cell>
          <cell r="B1243" t="str">
            <v>ja</v>
          </cell>
          <cell r="C1243" t="str">
            <v>豊臣秀吉</v>
          </cell>
          <cell r="H1243" t="str">
            <v>red</v>
          </cell>
          <cell r="I1243">
            <v>5</v>
          </cell>
          <cell r="J1243" t="str">
            <v>DropWizSS</v>
          </cell>
          <cell r="K1243" t="str">
            <v>balance</v>
          </cell>
          <cell r="L1243" t="str">
            <v>バランスタイプ</v>
          </cell>
          <cell r="M1243" t="str">
            <v>human</v>
          </cell>
        </row>
        <row r="1244">
          <cell r="A1244">
            <v>1243</v>
          </cell>
          <cell r="B1244" t="str">
            <v>ja</v>
          </cell>
          <cell r="C1244" t="str">
            <v>新世覇の昇竜 豊臣秀吉</v>
          </cell>
          <cell r="H1244" t="str">
            <v>red</v>
          </cell>
          <cell r="I1244">
            <v>6</v>
          </cell>
          <cell r="J1244" t="str">
            <v>DropWizSS</v>
          </cell>
          <cell r="K1244" t="str">
            <v>balance</v>
          </cell>
          <cell r="L1244" t="str">
            <v>バランスタイプ</v>
          </cell>
          <cell r="M1244" t="str">
            <v>human</v>
          </cell>
        </row>
        <row r="1245">
          <cell r="A1245">
            <v>1244</v>
          </cell>
          <cell r="B1245" t="str">
            <v>ja</v>
          </cell>
          <cell r="C1245" t="str">
            <v>猿飛佐助</v>
          </cell>
          <cell r="H1245" t="str">
            <v>red</v>
          </cell>
          <cell r="I1245">
            <v>5</v>
          </cell>
          <cell r="J1245" t="str">
            <v>PremiumSS</v>
          </cell>
          <cell r="K1245" t="str">
            <v>attack</v>
          </cell>
          <cell r="L1245" t="str">
            <v>攻撃タイプ</v>
          </cell>
          <cell r="M1245" t="str">
            <v>human</v>
          </cell>
        </row>
        <row r="1246">
          <cell r="A1246">
            <v>1245</v>
          </cell>
          <cell r="B1246" t="str">
            <v>ja</v>
          </cell>
          <cell r="C1246" t="str">
            <v>甲火の特殊忍 猿飛佐助</v>
          </cell>
          <cell r="H1246" t="str">
            <v>red</v>
          </cell>
          <cell r="I1246">
            <v>6</v>
          </cell>
          <cell r="J1246" t="str">
            <v>PremiumSS</v>
          </cell>
          <cell r="K1246" t="str">
            <v>attack</v>
          </cell>
          <cell r="L1246" t="str">
            <v>攻撃タイプ</v>
          </cell>
          <cell r="M1246" t="str">
            <v>human</v>
          </cell>
        </row>
        <row r="1247">
          <cell r="A1247">
            <v>1246</v>
          </cell>
          <cell r="B1247" t="str">
            <v>ja</v>
          </cell>
          <cell r="C1247" t="str">
            <v>望月千代女</v>
          </cell>
          <cell r="H1247" t="str">
            <v>green</v>
          </cell>
          <cell r="I1247">
            <v>5</v>
          </cell>
          <cell r="J1247" t="str">
            <v>PremiumSS</v>
          </cell>
          <cell r="K1247" t="str">
            <v>heal</v>
          </cell>
          <cell r="L1247" t="str">
            <v>回復タイプ</v>
          </cell>
          <cell r="M1247" t="str">
            <v>human</v>
          </cell>
        </row>
        <row r="1248">
          <cell r="A1248">
            <v>1247</v>
          </cell>
          <cell r="B1248" t="str">
            <v>ja</v>
          </cell>
          <cell r="C1248" t="str">
            <v>潜情のくノ一 望月千代女</v>
          </cell>
          <cell r="H1248" t="str">
            <v>green</v>
          </cell>
          <cell r="I1248">
            <v>6</v>
          </cell>
          <cell r="J1248" t="str">
            <v>PremiumSS</v>
          </cell>
          <cell r="K1248" t="str">
            <v>heal</v>
          </cell>
          <cell r="L1248" t="str">
            <v>回復タイプ</v>
          </cell>
          <cell r="M1248" t="str">
            <v>human</v>
          </cell>
        </row>
        <row r="1249">
          <cell r="A1249">
            <v>1248</v>
          </cell>
          <cell r="B1249" t="str">
            <v>ja</v>
          </cell>
          <cell r="C1249" t="str">
            <v>寧々</v>
          </cell>
          <cell r="H1249" t="str">
            <v>blue</v>
          </cell>
          <cell r="I1249">
            <v>4</v>
          </cell>
          <cell r="J1249" t="str">
            <v>PremiumS</v>
          </cell>
          <cell r="K1249" t="str">
            <v>heal</v>
          </cell>
          <cell r="L1249" t="str">
            <v>回復タイプ</v>
          </cell>
          <cell r="M1249" t="str">
            <v>human</v>
          </cell>
        </row>
        <row r="1250">
          <cell r="A1250">
            <v>1249</v>
          </cell>
          <cell r="B1250" t="str">
            <v>ja</v>
          </cell>
          <cell r="C1250" t="str">
            <v>君臨する姐御様 寧々</v>
          </cell>
          <cell r="H1250" t="str">
            <v>blue</v>
          </cell>
          <cell r="I1250">
            <v>5</v>
          </cell>
          <cell r="J1250" t="str">
            <v>PremiumS</v>
          </cell>
          <cell r="K1250" t="str">
            <v>heal</v>
          </cell>
          <cell r="L1250" t="str">
            <v>回復タイプ</v>
          </cell>
          <cell r="M1250" t="str">
            <v>human</v>
          </cell>
        </row>
        <row r="1251">
          <cell r="A1251">
            <v>1250</v>
          </cell>
          <cell r="B1251" t="str">
            <v>ja</v>
          </cell>
          <cell r="C1251" t="str">
            <v>真田幸村</v>
          </cell>
          <cell r="H1251" t="str">
            <v>yellow</v>
          </cell>
          <cell r="I1251">
            <v>5</v>
          </cell>
          <cell r="J1251" t="str">
            <v>PremiumSSw</v>
          </cell>
          <cell r="K1251" t="str">
            <v>attack</v>
          </cell>
          <cell r="L1251" t="str">
            <v>攻撃タイプ</v>
          </cell>
          <cell r="M1251" t="str">
            <v>human</v>
          </cell>
        </row>
        <row r="1252">
          <cell r="A1252">
            <v>1251</v>
          </cell>
          <cell r="B1252" t="str">
            <v>ja</v>
          </cell>
          <cell r="C1252" t="str">
            <v>錯槍の英勇 真田幸村</v>
          </cell>
          <cell r="H1252" t="str">
            <v>yellow</v>
          </cell>
          <cell r="I1252">
            <v>6</v>
          </cell>
          <cell r="J1252" t="str">
            <v>PremiumSSw</v>
          </cell>
          <cell r="K1252" t="str">
            <v>attack</v>
          </cell>
          <cell r="L1252" t="str">
            <v>攻撃タイプ</v>
          </cell>
          <cell r="M1252" t="str">
            <v>human</v>
          </cell>
        </row>
        <row r="1253">
          <cell r="A1253">
            <v>1252</v>
          </cell>
          <cell r="B1253" t="str">
            <v>ja</v>
          </cell>
          <cell r="C1253" t="str">
            <v>ギャラルホルン</v>
          </cell>
          <cell r="H1253" t="str">
            <v>blue</v>
          </cell>
          <cell r="I1253">
            <v>4</v>
          </cell>
          <cell r="J1253" t="str">
            <v>Drop2N</v>
          </cell>
          <cell r="K1253" t="str">
            <v>balance</v>
          </cell>
          <cell r="L1253" t="str">
            <v>バランスタイプ</v>
          </cell>
          <cell r="M1253" t="str">
            <v>god</v>
          </cell>
        </row>
        <row r="1254">
          <cell r="A1254">
            <v>1253</v>
          </cell>
          <cell r="B1254" t="str">
            <v>ja</v>
          </cell>
          <cell r="C1254" t="str">
            <v>吹聴する廃徊者 ギャラルホルン</v>
          </cell>
          <cell r="H1254" t="str">
            <v>blue</v>
          </cell>
          <cell r="I1254">
            <v>5</v>
          </cell>
          <cell r="J1254" t="str">
            <v>Drop2N</v>
          </cell>
          <cell r="K1254" t="str">
            <v>balance</v>
          </cell>
          <cell r="L1254" t="str">
            <v>バランスタイプ</v>
          </cell>
          <cell r="M1254" t="str">
            <v>god</v>
          </cell>
        </row>
        <row r="1255">
          <cell r="A1255">
            <v>1254</v>
          </cell>
          <cell r="B1255" t="str">
            <v>ja</v>
          </cell>
          <cell r="C1255" t="str">
            <v>スリュム</v>
          </cell>
          <cell r="H1255" t="str">
            <v>green</v>
          </cell>
          <cell r="I1255">
            <v>5</v>
          </cell>
          <cell r="J1255" t="str">
            <v>DropWizS</v>
          </cell>
          <cell r="K1255" t="str">
            <v>balance</v>
          </cell>
          <cell r="L1255" t="str">
            <v>バランスタイプ</v>
          </cell>
          <cell r="M1255" t="str">
            <v>unknown</v>
          </cell>
        </row>
        <row r="1256">
          <cell r="A1256">
            <v>1255</v>
          </cell>
          <cell r="B1256" t="str">
            <v>ja</v>
          </cell>
          <cell r="C1256" t="str">
            <v>驕奢の神犯 スリュム</v>
          </cell>
          <cell r="H1256" t="str">
            <v>green</v>
          </cell>
          <cell r="I1256">
            <v>6</v>
          </cell>
          <cell r="J1256" t="str">
            <v>DropWizS</v>
          </cell>
          <cell r="K1256" t="str">
            <v>balance</v>
          </cell>
          <cell r="L1256" t="str">
            <v>バランスタイプ</v>
          </cell>
          <cell r="M1256" t="str">
            <v>unknown</v>
          </cell>
        </row>
        <row r="1257">
          <cell r="A1257">
            <v>1256</v>
          </cell>
          <cell r="B1257" t="str">
            <v>ja</v>
          </cell>
          <cell r="C1257" t="str">
            <v>ヘル</v>
          </cell>
          <cell r="H1257" t="str">
            <v>yellow</v>
          </cell>
          <cell r="I1257">
            <v>5</v>
          </cell>
          <cell r="J1257" t="str">
            <v>DropWizS</v>
          </cell>
          <cell r="K1257" t="str">
            <v>heal</v>
          </cell>
          <cell r="L1257" t="str">
            <v>回復タイプ</v>
          </cell>
          <cell r="M1257" t="str">
            <v>god</v>
          </cell>
        </row>
        <row r="1258">
          <cell r="A1258">
            <v>1257</v>
          </cell>
          <cell r="B1258" t="str">
            <v>ja</v>
          </cell>
          <cell r="C1258" t="str">
            <v>危能の幼魔神 ヘル</v>
          </cell>
          <cell r="H1258" t="str">
            <v>yellow</v>
          </cell>
          <cell r="I1258">
            <v>6</v>
          </cell>
          <cell r="J1258" t="str">
            <v>DropWizS</v>
          </cell>
          <cell r="K1258" t="str">
            <v>heal</v>
          </cell>
          <cell r="L1258" t="str">
            <v>回復タイプ</v>
          </cell>
          <cell r="M1258" t="str">
            <v>god</v>
          </cell>
        </row>
        <row r="1259">
          <cell r="A1259">
            <v>1258</v>
          </cell>
          <cell r="B1259" t="str">
            <v>ja</v>
          </cell>
          <cell r="C1259" t="str">
            <v>ロキ</v>
          </cell>
          <cell r="H1259" t="str">
            <v>green</v>
          </cell>
          <cell r="I1259">
            <v>5</v>
          </cell>
          <cell r="J1259" t="str">
            <v>DropWizSS</v>
          </cell>
          <cell r="K1259" t="str">
            <v>balance</v>
          </cell>
          <cell r="L1259" t="str">
            <v>バランスタイプ</v>
          </cell>
          <cell r="M1259" t="str">
            <v>god</v>
          </cell>
        </row>
        <row r="1260">
          <cell r="A1260">
            <v>1259</v>
          </cell>
          <cell r="B1260" t="str">
            <v>ja</v>
          </cell>
          <cell r="C1260" t="str">
            <v>崩世を叫ぶ悪戯 ロキ</v>
          </cell>
          <cell r="H1260" t="str">
            <v>green</v>
          </cell>
          <cell r="I1260">
            <v>6</v>
          </cell>
          <cell r="J1260" t="str">
            <v>DropWizSS</v>
          </cell>
          <cell r="K1260" t="str">
            <v>balance</v>
          </cell>
          <cell r="L1260" t="str">
            <v>バランスタイプ</v>
          </cell>
          <cell r="M1260" t="str">
            <v>god</v>
          </cell>
        </row>
        <row r="1261">
          <cell r="A1261">
            <v>1260</v>
          </cell>
          <cell r="B1261" t="str">
            <v>ja</v>
          </cell>
          <cell r="C1261" t="str">
            <v>トール</v>
          </cell>
          <cell r="H1261" t="str">
            <v>red</v>
          </cell>
          <cell r="I1261">
            <v>5</v>
          </cell>
          <cell r="J1261" t="str">
            <v>PremiumSS</v>
          </cell>
          <cell r="K1261" t="str">
            <v>balance</v>
          </cell>
          <cell r="L1261" t="str">
            <v>バランスタイプ</v>
          </cell>
          <cell r="M1261" t="str">
            <v>god</v>
          </cell>
        </row>
        <row r="1262">
          <cell r="A1262">
            <v>1261</v>
          </cell>
          <cell r="B1262" t="str">
            <v>ja</v>
          </cell>
          <cell r="C1262" t="str">
            <v>燃雷の鎚撃 トール</v>
          </cell>
          <cell r="H1262" t="str">
            <v>red</v>
          </cell>
          <cell r="I1262">
            <v>6</v>
          </cell>
          <cell r="J1262" t="str">
            <v>PremiumSS</v>
          </cell>
          <cell r="K1262" t="str">
            <v>balance</v>
          </cell>
          <cell r="L1262" t="str">
            <v>バランスタイプ</v>
          </cell>
          <cell r="M1262" t="str">
            <v>god</v>
          </cell>
        </row>
        <row r="1263">
          <cell r="A1263">
            <v>1262</v>
          </cell>
          <cell r="B1263" t="str">
            <v>ja</v>
          </cell>
          <cell r="C1263" t="str">
            <v>イズン</v>
          </cell>
          <cell r="H1263" t="str">
            <v>green</v>
          </cell>
          <cell r="I1263">
            <v>5</v>
          </cell>
          <cell r="J1263" t="str">
            <v>PremiumSSw</v>
          </cell>
          <cell r="K1263" t="str">
            <v>heal</v>
          </cell>
          <cell r="L1263" t="str">
            <v>回復タイプ</v>
          </cell>
          <cell r="M1263" t="str">
            <v>god</v>
          </cell>
        </row>
        <row r="1264">
          <cell r="A1264">
            <v>1263</v>
          </cell>
          <cell r="B1264" t="str">
            <v>ja</v>
          </cell>
          <cell r="C1264" t="str">
            <v>純朴なる檻理人 イズン</v>
          </cell>
          <cell r="H1264" t="str">
            <v>green</v>
          </cell>
          <cell r="I1264">
            <v>6</v>
          </cell>
          <cell r="J1264" t="str">
            <v>PremiumSSw</v>
          </cell>
          <cell r="K1264" t="str">
            <v>heal</v>
          </cell>
          <cell r="L1264" t="str">
            <v>回復タイプ</v>
          </cell>
          <cell r="M1264" t="str">
            <v>god</v>
          </cell>
        </row>
        <row r="1265">
          <cell r="A1265">
            <v>1264</v>
          </cell>
          <cell r="B1265" t="str">
            <v>ja</v>
          </cell>
          <cell r="C1265" t="str">
            <v>ウルズ</v>
          </cell>
          <cell r="H1265" t="str">
            <v>blue</v>
          </cell>
          <cell r="I1265">
            <v>5</v>
          </cell>
          <cell r="J1265" t="str">
            <v>PremiumSS</v>
          </cell>
          <cell r="K1265" t="str">
            <v>heal</v>
          </cell>
          <cell r="L1265" t="str">
            <v>回復タイプ</v>
          </cell>
          <cell r="M1265" t="str">
            <v>god</v>
          </cell>
        </row>
        <row r="1266">
          <cell r="A1266">
            <v>1265</v>
          </cell>
          <cell r="B1266" t="str">
            <v>ja</v>
          </cell>
          <cell r="C1266" t="str">
            <v>静観する世限者 ウルズ</v>
          </cell>
          <cell r="H1266" t="str">
            <v>blue</v>
          </cell>
          <cell r="I1266">
            <v>6</v>
          </cell>
          <cell r="J1266" t="str">
            <v>PremiumSS</v>
          </cell>
          <cell r="K1266" t="str">
            <v>heal</v>
          </cell>
          <cell r="L1266" t="str">
            <v>回復タイプ</v>
          </cell>
          <cell r="M1266" t="str">
            <v>god</v>
          </cell>
        </row>
        <row r="1267">
          <cell r="A1267">
            <v>1266</v>
          </cell>
          <cell r="B1267" t="str">
            <v>ja</v>
          </cell>
          <cell r="C1267" t="str">
            <v>ガルム</v>
          </cell>
          <cell r="H1267" t="str">
            <v>yellow</v>
          </cell>
          <cell r="I1267">
            <v>4</v>
          </cell>
          <cell r="J1267" t="str">
            <v>PremiumS</v>
          </cell>
          <cell r="K1267" t="str">
            <v>hp</v>
          </cell>
          <cell r="L1267" t="str">
            <v>体力タイプ</v>
          </cell>
          <cell r="M1267" t="str">
            <v>god</v>
          </cell>
        </row>
        <row r="1268">
          <cell r="A1268">
            <v>1267</v>
          </cell>
          <cell r="B1268" t="str">
            <v>ja</v>
          </cell>
          <cell r="C1268" t="str">
            <v>不遜の冥番犬 ガルム</v>
          </cell>
          <cell r="H1268" t="str">
            <v>yellow</v>
          </cell>
          <cell r="I1268">
            <v>5</v>
          </cell>
          <cell r="J1268" t="str">
            <v>PremiumS</v>
          </cell>
          <cell r="K1268" t="str">
            <v>hp</v>
          </cell>
          <cell r="L1268" t="str">
            <v>体力タイプ</v>
          </cell>
          <cell r="M1268" t="str">
            <v>god</v>
          </cell>
        </row>
        <row r="1269">
          <cell r="A1269">
            <v>1268</v>
          </cell>
          <cell r="B1269" t="str">
            <v>ja</v>
          </cell>
          <cell r="C1269" t="str">
            <v>ローズ</v>
          </cell>
          <cell r="H1269" t="str">
            <v>red</v>
          </cell>
          <cell r="I1269">
            <v>5</v>
          </cell>
          <cell r="J1269" t="str">
            <v>DropWizSSS</v>
          </cell>
          <cell r="K1269" t="str">
            <v>attack</v>
          </cell>
          <cell r="L1269" t="str">
            <v>攻撃タイプ</v>
          </cell>
          <cell r="M1269" t="str">
            <v>queen</v>
          </cell>
        </row>
        <row r="1270">
          <cell r="A1270">
            <v>1269</v>
          </cell>
          <cell r="B1270" t="str">
            <v>ja</v>
          </cell>
          <cell r="C1270" t="str">
            <v>エルフラムの女王 ローズ</v>
          </cell>
          <cell r="H1270" t="str">
            <v>red</v>
          </cell>
          <cell r="I1270">
            <v>6</v>
          </cell>
          <cell r="J1270" t="str">
            <v>DropWizSSS</v>
          </cell>
          <cell r="K1270" t="str">
            <v>attack</v>
          </cell>
          <cell r="L1270" t="str">
            <v>攻撃タイプ</v>
          </cell>
          <cell r="M1270" t="str">
            <v>queen</v>
          </cell>
        </row>
        <row r="1271">
          <cell r="A1271">
            <v>1270</v>
          </cell>
          <cell r="B1271" t="str">
            <v>ja</v>
          </cell>
          <cell r="C1271" t="str">
            <v>コードレッド超覚醒</v>
          </cell>
          <cell r="H1271" t="str">
            <v>red</v>
          </cell>
          <cell r="I1271">
            <v>6</v>
          </cell>
          <cell r="J1271" t="str">
            <v>PremiumSSS</v>
          </cell>
          <cell r="K1271" t="str">
            <v>attack</v>
          </cell>
          <cell r="L1271" t="str">
            <v>攻撃タイプ</v>
          </cell>
          <cell r="M1271" t="str">
            <v>queen</v>
          </cell>
        </row>
        <row r="1272">
          <cell r="A1272">
            <v>1271</v>
          </cell>
          <cell r="B1272" t="str">
            <v>ja</v>
          </cell>
          <cell r="C1272" t="str">
            <v>ローズ(旧)</v>
          </cell>
          <cell r="H1272" t="str">
            <v>red</v>
          </cell>
          <cell r="I1272">
            <v>5</v>
          </cell>
          <cell r="J1272" t="str">
            <v>DropWizSSS</v>
          </cell>
          <cell r="K1272" t="str">
            <v>attack</v>
          </cell>
          <cell r="L1272" t="str">
            <v>攻撃タイプ</v>
          </cell>
          <cell r="M1272" t="str">
            <v>queen</v>
          </cell>
        </row>
        <row r="1273">
          <cell r="A1273">
            <v>1272</v>
          </cell>
          <cell r="B1273" t="str">
            <v>ja</v>
          </cell>
          <cell r="C1273" t="str">
            <v>エルフラムの女王 ローズ(旧)</v>
          </cell>
          <cell r="H1273" t="str">
            <v>red</v>
          </cell>
          <cell r="I1273">
            <v>6</v>
          </cell>
          <cell r="J1273" t="str">
            <v>DropWizSSS</v>
          </cell>
          <cell r="K1273" t="str">
            <v>attack</v>
          </cell>
          <cell r="L1273" t="str">
            <v>攻撃タイプ</v>
          </cell>
          <cell r="M1273" t="str">
            <v>queen</v>
          </cell>
        </row>
        <row r="1274">
          <cell r="A1274">
            <v>1273</v>
          </cell>
          <cell r="B1274" t="str">
            <v>ja</v>
          </cell>
          <cell r="C1274" t="str">
            <v>炎影纏う征討者 織田信長</v>
          </cell>
          <cell r="H1274" t="str">
            <v>red</v>
          </cell>
          <cell r="I1274">
            <v>6</v>
          </cell>
          <cell r="J1274" t="str">
            <v>DropWizSS</v>
          </cell>
          <cell r="K1274" t="str">
            <v>balance</v>
          </cell>
          <cell r="L1274" t="str">
            <v>バランスタイプ</v>
          </cell>
          <cell r="M1274" t="str">
            <v>human</v>
          </cell>
        </row>
        <row r="1275">
          <cell r="A1275">
            <v>1274</v>
          </cell>
          <cell r="B1275" t="str">
            <v>ja</v>
          </cell>
          <cell r="C1275" t="str">
            <v>神雪と戯れる聖母 マリア</v>
          </cell>
          <cell r="H1275" t="str">
            <v>blue</v>
          </cell>
          <cell r="I1275">
            <v>6</v>
          </cell>
          <cell r="J1275" t="str">
            <v>PremiumSS</v>
          </cell>
          <cell r="K1275" t="str">
            <v>heal</v>
          </cell>
          <cell r="L1275" t="str">
            <v>回復タイプ</v>
          </cell>
          <cell r="M1275" t="str">
            <v>human</v>
          </cell>
        </row>
        <row r="1276">
          <cell r="A1276">
            <v>1275</v>
          </cell>
          <cell r="B1276" t="str">
            <v>ja</v>
          </cell>
          <cell r="C1276" t="str">
            <v>聖進の贈炎 クリスマス・ベリアル</v>
          </cell>
          <cell r="H1276" t="str">
            <v>red</v>
          </cell>
          <cell r="I1276">
            <v>6</v>
          </cell>
          <cell r="J1276" t="str">
            <v>PremiumS</v>
          </cell>
          <cell r="K1276" t="str">
            <v>attack</v>
          </cell>
          <cell r="L1276" t="str">
            <v>攻撃タイプ</v>
          </cell>
          <cell r="M1276" t="str">
            <v>god</v>
          </cell>
        </row>
        <row r="1277">
          <cell r="A1277">
            <v>1276</v>
          </cell>
          <cell r="B1277" t="str">
            <v>ja</v>
          </cell>
          <cell r="C1277" t="str">
            <v>聖宴の主彩 サンタクロース・オセ</v>
          </cell>
          <cell r="H1277" t="str">
            <v>green</v>
          </cell>
          <cell r="I1277">
            <v>6</v>
          </cell>
          <cell r="J1277" t="str">
            <v>PremiumS</v>
          </cell>
          <cell r="K1277" t="str">
            <v>attack</v>
          </cell>
          <cell r="L1277" t="str">
            <v>攻撃タイプ</v>
          </cell>
          <cell r="M1277" t="str">
            <v>god</v>
          </cell>
        </row>
        <row r="1278">
          <cell r="A1278">
            <v>1277</v>
          </cell>
          <cell r="B1278" t="str">
            <v>ja</v>
          </cell>
          <cell r="C1278" t="str">
            <v>彩鈴鳴らす聖天使 ミカエル・イヴ</v>
          </cell>
          <cell r="H1278" t="str">
            <v>yellow</v>
          </cell>
          <cell r="I1278">
            <v>6</v>
          </cell>
          <cell r="J1278" t="str">
            <v>PremiumS</v>
          </cell>
          <cell r="K1278" t="str">
            <v>attack</v>
          </cell>
          <cell r="L1278" t="str">
            <v>攻撃タイプ</v>
          </cell>
          <cell r="M1278" t="str">
            <v>god</v>
          </cell>
        </row>
        <row r="1279">
          <cell r="A1279">
            <v>1278</v>
          </cell>
          <cell r="B1279" t="str">
            <v>ja</v>
          </cell>
          <cell r="C1279" t="str">
            <v>ラチカ</v>
          </cell>
          <cell r="H1279" t="str">
            <v>yellow</v>
          </cell>
          <cell r="I1279">
            <v>5</v>
          </cell>
          <cell r="J1279" t="str">
            <v>PremiumSS</v>
          </cell>
          <cell r="K1279" t="str">
            <v>hp</v>
          </cell>
          <cell r="L1279" t="str">
            <v>体力タイプ</v>
          </cell>
          <cell r="M1279" t="str">
            <v>unknown</v>
          </cell>
        </row>
        <row r="1280">
          <cell r="A1280">
            <v>1279</v>
          </cell>
          <cell r="B1280" t="str">
            <v>ja</v>
          </cell>
          <cell r="C1280" t="str">
            <v>霜聖の雪姫 ラチカ</v>
          </cell>
          <cell r="H1280" t="str">
            <v>yellow</v>
          </cell>
          <cell r="I1280">
            <v>6</v>
          </cell>
          <cell r="J1280" t="str">
            <v>PremiumSS</v>
          </cell>
          <cell r="K1280" t="str">
            <v>hp</v>
          </cell>
          <cell r="L1280" t="str">
            <v>体力タイプ</v>
          </cell>
          <cell r="M1280" t="str">
            <v>unknown</v>
          </cell>
        </row>
        <row r="1281">
          <cell r="A1281">
            <v>1280</v>
          </cell>
          <cell r="B1281" t="str">
            <v>ja</v>
          </cell>
          <cell r="C1281" t="str">
            <v>聖装の始祖帝 クリスマス卑弥呼</v>
          </cell>
          <cell r="H1281" t="str">
            <v>blue</v>
          </cell>
          <cell r="I1281">
            <v>5</v>
          </cell>
          <cell r="J1281" t="str">
            <v>PremiumS</v>
          </cell>
          <cell r="K1281" t="str">
            <v>balance</v>
          </cell>
          <cell r="L1281" t="str">
            <v>バランスタイプ</v>
          </cell>
          <cell r="M1281" t="str">
            <v>human</v>
          </cell>
        </row>
        <row r="1282">
          <cell r="A1282">
            <v>1281</v>
          </cell>
          <cell r="B1282" t="str">
            <v>ja</v>
          </cell>
          <cell r="C1282" t="str">
            <v>愛贈の白魔 ノエル・エスタブ</v>
          </cell>
          <cell r="H1282" t="str">
            <v>green</v>
          </cell>
          <cell r="I1282">
            <v>5</v>
          </cell>
          <cell r="J1282" t="str">
            <v>PremiumS</v>
          </cell>
          <cell r="K1282" t="str">
            <v>attack</v>
          </cell>
          <cell r="L1282" t="str">
            <v>攻撃タイプ</v>
          </cell>
          <cell r="M1282" t="str">
            <v>human</v>
          </cell>
        </row>
        <row r="1283">
          <cell r="A1283">
            <v>1282</v>
          </cell>
          <cell r="B1283" t="str">
            <v>ja</v>
          </cell>
          <cell r="C1283" t="str">
            <v>ポーラとダニー</v>
          </cell>
          <cell r="H1283" t="str">
            <v>red</v>
          </cell>
          <cell r="I1283">
            <v>5</v>
          </cell>
          <cell r="J1283" t="str">
            <v>DropWizS</v>
          </cell>
          <cell r="K1283" t="str">
            <v>balance</v>
          </cell>
          <cell r="L1283" t="str">
            <v>バランスタイプ</v>
          </cell>
          <cell r="M1283" t="str">
            <v>unknown</v>
          </cell>
        </row>
        <row r="1284">
          <cell r="A1284">
            <v>1283</v>
          </cell>
          <cell r="B1284" t="str">
            <v>ja</v>
          </cell>
          <cell r="C1284" t="str">
            <v>連極の機関砲 ポーラとダニー</v>
          </cell>
          <cell r="H1284" t="str">
            <v>red</v>
          </cell>
          <cell r="I1284">
            <v>6</v>
          </cell>
          <cell r="J1284" t="str">
            <v>DropWizS</v>
          </cell>
          <cell r="K1284" t="str">
            <v>balance</v>
          </cell>
          <cell r="L1284" t="str">
            <v>バランスタイプ</v>
          </cell>
          <cell r="M1284" t="str">
            <v>unknown</v>
          </cell>
        </row>
        <row r="1285">
          <cell r="A1285">
            <v>1284</v>
          </cell>
          <cell r="B1285" t="str">
            <v>ja</v>
          </cell>
          <cell r="C1285" t="str">
            <v>マシン・シュプール</v>
          </cell>
          <cell r="H1285" t="str">
            <v>blue</v>
          </cell>
          <cell r="I1285">
            <v>5</v>
          </cell>
          <cell r="J1285" t="str">
            <v>DropWizS</v>
          </cell>
          <cell r="K1285" t="str">
            <v>hp</v>
          </cell>
          <cell r="L1285" t="str">
            <v>体力タイプ</v>
          </cell>
          <cell r="M1285" t="str">
            <v>unknown</v>
          </cell>
        </row>
        <row r="1286">
          <cell r="A1286">
            <v>1285</v>
          </cell>
          <cell r="B1286" t="str">
            <v>ja</v>
          </cell>
          <cell r="C1286" t="str">
            <v>災氷の魔導 シュプール</v>
          </cell>
          <cell r="H1286" t="str">
            <v>blue</v>
          </cell>
          <cell r="I1286">
            <v>6</v>
          </cell>
          <cell r="J1286" t="str">
            <v>DropWizS</v>
          </cell>
          <cell r="K1286" t="str">
            <v>hp</v>
          </cell>
          <cell r="L1286" t="str">
            <v>体力タイプ</v>
          </cell>
          <cell r="M1286" t="str">
            <v>unknown</v>
          </cell>
        </row>
        <row r="1287">
          <cell r="A1287">
            <v>1286</v>
          </cell>
          <cell r="B1287" t="str">
            <v>ja</v>
          </cell>
          <cell r="C1287" t="str">
            <v>ニコラ</v>
          </cell>
          <cell r="H1287" t="str">
            <v>yellow</v>
          </cell>
          <cell r="I1287">
            <v>5</v>
          </cell>
          <cell r="J1287" t="str">
            <v>PremiumSSS</v>
          </cell>
          <cell r="K1287" t="str">
            <v>hp</v>
          </cell>
          <cell r="L1287" t="str">
            <v>体力タイプ</v>
          </cell>
          <cell r="M1287" t="str">
            <v>human</v>
          </cell>
        </row>
        <row r="1288">
          <cell r="A1288">
            <v>1287</v>
          </cell>
          <cell r="B1288" t="str">
            <v>ja</v>
          </cell>
          <cell r="C1288" t="str">
            <v>奇蹟呼ぶ聖砲 ニコラ</v>
          </cell>
          <cell r="H1288" t="str">
            <v>yellow</v>
          </cell>
          <cell r="I1288">
            <v>6</v>
          </cell>
          <cell r="J1288" t="str">
            <v>PremiumSSS</v>
          </cell>
          <cell r="K1288" t="str">
            <v>hp</v>
          </cell>
          <cell r="L1288" t="str">
            <v>体力タイプ</v>
          </cell>
          <cell r="M1288" t="str">
            <v>human</v>
          </cell>
        </row>
        <row r="1289">
          <cell r="A1289">
            <v>1288</v>
          </cell>
          <cell r="B1289" t="str">
            <v>ja</v>
          </cell>
          <cell r="C1289" t="str">
            <v>聖伝の大主教 セント・ニコラ</v>
          </cell>
          <cell r="H1289" t="str">
            <v>yellow</v>
          </cell>
          <cell r="I1289">
            <v>6</v>
          </cell>
          <cell r="J1289" t="str">
            <v>PremiumSSS</v>
          </cell>
          <cell r="K1289" t="str">
            <v>hp</v>
          </cell>
          <cell r="L1289" t="str">
            <v>体力タイプ</v>
          </cell>
          <cell r="M1289" t="str">
            <v>human</v>
          </cell>
        </row>
        <row r="1290">
          <cell r="A1290">
            <v>1289</v>
          </cell>
          <cell r="B1290" t="str">
            <v>ja</v>
          </cell>
          <cell r="C1290" t="str">
            <v>聖封の褒装 ベルベット</v>
          </cell>
          <cell r="H1290" t="str">
            <v>blue</v>
          </cell>
          <cell r="I1290">
            <v>6</v>
          </cell>
          <cell r="J1290" t="str">
            <v>DropWizSSS</v>
          </cell>
          <cell r="K1290" t="str">
            <v>balance</v>
          </cell>
          <cell r="L1290" t="str">
            <v>バランスタイプ</v>
          </cell>
          <cell r="M1290" t="str">
            <v>unknown</v>
          </cell>
        </row>
        <row r="1291">
          <cell r="A1291">
            <v>1290</v>
          </cell>
          <cell r="B1291" t="str">
            <v>ja</v>
          </cell>
          <cell r="C1291" t="str">
            <v>想飾の響鐘 リンジー</v>
          </cell>
          <cell r="H1291" t="str">
            <v>blue</v>
          </cell>
          <cell r="I1291">
            <v>6</v>
          </cell>
          <cell r="J1291" t="str">
            <v>DropWizSSS</v>
          </cell>
          <cell r="K1291" t="str">
            <v>attack</v>
          </cell>
          <cell r="L1291" t="str">
            <v>攻撃タイプ</v>
          </cell>
          <cell r="M1291" t="str">
            <v>unknown</v>
          </cell>
        </row>
        <row r="1292">
          <cell r="A1292">
            <v>1291</v>
          </cell>
          <cell r="B1292" t="str">
            <v>ja</v>
          </cell>
          <cell r="C1292" t="str">
            <v>望雅の煌明鹿剣 勘兵衛</v>
          </cell>
          <cell r="H1292" t="str">
            <v>yellow</v>
          </cell>
          <cell r="I1292">
            <v>5</v>
          </cell>
          <cell r="J1292" t="str">
            <v>DropWizS</v>
          </cell>
          <cell r="K1292" t="str">
            <v>technical</v>
          </cell>
          <cell r="L1292" t="str">
            <v>テクニカルタイプ</v>
          </cell>
          <cell r="M1292" t="str">
            <v>animal</v>
          </cell>
        </row>
        <row r="1293">
          <cell r="A1293">
            <v>1292</v>
          </cell>
          <cell r="B1293" t="str">
            <v>ja</v>
          </cell>
          <cell r="C1293" t="str">
            <v>風光明媚の雅鹿剣 勘兵衛</v>
          </cell>
          <cell r="H1293" t="str">
            <v>yellow</v>
          </cell>
          <cell r="I1293">
            <v>6</v>
          </cell>
          <cell r="J1293" t="str">
            <v>DropWizS</v>
          </cell>
          <cell r="K1293" t="str">
            <v>technical</v>
          </cell>
          <cell r="L1293" t="str">
            <v>テクニカルタイプ</v>
          </cell>
          <cell r="M1293" t="str">
            <v>animal</v>
          </cell>
        </row>
        <row r="1294">
          <cell r="A1294">
            <v>1293</v>
          </cell>
          <cell r="B1294" t="str">
            <v>ja</v>
          </cell>
          <cell r="C1294" t="str">
            <v>トトリ</v>
          </cell>
          <cell r="H1294" t="str">
            <v>red</v>
          </cell>
          <cell r="I1294">
            <v>5</v>
          </cell>
          <cell r="J1294" t="str">
            <v>DropWizS</v>
          </cell>
          <cell r="K1294" t="str">
            <v>balance</v>
          </cell>
          <cell r="L1294" t="str">
            <v>バランスタイプ</v>
          </cell>
          <cell r="M1294" t="str">
            <v>animal</v>
          </cell>
        </row>
        <row r="1295">
          <cell r="A1295">
            <v>1294</v>
          </cell>
          <cell r="B1295" t="str">
            <v>ja</v>
          </cell>
          <cell r="C1295" t="str">
            <v>酉賀なる初飛翔 トトリ</v>
          </cell>
          <cell r="H1295" t="str">
            <v>red</v>
          </cell>
          <cell r="I1295">
            <v>6</v>
          </cell>
          <cell r="J1295" t="str">
            <v>DropWizS</v>
          </cell>
          <cell r="K1295" t="str">
            <v>balance</v>
          </cell>
          <cell r="L1295" t="str">
            <v>バランスタイプ</v>
          </cell>
          <cell r="M1295" t="str">
            <v>animal</v>
          </cell>
        </row>
        <row r="1296">
          <cell r="A1296">
            <v>1295</v>
          </cell>
          <cell r="B1296" t="str">
            <v>ja</v>
          </cell>
          <cell r="C1296" t="str">
            <v>星空の舞奏 ラビット・ユキネ</v>
          </cell>
          <cell r="H1296" t="str">
            <v>blue</v>
          </cell>
          <cell r="I1296">
            <v>5</v>
          </cell>
          <cell r="J1296" t="str">
            <v>DropWizS</v>
          </cell>
          <cell r="K1296" t="str">
            <v>balance</v>
          </cell>
          <cell r="L1296" t="str">
            <v>バランスタイプ</v>
          </cell>
          <cell r="M1296" t="str">
            <v>unknown</v>
          </cell>
        </row>
        <row r="1297">
          <cell r="A1297">
            <v>1296</v>
          </cell>
          <cell r="B1297" t="str">
            <v>ja</v>
          </cell>
          <cell r="C1297" t="str">
            <v>星々駆ける乱奏 ラビット・ユキネ</v>
          </cell>
          <cell r="H1297" t="str">
            <v>blue</v>
          </cell>
          <cell r="I1297">
            <v>6</v>
          </cell>
          <cell r="J1297" t="str">
            <v>DropWizS</v>
          </cell>
          <cell r="K1297" t="str">
            <v>balance</v>
          </cell>
          <cell r="L1297" t="str">
            <v>バランスタイプ</v>
          </cell>
          <cell r="M1297" t="str">
            <v>unknown</v>
          </cell>
        </row>
        <row r="1298">
          <cell r="A1298">
            <v>1297</v>
          </cell>
          <cell r="B1298" t="str">
            <v>ja</v>
          </cell>
          <cell r="C1298" t="str">
            <v>雪ミク2017</v>
          </cell>
          <cell r="H1298" t="str">
            <v>green</v>
          </cell>
          <cell r="I1298">
            <v>5</v>
          </cell>
          <cell r="J1298" t="str">
            <v>DropWizS</v>
          </cell>
          <cell r="K1298" t="str">
            <v>heal</v>
          </cell>
          <cell r="L1298" t="str">
            <v>回復タイプ</v>
          </cell>
          <cell r="M1298" t="str">
            <v>unknown</v>
          </cell>
        </row>
        <row r="1299">
          <cell r="A1299">
            <v>1298</v>
          </cell>
          <cell r="B1299" t="str">
            <v>ja</v>
          </cell>
          <cell r="C1299" t="str">
            <v>星空の歌姫 雪ミク2017</v>
          </cell>
          <cell r="H1299" t="str">
            <v>green</v>
          </cell>
          <cell r="I1299">
            <v>6</v>
          </cell>
          <cell r="J1299" t="str">
            <v>DropWizS</v>
          </cell>
          <cell r="K1299" t="str">
            <v>heal</v>
          </cell>
          <cell r="L1299" t="str">
            <v>回復タイプ</v>
          </cell>
          <cell r="M1299" t="str">
            <v>unknown</v>
          </cell>
        </row>
        <row r="1300">
          <cell r="A1300">
            <v>1299</v>
          </cell>
          <cell r="B1300" t="str">
            <v>ja</v>
          </cell>
          <cell r="C1300" t="str">
            <v>覚世の楽聖姫 初音ミクV3</v>
          </cell>
          <cell r="H1300" t="str">
            <v>yellow</v>
          </cell>
          <cell r="I1300">
            <v>6</v>
          </cell>
          <cell r="J1300" t="str">
            <v>DropWizS</v>
          </cell>
          <cell r="K1300" t="str">
            <v>balance</v>
          </cell>
          <cell r="L1300" t="str">
            <v>バランスタイプ</v>
          </cell>
          <cell r="M1300" t="str">
            <v>unknown</v>
          </cell>
        </row>
        <row r="1301">
          <cell r="A1301">
            <v>1300</v>
          </cell>
          <cell r="B1301" t="str">
            <v>ja</v>
          </cell>
          <cell r="C1301" t="str">
            <v>歌装の彩唱 紫式部</v>
          </cell>
          <cell r="H1301" t="str">
            <v>green</v>
          </cell>
          <cell r="I1301">
            <v>5</v>
          </cell>
          <cell r="J1301" t="str">
            <v>DropWizS</v>
          </cell>
          <cell r="K1301" t="str">
            <v>technical</v>
          </cell>
          <cell r="L1301" t="str">
            <v>テクニカルタイプ</v>
          </cell>
          <cell r="M1301" t="str">
            <v>unknown</v>
          </cell>
        </row>
        <row r="1302">
          <cell r="A1302">
            <v>1301</v>
          </cell>
          <cell r="B1302" t="str">
            <v>ja</v>
          </cell>
          <cell r="C1302" t="str">
            <v>歌装の萌響女 紫式部</v>
          </cell>
          <cell r="H1302" t="str">
            <v>green</v>
          </cell>
          <cell r="I1302">
            <v>6</v>
          </cell>
          <cell r="J1302" t="str">
            <v>DropWizS</v>
          </cell>
          <cell r="K1302" t="str">
            <v>technical</v>
          </cell>
          <cell r="L1302" t="str">
            <v>テクニカルタイプ</v>
          </cell>
          <cell r="M1302" t="str">
            <v>unknown</v>
          </cell>
        </row>
        <row r="1303">
          <cell r="A1303">
            <v>1302</v>
          </cell>
          <cell r="B1303" t="str">
            <v>ja</v>
          </cell>
          <cell r="C1303" t="str">
            <v>超天突符 イナバ</v>
          </cell>
          <cell r="H1303" t="str">
            <v>yellow</v>
          </cell>
          <cell r="I1303">
            <v>5</v>
          </cell>
          <cell r="J1303" t="str">
            <v>DropWizS</v>
          </cell>
          <cell r="K1303" t="str">
            <v>balance</v>
          </cell>
          <cell r="L1303" t="str">
            <v>バランスタイプ</v>
          </cell>
          <cell r="M1303" t="str">
            <v>unknown</v>
          </cell>
        </row>
        <row r="1304">
          <cell r="A1304">
            <v>1303</v>
          </cell>
          <cell r="B1304" t="str">
            <v>ja</v>
          </cell>
          <cell r="C1304" t="str">
            <v>転調･超天突符 イナバ</v>
          </cell>
          <cell r="H1304" t="str">
            <v>yellow</v>
          </cell>
          <cell r="I1304">
            <v>6</v>
          </cell>
          <cell r="J1304" t="str">
            <v>DropWizS</v>
          </cell>
          <cell r="K1304" t="str">
            <v>balance</v>
          </cell>
          <cell r="L1304" t="str">
            <v>バランスタイプ</v>
          </cell>
          <cell r="M1304" t="str">
            <v>unknown</v>
          </cell>
        </row>
        <row r="1305">
          <cell r="A1305">
            <v>1304</v>
          </cell>
          <cell r="B1305" t="str">
            <v>ja</v>
          </cell>
          <cell r="C1305" t="str">
            <v>演鼠の響笛音 ハーメルン</v>
          </cell>
          <cell r="H1305" t="str">
            <v>blue</v>
          </cell>
          <cell r="I1305">
            <v>5</v>
          </cell>
          <cell r="J1305" t="str">
            <v>DropWizS</v>
          </cell>
          <cell r="K1305" t="str">
            <v>technical</v>
          </cell>
          <cell r="L1305" t="str">
            <v>テクニカルタイプ</v>
          </cell>
          <cell r="M1305" t="str">
            <v>unknown</v>
          </cell>
        </row>
        <row r="1306">
          <cell r="A1306">
            <v>1305</v>
          </cell>
          <cell r="B1306" t="str">
            <v>ja</v>
          </cell>
          <cell r="C1306" t="str">
            <v>響界廻る睡鼠楽 ハーメルン</v>
          </cell>
          <cell r="H1306" t="str">
            <v>blue</v>
          </cell>
          <cell r="I1306">
            <v>6</v>
          </cell>
          <cell r="J1306" t="str">
            <v>DropWizS</v>
          </cell>
          <cell r="K1306" t="str">
            <v>technical</v>
          </cell>
          <cell r="L1306" t="str">
            <v>テクニカルタイプ</v>
          </cell>
          <cell r="M1306" t="str">
            <v>unknown</v>
          </cell>
        </row>
        <row r="1307">
          <cell r="A1307">
            <v>1306</v>
          </cell>
          <cell r="B1307" t="str">
            <v>ja</v>
          </cell>
          <cell r="C1307" t="str">
            <v>玉響の唱天 ルシファー</v>
          </cell>
          <cell r="H1307" t="str">
            <v>yellow</v>
          </cell>
          <cell r="I1307">
            <v>5</v>
          </cell>
          <cell r="J1307" t="str">
            <v>DropWizSS</v>
          </cell>
          <cell r="K1307" t="str">
            <v>attack</v>
          </cell>
          <cell r="L1307" t="str">
            <v>攻撃タイプ</v>
          </cell>
          <cell r="M1307" t="str">
            <v>unknown</v>
          </cell>
        </row>
        <row r="1308">
          <cell r="A1308">
            <v>1307</v>
          </cell>
          <cell r="B1308" t="str">
            <v>ja</v>
          </cell>
          <cell r="C1308" t="str">
            <v>彩翼の唱天史 ルシファー</v>
          </cell>
          <cell r="H1308" t="str">
            <v>yellow</v>
          </cell>
          <cell r="I1308">
            <v>6</v>
          </cell>
          <cell r="J1308" t="str">
            <v>DropWizSS</v>
          </cell>
          <cell r="K1308" t="str">
            <v>attack</v>
          </cell>
          <cell r="L1308" t="str">
            <v>攻撃タイプ</v>
          </cell>
          <cell r="M1308" t="str">
            <v>unknown</v>
          </cell>
        </row>
        <row r="1309">
          <cell r="A1309">
            <v>1308</v>
          </cell>
          <cell r="B1309" t="str">
            <v>ja</v>
          </cell>
          <cell r="C1309" t="str">
            <v>革鳴の響奏撃 初音ミク</v>
          </cell>
          <cell r="H1309" t="str">
            <v>green</v>
          </cell>
          <cell r="I1309">
            <v>6</v>
          </cell>
          <cell r="J1309" t="str">
            <v>PremiumSSS</v>
          </cell>
          <cell r="K1309" t="str">
            <v>balance</v>
          </cell>
          <cell r="L1309" t="str">
            <v>バランスタイプ</v>
          </cell>
          <cell r="M1309" t="str">
            <v>unknown</v>
          </cell>
        </row>
        <row r="1310">
          <cell r="A1310">
            <v>1309</v>
          </cell>
          <cell r="B1310" t="str">
            <v>ja</v>
          </cell>
          <cell r="C1310" t="str">
            <v>虹彩の美唱姫 初音ミク・アペンド</v>
          </cell>
          <cell r="H1310" t="str">
            <v>green</v>
          </cell>
          <cell r="I1310">
            <v>6</v>
          </cell>
          <cell r="J1310" t="str">
            <v>PremiumSSS</v>
          </cell>
          <cell r="K1310" t="str">
            <v>technical</v>
          </cell>
          <cell r="L1310" t="str">
            <v>テクニカルタイプ</v>
          </cell>
          <cell r="M1310" t="str">
            <v>unknown</v>
          </cell>
        </row>
        <row r="1311">
          <cell r="A1311">
            <v>1310</v>
          </cell>
          <cell r="B1311" t="str">
            <v>ja</v>
          </cell>
          <cell r="C1311" t="str">
            <v>聖律する歌姫 初音ミク・アペンド</v>
          </cell>
          <cell r="H1311" t="str">
            <v>green</v>
          </cell>
          <cell r="I1311">
            <v>6</v>
          </cell>
          <cell r="J1311" t="str">
            <v>PremiumSSS</v>
          </cell>
          <cell r="K1311" t="str">
            <v>attack</v>
          </cell>
          <cell r="L1311" t="str">
            <v>攻撃タイプ</v>
          </cell>
          <cell r="M1311" t="str">
            <v>unknown</v>
          </cell>
        </row>
        <row r="1312">
          <cell r="A1312">
            <v>1311</v>
          </cell>
          <cell r="B1312" t="str">
            <v>ja</v>
          </cell>
          <cell r="C1312" t="str">
            <v>輪音する大反響 鏡音リン</v>
          </cell>
          <cell r="H1312" t="str">
            <v>yellow</v>
          </cell>
          <cell r="I1312">
            <v>6</v>
          </cell>
          <cell r="J1312" t="str">
            <v>PremiumSS</v>
          </cell>
          <cell r="K1312" t="str">
            <v>balance</v>
          </cell>
          <cell r="L1312" t="str">
            <v>バランスタイプ</v>
          </cell>
          <cell r="M1312" t="str">
            <v>unknown</v>
          </cell>
        </row>
        <row r="1313">
          <cell r="A1313">
            <v>1312</v>
          </cell>
          <cell r="B1313" t="str">
            <v>ja</v>
          </cell>
          <cell r="C1313" t="str">
            <v>連譜する大残響 鏡音レン</v>
          </cell>
          <cell r="H1313" t="str">
            <v>yellow</v>
          </cell>
          <cell r="I1313">
            <v>6</v>
          </cell>
          <cell r="J1313" t="str">
            <v>PremiumSS</v>
          </cell>
          <cell r="K1313" t="str">
            <v>heal</v>
          </cell>
          <cell r="L1313" t="str">
            <v>回復タイプ</v>
          </cell>
          <cell r="M1313" t="str">
            <v>unknown</v>
          </cell>
        </row>
        <row r="1314">
          <cell r="A1314">
            <v>1313</v>
          </cell>
          <cell r="B1314" t="str">
            <v>ja</v>
          </cell>
          <cell r="C1314" t="str">
            <v>旋律する音廻 巡音ルカ</v>
          </cell>
          <cell r="H1314" t="str">
            <v>red</v>
          </cell>
          <cell r="I1314">
            <v>5</v>
          </cell>
          <cell r="J1314" t="str">
            <v>PremiumS</v>
          </cell>
          <cell r="K1314" t="str">
            <v>attack</v>
          </cell>
          <cell r="L1314" t="str">
            <v>攻撃タイプ</v>
          </cell>
          <cell r="M1314" t="str">
            <v>unknown</v>
          </cell>
        </row>
        <row r="1315">
          <cell r="A1315">
            <v>1314</v>
          </cell>
          <cell r="B1315" t="str">
            <v>ja</v>
          </cell>
          <cell r="C1315" t="str">
            <v>救声の唱動 MEIKO</v>
          </cell>
          <cell r="H1315" t="str">
            <v>red</v>
          </cell>
          <cell r="I1315">
            <v>5</v>
          </cell>
          <cell r="J1315" t="str">
            <v>PremiumS</v>
          </cell>
          <cell r="K1315" t="str">
            <v>hp</v>
          </cell>
          <cell r="L1315" t="str">
            <v>体力タイプ</v>
          </cell>
          <cell r="M1315" t="str">
            <v>unknown</v>
          </cell>
        </row>
        <row r="1316">
          <cell r="A1316">
            <v>1315</v>
          </cell>
          <cell r="B1316" t="str">
            <v>ja</v>
          </cell>
          <cell r="C1316" t="str">
            <v>快響の楽唱歌 KAITO</v>
          </cell>
          <cell r="H1316" t="str">
            <v>blue</v>
          </cell>
          <cell r="I1316">
            <v>5</v>
          </cell>
          <cell r="J1316" t="str">
            <v>PremiumS</v>
          </cell>
          <cell r="K1316" t="str">
            <v>technical</v>
          </cell>
          <cell r="L1316" t="str">
            <v>テクニカルタイプ</v>
          </cell>
          <cell r="M1316" t="str">
            <v>unknown</v>
          </cell>
        </row>
        <row r="1317">
          <cell r="A1317">
            <v>1316</v>
          </cell>
          <cell r="B1317" t="str">
            <v>ja</v>
          </cell>
          <cell r="C1317" t="str">
            <v>初音ミクV4X</v>
          </cell>
          <cell r="H1317" t="str">
            <v>green</v>
          </cell>
          <cell r="I1317">
            <v>5</v>
          </cell>
          <cell r="J1317" t="str">
            <v>PremiumSSS</v>
          </cell>
          <cell r="K1317" t="str">
            <v>balance</v>
          </cell>
          <cell r="L1317" t="str">
            <v>バランスタイプ</v>
          </cell>
          <cell r="M1317" t="str">
            <v>unknown</v>
          </cell>
        </row>
        <row r="1318">
          <cell r="A1318">
            <v>1317</v>
          </cell>
          <cell r="B1318" t="str">
            <v>ja</v>
          </cell>
          <cell r="C1318" t="str">
            <v>進歌する声域 初音ミクV4X</v>
          </cell>
          <cell r="H1318" t="str">
            <v>green</v>
          </cell>
          <cell r="I1318">
            <v>6</v>
          </cell>
          <cell r="J1318" t="str">
            <v>PremiumSSS</v>
          </cell>
          <cell r="K1318" t="str">
            <v>balance</v>
          </cell>
          <cell r="L1318" t="str">
            <v>バランスタイプ</v>
          </cell>
          <cell r="M1318" t="str">
            <v>unknown</v>
          </cell>
        </row>
        <row r="1319">
          <cell r="A1319">
            <v>1318</v>
          </cell>
          <cell r="B1319" t="str">
            <v>ja</v>
          </cell>
          <cell r="C1319" t="str">
            <v>鏡音リンV4X</v>
          </cell>
          <cell r="H1319" t="str">
            <v>yellow</v>
          </cell>
          <cell r="I1319">
            <v>5</v>
          </cell>
          <cell r="J1319" t="str">
            <v>PremiumSS</v>
          </cell>
          <cell r="K1319" t="str">
            <v>heal</v>
          </cell>
          <cell r="L1319" t="str">
            <v>回復タイプ</v>
          </cell>
          <cell r="M1319" t="str">
            <v>unknown</v>
          </cell>
        </row>
        <row r="1320">
          <cell r="A1320">
            <v>1319</v>
          </cell>
          <cell r="B1320" t="str">
            <v>ja</v>
          </cell>
          <cell r="C1320" t="str">
            <v>甘恋の激唱歌 鏡音リンV4X</v>
          </cell>
          <cell r="H1320" t="str">
            <v>yellow</v>
          </cell>
          <cell r="I1320">
            <v>6</v>
          </cell>
          <cell r="J1320" t="str">
            <v>PremiumSS</v>
          </cell>
          <cell r="K1320" t="str">
            <v>heal</v>
          </cell>
          <cell r="L1320" t="str">
            <v>回復タイプ</v>
          </cell>
          <cell r="M1320" t="str">
            <v>unknown</v>
          </cell>
        </row>
        <row r="1321">
          <cell r="A1321">
            <v>1320</v>
          </cell>
          <cell r="B1321" t="str">
            <v>ja</v>
          </cell>
          <cell r="C1321" t="str">
            <v>鏡音レンV4X</v>
          </cell>
          <cell r="H1321" t="str">
            <v>yellow</v>
          </cell>
          <cell r="I1321">
            <v>5</v>
          </cell>
          <cell r="J1321" t="str">
            <v>PremiumSS</v>
          </cell>
          <cell r="K1321" t="str">
            <v>balance</v>
          </cell>
          <cell r="L1321" t="str">
            <v>バランスタイプ</v>
          </cell>
          <cell r="M1321" t="str">
            <v>unknown</v>
          </cell>
        </row>
        <row r="1322">
          <cell r="A1322">
            <v>1321</v>
          </cell>
          <cell r="B1322" t="str">
            <v>ja</v>
          </cell>
          <cell r="C1322" t="str">
            <v>純凛の柔唱歌 鏡音レンV4X</v>
          </cell>
          <cell r="H1322" t="str">
            <v>yellow</v>
          </cell>
          <cell r="I1322">
            <v>6</v>
          </cell>
          <cell r="J1322" t="str">
            <v>PremiumSS</v>
          </cell>
          <cell r="K1322" t="str">
            <v>balance</v>
          </cell>
          <cell r="L1322" t="str">
            <v>バランスタイプ</v>
          </cell>
          <cell r="M1322" t="str">
            <v>unknown</v>
          </cell>
        </row>
        <row r="1323">
          <cell r="A1323">
            <v>1322</v>
          </cell>
          <cell r="B1323" t="str">
            <v>ja</v>
          </cell>
          <cell r="C1323" t="str">
            <v>巡音ルカV4X</v>
          </cell>
          <cell r="H1323" t="str">
            <v>red</v>
          </cell>
          <cell r="I1323">
            <v>5</v>
          </cell>
          <cell r="J1323" t="str">
            <v>PremiumSS</v>
          </cell>
          <cell r="K1323" t="str">
            <v>balance</v>
          </cell>
          <cell r="L1323" t="str">
            <v>バランスタイプ</v>
          </cell>
          <cell r="M1323" t="str">
            <v>unknown</v>
          </cell>
        </row>
        <row r="1324">
          <cell r="A1324">
            <v>1323</v>
          </cell>
          <cell r="B1324" t="str">
            <v>ja</v>
          </cell>
          <cell r="C1324" t="str">
            <v>吐鳴する響惹 巡音ルカV4X</v>
          </cell>
          <cell r="H1324" t="str">
            <v>red</v>
          </cell>
          <cell r="I1324">
            <v>6</v>
          </cell>
          <cell r="J1324" t="str">
            <v>PremiumSS</v>
          </cell>
          <cell r="K1324" t="str">
            <v>balance</v>
          </cell>
          <cell r="L1324" t="str">
            <v>バランスタイプ</v>
          </cell>
          <cell r="M1324" t="str">
            <v>unknown</v>
          </cell>
        </row>
        <row r="1325">
          <cell r="A1325">
            <v>1324</v>
          </cell>
          <cell r="B1325" t="str">
            <v>ja</v>
          </cell>
          <cell r="C1325" t="str">
            <v>アウリ</v>
          </cell>
          <cell r="H1325" t="str">
            <v>green</v>
          </cell>
          <cell r="I1325">
            <v>4</v>
          </cell>
          <cell r="J1325" t="str">
            <v>Drop2N</v>
          </cell>
          <cell r="K1325" t="str">
            <v>balance</v>
          </cell>
          <cell r="L1325" t="str">
            <v>バランスタイプ</v>
          </cell>
          <cell r="M1325" t="str">
            <v>animal</v>
          </cell>
        </row>
        <row r="1326">
          <cell r="A1326">
            <v>1325</v>
          </cell>
          <cell r="B1326" t="str">
            <v>ja</v>
          </cell>
          <cell r="C1326" t="str">
            <v>阿吽の神護犬 アウリ</v>
          </cell>
          <cell r="H1326" t="str">
            <v>green</v>
          </cell>
          <cell r="I1326">
            <v>5</v>
          </cell>
          <cell r="J1326" t="str">
            <v>Drop2N</v>
          </cell>
          <cell r="K1326" t="str">
            <v>balance</v>
          </cell>
          <cell r="L1326" t="str">
            <v>バランスタイプ</v>
          </cell>
          <cell r="M1326" t="str">
            <v>animal</v>
          </cell>
        </row>
        <row r="1327">
          <cell r="A1327">
            <v>1326</v>
          </cell>
          <cell r="B1327" t="str">
            <v>ja</v>
          </cell>
          <cell r="C1327" t="str">
            <v>ワカヒルメ</v>
          </cell>
          <cell r="H1327" t="str">
            <v>green</v>
          </cell>
          <cell r="I1327">
            <v>5</v>
          </cell>
          <cell r="J1327" t="str">
            <v>DropWizS</v>
          </cell>
          <cell r="K1327" t="str">
            <v>hp</v>
          </cell>
          <cell r="L1327" t="str">
            <v>体力タイプ</v>
          </cell>
          <cell r="M1327" t="str">
            <v>god</v>
          </cell>
        </row>
        <row r="1328">
          <cell r="A1328">
            <v>1327</v>
          </cell>
          <cell r="B1328" t="str">
            <v>ja</v>
          </cell>
          <cell r="C1328" t="str">
            <v>織神衣の幼神 ワカヒルメ</v>
          </cell>
          <cell r="H1328" t="str">
            <v>green</v>
          </cell>
          <cell r="I1328">
            <v>6</v>
          </cell>
          <cell r="J1328" t="str">
            <v>DropWizS</v>
          </cell>
          <cell r="K1328" t="str">
            <v>hp</v>
          </cell>
          <cell r="L1328" t="str">
            <v>体力タイプ</v>
          </cell>
          <cell r="M1328" t="str">
            <v>god</v>
          </cell>
        </row>
        <row r="1329">
          <cell r="A1329">
            <v>1328</v>
          </cell>
          <cell r="B1329" t="str">
            <v>ja</v>
          </cell>
          <cell r="C1329" t="str">
            <v>ヒノカグツチ</v>
          </cell>
          <cell r="H1329" t="str">
            <v>red</v>
          </cell>
          <cell r="I1329">
            <v>5</v>
          </cell>
          <cell r="J1329" t="str">
            <v>DropWizS</v>
          </cell>
          <cell r="K1329" t="str">
            <v>attack</v>
          </cell>
          <cell r="L1329" t="str">
            <v>攻撃タイプ</v>
          </cell>
          <cell r="M1329" t="str">
            <v>god</v>
          </cell>
        </row>
        <row r="1330">
          <cell r="A1330">
            <v>1329</v>
          </cell>
          <cell r="B1330" t="str">
            <v>ja</v>
          </cell>
          <cell r="C1330" t="str">
            <v>神抗の火産霊 ヒノカグツチ</v>
          </cell>
          <cell r="H1330" t="str">
            <v>red</v>
          </cell>
          <cell r="I1330">
            <v>6</v>
          </cell>
          <cell r="J1330" t="str">
            <v>DropWizS</v>
          </cell>
          <cell r="K1330" t="str">
            <v>attack</v>
          </cell>
          <cell r="L1330" t="str">
            <v>攻撃タイプ</v>
          </cell>
          <cell r="M1330" t="str">
            <v>god</v>
          </cell>
        </row>
        <row r="1331">
          <cell r="A1331">
            <v>1330</v>
          </cell>
          <cell r="B1331" t="str">
            <v>ja</v>
          </cell>
          <cell r="C1331" t="str">
            <v>スサノオ</v>
          </cell>
          <cell r="H1331" t="str">
            <v>yellow</v>
          </cell>
          <cell r="I1331">
            <v>5</v>
          </cell>
          <cell r="J1331" t="str">
            <v>DropWizSS</v>
          </cell>
          <cell r="K1331" t="str">
            <v>balance</v>
          </cell>
          <cell r="L1331" t="str">
            <v>バランスタイプ</v>
          </cell>
          <cell r="M1331" t="str">
            <v>hero</v>
          </cell>
        </row>
        <row r="1332">
          <cell r="A1332">
            <v>1331</v>
          </cell>
          <cell r="B1332" t="str">
            <v>ja</v>
          </cell>
          <cell r="C1332" t="str">
            <v>傑戦の大強神 スサノオ</v>
          </cell>
          <cell r="H1332" t="str">
            <v>yellow</v>
          </cell>
          <cell r="I1332">
            <v>6</v>
          </cell>
          <cell r="J1332" t="str">
            <v>DropWizSS</v>
          </cell>
          <cell r="K1332" t="str">
            <v>balance</v>
          </cell>
          <cell r="L1332" t="str">
            <v>バランスタイプ</v>
          </cell>
          <cell r="M1332" t="str">
            <v>hero</v>
          </cell>
        </row>
        <row r="1333">
          <cell r="A1333">
            <v>1332</v>
          </cell>
          <cell r="B1333" t="str">
            <v>ja</v>
          </cell>
          <cell r="C1333" t="str">
            <v>クシナダヒメ</v>
          </cell>
          <cell r="H1333" t="str">
            <v>red</v>
          </cell>
          <cell r="I1333">
            <v>5</v>
          </cell>
          <cell r="J1333" t="str">
            <v>PremiumSSw</v>
          </cell>
          <cell r="K1333" t="str">
            <v>hp</v>
          </cell>
          <cell r="L1333" t="str">
            <v>体力タイプ</v>
          </cell>
          <cell r="M1333" t="str">
            <v>god</v>
          </cell>
        </row>
        <row r="1334">
          <cell r="A1334">
            <v>1333</v>
          </cell>
          <cell r="B1334" t="str">
            <v>ja</v>
          </cell>
          <cell r="C1334" t="str">
            <v>神心を射る穂神 クシナダヒメ</v>
          </cell>
          <cell r="H1334" t="str">
            <v>red</v>
          </cell>
          <cell r="I1334">
            <v>6</v>
          </cell>
          <cell r="J1334" t="str">
            <v>PremiumSSw</v>
          </cell>
          <cell r="K1334" t="str">
            <v>hp</v>
          </cell>
          <cell r="L1334" t="str">
            <v>体力タイプ</v>
          </cell>
          <cell r="M1334" t="str">
            <v>god</v>
          </cell>
        </row>
        <row r="1335">
          <cell r="A1335">
            <v>1334</v>
          </cell>
          <cell r="B1335" t="str">
            <v>ja</v>
          </cell>
          <cell r="C1335" t="str">
            <v>タマヨリヒメ</v>
          </cell>
          <cell r="H1335" t="str">
            <v>green</v>
          </cell>
          <cell r="I1335">
            <v>4</v>
          </cell>
          <cell r="J1335" t="str">
            <v>PremiumS</v>
          </cell>
          <cell r="K1335" t="str">
            <v>heal</v>
          </cell>
          <cell r="L1335" t="str">
            <v>回復タイプ</v>
          </cell>
          <cell r="M1335" t="str">
            <v>god</v>
          </cell>
        </row>
        <row r="1336">
          <cell r="A1336">
            <v>1335</v>
          </cell>
          <cell r="B1336" t="str">
            <v>ja</v>
          </cell>
          <cell r="C1336" t="str">
            <v>霊司の神憑 タマヨリヒメ</v>
          </cell>
          <cell r="H1336" t="str">
            <v>green</v>
          </cell>
          <cell r="I1336">
            <v>5</v>
          </cell>
          <cell r="J1336" t="str">
            <v>PremiumS</v>
          </cell>
          <cell r="K1336" t="str">
            <v>heal</v>
          </cell>
          <cell r="L1336" t="str">
            <v>回復タイプ</v>
          </cell>
          <cell r="M1336" t="str">
            <v>god</v>
          </cell>
        </row>
        <row r="1337">
          <cell r="A1337">
            <v>1336</v>
          </cell>
          <cell r="B1337" t="str">
            <v>ja</v>
          </cell>
          <cell r="C1337" t="str">
            <v>イザナギ</v>
          </cell>
          <cell r="H1337" t="str">
            <v>blue</v>
          </cell>
          <cell r="I1337">
            <v>5</v>
          </cell>
          <cell r="J1337" t="str">
            <v>PremiumSS</v>
          </cell>
          <cell r="K1337" t="str">
            <v>technical</v>
          </cell>
          <cell r="L1337" t="str">
            <v>テクニカルタイプ</v>
          </cell>
          <cell r="M1337" t="str">
            <v>god</v>
          </cell>
        </row>
        <row r="1338">
          <cell r="A1338">
            <v>1337</v>
          </cell>
          <cell r="B1338" t="str">
            <v>ja</v>
          </cell>
          <cell r="C1338" t="str">
            <v>成命の綜父神 イザナギ</v>
          </cell>
          <cell r="H1338" t="str">
            <v>blue</v>
          </cell>
          <cell r="I1338">
            <v>6</v>
          </cell>
          <cell r="J1338" t="str">
            <v>PremiumSS</v>
          </cell>
          <cell r="K1338" t="str">
            <v>technical</v>
          </cell>
          <cell r="L1338" t="str">
            <v>テクニカルタイプ</v>
          </cell>
          <cell r="M1338" t="str">
            <v>god</v>
          </cell>
        </row>
        <row r="1339">
          <cell r="A1339">
            <v>1338</v>
          </cell>
          <cell r="B1339" t="str">
            <v>ja</v>
          </cell>
          <cell r="C1339" t="str">
            <v>アメノウズメ</v>
          </cell>
          <cell r="H1339" t="str">
            <v>yellow</v>
          </cell>
          <cell r="I1339">
            <v>5</v>
          </cell>
          <cell r="J1339" t="str">
            <v>PremiumSS</v>
          </cell>
          <cell r="K1339" t="str">
            <v>attack</v>
          </cell>
          <cell r="L1339" t="str">
            <v>攻撃タイプ</v>
          </cell>
          <cell r="M1339" t="str">
            <v>god</v>
          </cell>
        </row>
        <row r="1340">
          <cell r="A1340">
            <v>1339</v>
          </cell>
          <cell r="B1340" t="str">
            <v>ja</v>
          </cell>
          <cell r="C1340" t="str">
            <v>復古の舞芸神 アメノウズメ</v>
          </cell>
          <cell r="H1340" t="str">
            <v>yellow</v>
          </cell>
          <cell r="I1340">
            <v>6</v>
          </cell>
          <cell r="J1340" t="str">
            <v>PremiumSS</v>
          </cell>
          <cell r="K1340" t="str">
            <v>attack</v>
          </cell>
          <cell r="L1340" t="str">
            <v>攻撃タイプ</v>
          </cell>
          <cell r="M1340" t="str">
            <v>god</v>
          </cell>
        </row>
        <row r="1341">
          <cell r="A1341">
            <v>1340</v>
          </cell>
          <cell r="B1341" t="str">
            <v>ja</v>
          </cell>
          <cell r="C1341" t="str">
            <v>ハレー</v>
          </cell>
          <cell r="H1341" t="str">
            <v>green</v>
          </cell>
          <cell r="I1341">
            <v>5</v>
          </cell>
          <cell r="J1341" t="str">
            <v>PremiumSSS</v>
          </cell>
          <cell r="K1341" t="str">
            <v>balance</v>
          </cell>
          <cell r="L1341" t="str">
            <v>バランスタイプ</v>
          </cell>
          <cell r="M1341" t="str">
            <v>academia</v>
          </cell>
        </row>
        <row r="1342">
          <cell r="A1342">
            <v>1341</v>
          </cell>
          <cell r="B1342" t="str">
            <v>ja</v>
          </cell>
          <cell r="C1342" t="str">
            <v>攻核の翠星機導 ハレー</v>
          </cell>
          <cell r="H1342" t="str">
            <v>green</v>
          </cell>
          <cell r="I1342">
            <v>6</v>
          </cell>
          <cell r="J1342" t="str">
            <v>PremiumSSS</v>
          </cell>
          <cell r="K1342" t="str">
            <v>balance</v>
          </cell>
          <cell r="L1342" t="str">
            <v>バランスタイプ</v>
          </cell>
          <cell r="M1342" t="str">
            <v>academia</v>
          </cell>
        </row>
        <row r="1343">
          <cell r="A1343">
            <v>1342</v>
          </cell>
          <cell r="B1343" t="str">
            <v>ja</v>
          </cell>
          <cell r="C1343" t="str">
            <v>PvP報酬_赤</v>
          </cell>
          <cell r="H1343" t="str">
            <v>red</v>
          </cell>
          <cell r="I1343">
            <v>5</v>
          </cell>
          <cell r="J1343" t="str">
            <v>DropWizS</v>
          </cell>
          <cell r="K1343" t="str">
            <v>attack</v>
          </cell>
          <cell r="L1343" t="str">
            <v>攻撃タイプ</v>
          </cell>
          <cell r="M1343" t="str">
            <v>human</v>
          </cell>
        </row>
        <row r="1344">
          <cell r="A1344">
            <v>1343</v>
          </cell>
          <cell r="B1344" t="str">
            <v>ja</v>
          </cell>
          <cell r="C1344" t="str">
            <v>PvP報酬_赤</v>
          </cell>
          <cell r="H1344" t="str">
            <v>red</v>
          </cell>
          <cell r="I1344">
            <v>6</v>
          </cell>
          <cell r="J1344" t="str">
            <v>DropWizS</v>
          </cell>
          <cell r="K1344" t="str">
            <v>attack</v>
          </cell>
          <cell r="L1344" t="str">
            <v>攻撃タイプ</v>
          </cell>
          <cell r="M1344" t="str">
            <v>human</v>
          </cell>
        </row>
        <row r="1345">
          <cell r="A1345">
            <v>1344</v>
          </cell>
          <cell r="B1345" t="str">
            <v>ja</v>
          </cell>
          <cell r="C1345" t="str">
            <v>空き</v>
          </cell>
          <cell r="H1345" t="str">
            <v>blue</v>
          </cell>
          <cell r="I1345">
            <v>5</v>
          </cell>
          <cell r="J1345" t="str">
            <v>PremiumSSw</v>
          </cell>
          <cell r="K1345" t="str">
            <v>technical</v>
          </cell>
          <cell r="L1345" t="str">
            <v>テクニカルタイプ</v>
          </cell>
          <cell r="M1345" t="str">
            <v>hero</v>
          </cell>
        </row>
        <row r="1346">
          <cell r="A1346">
            <v>1345</v>
          </cell>
          <cell r="B1346" t="str">
            <v>ja</v>
          </cell>
          <cell r="C1346" t="str">
            <v>空き</v>
          </cell>
          <cell r="H1346" t="str">
            <v>blue</v>
          </cell>
          <cell r="I1346">
            <v>6</v>
          </cell>
          <cell r="J1346" t="str">
            <v>PremiumSSw</v>
          </cell>
          <cell r="K1346" t="str">
            <v>technical</v>
          </cell>
          <cell r="L1346" t="str">
            <v>テクニカルタイプ</v>
          </cell>
          <cell r="M1346" t="str">
            <v>hero</v>
          </cell>
        </row>
        <row r="1347">
          <cell r="A1347">
            <v>1346</v>
          </cell>
          <cell r="B1347" t="str">
            <v>ja</v>
          </cell>
          <cell r="C1347" t="str">
            <v>PvP報酬_青</v>
          </cell>
          <cell r="H1347" t="str">
            <v>blue</v>
          </cell>
          <cell r="I1347">
            <v>5</v>
          </cell>
          <cell r="J1347" t="str">
            <v>DropWizS</v>
          </cell>
          <cell r="K1347" t="str">
            <v>attack</v>
          </cell>
          <cell r="L1347" t="str">
            <v>攻撃タイプ</v>
          </cell>
          <cell r="M1347" t="str">
            <v>human</v>
          </cell>
        </row>
        <row r="1348">
          <cell r="A1348">
            <v>1347</v>
          </cell>
          <cell r="B1348" t="str">
            <v>ja</v>
          </cell>
          <cell r="C1348" t="str">
            <v>PvP報酬_青</v>
          </cell>
          <cell r="H1348" t="str">
            <v>blue</v>
          </cell>
          <cell r="I1348">
            <v>6</v>
          </cell>
          <cell r="J1348" t="str">
            <v>DropWizS</v>
          </cell>
          <cell r="K1348" t="str">
            <v>attack</v>
          </cell>
          <cell r="L1348" t="str">
            <v>攻撃タイプ</v>
          </cell>
          <cell r="M1348" t="str">
            <v>human</v>
          </cell>
        </row>
        <row r="1349">
          <cell r="A1349">
            <v>1348</v>
          </cell>
          <cell r="B1349" t="str">
            <v>ja</v>
          </cell>
          <cell r="C1349" t="str">
            <v>パウリ</v>
          </cell>
          <cell r="H1349" t="str">
            <v>green</v>
          </cell>
          <cell r="I1349">
            <v>5</v>
          </cell>
          <cell r="J1349" t="str">
            <v>PremiumSSS</v>
          </cell>
          <cell r="K1349" t="str">
            <v>hp</v>
          </cell>
          <cell r="L1349" t="str">
            <v>体力タイプ</v>
          </cell>
          <cell r="M1349" t="str">
            <v>academia</v>
          </cell>
        </row>
        <row r="1350">
          <cell r="A1350">
            <v>1349</v>
          </cell>
          <cell r="B1350" t="str">
            <v>ja</v>
          </cell>
          <cell r="C1350" t="str">
            <v>機壊の輪旋 パウリ</v>
          </cell>
          <cell r="H1350" t="str">
            <v>green</v>
          </cell>
          <cell r="I1350">
            <v>6</v>
          </cell>
          <cell r="J1350" t="str">
            <v>PremiumSSS</v>
          </cell>
          <cell r="K1350" t="str">
            <v>hp</v>
          </cell>
          <cell r="L1350" t="str">
            <v>体力タイプ</v>
          </cell>
          <cell r="M1350" t="str">
            <v>academia</v>
          </cell>
        </row>
        <row r="1351">
          <cell r="A1351">
            <v>1350</v>
          </cell>
          <cell r="B1351" t="str">
            <v>ja</v>
          </cell>
          <cell r="C1351" t="str">
            <v>ブラウニーR5</v>
          </cell>
          <cell r="H1351" t="str">
            <v>red</v>
          </cell>
          <cell r="I1351">
            <v>5</v>
          </cell>
          <cell r="J1351" t="str">
            <v>DropWizS</v>
          </cell>
          <cell r="K1351" t="str">
            <v>attack</v>
          </cell>
          <cell r="L1351" t="str">
            <v>攻撃タイプ</v>
          </cell>
          <cell r="M1351" t="str">
            <v>human</v>
          </cell>
        </row>
        <row r="1352">
          <cell r="A1352">
            <v>1351</v>
          </cell>
          <cell r="B1352" t="str">
            <v>ja</v>
          </cell>
          <cell r="C1352" t="str">
            <v>甘頬の魔糖菓 プラリーヌ</v>
          </cell>
          <cell r="H1352" t="str">
            <v>red</v>
          </cell>
          <cell r="I1352">
            <v>6</v>
          </cell>
          <cell r="J1352" t="str">
            <v>DropWizS</v>
          </cell>
          <cell r="K1352" t="str">
            <v>technical</v>
          </cell>
          <cell r="L1352" t="str">
            <v>テクニカルタイプ</v>
          </cell>
          <cell r="M1352" t="str">
            <v>human</v>
          </cell>
        </row>
        <row r="1353">
          <cell r="A1353">
            <v>1352</v>
          </cell>
          <cell r="B1353" t="str">
            <v>ja</v>
          </cell>
          <cell r="C1353" t="str">
            <v>トウカ</v>
          </cell>
          <cell r="H1353" t="str">
            <v>blue</v>
          </cell>
          <cell r="I1353">
            <v>5</v>
          </cell>
          <cell r="J1353" t="str">
            <v>PremiumSSw</v>
          </cell>
          <cell r="K1353" t="str">
            <v>technical</v>
          </cell>
          <cell r="L1353" t="str">
            <v>テクニカルタイプ</v>
          </cell>
          <cell r="M1353" t="str">
            <v>human</v>
          </cell>
        </row>
        <row r="1354">
          <cell r="A1354">
            <v>1353</v>
          </cell>
          <cell r="B1354" t="str">
            <v>ja</v>
          </cell>
          <cell r="C1354" t="str">
            <v>恋待つ帰り道 トウカ</v>
          </cell>
          <cell r="H1354" t="str">
            <v>blue</v>
          </cell>
          <cell r="I1354">
            <v>6</v>
          </cell>
          <cell r="J1354" t="str">
            <v>PremiumSSw</v>
          </cell>
          <cell r="K1354" t="str">
            <v>technical</v>
          </cell>
          <cell r="L1354" t="str">
            <v>テクニカルタイプ</v>
          </cell>
          <cell r="M1354" t="str">
            <v>human</v>
          </cell>
        </row>
        <row r="1355">
          <cell r="A1355">
            <v>1354</v>
          </cell>
          <cell r="B1355" t="str">
            <v>ja</v>
          </cell>
          <cell r="C1355" t="str">
            <v>放課後の恋妃神 フレイヤ</v>
          </cell>
          <cell r="H1355" t="str">
            <v>green</v>
          </cell>
          <cell r="I1355">
            <v>6</v>
          </cell>
          <cell r="J1355" t="str">
            <v>PremiumSS</v>
          </cell>
          <cell r="K1355" t="str">
            <v>heal</v>
          </cell>
          <cell r="L1355" t="str">
            <v>回復タイプ</v>
          </cell>
          <cell r="M1355" t="str">
            <v>animal</v>
          </cell>
        </row>
        <row r="1356">
          <cell r="A1356">
            <v>1355</v>
          </cell>
          <cell r="B1356" t="str">
            <v>ja</v>
          </cell>
          <cell r="C1356" t="str">
            <v>恋する燦天使 メタトロン・エモ</v>
          </cell>
          <cell r="H1356" t="str">
            <v>yellow</v>
          </cell>
          <cell r="I1356">
            <v>6</v>
          </cell>
          <cell r="J1356" t="str">
            <v>PremiumSS</v>
          </cell>
          <cell r="K1356" t="str">
            <v>balance</v>
          </cell>
          <cell r="L1356" t="str">
            <v>バランスタイプ</v>
          </cell>
          <cell r="M1356" t="str">
            <v>god</v>
          </cell>
        </row>
        <row r="1357">
          <cell r="A1357">
            <v>1356</v>
          </cell>
          <cell r="B1357" t="str">
            <v>ja</v>
          </cell>
          <cell r="C1357" t="str">
            <v>恋狐の甘味振舞 タマモ</v>
          </cell>
          <cell r="H1357" t="str">
            <v>red</v>
          </cell>
          <cell r="I1357">
            <v>5</v>
          </cell>
          <cell r="J1357" t="str">
            <v>PremiumS</v>
          </cell>
          <cell r="K1357" t="str">
            <v>balance</v>
          </cell>
          <cell r="L1357" t="str">
            <v>バランスタイプ</v>
          </cell>
          <cell r="M1357" t="str">
            <v>animal</v>
          </cell>
        </row>
        <row r="1358">
          <cell r="A1358">
            <v>1357</v>
          </cell>
          <cell r="B1358" t="str">
            <v>ja</v>
          </cell>
          <cell r="C1358" t="str">
            <v>甘美なる想導司書 アズラエル</v>
          </cell>
          <cell r="H1358" t="str">
            <v>blue</v>
          </cell>
          <cell r="I1358">
            <v>5</v>
          </cell>
          <cell r="J1358" t="str">
            <v>PremiumS</v>
          </cell>
          <cell r="K1358" t="str">
            <v>balance</v>
          </cell>
          <cell r="L1358" t="str">
            <v>バランスタイプ</v>
          </cell>
          <cell r="M1358" t="str">
            <v>god</v>
          </cell>
        </row>
        <row r="1359">
          <cell r="A1359">
            <v>1358</v>
          </cell>
          <cell r="B1359" t="str">
            <v>ja</v>
          </cell>
          <cell r="C1359" t="str">
            <v>暴走する恋激火 バハムート</v>
          </cell>
          <cell r="H1359" t="str">
            <v>yellow</v>
          </cell>
          <cell r="I1359">
            <v>5</v>
          </cell>
          <cell r="J1359" t="str">
            <v>PremiumS</v>
          </cell>
          <cell r="K1359" t="str">
            <v>heal</v>
          </cell>
          <cell r="L1359" t="str">
            <v>回復タイプ</v>
          </cell>
          <cell r="M1359" t="str">
            <v>dragon</v>
          </cell>
        </row>
        <row r="1360">
          <cell r="A1360">
            <v>1359</v>
          </cell>
          <cell r="B1360" t="str">
            <v>ja</v>
          </cell>
          <cell r="C1360" t="str">
            <v>コルネ</v>
          </cell>
          <cell r="H1360" t="str">
            <v>red</v>
          </cell>
          <cell r="I1360">
            <v>5</v>
          </cell>
          <cell r="J1360" t="str">
            <v>PremiumSS</v>
          </cell>
          <cell r="K1360" t="str">
            <v>balance</v>
          </cell>
          <cell r="L1360" t="str">
            <v>バランスタイプ</v>
          </cell>
          <cell r="M1360" t="str">
            <v>human</v>
          </cell>
        </row>
        <row r="1361">
          <cell r="A1361">
            <v>1360</v>
          </cell>
          <cell r="B1361" t="str">
            <v>ja</v>
          </cell>
          <cell r="C1361" t="str">
            <v>恋話の散弾 コルネ</v>
          </cell>
          <cell r="H1361" t="str">
            <v>red</v>
          </cell>
          <cell r="I1361">
            <v>6</v>
          </cell>
          <cell r="J1361" t="str">
            <v>PremiumSS</v>
          </cell>
          <cell r="K1361" t="str">
            <v>balance</v>
          </cell>
          <cell r="L1361" t="str">
            <v>バランスタイプ</v>
          </cell>
          <cell r="M1361" t="str">
            <v>human</v>
          </cell>
        </row>
        <row r="1362">
          <cell r="A1362">
            <v>1361</v>
          </cell>
          <cell r="B1362" t="str">
            <v>ja</v>
          </cell>
          <cell r="C1362" t="str">
            <v>ショコラR6(使用せず)</v>
          </cell>
          <cell r="H1362" t="str">
            <v>red</v>
          </cell>
          <cell r="I1362">
            <v>6</v>
          </cell>
          <cell r="J1362" t="str">
            <v>PremiumSSw</v>
          </cell>
          <cell r="K1362" t="str">
            <v>heal</v>
          </cell>
          <cell r="L1362" t="str">
            <v>回復タイプ</v>
          </cell>
          <cell r="M1362" t="str">
            <v>human</v>
          </cell>
        </row>
        <row r="1363">
          <cell r="A1363">
            <v>1362</v>
          </cell>
          <cell r="B1363" t="str">
            <v>ja</v>
          </cell>
          <cell r="C1363" t="str">
            <v>刺撃する尖甘槍 フォンデュ</v>
          </cell>
          <cell r="H1363" t="str">
            <v>red</v>
          </cell>
          <cell r="I1363">
            <v>6</v>
          </cell>
          <cell r="J1363" t="str">
            <v>PremiumSSw</v>
          </cell>
          <cell r="K1363" t="str">
            <v>heal</v>
          </cell>
          <cell r="L1363" t="str">
            <v>回復タイプ</v>
          </cell>
          <cell r="M1363" t="str">
            <v>human</v>
          </cell>
        </row>
        <row r="1364">
          <cell r="A1364">
            <v>1363</v>
          </cell>
          <cell r="B1364" t="str">
            <v>ja</v>
          </cell>
          <cell r="C1364" t="str">
            <v>聖白の夢菓子 ヴァニレ</v>
          </cell>
          <cell r="H1364" t="str">
            <v>blue</v>
          </cell>
          <cell r="I1364">
            <v>6</v>
          </cell>
          <cell r="J1364" t="str">
            <v>PremiumSS</v>
          </cell>
          <cell r="K1364" t="str">
            <v>attack</v>
          </cell>
          <cell r="L1364" t="str">
            <v>攻撃タイプ</v>
          </cell>
          <cell r="M1364" t="str">
            <v>human</v>
          </cell>
        </row>
        <row r="1365">
          <cell r="A1365">
            <v>1364</v>
          </cell>
          <cell r="B1365" t="str">
            <v>ja</v>
          </cell>
          <cell r="C1365" t="str">
            <v>百菓の甘味家 パティ</v>
          </cell>
          <cell r="H1365" t="str">
            <v>green</v>
          </cell>
          <cell r="I1365">
            <v>6</v>
          </cell>
          <cell r="J1365" t="str">
            <v>DropWizS</v>
          </cell>
          <cell r="K1365" t="str">
            <v>balance</v>
          </cell>
          <cell r="L1365" t="str">
            <v>バランスタイプ</v>
          </cell>
          <cell r="M1365" t="str">
            <v>human</v>
          </cell>
        </row>
        <row r="1366">
          <cell r="A1366">
            <v>1365</v>
          </cell>
          <cell r="B1366" t="str">
            <v>ja</v>
          </cell>
          <cell r="C1366" t="str">
            <v>バリアテスト</v>
          </cell>
          <cell r="H1366" t="str">
            <v>green</v>
          </cell>
          <cell r="I1366">
            <v>5</v>
          </cell>
          <cell r="J1366" t="str">
            <v>PremiumSSS</v>
          </cell>
          <cell r="K1366" t="str">
            <v>attack</v>
          </cell>
          <cell r="L1366" t="str">
            <v>攻撃タイプ</v>
          </cell>
          <cell r="M1366" t="str">
            <v>academia</v>
          </cell>
        </row>
        <row r="1367">
          <cell r="A1367">
            <v>1366</v>
          </cell>
          <cell r="B1367" t="str">
            <v>ja</v>
          </cell>
          <cell r="C1367" t="str">
            <v>バリアテスト</v>
          </cell>
          <cell r="H1367" t="str">
            <v>green</v>
          </cell>
          <cell r="I1367">
            <v>6</v>
          </cell>
          <cell r="J1367" t="str">
            <v>PremiumSSS</v>
          </cell>
          <cell r="K1367" t="str">
            <v>attack</v>
          </cell>
          <cell r="L1367" t="str">
            <v>攻撃タイプ</v>
          </cell>
          <cell r="M1367" t="str">
            <v>academia</v>
          </cell>
        </row>
        <row r="1368">
          <cell r="A1368">
            <v>1367</v>
          </cell>
          <cell r="B1368" t="str">
            <v>ja</v>
          </cell>
          <cell r="C1368" t="str">
            <v>ベルヌーイ</v>
          </cell>
          <cell r="H1368" t="str">
            <v>blue</v>
          </cell>
          <cell r="I1368">
            <v>5</v>
          </cell>
          <cell r="J1368" t="str">
            <v>PremiumSSS</v>
          </cell>
          <cell r="K1368" t="str">
            <v>attack</v>
          </cell>
          <cell r="L1368" t="str">
            <v>攻撃タイプ</v>
          </cell>
          <cell r="M1368" t="str">
            <v>academia</v>
          </cell>
        </row>
        <row r="1369">
          <cell r="A1369">
            <v>1368</v>
          </cell>
          <cell r="B1369" t="str">
            <v>ja</v>
          </cell>
          <cell r="C1369" t="str">
            <v>憤流する水鳴砲 ベルヌーイ</v>
          </cell>
          <cell r="H1369" t="str">
            <v>blue</v>
          </cell>
          <cell r="I1369">
            <v>6</v>
          </cell>
          <cell r="J1369" t="str">
            <v>PremiumSSS</v>
          </cell>
          <cell r="K1369" t="str">
            <v>attack</v>
          </cell>
          <cell r="L1369" t="str">
            <v>攻撃タイプ</v>
          </cell>
          <cell r="M1369" t="str">
            <v>academia</v>
          </cell>
        </row>
        <row r="1370">
          <cell r="A1370">
            <v>1369</v>
          </cell>
          <cell r="B1370" t="str">
            <v>ja</v>
          </cell>
          <cell r="C1370" t="str">
            <v>トロイア</v>
          </cell>
          <cell r="H1370" t="str">
            <v>red</v>
          </cell>
          <cell r="I1370">
            <v>5</v>
          </cell>
          <cell r="J1370" t="str">
            <v>PremiumSSw</v>
          </cell>
          <cell r="K1370" t="str">
            <v>attack</v>
          </cell>
          <cell r="L1370" t="str">
            <v>攻撃タイプ</v>
          </cell>
          <cell r="M1370" t="str">
            <v>demon</v>
          </cell>
        </row>
        <row r="1371">
          <cell r="A1371">
            <v>1370</v>
          </cell>
          <cell r="B1371" t="str">
            <v>ja</v>
          </cell>
          <cell r="C1371" t="str">
            <v>美審なる神争 トロイア</v>
          </cell>
          <cell r="H1371" t="str">
            <v>red</v>
          </cell>
          <cell r="I1371">
            <v>6</v>
          </cell>
          <cell r="J1371" t="str">
            <v>PremiumSSw</v>
          </cell>
          <cell r="K1371" t="str">
            <v>attack</v>
          </cell>
          <cell r="L1371" t="str">
            <v>攻撃タイプ</v>
          </cell>
          <cell r="M1371" t="str">
            <v>demon</v>
          </cell>
        </row>
        <row r="1372">
          <cell r="A1372">
            <v>1389</v>
          </cell>
          <cell r="B1372" t="str">
            <v>ja</v>
          </cell>
          <cell r="C1372" t="str">
            <v>ユング</v>
          </cell>
          <cell r="H1372" t="str">
            <v>blue</v>
          </cell>
          <cell r="I1372">
            <v>5</v>
          </cell>
          <cell r="J1372" t="str">
            <v>PremiumSSS</v>
          </cell>
          <cell r="K1372" t="str">
            <v>balance</v>
          </cell>
          <cell r="L1372" t="str">
            <v>バランスタイプ</v>
          </cell>
          <cell r="M1372" t="str">
            <v>academia</v>
          </cell>
        </row>
        <row r="1373">
          <cell r="A1373">
            <v>1390</v>
          </cell>
          <cell r="B1373" t="str">
            <v>ja</v>
          </cell>
          <cell r="C1373" t="str">
            <v>夢誘心解の蒼翼 ユング</v>
          </cell>
          <cell r="H1373" t="str">
            <v>blue</v>
          </cell>
          <cell r="I1373">
            <v>6</v>
          </cell>
          <cell r="J1373" t="str">
            <v>PremiumSSS</v>
          </cell>
          <cell r="K1373" t="str">
            <v>balance</v>
          </cell>
          <cell r="L1373" t="str">
            <v>バランスタイプ</v>
          </cell>
          <cell r="M1373" t="str">
            <v>academia</v>
          </cell>
        </row>
        <row r="1374">
          <cell r="A1374">
            <v>1399</v>
          </cell>
          <cell r="B1374" t="str">
            <v>ja</v>
          </cell>
          <cell r="C1374" t="str">
            <v>ラヴァーズ</v>
          </cell>
          <cell r="H1374" t="str">
            <v>green</v>
          </cell>
          <cell r="I1374">
            <v>5</v>
          </cell>
          <cell r="J1374" t="str">
            <v>PremiumSSS</v>
          </cell>
          <cell r="K1374" t="str">
            <v>attack</v>
          </cell>
          <cell r="L1374" t="str">
            <v>攻撃タイプ</v>
          </cell>
          <cell r="M1374" t="str">
            <v>god</v>
          </cell>
        </row>
        <row r="1375">
          <cell r="A1375">
            <v>1400</v>
          </cell>
          <cell r="B1375" t="str">
            <v>ja</v>
          </cell>
          <cell r="C1375" t="str">
            <v>奏愛する虜籠 ラヴァーズ</v>
          </cell>
          <cell r="H1375" t="str">
            <v>green</v>
          </cell>
          <cell r="I1375">
            <v>6</v>
          </cell>
          <cell r="J1375" t="str">
            <v>PremiumSSS</v>
          </cell>
          <cell r="K1375" t="str">
            <v>attack</v>
          </cell>
          <cell r="L1375" t="str">
            <v>攻撃タイプ</v>
          </cell>
          <cell r="M1375" t="str">
            <v>god</v>
          </cell>
        </row>
        <row r="1376">
          <cell r="A1376">
            <v>1401</v>
          </cell>
          <cell r="B1376" t="str">
            <v>ja</v>
          </cell>
          <cell r="C1376" t="str">
            <v>レムリア</v>
          </cell>
          <cell r="H1376" t="str">
            <v>yellow</v>
          </cell>
          <cell r="I1376">
            <v>5</v>
          </cell>
          <cell r="J1376" t="str">
            <v>PremiumSSw</v>
          </cell>
          <cell r="K1376" t="str">
            <v>hp</v>
          </cell>
          <cell r="L1376" t="str">
            <v>体力タイプ</v>
          </cell>
          <cell r="M1376" t="str">
            <v>hero</v>
          </cell>
        </row>
        <row r="1377">
          <cell r="A1377">
            <v>1402</v>
          </cell>
          <cell r="B1377" t="str">
            <v>ja</v>
          </cell>
          <cell r="C1377" t="str">
            <v>縞彩の豊嬢 レムリア</v>
          </cell>
          <cell r="H1377" t="str">
            <v>yellow</v>
          </cell>
          <cell r="I1377">
            <v>6</v>
          </cell>
          <cell r="J1377" t="str">
            <v>PremiumSSw</v>
          </cell>
          <cell r="K1377" t="str">
            <v>hp</v>
          </cell>
          <cell r="L1377" t="str">
            <v>体力タイプ</v>
          </cell>
          <cell r="M1377" t="str">
            <v>hero</v>
          </cell>
        </row>
        <row r="1378">
          <cell r="A1378">
            <v>1403</v>
          </cell>
          <cell r="B1378" t="str">
            <v>ja</v>
          </cell>
          <cell r="C1378" t="str">
            <v>炎帝の守護獣神 朱雀</v>
          </cell>
          <cell r="H1378" t="str">
            <v>red</v>
          </cell>
          <cell r="I1378">
            <v>6</v>
          </cell>
          <cell r="J1378" t="str">
            <v>Drop2N</v>
          </cell>
          <cell r="K1378" t="str">
            <v>heal</v>
          </cell>
          <cell r="L1378" t="str">
            <v>回復タイプ</v>
          </cell>
          <cell r="M1378" t="str">
            <v>animal</v>
          </cell>
        </row>
        <row r="1379">
          <cell r="A1379">
            <v>1404</v>
          </cell>
          <cell r="B1379" t="str">
            <v>ja</v>
          </cell>
          <cell r="C1379" t="str">
            <v>玄帝の守護獣神 玄武</v>
          </cell>
          <cell r="H1379" t="str">
            <v>green</v>
          </cell>
          <cell r="I1379">
            <v>6</v>
          </cell>
          <cell r="J1379" t="str">
            <v>Drop2N</v>
          </cell>
          <cell r="K1379" t="str">
            <v>hp</v>
          </cell>
          <cell r="L1379" t="str">
            <v>体力タイプ</v>
          </cell>
          <cell r="M1379" t="str">
            <v>dragon</v>
          </cell>
        </row>
        <row r="1380">
          <cell r="A1380">
            <v>1405</v>
          </cell>
          <cell r="B1380" t="str">
            <v>ja</v>
          </cell>
          <cell r="C1380" t="str">
            <v>蒼帝の守護獣神 青龍</v>
          </cell>
          <cell r="H1380" t="str">
            <v>blue</v>
          </cell>
          <cell r="I1380">
            <v>6</v>
          </cell>
          <cell r="J1380" t="str">
            <v>Drop2N</v>
          </cell>
          <cell r="K1380" t="str">
            <v>balance</v>
          </cell>
          <cell r="L1380" t="str">
            <v>バランスタイプ</v>
          </cell>
          <cell r="M1380" t="str">
            <v>dragon</v>
          </cell>
        </row>
        <row r="1381">
          <cell r="A1381">
            <v>1406</v>
          </cell>
          <cell r="B1381" t="str">
            <v>ja</v>
          </cell>
          <cell r="C1381" t="str">
            <v>白帝の守護獣神 白虎</v>
          </cell>
          <cell r="H1381" t="str">
            <v>yellow</v>
          </cell>
          <cell r="I1381">
            <v>6</v>
          </cell>
          <cell r="J1381" t="str">
            <v>Drop2N</v>
          </cell>
          <cell r="K1381" t="str">
            <v>attack</v>
          </cell>
          <cell r="L1381" t="str">
            <v>攻撃タイプ</v>
          </cell>
          <cell r="M1381" t="str">
            <v>animal</v>
          </cell>
        </row>
        <row r="1382">
          <cell r="A1382">
            <v>1407</v>
          </cell>
          <cell r="B1382" t="str">
            <v>ja</v>
          </cell>
          <cell r="C1382" t="str">
            <v>グリム・ザ・ダンディ</v>
          </cell>
          <cell r="H1382" t="str">
            <v>yellow</v>
          </cell>
          <cell r="I1382">
            <v>5</v>
          </cell>
          <cell r="J1382" t="str">
            <v>DropWizS</v>
          </cell>
          <cell r="K1382" t="str">
            <v>balance</v>
          </cell>
          <cell r="L1382" t="str">
            <v>バランスタイプ</v>
          </cell>
          <cell r="M1382" t="str">
            <v>human</v>
          </cell>
        </row>
        <row r="1383">
          <cell r="A1383">
            <v>1408</v>
          </cell>
          <cell r="B1383" t="str">
            <v>ja</v>
          </cell>
          <cell r="C1383" t="str">
            <v>爽愛の求魂 グリム・ザ・ダンディ</v>
          </cell>
          <cell r="H1383" t="str">
            <v>yellow</v>
          </cell>
          <cell r="I1383">
            <v>6</v>
          </cell>
          <cell r="J1383" t="str">
            <v>DropWizS</v>
          </cell>
          <cell r="K1383" t="str">
            <v>balance</v>
          </cell>
          <cell r="L1383" t="str">
            <v>バランスタイプ</v>
          </cell>
          <cell r="M1383" t="str">
            <v>human</v>
          </cell>
        </row>
        <row r="1384">
          <cell r="A1384">
            <v>1409</v>
          </cell>
          <cell r="B1384" t="str">
            <v>ja</v>
          </cell>
          <cell r="C1384" t="str">
            <v>マシロ</v>
          </cell>
          <cell r="H1384" t="str">
            <v>green</v>
          </cell>
          <cell r="I1384">
            <v>5</v>
          </cell>
          <cell r="J1384" t="str">
            <v>PremiumSS</v>
          </cell>
          <cell r="K1384" t="str">
            <v>heal</v>
          </cell>
          <cell r="L1384" t="str">
            <v>回復タイプ</v>
          </cell>
          <cell r="M1384" t="str">
            <v>human</v>
          </cell>
        </row>
        <row r="1385">
          <cell r="A1385">
            <v>1410</v>
          </cell>
          <cell r="B1385" t="str">
            <v>ja</v>
          </cell>
          <cell r="C1385" t="str">
            <v>浮遊する白恋 マシロ</v>
          </cell>
          <cell r="H1385" t="str">
            <v>green</v>
          </cell>
          <cell r="I1385">
            <v>6</v>
          </cell>
          <cell r="J1385" t="str">
            <v>PremiumSS</v>
          </cell>
          <cell r="K1385" t="str">
            <v>heal</v>
          </cell>
          <cell r="L1385" t="str">
            <v>回復タイプ</v>
          </cell>
          <cell r="M1385" t="str">
            <v>human</v>
          </cell>
        </row>
        <row r="1386">
          <cell r="A1386">
            <v>1411</v>
          </cell>
          <cell r="B1386" t="str">
            <v>ja</v>
          </cell>
          <cell r="C1386" t="str">
            <v>ピーターパン・イノセンス</v>
          </cell>
          <cell r="H1386" t="str">
            <v>blue</v>
          </cell>
          <cell r="I1386">
            <v>5</v>
          </cell>
          <cell r="J1386" t="str">
            <v>PremiumS</v>
          </cell>
          <cell r="K1386" t="str">
            <v>attack</v>
          </cell>
          <cell r="L1386" t="str">
            <v>攻撃タイプ</v>
          </cell>
          <cell r="M1386" t="str">
            <v>human</v>
          </cell>
        </row>
        <row r="1387">
          <cell r="A1387">
            <v>1412</v>
          </cell>
          <cell r="B1387" t="str">
            <v>ja</v>
          </cell>
          <cell r="C1387" t="str">
            <v>アレス・パッション</v>
          </cell>
          <cell r="H1387" t="str">
            <v>yellow</v>
          </cell>
          <cell r="I1387">
            <v>5</v>
          </cell>
          <cell r="J1387" t="str">
            <v>PremiumS</v>
          </cell>
          <cell r="K1387" t="str">
            <v>attack</v>
          </cell>
          <cell r="L1387" t="str">
            <v>攻撃タイプ</v>
          </cell>
          <cell r="M1387" t="str">
            <v>god</v>
          </cell>
        </row>
        <row r="1388">
          <cell r="A1388">
            <v>1413</v>
          </cell>
          <cell r="B1388" t="str">
            <v>ja</v>
          </cell>
          <cell r="C1388" t="str">
            <v>クリムト・ペリューシド</v>
          </cell>
          <cell r="H1388" t="str">
            <v>green</v>
          </cell>
          <cell r="I1388">
            <v>5</v>
          </cell>
          <cell r="J1388" t="str">
            <v>PremiumS</v>
          </cell>
          <cell r="K1388" t="str">
            <v>technical</v>
          </cell>
          <cell r="L1388" t="str">
            <v>テクニカルタイプ</v>
          </cell>
          <cell r="M1388" t="str">
            <v>human</v>
          </cell>
        </row>
        <row r="1389">
          <cell r="A1389">
            <v>1414</v>
          </cell>
          <cell r="B1389" t="str">
            <v>ja</v>
          </cell>
          <cell r="C1389" t="str">
            <v>炎のミリオンダック 7</v>
          </cell>
          <cell r="D1389" t="str">
            <v>未定</v>
          </cell>
          <cell r="E1389" t="str">
            <v>執行者</v>
          </cell>
          <cell r="F1389" t="str">
            <v>格好いい</v>
          </cell>
          <cell r="G1389" t="str">
            <v>不明</v>
          </cell>
          <cell r="H1389" t="str">
            <v>red</v>
          </cell>
          <cell r="I1389">
            <v>6</v>
          </cell>
          <cell r="J1389" t="str">
            <v>Material</v>
          </cell>
          <cell r="K1389" t="str">
            <v>exp</v>
          </cell>
          <cell r="L1389" t="str">
            <v>強化素材タイプ</v>
          </cell>
          <cell r="M1389" t="str">
            <v>unknown</v>
          </cell>
        </row>
        <row r="1390">
          <cell r="A1390">
            <v>1415</v>
          </cell>
          <cell r="B1390" t="str">
            <v>ja</v>
          </cell>
          <cell r="C1390" t="str">
            <v>森のミリオンダック 7</v>
          </cell>
          <cell r="D1390" t="str">
            <v>未定</v>
          </cell>
          <cell r="E1390" t="str">
            <v>執行者</v>
          </cell>
          <cell r="F1390" t="str">
            <v>格好いい</v>
          </cell>
          <cell r="G1390" t="str">
            <v>不明</v>
          </cell>
          <cell r="H1390" t="str">
            <v>green</v>
          </cell>
          <cell r="I1390">
            <v>6</v>
          </cell>
          <cell r="J1390" t="str">
            <v>Material</v>
          </cell>
          <cell r="K1390" t="str">
            <v>exp</v>
          </cell>
          <cell r="L1390" t="str">
            <v>強化素材タイプ</v>
          </cell>
          <cell r="M1390" t="str">
            <v>unknown</v>
          </cell>
        </row>
        <row r="1391">
          <cell r="A1391">
            <v>1416</v>
          </cell>
          <cell r="B1391" t="str">
            <v>ja</v>
          </cell>
          <cell r="C1391" t="str">
            <v>水のミリオンダック 7</v>
          </cell>
          <cell r="D1391" t="str">
            <v>未定</v>
          </cell>
          <cell r="E1391" t="str">
            <v>執行者</v>
          </cell>
          <cell r="F1391" t="str">
            <v>格好いい</v>
          </cell>
          <cell r="G1391" t="str">
            <v>不明</v>
          </cell>
          <cell r="H1391" t="str">
            <v>blue</v>
          </cell>
          <cell r="I1391">
            <v>6</v>
          </cell>
          <cell r="J1391" t="str">
            <v>Material</v>
          </cell>
          <cell r="K1391" t="str">
            <v>exp</v>
          </cell>
          <cell r="L1391" t="str">
            <v>強化素材タイプ</v>
          </cell>
          <cell r="M1391" t="str">
            <v>unknown</v>
          </cell>
        </row>
        <row r="1392">
          <cell r="A1392">
            <v>1417</v>
          </cell>
          <cell r="B1392" t="str">
            <v>ja</v>
          </cell>
          <cell r="C1392" t="str">
            <v>雷のミリオンダック 7</v>
          </cell>
          <cell r="D1392" t="str">
            <v>未定</v>
          </cell>
          <cell r="E1392" t="str">
            <v>執行者</v>
          </cell>
          <cell r="F1392" t="str">
            <v>格好いい</v>
          </cell>
          <cell r="G1392" t="str">
            <v>不明</v>
          </cell>
          <cell r="H1392" t="str">
            <v>yellow</v>
          </cell>
          <cell r="I1392">
            <v>6</v>
          </cell>
          <cell r="J1392" t="str">
            <v>Material</v>
          </cell>
          <cell r="K1392" t="str">
            <v>exp</v>
          </cell>
          <cell r="L1392" t="str">
            <v>強化素材タイプ</v>
          </cell>
          <cell r="M1392" t="str">
            <v>unknown</v>
          </cell>
        </row>
        <row r="1393">
          <cell r="A1393">
            <v>1418</v>
          </cell>
          <cell r="B1393" t="str">
            <v>ja</v>
          </cell>
          <cell r="C1393" t="str">
            <v>擬潜送侵型メリッサ2.0</v>
          </cell>
          <cell r="H1393" t="str">
            <v>red</v>
          </cell>
          <cell r="I1393">
            <v>5</v>
          </cell>
          <cell r="J1393" t="str">
            <v>DropWizS</v>
          </cell>
          <cell r="K1393" t="str">
            <v>technical</v>
          </cell>
          <cell r="L1393" t="str">
            <v>テクニカルタイプ</v>
          </cell>
          <cell r="M1393" t="str">
            <v>unknown</v>
          </cell>
        </row>
        <row r="1394">
          <cell r="A1394">
            <v>1419</v>
          </cell>
          <cell r="B1394" t="str">
            <v>ja</v>
          </cell>
          <cell r="C1394" t="str">
            <v>感潜する侵感 メリッサ</v>
          </cell>
          <cell r="H1394" t="str">
            <v>red</v>
          </cell>
          <cell r="I1394">
            <v>6</v>
          </cell>
          <cell r="J1394" t="str">
            <v>DropWizS</v>
          </cell>
          <cell r="K1394" t="str">
            <v>technical</v>
          </cell>
          <cell r="L1394" t="str">
            <v>テクニカルタイプ</v>
          </cell>
          <cell r="M1394" t="str">
            <v>unknown</v>
          </cell>
        </row>
        <row r="1395">
          <cell r="A1395">
            <v>1420</v>
          </cell>
          <cell r="B1395" t="str">
            <v>ja</v>
          </cell>
          <cell r="C1395" t="str">
            <v>脆侵増殖型G・モリス</v>
          </cell>
          <cell r="H1395" t="str">
            <v>blue</v>
          </cell>
          <cell r="I1395">
            <v>5</v>
          </cell>
          <cell r="J1395" t="str">
            <v>DropWizS</v>
          </cell>
          <cell r="K1395" t="str">
            <v>balance</v>
          </cell>
          <cell r="L1395" t="str">
            <v>バランスタイプ</v>
          </cell>
          <cell r="M1395" t="str">
            <v>unknown</v>
          </cell>
        </row>
        <row r="1396">
          <cell r="A1396">
            <v>1421</v>
          </cell>
          <cell r="B1396" t="str">
            <v>ja</v>
          </cell>
          <cell r="C1396" t="str">
            <v>拡勢する偽増 モリス</v>
          </cell>
          <cell r="H1396" t="str">
            <v>blue</v>
          </cell>
          <cell r="I1396">
            <v>6</v>
          </cell>
          <cell r="J1396" t="str">
            <v>DropWizS</v>
          </cell>
          <cell r="K1396" t="str">
            <v>balance</v>
          </cell>
          <cell r="L1396" t="str">
            <v>バランスタイプ</v>
          </cell>
          <cell r="M1396" t="str">
            <v>unknown</v>
          </cell>
        </row>
        <row r="1397">
          <cell r="A1397">
            <v>1422</v>
          </cell>
          <cell r="B1397" t="str">
            <v>ja</v>
          </cell>
          <cell r="C1397" t="str">
            <v>解錠放散性ニムダE</v>
          </cell>
          <cell r="H1397" t="str">
            <v>yellow</v>
          </cell>
          <cell r="I1397">
            <v>5</v>
          </cell>
          <cell r="J1397" t="str">
            <v>DropWizS</v>
          </cell>
          <cell r="K1397" t="str">
            <v>hp</v>
          </cell>
          <cell r="L1397" t="str">
            <v>体力タイプ</v>
          </cell>
          <cell r="M1397" t="str">
            <v>unknown</v>
          </cell>
        </row>
        <row r="1398">
          <cell r="A1398">
            <v>1423</v>
          </cell>
          <cell r="B1398" t="str">
            <v>ja</v>
          </cell>
          <cell r="C1398" t="str">
            <v>電播する環染 ニムダ</v>
          </cell>
          <cell r="H1398" t="str">
            <v>yellow</v>
          </cell>
          <cell r="I1398">
            <v>6</v>
          </cell>
          <cell r="J1398" t="str">
            <v>DropWizS</v>
          </cell>
          <cell r="K1398" t="str">
            <v>hp</v>
          </cell>
          <cell r="L1398" t="str">
            <v>体力タイプ</v>
          </cell>
          <cell r="M1398" t="str">
            <v>unknown</v>
          </cell>
        </row>
        <row r="1399">
          <cell r="A1399">
            <v>1424</v>
          </cell>
          <cell r="B1399" t="str">
            <v>ja</v>
          </cell>
          <cell r="C1399" t="str">
            <v>波打際の宴麗 フロイト</v>
          </cell>
          <cell r="H1399" t="str">
            <v>blue</v>
          </cell>
          <cell r="I1399">
            <v>6</v>
          </cell>
          <cell r="J1399" t="str">
            <v>PremiumSSS</v>
          </cell>
          <cell r="K1399" t="str">
            <v>balance</v>
          </cell>
          <cell r="L1399" t="str">
            <v>バランスタイプ</v>
          </cell>
          <cell r="M1399" t="str">
            <v>academia</v>
          </cell>
        </row>
        <row r="1400">
          <cell r="A1400">
            <v>1425</v>
          </cell>
          <cell r="B1400" t="str">
            <v>ja</v>
          </cell>
          <cell r="C1400" t="str">
            <v>ヴォルタ</v>
          </cell>
          <cell r="D1400" t="str">
            <v>未定</v>
          </cell>
          <cell r="E1400" t="str">
            <v>アリス</v>
          </cell>
          <cell r="F1400" t="str">
            <v>世界観</v>
          </cell>
          <cell r="G1400" t="str">
            <v>不明</v>
          </cell>
          <cell r="H1400" t="str">
            <v>red</v>
          </cell>
          <cell r="I1400">
            <v>5</v>
          </cell>
          <cell r="J1400" t="str">
            <v>PremiumSSS</v>
          </cell>
          <cell r="K1400" t="str">
            <v>attack</v>
          </cell>
          <cell r="L1400" t="str">
            <v>攻撃タイプ</v>
          </cell>
          <cell r="M1400" t="str">
            <v>academia</v>
          </cell>
        </row>
        <row r="1401">
          <cell r="A1401">
            <v>1426</v>
          </cell>
          <cell r="B1401" t="str">
            <v>ja</v>
          </cell>
          <cell r="C1401" t="str">
            <v>灼々たる電花 ヴォルタ</v>
          </cell>
          <cell r="D1401" t="str">
            <v>未定</v>
          </cell>
          <cell r="E1401" t="str">
            <v>アリス</v>
          </cell>
          <cell r="F1401" t="str">
            <v>世界観</v>
          </cell>
          <cell r="G1401" t="str">
            <v>不明</v>
          </cell>
          <cell r="H1401" t="str">
            <v>red</v>
          </cell>
          <cell r="I1401">
            <v>6</v>
          </cell>
          <cell r="J1401" t="str">
            <v>PremiumSSS</v>
          </cell>
          <cell r="K1401" t="str">
            <v>attack</v>
          </cell>
          <cell r="L1401" t="str">
            <v>攻撃タイプ</v>
          </cell>
          <cell r="M1401" t="str">
            <v>academia</v>
          </cell>
        </row>
        <row r="1402">
          <cell r="A1402">
            <v>1431</v>
          </cell>
          <cell r="B1402" t="str">
            <v>ja</v>
          </cell>
          <cell r="C1402" t="str">
            <v>センコR5</v>
          </cell>
          <cell r="D1402" t="str">
            <v>未定</v>
          </cell>
          <cell r="E1402" t="str">
            <v>アリス</v>
          </cell>
          <cell r="F1402" t="str">
            <v>世界観</v>
          </cell>
          <cell r="G1402" t="str">
            <v>不明</v>
          </cell>
          <cell r="H1402" t="str">
            <v>yellow</v>
          </cell>
          <cell r="I1402">
            <v>5</v>
          </cell>
          <cell r="J1402" t="str">
            <v>PremiumSS</v>
          </cell>
          <cell r="K1402" t="str">
            <v>technical</v>
          </cell>
          <cell r="L1402" t="str">
            <v>テクニカルタイプ</v>
          </cell>
          <cell r="M1402" t="str">
            <v>god</v>
          </cell>
        </row>
        <row r="1403">
          <cell r="A1403">
            <v>1432</v>
          </cell>
          <cell r="B1403" t="str">
            <v>ja</v>
          </cell>
          <cell r="C1403" t="str">
            <v>センコR6</v>
          </cell>
          <cell r="D1403" t="str">
            <v>未定</v>
          </cell>
          <cell r="E1403" t="str">
            <v>アリス</v>
          </cell>
          <cell r="F1403" t="str">
            <v>世界観</v>
          </cell>
          <cell r="G1403" t="str">
            <v>不明</v>
          </cell>
          <cell r="H1403" t="str">
            <v>yellow</v>
          </cell>
          <cell r="I1403">
            <v>6</v>
          </cell>
          <cell r="J1403" t="str">
            <v>PremiumSS</v>
          </cell>
          <cell r="K1403" t="str">
            <v>technical</v>
          </cell>
          <cell r="L1403" t="str">
            <v>テクニカルタイプ</v>
          </cell>
          <cell r="M1403" t="str">
            <v>god</v>
          </cell>
        </row>
        <row r="1404">
          <cell r="A1404">
            <v>1433</v>
          </cell>
          <cell r="B1404" t="str">
            <v>ja</v>
          </cell>
          <cell r="C1404" t="str">
            <v>超越の果実</v>
          </cell>
          <cell r="D1404" t="str">
            <v>スキル進化素材</v>
          </cell>
          <cell r="E1404" t="str">
            <v>アリス</v>
          </cell>
          <cell r="F1404" t="str">
            <v>世界観</v>
          </cell>
          <cell r="G1404" t="str">
            <v>不明</v>
          </cell>
          <cell r="H1404" t="str">
            <v>yellow</v>
          </cell>
          <cell r="I1404">
            <v>3</v>
          </cell>
          <cell r="J1404" t="str">
            <v>Material</v>
          </cell>
          <cell r="K1404" t="str">
            <v>limitbreak</v>
          </cell>
          <cell r="L1404" t="str">
            <v>限界突破素材</v>
          </cell>
          <cell r="M1404" t="str">
            <v>unknown</v>
          </cell>
        </row>
        <row r="1405">
          <cell r="A1405">
            <v>1434</v>
          </cell>
          <cell r="B1405" t="str">
            <v>ja</v>
          </cell>
          <cell r="C1405" t="str">
            <v>メガ超越の果実</v>
          </cell>
          <cell r="D1405" t="str">
            <v>スキル進化素材</v>
          </cell>
          <cell r="E1405" t="str">
            <v>アリス</v>
          </cell>
          <cell r="F1405" t="str">
            <v>世界観</v>
          </cell>
          <cell r="G1405" t="str">
            <v>不明</v>
          </cell>
          <cell r="H1405" t="str">
            <v>yellow</v>
          </cell>
          <cell r="I1405">
            <v>4</v>
          </cell>
          <cell r="J1405" t="str">
            <v>Material</v>
          </cell>
          <cell r="K1405" t="str">
            <v>limitbreak</v>
          </cell>
          <cell r="L1405" t="str">
            <v>限界突破素材</v>
          </cell>
          <cell r="M1405" t="str">
            <v>unknown</v>
          </cell>
        </row>
        <row r="1406">
          <cell r="A1406">
            <v>1435</v>
          </cell>
          <cell r="B1406" t="str">
            <v>ja</v>
          </cell>
          <cell r="C1406" t="str">
            <v>ギガ超越の果実</v>
          </cell>
          <cell r="D1406" t="str">
            <v>スキル進化素材</v>
          </cell>
          <cell r="E1406" t="str">
            <v>アリス</v>
          </cell>
          <cell r="F1406" t="str">
            <v>世界観</v>
          </cell>
          <cell r="G1406" t="str">
            <v>不明</v>
          </cell>
          <cell r="H1406" t="str">
            <v>yellow</v>
          </cell>
          <cell r="I1406">
            <v>5</v>
          </cell>
          <cell r="J1406" t="str">
            <v>Material</v>
          </cell>
          <cell r="K1406" t="str">
            <v>limitbreak</v>
          </cell>
          <cell r="L1406" t="str">
            <v>限界突破素材</v>
          </cell>
          <cell r="M1406" t="str">
            <v>unknown</v>
          </cell>
        </row>
        <row r="1407">
          <cell r="A1407">
            <v>1452</v>
          </cell>
          <cell r="B1407" t="str">
            <v>ja</v>
          </cell>
          <cell r="C1407" t="str">
            <v>メルセンヌ</v>
          </cell>
          <cell r="D1407" t="str">
            <v>未定</v>
          </cell>
          <cell r="E1407" t="str">
            <v>アリス</v>
          </cell>
          <cell r="F1407" t="str">
            <v>世界観</v>
          </cell>
          <cell r="G1407" t="str">
            <v>不明</v>
          </cell>
          <cell r="H1407" t="str">
            <v>yellow</v>
          </cell>
          <cell r="I1407">
            <v>5</v>
          </cell>
          <cell r="J1407" t="str">
            <v>PremiumSSS</v>
          </cell>
          <cell r="K1407" t="str">
            <v>hp</v>
          </cell>
          <cell r="L1407" t="str">
            <v>体力タイプ</v>
          </cell>
          <cell r="M1407" t="str">
            <v>academia</v>
          </cell>
        </row>
        <row r="1408">
          <cell r="A1408">
            <v>1453</v>
          </cell>
          <cell r="B1408" t="str">
            <v>ja</v>
          </cell>
          <cell r="C1408" t="str">
            <v>数解の自鳴琴 メルセンヌ</v>
          </cell>
          <cell r="D1408" t="str">
            <v>未定</v>
          </cell>
          <cell r="E1408" t="str">
            <v>アリス</v>
          </cell>
          <cell r="F1408" t="str">
            <v>世界観</v>
          </cell>
          <cell r="G1408" t="str">
            <v>不明</v>
          </cell>
          <cell r="H1408" t="str">
            <v>yellow</v>
          </cell>
          <cell r="I1408">
            <v>6</v>
          </cell>
          <cell r="J1408" t="str">
            <v>PremiumSSS</v>
          </cell>
          <cell r="K1408" t="str">
            <v>hp</v>
          </cell>
          <cell r="L1408" t="str">
            <v>体力タイプ</v>
          </cell>
          <cell r="M1408" t="str">
            <v>academia</v>
          </cell>
        </row>
        <row r="1409">
          <cell r="A1409">
            <v>1454</v>
          </cell>
          <cell r="B1409" t="str">
            <v>ja</v>
          </cell>
          <cell r="C1409" t="str">
            <v>ストレングス</v>
          </cell>
          <cell r="D1409" t="str">
            <v>未定</v>
          </cell>
          <cell r="E1409" t="str">
            <v>アリス</v>
          </cell>
          <cell r="F1409" t="str">
            <v>世界観</v>
          </cell>
          <cell r="G1409" t="str">
            <v>不明</v>
          </cell>
          <cell r="H1409" t="str">
            <v>red</v>
          </cell>
          <cell r="I1409">
            <v>5</v>
          </cell>
          <cell r="J1409" t="str">
            <v>PremiumSSS</v>
          </cell>
          <cell r="K1409" t="str">
            <v>balance</v>
          </cell>
          <cell r="L1409" t="str">
            <v>バランスタイプ</v>
          </cell>
          <cell r="M1409" t="str">
            <v>god</v>
          </cell>
        </row>
        <row r="1410">
          <cell r="A1410">
            <v>1455</v>
          </cell>
          <cell r="B1410" t="str">
            <v>ja</v>
          </cell>
          <cell r="C1410" t="str">
            <v>豪毅なる征獣師 ストレングス</v>
          </cell>
          <cell r="D1410" t="str">
            <v>未定</v>
          </cell>
          <cell r="E1410" t="str">
            <v>アリス</v>
          </cell>
          <cell r="F1410" t="str">
            <v>世界観</v>
          </cell>
          <cell r="G1410" t="str">
            <v>不明</v>
          </cell>
          <cell r="H1410" t="str">
            <v>red</v>
          </cell>
          <cell r="I1410">
            <v>6</v>
          </cell>
          <cell r="J1410" t="str">
            <v>PremiumSSS</v>
          </cell>
          <cell r="K1410" t="str">
            <v>balance</v>
          </cell>
          <cell r="L1410" t="str">
            <v>バランスタイプ</v>
          </cell>
          <cell r="M1410" t="str">
            <v>god</v>
          </cell>
        </row>
        <row r="1411">
          <cell r="A1411">
            <v>1456</v>
          </cell>
          <cell r="B1411" t="str">
            <v>ja</v>
          </cell>
          <cell r="C1411" t="str">
            <v>ネセバル</v>
          </cell>
          <cell r="H1411" t="str">
            <v>blue</v>
          </cell>
          <cell r="I1411">
            <v>5</v>
          </cell>
          <cell r="J1411" t="str">
            <v>PremiumSSw</v>
          </cell>
          <cell r="K1411" t="str">
            <v>attack</v>
          </cell>
          <cell r="L1411" t="str">
            <v>攻撃タイプ</v>
          </cell>
          <cell r="M1411" t="str">
            <v>hero</v>
          </cell>
        </row>
        <row r="1412">
          <cell r="A1412">
            <v>1457</v>
          </cell>
          <cell r="B1412" t="str">
            <v>ja</v>
          </cell>
          <cell r="C1412" t="str">
            <v>碧影の聖跡 ネセバル</v>
          </cell>
          <cell r="H1412" t="str">
            <v>blue</v>
          </cell>
          <cell r="I1412">
            <v>6</v>
          </cell>
          <cell r="J1412" t="str">
            <v>PremiumSSw</v>
          </cell>
          <cell r="K1412" t="str">
            <v>attack</v>
          </cell>
          <cell r="L1412" t="str">
            <v>攻撃タイプ</v>
          </cell>
          <cell r="M1412" t="str">
            <v>hero</v>
          </cell>
        </row>
        <row r="1413">
          <cell r="A1413">
            <v>1458</v>
          </cell>
          <cell r="B1413" t="str">
            <v>ja</v>
          </cell>
          <cell r="C1413" t="str">
            <v>diamond01</v>
          </cell>
          <cell r="H1413" t="str">
            <v>red</v>
          </cell>
          <cell r="I1413">
            <v>5</v>
          </cell>
          <cell r="J1413" t="str">
            <v>PremiumSS</v>
          </cell>
          <cell r="K1413" t="str">
            <v>attack</v>
          </cell>
          <cell r="L1413" t="str">
            <v>攻撃タイプ</v>
          </cell>
          <cell r="M1413" t="str">
            <v>human</v>
          </cell>
        </row>
        <row r="1414">
          <cell r="A1414">
            <v>1459</v>
          </cell>
          <cell r="B1414" t="str">
            <v>ja</v>
          </cell>
          <cell r="C1414" t="str">
            <v>diamond02</v>
          </cell>
          <cell r="H1414" t="str">
            <v>red</v>
          </cell>
          <cell r="I1414">
            <v>6</v>
          </cell>
          <cell r="J1414" t="str">
            <v>PremiumSS</v>
          </cell>
          <cell r="K1414" t="str">
            <v>attack</v>
          </cell>
          <cell r="L1414" t="str">
            <v>攻撃タイプ</v>
          </cell>
          <cell r="M1414" t="str">
            <v>human</v>
          </cell>
        </row>
        <row r="1415">
          <cell r="A1415">
            <v>1460</v>
          </cell>
          <cell r="B1415" t="str">
            <v>ja</v>
          </cell>
          <cell r="C1415" t="str">
            <v>opal01</v>
          </cell>
          <cell r="H1415" t="str">
            <v>blue</v>
          </cell>
          <cell r="I1415">
            <v>4</v>
          </cell>
          <cell r="J1415" t="str">
            <v>PremiumS</v>
          </cell>
          <cell r="K1415" t="str">
            <v>balance</v>
          </cell>
          <cell r="L1415" t="str">
            <v>バランスタイプ</v>
          </cell>
          <cell r="M1415" t="str">
            <v>human</v>
          </cell>
        </row>
        <row r="1416">
          <cell r="A1416">
            <v>1461</v>
          </cell>
          <cell r="B1416" t="str">
            <v>ja</v>
          </cell>
          <cell r="C1416" t="str">
            <v>opal02</v>
          </cell>
          <cell r="H1416" t="str">
            <v>blue</v>
          </cell>
          <cell r="I1416">
            <v>5</v>
          </cell>
          <cell r="J1416" t="str">
            <v>PremiumS</v>
          </cell>
          <cell r="K1416" t="str">
            <v>balance</v>
          </cell>
          <cell r="L1416" t="str">
            <v>バランスタイプ</v>
          </cell>
          <cell r="M1416" t="str">
            <v>human</v>
          </cell>
        </row>
        <row r="1417">
          <cell r="A1417">
            <v>1462</v>
          </cell>
          <cell r="B1417" t="str">
            <v>ja</v>
          </cell>
          <cell r="C1417" t="str">
            <v>ruby01</v>
          </cell>
          <cell r="H1417" t="str">
            <v>yellow</v>
          </cell>
          <cell r="I1417">
            <v>5</v>
          </cell>
          <cell r="J1417" t="str">
            <v>PremiumSS</v>
          </cell>
          <cell r="K1417" t="str">
            <v>technical</v>
          </cell>
          <cell r="L1417" t="str">
            <v>テクニカルタイプ</v>
          </cell>
          <cell r="M1417" t="str">
            <v>human</v>
          </cell>
        </row>
        <row r="1418">
          <cell r="A1418">
            <v>1463</v>
          </cell>
          <cell r="B1418" t="str">
            <v>ja</v>
          </cell>
          <cell r="C1418" t="str">
            <v>ruby02</v>
          </cell>
          <cell r="H1418" t="str">
            <v>yellow</v>
          </cell>
          <cell r="I1418">
            <v>6</v>
          </cell>
          <cell r="J1418" t="str">
            <v>PremiumSS</v>
          </cell>
          <cell r="K1418" t="str">
            <v>technical</v>
          </cell>
          <cell r="L1418" t="str">
            <v>テクニカルタイプ</v>
          </cell>
          <cell r="M1418" t="str">
            <v>human</v>
          </cell>
        </row>
        <row r="1419">
          <cell r="A1419">
            <v>1464</v>
          </cell>
          <cell r="B1419" t="str">
            <v>ja</v>
          </cell>
          <cell r="C1419" t="str">
            <v>garnet01</v>
          </cell>
          <cell r="H1419" t="str">
            <v>yellow</v>
          </cell>
          <cell r="I1419">
            <v>5</v>
          </cell>
          <cell r="J1419" t="str">
            <v>PremiumSS</v>
          </cell>
          <cell r="K1419" t="str">
            <v>hp</v>
          </cell>
          <cell r="L1419" t="str">
            <v>体力タイプ</v>
          </cell>
          <cell r="M1419" t="str">
            <v>human</v>
          </cell>
        </row>
        <row r="1420">
          <cell r="A1420">
            <v>1465</v>
          </cell>
          <cell r="B1420" t="str">
            <v>ja</v>
          </cell>
          <cell r="C1420" t="str">
            <v>garnet02</v>
          </cell>
          <cell r="H1420" t="str">
            <v>yellow</v>
          </cell>
          <cell r="I1420">
            <v>6</v>
          </cell>
          <cell r="J1420" t="str">
            <v>PremiumSS</v>
          </cell>
          <cell r="K1420" t="str">
            <v>hp</v>
          </cell>
          <cell r="L1420" t="str">
            <v>体力タイプ</v>
          </cell>
          <cell r="M1420" t="str">
            <v>human</v>
          </cell>
        </row>
        <row r="1421">
          <cell r="A1421">
            <v>1466</v>
          </cell>
          <cell r="B1421" t="str">
            <v>ja</v>
          </cell>
          <cell r="C1421" t="str">
            <v>sapphire01</v>
          </cell>
          <cell r="H1421" t="str">
            <v>blue</v>
          </cell>
          <cell r="I1421">
            <v>5</v>
          </cell>
          <cell r="J1421" t="str">
            <v>DropWizS</v>
          </cell>
          <cell r="K1421" t="str">
            <v>attack</v>
          </cell>
          <cell r="L1421" t="str">
            <v>攻撃タイプ</v>
          </cell>
          <cell r="M1421" t="str">
            <v>human</v>
          </cell>
        </row>
        <row r="1422">
          <cell r="A1422">
            <v>1467</v>
          </cell>
          <cell r="B1422" t="str">
            <v>ja</v>
          </cell>
          <cell r="C1422" t="str">
            <v>sapphire02</v>
          </cell>
          <cell r="H1422" t="str">
            <v>blue</v>
          </cell>
          <cell r="I1422">
            <v>6</v>
          </cell>
          <cell r="J1422" t="str">
            <v>DropWizS</v>
          </cell>
          <cell r="K1422" t="str">
            <v>attack</v>
          </cell>
          <cell r="L1422" t="str">
            <v>攻撃タイプ</v>
          </cell>
          <cell r="M1422" t="str">
            <v>human</v>
          </cell>
        </row>
        <row r="1423">
          <cell r="A1423">
            <v>1468</v>
          </cell>
          <cell r="B1423" t="str">
            <v>ja</v>
          </cell>
          <cell r="C1423" t="str">
            <v>emerald01</v>
          </cell>
          <cell r="H1423" t="str">
            <v>green</v>
          </cell>
          <cell r="I1423">
            <v>5</v>
          </cell>
          <cell r="J1423" t="str">
            <v>Drop2N</v>
          </cell>
          <cell r="K1423" t="str">
            <v>attack</v>
          </cell>
          <cell r="L1423" t="str">
            <v>攻撃タイプ</v>
          </cell>
          <cell r="M1423" t="str">
            <v>unknown</v>
          </cell>
        </row>
        <row r="1424">
          <cell r="A1424">
            <v>1469</v>
          </cell>
          <cell r="B1424" t="str">
            <v>ja</v>
          </cell>
          <cell r="C1424" t="str">
            <v>aquamarine01</v>
          </cell>
          <cell r="H1424" t="str">
            <v>yellow</v>
          </cell>
          <cell r="I1424">
            <v>5</v>
          </cell>
          <cell r="J1424" t="str">
            <v>Drop2N</v>
          </cell>
          <cell r="K1424" t="str">
            <v>technical</v>
          </cell>
          <cell r="L1424" t="str">
            <v>テクニカルタイプ</v>
          </cell>
          <cell r="M1424" t="str">
            <v>unknown</v>
          </cell>
        </row>
        <row r="1425">
          <cell r="A1425">
            <v>1470</v>
          </cell>
          <cell r="B1425" t="str">
            <v>ja</v>
          </cell>
          <cell r="C1425" t="str">
            <v>amethyst01</v>
          </cell>
          <cell r="H1425" t="str">
            <v>red</v>
          </cell>
          <cell r="I1425">
            <v>5</v>
          </cell>
          <cell r="J1425" t="str">
            <v>Drop2N</v>
          </cell>
          <cell r="K1425" t="str">
            <v>balance</v>
          </cell>
          <cell r="L1425" t="str">
            <v>バランスタイプ</v>
          </cell>
          <cell r="M1425" t="str">
            <v>unknown</v>
          </cell>
        </row>
        <row r="1426">
          <cell r="A1426">
            <v>1471</v>
          </cell>
          <cell r="B1426" t="str">
            <v>ja</v>
          </cell>
          <cell r="C1426" t="str">
            <v>エイプリルアーサー</v>
          </cell>
          <cell r="H1426" t="str">
            <v>red</v>
          </cell>
          <cell r="I1426">
            <v>6</v>
          </cell>
          <cell r="J1426" t="str">
            <v>DropWizS</v>
          </cell>
          <cell r="K1426" t="str">
            <v>balance</v>
          </cell>
          <cell r="L1426" t="str">
            <v>バランスタイプ</v>
          </cell>
          <cell r="M1426" t="str">
            <v>unknown</v>
          </cell>
        </row>
        <row r="1427">
          <cell r="A1427">
            <v>1488</v>
          </cell>
          <cell r="B1427" t="str">
            <v>ja</v>
          </cell>
          <cell r="C1427" t="str">
            <v>バクR5</v>
          </cell>
          <cell r="D1427" t="str">
            <v>未定</v>
          </cell>
          <cell r="E1427" t="str">
            <v>アリス</v>
          </cell>
          <cell r="F1427" t="str">
            <v>世界観</v>
          </cell>
          <cell r="G1427" t="str">
            <v>不明</v>
          </cell>
          <cell r="H1427" t="str">
            <v>green</v>
          </cell>
          <cell r="I1427">
            <v>5</v>
          </cell>
          <cell r="J1427" t="str">
            <v>PremiumSSS</v>
          </cell>
          <cell r="K1427" t="str">
            <v>attack</v>
          </cell>
          <cell r="L1427" t="str">
            <v>攻撃タイプ</v>
          </cell>
          <cell r="M1427" t="str">
            <v>academia</v>
          </cell>
        </row>
        <row r="1428">
          <cell r="A1428">
            <v>1489</v>
          </cell>
          <cell r="B1428" t="str">
            <v>ja</v>
          </cell>
          <cell r="C1428" t="str">
            <v>バクR6</v>
          </cell>
          <cell r="D1428" t="str">
            <v>未定</v>
          </cell>
          <cell r="E1428" t="str">
            <v>アリス</v>
          </cell>
          <cell r="F1428" t="str">
            <v>世界観</v>
          </cell>
          <cell r="G1428" t="str">
            <v>不明</v>
          </cell>
          <cell r="H1428" t="str">
            <v>green</v>
          </cell>
          <cell r="I1428">
            <v>6</v>
          </cell>
          <cell r="J1428" t="str">
            <v>PremiumSSS</v>
          </cell>
          <cell r="K1428" t="str">
            <v>attack</v>
          </cell>
          <cell r="L1428" t="str">
            <v>攻撃タイプ</v>
          </cell>
          <cell r="M1428" t="str">
            <v>academia</v>
          </cell>
        </row>
        <row r="1429">
          <cell r="A1429">
            <v>1495</v>
          </cell>
          <cell r="B1429" t="str">
            <v>ja</v>
          </cell>
          <cell r="C1429" t="str">
            <v>花見牛若丸</v>
          </cell>
          <cell r="D1429" t="str">
            <v>未定</v>
          </cell>
          <cell r="E1429" t="str">
            <v>アリス</v>
          </cell>
          <cell r="F1429" t="str">
            <v>世界観</v>
          </cell>
          <cell r="G1429" t="str">
            <v>不明</v>
          </cell>
          <cell r="H1429" t="str">
            <v>yellow</v>
          </cell>
          <cell r="I1429">
            <v>6</v>
          </cell>
          <cell r="J1429" t="str">
            <v>PremiumSS</v>
          </cell>
          <cell r="K1429" t="str">
            <v>balance</v>
          </cell>
          <cell r="L1429" t="str">
            <v>バランスタイプ</v>
          </cell>
          <cell r="M1429" t="str">
            <v>human</v>
          </cell>
        </row>
        <row r="1430">
          <cell r="A1430">
            <v>1496</v>
          </cell>
          <cell r="B1430" t="str">
            <v>ja</v>
          </cell>
          <cell r="C1430" t="str">
            <v>花見沖田</v>
          </cell>
          <cell r="D1430" t="str">
            <v>未定</v>
          </cell>
          <cell r="E1430" t="str">
            <v>アリス</v>
          </cell>
          <cell r="F1430" t="str">
            <v>世界観</v>
          </cell>
          <cell r="G1430" t="str">
            <v>不明</v>
          </cell>
          <cell r="H1430" t="str">
            <v>green</v>
          </cell>
          <cell r="I1430">
            <v>6</v>
          </cell>
          <cell r="J1430" t="str">
            <v>PremiumSS</v>
          </cell>
          <cell r="K1430" t="str">
            <v>balance</v>
          </cell>
          <cell r="L1430" t="str">
            <v>バランスタイプ</v>
          </cell>
          <cell r="M1430" t="str">
            <v>human</v>
          </cell>
        </row>
        <row r="1431">
          <cell r="A1431">
            <v>1497</v>
          </cell>
          <cell r="B1431" t="str">
            <v>ja</v>
          </cell>
          <cell r="C1431" t="str">
            <v>ヨシノ</v>
          </cell>
          <cell r="H1431" t="str">
            <v>yellow</v>
          </cell>
          <cell r="I1431">
            <v>5</v>
          </cell>
          <cell r="J1431" t="str">
            <v>PremiumSS</v>
          </cell>
          <cell r="K1431" t="str">
            <v>technical</v>
          </cell>
          <cell r="L1431" t="str">
            <v>テクニカルタイプ</v>
          </cell>
          <cell r="M1431" t="str">
            <v>human</v>
          </cell>
        </row>
        <row r="1432">
          <cell r="A1432">
            <v>1498</v>
          </cell>
          <cell r="B1432" t="str">
            <v>ja</v>
          </cell>
          <cell r="C1432" t="str">
            <v>咲誇る夢見草 ヨシノ</v>
          </cell>
          <cell r="H1432" t="str">
            <v>yellow</v>
          </cell>
          <cell r="I1432">
            <v>6</v>
          </cell>
          <cell r="J1432" t="str">
            <v>PremiumSS</v>
          </cell>
          <cell r="K1432" t="str">
            <v>technical</v>
          </cell>
          <cell r="L1432" t="str">
            <v>テクニカルタイプ</v>
          </cell>
          <cell r="M1432" t="str">
            <v>human</v>
          </cell>
        </row>
        <row r="1433">
          <cell r="A1433">
            <v>1499</v>
          </cell>
          <cell r="B1433" t="str">
            <v>ja</v>
          </cell>
          <cell r="C1433" t="str">
            <v>コノハナサクヤ</v>
          </cell>
          <cell r="D1433" t="str">
            <v>未定</v>
          </cell>
          <cell r="E1433" t="str">
            <v>アリス</v>
          </cell>
          <cell r="F1433" t="str">
            <v>世界観</v>
          </cell>
          <cell r="G1433" t="str">
            <v>不明</v>
          </cell>
          <cell r="H1433" t="str">
            <v>yellow</v>
          </cell>
          <cell r="I1433">
            <v>5</v>
          </cell>
          <cell r="J1433" t="str">
            <v>PremiumSS</v>
          </cell>
          <cell r="K1433" t="str">
            <v>technical</v>
          </cell>
          <cell r="L1433" t="str">
            <v>テクニカルタイプ</v>
          </cell>
          <cell r="M1433" t="str">
            <v>god</v>
          </cell>
        </row>
        <row r="1434">
          <cell r="A1434">
            <v>1500</v>
          </cell>
          <cell r="B1434" t="str">
            <v>ja</v>
          </cell>
          <cell r="C1434" t="str">
            <v>櫻歌する開華 コノハナサクヤ</v>
          </cell>
          <cell r="D1434" t="str">
            <v>未定</v>
          </cell>
          <cell r="E1434" t="str">
            <v>アリス</v>
          </cell>
          <cell r="F1434" t="str">
            <v>世界観</v>
          </cell>
          <cell r="G1434" t="str">
            <v>不明</v>
          </cell>
          <cell r="H1434" t="str">
            <v>yellow</v>
          </cell>
          <cell r="I1434">
            <v>6</v>
          </cell>
          <cell r="J1434" t="str">
            <v>PremiumSS</v>
          </cell>
          <cell r="K1434" t="str">
            <v>technical</v>
          </cell>
          <cell r="L1434" t="str">
            <v>テクニカルタイプ</v>
          </cell>
          <cell r="M1434" t="str">
            <v>god</v>
          </cell>
        </row>
        <row r="1435">
          <cell r="A1435">
            <v>1501</v>
          </cell>
          <cell r="B1435" t="str">
            <v>ja</v>
          </cell>
          <cell r="C1435" t="str">
            <v>晴舞台の桜舞 ドガ</v>
          </cell>
          <cell r="H1435" t="str">
            <v>blue</v>
          </cell>
          <cell r="I1435">
            <v>6</v>
          </cell>
          <cell r="J1435" t="str">
            <v>PremiumSS</v>
          </cell>
          <cell r="K1435" t="str">
            <v>balance</v>
          </cell>
          <cell r="L1435" t="str">
            <v>バランスタイプ</v>
          </cell>
          <cell r="M1435" t="str">
            <v>animal</v>
          </cell>
        </row>
        <row r="1436">
          <cell r="A1436">
            <v>1502</v>
          </cell>
          <cell r="B1436" t="str">
            <v>ja</v>
          </cell>
          <cell r="C1436" t="str">
            <v>打咲かす桜花灯 トリスタン</v>
          </cell>
          <cell r="H1436" t="str">
            <v>red</v>
          </cell>
          <cell r="I1436">
            <v>5</v>
          </cell>
          <cell r="J1436" t="str">
            <v>PremiumS</v>
          </cell>
          <cell r="K1436" t="str">
            <v>attack</v>
          </cell>
          <cell r="L1436" t="str">
            <v>攻撃タイプ</v>
          </cell>
          <cell r="M1436" t="str">
            <v>human</v>
          </cell>
        </row>
        <row r="1437">
          <cell r="A1437">
            <v>1503</v>
          </cell>
          <cell r="B1437" t="str">
            <v>ja</v>
          </cell>
          <cell r="C1437" t="str">
            <v>春纏う蛇撫子 ヨルムンガンド</v>
          </cell>
          <cell r="H1437" t="str">
            <v>yellow</v>
          </cell>
          <cell r="I1437">
            <v>5</v>
          </cell>
          <cell r="J1437" t="str">
            <v>PremiumS</v>
          </cell>
          <cell r="K1437" t="str">
            <v>technical</v>
          </cell>
          <cell r="L1437" t="str">
            <v>テクニカルタイプ</v>
          </cell>
          <cell r="M1437" t="str">
            <v>dragon</v>
          </cell>
        </row>
        <row r="1438">
          <cell r="A1438">
            <v>1504</v>
          </cell>
          <cell r="B1438" t="str">
            <v>ja</v>
          </cell>
          <cell r="C1438" t="str">
            <v>ネコ</v>
          </cell>
          <cell r="H1438" t="str">
            <v>red</v>
          </cell>
          <cell r="I1438">
            <v>1</v>
          </cell>
          <cell r="J1438" t="str">
            <v>Drop1T</v>
          </cell>
          <cell r="K1438" t="str">
            <v>balance</v>
          </cell>
          <cell r="L1438" t="str">
            <v>バランスタイプ</v>
          </cell>
          <cell r="M1438" t="str">
            <v>unknown</v>
          </cell>
        </row>
        <row r="1439">
          <cell r="A1439">
            <v>1505</v>
          </cell>
          <cell r="B1439" t="str">
            <v>ja</v>
          </cell>
          <cell r="C1439" t="str">
            <v>タンクネコ</v>
          </cell>
          <cell r="H1439" t="str">
            <v>green</v>
          </cell>
          <cell r="I1439">
            <v>1</v>
          </cell>
          <cell r="J1439" t="str">
            <v>Drop1T</v>
          </cell>
          <cell r="K1439" t="str">
            <v>hp</v>
          </cell>
          <cell r="L1439" t="str">
            <v>体力タイプ</v>
          </cell>
          <cell r="M1439" t="str">
            <v>unknown</v>
          </cell>
        </row>
        <row r="1440">
          <cell r="A1440">
            <v>1506</v>
          </cell>
          <cell r="B1440" t="str">
            <v>ja</v>
          </cell>
          <cell r="C1440" t="str">
            <v>バトルネコ</v>
          </cell>
          <cell r="H1440" t="str">
            <v>yellow</v>
          </cell>
          <cell r="I1440">
            <v>2</v>
          </cell>
          <cell r="J1440" t="str">
            <v>Drop1S</v>
          </cell>
          <cell r="K1440" t="str">
            <v>attack</v>
          </cell>
          <cell r="L1440" t="str">
            <v>攻撃タイプ</v>
          </cell>
          <cell r="M1440" t="str">
            <v>unknown</v>
          </cell>
        </row>
        <row r="1441">
          <cell r="A1441">
            <v>1507</v>
          </cell>
          <cell r="B1441" t="str">
            <v>ja</v>
          </cell>
          <cell r="C1441" t="str">
            <v>キモネコ</v>
          </cell>
          <cell r="H1441" t="str">
            <v>blue</v>
          </cell>
          <cell r="I1441">
            <v>3</v>
          </cell>
          <cell r="J1441" t="str">
            <v>Drop2N</v>
          </cell>
          <cell r="K1441" t="str">
            <v>technical</v>
          </cell>
          <cell r="L1441" t="str">
            <v>テクニカルタイプ</v>
          </cell>
          <cell r="M1441" t="str">
            <v>unknown</v>
          </cell>
        </row>
        <row r="1442">
          <cell r="A1442">
            <v>1508</v>
          </cell>
          <cell r="B1442" t="str">
            <v>ja</v>
          </cell>
          <cell r="C1442" t="str">
            <v>ネコノトリ</v>
          </cell>
          <cell r="H1442" t="str">
            <v>red</v>
          </cell>
          <cell r="I1442">
            <v>4</v>
          </cell>
          <cell r="J1442" t="str">
            <v>Drop2N</v>
          </cell>
          <cell r="K1442" t="str">
            <v>balance</v>
          </cell>
          <cell r="L1442" t="str">
            <v>バランスタイプ</v>
          </cell>
          <cell r="M1442" t="str">
            <v>unknown</v>
          </cell>
        </row>
        <row r="1443">
          <cell r="A1443">
            <v>1509</v>
          </cell>
          <cell r="B1443" t="str">
            <v>ja</v>
          </cell>
          <cell r="C1443" t="str">
            <v>巨神ネコ</v>
          </cell>
          <cell r="H1443" t="str">
            <v>green</v>
          </cell>
          <cell r="I1443">
            <v>5</v>
          </cell>
          <cell r="J1443" t="str">
            <v>Drop2N</v>
          </cell>
          <cell r="K1443" t="str">
            <v>hp</v>
          </cell>
          <cell r="L1443" t="str">
            <v>体力タイプ</v>
          </cell>
          <cell r="M1443" t="str">
            <v>god</v>
          </cell>
        </row>
        <row r="1444">
          <cell r="A1444">
            <v>1510</v>
          </cell>
          <cell r="B1444" t="str">
            <v>ja</v>
          </cell>
          <cell r="C1444" t="str">
            <v>ネコヴァルキリー</v>
          </cell>
          <cell r="H1444" t="str">
            <v>yellow</v>
          </cell>
          <cell r="I1444">
            <v>4</v>
          </cell>
          <cell r="J1444" t="str">
            <v>DropWizS</v>
          </cell>
          <cell r="K1444" t="str">
            <v>balance</v>
          </cell>
          <cell r="L1444" t="str">
            <v>バランスタイプ</v>
          </cell>
          <cell r="M1444" t="str">
            <v>god</v>
          </cell>
        </row>
        <row r="1445">
          <cell r="A1445">
            <v>1511</v>
          </cell>
          <cell r="B1445" t="str">
            <v>ja</v>
          </cell>
          <cell r="C1445" t="str">
            <v>ネコヴァルキリー･真</v>
          </cell>
          <cell r="H1445" t="str">
            <v>yellow</v>
          </cell>
          <cell r="I1445">
            <v>5</v>
          </cell>
          <cell r="J1445" t="str">
            <v>DropWizS</v>
          </cell>
          <cell r="K1445" t="str">
            <v>balance</v>
          </cell>
          <cell r="L1445" t="str">
            <v>バランスタイプ</v>
          </cell>
          <cell r="M1445" t="str">
            <v>god</v>
          </cell>
        </row>
        <row r="1446">
          <cell r="A1446">
            <v>1512</v>
          </cell>
          <cell r="B1446" t="str">
            <v>ja</v>
          </cell>
          <cell r="C1446" t="str">
            <v>ネコヴァルキリー･聖</v>
          </cell>
          <cell r="H1446" t="str">
            <v>yellow</v>
          </cell>
          <cell r="I1446">
            <v>6</v>
          </cell>
          <cell r="J1446" t="str">
            <v>DropWizS</v>
          </cell>
          <cell r="K1446" t="str">
            <v>balance</v>
          </cell>
          <cell r="L1446" t="str">
            <v>バランスタイプ</v>
          </cell>
          <cell r="M1446" t="str">
            <v>god</v>
          </cell>
        </row>
        <row r="1447">
          <cell r="A1447">
            <v>1513</v>
          </cell>
          <cell r="B1447" t="str">
            <v>ja</v>
          </cell>
          <cell r="C1447" t="str">
            <v>金ネコ</v>
          </cell>
          <cell r="H1447" t="str">
            <v>yellow</v>
          </cell>
          <cell r="I1447">
            <v>4</v>
          </cell>
          <cell r="J1447" t="str">
            <v>Material</v>
          </cell>
          <cell r="K1447" t="str">
            <v>coin</v>
          </cell>
          <cell r="L1447" t="str">
            <v>コインタイプ</v>
          </cell>
          <cell r="M1447" t="str">
            <v>unknown</v>
          </cell>
        </row>
        <row r="1448">
          <cell r="A1448">
            <v>1514</v>
          </cell>
          <cell r="B1448" t="str">
            <v>ja</v>
          </cell>
          <cell r="C1448" t="str">
            <v>金ネコビルダー</v>
          </cell>
          <cell r="H1448" t="str">
            <v>yellow</v>
          </cell>
          <cell r="I1448">
            <v>5</v>
          </cell>
          <cell r="J1448" t="str">
            <v>Material</v>
          </cell>
          <cell r="K1448" t="str">
            <v>coin</v>
          </cell>
          <cell r="L1448" t="str">
            <v>コインタイプ</v>
          </cell>
          <cell r="M1448" t="str">
            <v>unknown</v>
          </cell>
        </row>
        <row r="1449">
          <cell r="A1449">
            <v>1515</v>
          </cell>
          <cell r="B1449" t="str">
            <v>ja</v>
          </cell>
          <cell r="C1449" t="str">
            <v>赤メタルネコ</v>
          </cell>
          <cell r="H1449" t="str">
            <v>red</v>
          </cell>
          <cell r="I1449">
            <v>4</v>
          </cell>
          <cell r="J1449" t="str">
            <v>Material</v>
          </cell>
          <cell r="K1449" t="str">
            <v>exp</v>
          </cell>
          <cell r="L1449" t="str">
            <v>強化素材タイプ</v>
          </cell>
          <cell r="M1449" t="str">
            <v>unknown</v>
          </cell>
        </row>
        <row r="1450">
          <cell r="A1450">
            <v>1516</v>
          </cell>
          <cell r="B1450" t="str">
            <v>ja</v>
          </cell>
          <cell r="C1450" t="str">
            <v>赤メタルネコビルダー</v>
          </cell>
          <cell r="H1450" t="str">
            <v>red</v>
          </cell>
          <cell r="I1450">
            <v>5</v>
          </cell>
          <cell r="J1450" t="str">
            <v>Material</v>
          </cell>
          <cell r="K1450" t="str">
            <v>exp</v>
          </cell>
          <cell r="L1450" t="str">
            <v>強化素材タイプ</v>
          </cell>
          <cell r="M1450" t="str">
            <v>unknown</v>
          </cell>
        </row>
        <row r="1451">
          <cell r="A1451">
            <v>1517</v>
          </cell>
          <cell r="B1451" t="str">
            <v>ja</v>
          </cell>
          <cell r="C1451" t="str">
            <v>青メタルネコ</v>
          </cell>
          <cell r="H1451" t="str">
            <v>blue</v>
          </cell>
          <cell r="I1451">
            <v>4</v>
          </cell>
          <cell r="J1451" t="str">
            <v>Material</v>
          </cell>
          <cell r="K1451" t="str">
            <v>exp</v>
          </cell>
          <cell r="L1451" t="str">
            <v>強化素材タイプ</v>
          </cell>
          <cell r="M1451" t="str">
            <v>unknown</v>
          </cell>
        </row>
        <row r="1452">
          <cell r="A1452">
            <v>1518</v>
          </cell>
          <cell r="B1452" t="str">
            <v>ja</v>
          </cell>
          <cell r="C1452" t="str">
            <v>青メタルネコビルダー</v>
          </cell>
          <cell r="H1452" t="str">
            <v>blue</v>
          </cell>
          <cell r="I1452">
            <v>5</v>
          </cell>
          <cell r="J1452" t="str">
            <v>Material</v>
          </cell>
          <cell r="K1452" t="str">
            <v>exp</v>
          </cell>
          <cell r="L1452" t="str">
            <v>強化素材タイプ</v>
          </cell>
          <cell r="M1452" t="str">
            <v>unknown</v>
          </cell>
        </row>
        <row r="1453">
          <cell r="A1453">
            <v>1519</v>
          </cell>
          <cell r="B1453" t="str">
            <v>ja</v>
          </cell>
          <cell r="C1453" t="str">
            <v>緑メタルネコ</v>
          </cell>
          <cell r="H1453" t="str">
            <v>green</v>
          </cell>
          <cell r="I1453">
            <v>4</v>
          </cell>
          <cell r="J1453" t="str">
            <v>Material</v>
          </cell>
          <cell r="K1453" t="str">
            <v>exp</v>
          </cell>
          <cell r="L1453" t="str">
            <v>強化素材タイプ</v>
          </cell>
          <cell r="M1453" t="str">
            <v>unknown</v>
          </cell>
        </row>
        <row r="1454">
          <cell r="A1454">
            <v>1520</v>
          </cell>
          <cell r="B1454" t="str">
            <v>ja</v>
          </cell>
          <cell r="C1454" t="str">
            <v>緑メタルネコビルダー</v>
          </cell>
          <cell r="H1454" t="str">
            <v>green</v>
          </cell>
          <cell r="I1454">
            <v>5</v>
          </cell>
          <cell r="J1454" t="str">
            <v>Material</v>
          </cell>
          <cell r="K1454" t="str">
            <v>exp</v>
          </cell>
          <cell r="L1454" t="str">
            <v>強化素材タイプ</v>
          </cell>
          <cell r="M1454" t="str">
            <v>unknown</v>
          </cell>
        </row>
        <row r="1455">
          <cell r="A1455">
            <v>1521</v>
          </cell>
          <cell r="B1455" t="str">
            <v>ja</v>
          </cell>
          <cell r="C1455" t="str">
            <v>黄メタルネコ</v>
          </cell>
          <cell r="H1455" t="str">
            <v>yellow</v>
          </cell>
          <cell r="I1455">
            <v>4</v>
          </cell>
          <cell r="J1455" t="str">
            <v>Material</v>
          </cell>
          <cell r="K1455" t="str">
            <v>exp</v>
          </cell>
          <cell r="L1455" t="str">
            <v>強化素材タイプ</v>
          </cell>
          <cell r="M1455" t="str">
            <v>unknown</v>
          </cell>
        </row>
        <row r="1456">
          <cell r="A1456">
            <v>1522</v>
          </cell>
          <cell r="B1456" t="str">
            <v>ja</v>
          </cell>
          <cell r="C1456" t="str">
            <v>黄メタルネコビルダー</v>
          </cell>
          <cell r="H1456" t="str">
            <v>yellow</v>
          </cell>
          <cell r="I1456">
            <v>5</v>
          </cell>
          <cell r="J1456" t="str">
            <v>Material</v>
          </cell>
          <cell r="K1456" t="str">
            <v>exp</v>
          </cell>
          <cell r="L1456" t="str">
            <v>強化素材タイプ</v>
          </cell>
          <cell r="M1456" t="str">
            <v>unknown</v>
          </cell>
        </row>
        <row r="1457">
          <cell r="A1457">
            <v>1523</v>
          </cell>
          <cell r="B1457" t="str">
            <v>ja</v>
          </cell>
          <cell r="C1457" t="str">
            <v>ネコムート</v>
          </cell>
          <cell r="H1457" t="str">
            <v>blue</v>
          </cell>
          <cell r="I1457">
            <v>5</v>
          </cell>
          <cell r="J1457" t="str">
            <v>DropWizS</v>
          </cell>
          <cell r="K1457" t="str">
            <v>technical</v>
          </cell>
          <cell r="L1457" t="str">
            <v>テクニカルタイプ</v>
          </cell>
          <cell r="M1457" t="str">
            <v>animal</v>
          </cell>
        </row>
        <row r="1458">
          <cell r="A1458">
            <v>1524</v>
          </cell>
          <cell r="B1458" t="str">
            <v>ja</v>
          </cell>
          <cell r="C1458" t="str">
            <v>狂乱のネコムート</v>
          </cell>
          <cell r="H1458" t="str">
            <v>blue</v>
          </cell>
          <cell r="I1458">
            <v>6</v>
          </cell>
          <cell r="J1458" t="str">
            <v>DropWizS</v>
          </cell>
          <cell r="K1458" t="str">
            <v>technical</v>
          </cell>
          <cell r="L1458" t="str">
            <v>テクニカルタイプ</v>
          </cell>
          <cell r="M1458" t="str">
            <v>animal</v>
          </cell>
        </row>
        <row r="1459">
          <cell r="A1459">
            <v>1525</v>
          </cell>
          <cell r="B1459" t="str">
            <v>ja</v>
          </cell>
          <cell r="C1459" t="str">
            <v>狂乱のネコ</v>
          </cell>
          <cell r="H1459" t="str">
            <v>red</v>
          </cell>
          <cell r="I1459">
            <v>5</v>
          </cell>
          <cell r="J1459" t="str">
            <v>DropWizSS</v>
          </cell>
          <cell r="K1459" t="str">
            <v>attack</v>
          </cell>
          <cell r="L1459" t="str">
            <v>攻撃タイプ</v>
          </cell>
          <cell r="M1459" t="str">
            <v>animal</v>
          </cell>
        </row>
        <row r="1460">
          <cell r="A1460">
            <v>1526</v>
          </cell>
          <cell r="B1460" t="str">
            <v>ja</v>
          </cell>
          <cell r="C1460" t="str">
            <v>狂乱のネコビルダー</v>
          </cell>
          <cell r="H1460" t="str">
            <v>red</v>
          </cell>
          <cell r="I1460">
            <v>6</v>
          </cell>
          <cell r="J1460" t="str">
            <v>DropWizSS</v>
          </cell>
          <cell r="K1460" t="str">
            <v>attack</v>
          </cell>
          <cell r="L1460" t="str">
            <v>攻撃タイプ</v>
          </cell>
          <cell r="M1460" t="str">
            <v>animal</v>
          </cell>
        </row>
        <row r="1461">
          <cell r="A1461">
            <v>1527</v>
          </cell>
          <cell r="B1461" t="str">
            <v>ja</v>
          </cell>
          <cell r="C1461" t="str">
            <v>ネコ魔剣士</v>
          </cell>
          <cell r="H1461" t="str">
            <v>red</v>
          </cell>
          <cell r="I1461">
            <v>4</v>
          </cell>
          <cell r="J1461" t="str">
            <v>PremiumS</v>
          </cell>
          <cell r="K1461" t="str">
            <v>attack</v>
          </cell>
          <cell r="L1461" t="str">
            <v>攻撃タイプ</v>
          </cell>
          <cell r="M1461" t="str">
            <v>animal</v>
          </cell>
        </row>
        <row r="1462">
          <cell r="A1462">
            <v>1528</v>
          </cell>
          <cell r="B1462" t="str">
            <v>ja</v>
          </cell>
          <cell r="C1462" t="str">
            <v>双剣ネコ魔剣士</v>
          </cell>
          <cell r="H1462" t="str">
            <v>red</v>
          </cell>
          <cell r="I1462">
            <v>5</v>
          </cell>
          <cell r="J1462" t="str">
            <v>PremiumS</v>
          </cell>
          <cell r="K1462" t="str">
            <v>attack</v>
          </cell>
          <cell r="L1462" t="str">
            <v>攻撃タイプ</v>
          </cell>
          <cell r="M1462" t="str">
            <v>animal</v>
          </cell>
        </row>
        <row r="1463">
          <cell r="A1463">
            <v>1529</v>
          </cell>
          <cell r="B1463" t="str">
            <v>ja</v>
          </cell>
          <cell r="C1463" t="str">
            <v>ねこ海賊</v>
          </cell>
          <cell r="H1463" t="str">
            <v>blue</v>
          </cell>
          <cell r="I1463">
            <v>4</v>
          </cell>
          <cell r="J1463" t="str">
            <v>PremiumS</v>
          </cell>
          <cell r="K1463" t="str">
            <v>balance</v>
          </cell>
          <cell r="L1463" t="str">
            <v>バランスタイプ</v>
          </cell>
          <cell r="M1463" t="str">
            <v>unknown</v>
          </cell>
        </row>
        <row r="1464">
          <cell r="A1464">
            <v>1530</v>
          </cell>
          <cell r="B1464" t="str">
            <v>ja</v>
          </cell>
          <cell r="C1464" t="str">
            <v>ニャーコック船長</v>
          </cell>
          <cell r="H1464" t="str">
            <v>blue</v>
          </cell>
          <cell r="I1464">
            <v>5</v>
          </cell>
          <cell r="J1464" t="str">
            <v>PremiumS</v>
          </cell>
          <cell r="K1464" t="str">
            <v>balance</v>
          </cell>
          <cell r="L1464" t="str">
            <v>バランスタイプ</v>
          </cell>
          <cell r="M1464" t="str">
            <v>unknown</v>
          </cell>
        </row>
        <row r="1465">
          <cell r="A1465">
            <v>1531</v>
          </cell>
          <cell r="B1465" t="str">
            <v>ja</v>
          </cell>
          <cell r="C1465" t="str">
            <v>ねこジュラ</v>
          </cell>
          <cell r="H1465" t="str">
            <v>green</v>
          </cell>
          <cell r="I1465">
            <v>4</v>
          </cell>
          <cell r="J1465" t="str">
            <v>PremiumS</v>
          </cell>
          <cell r="K1465" t="str">
            <v>technical</v>
          </cell>
          <cell r="L1465" t="str">
            <v>テクニカルタイプ</v>
          </cell>
          <cell r="M1465" t="str">
            <v>animal</v>
          </cell>
        </row>
        <row r="1466">
          <cell r="A1466">
            <v>1532</v>
          </cell>
          <cell r="B1466" t="str">
            <v>ja</v>
          </cell>
          <cell r="C1466" t="str">
            <v>ねこジュラシッター</v>
          </cell>
          <cell r="H1466" t="str">
            <v>green</v>
          </cell>
          <cell r="I1466">
            <v>5</v>
          </cell>
          <cell r="J1466" t="str">
            <v>PremiumS</v>
          </cell>
          <cell r="K1466" t="str">
            <v>technical</v>
          </cell>
          <cell r="L1466" t="str">
            <v>テクニカルタイプ</v>
          </cell>
          <cell r="M1466" t="str">
            <v>animal</v>
          </cell>
        </row>
        <row r="1467">
          <cell r="A1467">
            <v>1533</v>
          </cell>
          <cell r="B1467" t="str">
            <v>ja</v>
          </cell>
          <cell r="C1467" t="str">
            <v>ネコエステ</v>
          </cell>
          <cell r="H1467" t="str">
            <v>yellow</v>
          </cell>
          <cell r="I1467">
            <v>4</v>
          </cell>
          <cell r="J1467" t="str">
            <v>PremiumS</v>
          </cell>
          <cell r="K1467" t="str">
            <v>attack</v>
          </cell>
          <cell r="L1467" t="str">
            <v>攻撃タイプ</v>
          </cell>
          <cell r="M1467" t="str">
            <v>animal</v>
          </cell>
        </row>
        <row r="1468">
          <cell r="A1468">
            <v>1534</v>
          </cell>
          <cell r="B1468" t="str">
            <v>ja</v>
          </cell>
          <cell r="C1468" t="str">
            <v>ネコジェンヌ</v>
          </cell>
          <cell r="H1468" t="str">
            <v>yellow</v>
          </cell>
          <cell r="I1468">
            <v>5</v>
          </cell>
          <cell r="J1468" t="str">
            <v>PremiumS</v>
          </cell>
          <cell r="K1468" t="str">
            <v>attack</v>
          </cell>
          <cell r="L1468" t="str">
            <v>攻撃タイプ</v>
          </cell>
          <cell r="M1468" t="str">
            <v>animal</v>
          </cell>
        </row>
        <row r="1469">
          <cell r="A1469">
            <v>1535</v>
          </cell>
          <cell r="B1469" t="str">
            <v>ja</v>
          </cell>
          <cell r="C1469" t="str">
            <v>ねこナース</v>
          </cell>
          <cell r="H1469" t="str">
            <v>red</v>
          </cell>
          <cell r="I1469">
            <v>5</v>
          </cell>
          <cell r="J1469" t="str">
            <v>PremiumSS</v>
          </cell>
          <cell r="K1469" t="str">
            <v>technical</v>
          </cell>
          <cell r="L1469" t="str">
            <v>テクニカルタイプ</v>
          </cell>
          <cell r="M1469" t="str">
            <v>god</v>
          </cell>
        </row>
        <row r="1470">
          <cell r="A1470">
            <v>1536</v>
          </cell>
          <cell r="B1470" t="str">
            <v>ja</v>
          </cell>
          <cell r="C1470" t="str">
            <v>ハートフルねこナース</v>
          </cell>
          <cell r="H1470" t="str">
            <v>red</v>
          </cell>
          <cell r="I1470">
            <v>6</v>
          </cell>
          <cell r="J1470" t="str">
            <v>PremiumSS</v>
          </cell>
          <cell r="K1470" t="str">
            <v>technical</v>
          </cell>
          <cell r="L1470" t="str">
            <v>テクニカルタイプ</v>
          </cell>
          <cell r="M1470" t="str">
            <v>god</v>
          </cell>
        </row>
        <row r="1471">
          <cell r="A1471">
            <v>1537</v>
          </cell>
          <cell r="B1471" t="str">
            <v>ja</v>
          </cell>
          <cell r="C1471" t="str">
            <v>キャットマンダディ</v>
          </cell>
          <cell r="H1471" t="str">
            <v>blue</v>
          </cell>
          <cell r="I1471">
            <v>5</v>
          </cell>
          <cell r="J1471" t="str">
            <v>PremiumSSS</v>
          </cell>
          <cell r="K1471" t="str">
            <v>attack</v>
          </cell>
          <cell r="L1471" t="str">
            <v>攻撃タイプ</v>
          </cell>
          <cell r="M1471" t="str">
            <v>unknown</v>
          </cell>
        </row>
        <row r="1472">
          <cell r="A1472">
            <v>1538</v>
          </cell>
          <cell r="B1472" t="str">
            <v>ja</v>
          </cell>
          <cell r="C1472" t="str">
            <v>キャットマンダーク</v>
          </cell>
          <cell r="H1472" t="str">
            <v>blue</v>
          </cell>
          <cell r="I1472">
            <v>6</v>
          </cell>
          <cell r="J1472" t="str">
            <v>PremiumSSS</v>
          </cell>
          <cell r="K1472" t="str">
            <v>attack</v>
          </cell>
          <cell r="L1472" t="str">
            <v>攻撃タイプ</v>
          </cell>
          <cell r="M1472" t="str">
            <v>unknown</v>
          </cell>
        </row>
        <row r="1473">
          <cell r="A1473">
            <v>1539</v>
          </cell>
          <cell r="B1473" t="str">
            <v>ja</v>
          </cell>
          <cell r="C1473" t="str">
            <v>雷神のサンディア</v>
          </cell>
          <cell r="H1473" t="str">
            <v>yellow</v>
          </cell>
          <cell r="I1473">
            <v>5</v>
          </cell>
          <cell r="J1473" t="str">
            <v>PremiumSS</v>
          </cell>
          <cell r="K1473" t="str">
            <v>attack</v>
          </cell>
          <cell r="L1473" t="str">
            <v>攻撃タイプ</v>
          </cell>
          <cell r="M1473" t="str">
            <v>god</v>
          </cell>
        </row>
        <row r="1474">
          <cell r="A1474">
            <v>1540</v>
          </cell>
          <cell r="B1474" t="str">
            <v>ja</v>
          </cell>
          <cell r="C1474" t="str">
            <v>雷神のサンディアβ</v>
          </cell>
          <cell r="H1474" t="str">
            <v>yellow</v>
          </cell>
          <cell r="I1474">
            <v>6</v>
          </cell>
          <cell r="J1474" t="str">
            <v>PremiumSS</v>
          </cell>
          <cell r="K1474" t="str">
            <v>attack</v>
          </cell>
          <cell r="L1474" t="str">
            <v>攻撃タイプ</v>
          </cell>
          <cell r="M1474" t="str">
            <v>god</v>
          </cell>
        </row>
        <row r="1475">
          <cell r="A1475">
            <v>1541</v>
          </cell>
          <cell r="B1475" t="str">
            <v>ja</v>
          </cell>
          <cell r="C1475" t="str">
            <v>美女神アフロディーテ</v>
          </cell>
          <cell r="H1475" t="str">
            <v>red</v>
          </cell>
          <cell r="I1475">
            <v>5</v>
          </cell>
          <cell r="J1475" t="str">
            <v>PremiumSSS</v>
          </cell>
          <cell r="K1475" t="str">
            <v>technical</v>
          </cell>
          <cell r="L1475" t="str">
            <v>テクニカルタイプ</v>
          </cell>
          <cell r="M1475" t="str">
            <v>god</v>
          </cell>
        </row>
        <row r="1476">
          <cell r="A1476">
            <v>1542</v>
          </cell>
          <cell r="B1476" t="str">
            <v>ja</v>
          </cell>
          <cell r="C1476" t="str">
            <v>メガロディーテ</v>
          </cell>
          <cell r="H1476" t="str">
            <v>red</v>
          </cell>
          <cell r="I1476">
            <v>6</v>
          </cell>
          <cell r="J1476" t="str">
            <v>PremiumSSS</v>
          </cell>
          <cell r="K1476" t="str">
            <v>technical</v>
          </cell>
          <cell r="L1476" t="str">
            <v>テクニカルタイプ</v>
          </cell>
          <cell r="M1476" t="str">
            <v>god</v>
          </cell>
        </row>
        <row r="1477">
          <cell r="A1477">
            <v>1543</v>
          </cell>
          <cell r="B1477" t="str">
            <v>ja</v>
          </cell>
          <cell r="C1477" t="str">
            <v>ツルの恩返し</v>
          </cell>
          <cell r="H1477" t="str">
            <v>red</v>
          </cell>
          <cell r="I1477">
            <v>5</v>
          </cell>
          <cell r="J1477" t="str">
            <v>PremiumSS</v>
          </cell>
          <cell r="K1477" t="str">
            <v>balance</v>
          </cell>
          <cell r="L1477" t="str">
            <v>バランスタイプ</v>
          </cell>
          <cell r="M1477" t="str">
            <v>hero</v>
          </cell>
        </row>
        <row r="1478">
          <cell r="A1478">
            <v>1544</v>
          </cell>
          <cell r="B1478" t="str">
            <v>ja</v>
          </cell>
          <cell r="C1478" t="str">
            <v>銀河戦士コスモ</v>
          </cell>
          <cell r="H1478" t="str">
            <v>red</v>
          </cell>
          <cell r="I1478">
            <v>6</v>
          </cell>
          <cell r="J1478" t="str">
            <v>PremiumSS</v>
          </cell>
          <cell r="K1478" t="str">
            <v>balance</v>
          </cell>
          <cell r="L1478" t="str">
            <v>バランスタイプ</v>
          </cell>
          <cell r="M1478" t="str">
            <v>hero</v>
          </cell>
        </row>
        <row r="1479">
          <cell r="A1479">
            <v>1545</v>
          </cell>
          <cell r="B1479" t="str">
            <v>ja</v>
          </cell>
          <cell r="C1479" t="str">
            <v>ネコルガ</v>
          </cell>
          <cell r="H1479" t="str">
            <v>green</v>
          </cell>
          <cell r="I1479">
            <v>5</v>
          </cell>
          <cell r="J1479" t="str">
            <v>PremiumSS</v>
          </cell>
          <cell r="K1479" t="str">
            <v>hp</v>
          </cell>
          <cell r="L1479" t="str">
            <v>体力タイプ</v>
          </cell>
          <cell r="M1479" t="str">
            <v>unknown</v>
          </cell>
        </row>
        <row r="1480">
          <cell r="A1480">
            <v>1546</v>
          </cell>
          <cell r="B1480" t="str">
            <v>ja</v>
          </cell>
          <cell r="C1480" t="str">
            <v>ケサランパサラン</v>
          </cell>
          <cell r="H1480" t="str">
            <v>green</v>
          </cell>
          <cell r="I1480">
            <v>6</v>
          </cell>
          <cell r="J1480" t="str">
            <v>PremiumSS</v>
          </cell>
          <cell r="K1480" t="str">
            <v>hp</v>
          </cell>
          <cell r="L1480" t="str">
            <v>体力タイプ</v>
          </cell>
          <cell r="M1480" t="str">
            <v>unknown</v>
          </cell>
        </row>
        <row r="1481">
          <cell r="A1481">
            <v>1547</v>
          </cell>
          <cell r="B1481" t="str">
            <v>ja</v>
          </cell>
          <cell r="C1481" t="str">
            <v>ネコフラワー</v>
          </cell>
          <cell r="H1481" t="str">
            <v>green</v>
          </cell>
          <cell r="I1481">
            <v>4</v>
          </cell>
          <cell r="J1481" t="str">
            <v>Drop2N</v>
          </cell>
          <cell r="K1481" t="str">
            <v>hp</v>
          </cell>
          <cell r="L1481" t="str">
            <v>体力タイプ</v>
          </cell>
          <cell r="M1481" t="str">
            <v>animal</v>
          </cell>
        </row>
        <row r="1482">
          <cell r="A1482">
            <v>1548</v>
          </cell>
          <cell r="B1482" t="str">
            <v>ja</v>
          </cell>
          <cell r="C1482" t="str">
            <v>にゃんこ扇風</v>
          </cell>
          <cell r="H1482" t="str">
            <v>green</v>
          </cell>
          <cell r="I1482">
            <v>5</v>
          </cell>
          <cell r="J1482" t="str">
            <v>Drop2N</v>
          </cell>
          <cell r="K1482" t="str">
            <v>hp</v>
          </cell>
          <cell r="L1482" t="str">
            <v>体力タイプ</v>
          </cell>
          <cell r="M1482" t="str">
            <v>animal</v>
          </cell>
        </row>
        <row r="1483">
          <cell r="A1483">
            <v>1549</v>
          </cell>
          <cell r="B1483" t="str">
            <v>ja</v>
          </cell>
          <cell r="C1483" t="str">
            <v>ネコリンゴ</v>
          </cell>
          <cell r="H1483" t="str">
            <v>green</v>
          </cell>
          <cell r="I1483">
            <v>5</v>
          </cell>
          <cell r="J1483" t="str">
            <v>DropWizS</v>
          </cell>
          <cell r="K1483" t="str">
            <v>balance</v>
          </cell>
          <cell r="L1483" t="str">
            <v>バランスタイプ</v>
          </cell>
          <cell r="M1483" t="str">
            <v>unknown</v>
          </cell>
        </row>
        <row r="1484">
          <cell r="A1484">
            <v>1550</v>
          </cell>
          <cell r="B1484" t="str">
            <v>ja</v>
          </cell>
          <cell r="C1484" t="str">
            <v>カオルくん</v>
          </cell>
          <cell r="H1484" t="str">
            <v>green</v>
          </cell>
          <cell r="I1484">
            <v>6</v>
          </cell>
          <cell r="J1484" t="str">
            <v>DropWizS</v>
          </cell>
          <cell r="K1484" t="str">
            <v>balance</v>
          </cell>
          <cell r="L1484" t="str">
            <v>バランスタイプ</v>
          </cell>
          <cell r="M1484" t="str">
            <v>unknown</v>
          </cell>
        </row>
        <row r="1485">
          <cell r="A1485">
            <v>5001</v>
          </cell>
          <cell r="B1485" t="str">
            <v>ja</v>
          </cell>
          <cell r="C1485" t="str">
            <v>ガルーダ</v>
          </cell>
          <cell r="D1485" t="str">
            <v>ノーマルクエスト</v>
          </cell>
          <cell r="E1485" t="str">
            <v>QoH</v>
          </cell>
          <cell r="F1485" t="str">
            <v>世界観</v>
          </cell>
          <cell r="G1485" t="str">
            <v>不明</v>
          </cell>
          <cell r="H1485" t="str">
            <v>red</v>
          </cell>
          <cell r="I1485">
            <v>5</v>
          </cell>
          <cell r="J1485" t="str">
            <v>PremiumSSw</v>
          </cell>
          <cell r="K1485" t="str">
            <v>attack</v>
          </cell>
          <cell r="L1485" t="str">
            <v>攻撃タイプ</v>
          </cell>
          <cell r="M1485" t="str">
            <v>god</v>
          </cell>
        </row>
        <row r="1486">
          <cell r="A1486">
            <v>5002</v>
          </cell>
          <cell r="B1486" t="str">
            <v>ja</v>
          </cell>
          <cell r="C1486" t="str">
            <v>ガルーダ★６</v>
          </cell>
          <cell r="D1486" t="str">
            <v>ノーマルクエスト</v>
          </cell>
          <cell r="E1486" t="str">
            <v>アバター</v>
          </cell>
          <cell r="F1486" t="str">
            <v>世界観</v>
          </cell>
          <cell r="G1486" t="str">
            <v>男性</v>
          </cell>
          <cell r="H1486" t="str">
            <v>red</v>
          </cell>
          <cell r="I1486">
            <v>6</v>
          </cell>
          <cell r="J1486" t="str">
            <v>PremiumSSw</v>
          </cell>
          <cell r="K1486" t="str">
            <v>attack</v>
          </cell>
          <cell r="L1486" t="str">
            <v>攻撃タイプ</v>
          </cell>
          <cell r="M1486" t="str">
            <v>god</v>
          </cell>
        </row>
        <row r="1487">
          <cell r="A1487">
            <v>5003</v>
          </cell>
          <cell r="B1487" t="str">
            <v>ja</v>
          </cell>
          <cell r="C1487" t="str">
            <v>ナーガ</v>
          </cell>
          <cell r="D1487" t="str">
            <v>リンクガチャ:4神</v>
          </cell>
          <cell r="E1487" t="str">
            <v>守護神</v>
          </cell>
          <cell r="F1487" t="str">
            <v>格好いい</v>
          </cell>
          <cell r="G1487" t="str">
            <v>不明</v>
          </cell>
          <cell r="H1487" t="str">
            <v>green</v>
          </cell>
          <cell r="I1487">
            <v>5</v>
          </cell>
          <cell r="J1487" t="str">
            <v>DropWizS</v>
          </cell>
          <cell r="K1487" t="str">
            <v>technical</v>
          </cell>
          <cell r="L1487" t="str">
            <v>テクニカルタイプ</v>
          </cell>
          <cell r="M1487" t="str">
            <v>animal</v>
          </cell>
        </row>
        <row r="1488">
          <cell r="A1488">
            <v>5004</v>
          </cell>
          <cell r="B1488" t="str">
            <v>ja</v>
          </cell>
          <cell r="C1488" t="str">
            <v>ナーガ★６</v>
          </cell>
          <cell r="D1488" t="str">
            <v>ノーマルクエスト</v>
          </cell>
          <cell r="E1488" t="str">
            <v>アバター</v>
          </cell>
          <cell r="F1488" t="str">
            <v>世界観</v>
          </cell>
          <cell r="G1488" t="str">
            <v>不明</v>
          </cell>
          <cell r="H1488" t="str">
            <v>green</v>
          </cell>
          <cell r="I1488">
            <v>6</v>
          </cell>
          <cell r="J1488" t="str">
            <v>DropWizS</v>
          </cell>
          <cell r="K1488" t="str">
            <v>technical</v>
          </cell>
          <cell r="L1488" t="str">
            <v>テクニカルタイプ</v>
          </cell>
          <cell r="M1488" t="str">
            <v>animal</v>
          </cell>
        </row>
        <row r="1489">
          <cell r="A1489">
            <v>5005</v>
          </cell>
          <cell r="B1489" t="str">
            <v>ja</v>
          </cell>
          <cell r="C1489" t="str">
            <v>カーミラ</v>
          </cell>
          <cell r="D1489" t="str">
            <v>ノーマルクエスト</v>
          </cell>
          <cell r="E1489" t="str">
            <v>QoH</v>
          </cell>
          <cell r="F1489" t="str">
            <v>世界観</v>
          </cell>
          <cell r="G1489" t="str">
            <v>不明</v>
          </cell>
          <cell r="H1489" t="str">
            <v>green</v>
          </cell>
          <cell r="I1489">
            <v>5</v>
          </cell>
          <cell r="J1489" t="str">
            <v>PremiumSSw</v>
          </cell>
          <cell r="K1489" t="str">
            <v>balance</v>
          </cell>
          <cell r="L1489" t="str">
            <v>バランスタイプ</v>
          </cell>
          <cell r="M1489" t="str">
            <v>demon</v>
          </cell>
        </row>
        <row r="1490">
          <cell r="A1490">
            <v>5006</v>
          </cell>
          <cell r="B1490" t="str">
            <v>ja</v>
          </cell>
          <cell r="C1490" t="str">
            <v>カーミラ★６</v>
          </cell>
          <cell r="D1490" t="str">
            <v>ノーマルクエスト</v>
          </cell>
          <cell r="E1490" t="str">
            <v>アバター</v>
          </cell>
          <cell r="F1490" t="str">
            <v>世界観</v>
          </cell>
          <cell r="G1490" t="str">
            <v>男性</v>
          </cell>
          <cell r="H1490" t="str">
            <v>green</v>
          </cell>
          <cell r="I1490">
            <v>6</v>
          </cell>
          <cell r="J1490" t="str">
            <v>PremiumSSw</v>
          </cell>
          <cell r="K1490" t="str">
            <v>balance</v>
          </cell>
          <cell r="L1490" t="str">
            <v>バランスタイプ</v>
          </cell>
          <cell r="M1490" t="str">
            <v>demon</v>
          </cell>
        </row>
        <row r="1491">
          <cell r="A1491">
            <v>5007</v>
          </cell>
          <cell r="B1491" t="str">
            <v>ja</v>
          </cell>
          <cell r="C1491" t="str">
            <v>ヘルシング</v>
          </cell>
          <cell r="D1491" t="str">
            <v>リンクガチャ:4神</v>
          </cell>
          <cell r="E1491" t="str">
            <v>守護神</v>
          </cell>
          <cell r="F1491" t="str">
            <v>格好いい</v>
          </cell>
          <cell r="G1491" t="str">
            <v>不明</v>
          </cell>
          <cell r="H1491" t="str">
            <v>yellow</v>
          </cell>
          <cell r="I1491">
            <v>5</v>
          </cell>
          <cell r="J1491" t="str">
            <v>DropWizS</v>
          </cell>
          <cell r="K1491" t="str">
            <v>technical</v>
          </cell>
          <cell r="L1491" t="str">
            <v>テクニカルタイプ</v>
          </cell>
          <cell r="M1491" t="str">
            <v>human</v>
          </cell>
        </row>
        <row r="1492">
          <cell r="A1492">
            <v>5008</v>
          </cell>
          <cell r="B1492" t="str">
            <v>ja</v>
          </cell>
          <cell r="C1492" t="str">
            <v>ヘルシング★６</v>
          </cell>
          <cell r="D1492" t="str">
            <v>ノーマルクエスト</v>
          </cell>
          <cell r="E1492" t="str">
            <v>アバター</v>
          </cell>
          <cell r="F1492" t="str">
            <v>世界観</v>
          </cell>
          <cell r="G1492" t="str">
            <v>不明</v>
          </cell>
          <cell r="H1492" t="str">
            <v>yellow</v>
          </cell>
          <cell r="I1492">
            <v>6</v>
          </cell>
          <cell r="J1492" t="str">
            <v>DropWizS</v>
          </cell>
          <cell r="K1492" t="str">
            <v>technical</v>
          </cell>
          <cell r="L1492" t="str">
            <v>テクニカルタイプ</v>
          </cell>
          <cell r="M1492" t="str">
            <v>human</v>
          </cell>
        </row>
        <row r="1493">
          <cell r="A1493">
            <v>6001</v>
          </cell>
          <cell r="B1493" t="str">
            <v>ja</v>
          </cell>
          <cell r="C1493" t="str">
            <v>ジェリー</v>
          </cell>
          <cell r="D1493" t="str">
            <v>ノーマルクエスト</v>
          </cell>
          <cell r="E1493" t="str">
            <v>QoH</v>
          </cell>
          <cell r="F1493" t="str">
            <v>世界観</v>
          </cell>
          <cell r="G1493" t="str">
            <v>不明</v>
          </cell>
          <cell r="H1493" t="str">
            <v>red</v>
          </cell>
          <cell r="I1493">
            <v>1</v>
          </cell>
          <cell r="J1493" t="str">
            <v>Drop1T</v>
          </cell>
          <cell r="K1493" t="str">
            <v>ra</v>
          </cell>
          <cell r="L1493" t="str">
            <v>ラグランジュチャレンジ</v>
          </cell>
          <cell r="M1493" t="str">
            <v>unknown</v>
          </cell>
        </row>
        <row r="1494">
          <cell r="A1494">
            <v>6002</v>
          </cell>
          <cell r="B1494" t="str">
            <v>ja</v>
          </cell>
          <cell r="C1494" t="str">
            <v>ヨシタカ</v>
          </cell>
          <cell r="D1494" t="str">
            <v>ノーマルクエスト</v>
          </cell>
          <cell r="E1494" t="str">
            <v>アバター</v>
          </cell>
          <cell r="F1494" t="str">
            <v>世界観</v>
          </cell>
          <cell r="G1494" t="str">
            <v>男性</v>
          </cell>
          <cell r="H1494" t="str">
            <v>red</v>
          </cell>
          <cell r="I1494">
            <v>2</v>
          </cell>
          <cell r="J1494" t="str">
            <v>Drop1N</v>
          </cell>
          <cell r="K1494" t="str">
            <v>ra</v>
          </cell>
          <cell r="L1494" t="str">
            <v>ラグランジュチャレンジ</v>
          </cell>
          <cell r="M1494" t="str">
            <v>human</v>
          </cell>
        </row>
        <row r="1495">
          <cell r="A1495">
            <v>6003</v>
          </cell>
          <cell r="B1495" t="str">
            <v>ja</v>
          </cell>
          <cell r="C1495" t="str">
            <v>朱雀</v>
          </cell>
          <cell r="D1495" t="str">
            <v>リンクガチャ:4神</v>
          </cell>
          <cell r="E1495" t="str">
            <v>守護神</v>
          </cell>
          <cell r="F1495" t="str">
            <v>格好いい</v>
          </cell>
          <cell r="G1495" t="str">
            <v>不明</v>
          </cell>
          <cell r="H1495" t="str">
            <v>red</v>
          </cell>
          <cell r="I1495">
            <v>3</v>
          </cell>
          <cell r="J1495" t="str">
            <v>Drop2N</v>
          </cell>
          <cell r="K1495" t="str">
            <v>ra</v>
          </cell>
          <cell r="L1495" t="str">
            <v>ラグランジュチャレンジ</v>
          </cell>
          <cell r="M1495" t="str">
            <v>animal</v>
          </cell>
        </row>
        <row r="1496">
          <cell r="A1496">
            <v>6004</v>
          </cell>
          <cell r="B1496" t="str">
            <v>ja</v>
          </cell>
          <cell r="C1496" t="str">
            <v>ブレット</v>
          </cell>
          <cell r="D1496" t="str">
            <v>ノーマルクエスト</v>
          </cell>
          <cell r="E1496" t="str">
            <v>アバター</v>
          </cell>
          <cell r="F1496" t="str">
            <v>世界観</v>
          </cell>
          <cell r="G1496" t="str">
            <v>不明</v>
          </cell>
          <cell r="H1496" t="str">
            <v>red</v>
          </cell>
          <cell r="I1496">
            <v>1</v>
          </cell>
          <cell r="J1496" t="str">
            <v>Drop1W</v>
          </cell>
          <cell r="K1496" t="str">
            <v>ra</v>
          </cell>
          <cell r="L1496" t="str">
            <v>ラグランジュチャレンジ</v>
          </cell>
          <cell r="M1496" t="str">
            <v>animal</v>
          </cell>
        </row>
        <row r="1497">
          <cell r="A1497">
            <v>6005</v>
          </cell>
          <cell r="B1497" t="str">
            <v>ja</v>
          </cell>
          <cell r="C1497" t="str">
            <v>孤神 テティス</v>
          </cell>
          <cell r="D1497" t="str">
            <v>初期ガチャ</v>
          </cell>
          <cell r="E1497" t="str">
            <v>管理者</v>
          </cell>
          <cell r="F1497" t="str">
            <v>美しい</v>
          </cell>
          <cell r="G1497" t="str">
            <v>女性</v>
          </cell>
          <cell r="H1497" t="str">
            <v>blue</v>
          </cell>
          <cell r="I1497">
            <v>4</v>
          </cell>
          <cell r="J1497" t="str">
            <v>PremiumN</v>
          </cell>
          <cell r="K1497" t="str">
            <v>ra</v>
          </cell>
          <cell r="L1497" t="str">
            <v>ラグランジュチャレンジ</v>
          </cell>
          <cell r="M1497" t="str">
            <v>god</v>
          </cell>
        </row>
        <row r="1498">
          <cell r="A1498">
            <v>6006</v>
          </cell>
          <cell r="B1498" t="str">
            <v>ja</v>
          </cell>
          <cell r="C1498" t="str">
            <v>海底の孤高神 テティス</v>
          </cell>
          <cell r="D1498" t="str">
            <v>初期ガチャ</v>
          </cell>
          <cell r="E1498" t="str">
            <v>管理者</v>
          </cell>
          <cell r="F1498" t="str">
            <v>美しい</v>
          </cell>
          <cell r="G1498" t="str">
            <v>女性</v>
          </cell>
          <cell r="H1498" t="str">
            <v>blue</v>
          </cell>
          <cell r="I1498">
            <v>5</v>
          </cell>
          <cell r="J1498" t="str">
            <v>PremiumN</v>
          </cell>
          <cell r="K1498" t="str">
            <v>ra</v>
          </cell>
          <cell r="L1498" t="str">
            <v>ラグランジュチャレンジ</v>
          </cell>
          <cell r="M1498" t="str">
            <v>god</v>
          </cell>
        </row>
        <row r="1499">
          <cell r="A1499">
            <v>6007</v>
          </cell>
          <cell r="B1499" t="str">
            <v>ja</v>
          </cell>
          <cell r="C1499" t="str">
            <v>番犬 ケルベロス</v>
          </cell>
          <cell r="D1499" t="str">
            <v>初期ガチャ</v>
          </cell>
          <cell r="E1499" t="str">
            <v>破界者</v>
          </cell>
          <cell r="F1499" t="str">
            <v>可愛い</v>
          </cell>
          <cell r="G1499" t="str">
            <v>女性</v>
          </cell>
          <cell r="H1499" t="str">
            <v>red</v>
          </cell>
          <cell r="I1499">
            <v>4</v>
          </cell>
          <cell r="J1499" t="str">
            <v>PremiumN</v>
          </cell>
          <cell r="K1499" t="str">
            <v>ra</v>
          </cell>
          <cell r="L1499" t="str">
            <v>ラグランジュチャレンジ</v>
          </cell>
          <cell r="M1499" t="str">
            <v>animal</v>
          </cell>
        </row>
        <row r="1500">
          <cell r="A1500">
            <v>6008</v>
          </cell>
          <cell r="B1500" t="str">
            <v>ja</v>
          </cell>
          <cell r="C1500" t="str">
            <v>焔神 プロメテウス</v>
          </cell>
          <cell r="D1500" t="str">
            <v>初期ガチャ</v>
          </cell>
          <cell r="E1500" t="str">
            <v>管理者</v>
          </cell>
          <cell r="F1500" t="str">
            <v>格好いい</v>
          </cell>
          <cell r="G1500" t="str">
            <v>男性</v>
          </cell>
          <cell r="H1500" t="str">
            <v>red</v>
          </cell>
          <cell r="I1500">
            <v>4</v>
          </cell>
          <cell r="J1500" t="str">
            <v>PremiumN</v>
          </cell>
          <cell r="K1500" t="str">
            <v>ra</v>
          </cell>
          <cell r="L1500" t="str">
            <v>ラグランジュチャレンジ</v>
          </cell>
          <cell r="M1500" t="str">
            <v>god</v>
          </cell>
        </row>
        <row r="1501">
          <cell r="A1501">
            <v>6009</v>
          </cell>
          <cell r="B1501" t="str">
            <v>ja</v>
          </cell>
          <cell r="C1501" t="str">
            <v>超越自我 ラグランジュ</v>
          </cell>
          <cell r="D1501" t="str">
            <v>ガチャ:フィーバーフェス02</v>
          </cell>
          <cell r="E1501" t="str">
            <v>執行者</v>
          </cell>
          <cell r="F1501" t="str">
            <v>格好いい</v>
          </cell>
          <cell r="G1501" t="str">
            <v>女性</v>
          </cell>
          <cell r="H1501" t="str">
            <v>red</v>
          </cell>
          <cell r="I1501">
            <v>5</v>
          </cell>
          <cell r="J1501" t="str">
            <v>PremiumSSS</v>
          </cell>
          <cell r="K1501" t="str">
            <v>ra</v>
          </cell>
          <cell r="L1501" t="str">
            <v>ラグランジュチャレンジ</v>
          </cell>
          <cell r="M1501" t="str">
            <v>human</v>
          </cell>
        </row>
        <row r="1502">
          <cell r="A1502">
            <v>6010</v>
          </cell>
          <cell r="B1502" t="str">
            <v>ja</v>
          </cell>
          <cell r="C1502" t="str">
            <v>超越凌駕 ラグランジュ</v>
          </cell>
          <cell r="D1502" t="str">
            <v>ガチャ:フィーバーフェス02</v>
          </cell>
          <cell r="E1502" t="str">
            <v>執行者</v>
          </cell>
          <cell r="F1502" t="str">
            <v>格好いい</v>
          </cell>
          <cell r="G1502" t="str">
            <v>女性</v>
          </cell>
          <cell r="H1502" t="str">
            <v>red</v>
          </cell>
          <cell r="I1502">
            <v>6</v>
          </cell>
          <cell r="J1502" t="str">
            <v>PremiumSSS</v>
          </cell>
          <cell r="K1502" t="str">
            <v>ra</v>
          </cell>
          <cell r="L1502" t="str">
            <v>ラグランジュチャレンジ</v>
          </cell>
          <cell r="M1502" t="str">
            <v>human</v>
          </cell>
        </row>
        <row r="1503">
          <cell r="A1503">
            <v>6011</v>
          </cell>
          <cell r="B1503" t="str">
            <v>ja</v>
          </cell>
          <cell r="C1503" t="str">
            <v>パトドッグリーダー ポチ</v>
          </cell>
          <cell r="D1503" t="str">
            <v>ガチャ:フィーバーフェス02</v>
          </cell>
          <cell r="E1503" t="str">
            <v>執行者</v>
          </cell>
          <cell r="F1503" t="str">
            <v>格好いい</v>
          </cell>
          <cell r="G1503" t="str">
            <v>男性</v>
          </cell>
          <cell r="H1503" t="str">
            <v>blue</v>
          </cell>
          <cell r="I1503">
            <v>2</v>
          </cell>
          <cell r="J1503" t="str">
            <v>Drop1T</v>
          </cell>
          <cell r="K1503" t="str">
            <v>ra002</v>
          </cell>
          <cell r="L1503" t="str">
            <v>ユークリッドチャレンジ</v>
          </cell>
          <cell r="M1503" t="str">
            <v>unknown</v>
          </cell>
        </row>
        <row r="1504">
          <cell r="A1504">
            <v>6012</v>
          </cell>
          <cell r="B1504" t="str">
            <v>ja</v>
          </cell>
          <cell r="C1504" t="str">
            <v>ミミ</v>
          </cell>
          <cell r="D1504" t="str">
            <v>ガチャ:フィーバーフェス02</v>
          </cell>
          <cell r="E1504" t="str">
            <v>執行者</v>
          </cell>
          <cell r="F1504" t="str">
            <v>格好いい</v>
          </cell>
          <cell r="G1504" t="str">
            <v>男性</v>
          </cell>
          <cell r="H1504" t="str">
            <v>yellow</v>
          </cell>
          <cell r="I1504">
            <v>1</v>
          </cell>
          <cell r="J1504" t="str">
            <v>Drop1W</v>
          </cell>
          <cell r="K1504" t="str">
            <v>ra002</v>
          </cell>
          <cell r="L1504" t="str">
            <v>ユークリッドチャレンジ</v>
          </cell>
          <cell r="M1504" t="str">
            <v>animal</v>
          </cell>
        </row>
        <row r="1505">
          <cell r="A1505">
            <v>6013</v>
          </cell>
          <cell r="B1505" t="str">
            <v>ja</v>
          </cell>
          <cell r="C1505" t="str">
            <v>護衛機人 スケアクロウ</v>
          </cell>
          <cell r="D1505" t="str">
            <v>ガチャ:フィーバーフェス02</v>
          </cell>
          <cell r="E1505" t="str">
            <v>執行者</v>
          </cell>
          <cell r="F1505" t="str">
            <v>格好いい</v>
          </cell>
          <cell r="G1505" t="str">
            <v>男性</v>
          </cell>
          <cell r="H1505" t="str">
            <v>blue</v>
          </cell>
          <cell r="I1505">
            <v>2</v>
          </cell>
          <cell r="J1505" t="str">
            <v>Drop1N</v>
          </cell>
          <cell r="K1505" t="str">
            <v>ra002</v>
          </cell>
          <cell r="L1505" t="str">
            <v>ユークリッドチャレンジ</v>
          </cell>
          <cell r="M1505" t="str">
            <v>machine</v>
          </cell>
        </row>
        <row r="1506">
          <cell r="A1506">
            <v>6014</v>
          </cell>
          <cell r="B1506" t="str">
            <v>ja</v>
          </cell>
          <cell r="C1506" t="str">
            <v>月下の人狼 ローレンス</v>
          </cell>
          <cell r="D1506" t="str">
            <v>ガチャ:フィーバーフェス02</v>
          </cell>
          <cell r="E1506" t="str">
            <v>執行者</v>
          </cell>
          <cell r="F1506" t="str">
            <v>格好いい</v>
          </cell>
          <cell r="G1506" t="str">
            <v>男性</v>
          </cell>
          <cell r="H1506" t="str">
            <v>blue</v>
          </cell>
          <cell r="I1506">
            <v>4</v>
          </cell>
          <cell r="J1506" t="str">
            <v>PremiumW</v>
          </cell>
          <cell r="K1506" t="str">
            <v>ra002</v>
          </cell>
          <cell r="L1506" t="str">
            <v>ユークリッドチャレンジ</v>
          </cell>
          <cell r="M1506" t="str">
            <v>animal</v>
          </cell>
        </row>
        <row r="1507">
          <cell r="A1507">
            <v>6015</v>
          </cell>
          <cell r="B1507" t="str">
            <v>ja</v>
          </cell>
          <cell r="C1507" t="str">
            <v>フレイヤ</v>
          </cell>
          <cell r="D1507" t="str">
            <v>ガチャ:フィーバーフェス02</v>
          </cell>
          <cell r="E1507" t="str">
            <v>執行者</v>
          </cell>
          <cell r="F1507" t="str">
            <v>格好いい</v>
          </cell>
          <cell r="G1507" t="str">
            <v>男性</v>
          </cell>
          <cell r="H1507" t="str">
            <v>blue</v>
          </cell>
          <cell r="I1507">
            <v>4</v>
          </cell>
          <cell r="J1507" t="str">
            <v>PremiumSS</v>
          </cell>
          <cell r="K1507" t="str">
            <v>ra002</v>
          </cell>
          <cell r="L1507" t="str">
            <v>ユークリッドチャレンジ</v>
          </cell>
          <cell r="M1507" t="str">
            <v>animal</v>
          </cell>
        </row>
        <row r="1508">
          <cell r="A1508">
            <v>6016</v>
          </cell>
          <cell r="B1508" t="str">
            <v>ja</v>
          </cell>
          <cell r="C1508" t="str">
            <v>根原論理 ユークリッド</v>
          </cell>
          <cell r="D1508" t="str">
            <v>ガチャ:フィーバーフェス02</v>
          </cell>
          <cell r="E1508" t="str">
            <v>執行者</v>
          </cell>
          <cell r="F1508" t="str">
            <v>格好いい</v>
          </cell>
          <cell r="G1508" t="str">
            <v>男性</v>
          </cell>
          <cell r="H1508" t="str">
            <v>blue</v>
          </cell>
          <cell r="I1508">
            <v>5</v>
          </cell>
          <cell r="J1508" t="str">
            <v>PremiumSSS</v>
          </cell>
          <cell r="K1508" t="str">
            <v>ra002</v>
          </cell>
          <cell r="L1508" t="str">
            <v>ユークリッドチャレンジ</v>
          </cell>
          <cell r="M1508" t="str">
            <v>human</v>
          </cell>
        </row>
        <row r="1509">
          <cell r="A1509">
            <v>6017</v>
          </cell>
          <cell r="B1509" t="str">
            <v>ja</v>
          </cell>
          <cell r="C1509" t="str">
            <v>不朽の極論 ユークリッド</v>
          </cell>
          <cell r="D1509" t="str">
            <v>ガチャ:フィーバーフェス02</v>
          </cell>
          <cell r="E1509" t="str">
            <v>執行者</v>
          </cell>
          <cell r="F1509" t="str">
            <v>格好いい</v>
          </cell>
          <cell r="G1509" t="str">
            <v>男性</v>
          </cell>
          <cell r="H1509" t="str">
            <v>blue</v>
          </cell>
          <cell r="I1509">
            <v>6</v>
          </cell>
          <cell r="J1509" t="str">
            <v>PremiumSSS</v>
          </cell>
          <cell r="K1509" t="str">
            <v>ra002</v>
          </cell>
          <cell r="L1509" t="str">
            <v>ユークリッドチャレンジ</v>
          </cell>
          <cell r="M1509" t="str">
            <v>human</v>
          </cell>
        </row>
        <row r="1510">
          <cell r="A1510">
            <v>6018</v>
          </cell>
          <cell r="B1510" t="str">
            <v>ja</v>
          </cell>
          <cell r="C1510" t="str">
            <v>ハヅル</v>
          </cell>
          <cell r="D1510" t="str">
            <v>ガチャ:フィーバーフェス02</v>
          </cell>
          <cell r="E1510" t="str">
            <v>執行者</v>
          </cell>
          <cell r="F1510" t="str">
            <v>格好いい</v>
          </cell>
          <cell r="G1510" t="str">
            <v>男性</v>
          </cell>
          <cell r="H1510" t="str">
            <v>red</v>
          </cell>
          <cell r="I1510">
            <v>4</v>
          </cell>
          <cell r="J1510" t="str">
            <v>PremiumSS</v>
          </cell>
          <cell r="K1510" t="str">
            <v>ra002</v>
          </cell>
          <cell r="L1510" t="str">
            <v>ユークリッドチャレンジ</v>
          </cell>
          <cell r="M1510" t="str">
            <v>animal</v>
          </cell>
        </row>
        <row r="1511">
          <cell r="A1511">
            <v>6019</v>
          </cell>
          <cell r="B1511" t="str">
            <v>ja</v>
          </cell>
          <cell r="C1511" t="str">
            <v>天織羽鶴 ハヅル</v>
          </cell>
          <cell r="D1511" t="str">
            <v>ガチャ:フィーバーフェス02</v>
          </cell>
          <cell r="E1511" t="str">
            <v>執行者</v>
          </cell>
          <cell r="F1511" t="str">
            <v>格好いい</v>
          </cell>
          <cell r="G1511" t="str">
            <v>男性</v>
          </cell>
          <cell r="H1511" t="str">
            <v>red</v>
          </cell>
          <cell r="I1511">
            <v>5</v>
          </cell>
          <cell r="J1511" t="str">
            <v>PremiumSS</v>
          </cell>
          <cell r="K1511" t="str">
            <v>ra002</v>
          </cell>
          <cell r="L1511" t="str">
            <v>ユークリッドチャレンジ</v>
          </cell>
          <cell r="M1511" t="str">
            <v>animal</v>
          </cell>
        </row>
        <row r="1512">
          <cell r="A1512">
            <v>6020</v>
          </cell>
          <cell r="B1512" t="str">
            <v>ja</v>
          </cell>
          <cell r="C1512" t="str">
            <v>ミズチ</v>
          </cell>
          <cell r="D1512" t="str">
            <v>ガチャ:フィーバーフェス02</v>
          </cell>
          <cell r="E1512" t="str">
            <v>執行者</v>
          </cell>
          <cell r="F1512" t="str">
            <v>格好いい</v>
          </cell>
          <cell r="G1512" t="str">
            <v>男性</v>
          </cell>
          <cell r="H1512" t="str">
            <v>blue</v>
          </cell>
          <cell r="I1512">
            <v>4</v>
          </cell>
          <cell r="J1512" t="str">
            <v>PremiumS</v>
          </cell>
          <cell r="K1512" t="str">
            <v>ra002</v>
          </cell>
          <cell r="L1512" t="str">
            <v>ユークリッドチャレンジ</v>
          </cell>
          <cell r="M1512" t="str">
            <v>dragon</v>
          </cell>
        </row>
        <row r="1513">
          <cell r="A1513">
            <v>8001</v>
          </cell>
          <cell r="B1513" t="str">
            <v>ja</v>
          </cell>
          <cell r="C1513" t="str">
            <v>媽祖</v>
          </cell>
          <cell r="D1513" t="str">
            <v>イベント:ミクコラボ01</v>
          </cell>
          <cell r="E1513" t="str">
            <v>執行者</v>
          </cell>
          <cell r="F1513" t="str">
            <v>格好いい</v>
          </cell>
          <cell r="G1513" t="str">
            <v>女性</v>
          </cell>
          <cell r="H1513" t="str">
            <v>yellow</v>
          </cell>
          <cell r="I1513">
            <v>5</v>
          </cell>
          <cell r="J1513" t="str">
            <v>PremiumSS</v>
          </cell>
          <cell r="K1513" t="str">
            <v>attack</v>
          </cell>
          <cell r="L1513" t="str">
            <v>攻撃タイプ</v>
          </cell>
          <cell r="M1513" t="str">
            <v>god</v>
          </cell>
        </row>
        <row r="1514">
          <cell r="A1514">
            <v>8002</v>
          </cell>
          <cell r="B1514" t="str">
            <v>ja</v>
          </cell>
          <cell r="C1514" t="str">
            <v>宣導する天海妃 媽祖</v>
          </cell>
          <cell r="D1514" t="str">
            <v>イベント:ミクコラボ01</v>
          </cell>
          <cell r="E1514" t="str">
            <v>執行者</v>
          </cell>
          <cell r="F1514" t="str">
            <v>格好いい</v>
          </cell>
          <cell r="G1514" t="str">
            <v>女性</v>
          </cell>
          <cell r="H1514" t="str">
            <v>yellow</v>
          </cell>
          <cell r="I1514">
            <v>6</v>
          </cell>
          <cell r="J1514" t="str">
            <v>PremiumSS</v>
          </cell>
          <cell r="K1514" t="str">
            <v>attack</v>
          </cell>
          <cell r="L1514" t="str">
            <v>攻撃タイプ</v>
          </cell>
          <cell r="M1514" t="str">
            <v>god</v>
          </cell>
        </row>
        <row r="1515">
          <cell r="A1515">
            <v>8003</v>
          </cell>
          <cell r="B1515" t="str">
            <v>ja</v>
          </cell>
          <cell r="C1515" t="str">
            <v>蛟龍</v>
          </cell>
          <cell r="D1515" t="str">
            <v>イベント:ミクコラボ01</v>
          </cell>
          <cell r="E1515" t="str">
            <v>執行者</v>
          </cell>
          <cell r="F1515" t="str">
            <v>格好いい</v>
          </cell>
          <cell r="G1515" t="str">
            <v>不明</v>
          </cell>
          <cell r="H1515" t="str">
            <v>blue</v>
          </cell>
          <cell r="I1515">
            <v>5</v>
          </cell>
          <cell r="J1515" t="str">
            <v>DropWizS</v>
          </cell>
          <cell r="K1515" t="str">
            <v>hp</v>
          </cell>
          <cell r="L1515" t="str">
            <v>体力タイプ</v>
          </cell>
          <cell r="M1515" t="str">
            <v>dragon</v>
          </cell>
        </row>
        <row r="1516">
          <cell r="A1516">
            <v>8004</v>
          </cell>
          <cell r="B1516" t="str">
            <v>ja</v>
          </cell>
          <cell r="C1516" t="str">
            <v>呼嵐の蒼棲龍 蛟龍</v>
          </cell>
          <cell r="D1516" t="str">
            <v>イベント:ミクコラボ01</v>
          </cell>
          <cell r="E1516" t="str">
            <v>執行者</v>
          </cell>
          <cell r="F1516" t="str">
            <v>格好いい</v>
          </cell>
          <cell r="G1516" t="str">
            <v>不明</v>
          </cell>
          <cell r="H1516" t="str">
            <v>blue</v>
          </cell>
          <cell r="I1516">
            <v>6</v>
          </cell>
          <cell r="J1516" t="str">
            <v>DropWizS</v>
          </cell>
          <cell r="K1516" t="str">
            <v>hp</v>
          </cell>
          <cell r="L1516" t="str">
            <v>体力タイプ</v>
          </cell>
          <cell r="M1516" t="str">
            <v>dragon</v>
          </cell>
        </row>
        <row r="1517">
          <cell r="A1517">
            <v>8005</v>
          </cell>
          <cell r="B1517" t="str">
            <v>ja</v>
          </cell>
          <cell r="C1517" t="str">
            <v>三蔵法師</v>
          </cell>
          <cell r="D1517" t="str">
            <v>イベント:ミクコラボ01</v>
          </cell>
          <cell r="E1517" t="str">
            <v>執行者</v>
          </cell>
          <cell r="F1517" t="str">
            <v>格好いい</v>
          </cell>
          <cell r="G1517" t="str">
            <v>不明</v>
          </cell>
          <cell r="H1517" t="str">
            <v>blue</v>
          </cell>
          <cell r="I1517">
            <v>5</v>
          </cell>
          <cell r="J1517" t="str">
            <v>PremiumSS</v>
          </cell>
          <cell r="K1517" t="str">
            <v>balance</v>
          </cell>
          <cell r="L1517" t="str">
            <v>バランスタイプ</v>
          </cell>
          <cell r="M1517" t="str">
            <v>human</v>
          </cell>
        </row>
        <row r="1518">
          <cell r="A1518">
            <v>8006</v>
          </cell>
          <cell r="B1518" t="str">
            <v>ja</v>
          </cell>
          <cell r="C1518" t="str">
            <v>慈戒の呪封使 三蔵法師</v>
          </cell>
          <cell r="D1518" t="str">
            <v>イベント:ミクコラボ01</v>
          </cell>
          <cell r="E1518" t="str">
            <v>執行者</v>
          </cell>
          <cell r="F1518" t="str">
            <v>格好いい</v>
          </cell>
          <cell r="G1518" t="str">
            <v>不明</v>
          </cell>
          <cell r="H1518" t="str">
            <v>blue</v>
          </cell>
          <cell r="I1518">
            <v>6</v>
          </cell>
          <cell r="J1518" t="str">
            <v>PremiumSS</v>
          </cell>
          <cell r="K1518" t="str">
            <v>balance</v>
          </cell>
          <cell r="L1518" t="str">
            <v>バランスタイプ</v>
          </cell>
          <cell r="M1518" t="str">
            <v>human</v>
          </cell>
        </row>
        <row r="1519">
          <cell r="A1519">
            <v>8007</v>
          </cell>
          <cell r="B1519" t="str">
            <v>ja</v>
          </cell>
          <cell r="C1519" t="str">
            <v>孫悟空</v>
          </cell>
          <cell r="D1519" t="str">
            <v>イベント:ミクコラボ01</v>
          </cell>
          <cell r="E1519" t="str">
            <v>執行者</v>
          </cell>
          <cell r="F1519" t="str">
            <v>格好いい</v>
          </cell>
          <cell r="G1519" t="str">
            <v>不明</v>
          </cell>
          <cell r="H1519" t="str">
            <v>red</v>
          </cell>
          <cell r="I1519">
            <v>5</v>
          </cell>
          <cell r="J1519" t="str">
            <v>DropWizS</v>
          </cell>
          <cell r="K1519" t="str">
            <v>attack</v>
          </cell>
          <cell r="L1519" t="str">
            <v>攻撃タイプ</v>
          </cell>
          <cell r="M1519" t="str">
            <v>animal</v>
          </cell>
        </row>
        <row r="1520">
          <cell r="A1520">
            <v>8008</v>
          </cell>
          <cell r="B1520" t="str">
            <v>ja</v>
          </cell>
          <cell r="C1520" t="str">
            <v>花果の天猿仙人 孫悟空</v>
          </cell>
          <cell r="D1520" t="str">
            <v>イベント:ミクコラボ01</v>
          </cell>
          <cell r="E1520" t="str">
            <v>執行者</v>
          </cell>
          <cell r="F1520" t="str">
            <v>格好いい</v>
          </cell>
          <cell r="G1520" t="str">
            <v>不明</v>
          </cell>
          <cell r="H1520" t="str">
            <v>red</v>
          </cell>
          <cell r="I1520">
            <v>6</v>
          </cell>
          <cell r="J1520" t="str">
            <v>DropWizS</v>
          </cell>
          <cell r="K1520" t="str">
            <v>attack</v>
          </cell>
          <cell r="L1520" t="str">
            <v>攻撃タイプ</v>
          </cell>
          <cell r="M1520" t="str">
            <v>animal</v>
          </cell>
        </row>
        <row r="1521">
          <cell r="A1521">
            <v>8009</v>
          </cell>
          <cell r="B1521" t="str">
            <v>ja</v>
          </cell>
          <cell r="C1521" t="str">
            <v>西王娘娘</v>
          </cell>
          <cell r="D1521" t="str">
            <v>イベント:ミクコラボ01</v>
          </cell>
          <cell r="E1521" t="str">
            <v>執行者</v>
          </cell>
          <cell r="F1521" t="str">
            <v>格好いい</v>
          </cell>
          <cell r="G1521" t="str">
            <v>不明</v>
          </cell>
          <cell r="H1521" t="str">
            <v>green</v>
          </cell>
          <cell r="I1521">
            <v>5</v>
          </cell>
          <cell r="J1521" t="str">
            <v>PremiumSS</v>
          </cell>
          <cell r="K1521" t="str">
            <v>attack</v>
          </cell>
          <cell r="L1521" t="str">
            <v>攻撃タイプ</v>
          </cell>
          <cell r="M1521" t="str">
            <v>god</v>
          </cell>
        </row>
        <row r="1522">
          <cell r="A1522">
            <v>8010</v>
          </cell>
          <cell r="B1522" t="str">
            <v>ja</v>
          </cell>
          <cell r="C1522" t="str">
            <v>極楽瑶池の聖母 西王娘娘</v>
          </cell>
          <cell r="D1522" t="str">
            <v>イベント:ミクコラボ01</v>
          </cell>
          <cell r="E1522" t="str">
            <v>執行者</v>
          </cell>
          <cell r="F1522" t="str">
            <v>格好いい</v>
          </cell>
          <cell r="G1522" t="str">
            <v>不明</v>
          </cell>
          <cell r="H1522" t="str">
            <v>green</v>
          </cell>
          <cell r="I1522">
            <v>6</v>
          </cell>
          <cell r="J1522" t="str">
            <v>PremiumSS</v>
          </cell>
          <cell r="K1522" t="str">
            <v>attack</v>
          </cell>
          <cell r="L1522" t="str">
            <v>攻撃タイプ</v>
          </cell>
          <cell r="M1522" t="str">
            <v>god</v>
          </cell>
        </row>
        <row r="1523">
          <cell r="A1523">
            <v>8011</v>
          </cell>
          <cell r="B1523" t="str">
            <v>ja</v>
          </cell>
          <cell r="C1523" t="str">
            <v>月下老人</v>
          </cell>
          <cell r="D1523" t="str">
            <v>イベント:ミクコラボ01</v>
          </cell>
          <cell r="E1523" t="str">
            <v>執行者</v>
          </cell>
          <cell r="F1523" t="str">
            <v>格好いい</v>
          </cell>
          <cell r="G1523" t="str">
            <v>女性</v>
          </cell>
          <cell r="H1523" t="str">
            <v>yellow</v>
          </cell>
          <cell r="I1523">
            <v>5</v>
          </cell>
          <cell r="J1523" t="str">
            <v>DropWizS</v>
          </cell>
          <cell r="K1523" t="str">
            <v>balance</v>
          </cell>
          <cell r="L1523" t="str">
            <v>バランスタイプ</v>
          </cell>
          <cell r="M1523" t="str">
            <v>god</v>
          </cell>
        </row>
        <row r="1524">
          <cell r="A1524">
            <v>8012</v>
          </cell>
          <cell r="B1524" t="str">
            <v>ja</v>
          </cell>
          <cell r="C1524" t="str">
            <v>破戀斬る縁剣 月下老人</v>
          </cell>
          <cell r="D1524" t="str">
            <v>イベント:ミクコラボ01</v>
          </cell>
          <cell r="E1524" t="str">
            <v>執行者</v>
          </cell>
          <cell r="F1524" t="str">
            <v>格好いい</v>
          </cell>
          <cell r="G1524" t="str">
            <v>女性</v>
          </cell>
          <cell r="H1524" t="str">
            <v>yellow</v>
          </cell>
          <cell r="I1524">
            <v>6</v>
          </cell>
          <cell r="J1524" t="str">
            <v>DropWizS</v>
          </cell>
          <cell r="K1524" t="str">
            <v>balance</v>
          </cell>
          <cell r="L1524" t="str">
            <v>バランスタイプ</v>
          </cell>
          <cell r="M1524" t="str">
            <v>god</v>
          </cell>
        </row>
        <row r="1525">
          <cell r="A1525">
            <v>8013</v>
          </cell>
          <cell r="B1525" t="str">
            <v>ja</v>
          </cell>
          <cell r="C1525" t="str">
            <v>初音ミクV3</v>
          </cell>
          <cell r="D1525" t="str">
            <v>初音ミクV3</v>
          </cell>
          <cell r="E1525" t="str">
            <v>執行者</v>
          </cell>
          <cell r="F1525" t="str">
            <v>格好いい</v>
          </cell>
          <cell r="G1525" t="str">
            <v>女性</v>
          </cell>
          <cell r="H1525" t="str">
            <v>yellow</v>
          </cell>
          <cell r="I1525">
            <v>4</v>
          </cell>
          <cell r="J1525" t="str">
            <v>DropWizS</v>
          </cell>
          <cell r="K1525" t="str">
            <v>balance</v>
          </cell>
          <cell r="L1525" t="str">
            <v>バランスタイプ</v>
          </cell>
          <cell r="M1525" t="str">
            <v>unknown</v>
          </cell>
        </row>
        <row r="1526">
          <cell r="A1526">
            <v>8014</v>
          </cell>
          <cell r="B1526" t="str">
            <v>ja</v>
          </cell>
          <cell r="C1526" t="str">
            <v>初音ミクV3</v>
          </cell>
          <cell r="D1526" t="str">
            <v>初音ミクV3</v>
          </cell>
          <cell r="E1526" t="str">
            <v>執行者</v>
          </cell>
          <cell r="F1526" t="str">
            <v>格好いい</v>
          </cell>
          <cell r="G1526" t="str">
            <v>女性</v>
          </cell>
          <cell r="H1526" t="str">
            <v>yellow</v>
          </cell>
          <cell r="I1526">
            <v>5</v>
          </cell>
          <cell r="J1526" t="str">
            <v>DropWizS</v>
          </cell>
          <cell r="K1526" t="str">
            <v>balance</v>
          </cell>
          <cell r="L1526" t="str">
            <v>バランスタイプ</v>
          </cell>
          <cell r="M1526" t="str">
            <v>unknown</v>
          </cell>
        </row>
        <row r="1527">
          <cell r="A1527">
            <v>8015</v>
          </cell>
          <cell r="B1527" t="str">
            <v>ja</v>
          </cell>
          <cell r="C1527" t="str">
            <v>初音ミク・アペンド</v>
          </cell>
          <cell r="D1527" t="str">
            <v>初音ミク・アペンド</v>
          </cell>
          <cell r="E1527" t="str">
            <v>執行者</v>
          </cell>
          <cell r="F1527" t="str">
            <v>格好いい</v>
          </cell>
          <cell r="G1527" t="str">
            <v>女性</v>
          </cell>
          <cell r="H1527" t="str">
            <v>green</v>
          </cell>
          <cell r="I1527">
            <v>4</v>
          </cell>
          <cell r="J1527" t="str">
            <v>PremiumSSS</v>
          </cell>
          <cell r="K1527" t="str">
            <v>technical</v>
          </cell>
          <cell r="L1527" t="str">
            <v>テクニカルタイプ</v>
          </cell>
          <cell r="M1527" t="str">
            <v>unknown</v>
          </cell>
        </row>
        <row r="1528">
          <cell r="A1528">
            <v>8016</v>
          </cell>
          <cell r="B1528" t="str">
            <v>ja</v>
          </cell>
          <cell r="C1528" t="str">
            <v>初音ミク・アペンド</v>
          </cell>
          <cell r="D1528" t="str">
            <v>初音ミク・アペンド</v>
          </cell>
          <cell r="E1528" t="str">
            <v>執行者</v>
          </cell>
          <cell r="F1528" t="str">
            <v>格好いい</v>
          </cell>
          <cell r="G1528" t="str">
            <v>女性</v>
          </cell>
          <cell r="H1528" t="str">
            <v>green</v>
          </cell>
          <cell r="I1528">
            <v>5</v>
          </cell>
          <cell r="J1528" t="str">
            <v>PremiumSSS</v>
          </cell>
          <cell r="K1528" t="str">
            <v>technical</v>
          </cell>
          <cell r="L1528" t="str">
            <v>テクニカルタイプ</v>
          </cell>
          <cell r="M1528" t="str">
            <v>unknown</v>
          </cell>
        </row>
        <row r="1529">
          <cell r="A1529">
            <v>8017</v>
          </cell>
          <cell r="B1529" t="str">
            <v>ja</v>
          </cell>
          <cell r="C1529" t="str">
            <v>初音ミク</v>
          </cell>
          <cell r="D1529" t="str">
            <v>初音ミク</v>
          </cell>
          <cell r="E1529" t="str">
            <v>執行者</v>
          </cell>
          <cell r="F1529" t="str">
            <v>格好いい</v>
          </cell>
          <cell r="G1529" t="str">
            <v>女性</v>
          </cell>
          <cell r="H1529" t="str">
            <v>green</v>
          </cell>
          <cell r="I1529">
            <v>4</v>
          </cell>
          <cell r="J1529" t="str">
            <v>PremiumSSS</v>
          </cell>
          <cell r="K1529" t="str">
            <v>balance</v>
          </cell>
          <cell r="L1529" t="str">
            <v>バランスタイプ</v>
          </cell>
          <cell r="M1529" t="str">
            <v>unknown</v>
          </cell>
        </row>
        <row r="1530">
          <cell r="A1530">
            <v>8018</v>
          </cell>
          <cell r="B1530" t="str">
            <v>ja</v>
          </cell>
          <cell r="C1530" t="str">
            <v>初音ミク</v>
          </cell>
          <cell r="D1530" t="str">
            <v>初音ミク</v>
          </cell>
          <cell r="E1530" t="str">
            <v>執行者</v>
          </cell>
          <cell r="F1530" t="str">
            <v>格好いい</v>
          </cell>
          <cell r="G1530" t="str">
            <v>女性</v>
          </cell>
          <cell r="H1530" t="str">
            <v>green</v>
          </cell>
          <cell r="I1530">
            <v>5</v>
          </cell>
          <cell r="J1530" t="str">
            <v>PremiumSSS</v>
          </cell>
          <cell r="K1530" t="str">
            <v>balance</v>
          </cell>
          <cell r="L1530" t="str">
            <v>バランスタイプ</v>
          </cell>
          <cell r="M1530" t="str">
            <v>unknown</v>
          </cell>
        </row>
        <row r="1531">
          <cell r="A1531">
            <v>8019</v>
          </cell>
          <cell r="B1531" t="str">
            <v>ja</v>
          </cell>
          <cell r="C1531" t="str">
            <v>鏡音リン</v>
          </cell>
          <cell r="D1531" t="str">
            <v>鏡音リン</v>
          </cell>
          <cell r="E1531" t="str">
            <v>執行者</v>
          </cell>
          <cell r="F1531" t="str">
            <v>格好いい</v>
          </cell>
          <cell r="G1531" t="str">
            <v>男性</v>
          </cell>
          <cell r="H1531" t="str">
            <v>yellow</v>
          </cell>
          <cell r="I1531">
            <v>4</v>
          </cell>
          <cell r="J1531" t="str">
            <v>PremiumSS</v>
          </cell>
          <cell r="K1531" t="str">
            <v>balance</v>
          </cell>
          <cell r="L1531" t="str">
            <v>バランスタイプ</v>
          </cell>
          <cell r="M1531" t="str">
            <v>unknown</v>
          </cell>
        </row>
        <row r="1532">
          <cell r="A1532">
            <v>8020</v>
          </cell>
          <cell r="B1532" t="str">
            <v>ja</v>
          </cell>
          <cell r="C1532" t="str">
            <v>鏡音リン</v>
          </cell>
          <cell r="D1532" t="str">
            <v>鏡音リン</v>
          </cell>
          <cell r="E1532" t="str">
            <v>執行者</v>
          </cell>
          <cell r="F1532" t="str">
            <v>格好いい</v>
          </cell>
          <cell r="G1532" t="str">
            <v>男性</v>
          </cell>
          <cell r="H1532" t="str">
            <v>yellow</v>
          </cell>
          <cell r="I1532">
            <v>5</v>
          </cell>
          <cell r="J1532" t="str">
            <v>PremiumSS</v>
          </cell>
          <cell r="K1532" t="str">
            <v>balance</v>
          </cell>
          <cell r="L1532" t="str">
            <v>バランスタイプ</v>
          </cell>
          <cell r="M1532" t="str">
            <v>unknown</v>
          </cell>
        </row>
        <row r="1533">
          <cell r="A1533">
            <v>8021</v>
          </cell>
          <cell r="B1533" t="str">
            <v>ja</v>
          </cell>
          <cell r="C1533" t="str">
            <v>鏡音レン</v>
          </cell>
          <cell r="D1533" t="str">
            <v>鏡音レン</v>
          </cell>
          <cell r="E1533" t="str">
            <v>執行者</v>
          </cell>
          <cell r="F1533" t="str">
            <v>格好いい</v>
          </cell>
          <cell r="G1533" t="str">
            <v>女性</v>
          </cell>
          <cell r="H1533" t="str">
            <v>yellow</v>
          </cell>
          <cell r="I1533">
            <v>4</v>
          </cell>
          <cell r="J1533" t="str">
            <v>PremiumSS</v>
          </cell>
          <cell r="K1533" t="str">
            <v>heal</v>
          </cell>
          <cell r="L1533" t="str">
            <v>回復タイプ</v>
          </cell>
          <cell r="M1533" t="str">
            <v>unknown</v>
          </cell>
        </row>
        <row r="1534">
          <cell r="A1534">
            <v>8022</v>
          </cell>
          <cell r="B1534" t="str">
            <v>ja</v>
          </cell>
          <cell r="C1534" t="str">
            <v>鏡音レン</v>
          </cell>
          <cell r="D1534" t="str">
            <v>鏡音レン</v>
          </cell>
          <cell r="E1534" t="str">
            <v>執行者</v>
          </cell>
          <cell r="F1534" t="str">
            <v>格好いい</v>
          </cell>
          <cell r="G1534" t="str">
            <v>女性</v>
          </cell>
          <cell r="H1534" t="str">
            <v>yellow</v>
          </cell>
          <cell r="I1534">
            <v>5</v>
          </cell>
          <cell r="J1534" t="str">
            <v>PremiumSS</v>
          </cell>
          <cell r="K1534" t="str">
            <v>heal</v>
          </cell>
          <cell r="L1534" t="str">
            <v>回復タイプ</v>
          </cell>
          <cell r="M1534" t="str">
            <v>unknown</v>
          </cell>
        </row>
        <row r="1535">
          <cell r="A1535">
            <v>8023</v>
          </cell>
          <cell r="B1535" t="str">
            <v>ja</v>
          </cell>
          <cell r="C1535" t="str">
            <v>巡音ルカ</v>
          </cell>
          <cell r="D1535" t="str">
            <v>巡音ルカ</v>
          </cell>
          <cell r="E1535" t="str">
            <v>執行者</v>
          </cell>
          <cell r="F1535" t="str">
            <v>格好いい</v>
          </cell>
          <cell r="G1535" t="str">
            <v>女性</v>
          </cell>
          <cell r="H1535" t="str">
            <v>red</v>
          </cell>
          <cell r="I1535">
            <v>3</v>
          </cell>
          <cell r="J1535" t="str">
            <v>PremiumS</v>
          </cell>
          <cell r="K1535" t="str">
            <v>attack</v>
          </cell>
          <cell r="L1535" t="str">
            <v>攻撃タイプ</v>
          </cell>
          <cell r="M1535" t="str">
            <v>unknown</v>
          </cell>
        </row>
        <row r="1536">
          <cell r="A1536">
            <v>8024</v>
          </cell>
          <cell r="B1536" t="str">
            <v>ja</v>
          </cell>
          <cell r="C1536" t="str">
            <v>巡音ルカ</v>
          </cell>
          <cell r="D1536" t="str">
            <v>巡音ルカ</v>
          </cell>
          <cell r="E1536" t="str">
            <v>執行者</v>
          </cell>
          <cell r="F1536" t="str">
            <v>格好いい</v>
          </cell>
          <cell r="G1536" t="str">
            <v>女性</v>
          </cell>
          <cell r="H1536" t="str">
            <v>red</v>
          </cell>
          <cell r="I1536">
            <v>4</v>
          </cell>
          <cell r="J1536" t="str">
            <v>PremiumS</v>
          </cell>
          <cell r="K1536" t="str">
            <v>attack</v>
          </cell>
          <cell r="L1536" t="str">
            <v>攻撃タイプ</v>
          </cell>
          <cell r="M1536" t="str">
            <v>unknown</v>
          </cell>
        </row>
        <row r="1537">
          <cell r="A1537">
            <v>8025</v>
          </cell>
          <cell r="B1537" t="str">
            <v>ja</v>
          </cell>
          <cell r="C1537" t="str">
            <v>MEIKO</v>
          </cell>
          <cell r="D1537" t="str">
            <v>MEIKO</v>
          </cell>
          <cell r="E1537" t="str">
            <v>執行者</v>
          </cell>
          <cell r="F1537" t="str">
            <v>格好いい</v>
          </cell>
          <cell r="G1537" t="str">
            <v>男性</v>
          </cell>
          <cell r="H1537" t="str">
            <v>red</v>
          </cell>
          <cell r="I1537">
            <v>3</v>
          </cell>
          <cell r="J1537" t="str">
            <v>PremiumS</v>
          </cell>
          <cell r="K1537" t="str">
            <v>hp</v>
          </cell>
          <cell r="L1537" t="str">
            <v>体力タイプ</v>
          </cell>
          <cell r="M1537" t="str">
            <v>unknown</v>
          </cell>
        </row>
        <row r="1538">
          <cell r="A1538">
            <v>8026</v>
          </cell>
          <cell r="B1538" t="str">
            <v>ja</v>
          </cell>
          <cell r="C1538" t="str">
            <v>MEIKO</v>
          </cell>
          <cell r="D1538" t="str">
            <v>MEIKO</v>
          </cell>
          <cell r="E1538" t="str">
            <v>執行者</v>
          </cell>
          <cell r="F1538" t="str">
            <v>格好いい</v>
          </cell>
          <cell r="G1538" t="str">
            <v>男性</v>
          </cell>
          <cell r="H1538" t="str">
            <v>red</v>
          </cell>
          <cell r="I1538">
            <v>4</v>
          </cell>
          <cell r="J1538" t="str">
            <v>PremiumS</v>
          </cell>
          <cell r="K1538" t="str">
            <v>hp</v>
          </cell>
          <cell r="L1538" t="str">
            <v>体力タイプ</v>
          </cell>
          <cell r="M1538" t="str">
            <v>unknown</v>
          </cell>
        </row>
        <row r="1539">
          <cell r="A1539">
            <v>8027</v>
          </cell>
          <cell r="B1539" t="str">
            <v>ja</v>
          </cell>
          <cell r="C1539" t="str">
            <v>KAITO</v>
          </cell>
          <cell r="D1539" t="str">
            <v>KAITO</v>
          </cell>
          <cell r="E1539" t="str">
            <v>執行者</v>
          </cell>
          <cell r="F1539" t="str">
            <v>格好いい</v>
          </cell>
          <cell r="G1539" t="str">
            <v>女性</v>
          </cell>
          <cell r="H1539" t="str">
            <v>blue</v>
          </cell>
          <cell r="I1539">
            <v>3</v>
          </cell>
          <cell r="J1539" t="str">
            <v>PremiumS</v>
          </cell>
          <cell r="K1539" t="str">
            <v>technical</v>
          </cell>
          <cell r="L1539" t="str">
            <v>テクニカルタイプ</v>
          </cell>
          <cell r="M1539" t="str">
            <v>unknown</v>
          </cell>
        </row>
        <row r="1540">
          <cell r="A1540">
            <v>8028</v>
          </cell>
          <cell r="B1540" t="str">
            <v>ja</v>
          </cell>
          <cell r="C1540" t="str">
            <v>KAITO</v>
          </cell>
          <cell r="D1540" t="str">
            <v>KAITO</v>
          </cell>
          <cell r="E1540" t="str">
            <v>執行者</v>
          </cell>
          <cell r="F1540" t="str">
            <v>格好いい</v>
          </cell>
          <cell r="G1540" t="str">
            <v>女性</v>
          </cell>
          <cell r="H1540" t="str">
            <v>blue</v>
          </cell>
          <cell r="I1540">
            <v>4</v>
          </cell>
          <cell r="J1540" t="str">
            <v>PremiumS</v>
          </cell>
          <cell r="K1540" t="str">
            <v>technical</v>
          </cell>
          <cell r="L1540" t="str">
            <v>テクニカルタイプ</v>
          </cell>
          <cell r="M1540" t="str">
            <v>unknown</v>
          </cell>
        </row>
        <row r="1541">
          <cell r="A1541">
            <v>8029</v>
          </cell>
          <cell r="B1541" t="str">
            <v>ja</v>
          </cell>
          <cell r="C1541" t="str">
            <v>Expoミク</v>
          </cell>
          <cell r="D1541" t="str">
            <v>Expoミク</v>
          </cell>
          <cell r="E1541" t="str">
            <v>執行者</v>
          </cell>
          <cell r="F1541" t="str">
            <v>格好いい</v>
          </cell>
          <cell r="G1541" t="str">
            <v>女性</v>
          </cell>
          <cell r="H1541" t="str">
            <v>blue</v>
          </cell>
          <cell r="I1541">
            <v>4</v>
          </cell>
          <cell r="J1541" t="str">
            <v>Drop2N</v>
          </cell>
          <cell r="K1541" t="str">
            <v>heal</v>
          </cell>
          <cell r="L1541" t="str">
            <v>回復タイプ</v>
          </cell>
          <cell r="M1541" t="str">
            <v>unknown</v>
          </cell>
        </row>
        <row r="1542">
          <cell r="A1542">
            <v>8030</v>
          </cell>
          <cell r="B1542" t="str">
            <v>ja</v>
          </cell>
          <cell r="C1542" t="str">
            <v>Expoミク</v>
          </cell>
          <cell r="D1542" t="str">
            <v>Expoミク</v>
          </cell>
          <cell r="E1542" t="str">
            <v>執行者</v>
          </cell>
          <cell r="F1542" t="str">
            <v>格好いい</v>
          </cell>
          <cell r="G1542" t="str">
            <v>女性</v>
          </cell>
          <cell r="H1542" t="str">
            <v>blue</v>
          </cell>
          <cell r="I1542">
            <v>5</v>
          </cell>
          <cell r="J1542" t="str">
            <v>Drop2N</v>
          </cell>
          <cell r="K1542" t="str">
            <v>heal</v>
          </cell>
          <cell r="L1542" t="str">
            <v>回復タイプ</v>
          </cell>
          <cell r="M1542" t="str">
            <v>unknown</v>
          </cell>
        </row>
        <row r="1543">
          <cell r="A1543">
            <v>8031</v>
          </cell>
          <cell r="B1543" t="str">
            <v>ja</v>
          </cell>
          <cell r="C1543" t="str">
            <v>閻羅王</v>
          </cell>
          <cell r="D1543" t="str">
            <v>Expoミク</v>
          </cell>
          <cell r="E1543" t="str">
            <v>執行者</v>
          </cell>
          <cell r="F1543" t="str">
            <v>格好いい</v>
          </cell>
          <cell r="G1543" t="str">
            <v>女性</v>
          </cell>
          <cell r="H1543" t="str">
            <v>red</v>
          </cell>
          <cell r="I1543">
            <v>5</v>
          </cell>
          <cell r="J1543" t="str">
            <v>PremiumSS</v>
          </cell>
          <cell r="K1543" t="str">
            <v>balance</v>
          </cell>
          <cell r="L1543" t="str">
            <v>バランスタイプ</v>
          </cell>
          <cell r="M1543" t="str">
            <v>god</v>
          </cell>
        </row>
        <row r="1544">
          <cell r="A1544">
            <v>8032</v>
          </cell>
          <cell r="B1544" t="str">
            <v>ja</v>
          </cell>
          <cell r="C1544" t="str">
            <v>六道輪廻の絶獄 閻羅王</v>
          </cell>
          <cell r="D1544" t="str">
            <v>Expoミク</v>
          </cell>
          <cell r="E1544" t="str">
            <v>執行者</v>
          </cell>
          <cell r="F1544" t="str">
            <v>格好いい</v>
          </cell>
          <cell r="G1544" t="str">
            <v>女性</v>
          </cell>
          <cell r="H1544" t="str">
            <v>red</v>
          </cell>
          <cell r="I1544">
            <v>6</v>
          </cell>
          <cell r="J1544" t="str">
            <v>PremiumSS</v>
          </cell>
          <cell r="K1544" t="str">
            <v>balance</v>
          </cell>
          <cell r="L1544" t="str">
            <v>バランスタイプ</v>
          </cell>
          <cell r="M1544" t="str">
            <v>god</v>
          </cell>
        </row>
        <row r="1545">
          <cell r="A1545">
            <v>8033</v>
          </cell>
          <cell r="B1545" t="str">
            <v>ja</v>
          </cell>
          <cell r="C1545" t="str">
            <v>牛頭馬面</v>
          </cell>
          <cell r="D1545" t="str">
            <v>Expoミク</v>
          </cell>
          <cell r="E1545" t="str">
            <v>執行者</v>
          </cell>
          <cell r="F1545" t="str">
            <v>格好いい</v>
          </cell>
          <cell r="G1545" t="str">
            <v>女性</v>
          </cell>
          <cell r="H1545" t="str">
            <v>green</v>
          </cell>
          <cell r="I1545">
            <v>5</v>
          </cell>
          <cell r="J1545" t="str">
            <v>DropWizS</v>
          </cell>
          <cell r="K1545" t="str">
            <v>attack</v>
          </cell>
          <cell r="L1545" t="str">
            <v>攻撃タイプ</v>
          </cell>
          <cell r="M1545" t="str">
            <v>god</v>
          </cell>
        </row>
        <row r="1546">
          <cell r="A1546">
            <v>8034</v>
          </cell>
          <cell r="B1546" t="str">
            <v>ja</v>
          </cell>
          <cell r="C1546" t="str">
            <v>冥府狩る魂使 牛頭馬面</v>
          </cell>
          <cell r="D1546" t="str">
            <v>Expoミク</v>
          </cell>
          <cell r="E1546" t="str">
            <v>執行者</v>
          </cell>
          <cell r="F1546" t="str">
            <v>格好いい</v>
          </cell>
          <cell r="G1546" t="str">
            <v>女性</v>
          </cell>
          <cell r="H1546" t="str">
            <v>green</v>
          </cell>
          <cell r="I1546">
            <v>6</v>
          </cell>
          <cell r="J1546" t="str">
            <v>DropWizS</v>
          </cell>
          <cell r="K1546" t="str">
            <v>attack</v>
          </cell>
          <cell r="L1546" t="str">
            <v>攻撃タイプ</v>
          </cell>
          <cell r="M1546" t="str">
            <v>god</v>
          </cell>
        </row>
        <row r="1547">
          <cell r="A1547">
            <v>8035</v>
          </cell>
          <cell r="B1547" t="str">
            <v>ja</v>
          </cell>
          <cell r="C1547" t="str">
            <v>飛衛</v>
          </cell>
          <cell r="D1547" t="str">
            <v>Expoミク</v>
          </cell>
          <cell r="E1547" t="str">
            <v>執行者</v>
          </cell>
          <cell r="F1547" t="str">
            <v>格好いい</v>
          </cell>
          <cell r="G1547" t="str">
            <v>女性</v>
          </cell>
          <cell r="H1547" t="str">
            <v>blue</v>
          </cell>
          <cell r="I1547">
            <v>5</v>
          </cell>
          <cell r="J1547" t="str">
            <v>PremiumSS</v>
          </cell>
          <cell r="K1547" t="str">
            <v>heal</v>
          </cell>
          <cell r="L1547" t="str">
            <v>回復タイプ</v>
          </cell>
          <cell r="M1547" t="str">
            <v>human</v>
          </cell>
        </row>
        <row r="1548">
          <cell r="A1548">
            <v>8036</v>
          </cell>
          <cell r="B1548" t="str">
            <v>ja</v>
          </cell>
          <cell r="C1548" t="str">
            <v>レア６飛衛</v>
          </cell>
          <cell r="D1548" t="str">
            <v>Expoミク</v>
          </cell>
          <cell r="E1548" t="str">
            <v>執行者</v>
          </cell>
          <cell r="F1548" t="str">
            <v>格好いい</v>
          </cell>
          <cell r="G1548" t="str">
            <v>女性</v>
          </cell>
          <cell r="H1548" t="str">
            <v>blue</v>
          </cell>
          <cell r="I1548">
            <v>6</v>
          </cell>
          <cell r="J1548" t="str">
            <v>PremiumSS</v>
          </cell>
          <cell r="K1548" t="str">
            <v>heal</v>
          </cell>
          <cell r="L1548" t="str">
            <v>回復タイプ</v>
          </cell>
          <cell r="M1548" t="str">
            <v>human</v>
          </cell>
        </row>
        <row r="1549">
          <cell r="A1549">
            <v>8037</v>
          </cell>
          <cell r="B1549" t="str">
            <v>ja</v>
          </cell>
          <cell r="C1549" t="str">
            <v>紀昌</v>
          </cell>
          <cell r="D1549" t="str">
            <v>Expoミク</v>
          </cell>
          <cell r="E1549" t="str">
            <v>執行者</v>
          </cell>
          <cell r="F1549" t="str">
            <v>格好いい</v>
          </cell>
          <cell r="G1549" t="str">
            <v>女性</v>
          </cell>
          <cell r="H1549" t="str">
            <v>red</v>
          </cell>
          <cell r="I1549">
            <v>5</v>
          </cell>
          <cell r="J1549" t="str">
            <v>DropWizS</v>
          </cell>
          <cell r="K1549" t="str">
            <v>attack</v>
          </cell>
          <cell r="L1549" t="str">
            <v>攻撃タイプ</v>
          </cell>
          <cell r="M1549" t="str">
            <v>human</v>
          </cell>
        </row>
        <row r="1550">
          <cell r="A1550">
            <v>8038</v>
          </cell>
          <cell r="B1550" t="str">
            <v>ja</v>
          </cell>
          <cell r="C1550" t="str">
            <v>レア６紀昌</v>
          </cell>
          <cell r="D1550" t="str">
            <v>Expoミク</v>
          </cell>
          <cell r="E1550" t="str">
            <v>執行者</v>
          </cell>
          <cell r="F1550" t="str">
            <v>格好いい</v>
          </cell>
          <cell r="G1550" t="str">
            <v>女性</v>
          </cell>
          <cell r="H1550" t="str">
            <v>red</v>
          </cell>
          <cell r="I1550">
            <v>6</v>
          </cell>
          <cell r="J1550" t="str">
            <v>DropWizS</v>
          </cell>
          <cell r="K1550" t="str">
            <v>attack</v>
          </cell>
          <cell r="L1550" t="str">
            <v>攻撃タイプ</v>
          </cell>
          <cell r="M1550" t="str">
            <v>human</v>
          </cell>
        </row>
        <row r="1551">
          <cell r="A1551">
            <v>8039</v>
          </cell>
          <cell r="B1551" t="str">
            <v>ja</v>
          </cell>
          <cell r="C1551" t="str">
            <v>何仙姑</v>
          </cell>
          <cell r="D1551" t="str">
            <v>Expoミク</v>
          </cell>
          <cell r="E1551" t="str">
            <v>執行者</v>
          </cell>
          <cell r="F1551" t="str">
            <v>格好いい</v>
          </cell>
          <cell r="G1551" t="str">
            <v>女性</v>
          </cell>
          <cell r="H1551" t="str">
            <v>yellow</v>
          </cell>
          <cell r="I1551">
            <v>5</v>
          </cell>
          <cell r="J1551" t="str">
            <v>PremiumSSw</v>
          </cell>
          <cell r="K1551" t="str">
            <v>hp</v>
          </cell>
          <cell r="L1551" t="str">
            <v>体力タイプ</v>
          </cell>
          <cell r="M1551" t="str">
            <v>god</v>
          </cell>
        </row>
        <row r="1552">
          <cell r="A1552">
            <v>8040</v>
          </cell>
          <cell r="B1552" t="str">
            <v>ja</v>
          </cell>
          <cell r="C1552" t="str">
            <v>レア６何仙姑</v>
          </cell>
          <cell r="D1552" t="str">
            <v>Expoミク</v>
          </cell>
          <cell r="E1552" t="str">
            <v>執行者</v>
          </cell>
          <cell r="F1552" t="str">
            <v>格好いい</v>
          </cell>
          <cell r="G1552" t="str">
            <v>女性</v>
          </cell>
          <cell r="H1552" t="str">
            <v>yellow</v>
          </cell>
          <cell r="I1552">
            <v>6</v>
          </cell>
          <cell r="J1552" t="str">
            <v>PremiumSSw</v>
          </cell>
          <cell r="K1552" t="str">
            <v>hp</v>
          </cell>
          <cell r="L1552" t="str">
            <v>体力タイプ</v>
          </cell>
          <cell r="M1552" t="str">
            <v>god</v>
          </cell>
        </row>
        <row r="1553">
          <cell r="A1553">
            <v>8041</v>
          </cell>
          <cell r="B1553" t="str">
            <v>ja</v>
          </cell>
          <cell r="C1553" t="str">
            <v>藍采和</v>
          </cell>
          <cell r="D1553" t="str">
            <v>Expoミク</v>
          </cell>
          <cell r="E1553" t="str">
            <v>執行者</v>
          </cell>
          <cell r="F1553" t="str">
            <v>格好いい</v>
          </cell>
          <cell r="G1553" t="str">
            <v>女性</v>
          </cell>
          <cell r="H1553" t="str">
            <v>blue</v>
          </cell>
          <cell r="I1553">
            <v>5</v>
          </cell>
          <cell r="J1553" t="str">
            <v>DropWizS</v>
          </cell>
          <cell r="K1553" t="str">
            <v>balance</v>
          </cell>
          <cell r="L1553" t="str">
            <v>バランスタイプ</v>
          </cell>
          <cell r="M1553" t="str">
            <v>god</v>
          </cell>
        </row>
        <row r="1554">
          <cell r="A1554">
            <v>8042</v>
          </cell>
          <cell r="B1554" t="str">
            <v>ja</v>
          </cell>
          <cell r="C1554" t="str">
            <v>レア６藍采和</v>
          </cell>
          <cell r="D1554" t="str">
            <v>Expoミク</v>
          </cell>
          <cell r="E1554" t="str">
            <v>執行者</v>
          </cell>
          <cell r="F1554" t="str">
            <v>格好いい</v>
          </cell>
          <cell r="G1554" t="str">
            <v>女性</v>
          </cell>
          <cell r="H1554" t="str">
            <v>blue</v>
          </cell>
          <cell r="I1554">
            <v>6</v>
          </cell>
          <cell r="J1554" t="str">
            <v>DropWizS</v>
          </cell>
          <cell r="K1554" t="str">
            <v>balance</v>
          </cell>
          <cell r="L1554" t="str">
            <v>バランスタイプ</v>
          </cell>
          <cell r="M1554" t="str">
            <v>god</v>
          </cell>
        </row>
        <row r="1555">
          <cell r="A1555">
            <v>8043</v>
          </cell>
          <cell r="B1555" t="str">
            <v>ja</v>
          </cell>
          <cell r="C1555" t="str">
            <v>サンリオキャラ大集合+アザゼル</v>
          </cell>
          <cell r="D1555" t="str">
            <v>サンリオキャラ大集合+アザゼル</v>
          </cell>
          <cell r="E1555" t="str">
            <v>執行者</v>
          </cell>
          <cell r="F1555" t="str">
            <v>格好いい</v>
          </cell>
          <cell r="G1555" t="str">
            <v>女性</v>
          </cell>
          <cell r="H1555" t="str">
            <v>green</v>
          </cell>
          <cell r="I1555">
            <v>5</v>
          </cell>
          <cell r="J1555" t="str">
            <v>DropWizS</v>
          </cell>
          <cell r="K1555" t="str">
            <v>technical</v>
          </cell>
          <cell r="L1555" t="str">
            <v>テクニカルタイプ</v>
          </cell>
          <cell r="M1555" t="str">
            <v>ss</v>
          </cell>
        </row>
        <row r="1556">
          <cell r="A1556">
            <v>8044</v>
          </cell>
          <cell r="B1556" t="str">
            <v>ja</v>
          </cell>
          <cell r="C1556" t="str">
            <v>サンリオキャラ大集合+アザゼル</v>
          </cell>
          <cell r="D1556" t="str">
            <v>サンリオキャラ大集合+アザゼル</v>
          </cell>
          <cell r="E1556" t="str">
            <v>執行者</v>
          </cell>
          <cell r="F1556" t="str">
            <v>格好いい</v>
          </cell>
          <cell r="G1556" t="str">
            <v>女性</v>
          </cell>
          <cell r="H1556" t="str">
            <v>green</v>
          </cell>
          <cell r="I1556">
            <v>6</v>
          </cell>
          <cell r="J1556" t="str">
            <v>DropWizS</v>
          </cell>
          <cell r="K1556" t="str">
            <v>technical</v>
          </cell>
          <cell r="L1556" t="str">
            <v>テクニカルタイプ</v>
          </cell>
          <cell r="M1556" t="str">
            <v>ss</v>
          </cell>
        </row>
        <row r="1557">
          <cell r="A1557">
            <v>8045</v>
          </cell>
          <cell r="B1557" t="str">
            <v>ja</v>
          </cell>
          <cell r="C1557" t="str">
            <v>ニムダ_サンリオキャラ混じり</v>
          </cell>
          <cell r="D1557" t="str">
            <v>ニムダ_サンリオキャラ混じり</v>
          </cell>
          <cell r="E1557" t="str">
            <v>執行者</v>
          </cell>
          <cell r="F1557" t="str">
            <v>格好いい</v>
          </cell>
          <cell r="G1557" t="str">
            <v>女性</v>
          </cell>
          <cell r="H1557" t="str">
            <v>yellow</v>
          </cell>
          <cell r="I1557">
            <v>4</v>
          </cell>
          <cell r="J1557" t="str">
            <v>Drop2N</v>
          </cell>
          <cell r="K1557" t="str">
            <v>technical</v>
          </cell>
          <cell r="L1557" t="str">
            <v>テクニカルタイプ</v>
          </cell>
          <cell r="M1557" t="str">
            <v>ss</v>
          </cell>
        </row>
        <row r="1558">
          <cell r="A1558">
            <v>8046</v>
          </cell>
          <cell r="B1558" t="str">
            <v>ja</v>
          </cell>
          <cell r="C1558" t="str">
            <v>ニムダ_サンリオキャラ混じり</v>
          </cell>
          <cell r="D1558" t="str">
            <v>ニムダ_サンリオキャラ混じり</v>
          </cell>
          <cell r="E1558" t="str">
            <v>執行者</v>
          </cell>
          <cell r="F1558" t="str">
            <v>格好いい</v>
          </cell>
          <cell r="G1558" t="str">
            <v>女性</v>
          </cell>
          <cell r="H1558" t="str">
            <v>yellow</v>
          </cell>
          <cell r="I1558">
            <v>5</v>
          </cell>
          <cell r="J1558" t="str">
            <v>Drop2N</v>
          </cell>
          <cell r="K1558" t="str">
            <v>technical</v>
          </cell>
          <cell r="L1558" t="str">
            <v>テクニカルタイプ</v>
          </cell>
          <cell r="M1558" t="str">
            <v>ss</v>
          </cell>
        </row>
        <row r="1559">
          <cell r="A1559">
            <v>8047</v>
          </cell>
          <cell r="B1559" t="str">
            <v>ja</v>
          </cell>
          <cell r="C1559" t="str">
            <v>ハローキティ</v>
          </cell>
          <cell r="D1559" t="str">
            <v>ハローキティ</v>
          </cell>
          <cell r="E1559" t="str">
            <v>執行者</v>
          </cell>
          <cell r="F1559" t="str">
            <v>格好いい</v>
          </cell>
          <cell r="G1559" t="str">
            <v>女性</v>
          </cell>
          <cell r="H1559" t="str">
            <v>red</v>
          </cell>
          <cell r="I1559">
            <v>4</v>
          </cell>
          <cell r="J1559" t="str">
            <v>Drop2N</v>
          </cell>
          <cell r="K1559" t="str">
            <v>balance</v>
          </cell>
          <cell r="L1559" t="str">
            <v>バランスタイプ</v>
          </cell>
          <cell r="M1559" t="str">
            <v>ss</v>
          </cell>
        </row>
        <row r="1560">
          <cell r="A1560">
            <v>8048</v>
          </cell>
          <cell r="B1560" t="str">
            <v>ja</v>
          </cell>
          <cell r="C1560" t="str">
            <v>ハローキティ</v>
          </cell>
          <cell r="D1560" t="str">
            <v>ハローキティ</v>
          </cell>
          <cell r="E1560" t="str">
            <v>執行者</v>
          </cell>
          <cell r="F1560" t="str">
            <v>格好いい</v>
          </cell>
          <cell r="G1560" t="str">
            <v>女性</v>
          </cell>
          <cell r="H1560" t="str">
            <v>red</v>
          </cell>
          <cell r="I1560">
            <v>5</v>
          </cell>
          <cell r="J1560" t="str">
            <v>Drop2N</v>
          </cell>
          <cell r="K1560" t="str">
            <v>balance</v>
          </cell>
          <cell r="L1560" t="str">
            <v>バランスタイプ</v>
          </cell>
          <cell r="M1560" t="str">
            <v>ss</v>
          </cell>
        </row>
        <row r="1561">
          <cell r="A1561">
            <v>8049</v>
          </cell>
          <cell r="B1561" t="str">
            <v>ja</v>
          </cell>
          <cell r="C1561" t="str">
            <v>KIRIMIちゃん</v>
          </cell>
          <cell r="D1561" t="str">
            <v>KIRIMIちゃん</v>
          </cell>
          <cell r="E1561" t="str">
            <v>執行者</v>
          </cell>
          <cell r="F1561" t="str">
            <v>格好いい</v>
          </cell>
          <cell r="G1561" t="str">
            <v>女性</v>
          </cell>
          <cell r="H1561" t="str">
            <v>red</v>
          </cell>
          <cell r="I1561">
            <v>4</v>
          </cell>
          <cell r="J1561" t="str">
            <v>Drop2N</v>
          </cell>
          <cell r="K1561" t="str">
            <v>hp</v>
          </cell>
          <cell r="L1561" t="str">
            <v>体力タイプ</v>
          </cell>
          <cell r="M1561" t="str">
            <v>ss</v>
          </cell>
        </row>
        <row r="1562">
          <cell r="A1562">
            <v>8050</v>
          </cell>
          <cell r="B1562" t="str">
            <v>ja</v>
          </cell>
          <cell r="C1562" t="str">
            <v>KIRIMIちゃん</v>
          </cell>
          <cell r="D1562" t="str">
            <v>KIRIMIちゃん</v>
          </cell>
          <cell r="E1562" t="str">
            <v>執行者</v>
          </cell>
          <cell r="F1562" t="str">
            <v>格好いい</v>
          </cell>
          <cell r="G1562" t="str">
            <v>女性</v>
          </cell>
          <cell r="H1562" t="str">
            <v>red</v>
          </cell>
          <cell r="I1562">
            <v>5</v>
          </cell>
          <cell r="J1562" t="str">
            <v>Drop2N</v>
          </cell>
          <cell r="K1562" t="str">
            <v>hp</v>
          </cell>
          <cell r="L1562" t="str">
            <v>体力タイプ</v>
          </cell>
          <cell r="M1562" t="str">
            <v>ss</v>
          </cell>
        </row>
        <row r="1563">
          <cell r="A1563">
            <v>8051</v>
          </cell>
          <cell r="B1563" t="str">
            <v>ja</v>
          </cell>
          <cell r="C1563" t="str">
            <v>ハローキティのリボン</v>
          </cell>
          <cell r="D1563" t="str">
            <v>ハローキティのリボン</v>
          </cell>
          <cell r="E1563" t="str">
            <v>執行者</v>
          </cell>
          <cell r="F1563" t="str">
            <v>格好いい</v>
          </cell>
          <cell r="G1563" t="str">
            <v>女性</v>
          </cell>
          <cell r="H1563" t="str">
            <v>red</v>
          </cell>
          <cell r="I1563">
            <v>5</v>
          </cell>
          <cell r="J1563" t="str">
            <v>Drop2N</v>
          </cell>
          <cell r="K1563" t="str">
            <v>evolution</v>
          </cell>
          <cell r="L1563" t="str">
            <v>覚醒素材タイプ</v>
          </cell>
          <cell r="M1563" t="str">
            <v>ss</v>
          </cell>
        </row>
        <row r="1564">
          <cell r="A1564">
            <v>8052</v>
          </cell>
          <cell r="B1564" t="str">
            <v>ja</v>
          </cell>
          <cell r="C1564" t="str">
            <v>ママの作ったアップルパイ</v>
          </cell>
          <cell r="D1564" t="str">
            <v>ママの作ったアップルパイ</v>
          </cell>
          <cell r="E1564" t="str">
            <v>執行者</v>
          </cell>
          <cell r="F1564" t="str">
            <v>格好いい</v>
          </cell>
          <cell r="G1564" t="str">
            <v>女性</v>
          </cell>
          <cell r="H1564" t="str">
            <v>red</v>
          </cell>
          <cell r="I1564">
            <v>4</v>
          </cell>
          <cell r="J1564" t="str">
            <v>Drop2N</v>
          </cell>
          <cell r="K1564" t="str">
            <v>evolution</v>
          </cell>
          <cell r="L1564" t="str">
            <v>覚醒素材タイプ</v>
          </cell>
          <cell r="M1564" t="str">
            <v>ss</v>
          </cell>
        </row>
        <row r="1565">
          <cell r="A1565">
            <v>8053</v>
          </cell>
          <cell r="B1565" t="str">
            <v>ja</v>
          </cell>
          <cell r="C1565" t="str">
            <v>D.R.T.H__キティコスプレ</v>
          </cell>
          <cell r="D1565" t="str">
            <v>D.R.T.H__キティコスプレ</v>
          </cell>
          <cell r="E1565" t="str">
            <v>執行者</v>
          </cell>
          <cell r="F1565" t="str">
            <v>格好いい</v>
          </cell>
          <cell r="G1565" t="str">
            <v>女性</v>
          </cell>
          <cell r="H1565" t="str">
            <v>red</v>
          </cell>
          <cell r="I1565">
            <v>5</v>
          </cell>
          <cell r="J1565" t="str">
            <v>PremiumSS</v>
          </cell>
          <cell r="K1565" t="str">
            <v>balance</v>
          </cell>
          <cell r="L1565" t="str">
            <v>バランスタイプ</v>
          </cell>
          <cell r="M1565" t="str">
            <v>ss</v>
          </cell>
        </row>
        <row r="1566">
          <cell r="A1566">
            <v>8054</v>
          </cell>
          <cell r="B1566" t="str">
            <v>ja</v>
          </cell>
          <cell r="C1566" t="str">
            <v>D.R.T.H__キティコスプレ</v>
          </cell>
          <cell r="D1566" t="str">
            <v>D.R.T.H__キティコスプレ</v>
          </cell>
          <cell r="E1566" t="str">
            <v>執行者</v>
          </cell>
          <cell r="F1566" t="str">
            <v>格好いい</v>
          </cell>
          <cell r="G1566" t="str">
            <v>女性</v>
          </cell>
          <cell r="H1566" t="str">
            <v>red</v>
          </cell>
          <cell r="I1566">
            <v>6</v>
          </cell>
          <cell r="J1566" t="str">
            <v>PremiumSS</v>
          </cell>
          <cell r="K1566" t="str">
            <v>balance</v>
          </cell>
          <cell r="L1566" t="str">
            <v>バランスタイプ</v>
          </cell>
          <cell r="M1566" t="str">
            <v>ss</v>
          </cell>
        </row>
        <row r="1567">
          <cell r="A1567">
            <v>8055</v>
          </cell>
          <cell r="B1567" t="str">
            <v>ja</v>
          </cell>
          <cell r="C1567" t="str">
            <v>マイメロディ</v>
          </cell>
          <cell r="D1567" t="str">
            <v>マイメロディ</v>
          </cell>
          <cell r="E1567" t="str">
            <v>執行者</v>
          </cell>
          <cell r="F1567" t="str">
            <v>格好いい</v>
          </cell>
          <cell r="G1567" t="str">
            <v>女性</v>
          </cell>
          <cell r="H1567" t="str">
            <v>red</v>
          </cell>
          <cell r="I1567">
            <v>4</v>
          </cell>
          <cell r="J1567" t="str">
            <v>PremiumS</v>
          </cell>
          <cell r="K1567" t="str">
            <v>attack</v>
          </cell>
          <cell r="L1567" t="str">
            <v>攻撃タイプ</v>
          </cell>
          <cell r="M1567" t="str">
            <v>ss</v>
          </cell>
        </row>
        <row r="1568">
          <cell r="A1568">
            <v>8056</v>
          </cell>
          <cell r="B1568" t="str">
            <v>ja</v>
          </cell>
          <cell r="C1568" t="str">
            <v>マイメロディ</v>
          </cell>
          <cell r="D1568" t="str">
            <v>マイメロディ</v>
          </cell>
          <cell r="E1568" t="str">
            <v>執行者</v>
          </cell>
          <cell r="F1568" t="str">
            <v>格好いい</v>
          </cell>
          <cell r="G1568" t="str">
            <v>女性</v>
          </cell>
          <cell r="H1568" t="str">
            <v>red</v>
          </cell>
          <cell r="I1568">
            <v>5</v>
          </cell>
          <cell r="J1568" t="str">
            <v>PremiumS</v>
          </cell>
          <cell r="K1568" t="str">
            <v>attack</v>
          </cell>
          <cell r="L1568" t="str">
            <v>攻撃タイプ</v>
          </cell>
          <cell r="M1568" t="str">
            <v>ss</v>
          </cell>
        </row>
        <row r="1569">
          <cell r="A1569">
            <v>8057</v>
          </cell>
          <cell r="B1569" t="str">
            <v>ja</v>
          </cell>
          <cell r="C1569" t="str">
            <v>ニーベルゲン_シナモロールコスプレ</v>
          </cell>
          <cell r="D1569" t="str">
            <v>ニーベルゲン_シナモロールコスプレ</v>
          </cell>
          <cell r="E1569" t="str">
            <v>執行者</v>
          </cell>
          <cell r="F1569" t="str">
            <v>格好いい</v>
          </cell>
          <cell r="G1569" t="str">
            <v>女性</v>
          </cell>
          <cell r="H1569" t="str">
            <v>green</v>
          </cell>
          <cell r="I1569">
            <v>4</v>
          </cell>
          <cell r="J1569" t="str">
            <v>PremiumS</v>
          </cell>
          <cell r="K1569" t="str">
            <v>balance</v>
          </cell>
          <cell r="L1569" t="str">
            <v>バランスタイプ</v>
          </cell>
          <cell r="M1569" t="str">
            <v>ss</v>
          </cell>
        </row>
        <row r="1570">
          <cell r="A1570">
            <v>8058</v>
          </cell>
          <cell r="B1570" t="str">
            <v>ja</v>
          </cell>
          <cell r="C1570" t="str">
            <v>ニーベルゲン_シナモロールコスプレ</v>
          </cell>
          <cell r="D1570" t="str">
            <v>ニーベルゲン_シナモロールコスプレ</v>
          </cell>
          <cell r="E1570" t="str">
            <v>執行者</v>
          </cell>
          <cell r="F1570" t="str">
            <v>格好いい</v>
          </cell>
          <cell r="G1570" t="str">
            <v>女性</v>
          </cell>
          <cell r="H1570" t="str">
            <v>green</v>
          </cell>
          <cell r="I1570">
            <v>5</v>
          </cell>
          <cell r="J1570" t="str">
            <v>PremiumS</v>
          </cell>
          <cell r="K1570" t="str">
            <v>balance</v>
          </cell>
          <cell r="L1570" t="str">
            <v>バランスタイプ</v>
          </cell>
          <cell r="M1570" t="str">
            <v>ss</v>
          </cell>
        </row>
        <row r="1571">
          <cell r="A1571">
            <v>8059</v>
          </cell>
          <cell r="B1571" t="str">
            <v>ja</v>
          </cell>
          <cell r="C1571" t="str">
            <v>カカシ_マイメロディコスプレ</v>
          </cell>
          <cell r="D1571" t="str">
            <v>カカシ_マイメロディコスプレ</v>
          </cell>
          <cell r="E1571" t="str">
            <v>執行者</v>
          </cell>
          <cell r="F1571" t="str">
            <v>格好いい</v>
          </cell>
          <cell r="G1571" t="str">
            <v>女性</v>
          </cell>
          <cell r="H1571" t="str">
            <v>green</v>
          </cell>
          <cell r="I1571">
            <v>4</v>
          </cell>
          <cell r="J1571" t="str">
            <v>PremiumS</v>
          </cell>
          <cell r="K1571" t="str">
            <v>technical</v>
          </cell>
          <cell r="L1571" t="str">
            <v>テクニカルタイプ</v>
          </cell>
          <cell r="M1571" t="str">
            <v>ss</v>
          </cell>
        </row>
        <row r="1572">
          <cell r="A1572">
            <v>8060</v>
          </cell>
          <cell r="B1572" t="str">
            <v>ja</v>
          </cell>
          <cell r="C1572" t="str">
            <v>カカシ_マイメロディコスプレ</v>
          </cell>
          <cell r="D1572" t="str">
            <v>カカシ_マイメロディコスプレ</v>
          </cell>
          <cell r="E1572" t="str">
            <v>執行者</v>
          </cell>
          <cell r="F1572" t="str">
            <v>格好いい</v>
          </cell>
          <cell r="G1572" t="str">
            <v>女性</v>
          </cell>
          <cell r="H1572" t="str">
            <v>green</v>
          </cell>
          <cell r="I1572">
            <v>5</v>
          </cell>
          <cell r="J1572" t="str">
            <v>PremiumS</v>
          </cell>
          <cell r="K1572" t="str">
            <v>technical</v>
          </cell>
          <cell r="L1572" t="str">
            <v>テクニカルタイプ</v>
          </cell>
          <cell r="M1572" t="str">
            <v>ss</v>
          </cell>
        </row>
        <row r="1573">
          <cell r="A1573">
            <v>8061</v>
          </cell>
          <cell r="B1573" t="str">
            <v>ja</v>
          </cell>
          <cell r="C1573" t="str">
            <v>ケロケロけろっぴ</v>
          </cell>
          <cell r="D1573" t="str">
            <v>ケロケロけろっぴ</v>
          </cell>
          <cell r="E1573" t="str">
            <v>執行者</v>
          </cell>
          <cell r="F1573" t="str">
            <v>格好いい</v>
          </cell>
          <cell r="G1573" t="str">
            <v>女性</v>
          </cell>
          <cell r="H1573" t="str">
            <v>green</v>
          </cell>
          <cell r="I1573">
            <v>3</v>
          </cell>
          <cell r="J1573" t="str">
            <v>PremiumS</v>
          </cell>
          <cell r="K1573" t="str">
            <v>balance</v>
          </cell>
          <cell r="L1573" t="str">
            <v>バランスタイプ</v>
          </cell>
          <cell r="M1573" t="str">
            <v>ss</v>
          </cell>
        </row>
        <row r="1574">
          <cell r="A1574">
            <v>8062</v>
          </cell>
          <cell r="B1574" t="str">
            <v>ja</v>
          </cell>
          <cell r="C1574" t="str">
            <v>ケロケロけろっぴ</v>
          </cell>
          <cell r="D1574" t="str">
            <v>ケロケロけろっぴ</v>
          </cell>
          <cell r="E1574" t="str">
            <v>執行者</v>
          </cell>
          <cell r="F1574" t="str">
            <v>格好いい</v>
          </cell>
          <cell r="G1574" t="str">
            <v>女性</v>
          </cell>
          <cell r="H1574" t="str">
            <v>green</v>
          </cell>
          <cell r="I1574">
            <v>4</v>
          </cell>
          <cell r="J1574" t="str">
            <v>PremiumS</v>
          </cell>
          <cell r="K1574" t="str">
            <v>balance</v>
          </cell>
          <cell r="L1574" t="str">
            <v>バランスタイプ</v>
          </cell>
          <cell r="M1574" t="str">
            <v>ss</v>
          </cell>
        </row>
        <row r="1575">
          <cell r="A1575">
            <v>8063</v>
          </cell>
          <cell r="B1575" t="str">
            <v>ja</v>
          </cell>
          <cell r="C1575" t="str">
            <v>モルドレッド_ポムポムプリンコスプレ</v>
          </cell>
          <cell r="D1575" t="str">
            <v>モルドレッド_ポムポムプリンコスプレ</v>
          </cell>
          <cell r="E1575" t="str">
            <v>執行者</v>
          </cell>
          <cell r="F1575" t="str">
            <v>格好いい</v>
          </cell>
          <cell r="G1575" t="str">
            <v>女性</v>
          </cell>
          <cell r="H1575" t="str">
            <v>blue</v>
          </cell>
          <cell r="I1575">
            <v>5</v>
          </cell>
          <cell r="J1575" t="str">
            <v>PremiumSS</v>
          </cell>
          <cell r="K1575" t="str">
            <v>heal</v>
          </cell>
          <cell r="L1575" t="str">
            <v>回復タイプ</v>
          </cell>
          <cell r="M1575" t="str">
            <v>ss</v>
          </cell>
        </row>
        <row r="1576">
          <cell r="A1576">
            <v>8064</v>
          </cell>
          <cell r="B1576" t="str">
            <v>ja</v>
          </cell>
          <cell r="C1576" t="str">
            <v>モルドレッド_ポムポムプリンコスプレ</v>
          </cell>
          <cell r="D1576" t="str">
            <v>モルドレッド_ポムポムプリンコスプレ</v>
          </cell>
          <cell r="E1576" t="str">
            <v>執行者</v>
          </cell>
          <cell r="F1576" t="str">
            <v>格好いい</v>
          </cell>
          <cell r="G1576" t="str">
            <v>女性</v>
          </cell>
          <cell r="H1576" t="str">
            <v>blue</v>
          </cell>
          <cell r="I1576">
            <v>6</v>
          </cell>
          <cell r="J1576" t="str">
            <v>PremiumSS</v>
          </cell>
          <cell r="K1576" t="str">
            <v>heal</v>
          </cell>
          <cell r="L1576" t="str">
            <v>回復タイプ</v>
          </cell>
          <cell r="M1576" t="str">
            <v>ss</v>
          </cell>
        </row>
        <row r="1577">
          <cell r="A1577">
            <v>8065</v>
          </cell>
          <cell r="B1577" t="str">
            <v>ja</v>
          </cell>
          <cell r="C1577" t="str">
            <v>クロミ</v>
          </cell>
          <cell r="D1577" t="str">
            <v>クロミ</v>
          </cell>
          <cell r="E1577" t="str">
            <v>執行者</v>
          </cell>
          <cell r="F1577" t="str">
            <v>格好いい</v>
          </cell>
          <cell r="G1577" t="str">
            <v>女性</v>
          </cell>
          <cell r="H1577" t="str">
            <v>blue</v>
          </cell>
          <cell r="I1577">
            <v>3</v>
          </cell>
          <cell r="J1577" t="str">
            <v>PremiumS</v>
          </cell>
          <cell r="K1577" t="str">
            <v>technical</v>
          </cell>
          <cell r="L1577" t="str">
            <v>テクニカルタイプ</v>
          </cell>
          <cell r="M1577" t="str">
            <v>ss</v>
          </cell>
        </row>
        <row r="1578">
          <cell r="A1578">
            <v>8066</v>
          </cell>
          <cell r="B1578" t="str">
            <v>ja</v>
          </cell>
          <cell r="C1578" t="str">
            <v>クロミ</v>
          </cell>
          <cell r="D1578" t="str">
            <v>クロミ</v>
          </cell>
          <cell r="E1578" t="str">
            <v>執行者</v>
          </cell>
          <cell r="F1578" t="str">
            <v>格好いい</v>
          </cell>
          <cell r="G1578" t="str">
            <v>女性</v>
          </cell>
          <cell r="H1578" t="str">
            <v>blue</v>
          </cell>
          <cell r="I1578">
            <v>4</v>
          </cell>
          <cell r="J1578" t="str">
            <v>PremiumS</v>
          </cell>
          <cell r="K1578" t="str">
            <v>technical</v>
          </cell>
          <cell r="L1578" t="str">
            <v>テクニカルタイプ</v>
          </cell>
          <cell r="M1578" t="str">
            <v>ss</v>
          </cell>
        </row>
        <row r="1579">
          <cell r="A1579">
            <v>8067</v>
          </cell>
          <cell r="B1579" t="str">
            <v>ja</v>
          </cell>
          <cell r="C1579" t="str">
            <v>バッドばつ丸</v>
          </cell>
          <cell r="D1579" t="str">
            <v>バッドばつ丸</v>
          </cell>
          <cell r="E1579" t="str">
            <v>執行者</v>
          </cell>
          <cell r="F1579" t="str">
            <v>格好いい</v>
          </cell>
          <cell r="G1579" t="str">
            <v>女性</v>
          </cell>
          <cell r="H1579" t="str">
            <v>blue</v>
          </cell>
          <cell r="I1579">
            <v>3</v>
          </cell>
          <cell r="J1579" t="str">
            <v>PremiumS</v>
          </cell>
          <cell r="K1579" t="str">
            <v>attack</v>
          </cell>
          <cell r="L1579" t="str">
            <v>攻撃タイプ</v>
          </cell>
          <cell r="M1579" t="str">
            <v>ss</v>
          </cell>
        </row>
        <row r="1580">
          <cell r="A1580">
            <v>8068</v>
          </cell>
          <cell r="B1580" t="str">
            <v>ja</v>
          </cell>
          <cell r="C1580" t="str">
            <v>バッドばつ丸</v>
          </cell>
          <cell r="D1580" t="str">
            <v>バッドばつ丸</v>
          </cell>
          <cell r="E1580" t="str">
            <v>執行者</v>
          </cell>
          <cell r="F1580" t="str">
            <v>格好いい</v>
          </cell>
          <cell r="G1580" t="str">
            <v>女性</v>
          </cell>
          <cell r="H1580" t="str">
            <v>blue</v>
          </cell>
          <cell r="I1580">
            <v>4</v>
          </cell>
          <cell r="J1580" t="str">
            <v>PremiumS</v>
          </cell>
          <cell r="K1580" t="str">
            <v>attack</v>
          </cell>
          <cell r="L1580" t="str">
            <v>攻撃タイプ</v>
          </cell>
          <cell r="M1580" t="str">
            <v>ss</v>
          </cell>
        </row>
        <row r="1581">
          <cell r="A1581">
            <v>8069</v>
          </cell>
          <cell r="B1581" t="str">
            <v>ja</v>
          </cell>
          <cell r="C1581" t="str">
            <v>シナモロール</v>
          </cell>
          <cell r="D1581" t="str">
            <v>シナモロール</v>
          </cell>
          <cell r="E1581" t="str">
            <v>執行者</v>
          </cell>
          <cell r="F1581" t="str">
            <v>格好いい</v>
          </cell>
          <cell r="G1581" t="str">
            <v>女性</v>
          </cell>
          <cell r="H1581" t="str">
            <v>yellow</v>
          </cell>
          <cell r="I1581">
            <v>4</v>
          </cell>
          <cell r="J1581" t="str">
            <v>PremiumS</v>
          </cell>
          <cell r="K1581" t="str">
            <v>heal</v>
          </cell>
          <cell r="L1581" t="str">
            <v>回復タイプ</v>
          </cell>
          <cell r="M1581" t="str">
            <v>ss</v>
          </cell>
        </row>
        <row r="1582">
          <cell r="A1582">
            <v>8070</v>
          </cell>
          <cell r="B1582" t="str">
            <v>ja</v>
          </cell>
          <cell r="C1582" t="str">
            <v>シナモロール</v>
          </cell>
          <cell r="D1582" t="str">
            <v>シナモロール</v>
          </cell>
          <cell r="E1582" t="str">
            <v>執行者</v>
          </cell>
          <cell r="F1582" t="str">
            <v>格好いい</v>
          </cell>
          <cell r="G1582" t="str">
            <v>女性</v>
          </cell>
          <cell r="H1582" t="str">
            <v>yellow</v>
          </cell>
          <cell r="I1582">
            <v>5</v>
          </cell>
          <cell r="J1582" t="str">
            <v>PremiumS</v>
          </cell>
          <cell r="K1582" t="str">
            <v>heal</v>
          </cell>
          <cell r="L1582" t="str">
            <v>回復タイプ</v>
          </cell>
          <cell r="M1582" t="str">
            <v>ss</v>
          </cell>
        </row>
        <row r="1583">
          <cell r="A1583">
            <v>8071</v>
          </cell>
          <cell r="B1583" t="str">
            <v>ja</v>
          </cell>
          <cell r="C1583" t="str">
            <v>ポムポムプリン</v>
          </cell>
          <cell r="D1583" t="str">
            <v>ポムポムプリン</v>
          </cell>
          <cell r="E1583" t="str">
            <v>執行者</v>
          </cell>
          <cell r="F1583" t="str">
            <v>格好いい</v>
          </cell>
          <cell r="G1583" t="str">
            <v>女性</v>
          </cell>
          <cell r="H1583" t="str">
            <v>yellow</v>
          </cell>
          <cell r="I1583">
            <v>3</v>
          </cell>
          <cell r="J1583" t="str">
            <v>PremiumS</v>
          </cell>
          <cell r="K1583" t="str">
            <v>hp</v>
          </cell>
          <cell r="L1583" t="str">
            <v>体力タイプ</v>
          </cell>
          <cell r="M1583" t="str">
            <v>ss</v>
          </cell>
        </row>
        <row r="1584">
          <cell r="A1584">
            <v>8072</v>
          </cell>
          <cell r="B1584" t="str">
            <v>ja</v>
          </cell>
          <cell r="C1584" t="str">
            <v>ポムポムプリン</v>
          </cell>
          <cell r="D1584" t="str">
            <v>ポムポムプリン</v>
          </cell>
          <cell r="E1584" t="str">
            <v>執行者</v>
          </cell>
          <cell r="F1584" t="str">
            <v>格好いい</v>
          </cell>
          <cell r="G1584" t="str">
            <v>女性</v>
          </cell>
          <cell r="H1584" t="str">
            <v>yellow</v>
          </cell>
          <cell r="I1584">
            <v>4</v>
          </cell>
          <cell r="J1584" t="str">
            <v>PremiumS</v>
          </cell>
          <cell r="K1584" t="str">
            <v>hp</v>
          </cell>
          <cell r="L1584" t="str">
            <v>体力タイプ</v>
          </cell>
          <cell r="M1584" t="str">
            <v>ss</v>
          </cell>
        </row>
        <row r="1585">
          <cell r="A1585">
            <v>8073</v>
          </cell>
          <cell r="B1585" t="str">
            <v>ja</v>
          </cell>
          <cell r="C1585" t="str">
            <v>星海祈る天光妃 媽祖</v>
          </cell>
          <cell r="D1585" t="str">
            <v>Expoミク</v>
          </cell>
          <cell r="E1585" t="str">
            <v>執行者</v>
          </cell>
          <cell r="F1585" t="str">
            <v>格好いい</v>
          </cell>
          <cell r="G1585" t="str">
            <v>女性</v>
          </cell>
          <cell r="H1585" t="str">
            <v>yellow</v>
          </cell>
          <cell r="I1585">
            <v>6</v>
          </cell>
          <cell r="J1585" t="str">
            <v>PremiumSS</v>
          </cell>
          <cell r="K1585" t="str">
            <v>attack</v>
          </cell>
          <cell r="L1585" t="str">
            <v>攻撃タイプ</v>
          </cell>
          <cell r="M1585" t="str">
            <v>human</v>
          </cell>
        </row>
        <row r="1586">
          <cell r="A1586">
            <v>8074</v>
          </cell>
          <cell r="B1586" t="str">
            <v>ja</v>
          </cell>
          <cell r="C1586" t="str">
            <v>海戀の絶龍姫 蛟龍</v>
          </cell>
          <cell r="D1586" t="str">
            <v>Expoミク</v>
          </cell>
          <cell r="E1586" t="str">
            <v>執行者</v>
          </cell>
          <cell r="F1586" t="str">
            <v>格好いい</v>
          </cell>
          <cell r="G1586" t="str">
            <v>女性</v>
          </cell>
          <cell r="H1586" t="str">
            <v>blue</v>
          </cell>
          <cell r="I1586">
            <v>6</v>
          </cell>
          <cell r="J1586" t="str">
            <v>DropWizS</v>
          </cell>
          <cell r="K1586" t="str">
            <v>hp</v>
          </cell>
          <cell r="L1586" t="str">
            <v>体力タイプ</v>
          </cell>
          <cell r="M1586" t="str">
            <v>dragon</v>
          </cell>
        </row>
        <row r="1587">
          <cell r="A1587">
            <v>8075</v>
          </cell>
          <cell r="B1587" t="str">
            <v>ja</v>
          </cell>
          <cell r="C1587" t="str">
            <v>三蔵法師_超覚醒</v>
          </cell>
          <cell r="D1587" t="str">
            <v>Expoミク</v>
          </cell>
          <cell r="E1587" t="str">
            <v>執行者</v>
          </cell>
          <cell r="F1587" t="str">
            <v>格好いい</v>
          </cell>
          <cell r="G1587" t="str">
            <v>女性</v>
          </cell>
          <cell r="H1587" t="str">
            <v>blue</v>
          </cell>
          <cell r="I1587">
            <v>6</v>
          </cell>
          <cell r="J1587" t="str">
            <v>PremiumSS</v>
          </cell>
          <cell r="K1587" t="str">
            <v>balance</v>
          </cell>
          <cell r="L1587" t="str">
            <v>バランスタイプ</v>
          </cell>
          <cell r="M1587" t="str">
            <v>god</v>
          </cell>
        </row>
        <row r="1588">
          <cell r="A1588">
            <v>8076</v>
          </cell>
          <cell r="B1588" t="str">
            <v>ja</v>
          </cell>
          <cell r="C1588" t="str">
            <v>孫悟空_超覚醒</v>
          </cell>
          <cell r="D1588" t="str">
            <v>Expoミク</v>
          </cell>
          <cell r="E1588" t="str">
            <v>執行者</v>
          </cell>
          <cell r="F1588" t="str">
            <v>格好いい</v>
          </cell>
          <cell r="G1588" t="str">
            <v>女性</v>
          </cell>
          <cell r="H1588" t="str">
            <v>red</v>
          </cell>
          <cell r="I1588">
            <v>6</v>
          </cell>
          <cell r="J1588" t="str">
            <v>DropWizS</v>
          </cell>
          <cell r="K1588" t="str">
            <v>attack</v>
          </cell>
          <cell r="L1588" t="str">
            <v>攻撃タイプ</v>
          </cell>
          <cell r="M1588" t="str">
            <v>unknown</v>
          </cell>
        </row>
        <row r="1589">
          <cell r="A1589">
            <v>8077</v>
          </cell>
          <cell r="B1589" t="str">
            <v>ja</v>
          </cell>
          <cell r="C1589" t="str">
            <v>鄭成功</v>
          </cell>
          <cell r="D1589" t="str">
            <v>ポムポムプリン</v>
          </cell>
          <cell r="E1589" t="str">
            <v>執行者</v>
          </cell>
          <cell r="F1589" t="str">
            <v>格好いい</v>
          </cell>
          <cell r="G1589" t="str">
            <v>女性</v>
          </cell>
          <cell r="H1589" t="str">
            <v>blue</v>
          </cell>
          <cell r="I1589">
            <v>5</v>
          </cell>
          <cell r="J1589" t="str">
            <v>PremiumSS</v>
          </cell>
          <cell r="K1589" t="str">
            <v>attack</v>
          </cell>
          <cell r="L1589" t="str">
            <v>攻撃タイプ</v>
          </cell>
          <cell r="M1589" t="str">
            <v>human</v>
          </cell>
        </row>
        <row r="1590">
          <cell r="A1590">
            <v>8078</v>
          </cell>
          <cell r="B1590" t="str">
            <v>ja</v>
          </cell>
          <cell r="C1590" t="str">
            <v>レア６鄭成功</v>
          </cell>
          <cell r="D1590" t="str">
            <v>ポムポムプリン</v>
          </cell>
          <cell r="E1590" t="str">
            <v>執行者</v>
          </cell>
          <cell r="F1590" t="str">
            <v>格好いい</v>
          </cell>
          <cell r="G1590" t="str">
            <v>女性</v>
          </cell>
          <cell r="H1590" t="str">
            <v>blue</v>
          </cell>
          <cell r="I1590">
            <v>6</v>
          </cell>
          <cell r="J1590" t="str">
            <v>PremiumSS</v>
          </cell>
          <cell r="K1590" t="str">
            <v>attack</v>
          </cell>
          <cell r="L1590" t="str">
            <v>攻撃タイプ</v>
          </cell>
          <cell r="M1590" t="str">
            <v>human</v>
          </cell>
        </row>
        <row r="1591">
          <cell r="A1591">
            <v>8079</v>
          </cell>
          <cell r="B1591" t="str">
            <v>ja</v>
          </cell>
          <cell r="C1591" t="str">
            <v>赤鬼</v>
          </cell>
          <cell r="D1591" t="str">
            <v>ポムポムプリン</v>
          </cell>
          <cell r="E1591" t="str">
            <v>執行者</v>
          </cell>
          <cell r="F1591" t="str">
            <v>格好いい</v>
          </cell>
          <cell r="G1591" t="str">
            <v>女性</v>
          </cell>
          <cell r="H1591" t="str">
            <v>red</v>
          </cell>
          <cell r="I1591">
            <v>5</v>
          </cell>
          <cell r="J1591" t="str">
            <v>DropWizS</v>
          </cell>
          <cell r="K1591" t="str">
            <v>hp</v>
          </cell>
          <cell r="L1591" t="str">
            <v>体力タイプ</v>
          </cell>
          <cell r="M1591" t="str">
            <v>dragon</v>
          </cell>
        </row>
        <row r="1592">
          <cell r="A1592">
            <v>8080</v>
          </cell>
          <cell r="B1592" t="str">
            <v>ja</v>
          </cell>
          <cell r="C1592" t="str">
            <v>レア６赤鬼</v>
          </cell>
          <cell r="D1592" t="str">
            <v>ポムポムプリン</v>
          </cell>
          <cell r="E1592" t="str">
            <v>執行者</v>
          </cell>
          <cell r="F1592" t="str">
            <v>格好いい</v>
          </cell>
          <cell r="G1592" t="str">
            <v>女性</v>
          </cell>
          <cell r="H1592" t="str">
            <v>red</v>
          </cell>
          <cell r="I1592">
            <v>6</v>
          </cell>
          <cell r="J1592" t="str">
            <v>DropWizS</v>
          </cell>
          <cell r="K1592" t="str">
            <v>hp</v>
          </cell>
          <cell r="L1592" t="str">
            <v>体力タイプ</v>
          </cell>
          <cell r="M1592" t="str">
            <v>dragon</v>
          </cell>
        </row>
        <row r="1593">
          <cell r="A1593">
            <v>8081</v>
          </cell>
          <cell r="B1593" t="str">
            <v>ja</v>
          </cell>
          <cell r="C1593" t="str">
            <v>関羽</v>
          </cell>
          <cell r="H1593" t="str">
            <v>green</v>
          </cell>
          <cell r="I1593">
            <v>5</v>
          </cell>
          <cell r="J1593" t="str">
            <v>PremiumSSS</v>
          </cell>
          <cell r="K1593" t="str">
            <v>balance</v>
          </cell>
          <cell r="L1593" t="str">
            <v>バランスタイプ</v>
          </cell>
          <cell r="M1593" t="str">
            <v>samurai</v>
          </cell>
        </row>
        <row r="1594">
          <cell r="A1594">
            <v>8082</v>
          </cell>
          <cell r="B1594" t="str">
            <v>ja</v>
          </cell>
          <cell r="C1594" t="str">
            <v>★６関羽</v>
          </cell>
          <cell r="H1594" t="str">
            <v>green</v>
          </cell>
          <cell r="I1594">
            <v>6</v>
          </cell>
          <cell r="J1594" t="str">
            <v>PremiumSSS</v>
          </cell>
          <cell r="K1594" t="str">
            <v>balance</v>
          </cell>
          <cell r="L1594" t="str">
            <v>バランスタイプ</v>
          </cell>
          <cell r="M1594" t="str">
            <v>samurai</v>
          </cell>
        </row>
        <row r="1595">
          <cell r="A1595">
            <v>8083</v>
          </cell>
          <cell r="B1595" t="str">
            <v>ja</v>
          </cell>
          <cell r="C1595" t="str">
            <v>曹操</v>
          </cell>
          <cell r="H1595" t="str">
            <v>yellow</v>
          </cell>
          <cell r="I1595">
            <v>5</v>
          </cell>
          <cell r="J1595" t="str">
            <v>DropWizSS</v>
          </cell>
          <cell r="K1595" t="str">
            <v>technical</v>
          </cell>
          <cell r="L1595" t="str">
            <v>テクニカルタイプ</v>
          </cell>
          <cell r="M1595" t="str">
            <v>samurai</v>
          </cell>
        </row>
        <row r="1596">
          <cell r="A1596">
            <v>8084</v>
          </cell>
          <cell r="B1596" t="str">
            <v>ja</v>
          </cell>
          <cell r="C1596" t="str">
            <v>★６曹操</v>
          </cell>
          <cell r="H1596" t="str">
            <v>yellow</v>
          </cell>
          <cell r="I1596">
            <v>6</v>
          </cell>
          <cell r="J1596" t="str">
            <v>DropWizSS</v>
          </cell>
          <cell r="K1596" t="str">
            <v>technical</v>
          </cell>
          <cell r="L1596" t="str">
            <v>テクニカルタイプ</v>
          </cell>
          <cell r="M1596" t="str">
            <v>samurai</v>
          </cell>
        </row>
        <row r="1597">
          <cell r="A1597">
            <v>8087</v>
          </cell>
          <cell r="B1597" t="str">
            <v>ja</v>
          </cell>
          <cell r="C1597" t="str">
            <v>財神</v>
          </cell>
          <cell r="H1597" t="str">
            <v>red</v>
          </cell>
          <cell r="I1597">
            <v>5</v>
          </cell>
          <cell r="J1597" t="str">
            <v>PremiumSSS</v>
          </cell>
          <cell r="K1597" t="str">
            <v>technical</v>
          </cell>
          <cell r="L1597" t="str">
            <v>テクニカルタイプ</v>
          </cell>
          <cell r="M1597" t="str">
            <v>god</v>
          </cell>
        </row>
        <row r="1598">
          <cell r="A1598">
            <v>8088</v>
          </cell>
          <cell r="B1598" t="str">
            <v>ja</v>
          </cell>
          <cell r="C1598" t="str">
            <v>★６財神</v>
          </cell>
          <cell r="H1598" t="str">
            <v>red</v>
          </cell>
          <cell r="I1598">
            <v>6</v>
          </cell>
          <cell r="J1598" t="str">
            <v>PremiumSSS</v>
          </cell>
          <cell r="K1598" t="str">
            <v>technical</v>
          </cell>
          <cell r="L1598" t="str">
            <v>テクニカルタイプ</v>
          </cell>
          <cell r="M1598" t="str">
            <v>god</v>
          </cell>
        </row>
        <row r="1599">
          <cell r="A1599">
            <v>8089</v>
          </cell>
          <cell r="B1599" t="str">
            <v>ja</v>
          </cell>
          <cell r="C1599" t="str">
            <v>年獣</v>
          </cell>
          <cell r="H1599" t="str">
            <v>green</v>
          </cell>
          <cell r="I1599">
            <v>5</v>
          </cell>
          <cell r="J1599" t="str">
            <v>DropWizS</v>
          </cell>
          <cell r="K1599" t="str">
            <v>attack</v>
          </cell>
          <cell r="L1599" t="str">
            <v>攻撃タイプ</v>
          </cell>
          <cell r="M1599" t="str">
            <v>animal</v>
          </cell>
        </row>
        <row r="1600">
          <cell r="A1600">
            <v>8090</v>
          </cell>
          <cell r="B1600" t="str">
            <v>ja</v>
          </cell>
          <cell r="C1600" t="str">
            <v>★６年獣</v>
          </cell>
          <cell r="H1600" t="str">
            <v>green</v>
          </cell>
          <cell r="I1600">
            <v>6</v>
          </cell>
          <cell r="J1600" t="str">
            <v>DropWizS</v>
          </cell>
          <cell r="K1600" t="str">
            <v>attack</v>
          </cell>
          <cell r="L1600" t="str">
            <v>攻撃タイプ</v>
          </cell>
          <cell r="M1600" t="str">
            <v>animal</v>
          </cell>
        </row>
        <row r="1601">
          <cell r="A1601">
            <v>8095</v>
          </cell>
          <cell r="B1601" t="str">
            <v>ja</v>
          </cell>
          <cell r="C1601" t="str">
            <v>バハムートダック赤</v>
          </cell>
          <cell r="D1601" t="str">
            <v>ポムポムプリン</v>
          </cell>
          <cell r="E1601" t="str">
            <v>執行者</v>
          </cell>
          <cell r="F1601" t="str">
            <v>格好いい</v>
          </cell>
          <cell r="G1601" t="str">
            <v>女性</v>
          </cell>
          <cell r="H1601" t="str">
            <v>red</v>
          </cell>
          <cell r="I1601">
            <v>6</v>
          </cell>
          <cell r="J1601" t="str">
            <v>Material</v>
          </cell>
          <cell r="K1601" t="str">
            <v>exp</v>
          </cell>
          <cell r="L1601" t="str">
            <v>強化素材タイプ</v>
          </cell>
          <cell r="M1601" t="str">
            <v>unknown</v>
          </cell>
        </row>
        <row r="1602">
          <cell r="A1602">
            <v>8096</v>
          </cell>
          <cell r="B1602" t="str">
            <v>ja</v>
          </cell>
          <cell r="C1602" t="str">
            <v>バハムートダック緑</v>
          </cell>
          <cell r="D1602" t="str">
            <v>ポムポムプリン</v>
          </cell>
          <cell r="E1602" t="str">
            <v>執行者</v>
          </cell>
          <cell r="F1602" t="str">
            <v>格好いい</v>
          </cell>
          <cell r="G1602" t="str">
            <v>女性</v>
          </cell>
          <cell r="H1602" t="str">
            <v>green</v>
          </cell>
          <cell r="I1602">
            <v>6</v>
          </cell>
          <cell r="J1602" t="str">
            <v>Material</v>
          </cell>
          <cell r="K1602" t="str">
            <v>exp</v>
          </cell>
          <cell r="L1602" t="str">
            <v>強化素材タイプ</v>
          </cell>
          <cell r="M1602" t="str">
            <v>unknown</v>
          </cell>
        </row>
        <row r="1603">
          <cell r="A1603">
            <v>8097</v>
          </cell>
          <cell r="B1603" t="str">
            <v>ja</v>
          </cell>
          <cell r="C1603" t="str">
            <v>バハムートダック青</v>
          </cell>
          <cell r="D1603" t="str">
            <v>ポムポムプリン</v>
          </cell>
          <cell r="E1603" t="str">
            <v>執行者</v>
          </cell>
          <cell r="F1603" t="str">
            <v>格好いい</v>
          </cell>
          <cell r="G1603" t="str">
            <v>女性</v>
          </cell>
          <cell r="H1603" t="str">
            <v>blue</v>
          </cell>
          <cell r="I1603">
            <v>6</v>
          </cell>
          <cell r="J1603" t="str">
            <v>Material</v>
          </cell>
          <cell r="K1603" t="str">
            <v>exp</v>
          </cell>
          <cell r="L1603" t="str">
            <v>強化素材タイプ</v>
          </cell>
          <cell r="M1603" t="str">
            <v>unknown</v>
          </cell>
        </row>
        <row r="1604">
          <cell r="A1604">
            <v>8098</v>
          </cell>
          <cell r="B1604" t="str">
            <v>ja</v>
          </cell>
          <cell r="C1604" t="str">
            <v>バハムートダック黄</v>
          </cell>
          <cell r="D1604" t="str">
            <v>ポムポムプリン</v>
          </cell>
          <cell r="E1604" t="str">
            <v>執行者</v>
          </cell>
          <cell r="F1604" t="str">
            <v>格好いい</v>
          </cell>
          <cell r="G1604" t="str">
            <v>女性</v>
          </cell>
          <cell r="H1604" t="str">
            <v>yellow</v>
          </cell>
          <cell r="I1604">
            <v>6</v>
          </cell>
          <cell r="J1604" t="str">
            <v>Material</v>
          </cell>
          <cell r="K1604" t="str">
            <v>exp</v>
          </cell>
          <cell r="L1604" t="str">
            <v>強化素材タイプ</v>
          </cell>
          <cell r="M1604" t="str">
            <v>unknown</v>
          </cell>
        </row>
        <row r="1605">
          <cell r="A1605">
            <v>8099</v>
          </cell>
          <cell r="B1605" t="str">
            <v>ja</v>
          </cell>
          <cell r="C1605" t="str">
            <v>韓湘子</v>
          </cell>
          <cell r="D1605" t="str">
            <v>ポムポムプリン</v>
          </cell>
          <cell r="E1605" t="str">
            <v>執行者</v>
          </cell>
          <cell r="F1605" t="str">
            <v>格好いい</v>
          </cell>
          <cell r="G1605" t="str">
            <v>女性</v>
          </cell>
          <cell r="H1605" t="str">
            <v>green</v>
          </cell>
          <cell r="I1605">
            <v>5</v>
          </cell>
          <cell r="J1605" t="str">
            <v>PremiumSSw</v>
          </cell>
          <cell r="K1605" t="str">
            <v>balance</v>
          </cell>
          <cell r="L1605" t="str">
            <v>バランスタイプ</v>
          </cell>
          <cell r="M1605" t="str">
            <v>god</v>
          </cell>
        </row>
        <row r="1606">
          <cell r="A1606">
            <v>8100</v>
          </cell>
          <cell r="B1606" t="str">
            <v>ja</v>
          </cell>
          <cell r="C1606" t="str">
            <v>韓湘子★６</v>
          </cell>
          <cell r="D1606" t="str">
            <v>ポムポムプリン</v>
          </cell>
          <cell r="E1606" t="str">
            <v>執行者</v>
          </cell>
          <cell r="F1606" t="str">
            <v>格好いい</v>
          </cell>
          <cell r="G1606" t="str">
            <v>女性</v>
          </cell>
          <cell r="H1606" t="str">
            <v>green</v>
          </cell>
          <cell r="I1606">
            <v>6</v>
          </cell>
          <cell r="J1606" t="str">
            <v>PremiumSSw</v>
          </cell>
          <cell r="K1606" t="str">
            <v>balance</v>
          </cell>
          <cell r="L1606" t="str">
            <v>バランスタイプ</v>
          </cell>
          <cell r="M1606" t="str">
            <v>god</v>
          </cell>
        </row>
        <row r="1607">
          <cell r="A1607">
            <v>8101</v>
          </cell>
          <cell r="B1607" t="str">
            <v>ja</v>
          </cell>
          <cell r="C1607" t="str">
            <v>張果老</v>
          </cell>
          <cell r="D1607" t="str">
            <v>ポムポムプリン</v>
          </cell>
          <cell r="E1607" t="str">
            <v>執行者</v>
          </cell>
          <cell r="F1607" t="str">
            <v>格好いい</v>
          </cell>
          <cell r="G1607" t="str">
            <v>女性</v>
          </cell>
          <cell r="H1607" t="str">
            <v>yellow</v>
          </cell>
          <cell r="I1607">
            <v>5</v>
          </cell>
          <cell r="J1607" t="str">
            <v>DropWizS</v>
          </cell>
          <cell r="K1607" t="str">
            <v>attack</v>
          </cell>
          <cell r="L1607" t="str">
            <v>攻撃タイプ</v>
          </cell>
          <cell r="M1607" t="str">
            <v>god</v>
          </cell>
        </row>
        <row r="1608">
          <cell r="A1608">
            <v>8102</v>
          </cell>
          <cell r="B1608" t="str">
            <v>ja</v>
          </cell>
          <cell r="C1608" t="str">
            <v>張果老★６</v>
          </cell>
          <cell r="D1608" t="str">
            <v>各属性相性良3・黄・R455</v>
          </cell>
          <cell r="E1608" t="str">
            <v>執行者</v>
          </cell>
          <cell r="F1608" t="str">
            <v>格好いい</v>
          </cell>
          <cell r="G1608" t="str">
            <v>男性</v>
          </cell>
          <cell r="H1608" t="str">
            <v>yellow</v>
          </cell>
          <cell r="I1608">
            <v>6</v>
          </cell>
          <cell r="J1608" t="str">
            <v>DropWizS</v>
          </cell>
          <cell r="K1608" t="str">
            <v>attack</v>
          </cell>
          <cell r="L1608" t="str">
            <v>攻撃タイプ</v>
          </cell>
          <cell r="M1608" t="str">
            <v>god</v>
          </cell>
        </row>
        <row r="1609">
          <cell r="A1609">
            <v>9001</v>
          </cell>
          <cell r="B1609" t="str">
            <v>ja</v>
          </cell>
          <cell r="C1609" t="str">
            <v>春香</v>
          </cell>
          <cell r="D1609" t="str">
            <v>ポムポムプリン</v>
          </cell>
          <cell r="E1609" t="str">
            <v>執行者</v>
          </cell>
          <cell r="F1609" t="str">
            <v>格好いい</v>
          </cell>
          <cell r="G1609" t="str">
            <v>女性</v>
          </cell>
          <cell r="H1609" t="str">
            <v>red</v>
          </cell>
          <cell r="I1609">
            <v>5</v>
          </cell>
          <cell r="J1609" t="str">
            <v>PremiumSSw</v>
          </cell>
          <cell r="K1609" t="str">
            <v>attack</v>
          </cell>
          <cell r="L1609" t="str">
            <v>攻撃タイプ</v>
          </cell>
          <cell r="M1609" t="str">
            <v>human</v>
          </cell>
        </row>
        <row r="1610">
          <cell r="A1610">
            <v>9002</v>
          </cell>
          <cell r="B1610" t="str">
            <v>ja</v>
          </cell>
          <cell r="C1610" t="str">
            <v>春香★６</v>
          </cell>
          <cell r="D1610" t="str">
            <v>ポムポムプリン</v>
          </cell>
          <cell r="E1610" t="str">
            <v>執行者</v>
          </cell>
          <cell r="F1610" t="str">
            <v>格好いい</v>
          </cell>
          <cell r="G1610" t="str">
            <v>女性</v>
          </cell>
          <cell r="H1610" t="str">
            <v>red</v>
          </cell>
          <cell r="I1610">
            <v>6</v>
          </cell>
          <cell r="J1610" t="str">
            <v>PremiumSSw</v>
          </cell>
          <cell r="K1610" t="str">
            <v>attack</v>
          </cell>
          <cell r="L1610" t="str">
            <v>攻撃タイプ</v>
          </cell>
          <cell r="M1610" t="str">
            <v>human</v>
          </cell>
        </row>
        <row r="1611">
          <cell r="A1611">
            <v>9003</v>
          </cell>
          <cell r="B1611" t="str">
            <v>ja</v>
          </cell>
          <cell r="C1611" t="str">
            <v>夢龍</v>
          </cell>
          <cell r="D1611" t="str">
            <v>ポムポムプリン</v>
          </cell>
          <cell r="E1611" t="str">
            <v>執行者</v>
          </cell>
          <cell r="F1611" t="str">
            <v>格好いい</v>
          </cell>
          <cell r="G1611" t="str">
            <v>女性</v>
          </cell>
          <cell r="H1611" t="str">
            <v>green</v>
          </cell>
          <cell r="I1611">
            <v>5</v>
          </cell>
          <cell r="J1611" t="str">
            <v>DropWizS</v>
          </cell>
          <cell r="K1611" t="str">
            <v>heal</v>
          </cell>
          <cell r="L1611" t="str">
            <v>回復タイプ</v>
          </cell>
          <cell r="M1611" t="str">
            <v>dragon</v>
          </cell>
        </row>
        <row r="1612">
          <cell r="A1612">
            <v>9004</v>
          </cell>
          <cell r="B1612" t="str">
            <v>ja</v>
          </cell>
          <cell r="C1612" t="str">
            <v>夢龍★６</v>
          </cell>
          <cell r="D1612" t="str">
            <v>各属性相性良3・黄・R455</v>
          </cell>
          <cell r="E1612" t="str">
            <v>執行者</v>
          </cell>
          <cell r="F1612" t="str">
            <v>格好いい</v>
          </cell>
          <cell r="G1612" t="str">
            <v>男性</v>
          </cell>
          <cell r="H1612" t="str">
            <v>green</v>
          </cell>
          <cell r="I1612">
            <v>6</v>
          </cell>
          <cell r="J1612" t="str">
            <v>DropWizS</v>
          </cell>
          <cell r="K1612" t="str">
            <v>heal</v>
          </cell>
          <cell r="L1612" t="str">
            <v>回復タイプ</v>
          </cell>
          <cell r="M1612" t="str">
            <v>dragon</v>
          </cell>
        </row>
        <row r="1613">
          <cell r="A1613">
            <v>9005</v>
          </cell>
          <cell r="B1613" t="str">
            <v>ja</v>
          </cell>
          <cell r="C1613" t="str">
            <v>降臨</v>
          </cell>
          <cell r="D1613" t="str">
            <v>ポムポムプリン</v>
          </cell>
          <cell r="E1613" t="str">
            <v>執行者</v>
          </cell>
          <cell r="F1613" t="str">
            <v>格好いい</v>
          </cell>
          <cell r="G1613" t="str">
            <v>女性</v>
          </cell>
          <cell r="H1613" t="str">
            <v>blue</v>
          </cell>
          <cell r="I1613">
            <v>5</v>
          </cell>
          <cell r="J1613" t="str">
            <v>PremiumSSw</v>
          </cell>
          <cell r="K1613" t="str">
            <v>hp</v>
          </cell>
          <cell r="L1613" t="str">
            <v>体力タイプ</v>
          </cell>
          <cell r="M1613" t="str">
            <v>demon</v>
          </cell>
        </row>
        <row r="1614">
          <cell r="A1614">
            <v>9006</v>
          </cell>
          <cell r="B1614" t="str">
            <v>ja</v>
          </cell>
          <cell r="C1614" t="str">
            <v>降臨★６</v>
          </cell>
          <cell r="D1614" t="str">
            <v>ポムポムプリン</v>
          </cell>
          <cell r="E1614" t="str">
            <v>執行者</v>
          </cell>
          <cell r="F1614" t="str">
            <v>格好いい</v>
          </cell>
          <cell r="G1614" t="str">
            <v>女性</v>
          </cell>
          <cell r="H1614" t="str">
            <v>blue</v>
          </cell>
          <cell r="I1614">
            <v>6</v>
          </cell>
          <cell r="J1614" t="str">
            <v>PremiumSSw</v>
          </cell>
          <cell r="K1614" t="str">
            <v>hp</v>
          </cell>
          <cell r="L1614" t="str">
            <v>体力タイプ</v>
          </cell>
          <cell r="M1614" t="str">
            <v>demon</v>
          </cell>
        </row>
        <row r="1615">
          <cell r="A1615">
            <v>9007</v>
          </cell>
          <cell r="B1615" t="str">
            <v>ja</v>
          </cell>
          <cell r="C1615" t="str">
            <v>田禹治</v>
          </cell>
          <cell r="D1615" t="str">
            <v>ポムポムプリン</v>
          </cell>
          <cell r="E1615" t="str">
            <v>執行者</v>
          </cell>
          <cell r="F1615" t="str">
            <v>格好いい</v>
          </cell>
          <cell r="G1615" t="str">
            <v>女性</v>
          </cell>
          <cell r="H1615" t="str">
            <v>red</v>
          </cell>
          <cell r="I1615">
            <v>5</v>
          </cell>
          <cell r="J1615" t="str">
            <v>DropWizS</v>
          </cell>
          <cell r="K1615" t="str">
            <v>technical</v>
          </cell>
          <cell r="L1615" t="str">
            <v>テクニカルタイプ</v>
          </cell>
          <cell r="M1615" t="str">
            <v>hero</v>
          </cell>
        </row>
        <row r="1616">
          <cell r="A1616">
            <v>9008</v>
          </cell>
          <cell r="B1616" t="str">
            <v>ja</v>
          </cell>
          <cell r="C1616" t="str">
            <v>田禹治★６</v>
          </cell>
          <cell r="D1616" t="str">
            <v>各属性相性良3・黄・R455</v>
          </cell>
          <cell r="E1616" t="str">
            <v>執行者</v>
          </cell>
          <cell r="F1616" t="str">
            <v>格好いい</v>
          </cell>
          <cell r="G1616" t="str">
            <v>男性</v>
          </cell>
          <cell r="H1616" t="str">
            <v>red</v>
          </cell>
          <cell r="I1616">
            <v>6</v>
          </cell>
          <cell r="J1616" t="str">
            <v>DropWizS</v>
          </cell>
          <cell r="K1616" t="str">
            <v>technical</v>
          </cell>
          <cell r="L1616" t="str">
            <v>テクニカルタイプ</v>
          </cell>
          <cell r="M1616" t="str">
            <v>hero</v>
          </cell>
        </row>
        <row r="1617">
          <cell r="A1617">
            <v>10001</v>
          </cell>
          <cell r="B1617" t="str">
            <v>ja</v>
          </cell>
          <cell r="C1617" t="str">
            <v>テストユニット01</v>
          </cell>
          <cell r="H1617" t="str">
            <v>yellow</v>
          </cell>
          <cell r="I1617">
            <v>6</v>
          </cell>
          <cell r="J1617" t="str">
            <v>DropWizS</v>
          </cell>
          <cell r="K1617" t="str">
            <v>heal</v>
          </cell>
          <cell r="L1617" t="str">
            <v>回復タイプ</v>
          </cell>
          <cell r="M1617" t="str">
            <v>human</v>
          </cell>
        </row>
        <row r="1618">
          <cell r="A1618">
            <v>10002</v>
          </cell>
          <cell r="B1618" t="str">
            <v>ja</v>
          </cell>
          <cell r="C1618" t="str">
            <v>テストユニット02</v>
          </cell>
          <cell r="H1618" t="str">
            <v>yellow</v>
          </cell>
          <cell r="I1618">
            <v>6</v>
          </cell>
          <cell r="J1618" t="str">
            <v>PremiumSS</v>
          </cell>
          <cell r="K1618" t="str">
            <v>technical</v>
          </cell>
          <cell r="L1618" t="str">
            <v>テクニカルタイプ</v>
          </cell>
          <cell r="M1618" t="str">
            <v>animal</v>
          </cell>
        </row>
        <row r="1619">
          <cell r="A1619">
            <v>10003</v>
          </cell>
          <cell r="B1619" t="str">
            <v>ja</v>
          </cell>
          <cell r="C1619" t="str">
            <v>テストユニット03</v>
          </cell>
          <cell r="H1619" t="str">
            <v>red</v>
          </cell>
          <cell r="I1619">
            <v>5</v>
          </cell>
          <cell r="J1619" t="str">
            <v>PremiumSSS</v>
          </cell>
          <cell r="K1619" t="str">
            <v>technical</v>
          </cell>
          <cell r="L1619" t="str">
            <v>テクニカルタイプ</v>
          </cell>
          <cell r="M1619" t="str">
            <v>academia</v>
          </cell>
        </row>
        <row r="1620">
          <cell r="A1620">
            <v>10004</v>
          </cell>
          <cell r="B1620" t="str">
            <v>ja</v>
          </cell>
          <cell r="C1620" t="str">
            <v>テストユニット04</v>
          </cell>
          <cell r="H1620" t="str">
            <v>red</v>
          </cell>
          <cell r="I1620">
            <v>6</v>
          </cell>
          <cell r="J1620" t="str">
            <v>PremiumSSS</v>
          </cell>
          <cell r="K1620" t="str">
            <v>technical</v>
          </cell>
          <cell r="L1620" t="str">
            <v>テクニカルタイプ</v>
          </cell>
          <cell r="M1620" t="str">
            <v>academia</v>
          </cell>
        </row>
        <row r="1621">
          <cell r="A1621">
            <v>10005</v>
          </cell>
          <cell r="B1621" t="str">
            <v>ja</v>
          </cell>
          <cell r="C1621" t="str">
            <v>テストユニット05</v>
          </cell>
          <cell r="H1621" t="str">
            <v>yellow</v>
          </cell>
          <cell r="I1621">
            <v>6</v>
          </cell>
          <cell r="J1621" t="str">
            <v>PremiumSS</v>
          </cell>
          <cell r="K1621" t="str">
            <v>technical</v>
          </cell>
          <cell r="L1621" t="str">
            <v>テクニカルタイプ</v>
          </cell>
          <cell r="M1621" t="str">
            <v>human</v>
          </cell>
        </row>
        <row r="1622">
          <cell r="A1622">
            <v>10006</v>
          </cell>
          <cell r="B1622" t="str">
            <v>ja</v>
          </cell>
          <cell r="C1622" t="str">
            <v>テストユニット06</v>
          </cell>
          <cell r="H1622" t="str">
            <v>yellow</v>
          </cell>
          <cell r="I1622">
            <v>6</v>
          </cell>
          <cell r="J1622" t="str">
            <v>PremiumSS</v>
          </cell>
          <cell r="K1622" t="str">
            <v>attack</v>
          </cell>
          <cell r="L1622" t="str">
            <v>攻撃タイプ</v>
          </cell>
          <cell r="M1622" t="str">
            <v>animal</v>
          </cell>
        </row>
        <row r="1623">
          <cell r="A1623">
            <v>10007</v>
          </cell>
          <cell r="B1623" t="str">
            <v>ja</v>
          </cell>
          <cell r="C1623" t="str">
            <v>テストユニット07</v>
          </cell>
          <cell r="H1623" t="str">
            <v>yellow</v>
          </cell>
          <cell r="I1623">
            <v>5</v>
          </cell>
          <cell r="J1623" t="str">
            <v>PremiumSSS</v>
          </cell>
          <cell r="K1623" t="str">
            <v>technical</v>
          </cell>
          <cell r="L1623" t="str">
            <v>テクニカルタイプ</v>
          </cell>
          <cell r="M1623" t="str">
            <v>machine</v>
          </cell>
        </row>
        <row r="1624">
          <cell r="A1624">
            <v>10008</v>
          </cell>
          <cell r="B1624" t="str">
            <v>ja</v>
          </cell>
          <cell r="C1624" t="str">
            <v>テストユニット08</v>
          </cell>
          <cell r="H1624" t="str">
            <v>yellow</v>
          </cell>
          <cell r="I1624">
            <v>6</v>
          </cell>
          <cell r="J1624" t="str">
            <v>PremiumSSS</v>
          </cell>
          <cell r="K1624" t="str">
            <v>technical</v>
          </cell>
          <cell r="L1624" t="str">
            <v>テクニカルタイプ</v>
          </cell>
          <cell r="M1624" t="str">
            <v>machine</v>
          </cell>
        </row>
        <row r="1625">
          <cell r="A1625">
            <v>10009</v>
          </cell>
          <cell r="B1625" t="str">
            <v>ja</v>
          </cell>
          <cell r="C1625" t="str">
            <v>青テスト01</v>
          </cell>
          <cell r="H1625" t="str">
            <v>blue</v>
          </cell>
          <cell r="I1625">
            <v>6</v>
          </cell>
          <cell r="J1625" t="str">
            <v>DropWizS</v>
          </cell>
          <cell r="K1625" t="str">
            <v>heal</v>
          </cell>
          <cell r="L1625" t="str">
            <v>回復タイプ</v>
          </cell>
          <cell r="M1625" t="str">
            <v>human</v>
          </cell>
        </row>
        <row r="1626">
          <cell r="A1626">
            <v>10010</v>
          </cell>
          <cell r="B1626" t="str">
            <v>ja</v>
          </cell>
          <cell r="C1626" t="str">
            <v>赤テスト01</v>
          </cell>
          <cell r="H1626" t="str">
            <v>red</v>
          </cell>
          <cell r="I1626">
            <v>6</v>
          </cell>
          <cell r="J1626" t="str">
            <v>PremiumSSS</v>
          </cell>
          <cell r="K1626" t="str">
            <v>technical</v>
          </cell>
          <cell r="L1626" t="str">
            <v>テクニカルタイプ</v>
          </cell>
          <cell r="M1626" t="str">
            <v>human</v>
          </cell>
        </row>
        <row r="1627">
          <cell r="A1627">
            <v>10011</v>
          </cell>
          <cell r="B1627" t="str">
            <v>ja</v>
          </cell>
          <cell r="C1627" t="str">
            <v>テストユニット11</v>
          </cell>
          <cell r="H1627" t="str">
            <v>red</v>
          </cell>
          <cell r="I1627">
            <v>6</v>
          </cell>
          <cell r="J1627" t="str">
            <v>PremiumSSS</v>
          </cell>
          <cell r="K1627" t="str">
            <v>technical</v>
          </cell>
          <cell r="L1627" t="str">
            <v>テクニカルタイプ</v>
          </cell>
          <cell r="M1627" t="str">
            <v>academia</v>
          </cell>
        </row>
        <row r="1628">
          <cell r="A1628">
            <v>10012</v>
          </cell>
          <cell r="B1628" t="str">
            <v>ja</v>
          </cell>
          <cell r="C1628" t="str">
            <v>テストユニット12</v>
          </cell>
          <cell r="H1628" t="str">
            <v>red</v>
          </cell>
          <cell r="I1628">
            <v>6</v>
          </cell>
          <cell r="J1628" t="str">
            <v>PremiumSSS</v>
          </cell>
          <cell r="K1628" t="str">
            <v>technical</v>
          </cell>
          <cell r="L1628" t="str">
            <v>テクニカルタイプ</v>
          </cell>
          <cell r="M1628" t="str">
            <v>academia</v>
          </cell>
        </row>
        <row r="1629">
          <cell r="A1629">
            <v>10013</v>
          </cell>
          <cell r="B1629" t="str">
            <v>ja</v>
          </cell>
          <cell r="C1629" t="str">
            <v>テストユニット13</v>
          </cell>
          <cell r="H1629" t="str">
            <v>red</v>
          </cell>
          <cell r="I1629">
            <v>6</v>
          </cell>
          <cell r="J1629" t="str">
            <v>PremiumSS</v>
          </cell>
          <cell r="K1629" t="str">
            <v>balance</v>
          </cell>
          <cell r="L1629" t="str">
            <v>バランスタイプ</v>
          </cell>
          <cell r="M1629" t="str">
            <v>unknown</v>
          </cell>
        </row>
        <row r="1630">
          <cell r="A1630">
            <v>10014</v>
          </cell>
          <cell r="B1630" t="str">
            <v>ja</v>
          </cell>
          <cell r="C1630" t="str">
            <v>テストユニット14</v>
          </cell>
          <cell r="H1630" t="str">
            <v>blue</v>
          </cell>
          <cell r="I1630">
            <v>6</v>
          </cell>
          <cell r="J1630" t="str">
            <v>PremiumSS</v>
          </cell>
          <cell r="K1630" t="str">
            <v>balance</v>
          </cell>
          <cell r="L1630" t="str">
            <v>バランスタイプ</v>
          </cell>
          <cell r="M1630" t="str">
            <v>unknown</v>
          </cell>
        </row>
        <row r="1631">
          <cell r="A1631">
            <v>10015</v>
          </cell>
          <cell r="B1631" t="str">
            <v>ja</v>
          </cell>
          <cell r="C1631" t="str">
            <v>テストユニット15</v>
          </cell>
          <cell r="H1631" t="str">
            <v>green</v>
          </cell>
          <cell r="I1631">
            <v>6</v>
          </cell>
          <cell r="J1631" t="str">
            <v>PremiumSS</v>
          </cell>
          <cell r="K1631" t="str">
            <v>balance</v>
          </cell>
          <cell r="L1631" t="str">
            <v>バランスタイプ</v>
          </cell>
          <cell r="M1631" t="str">
            <v>unknown</v>
          </cell>
        </row>
        <row r="1632">
          <cell r="A1632">
            <v>10016</v>
          </cell>
          <cell r="B1632" t="str">
            <v>ja</v>
          </cell>
          <cell r="C1632" t="str">
            <v>テストユニット16</v>
          </cell>
          <cell r="H1632" t="str">
            <v>yellow</v>
          </cell>
          <cell r="I1632">
            <v>6</v>
          </cell>
          <cell r="J1632" t="str">
            <v>PremiumSS</v>
          </cell>
          <cell r="K1632" t="str">
            <v>balance</v>
          </cell>
          <cell r="L1632" t="str">
            <v>バランスタイプ</v>
          </cell>
          <cell r="M1632" t="str">
            <v>unknown</v>
          </cell>
        </row>
        <row r="1633">
          <cell r="A1633">
            <v>10017</v>
          </cell>
          <cell r="B1633" t="str">
            <v>ja</v>
          </cell>
          <cell r="C1633" t="str">
            <v>テストユニット17</v>
          </cell>
          <cell r="H1633" t="str">
            <v>red</v>
          </cell>
          <cell r="I1633">
            <v>6</v>
          </cell>
          <cell r="J1633" t="str">
            <v>PremiumSS</v>
          </cell>
          <cell r="K1633" t="str">
            <v>balance</v>
          </cell>
          <cell r="L1633" t="str">
            <v>バランスタイプ</v>
          </cell>
          <cell r="M1633" t="str">
            <v>unknown</v>
          </cell>
        </row>
        <row r="1634">
          <cell r="A1634">
            <v>10018</v>
          </cell>
          <cell r="B1634" t="str">
            <v>ja</v>
          </cell>
          <cell r="C1634" t="str">
            <v>テストユニット18</v>
          </cell>
          <cell r="H1634" t="str">
            <v>blue</v>
          </cell>
          <cell r="I1634">
            <v>6</v>
          </cell>
          <cell r="J1634" t="str">
            <v>PremiumSS</v>
          </cell>
          <cell r="K1634" t="str">
            <v>balance</v>
          </cell>
          <cell r="L1634" t="str">
            <v>バランスタイプ</v>
          </cell>
          <cell r="M1634" t="str">
            <v>unknown</v>
          </cell>
        </row>
        <row r="1635">
          <cell r="A1635">
            <v>10019</v>
          </cell>
          <cell r="B1635" t="str">
            <v>ja</v>
          </cell>
          <cell r="C1635" t="str">
            <v>テストユニット19</v>
          </cell>
          <cell r="H1635" t="str">
            <v>green</v>
          </cell>
          <cell r="I1635">
            <v>6</v>
          </cell>
          <cell r="J1635" t="str">
            <v>PremiumSS</v>
          </cell>
          <cell r="K1635" t="str">
            <v>balance</v>
          </cell>
          <cell r="L1635" t="str">
            <v>バランスタイプ</v>
          </cell>
          <cell r="M1635" t="str">
            <v>unknown</v>
          </cell>
        </row>
        <row r="1636">
          <cell r="A1636">
            <v>10020</v>
          </cell>
          <cell r="B1636" t="str">
            <v>ja</v>
          </cell>
          <cell r="C1636" t="str">
            <v>テストユニット20</v>
          </cell>
          <cell r="H1636" t="str">
            <v>yellow</v>
          </cell>
          <cell r="I1636">
            <v>6</v>
          </cell>
          <cell r="J1636" t="str">
            <v>PremiumSS</v>
          </cell>
          <cell r="K1636" t="str">
            <v>balance</v>
          </cell>
          <cell r="L1636" t="str">
            <v>バランスタイプ</v>
          </cell>
          <cell r="M1636" t="str">
            <v>unknown</v>
          </cell>
        </row>
        <row r="1637">
          <cell r="A1637">
            <v>10021</v>
          </cell>
          <cell r="B1637" t="str">
            <v>ja</v>
          </cell>
          <cell r="C1637" t="str">
            <v>テストユニット21</v>
          </cell>
          <cell r="H1637" t="str">
            <v>red</v>
          </cell>
          <cell r="I1637">
            <v>6</v>
          </cell>
          <cell r="J1637" t="str">
            <v>PremiumSS</v>
          </cell>
          <cell r="K1637" t="str">
            <v>balance</v>
          </cell>
          <cell r="L1637" t="str">
            <v>バランスタイプ</v>
          </cell>
          <cell r="M1637" t="str">
            <v>unknown</v>
          </cell>
        </row>
        <row r="1638">
          <cell r="A1638">
            <v>10022</v>
          </cell>
          <cell r="B1638" t="str">
            <v>ja</v>
          </cell>
          <cell r="C1638" t="str">
            <v>テストユニット22</v>
          </cell>
          <cell r="H1638" t="str">
            <v>blue</v>
          </cell>
          <cell r="I1638">
            <v>6</v>
          </cell>
          <cell r="J1638" t="str">
            <v>PremiumSS</v>
          </cell>
          <cell r="K1638" t="str">
            <v>balance</v>
          </cell>
          <cell r="L1638" t="str">
            <v>バランスタイプ</v>
          </cell>
          <cell r="M1638" t="str">
            <v>unknown</v>
          </cell>
        </row>
        <row r="1639">
          <cell r="A1639">
            <v>10023</v>
          </cell>
          <cell r="B1639" t="str">
            <v>ja</v>
          </cell>
          <cell r="C1639" t="str">
            <v>テストユニット23</v>
          </cell>
          <cell r="H1639" t="str">
            <v>green</v>
          </cell>
          <cell r="I1639">
            <v>6</v>
          </cell>
          <cell r="J1639" t="str">
            <v>PremiumSS</v>
          </cell>
          <cell r="K1639" t="str">
            <v>balance</v>
          </cell>
          <cell r="L1639" t="str">
            <v>バランスタイプ</v>
          </cell>
          <cell r="M1639" t="str">
            <v>unknown</v>
          </cell>
        </row>
        <row r="1640">
          <cell r="A1640">
            <v>10024</v>
          </cell>
          <cell r="B1640" t="str">
            <v>ja</v>
          </cell>
          <cell r="C1640" t="str">
            <v>テストユニット24</v>
          </cell>
          <cell r="H1640" t="str">
            <v>yellow</v>
          </cell>
          <cell r="I1640">
            <v>6</v>
          </cell>
          <cell r="J1640" t="str">
            <v>PremiumSS</v>
          </cell>
          <cell r="K1640" t="str">
            <v>balance</v>
          </cell>
          <cell r="L1640" t="str">
            <v>バランスタイプ</v>
          </cell>
          <cell r="M1640" t="str">
            <v>unknown</v>
          </cell>
        </row>
        <row r="1641">
          <cell r="A1641">
            <v>10025</v>
          </cell>
          <cell r="B1641" t="str">
            <v>ja</v>
          </cell>
          <cell r="C1641" t="str">
            <v>テストユニット25</v>
          </cell>
          <cell r="H1641" t="str">
            <v>red</v>
          </cell>
          <cell r="I1641">
            <v>6</v>
          </cell>
          <cell r="J1641" t="str">
            <v>PremiumSS</v>
          </cell>
          <cell r="K1641" t="str">
            <v>balance</v>
          </cell>
          <cell r="L1641" t="str">
            <v>バランスタイプ</v>
          </cell>
          <cell r="M1641" t="str">
            <v>unknown</v>
          </cell>
        </row>
        <row r="1642">
          <cell r="A1642">
            <v>10026</v>
          </cell>
          <cell r="B1642" t="str">
            <v>ja</v>
          </cell>
          <cell r="C1642" t="str">
            <v>テストユニット26</v>
          </cell>
          <cell r="H1642" t="str">
            <v>blue</v>
          </cell>
          <cell r="I1642">
            <v>6</v>
          </cell>
          <cell r="J1642" t="str">
            <v>PremiumSS</v>
          </cell>
          <cell r="K1642" t="str">
            <v>balance</v>
          </cell>
          <cell r="L1642" t="str">
            <v>バランスタイプ</v>
          </cell>
          <cell r="M1642" t="str">
            <v>unknown</v>
          </cell>
        </row>
        <row r="1643">
          <cell r="A1643">
            <v>10027</v>
          </cell>
          <cell r="B1643" t="str">
            <v>ja</v>
          </cell>
          <cell r="C1643" t="str">
            <v>テストユニット27</v>
          </cell>
          <cell r="H1643" t="str">
            <v>green</v>
          </cell>
          <cell r="I1643">
            <v>6</v>
          </cell>
          <cell r="J1643" t="str">
            <v>PremiumSS</v>
          </cell>
          <cell r="K1643" t="str">
            <v>balance</v>
          </cell>
          <cell r="L1643" t="str">
            <v>バランスタイプ</v>
          </cell>
          <cell r="M1643" t="str">
            <v>unknown</v>
          </cell>
        </row>
        <row r="1644">
          <cell r="A1644">
            <v>10028</v>
          </cell>
          <cell r="B1644" t="str">
            <v>ja</v>
          </cell>
          <cell r="C1644" t="str">
            <v>テストユニット28</v>
          </cell>
          <cell r="H1644" t="str">
            <v>yellow</v>
          </cell>
          <cell r="I1644">
            <v>6</v>
          </cell>
          <cell r="J1644" t="str">
            <v>PremiumSS</v>
          </cell>
          <cell r="K1644" t="str">
            <v>balance</v>
          </cell>
          <cell r="L1644" t="str">
            <v>バランスタイプ</v>
          </cell>
          <cell r="M1644" t="str">
            <v>unknown</v>
          </cell>
        </row>
        <row r="1645">
          <cell r="A1645">
            <v>10029</v>
          </cell>
          <cell r="B1645" t="str">
            <v>ja</v>
          </cell>
          <cell r="C1645" t="str">
            <v>テストユニット29</v>
          </cell>
          <cell r="H1645" t="str">
            <v>red</v>
          </cell>
          <cell r="I1645">
            <v>6</v>
          </cell>
          <cell r="J1645" t="str">
            <v>PremiumSS</v>
          </cell>
          <cell r="K1645" t="str">
            <v>balance</v>
          </cell>
          <cell r="L1645" t="str">
            <v>バランスタイプ</v>
          </cell>
          <cell r="M1645" t="str">
            <v>unknown</v>
          </cell>
        </row>
        <row r="1646">
          <cell r="A1646">
            <v>10030</v>
          </cell>
          <cell r="B1646" t="str">
            <v>ja</v>
          </cell>
          <cell r="C1646" t="str">
            <v>テストユニット30</v>
          </cell>
          <cell r="H1646" t="str">
            <v>blue</v>
          </cell>
          <cell r="I1646">
            <v>6</v>
          </cell>
          <cell r="J1646" t="str">
            <v>PremiumSS</v>
          </cell>
          <cell r="K1646" t="str">
            <v>balance</v>
          </cell>
          <cell r="L1646" t="str">
            <v>バランスタイプ</v>
          </cell>
          <cell r="M1646" t="str">
            <v>unknown</v>
          </cell>
        </row>
        <row r="1647">
          <cell r="A1647">
            <v>10031</v>
          </cell>
          <cell r="B1647" t="str">
            <v>ja</v>
          </cell>
          <cell r="C1647" t="str">
            <v>テストユニット31</v>
          </cell>
          <cell r="H1647" t="str">
            <v>green</v>
          </cell>
          <cell r="I1647">
            <v>6</v>
          </cell>
          <cell r="J1647" t="str">
            <v>PremiumSS</v>
          </cell>
          <cell r="K1647" t="str">
            <v>balance</v>
          </cell>
          <cell r="L1647" t="str">
            <v>バランスタイプ</v>
          </cell>
          <cell r="M1647" t="str">
            <v>unknown</v>
          </cell>
        </row>
        <row r="1648">
          <cell r="A1648">
            <v>10032</v>
          </cell>
          <cell r="B1648" t="str">
            <v>ja</v>
          </cell>
          <cell r="C1648" t="str">
            <v>テストユニット32</v>
          </cell>
          <cell r="H1648" t="str">
            <v>yellow</v>
          </cell>
          <cell r="I1648">
            <v>6</v>
          </cell>
          <cell r="J1648" t="str">
            <v>PremiumSS</v>
          </cell>
          <cell r="K1648" t="str">
            <v>balance</v>
          </cell>
          <cell r="L1648" t="str">
            <v>バランスタイプ</v>
          </cell>
          <cell r="M1648" t="str">
            <v>unknown</v>
          </cell>
        </row>
        <row r="1649">
          <cell r="A1649">
            <v>10033</v>
          </cell>
          <cell r="B1649" t="str">
            <v>ja</v>
          </cell>
          <cell r="C1649" t="str">
            <v>テストユニット33</v>
          </cell>
          <cell r="H1649" t="str">
            <v>red</v>
          </cell>
          <cell r="I1649">
            <v>6</v>
          </cell>
          <cell r="J1649" t="str">
            <v>PremiumSS</v>
          </cell>
          <cell r="K1649" t="str">
            <v>balance</v>
          </cell>
          <cell r="L1649" t="str">
            <v>バランスタイプ</v>
          </cell>
          <cell r="M1649" t="str">
            <v>unknown</v>
          </cell>
        </row>
        <row r="1650">
          <cell r="A1650">
            <v>10034</v>
          </cell>
          <cell r="B1650" t="str">
            <v>ja</v>
          </cell>
          <cell r="C1650" t="str">
            <v>テストユニット34</v>
          </cell>
          <cell r="H1650" t="str">
            <v>blue</v>
          </cell>
          <cell r="I1650">
            <v>6</v>
          </cell>
          <cell r="J1650" t="str">
            <v>PremiumSS</v>
          </cell>
          <cell r="K1650" t="str">
            <v>balance</v>
          </cell>
          <cell r="L1650" t="str">
            <v>バランスタイプ</v>
          </cell>
          <cell r="M1650" t="str">
            <v>unknown</v>
          </cell>
        </row>
        <row r="1651">
          <cell r="A1651">
            <v>10035</v>
          </cell>
          <cell r="B1651" t="str">
            <v>ja</v>
          </cell>
          <cell r="C1651" t="str">
            <v>テストユニット35</v>
          </cell>
          <cell r="H1651" t="str">
            <v>green</v>
          </cell>
          <cell r="I1651">
            <v>6</v>
          </cell>
          <cell r="J1651" t="str">
            <v>PremiumSS</v>
          </cell>
          <cell r="K1651" t="str">
            <v>balance</v>
          </cell>
          <cell r="L1651" t="str">
            <v>バランスタイプ</v>
          </cell>
          <cell r="M1651" t="str">
            <v>unknown</v>
          </cell>
        </row>
        <row r="1652">
          <cell r="A1652">
            <v>10036</v>
          </cell>
          <cell r="B1652" t="str">
            <v>ja</v>
          </cell>
          <cell r="C1652" t="str">
            <v>テストユニット36</v>
          </cell>
          <cell r="H1652" t="str">
            <v>yellow</v>
          </cell>
          <cell r="I1652">
            <v>6</v>
          </cell>
          <cell r="J1652" t="str">
            <v>PremiumSS</v>
          </cell>
          <cell r="K1652" t="str">
            <v>balance</v>
          </cell>
          <cell r="L1652" t="str">
            <v>バランスタイプ</v>
          </cell>
          <cell r="M1652" t="str">
            <v>unknown</v>
          </cell>
        </row>
        <row r="1653">
          <cell r="A1653">
            <v>10037</v>
          </cell>
          <cell r="B1653" t="str">
            <v>ja</v>
          </cell>
          <cell r="C1653" t="str">
            <v>テストユニット37</v>
          </cell>
          <cell r="H1653" t="str">
            <v>red</v>
          </cell>
          <cell r="I1653">
            <v>6</v>
          </cell>
          <cell r="J1653" t="str">
            <v>PremiumSS</v>
          </cell>
          <cell r="K1653" t="str">
            <v>balance</v>
          </cell>
          <cell r="L1653" t="str">
            <v>バランスタイプ</v>
          </cell>
          <cell r="M1653" t="str">
            <v>unknown</v>
          </cell>
        </row>
        <row r="1654">
          <cell r="A1654">
            <v>10038</v>
          </cell>
          <cell r="B1654" t="str">
            <v>ja</v>
          </cell>
          <cell r="C1654" t="str">
            <v>テストユニット38</v>
          </cell>
          <cell r="H1654" t="str">
            <v>blue</v>
          </cell>
          <cell r="I1654">
            <v>6</v>
          </cell>
          <cell r="J1654" t="str">
            <v>PremiumSS</v>
          </cell>
          <cell r="K1654" t="str">
            <v>balance</v>
          </cell>
          <cell r="L1654" t="str">
            <v>バランスタイプ</v>
          </cell>
          <cell r="M1654" t="str">
            <v>unknown</v>
          </cell>
        </row>
        <row r="1655">
          <cell r="A1655">
            <v>10039</v>
          </cell>
          <cell r="B1655" t="str">
            <v>ja</v>
          </cell>
          <cell r="C1655" t="str">
            <v>テストユニット39</v>
          </cell>
          <cell r="H1655" t="str">
            <v>green</v>
          </cell>
          <cell r="I1655">
            <v>6</v>
          </cell>
          <cell r="J1655" t="str">
            <v>PremiumSS</v>
          </cell>
          <cell r="K1655" t="str">
            <v>balance</v>
          </cell>
          <cell r="L1655" t="str">
            <v>バランスタイプ</v>
          </cell>
          <cell r="M1655" t="str">
            <v>unknown</v>
          </cell>
        </row>
        <row r="1656">
          <cell r="A1656">
            <v>10040</v>
          </cell>
          <cell r="B1656" t="str">
            <v>ja</v>
          </cell>
          <cell r="C1656" t="str">
            <v>テストユニット40</v>
          </cell>
          <cell r="H1656" t="str">
            <v>yellow</v>
          </cell>
          <cell r="I1656">
            <v>6</v>
          </cell>
          <cell r="J1656" t="str">
            <v>PremiumSS</v>
          </cell>
          <cell r="K1656" t="str">
            <v>balance</v>
          </cell>
          <cell r="L1656" t="str">
            <v>バランスタイプ</v>
          </cell>
          <cell r="M1656" t="str">
            <v>unknown</v>
          </cell>
        </row>
        <row r="1657">
          <cell r="A1657">
            <v>10041</v>
          </cell>
          <cell r="B1657" t="str">
            <v>ja</v>
          </cell>
          <cell r="C1657" t="str">
            <v>テストユニット41</v>
          </cell>
          <cell r="H1657" t="str">
            <v>red</v>
          </cell>
          <cell r="I1657">
            <v>6</v>
          </cell>
          <cell r="J1657" t="str">
            <v>PremiumSS</v>
          </cell>
          <cell r="K1657" t="str">
            <v>balance</v>
          </cell>
          <cell r="L1657" t="str">
            <v>バランスタイプ</v>
          </cell>
          <cell r="M1657" t="str">
            <v>unknown</v>
          </cell>
        </row>
        <row r="1658">
          <cell r="A1658">
            <v>10042</v>
          </cell>
          <cell r="B1658" t="str">
            <v>ja</v>
          </cell>
          <cell r="C1658" t="str">
            <v>テストユニット42</v>
          </cell>
          <cell r="H1658" t="str">
            <v>blue</v>
          </cell>
          <cell r="I1658">
            <v>6</v>
          </cell>
          <cell r="J1658" t="str">
            <v>PremiumSS</v>
          </cell>
          <cell r="K1658" t="str">
            <v>balance</v>
          </cell>
          <cell r="L1658" t="str">
            <v>バランスタイプ</v>
          </cell>
          <cell r="M1658" t="str">
            <v>unknown</v>
          </cell>
        </row>
        <row r="1659">
          <cell r="A1659">
            <v>10043</v>
          </cell>
          <cell r="B1659" t="str">
            <v>ja</v>
          </cell>
          <cell r="C1659" t="str">
            <v>テストユニット43</v>
          </cell>
          <cell r="H1659" t="str">
            <v>green</v>
          </cell>
          <cell r="I1659">
            <v>6</v>
          </cell>
          <cell r="J1659" t="str">
            <v>PremiumSS</v>
          </cell>
          <cell r="K1659" t="str">
            <v>balance</v>
          </cell>
          <cell r="L1659" t="str">
            <v>バランスタイプ</v>
          </cell>
          <cell r="M1659" t="str">
            <v>unknown</v>
          </cell>
        </row>
        <row r="1660">
          <cell r="A1660">
            <v>10044</v>
          </cell>
          <cell r="B1660" t="str">
            <v>ja</v>
          </cell>
          <cell r="C1660" t="str">
            <v>テストユニット44</v>
          </cell>
          <cell r="H1660" t="str">
            <v>yellow</v>
          </cell>
          <cell r="I1660">
            <v>6</v>
          </cell>
          <cell r="J1660" t="str">
            <v>PremiumSS</v>
          </cell>
          <cell r="K1660" t="str">
            <v>balance</v>
          </cell>
          <cell r="L1660" t="str">
            <v>バランスタイプ</v>
          </cell>
          <cell r="M1660" t="str">
            <v>unknown</v>
          </cell>
        </row>
        <row r="1661">
          <cell r="A1661">
            <v>10045</v>
          </cell>
          <cell r="B1661" t="str">
            <v>ja</v>
          </cell>
          <cell r="C1661" t="str">
            <v>テストユニット45</v>
          </cell>
          <cell r="H1661" t="str">
            <v>red</v>
          </cell>
          <cell r="I1661">
            <v>6</v>
          </cell>
          <cell r="J1661" t="str">
            <v>PremiumSS</v>
          </cell>
          <cell r="K1661" t="str">
            <v>balance</v>
          </cell>
          <cell r="L1661" t="str">
            <v>バランスタイプ</v>
          </cell>
          <cell r="M1661" t="str">
            <v>unknown</v>
          </cell>
        </row>
        <row r="1662">
          <cell r="A1662">
            <v>10046</v>
          </cell>
          <cell r="B1662" t="str">
            <v>ja</v>
          </cell>
          <cell r="C1662" t="str">
            <v>テストユニット46</v>
          </cell>
          <cell r="H1662" t="str">
            <v>blue</v>
          </cell>
          <cell r="I1662">
            <v>6</v>
          </cell>
          <cell r="J1662" t="str">
            <v>PremiumSS</v>
          </cell>
          <cell r="K1662" t="str">
            <v>balance</v>
          </cell>
          <cell r="L1662" t="str">
            <v>バランスタイプ</v>
          </cell>
          <cell r="M1662" t="str">
            <v>unknown</v>
          </cell>
        </row>
        <row r="1663">
          <cell r="A1663">
            <v>10047</v>
          </cell>
          <cell r="B1663" t="str">
            <v>ja</v>
          </cell>
          <cell r="C1663" t="str">
            <v>テストユニット47</v>
          </cell>
          <cell r="H1663" t="str">
            <v>green</v>
          </cell>
          <cell r="I1663">
            <v>6</v>
          </cell>
          <cell r="J1663" t="str">
            <v>PremiumSS</v>
          </cell>
          <cell r="K1663" t="str">
            <v>balance</v>
          </cell>
          <cell r="L1663" t="str">
            <v>バランスタイプ</v>
          </cell>
          <cell r="M1663" t="str">
            <v>unknown</v>
          </cell>
        </row>
        <row r="1664">
          <cell r="A1664">
            <v>10048</v>
          </cell>
          <cell r="B1664" t="str">
            <v>ja</v>
          </cell>
          <cell r="C1664" t="str">
            <v>テストユニット48</v>
          </cell>
          <cell r="H1664" t="str">
            <v>yellow</v>
          </cell>
          <cell r="I1664">
            <v>6</v>
          </cell>
          <cell r="J1664" t="str">
            <v>PremiumSS</v>
          </cell>
          <cell r="K1664" t="str">
            <v>balance</v>
          </cell>
          <cell r="L1664" t="str">
            <v>バランスタイプ</v>
          </cell>
          <cell r="M1664" t="str">
            <v>unknown</v>
          </cell>
        </row>
        <row r="1665">
          <cell r="A1665">
            <v>10049</v>
          </cell>
          <cell r="B1665" t="str">
            <v>ja</v>
          </cell>
          <cell r="C1665" t="str">
            <v>テストユニット49</v>
          </cell>
          <cell r="H1665" t="str">
            <v>red</v>
          </cell>
          <cell r="I1665">
            <v>6</v>
          </cell>
          <cell r="J1665" t="str">
            <v>PremiumSS</v>
          </cell>
          <cell r="K1665" t="str">
            <v>balance</v>
          </cell>
          <cell r="L1665" t="str">
            <v>バランスタイプ</v>
          </cell>
          <cell r="M1665" t="str">
            <v>unknown</v>
          </cell>
        </row>
        <row r="1666">
          <cell r="A1666">
            <v>10050</v>
          </cell>
          <cell r="B1666" t="str">
            <v>ja</v>
          </cell>
          <cell r="C1666" t="str">
            <v>テストユニット50</v>
          </cell>
          <cell r="H1666" t="str">
            <v>blue</v>
          </cell>
          <cell r="I1666">
            <v>6</v>
          </cell>
          <cell r="J1666" t="str">
            <v>PremiumSS</v>
          </cell>
          <cell r="K1666" t="str">
            <v>balance</v>
          </cell>
          <cell r="L1666" t="str">
            <v>バランスタイプ</v>
          </cell>
          <cell r="M1666" t="str">
            <v>unknown</v>
          </cell>
        </row>
        <row r="1667">
          <cell r="A1667">
            <v>10051</v>
          </cell>
          <cell r="B1667" t="str">
            <v>ja</v>
          </cell>
          <cell r="C1667" t="str">
            <v>テストユニット51</v>
          </cell>
          <cell r="H1667" t="str">
            <v>green</v>
          </cell>
          <cell r="I1667">
            <v>6</v>
          </cell>
          <cell r="J1667" t="str">
            <v>PremiumSS</v>
          </cell>
          <cell r="K1667" t="str">
            <v>balance</v>
          </cell>
          <cell r="L1667" t="str">
            <v>バランスタイプ</v>
          </cell>
          <cell r="M1667" t="str">
            <v>unknown</v>
          </cell>
        </row>
        <row r="1668">
          <cell r="A1668">
            <v>10052</v>
          </cell>
          <cell r="B1668" t="str">
            <v>ja</v>
          </cell>
          <cell r="C1668" t="str">
            <v>テストユニット52</v>
          </cell>
          <cell r="H1668" t="str">
            <v>yellow</v>
          </cell>
          <cell r="I1668">
            <v>6</v>
          </cell>
          <cell r="J1668" t="str">
            <v>PremiumSS</v>
          </cell>
          <cell r="K1668" t="str">
            <v>balance</v>
          </cell>
          <cell r="L1668" t="str">
            <v>バランスタイプ</v>
          </cell>
          <cell r="M1668" t="str">
            <v>unknown</v>
          </cell>
        </row>
        <row r="1669">
          <cell r="A1669">
            <v>10053</v>
          </cell>
          <cell r="B1669" t="str">
            <v>ja</v>
          </cell>
          <cell r="C1669" t="str">
            <v>テストユニット53</v>
          </cell>
          <cell r="H1669" t="str">
            <v>red</v>
          </cell>
          <cell r="I1669">
            <v>6</v>
          </cell>
          <cell r="J1669" t="str">
            <v>PremiumSS</v>
          </cell>
          <cell r="K1669" t="str">
            <v>balance</v>
          </cell>
          <cell r="L1669" t="str">
            <v>バランスタイプ</v>
          </cell>
          <cell r="M1669" t="str">
            <v>unknown</v>
          </cell>
        </row>
        <row r="1670">
          <cell r="A1670">
            <v>10054</v>
          </cell>
          <cell r="B1670" t="str">
            <v>ja</v>
          </cell>
          <cell r="C1670" t="str">
            <v>テストユニット54</v>
          </cell>
          <cell r="H1670" t="str">
            <v>blue</v>
          </cell>
          <cell r="I1670">
            <v>6</v>
          </cell>
          <cell r="J1670" t="str">
            <v>PremiumSS</v>
          </cell>
          <cell r="K1670" t="str">
            <v>balance</v>
          </cell>
          <cell r="L1670" t="str">
            <v>バランスタイプ</v>
          </cell>
          <cell r="M1670" t="str">
            <v>unknown</v>
          </cell>
        </row>
        <row r="1671">
          <cell r="A1671">
            <v>10055</v>
          </cell>
          <cell r="B1671" t="str">
            <v>ja</v>
          </cell>
          <cell r="C1671" t="str">
            <v>テストユニット55</v>
          </cell>
          <cell r="H1671" t="str">
            <v>green</v>
          </cell>
          <cell r="I1671">
            <v>6</v>
          </cell>
          <cell r="J1671" t="str">
            <v>PremiumSS</v>
          </cell>
          <cell r="K1671" t="str">
            <v>balance</v>
          </cell>
          <cell r="L1671" t="str">
            <v>バランスタイプ</v>
          </cell>
          <cell r="M1671" t="str">
            <v>unknown</v>
          </cell>
        </row>
        <row r="1672">
          <cell r="A1672">
            <v>10056</v>
          </cell>
          <cell r="B1672" t="str">
            <v>ja</v>
          </cell>
          <cell r="C1672" t="str">
            <v>テストユニット56</v>
          </cell>
          <cell r="H1672" t="str">
            <v>yellow</v>
          </cell>
          <cell r="I1672">
            <v>6</v>
          </cell>
          <cell r="J1672" t="str">
            <v>PremiumSS</v>
          </cell>
          <cell r="K1672" t="str">
            <v>balance</v>
          </cell>
          <cell r="L1672" t="str">
            <v>バランスタイプ</v>
          </cell>
          <cell r="M1672" t="str">
            <v>unknown</v>
          </cell>
        </row>
        <row r="1673">
          <cell r="A1673">
            <v>10057</v>
          </cell>
          <cell r="B1673" t="str">
            <v>ja</v>
          </cell>
          <cell r="C1673" t="str">
            <v>テストユニット57</v>
          </cell>
          <cell r="H1673" t="str">
            <v>red</v>
          </cell>
          <cell r="I1673">
            <v>6</v>
          </cell>
          <cell r="J1673" t="str">
            <v>PremiumSS</v>
          </cell>
          <cell r="K1673" t="str">
            <v>balance</v>
          </cell>
          <cell r="L1673" t="str">
            <v>バランスタイプ</v>
          </cell>
          <cell r="M1673" t="str">
            <v>unknown</v>
          </cell>
        </row>
        <row r="1674">
          <cell r="A1674">
            <v>10058</v>
          </cell>
          <cell r="B1674" t="str">
            <v>ja</v>
          </cell>
          <cell r="C1674" t="str">
            <v>テストユニット58</v>
          </cell>
          <cell r="H1674" t="str">
            <v>blue</v>
          </cell>
          <cell r="I1674">
            <v>6</v>
          </cell>
          <cell r="J1674" t="str">
            <v>PremiumSS</v>
          </cell>
          <cell r="K1674" t="str">
            <v>balance</v>
          </cell>
          <cell r="L1674" t="str">
            <v>バランスタイプ</v>
          </cell>
          <cell r="M1674" t="str">
            <v>unknown</v>
          </cell>
        </row>
        <row r="1675">
          <cell r="A1675">
            <v>10059</v>
          </cell>
          <cell r="B1675" t="str">
            <v>ja</v>
          </cell>
          <cell r="C1675" t="str">
            <v>テストユニット59</v>
          </cell>
          <cell r="H1675" t="str">
            <v>green</v>
          </cell>
          <cell r="I1675">
            <v>6</v>
          </cell>
          <cell r="J1675" t="str">
            <v>PremiumSS</v>
          </cell>
          <cell r="K1675" t="str">
            <v>balance</v>
          </cell>
          <cell r="L1675" t="str">
            <v>バランスタイプ</v>
          </cell>
          <cell r="M1675" t="str">
            <v>unknown</v>
          </cell>
        </row>
        <row r="1676">
          <cell r="A1676">
            <v>10060</v>
          </cell>
          <cell r="B1676" t="str">
            <v>ja</v>
          </cell>
          <cell r="C1676" t="str">
            <v>テストユニット60</v>
          </cell>
          <cell r="H1676" t="str">
            <v>yellow</v>
          </cell>
          <cell r="I1676">
            <v>6</v>
          </cell>
          <cell r="J1676" t="str">
            <v>PremiumSS</v>
          </cell>
          <cell r="K1676" t="str">
            <v>balance</v>
          </cell>
          <cell r="L1676" t="str">
            <v>バランスタイプ</v>
          </cell>
          <cell r="M1676" t="str">
            <v>unknown</v>
          </cell>
        </row>
        <row r="1677">
          <cell r="A1677">
            <v>10061</v>
          </cell>
          <cell r="B1677" t="str">
            <v>ja</v>
          </cell>
          <cell r="C1677" t="str">
            <v>テストユニット61</v>
          </cell>
          <cell r="H1677" t="str">
            <v>red</v>
          </cell>
          <cell r="I1677">
            <v>6</v>
          </cell>
          <cell r="J1677" t="str">
            <v>PremiumSS</v>
          </cell>
          <cell r="K1677" t="str">
            <v>balance</v>
          </cell>
          <cell r="L1677" t="str">
            <v>バランスタイプ</v>
          </cell>
          <cell r="M1677" t="str">
            <v>unknown</v>
          </cell>
        </row>
        <row r="1678">
          <cell r="A1678">
            <v>10062</v>
          </cell>
          <cell r="B1678" t="str">
            <v>ja</v>
          </cell>
          <cell r="C1678" t="str">
            <v>テストユニット62</v>
          </cell>
          <cell r="H1678" t="str">
            <v>blue</v>
          </cell>
          <cell r="I1678">
            <v>6</v>
          </cell>
          <cell r="J1678" t="str">
            <v>PremiumSS</v>
          </cell>
          <cell r="K1678" t="str">
            <v>balance</v>
          </cell>
          <cell r="L1678" t="str">
            <v>バランスタイプ</v>
          </cell>
          <cell r="M1678" t="str">
            <v>unknown</v>
          </cell>
        </row>
        <row r="1679">
          <cell r="A1679">
            <v>10063</v>
          </cell>
          <cell r="B1679" t="str">
            <v>ja</v>
          </cell>
          <cell r="C1679" t="str">
            <v>テストユニット63</v>
          </cell>
          <cell r="H1679" t="str">
            <v>green</v>
          </cell>
          <cell r="I1679">
            <v>6</v>
          </cell>
          <cell r="J1679" t="str">
            <v>PremiumSS</v>
          </cell>
          <cell r="K1679" t="str">
            <v>balance</v>
          </cell>
          <cell r="L1679" t="str">
            <v>バランスタイプ</v>
          </cell>
          <cell r="M1679" t="str">
            <v>unknown</v>
          </cell>
        </row>
        <row r="1680">
          <cell r="A1680">
            <v>10064</v>
          </cell>
          <cell r="B1680" t="str">
            <v>ja</v>
          </cell>
          <cell r="C1680" t="str">
            <v>テストユニット64</v>
          </cell>
          <cell r="H1680" t="str">
            <v>yellow</v>
          </cell>
          <cell r="I1680">
            <v>6</v>
          </cell>
          <cell r="J1680" t="str">
            <v>PremiumSS</v>
          </cell>
          <cell r="K1680" t="str">
            <v>balance</v>
          </cell>
          <cell r="L1680" t="str">
            <v>バランスタイプ</v>
          </cell>
          <cell r="M1680" t="str">
            <v>unknown</v>
          </cell>
        </row>
        <row r="1681">
          <cell r="A1681">
            <v>10065</v>
          </cell>
          <cell r="B1681" t="str">
            <v>ja</v>
          </cell>
          <cell r="C1681" t="str">
            <v>テストユニット65</v>
          </cell>
          <cell r="H1681" t="str">
            <v>red</v>
          </cell>
          <cell r="I1681">
            <v>6</v>
          </cell>
          <cell r="J1681" t="str">
            <v>PremiumSS</v>
          </cell>
          <cell r="K1681" t="str">
            <v>balance</v>
          </cell>
          <cell r="L1681" t="str">
            <v>バランスタイプ</v>
          </cell>
          <cell r="M1681" t="str">
            <v>unknown</v>
          </cell>
        </row>
        <row r="1682">
          <cell r="A1682">
            <v>10066</v>
          </cell>
          <cell r="B1682" t="str">
            <v>ja</v>
          </cell>
          <cell r="C1682" t="str">
            <v>テストユニット66</v>
          </cell>
          <cell r="H1682" t="str">
            <v>blue</v>
          </cell>
          <cell r="I1682">
            <v>6</v>
          </cell>
          <cell r="J1682" t="str">
            <v>PremiumSS</v>
          </cell>
          <cell r="K1682" t="str">
            <v>balance</v>
          </cell>
          <cell r="L1682" t="str">
            <v>バランスタイプ</v>
          </cell>
          <cell r="M1682" t="str">
            <v>unknown</v>
          </cell>
        </row>
        <row r="1683">
          <cell r="A1683">
            <v>10067</v>
          </cell>
          <cell r="B1683" t="str">
            <v>ja</v>
          </cell>
          <cell r="C1683" t="str">
            <v>テストユニット67</v>
          </cell>
          <cell r="H1683" t="str">
            <v>green</v>
          </cell>
          <cell r="I1683">
            <v>6</v>
          </cell>
          <cell r="J1683" t="str">
            <v>PremiumSS</v>
          </cell>
          <cell r="K1683" t="str">
            <v>balance</v>
          </cell>
          <cell r="L1683" t="str">
            <v>バランスタイプ</v>
          </cell>
          <cell r="M1683" t="str">
            <v>unknown</v>
          </cell>
        </row>
        <row r="1684">
          <cell r="A1684">
            <v>10068</v>
          </cell>
          <cell r="B1684" t="str">
            <v>ja</v>
          </cell>
          <cell r="C1684" t="str">
            <v>テストユニット68</v>
          </cell>
          <cell r="H1684" t="str">
            <v>yellow</v>
          </cell>
          <cell r="I1684">
            <v>6</v>
          </cell>
          <cell r="J1684" t="str">
            <v>PremiumSS</v>
          </cell>
          <cell r="K1684" t="str">
            <v>balance</v>
          </cell>
          <cell r="L1684" t="str">
            <v>バランスタイプ</v>
          </cell>
          <cell r="M1684" t="str">
            <v>unknown</v>
          </cell>
        </row>
        <row r="1685">
          <cell r="A1685">
            <v>10069</v>
          </cell>
          <cell r="B1685" t="str">
            <v>ja</v>
          </cell>
          <cell r="C1685" t="str">
            <v>テストユニット69</v>
          </cell>
          <cell r="H1685" t="str">
            <v>red</v>
          </cell>
          <cell r="I1685">
            <v>6</v>
          </cell>
          <cell r="J1685" t="str">
            <v>PremiumSS</v>
          </cell>
          <cell r="K1685" t="str">
            <v>balance</v>
          </cell>
          <cell r="L1685" t="str">
            <v>バランスタイプ</v>
          </cell>
          <cell r="M1685" t="str">
            <v>unknown</v>
          </cell>
        </row>
        <row r="1686">
          <cell r="A1686">
            <v>10070</v>
          </cell>
          <cell r="B1686" t="str">
            <v>ja</v>
          </cell>
          <cell r="C1686" t="str">
            <v>テストユニット70</v>
          </cell>
          <cell r="H1686" t="str">
            <v>blue</v>
          </cell>
          <cell r="I1686">
            <v>6</v>
          </cell>
          <cell r="J1686" t="str">
            <v>PremiumSS</v>
          </cell>
          <cell r="K1686" t="str">
            <v>balance</v>
          </cell>
          <cell r="L1686" t="str">
            <v>バランスタイプ</v>
          </cell>
          <cell r="M1686" t="str">
            <v>unknown</v>
          </cell>
        </row>
        <row r="1687">
          <cell r="A1687">
            <v>10071</v>
          </cell>
          <cell r="B1687" t="str">
            <v>ja</v>
          </cell>
          <cell r="C1687" t="str">
            <v>テストユニット71</v>
          </cell>
          <cell r="H1687" t="str">
            <v>green</v>
          </cell>
          <cell r="I1687">
            <v>6</v>
          </cell>
          <cell r="J1687" t="str">
            <v>PremiumSS</v>
          </cell>
          <cell r="K1687" t="str">
            <v>balance</v>
          </cell>
          <cell r="L1687" t="str">
            <v>バランスタイプ</v>
          </cell>
          <cell r="M1687" t="str">
            <v>unknown</v>
          </cell>
        </row>
        <row r="1688">
          <cell r="A1688">
            <v>10072</v>
          </cell>
          <cell r="B1688" t="str">
            <v>ja</v>
          </cell>
          <cell r="C1688" t="str">
            <v>テストユニット72</v>
          </cell>
          <cell r="H1688" t="str">
            <v>yellow</v>
          </cell>
          <cell r="I1688">
            <v>6</v>
          </cell>
          <cell r="J1688" t="str">
            <v>PremiumSS</v>
          </cell>
          <cell r="K1688" t="str">
            <v>balance</v>
          </cell>
          <cell r="L1688" t="str">
            <v>バランスタイプ</v>
          </cell>
          <cell r="M1688" t="str">
            <v>unknown</v>
          </cell>
        </row>
        <row r="1689">
          <cell r="A1689">
            <v>10073</v>
          </cell>
          <cell r="B1689" t="str">
            <v>ja</v>
          </cell>
          <cell r="C1689" t="str">
            <v>テストユニット73</v>
          </cell>
          <cell r="H1689" t="str">
            <v>red</v>
          </cell>
          <cell r="I1689">
            <v>6</v>
          </cell>
          <cell r="J1689" t="str">
            <v>PremiumSS</v>
          </cell>
          <cell r="K1689" t="str">
            <v>balance</v>
          </cell>
          <cell r="L1689" t="str">
            <v>バランスタイプ</v>
          </cell>
          <cell r="M1689" t="str">
            <v>unknown</v>
          </cell>
        </row>
        <row r="1690">
          <cell r="A1690">
            <v>10074</v>
          </cell>
          <cell r="B1690" t="str">
            <v>ja</v>
          </cell>
          <cell r="C1690" t="str">
            <v>テストユニット74</v>
          </cell>
          <cell r="H1690" t="str">
            <v>blue</v>
          </cell>
          <cell r="I1690">
            <v>6</v>
          </cell>
          <cell r="J1690" t="str">
            <v>PremiumSS</v>
          </cell>
          <cell r="K1690" t="str">
            <v>balance</v>
          </cell>
          <cell r="L1690" t="str">
            <v>バランスタイプ</v>
          </cell>
          <cell r="M1690" t="str">
            <v>unknown</v>
          </cell>
        </row>
        <row r="1691">
          <cell r="A1691">
            <v>10075</v>
          </cell>
          <cell r="B1691" t="str">
            <v>ja</v>
          </cell>
          <cell r="C1691" t="str">
            <v>テストユニット75</v>
          </cell>
          <cell r="H1691" t="str">
            <v>green</v>
          </cell>
          <cell r="I1691">
            <v>6</v>
          </cell>
          <cell r="J1691" t="str">
            <v>PremiumSS</v>
          </cell>
          <cell r="K1691" t="str">
            <v>balance</v>
          </cell>
          <cell r="L1691" t="str">
            <v>バランスタイプ</v>
          </cell>
          <cell r="M1691" t="str">
            <v>unknown</v>
          </cell>
        </row>
        <row r="1692">
          <cell r="A1692">
            <v>10076</v>
          </cell>
          <cell r="B1692" t="str">
            <v>ja</v>
          </cell>
          <cell r="C1692" t="str">
            <v>テストユニット76</v>
          </cell>
          <cell r="H1692" t="str">
            <v>yellow</v>
          </cell>
          <cell r="I1692">
            <v>6</v>
          </cell>
          <cell r="J1692" t="str">
            <v>PremiumSS</v>
          </cell>
          <cell r="K1692" t="str">
            <v>balance</v>
          </cell>
          <cell r="L1692" t="str">
            <v>バランスタイプ</v>
          </cell>
          <cell r="M1692" t="str">
            <v>unknown</v>
          </cell>
        </row>
        <row r="1693">
          <cell r="A1693">
            <v>10077</v>
          </cell>
          <cell r="B1693" t="str">
            <v>ja</v>
          </cell>
          <cell r="C1693" t="str">
            <v>テストユニット77</v>
          </cell>
          <cell r="H1693" t="str">
            <v>red</v>
          </cell>
          <cell r="I1693">
            <v>6</v>
          </cell>
          <cell r="J1693" t="str">
            <v>PremiumSS</v>
          </cell>
          <cell r="K1693" t="str">
            <v>balance</v>
          </cell>
          <cell r="L1693" t="str">
            <v>バランスタイプ</v>
          </cell>
          <cell r="M1693" t="str">
            <v>unknown</v>
          </cell>
        </row>
        <row r="1694">
          <cell r="A1694">
            <v>10078</v>
          </cell>
          <cell r="B1694" t="str">
            <v>ja</v>
          </cell>
          <cell r="C1694" t="str">
            <v>テストユニット78</v>
          </cell>
          <cell r="H1694" t="str">
            <v>blue</v>
          </cell>
          <cell r="I1694">
            <v>6</v>
          </cell>
          <cell r="J1694" t="str">
            <v>PremiumSS</v>
          </cell>
          <cell r="K1694" t="str">
            <v>balance</v>
          </cell>
          <cell r="L1694" t="str">
            <v>バランスタイプ</v>
          </cell>
          <cell r="M1694" t="str">
            <v>unknown</v>
          </cell>
        </row>
        <row r="1695">
          <cell r="A1695">
            <v>10079</v>
          </cell>
          <cell r="B1695" t="str">
            <v>ja</v>
          </cell>
          <cell r="C1695" t="str">
            <v>テストユニット79</v>
          </cell>
          <cell r="H1695" t="str">
            <v>green</v>
          </cell>
          <cell r="I1695">
            <v>6</v>
          </cell>
          <cell r="J1695" t="str">
            <v>PremiumSS</v>
          </cell>
          <cell r="K1695" t="str">
            <v>balance</v>
          </cell>
          <cell r="L1695" t="str">
            <v>バランスタイプ</v>
          </cell>
          <cell r="M1695" t="str">
            <v>unknown</v>
          </cell>
        </row>
        <row r="1696">
          <cell r="A1696">
            <v>10080</v>
          </cell>
          <cell r="B1696" t="str">
            <v>ja</v>
          </cell>
          <cell r="C1696" t="str">
            <v>テストユニット80</v>
          </cell>
          <cell r="H1696" t="str">
            <v>yellow</v>
          </cell>
          <cell r="I1696">
            <v>6</v>
          </cell>
          <cell r="J1696" t="str">
            <v>PremiumSS</v>
          </cell>
          <cell r="K1696" t="str">
            <v>balance</v>
          </cell>
          <cell r="L1696" t="str">
            <v>バランスタイプ</v>
          </cell>
          <cell r="M1696" t="str">
            <v>unknown</v>
          </cell>
        </row>
        <row r="1697">
          <cell r="A1697">
            <v>10081</v>
          </cell>
          <cell r="B1697" t="str">
            <v>ja</v>
          </cell>
          <cell r="C1697" t="str">
            <v>テストユニット81</v>
          </cell>
          <cell r="H1697" t="str">
            <v>red</v>
          </cell>
          <cell r="I1697">
            <v>6</v>
          </cell>
          <cell r="J1697" t="str">
            <v>PremiumSS</v>
          </cell>
          <cell r="K1697" t="str">
            <v>balance</v>
          </cell>
          <cell r="L1697" t="str">
            <v>バランスタイプ</v>
          </cell>
          <cell r="M1697" t="str">
            <v>unknown</v>
          </cell>
        </row>
        <row r="1698">
          <cell r="A1698">
            <v>10082</v>
          </cell>
          <cell r="B1698" t="str">
            <v>ja</v>
          </cell>
          <cell r="C1698" t="str">
            <v>テストユニット82</v>
          </cell>
          <cell r="H1698" t="str">
            <v>blue</v>
          </cell>
          <cell r="I1698">
            <v>6</v>
          </cell>
          <cell r="J1698" t="str">
            <v>PremiumSS</v>
          </cell>
          <cell r="K1698" t="str">
            <v>balance</v>
          </cell>
          <cell r="L1698" t="str">
            <v>バランスタイプ</v>
          </cell>
          <cell r="M1698" t="str">
            <v>unknown</v>
          </cell>
        </row>
        <row r="1699">
          <cell r="A1699">
            <v>10083</v>
          </cell>
          <cell r="B1699" t="str">
            <v>ja</v>
          </cell>
          <cell r="C1699" t="str">
            <v>テストユニット83</v>
          </cell>
          <cell r="H1699" t="str">
            <v>green</v>
          </cell>
          <cell r="I1699">
            <v>6</v>
          </cell>
          <cell r="J1699" t="str">
            <v>PremiumSS</v>
          </cell>
          <cell r="K1699" t="str">
            <v>balance</v>
          </cell>
          <cell r="L1699" t="str">
            <v>バランスタイプ</v>
          </cell>
          <cell r="M1699" t="str">
            <v>unknown</v>
          </cell>
        </row>
        <row r="1700">
          <cell r="A1700">
            <v>10084</v>
          </cell>
          <cell r="B1700" t="str">
            <v>ja</v>
          </cell>
          <cell r="C1700" t="str">
            <v>テストユニット84</v>
          </cell>
          <cell r="H1700" t="str">
            <v>yellow</v>
          </cell>
          <cell r="I1700">
            <v>6</v>
          </cell>
          <cell r="J1700" t="str">
            <v>PremiumSS</v>
          </cell>
          <cell r="K1700" t="str">
            <v>balance</v>
          </cell>
          <cell r="L1700" t="str">
            <v>バランスタイプ</v>
          </cell>
          <cell r="M1700" t="str">
            <v>unknown</v>
          </cell>
        </row>
        <row r="1701">
          <cell r="A1701">
            <v>10085</v>
          </cell>
          <cell r="B1701" t="str">
            <v>ja</v>
          </cell>
          <cell r="C1701" t="str">
            <v>テストユニット85</v>
          </cell>
          <cell r="H1701" t="str">
            <v>red</v>
          </cell>
          <cell r="I1701">
            <v>6</v>
          </cell>
          <cell r="J1701" t="str">
            <v>PremiumSS</v>
          </cell>
          <cell r="K1701" t="str">
            <v>balance</v>
          </cell>
          <cell r="L1701" t="str">
            <v>バランスタイプ</v>
          </cell>
          <cell r="M1701" t="str">
            <v>unknown</v>
          </cell>
        </row>
        <row r="1702">
          <cell r="A1702">
            <v>10086</v>
          </cell>
          <cell r="B1702" t="str">
            <v>ja</v>
          </cell>
          <cell r="C1702" t="str">
            <v>テストユニット86</v>
          </cell>
          <cell r="H1702" t="str">
            <v>blue</v>
          </cell>
          <cell r="I1702">
            <v>6</v>
          </cell>
          <cell r="J1702" t="str">
            <v>PremiumSS</v>
          </cell>
          <cell r="K1702" t="str">
            <v>balance</v>
          </cell>
          <cell r="L1702" t="str">
            <v>バランスタイプ</v>
          </cell>
          <cell r="M1702" t="str">
            <v>unknown</v>
          </cell>
        </row>
        <row r="1703">
          <cell r="A1703">
            <v>10087</v>
          </cell>
          <cell r="B1703" t="str">
            <v>ja</v>
          </cell>
          <cell r="C1703" t="str">
            <v>テストユニット87</v>
          </cell>
          <cell r="H1703" t="str">
            <v>green</v>
          </cell>
          <cell r="I1703">
            <v>6</v>
          </cell>
          <cell r="J1703" t="str">
            <v>PremiumSS</v>
          </cell>
          <cell r="K1703" t="str">
            <v>balance</v>
          </cell>
          <cell r="L1703" t="str">
            <v>バランスタイプ</v>
          </cell>
          <cell r="M1703" t="str">
            <v>unknown</v>
          </cell>
        </row>
        <row r="1704">
          <cell r="A1704">
            <v>10088</v>
          </cell>
          <cell r="B1704" t="str">
            <v>ja</v>
          </cell>
          <cell r="C1704" t="str">
            <v>テストユニット88</v>
          </cell>
          <cell r="H1704" t="str">
            <v>yellow</v>
          </cell>
          <cell r="I1704">
            <v>6</v>
          </cell>
          <cell r="J1704" t="str">
            <v>PremiumSS</v>
          </cell>
          <cell r="K1704" t="str">
            <v>balance</v>
          </cell>
          <cell r="L1704" t="str">
            <v>バランスタイプ</v>
          </cell>
          <cell r="M1704" t="str">
            <v>unknown</v>
          </cell>
        </row>
        <row r="1705">
          <cell r="A1705">
            <v>10089</v>
          </cell>
          <cell r="B1705" t="str">
            <v>ja</v>
          </cell>
          <cell r="C1705" t="str">
            <v>テストユニット89</v>
          </cell>
          <cell r="H1705" t="str">
            <v>red</v>
          </cell>
          <cell r="I1705">
            <v>6</v>
          </cell>
          <cell r="J1705" t="str">
            <v>PremiumSS</v>
          </cell>
          <cell r="K1705" t="str">
            <v>balance</v>
          </cell>
          <cell r="L1705" t="str">
            <v>バランスタイプ</v>
          </cell>
          <cell r="M1705" t="str">
            <v>unknown</v>
          </cell>
        </row>
        <row r="1706">
          <cell r="A1706">
            <v>10090</v>
          </cell>
          <cell r="B1706" t="str">
            <v>ja</v>
          </cell>
          <cell r="C1706" t="str">
            <v>テストユニット90</v>
          </cell>
          <cell r="H1706" t="str">
            <v>blue</v>
          </cell>
          <cell r="I1706">
            <v>6</v>
          </cell>
          <cell r="J1706" t="str">
            <v>PremiumSS</v>
          </cell>
          <cell r="K1706" t="str">
            <v>balance</v>
          </cell>
          <cell r="L1706" t="str">
            <v>バランスタイプ</v>
          </cell>
          <cell r="M1706" t="str">
            <v>unknown</v>
          </cell>
        </row>
        <row r="1707">
          <cell r="A1707">
            <v>10101</v>
          </cell>
          <cell r="B1707" t="str">
            <v>ja</v>
          </cell>
          <cell r="C1707" t="str">
            <v>Usagi-kun</v>
          </cell>
          <cell r="H1707" t="str">
            <v>blue</v>
          </cell>
          <cell r="I1707">
            <v>6</v>
          </cell>
          <cell r="J1707" t="str">
            <v>DropWizS</v>
          </cell>
          <cell r="K1707" t="str">
            <v>balance</v>
          </cell>
          <cell r="L1707" t="str">
            <v>バランスタイプ</v>
          </cell>
          <cell r="M1707" t="str">
            <v>unknown</v>
          </cell>
        </row>
        <row r="1708">
          <cell r="A1708">
            <v>10102</v>
          </cell>
          <cell r="B1708" t="str">
            <v>ja</v>
          </cell>
          <cell r="C1708" t="str">
            <v>ローズ</v>
          </cell>
          <cell r="D1708" t="str">
            <v>未定</v>
          </cell>
          <cell r="E1708" t="str">
            <v>執行者</v>
          </cell>
          <cell r="F1708" t="str">
            <v>格好いい</v>
          </cell>
          <cell r="G1708" t="str">
            <v>不明</v>
          </cell>
          <cell r="H1708" t="str">
            <v>red</v>
          </cell>
          <cell r="I1708">
            <v>3</v>
          </cell>
          <cell r="J1708" t="str">
            <v>DropWizSSS</v>
          </cell>
          <cell r="K1708" t="str">
            <v>attack</v>
          </cell>
          <cell r="L1708" t="str">
            <v>攻撃タイプ</v>
          </cell>
          <cell r="M1708" t="str">
            <v>queen</v>
          </cell>
        </row>
        <row r="1709">
          <cell r="A1709">
            <v>10103</v>
          </cell>
          <cell r="B1709" t="str">
            <v>ja</v>
          </cell>
          <cell r="C1709" t="str">
            <v>ローズ</v>
          </cell>
          <cell r="D1709" t="str">
            <v>未定</v>
          </cell>
          <cell r="E1709" t="str">
            <v>執行者</v>
          </cell>
          <cell r="F1709" t="str">
            <v>格好いい</v>
          </cell>
          <cell r="G1709" t="str">
            <v>不明</v>
          </cell>
          <cell r="H1709" t="str">
            <v>red</v>
          </cell>
          <cell r="I1709">
            <v>4</v>
          </cell>
          <cell r="J1709" t="str">
            <v>DropWizSSS</v>
          </cell>
          <cell r="K1709" t="str">
            <v>attack</v>
          </cell>
          <cell r="L1709" t="str">
            <v>攻撃タイプ</v>
          </cell>
          <cell r="M1709" t="str">
            <v>queen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M53"/>
  <sheetViews>
    <sheetView zoomScale="75" zoomScaleNormal="75" zoomScalePageLayoutView="75" workbookViewId="0">
      <selection activeCell="B9" sqref="B9"/>
    </sheetView>
  </sheetViews>
  <sheetFormatPr baseColWidth="12" defaultRowHeight="15" x14ac:dyDescent="0.15"/>
  <cols>
    <col min="1" max="1" width="45" style="64" customWidth="1"/>
    <col min="2" max="16384" width="13" style="64"/>
  </cols>
  <sheetData>
    <row r="1" spans="1:13" x14ac:dyDescent="0.15">
      <c r="A1" s="64" t="s">
        <v>111</v>
      </c>
      <c r="B1" s="64" t="s">
        <v>112</v>
      </c>
    </row>
    <row r="2" spans="1:13" x14ac:dyDescent="0.15">
      <c r="A2" s="64" t="s">
        <v>113</v>
      </c>
      <c r="B2" s="64" t="s">
        <v>114</v>
      </c>
      <c r="C2" s="64" t="s">
        <v>115</v>
      </c>
      <c r="D2" s="64" t="s">
        <v>116</v>
      </c>
      <c r="E2" s="64" t="s">
        <v>117</v>
      </c>
      <c r="F2" s="64" t="s">
        <v>118</v>
      </c>
      <c r="G2" s="64" t="s">
        <v>119</v>
      </c>
      <c r="H2" s="64" t="s">
        <v>120</v>
      </c>
    </row>
    <row r="3" spans="1:13" x14ac:dyDescent="0.15">
      <c r="A3" s="64">
        <v>3</v>
      </c>
      <c r="B3" s="65" t="s">
        <v>121</v>
      </c>
      <c r="C3" s="65" t="s">
        <v>122</v>
      </c>
      <c r="D3" s="64">
        <v>0</v>
      </c>
      <c r="E3" s="65" t="s">
        <v>123</v>
      </c>
      <c r="F3" s="64">
        <v>0</v>
      </c>
      <c r="G3" s="64">
        <v>0</v>
      </c>
      <c r="H3" s="66">
        <v>0.5</v>
      </c>
    </row>
    <row r="4" spans="1:13" x14ac:dyDescent="0.15">
      <c r="A4" s="64">
        <v>4</v>
      </c>
      <c r="B4" s="65" t="s">
        <v>124</v>
      </c>
      <c r="C4" s="65" t="s">
        <v>125</v>
      </c>
      <c r="D4" s="65" t="s">
        <v>126</v>
      </c>
      <c r="E4" s="65" t="s">
        <v>127</v>
      </c>
      <c r="F4" s="65" t="s">
        <v>128</v>
      </c>
      <c r="G4" s="64">
        <v>0</v>
      </c>
      <c r="H4" s="66">
        <v>0.45</v>
      </c>
    </row>
    <row r="5" spans="1:13" x14ac:dyDescent="0.15">
      <c r="A5" s="64">
        <v>5</v>
      </c>
      <c r="B5" s="67">
        <v>0</v>
      </c>
      <c r="C5" s="65" t="s">
        <v>129</v>
      </c>
      <c r="D5" s="65" t="s">
        <v>130</v>
      </c>
      <c r="E5" s="65" t="s">
        <v>131</v>
      </c>
      <c r="F5" s="65" t="s">
        <v>132</v>
      </c>
      <c r="G5" s="65" t="s">
        <v>133</v>
      </c>
      <c r="H5" s="66">
        <v>0.05</v>
      </c>
    </row>
    <row r="6" spans="1:13" x14ac:dyDescent="0.15">
      <c r="B6" s="66" t="s">
        <v>134</v>
      </c>
      <c r="C6" s="66" t="s">
        <v>134</v>
      </c>
      <c r="D6" s="66" t="s">
        <v>135</v>
      </c>
      <c r="E6" s="66" t="s">
        <v>134</v>
      </c>
      <c r="F6" s="66" t="s">
        <v>134</v>
      </c>
      <c r="G6" s="68" t="s">
        <v>136</v>
      </c>
      <c r="H6" s="66">
        <v>1</v>
      </c>
    </row>
    <row r="7" spans="1:13" x14ac:dyDescent="0.15">
      <c r="B7" s="66"/>
      <c r="C7" s="66"/>
      <c r="D7" s="66"/>
      <c r="E7" s="66"/>
      <c r="F7" s="66"/>
      <c r="G7" s="68"/>
      <c r="H7" s="66"/>
    </row>
    <row r="8" spans="1:13" x14ac:dyDescent="0.15">
      <c r="A8" s="64" t="s">
        <v>137</v>
      </c>
      <c r="B8" s="66"/>
      <c r="C8" s="66"/>
      <c r="D8" s="66"/>
      <c r="E8" s="66"/>
      <c r="F8" s="66"/>
      <c r="G8" s="68"/>
      <c r="H8" s="66"/>
    </row>
    <row r="9" spans="1:13" x14ac:dyDescent="0.15">
      <c r="A9" s="64" t="s">
        <v>138</v>
      </c>
      <c r="B9" s="66"/>
      <c r="C9" s="66"/>
      <c r="D9" s="66"/>
      <c r="E9" s="66"/>
      <c r="F9" s="66"/>
      <c r="G9" s="68"/>
      <c r="H9" s="66"/>
    </row>
    <row r="10" spans="1:13" x14ac:dyDescent="0.15">
      <c r="A10" s="64" t="s">
        <v>139</v>
      </c>
      <c r="B10" s="66"/>
      <c r="C10" s="66"/>
      <c r="D10" s="66"/>
      <c r="E10" s="66"/>
      <c r="F10" s="66"/>
      <c r="G10" s="68"/>
      <c r="H10" s="66"/>
    </row>
    <row r="11" spans="1:13" x14ac:dyDescent="0.15">
      <c r="A11" s="64" t="s">
        <v>140</v>
      </c>
      <c r="B11" s="66"/>
      <c r="C11" s="66"/>
      <c r="D11" s="66"/>
      <c r="E11" s="66"/>
      <c r="F11" s="66"/>
      <c r="G11" s="68"/>
      <c r="H11" s="66"/>
    </row>
    <row r="12" spans="1:13" x14ac:dyDescent="0.15">
      <c r="A12" s="64" t="s">
        <v>133</v>
      </c>
      <c r="B12" s="66" t="s">
        <v>141</v>
      </c>
      <c r="C12" s="66" t="s">
        <v>142</v>
      </c>
      <c r="D12" s="66"/>
      <c r="E12" s="66"/>
      <c r="F12" s="66"/>
      <c r="G12" s="68"/>
      <c r="H12" s="66"/>
    </row>
    <row r="13" spans="1:13" x14ac:dyDescent="0.15">
      <c r="A13" s="64" t="s">
        <v>143</v>
      </c>
      <c r="B13" s="64" t="s">
        <v>144</v>
      </c>
      <c r="C13" s="64" t="s">
        <v>145</v>
      </c>
    </row>
    <row r="14" spans="1:13" x14ac:dyDescent="0.15">
      <c r="A14" s="64" t="s">
        <v>146</v>
      </c>
      <c r="B14" s="64" t="s">
        <v>141</v>
      </c>
      <c r="C14" s="67" t="s">
        <v>147</v>
      </c>
      <c r="E14" s="67"/>
      <c r="F14" s="67"/>
      <c r="M14" s="66"/>
    </row>
    <row r="15" spans="1:13" x14ac:dyDescent="0.15">
      <c r="A15" s="64" t="s">
        <v>123</v>
      </c>
      <c r="B15" s="66" t="s">
        <v>141</v>
      </c>
      <c r="C15" s="66" t="s">
        <v>148</v>
      </c>
      <c r="H15" s="69"/>
      <c r="M15" s="66"/>
    </row>
    <row r="16" spans="1:13" x14ac:dyDescent="0.15">
      <c r="A16" s="64" t="s">
        <v>127</v>
      </c>
      <c r="B16" s="66" t="s">
        <v>141</v>
      </c>
      <c r="C16" s="66" t="s">
        <v>149</v>
      </c>
      <c r="M16" s="66"/>
    </row>
    <row r="17" spans="1:13" x14ac:dyDescent="0.15">
      <c r="A17" s="64" t="s">
        <v>150</v>
      </c>
      <c r="B17" s="66" t="s">
        <v>141</v>
      </c>
      <c r="C17" s="66" t="s">
        <v>151</v>
      </c>
      <c r="M17" s="66"/>
    </row>
    <row r="18" spans="1:13" x14ac:dyDescent="0.15">
      <c r="B18" s="66"/>
      <c r="C18" s="66"/>
    </row>
    <row r="19" spans="1:13" x14ac:dyDescent="0.15">
      <c r="A19" s="64" t="s">
        <v>152</v>
      </c>
    </row>
    <row r="20" spans="1:13" x14ac:dyDescent="0.15">
      <c r="A20" s="64" t="s">
        <v>153</v>
      </c>
      <c r="B20" s="66"/>
      <c r="C20" s="66"/>
    </row>
    <row r="21" spans="1:13" x14ac:dyDescent="0.15">
      <c r="A21" s="64" t="s">
        <v>154</v>
      </c>
      <c r="B21" s="66" t="s">
        <v>155</v>
      </c>
      <c r="C21" s="66" t="s">
        <v>156</v>
      </c>
      <c r="D21" s="64" t="s">
        <v>157</v>
      </c>
    </row>
    <row r="22" spans="1:13" x14ac:dyDescent="0.15">
      <c r="A22" s="64" t="s">
        <v>158</v>
      </c>
      <c r="B22" s="66" t="s">
        <v>141</v>
      </c>
      <c r="C22" s="66" t="s">
        <v>159</v>
      </c>
      <c r="D22" s="64" t="s">
        <v>160</v>
      </c>
    </row>
    <row r="23" spans="1:13" x14ac:dyDescent="0.15">
      <c r="A23" s="64" t="s">
        <v>161</v>
      </c>
      <c r="B23" s="66" t="s">
        <v>141</v>
      </c>
      <c r="C23" s="64" t="s">
        <v>162</v>
      </c>
      <c r="D23" s="64" t="s">
        <v>163</v>
      </c>
    </row>
    <row r="24" spans="1:13" x14ac:dyDescent="0.15">
      <c r="A24" s="64" t="s">
        <v>164</v>
      </c>
      <c r="B24" s="66" t="s">
        <v>141</v>
      </c>
      <c r="C24" s="66" t="s">
        <v>165</v>
      </c>
      <c r="D24" s="64" t="s">
        <v>166</v>
      </c>
    </row>
    <row r="25" spans="1:13" x14ac:dyDescent="0.15">
      <c r="A25" s="64" t="s">
        <v>167</v>
      </c>
      <c r="B25" s="66" t="s">
        <v>141</v>
      </c>
      <c r="C25" s="66" t="s">
        <v>168</v>
      </c>
      <c r="D25" s="64" t="s">
        <v>169</v>
      </c>
    </row>
    <row r="26" spans="1:13" x14ac:dyDescent="0.15">
      <c r="A26" s="64" t="s">
        <v>170</v>
      </c>
      <c r="B26" s="66" t="s">
        <v>141</v>
      </c>
      <c r="C26" s="66" t="s">
        <v>171</v>
      </c>
      <c r="D26" s="64" t="s">
        <v>172</v>
      </c>
    </row>
    <row r="27" spans="1:13" x14ac:dyDescent="0.15">
      <c r="A27" s="64" t="s">
        <v>173</v>
      </c>
      <c r="B27" s="66" t="s">
        <v>141</v>
      </c>
      <c r="C27" s="66" t="s">
        <v>135</v>
      </c>
      <c r="D27" s="64" t="s">
        <v>174</v>
      </c>
      <c r="E27" s="64" t="s">
        <v>175</v>
      </c>
    </row>
    <row r="28" spans="1:13" x14ac:dyDescent="0.15">
      <c r="A28" s="64" t="s">
        <v>122</v>
      </c>
      <c r="B28" s="66" t="s">
        <v>141</v>
      </c>
      <c r="C28" s="66" t="s">
        <v>176</v>
      </c>
      <c r="E28" s="64" t="s">
        <v>177</v>
      </c>
    </row>
    <row r="29" spans="1:13" x14ac:dyDescent="0.15">
      <c r="A29" s="64" t="s">
        <v>125</v>
      </c>
      <c r="B29" s="66" t="s">
        <v>141</v>
      </c>
      <c r="C29" s="66" t="s">
        <v>178</v>
      </c>
    </row>
    <row r="30" spans="1:13" x14ac:dyDescent="0.15">
      <c r="B30" s="66"/>
    </row>
    <row r="31" spans="1:13" x14ac:dyDescent="0.15">
      <c r="A31" s="64" t="s">
        <v>179</v>
      </c>
    </row>
    <row r="32" spans="1:13" x14ac:dyDescent="0.15">
      <c r="A32" s="64" t="s">
        <v>180</v>
      </c>
      <c r="B32" s="66" t="s">
        <v>141</v>
      </c>
      <c r="C32" s="66" t="s">
        <v>181</v>
      </c>
    </row>
    <row r="33" spans="1:13" x14ac:dyDescent="0.15">
      <c r="A33" s="64" t="s">
        <v>125</v>
      </c>
      <c r="B33" s="66" t="s">
        <v>141</v>
      </c>
      <c r="C33" s="66" t="s">
        <v>182</v>
      </c>
    </row>
    <row r="34" spans="1:13" x14ac:dyDescent="0.15">
      <c r="A34" s="64" t="s">
        <v>122</v>
      </c>
      <c r="B34" s="66" t="s">
        <v>141</v>
      </c>
      <c r="C34" s="66" t="s">
        <v>183</v>
      </c>
    </row>
    <row r="35" spans="1:13" x14ac:dyDescent="0.15">
      <c r="A35" s="64" t="s">
        <v>121</v>
      </c>
      <c r="B35" s="66" t="s">
        <v>141</v>
      </c>
      <c r="C35" s="66" t="s">
        <v>184</v>
      </c>
    </row>
    <row r="36" spans="1:13" x14ac:dyDescent="0.15">
      <c r="A36" s="64" t="s">
        <v>124</v>
      </c>
      <c r="B36" s="66" t="s">
        <v>141</v>
      </c>
      <c r="C36" s="66" t="s">
        <v>185</v>
      </c>
    </row>
    <row r="37" spans="1:13" x14ac:dyDescent="0.15">
      <c r="A37" s="64" t="s">
        <v>130</v>
      </c>
      <c r="B37" s="66" t="s">
        <v>141</v>
      </c>
      <c r="C37" s="66" t="s">
        <v>186</v>
      </c>
    </row>
    <row r="38" spans="1:13" x14ac:dyDescent="0.15">
      <c r="A38" s="64" t="s">
        <v>126</v>
      </c>
      <c r="B38" s="66" t="s">
        <v>141</v>
      </c>
      <c r="C38" s="66" t="s">
        <v>187</v>
      </c>
    </row>
    <row r="40" spans="1:13" x14ac:dyDescent="0.15">
      <c r="J40" s="82" t="s">
        <v>213</v>
      </c>
      <c r="K40" s="82" t="s">
        <v>190</v>
      </c>
      <c r="M40" s="82" t="s">
        <v>238</v>
      </c>
    </row>
    <row r="41" spans="1:13" x14ac:dyDescent="0.15">
      <c r="J41" s="82" t="s">
        <v>214</v>
      </c>
      <c r="K41" s="82" t="s">
        <v>215</v>
      </c>
      <c r="M41" s="66" t="s">
        <v>185</v>
      </c>
    </row>
    <row r="42" spans="1:13" x14ac:dyDescent="0.15">
      <c r="J42" s="82" t="s">
        <v>216</v>
      </c>
      <c r="K42" s="82" t="s">
        <v>217</v>
      </c>
    </row>
    <row r="43" spans="1:13" x14ac:dyDescent="0.15">
      <c r="J43" s="82" t="s">
        <v>218</v>
      </c>
      <c r="K43" s="82" t="s">
        <v>219</v>
      </c>
    </row>
    <row r="44" spans="1:13" x14ac:dyDescent="0.15">
      <c r="J44" s="82" t="s">
        <v>220</v>
      </c>
      <c r="K44" s="82" t="s">
        <v>221</v>
      </c>
    </row>
    <row r="45" spans="1:13" x14ac:dyDescent="0.15">
      <c r="J45" s="82" t="s">
        <v>222</v>
      </c>
      <c r="K45" s="82" t="s">
        <v>223</v>
      </c>
    </row>
    <row r="46" spans="1:13" x14ac:dyDescent="0.15">
      <c r="J46" s="82" t="s">
        <v>224</v>
      </c>
      <c r="K46" s="82" t="s">
        <v>225</v>
      </c>
    </row>
    <row r="47" spans="1:13" x14ac:dyDescent="0.15">
      <c r="J47" s="82" t="s">
        <v>226</v>
      </c>
      <c r="K47" s="82" t="s">
        <v>230</v>
      </c>
    </row>
    <row r="48" spans="1:13" x14ac:dyDescent="0.15">
      <c r="J48" s="82" t="s">
        <v>227</v>
      </c>
      <c r="K48" s="82" t="s">
        <v>231</v>
      </c>
    </row>
    <row r="49" spans="10:11" x14ac:dyDescent="0.15">
      <c r="J49" s="82" t="s">
        <v>228</v>
      </c>
      <c r="K49" s="82" t="s">
        <v>232</v>
      </c>
    </row>
    <row r="50" spans="10:11" x14ac:dyDescent="0.15">
      <c r="J50" s="82" t="s">
        <v>229</v>
      </c>
      <c r="K50" s="82" t="s">
        <v>233</v>
      </c>
    </row>
    <row r="51" spans="10:11" x14ac:dyDescent="0.15">
      <c r="J51" s="82" t="s">
        <v>235</v>
      </c>
      <c r="K51" s="82" t="s">
        <v>234</v>
      </c>
    </row>
    <row r="52" spans="10:11" x14ac:dyDescent="0.15">
      <c r="J52" s="82" t="s">
        <v>236</v>
      </c>
      <c r="K52" s="82" t="s">
        <v>237</v>
      </c>
    </row>
    <row r="53" spans="10:11" x14ac:dyDescent="0.15">
      <c r="J53" s="82"/>
    </row>
  </sheetData>
  <phoneticPr fontId="20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4"/>
  <sheetViews>
    <sheetView workbookViewId="0">
      <selection activeCell="E33" sqref="E33"/>
    </sheetView>
  </sheetViews>
  <sheetFormatPr baseColWidth="12" defaultRowHeight="14" x14ac:dyDescent="0.15"/>
  <sheetData>
    <row r="1" spans="1:1" x14ac:dyDescent="0.15">
      <c r="A1" t="s">
        <v>78</v>
      </c>
    </row>
    <row r="2" spans="1:1" x14ac:dyDescent="0.15">
      <c r="A2" t="s">
        <v>79</v>
      </c>
    </row>
    <row r="3" spans="1:1" x14ac:dyDescent="0.15">
      <c r="A3" t="s">
        <v>80</v>
      </c>
    </row>
    <row r="4" spans="1:1" x14ac:dyDescent="0.15">
      <c r="A4" t="s">
        <v>81</v>
      </c>
    </row>
  </sheetData>
  <phoneticPr fontId="20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0000FF"/>
  </sheetPr>
  <dimension ref="A1:U10"/>
  <sheetViews>
    <sheetView tabSelected="1" workbookViewId="0"/>
  </sheetViews>
  <sheetFormatPr baseColWidth="12" defaultRowHeight="15" x14ac:dyDescent="0.15"/>
  <cols>
    <col min="1" max="1" width="13" style="18"/>
    <col min="2" max="2" width="14.796875" style="18" bestFit="1" customWidth="1"/>
    <col min="3" max="4" width="13" style="18"/>
    <col min="5" max="5" width="17.59765625" style="18" bestFit="1" customWidth="1"/>
    <col min="6" max="6" width="22.19921875" style="18" bestFit="1" customWidth="1"/>
    <col min="7" max="16384" width="13" style="18"/>
  </cols>
  <sheetData>
    <row r="1" spans="1:21" x14ac:dyDescent="0.15">
      <c r="A1" s="28" t="s">
        <v>51</v>
      </c>
      <c r="B1" s="16" t="s">
        <v>39</v>
      </c>
      <c r="C1" s="16" t="s">
        <v>40</v>
      </c>
      <c r="D1" s="16" t="s">
        <v>41</v>
      </c>
      <c r="E1" s="16" t="s">
        <v>42</v>
      </c>
      <c r="F1" s="16" t="s">
        <v>43</v>
      </c>
      <c r="G1" s="16" t="s">
        <v>44</v>
      </c>
      <c r="H1" s="16"/>
      <c r="I1" s="16"/>
      <c r="J1" s="16"/>
      <c r="K1" s="16"/>
      <c r="L1" s="17"/>
      <c r="M1" s="17"/>
      <c r="N1" s="17"/>
      <c r="O1" s="17"/>
    </row>
    <row r="2" spans="1:21" x14ac:dyDescent="0.15">
      <c r="A2" s="95" t="s">
        <v>249</v>
      </c>
      <c r="B2" s="61" t="s">
        <v>110</v>
      </c>
      <c r="C2" s="50" t="str">
        <f t="shared" ref="C2" si="0">RIGHT(F2,6)</f>
        <v>559100</v>
      </c>
      <c r="D2" s="19" t="s">
        <v>45</v>
      </c>
      <c r="E2" s="17" t="str">
        <f t="shared" ref="E2" si="1">B2&amp;C2&amp;D2</f>
        <v>gacha_select_tables_559100.tmp</v>
      </c>
      <c r="F2" s="98" t="s">
        <v>253</v>
      </c>
      <c r="G2" s="49" t="s">
        <v>85</v>
      </c>
      <c r="H2" s="22" t="s">
        <v>0</v>
      </c>
      <c r="I2" s="22" t="s">
        <v>3</v>
      </c>
      <c r="J2" s="22" t="s">
        <v>4</v>
      </c>
      <c r="K2" s="22" t="s">
        <v>5</v>
      </c>
      <c r="L2" s="22" t="s">
        <v>6</v>
      </c>
      <c r="M2" s="22" t="s">
        <v>7</v>
      </c>
      <c r="N2" s="22" t="s">
        <v>8</v>
      </c>
      <c r="O2" s="22" t="s">
        <v>9</v>
      </c>
    </row>
    <row r="3" spans="1:21" x14ac:dyDescent="0.15">
      <c r="A3" s="86" t="s">
        <v>241</v>
      </c>
      <c r="B3" s="61" t="s">
        <v>110</v>
      </c>
      <c r="C3" s="50" t="str">
        <f t="shared" ref="C3:C7" si="2">RIGHT(F3,6)</f>
        <v>559010</v>
      </c>
      <c r="D3" s="19" t="s">
        <v>45</v>
      </c>
      <c r="E3" s="17" t="str">
        <f t="shared" ref="E3:E10" si="3">B3&amp;C3&amp;D3</f>
        <v>gacha_select_tables_559010.tmp</v>
      </c>
      <c r="F3" s="98" t="s">
        <v>254</v>
      </c>
      <c r="G3" s="49" t="s">
        <v>85</v>
      </c>
      <c r="H3" s="22" t="s">
        <v>0</v>
      </c>
      <c r="I3" s="22" t="s">
        <v>3</v>
      </c>
      <c r="J3" s="22" t="s">
        <v>4</v>
      </c>
      <c r="K3" s="22" t="s">
        <v>5</v>
      </c>
      <c r="L3" s="22" t="s">
        <v>6</v>
      </c>
      <c r="M3" s="22" t="s">
        <v>7</v>
      </c>
      <c r="N3" s="22" t="s">
        <v>8</v>
      </c>
      <c r="O3" s="22" t="s">
        <v>9</v>
      </c>
    </row>
    <row r="4" spans="1:21" x14ac:dyDescent="0.15">
      <c r="A4" s="95" t="s">
        <v>249</v>
      </c>
      <c r="B4" s="92" t="s">
        <v>246</v>
      </c>
      <c r="C4" s="93" t="str">
        <f t="shared" si="2"/>
        <v>559100</v>
      </c>
      <c r="D4" s="19" t="s">
        <v>247</v>
      </c>
      <c r="E4" s="17" t="str">
        <f t="shared" si="3"/>
        <v>gacha_settle_tables_559100.tmp</v>
      </c>
      <c r="F4" s="98" t="s">
        <v>255</v>
      </c>
      <c r="G4" s="49" t="s">
        <v>85</v>
      </c>
      <c r="H4" s="22" t="s">
        <v>0</v>
      </c>
      <c r="I4" s="22" t="s">
        <v>3</v>
      </c>
      <c r="J4" s="22" t="s">
        <v>4</v>
      </c>
      <c r="K4" s="22" t="s">
        <v>5</v>
      </c>
      <c r="L4" s="22" t="s">
        <v>6</v>
      </c>
      <c r="M4" s="22" t="s">
        <v>7</v>
      </c>
      <c r="N4" s="22" t="s">
        <v>8</v>
      </c>
      <c r="O4" s="22" t="s">
        <v>9</v>
      </c>
    </row>
    <row r="5" spans="1:21" x14ac:dyDescent="0.15">
      <c r="A5" s="86" t="s">
        <v>241</v>
      </c>
      <c r="B5" s="61" t="s">
        <v>110</v>
      </c>
      <c r="C5" s="50" t="str">
        <f t="shared" si="2"/>
        <v>363104</v>
      </c>
      <c r="D5" s="19" t="s">
        <v>45</v>
      </c>
      <c r="E5" s="17" t="str">
        <f t="shared" ref="E5:E7" si="4">B5&amp;C5&amp;D5</f>
        <v>gacha_select_tables_363104.tmp</v>
      </c>
      <c r="F5" s="89" t="s">
        <v>243</v>
      </c>
      <c r="G5" s="49" t="s">
        <v>84</v>
      </c>
      <c r="H5" s="22" t="s">
        <v>0</v>
      </c>
      <c r="I5" s="22" t="s">
        <v>3</v>
      </c>
      <c r="J5" s="22" t="s">
        <v>4</v>
      </c>
      <c r="K5" s="22" t="s">
        <v>5</v>
      </c>
      <c r="L5" s="22" t="s">
        <v>6</v>
      </c>
      <c r="M5" s="22" t="s">
        <v>7</v>
      </c>
      <c r="N5" s="22" t="s">
        <v>8</v>
      </c>
      <c r="O5" s="22" t="s">
        <v>9</v>
      </c>
    </row>
    <row r="6" spans="1:21" x14ac:dyDescent="0.15">
      <c r="A6" s="86" t="s">
        <v>241</v>
      </c>
      <c r="B6" s="61" t="s">
        <v>110</v>
      </c>
      <c r="C6" s="50" t="str">
        <f t="shared" ref="C6" si="5">RIGHT(F6,6)</f>
        <v>363105</v>
      </c>
      <c r="D6" s="19" t="s">
        <v>45</v>
      </c>
      <c r="E6" s="17" t="str">
        <f t="shared" ref="E6" si="6">B6&amp;C6&amp;D6</f>
        <v>gacha_select_tables_363105.tmp</v>
      </c>
      <c r="F6" s="89" t="s">
        <v>244</v>
      </c>
      <c r="G6" s="49" t="s">
        <v>84</v>
      </c>
      <c r="H6" s="22" t="s">
        <v>0</v>
      </c>
      <c r="I6" s="22" t="s">
        <v>3</v>
      </c>
      <c r="J6" s="22" t="s">
        <v>4</v>
      </c>
      <c r="K6" s="22" t="s">
        <v>5</v>
      </c>
      <c r="L6" s="22" t="s">
        <v>6</v>
      </c>
      <c r="M6" s="22" t="s">
        <v>7</v>
      </c>
      <c r="N6" s="22" t="s">
        <v>8</v>
      </c>
      <c r="O6" s="22" t="s">
        <v>9</v>
      </c>
    </row>
    <row r="7" spans="1:21" x14ac:dyDescent="0.15">
      <c r="A7" s="86" t="s">
        <v>241</v>
      </c>
      <c r="B7" s="61" t="s">
        <v>110</v>
      </c>
      <c r="C7" s="50" t="str">
        <f t="shared" si="2"/>
        <v>363100</v>
      </c>
      <c r="D7" s="19" t="s">
        <v>45</v>
      </c>
      <c r="E7" s="17" t="str">
        <f t="shared" si="4"/>
        <v>gacha_select_tables_363100.tmp</v>
      </c>
      <c r="F7" s="89" t="s">
        <v>245</v>
      </c>
      <c r="G7" s="49" t="s">
        <v>84</v>
      </c>
      <c r="H7" s="22" t="s">
        <v>0</v>
      </c>
      <c r="I7" s="22" t="s">
        <v>3</v>
      </c>
      <c r="J7" s="22" t="s">
        <v>4</v>
      </c>
      <c r="K7" s="22" t="s">
        <v>5</v>
      </c>
      <c r="L7" s="22" t="s">
        <v>6</v>
      </c>
      <c r="M7" s="22" t="s">
        <v>7</v>
      </c>
      <c r="N7" s="22" t="s">
        <v>8</v>
      </c>
      <c r="O7" s="22" t="s">
        <v>9</v>
      </c>
    </row>
    <row r="8" spans="1:21" x14ac:dyDescent="0.15">
      <c r="A8" s="86" t="s">
        <v>241</v>
      </c>
      <c r="B8" s="27" t="s">
        <v>50</v>
      </c>
      <c r="C8" s="32">
        <v>363</v>
      </c>
      <c r="D8" s="19" t="s">
        <v>46</v>
      </c>
      <c r="E8" s="17" t="str">
        <f t="shared" si="3"/>
        <v>gacha_bonus_tables_363.tmp</v>
      </c>
      <c r="F8" s="19" t="s">
        <v>47</v>
      </c>
      <c r="G8" s="21" t="s">
        <v>11</v>
      </c>
      <c r="H8" s="23" t="s">
        <v>14</v>
      </c>
      <c r="I8" s="21" t="s">
        <v>12</v>
      </c>
      <c r="J8" s="20"/>
      <c r="K8" s="20"/>
      <c r="L8" s="20"/>
      <c r="M8" s="20"/>
      <c r="N8" s="20"/>
      <c r="O8" s="20"/>
    </row>
    <row r="9" spans="1:21" x14ac:dyDescent="0.15">
      <c r="A9" s="86" t="s">
        <v>241</v>
      </c>
      <c r="B9" s="19" t="s">
        <v>48</v>
      </c>
      <c r="C9" s="32">
        <v>363</v>
      </c>
      <c r="D9" s="19" t="s">
        <v>46</v>
      </c>
      <c r="E9" s="17" t="str">
        <f t="shared" si="3"/>
        <v>gifts_tmp_363.tmp</v>
      </c>
      <c r="F9" s="19" t="s">
        <v>47</v>
      </c>
      <c r="G9" s="23" t="s">
        <v>22</v>
      </c>
      <c r="H9" s="24" t="s">
        <v>30</v>
      </c>
      <c r="I9" s="23" t="s">
        <v>23</v>
      </c>
      <c r="J9" s="23" t="s">
        <v>24</v>
      </c>
      <c r="K9" s="23" t="s">
        <v>24</v>
      </c>
      <c r="L9" s="23" t="s">
        <v>25</v>
      </c>
      <c r="M9" s="23" t="s">
        <v>25</v>
      </c>
      <c r="N9" s="23" t="s">
        <v>25</v>
      </c>
      <c r="O9" s="51" t="s">
        <v>7</v>
      </c>
      <c r="P9" s="51" t="s">
        <v>9</v>
      </c>
      <c r="Q9" s="51" t="s">
        <v>6</v>
      </c>
      <c r="R9" s="51" t="s">
        <v>86</v>
      </c>
      <c r="S9" s="51" t="s">
        <v>8</v>
      </c>
      <c r="T9" s="51" t="s">
        <v>87</v>
      </c>
      <c r="U9" s="51" t="s">
        <v>5</v>
      </c>
    </row>
    <row r="10" spans="1:21" x14ac:dyDescent="0.15">
      <c r="A10" s="86" t="s">
        <v>241</v>
      </c>
      <c r="B10" s="19" t="s">
        <v>49</v>
      </c>
      <c r="C10" s="32">
        <v>363</v>
      </c>
      <c r="D10" s="19" t="s">
        <v>46</v>
      </c>
      <c r="E10" s="17" t="str">
        <f t="shared" si="3"/>
        <v>gifts_i18n_363.tmp</v>
      </c>
      <c r="F10" s="19" t="s">
        <v>47</v>
      </c>
      <c r="G10" s="23" t="s">
        <v>13</v>
      </c>
      <c r="H10" s="25" t="s">
        <v>26</v>
      </c>
      <c r="I10" s="25" t="s">
        <v>27</v>
      </c>
      <c r="J10" s="25" t="s">
        <v>28</v>
      </c>
      <c r="K10" s="25" t="s">
        <v>29</v>
      </c>
      <c r="L10" s="26"/>
      <c r="M10" s="23"/>
      <c r="N10" s="23"/>
      <c r="O10" s="19"/>
    </row>
  </sheetData>
  <phoneticPr fontId="20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>
    <tabColor theme="5"/>
  </sheetPr>
  <dimension ref="A1:V50"/>
  <sheetViews>
    <sheetView workbookViewId="0">
      <selection activeCell="F50" sqref="F50"/>
    </sheetView>
  </sheetViews>
  <sheetFormatPr baseColWidth="12" defaultRowHeight="14" x14ac:dyDescent="0.15"/>
  <cols>
    <col min="1" max="2" width="24.19921875" bestFit="1" customWidth="1"/>
    <col min="13" max="13" width="20.796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559100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6">
        <v>1159</v>
      </c>
      <c r="M3" s="37" t="str">
        <f>VLOOKUP(L3,[1]characters!$A:$C,3,FALSE)</f>
        <v>ガロア</v>
      </c>
      <c r="N3" s="76">
        <v>5.0000000000000001E-3</v>
      </c>
      <c r="O3" s="37">
        <f>VLOOKUP(L3,[1]characters!$A:$I,9,FALSE)</f>
        <v>5</v>
      </c>
      <c r="P3" s="37" t="str">
        <f>VLOOKUP(L3,[1]characters!$A:$J,10,FALSE)</f>
        <v>PremiumSSS</v>
      </c>
      <c r="Q3" s="37" t="str">
        <f>VLOOKUP(L3,tables_559100!B:C,2,FALSE)</f>
        <v>PremiumSSS5R3less</v>
      </c>
      <c r="R3" s="62">
        <f t="shared" ref="R3:R20" si="1">N3*A$36</f>
        <v>163200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6">
        <v>750</v>
      </c>
      <c r="M4" s="37" t="str">
        <f>VLOOKUP(L4,[1]characters!$A:$C,3,FALSE)</f>
        <v>ポアソン</v>
      </c>
      <c r="N4" s="76">
        <v>5.0000000000000001E-3</v>
      </c>
      <c r="O4" s="37">
        <f>VLOOKUP(L4,[1]characters!$A:$I,9,FALSE)</f>
        <v>5</v>
      </c>
      <c r="P4" s="37" t="str">
        <f>VLOOKUP(L4,[1]characters!$A:$J,10,FALSE)</f>
        <v>PremiumSSS</v>
      </c>
      <c r="Q4" s="37" t="str">
        <f>VLOOKUP(L4,tables_559100!B:C,2,FALSE)</f>
        <v>PremiumSSS5R3less</v>
      </c>
      <c r="R4" s="62">
        <f t="shared" si="1"/>
        <v>163200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v>0</v>
      </c>
      <c r="D5" t="s">
        <v>201</v>
      </c>
      <c r="E5" s="43">
        <f>(B11-H5)/(F5-I5)</f>
        <v>8.8235294117647051E-4</v>
      </c>
      <c r="F5">
        <f>(COUNTIF(tables_559100!C:C,input_559100!A28)+COUNTIF(tables_559100!C:C,input_559100!A29))</f>
        <v>72</v>
      </c>
      <c r="H5" s="83">
        <v>1.4999999999999999E-2</v>
      </c>
      <c r="I5" s="31">
        <v>4</v>
      </c>
      <c r="L5" s="60">
        <v>378</v>
      </c>
      <c r="M5" s="37" t="str">
        <f>VLOOKUP(L5,[1]characters!$A:$C,3,FALSE)</f>
        <v>オイラー</v>
      </c>
      <c r="N5" s="76">
        <v>2.5000000000000001E-3</v>
      </c>
      <c r="O5" s="37">
        <f>VLOOKUP(L5,[1]characters!$A:$I,9,FALSE)</f>
        <v>4</v>
      </c>
      <c r="P5" s="37" t="str">
        <f>VLOOKUP(L5,[1]characters!$A:$J,10,FALSE)</f>
        <v>PremiumSSS</v>
      </c>
      <c r="Q5" s="37" t="str">
        <f>VLOOKUP(L5,tables_559100!B:C,2,FALSE)</f>
        <v>PremiumSSS4R3less</v>
      </c>
      <c r="R5" s="62">
        <f t="shared" si="1"/>
        <v>81600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v>0.85</v>
      </c>
      <c r="D6" t="s">
        <v>202</v>
      </c>
      <c r="E6" s="76">
        <f>(B10-H6)/(F6-I6)</f>
        <v>9.479166666666667E-3</v>
      </c>
      <c r="F6">
        <f>(COUNTIF(tables_559100!C:C,input_559100!A25)+COUNTIF(tables_559100!C:C,input_559100!A18)+COUNTIF(tables_559100!C:C,input_559100!A20)+COUNTIF(tables_559100!C:C,input_559100!A22))</f>
        <v>96</v>
      </c>
      <c r="H6" s="88">
        <v>0</v>
      </c>
      <c r="I6" s="31">
        <v>0</v>
      </c>
      <c r="L6" s="60">
        <v>379</v>
      </c>
      <c r="M6" s="37" t="str">
        <f>VLOOKUP(L6,[1]characters!$A:$C,3,FALSE)</f>
        <v>幾何の機刃 オイラー</v>
      </c>
      <c r="N6" s="76">
        <v>2.5000000000000001E-3</v>
      </c>
      <c r="O6" s="37">
        <f>VLOOKUP(L6,[1]characters!$A:$I,9,FALSE)</f>
        <v>5</v>
      </c>
      <c r="P6" s="37" t="str">
        <f>VLOOKUP(L6,[1]characters!$A:$J,10,FALSE)</f>
        <v>PremiumSSS</v>
      </c>
      <c r="Q6" s="37" t="str">
        <f>VLOOKUP(L6,tables_559100!B:C,2,FALSE)</f>
        <v>PremiumSSS5R3less</v>
      </c>
      <c r="R6" s="62">
        <f t="shared" si="1"/>
        <v>81600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0.15</v>
      </c>
      <c r="L7" s="60"/>
      <c r="M7" s="37" t="e">
        <f>VLOOKUP(L7,[1]characters!$A:$C,3,FALSE)</f>
        <v>#N/A</v>
      </c>
      <c r="N7" s="76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VLOOKUP(L7,tables_559100!B:C,2,FALSE)</f>
        <v>#N/A</v>
      </c>
      <c r="R7" s="62">
        <f t="shared" si="1"/>
        <v>0</v>
      </c>
      <c r="S7">
        <v>597</v>
      </c>
      <c r="U7" s="33" t="s">
        <v>196</v>
      </c>
      <c r="V7" s="54">
        <f t="shared" si="0"/>
        <v>0</v>
      </c>
    </row>
    <row r="8" spans="1:22" x14ac:dyDescent="0.15">
      <c r="A8" s="57"/>
      <c r="B8" s="71"/>
      <c r="E8" s="76"/>
      <c r="L8" s="90"/>
      <c r="M8" s="37" t="e">
        <f>VLOOKUP(L8,[1]characters!$A:$C,3,FALSE)</f>
        <v>#N/A</v>
      </c>
      <c r="N8" s="76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VLOOKUP(L8,tables_559100!B:C,2,FALSE)</f>
        <v>#N/A</v>
      </c>
      <c r="R8" s="62">
        <f t="shared" si="1"/>
        <v>0</v>
      </c>
      <c r="S8">
        <v>598</v>
      </c>
      <c r="U8" s="33" t="s">
        <v>197</v>
      </c>
      <c r="V8" s="54">
        <f t="shared" si="0"/>
        <v>0</v>
      </c>
    </row>
    <row r="9" spans="1:22" x14ac:dyDescent="0.15">
      <c r="A9" s="35" t="s">
        <v>54</v>
      </c>
      <c r="B9" s="35"/>
      <c r="L9" s="87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VLOOKUP(L9,tables_559100!B:C,2,FALSE)</f>
        <v>#N/A</v>
      </c>
      <c r="R9" s="62">
        <f t="shared" si="1"/>
        <v>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f>1-B11-B12</f>
        <v>0.91</v>
      </c>
      <c r="C10" t="s">
        <v>208</v>
      </c>
      <c r="L10" s="87"/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VLOOKUP(L10,tables_559100!B:C,2,FALSE)</f>
        <v>#N/A</v>
      </c>
      <c r="R10" s="62">
        <f t="shared" si="1"/>
        <v>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7">
        <v>7.4999999999999997E-2</v>
      </c>
      <c r="C11" t="s">
        <v>242</v>
      </c>
      <c r="L11" s="87"/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VLOOKUP(L11,tables_559100!B:C,2,FALSE)</f>
        <v>#N/A</v>
      </c>
      <c r="R11" s="62">
        <f t="shared" si="1"/>
        <v>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1.4999999999999999E-2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VLOOKUP(L12,tables_559100!B:C,2,FALSE)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VLOOKUP(L13,tables_559100!B:C,2,FALSE)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VLOOKUP(L14,tables_559100!B:C,2,FALSE)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0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VLOOKUP(L15,tables_559100!B:C,2,FALSE)</f>
        <v>#N/A</v>
      </c>
      <c r="R15" s="62">
        <f t="shared" si="1"/>
        <v>0</v>
      </c>
      <c r="S15">
        <v>395</v>
      </c>
      <c r="U15" s="33" t="s">
        <v>198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VLOOKUP(L16,tables_559100!B:C,2,FALSE)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1">
        <f>B$5-B19-B24</f>
        <v>0</v>
      </c>
      <c r="C17" s="84">
        <f t="shared" ref="C17:C31" si="2">SUMIF(Q:Q,A17,N:N)</f>
        <v>0</v>
      </c>
      <c r="D17" s="74">
        <f t="shared" ref="D17:D32" si="3">B17-C17</f>
        <v>0</v>
      </c>
      <c r="E17">
        <f>COUNTIF(tables_559100!C:C,input_559100!A17)-COUNTIF(Q:Q,A17)</f>
        <v>20</v>
      </c>
      <c r="F17" s="43">
        <f>IFERROR(B17/E17,0)</f>
        <v>0</v>
      </c>
      <c r="G17">
        <f t="shared" ref="G17:G31" si="4">A$36*B17</f>
        <v>0</v>
      </c>
      <c r="H17">
        <f t="shared" ref="H17:H31" si="5">IFERROR(ROUND(G17/E17,5),0)</f>
        <v>0</v>
      </c>
      <c r="I17">
        <f t="shared" ref="I17:I31" si="6">MOD(H17,1)</f>
        <v>0</v>
      </c>
      <c r="J17">
        <f t="shared" ref="J17:J31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VLOOKUP(L17,tables_559100!B:C,2,FALSE)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191</v>
      </c>
      <c r="B18" s="56">
        <f>B6-SUM(B20,B22,B25,B27,B30)-C30</f>
        <v>0.21847708333333332</v>
      </c>
      <c r="C18" s="84">
        <f t="shared" si="2"/>
        <v>0</v>
      </c>
      <c r="D18" s="74">
        <f t="shared" si="3"/>
        <v>0.21847708333333332</v>
      </c>
      <c r="E18">
        <f>COUNTIF(tables_559100!C:C,input_559100!A18)-COUNTIF(Q:Q,A18)</f>
        <v>20</v>
      </c>
      <c r="F18" s="43">
        <f>IFERROR(B18/E18,0)</f>
        <v>1.0923854166666667E-2</v>
      </c>
      <c r="G18">
        <f t="shared" si="4"/>
        <v>7131092</v>
      </c>
      <c r="H18">
        <f t="shared" si="5"/>
        <v>356554.6</v>
      </c>
      <c r="I18">
        <f t="shared" si="6"/>
        <v>0.59999999997671694</v>
      </c>
      <c r="J18">
        <f t="shared" si="7"/>
        <v>1.6666666667313419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VLOOKUP(L18,tables_559100!B:C,2,FALSE)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</v>
      </c>
      <c r="C19" s="84">
        <f t="shared" si="2"/>
        <v>0</v>
      </c>
      <c r="D19" s="74">
        <f t="shared" si="3"/>
        <v>0</v>
      </c>
      <c r="E19">
        <f>COUNTIF(tables_559100!C:C,input_559100!A19)-COUNTIF(Q:Q,A19)</f>
        <v>52</v>
      </c>
      <c r="F19" s="43">
        <f t="shared" ref="F19:F31" si="8">IFERROR(B19/E19,0)</f>
        <v>0</v>
      </c>
      <c r="G19">
        <f t="shared" si="4"/>
        <v>0</v>
      </c>
      <c r="H19">
        <f t="shared" si="5"/>
        <v>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VLOOKUP(L19,tables_559100!B:C,2,FALSE)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91">
        <f>E$6*E20*B$6</f>
        <v>0.41897916666666668</v>
      </c>
      <c r="C20" s="84">
        <f t="shared" si="2"/>
        <v>0</v>
      </c>
      <c r="D20" s="74">
        <f t="shared" si="3"/>
        <v>0.41897916666666668</v>
      </c>
      <c r="E20">
        <f>COUNTIF(tables_559100!C:C,input_559100!A20)-COUNTIF(Q:Q,A20)</f>
        <v>52</v>
      </c>
      <c r="F20" s="43">
        <f t="shared" si="8"/>
        <v>8.0572916666666675E-3</v>
      </c>
      <c r="G20">
        <f t="shared" si="4"/>
        <v>13675480</v>
      </c>
      <c r="H20">
        <f t="shared" si="5"/>
        <v>262990</v>
      </c>
      <c r="I20">
        <f t="shared" si="6"/>
        <v>0</v>
      </c>
      <c r="J20">
        <f t="shared" si="7"/>
        <v>1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VLOOKUP(L20,tables_559100!B:C,2,FALSE)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56">
        <f>B7-B23-B26-B28-B29-C31</f>
        <v>4.5043749999999994E-2</v>
      </c>
      <c r="C21" s="84">
        <f t="shared" si="2"/>
        <v>0</v>
      </c>
      <c r="D21" s="74">
        <f t="shared" si="3"/>
        <v>4.5043749999999994E-2</v>
      </c>
      <c r="E21">
        <f>COUNTIF(tables_559100!C:C,input_559100!A21)-COUNTIF(Q:Q,A21)</f>
        <v>52</v>
      </c>
      <c r="F21" s="43">
        <f t="shared" si="8"/>
        <v>8.6622596153846146E-4</v>
      </c>
      <c r="G21">
        <f t="shared" si="4"/>
        <v>1470227.9999999998</v>
      </c>
      <c r="H21">
        <f t="shared" si="5"/>
        <v>28273.615379999999</v>
      </c>
      <c r="I21">
        <f t="shared" si="6"/>
        <v>0.61537999999927706</v>
      </c>
      <c r="J21">
        <f t="shared" si="7"/>
        <v>1.6250121875933159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75">
        <f>E$6*E22-B23</f>
        <v>0.15261458333333333</v>
      </c>
      <c r="C22" s="84">
        <f t="shared" si="2"/>
        <v>0</v>
      </c>
      <c r="D22" s="74">
        <f t="shared" si="3"/>
        <v>0.15261458333333333</v>
      </c>
      <c r="E22">
        <f>COUNTIF(tables_559100!C:C,input_559100!A22)-COUNTIF(Q:Q,A22)</f>
        <v>20</v>
      </c>
      <c r="F22" s="43">
        <f t="shared" si="8"/>
        <v>7.6307291666666667E-3</v>
      </c>
      <c r="G22">
        <f t="shared" si="4"/>
        <v>4981340</v>
      </c>
      <c r="H22">
        <f t="shared" si="5"/>
        <v>249067</v>
      </c>
      <c r="I22">
        <f t="shared" si="6"/>
        <v>0</v>
      </c>
      <c r="J22">
        <f t="shared" si="7"/>
        <v>1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E23*E6*B7</f>
        <v>3.6968750000000002E-2</v>
      </c>
      <c r="C23" s="84">
        <f t="shared" si="2"/>
        <v>0</v>
      </c>
      <c r="D23" s="74">
        <f t="shared" si="3"/>
        <v>3.6968750000000002E-2</v>
      </c>
      <c r="E23">
        <f>COUNTIF(tables_559100!C:C,input_559100!A23)-COUNTIF(Q:Q,A23)</f>
        <v>26</v>
      </c>
      <c r="F23" s="43">
        <f t="shared" si="8"/>
        <v>1.421875E-3</v>
      </c>
      <c r="G23">
        <f t="shared" si="4"/>
        <v>1206660</v>
      </c>
      <c r="H23">
        <f t="shared" si="5"/>
        <v>46410</v>
      </c>
      <c r="I23">
        <f t="shared" si="6"/>
        <v>0</v>
      </c>
      <c r="J23">
        <f t="shared" si="7"/>
        <v>1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E$6*E24*B$5</f>
        <v>0</v>
      </c>
      <c r="C24" s="84">
        <f t="shared" si="2"/>
        <v>0</v>
      </c>
      <c r="D24" s="74">
        <f t="shared" si="3"/>
        <v>0</v>
      </c>
      <c r="E24">
        <f>COUNTIF(tables_559100!C:C,input_559100!A24)-COUNTIF(Q:Q,A24)</f>
        <v>4</v>
      </c>
      <c r="F24" s="43">
        <f t="shared" si="8"/>
        <v>0</v>
      </c>
      <c r="G24">
        <f t="shared" si="4"/>
        <v>0</v>
      </c>
      <c r="H24">
        <f t="shared" si="5"/>
        <v>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56">
        <f>E$6*B$6*E25</f>
        <v>3.222916666666667E-2</v>
      </c>
      <c r="C25" s="84">
        <f t="shared" si="2"/>
        <v>0</v>
      </c>
      <c r="D25" s="74">
        <f t="shared" si="3"/>
        <v>3.222916666666667E-2</v>
      </c>
      <c r="E25">
        <f>COUNTIF(tables_559100!C:C,input_559100!A25)-COUNTIF(Q:Q,A25)</f>
        <v>4</v>
      </c>
      <c r="F25" s="43">
        <f t="shared" si="8"/>
        <v>8.0572916666666675E-3</v>
      </c>
      <c r="G25">
        <f t="shared" si="4"/>
        <v>1051960</v>
      </c>
      <c r="H25">
        <f t="shared" si="5"/>
        <v>262990</v>
      </c>
      <c r="I25">
        <f t="shared" si="6"/>
        <v>0</v>
      </c>
      <c r="J25">
        <f t="shared" si="7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E$6*B$7*E26</f>
        <v>5.6874999999999998E-3</v>
      </c>
      <c r="C26" s="84">
        <f t="shared" si="2"/>
        <v>0</v>
      </c>
      <c r="D26" s="74">
        <f t="shared" si="3"/>
        <v>5.6874999999999998E-3</v>
      </c>
      <c r="E26">
        <f>COUNTIF(tables_559100!C:C,input_559100!A26)-COUNTIF(Q:Q,A26)</f>
        <v>4</v>
      </c>
      <c r="F26" s="43">
        <f t="shared" si="8"/>
        <v>1.421875E-3</v>
      </c>
      <c r="G26">
        <f t="shared" si="4"/>
        <v>185640</v>
      </c>
      <c r="H26">
        <f t="shared" si="5"/>
        <v>46410</v>
      </c>
      <c r="I26">
        <f t="shared" si="6"/>
        <v>0</v>
      </c>
      <c r="J26">
        <f t="shared" si="7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56">
        <f>E$5*E27*(B$5+B$6)*1.2</f>
        <v>2.5199999999999997E-2</v>
      </c>
      <c r="C27" s="84">
        <f t="shared" si="2"/>
        <v>0</v>
      </c>
      <c r="D27" s="74">
        <f t="shared" si="3"/>
        <v>2.5199999999999997E-2</v>
      </c>
      <c r="E27">
        <f>COUNTIF(tables_559100!C:C,input_559100!A27)-COUNTIF(Q:Q,A27)</f>
        <v>28</v>
      </c>
      <c r="F27" s="43">
        <f>IFERROR(B27/E27,0)</f>
        <v>8.9999999999999987E-4</v>
      </c>
      <c r="G27">
        <f t="shared" si="4"/>
        <v>822527.99999999988</v>
      </c>
      <c r="H27">
        <f t="shared" si="5"/>
        <v>29376</v>
      </c>
      <c r="I27">
        <f t="shared" si="6"/>
        <v>0</v>
      </c>
      <c r="J27">
        <f t="shared" si="7"/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E$5*E28*B$7*1.2</f>
        <v>4.4470588235294107E-3</v>
      </c>
      <c r="C28" s="84">
        <f t="shared" si="2"/>
        <v>0</v>
      </c>
      <c r="D28" s="74">
        <f t="shared" si="3"/>
        <v>4.4470588235294107E-3</v>
      </c>
      <c r="E28">
        <f>COUNTIF(tables_559100!C:C,input_559100!A28)-COUNTIF(Q:Q,A28)</f>
        <v>28</v>
      </c>
      <c r="F28" s="43">
        <f t="shared" si="8"/>
        <v>1.5882352941176466E-4</v>
      </c>
      <c r="G28">
        <f t="shared" si="4"/>
        <v>145151.99999999997</v>
      </c>
      <c r="H28">
        <f t="shared" si="5"/>
        <v>5184</v>
      </c>
      <c r="I28">
        <f t="shared" si="6"/>
        <v>0</v>
      </c>
      <c r="J28">
        <f t="shared" si="7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199</v>
      </c>
      <c r="B29" s="97">
        <f>B11-B27-B28</f>
        <v>4.5352941176470589E-2</v>
      </c>
      <c r="C29" s="84">
        <f t="shared" si="2"/>
        <v>0</v>
      </c>
      <c r="D29" s="74">
        <f t="shared" si="3"/>
        <v>4.5352941176470589E-2</v>
      </c>
      <c r="E29">
        <f>COUNTIF(tables_559100!C:C,input_559100!A29)-COUNTIF(Q:Q,A29)</f>
        <v>44</v>
      </c>
      <c r="F29" s="43">
        <f t="shared" si="8"/>
        <v>1.0307486631016044E-3</v>
      </c>
      <c r="G29">
        <f t="shared" si="4"/>
        <v>1480320</v>
      </c>
      <c r="H29">
        <f t="shared" si="5"/>
        <v>33643.636359999997</v>
      </c>
      <c r="I29">
        <f t="shared" si="6"/>
        <v>0.63635999999678461</v>
      </c>
      <c r="J29">
        <f t="shared" si="7"/>
        <v>1.5714375510796605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239</v>
      </c>
      <c r="B30" s="56">
        <f>0</f>
        <v>0</v>
      </c>
      <c r="C30" s="84">
        <f>SUMIF(Q:Q,A30,N:N)</f>
        <v>2.5000000000000001E-3</v>
      </c>
      <c r="D30" s="74">
        <f t="shared" si="3"/>
        <v>-2.5000000000000001E-3</v>
      </c>
      <c r="E30">
        <f>COUNTIF(tables_559100!C:C,input_559100!A30)-COUNTIF(Q:Q,A30)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240</v>
      </c>
      <c r="B31" s="56">
        <v>0</v>
      </c>
      <c r="C31" s="84">
        <f>SUMIF(Q:Q,A31,N:N)</f>
        <v>1.2500000000000001E-2</v>
      </c>
      <c r="D31" s="74">
        <f t="shared" si="3"/>
        <v>-1.2500000000000001E-2</v>
      </c>
      <c r="E31">
        <f>COUNTIF(tables_559100!C:C,input_559100!A31)-COUNTIF(Q:Q,A31)</f>
        <v>0</v>
      </c>
      <c r="F31" s="43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59</v>
      </c>
      <c r="B32" s="40">
        <f>SUM(B17:B31)</f>
        <v>0.98499999999999999</v>
      </c>
      <c r="C32" s="41">
        <f>SUM(C19:C31)</f>
        <v>1.5000000000000001E-2</v>
      </c>
      <c r="D32" s="42">
        <f t="shared" si="3"/>
        <v>0.97</v>
      </c>
      <c r="L32" s="57"/>
      <c r="M32" s="57"/>
      <c r="N32" s="57"/>
      <c r="O32" s="57"/>
      <c r="P32" s="57"/>
      <c r="Q32" s="57"/>
      <c r="R32" s="59"/>
    </row>
    <row r="34" spans="1:7" x14ac:dyDescent="0.15">
      <c r="E34" s="55"/>
      <c r="F34" s="55"/>
    </row>
    <row r="35" spans="1:7" x14ac:dyDescent="0.15">
      <c r="A35" t="s">
        <v>73</v>
      </c>
      <c r="F35" s="94"/>
    </row>
    <row r="36" spans="1:7" x14ac:dyDescent="0.15">
      <c r="A36" s="31">
        <f>LCM(F5-I5,F6-I6)*1000*2*2*5</f>
        <v>32640000</v>
      </c>
    </row>
    <row r="38" spans="1:7" x14ac:dyDescent="0.15">
      <c r="A38" s="47" t="s">
        <v>76</v>
      </c>
    </row>
    <row r="39" spans="1:7" x14ac:dyDescent="0.15">
      <c r="A39" s="33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3" t="s">
        <v>103</v>
      </c>
      <c r="B40">
        <f ca="1">SUMIF(tables_559100!C:C,input_559100!A40,tables_559100!O:O)</f>
        <v>0</v>
      </c>
      <c r="C40" s="54">
        <f t="shared" ref="C40:C46" ca="1" si="9">B40/B$47</f>
        <v>0</v>
      </c>
      <c r="E40">
        <v>3</v>
      </c>
      <c r="F40">
        <f ca="1">SUMIF(tables_559100!J:J,input_559100!E40,tables_559100!O:O)</f>
        <v>0</v>
      </c>
      <c r="G40">
        <f ca="1">F40/A36</f>
        <v>0</v>
      </c>
    </row>
    <row r="41" spans="1:7" x14ac:dyDescent="0.15">
      <c r="A41" s="33" t="s">
        <v>104</v>
      </c>
      <c r="B41">
        <f ca="1">SUMIF(tables_559100!C:C,input_559100!A41,tables_559100!O:O)</f>
        <v>13675480</v>
      </c>
      <c r="C41" s="54">
        <f t="shared" ca="1" si="9"/>
        <v>0.84870295435098375</v>
      </c>
      <c r="E41">
        <v>4</v>
      </c>
      <c r="F41">
        <f ca="1">SUMIF(tables_559100!J:J,input_559100!E41,tables_559100!O:O)</f>
        <v>27743999.999999996</v>
      </c>
      <c r="G41">
        <f ca="1">F41/A36</f>
        <v>0.84999999999999987</v>
      </c>
    </row>
    <row r="42" spans="1:7" x14ac:dyDescent="0.15">
      <c r="A42" s="33" t="s">
        <v>106</v>
      </c>
      <c r="B42">
        <f ca="1">SUMIF(tables_559100!C:C,input_559100!A42,tables_559100!O:O)</f>
        <v>822528</v>
      </c>
      <c r="C42" s="54">
        <f t="shared" ca="1" si="9"/>
        <v>5.1046248002732331E-2</v>
      </c>
      <c r="E42">
        <v>5</v>
      </c>
      <c r="F42">
        <f ca="1">SUMIF(tables_559100!J:J,input_559100!E42,tables_559100!O:O)</f>
        <v>4895999.999599996</v>
      </c>
      <c r="G42">
        <f ca="1">F42/A36</f>
        <v>0.14999999998774496</v>
      </c>
    </row>
    <row r="43" spans="1:7" x14ac:dyDescent="0.15">
      <c r="A43" s="33" t="s">
        <v>109</v>
      </c>
      <c r="B43">
        <f>SUMIF(tables_559100!C:C,input_559100!A43,tables_559100!O:O)</f>
        <v>0</v>
      </c>
      <c r="C43" s="54">
        <f t="shared" ca="1" si="9"/>
        <v>0</v>
      </c>
      <c r="F43" s="55"/>
    </row>
    <row r="44" spans="1:7" x14ac:dyDescent="0.15">
      <c r="A44" s="33" t="s">
        <v>105</v>
      </c>
      <c r="B44">
        <f ca="1">SUMIF(tables_559100!C:C,input_559100!A44,tables_559100!O:O)</f>
        <v>1470227.9997600005</v>
      </c>
      <c r="C44" s="54">
        <f t="shared" ca="1" si="9"/>
        <v>9.1242636234037111E-2</v>
      </c>
      <c r="E44" t="s">
        <v>54</v>
      </c>
      <c r="F44" s="55"/>
    </row>
    <row r="45" spans="1:7" x14ac:dyDescent="0.15">
      <c r="A45" s="33" t="s">
        <v>107</v>
      </c>
      <c r="B45">
        <f ca="1">SUMIF(tables_559100!C:C,input_559100!A45,tables_559100!O:O)</f>
        <v>145152</v>
      </c>
      <c r="C45" s="54">
        <f t="shared" ca="1" si="9"/>
        <v>9.0081614122468814E-3</v>
      </c>
      <c r="E45" t="s">
        <v>204</v>
      </c>
      <c r="F45" s="55">
        <f ca="1">SUMIF(tables_559100!I:I,input_559100!E45,tables_559100!P:P)</f>
        <v>0.22700833333611495</v>
      </c>
    </row>
    <row r="46" spans="1:7" x14ac:dyDescent="0.15">
      <c r="A46" s="33" t="s">
        <v>108</v>
      </c>
      <c r="B46">
        <f>SUMIF(tables_559100!C:C,input_559100!A46,tables_559100!O:O)</f>
        <v>0</v>
      </c>
      <c r="C46" s="54">
        <f t="shared" ca="1" si="9"/>
        <v>0</v>
      </c>
      <c r="E46" t="s">
        <v>205</v>
      </c>
      <c r="F46" s="55">
        <f ca="1">SUMIF(tables_559100!I:I,input_559100!E46,tables_559100!P:P)</f>
        <v>0.18013729967929062</v>
      </c>
    </row>
    <row r="47" spans="1:7" x14ac:dyDescent="0.15">
      <c r="A47" s="39" t="s">
        <v>59</v>
      </c>
      <c r="B47">
        <f ca="1">SUM(B40:B46)</f>
        <v>16113387.99976</v>
      </c>
      <c r="C47" s="55">
        <f ca="1">SUM(C40:C46)</f>
        <v>1</v>
      </c>
      <c r="E47" t="s">
        <v>206</v>
      </c>
      <c r="F47" s="55">
        <f ca="1">SUMIF(tables_559100!I:I,input_559100!E47,tables_559100!P:P)</f>
        <v>0.50285436698839237</v>
      </c>
    </row>
    <row r="48" spans="1:7" x14ac:dyDescent="0.15">
      <c r="E48" t="s">
        <v>207</v>
      </c>
      <c r="F48" s="55">
        <f ca="1">SUMIF(tables_559100!I:I,input_559100!E48,tables_559100!P:P)</f>
        <v>6.572326202899155E-2</v>
      </c>
      <c r="G48" s="55"/>
    </row>
    <row r="49" spans="5:6" x14ac:dyDescent="0.15">
      <c r="E49" t="s">
        <v>248</v>
      </c>
      <c r="F49" s="55">
        <f ca="1">SUMIF(tables_559100!I:I,input_559100!E49,tables_559100!P:P)</f>
        <v>9.2767379670254356E-3</v>
      </c>
    </row>
    <row r="50" spans="5:6" x14ac:dyDescent="0.15">
      <c r="E50" t="s">
        <v>250</v>
      </c>
      <c r="F50" s="55">
        <f ca="1">SUMIF(tables_559100!I:I,input_559100!E50,tables_559100!P:P)</f>
        <v>1.5000000000183802E-2</v>
      </c>
    </row>
  </sheetData>
  <phoneticPr fontId="20"/>
  <pageMargins left="0.7" right="0.7" top="0.75" bottom="0.75" header="0.3" footer="0.3"/>
  <pageSetup paperSize="9" orientation="portrait" horizontalDpi="4294967292" verticalDpi="429496729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0" enableFormatConditionsCalculation="0">
    <tabColor rgb="FF0000FF"/>
    <outlinePr summaryBelow="0" summaryRight="0"/>
  </sheetPr>
  <dimension ref="A1:V359"/>
  <sheetViews>
    <sheetView showGridLines="0" zoomScale="75" zoomScaleNormal="75" zoomScalePageLayoutView="75" workbookViewId="0">
      <pane ySplit="1" topLeftCell="A334" activePane="bottomLeft" state="frozen"/>
      <selection activeCell="H276" sqref="H276"/>
      <selection pane="bottomLeft" activeCell="B356" sqref="B356:B359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input_559100!A$2</f>
        <v>559100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IFERROR(VLOOKUP(B2,input_559100!L:R,7,FALSE),VLOOKUP(tables_559100!C2,input_559100!A:H,8,FALSE))</f>
        <v>0</v>
      </c>
      <c r="P2" s="46">
        <f t="shared" ref="P2:P33" ca="1" si="1">O2/SUM(O:O)</f>
        <v>0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input_559100!A$2</f>
        <v>559100</v>
      </c>
      <c r="B3" s="6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IFERROR(VLOOKUP(B3,input_559100!L:R,7,FALSE),VLOOKUP(tables_559100!C3,input_559100!A:H,8,FALSE))</f>
        <v>356554.6</v>
      </c>
      <c r="P3" s="46">
        <f t="shared" ca="1" si="1"/>
        <v>1.092385416680052E-2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input_559100!A$2</f>
        <v>559100</v>
      </c>
      <c r="B4" s="6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IFERROR(VLOOKUP(B4,input_559100!L:R,7,FALSE),VLOOKUP(tables_559100!C4,input_559100!A:H,8,FALSE))</f>
        <v>0</v>
      </c>
      <c r="P4" s="46">
        <f t="shared" ca="1" si="1"/>
        <v>0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input_559100!A$2</f>
        <v>559100</v>
      </c>
      <c r="B5" s="6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IFERROR(VLOOKUP(B5,input_559100!L:R,7,FALSE),VLOOKUP(tables_559100!C5,input_559100!A:H,8,FALSE))</f>
        <v>356554.6</v>
      </c>
      <c r="P5" s="46">
        <f t="shared" ca="1" si="1"/>
        <v>1.092385416680052E-2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input_559100!A$2</f>
        <v>559100</v>
      </c>
      <c r="B6" s="6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IFERROR(VLOOKUP(B6,input_559100!L:R,7,FALSE),VLOOKUP(tables_559100!C6,input_559100!A:H,8,FALSE))</f>
        <v>0</v>
      </c>
      <c r="P6" s="46">
        <f t="shared" ca="1" si="1"/>
        <v>0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input_559100!A$2</f>
        <v>559100</v>
      </c>
      <c r="B7" s="6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IFERROR(VLOOKUP(B7,input_559100!L:R,7,FALSE),VLOOKUP(tables_559100!C7,input_559100!A:H,8,FALSE))</f>
        <v>356554.6</v>
      </c>
      <c r="P7" s="46">
        <f t="shared" ca="1" si="1"/>
        <v>1.092385416680052E-2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input_559100!A$2</f>
        <v>559100</v>
      </c>
      <c r="B8" s="6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IFERROR(VLOOKUP(B8,input_559100!L:R,7,FALSE),VLOOKUP(tables_559100!C8,input_559100!A:H,8,FALSE))</f>
        <v>0</v>
      </c>
      <c r="P8" s="46">
        <f t="shared" ca="1" si="1"/>
        <v>0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input_559100!A$2</f>
        <v>559100</v>
      </c>
      <c r="B9" s="6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IFERROR(VLOOKUP(B9,input_559100!L:R,7,FALSE),VLOOKUP(tables_559100!C9,input_559100!A:H,8,FALSE))</f>
        <v>356554.6</v>
      </c>
      <c r="P9" s="46">
        <f t="shared" ca="1" si="1"/>
        <v>1.092385416680052E-2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input_559100!A$2</f>
        <v>559100</v>
      </c>
      <c r="B10" s="6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IFERROR(VLOOKUP(B10,input_559100!L:R,7,FALSE),VLOOKUP(tables_559100!C10,input_559100!A:H,8,FALSE))</f>
        <v>0</v>
      </c>
      <c r="P10" s="46">
        <f t="shared" ca="1" si="1"/>
        <v>0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input_559100!A$2</f>
        <v>559100</v>
      </c>
      <c r="B11" s="6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IFERROR(VLOOKUP(B11,input_559100!L:R,7,FALSE),VLOOKUP(tables_559100!C11,input_559100!A:H,8,FALSE))</f>
        <v>356554.6</v>
      </c>
      <c r="P11" s="46">
        <f t="shared" ca="1" si="1"/>
        <v>1.092385416680052E-2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input_559100!A$2</f>
        <v>559100</v>
      </c>
      <c r="B12" s="8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IFERROR(VLOOKUP(B12,input_559100!L:R,7,FALSE),VLOOKUP(tables_559100!C12,input_559100!A:H,8,FALSE))</f>
        <v>0</v>
      </c>
      <c r="P12" s="46">
        <f t="shared" ca="1" si="1"/>
        <v>0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input_559100!A$2</f>
        <v>559100</v>
      </c>
      <c r="B13" s="8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IFERROR(VLOOKUP(B13,input_559100!L:R,7,FALSE),VLOOKUP(tables_559100!C13,input_559100!A:H,8,FALSE))</f>
        <v>356554.6</v>
      </c>
      <c r="P13" s="46">
        <f t="shared" ca="1" si="1"/>
        <v>1.092385416680052E-2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input_559100!A$2</f>
        <v>559100</v>
      </c>
      <c r="B14" s="6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IFERROR(VLOOKUP(B14,input_559100!L:R,7,FALSE),VLOOKUP(tables_559100!C14,input_559100!A:H,8,FALSE))</f>
        <v>0</v>
      </c>
      <c r="P14" s="46">
        <f t="shared" ca="1" si="1"/>
        <v>0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input_559100!A$2</f>
        <v>559100</v>
      </c>
      <c r="B15" s="6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IFERROR(VLOOKUP(B15,input_559100!L:R,7,FALSE),VLOOKUP(tables_559100!C15,input_559100!A:H,8,FALSE))</f>
        <v>356554.6</v>
      </c>
      <c r="P15" s="46">
        <f t="shared" ca="1" si="1"/>
        <v>1.092385416680052E-2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input_559100!A$2</f>
        <v>559100</v>
      </c>
      <c r="B16" s="6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IFERROR(VLOOKUP(B16,input_559100!L:R,7,FALSE),VLOOKUP(tables_559100!C16,input_559100!A:H,8,FALSE))</f>
        <v>0</v>
      </c>
      <c r="P16" s="46">
        <f t="shared" ca="1" si="1"/>
        <v>0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input_559100!A$2</f>
        <v>559100</v>
      </c>
      <c r="B17" s="6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IFERROR(VLOOKUP(B17,input_559100!L:R,7,FALSE),VLOOKUP(tables_559100!C17,input_559100!A:H,8,FALSE))</f>
        <v>356554.6</v>
      </c>
      <c r="P17" s="46">
        <f t="shared" ca="1" si="1"/>
        <v>1.092385416680052E-2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input_559100!A$2</f>
        <v>559100</v>
      </c>
      <c r="B18" s="6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IFERROR(VLOOKUP(B18,input_559100!L:R,7,FALSE),VLOOKUP(tables_559100!C18,input_559100!A:H,8,FALSE))</f>
        <v>0</v>
      </c>
      <c r="P18" s="46">
        <f t="shared" ca="1" si="1"/>
        <v>0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input_559100!A$2</f>
        <v>559100</v>
      </c>
      <c r="B19" s="6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IFERROR(VLOOKUP(B19,input_559100!L:R,7,FALSE),VLOOKUP(tables_559100!C19,input_559100!A:H,8,FALSE))</f>
        <v>356554.6</v>
      </c>
      <c r="P19" s="46">
        <f t="shared" ca="1" si="1"/>
        <v>1.092385416680052E-2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input_559100!A$2</f>
        <v>559100</v>
      </c>
      <c r="B20" s="6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IFERROR(VLOOKUP(B20,input_559100!L:R,7,FALSE),VLOOKUP(tables_559100!C20,input_559100!A:H,8,FALSE))</f>
        <v>0</v>
      </c>
      <c r="P20" s="46">
        <f t="shared" ca="1" si="1"/>
        <v>0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input_559100!A$2</f>
        <v>559100</v>
      </c>
      <c r="B21" s="6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IFERROR(VLOOKUP(B21,input_559100!L:R,7,FALSE),VLOOKUP(tables_559100!C21,input_559100!A:H,8,FALSE))</f>
        <v>356554.6</v>
      </c>
      <c r="P21" s="46">
        <f t="shared" ca="1" si="1"/>
        <v>1.092385416680052E-2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input_559100!A$2</f>
        <v>559100</v>
      </c>
      <c r="B22" s="6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IFERROR(VLOOKUP(B22,input_559100!L:R,7,FALSE),VLOOKUP(tables_559100!C22,input_559100!A:H,8,FALSE))</f>
        <v>0</v>
      </c>
      <c r="P22" s="46">
        <f t="shared" ca="1" si="1"/>
        <v>0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input_559100!A$2</f>
        <v>559100</v>
      </c>
      <c r="B23" s="6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IFERROR(VLOOKUP(B23,input_559100!L:R,7,FALSE),VLOOKUP(tables_559100!C23,input_559100!A:H,8,FALSE))</f>
        <v>356554.6</v>
      </c>
      <c r="P23" s="46">
        <f t="shared" ca="1" si="1"/>
        <v>1.092385416680052E-2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input_559100!A$2</f>
        <v>559100</v>
      </c>
      <c r="B24" s="6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IFERROR(VLOOKUP(B24,input_559100!L:R,7,FALSE),VLOOKUP(tables_559100!C24,input_559100!A:H,8,FALSE))</f>
        <v>0</v>
      </c>
      <c r="P24" s="46">
        <f t="shared" ca="1" si="1"/>
        <v>0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input_559100!A$2</f>
        <v>559100</v>
      </c>
      <c r="B25" s="6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IFERROR(VLOOKUP(B25,input_559100!L:R,7,FALSE),VLOOKUP(tables_559100!C25,input_559100!A:H,8,FALSE))</f>
        <v>356554.6</v>
      </c>
      <c r="P25" s="46">
        <f t="shared" ca="1" si="1"/>
        <v>1.092385416680052E-2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input_559100!A$2</f>
        <v>559100</v>
      </c>
      <c r="B26" s="6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IFERROR(VLOOKUP(B26,input_559100!L:R,7,FALSE),VLOOKUP(tables_559100!C26,input_559100!A:H,8,FALSE))</f>
        <v>0</v>
      </c>
      <c r="P26" s="46">
        <f t="shared" ca="1" si="1"/>
        <v>0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input_559100!A$2</f>
        <v>559100</v>
      </c>
      <c r="B27" s="6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IFERROR(VLOOKUP(B27,input_559100!L:R,7,FALSE),VLOOKUP(tables_559100!C27,input_559100!A:H,8,FALSE))</f>
        <v>356554.6</v>
      </c>
      <c r="P27" s="46">
        <f t="shared" ca="1" si="1"/>
        <v>1.092385416680052E-2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input_559100!A$2</f>
        <v>559100</v>
      </c>
      <c r="B28" s="6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IFERROR(VLOOKUP(B28,input_559100!L:R,7,FALSE),VLOOKUP(tables_559100!C28,input_559100!A:H,8,FALSE))</f>
        <v>0</v>
      </c>
      <c r="P28" s="46">
        <f t="shared" ca="1" si="1"/>
        <v>0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input_559100!A$2</f>
        <v>559100</v>
      </c>
      <c r="B29" s="6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IFERROR(VLOOKUP(B29,input_559100!L:R,7,FALSE),VLOOKUP(tables_559100!C29,input_559100!A:H,8,FALSE))</f>
        <v>356554.6</v>
      </c>
      <c r="P29" s="46">
        <f t="shared" ca="1" si="1"/>
        <v>1.092385416680052E-2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input_559100!A$2</f>
        <v>559100</v>
      </c>
      <c r="B30" s="6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IFERROR(VLOOKUP(B30,input_559100!L:R,7,FALSE),VLOOKUP(tables_559100!C30,input_559100!A:H,8,FALSE))</f>
        <v>0</v>
      </c>
      <c r="P30" s="46">
        <f t="shared" ca="1" si="1"/>
        <v>0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input_559100!A$2</f>
        <v>559100</v>
      </c>
      <c r="B31" s="6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IFERROR(VLOOKUP(B31,input_559100!L:R,7,FALSE),VLOOKUP(tables_559100!C31,input_559100!A:H,8,FALSE))</f>
        <v>356554.6</v>
      </c>
      <c r="P31" s="46">
        <f t="shared" ca="1" si="1"/>
        <v>1.092385416680052E-2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input_559100!A$2</f>
        <v>559100</v>
      </c>
      <c r="B32" s="6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IFERROR(VLOOKUP(B32,input_559100!L:R,7,FALSE),VLOOKUP(tables_559100!C32,input_559100!A:H,8,FALSE))</f>
        <v>0</v>
      </c>
      <c r="P32" s="46">
        <f t="shared" ca="1" si="1"/>
        <v>0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input_559100!A$2</f>
        <v>559100</v>
      </c>
      <c r="B33" s="6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IFERROR(VLOOKUP(B33,input_559100!L:R,7,FALSE),VLOOKUP(tables_559100!C33,input_559100!A:H,8,FALSE))</f>
        <v>356554.6</v>
      </c>
      <c r="P33" s="46">
        <f t="shared" ca="1" si="1"/>
        <v>1.092385416680052E-2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input_559100!A$2</f>
        <v>559100</v>
      </c>
      <c r="B34" s="6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IFERROR(VLOOKUP(B34,input_559100!L:R,7,FALSE),VLOOKUP(tables_559100!C34,input_559100!A:H,8,FALSE))</f>
        <v>0</v>
      </c>
      <c r="P34" s="46">
        <f t="shared" ref="P34:P65" ca="1" si="3">O34/SUM(O:O)</f>
        <v>0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input_559100!A$2</f>
        <v>559100</v>
      </c>
      <c r="B35" s="6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IFERROR(VLOOKUP(B35,input_559100!L:R,7,FALSE),VLOOKUP(tables_559100!C35,input_559100!A:H,8,FALSE))</f>
        <v>356554.6</v>
      </c>
      <c r="P35" s="46">
        <f t="shared" ca="1" si="3"/>
        <v>1.092385416680052E-2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input_559100!A$2</f>
        <v>559100</v>
      </c>
      <c r="B36" s="6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IFERROR(VLOOKUP(B36,input_559100!L:R,7,FALSE),VLOOKUP(tables_559100!C36,input_559100!A:H,8,FALSE))</f>
        <v>0</v>
      </c>
      <c r="P36" s="46">
        <f t="shared" ca="1" si="3"/>
        <v>0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input_559100!A$2</f>
        <v>559100</v>
      </c>
      <c r="B37" s="6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IFERROR(VLOOKUP(B37,input_559100!L:R,7,FALSE),VLOOKUP(tables_559100!C37,input_559100!A:H,8,FALSE))</f>
        <v>356554.6</v>
      </c>
      <c r="P37" s="46">
        <f t="shared" ca="1" si="3"/>
        <v>1.092385416680052E-2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input_559100!A$2</f>
        <v>559100</v>
      </c>
      <c r="B38" s="6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IFERROR(VLOOKUP(B38,input_559100!L:R,7,FALSE),VLOOKUP(tables_559100!C38,input_559100!A:H,8,FALSE))</f>
        <v>0</v>
      </c>
      <c r="P38" s="46">
        <f t="shared" ca="1" si="3"/>
        <v>0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input_559100!A$2</f>
        <v>559100</v>
      </c>
      <c r="B39" s="6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IFERROR(VLOOKUP(B39,input_559100!L:R,7,FALSE),VLOOKUP(tables_559100!C39,input_559100!A:H,8,FALSE))</f>
        <v>356554.6</v>
      </c>
      <c r="P39" s="46">
        <f t="shared" ca="1" si="3"/>
        <v>1.092385416680052E-2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input_559100!A$2</f>
        <v>559100</v>
      </c>
      <c r="B40" s="6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IFERROR(VLOOKUP(B40,input_559100!L:R,7,FALSE),VLOOKUP(tables_559100!C40,input_559100!A:H,8,FALSE))</f>
        <v>0</v>
      </c>
      <c r="P40" s="46">
        <f t="shared" ca="1" si="3"/>
        <v>0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input_559100!A$2</f>
        <v>559100</v>
      </c>
      <c r="B41" s="6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IFERROR(VLOOKUP(B41,input_559100!L:R,7,FALSE),VLOOKUP(tables_559100!C41,input_559100!A:H,8,FALSE))</f>
        <v>356554.6</v>
      </c>
      <c r="P41" s="46">
        <f t="shared" ca="1" si="3"/>
        <v>1.092385416680052E-2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input_559100!A$2</f>
        <v>559100</v>
      </c>
      <c r="B42" s="6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IFERROR(VLOOKUP(B42,input_559100!L:R,7,FALSE),VLOOKUP(tables_559100!C42,input_559100!A:H,8,FALSE))</f>
        <v>0</v>
      </c>
      <c r="P42" s="46">
        <f t="shared" ca="1" si="3"/>
        <v>0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input_559100!A$2</f>
        <v>559100</v>
      </c>
      <c r="B43" s="6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IFERROR(VLOOKUP(B43,input_559100!L:R,7,FALSE),VLOOKUP(tables_559100!C43,input_559100!A:H,8,FALSE))</f>
        <v>262990</v>
      </c>
      <c r="P43" s="46">
        <f t="shared" ca="1" si="3"/>
        <v>8.0572916667653958E-3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2" customHeight="1" x14ac:dyDescent="0.15">
      <c r="A44" s="2" t="str">
        <f ca="1">input_559100!A$2</f>
        <v>559100</v>
      </c>
      <c r="B44" s="6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IFERROR(VLOOKUP(B44,input_559100!L:R,7,FALSE),VLOOKUP(tables_559100!C44,input_559100!A:H,8,FALSE))</f>
        <v>46410</v>
      </c>
      <c r="P44" s="46">
        <f t="shared" ca="1" si="3"/>
        <v>1.4218750000174229E-3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input_559100!A$2</f>
        <v>559100</v>
      </c>
      <c r="B45" s="6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IFERROR(VLOOKUP(B45,input_559100!L:R,7,FALSE),VLOOKUP(tables_559100!C45,input_559100!A:H,8,FALSE))</f>
        <v>0</v>
      </c>
      <c r="P45" s="46">
        <f t="shared" ca="1" si="3"/>
        <v>0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input_559100!A$2</f>
        <v>559100</v>
      </c>
      <c r="B46" s="6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IFERROR(VLOOKUP(B46,input_559100!L:R,7,FALSE),VLOOKUP(tables_559100!C46,input_559100!A:H,8,FALSE))</f>
        <v>262990</v>
      </c>
      <c r="P46" s="46">
        <f t="shared" ca="1" si="3"/>
        <v>8.0572916667653958E-3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input_559100!A$2</f>
        <v>559100</v>
      </c>
      <c r="B47" s="6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IFERROR(VLOOKUP(B47,input_559100!L:R,7,FALSE),VLOOKUP(tables_559100!C47,input_559100!A:H,8,FALSE))</f>
        <v>46410</v>
      </c>
      <c r="P47" s="46">
        <f t="shared" ca="1" si="3"/>
        <v>1.4218750000174229E-3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input_559100!A$2</f>
        <v>559100</v>
      </c>
      <c r="B48" s="6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IFERROR(VLOOKUP(B48,input_559100!L:R,7,FALSE),VLOOKUP(tables_559100!C48,input_559100!A:H,8,FALSE))</f>
        <v>0</v>
      </c>
      <c r="P48" s="46">
        <f t="shared" ca="1" si="3"/>
        <v>0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input_559100!A$2</f>
        <v>559100</v>
      </c>
      <c r="B49" s="6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IFERROR(VLOOKUP(B49,input_559100!L:R,7,FALSE),VLOOKUP(tables_559100!C49,input_559100!A:H,8,FALSE))</f>
        <v>262990</v>
      </c>
      <c r="P49" s="46">
        <f t="shared" ca="1" si="3"/>
        <v>8.0572916667653958E-3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input_559100!A$2</f>
        <v>559100</v>
      </c>
      <c r="B50" s="6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IFERROR(VLOOKUP(B50,input_559100!L:R,7,FALSE),VLOOKUP(tables_559100!C50,input_559100!A:H,8,FALSE))</f>
        <v>46410</v>
      </c>
      <c r="P50" s="46">
        <f t="shared" ca="1" si="3"/>
        <v>1.4218750000174229E-3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input_559100!A$2</f>
        <v>559100</v>
      </c>
      <c r="B51" s="6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IFERROR(VLOOKUP(B51,input_559100!L:R,7,FALSE),VLOOKUP(tables_559100!C51,input_559100!A:H,8,FALSE))</f>
        <v>0</v>
      </c>
      <c r="P51" s="46">
        <f t="shared" ca="1" si="3"/>
        <v>0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input_559100!A$2</f>
        <v>559100</v>
      </c>
      <c r="B52" s="6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IFERROR(VLOOKUP(B52,input_559100!L:R,7,FALSE),VLOOKUP(tables_559100!C52,input_559100!A:H,8,FALSE))</f>
        <v>262990</v>
      </c>
      <c r="P52" s="46">
        <f t="shared" ca="1" si="3"/>
        <v>8.0572916667653958E-3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input_559100!A$2</f>
        <v>559100</v>
      </c>
      <c r="B53" s="6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IFERROR(VLOOKUP(B53,input_559100!L:R,7,FALSE),VLOOKUP(tables_559100!C53,input_559100!A:H,8,FALSE))</f>
        <v>28273.615379999999</v>
      </c>
      <c r="P53" s="46">
        <f t="shared" ca="1" si="3"/>
        <v>8.6622596140767296E-4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input_559100!A$2</f>
        <v>559100</v>
      </c>
      <c r="B54" s="6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IFERROR(VLOOKUP(B54,input_559100!L:R,7,FALSE),VLOOKUP(tables_559100!C54,input_559100!A:H,8,FALSE))</f>
        <v>0</v>
      </c>
      <c r="P54" s="46">
        <f t="shared" ca="1" si="3"/>
        <v>0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input_559100!A$2</f>
        <v>559100</v>
      </c>
      <c r="B55" s="6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IFERROR(VLOOKUP(B55,input_559100!L:R,7,FALSE),VLOOKUP(tables_559100!C55,input_559100!A:H,8,FALSE))</f>
        <v>262990</v>
      </c>
      <c r="P55" s="46">
        <f t="shared" ca="1" si="3"/>
        <v>8.0572916667653958E-3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input_559100!A$2</f>
        <v>559100</v>
      </c>
      <c r="B56" s="6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IFERROR(VLOOKUP(B56,input_559100!L:R,7,FALSE),VLOOKUP(tables_559100!C56,input_559100!A:H,8,FALSE))</f>
        <v>28273.615379999999</v>
      </c>
      <c r="P56" s="46">
        <f t="shared" ca="1" si="3"/>
        <v>8.6622596140767296E-4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input_559100!A$2</f>
        <v>559100</v>
      </c>
      <c r="B57" s="6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IFERROR(VLOOKUP(B57,input_559100!L:R,7,FALSE),VLOOKUP(tables_559100!C57,input_559100!A:H,8,FALSE))</f>
        <v>0</v>
      </c>
      <c r="P57" s="46">
        <f t="shared" ca="1" si="3"/>
        <v>0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input_559100!A$2</f>
        <v>559100</v>
      </c>
      <c r="B58" s="6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IFERROR(VLOOKUP(B58,input_559100!L:R,7,FALSE),VLOOKUP(tables_559100!C58,input_559100!A:H,8,FALSE))</f>
        <v>262990</v>
      </c>
      <c r="P58" s="46">
        <f t="shared" ca="1" si="3"/>
        <v>8.0572916667653958E-3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input_559100!A$2</f>
        <v>559100</v>
      </c>
      <c r="B59" s="6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IFERROR(VLOOKUP(B59,input_559100!L:R,7,FALSE),VLOOKUP(tables_559100!C59,input_559100!A:H,8,FALSE))</f>
        <v>28273.615379999999</v>
      </c>
      <c r="P59" s="46">
        <f t="shared" ca="1" si="3"/>
        <v>8.6622596140767296E-4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input_559100!A$2</f>
        <v>559100</v>
      </c>
      <c r="B60" s="6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IFERROR(VLOOKUP(B60,input_559100!L:R,7,FALSE),VLOOKUP(tables_559100!C60,input_559100!A:H,8,FALSE))</f>
        <v>0</v>
      </c>
      <c r="P60" s="46">
        <f t="shared" ca="1" si="3"/>
        <v>0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input_559100!A$2</f>
        <v>559100</v>
      </c>
      <c r="B61" s="6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IFERROR(VLOOKUP(B61,input_559100!L:R,7,FALSE),VLOOKUP(tables_559100!C61,input_559100!A:H,8,FALSE))</f>
        <v>262990</v>
      </c>
      <c r="P61" s="46">
        <f t="shared" ca="1" si="3"/>
        <v>8.0572916667653958E-3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input_559100!A$2</f>
        <v>559100</v>
      </c>
      <c r="B62" s="8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IFERROR(VLOOKUP(B62,input_559100!L:R,7,FALSE),VLOOKUP(tables_559100!C62,input_559100!A:H,8,FALSE))</f>
        <v>28273.615379999999</v>
      </c>
      <c r="P62" s="46">
        <f t="shared" ca="1" si="3"/>
        <v>8.6622596140767296E-4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input_559100!A$2</f>
        <v>559100</v>
      </c>
      <c r="B63" s="8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IFERROR(VLOOKUP(B63,input_559100!L:R,7,FALSE),VLOOKUP(tables_559100!C63,input_559100!A:H,8,FALSE))</f>
        <v>0</v>
      </c>
      <c r="P63" s="46">
        <f t="shared" ca="1" si="3"/>
        <v>0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input_559100!A$2</f>
        <v>559100</v>
      </c>
      <c r="B64" s="8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IFERROR(VLOOKUP(B64,input_559100!L:R,7,FALSE),VLOOKUP(tables_559100!C64,input_559100!A:H,8,FALSE))</f>
        <v>262990</v>
      </c>
      <c r="P64" s="46">
        <f t="shared" ca="1" si="3"/>
        <v>8.0572916667653958E-3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input_559100!A$2</f>
        <v>559100</v>
      </c>
      <c r="B65" s="8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IFERROR(VLOOKUP(B65,input_559100!L:R,7,FALSE),VLOOKUP(tables_559100!C65,input_559100!A:H,8,FALSE))</f>
        <v>28273.615379999999</v>
      </c>
      <c r="P65" s="46">
        <f t="shared" ca="1" si="3"/>
        <v>8.6622596140767296E-4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input_559100!A$2</f>
        <v>559100</v>
      </c>
      <c r="B66" s="6">
        <v>190</v>
      </c>
      <c r="C66" s="7" t="str">
        <f t="shared" ref="C66:C69" si="4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IFERROR(VLOOKUP(B66,input_559100!L:R,7,FALSE),VLOOKUP(tables_559100!C66,input_559100!A:H,8,FALSE))</f>
        <v>0</v>
      </c>
      <c r="P66" s="46">
        <f t="shared" ref="P66:P129" ca="1" si="5">O66/SUM(O:O)</f>
        <v>0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input_559100!A$2</f>
        <v>559100</v>
      </c>
      <c r="B67" s="6">
        <v>191</v>
      </c>
      <c r="C67" s="7" t="str">
        <f t="shared" si="4"/>
        <v>Premium4</v>
      </c>
      <c r="D67" s="7" t="str">
        <f t="shared" ref="D67:D69" si="6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IFERROR(VLOOKUP(B67,input_559100!L:R,7,FALSE),VLOOKUP(tables_559100!C67,input_559100!A:H,8,FALSE))</f>
        <v>262990</v>
      </c>
      <c r="P67" s="46">
        <f t="shared" ca="1" si="5"/>
        <v>8.0572916667653958E-3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input_559100!A$2</f>
        <v>559100</v>
      </c>
      <c r="B68" s="6">
        <v>192</v>
      </c>
      <c r="C68" s="7" t="str">
        <f t="shared" si="4"/>
        <v>Premium5</v>
      </c>
      <c r="D68" s="7" t="str">
        <f t="shared" si="6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IFERROR(VLOOKUP(B68,input_559100!L:R,7,FALSE),VLOOKUP(tables_559100!C68,input_559100!A:H,8,FALSE))</f>
        <v>28273.615379999999</v>
      </c>
      <c r="P68" s="46">
        <f t="shared" ca="1" si="5"/>
        <v>8.6622596140767296E-4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input_559100!A$2</f>
        <v>559100</v>
      </c>
      <c r="B69" s="6">
        <v>193</v>
      </c>
      <c r="C69" s="7" t="str">
        <f t="shared" si="4"/>
        <v>Premium3</v>
      </c>
      <c r="D69" s="7" t="str">
        <f t="shared" si="6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IFERROR(VLOOKUP(B69,input_559100!L:R,7,FALSE),VLOOKUP(tables_559100!C69,input_559100!A:H,8,FALSE))</f>
        <v>0</v>
      </c>
      <c r="P69" s="46">
        <f t="shared" ca="1" si="5"/>
        <v>0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input_559100!A$2</f>
        <v>559100</v>
      </c>
      <c r="B70" s="6">
        <v>194</v>
      </c>
      <c r="C70" s="7" t="str">
        <f t="shared" ref="C70:C73" si="7">D70&amp;J70&amp;E70&amp;F70&amp;G70</f>
        <v>Premium4</v>
      </c>
      <c r="D70" s="7" t="str">
        <f t="shared" ref="D70:D73" si="8">IF(OR(I70="PremiumSS",I70="PremiumSSw"),"PremiumSS",IF(I70="PremiumSSS",I70,IF(I70="PremiumW",IF(J70=5,"premium",I70),"Premium")))</f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IFERROR(VLOOKUP(B70,input_559100!L:R,7,FALSE),VLOOKUP(tables_559100!C70,input_559100!A:H,8,FALSE))</f>
        <v>262990</v>
      </c>
      <c r="P70" s="46">
        <f t="shared" ca="1" si="5"/>
        <v>8.0572916667653958E-3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input_559100!A$2</f>
        <v>559100</v>
      </c>
      <c r="B71" s="6">
        <v>195</v>
      </c>
      <c r="C71" s="7" t="str">
        <f t="shared" si="7"/>
        <v>Premium5</v>
      </c>
      <c r="D71" s="7" t="str">
        <f t="shared" si="8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IFERROR(VLOOKUP(B71,input_559100!L:R,7,FALSE),VLOOKUP(tables_559100!C71,input_559100!A:H,8,FALSE))</f>
        <v>28273.615379999999</v>
      </c>
      <c r="P71" s="46">
        <f t="shared" ca="1" si="5"/>
        <v>8.6622596140767296E-4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input_559100!A$2</f>
        <v>559100</v>
      </c>
      <c r="B72" s="6">
        <v>196</v>
      </c>
      <c r="C72" s="7" t="str">
        <f t="shared" si="7"/>
        <v>Premium3</v>
      </c>
      <c r="D72" s="7" t="str">
        <f t="shared" si="8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IFERROR(VLOOKUP(B72,input_559100!L:R,7,FALSE),VLOOKUP(tables_559100!C72,input_559100!A:H,8,FALSE))</f>
        <v>0</v>
      </c>
      <c r="P72" s="46">
        <f t="shared" ca="1" si="5"/>
        <v>0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input_559100!A$2</f>
        <v>559100</v>
      </c>
      <c r="B73" s="8">
        <v>197</v>
      </c>
      <c r="C73" s="7" t="str">
        <f t="shared" si="7"/>
        <v>Premium4</v>
      </c>
      <c r="D73" s="7" t="str">
        <f t="shared" si="8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IFERROR(VLOOKUP(B73,input_559100!L:R,7,FALSE),VLOOKUP(tables_559100!C73,input_559100!A:H,8,FALSE))</f>
        <v>262990</v>
      </c>
      <c r="P73" s="46">
        <f t="shared" ca="1" si="5"/>
        <v>8.0572916667653958E-3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input_559100!A$2</f>
        <v>559100</v>
      </c>
      <c r="B74" s="5">
        <v>198</v>
      </c>
      <c r="C74" s="7" t="str">
        <f t="shared" ref="C74:C137" si="9">D74&amp;J74&amp;E74&amp;F74&amp;G74</f>
        <v>Premium5</v>
      </c>
      <c r="D74" s="7" t="str">
        <f t="shared" ref="D74:D137" si="10">IF(OR(I74="PremiumSS",I74="PremiumSSw"),"PremiumSS",IF(I74="PremiumSSS",I74,IF(I74="PremiumW",IF(J74=5,"premium",I74),"Premium")))</f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IFERROR(VLOOKUP(B74,input_559100!L:R,7,FALSE),VLOOKUP(tables_559100!C74,input_559100!A:H,8,FALSE))</f>
        <v>28273.615379999999</v>
      </c>
      <c r="P74" s="46">
        <f t="shared" ca="1" si="5"/>
        <v>8.6622596140767296E-4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input_559100!A$2</f>
        <v>559100</v>
      </c>
      <c r="B75" s="5">
        <v>199</v>
      </c>
      <c r="C75" s="7" t="str">
        <f t="shared" si="9"/>
        <v>Premium3</v>
      </c>
      <c r="D75" s="7" t="str">
        <f t="shared" si="10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IFERROR(VLOOKUP(B75,input_559100!L:R,7,FALSE),VLOOKUP(tables_559100!C75,input_559100!A:H,8,FALSE))</f>
        <v>0</v>
      </c>
      <c r="P75" s="46">
        <f t="shared" ca="1" si="5"/>
        <v>0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input_559100!A$2</f>
        <v>559100</v>
      </c>
      <c r="B76" s="5">
        <v>200</v>
      </c>
      <c r="C76" s="7" t="str">
        <f t="shared" si="9"/>
        <v>Premium4</v>
      </c>
      <c r="D76" s="7" t="str">
        <f t="shared" si="10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IFERROR(VLOOKUP(B76,input_559100!L:R,7,FALSE),VLOOKUP(tables_559100!C76,input_559100!A:H,8,FALSE))</f>
        <v>262990</v>
      </c>
      <c r="P76" s="46">
        <f t="shared" ca="1" si="5"/>
        <v>8.0572916667653958E-3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input_559100!A$2</f>
        <v>559100</v>
      </c>
      <c r="B77" s="5">
        <v>201</v>
      </c>
      <c r="C77" s="7" t="str">
        <f t="shared" si="9"/>
        <v>Premium5</v>
      </c>
      <c r="D77" s="7" t="str">
        <f t="shared" si="10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IFERROR(VLOOKUP(B77,input_559100!L:R,7,FALSE),VLOOKUP(tables_559100!C77,input_559100!A:H,8,FALSE))</f>
        <v>28273.615379999999</v>
      </c>
      <c r="P77" s="46">
        <f t="shared" ca="1" si="5"/>
        <v>8.6622596140767296E-4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input_559100!A$2</f>
        <v>559100</v>
      </c>
      <c r="B78" s="5">
        <v>202</v>
      </c>
      <c r="C78" s="7" t="str">
        <f t="shared" si="9"/>
        <v>Premium3</v>
      </c>
      <c r="D78" s="7" t="str">
        <f t="shared" si="10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IFERROR(VLOOKUP(B78,input_559100!L:R,7,FALSE),VLOOKUP(tables_559100!C78,input_559100!A:H,8,FALSE))</f>
        <v>0</v>
      </c>
      <c r="P78" s="46">
        <f t="shared" ca="1" si="5"/>
        <v>0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input_559100!A$2</f>
        <v>559100</v>
      </c>
      <c r="B79" s="5">
        <v>203</v>
      </c>
      <c r="C79" s="7" t="str">
        <f t="shared" si="9"/>
        <v>Premium4</v>
      </c>
      <c r="D79" s="7" t="str">
        <f t="shared" si="10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IFERROR(VLOOKUP(B79,input_559100!L:R,7,FALSE),VLOOKUP(tables_559100!C79,input_559100!A:H,8,FALSE))</f>
        <v>262990</v>
      </c>
      <c r="P79" s="46">
        <f t="shared" ca="1" si="5"/>
        <v>8.0572916667653958E-3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input_559100!A$2</f>
        <v>559100</v>
      </c>
      <c r="B80" s="5">
        <v>204</v>
      </c>
      <c r="C80" s="7" t="str">
        <f t="shared" si="9"/>
        <v>Premium5</v>
      </c>
      <c r="D80" s="7" t="str">
        <f t="shared" si="10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IFERROR(VLOOKUP(B80,input_559100!L:R,7,FALSE),VLOOKUP(tables_559100!C80,input_559100!A:H,8,FALSE))</f>
        <v>28273.615379999999</v>
      </c>
      <c r="P80" s="46">
        <f t="shared" ca="1" si="5"/>
        <v>8.6622596140767296E-4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input_559100!A$2</f>
        <v>559100</v>
      </c>
      <c r="B81" s="5">
        <v>205</v>
      </c>
      <c r="C81" s="7" t="str">
        <f t="shared" si="9"/>
        <v>Premium3</v>
      </c>
      <c r="D81" s="7" t="str">
        <f t="shared" si="10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IFERROR(VLOOKUP(B81,input_559100!L:R,7,FALSE),VLOOKUP(tables_559100!C81,input_559100!A:H,8,FALSE))</f>
        <v>0</v>
      </c>
      <c r="P81" s="46">
        <f t="shared" ca="1" si="5"/>
        <v>0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input_559100!A$2</f>
        <v>559100</v>
      </c>
      <c r="B82" s="5">
        <v>206</v>
      </c>
      <c r="C82" s="7" t="str">
        <f t="shared" si="9"/>
        <v>Premium4</v>
      </c>
      <c r="D82" s="7" t="str">
        <f t="shared" si="10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IFERROR(VLOOKUP(B82,input_559100!L:R,7,FALSE),VLOOKUP(tables_559100!C82,input_559100!A:H,8,FALSE))</f>
        <v>262990</v>
      </c>
      <c r="P82" s="46">
        <f t="shared" ca="1" si="5"/>
        <v>8.0572916667653958E-3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input_559100!A$2</f>
        <v>559100</v>
      </c>
      <c r="B83" s="5">
        <v>207</v>
      </c>
      <c r="C83" s="7" t="str">
        <f t="shared" si="9"/>
        <v>Premium5</v>
      </c>
      <c r="D83" s="7" t="str">
        <f t="shared" si="10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IFERROR(VLOOKUP(B83,input_559100!L:R,7,FALSE),VLOOKUP(tables_559100!C83,input_559100!A:H,8,FALSE))</f>
        <v>28273.615379999999</v>
      </c>
      <c r="P83" s="46">
        <f t="shared" ca="1" si="5"/>
        <v>8.6622596140767296E-4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input_559100!A$2</f>
        <v>559100</v>
      </c>
      <c r="B84" s="5">
        <v>208</v>
      </c>
      <c r="C84" s="7" t="str">
        <f t="shared" si="9"/>
        <v>Premium3</v>
      </c>
      <c r="D84" s="7" t="str">
        <f t="shared" si="10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IFERROR(VLOOKUP(B84,input_559100!L:R,7,FALSE),VLOOKUP(tables_559100!C84,input_559100!A:H,8,FALSE))</f>
        <v>0</v>
      </c>
      <c r="P84" s="46">
        <f t="shared" ca="1" si="5"/>
        <v>0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input_559100!A$2</f>
        <v>559100</v>
      </c>
      <c r="B85" s="5">
        <v>209</v>
      </c>
      <c r="C85" s="7" t="str">
        <f t="shared" si="9"/>
        <v>Premium4</v>
      </c>
      <c r="D85" s="7" t="str">
        <f t="shared" si="10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IFERROR(VLOOKUP(B85,input_559100!L:R,7,FALSE),VLOOKUP(tables_559100!C85,input_559100!A:H,8,FALSE))</f>
        <v>262990</v>
      </c>
      <c r="P85" s="46">
        <f t="shared" ca="1" si="5"/>
        <v>8.0572916667653958E-3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input_559100!A$2</f>
        <v>559100</v>
      </c>
      <c r="B86" s="5">
        <v>210</v>
      </c>
      <c r="C86" s="7" t="str">
        <f t="shared" si="9"/>
        <v>Premium5</v>
      </c>
      <c r="D86" s="7" t="str">
        <f t="shared" si="10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IFERROR(VLOOKUP(B86,input_559100!L:R,7,FALSE),VLOOKUP(tables_559100!C86,input_559100!A:H,8,FALSE))</f>
        <v>28273.615379999999</v>
      </c>
      <c r="P86" s="46">
        <f t="shared" ca="1" si="5"/>
        <v>8.6622596140767296E-4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input_559100!A$2</f>
        <v>559100</v>
      </c>
      <c r="B87" s="5">
        <v>211</v>
      </c>
      <c r="C87" s="7" t="str">
        <f t="shared" si="9"/>
        <v>Premium3</v>
      </c>
      <c r="D87" s="7" t="str">
        <f t="shared" si="10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IFERROR(VLOOKUP(B87,input_559100!L:R,7,FALSE),VLOOKUP(tables_559100!C87,input_559100!A:H,8,FALSE))</f>
        <v>0</v>
      </c>
      <c r="P87" s="46">
        <f t="shared" ca="1" si="5"/>
        <v>0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input_559100!A$2</f>
        <v>559100</v>
      </c>
      <c r="B88" s="5">
        <v>212</v>
      </c>
      <c r="C88" s="7" t="str">
        <f t="shared" si="9"/>
        <v>Premium4</v>
      </c>
      <c r="D88" s="7" t="str">
        <f t="shared" si="10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IFERROR(VLOOKUP(B88,input_559100!L:R,7,FALSE),VLOOKUP(tables_559100!C88,input_559100!A:H,8,FALSE))</f>
        <v>262990</v>
      </c>
      <c r="P88" s="46">
        <f t="shared" ca="1" si="5"/>
        <v>8.0572916667653958E-3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input_559100!A$2</f>
        <v>559100</v>
      </c>
      <c r="B89" s="5">
        <v>213</v>
      </c>
      <c r="C89" s="7" t="str">
        <f t="shared" si="9"/>
        <v>Premium5</v>
      </c>
      <c r="D89" s="7" t="str">
        <f t="shared" si="10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IFERROR(VLOOKUP(B89,input_559100!L:R,7,FALSE),VLOOKUP(tables_559100!C89,input_559100!A:H,8,FALSE))</f>
        <v>28273.615379999999</v>
      </c>
      <c r="P89" s="46">
        <f t="shared" ca="1" si="5"/>
        <v>8.6622596140767296E-4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input_559100!A$2</f>
        <v>559100</v>
      </c>
      <c r="B90" s="5">
        <v>214</v>
      </c>
      <c r="C90" s="7" t="str">
        <f t="shared" si="9"/>
        <v>Premium3</v>
      </c>
      <c r="D90" s="7" t="str">
        <f t="shared" si="10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IFERROR(VLOOKUP(B90,input_559100!L:R,7,FALSE),VLOOKUP(tables_559100!C90,input_559100!A:H,8,FALSE))</f>
        <v>0</v>
      </c>
      <c r="P90" s="46">
        <f t="shared" ca="1" si="5"/>
        <v>0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input_559100!A$2</f>
        <v>559100</v>
      </c>
      <c r="B91" s="5">
        <v>215</v>
      </c>
      <c r="C91" s="7" t="str">
        <f t="shared" si="9"/>
        <v>Premium4</v>
      </c>
      <c r="D91" s="7" t="str">
        <f t="shared" si="10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IFERROR(VLOOKUP(B91,input_559100!L:R,7,FALSE),VLOOKUP(tables_559100!C91,input_559100!A:H,8,FALSE))</f>
        <v>262990</v>
      </c>
      <c r="P91" s="46">
        <f t="shared" ca="1" si="5"/>
        <v>8.0572916667653958E-3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input_559100!A$2</f>
        <v>559100</v>
      </c>
      <c r="B92" s="5">
        <v>216</v>
      </c>
      <c r="C92" s="7" t="str">
        <f t="shared" si="9"/>
        <v>Premium5</v>
      </c>
      <c r="D92" s="7" t="str">
        <f t="shared" si="10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IFERROR(VLOOKUP(B92,input_559100!L:R,7,FALSE),VLOOKUP(tables_559100!C92,input_559100!A:H,8,FALSE))</f>
        <v>28273.615379999999</v>
      </c>
      <c r="P92" s="46">
        <f t="shared" ca="1" si="5"/>
        <v>8.6622596140767296E-4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input_559100!A$2</f>
        <v>559100</v>
      </c>
      <c r="B93" s="5">
        <v>217</v>
      </c>
      <c r="C93" s="7" t="str">
        <f t="shared" si="9"/>
        <v>Premium3</v>
      </c>
      <c r="D93" s="7" t="str">
        <f t="shared" si="10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IFERROR(VLOOKUP(B93,input_559100!L:R,7,FALSE),VLOOKUP(tables_559100!C93,input_559100!A:H,8,FALSE))</f>
        <v>0</v>
      </c>
      <c r="P93" s="46">
        <f t="shared" ca="1" si="5"/>
        <v>0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input_559100!A$2</f>
        <v>559100</v>
      </c>
      <c r="B94" s="5">
        <v>218</v>
      </c>
      <c r="C94" s="7" t="str">
        <f t="shared" si="9"/>
        <v>Premium4</v>
      </c>
      <c r="D94" s="7" t="str">
        <f t="shared" si="10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IFERROR(VLOOKUP(B94,input_559100!L:R,7,FALSE),VLOOKUP(tables_559100!C94,input_559100!A:H,8,FALSE))</f>
        <v>262990</v>
      </c>
      <c r="P94" s="46">
        <f t="shared" ca="1" si="5"/>
        <v>8.0572916667653958E-3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input_559100!A$2</f>
        <v>559100</v>
      </c>
      <c r="B95" s="5">
        <v>219</v>
      </c>
      <c r="C95" s="7" t="str">
        <f t="shared" si="9"/>
        <v>Premium5</v>
      </c>
      <c r="D95" s="7" t="str">
        <f t="shared" si="10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IFERROR(VLOOKUP(B95,input_559100!L:R,7,FALSE),VLOOKUP(tables_559100!C95,input_559100!A:H,8,FALSE))</f>
        <v>28273.615379999999</v>
      </c>
      <c r="P95" s="46">
        <f t="shared" ca="1" si="5"/>
        <v>8.6622596140767296E-4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input_559100!A$2</f>
        <v>559100</v>
      </c>
      <c r="B96" s="5">
        <v>220</v>
      </c>
      <c r="C96" s="7" t="str">
        <f t="shared" si="9"/>
        <v>Premium3</v>
      </c>
      <c r="D96" s="7" t="str">
        <f t="shared" si="10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IFERROR(VLOOKUP(B96,input_559100!L:R,7,FALSE),VLOOKUP(tables_559100!C96,input_559100!A:H,8,FALSE))</f>
        <v>0</v>
      </c>
      <c r="P96" s="46">
        <f t="shared" ca="1" si="5"/>
        <v>0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input_559100!A$2</f>
        <v>559100</v>
      </c>
      <c r="B97" s="5">
        <v>221</v>
      </c>
      <c r="C97" s="7" t="str">
        <f t="shared" si="9"/>
        <v>Premium4</v>
      </c>
      <c r="D97" s="7" t="str">
        <f t="shared" si="10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IFERROR(VLOOKUP(B97,input_559100!L:R,7,FALSE),VLOOKUP(tables_559100!C97,input_559100!A:H,8,FALSE))</f>
        <v>262990</v>
      </c>
      <c r="P97" s="46">
        <f t="shared" ca="1" si="5"/>
        <v>8.0572916667653958E-3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input_559100!A$2</f>
        <v>559100</v>
      </c>
      <c r="B98" s="5">
        <v>222</v>
      </c>
      <c r="C98" s="7" t="str">
        <f t="shared" si="9"/>
        <v>Premium5</v>
      </c>
      <c r="D98" s="7" t="str">
        <f t="shared" si="10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IFERROR(VLOOKUP(B98,input_559100!L:R,7,FALSE),VLOOKUP(tables_559100!C98,input_559100!A:H,8,FALSE))</f>
        <v>28273.615379999999</v>
      </c>
      <c r="P98" s="46">
        <f t="shared" ca="1" si="5"/>
        <v>8.6622596140767296E-4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input_559100!A$2</f>
        <v>559100</v>
      </c>
      <c r="B99" s="5">
        <v>223</v>
      </c>
      <c r="C99" s="7" t="str">
        <f t="shared" si="9"/>
        <v>Premium3</v>
      </c>
      <c r="D99" s="7" t="str">
        <f t="shared" si="10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IFERROR(VLOOKUP(B99,input_559100!L:R,7,FALSE),VLOOKUP(tables_559100!C99,input_559100!A:H,8,FALSE))</f>
        <v>0</v>
      </c>
      <c r="P99" s="46">
        <f t="shared" ca="1" si="5"/>
        <v>0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input_559100!A$2</f>
        <v>559100</v>
      </c>
      <c r="B100" s="5">
        <v>224</v>
      </c>
      <c r="C100" s="7" t="str">
        <f t="shared" si="9"/>
        <v>Premium4</v>
      </c>
      <c r="D100" s="7" t="str">
        <f t="shared" si="10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IFERROR(VLOOKUP(B100,input_559100!L:R,7,FALSE),VLOOKUP(tables_559100!C100,input_559100!A:H,8,FALSE))</f>
        <v>262990</v>
      </c>
      <c r="P100" s="46">
        <f t="shared" ca="1" si="5"/>
        <v>8.0572916667653958E-3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input_559100!A$2</f>
        <v>559100</v>
      </c>
      <c r="B101" s="5">
        <v>225</v>
      </c>
      <c r="C101" s="7" t="str">
        <f t="shared" si="9"/>
        <v>Premium5</v>
      </c>
      <c r="D101" s="7" t="str">
        <f t="shared" si="10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IFERROR(VLOOKUP(B101,input_559100!L:R,7,FALSE),VLOOKUP(tables_559100!C101,input_559100!A:H,8,FALSE))</f>
        <v>28273.615379999999</v>
      </c>
      <c r="P101" s="46">
        <f t="shared" ca="1" si="5"/>
        <v>8.6622596140767296E-4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input_559100!A$2</f>
        <v>559100</v>
      </c>
      <c r="B102" s="5">
        <v>226</v>
      </c>
      <c r="C102" s="7" t="str">
        <f t="shared" si="9"/>
        <v>Premium3</v>
      </c>
      <c r="D102" s="7" t="str">
        <f t="shared" si="10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IFERROR(VLOOKUP(B102,input_559100!L:R,7,FALSE),VLOOKUP(tables_559100!C102,input_559100!A:H,8,FALSE))</f>
        <v>0</v>
      </c>
      <c r="P102" s="46">
        <f t="shared" ca="1" si="5"/>
        <v>0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input_559100!A$2</f>
        <v>559100</v>
      </c>
      <c r="B103" s="5">
        <v>227</v>
      </c>
      <c r="C103" s="7" t="str">
        <f t="shared" si="9"/>
        <v>Premium4</v>
      </c>
      <c r="D103" s="7" t="str">
        <f t="shared" si="10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IFERROR(VLOOKUP(B103,input_559100!L:R,7,FALSE),VLOOKUP(tables_559100!C103,input_559100!A:H,8,FALSE))</f>
        <v>262990</v>
      </c>
      <c r="P103" s="46">
        <f t="shared" ca="1" si="5"/>
        <v>8.0572916667653958E-3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input_559100!A$2</f>
        <v>559100</v>
      </c>
      <c r="B104" s="5">
        <v>228</v>
      </c>
      <c r="C104" s="7" t="str">
        <f t="shared" si="9"/>
        <v>Premium5</v>
      </c>
      <c r="D104" s="7" t="str">
        <f t="shared" si="10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IFERROR(VLOOKUP(B104,input_559100!L:R,7,FALSE),VLOOKUP(tables_559100!C104,input_559100!A:H,8,FALSE))</f>
        <v>28273.615379999999</v>
      </c>
      <c r="P104" s="46">
        <f t="shared" ca="1" si="5"/>
        <v>8.6622596140767296E-4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input_559100!A$2</f>
        <v>559100</v>
      </c>
      <c r="B105" s="5">
        <v>229</v>
      </c>
      <c r="C105" s="7" t="str">
        <f t="shared" si="9"/>
        <v>Premium3</v>
      </c>
      <c r="D105" s="7" t="str">
        <f t="shared" si="10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IFERROR(VLOOKUP(B105,input_559100!L:R,7,FALSE),VLOOKUP(tables_559100!C105,input_559100!A:H,8,FALSE))</f>
        <v>0</v>
      </c>
      <c r="P105" s="46">
        <f t="shared" ca="1" si="5"/>
        <v>0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input_559100!A$2</f>
        <v>559100</v>
      </c>
      <c r="B106" s="5">
        <v>230</v>
      </c>
      <c r="C106" s="7" t="str">
        <f t="shared" si="9"/>
        <v>Premium4</v>
      </c>
      <c r="D106" s="7" t="str">
        <f t="shared" si="10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IFERROR(VLOOKUP(B106,input_559100!L:R,7,FALSE),VLOOKUP(tables_559100!C106,input_559100!A:H,8,FALSE))</f>
        <v>262990</v>
      </c>
      <c r="P106" s="46">
        <f t="shared" ca="1" si="5"/>
        <v>8.0572916667653958E-3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input_559100!A$2</f>
        <v>559100</v>
      </c>
      <c r="B107" s="5">
        <v>231</v>
      </c>
      <c r="C107" s="7" t="str">
        <f t="shared" si="9"/>
        <v>Premium5</v>
      </c>
      <c r="D107" s="7" t="str">
        <f t="shared" si="10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IFERROR(VLOOKUP(B107,input_559100!L:R,7,FALSE),VLOOKUP(tables_559100!C107,input_559100!A:H,8,FALSE))</f>
        <v>28273.615379999999</v>
      </c>
      <c r="P107" s="46">
        <f t="shared" ca="1" si="5"/>
        <v>8.6622596140767296E-4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input_559100!A$2</f>
        <v>559100</v>
      </c>
      <c r="B108" s="5">
        <v>232</v>
      </c>
      <c r="C108" s="7" t="str">
        <f t="shared" si="9"/>
        <v>Premium3</v>
      </c>
      <c r="D108" s="7" t="str">
        <f t="shared" si="10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IFERROR(VLOOKUP(B108,input_559100!L:R,7,FALSE),VLOOKUP(tables_559100!C108,input_559100!A:H,8,FALSE))</f>
        <v>0</v>
      </c>
      <c r="P108" s="46">
        <f t="shared" ca="1" si="5"/>
        <v>0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input_559100!A$2</f>
        <v>559100</v>
      </c>
      <c r="B109" s="5">
        <v>233</v>
      </c>
      <c r="C109" s="7" t="str">
        <f t="shared" si="9"/>
        <v>Premium4</v>
      </c>
      <c r="D109" s="7" t="str">
        <f t="shared" si="10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IFERROR(VLOOKUP(B109,input_559100!L:R,7,FALSE),VLOOKUP(tables_559100!C109,input_559100!A:H,8,FALSE))</f>
        <v>262990</v>
      </c>
      <c r="P109" s="46">
        <f t="shared" ca="1" si="5"/>
        <v>8.0572916667653958E-3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input_559100!A$2</f>
        <v>559100</v>
      </c>
      <c r="B110" s="5">
        <v>234</v>
      </c>
      <c r="C110" s="7" t="str">
        <f t="shared" si="9"/>
        <v>Premium5</v>
      </c>
      <c r="D110" s="7" t="str">
        <f t="shared" si="10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IFERROR(VLOOKUP(B110,input_559100!L:R,7,FALSE),VLOOKUP(tables_559100!C110,input_559100!A:H,8,FALSE))</f>
        <v>28273.615379999999</v>
      </c>
      <c r="P110" s="46">
        <f t="shared" ca="1" si="5"/>
        <v>8.6622596140767296E-4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input_559100!A$2</f>
        <v>559100</v>
      </c>
      <c r="B111" s="5">
        <v>235</v>
      </c>
      <c r="C111" s="7" t="str">
        <f t="shared" si="9"/>
        <v>Premium3R6release</v>
      </c>
      <c r="D111" s="7" t="str">
        <f t="shared" si="10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IFERROR(VLOOKUP(B111,input_559100!L:R,7,FALSE),VLOOKUP(tables_559100!C111,input_559100!A:H,8,FALSE))</f>
        <v>0</v>
      </c>
      <c r="P111" s="46">
        <f t="shared" ca="1" si="5"/>
        <v>0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input_559100!A$2</f>
        <v>559100</v>
      </c>
      <c r="B112" s="5">
        <v>236</v>
      </c>
      <c r="C112" s="7" t="str">
        <f t="shared" si="9"/>
        <v>Premium4R6release</v>
      </c>
      <c r="D112" s="7" t="str">
        <f t="shared" si="10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IFERROR(VLOOKUP(B112,input_559100!L:R,7,FALSE),VLOOKUP(tables_559100!C112,input_559100!A:H,8,FALSE))</f>
        <v>262990</v>
      </c>
      <c r="P112" s="46">
        <f t="shared" ca="1" si="5"/>
        <v>8.0572916667653958E-3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input_559100!A$2</f>
        <v>559100</v>
      </c>
      <c r="B113" s="5">
        <v>237</v>
      </c>
      <c r="C113" s="7" t="str">
        <f t="shared" si="9"/>
        <v>Premium5R6release</v>
      </c>
      <c r="D113" s="7" t="str">
        <f t="shared" si="10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IFERROR(VLOOKUP(B113,input_559100!L:R,7,FALSE),VLOOKUP(tables_559100!C113,input_559100!A:H,8,FALSE))</f>
        <v>46410</v>
      </c>
      <c r="P113" s="46">
        <f t="shared" ca="1" si="5"/>
        <v>1.4218750000174229E-3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input_559100!A$2</f>
        <v>559100</v>
      </c>
      <c r="B114" s="5">
        <v>238</v>
      </c>
      <c r="C114" s="7" t="str">
        <f t="shared" si="9"/>
        <v>Premium3</v>
      </c>
      <c r="D114" s="7" t="str">
        <f t="shared" si="10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IFERROR(VLOOKUP(B114,input_559100!L:R,7,FALSE),VLOOKUP(tables_559100!C114,input_559100!A:H,8,FALSE))</f>
        <v>0</v>
      </c>
      <c r="P114" s="46">
        <f t="shared" ca="1" si="5"/>
        <v>0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input_559100!A$2</f>
        <v>559100</v>
      </c>
      <c r="B115" s="5">
        <v>239</v>
      </c>
      <c r="C115" s="7" t="str">
        <f t="shared" si="9"/>
        <v>Premium4</v>
      </c>
      <c r="D115" s="7" t="str">
        <f t="shared" si="10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IFERROR(VLOOKUP(B115,input_559100!L:R,7,FALSE),VLOOKUP(tables_559100!C115,input_559100!A:H,8,FALSE))</f>
        <v>262990</v>
      </c>
      <c r="P115" s="46">
        <f t="shared" ca="1" si="5"/>
        <v>8.0572916667653958E-3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input_559100!A$2</f>
        <v>559100</v>
      </c>
      <c r="B116" s="5">
        <v>240</v>
      </c>
      <c r="C116" s="7" t="str">
        <f t="shared" si="9"/>
        <v>Premium5</v>
      </c>
      <c r="D116" s="7" t="str">
        <f t="shared" si="10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IFERROR(VLOOKUP(B116,input_559100!L:R,7,FALSE),VLOOKUP(tables_559100!C116,input_559100!A:H,8,FALSE))</f>
        <v>28273.615379999999</v>
      </c>
      <c r="P116" s="46">
        <f t="shared" ca="1" si="5"/>
        <v>8.6622596140767296E-4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input_559100!A$2</f>
        <v>559100</v>
      </c>
      <c r="B117" s="5">
        <v>241</v>
      </c>
      <c r="C117" s="7" t="str">
        <f t="shared" si="9"/>
        <v>Premium3</v>
      </c>
      <c r="D117" s="7" t="str">
        <f t="shared" si="10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IFERROR(VLOOKUP(B117,input_559100!L:R,7,FALSE),VLOOKUP(tables_559100!C117,input_559100!A:H,8,FALSE))</f>
        <v>0</v>
      </c>
      <c r="P117" s="46">
        <f t="shared" ca="1" si="5"/>
        <v>0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input_559100!A$2</f>
        <v>559100</v>
      </c>
      <c r="B118" s="5">
        <v>242</v>
      </c>
      <c r="C118" s="7" t="str">
        <f t="shared" si="9"/>
        <v>Premium4</v>
      </c>
      <c r="D118" s="7" t="str">
        <f t="shared" si="10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IFERROR(VLOOKUP(B118,input_559100!L:R,7,FALSE),VLOOKUP(tables_559100!C118,input_559100!A:H,8,FALSE))</f>
        <v>262990</v>
      </c>
      <c r="P118" s="46">
        <f t="shared" ca="1" si="5"/>
        <v>8.0572916667653958E-3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input_559100!A$2</f>
        <v>559100</v>
      </c>
      <c r="B119" s="5">
        <v>243</v>
      </c>
      <c r="C119" s="7" t="str">
        <f t="shared" si="9"/>
        <v>Premium5</v>
      </c>
      <c r="D119" s="7" t="str">
        <f t="shared" si="10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IFERROR(VLOOKUP(B119,input_559100!L:R,7,FALSE),VLOOKUP(tables_559100!C119,input_559100!A:H,8,FALSE))</f>
        <v>28273.615379999999</v>
      </c>
      <c r="P119" s="46">
        <f t="shared" ca="1" si="5"/>
        <v>8.6622596140767296E-4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input_559100!A$2</f>
        <v>559100</v>
      </c>
      <c r="B120" s="5">
        <v>244</v>
      </c>
      <c r="C120" s="7" t="str">
        <f t="shared" si="9"/>
        <v>Premium3</v>
      </c>
      <c r="D120" s="7" t="str">
        <f t="shared" si="10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IFERROR(VLOOKUP(B120,input_559100!L:R,7,FALSE),VLOOKUP(tables_559100!C120,input_559100!A:H,8,FALSE))</f>
        <v>0</v>
      </c>
      <c r="P120" s="46">
        <f t="shared" ca="1" si="5"/>
        <v>0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input_559100!A$2</f>
        <v>559100</v>
      </c>
      <c r="B121" s="5">
        <v>245</v>
      </c>
      <c r="C121" s="7" t="str">
        <f t="shared" si="9"/>
        <v>Premium4</v>
      </c>
      <c r="D121" s="7" t="str">
        <f t="shared" si="10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IFERROR(VLOOKUP(B121,input_559100!L:R,7,FALSE),VLOOKUP(tables_559100!C121,input_559100!A:H,8,FALSE))</f>
        <v>262990</v>
      </c>
      <c r="P121" s="46">
        <f t="shared" ca="1" si="5"/>
        <v>8.0572916667653958E-3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input_559100!A$2</f>
        <v>559100</v>
      </c>
      <c r="B122" s="5">
        <v>246</v>
      </c>
      <c r="C122" s="7" t="str">
        <f t="shared" si="9"/>
        <v>Premium5</v>
      </c>
      <c r="D122" s="7" t="str">
        <f t="shared" si="10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IFERROR(VLOOKUP(B122,input_559100!L:R,7,FALSE),VLOOKUP(tables_559100!C122,input_559100!A:H,8,FALSE))</f>
        <v>28273.615379999999</v>
      </c>
      <c r="P122" s="46">
        <f t="shared" ca="1" si="5"/>
        <v>8.6622596140767296E-4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input_559100!A$2</f>
        <v>559100</v>
      </c>
      <c r="B123" s="5">
        <v>247</v>
      </c>
      <c r="C123" s="7" t="str">
        <f t="shared" si="9"/>
        <v>Premium3</v>
      </c>
      <c r="D123" s="7" t="str">
        <f t="shared" si="10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IFERROR(VLOOKUP(B123,input_559100!L:R,7,FALSE),VLOOKUP(tables_559100!C123,input_559100!A:H,8,FALSE))</f>
        <v>0</v>
      </c>
      <c r="P123" s="46">
        <f t="shared" ca="1" si="5"/>
        <v>0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input_559100!A$2</f>
        <v>559100</v>
      </c>
      <c r="B124" s="5">
        <v>248</v>
      </c>
      <c r="C124" s="7" t="str">
        <f t="shared" si="9"/>
        <v>Premium4</v>
      </c>
      <c r="D124" s="7" t="str">
        <f t="shared" si="10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IFERROR(VLOOKUP(B124,input_559100!L:R,7,FALSE),VLOOKUP(tables_559100!C124,input_559100!A:H,8,FALSE))</f>
        <v>262990</v>
      </c>
      <c r="P124" s="46">
        <f t="shared" ca="1" si="5"/>
        <v>8.0572916667653958E-3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input_559100!A$2</f>
        <v>559100</v>
      </c>
      <c r="B125" s="5">
        <v>249</v>
      </c>
      <c r="C125" s="7" t="str">
        <f t="shared" si="9"/>
        <v>Premium5</v>
      </c>
      <c r="D125" s="7" t="str">
        <f t="shared" si="10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IFERROR(VLOOKUP(B125,input_559100!L:R,7,FALSE),VLOOKUP(tables_559100!C125,input_559100!A:H,8,FALSE))</f>
        <v>28273.615379999999</v>
      </c>
      <c r="P125" s="46">
        <f t="shared" ca="1" si="5"/>
        <v>8.6622596140767296E-4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input_559100!A$2</f>
        <v>559100</v>
      </c>
      <c r="B126" s="5">
        <v>250</v>
      </c>
      <c r="C126" s="7" t="str">
        <f t="shared" si="9"/>
        <v>Premium3</v>
      </c>
      <c r="D126" s="7" t="str">
        <f t="shared" si="10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IFERROR(VLOOKUP(B126,input_559100!L:R,7,FALSE),VLOOKUP(tables_559100!C126,input_559100!A:H,8,FALSE))</f>
        <v>0</v>
      </c>
      <c r="P126" s="46">
        <f t="shared" ca="1" si="5"/>
        <v>0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input_559100!A$2</f>
        <v>559100</v>
      </c>
      <c r="B127" s="5">
        <v>251</v>
      </c>
      <c r="C127" s="7" t="str">
        <f t="shared" si="9"/>
        <v>Premium4</v>
      </c>
      <c r="D127" s="7" t="str">
        <f t="shared" si="10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IFERROR(VLOOKUP(B127,input_559100!L:R,7,FALSE),VLOOKUP(tables_559100!C127,input_559100!A:H,8,FALSE))</f>
        <v>262990</v>
      </c>
      <c r="P127" s="46">
        <f t="shared" ca="1" si="5"/>
        <v>8.0572916667653958E-3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input_559100!A$2</f>
        <v>559100</v>
      </c>
      <c r="B128" s="5">
        <v>252</v>
      </c>
      <c r="C128" s="7" t="str">
        <f t="shared" si="9"/>
        <v>Premium5</v>
      </c>
      <c r="D128" s="7" t="str">
        <f t="shared" si="10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IFERROR(VLOOKUP(B128,input_559100!L:R,7,FALSE),VLOOKUP(tables_559100!C128,input_559100!A:H,8,FALSE))</f>
        <v>28273.615379999999</v>
      </c>
      <c r="P128" s="46">
        <f t="shared" ca="1" si="5"/>
        <v>8.6622596140767296E-4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input_559100!A$2</f>
        <v>559100</v>
      </c>
      <c r="B129" s="5">
        <v>253</v>
      </c>
      <c r="C129" s="7" t="str">
        <f t="shared" si="9"/>
        <v>Premium3</v>
      </c>
      <c r="D129" s="7" t="str">
        <f t="shared" si="10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IFERROR(VLOOKUP(B129,input_559100!L:R,7,FALSE),VLOOKUP(tables_559100!C129,input_559100!A:H,8,FALSE))</f>
        <v>0</v>
      </c>
      <c r="P129" s="46">
        <f t="shared" ca="1" si="5"/>
        <v>0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input_559100!A$2</f>
        <v>559100</v>
      </c>
      <c r="B130" s="5">
        <v>254</v>
      </c>
      <c r="C130" s="7" t="str">
        <f t="shared" si="9"/>
        <v>Premium4</v>
      </c>
      <c r="D130" s="7" t="str">
        <f t="shared" si="10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IFERROR(VLOOKUP(B130,input_559100!L:R,7,FALSE),VLOOKUP(tables_559100!C130,input_559100!A:H,8,FALSE))</f>
        <v>262990</v>
      </c>
      <c r="P130" s="46">
        <f t="shared" ref="P130:P193" ca="1" si="11">O130/SUM(O:O)</f>
        <v>8.0572916667653958E-3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input_559100!A$2</f>
        <v>559100</v>
      </c>
      <c r="B131" s="5">
        <v>255</v>
      </c>
      <c r="C131" s="7" t="str">
        <f t="shared" si="9"/>
        <v>Premium5</v>
      </c>
      <c r="D131" s="7" t="str">
        <f t="shared" si="10"/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IFERROR(VLOOKUP(B131,input_559100!L:R,7,FALSE),VLOOKUP(tables_559100!C131,input_559100!A:H,8,FALSE))</f>
        <v>28273.615379999999</v>
      </c>
      <c r="P131" s="46">
        <f t="shared" ca="1" si="11"/>
        <v>8.6622596140767296E-4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input_559100!A$2</f>
        <v>559100</v>
      </c>
      <c r="B132" s="5">
        <v>256</v>
      </c>
      <c r="C132" s="7" t="str">
        <f t="shared" si="9"/>
        <v>Premium3</v>
      </c>
      <c r="D132" s="7" t="str">
        <f t="shared" si="10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IFERROR(VLOOKUP(B132,input_559100!L:R,7,FALSE),VLOOKUP(tables_559100!C132,input_559100!A:H,8,FALSE))</f>
        <v>0</v>
      </c>
      <c r="P132" s="46">
        <f t="shared" ca="1" si="11"/>
        <v>0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input_559100!A$2</f>
        <v>559100</v>
      </c>
      <c r="B133" s="5">
        <v>257</v>
      </c>
      <c r="C133" s="7" t="str">
        <f t="shared" si="9"/>
        <v>Premium4</v>
      </c>
      <c r="D133" s="7" t="str">
        <f t="shared" si="10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IFERROR(VLOOKUP(B133,input_559100!L:R,7,FALSE),VLOOKUP(tables_559100!C133,input_559100!A:H,8,FALSE))</f>
        <v>262990</v>
      </c>
      <c r="P133" s="46">
        <f t="shared" ca="1" si="11"/>
        <v>8.0572916667653958E-3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input_559100!A$2</f>
        <v>559100</v>
      </c>
      <c r="B134" s="5">
        <v>258</v>
      </c>
      <c r="C134" s="7" t="str">
        <f t="shared" si="9"/>
        <v>Premium5</v>
      </c>
      <c r="D134" s="7" t="str">
        <f t="shared" si="10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IFERROR(VLOOKUP(B134,input_559100!L:R,7,FALSE),VLOOKUP(tables_559100!C134,input_559100!A:H,8,FALSE))</f>
        <v>28273.615379999999</v>
      </c>
      <c r="P134" s="46">
        <f t="shared" ca="1" si="11"/>
        <v>8.6622596140767296E-4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input_559100!A$2</f>
        <v>559100</v>
      </c>
      <c r="B135" s="5">
        <v>259</v>
      </c>
      <c r="C135" s="7" t="str">
        <f t="shared" si="9"/>
        <v>Premium3</v>
      </c>
      <c r="D135" s="7" t="str">
        <f t="shared" si="10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IFERROR(VLOOKUP(B135,input_559100!L:R,7,FALSE),VLOOKUP(tables_559100!C135,input_559100!A:H,8,FALSE))</f>
        <v>0</v>
      </c>
      <c r="P135" s="46">
        <f t="shared" ca="1" si="11"/>
        <v>0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input_559100!A$2</f>
        <v>559100</v>
      </c>
      <c r="B136" s="5">
        <v>260</v>
      </c>
      <c r="C136" s="7" t="str">
        <f t="shared" si="9"/>
        <v>Premium4</v>
      </c>
      <c r="D136" s="7" t="str">
        <f t="shared" si="10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IFERROR(VLOOKUP(B136,input_559100!L:R,7,FALSE),VLOOKUP(tables_559100!C136,input_559100!A:H,8,FALSE))</f>
        <v>262990</v>
      </c>
      <c r="P136" s="46">
        <f t="shared" ca="1" si="11"/>
        <v>8.0572916667653958E-3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input_559100!A$2</f>
        <v>559100</v>
      </c>
      <c r="B137" s="5">
        <v>261</v>
      </c>
      <c r="C137" s="7" t="str">
        <f t="shared" si="9"/>
        <v>Premium5</v>
      </c>
      <c r="D137" s="7" t="str">
        <f t="shared" si="10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IFERROR(VLOOKUP(B137,input_559100!L:R,7,FALSE),VLOOKUP(tables_559100!C137,input_559100!A:H,8,FALSE))</f>
        <v>28273.615379999999</v>
      </c>
      <c r="P137" s="46">
        <f t="shared" ca="1" si="11"/>
        <v>8.6622596140767296E-4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input_559100!A$2</f>
        <v>559100</v>
      </c>
      <c r="B138" s="5">
        <v>320</v>
      </c>
      <c r="C138" s="7" t="str">
        <f t="shared" ref="C138:C201" si="12">D138&amp;J138&amp;E138&amp;F138&amp;G138</f>
        <v>PremiumSS4</v>
      </c>
      <c r="D138" s="7" t="str">
        <f t="shared" ref="D138:D201" si="13">IF(OR(I138="PremiumSS",I138="PremiumSSw"),"PremiumSS",IF(I138="PremiumSSS",I138,IF(I138="PremiumW",IF(J138=5,"premium",I138),"Premium")))</f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IFERROR(VLOOKUP(B138,input_559100!L:R,7,FALSE),VLOOKUP(tables_559100!C138,input_559100!A:H,8,FALSE))</f>
        <v>29376</v>
      </c>
      <c r="P138" s="46">
        <f t="shared" ca="1" si="11"/>
        <v>9.0000000001102805E-4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input_559100!A$2</f>
        <v>559100</v>
      </c>
      <c r="B139" s="5">
        <v>321</v>
      </c>
      <c r="C139" s="7" t="str">
        <f t="shared" si="12"/>
        <v>PremiumSS5</v>
      </c>
      <c r="D139" s="7" t="str">
        <f t="shared" si="13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IFERROR(VLOOKUP(B139,input_559100!L:R,7,FALSE),VLOOKUP(tables_559100!C139,input_559100!A:H,8,FALSE))</f>
        <v>5184</v>
      </c>
      <c r="P139" s="46">
        <f t="shared" ca="1" si="11"/>
        <v>1.5882352941371083E-4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input_559100!A$2</f>
        <v>559100</v>
      </c>
      <c r="B140" s="5">
        <v>322</v>
      </c>
      <c r="C140" s="7" t="str">
        <f t="shared" si="12"/>
        <v>PremiumSS4</v>
      </c>
      <c r="D140" s="7" t="str">
        <f t="shared" si="13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IFERROR(VLOOKUP(B140,input_559100!L:R,7,FALSE),VLOOKUP(tables_559100!C140,input_559100!A:H,8,FALSE))</f>
        <v>29376</v>
      </c>
      <c r="P140" s="46">
        <f t="shared" ca="1" si="11"/>
        <v>9.0000000001102805E-4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input_559100!A$2</f>
        <v>559100</v>
      </c>
      <c r="B141" s="5">
        <v>323</v>
      </c>
      <c r="C141" s="7" t="str">
        <f t="shared" si="12"/>
        <v>PremiumSS5</v>
      </c>
      <c r="D141" s="7" t="str">
        <f t="shared" si="13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IFERROR(VLOOKUP(B141,input_559100!L:R,7,FALSE),VLOOKUP(tables_559100!C141,input_559100!A:H,8,FALSE))</f>
        <v>5184</v>
      </c>
      <c r="P141" s="46">
        <f t="shared" ca="1" si="11"/>
        <v>1.5882352941371083E-4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input_559100!A$2</f>
        <v>559100</v>
      </c>
      <c r="B142" s="5">
        <v>324</v>
      </c>
      <c r="C142" s="7" t="str">
        <f t="shared" si="12"/>
        <v>PremiumSS4</v>
      </c>
      <c r="D142" s="7" t="str">
        <f t="shared" si="13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IFERROR(VLOOKUP(B142,input_559100!L:R,7,FALSE),VLOOKUP(tables_559100!C142,input_559100!A:H,8,FALSE))</f>
        <v>29376</v>
      </c>
      <c r="P142" s="46">
        <f t="shared" ca="1" si="11"/>
        <v>9.0000000001102805E-4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ht="21" customHeight="1" x14ac:dyDescent="0.15">
      <c r="A143" s="2" t="str">
        <f ca="1">input_559100!A$2</f>
        <v>559100</v>
      </c>
      <c r="B143" s="5">
        <v>325</v>
      </c>
      <c r="C143" s="7" t="str">
        <f t="shared" si="12"/>
        <v>PremiumSS5</v>
      </c>
      <c r="D143" s="7" t="str">
        <f t="shared" si="13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IFERROR(VLOOKUP(B143,input_559100!L:R,7,FALSE),VLOOKUP(tables_559100!C143,input_559100!A:H,8,FALSE))</f>
        <v>5184</v>
      </c>
      <c r="P143" s="46">
        <f t="shared" ca="1" si="11"/>
        <v>1.5882352941371083E-4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input_559100!A$2</f>
        <v>559100</v>
      </c>
      <c r="B144" s="5">
        <v>326</v>
      </c>
      <c r="C144" s="7" t="str">
        <f t="shared" si="12"/>
        <v>PremiumSS4</v>
      </c>
      <c r="D144" s="7" t="str">
        <f t="shared" si="13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IFERROR(VLOOKUP(B144,input_559100!L:R,7,FALSE),VLOOKUP(tables_559100!C144,input_559100!A:H,8,FALSE))</f>
        <v>29376</v>
      </c>
      <c r="P144" s="46">
        <f t="shared" ca="1" si="11"/>
        <v>9.0000000001102805E-4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input_559100!A$2</f>
        <v>559100</v>
      </c>
      <c r="B145" s="5">
        <v>327</v>
      </c>
      <c r="C145" s="7" t="str">
        <f t="shared" si="12"/>
        <v>PremiumSS5</v>
      </c>
      <c r="D145" s="7" t="str">
        <f t="shared" si="13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IFERROR(VLOOKUP(B145,input_559100!L:R,7,FALSE),VLOOKUP(tables_559100!C145,input_559100!A:H,8,FALSE))</f>
        <v>5184</v>
      </c>
      <c r="P145" s="46">
        <f t="shared" ca="1" si="11"/>
        <v>1.5882352941371083E-4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input_559100!A$2</f>
        <v>559100</v>
      </c>
      <c r="B146" s="5">
        <v>380</v>
      </c>
      <c r="C146" s="7" t="str">
        <f t="shared" si="12"/>
        <v>Premium3</v>
      </c>
      <c r="D146" s="7" t="str">
        <f t="shared" si="13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IFERROR(VLOOKUP(B146,input_559100!L:R,7,FALSE),VLOOKUP(tables_559100!C146,input_559100!A:H,8,FALSE))</f>
        <v>0</v>
      </c>
      <c r="P146" s="46">
        <f t="shared" ca="1" si="11"/>
        <v>0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input_559100!A$2</f>
        <v>559100</v>
      </c>
      <c r="B147" s="5">
        <v>381</v>
      </c>
      <c r="C147" s="7" t="str">
        <f t="shared" si="12"/>
        <v>Premium4</v>
      </c>
      <c r="D147" s="7" t="str">
        <f t="shared" si="13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IFERROR(VLOOKUP(B147,input_559100!L:R,7,FALSE),VLOOKUP(tables_559100!C147,input_559100!A:H,8,FALSE))</f>
        <v>262990</v>
      </c>
      <c r="P147" s="46">
        <f t="shared" ca="1" si="11"/>
        <v>8.0572916667653958E-3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input_559100!A$2</f>
        <v>559100</v>
      </c>
      <c r="B148" s="5">
        <v>382</v>
      </c>
      <c r="C148" s="7" t="str">
        <f t="shared" si="12"/>
        <v>Premium5</v>
      </c>
      <c r="D148" s="7" t="str">
        <f t="shared" si="13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IFERROR(VLOOKUP(B148,input_559100!L:R,7,FALSE),VLOOKUP(tables_559100!C148,input_559100!A:H,8,FALSE))</f>
        <v>28273.615379999999</v>
      </c>
      <c r="P148" s="46">
        <f t="shared" ca="1" si="11"/>
        <v>8.6622596140767296E-4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input_559100!A$2</f>
        <v>559100</v>
      </c>
      <c r="B149" s="5">
        <v>383</v>
      </c>
      <c r="C149" s="7" t="str">
        <f t="shared" si="12"/>
        <v>PremiumSS4</v>
      </c>
      <c r="D149" s="7" t="str">
        <f t="shared" si="13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IFERROR(VLOOKUP(B149,input_559100!L:R,7,FALSE),VLOOKUP(tables_559100!C149,input_559100!A:H,8,FALSE))</f>
        <v>29376</v>
      </c>
      <c r="P149" s="46">
        <f t="shared" ca="1" si="11"/>
        <v>9.0000000001102805E-4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input_559100!A$2</f>
        <v>559100</v>
      </c>
      <c r="B150" s="5">
        <v>384</v>
      </c>
      <c r="C150" s="7" t="str">
        <f t="shared" si="12"/>
        <v>PremiumSS5</v>
      </c>
      <c r="D150" s="7" t="str">
        <f t="shared" si="13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IFERROR(VLOOKUP(B150,input_559100!L:R,7,FALSE),VLOOKUP(tables_559100!C150,input_559100!A:H,8,FALSE))</f>
        <v>5184</v>
      </c>
      <c r="P150" s="46">
        <f t="shared" ca="1" si="11"/>
        <v>1.5882352941371083E-4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input_559100!A$2</f>
        <v>559100</v>
      </c>
      <c r="B151" s="5">
        <v>385</v>
      </c>
      <c r="C151" s="7" t="str">
        <f t="shared" si="12"/>
        <v>PremiumSS4</v>
      </c>
      <c r="D151" s="7" t="str">
        <f t="shared" si="13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IFERROR(VLOOKUP(B151,input_559100!L:R,7,FALSE),VLOOKUP(tables_559100!C151,input_559100!A:H,8,FALSE))</f>
        <v>29376</v>
      </c>
      <c r="P151" s="46">
        <f t="shared" ca="1" si="11"/>
        <v>9.0000000001102805E-4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input_559100!A$2</f>
        <v>559100</v>
      </c>
      <c r="B152" s="5">
        <v>386</v>
      </c>
      <c r="C152" s="7" t="str">
        <f t="shared" si="12"/>
        <v>PremiumSS5</v>
      </c>
      <c r="D152" s="7" t="str">
        <f t="shared" si="13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IFERROR(VLOOKUP(B152,input_559100!L:R,7,FALSE),VLOOKUP(tables_559100!C152,input_559100!A:H,8,FALSE))</f>
        <v>5184</v>
      </c>
      <c r="P152" s="46">
        <f t="shared" ca="1" si="11"/>
        <v>1.5882352941371083E-4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input_559100!A$2</f>
        <v>559100</v>
      </c>
      <c r="B153" s="5">
        <v>387</v>
      </c>
      <c r="C153" s="7" t="str">
        <f t="shared" si="12"/>
        <v>Premium3</v>
      </c>
      <c r="D153" s="7" t="str">
        <f t="shared" si="13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IFERROR(VLOOKUP(B153,input_559100!L:R,7,FALSE),VLOOKUP(tables_559100!C153,input_559100!A:H,8,FALSE))</f>
        <v>0</v>
      </c>
      <c r="P153" s="46">
        <f t="shared" ca="1" si="11"/>
        <v>0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input_559100!A$2</f>
        <v>559100</v>
      </c>
      <c r="B154" s="5">
        <v>388</v>
      </c>
      <c r="C154" s="7" t="str">
        <f t="shared" si="12"/>
        <v>Premium4</v>
      </c>
      <c r="D154" s="7" t="str">
        <f t="shared" si="13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IFERROR(VLOOKUP(B154,input_559100!L:R,7,FALSE),VLOOKUP(tables_559100!C154,input_559100!A:H,8,FALSE))</f>
        <v>262990</v>
      </c>
      <c r="P154" s="46">
        <f t="shared" ca="1" si="11"/>
        <v>8.0572916667653958E-3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input_559100!A$2</f>
        <v>559100</v>
      </c>
      <c r="B155" s="5">
        <v>389</v>
      </c>
      <c r="C155" s="7" t="str">
        <f t="shared" si="12"/>
        <v>Premium5</v>
      </c>
      <c r="D155" s="7" t="str">
        <f t="shared" si="13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IFERROR(VLOOKUP(B155,input_559100!L:R,7,FALSE),VLOOKUP(tables_559100!C155,input_559100!A:H,8,FALSE))</f>
        <v>28273.615379999999</v>
      </c>
      <c r="P155" s="46">
        <f t="shared" ca="1" si="11"/>
        <v>8.6622596140767296E-4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input_559100!A$2</f>
        <v>559100</v>
      </c>
      <c r="B156" s="5">
        <v>390</v>
      </c>
      <c r="C156" s="7" t="str">
        <f t="shared" si="12"/>
        <v>PremiumSS4</v>
      </c>
      <c r="D156" s="7" t="str">
        <f t="shared" si="13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IFERROR(VLOOKUP(B156,input_559100!L:R,7,FALSE),VLOOKUP(tables_559100!C156,input_559100!A:H,8,FALSE))</f>
        <v>29376</v>
      </c>
      <c r="P156" s="46">
        <f t="shared" ca="1" si="11"/>
        <v>9.0000000001102805E-4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input_559100!A$2</f>
        <v>559100</v>
      </c>
      <c r="B157" s="5">
        <v>391</v>
      </c>
      <c r="C157" s="7" t="str">
        <f t="shared" si="12"/>
        <v>PremiumSS5</v>
      </c>
      <c r="D157" s="7" t="str">
        <f t="shared" si="13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IFERROR(VLOOKUP(B157,input_559100!L:R,7,FALSE),VLOOKUP(tables_559100!C157,input_559100!A:H,8,FALSE))</f>
        <v>5184</v>
      </c>
      <c r="P157" s="46">
        <f t="shared" ca="1" si="11"/>
        <v>1.5882352941371083E-4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input_559100!A$2</f>
        <v>559100</v>
      </c>
      <c r="B158" s="5">
        <v>392</v>
      </c>
      <c r="C158" s="7" t="str">
        <f t="shared" si="12"/>
        <v>Premium3</v>
      </c>
      <c r="D158" s="7" t="str">
        <f t="shared" si="13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IFERROR(VLOOKUP(B158,input_559100!L:R,7,FALSE),VLOOKUP(tables_559100!C158,input_559100!A:H,8,FALSE))</f>
        <v>0</v>
      </c>
      <c r="P158" s="46">
        <f t="shared" ca="1" si="11"/>
        <v>0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input_559100!A$2</f>
        <v>559100</v>
      </c>
      <c r="B159" s="5">
        <v>393</v>
      </c>
      <c r="C159" s="7" t="str">
        <f t="shared" si="12"/>
        <v>Premium4</v>
      </c>
      <c r="D159" s="7" t="str">
        <f t="shared" si="13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IFERROR(VLOOKUP(B159,input_559100!L:R,7,FALSE),VLOOKUP(tables_559100!C159,input_559100!A:H,8,FALSE))</f>
        <v>262990</v>
      </c>
      <c r="P159" s="46">
        <f t="shared" ca="1" si="11"/>
        <v>8.0572916667653958E-3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input_559100!A$2</f>
        <v>559100</v>
      </c>
      <c r="B160" s="5">
        <v>394</v>
      </c>
      <c r="C160" s="7" t="str">
        <f t="shared" si="12"/>
        <v>Premium5</v>
      </c>
      <c r="D160" s="7" t="str">
        <f t="shared" si="13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IFERROR(VLOOKUP(B160,input_559100!L:R,7,FALSE),VLOOKUP(tables_559100!C160,input_559100!A:H,8,FALSE))</f>
        <v>28273.615379999999</v>
      </c>
      <c r="P160" s="46">
        <f t="shared" ca="1" si="11"/>
        <v>8.6622596140767296E-4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input_559100!A$2</f>
        <v>559100</v>
      </c>
      <c r="B161" s="5">
        <v>395</v>
      </c>
      <c r="C161" s="7" t="str">
        <f t="shared" si="12"/>
        <v>Premium3</v>
      </c>
      <c r="D161" s="7" t="str">
        <f t="shared" si="13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IFERROR(VLOOKUP(B161,input_559100!L:R,7,FALSE),VLOOKUP(tables_559100!C161,input_559100!A:H,8,FALSE))</f>
        <v>0</v>
      </c>
      <c r="P161" s="46">
        <f t="shared" ca="1" si="11"/>
        <v>0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input_559100!A$2</f>
        <v>559100</v>
      </c>
      <c r="B162" s="5">
        <v>396</v>
      </c>
      <c r="C162" s="7" t="str">
        <f t="shared" si="12"/>
        <v>Premium4</v>
      </c>
      <c r="D162" s="7" t="str">
        <f t="shared" si="13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IFERROR(VLOOKUP(B162,input_559100!L:R,7,FALSE),VLOOKUP(tables_559100!C162,input_559100!A:H,8,FALSE))</f>
        <v>262990</v>
      </c>
      <c r="P162" s="46">
        <f t="shared" ca="1" si="11"/>
        <v>8.0572916667653958E-3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input_559100!A$2</f>
        <v>559100</v>
      </c>
      <c r="B163" s="5">
        <v>397</v>
      </c>
      <c r="C163" s="7" t="str">
        <f t="shared" si="12"/>
        <v>Premium5</v>
      </c>
      <c r="D163" s="7" t="str">
        <f t="shared" si="13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IFERROR(VLOOKUP(B163,input_559100!L:R,7,FALSE),VLOOKUP(tables_559100!C163,input_559100!A:H,8,FALSE))</f>
        <v>28273.615379999999</v>
      </c>
      <c r="P163" s="46">
        <f t="shared" ca="1" si="11"/>
        <v>8.6622596140767296E-4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input_559100!A$2</f>
        <v>559100</v>
      </c>
      <c r="B164" s="5">
        <v>398</v>
      </c>
      <c r="C164" s="7" t="str">
        <f t="shared" si="12"/>
        <v>PremiumSS4</v>
      </c>
      <c r="D164" s="7" t="str">
        <f t="shared" si="13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IFERROR(VLOOKUP(B164,input_559100!L:R,7,FALSE),VLOOKUP(tables_559100!C164,input_559100!A:H,8,FALSE))</f>
        <v>29376</v>
      </c>
      <c r="P164" s="46">
        <f t="shared" ca="1" si="11"/>
        <v>9.0000000001102805E-4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input_559100!A$2</f>
        <v>559100</v>
      </c>
      <c r="B165" s="5">
        <v>399</v>
      </c>
      <c r="C165" s="7" t="str">
        <f t="shared" si="12"/>
        <v>PremiumSS5</v>
      </c>
      <c r="D165" s="7" t="str">
        <f t="shared" si="13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IFERROR(VLOOKUP(B165,input_559100!L:R,7,FALSE),VLOOKUP(tables_559100!C165,input_559100!A:H,8,FALSE))</f>
        <v>5184</v>
      </c>
      <c r="P165" s="46">
        <f t="shared" ca="1" si="11"/>
        <v>1.5882352941371083E-4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input_559100!A$2</f>
        <v>559100</v>
      </c>
      <c r="B166" s="5">
        <v>400</v>
      </c>
      <c r="C166" s="7" t="str">
        <f t="shared" si="12"/>
        <v>Premium3</v>
      </c>
      <c r="D166" s="7" t="str">
        <f t="shared" si="13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IFERROR(VLOOKUP(B166,input_559100!L:R,7,FALSE),VLOOKUP(tables_559100!C166,input_559100!A:H,8,FALSE))</f>
        <v>0</v>
      </c>
      <c r="P166" s="46">
        <f t="shared" ca="1" si="11"/>
        <v>0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input_559100!A$2</f>
        <v>559100</v>
      </c>
      <c r="B167" s="5">
        <v>401</v>
      </c>
      <c r="C167" s="7" t="str">
        <f t="shared" si="12"/>
        <v>Premium4</v>
      </c>
      <c r="D167" s="7" t="str">
        <f t="shared" si="13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IFERROR(VLOOKUP(B167,input_559100!L:R,7,FALSE),VLOOKUP(tables_559100!C167,input_559100!A:H,8,FALSE))</f>
        <v>262990</v>
      </c>
      <c r="P167" s="46">
        <f t="shared" ca="1" si="11"/>
        <v>8.0572916667653958E-3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input_559100!A$2</f>
        <v>559100</v>
      </c>
      <c r="B168" s="5">
        <v>402</v>
      </c>
      <c r="C168" s="7" t="str">
        <f t="shared" si="12"/>
        <v>Premium5</v>
      </c>
      <c r="D168" s="7" t="str">
        <f t="shared" si="13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IFERROR(VLOOKUP(B168,input_559100!L:R,7,FALSE),VLOOKUP(tables_559100!C168,input_559100!A:H,8,FALSE))</f>
        <v>28273.615379999999</v>
      </c>
      <c r="P168" s="46">
        <f t="shared" ca="1" si="11"/>
        <v>8.6622596140767296E-4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input_559100!A$2</f>
        <v>559100</v>
      </c>
      <c r="B169" s="5">
        <v>403</v>
      </c>
      <c r="C169" s="7" t="str">
        <f t="shared" si="12"/>
        <v>PremiumSS4</v>
      </c>
      <c r="D169" s="7" t="str">
        <f t="shared" si="13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IFERROR(VLOOKUP(B169,input_559100!L:R,7,FALSE),VLOOKUP(tables_559100!C169,input_559100!A:H,8,FALSE))</f>
        <v>29376</v>
      </c>
      <c r="P169" s="46">
        <f t="shared" ca="1" si="11"/>
        <v>9.0000000001102805E-4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input_559100!A$2</f>
        <v>559100</v>
      </c>
      <c r="B170" s="5">
        <v>404</v>
      </c>
      <c r="C170" s="7" t="str">
        <f t="shared" si="12"/>
        <v>PremiumSS5</v>
      </c>
      <c r="D170" s="7" t="str">
        <f t="shared" si="13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IFERROR(VLOOKUP(B170,input_559100!L:R,7,FALSE),VLOOKUP(tables_559100!C170,input_559100!A:H,8,FALSE))</f>
        <v>5184</v>
      </c>
      <c r="P170" s="46">
        <f t="shared" ca="1" si="11"/>
        <v>1.5882352941371083E-4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input_559100!A$2</f>
        <v>559100</v>
      </c>
      <c r="B171" s="5">
        <v>405</v>
      </c>
      <c r="C171" s="7" t="str">
        <f t="shared" si="12"/>
        <v>Premium3</v>
      </c>
      <c r="D171" s="7" t="str">
        <f t="shared" si="13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IFERROR(VLOOKUP(B171,input_559100!L:R,7,FALSE),VLOOKUP(tables_559100!C171,input_559100!A:H,8,FALSE))</f>
        <v>0</v>
      </c>
      <c r="P171" s="46">
        <f t="shared" ca="1" si="11"/>
        <v>0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input_559100!A$2</f>
        <v>559100</v>
      </c>
      <c r="B172" s="5">
        <v>406</v>
      </c>
      <c r="C172" s="7" t="str">
        <f t="shared" si="12"/>
        <v>Premium4</v>
      </c>
      <c r="D172" s="7" t="str">
        <f t="shared" si="13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IFERROR(VLOOKUP(B172,input_559100!L:R,7,FALSE),VLOOKUP(tables_559100!C172,input_559100!A:H,8,FALSE))</f>
        <v>262990</v>
      </c>
      <c r="P172" s="46">
        <f t="shared" ca="1" si="11"/>
        <v>8.0572916667653958E-3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input_559100!A$2</f>
        <v>559100</v>
      </c>
      <c r="B173" s="5">
        <v>407</v>
      </c>
      <c r="C173" s="7" t="str">
        <f t="shared" si="12"/>
        <v>Premium5</v>
      </c>
      <c r="D173" s="7" t="str">
        <f t="shared" si="13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IFERROR(VLOOKUP(B173,input_559100!L:R,7,FALSE),VLOOKUP(tables_559100!C173,input_559100!A:H,8,FALSE))</f>
        <v>28273.615379999999</v>
      </c>
      <c r="P173" s="46">
        <f t="shared" ca="1" si="11"/>
        <v>8.6622596140767296E-4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input_559100!A$2</f>
        <v>559100</v>
      </c>
      <c r="B174" s="5">
        <v>408</v>
      </c>
      <c r="C174" s="7" t="str">
        <f t="shared" si="12"/>
        <v>PremiumSS4</v>
      </c>
      <c r="D174" s="7" t="str">
        <f t="shared" si="13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IFERROR(VLOOKUP(B174,input_559100!L:R,7,FALSE),VLOOKUP(tables_559100!C174,input_559100!A:H,8,FALSE))</f>
        <v>29376</v>
      </c>
      <c r="P174" s="46">
        <f t="shared" ca="1" si="11"/>
        <v>9.0000000001102805E-4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input_559100!A$2</f>
        <v>559100</v>
      </c>
      <c r="B175" s="5">
        <v>409</v>
      </c>
      <c r="C175" s="7" t="str">
        <f t="shared" si="12"/>
        <v>PremiumSS5</v>
      </c>
      <c r="D175" s="7" t="str">
        <f t="shared" si="13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IFERROR(VLOOKUP(B175,input_559100!L:R,7,FALSE),VLOOKUP(tables_559100!C175,input_559100!A:H,8,FALSE))</f>
        <v>5184</v>
      </c>
      <c r="P175" s="46">
        <f t="shared" ca="1" si="11"/>
        <v>1.5882352941371083E-4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input_559100!A$2</f>
        <v>559100</v>
      </c>
      <c r="B176" s="5">
        <v>434</v>
      </c>
      <c r="C176" s="7" t="str">
        <f t="shared" si="12"/>
        <v>PremiumSS4</v>
      </c>
      <c r="D176" s="7" t="str">
        <f t="shared" si="13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IFERROR(VLOOKUP(B176,input_559100!L:R,7,FALSE),VLOOKUP(tables_559100!C176,input_559100!A:H,8,FALSE))</f>
        <v>29376</v>
      </c>
      <c r="P176" s="46">
        <f t="shared" ca="1" si="11"/>
        <v>9.0000000001102805E-4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input_559100!A$2</f>
        <v>559100</v>
      </c>
      <c r="B177" s="5">
        <v>435</v>
      </c>
      <c r="C177" s="7" t="str">
        <f t="shared" si="12"/>
        <v>PremiumSS5</v>
      </c>
      <c r="D177" s="7" t="str">
        <f t="shared" si="13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IFERROR(VLOOKUP(B177,input_559100!L:R,7,FALSE),VLOOKUP(tables_559100!C177,input_559100!A:H,8,FALSE))</f>
        <v>5184</v>
      </c>
      <c r="P177" s="46">
        <f t="shared" ca="1" si="11"/>
        <v>1.5882352941371083E-4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input_559100!A$2</f>
        <v>559100</v>
      </c>
      <c r="B178" s="5">
        <v>436</v>
      </c>
      <c r="C178" s="7" t="str">
        <f t="shared" si="12"/>
        <v>Premium3</v>
      </c>
      <c r="D178" s="7" t="str">
        <f t="shared" si="13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IFERROR(VLOOKUP(B178,input_559100!L:R,7,FALSE),VLOOKUP(tables_559100!C178,input_559100!A:H,8,FALSE))</f>
        <v>0</v>
      </c>
      <c r="P178" s="46">
        <f t="shared" ca="1" si="11"/>
        <v>0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input_559100!A$2</f>
        <v>559100</v>
      </c>
      <c r="B179" s="5">
        <v>437</v>
      </c>
      <c r="C179" s="7" t="str">
        <f t="shared" si="12"/>
        <v>Premium4</v>
      </c>
      <c r="D179" s="7" t="str">
        <f t="shared" si="13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IFERROR(VLOOKUP(B179,input_559100!L:R,7,FALSE),VLOOKUP(tables_559100!C179,input_559100!A:H,8,FALSE))</f>
        <v>262990</v>
      </c>
      <c r="P179" s="46">
        <f t="shared" ca="1" si="11"/>
        <v>8.0572916667653958E-3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input_559100!A$2</f>
        <v>559100</v>
      </c>
      <c r="B180" s="5">
        <v>438</v>
      </c>
      <c r="C180" s="7" t="str">
        <f t="shared" si="12"/>
        <v>Premium5</v>
      </c>
      <c r="D180" s="7" t="str">
        <f t="shared" si="13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IFERROR(VLOOKUP(B180,input_559100!L:R,7,FALSE),VLOOKUP(tables_559100!C180,input_559100!A:H,8,FALSE))</f>
        <v>28273.615379999999</v>
      </c>
      <c r="P180" s="46">
        <f t="shared" ca="1" si="11"/>
        <v>8.6622596140767296E-4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input_559100!A$2</f>
        <v>559100</v>
      </c>
      <c r="B181" s="5">
        <v>439</v>
      </c>
      <c r="C181" s="7" t="str">
        <f t="shared" si="12"/>
        <v>Premium3</v>
      </c>
      <c r="D181" s="7" t="str">
        <f t="shared" si="13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IFERROR(VLOOKUP(B181,input_559100!L:R,7,FALSE),VLOOKUP(tables_559100!C181,input_559100!A:H,8,FALSE))</f>
        <v>0</v>
      </c>
      <c r="P181" s="46">
        <f t="shared" ca="1" si="11"/>
        <v>0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input_559100!A$2</f>
        <v>559100</v>
      </c>
      <c r="B182" s="5">
        <v>440</v>
      </c>
      <c r="C182" s="7" t="str">
        <f t="shared" si="12"/>
        <v>Premium4</v>
      </c>
      <c r="D182" s="7" t="str">
        <f t="shared" si="13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IFERROR(VLOOKUP(B182,input_559100!L:R,7,FALSE),VLOOKUP(tables_559100!C182,input_559100!A:H,8,FALSE))</f>
        <v>262990</v>
      </c>
      <c r="P182" s="46">
        <f t="shared" ca="1" si="11"/>
        <v>8.0572916667653958E-3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input_559100!A$2</f>
        <v>559100</v>
      </c>
      <c r="B183" s="5">
        <v>441</v>
      </c>
      <c r="C183" s="7" t="str">
        <f t="shared" si="12"/>
        <v>Premium5</v>
      </c>
      <c r="D183" s="7" t="str">
        <f t="shared" si="13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IFERROR(VLOOKUP(B183,input_559100!L:R,7,FALSE),VLOOKUP(tables_559100!C183,input_559100!A:H,8,FALSE))</f>
        <v>28273.615379999999</v>
      </c>
      <c r="P183" s="46">
        <f t="shared" ca="1" si="11"/>
        <v>8.6622596140767296E-4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input_559100!A$2</f>
        <v>559100</v>
      </c>
      <c r="B184" s="5">
        <v>442</v>
      </c>
      <c r="C184" s="7" t="str">
        <f t="shared" si="12"/>
        <v>PremiumSS4</v>
      </c>
      <c r="D184" s="7" t="str">
        <f t="shared" si="13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IFERROR(VLOOKUP(B184,input_559100!L:R,7,FALSE),VLOOKUP(tables_559100!C184,input_559100!A:H,8,FALSE))</f>
        <v>29376</v>
      </c>
      <c r="P184" s="46">
        <f t="shared" ca="1" si="11"/>
        <v>9.0000000001102805E-4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input_559100!A$2</f>
        <v>559100</v>
      </c>
      <c r="B185" s="5">
        <v>443</v>
      </c>
      <c r="C185" s="7" t="str">
        <f t="shared" si="12"/>
        <v>PremiumSS5</v>
      </c>
      <c r="D185" s="7" t="str">
        <f t="shared" si="13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IFERROR(VLOOKUP(B185,input_559100!L:R,7,FALSE),VLOOKUP(tables_559100!C185,input_559100!A:H,8,FALSE))</f>
        <v>5184</v>
      </c>
      <c r="P185" s="46">
        <f t="shared" ca="1" si="11"/>
        <v>1.5882352941371083E-4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input_559100!A$2</f>
        <v>559100</v>
      </c>
      <c r="B186" s="5">
        <v>462</v>
      </c>
      <c r="C186" s="7" t="str">
        <f t="shared" si="12"/>
        <v>Premium3</v>
      </c>
      <c r="D186" s="7" t="str">
        <f t="shared" si="13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IFERROR(VLOOKUP(B186,input_559100!L:R,7,FALSE),VLOOKUP(tables_559100!C186,input_559100!A:H,8,FALSE))</f>
        <v>0</v>
      </c>
      <c r="P186" s="46">
        <f t="shared" ca="1" si="11"/>
        <v>0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input_559100!A$2</f>
        <v>559100</v>
      </c>
      <c r="B187" s="5">
        <v>463</v>
      </c>
      <c r="C187" s="7" t="str">
        <f t="shared" si="12"/>
        <v>Premium4</v>
      </c>
      <c r="D187" s="7" t="str">
        <f t="shared" si="13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IFERROR(VLOOKUP(B187,input_559100!L:R,7,FALSE),VLOOKUP(tables_559100!C187,input_559100!A:H,8,FALSE))</f>
        <v>262990</v>
      </c>
      <c r="P187" s="46">
        <f t="shared" ca="1" si="11"/>
        <v>8.0572916667653958E-3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input_559100!A$2</f>
        <v>559100</v>
      </c>
      <c r="B188" s="5">
        <v>464</v>
      </c>
      <c r="C188" s="7" t="str">
        <f t="shared" si="12"/>
        <v>Premium5</v>
      </c>
      <c r="D188" s="7" t="str">
        <f t="shared" si="13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IFERROR(VLOOKUP(B188,input_559100!L:R,7,FALSE),VLOOKUP(tables_559100!C188,input_559100!A:H,8,FALSE))</f>
        <v>28273.615379999999</v>
      </c>
      <c r="P188" s="46">
        <f t="shared" ca="1" si="11"/>
        <v>8.6622596140767296E-4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input_559100!A$2</f>
        <v>559100</v>
      </c>
      <c r="B189" s="5">
        <v>465</v>
      </c>
      <c r="C189" s="7" t="str">
        <f t="shared" si="12"/>
        <v>PremiumSS4</v>
      </c>
      <c r="D189" s="7" t="str">
        <f t="shared" si="13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IFERROR(VLOOKUP(B189,input_559100!L:R,7,FALSE),VLOOKUP(tables_559100!C189,input_559100!A:H,8,FALSE))</f>
        <v>29376</v>
      </c>
      <c r="P189" s="46">
        <f t="shared" ca="1" si="11"/>
        <v>9.0000000001102805E-4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ht="21" customHeight="1" x14ac:dyDescent="0.15">
      <c r="A190" s="2" t="str">
        <f ca="1">input_559100!A$2</f>
        <v>559100</v>
      </c>
      <c r="B190" s="5">
        <v>466</v>
      </c>
      <c r="C190" s="7" t="str">
        <f t="shared" si="12"/>
        <v>PremiumSS5</v>
      </c>
      <c r="D190" s="7" t="str">
        <f t="shared" si="13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IFERROR(VLOOKUP(B190,input_559100!L:R,7,FALSE),VLOOKUP(tables_559100!C190,input_559100!A:H,8,FALSE))</f>
        <v>5184</v>
      </c>
      <c r="P190" s="46">
        <f t="shared" ca="1" si="11"/>
        <v>1.5882352941371083E-4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input_559100!A$2</f>
        <v>559100</v>
      </c>
      <c r="B191" s="5">
        <v>467</v>
      </c>
      <c r="C191" s="7" t="str">
        <f t="shared" si="12"/>
        <v>PremiumSS4</v>
      </c>
      <c r="D191" s="7" t="str">
        <f t="shared" si="13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IFERROR(VLOOKUP(B191,input_559100!L:R,7,FALSE),VLOOKUP(tables_559100!C191,input_559100!A:H,8,FALSE))</f>
        <v>29376</v>
      </c>
      <c r="P191" s="46">
        <f t="shared" ca="1" si="11"/>
        <v>9.0000000001102805E-4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input_559100!A$2</f>
        <v>559100</v>
      </c>
      <c r="B192" s="5">
        <v>468</v>
      </c>
      <c r="C192" s="7" t="str">
        <f t="shared" si="12"/>
        <v>PremiumSS5</v>
      </c>
      <c r="D192" s="7" t="str">
        <f t="shared" si="13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IFERROR(VLOOKUP(B192,input_559100!L:R,7,FALSE),VLOOKUP(tables_559100!C192,input_559100!A:H,8,FALSE))</f>
        <v>5184</v>
      </c>
      <c r="P192" s="46">
        <f t="shared" ca="1" si="11"/>
        <v>1.5882352941371083E-4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input_559100!A$2</f>
        <v>559100</v>
      </c>
      <c r="B193" s="5">
        <v>469</v>
      </c>
      <c r="C193" s="7" t="str">
        <f t="shared" si="12"/>
        <v>Premium3</v>
      </c>
      <c r="D193" s="7" t="str">
        <f t="shared" si="13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IFERROR(VLOOKUP(B193,input_559100!L:R,7,FALSE),VLOOKUP(tables_559100!C193,input_559100!A:H,8,FALSE))</f>
        <v>0</v>
      </c>
      <c r="P193" s="46">
        <f t="shared" ca="1" si="11"/>
        <v>0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input_559100!A$2</f>
        <v>559100</v>
      </c>
      <c r="B194" s="5">
        <v>470</v>
      </c>
      <c r="C194" s="7" t="str">
        <f t="shared" si="12"/>
        <v>Premium4</v>
      </c>
      <c r="D194" s="7" t="str">
        <f t="shared" si="13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IFERROR(VLOOKUP(B194,input_559100!L:R,7,FALSE),VLOOKUP(tables_559100!C194,input_559100!A:H,8,FALSE))</f>
        <v>262990</v>
      </c>
      <c r="P194" s="46">
        <f t="shared" ref="P194:P257" ca="1" si="14">O194/SUM(O:O)</f>
        <v>8.0572916667653958E-3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input_559100!A$2</f>
        <v>559100</v>
      </c>
      <c r="B195" s="5">
        <v>471</v>
      </c>
      <c r="C195" s="7" t="str">
        <f t="shared" si="12"/>
        <v>Premium5</v>
      </c>
      <c r="D195" s="7" t="str">
        <f t="shared" si="13"/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IFERROR(VLOOKUP(B195,input_559100!L:R,7,FALSE),VLOOKUP(tables_559100!C195,input_559100!A:H,8,FALSE))</f>
        <v>28273.615379999999</v>
      </c>
      <c r="P195" s="46">
        <f t="shared" ca="1" si="14"/>
        <v>8.6622596140767296E-4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input_559100!A$2</f>
        <v>559100</v>
      </c>
      <c r="B196" s="5">
        <v>474</v>
      </c>
      <c r="C196" s="7" t="str">
        <f t="shared" si="12"/>
        <v>PremiumSS4</v>
      </c>
      <c r="D196" s="7" t="str">
        <f t="shared" si="13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IFERROR(VLOOKUP(B196,input_559100!L:R,7,FALSE),VLOOKUP(tables_559100!C196,input_559100!A:H,8,FALSE))</f>
        <v>29376</v>
      </c>
      <c r="P196" s="46">
        <f t="shared" ca="1" si="14"/>
        <v>9.0000000001102805E-4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input_559100!A$2</f>
        <v>559100</v>
      </c>
      <c r="B197" s="5">
        <v>475</v>
      </c>
      <c r="C197" s="7" t="str">
        <f t="shared" si="12"/>
        <v>PremiumSS5</v>
      </c>
      <c r="D197" s="7" t="str">
        <f t="shared" si="13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IFERROR(VLOOKUP(B197,input_559100!L:R,7,FALSE),VLOOKUP(tables_559100!C197,input_559100!A:H,8,FALSE))</f>
        <v>5184</v>
      </c>
      <c r="P197" s="46">
        <f t="shared" ca="1" si="14"/>
        <v>1.5882352941371083E-4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input_559100!A$2</f>
        <v>559100</v>
      </c>
      <c r="B198" s="5">
        <v>476</v>
      </c>
      <c r="C198" s="7" t="str">
        <f t="shared" si="12"/>
        <v>Premium3</v>
      </c>
      <c r="D198" s="7" t="str">
        <f t="shared" si="13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IFERROR(VLOOKUP(B198,input_559100!L:R,7,FALSE),VLOOKUP(tables_559100!C198,input_559100!A:H,8,FALSE))</f>
        <v>0</v>
      </c>
      <c r="P198" s="46">
        <f t="shared" ca="1" si="14"/>
        <v>0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input_559100!A$2</f>
        <v>559100</v>
      </c>
      <c r="B199" s="5">
        <v>477</v>
      </c>
      <c r="C199" s="7" t="str">
        <f t="shared" si="12"/>
        <v>Premium4</v>
      </c>
      <c r="D199" s="7" t="str">
        <f t="shared" si="13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IFERROR(VLOOKUP(B199,input_559100!L:R,7,FALSE),VLOOKUP(tables_559100!C199,input_559100!A:H,8,FALSE))</f>
        <v>262990</v>
      </c>
      <c r="P199" s="46">
        <f t="shared" ca="1" si="14"/>
        <v>8.0572916667653958E-3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input_559100!A$2</f>
        <v>559100</v>
      </c>
      <c r="B200" s="5">
        <v>478</v>
      </c>
      <c r="C200" s="7" t="str">
        <f t="shared" si="12"/>
        <v>Premium5</v>
      </c>
      <c r="D200" s="7" t="str">
        <f t="shared" si="13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IFERROR(VLOOKUP(B200,input_559100!L:R,7,FALSE),VLOOKUP(tables_559100!C200,input_559100!A:H,8,FALSE))</f>
        <v>28273.615379999999</v>
      </c>
      <c r="P200" s="46">
        <f t="shared" ca="1" si="14"/>
        <v>8.6622596140767296E-4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input_559100!A$2</f>
        <v>559100</v>
      </c>
      <c r="B201" s="5">
        <v>479</v>
      </c>
      <c r="C201" s="7" t="str">
        <f t="shared" si="12"/>
        <v>PremiumSS4</v>
      </c>
      <c r="D201" s="7" t="str">
        <f t="shared" si="13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IFERROR(VLOOKUP(B201,input_559100!L:R,7,FALSE),VLOOKUP(tables_559100!C201,input_559100!A:H,8,FALSE))</f>
        <v>29376</v>
      </c>
      <c r="P201" s="46">
        <f t="shared" ca="1" si="14"/>
        <v>9.0000000001102805E-4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input_559100!A$2</f>
        <v>559100</v>
      </c>
      <c r="B202" s="5">
        <v>480</v>
      </c>
      <c r="C202" s="7" t="str">
        <f t="shared" ref="C202:C265" si="15">D202&amp;J202&amp;E202&amp;F202&amp;G202</f>
        <v>PremiumSS5</v>
      </c>
      <c r="D202" s="7" t="str">
        <f t="shared" ref="D202:D265" si="16">IF(OR(I202="PremiumSS",I202="PremiumSSw"),"PremiumSS",IF(I202="PremiumSSS",I202,IF(I202="PremiumW",IF(J202=5,"premium",I202),"Premium")))</f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IFERROR(VLOOKUP(B202,input_559100!L:R,7,FALSE),VLOOKUP(tables_559100!C202,input_559100!A:H,8,FALSE))</f>
        <v>5184</v>
      </c>
      <c r="P202" s="46">
        <f t="shared" ca="1" si="14"/>
        <v>1.5882352941371083E-4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input_559100!A$2</f>
        <v>559100</v>
      </c>
      <c r="B203" s="5">
        <v>481</v>
      </c>
      <c r="C203" s="7" t="str">
        <f t="shared" si="15"/>
        <v>Premium3</v>
      </c>
      <c r="D203" s="7" t="str">
        <f t="shared" si="16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IFERROR(VLOOKUP(B203,input_559100!L:R,7,FALSE),VLOOKUP(tables_559100!C203,input_559100!A:H,8,FALSE))</f>
        <v>0</v>
      </c>
      <c r="P203" s="46">
        <f t="shared" ca="1" si="14"/>
        <v>0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input_559100!A$2</f>
        <v>559100</v>
      </c>
      <c r="B204" s="5">
        <v>482</v>
      </c>
      <c r="C204" s="7" t="str">
        <f t="shared" si="15"/>
        <v>Premium4</v>
      </c>
      <c r="D204" s="7" t="str">
        <f t="shared" si="16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IFERROR(VLOOKUP(B204,input_559100!L:R,7,FALSE),VLOOKUP(tables_559100!C204,input_559100!A:H,8,FALSE))</f>
        <v>262990</v>
      </c>
      <c r="P204" s="46">
        <f t="shared" ca="1" si="14"/>
        <v>8.0572916667653958E-3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input_559100!A$2</f>
        <v>559100</v>
      </c>
      <c r="B205" s="5">
        <v>483</v>
      </c>
      <c r="C205" s="7" t="str">
        <f t="shared" si="15"/>
        <v>Premium5</v>
      </c>
      <c r="D205" s="7" t="str">
        <f t="shared" si="16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IFERROR(VLOOKUP(B205,input_559100!L:R,7,FALSE),VLOOKUP(tables_559100!C205,input_559100!A:H,8,FALSE))</f>
        <v>28273.615379999999</v>
      </c>
      <c r="P205" s="46">
        <f t="shared" ca="1" si="14"/>
        <v>8.6622596140767296E-4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input_559100!A$2</f>
        <v>559100</v>
      </c>
      <c r="B206" s="5">
        <v>492</v>
      </c>
      <c r="C206" s="7" t="str">
        <f t="shared" si="15"/>
        <v>PremiumSS4</v>
      </c>
      <c r="D206" s="7" t="str">
        <f t="shared" si="16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IFERROR(VLOOKUP(B206,input_559100!L:R,7,FALSE),VLOOKUP(tables_559100!C206,input_559100!A:H,8,FALSE))</f>
        <v>29376</v>
      </c>
      <c r="P206" s="46">
        <f t="shared" ca="1" si="14"/>
        <v>9.0000000001102805E-4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input_559100!A$2</f>
        <v>559100</v>
      </c>
      <c r="B207" s="5">
        <v>493</v>
      </c>
      <c r="C207" s="7" t="str">
        <f t="shared" si="15"/>
        <v>PremiumSS5</v>
      </c>
      <c r="D207" s="7" t="str">
        <f t="shared" si="16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IFERROR(VLOOKUP(B207,input_559100!L:R,7,FALSE),VLOOKUP(tables_559100!C207,input_559100!A:H,8,FALSE))</f>
        <v>5184</v>
      </c>
      <c r="P207" s="46">
        <f t="shared" ca="1" si="14"/>
        <v>1.5882352941371083E-4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input_559100!A$2</f>
        <v>559100</v>
      </c>
      <c r="B208" s="5">
        <v>494</v>
      </c>
      <c r="C208" s="7" t="str">
        <f t="shared" si="15"/>
        <v>PremiumSS4</v>
      </c>
      <c r="D208" s="7" t="str">
        <f t="shared" si="16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IFERROR(VLOOKUP(B208,input_559100!L:R,7,FALSE),VLOOKUP(tables_559100!C208,input_559100!A:H,8,FALSE))</f>
        <v>29376</v>
      </c>
      <c r="P208" s="46">
        <f t="shared" ca="1" si="14"/>
        <v>9.0000000001102805E-4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input_559100!A$2</f>
        <v>559100</v>
      </c>
      <c r="B209" s="5">
        <v>495</v>
      </c>
      <c r="C209" s="7" t="str">
        <f t="shared" si="15"/>
        <v>PremiumSS5</v>
      </c>
      <c r="D209" s="7" t="str">
        <f t="shared" si="16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IFERROR(VLOOKUP(B209,input_559100!L:R,7,FALSE),VLOOKUP(tables_559100!C209,input_559100!A:H,8,FALSE))</f>
        <v>5184</v>
      </c>
      <c r="P209" s="46">
        <f t="shared" ca="1" si="14"/>
        <v>1.5882352941371083E-4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input_559100!A$2</f>
        <v>559100</v>
      </c>
      <c r="B210" s="5">
        <v>496</v>
      </c>
      <c r="C210" s="7" t="str">
        <f t="shared" si="15"/>
        <v>Premium3</v>
      </c>
      <c r="D210" s="7" t="str">
        <f t="shared" si="16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IFERROR(VLOOKUP(B210,input_559100!L:R,7,FALSE),VLOOKUP(tables_559100!C210,input_559100!A:H,8,FALSE))</f>
        <v>0</v>
      </c>
      <c r="P210" s="46">
        <f t="shared" ca="1" si="14"/>
        <v>0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input_559100!A$2</f>
        <v>559100</v>
      </c>
      <c r="B211" s="5">
        <v>497</v>
      </c>
      <c r="C211" s="7" t="str">
        <f t="shared" si="15"/>
        <v>Premium4</v>
      </c>
      <c r="D211" s="7" t="str">
        <f t="shared" si="16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IFERROR(VLOOKUP(B211,input_559100!L:R,7,FALSE),VLOOKUP(tables_559100!C211,input_559100!A:H,8,FALSE))</f>
        <v>262990</v>
      </c>
      <c r="P211" s="46">
        <f t="shared" ca="1" si="14"/>
        <v>8.0572916667653958E-3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input_559100!A$2</f>
        <v>559100</v>
      </c>
      <c r="B212" s="5">
        <v>498</v>
      </c>
      <c r="C212" s="7" t="str">
        <f t="shared" si="15"/>
        <v>Premium5</v>
      </c>
      <c r="D212" s="7" t="str">
        <f t="shared" si="16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IFERROR(VLOOKUP(B212,input_559100!L:R,7,FALSE),VLOOKUP(tables_559100!C212,input_559100!A:H,8,FALSE))</f>
        <v>28273.615379999999</v>
      </c>
      <c r="P212" s="46">
        <f t="shared" ca="1" si="14"/>
        <v>8.6622596140767296E-4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input_559100!A$2</f>
        <v>559100</v>
      </c>
      <c r="B213" s="5">
        <v>499</v>
      </c>
      <c r="C213" s="7" t="str">
        <f t="shared" si="15"/>
        <v>PremiumSS4</v>
      </c>
      <c r="D213" s="7" t="str">
        <f t="shared" si="16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IFERROR(VLOOKUP(B213,input_559100!L:R,7,FALSE),VLOOKUP(tables_559100!C213,input_559100!A:H,8,FALSE))</f>
        <v>29376</v>
      </c>
      <c r="P213" s="46">
        <f t="shared" ca="1" si="14"/>
        <v>9.0000000001102805E-4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input_559100!A$2</f>
        <v>559100</v>
      </c>
      <c r="B214" s="5">
        <v>500</v>
      </c>
      <c r="C214" s="7" t="str">
        <f t="shared" si="15"/>
        <v>PremiumSS5</v>
      </c>
      <c r="D214" s="7" t="str">
        <f t="shared" si="16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IFERROR(VLOOKUP(B214,input_559100!L:R,7,FALSE),VLOOKUP(tables_559100!C214,input_559100!A:H,8,FALSE))</f>
        <v>5184</v>
      </c>
      <c r="P214" s="46">
        <f t="shared" ca="1" si="14"/>
        <v>1.5882352941371083E-4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input_559100!A$2</f>
        <v>559100</v>
      </c>
      <c r="B215" s="5">
        <v>560</v>
      </c>
      <c r="C215" s="7" t="str">
        <f t="shared" si="15"/>
        <v>premium5R3less</v>
      </c>
      <c r="D215" s="7" t="str">
        <f t="shared" si="16"/>
        <v>premium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/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45">
        <f ca="1">IFERROR(VLOOKUP(B215,input_559100!L:R,7,FALSE),VLOOKUP(tables_559100!C215,input_559100!A:H,8,FALSE))</f>
        <v>46410</v>
      </c>
      <c r="P215" s="46">
        <f t="shared" ca="1" si="14"/>
        <v>1.4218750000174229E-3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input_559100!A$2</f>
        <v>559100</v>
      </c>
      <c r="B216" s="5">
        <v>561</v>
      </c>
      <c r="C216" s="7" t="str">
        <f t="shared" si="15"/>
        <v>premium5R3less</v>
      </c>
      <c r="D216" s="7" t="str">
        <f t="shared" si="16"/>
        <v>premium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/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45">
        <f ca="1">IFERROR(VLOOKUP(B216,input_559100!L:R,7,FALSE),VLOOKUP(tables_559100!C216,input_559100!A:H,8,FALSE))</f>
        <v>46410</v>
      </c>
      <c r="P216" s="46">
        <f t="shared" ca="1" si="14"/>
        <v>1.4218750000174229E-3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input_559100!A$2</f>
        <v>559100</v>
      </c>
      <c r="B217" s="5">
        <v>562</v>
      </c>
      <c r="C217" s="7" t="str">
        <f t="shared" si="15"/>
        <v>premium5R3less</v>
      </c>
      <c r="D217" s="7" t="str">
        <f t="shared" si="16"/>
        <v>premium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/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45">
        <f ca="1">IFERROR(VLOOKUP(B217,input_559100!L:R,7,FALSE),VLOOKUP(tables_559100!C217,input_559100!A:H,8,FALSE))</f>
        <v>46410</v>
      </c>
      <c r="P217" s="46">
        <f t="shared" ca="1" si="14"/>
        <v>1.4218750000174229E-3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input_559100!A$2</f>
        <v>559100</v>
      </c>
      <c r="B218" s="5">
        <v>563</v>
      </c>
      <c r="C218" s="7" t="str">
        <f t="shared" si="15"/>
        <v>premium5R3less</v>
      </c>
      <c r="D218" s="7" t="str">
        <f t="shared" si="16"/>
        <v>premium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/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45">
        <f ca="1">IFERROR(VLOOKUP(B218,input_559100!L:R,7,FALSE),VLOOKUP(tables_559100!C218,input_559100!A:H,8,FALSE))</f>
        <v>46410</v>
      </c>
      <c r="P218" s="46">
        <f t="shared" ca="1" si="14"/>
        <v>1.4218750000174229E-3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input_559100!A$2</f>
        <v>559100</v>
      </c>
      <c r="B219" s="5">
        <v>566</v>
      </c>
      <c r="C219" s="7" t="str">
        <f t="shared" si="15"/>
        <v>premium5R3less</v>
      </c>
      <c r="D219" s="7" t="str">
        <f t="shared" si="16"/>
        <v>premium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/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45">
        <f ca="1">IFERROR(VLOOKUP(B219,input_559100!L:R,7,FALSE),VLOOKUP(tables_559100!C219,input_559100!A:H,8,FALSE))</f>
        <v>46410</v>
      </c>
      <c r="P219" s="46">
        <f t="shared" ca="1" si="14"/>
        <v>1.4218750000174229E-3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input_559100!A$2</f>
        <v>559100</v>
      </c>
      <c r="B220" s="5">
        <v>567</v>
      </c>
      <c r="C220" s="7" t="str">
        <f t="shared" si="15"/>
        <v>premium5R3less</v>
      </c>
      <c r="D220" s="7" t="str">
        <f t="shared" si="16"/>
        <v>premium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/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45">
        <f ca="1">IFERROR(VLOOKUP(B220,input_559100!L:R,7,FALSE),VLOOKUP(tables_559100!C220,input_559100!A:H,8,FALSE))</f>
        <v>46410</v>
      </c>
      <c r="P220" s="46">
        <f t="shared" ca="1" si="14"/>
        <v>1.4218750000174229E-3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input_559100!A$2</f>
        <v>559100</v>
      </c>
      <c r="B221" s="5">
        <v>586</v>
      </c>
      <c r="C221" s="7" t="str">
        <f t="shared" si="15"/>
        <v>PremiumSS4</v>
      </c>
      <c r="D221" s="7" t="str">
        <f t="shared" si="16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45">
        <f ca="1">IFERROR(VLOOKUP(B221,input_559100!L:R,7,FALSE),VLOOKUP(tables_559100!C221,input_559100!A:H,8,FALSE))</f>
        <v>29376</v>
      </c>
      <c r="P221" s="46">
        <f t="shared" ca="1" si="14"/>
        <v>9.0000000001102805E-4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input_559100!A$2</f>
        <v>559100</v>
      </c>
      <c r="B222" s="5">
        <v>587</v>
      </c>
      <c r="C222" s="7" t="str">
        <f t="shared" si="15"/>
        <v>PremiumSS5</v>
      </c>
      <c r="D222" s="7" t="str">
        <f t="shared" si="16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45">
        <f ca="1">IFERROR(VLOOKUP(B222,input_559100!L:R,7,FALSE),VLOOKUP(tables_559100!C222,input_559100!A:H,8,FALSE))</f>
        <v>5184</v>
      </c>
      <c r="P222" s="46">
        <f t="shared" ca="1" si="14"/>
        <v>1.5882352941371083E-4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input_559100!A$2</f>
        <v>559100</v>
      </c>
      <c r="B223" s="5">
        <v>588</v>
      </c>
      <c r="C223" s="7" t="str">
        <f t="shared" si="15"/>
        <v>Premium3</v>
      </c>
      <c r="D223" s="7" t="str">
        <f t="shared" si="16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45">
        <f ca="1">IFERROR(VLOOKUP(B223,input_559100!L:R,7,FALSE),VLOOKUP(tables_559100!C223,input_559100!A:H,8,FALSE))</f>
        <v>0</v>
      </c>
      <c r="P223" s="46">
        <f t="shared" ca="1" si="14"/>
        <v>0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input_559100!A$2</f>
        <v>559100</v>
      </c>
      <c r="B224" s="5">
        <v>589</v>
      </c>
      <c r="C224" s="7" t="str">
        <f t="shared" si="15"/>
        <v>Premium4</v>
      </c>
      <c r="D224" s="7" t="str">
        <f t="shared" si="16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45">
        <f ca="1">IFERROR(VLOOKUP(B224,input_559100!L:R,7,FALSE),VLOOKUP(tables_559100!C224,input_559100!A:H,8,FALSE))</f>
        <v>262990</v>
      </c>
      <c r="P224" s="46">
        <f t="shared" ca="1" si="14"/>
        <v>8.0572916667653958E-3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input_559100!A$2</f>
        <v>559100</v>
      </c>
      <c r="B225" s="5">
        <v>590</v>
      </c>
      <c r="C225" s="7" t="str">
        <f t="shared" si="15"/>
        <v>Premium5</v>
      </c>
      <c r="D225" s="7" t="str">
        <f t="shared" si="16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45">
        <f ca="1">IFERROR(VLOOKUP(B225,input_559100!L:R,7,FALSE),VLOOKUP(tables_559100!C225,input_559100!A:H,8,FALSE))</f>
        <v>28273.615379999999</v>
      </c>
      <c r="P225" s="46">
        <f t="shared" ca="1" si="14"/>
        <v>8.6622596140767296E-4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input_559100!A$2</f>
        <v>559100</v>
      </c>
      <c r="B226" s="5">
        <v>591</v>
      </c>
      <c r="C226" s="7" t="str">
        <f t="shared" si="15"/>
        <v>Premium3</v>
      </c>
      <c r="D226" s="7" t="str">
        <f t="shared" si="16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45">
        <f ca="1">IFERROR(VLOOKUP(B226,input_559100!L:R,7,FALSE),VLOOKUP(tables_559100!C226,input_559100!A:H,8,FALSE))</f>
        <v>0</v>
      </c>
      <c r="P226" s="46">
        <f t="shared" ca="1" si="14"/>
        <v>0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input_559100!A$2</f>
        <v>559100</v>
      </c>
      <c r="B227" s="5">
        <v>592</v>
      </c>
      <c r="C227" s="7" t="str">
        <f t="shared" si="15"/>
        <v>Premium4</v>
      </c>
      <c r="D227" s="7" t="str">
        <f t="shared" si="16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45">
        <f ca="1">IFERROR(VLOOKUP(B227,input_559100!L:R,7,FALSE),VLOOKUP(tables_559100!C227,input_559100!A:H,8,FALSE))</f>
        <v>262990</v>
      </c>
      <c r="P227" s="46">
        <f t="shared" ca="1" si="14"/>
        <v>8.0572916667653958E-3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input_559100!A$2</f>
        <v>559100</v>
      </c>
      <c r="B228" s="5">
        <v>593</v>
      </c>
      <c r="C228" s="7" t="str">
        <f t="shared" si="15"/>
        <v>Premium5</v>
      </c>
      <c r="D228" s="7" t="str">
        <f t="shared" si="16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IFERROR(VLOOKUP(B228,input_559100!L:R,7,FALSE),VLOOKUP(tables_559100!C228,input_559100!A:H,8,FALSE))</f>
        <v>28273.615379999999</v>
      </c>
      <c r="P228" s="46">
        <f t="shared" ca="1" si="14"/>
        <v>8.6622596140767296E-4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input_559100!A$2</f>
        <v>559100</v>
      </c>
      <c r="B229" s="5">
        <v>594</v>
      </c>
      <c r="C229" s="7" t="str">
        <f t="shared" si="15"/>
        <v>PremiumSS4</v>
      </c>
      <c r="D229" s="7" t="str">
        <f t="shared" si="16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IFERROR(VLOOKUP(B229,input_559100!L:R,7,FALSE),VLOOKUP(tables_559100!C229,input_559100!A:H,8,FALSE))</f>
        <v>29376</v>
      </c>
      <c r="P229" s="46">
        <f t="shared" ca="1" si="14"/>
        <v>9.0000000001102805E-4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input_559100!A$2</f>
        <v>559100</v>
      </c>
      <c r="B230" s="5">
        <v>595</v>
      </c>
      <c r="C230" s="7" t="str">
        <f t="shared" si="15"/>
        <v>PremiumSS5</v>
      </c>
      <c r="D230" s="7" t="str">
        <f t="shared" si="16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IFERROR(VLOOKUP(B230,input_559100!L:R,7,FALSE),VLOOKUP(tables_559100!C230,input_559100!A:H,8,FALSE))</f>
        <v>5184</v>
      </c>
      <c r="P230" s="46">
        <f t="shared" ca="1" si="14"/>
        <v>1.5882352941371083E-4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input_559100!A$2</f>
        <v>559100</v>
      </c>
      <c r="B231" s="5">
        <v>596</v>
      </c>
      <c r="C231" s="7" t="str">
        <f t="shared" si="15"/>
        <v>Premium3</v>
      </c>
      <c r="D231" s="7" t="str">
        <f t="shared" si="16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45">
        <f ca="1">IFERROR(VLOOKUP(B231,input_559100!L:R,7,FALSE),VLOOKUP(tables_559100!C231,input_559100!A:H,8,FALSE))</f>
        <v>0</v>
      </c>
      <c r="P231" s="46">
        <f t="shared" ca="1" si="14"/>
        <v>0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input_559100!A$2</f>
        <v>559100</v>
      </c>
      <c r="B232" s="5">
        <v>597</v>
      </c>
      <c r="C232" s="7" t="str">
        <f t="shared" si="15"/>
        <v>Premium4</v>
      </c>
      <c r="D232" s="7" t="str">
        <f t="shared" si="16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45">
        <f ca="1">IFERROR(VLOOKUP(B232,input_559100!L:R,7,FALSE),VLOOKUP(tables_559100!C232,input_559100!A:H,8,FALSE))</f>
        <v>262990</v>
      </c>
      <c r="P232" s="46">
        <f t="shared" ca="1" si="14"/>
        <v>8.0572916667653958E-3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input_559100!A$2</f>
        <v>559100</v>
      </c>
      <c r="B233" s="5">
        <v>598</v>
      </c>
      <c r="C233" s="7" t="str">
        <f t="shared" si="15"/>
        <v>Premium5</v>
      </c>
      <c r="D233" s="7" t="str">
        <f t="shared" si="16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45">
        <f ca="1">IFERROR(VLOOKUP(B233,input_559100!L:R,7,FALSE),VLOOKUP(tables_559100!C233,input_559100!A:H,8,FALSE))</f>
        <v>28273.615379999999</v>
      </c>
      <c r="P233" s="46">
        <f t="shared" ca="1" si="14"/>
        <v>8.6622596140767296E-4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input_559100!A$2</f>
        <v>559100</v>
      </c>
      <c r="B234" s="5">
        <v>599</v>
      </c>
      <c r="C234" s="7" t="str">
        <f t="shared" si="15"/>
        <v>Premium3</v>
      </c>
      <c r="D234" s="7" t="str">
        <f t="shared" si="16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45">
        <f ca="1">IFERROR(VLOOKUP(B234,input_559100!L:R,7,FALSE),VLOOKUP(tables_559100!C234,input_559100!A:H,8,FALSE))</f>
        <v>0</v>
      </c>
      <c r="P234" s="46">
        <f t="shared" ca="1" si="14"/>
        <v>0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input_559100!A$2</f>
        <v>559100</v>
      </c>
      <c r="B235" s="5">
        <v>600</v>
      </c>
      <c r="C235" s="7" t="str">
        <f t="shared" si="15"/>
        <v>Premium4</v>
      </c>
      <c r="D235" s="7" t="str">
        <f t="shared" si="16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45">
        <f ca="1">IFERROR(VLOOKUP(B235,input_559100!L:R,7,FALSE),VLOOKUP(tables_559100!C235,input_559100!A:H,8,FALSE))</f>
        <v>262990</v>
      </c>
      <c r="P235" s="46">
        <f t="shared" ca="1" si="14"/>
        <v>8.0572916667653958E-3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input_559100!A$2</f>
        <v>559100</v>
      </c>
      <c r="B236" s="5">
        <v>601</v>
      </c>
      <c r="C236" s="7" t="str">
        <f t="shared" si="15"/>
        <v>Premium5</v>
      </c>
      <c r="D236" s="7" t="str">
        <f t="shared" si="16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45">
        <f ca="1">IFERROR(VLOOKUP(B236,input_559100!L:R,7,FALSE),VLOOKUP(tables_559100!C236,input_559100!A:H,8,FALSE))</f>
        <v>28273.615379999999</v>
      </c>
      <c r="P236" s="46">
        <f t="shared" ca="1" si="14"/>
        <v>8.6622596140767296E-4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input_559100!A$2</f>
        <v>559100</v>
      </c>
      <c r="B237" s="5">
        <v>602</v>
      </c>
      <c r="C237" s="7" t="str">
        <f t="shared" si="15"/>
        <v>PremiumSS4</v>
      </c>
      <c r="D237" s="7" t="str">
        <f t="shared" si="16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IFERROR(VLOOKUP(B237,input_559100!L:R,7,FALSE),VLOOKUP(tables_559100!C237,input_559100!A:H,8,FALSE))</f>
        <v>29376</v>
      </c>
      <c r="P237" s="46">
        <f t="shared" ca="1" si="14"/>
        <v>9.0000000001102805E-4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input_559100!A$2</f>
        <v>559100</v>
      </c>
      <c r="B238" s="5">
        <v>603</v>
      </c>
      <c r="C238" s="7" t="str">
        <f t="shared" si="15"/>
        <v>PremiumSS5</v>
      </c>
      <c r="D238" s="7" t="str">
        <f t="shared" si="16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45">
        <f ca="1">IFERROR(VLOOKUP(B238,input_559100!L:R,7,FALSE),VLOOKUP(tables_559100!C238,input_559100!A:H,8,FALSE))</f>
        <v>5184</v>
      </c>
      <c r="P238" s="46">
        <f t="shared" ca="1" si="14"/>
        <v>1.5882352941371083E-4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input_559100!A$2</f>
        <v>559100</v>
      </c>
      <c r="B239" s="5">
        <v>604</v>
      </c>
      <c r="C239" s="7" t="str">
        <f t="shared" si="15"/>
        <v>Premium3</v>
      </c>
      <c r="D239" s="7" t="str">
        <f t="shared" si="16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45">
        <f ca="1">IFERROR(VLOOKUP(B239,input_559100!L:R,7,FALSE),VLOOKUP(tables_559100!C239,input_559100!A:H,8,FALSE))</f>
        <v>0</v>
      </c>
      <c r="P239" s="46">
        <f t="shared" ca="1" si="14"/>
        <v>0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input_559100!A$2</f>
        <v>559100</v>
      </c>
      <c r="B240" s="5">
        <v>605</v>
      </c>
      <c r="C240" s="7" t="str">
        <f t="shared" si="15"/>
        <v>Premium4</v>
      </c>
      <c r="D240" s="7" t="str">
        <f t="shared" si="16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45">
        <f ca="1">IFERROR(VLOOKUP(B240,input_559100!L:R,7,FALSE),VLOOKUP(tables_559100!C240,input_559100!A:H,8,FALSE))</f>
        <v>262990</v>
      </c>
      <c r="P240" s="46">
        <f t="shared" ca="1" si="14"/>
        <v>8.0572916667653958E-3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input_559100!A$2</f>
        <v>559100</v>
      </c>
      <c r="B241" s="5">
        <v>606</v>
      </c>
      <c r="C241" s="7" t="str">
        <f t="shared" si="15"/>
        <v>Premium5</v>
      </c>
      <c r="D241" s="7" t="str">
        <f t="shared" si="16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45">
        <f ca="1">IFERROR(VLOOKUP(B241,input_559100!L:R,7,FALSE),VLOOKUP(tables_559100!C241,input_559100!A:H,8,FALSE))</f>
        <v>28273.615379999999</v>
      </c>
      <c r="P241" s="46">
        <f t="shared" ca="1" si="14"/>
        <v>8.6622596140767296E-4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input_559100!A$2</f>
        <v>559100</v>
      </c>
      <c r="B242" s="5">
        <v>658</v>
      </c>
      <c r="C242" s="7" t="str">
        <f t="shared" si="15"/>
        <v>PremiumSS4</v>
      </c>
      <c r="D242" s="7" t="str">
        <f t="shared" si="16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45">
        <f ca="1">IFERROR(VLOOKUP(B242,input_559100!L:R,7,FALSE),VLOOKUP(tables_559100!C242,input_559100!A:H,8,FALSE))</f>
        <v>29376</v>
      </c>
      <c r="P242" s="46">
        <f t="shared" ca="1" si="14"/>
        <v>9.0000000001102805E-4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input_559100!A$2</f>
        <v>559100</v>
      </c>
      <c r="B243" s="5">
        <v>659</v>
      </c>
      <c r="C243" s="7" t="str">
        <f t="shared" si="15"/>
        <v>PremiumSS5</v>
      </c>
      <c r="D243" s="7" t="str">
        <f t="shared" si="16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45">
        <f ca="1">IFERROR(VLOOKUP(B243,input_559100!L:R,7,FALSE),VLOOKUP(tables_559100!C243,input_559100!A:H,8,FALSE))</f>
        <v>5184</v>
      </c>
      <c r="P243" s="46">
        <f t="shared" ca="1" si="14"/>
        <v>1.5882352941371083E-4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input_559100!A$2</f>
        <v>559100</v>
      </c>
      <c r="B244" s="5">
        <v>660</v>
      </c>
      <c r="C244" s="7" t="str">
        <f t="shared" si="15"/>
        <v>PremiumSS4</v>
      </c>
      <c r="D244" s="7" t="str">
        <f t="shared" si="16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45">
        <f ca="1">IFERROR(VLOOKUP(B244,input_559100!L:R,7,FALSE),VLOOKUP(tables_559100!C244,input_559100!A:H,8,FALSE))</f>
        <v>29376</v>
      </c>
      <c r="P244" s="46">
        <f t="shared" ca="1" si="14"/>
        <v>9.0000000001102805E-4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input_559100!A$2</f>
        <v>559100</v>
      </c>
      <c r="B245" s="5">
        <v>661</v>
      </c>
      <c r="C245" s="7" t="str">
        <f t="shared" si="15"/>
        <v>PremiumSS5</v>
      </c>
      <c r="D245" s="7" t="str">
        <f t="shared" si="16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45">
        <f ca="1">IFERROR(VLOOKUP(B245,input_559100!L:R,7,FALSE),VLOOKUP(tables_559100!C245,input_559100!A:H,8,FALSE))</f>
        <v>5184</v>
      </c>
      <c r="P245" s="46">
        <f t="shared" ca="1" si="14"/>
        <v>1.5882352941371083E-4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input_559100!A$2</f>
        <v>559100</v>
      </c>
      <c r="B246" s="5">
        <v>662</v>
      </c>
      <c r="C246" s="7" t="str">
        <f t="shared" si="15"/>
        <v>Premium3</v>
      </c>
      <c r="D246" s="7" t="str">
        <f t="shared" si="16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45">
        <f ca="1">IFERROR(VLOOKUP(B246,input_559100!L:R,7,FALSE),VLOOKUP(tables_559100!C246,input_559100!A:H,8,FALSE))</f>
        <v>0</v>
      </c>
      <c r="P246" s="46">
        <f t="shared" ca="1" si="14"/>
        <v>0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input_559100!A$2</f>
        <v>559100</v>
      </c>
      <c r="B247" s="5">
        <v>663</v>
      </c>
      <c r="C247" s="7" t="str">
        <f t="shared" si="15"/>
        <v>Premium4</v>
      </c>
      <c r="D247" s="7" t="str">
        <f t="shared" si="16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45">
        <f ca="1">IFERROR(VLOOKUP(B247,input_559100!L:R,7,FALSE),VLOOKUP(tables_559100!C247,input_559100!A:H,8,FALSE))</f>
        <v>262990</v>
      </c>
      <c r="P247" s="46">
        <f t="shared" ca="1" si="14"/>
        <v>8.0572916667653958E-3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input_559100!A$2</f>
        <v>559100</v>
      </c>
      <c r="B248" s="5">
        <v>664</v>
      </c>
      <c r="C248" s="7" t="str">
        <f t="shared" si="15"/>
        <v>Premium5</v>
      </c>
      <c r="D248" s="7" t="str">
        <f t="shared" si="16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45">
        <f ca="1">IFERROR(VLOOKUP(B248,input_559100!L:R,7,FALSE),VLOOKUP(tables_559100!C248,input_559100!A:H,8,FALSE))</f>
        <v>28273.615379999999</v>
      </c>
      <c r="P248" s="46">
        <f t="shared" ca="1" si="14"/>
        <v>8.6622596140767296E-4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input_559100!A$2</f>
        <v>559100</v>
      </c>
      <c r="B249" s="5">
        <v>665</v>
      </c>
      <c r="C249" s="7" t="str">
        <f t="shared" si="15"/>
        <v>Premium3</v>
      </c>
      <c r="D249" s="7" t="str">
        <f t="shared" si="16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45">
        <f ca="1">IFERROR(VLOOKUP(B249,input_559100!L:R,7,FALSE),VLOOKUP(tables_559100!C249,input_559100!A:H,8,FALSE))</f>
        <v>0</v>
      </c>
      <c r="P249" s="46">
        <f t="shared" ca="1" si="14"/>
        <v>0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input_559100!A$2</f>
        <v>559100</v>
      </c>
      <c r="B250" s="5">
        <v>666</v>
      </c>
      <c r="C250" s="7" t="str">
        <f t="shared" si="15"/>
        <v>Premium4</v>
      </c>
      <c r="D250" s="7" t="str">
        <f t="shared" si="16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45">
        <f ca="1">IFERROR(VLOOKUP(B250,input_559100!L:R,7,FALSE),VLOOKUP(tables_559100!C250,input_559100!A:H,8,FALSE))</f>
        <v>262990</v>
      </c>
      <c r="P250" s="46">
        <f t="shared" ca="1" si="14"/>
        <v>8.0572916667653958E-3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input_559100!A$2</f>
        <v>559100</v>
      </c>
      <c r="B251" s="5">
        <v>667</v>
      </c>
      <c r="C251" s="7" t="str">
        <f t="shared" si="15"/>
        <v>Premium5</v>
      </c>
      <c r="D251" s="7" t="str">
        <f t="shared" si="16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45">
        <f ca="1">IFERROR(VLOOKUP(B251,input_559100!L:R,7,FALSE),VLOOKUP(tables_559100!C251,input_559100!A:H,8,FALSE))</f>
        <v>28273.615379999999</v>
      </c>
      <c r="P251" s="46">
        <f t="shared" ca="1" si="14"/>
        <v>8.6622596140767296E-4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input_559100!A$2</f>
        <v>559100</v>
      </c>
      <c r="B252" s="5">
        <v>668</v>
      </c>
      <c r="C252" s="7" t="str">
        <f t="shared" si="15"/>
        <v>Premium3</v>
      </c>
      <c r="D252" s="7" t="str">
        <f t="shared" si="16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45">
        <f ca="1">IFERROR(VLOOKUP(B252,input_559100!L:R,7,FALSE),VLOOKUP(tables_559100!C252,input_559100!A:H,8,FALSE))</f>
        <v>0</v>
      </c>
      <c r="P252" s="46">
        <f t="shared" ca="1" si="14"/>
        <v>0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input_559100!A$2</f>
        <v>559100</v>
      </c>
      <c r="B253" s="5">
        <v>669</v>
      </c>
      <c r="C253" s="7" t="str">
        <f t="shared" si="15"/>
        <v>Premium4</v>
      </c>
      <c r="D253" s="7" t="str">
        <f t="shared" si="16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45">
        <f ca="1">IFERROR(VLOOKUP(B253,input_559100!L:R,7,FALSE),VLOOKUP(tables_559100!C253,input_559100!A:H,8,FALSE))</f>
        <v>262990</v>
      </c>
      <c r="P253" s="46">
        <f t="shared" ca="1" si="14"/>
        <v>8.0572916667653958E-3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input_559100!A$2</f>
        <v>559100</v>
      </c>
      <c r="B254" s="5">
        <v>670</v>
      </c>
      <c r="C254" s="7" t="str">
        <f t="shared" si="15"/>
        <v>Premium5</v>
      </c>
      <c r="D254" s="7" t="str">
        <f t="shared" si="16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45">
        <f ca="1">IFERROR(VLOOKUP(B254,input_559100!L:R,7,FALSE),VLOOKUP(tables_559100!C254,input_559100!A:H,8,FALSE))</f>
        <v>28273.615379999999</v>
      </c>
      <c r="P254" s="46">
        <f t="shared" ca="1" si="14"/>
        <v>8.6622596140767296E-4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input_559100!A$2</f>
        <v>559100</v>
      </c>
      <c r="B255" s="5">
        <v>671</v>
      </c>
      <c r="C255" s="7" t="str">
        <f t="shared" si="15"/>
        <v>Premium3</v>
      </c>
      <c r="D255" s="7" t="str">
        <f t="shared" si="16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45">
        <f ca="1">IFERROR(VLOOKUP(B255,input_559100!L:R,7,FALSE),VLOOKUP(tables_559100!C255,input_559100!A:H,8,FALSE))</f>
        <v>0</v>
      </c>
      <c r="P255" s="46">
        <f t="shared" ca="1" si="14"/>
        <v>0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input_559100!A$2</f>
        <v>559100</v>
      </c>
      <c r="B256" s="5">
        <v>672</v>
      </c>
      <c r="C256" s="7" t="str">
        <f t="shared" si="15"/>
        <v>Premium4</v>
      </c>
      <c r="D256" s="7" t="str">
        <f t="shared" si="16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45">
        <f ca="1">IFERROR(VLOOKUP(B256,input_559100!L:R,7,FALSE),VLOOKUP(tables_559100!C256,input_559100!A:H,8,FALSE))</f>
        <v>262990</v>
      </c>
      <c r="P256" s="46">
        <f t="shared" ca="1" si="14"/>
        <v>8.0572916667653958E-3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input_559100!A$2</f>
        <v>559100</v>
      </c>
      <c r="B257" s="5">
        <v>673</v>
      </c>
      <c r="C257" s="7" t="str">
        <f t="shared" si="15"/>
        <v>Premium5</v>
      </c>
      <c r="D257" s="7" t="str">
        <f t="shared" si="16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45">
        <f ca="1">IFERROR(VLOOKUP(B257,input_559100!L:R,7,FALSE),VLOOKUP(tables_559100!C257,input_559100!A:H,8,FALSE))</f>
        <v>28273.615379999999</v>
      </c>
      <c r="P257" s="46">
        <f t="shared" ca="1" si="14"/>
        <v>8.6622596140767296E-4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input_559100!A$2</f>
        <v>559100</v>
      </c>
      <c r="B258" s="5">
        <v>674</v>
      </c>
      <c r="C258" s="7" t="str">
        <f t="shared" si="15"/>
        <v>PremiumSS4</v>
      </c>
      <c r="D258" s="7" t="str">
        <f t="shared" si="16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/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45">
        <f ca="1">IFERROR(VLOOKUP(B258,input_559100!L:R,7,FALSE),VLOOKUP(tables_559100!C258,input_559100!A:H,8,FALSE))</f>
        <v>29376</v>
      </c>
      <c r="P258" s="46">
        <f t="shared" ref="P258:P321" ca="1" si="17">O258/SUM(O:O)</f>
        <v>9.0000000001102805E-4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input_559100!A$2</f>
        <v>559100</v>
      </c>
      <c r="B259" s="5">
        <v>675</v>
      </c>
      <c r="C259" s="7" t="str">
        <f t="shared" si="15"/>
        <v>PremiumSS5</v>
      </c>
      <c r="D259" s="7" t="str">
        <f t="shared" si="16"/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/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45">
        <f ca="1">IFERROR(VLOOKUP(B259,input_559100!L:R,7,FALSE),VLOOKUP(tables_559100!C259,input_559100!A:H,8,FALSE))</f>
        <v>5184</v>
      </c>
      <c r="P259" s="46">
        <f t="shared" ca="1" si="17"/>
        <v>1.5882352941371083E-4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input_559100!A$2</f>
        <v>559100</v>
      </c>
      <c r="B260" s="5">
        <v>676</v>
      </c>
      <c r="C260" s="7" t="str">
        <f t="shared" si="15"/>
        <v>PremiumSS4</v>
      </c>
      <c r="D260" s="7" t="str">
        <f t="shared" si="16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45">
        <f ca="1">IFERROR(VLOOKUP(B260,input_559100!L:R,7,FALSE),VLOOKUP(tables_559100!C260,input_559100!A:H,8,FALSE))</f>
        <v>29376</v>
      </c>
      <c r="P260" s="46">
        <f t="shared" ca="1" si="17"/>
        <v>9.0000000001102805E-4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input_559100!A$2</f>
        <v>559100</v>
      </c>
      <c r="B261" s="5">
        <v>677</v>
      </c>
      <c r="C261" s="7" t="str">
        <f t="shared" si="15"/>
        <v>PremiumSS5</v>
      </c>
      <c r="D261" s="7" t="str">
        <f t="shared" si="16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45">
        <f ca="1">IFERROR(VLOOKUP(B261,input_559100!L:R,7,FALSE),VLOOKUP(tables_559100!C261,input_559100!A:H,8,FALSE))</f>
        <v>5184</v>
      </c>
      <c r="P261" s="46">
        <f t="shared" ca="1" si="17"/>
        <v>1.5882352941371083E-4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input_559100!A$2</f>
        <v>559100</v>
      </c>
      <c r="B262" s="5">
        <v>728</v>
      </c>
      <c r="C262" s="7" t="str">
        <f t="shared" si="15"/>
        <v>Premium4R3less</v>
      </c>
      <c r="D262" s="7" t="str">
        <f t="shared" si="16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/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45">
        <f ca="1">IFERROR(VLOOKUP(B262,input_559100!L:R,7,FALSE),VLOOKUP(tables_559100!C262,input_559100!A:H,8,FALSE))</f>
        <v>249067</v>
      </c>
      <c r="P262" s="46">
        <f t="shared" ca="1" si="17"/>
        <v>7.6307291667601692E-3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input_559100!A$2</f>
        <v>559100</v>
      </c>
      <c r="B263" s="5">
        <v>729</v>
      </c>
      <c r="C263" s="7" t="str">
        <f t="shared" si="15"/>
        <v>Premium5R3less</v>
      </c>
      <c r="D263" s="7" t="str">
        <f t="shared" si="16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/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45">
        <f ca="1">IFERROR(VLOOKUP(B263,input_559100!L:R,7,FALSE),VLOOKUP(tables_559100!C263,input_559100!A:H,8,FALSE))</f>
        <v>46410</v>
      </c>
      <c r="P263" s="46">
        <f t="shared" ca="1" si="17"/>
        <v>1.4218750000174229E-3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input_559100!A$2</f>
        <v>559100</v>
      </c>
      <c r="B264" s="5">
        <v>730</v>
      </c>
      <c r="C264" s="7" t="str">
        <f t="shared" si="15"/>
        <v>Premium4R3less</v>
      </c>
      <c r="D264" s="7" t="str">
        <f t="shared" si="16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/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45">
        <f ca="1">IFERROR(VLOOKUP(B264,input_559100!L:R,7,FALSE),VLOOKUP(tables_559100!C264,input_559100!A:H,8,FALSE))</f>
        <v>249067</v>
      </c>
      <c r="P264" s="46">
        <f t="shared" ca="1" si="17"/>
        <v>7.6307291667601692E-3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input_559100!A$2</f>
        <v>559100</v>
      </c>
      <c r="B265" s="5">
        <v>731</v>
      </c>
      <c r="C265" s="7" t="str">
        <f t="shared" si="15"/>
        <v>Premium5R3less</v>
      </c>
      <c r="D265" s="7" t="str">
        <f t="shared" si="16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/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45">
        <f ca="1">IFERROR(VLOOKUP(B265,input_559100!L:R,7,FALSE),VLOOKUP(tables_559100!C265,input_559100!A:H,8,FALSE))</f>
        <v>46410</v>
      </c>
      <c r="P265" s="46">
        <f t="shared" ca="1" si="17"/>
        <v>1.4218750000174229E-3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input_559100!A$2</f>
        <v>559100</v>
      </c>
      <c r="B266" s="5">
        <v>732</v>
      </c>
      <c r="C266" s="7" t="str">
        <f t="shared" ref="C266:C329" si="18">D266&amp;J266&amp;E266&amp;F266&amp;G266</f>
        <v>PremiumSS5R5only</v>
      </c>
      <c r="D266" s="7" t="str">
        <f t="shared" ref="D266:D329" si="19">IF(OR(I266="PremiumSS",I266="PremiumSSw"),"PremiumSS",IF(I266="PremiumSSS",I266,IF(I266="PremiumW",IF(J266=5,"premium",I266),"Premium")))</f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/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5">
        <f ca="1">IFERROR(VLOOKUP(B266,input_559100!L:R,7,FALSE),VLOOKUP(tables_559100!C266,input_559100!A:H,8,FALSE))</f>
        <v>33643.636359999997</v>
      </c>
      <c r="P266" s="46">
        <f t="shared" ca="1" si="17"/>
        <v>1.0307486630028262E-3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input_559100!A$2</f>
        <v>559100</v>
      </c>
      <c r="B267" s="5">
        <v>734</v>
      </c>
      <c r="C267" s="7" t="str">
        <f t="shared" si="18"/>
        <v>PremiumSS5R5only</v>
      </c>
      <c r="D267" s="7" t="str">
        <f t="shared" si="19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/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45">
        <f ca="1">IFERROR(VLOOKUP(B267,input_559100!L:R,7,FALSE),VLOOKUP(tables_559100!C267,input_559100!A:H,8,FALSE))</f>
        <v>33643.636359999997</v>
      </c>
      <c r="P267" s="46">
        <f t="shared" ca="1" si="17"/>
        <v>1.0307486630028262E-3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input_559100!A$2</f>
        <v>559100</v>
      </c>
      <c r="B268" s="5">
        <v>742</v>
      </c>
      <c r="C268" s="7" t="str">
        <f t="shared" si="18"/>
        <v>PremiumSS5R5only</v>
      </c>
      <c r="D268" s="7" t="str">
        <f t="shared" si="19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/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45">
        <f ca="1">IFERROR(VLOOKUP(B268,input_559100!L:R,7,FALSE),VLOOKUP(tables_559100!C268,input_559100!A:H,8,FALSE))</f>
        <v>33643.636359999997</v>
      </c>
      <c r="P268" s="46">
        <f t="shared" ca="1" si="17"/>
        <v>1.0307486630028262E-3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input_559100!A$2</f>
        <v>559100</v>
      </c>
      <c r="B269" s="5">
        <v>744</v>
      </c>
      <c r="C269" s="7" t="str">
        <f t="shared" si="18"/>
        <v>PremiumSS5R5only</v>
      </c>
      <c r="D269" s="7" t="str">
        <f t="shared" si="19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/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45">
        <f ca="1">IFERROR(VLOOKUP(B269,input_559100!L:R,7,FALSE),VLOOKUP(tables_559100!C269,input_559100!A:H,8,FALSE))</f>
        <v>33643.636359999997</v>
      </c>
      <c r="P269" s="46">
        <f t="shared" ca="1" si="17"/>
        <v>1.0307486630028262E-3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input_559100!A$2</f>
        <v>559100</v>
      </c>
      <c r="B270" s="5">
        <v>746</v>
      </c>
      <c r="C270" s="7" t="str">
        <f t="shared" si="18"/>
        <v>Premium4R3less</v>
      </c>
      <c r="D270" s="7" t="str">
        <f t="shared" si="19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/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45">
        <f ca="1">IFERROR(VLOOKUP(B270,input_559100!L:R,7,FALSE),VLOOKUP(tables_559100!C270,input_559100!A:H,8,FALSE))</f>
        <v>249067</v>
      </c>
      <c r="P270" s="46">
        <f t="shared" ca="1" si="17"/>
        <v>7.6307291667601692E-3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input_559100!A$2</f>
        <v>559100</v>
      </c>
      <c r="B271" s="5">
        <v>747</v>
      </c>
      <c r="C271" s="7" t="str">
        <f t="shared" si="18"/>
        <v>Premium5R3less</v>
      </c>
      <c r="D271" s="7" t="str">
        <f t="shared" si="19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/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45">
        <f ca="1">IFERROR(VLOOKUP(B271,input_559100!L:R,7,FALSE),VLOOKUP(tables_559100!C271,input_559100!A:H,8,FALSE))</f>
        <v>46410</v>
      </c>
      <c r="P271" s="46">
        <f t="shared" ca="1" si="17"/>
        <v>1.4218750000174229E-3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input_559100!A$2</f>
        <v>559100</v>
      </c>
      <c r="B272" s="5">
        <v>748</v>
      </c>
      <c r="C272" s="7" t="str">
        <f t="shared" si="18"/>
        <v>Premium4R3less</v>
      </c>
      <c r="D272" s="7" t="str">
        <f t="shared" si="19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/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45">
        <f ca="1">IFERROR(VLOOKUP(B272,input_559100!L:R,7,FALSE),VLOOKUP(tables_559100!C272,input_559100!A:H,8,FALSE))</f>
        <v>249067</v>
      </c>
      <c r="P272" s="46">
        <f t="shared" ca="1" si="17"/>
        <v>7.6307291667601692E-3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input_559100!A$2</f>
        <v>559100</v>
      </c>
      <c r="B273" s="5">
        <v>749</v>
      </c>
      <c r="C273" s="7" t="str">
        <f t="shared" si="18"/>
        <v>Premium5R3less</v>
      </c>
      <c r="D273" s="7" t="str">
        <f t="shared" si="19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/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45">
        <f ca="1">IFERROR(VLOOKUP(B273,input_559100!L:R,7,FALSE),VLOOKUP(tables_559100!C273,input_559100!A:H,8,FALSE))</f>
        <v>46410</v>
      </c>
      <c r="P273" s="46">
        <f t="shared" ca="1" si="17"/>
        <v>1.4218750000174229E-3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input_559100!A$2</f>
        <v>559100</v>
      </c>
      <c r="B274" s="5">
        <v>770</v>
      </c>
      <c r="C274" s="7" t="str">
        <f t="shared" si="18"/>
        <v>PremiumSS4</v>
      </c>
      <c r="D274" s="7" t="str">
        <f t="shared" si="19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/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45">
        <f ca="1">IFERROR(VLOOKUP(B274,input_559100!L:R,7,FALSE),VLOOKUP(tables_559100!C274,input_559100!A:H,8,FALSE))</f>
        <v>29376</v>
      </c>
      <c r="P274" s="46">
        <f t="shared" ca="1" si="17"/>
        <v>9.0000000001102805E-4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input_559100!A$2</f>
        <v>559100</v>
      </c>
      <c r="B275" s="5">
        <v>771</v>
      </c>
      <c r="C275" s="7" t="str">
        <f t="shared" si="18"/>
        <v>PremiumSS5</v>
      </c>
      <c r="D275" s="7" t="str">
        <f t="shared" si="19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/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45">
        <f ca="1">IFERROR(VLOOKUP(B275,input_559100!L:R,7,FALSE),VLOOKUP(tables_559100!C275,input_559100!A:H,8,FALSE))</f>
        <v>5184</v>
      </c>
      <c r="P275" s="46">
        <f t="shared" ca="1" si="17"/>
        <v>1.5882352941371083E-4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input_559100!A$2</f>
        <v>559100</v>
      </c>
      <c r="B276" s="5">
        <v>772</v>
      </c>
      <c r="C276" s="7" t="str">
        <f t="shared" si="18"/>
        <v>PremiumSS4</v>
      </c>
      <c r="D276" s="7" t="str">
        <f t="shared" si="19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/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45">
        <f ca="1">IFERROR(VLOOKUP(B276,input_559100!L:R,7,FALSE),VLOOKUP(tables_559100!C276,input_559100!A:H,8,FALSE))</f>
        <v>29376</v>
      </c>
      <c r="P276" s="46">
        <f t="shared" ca="1" si="17"/>
        <v>9.0000000001102805E-4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input_559100!A$2</f>
        <v>559100</v>
      </c>
      <c r="B277" s="5">
        <v>773</v>
      </c>
      <c r="C277" s="7" t="str">
        <f t="shared" si="18"/>
        <v>PremiumSS5</v>
      </c>
      <c r="D277" s="7" t="str">
        <f t="shared" si="19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/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45">
        <f ca="1">IFERROR(VLOOKUP(B277,input_559100!L:R,7,FALSE),VLOOKUP(tables_559100!C277,input_559100!A:H,8,FALSE))</f>
        <v>5184</v>
      </c>
      <c r="P277" s="46">
        <f t="shared" ca="1" si="17"/>
        <v>1.5882352941371083E-4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input_559100!A$2</f>
        <v>559100</v>
      </c>
      <c r="B278" s="5">
        <v>774</v>
      </c>
      <c r="C278" s="7" t="str">
        <f t="shared" si="18"/>
        <v>Premium3</v>
      </c>
      <c r="D278" s="7" t="str">
        <f t="shared" si="19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/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45">
        <f ca="1">IFERROR(VLOOKUP(B278,input_559100!L:R,7,FALSE),VLOOKUP(tables_559100!C278,input_559100!A:H,8,FALSE))</f>
        <v>0</v>
      </c>
      <c r="P278" s="46">
        <f t="shared" ca="1" si="17"/>
        <v>0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input_559100!A$2</f>
        <v>559100</v>
      </c>
      <c r="B279" s="5">
        <v>775</v>
      </c>
      <c r="C279" s="7" t="str">
        <f t="shared" si="18"/>
        <v>Premium4</v>
      </c>
      <c r="D279" s="7" t="str">
        <f t="shared" si="19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/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45">
        <f ca="1">IFERROR(VLOOKUP(B279,input_559100!L:R,7,FALSE),VLOOKUP(tables_559100!C279,input_559100!A:H,8,FALSE))</f>
        <v>262990</v>
      </c>
      <c r="P279" s="46">
        <f t="shared" ca="1" si="17"/>
        <v>8.0572916667653958E-3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input_559100!A$2</f>
        <v>559100</v>
      </c>
      <c r="B280" s="5">
        <v>776</v>
      </c>
      <c r="C280" s="7" t="str">
        <f t="shared" si="18"/>
        <v>Premium5</v>
      </c>
      <c r="D280" s="7" t="str">
        <f t="shared" si="19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/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45">
        <f ca="1">IFERROR(VLOOKUP(B280,input_559100!L:R,7,FALSE),VLOOKUP(tables_559100!C280,input_559100!A:H,8,FALSE))</f>
        <v>28273.615379999999</v>
      </c>
      <c r="P280" s="46">
        <f t="shared" ca="1" si="17"/>
        <v>8.6622596140767296E-4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input_559100!A$2</f>
        <v>559100</v>
      </c>
      <c r="B281" s="5">
        <v>777</v>
      </c>
      <c r="C281" s="7" t="str">
        <f t="shared" si="18"/>
        <v>Premium3</v>
      </c>
      <c r="D281" s="7" t="str">
        <f t="shared" si="19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/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45">
        <f ca="1">IFERROR(VLOOKUP(B281,input_559100!L:R,7,FALSE),VLOOKUP(tables_559100!C281,input_559100!A:H,8,FALSE))</f>
        <v>0</v>
      </c>
      <c r="P281" s="46">
        <f t="shared" ca="1" si="17"/>
        <v>0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input_559100!A$2</f>
        <v>559100</v>
      </c>
      <c r="B282" s="5">
        <v>778</v>
      </c>
      <c r="C282" s="7" t="str">
        <f t="shared" si="18"/>
        <v>Premium4</v>
      </c>
      <c r="D282" s="7" t="str">
        <f t="shared" si="19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/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45">
        <f ca="1">IFERROR(VLOOKUP(B282,input_559100!L:R,7,FALSE),VLOOKUP(tables_559100!C282,input_559100!A:H,8,FALSE))</f>
        <v>262990</v>
      </c>
      <c r="P282" s="46">
        <f t="shared" ca="1" si="17"/>
        <v>8.0572916667653958E-3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input_559100!A$2</f>
        <v>559100</v>
      </c>
      <c r="B283" s="5">
        <v>779</v>
      </c>
      <c r="C283" s="7" t="str">
        <f t="shared" si="18"/>
        <v>Premium5</v>
      </c>
      <c r="D283" s="7" t="str">
        <f t="shared" si="19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/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45">
        <f ca="1">IFERROR(VLOOKUP(B283,input_559100!L:R,7,FALSE),VLOOKUP(tables_559100!C283,input_559100!A:H,8,FALSE))</f>
        <v>28273.615379999999</v>
      </c>
      <c r="P283" s="46">
        <f t="shared" ca="1" si="17"/>
        <v>8.6622596140767296E-4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input_559100!A$2</f>
        <v>559100</v>
      </c>
      <c r="B284" s="5">
        <v>848</v>
      </c>
      <c r="C284" s="7" t="str">
        <f t="shared" si="18"/>
        <v>PremiumSS5R5only</v>
      </c>
      <c r="D284" s="7" t="str">
        <f t="shared" si="19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IFERROR(VLOOKUP(B284,input_559100!L:R,7,FALSE),VLOOKUP(tables_559100!C284,input_559100!A:H,8,FALSE))</f>
        <v>33643.636359999997</v>
      </c>
      <c r="P284" s="46">
        <f t="shared" ca="1" si="17"/>
        <v>1.0307486630028262E-3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input_559100!A$2</f>
        <v>559100</v>
      </c>
      <c r="B285" s="5">
        <v>850</v>
      </c>
      <c r="C285" s="7" t="str">
        <f t="shared" si="18"/>
        <v>PremiumSS5R5only</v>
      </c>
      <c r="D285" s="7" t="str">
        <f t="shared" si="19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IFERROR(VLOOKUP(B285,input_559100!L:R,7,FALSE),VLOOKUP(tables_559100!C285,input_559100!A:H,8,FALSE))</f>
        <v>33643.636359999997</v>
      </c>
      <c r="P285" s="46">
        <f t="shared" ca="1" si="17"/>
        <v>1.0307486630028262E-3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input_559100!A$2</f>
        <v>559100</v>
      </c>
      <c r="B286" s="5">
        <v>852</v>
      </c>
      <c r="C286" s="7" t="str">
        <f t="shared" si="18"/>
        <v>Premium4R3less</v>
      </c>
      <c r="D286" s="7" t="str">
        <f t="shared" si="19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IFERROR(VLOOKUP(B286,input_559100!L:R,7,FALSE),VLOOKUP(tables_559100!C286,input_559100!A:H,8,FALSE))</f>
        <v>249067</v>
      </c>
      <c r="P286" s="46">
        <f t="shared" ca="1" si="17"/>
        <v>7.6307291667601692E-3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input_559100!A$2</f>
        <v>559100</v>
      </c>
      <c r="B287" s="5">
        <v>853</v>
      </c>
      <c r="C287" s="7" t="str">
        <f t="shared" si="18"/>
        <v>Premium5R3less</v>
      </c>
      <c r="D287" s="7" t="str">
        <f t="shared" si="19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IFERROR(VLOOKUP(B287,input_559100!L:R,7,FALSE),VLOOKUP(tables_559100!C287,input_559100!A:H,8,FALSE))</f>
        <v>46410</v>
      </c>
      <c r="P287" s="46">
        <f t="shared" ca="1" si="17"/>
        <v>1.4218750000174229E-3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input_559100!A$2</f>
        <v>559100</v>
      </c>
      <c r="B288" s="5">
        <v>854</v>
      </c>
      <c r="C288" s="7" t="str">
        <f t="shared" si="18"/>
        <v>Premium4R3less</v>
      </c>
      <c r="D288" s="7" t="str">
        <f t="shared" si="19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IFERROR(VLOOKUP(B288,input_559100!L:R,7,FALSE),VLOOKUP(tables_559100!C288,input_559100!A:H,8,FALSE))</f>
        <v>249067</v>
      </c>
      <c r="P288" s="46">
        <f t="shared" ca="1" si="17"/>
        <v>7.6307291667601692E-3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input_559100!A$2</f>
        <v>559100</v>
      </c>
      <c r="B289" s="5">
        <v>855</v>
      </c>
      <c r="C289" s="7" t="str">
        <f t="shared" si="18"/>
        <v>Premium5R3less</v>
      </c>
      <c r="D289" s="7" t="str">
        <f t="shared" si="19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IFERROR(VLOOKUP(B289,input_559100!L:R,7,FALSE),VLOOKUP(tables_559100!C289,input_559100!A:H,8,FALSE))</f>
        <v>46410</v>
      </c>
      <c r="P289" s="46">
        <f t="shared" ca="1" si="17"/>
        <v>1.4218750000174229E-3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input_559100!A$2</f>
        <v>559100</v>
      </c>
      <c r="B290" s="5">
        <v>862</v>
      </c>
      <c r="C290" s="7" t="str">
        <f t="shared" si="18"/>
        <v>Premium4R3less</v>
      </c>
      <c r="D290" s="7" t="str">
        <f t="shared" si="19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/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45">
        <f ca="1">IFERROR(VLOOKUP(B290,input_559100!L:R,7,FALSE),VLOOKUP(tables_559100!C290,input_559100!A:H,8,FALSE))</f>
        <v>249067</v>
      </c>
      <c r="P290" s="46">
        <f t="shared" ca="1" si="17"/>
        <v>7.6307291667601692E-3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input_559100!A$2</f>
        <v>559100</v>
      </c>
      <c r="B291" s="5">
        <v>863</v>
      </c>
      <c r="C291" s="7" t="str">
        <f t="shared" si="18"/>
        <v>Premium5R3less</v>
      </c>
      <c r="D291" s="7" t="str">
        <f t="shared" si="19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45">
        <f ca="1">IFERROR(VLOOKUP(B291,input_559100!L:R,7,FALSE),VLOOKUP(tables_559100!C291,input_559100!A:H,8,FALSE))</f>
        <v>46410</v>
      </c>
      <c r="P291" s="46">
        <f t="shared" ca="1" si="17"/>
        <v>1.4218750000174229E-3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input_559100!A$2</f>
        <v>559100</v>
      </c>
      <c r="B292" s="5">
        <v>864</v>
      </c>
      <c r="C292" s="7" t="str">
        <f t="shared" si="18"/>
        <v>Premium4R3less</v>
      </c>
      <c r="D292" s="7" t="str">
        <f t="shared" si="19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45">
        <f ca="1">IFERROR(VLOOKUP(B292,input_559100!L:R,7,FALSE),VLOOKUP(tables_559100!C292,input_559100!A:H,8,FALSE))</f>
        <v>249067</v>
      </c>
      <c r="P292" s="46">
        <f t="shared" ca="1" si="17"/>
        <v>7.6307291667601692E-3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input_559100!A$2</f>
        <v>559100</v>
      </c>
      <c r="B293" s="5">
        <v>865</v>
      </c>
      <c r="C293" s="7" t="str">
        <f t="shared" si="18"/>
        <v>Premium5R3less</v>
      </c>
      <c r="D293" s="7" t="str">
        <f t="shared" si="19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/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45">
        <f ca="1">IFERROR(VLOOKUP(B293,input_559100!L:R,7,FALSE),VLOOKUP(tables_559100!C293,input_559100!A:H,8,FALSE))</f>
        <v>46410</v>
      </c>
      <c r="P293" s="46">
        <f t="shared" ca="1" si="17"/>
        <v>1.4218750000174229E-3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input_559100!A$2</f>
        <v>559100</v>
      </c>
      <c r="B294" s="5">
        <v>866</v>
      </c>
      <c r="C294" s="7" t="str">
        <f t="shared" si="18"/>
        <v>PremiumSS5R5only</v>
      </c>
      <c r="D294" s="7" t="str">
        <f t="shared" si="19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IFERROR(VLOOKUP(B294,input_559100!L:R,7,FALSE),VLOOKUP(tables_559100!C294,input_559100!A:H,8,FALSE))</f>
        <v>33643.636359999997</v>
      </c>
      <c r="P294" s="46">
        <f t="shared" ca="1" si="17"/>
        <v>1.0307486630028262E-3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input_559100!A$2</f>
        <v>559100</v>
      </c>
      <c r="B295" s="5">
        <v>868</v>
      </c>
      <c r="C295" s="7" t="str">
        <f t="shared" si="18"/>
        <v>PremiumSS5R5only</v>
      </c>
      <c r="D295" s="7" t="str">
        <f t="shared" si="19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45">
        <f ca="1">IFERROR(VLOOKUP(B295,input_559100!L:R,7,FALSE),VLOOKUP(tables_559100!C295,input_559100!A:H,8,FALSE))</f>
        <v>33643.636359999997</v>
      </c>
      <c r="P295" s="46">
        <f t="shared" ca="1" si="17"/>
        <v>1.0307486630028262E-3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input_559100!A$2</f>
        <v>559100</v>
      </c>
      <c r="B296" s="5">
        <v>937</v>
      </c>
      <c r="C296" s="7" t="str">
        <f t="shared" si="18"/>
        <v>PremiumSS5R5only</v>
      </c>
      <c r="D296" s="7" t="str">
        <f t="shared" si="19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45">
        <f ca="1">IFERROR(VLOOKUP(B296,input_559100!L:R,7,FALSE),VLOOKUP(tables_559100!C296,input_559100!A:H,8,FALSE))</f>
        <v>33643.636359999997</v>
      </c>
      <c r="P296" s="46">
        <f t="shared" ca="1" si="17"/>
        <v>1.0307486630028262E-3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input_559100!A$2</f>
        <v>559100</v>
      </c>
      <c r="B297" s="5">
        <v>939</v>
      </c>
      <c r="C297" s="7" t="str">
        <f t="shared" si="18"/>
        <v>Premium4R3less</v>
      </c>
      <c r="D297" s="7" t="str">
        <f t="shared" si="19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45">
        <f ca="1">IFERROR(VLOOKUP(B297,input_559100!L:R,7,FALSE),VLOOKUP(tables_559100!C297,input_559100!A:H,8,FALSE))</f>
        <v>249067</v>
      </c>
      <c r="P297" s="46">
        <f t="shared" ca="1" si="17"/>
        <v>7.6307291667601692E-3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input_559100!A$2</f>
        <v>559100</v>
      </c>
      <c r="B298" s="5">
        <v>940</v>
      </c>
      <c r="C298" s="7" t="str">
        <f t="shared" si="18"/>
        <v>Premium5R3less</v>
      </c>
      <c r="D298" s="7" t="str">
        <f t="shared" si="19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45">
        <f ca="1">IFERROR(VLOOKUP(B298,input_559100!L:R,7,FALSE),VLOOKUP(tables_559100!C298,input_559100!A:H,8,FALSE))</f>
        <v>46410</v>
      </c>
      <c r="P298" s="46">
        <f t="shared" ca="1" si="17"/>
        <v>1.4218750000174229E-3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input_559100!A$2</f>
        <v>559100</v>
      </c>
      <c r="B299" s="5">
        <v>941</v>
      </c>
      <c r="C299" s="7" t="str">
        <f t="shared" si="18"/>
        <v>PremiumSS5R5only</v>
      </c>
      <c r="D299" s="7" t="str">
        <f t="shared" si="19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45">
        <f ca="1">IFERROR(VLOOKUP(B299,input_559100!L:R,7,FALSE),VLOOKUP(tables_559100!C299,input_559100!A:H,8,FALSE))</f>
        <v>33643.636359999997</v>
      </c>
      <c r="P299" s="46">
        <f t="shared" ca="1" si="17"/>
        <v>1.0307486630028262E-3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input_559100!A$2</f>
        <v>559100</v>
      </c>
      <c r="B300" s="5">
        <v>943</v>
      </c>
      <c r="C300" s="7" t="str">
        <f t="shared" si="18"/>
        <v>PremiumSS5R5only</v>
      </c>
      <c r="D300" s="7" t="str">
        <f t="shared" si="19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/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IFERROR(VLOOKUP(B300,input_559100!L:R,7,FALSE),VLOOKUP(tables_559100!C300,input_559100!A:H,8,FALSE))</f>
        <v>33643.636359999997</v>
      </c>
      <c r="P300" s="46">
        <f t="shared" ca="1" si="17"/>
        <v>1.0307486630028262E-3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input_559100!A$2</f>
        <v>559100</v>
      </c>
      <c r="B301" s="5">
        <v>1012</v>
      </c>
      <c r="C301" s="7" t="str">
        <f t="shared" si="18"/>
        <v>PremiumSS5R5only</v>
      </c>
      <c r="D301" s="7" t="str">
        <f t="shared" si="19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/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45">
        <f ca="1">IFERROR(VLOOKUP(B301,input_559100!L:R,7,FALSE),VLOOKUP(tables_559100!C301,input_559100!A:H,8,FALSE))</f>
        <v>33643.636359999997</v>
      </c>
      <c r="P301" s="46">
        <f t="shared" ca="1" si="17"/>
        <v>1.0307486630028262E-3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input_559100!A$2</f>
        <v>559100</v>
      </c>
      <c r="B302" s="5">
        <v>1014</v>
      </c>
      <c r="C302" s="7" t="str">
        <f t="shared" si="18"/>
        <v>PremiumSS5R5only</v>
      </c>
      <c r="D302" s="7" t="str">
        <f t="shared" si="19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45">
        <f ca="1">IFERROR(VLOOKUP(B302,input_559100!L:R,7,FALSE),VLOOKUP(tables_559100!C302,input_559100!A:H,8,FALSE))</f>
        <v>33643.636359999997</v>
      </c>
      <c r="P302" s="46">
        <f t="shared" ca="1" si="17"/>
        <v>1.0307486630028262E-3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input_559100!A$2</f>
        <v>559100</v>
      </c>
      <c r="B303" s="5">
        <v>1016</v>
      </c>
      <c r="C303" s="7" t="str">
        <f t="shared" si="18"/>
        <v>Premium4R3less</v>
      </c>
      <c r="D303" s="7" t="str">
        <f t="shared" si="19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/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45">
        <f ca="1">IFERROR(VLOOKUP(B303,input_559100!L:R,7,FALSE),VLOOKUP(tables_559100!C303,input_559100!A:H,8,FALSE))</f>
        <v>249067</v>
      </c>
      <c r="P303" s="46">
        <f t="shared" ca="1" si="17"/>
        <v>7.6307291667601692E-3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input_559100!A$2</f>
        <v>559100</v>
      </c>
      <c r="B304" s="5">
        <v>1017</v>
      </c>
      <c r="C304" s="7" t="str">
        <f t="shared" si="18"/>
        <v>Premium5R3less</v>
      </c>
      <c r="D304" s="7" t="str">
        <f t="shared" si="19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/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45">
        <f ca="1">IFERROR(VLOOKUP(B304,input_559100!L:R,7,FALSE),VLOOKUP(tables_559100!C304,input_559100!A:H,8,FALSE))</f>
        <v>46410</v>
      </c>
      <c r="P304" s="46">
        <f t="shared" ca="1" si="17"/>
        <v>1.4218750000174229E-3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input_559100!A$2</f>
        <v>559100</v>
      </c>
      <c r="B305" s="5">
        <v>1018</v>
      </c>
      <c r="C305" s="7" t="str">
        <f t="shared" si="18"/>
        <v>PremiumSS5R5only</v>
      </c>
      <c r="D305" s="7" t="str">
        <f t="shared" si="19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/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45">
        <f ca="1">IFERROR(VLOOKUP(B305,input_559100!L:R,7,FALSE),VLOOKUP(tables_559100!C305,input_559100!A:H,8,FALSE))</f>
        <v>33643.636359999997</v>
      </c>
      <c r="P305" s="46">
        <f t="shared" ca="1" si="17"/>
        <v>1.0307486630028262E-3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input_559100!A$2</f>
        <v>559100</v>
      </c>
      <c r="B306" s="5">
        <v>1026</v>
      </c>
      <c r="C306" s="7" t="str">
        <f t="shared" si="18"/>
        <v>Premium4R3less</v>
      </c>
      <c r="D306" s="7" t="str">
        <f t="shared" si="19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45">
        <f ca="1">IFERROR(VLOOKUP(B306,input_559100!L:R,7,FALSE),VLOOKUP(tables_559100!C306,input_559100!A:H,8,FALSE))</f>
        <v>249067</v>
      </c>
      <c r="P306" s="46">
        <f t="shared" ca="1" si="17"/>
        <v>7.6307291667601692E-3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input_559100!A$2</f>
        <v>559100</v>
      </c>
      <c r="B307" s="5">
        <v>1027</v>
      </c>
      <c r="C307" s="7" t="str">
        <f t="shared" si="18"/>
        <v>Premium5R3less</v>
      </c>
      <c r="D307" s="7" t="str">
        <f t="shared" si="19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/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45">
        <f ca="1">IFERROR(VLOOKUP(B307,input_559100!L:R,7,FALSE),VLOOKUP(tables_559100!C307,input_559100!A:H,8,FALSE))</f>
        <v>46410</v>
      </c>
      <c r="P307" s="46">
        <f t="shared" ca="1" si="17"/>
        <v>1.4218750000174229E-3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input_559100!A$2</f>
        <v>559100</v>
      </c>
      <c r="B308" s="5">
        <v>1028</v>
      </c>
      <c r="C308" s="7" t="str">
        <f t="shared" si="18"/>
        <v>PremiumSS5R5only</v>
      </c>
      <c r="D308" s="7" t="str">
        <f t="shared" si="19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5">
        <f ca="1">IFERROR(VLOOKUP(B308,input_559100!L:R,7,FALSE),VLOOKUP(tables_559100!C308,input_559100!A:H,8,FALSE))</f>
        <v>33643.636359999997</v>
      </c>
      <c r="P308" s="46">
        <f t="shared" ca="1" si="17"/>
        <v>1.0307486630028262E-3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input_559100!A$2</f>
        <v>559100</v>
      </c>
      <c r="B309" s="5">
        <v>1031</v>
      </c>
      <c r="C309" s="7" t="str">
        <f t="shared" si="18"/>
        <v>PremiumSS5R5only</v>
      </c>
      <c r="D309" s="7" t="str">
        <f t="shared" si="19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45">
        <f ca="1">IFERROR(VLOOKUP(B309,input_559100!L:R,7,FALSE),VLOOKUP(tables_559100!C309,input_559100!A:H,8,FALSE))</f>
        <v>33643.636359999997</v>
      </c>
      <c r="P309" s="46">
        <f t="shared" ca="1" si="17"/>
        <v>1.0307486630028262E-3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2" t="str">
        <f ca="1">input_559100!A$2</f>
        <v>559100</v>
      </c>
      <c r="B310" s="5">
        <v>1033</v>
      </c>
      <c r="C310" s="7" t="str">
        <f t="shared" si="18"/>
        <v>PremiumSS5R5only</v>
      </c>
      <c r="D310" s="7" t="str">
        <f t="shared" si="19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/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45">
        <f ca="1">IFERROR(VLOOKUP(B310,input_559100!L:R,7,FALSE),VLOOKUP(tables_559100!C310,input_559100!A:H,8,FALSE))</f>
        <v>33643.636359999997</v>
      </c>
      <c r="P310" s="46">
        <f t="shared" ca="1" si="17"/>
        <v>1.0307486630028262E-3</v>
      </c>
      <c r="Q310" s="30">
        <v>1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  <row r="311" spans="1:22" ht="21" customHeight="1" x14ac:dyDescent="0.15">
      <c r="A311" s="2" t="str">
        <f ca="1">input_559100!A$2</f>
        <v>559100</v>
      </c>
      <c r="B311" s="5">
        <v>1067</v>
      </c>
      <c r="C311" s="7" t="str">
        <f t="shared" si="18"/>
        <v>Premium4R3less</v>
      </c>
      <c r="D311" s="7" t="str">
        <f t="shared" si="19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/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45">
        <f ca="1">IFERROR(VLOOKUP(B311,input_559100!L:R,7,FALSE),VLOOKUP(tables_559100!C311,input_559100!A:H,8,FALSE))</f>
        <v>249067</v>
      </c>
      <c r="P311" s="46">
        <f t="shared" ca="1" si="17"/>
        <v>7.6307291667601692E-3</v>
      </c>
      <c r="Q311" s="30">
        <v>1</v>
      </c>
      <c r="R311" s="30">
        <v>0</v>
      </c>
      <c r="S311" s="30">
        <v>0</v>
      </c>
      <c r="T311" s="30">
        <v>0</v>
      </c>
      <c r="U311" s="30">
        <v>0</v>
      </c>
      <c r="V311" s="30">
        <v>1</v>
      </c>
    </row>
    <row r="312" spans="1:22" ht="21" customHeight="1" x14ac:dyDescent="0.15">
      <c r="A312" s="2" t="str">
        <f ca="1">input_559100!A$2</f>
        <v>559100</v>
      </c>
      <c r="B312" s="5">
        <v>1068</v>
      </c>
      <c r="C312" s="7" t="str">
        <f t="shared" si="18"/>
        <v>Premium5R3less</v>
      </c>
      <c r="D312" s="7" t="str">
        <f t="shared" si="19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/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45">
        <f ca="1">IFERROR(VLOOKUP(B312,input_559100!L:R,7,FALSE),VLOOKUP(tables_559100!C312,input_559100!A:H,8,FALSE))</f>
        <v>46410</v>
      </c>
      <c r="P312" s="46">
        <f t="shared" ca="1" si="17"/>
        <v>1.4218750000174229E-3</v>
      </c>
      <c r="Q312" s="30">
        <v>1</v>
      </c>
      <c r="R312" s="30">
        <v>0</v>
      </c>
      <c r="S312" s="30">
        <v>0</v>
      </c>
      <c r="T312" s="30">
        <v>0</v>
      </c>
      <c r="U312" s="30">
        <v>0</v>
      </c>
      <c r="V312" s="30">
        <v>1</v>
      </c>
    </row>
    <row r="313" spans="1:22" ht="21" customHeight="1" x14ac:dyDescent="0.15">
      <c r="A313" s="2" t="str">
        <f ca="1">input_559100!A$2</f>
        <v>559100</v>
      </c>
      <c r="B313" s="5">
        <v>1069</v>
      </c>
      <c r="C313" s="7" t="str">
        <f t="shared" si="18"/>
        <v>PremiumSS5R5only</v>
      </c>
      <c r="D313" s="7" t="str">
        <f t="shared" si="19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/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45">
        <f ca="1">IFERROR(VLOOKUP(B313,input_559100!L:R,7,FALSE),VLOOKUP(tables_559100!C313,input_559100!A:H,8,FALSE))</f>
        <v>33643.636359999997</v>
      </c>
      <c r="P313" s="46">
        <f t="shared" ca="1" si="17"/>
        <v>1.0307486630028262E-3</v>
      </c>
      <c r="Q313" s="30">
        <v>1</v>
      </c>
      <c r="R313" s="30">
        <v>0</v>
      </c>
      <c r="S313" s="30">
        <v>0</v>
      </c>
      <c r="T313" s="30">
        <v>0</v>
      </c>
      <c r="U313" s="30">
        <v>0</v>
      </c>
      <c r="V313" s="30">
        <v>1</v>
      </c>
    </row>
    <row r="314" spans="1:22" ht="21" customHeight="1" x14ac:dyDescent="0.15">
      <c r="A314" s="2" t="str">
        <f ca="1">input_559100!A$2</f>
        <v>559100</v>
      </c>
      <c r="B314" s="5">
        <v>1072</v>
      </c>
      <c r="C314" s="7" t="str">
        <f t="shared" si="18"/>
        <v>PremiumSS5R5only</v>
      </c>
      <c r="D314" s="7" t="str">
        <f t="shared" si="19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/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45">
        <f ca="1">IFERROR(VLOOKUP(B314,input_559100!L:R,7,FALSE),VLOOKUP(tables_559100!C314,input_559100!A:H,8,FALSE))</f>
        <v>33643.636359999997</v>
      </c>
      <c r="P314" s="46">
        <f t="shared" ca="1" si="17"/>
        <v>1.0307486630028262E-3</v>
      </c>
      <c r="Q314" s="30">
        <v>1</v>
      </c>
      <c r="R314" s="30">
        <v>0</v>
      </c>
      <c r="S314" s="30">
        <v>0</v>
      </c>
      <c r="T314" s="30">
        <v>0</v>
      </c>
      <c r="U314" s="30">
        <v>0</v>
      </c>
      <c r="V314" s="30">
        <v>1</v>
      </c>
    </row>
    <row r="315" spans="1:22" ht="21" customHeight="1" x14ac:dyDescent="0.15">
      <c r="A315" s="2" t="str">
        <f ca="1">input_559100!A$2</f>
        <v>559100</v>
      </c>
      <c r="B315" s="5">
        <v>1074</v>
      </c>
      <c r="C315" s="7" t="str">
        <f t="shared" si="18"/>
        <v>PremiumSS5R5only</v>
      </c>
      <c r="D315" s="7" t="str">
        <f t="shared" si="19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/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45">
        <f ca="1">IFERROR(VLOOKUP(B315,input_559100!L:R,7,FALSE),VLOOKUP(tables_559100!C315,input_559100!A:H,8,FALSE))</f>
        <v>33643.636359999997</v>
      </c>
      <c r="P315" s="46">
        <f t="shared" ca="1" si="17"/>
        <v>1.0307486630028262E-3</v>
      </c>
      <c r="Q315" s="30">
        <v>1</v>
      </c>
      <c r="R315" s="30">
        <v>0</v>
      </c>
      <c r="S315" s="30">
        <v>0</v>
      </c>
      <c r="T315" s="30">
        <v>0</v>
      </c>
      <c r="U315" s="30">
        <v>0</v>
      </c>
      <c r="V315" s="30">
        <v>1</v>
      </c>
    </row>
    <row r="316" spans="1:22" ht="21" customHeight="1" x14ac:dyDescent="0.15">
      <c r="A316" s="2" t="str">
        <f ca="1">input_559100!A$2</f>
        <v>559100</v>
      </c>
      <c r="B316" s="5">
        <v>1100</v>
      </c>
      <c r="C316" s="7" t="str">
        <f t="shared" si="18"/>
        <v>PremiumSS5R5only</v>
      </c>
      <c r="D316" s="7" t="str">
        <f t="shared" si="19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/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45">
        <f ca="1">IFERROR(VLOOKUP(B316,input_559100!L:R,7,FALSE),VLOOKUP(tables_559100!C316,input_559100!A:H,8,FALSE))</f>
        <v>33643.636359999997</v>
      </c>
      <c r="P316" s="46">
        <f t="shared" ca="1" si="17"/>
        <v>1.0307486630028262E-3</v>
      </c>
      <c r="Q316" s="30">
        <v>1</v>
      </c>
      <c r="R316" s="30">
        <v>0</v>
      </c>
      <c r="S316" s="30">
        <v>0</v>
      </c>
      <c r="T316" s="30">
        <v>0</v>
      </c>
      <c r="U316" s="30">
        <v>0</v>
      </c>
      <c r="V316" s="30">
        <v>1</v>
      </c>
    </row>
    <row r="317" spans="1:22" ht="21" customHeight="1" x14ac:dyDescent="0.15">
      <c r="A317" s="2" t="str">
        <f ca="1">input_559100!A$2</f>
        <v>559100</v>
      </c>
      <c r="B317" s="5">
        <v>1102</v>
      </c>
      <c r="C317" s="7" t="str">
        <f t="shared" si="18"/>
        <v>PremiumSS5R5only</v>
      </c>
      <c r="D317" s="7" t="str">
        <f t="shared" si="19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/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45">
        <f ca="1">IFERROR(VLOOKUP(B317,input_559100!L:R,7,FALSE),VLOOKUP(tables_559100!C317,input_559100!A:H,8,FALSE))</f>
        <v>33643.636359999997</v>
      </c>
      <c r="P317" s="46">
        <f t="shared" ca="1" si="17"/>
        <v>1.0307486630028262E-3</v>
      </c>
      <c r="Q317" s="30">
        <v>1</v>
      </c>
      <c r="R317" s="30">
        <v>0</v>
      </c>
      <c r="S317" s="30">
        <v>0</v>
      </c>
      <c r="T317" s="30">
        <v>0</v>
      </c>
      <c r="U317" s="30">
        <v>0</v>
      </c>
      <c r="V317" s="30">
        <v>1</v>
      </c>
    </row>
    <row r="318" spans="1:22" ht="21" customHeight="1" x14ac:dyDescent="0.15">
      <c r="A318" s="2" t="str">
        <f ca="1">input_559100!A$2</f>
        <v>559100</v>
      </c>
      <c r="B318" s="5">
        <v>1104</v>
      </c>
      <c r="C318" s="7" t="str">
        <f t="shared" si="18"/>
        <v>Premium4R3less</v>
      </c>
      <c r="D318" s="7" t="str">
        <f t="shared" si="19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/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45">
        <f ca="1">IFERROR(VLOOKUP(B318,input_559100!L:R,7,FALSE),VLOOKUP(tables_559100!C318,input_559100!A:H,8,FALSE))</f>
        <v>249067</v>
      </c>
      <c r="P318" s="46">
        <f t="shared" ca="1" si="17"/>
        <v>7.6307291667601692E-3</v>
      </c>
      <c r="Q318" s="30">
        <v>1</v>
      </c>
      <c r="R318" s="30">
        <v>0</v>
      </c>
      <c r="S318" s="30">
        <v>0</v>
      </c>
      <c r="T318" s="30">
        <v>0</v>
      </c>
      <c r="U318" s="30">
        <v>0</v>
      </c>
      <c r="V318" s="30">
        <v>1</v>
      </c>
    </row>
    <row r="319" spans="1:22" ht="21" customHeight="1" x14ac:dyDescent="0.15">
      <c r="A319" s="2" t="str">
        <f ca="1">input_559100!A$2</f>
        <v>559100</v>
      </c>
      <c r="B319" s="5">
        <v>1105</v>
      </c>
      <c r="C319" s="7" t="str">
        <f t="shared" si="18"/>
        <v>Premium5R3less</v>
      </c>
      <c r="D319" s="7" t="str">
        <f t="shared" si="19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/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45">
        <f ca="1">IFERROR(VLOOKUP(B319,input_559100!L:R,7,FALSE),VLOOKUP(tables_559100!C319,input_559100!A:H,8,FALSE))</f>
        <v>46410</v>
      </c>
      <c r="P319" s="46">
        <f t="shared" ca="1" si="17"/>
        <v>1.4218750000174229E-3</v>
      </c>
      <c r="Q319" s="30">
        <v>1</v>
      </c>
      <c r="R319" s="30">
        <v>0</v>
      </c>
      <c r="S319" s="30">
        <v>0</v>
      </c>
      <c r="T319" s="30">
        <v>0</v>
      </c>
      <c r="U319" s="30">
        <v>0</v>
      </c>
      <c r="V319" s="30">
        <v>1</v>
      </c>
    </row>
    <row r="320" spans="1:22" ht="21" customHeight="1" x14ac:dyDescent="0.15">
      <c r="A320" s="2" t="str">
        <f ca="1">input_559100!A$2</f>
        <v>559100</v>
      </c>
      <c r="B320" s="5">
        <v>1106</v>
      </c>
      <c r="C320" s="7" t="str">
        <f t="shared" si="18"/>
        <v>PremiumSS5R5only</v>
      </c>
      <c r="D320" s="7" t="str">
        <f t="shared" si="19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/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45">
        <f ca="1">IFERROR(VLOOKUP(B320,input_559100!L:R,7,FALSE),VLOOKUP(tables_559100!C320,input_559100!A:H,8,FALSE))</f>
        <v>33643.636359999997</v>
      </c>
      <c r="P320" s="46">
        <f t="shared" ca="1" si="17"/>
        <v>1.0307486630028262E-3</v>
      </c>
      <c r="Q320" s="30">
        <v>1</v>
      </c>
      <c r="R320" s="30">
        <v>0</v>
      </c>
      <c r="S320" s="30">
        <v>0</v>
      </c>
      <c r="T320" s="30">
        <v>0</v>
      </c>
      <c r="U320" s="30">
        <v>0</v>
      </c>
      <c r="V320" s="30">
        <v>1</v>
      </c>
    </row>
    <row r="321" spans="1:22" ht="21" customHeight="1" x14ac:dyDescent="0.15">
      <c r="A321" s="2" t="str">
        <f ca="1">input_559100!A$2</f>
        <v>559100</v>
      </c>
      <c r="B321" s="5">
        <v>1137</v>
      </c>
      <c r="C321" s="7" t="str">
        <f t="shared" si="18"/>
        <v>PremiumSS5R5only</v>
      </c>
      <c r="D321" s="7" t="str">
        <f t="shared" si="19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/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45">
        <f ca="1">IFERROR(VLOOKUP(B321,input_559100!L:R,7,FALSE),VLOOKUP(tables_559100!C321,input_559100!A:H,8,FALSE))</f>
        <v>33643.636359999997</v>
      </c>
      <c r="P321" s="46">
        <f t="shared" ca="1" si="17"/>
        <v>1.0307486630028262E-3</v>
      </c>
      <c r="Q321" s="30">
        <v>1</v>
      </c>
      <c r="R321" s="30">
        <v>0</v>
      </c>
      <c r="S321" s="30">
        <v>0</v>
      </c>
      <c r="T321" s="30">
        <v>0</v>
      </c>
      <c r="U321" s="30">
        <v>0</v>
      </c>
      <c r="V321" s="30">
        <v>1</v>
      </c>
    </row>
    <row r="322" spans="1:22" ht="21" customHeight="1" x14ac:dyDescent="0.15">
      <c r="A322" s="2" t="str">
        <f ca="1">input_559100!A$2</f>
        <v>559100</v>
      </c>
      <c r="B322" s="5">
        <v>1139</v>
      </c>
      <c r="C322" s="7" t="str">
        <f t="shared" si="18"/>
        <v>PremiumSS5R5only</v>
      </c>
      <c r="D322" s="7" t="str">
        <f t="shared" si="19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/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45">
        <f ca="1">IFERROR(VLOOKUP(B322,input_559100!L:R,7,FALSE),VLOOKUP(tables_559100!C322,input_559100!A:H,8,FALSE))</f>
        <v>33643.636359999997</v>
      </c>
      <c r="P322" s="46">
        <f t="shared" ref="P322:P359" ca="1" si="20">O322/SUM(O:O)</f>
        <v>1.0307486630028262E-3</v>
      </c>
      <c r="Q322" s="30">
        <v>1</v>
      </c>
      <c r="R322" s="30">
        <v>0</v>
      </c>
      <c r="S322" s="30">
        <v>0</v>
      </c>
      <c r="T322" s="30">
        <v>0</v>
      </c>
      <c r="U322" s="30">
        <v>0</v>
      </c>
      <c r="V322" s="30">
        <v>1</v>
      </c>
    </row>
    <row r="323" spans="1:22" ht="21" customHeight="1" x14ac:dyDescent="0.15">
      <c r="A323" s="2" t="str">
        <f ca="1">input_559100!A$2</f>
        <v>559100</v>
      </c>
      <c r="B323" s="5">
        <v>1141</v>
      </c>
      <c r="C323" s="7" t="str">
        <f t="shared" si="18"/>
        <v>PremiumSS5R5only</v>
      </c>
      <c r="D323" s="7" t="str">
        <f t="shared" si="19"/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/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45">
        <f ca="1">IFERROR(VLOOKUP(B323,input_559100!L:R,7,FALSE),VLOOKUP(tables_559100!C323,input_559100!A:H,8,FALSE))</f>
        <v>33643.636359999997</v>
      </c>
      <c r="P323" s="46">
        <f t="shared" ca="1" si="20"/>
        <v>1.0307486630028262E-3</v>
      </c>
      <c r="Q323" s="30">
        <v>1</v>
      </c>
      <c r="R323" s="30">
        <v>0</v>
      </c>
      <c r="S323" s="30">
        <v>0</v>
      </c>
      <c r="T323" s="30">
        <v>0</v>
      </c>
      <c r="U323" s="30">
        <v>0</v>
      </c>
      <c r="V323" s="30">
        <v>1</v>
      </c>
    </row>
    <row r="324" spans="1:22" ht="21" customHeight="1" x14ac:dyDescent="0.15">
      <c r="A324" s="2" t="str">
        <f ca="1">input_559100!A$2</f>
        <v>559100</v>
      </c>
      <c r="B324" s="5">
        <v>1143</v>
      </c>
      <c r="C324" s="7" t="str">
        <f t="shared" si="18"/>
        <v>Premium4R3less</v>
      </c>
      <c r="D324" s="7" t="str">
        <f t="shared" si="19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/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45">
        <f ca="1">IFERROR(VLOOKUP(B324,input_559100!L:R,7,FALSE),VLOOKUP(tables_559100!C324,input_559100!A:H,8,FALSE))</f>
        <v>249067</v>
      </c>
      <c r="P324" s="46">
        <f t="shared" ca="1" si="20"/>
        <v>7.6307291667601692E-3</v>
      </c>
      <c r="Q324" s="30">
        <v>1</v>
      </c>
      <c r="R324" s="30">
        <v>0</v>
      </c>
      <c r="S324" s="30">
        <v>0</v>
      </c>
      <c r="T324" s="30">
        <v>0</v>
      </c>
      <c r="U324" s="30">
        <v>0</v>
      </c>
      <c r="V324" s="30">
        <v>1</v>
      </c>
    </row>
    <row r="325" spans="1:22" ht="21" customHeight="1" x14ac:dyDescent="0.15">
      <c r="A325" s="2" t="str">
        <f ca="1">input_559100!A$2</f>
        <v>559100</v>
      </c>
      <c r="B325" s="5">
        <v>1144</v>
      </c>
      <c r="C325" s="7" t="str">
        <f t="shared" si="18"/>
        <v>Premium5R3less</v>
      </c>
      <c r="D325" s="7" t="str">
        <f t="shared" si="19"/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/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45">
        <f ca="1">IFERROR(VLOOKUP(B325,input_559100!L:R,7,FALSE),VLOOKUP(tables_559100!C325,input_559100!A:H,8,FALSE))</f>
        <v>46410</v>
      </c>
      <c r="P325" s="46">
        <f t="shared" ca="1" si="20"/>
        <v>1.4218750000174229E-3</v>
      </c>
      <c r="Q325" s="30">
        <v>1</v>
      </c>
      <c r="R325" s="30">
        <v>0</v>
      </c>
      <c r="S325" s="30">
        <v>0</v>
      </c>
      <c r="T325" s="30">
        <v>0</v>
      </c>
      <c r="U325" s="30">
        <v>0</v>
      </c>
      <c r="V325" s="30">
        <v>1</v>
      </c>
    </row>
    <row r="326" spans="1:22" ht="21" customHeight="1" x14ac:dyDescent="0.15">
      <c r="A326" s="2" t="str">
        <f ca="1">input_559100!A$2</f>
        <v>559100</v>
      </c>
      <c r="B326" s="5">
        <v>1151</v>
      </c>
      <c r="C326" s="7" t="str">
        <f t="shared" si="18"/>
        <v>Premium4R3less</v>
      </c>
      <c r="D326" s="7" t="str">
        <f t="shared" si="19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/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45">
        <f ca="1">IFERROR(VLOOKUP(B326,input_559100!L:R,7,FALSE),VLOOKUP(tables_559100!C326,input_559100!A:H,8,FALSE))</f>
        <v>249067</v>
      </c>
      <c r="P326" s="46">
        <f t="shared" ca="1" si="20"/>
        <v>7.6307291667601692E-3</v>
      </c>
      <c r="Q326" s="30">
        <v>1</v>
      </c>
      <c r="R326" s="30">
        <v>0</v>
      </c>
      <c r="S326" s="30">
        <v>0</v>
      </c>
      <c r="T326" s="30">
        <v>0</v>
      </c>
      <c r="U326" s="30">
        <v>0</v>
      </c>
      <c r="V326" s="30">
        <v>1</v>
      </c>
    </row>
    <row r="327" spans="1:22" ht="21" customHeight="1" x14ac:dyDescent="0.15">
      <c r="A327" s="2" t="str">
        <f ca="1">input_559100!A$2</f>
        <v>559100</v>
      </c>
      <c r="B327" s="5">
        <v>1152</v>
      </c>
      <c r="C327" s="7" t="str">
        <f t="shared" si="18"/>
        <v>Premium5R3less</v>
      </c>
      <c r="D327" s="7" t="str">
        <f t="shared" si="19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/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45">
        <f ca="1">IFERROR(VLOOKUP(B327,input_559100!L:R,7,FALSE),VLOOKUP(tables_559100!C327,input_559100!A:H,8,FALSE))</f>
        <v>46410</v>
      </c>
      <c r="P327" s="46">
        <f t="shared" ca="1" si="20"/>
        <v>1.4218750000174229E-3</v>
      </c>
      <c r="Q327" s="30">
        <v>1</v>
      </c>
      <c r="R327" s="30">
        <v>0</v>
      </c>
      <c r="S327" s="30">
        <v>0</v>
      </c>
      <c r="T327" s="30">
        <v>0</v>
      </c>
      <c r="U327" s="30">
        <v>0</v>
      </c>
      <c r="V327" s="30">
        <v>1</v>
      </c>
    </row>
    <row r="328" spans="1:22" ht="21" customHeight="1" x14ac:dyDescent="0.15">
      <c r="A328" s="2" t="str">
        <f ca="1">input_559100!A$2</f>
        <v>559100</v>
      </c>
      <c r="B328" s="5">
        <v>1153</v>
      </c>
      <c r="C328" s="7" t="str">
        <f t="shared" si="18"/>
        <v>PremiumSS5R5only</v>
      </c>
      <c r="D328" s="7" t="str">
        <f t="shared" si="19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/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45">
        <f ca="1">IFERROR(VLOOKUP(B328,input_559100!L:R,7,FALSE),VLOOKUP(tables_559100!C328,input_559100!A:H,8,FALSE))</f>
        <v>33643.636359999997</v>
      </c>
      <c r="P328" s="46">
        <f t="shared" ca="1" si="20"/>
        <v>1.0307486630028262E-3</v>
      </c>
      <c r="Q328" s="30">
        <v>1</v>
      </c>
      <c r="R328" s="30">
        <v>0</v>
      </c>
      <c r="S328" s="30">
        <v>0</v>
      </c>
      <c r="T328" s="30">
        <v>0</v>
      </c>
      <c r="U328" s="30">
        <v>0</v>
      </c>
      <c r="V328" s="30">
        <v>1</v>
      </c>
    </row>
    <row r="329" spans="1:22" ht="21" customHeight="1" x14ac:dyDescent="0.15">
      <c r="A329" s="2" t="str">
        <f ca="1">input_559100!A$2</f>
        <v>559100</v>
      </c>
      <c r="B329" s="5">
        <v>1155</v>
      </c>
      <c r="C329" s="7" t="str">
        <f t="shared" si="18"/>
        <v>PremiumSS5R5only</v>
      </c>
      <c r="D329" s="7" t="str">
        <f t="shared" si="19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/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45">
        <f ca="1">IFERROR(VLOOKUP(B329,input_559100!L:R,7,FALSE),VLOOKUP(tables_559100!C329,input_559100!A:H,8,FALSE))</f>
        <v>33643.636359999997</v>
      </c>
      <c r="P329" s="46">
        <f t="shared" ca="1" si="20"/>
        <v>1.0307486630028262E-3</v>
      </c>
      <c r="Q329" s="30">
        <v>1</v>
      </c>
      <c r="R329" s="30">
        <v>0</v>
      </c>
      <c r="S329" s="30">
        <v>0</v>
      </c>
      <c r="T329" s="30">
        <v>0</v>
      </c>
      <c r="U329" s="30">
        <v>0</v>
      </c>
      <c r="V329" s="30">
        <v>1</v>
      </c>
    </row>
    <row r="330" spans="1:22" ht="21" customHeight="1" x14ac:dyDescent="0.15">
      <c r="A330" s="2" t="str">
        <f ca="1">input_559100!A$2</f>
        <v>559100</v>
      </c>
      <c r="B330" s="5">
        <v>1157</v>
      </c>
      <c r="C330" s="7" t="str">
        <f t="shared" ref="C330:C355" si="21">D330&amp;J330&amp;E330&amp;F330&amp;G330</f>
        <v>PremiumSS5R5only</v>
      </c>
      <c r="D330" s="7" t="str">
        <f t="shared" ref="D330:D355" si="22">IF(OR(I330="PremiumSS",I330="PremiumSSw"),"PremiumSS",IF(I330="PremiumSSS",I330,IF(I330="PremiumW",IF(J330=5,"premium",I330),"Premium")))</f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/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45">
        <f ca="1">IFERROR(VLOOKUP(B330,input_559100!L:R,7,FALSE),VLOOKUP(tables_559100!C330,input_559100!A:H,8,FALSE))</f>
        <v>33643.636359999997</v>
      </c>
      <c r="P330" s="46">
        <f t="shared" ca="1" si="20"/>
        <v>1.0307486630028262E-3</v>
      </c>
      <c r="Q330" s="30">
        <v>1</v>
      </c>
      <c r="R330" s="30">
        <v>0</v>
      </c>
      <c r="S330" s="30">
        <v>0</v>
      </c>
      <c r="T330" s="30">
        <v>0</v>
      </c>
      <c r="U330" s="30">
        <v>0</v>
      </c>
      <c r="V330" s="30">
        <v>1</v>
      </c>
    </row>
    <row r="331" spans="1:22" ht="21" customHeight="1" x14ac:dyDescent="0.15">
      <c r="A331" s="2" t="str">
        <f ca="1">input_559100!A$2</f>
        <v>559100</v>
      </c>
      <c r="B331" s="5">
        <v>1214</v>
      </c>
      <c r="C331" s="7" t="str">
        <f t="shared" si="21"/>
        <v>PremiumSS5R5only</v>
      </c>
      <c r="D331" s="7" t="str">
        <f t="shared" si="22"/>
        <v>PremiumSS</v>
      </c>
      <c r="E331" s="7" t="str">
        <f>IF(COUNTIF('R6追加前'!A:A,B331)=0,IF(OR(I331="PremiumSS",I331="PremiumSSw"),"R5only","R3less"),"")</f>
        <v>R5only</v>
      </c>
      <c r="F331" s="7" t="str">
        <f>IF(COUNTIF('R6開放'!A:A,B331)&gt;0,"R6release","")</f>
        <v/>
      </c>
      <c r="G331" s="7"/>
      <c r="H331" s="7" t="str">
        <f>VLOOKUP(B331,[1]characters!$A:$C,3,FALSE)</f>
        <v>アルテミス</v>
      </c>
      <c r="I331" s="7" t="str">
        <f>VLOOKUP(B331,[1]characters!$A:$J,10,FALSE)</f>
        <v>PremiumSSw</v>
      </c>
      <c r="J331" s="7">
        <f>VLOOKUP(B331,[1]characters!$A:$I,9,FALSE)</f>
        <v>5</v>
      </c>
      <c r="K331" s="7" t="str">
        <f>VLOOKUP(B331,[1]characters!$A:$H,8,FALSE)</f>
        <v>yellow</v>
      </c>
      <c r="L331" s="7" t="str">
        <f>VLOOKUP(B331,[1]characters!$A:$K,11,FALSE)</f>
        <v>balance</v>
      </c>
      <c r="M331" s="7" t="str">
        <f>VLOOKUP(B331,[1]characters!$A:$M,13,FALSE)</f>
        <v>god</v>
      </c>
      <c r="N331" s="7">
        <f>VLOOKUP(B331,[1]characters!$A:$G,7,FALSE)</f>
        <v>0</v>
      </c>
      <c r="O331" s="45">
        <f ca="1">IFERROR(VLOOKUP(B331,input_559100!L:R,7,FALSE),VLOOKUP(tables_559100!C331,input_559100!A:H,8,FALSE))</f>
        <v>33643.636359999997</v>
      </c>
      <c r="P331" s="46">
        <f t="shared" ca="1" si="20"/>
        <v>1.0307486630028262E-3</v>
      </c>
      <c r="Q331" s="30">
        <v>1</v>
      </c>
      <c r="R331" s="30">
        <v>0</v>
      </c>
      <c r="S331" s="30">
        <v>0</v>
      </c>
      <c r="T331" s="30">
        <v>0</v>
      </c>
      <c r="U331" s="30">
        <v>0</v>
      </c>
      <c r="V331" s="30">
        <v>1</v>
      </c>
    </row>
    <row r="332" spans="1:22" ht="21" customHeight="1" x14ac:dyDescent="0.15">
      <c r="A332" s="2" t="str">
        <f ca="1">input_559100!A$2</f>
        <v>559100</v>
      </c>
      <c r="B332" s="5">
        <v>1212</v>
      </c>
      <c r="C332" s="7" t="str">
        <f t="shared" si="21"/>
        <v>PremiumSS5R5only</v>
      </c>
      <c r="D332" s="7" t="str">
        <f t="shared" si="22"/>
        <v>PremiumSS</v>
      </c>
      <c r="E332" s="7" t="str">
        <f>IF(COUNTIF('R6追加前'!A:A,B332)=0,IF(OR(I332="PremiumSS",I332="PremiumSSw"),"R5only","R3less"),"")</f>
        <v>R5only</v>
      </c>
      <c r="F332" s="7" t="str">
        <f>IF(COUNTIF('R6開放'!A:A,B332)&gt;0,"R6release","")</f>
        <v/>
      </c>
      <c r="G332" s="7"/>
      <c r="H332" s="7" t="str">
        <f>VLOOKUP(B332,[1]characters!$A:$C,3,FALSE)</f>
        <v>クロノス</v>
      </c>
      <c r="I332" s="7" t="str">
        <f>VLOOKUP(B332,[1]characters!$A:$J,10,FALSE)</f>
        <v>PremiumSS</v>
      </c>
      <c r="J332" s="7">
        <f>VLOOKUP(B332,[1]characters!$A:$I,9,FALSE)</f>
        <v>5</v>
      </c>
      <c r="K332" s="7" t="str">
        <f>VLOOKUP(B332,[1]characters!$A:$H,8,FALSE)</f>
        <v>blue</v>
      </c>
      <c r="L332" s="7" t="str">
        <f>VLOOKUP(B332,[1]characters!$A:$K,11,FALSE)</f>
        <v>technical</v>
      </c>
      <c r="M332" s="7" t="str">
        <f>VLOOKUP(B332,[1]characters!$A:$M,13,FALSE)</f>
        <v>god</v>
      </c>
      <c r="N332" s="7">
        <f>VLOOKUP(B332,[1]characters!$A:$G,7,FALSE)</f>
        <v>0</v>
      </c>
      <c r="O332" s="45">
        <f ca="1">IFERROR(VLOOKUP(B332,input_559100!L:R,7,FALSE),VLOOKUP(tables_559100!C332,input_559100!A:H,8,FALSE))</f>
        <v>33643.636359999997</v>
      </c>
      <c r="P332" s="46">
        <f t="shared" ca="1" si="20"/>
        <v>1.0307486630028262E-3</v>
      </c>
      <c r="Q332" s="30">
        <v>1</v>
      </c>
      <c r="R332" s="30">
        <v>0</v>
      </c>
      <c r="S332" s="30">
        <v>0</v>
      </c>
      <c r="T332" s="30">
        <v>0</v>
      </c>
      <c r="U332" s="30">
        <v>0</v>
      </c>
      <c r="V332" s="30">
        <v>1</v>
      </c>
    </row>
    <row r="333" spans="1:22" ht="21" customHeight="1" x14ac:dyDescent="0.15">
      <c r="A333" s="2" t="str">
        <f ca="1">input_559100!A$2</f>
        <v>559100</v>
      </c>
      <c r="B333" s="5">
        <v>1208</v>
      </c>
      <c r="C333" s="7" t="str">
        <f t="shared" si="21"/>
        <v>PremiumSS5R5only</v>
      </c>
      <c r="D333" s="7" t="str">
        <f t="shared" si="22"/>
        <v>PremiumSS</v>
      </c>
      <c r="E333" s="7" t="str">
        <f>IF(COUNTIF('R6追加前'!A:A,B333)=0,IF(OR(I333="PremiumSS",I333="PremiumSSw"),"R5only","R3less"),"")</f>
        <v>R5only</v>
      </c>
      <c r="F333" s="7" t="str">
        <f>IF(COUNTIF('R6開放'!A:A,B333)&gt;0,"R6release","")</f>
        <v/>
      </c>
      <c r="G333" s="7"/>
      <c r="H333" s="7" t="str">
        <f>VLOOKUP(B333,[1]characters!$A:$C,3,FALSE)</f>
        <v>ネメシス</v>
      </c>
      <c r="I333" s="7" t="str">
        <f>VLOOKUP(B333,[1]characters!$A:$J,10,FALSE)</f>
        <v>PremiumSS</v>
      </c>
      <c r="J333" s="7">
        <f>VLOOKUP(B333,[1]characters!$A:$I,9,FALSE)</f>
        <v>5</v>
      </c>
      <c r="K333" s="7" t="str">
        <f>VLOOKUP(B333,[1]characters!$A:$H,8,FALSE)</f>
        <v>red</v>
      </c>
      <c r="L333" s="7" t="str">
        <f>VLOOKUP(B333,[1]characters!$A:$K,11,FALSE)</f>
        <v>hp</v>
      </c>
      <c r="M333" s="7" t="str">
        <f>VLOOKUP(B333,[1]characters!$A:$M,13,FALSE)</f>
        <v>god</v>
      </c>
      <c r="N333" s="7">
        <f>VLOOKUP(B333,[1]characters!$A:$G,7,FALSE)</f>
        <v>0</v>
      </c>
      <c r="O333" s="45">
        <f ca="1">IFERROR(VLOOKUP(B333,input_559100!L:R,7,FALSE),VLOOKUP(tables_559100!C333,input_559100!A:H,8,FALSE))</f>
        <v>33643.636359999997</v>
      </c>
      <c r="P333" s="46">
        <f t="shared" ca="1" si="20"/>
        <v>1.0307486630028262E-3</v>
      </c>
      <c r="Q333" s="30">
        <v>1</v>
      </c>
      <c r="R333" s="30">
        <v>0</v>
      </c>
      <c r="S333" s="30">
        <v>0</v>
      </c>
      <c r="T333" s="30">
        <v>0</v>
      </c>
      <c r="U333" s="30">
        <v>0</v>
      </c>
      <c r="V333" s="30">
        <v>1</v>
      </c>
    </row>
    <row r="334" spans="1:22" ht="21" customHeight="1" x14ac:dyDescent="0.15">
      <c r="A334" s="2" t="str">
        <f ca="1">input_559100!A$2</f>
        <v>559100</v>
      </c>
      <c r="B334" s="5">
        <v>1210</v>
      </c>
      <c r="C334" s="7" t="str">
        <f t="shared" si="21"/>
        <v>Premium4R3less</v>
      </c>
      <c r="D334" s="7" t="str">
        <f t="shared" si="22"/>
        <v>Premium</v>
      </c>
      <c r="E334" s="7" t="str">
        <f>IF(COUNTIF('R6追加前'!A:A,B334)=0,IF(OR(I334="PremiumSS",I334="PremiumSSw"),"R5only","R3less"),"")</f>
        <v>R3less</v>
      </c>
      <c r="F334" s="7" t="str">
        <f>IF(COUNTIF('R6開放'!A:A,B334)&gt;0,"R6release","")</f>
        <v/>
      </c>
      <c r="G334" s="7"/>
      <c r="H334" s="7" t="str">
        <f>VLOOKUP(B334,[1]characters!$A:$C,3,FALSE)</f>
        <v>ケンタウロス</v>
      </c>
      <c r="I334" s="7" t="str">
        <f>VLOOKUP(B334,[1]characters!$A:$J,10,FALSE)</f>
        <v>PremiumS</v>
      </c>
      <c r="J334" s="7">
        <f>VLOOKUP(B334,[1]characters!$A:$I,9,FALSE)</f>
        <v>4</v>
      </c>
      <c r="K334" s="7" t="str">
        <f>VLOOKUP(B334,[1]characters!$A:$H,8,FALSE)</f>
        <v>green</v>
      </c>
      <c r="L334" s="7" t="str">
        <f>VLOOKUP(B334,[1]characters!$A:$K,11,FALSE)</f>
        <v>attack</v>
      </c>
      <c r="M334" s="7" t="str">
        <f>VLOOKUP(B334,[1]characters!$A:$M,13,FALSE)</f>
        <v>god</v>
      </c>
      <c r="N334" s="7">
        <f>VLOOKUP(B334,[1]characters!$A:$G,7,FALSE)</f>
        <v>0</v>
      </c>
      <c r="O334" s="45">
        <f ca="1">IFERROR(VLOOKUP(B334,input_559100!L:R,7,FALSE),VLOOKUP(tables_559100!C334,input_559100!A:H,8,FALSE))</f>
        <v>249067</v>
      </c>
      <c r="P334" s="46">
        <f t="shared" ca="1" si="20"/>
        <v>7.6307291667601692E-3</v>
      </c>
      <c r="Q334" s="30">
        <v>1</v>
      </c>
      <c r="R334" s="30">
        <v>0</v>
      </c>
      <c r="S334" s="30">
        <v>0</v>
      </c>
      <c r="T334" s="30">
        <v>0</v>
      </c>
      <c r="U334" s="30">
        <v>0</v>
      </c>
      <c r="V334" s="30">
        <v>1</v>
      </c>
    </row>
    <row r="335" spans="1:22" ht="21" customHeight="1" x14ac:dyDescent="0.15">
      <c r="A335" s="2" t="str">
        <f ca="1">input_559100!A$2</f>
        <v>559100</v>
      </c>
      <c r="B335" s="5">
        <v>1211</v>
      </c>
      <c r="C335" s="7" t="str">
        <f t="shared" si="21"/>
        <v>Premium5R3less</v>
      </c>
      <c r="D335" s="7" t="str">
        <f t="shared" si="22"/>
        <v>Premium</v>
      </c>
      <c r="E335" s="7" t="str">
        <f>IF(COUNTIF('R6追加前'!A:A,B335)=0,IF(OR(I335="PremiumSS",I335="PremiumSSw"),"R5only","R3less"),"")</f>
        <v>R3less</v>
      </c>
      <c r="F335" s="7" t="str">
        <f>IF(COUNTIF('R6開放'!A:A,B335)&gt;0,"R6release","")</f>
        <v/>
      </c>
      <c r="G335" s="7"/>
      <c r="H335" s="7" t="str">
        <f>VLOOKUP(B335,[1]characters!$A:$C,3,FALSE)</f>
        <v>奏駆の翻騎 ケンタウロス</v>
      </c>
      <c r="I335" s="7" t="str">
        <f>VLOOKUP(B335,[1]characters!$A:$J,10,FALSE)</f>
        <v>PremiumS</v>
      </c>
      <c r="J335" s="7">
        <f>VLOOKUP(B335,[1]characters!$A:$I,9,FALSE)</f>
        <v>5</v>
      </c>
      <c r="K335" s="7" t="str">
        <f>VLOOKUP(B335,[1]characters!$A:$H,8,FALSE)</f>
        <v>green</v>
      </c>
      <c r="L335" s="7" t="str">
        <f>VLOOKUP(B335,[1]characters!$A:$K,11,FALSE)</f>
        <v>attack</v>
      </c>
      <c r="M335" s="7" t="str">
        <f>VLOOKUP(B335,[1]characters!$A:$M,13,FALSE)</f>
        <v>god</v>
      </c>
      <c r="N335" s="7">
        <f>VLOOKUP(B335,[1]characters!$A:$G,7,FALSE)</f>
        <v>0</v>
      </c>
      <c r="O335" s="45">
        <f ca="1">IFERROR(VLOOKUP(B335,input_559100!L:R,7,FALSE),VLOOKUP(tables_559100!C335,input_559100!A:H,8,FALSE))</f>
        <v>46410</v>
      </c>
      <c r="P335" s="46">
        <f t="shared" ca="1" si="20"/>
        <v>1.4218750000174229E-3</v>
      </c>
      <c r="Q335" s="30">
        <v>1</v>
      </c>
      <c r="R335" s="30">
        <v>0</v>
      </c>
      <c r="S335" s="30">
        <v>0</v>
      </c>
      <c r="T335" s="30">
        <v>0</v>
      </c>
      <c r="U335" s="30">
        <v>0</v>
      </c>
      <c r="V335" s="30">
        <v>1</v>
      </c>
    </row>
    <row r="336" spans="1:22" ht="21" customHeight="1" x14ac:dyDescent="0.15">
      <c r="A336" s="2" t="str">
        <f ca="1">input_559100!A$2</f>
        <v>559100</v>
      </c>
      <c r="B336" s="5">
        <v>1224</v>
      </c>
      <c r="C336" s="7" t="str">
        <f t="shared" si="21"/>
        <v>Premium4R3less</v>
      </c>
      <c r="D336" s="7" t="str">
        <f t="shared" si="22"/>
        <v>Premium</v>
      </c>
      <c r="E336" s="7" t="str">
        <f>IF(COUNTIF('R6追加前'!A:A,B336)=0,IF(OR(I336="PremiumSS",I336="PremiumSSw"),"R5only","R3less"),"")</f>
        <v>R3less</v>
      </c>
      <c r="F336" s="7" t="str">
        <f>IF(COUNTIF('R6開放'!A:A,B336)&gt;0,"R6release","")</f>
        <v/>
      </c>
      <c r="G336" s="7"/>
      <c r="H336" s="7" t="str">
        <f>VLOOKUP(B336,[1]characters!$A:$C,3,FALSE)</f>
        <v>セルバンテス</v>
      </c>
      <c r="I336" s="7" t="str">
        <f>VLOOKUP(B336,[1]characters!$A:$J,10,FALSE)</f>
        <v>PremiumS</v>
      </c>
      <c r="J336" s="7">
        <f>VLOOKUP(B336,[1]characters!$A:$I,9,FALSE)</f>
        <v>4</v>
      </c>
      <c r="K336" s="7" t="str">
        <f>VLOOKUP(B336,[1]characters!$A:$H,8,FALSE)</f>
        <v>red</v>
      </c>
      <c r="L336" s="7" t="str">
        <f>VLOOKUP(B336,[1]characters!$A:$K,11,FALSE)</f>
        <v>attack</v>
      </c>
      <c r="M336" s="7" t="str">
        <f>VLOOKUP(B336,[1]characters!$A:$M,13,FALSE)</f>
        <v>human</v>
      </c>
      <c r="N336" s="7">
        <f>VLOOKUP(B336,[1]characters!$A:$G,7,FALSE)</f>
        <v>0</v>
      </c>
      <c r="O336" s="45">
        <f ca="1">IFERROR(VLOOKUP(B336,input_559100!L:R,7,FALSE),VLOOKUP(tables_559100!C336,input_559100!A:H,8,FALSE))</f>
        <v>249067</v>
      </c>
      <c r="P336" s="46">
        <f t="shared" ca="1" si="20"/>
        <v>7.6307291667601692E-3</v>
      </c>
      <c r="Q336" s="30">
        <v>1</v>
      </c>
      <c r="R336" s="30">
        <v>0</v>
      </c>
      <c r="S336" s="30">
        <v>0</v>
      </c>
      <c r="T336" s="30">
        <v>0</v>
      </c>
      <c r="U336" s="30">
        <v>0</v>
      </c>
      <c r="V336" s="30">
        <v>1</v>
      </c>
    </row>
    <row r="337" spans="1:22" ht="21" customHeight="1" x14ac:dyDescent="0.15">
      <c r="A337" s="2" t="str">
        <f ca="1">input_559100!A$2</f>
        <v>559100</v>
      </c>
      <c r="B337" s="5">
        <v>1225</v>
      </c>
      <c r="C337" s="7" t="str">
        <f t="shared" si="21"/>
        <v>Premium5R3less</v>
      </c>
      <c r="D337" s="7" t="str">
        <f t="shared" si="22"/>
        <v>Premium</v>
      </c>
      <c r="E337" s="7" t="str">
        <f>IF(COUNTIF('R6追加前'!A:A,B337)=0,IF(OR(I337="PremiumSS",I337="PremiumSSw"),"R5only","R3less"),"")</f>
        <v>R3less</v>
      </c>
      <c r="F337" s="7" t="str">
        <f>IF(COUNTIF('R6開放'!A:A,B337)&gt;0,"R6release","")</f>
        <v/>
      </c>
      <c r="G337" s="7"/>
      <c r="H337" s="7" t="str">
        <f>VLOOKUP(B337,[1]characters!$A:$C,3,FALSE)</f>
        <v>優柔なる風断者 セルバンテス</v>
      </c>
      <c r="I337" s="7" t="str">
        <f>VLOOKUP(B337,[1]characters!$A:$J,10,FALSE)</f>
        <v>PremiumS</v>
      </c>
      <c r="J337" s="7">
        <f>VLOOKUP(B337,[1]characters!$A:$I,9,FALSE)</f>
        <v>5</v>
      </c>
      <c r="K337" s="7" t="str">
        <f>VLOOKUP(B337,[1]characters!$A:$H,8,FALSE)</f>
        <v>red</v>
      </c>
      <c r="L337" s="7" t="str">
        <f>VLOOKUP(B337,[1]characters!$A:$K,11,FALSE)</f>
        <v>attack</v>
      </c>
      <c r="M337" s="7" t="str">
        <f>VLOOKUP(B337,[1]characters!$A:$M,13,FALSE)</f>
        <v>human</v>
      </c>
      <c r="N337" s="7">
        <f>VLOOKUP(B337,[1]characters!$A:$G,7,FALSE)</f>
        <v>0</v>
      </c>
      <c r="O337" s="45">
        <f ca="1">IFERROR(VLOOKUP(B337,input_559100!L:R,7,FALSE),VLOOKUP(tables_559100!C337,input_559100!A:H,8,FALSE))</f>
        <v>46410</v>
      </c>
      <c r="P337" s="46">
        <f t="shared" ca="1" si="20"/>
        <v>1.4218750000174229E-3</v>
      </c>
      <c r="Q337" s="30">
        <v>1</v>
      </c>
      <c r="R337" s="30">
        <v>0</v>
      </c>
      <c r="S337" s="30">
        <v>0</v>
      </c>
      <c r="T337" s="30">
        <v>0</v>
      </c>
      <c r="U337" s="30">
        <v>0</v>
      </c>
      <c r="V337" s="30">
        <v>1</v>
      </c>
    </row>
    <row r="338" spans="1:22" ht="21" customHeight="1" x14ac:dyDescent="0.15">
      <c r="A338" s="2" t="str">
        <f ca="1">input_559100!A$2</f>
        <v>559100</v>
      </c>
      <c r="B338" s="5">
        <v>1226</v>
      </c>
      <c r="C338" s="7" t="str">
        <f t="shared" si="21"/>
        <v>PremiumSS5R5only</v>
      </c>
      <c r="D338" s="7" t="str">
        <f t="shared" si="22"/>
        <v>PremiumSS</v>
      </c>
      <c r="E338" s="7" t="str">
        <f>IF(COUNTIF('R6追加前'!A:A,B338)=0,IF(OR(I338="PremiumSS",I338="PremiumSSw"),"R5only","R3less"),"")</f>
        <v>R5only</v>
      </c>
      <c r="F338" s="7" t="str">
        <f>IF(COUNTIF('R6開放'!A:A,B338)&gt;0,"R6release","")</f>
        <v/>
      </c>
      <c r="G338" s="7"/>
      <c r="H338" s="7" t="str">
        <f>VLOOKUP(B338,[1]characters!$A:$C,3,FALSE)</f>
        <v>トルストイ</v>
      </c>
      <c r="I338" s="7" t="str">
        <f>VLOOKUP(B338,[1]characters!$A:$J,10,FALSE)</f>
        <v>PremiumSS</v>
      </c>
      <c r="J338" s="7">
        <f>VLOOKUP(B338,[1]characters!$A:$I,9,FALSE)</f>
        <v>5</v>
      </c>
      <c r="K338" s="7" t="str">
        <f>VLOOKUP(B338,[1]characters!$A:$H,8,FALSE)</f>
        <v>green</v>
      </c>
      <c r="L338" s="7" t="str">
        <f>VLOOKUP(B338,[1]characters!$A:$K,11,FALSE)</f>
        <v>attack</v>
      </c>
      <c r="M338" s="7" t="str">
        <f>VLOOKUP(B338,[1]characters!$A:$M,13,FALSE)</f>
        <v>human</v>
      </c>
      <c r="N338" s="7">
        <f>VLOOKUP(B338,[1]characters!$A:$G,7,FALSE)</f>
        <v>0</v>
      </c>
      <c r="O338" s="45">
        <f ca="1">IFERROR(VLOOKUP(B338,input_559100!L:R,7,FALSE),VLOOKUP(tables_559100!C338,input_559100!A:H,8,FALSE))</f>
        <v>33643.636359999997</v>
      </c>
      <c r="P338" s="46">
        <f t="shared" ca="1" si="20"/>
        <v>1.0307486630028262E-3</v>
      </c>
      <c r="Q338" s="30">
        <v>1</v>
      </c>
      <c r="R338" s="30">
        <v>0</v>
      </c>
      <c r="S338" s="30">
        <v>0</v>
      </c>
      <c r="T338" s="30">
        <v>0</v>
      </c>
      <c r="U338" s="30">
        <v>0</v>
      </c>
      <c r="V338" s="30">
        <v>1</v>
      </c>
    </row>
    <row r="339" spans="1:22" ht="21" customHeight="1" x14ac:dyDescent="0.15">
      <c r="A339" s="2" t="str">
        <f ca="1">input_559100!A$2</f>
        <v>559100</v>
      </c>
      <c r="B339" s="5">
        <v>1228</v>
      </c>
      <c r="C339" s="7" t="str">
        <f t="shared" si="21"/>
        <v>PremiumSS5R5only</v>
      </c>
      <c r="D339" s="7" t="str">
        <f t="shared" si="22"/>
        <v>PremiumSS</v>
      </c>
      <c r="E339" s="7" t="str">
        <f>IF(COUNTIF('R6追加前'!A:A,B339)=0,IF(OR(I339="PremiumSS",I339="PremiumSSw"),"R5only","R3less"),"")</f>
        <v>R5only</v>
      </c>
      <c r="F339" s="7" t="str">
        <f>IF(COUNTIF('R6開放'!A:A,B339)&gt;0,"R6release","")</f>
        <v/>
      </c>
      <c r="G339" s="7"/>
      <c r="H339" s="7" t="str">
        <f>VLOOKUP(B339,[1]characters!$A:$C,3,FALSE)</f>
        <v>芥川龍之介</v>
      </c>
      <c r="I339" s="7" t="str">
        <f>VLOOKUP(B339,[1]characters!$A:$J,10,FALSE)</f>
        <v>PremiumSSw</v>
      </c>
      <c r="J339" s="7">
        <f>VLOOKUP(B339,[1]characters!$A:$I,9,FALSE)</f>
        <v>5</v>
      </c>
      <c r="K339" s="7" t="str">
        <f>VLOOKUP(B339,[1]characters!$A:$H,8,FALSE)</f>
        <v>blue</v>
      </c>
      <c r="L339" s="7" t="str">
        <f>VLOOKUP(B339,[1]characters!$A:$K,11,FALSE)</f>
        <v>attack</v>
      </c>
      <c r="M339" s="7" t="str">
        <f>VLOOKUP(B339,[1]characters!$A:$M,13,FALSE)</f>
        <v>human</v>
      </c>
      <c r="N339" s="7">
        <f>VLOOKUP(B339,[1]characters!$A:$G,7,FALSE)</f>
        <v>0</v>
      </c>
      <c r="O339" s="45">
        <f ca="1">IFERROR(VLOOKUP(B339,input_559100!L:R,7,FALSE),VLOOKUP(tables_559100!C339,input_559100!A:H,8,FALSE))</f>
        <v>33643.636359999997</v>
      </c>
      <c r="P339" s="46">
        <f t="shared" ca="1" si="20"/>
        <v>1.0307486630028262E-3</v>
      </c>
      <c r="Q339" s="30">
        <v>1</v>
      </c>
      <c r="R339" s="30">
        <v>0</v>
      </c>
      <c r="S339" s="30">
        <v>0</v>
      </c>
      <c r="T339" s="30">
        <v>0</v>
      </c>
      <c r="U339" s="30">
        <v>0</v>
      </c>
      <c r="V339" s="30">
        <v>1</v>
      </c>
    </row>
    <row r="340" spans="1:22" ht="21" customHeight="1" x14ac:dyDescent="0.15">
      <c r="A340" s="2" t="str">
        <f ca="1">input_559100!A$2</f>
        <v>559100</v>
      </c>
      <c r="B340" s="5">
        <v>1230</v>
      </c>
      <c r="C340" s="7" t="str">
        <f t="shared" si="21"/>
        <v>PremiumSS5R5only</v>
      </c>
      <c r="D340" s="7" t="str">
        <f t="shared" si="22"/>
        <v>PremiumSS</v>
      </c>
      <c r="E340" s="7" t="str">
        <f>IF(COUNTIF('R6追加前'!A:A,B340)=0,IF(OR(I340="PremiumSS",I340="PremiumSSw"),"R5only","R3less"),"")</f>
        <v>R5only</v>
      </c>
      <c r="F340" s="7" t="str">
        <f>IF(COUNTIF('R6開放'!A:A,B340)&gt;0,"R6release","")</f>
        <v/>
      </c>
      <c r="G340" s="7"/>
      <c r="H340" s="7" t="str">
        <f>VLOOKUP(B340,[1]characters!$A:$C,3,FALSE)</f>
        <v>夏目漱石</v>
      </c>
      <c r="I340" s="7" t="str">
        <f>VLOOKUP(B340,[1]characters!$A:$J,10,FALSE)</f>
        <v>PremiumSS</v>
      </c>
      <c r="J340" s="7">
        <f>VLOOKUP(B340,[1]characters!$A:$I,9,FALSE)</f>
        <v>5</v>
      </c>
      <c r="K340" s="7" t="str">
        <f>VLOOKUP(B340,[1]characters!$A:$H,8,FALSE)</f>
        <v>yellow</v>
      </c>
      <c r="L340" s="7" t="str">
        <f>VLOOKUP(B340,[1]characters!$A:$K,11,FALSE)</f>
        <v>heal</v>
      </c>
      <c r="M340" s="7" t="str">
        <f>VLOOKUP(B340,[1]characters!$A:$M,13,FALSE)</f>
        <v>animal</v>
      </c>
      <c r="N340" s="7">
        <f>VLOOKUP(B340,[1]characters!$A:$G,7,FALSE)</f>
        <v>0</v>
      </c>
      <c r="O340" s="45">
        <f ca="1">IFERROR(VLOOKUP(B340,input_559100!L:R,7,FALSE),VLOOKUP(tables_559100!C340,input_559100!A:H,8,FALSE))</f>
        <v>33643.636359999997</v>
      </c>
      <c r="P340" s="46">
        <f t="shared" ca="1" si="20"/>
        <v>1.0307486630028262E-3</v>
      </c>
      <c r="Q340" s="30">
        <v>1</v>
      </c>
      <c r="R340" s="30">
        <v>0</v>
      </c>
      <c r="S340" s="30">
        <v>0</v>
      </c>
      <c r="T340" s="30">
        <v>0</v>
      </c>
      <c r="U340" s="30">
        <v>0</v>
      </c>
      <c r="V340" s="30">
        <v>1</v>
      </c>
    </row>
    <row r="341" spans="1:22" ht="21" customHeight="1" x14ac:dyDescent="0.15">
      <c r="A341" s="2" t="str">
        <f ca="1">input_559100!A$2</f>
        <v>559100</v>
      </c>
      <c r="B341" s="5">
        <v>1250</v>
      </c>
      <c r="C341" s="7" t="str">
        <f t="shared" si="21"/>
        <v>PremiumSS5R5only</v>
      </c>
      <c r="D341" s="7" t="str">
        <f t="shared" si="22"/>
        <v>PremiumSS</v>
      </c>
      <c r="E341" s="7" t="str">
        <f>IF(COUNTIF('R6追加前'!A:A,B341)=0,IF(OR(I341="PremiumSS",I341="PremiumSSw"),"R5only","R3less"),"")</f>
        <v>R5only</v>
      </c>
      <c r="F341" s="7" t="str">
        <f>IF(COUNTIF('R6開放'!A:A,B341)&gt;0,"R6release","")</f>
        <v/>
      </c>
      <c r="G341" s="7"/>
      <c r="H341" s="7" t="str">
        <f>VLOOKUP(B341,[1]characters!$A:$C,3,FALSE)</f>
        <v>真田幸村</v>
      </c>
      <c r="I341" s="7" t="str">
        <f>VLOOKUP(B341,[1]characters!$A:$J,10,FALSE)</f>
        <v>PremiumSSw</v>
      </c>
      <c r="J341" s="7">
        <f>VLOOKUP(B341,[1]characters!$A:$I,9,FALSE)</f>
        <v>5</v>
      </c>
      <c r="K341" s="7" t="str">
        <f>VLOOKUP(B341,[1]characters!$A:$H,8,FALSE)</f>
        <v>yellow</v>
      </c>
      <c r="L341" s="7" t="str">
        <f>VLOOKUP(B341,[1]characters!$A:$K,11,FALSE)</f>
        <v>attack</v>
      </c>
      <c r="M341" s="7" t="str">
        <f>VLOOKUP(B341,[1]characters!$A:$M,13,FALSE)</f>
        <v>human</v>
      </c>
      <c r="N341" s="7">
        <f>VLOOKUP(B341,[1]characters!$A:$G,7,FALSE)</f>
        <v>0</v>
      </c>
      <c r="O341" s="45">
        <f ca="1">IFERROR(VLOOKUP(B341,input_559100!L:R,7,FALSE),VLOOKUP(tables_559100!C341,input_559100!A:H,8,FALSE))</f>
        <v>33643.636359999997</v>
      </c>
      <c r="P341" s="46">
        <f t="shared" ca="1" si="20"/>
        <v>1.0307486630028262E-3</v>
      </c>
      <c r="Q341" s="30">
        <v>1</v>
      </c>
      <c r="R341" s="30">
        <v>0</v>
      </c>
      <c r="S341" s="30">
        <v>0</v>
      </c>
      <c r="T341" s="30">
        <v>0</v>
      </c>
      <c r="U341" s="30">
        <v>0</v>
      </c>
      <c r="V341" s="30">
        <v>1</v>
      </c>
    </row>
    <row r="342" spans="1:22" ht="21" customHeight="1" x14ac:dyDescent="0.15">
      <c r="A342" s="2" t="str">
        <f ca="1">input_559100!A$2</f>
        <v>559100</v>
      </c>
      <c r="B342" s="5">
        <v>1248</v>
      </c>
      <c r="C342" s="7" t="str">
        <f t="shared" si="21"/>
        <v>Premium4R3less</v>
      </c>
      <c r="D342" s="7" t="str">
        <f t="shared" si="22"/>
        <v>Premium</v>
      </c>
      <c r="E342" s="7" t="str">
        <f>IF(COUNTIF('R6追加前'!A:A,B342)=0,IF(OR(I342="PremiumSS",I342="PremiumSSw"),"R5only","R3less"),"")</f>
        <v>R3less</v>
      </c>
      <c r="F342" s="7" t="str">
        <f>IF(COUNTIF('R6開放'!A:A,B342)&gt;0,"R6release","")</f>
        <v/>
      </c>
      <c r="G342" s="7"/>
      <c r="H342" s="7" t="str">
        <f>VLOOKUP(B342,[1]characters!$A:$C,3,FALSE)</f>
        <v>寧々</v>
      </c>
      <c r="I342" s="7" t="str">
        <f>VLOOKUP(B342,[1]characters!$A:$J,10,FALSE)</f>
        <v>PremiumS</v>
      </c>
      <c r="J342" s="7">
        <f>VLOOKUP(B342,[1]characters!$A:$I,9,FALSE)</f>
        <v>4</v>
      </c>
      <c r="K342" s="7" t="str">
        <f>VLOOKUP(B342,[1]characters!$A:$H,8,FALSE)</f>
        <v>blue</v>
      </c>
      <c r="L342" s="7" t="str">
        <f>VLOOKUP(B342,[1]characters!$A:$K,11,FALSE)</f>
        <v>heal</v>
      </c>
      <c r="M342" s="7" t="str">
        <f>VLOOKUP(B342,[1]characters!$A:$M,13,FALSE)</f>
        <v>human</v>
      </c>
      <c r="N342" s="7">
        <f>VLOOKUP(B342,[1]characters!$A:$G,7,FALSE)</f>
        <v>0</v>
      </c>
      <c r="O342" s="45">
        <f ca="1">IFERROR(VLOOKUP(B342,input_559100!L:R,7,FALSE),VLOOKUP(tables_559100!C342,input_559100!A:H,8,FALSE))</f>
        <v>249067</v>
      </c>
      <c r="P342" s="46">
        <f t="shared" ca="1" si="20"/>
        <v>7.6307291667601692E-3</v>
      </c>
      <c r="Q342" s="30">
        <v>1</v>
      </c>
      <c r="R342" s="30">
        <v>0</v>
      </c>
      <c r="S342" s="30">
        <v>0</v>
      </c>
      <c r="T342" s="30">
        <v>0</v>
      </c>
      <c r="U342" s="30">
        <v>0</v>
      </c>
      <c r="V342" s="30">
        <v>1</v>
      </c>
    </row>
    <row r="343" spans="1:22" ht="21" customHeight="1" x14ac:dyDescent="0.15">
      <c r="A343" s="2" t="str">
        <f ca="1">input_559100!A$2</f>
        <v>559100</v>
      </c>
      <c r="B343" s="5">
        <v>1249</v>
      </c>
      <c r="C343" s="7" t="str">
        <f t="shared" si="21"/>
        <v>Premium5R3less</v>
      </c>
      <c r="D343" s="7" t="str">
        <f t="shared" si="22"/>
        <v>Premium</v>
      </c>
      <c r="E343" s="7" t="str">
        <f>IF(COUNTIF('R6追加前'!A:A,B343)=0,IF(OR(I343="PremiumSS",I343="PremiumSSw"),"R5only","R3less"),"")</f>
        <v>R3less</v>
      </c>
      <c r="F343" s="7" t="str">
        <f>IF(COUNTIF('R6開放'!A:A,B343)&gt;0,"R6release","")</f>
        <v/>
      </c>
      <c r="G343" s="7"/>
      <c r="H343" s="7" t="str">
        <f>VLOOKUP(B343,[1]characters!$A:$C,3,FALSE)</f>
        <v>君臨する姐御様 寧々</v>
      </c>
      <c r="I343" s="7" t="str">
        <f>VLOOKUP(B343,[1]characters!$A:$J,10,FALSE)</f>
        <v>PremiumS</v>
      </c>
      <c r="J343" s="7">
        <f>VLOOKUP(B343,[1]characters!$A:$I,9,FALSE)</f>
        <v>5</v>
      </c>
      <c r="K343" s="7" t="str">
        <f>VLOOKUP(B343,[1]characters!$A:$H,8,FALSE)</f>
        <v>blue</v>
      </c>
      <c r="L343" s="7" t="str">
        <f>VLOOKUP(B343,[1]characters!$A:$K,11,FALSE)</f>
        <v>heal</v>
      </c>
      <c r="M343" s="7" t="str">
        <f>VLOOKUP(B343,[1]characters!$A:$M,13,FALSE)</f>
        <v>human</v>
      </c>
      <c r="N343" s="7">
        <f>VLOOKUP(B343,[1]characters!$A:$G,7,FALSE)</f>
        <v>0</v>
      </c>
      <c r="O343" s="45">
        <f ca="1">IFERROR(VLOOKUP(B343,input_559100!L:R,7,FALSE),VLOOKUP(tables_559100!C343,input_559100!A:H,8,FALSE))</f>
        <v>46410</v>
      </c>
      <c r="P343" s="46">
        <f t="shared" ca="1" si="20"/>
        <v>1.4218750000174229E-3</v>
      </c>
      <c r="Q343" s="30">
        <v>1</v>
      </c>
      <c r="R343" s="30">
        <v>0</v>
      </c>
      <c r="S343" s="30">
        <v>0</v>
      </c>
      <c r="T343" s="30">
        <v>0</v>
      </c>
      <c r="U343" s="30">
        <v>0</v>
      </c>
      <c r="V343" s="30">
        <v>1</v>
      </c>
    </row>
    <row r="344" spans="1:22" ht="21" customHeight="1" x14ac:dyDescent="0.15">
      <c r="A344" s="2" t="str">
        <f ca="1">input_559100!A$2</f>
        <v>559100</v>
      </c>
      <c r="B344" s="5">
        <v>1246</v>
      </c>
      <c r="C344" s="7" t="str">
        <f t="shared" si="21"/>
        <v>PremiumSS5R5only</v>
      </c>
      <c r="D344" s="7" t="str">
        <f t="shared" si="22"/>
        <v>PremiumSS</v>
      </c>
      <c r="E344" s="7" t="str">
        <f>IF(COUNTIF('R6追加前'!A:A,B344)=0,IF(OR(I344="PremiumSS",I344="PremiumSSw"),"R5only","R3less"),"")</f>
        <v>R5only</v>
      </c>
      <c r="F344" s="7" t="str">
        <f>IF(COUNTIF('R6開放'!A:A,B344)&gt;0,"R6release","")</f>
        <v/>
      </c>
      <c r="G344" s="7"/>
      <c r="H344" s="7" t="str">
        <f>VLOOKUP(B344,[1]characters!$A:$C,3,FALSE)</f>
        <v>望月千代女</v>
      </c>
      <c r="I344" s="7" t="str">
        <f>VLOOKUP(B344,[1]characters!$A:$J,10,FALSE)</f>
        <v>PremiumSS</v>
      </c>
      <c r="J344" s="7">
        <f>VLOOKUP(B344,[1]characters!$A:$I,9,FALSE)</f>
        <v>5</v>
      </c>
      <c r="K344" s="7" t="str">
        <f>VLOOKUP(B344,[1]characters!$A:$H,8,FALSE)</f>
        <v>green</v>
      </c>
      <c r="L344" s="7" t="str">
        <f>VLOOKUP(B344,[1]characters!$A:$K,11,FALSE)</f>
        <v>heal</v>
      </c>
      <c r="M344" s="7" t="str">
        <f>VLOOKUP(B344,[1]characters!$A:$M,13,FALSE)</f>
        <v>human</v>
      </c>
      <c r="N344" s="7">
        <f>VLOOKUP(B344,[1]characters!$A:$G,7,FALSE)</f>
        <v>0</v>
      </c>
      <c r="O344" s="45">
        <f ca="1">IFERROR(VLOOKUP(B344,input_559100!L:R,7,FALSE),VLOOKUP(tables_559100!C344,input_559100!A:H,8,FALSE))</f>
        <v>33643.636359999997</v>
      </c>
      <c r="P344" s="46">
        <f t="shared" ca="1" si="20"/>
        <v>1.0307486630028262E-3</v>
      </c>
      <c r="Q344" s="30">
        <v>1</v>
      </c>
      <c r="R344" s="30">
        <v>0</v>
      </c>
      <c r="S344" s="30">
        <v>0</v>
      </c>
      <c r="T344" s="30">
        <v>0</v>
      </c>
      <c r="U344" s="30">
        <v>0</v>
      </c>
      <c r="V344" s="30">
        <v>1</v>
      </c>
    </row>
    <row r="345" spans="1:22" ht="21" customHeight="1" x14ac:dyDescent="0.15">
      <c r="A345" s="2" t="str">
        <f ca="1">input_559100!A$2</f>
        <v>559100</v>
      </c>
      <c r="B345" s="5">
        <v>1244</v>
      </c>
      <c r="C345" s="7" t="str">
        <f t="shared" si="21"/>
        <v>PremiumSS5R5only</v>
      </c>
      <c r="D345" s="7" t="str">
        <f t="shared" si="22"/>
        <v>PremiumSS</v>
      </c>
      <c r="E345" s="7" t="str">
        <f>IF(COUNTIF('R6追加前'!A:A,B345)=0,IF(OR(I345="PremiumSS",I345="PremiumSSw"),"R5only","R3less"),"")</f>
        <v>R5only</v>
      </c>
      <c r="F345" s="7" t="str">
        <f>IF(COUNTIF('R6開放'!A:A,B345)&gt;0,"R6release","")</f>
        <v/>
      </c>
      <c r="G345" s="7"/>
      <c r="H345" s="7" t="str">
        <f>VLOOKUP(B345,[1]characters!$A:$C,3,FALSE)</f>
        <v>猿飛佐助</v>
      </c>
      <c r="I345" s="7" t="str">
        <f>VLOOKUP(B345,[1]characters!$A:$J,10,FALSE)</f>
        <v>PremiumSS</v>
      </c>
      <c r="J345" s="7">
        <f>VLOOKUP(B345,[1]characters!$A:$I,9,FALSE)</f>
        <v>5</v>
      </c>
      <c r="K345" s="7" t="str">
        <f>VLOOKUP(B345,[1]characters!$A:$H,8,FALSE)</f>
        <v>red</v>
      </c>
      <c r="L345" s="7" t="str">
        <f>VLOOKUP(B345,[1]characters!$A:$K,11,FALSE)</f>
        <v>attack</v>
      </c>
      <c r="M345" s="7" t="str">
        <f>VLOOKUP(B345,[1]characters!$A:$M,13,FALSE)</f>
        <v>human</v>
      </c>
      <c r="N345" s="7">
        <f>VLOOKUP(B345,[1]characters!$A:$G,7,FALSE)</f>
        <v>0</v>
      </c>
      <c r="O345" s="45">
        <f ca="1">IFERROR(VLOOKUP(B345,input_559100!L:R,7,FALSE),VLOOKUP(tables_559100!C345,input_559100!A:H,8,FALSE))</f>
        <v>33643.636359999997</v>
      </c>
      <c r="P345" s="46">
        <f t="shared" ca="1" si="20"/>
        <v>1.0307486630028262E-3</v>
      </c>
      <c r="Q345" s="30">
        <v>1</v>
      </c>
      <c r="R345" s="30">
        <v>0</v>
      </c>
      <c r="S345" s="30">
        <v>0</v>
      </c>
      <c r="T345" s="30">
        <v>0</v>
      </c>
      <c r="U345" s="30">
        <v>0</v>
      </c>
      <c r="V345" s="30">
        <v>1</v>
      </c>
    </row>
    <row r="346" spans="1:22" ht="21" customHeight="1" x14ac:dyDescent="0.15">
      <c r="A346" s="2" t="str">
        <f ca="1">input_559100!A$2</f>
        <v>559100</v>
      </c>
      <c r="B346" s="5">
        <v>1260</v>
      </c>
      <c r="C346" s="7" t="str">
        <f t="shared" si="21"/>
        <v>PremiumSS5R5only</v>
      </c>
      <c r="D346" s="7" t="str">
        <f t="shared" si="22"/>
        <v>PremiumSS</v>
      </c>
      <c r="E346" s="7" t="str">
        <f>IF(COUNTIF('R6追加前'!A:A,B346)=0,IF(OR(I346="PremiumSS",I346="PremiumSSw"),"R5only","R3less"),"")</f>
        <v>R5only</v>
      </c>
      <c r="F346" s="7" t="str">
        <f>IF(COUNTIF('R6開放'!A:A,B346)&gt;0,"R6release","")</f>
        <v/>
      </c>
      <c r="G346" s="7"/>
      <c r="H346" s="7" t="str">
        <f>VLOOKUP(B346,[1]characters!$A:$C,3,FALSE)</f>
        <v>トール</v>
      </c>
      <c r="I346" s="7" t="str">
        <f>VLOOKUP(B346,[1]characters!$A:$J,10,FALSE)</f>
        <v>PremiumSS</v>
      </c>
      <c r="J346" s="7">
        <f>VLOOKUP(B346,[1]characters!$A:$I,9,FALSE)</f>
        <v>5</v>
      </c>
      <c r="K346" s="7" t="str">
        <f>VLOOKUP(B346,[1]characters!$A:$H,8,FALSE)</f>
        <v>red</v>
      </c>
      <c r="L346" s="7" t="str">
        <f>VLOOKUP(B346,[1]characters!$A:$K,11,FALSE)</f>
        <v>balance</v>
      </c>
      <c r="M346" s="7" t="str">
        <f>VLOOKUP(B346,[1]characters!$A:$M,13,FALSE)</f>
        <v>god</v>
      </c>
      <c r="N346" s="7">
        <f>VLOOKUP(B346,[1]characters!$A:$G,7,FALSE)</f>
        <v>0</v>
      </c>
      <c r="O346" s="45">
        <f ca="1">IFERROR(VLOOKUP(B346,input_559100!L:R,7,FALSE),VLOOKUP(tables_559100!C346,input_559100!A:H,8,FALSE))</f>
        <v>33643.636359999997</v>
      </c>
      <c r="P346" s="46">
        <f t="shared" ca="1" si="20"/>
        <v>1.0307486630028262E-3</v>
      </c>
      <c r="Q346" s="30">
        <v>1</v>
      </c>
      <c r="R346" s="30">
        <v>0</v>
      </c>
      <c r="S346" s="30">
        <v>0</v>
      </c>
      <c r="T346" s="30">
        <v>0</v>
      </c>
      <c r="U346" s="30">
        <v>0</v>
      </c>
      <c r="V346" s="30">
        <v>1</v>
      </c>
    </row>
    <row r="347" spans="1:22" ht="21" customHeight="1" x14ac:dyDescent="0.15">
      <c r="A347" s="2" t="str">
        <f ca="1">input_559100!A$2</f>
        <v>559100</v>
      </c>
      <c r="B347" s="5">
        <v>1262</v>
      </c>
      <c r="C347" s="7" t="str">
        <f t="shared" si="21"/>
        <v>PremiumSS5R5only</v>
      </c>
      <c r="D347" s="7" t="str">
        <f t="shared" si="22"/>
        <v>PremiumSS</v>
      </c>
      <c r="E347" s="7" t="str">
        <f>IF(COUNTIF('R6追加前'!A:A,B347)=0,IF(OR(I347="PremiumSS",I347="PremiumSSw"),"R5only","R3less"),"")</f>
        <v>R5only</v>
      </c>
      <c r="F347" s="7" t="str">
        <f>IF(COUNTIF('R6開放'!A:A,B347)&gt;0,"R6release","")</f>
        <v/>
      </c>
      <c r="G347" s="7"/>
      <c r="H347" s="7" t="str">
        <f>VLOOKUP(B347,[1]characters!$A:$C,3,FALSE)</f>
        <v>イズン</v>
      </c>
      <c r="I347" s="7" t="str">
        <f>VLOOKUP(B347,[1]characters!$A:$J,10,FALSE)</f>
        <v>PremiumSSw</v>
      </c>
      <c r="J347" s="7">
        <f>VLOOKUP(B347,[1]characters!$A:$I,9,FALSE)</f>
        <v>5</v>
      </c>
      <c r="K347" s="7" t="str">
        <f>VLOOKUP(B347,[1]characters!$A:$H,8,FALSE)</f>
        <v>green</v>
      </c>
      <c r="L347" s="7" t="str">
        <f>VLOOKUP(B347,[1]characters!$A:$K,11,FALSE)</f>
        <v>heal</v>
      </c>
      <c r="M347" s="7" t="str">
        <f>VLOOKUP(B347,[1]characters!$A:$M,13,FALSE)</f>
        <v>god</v>
      </c>
      <c r="N347" s="7">
        <f>VLOOKUP(B347,[1]characters!$A:$G,7,FALSE)</f>
        <v>0</v>
      </c>
      <c r="O347" s="45">
        <f ca="1">IFERROR(VLOOKUP(B347,input_559100!L:R,7,FALSE),VLOOKUP(tables_559100!C347,input_559100!A:H,8,FALSE))</f>
        <v>33643.636359999997</v>
      </c>
      <c r="P347" s="46">
        <f t="shared" ca="1" si="20"/>
        <v>1.0307486630028262E-3</v>
      </c>
      <c r="Q347" s="30">
        <v>1</v>
      </c>
      <c r="R347" s="30">
        <v>0</v>
      </c>
      <c r="S347" s="30">
        <v>0</v>
      </c>
      <c r="T347" s="30">
        <v>0</v>
      </c>
      <c r="U347" s="30">
        <v>0</v>
      </c>
      <c r="V347" s="30">
        <v>1</v>
      </c>
    </row>
    <row r="348" spans="1:22" ht="21" customHeight="1" x14ac:dyDescent="0.15">
      <c r="A348" s="2" t="str">
        <f ca="1">input_559100!A$2</f>
        <v>559100</v>
      </c>
      <c r="B348" s="5">
        <v>1264</v>
      </c>
      <c r="C348" s="7" t="str">
        <f t="shared" si="21"/>
        <v>PremiumSS5R5only</v>
      </c>
      <c r="D348" s="7" t="str">
        <f t="shared" si="22"/>
        <v>PremiumSS</v>
      </c>
      <c r="E348" s="7" t="str">
        <f>IF(COUNTIF('R6追加前'!A:A,B348)=0,IF(OR(I348="PremiumSS",I348="PremiumSSw"),"R5only","R3less"),"")</f>
        <v>R5only</v>
      </c>
      <c r="F348" s="7" t="str">
        <f>IF(COUNTIF('R6開放'!A:A,B348)&gt;0,"R6release","")</f>
        <v/>
      </c>
      <c r="G348" s="7"/>
      <c r="H348" s="7" t="str">
        <f>VLOOKUP(B348,[1]characters!$A:$C,3,FALSE)</f>
        <v>ウルズ</v>
      </c>
      <c r="I348" s="7" t="str">
        <f>VLOOKUP(B348,[1]characters!$A:$J,10,FALSE)</f>
        <v>PremiumSS</v>
      </c>
      <c r="J348" s="7">
        <f>VLOOKUP(B348,[1]characters!$A:$I,9,FALSE)</f>
        <v>5</v>
      </c>
      <c r="K348" s="7" t="str">
        <f>VLOOKUP(B348,[1]characters!$A:$H,8,FALSE)</f>
        <v>blue</v>
      </c>
      <c r="L348" s="7" t="str">
        <f>VLOOKUP(B348,[1]characters!$A:$K,11,FALSE)</f>
        <v>heal</v>
      </c>
      <c r="M348" s="7" t="str">
        <f>VLOOKUP(B348,[1]characters!$A:$M,13,FALSE)</f>
        <v>god</v>
      </c>
      <c r="N348" s="7">
        <f>VLOOKUP(B348,[1]characters!$A:$G,7,FALSE)</f>
        <v>0</v>
      </c>
      <c r="O348" s="45">
        <f ca="1">IFERROR(VLOOKUP(B348,input_559100!L:R,7,FALSE),VLOOKUP(tables_559100!C348,input_559100!A:H,8,FALSE))</f>
        <v>33643.636359999997</v>
      </c>
      <c r="P348" s="46">
        <f t="shared" ca="1" si="20"/>
        <v>1.0307486630028262E-3</v>
      </c>
      <c r="Q348" s="30">
        <v>1</v>
      </c>
      <c r="R348" s="30">
        <v>0</v>
      </c>
      <c r="S348" s="30">
        <v>0</v>
      </c>
      <c r="T348" s="30">
        <v>0</v>
      </c>
      <c r="U348" s="30">
        <v>0</v>
      </c>
      <c r="V348" s="30">
        <v>1</v>
      </c>
    </row>
    <row r="349" spans="1:22" ht="21" customHeight="1" x14ac:dyDescent="0.15">
      <c r="A349" s="2" t="str">
        <f ca="1">input_559100!A$2</f>
        <v>559100</v>
      </c>
      <c r="B349" s="5">
        <v>1266</v>
      </c>
      <c r="C349" s="7" t="str">
        <f t="shared" si="21"/>
        <v>Premium4R3less</v>
      </c>
      <c r="D349" s="7" t="str">
        <f t="shared" si="22"/>
        <v>Premium</v>
      </c>
      <c r="E349" s="7" t="str">
        <f>IF(COUNTIF('R6追加前'!A:A,B349)=0,IF(OR(I349="PremiumSS",I349="PremiumSSw"),"R5only","R3less"),"")</f>
        <v>R3less</v>
      </c>
      <c r="F349" s="7" t="str">
        <f>IF(COUNTIF('R6開放'!A:A,B349)&gt;0,"R6release","")</f>
        <v/>
      </c>
      <c r="G349" s="7"/>
      <c r="H349" s="7" t="str">
        <f>VLOOKUP(B349,[1]characters!$A:$C,3,FALSE)</f>
        <v>ガルム</v>
      </c>
      <c r="I349" s="7" t="str">
        <f>VLOOKUP(B349,[1]characters!$A:$J,10,FALSE)</f>
        <v>PremiumS</v>
      </c>
      <c r="J349" s="7">
        <f>VLOOKUP(B349,[1]characters!$A:$I,9,FALSE)</f>
        <v>4</v>
      </c>
      <c r="K349" s="7" t="str">
        <f>VLOOKUP(B349,[1]characters!$A:$H,8,FALSE)</f>
        <v>yellow</v>
      </c>
      <c r="L349" s="7" t="str">
        <f>VLOOKUP(B349,[1]characters!$A:$K,11,FALSE)</f>
        <v>hp</v>
      </c>
      <c r="M349" s="7" t="str">
        <f>VLOOKUP(B349,[1]characters!$A:$M,13,FALSE)</f>
        <v>god</v>
      </c>
      <c r="N349" s="7">
        <f>VLOOKUP(B349,[1]characters!$A:$G,7,FALSE)</f>
        <v>0</v>
      </c>
      <c r="O349" s="45">
        <f ca="1">IFERROR(VLOOKUP(B349,input_559100!L:R,7,FALSE),VLOOKUP(tables_559100!C349,input_559100!A:H,8,FALSE))</f>
        <v>249067</v>
      </c>
      <c r="P349" s="46">
        <f t="shared" ca="1" si="20"/>
        <v>7.6307291667601692E-3</v>
      </c>
      <c r="Q349" s="30">
        <v>1</v>
      </c>
      <c r="R349" s="30">
        <v>0</v>
      </c>
      <c r="S349" s="30">
        <v>0</v>
      </c>
      <c r="T349" s="30">
        <v>0</v>
      </c>
      <c r="U349" s="30">
        <v>0</v>
      </c>
      <c r="V349" s="30">
        <v>1</v>
      </c>
    </row>
    <row r="350" spans="1:22" ht="21" customHeight="1" x14ac:dyDescent="0.15">
      <c r="A350" s="2" t="str">
        <f ca="1">input_559100!A$2</f>
        <v>559100</v>
      </c>
      <c r="B350" s="5">
        <v>1267</v>
      </c>
      <c r="C350" s="7" t="str">
        <f t="shared" si="21"/>
        <v>Premium5R3less</v>
      </c>
      <c r="D350" s="7" t="str">
        <f t="shared" si="22"/>
        <v>Premium</v>
      </c>
      <c r="E350" s="7" t="str">
        <f>IF(COUNTIF('R6追加前'!A:A,B350)=0,IF(OR(I350="PremiumSS",I350="PremiumSSw"),"R5only","R3less"),"")</f>
        <v>R3less</v>
      </c>
      <c r="F350" s="7" t="str">
        <f>IF(COUNTIF('R6開放'!A:A,B350)&gt;0,"R6release","")</f>
        <v/>
      </c>
      <c r="G350" s="7"/>
      <c r="H350" s="7" t="str">
        <f>VLOOKUP(B350,[1]characters!$A:$C,3,FALSE)</f>
        <v>不遜の冥番犬 ガルム</v>
      </c>
      <c r="I350" s="7" t="str">
        <f>VLOOKUP(B350,[1]characters!$A:$J,10,FALSE)</f>
        <v>PremiumS</v>
      </c>
      <c r="J350" s="7">
        <f>VLOOKUP(B350,[1]characters!$A:$I,9,FALSE)</f>
        <v>5</v>
      </c>
      <c r="K350" s="7" t="str">
        <f>VLOOKUP(B350,[1]characters!$A:$H,8,FALSE)</f>
        <v>yellow</v>
      </c>
      <c r="L350" s="7" t="str">
        <f>VLOOKUP(B350,[1]characters!$A:$K,11,FALSE)</f>
        <v>hp</v>
      </c>
      <c r="M350" s="7" t="str">
        <f>VLOOKUP(B350,[1]characters!$A:$M,13,FALSE)</f>
        <v>god</v>
      </c>
      <c r="N350" s="7">
        <f>VLOOKUP(B350,[1]characters!$A:$G,7,FALSE)</f>
        <v>0</v>
      </c>
      <c r="O350" s="45">
        <f ca="1">IFERROR(VLOOKUP(B350,input_559100!L:R,7,FALSE),VLOOKUP(tables_559100!C350,input_559100!A:H,8,FALSE))</f>
        <v>46410</v>
      </c>
      <c r="P350" s="46">
        <f t="shared" ca="1" si="20"/>
        <v>1.4218750000174229E-3</v>
      </c>
      <c r="Q350" s="30">
        <v>1</v>
      </c>
      <c r="R350" s="30">
        <v>0</v>
      </c>
      <c r="S350" s="30">
        <v>0</v>
      </c>
      <c r="T350" s="30">
        <v>0</v>
      </c>
      <c r="U350" s="30">
        <v>0</v>
      </c>
      <c r="V350" s="30">
        <v>1</v>
      </c>
    </row>
    <row r="351" spans="1:22" ht="21" customHeight="1" x14ac:dyDescent="0.15">
      <c r="A351" s="2" t="str">
        <f ca="1">input_559100!A$2</f>
        <v>559100</v>
      </c>
      <c r="B351" s="5">
        <v>1332</v>
      </c>
      <c r="C351" s="7" t="str">
        <f t="shared" si="21"/>
        <v>PremiumSS5R5only</v>
      </c>
      <c r="D351" s="7" t="str">
        <f t="shared" si="22"/>
        <v>PremiumSS</v>
      </c>
      <c r="E351" s="7" t="str">
        <f>IF(COUNTIF('R6追加前'!A:A,B351)=0,IF(OR(I351="PremiumSS",I351="PremiumSSw"),"R5only","R3less"),"")</f>
        <v>R5only</v>
      </c>
      <c r="F351" s="7" t="str">
        <f>IF(COUNTIF('R6開放'!A:A,B351)&gt;0,"R6release","")</f>
        <v/>
      </c>
      <c r="G351" s="7"/>
      <c r="H351" s="7" t="str">
        <f>VLOOKUP(B351,[1]characters!$A:$C,3,FALSE)</f>
        <v>クシナダヒメ</v>
      </c>
      <c r="I351" s="7" t="str">
        <f>VLOOKUP(B351,[1]characters!$A:$J,10,FALSE)</f>
        <v>PremiumSSw</v>
      </c>
      <c r="J351" s="7">
        <f>VLOOKUP(B351,[1]characters!$A:$I,9,FALSE)</f>
        <v>5</v>
      </c>
      <c r="K351" s="7" t="str">
        <f>VLOOKUP(B351,[1]characters!$A:$H,8,FALSE)</f>
        <v>red</v>
      </c>
      <c r="L351" s="7" t="str">
        <f>VLOOKUP(B351,[1]characters!$A:$K,11,FALSE)</f>
        <v>hp</v>
      </c>
      <c r="M351" s="7" t="str">
        <f>VLOOKUP(B351,[1]characters!$A:$M,13,FALSE)</f>
        <v>god</v>
      </c>
      <c r="N351" s="7">
        <f>VLOOKUP(B351,[1]characters!$A:$G,7,FALSE)</f>
        <v>0</v>
      </c>
      <c r="O351" s="45">
        <f ca="1">IFERROR(VLOOKUP(B351,input_559100!L:R,7,FALSE),VLOOKUP(tables_559100!C351,input_559100!A:H,8,FALSE))</f>
        <v>33643.636359999997</v>
      </c>
      <c r="P351" s="46">
        <f t="shared" ca="1" si="20"/>
        <v>1.0307486630028262E-3</v>
      </c>
      <c r="Q351" s="30">
        <v>1</v>
      </c>
      <c r="R351" s="30">
        <v>0</v>
      </c>
      <c r="S351" s="30">
        <v>0</v>
      </c>
      <c r="T351" s="30">
        <v>0</v>
      </c>
      <c r="U351" s="30">
        <v>0</v>
      </c>
      <c r="V351" s="30">
        <v>1</v>
      </c>
    </row>
    <row r="352" spans="1:22" ht="21" customHeight="1" x14ac:dyDescent="0.15">
      <c r="A352" s="2" t="str">
        <f ca="1">input_559100!A$2</f>
        <v>559100</v>
      </c>
      <c r="B352" s="5">
        <v>1336</v>
      </c>
      <c r="C352" s="7" t="str">
        <f t="shared" si="21"/>
        <v>PremiumSS5R5only</v>
      </c>
      <c r="D352" s="7" t="str">
        <f t="shared" si="22"/>
        <v>PremiumSS</v>
      </c>
      <c r="E352" s="7" t="str">
        <f>IF(COUNTIF('R6追加前'!A:A,B352)=0,IF(OR(I352="PremiumSS",I352="PremiumSSw"),"R5only","R3less"),"")</f>
        <v>R5only</v>
      </c>
      <c r="F352" s="7" t="str">
        <f>IF(COUNTIF('R6開放'!A:A,B352)&gt;0,"R6release","")</f>
        <v/>
      </c>
      <c r="G352" s="7"/>
      <c r="H352" s="7" t="str">
        <f>VLOOKUP(B352,[1]characters!$A:$C,3,FALSE)</f>
        <v>イザナギ</v>
      </c>
      <c r="I352" s="7" t="str">
        <f>VLOOKUP(B352,[1]characters!$A:$J,10,FALSE)</f>
        <v>PremiumSS</v>
      </c>
      <c r="J352" s="7">
        <f>VLOOKUP(B352,[1]characters!$A:$I,9,FALSE)</f>
        <v>5</v>
      </c>
      <c r="K352" s="7" t="str">
        <f>VLOOKUP(B352,[1]characters!$A:$H,8,FALSE)</f>
        <v>blue</v>
      </c>
      <c r="L352" s="7" t="str">
        <f>VLOOKUP(B352,[1]characters!$A:$K,11,FALSE)</f>
        <v>technical</v>
      </c>
      <c r="M352" s="7" t="str">
        <f>VLOOKUP(B352,[1]characters!$A:$M,13,FALSE)</f>
        <v>god</v>
      </c>
      <c r="N352" s="7">
        <f>VLOOKUP(B352,[1]characters!$A:$G,7,FALSE)</f>
        <v>0</v>
      </c>
      <c r="O352" s="45">
        <f ca="1">IFERROR(VLOOKUP(B352,input_559100!L:R,7,FALSE),VLOOKUP(tables_559100!C352,input_559100!A:H,8,FALSE))</f>
        <v>33643.636359999997</v>
      </c>
      <c r="P352" s="46">
        <f t="shared" ca="1" si="20"/>
        <v>1.0307486630028262E-3</v>
      </c>
      <c r="Q352" s="30">
        <v>1</v>
      </c>
      <c r="R352" s="30">
        <v>0</v>
      </c>
      <c r="S352" s="30">
        <v>0</v>
      </c>
      <c r="T352" s="30">
        <v>0</v>
      </c>
      <c r="U352" s="30">
        <v>0</v>
      </c>
      <c r="V352" s="30">
        <v>1</v>
      </c>
    </row>
    <row r="353" spans="1:22" ht="21" customHeight="1" x14ac:dyDescent="0.15">
      <c r="A353" s="2" t="str">
        <f ca="1">input_559100!A$2</f>
        <v>559100</v>
      </c>
      <c r="B353" s="5">
        <v>1338</v>
      </c>
      <c r="C353" s="7" t="str">
        <f t="shared" si="21"/>
        <v>PremiumSS5R5only</v>
      </c>
      <c r="D353" s="7" t="str">
        <f t="shared" si="22"/>
        <v>PremiumSS</v>
      </c>
      <c r="E353" s="7" t="str">
        <f>IF(COUNTIF('R6追加前'!A:A,B353)=0,IF(OR(I353="PremiumSS",I353="PremiumSSw"),"R5only","R3less"),"")</f>
        <v>R5only</v>
      </c>
      <c r="F353" s="7" t="str">
        <f>IF(COUNTIF('R6開放'!A:A,B353)&gt;0,"R6release","")</f>
        <v/>
      </c>
      <c r="G353" s="7"/>
      <c r="H353" s="7" t="str">
        <f>VLOOKUP(B353,[1]characters!$A:$C,3,FALSE)</f>
        <v>アメノウズメ</v>
      </c>
      <c r="I353" s="7" t="str">
        <f>VLOOKUP(B353,[1]characters!$A:$J,10,FALSE)</f>
        <v>PremiumSS</v>
      </c>
      <c r="J353" s="7">
        <f>VLOOKUP(B353,[1]characters!$A:$I,9,FALSE)</f>
        <v>5</v>
      </c>
      <c r="K353" s="7" t="str">
        <f>VLOOKUP(B353,[1]characters!$A:$H,8,FALSE)</f>
        <v>yellow</v>
      </c>
      <c r="L353" s="7" t="str">
        <f>VLOOKUP(B353,[1]characters!$A:$K,11,FALSE)</f>
        <v>attack</v>
      </c>
      <c r="M353" s="7" t="str">
        <f>VLOOKUP(B353,[1]characters!$A:$M,13,FALSE)</f>
        <v>god</v>
      </c>
      <c r="N353" s="7">
        <f>VLOOKUP(B353,[1]characters!$A:$G,7,FALSE)</f>
        <v>0</v>
      </c>
      <c r="O353" s="45">
        <f ca="1">IFERROR(VLOOKUP(B353,input_559100!L:R,7,FALSE),VLOOKUP(tables_559100!C353,input_559100!A:H,8,FALSE))</f>
        <v>33643.636359999997</v>
      </c>
      <c r="P353" s="46">
        <f t="shared" ca="1" si="20"/>
        <v>1.0307486630028262E-3</v>
      </c>
      <c r="Q353" s="30">
        <v>1</v>
      </c>
      <c r="R353" s="30">
        <v>0</v>
      </c>
      <c r="S353" s="30">
        <v>0</v>
      </c>
      <c r="T353" s="30">
        <v>0</v>
      </c>
      <c r="U353" s="30">
        <v>0</v>
      </c>
      <c r="V353" s="30">
        <v>1</v>
      </c>
    </row>
    <row r="354" spans="1:22" ht="21" customHeight="1" x14ac:dyDescent="0.15">
      <c r="A354" s="2" t="str">
        <f ca="1">input_559100!A$2</f>
        <v>559100</v>
      </c>
      <c r="B354" s="5">
        <v>1334</v>
      </c>
      <c r="C354" s="7" t="str">
        <f t="shared" si="21"/>
        <v>Premium4R3less</v>
      </c>
      <c r="D354" s="7" t="str">
        <f t="shared" si="22"/>
        <v>Premium</v>
      </c>
      <c r="E354" s="7" t="str">
        <f>IF(COUNTIF('R6追加前'!A:A,B354)=0,IF(OR(I354="PremiumSS",I354="PremiumSSw"),"R5only","R3less"),"")</f>
        <v>R3less</v>
      </c>
      <c r="F354" s="7" t="str">
        <f>IF(COUNTIF('R6開放'!A:A,B354)&gt;0,"R6release","")</f>
        <v/>
      </c>
      <c r="G354" s="7"/>
      <c r="H354" s="7" t="str">
        <f>VLOOKUP(B354,[1]characters!$A:$C,3,FALSE)</f>
        <v>タマヨリヒメ</v>
      </c>
      <c r="I354" s="7" t="str">
        <f>VLOOKUP(B354,[1]characters!$A:$J,10,FALSE)</f>
        <v>PremiumS</v>
      </c>
      <c r="J354" s="7">
        <f>VLOOKUP(B354,[1]characters!$A:$I,9,FALSE)</f>
        <v>4</v>
      </c>
      <c r="K354" s="7" t="str">
        <f>VLOOKUP(B354,[1]characters!$A:$H,8,FALSE)</f>
        <v>green</v>
      </c>
      <c r="L354" s="7" t="str">
        <f>VLOOKUP(B354,[1]characters!$A:$K,11,FALSE)</f>
        <v>heal</v>
      </c>
      <c r="M354" s="7" t="str">
        <f>VLOOKUP(B354,[1]characters!$A:$M,13,FALSE)</f>
        <v>god</v>
      </c>
      <c r="N354" s="7">
        <f>VLOOKUP(B354,[1]characters!$A:$G,7,FALSE)</f>
        <v>0</v>
      </c>
      <c r="O354" s="45">
        <f ca="1">IFERROR(VLOOKUP(B354,input_559100!L:R,7,FALSE),VLOOKUP(tables_559100!C354,input_559100!A:H,8,FALSE))</f>
        <v>249067</v>
      </c>
      <c r="P354" s="46">
        <f t="shared" ca="1" si="20"/>
        <v>7.6307291667601692E-3</v>
      </c>
      <c r="Q354" s="30">
        <v>1</v>
      </c>
      <c r="R354" s="30">
        <v>0</v>
      </c>
      <c r="S354" s="30">
        <v>0</v>
      </c>
      <c r="T354" s="30">
        <v>0</v>
      </c>
      <c r="U354" s="30">
        <v>0</v>
      </c>
      <c r="V354" s="30">
        <v>1</v>
      </c>
    </row>
    <row r="355" spans="1:22" ht="21" customHeight="1" x14ac:dyDescent="0.15">
      <c r="A355" s="2" t="str">
        <f ca="1">input_559100!A$2</f>
        <v>559100</v>
      </c>
      <c r="B355" s="5">
        <v>1335</v>
      </c>
      <c r="C355" s="7" t="str">
        <f t="shared" si="21"/>
        <v>Premium5R3less</v>
      </c>
      <c r="D355" s="7" t="str">
        <f t="shared" si="22"/>
        <v>Premium</v>
      </c>
      <c r="E355" s="7" t="str">
        <f>IF(COUNTIF('R6追加前'!A:A,B355)=0,IF(OR(I355="PremiumSS",I355="PremiumSSw"),"R5only","R3less"),"")</f>
        <v>R3less</v>
      </c>
      <c r="F355" s="7" t="str">
        <f>IF(COUNTIF('R6開放'!A:A,B355)&gt;0,"R6release","")</f>
        <v/>
      </c>
      <c r="G355" s="7"/>
      <c r="H355" s="7" t="str">
        <f>VLOOKUP(B355,[1]characters!$A:$C,3,FALSE)</f>
        <v>霊司の神憑 タマヨリヒメ</v>
      </c>
      <c r="I355" s="7" t="str">
        <f>VLOOKUP(B355,[1]characters!$A:$J,10,FALSE)</f>
        <v>PremiumS</v>
      </c>
      <c r="J355" s="7">
        <f>VLOOKUP(B355,[1]characters!$A:$I,9,FALSE)</f>
        <v>5</v>
      </c>
      <c r="K355" s="7" t="str">
        <f>VLOOKUP(B355,[1]characters!$A:$H,8,FALSE)</f>
        <v>green</v>
      </c>
      <c r="L355" s="7" t="str">
        <f>VLOOKUP(B355,[1]characters!$A:$K,11,FALSE)</f>
        <v>heal</v>
      </c>
      <c r="M355" s="7" t="str">
        <f>VLOOKUP(B355,[1]characters!$A:$M,13,FALSE)</f>
        <v>god</v>
      </c>
      <c r="N355" s="7">
        <f>VLOOKUP(B355,[1]characters!$A:$G,7,FALSE)</f>
        <v>0</v>
      </c>
      <c r="O355" s="45">
        <f ca="1">IFERROR(VLOOKUP(B355,input_559100!L:R,7,FALSE),VLOOKUP(tables_559100!C355,input_559100!A:H,8,FALSE))</f>
        <v>46410</v>
      </c>
      <c r="P355" s="46">
        <f t="shared" ca="1" si="20"/>
        <v>1.4218750000174229E-3</v>
      </c>
      <c r="Q355" s="30">
        <v>1</v>
      </c>
      <c r="R355" s="30">
        <v>0</v>
      </c>
      <c r="S355" s="30">
        <v>0</v>
      </c>
      <c r="T355" s="30">
        <v>0</v>
      </c>
      <c r="U355" s="30">
        <v>0</v>
      </c>
      <c r="V355" s="30">
        <v>1</v>
      </c>
    </row>
    <row r="356" spans="1:22" ht="21" customHeight="1" x14ac:dyDescent="0.15">
      <c r="A356" s="2" t="str">
        <f ca="1">input_559100!A$2</f>
        <v>559100</v>
      </c>
      <c r="B356" s="96">
        <v>1159</v>
      </c>
      <c r="C356" s="7" t="str">
        <f t="shared" ref="C356:C359" si="23">D356&amp;J356&amp;E356&amp;F356&amp;G356</f>
        <v>PremiumSSS5R3less</v>
      </c>
      <c r="D356" s="7" t="str">
        <f t="shared" ref="D356:D359" si="24">IF(OR(I356="PremiumSS",I356="PremiumSSw"),"PremiumSS",IF(I356="PremiumSSS",I356,IF(I356="PremiumW",IF(J356=5,"premium",I356),"Premium")))</f>
        <v>PremiumSSS</v>
      </c>
      <c r="E356" s="7" t="str">
        <f>IF(COUNTIF('R6追加前'!A:A,B356)=0,IF(OR(I356="PremiumSS",I356="PremiumSSw"),"R5only","R3less"),"")</f>
        <v>R3less</v>
      </c>
      <c r="F356" s="7" t="str">
        <f>IF(COUNTIF('R6開放'!A:A,B356)&gt;0,"R6release","")</f>
        <v/>
      </c>
      <c r="G356" s="7"/>
      <c r="H356" s="7" t="str">
        <f>VLOOKUP(B356,[1]characters!$A:$C,3,FALSE)</f>
        <v>ガロア</v>
      </c>
      <c r="I356" s="7" t="str">
        <f>VLOOKUP(B356,[1]characters!$A:$J,10,FALSE)</f>
        <v>PremiumSSS</v>
      </c>
      <c r="J356" s="7">
        <f>VLOOKUP(B356,[1]characters!$A:$I,9,FALSE)</f>
        <v>5</v>
      </c>
      <c r="K356" s="7" t="str">
        <f>VLOOKUP(B356,[1]characters!$A:$H,8,FALSE)</f>
        <v>green</v>
      </c>
      <c r="L356" s="7" t="str">
        <f>VLOOKUP(B356,[1]characters!$A:$K,11,FALSE)</f>
        <v>attack</v>
      </c>
      <c r="M356" s="7" t="str">
        <f>VLOOKUP(B356,[1]characters!$A:$M,13,FALSE)</f>
        <v>academia</v>
      </c>
      <c r="N356" s="7" t="str">
        <f>VLOOKUP(B356,[1]characters!$A:$G,7,FALSE)</f>
        <v>不明</v>
      </c>
      <c r="O356" s="45">
        <f>IFERROR(VLOOKUP(B356,input_559100!L:R,7,FALSE),VLOOKUP(tables_559100!C356,input_559100!A:H,8,FALSE))</f>
        <v>163200</v>
      </c>
      <c r="P356" s="46">
        <f t="shared" ca="1" si="20"/>
        <v>5.0000000000612671E-3</v>
      </c>
      <c r="Q356" s="30">
        <v>1</v>
      </c>
      <c r="R356" s="30">
        <v>0</v>
      </c>
      <c r="S356" s="30">
        <v>0</v>
      </c>
      <c r="T356" s="30">
        <v>0</v>
      </c>
      <c r="U356" s="30">
        <v>0</v>
      </c>
      <c r="V356" s="30">
        <v>1</v>
      </c>
    </row>
    <row r="357" spans="1:22" ht="21" customHeight="1" x14ac:dyDescent="0.15">
      <c r="A357" s="2" t="str">
        <f ca="1">input_559100!A$2</f>
        <v>559100</v>
      </c>
      <c r="B357" s="96">
        <v>750</v>
      </c>
      <c r="C357" s="7" t="str">
        <f t="shared" si="23"/>
        <v>PremiumSSS5R3less</v>
      </c>
      <c r="D357" s="7" t="str">
        <f t="shared" si="24"/>
        <v>PremiumSSS</v>
      </c>
      <c r="E357" s="7" t="str">
        <f>IF(COUNTIF('R6追加前'!A:A,B357)=0,IF(OR(I357="PremiumSS",I357="PremiumSSw"),"R5only","R3less"),"")</f>
        <v>R3less</v>
      </c>
      <c r="F357" s="7" t="str">
        <f>IF(COUNTIF('R6開放'!A:A,B357)&gt;0,"R6release","")</f>
        <v/>
      </c>
      <c r="G357" s="7"/>
      <c r="H357" s="7" t="str">
        <f>VLOOKUP(B357,[1]characters!$A:$C,3,FALSE)</f>
        <v>ポアソン</v>
      </c>
      <c r="I357" s="7" t="str">
        <f>VLOOKUP(B357,[1]characters!$A:$J,10,FALSE)</f>
        <v>PremiumSSS</v>
      </c>
      <c r="J357" s="7">
        <f>VLOOKUP(B357,[1]characters!$A:$I,9,FALSE)</f>
        <v>5</v>
      </c>
      <c r="K357" s="7" t="str">
        <f>VLOOKUP(B357,[1]characters!$A:$H,8,FALSE)</f>
        <v>green</v>
      </c>
      <c r="L357" s="7" t="str">
        <f>VLOOKUP(B357,[1]characters!$A:$K,11,FALSE)</f>
        <v>balance</v>
      </c>
      <c r="M357" s="7" t="str">
        <f>VLOOKUP(B357,[1]characters!$A:$M,13,FALSE)</f>
        <v>academia</v>
      </c>
      <c r="N357" s="7" t="str">
        <f>VLOOKUP(B357,[1]characters!$A:$G,7,FALSE)</f>
        <v>男性</v>
      </c>
      <c r="O357" s="45">
        <f>IFERROR(VLOOKUP(B357,input_559100!L:R,7,FALSE),VLOOKUP(tables_559100!C357,input_559100!A:H,8,FALSE))</f>
        <v>163200</v>
      </c>
      <c r="P357" s="46">
        <f t="shared" ca="1" si="20"/>
        <v>5.0000000000612671E-3</v>
      </c>
      <c r="Q357" s="30">
        <v>1</v>
      </c>
      <c r="R357" s="30">
        <v>0</v>
      </c>
      <c r="S357" s="30">
        <v>0</v>
      </c>
      <c r="T357" s="30">
        <v>0</v>
      </c>
      <c r="U357" s="30">
        <v>0</v>
      </c>
      <c r="V357" s="30">
        <v>1</v>
      </c>
    </row>
    <row r="358" spans="1:22" ht="21" customHeight="1" x14ac:dyDescent="0.15">
      <c r="A358" s="2" t="str">
        <f ca="1">input_559100!A$2</f>
        <v>559100</v>
      </c>
      <c r="B358" s="96">
        <v>378</v>
      </c>
      <c r="C358" s="7" t="str">
        <f t="shared" si="23"/>
        <v>PremiumSSS4R3less</v>
      </c>
      <c r="D358" s="7" t="str">
        <f t="shared" si="24"/>
        <v>PremiumSSS</v>
      </c>
      <c r="E358" s="7" t="str">
        <f>IF(COUNTIF('R6追加前'!A:A,B358)=0,IF(OR(I358="PremiumSS",I358="PremiumSSw"),"R5only","R3less"),"")</f>
        <v>R3less</v>
      </c>
      <c r="F358" s="7" t="str">
        <f>IF(COUNTIF('R6開放'!A:A,B358)&gt;0,"R6release","")</f>
        <v/>
      </c>
      <c r="G358" s="7"/>
      <c r="H358" s="7" t="str">
        <f>VLOOKUP(B358,[1]characters!$A:$C,3,FALSE)</f>
        <v>オイラー</v>
      </c>
      <c r="I358" s="7" t="str">
        <f>VLOOKUP(B358,[1]characters!$A:$J,10,FALSE)</f>
        <v>PremiumSSS</v>
      </c>
      <c r="J358" s="7">
        <f>VLOOKUP(B358,[1]characters!$A:$I,9,FALSE)</f>
        <v>4</v>
      </c>
      <c r="K358" s="7" t="str">
        <f>VLOOKUP(B358,[1]characters!$A:$H,8,FALSE)</f>
        <v>green</v>
      </c>
      <c r="L358" s="7" t="str">
        <f>VLOOKUP(B358,[1]characters!$A:$K,11,FALSE)</f>
        <v>balance</v>
      </c>
      <c r="M358" s="7" t="str">
        <f>VLOOKUP(B358,[1]characters!$A:$M,13,FALSE)</f>
        <v>human</v>
      </c>
      <c r="N358" s="7" t="str">
        <f>VLOOKUP(B358,[1]characters!$A:$G,7,FALSE)</f>
        <v>女性</v>
      </c>
      <c r="O358" s="45">
        <f>IFERROR(VLOOKUP(B358,input_559100!L:R,7,FALSE),VLOOKUP(tables_559100!C358,input_559100!A:H,8,FALSE))</f>
        <v>81600</v>
      </c>
      <c r="P358" s="46">
        <f t="shared" ca="1" si="20"/>
        <v>2.5000000000306335E-3</v>
      </c>
      <c r="Q358" s="30">
        <v>1</v>
      </c>
      <c r="R358" s="30">
        <v>0</v>
      </c>
      <c r="S358" s="30">
        <v>0</v>
      </c>
      <c r="T358" s="30">
        <v>0</v>
      </c>
      <c r="U358" s="30">
        <v>0</v>
      </c>
      <c r="V358" s="30">
        <v>1</v>
      </c>
    </row>
    <row r="359" spans="1:22" ht="21" customHeight="1" x14ac:dyDescent="0.15">
      <c r="A359" s="2" t="str">
        <f ca="1">input_559100!A$2</f>
        <v>559100</v>
      </c>
      <c r="B359" s="96">
        <v>379</v>
      </c>
      <c r="C359" s="7" t="str">
        <f t="shared" si="23"/>
        <v>PremiumSSS5R3less</v>
      </c>
      <c r="D359" s="7" t="str">
        <f t="shared" si="24"/>
        <v>PremiumSSS</v>
      </c>
      <c r="E359" s="7" t="str">
        <f>IF(COUNTIF('R6追加前'!A:A,B359)=0,IF(OR(I359="PremiumSS",I359="PremiumSSw"),"R5only","R3less"),"")</f>
        <v>R3less</v>
      </c>
      <c r="F359" s="7" t="str">
        <f>IF(COUNTIF('R6開放'!A:A,B359)&gt;0,"R6release","")</f>
        <v/>
      </c>
      <c r="G359" s="7"/>
      <c r="H359" s="7" t="str">
        <f>VLOOKUP(B359,[1]characters!$A:$C,3,FALSE)</f>
        <v>幾何の機刃 オイラー</v>
      </c>
      <c r="I359" s="7" t="str">
        <f>VLOOKUP(B359,[1]characters!$A:$J,10,FALSE)</f>
        <v>PremiumSSS</v>
      </c>
      <c r="J359" s="7">
        <f>VLOOKUP(B359,[1]characters!$A:$I,9,FALSE)</f>
        <v>5</v>
      </c>
      <c r="K359" s="7" t="str">
        <f>VLOOKUP(B359,[1]characters!$A:$H,8,FALSE)</f>
        <v>green</v>
      </c>
      <c r="L359" s="7" t="str">
        <f>VLOOKUP(B359,[1]characters!$A:$K,11,FALSE)</f>
        <v>balance</v>
      </c>
      <c r="M359" s="7" t="str">
        <f>VLOOKUP(B359,[1]characters!$A:$M,13,FALSE)</f>
        <v>human</v>
      </c>
      <c r="N359" s="7" t="str">
        <f>VLOOKUP(B359,[1]characters!$A:$G,7,FALSE)</f>
        <v>女性</v>
      </c>
      <c r="O359" s="45">
        <f>IFERROR(VLOOKUP(B359,input_559100!L:R,7,FALSE),VLOOKUP(tables_559100!C359,input_559100!A:H,8,FALSE))</f>
        <v>81600</v>
      </c>
      <c r="P359" s="46">
        <f t="shared" ca="1" si="20"/>
        <v>2.5000000000306335E-3</v>
      </c>
      <c r="Q359" s="30">
        <v>1</v>
      </c>
      <c r="R359" s="30">
        <v>0</v>
      </c>
      <c r="S359" s="30">
        <v>0</v>
      </c>
      <c r="T359" s="30">
        <v>0</v>
      </c>
      <c r="U359" s="30">
        <v>0</v>
      </c>
      <c r="V359" s="30">
        <v>1</v>
      </c>
    </row>
  </sheetData>
  <autoFilter ref="A1:V359"/>
  <phoneticPr fontId="20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9" enableFormatConditionsCalculation="0">
    <tabColor rgb="FF0000FF"/>
    <outlinePr summaryBelow="0" summaryRight="0"/>
  </sheetPr>
  <dimension ref="A1:Y158"/>
  <sheetViews>
    <sheetView showGridLines="0" zoomScale="75" zoomScaleNormal="75" zoomScalePageLayoutView="75" workbookViewId="0">
      <pane ySplit="1" topLeftCell="A120" activePane="bottomLeft" state="frozen"/>
      <selection activeCell="D34" sqref="D34"/>
      <selection pane="bottomLeft" activeCell="B159" sqref="B159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5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5" ht="21" customHeight="1" x14ac:dyDescent="0.15">
      <c r="A2" s="2" t="str">
        <f ca="1">input_559100!A$2</f>
        <v>559100</v>
      </c>
      <c r="B2" s="6">
        <v>168</v>
      </c>
      <c r="C2" s="7" t="str">
        <f t="shared" ref="C2:C37" si="0">D2&amp;J2&amp;E2&amp;F2&amp;G2</f>
        <v>Premium5R6release</v>
      </c>
      <c r="D2" s="7" t="str">
        <f>IF(OR(I2="PremiumSS",I2="PremiumSSw"),"PremiumSS",IF(I2="PremiumSSS",I2,IF(I2="PremiumW",IF(J2=5,"premium",I2),"Premium")))</f>
        <v>Premium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>R6release</v>
      </c>
      <c r="G2" s="7"/>
      <c r="H2" s="7" t="str">
        <f>VLOOKUP(B2,[1]characters!$A:$C,3,FALSE)</f>
        <v>猛進の大逆者 ベリアル</v>
      </c>
      <c r="I2" s="7" t="str">
        <f>VLOOKUP(B2,[1]characters!$A:$J,10,FALSE)</f>
        <v>PremiumN</v>
      </c>
      <c r="J2" s="7">
        <f>VLOOKUP(B2,[1]characters!$A:$I,9,FALSE)</f>
        <v>5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god</v>
      </c>
      <c r="N2" s="7" t="str">
        <f>VLOOKUP(B2,[1]characters!$A:$G,7,FALSE)</f>
        <v>男性</v>
      </c>
      <c r="O2" s="45">
        <f>VLOOKUP(D2,$W$2:$Y$4,3,FALSE)</f>
        <v>19656</v>
      </c>
      <c r="P2" s="46">
        <f t="shared" ref="P2:P43" si="1">O2/SUM(O:O)</f>
        <v>1.1097560975609756E-2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  <c r="W2" s="1" t="s">
        <v>251</v>
      </c>
      <c r="X2" s="1">
        <f>COUNTIF(D:D,"Premium")</f>
        <v>82</v>
      </c>
      <c r="Y2" s="1">
        <f>X5/X2*0.91</f>
        <v>19656</v>
      </c>
    </row>
    <row r="3" spans="1:25" ht="21" customHeight="1" x14ac:dyDescent="0.15">
      <c r="A3" s="2" t="str">
        <f ca="1">input_559100!A$2</f>
        <v>559100</v>
      </c>
      <c r="B3" s="6">
        <v>171</v>
      </c>
      <c r="C3" s="7" t="str">
        <f t="shared" si="0"/>
        <v>Premium5R6release</v>
      </c>
      <c r="D3" s="7" t="str">
        <f t="shared" ref="D3:D37" si="2">IF(OR(I3="PremiumSS",I3="PremiumSSw"),"PremiumSS",IF(I3="PremiumSSS",I3,IF(I3="PremiumW",IF(J3=5,"premium",I3),"Premium")))</f>
        <v>Premium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>R6release</v>
      </c>
      <c r="G3" s="7"/>
      <c r="H3" s="7" t="str">
        <f>VLOOKUP(B3,[1]characters!$A:$C,3,FALSE)</f>
        <v>精解の預知者 オセ</v>
      </c>
      <c r="I3" s="7" t="str">
        <f>VLOOKUP(B3,[1]characters!$A:$J,10,FALSE)</f>
        <v>PremiumN</v>
      </c>
      <c r="J3" s="7">
        <f>VLOOKUP(B3,[1]characters!$A:$I,9,FALSE)</f>
        <v>5</v>
      </c>
      <c r="K3" s="7" t="str">
        <f>VLOOKUP(B3,[1]characters!$A:$H,8,FALSE)</f>
        <v>green</v>
      </c>
      <c r="L3" s="7" t="str">
        <f>VLOOKUP(B3,[1]characters!$A:$K,11,FALSE)</f>
        <v>attack</v>
      </c>
      <c r="M3" s="7" t="str">
        <f>VLOOKUP(B3,[1]characters!$A:$M,13,FALSE)</f>
        <v>god</v>
      </c>
      <c r="N3" s="7" t="str">
        <f>VLOOKUP(B3,[1]characters!$A:$G,7,FALSE)</f>
        <v>女性</v>
      </c>
      <c r="O3" s="45">
        <f>VLOOKUP(D3,$W$2:$Y$4,3,FALSE)</f>
        <v>19656</v>
      </c>
      <c r="P3" s="46">
        <f t="shared" si="1"/>
        <v>1.1097560975609756E-2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  <c r="W3" s="1" t="s">
        <v>252</v>
      </c>
      <c r="X3" s="1">
        <f>COUNTIF(D:D,"PremiumSS")</f>
        <v>72</v>
      </c>
      <c r="Y3" s="1">
        <f>X5/X3*0.075</f>
        <v>1845</v>
      </c>
    </row>
    <row r="4" spans="1:25" ht="21" customHeight="1" x14ac:dyDescent="0.15">
      <c r="A4" s="2" t="str">
        <f ca="1">input_559100!A$2</f>
        <v>559100</v>
      </c>
      <c r="B4" s="6">
        <v>174</v>
      </c>
      <c r="C4" s="7" t="str">
        <f t="shared" si="0"/>
        <v>Premium5R6release</v>
      </c>
      <c r="D4" s="7" t="str">
        <f t="shared" si="2"/>
        <v>Premium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>R6release</v>
      </c>
      <c r="G4" s="7"/>
      <c r="H4" s="7" t="str">
        <f>VLOOKUP(B4,[1]characters!$A:$C,3,FALSE)</f>
        <v>偽愛の大公爵 フォルネウス</v>
      </c>
      <c r="I4" s="7" t="str">
        <f>VLOOKUP(B4,[1]characters!$A:$J,10,FALSE)</f>
        <v>PremiumN</v>
      </c>
      <c r="J4" s="7">
        <f>VLOOKUP(B4,[1]characters!$A:$I,9,FALSE)</f>
        <v>5</v>
      </c>
      <c r="K4" s="7" t="str">
        <f>VLOOKUP(B4,[1]characters!$A:$H,8,FALSE)</f>
        <v>blue</v>
      </c>
      <c r="L4" s="7" t="str">
        <f>VLOOKUP(B4,[1]characters!$A:$K,11,FALSE)</f>
        <v>attack</v>
      </c>
      <c r="M4" s="7" t="str">
        <f>VLOOKUP(B4,[1]characters!$A:$M,13,FALSE)</f>
        <v>god</v>
      </c>
      <c r="N4" s="7" t="str">
        <f>VLOOKUP(B4,[1]characters!$A:$G,7,FALSE)</f>
        <v>女性</v>
      </c>
      <c r="O4" s="45">
        <f>VLOOKUP(D4,$W$2:$Y$4,3,FALSE)</f>
        <v>19656</v>
      </c>
      <c r="P4" s="46">
        <f t="shared" si="1"/>
        <v>1.1097560975609756E-2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  <c r="W4" s="1" t="s">
        <v>250</v>
      </c>
      <c r="X4" s="1">
        <f>COUNTIF(D:D,"PremiumSSS")</f>
        <v>3</v>
      </c>
      <c r="Y4" s="1">
        <f>X5/X4*0.015</f>
        <v>8856</v>
      </c>
    </row>
    <row r="5" spans="1:25" ht="21" customHeight="1" x14ac:dyDescent="0.15">
      <c r="A5" s="2" t="str">
        <f ca="1">input_559100!A$2</f>
        <v>559100</v>
      </c>
      <c r="B5" s="6">
        <v>177</v>
      </c>
      <c r="C5" s="7" t="str">
        <f t="shared" si="0"/>
        <v>Premium5</v>
      </c>
      <c r="D5" s="7" t="str">
        <f t="shared" si="2"/>
        <v>Premium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黒魔の異端師 バフォメット</v>
      </c>
      <c r="I5" s="7" t="str">
        <f>VLOOKUP(B5,[1]characters!$A:$J,10,FALSE)</f>
        <v>PremiumN</v>
      </c>
      <c r="J5" s="7">
        <f>VLOOKUP(B5,[1]characters!$A:$I,9,FALSE)</f>
        <v>5</v>
      </c>
      <c r="K5" s="7" t="str">
        <f>VLOOKUP(B5,[1]characters!$A:$H,8,FALSE)</f>
        <v>yellow</v>
      </c>
      <c r="L5" s="7" t="str">
        <f>VLOOKUP(B5,[1]characters!$A:$K,11,FALSE)</f>
        <v>attack</v>
      </c>
      <c r="M5" s="7" t="str">
        <f>VLOOKUP(B5,[1]characters!$A:$M,13,FALSE)</f>
        <v>god</v>
      </c>
      <c r="N5" s="7" t="str">
        <f>VLOOKUP(B5,[1]characters!$A:$G,7,FALSE)</f>
        <v>女性</v>
      </c>
      <c r="O5" s="45">
        <f t="shared" ref="O5:O66" si="3">VLOOKUP(D5,$W$2:$Y$4,3,FALSE)</f>
        <v>19656</v>
      </c>
      <c r="P5" s="46">
        <f t="shared" si="1"/>
        <v>1.1097560975609756E-2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  <c r="X5" s="1">
        <f>X2*X3*X4*100</f>
        <v>1771200</v>
      </c>
    </row>
    <row r="6" spans="1:25" ht="21" customHeight="1" x14ac:dyDescent="0.15">
      <c r="A6" s="2" t="str">
        <f ca="1">input_559100!A$2</f>
        <v>559100</v>
      </c>
      <c r="B6" s="6">
        <v>180</v>
      </c>
      <c r="C6" s="7" t="str">
        <f t="shared" si="0"/>
        <v>Premium5</v>
      </c>
      <c r="D6" s="7" t="str">
        <f t="shared" si="2"/>
        <v>Premium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地獄の大門番 ケルベロス</v>
      </c>
      <c r="I6" s="7" t="str">
        <f>VLOOKUP(B6,[1]characters!$A:$J,10,FALSE)</f>
        <v>PremiumN</v>
      </c>
      <c r="J6" s="7">
        <f>VLOOKUP(B6,[1]characters!$A:$I,9,FALSE)</f>
        <v>5</v>
      </c>
      <c r="K6" s="7" t="str">
        <f>VLOOKUP(B6,[1]characters!$A:$H,8,FALSE)</f>
        <v>red</v>
      </c>
      <c r="L6" s="7" t="str">
        <f>VLOOKUP(B6,[1]characters!$A:$K,11,FALSE)</f>
        <v>balance</v>
      </c>
      <c r="M6" s="7" t="str">
        <f>VLOOKUP(B6,[1]characters!$A:$M,13,FALSE)</f>
        <v>animal</v>
      </c>
      <c r="N6" s="7" t="str">
        <f>VLOOKUP(B6,[1]characters!$A:$G,7,FALSE)</f>
        <v>女性</v>
      </c>
      <c r="O6" s="45">
        <f t="shared" si="3"/>
        <v>19656</v>
      </c>
      <c r="P6" s="46">
        <f t="shared" si="1"/>
        <v>1.1097560975609756E-2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5" ht="21" customHeight="1" x14ac:dyDescent="0.15">
      <c r="A7" s="2" t="str">
        <f ca="1">input_559100!A$2</f>
        <v>559100</v>
      </c>
      <c r="B7" s="6">
        <v>183</v>
      </c>
      <c r="C7" s="7" t="str">
        <f t="shared" si="0"/>
        <v>Premium5</v>
      </c>
      <c r="D7" s="7" t="str">
        <f t="shared" si="2"/>
        <v>Premium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鈍重な彷徨者 ベヒモス</v>
      </c>
      <c r="I7" s="7" t="str">
        <f>VLOOKUP(B7,[1]characters!$A:$J,10,FALSE)</f>
        <v>PremiumN</v>
      </c>
      <c r="J7" s="7">
        <f>VLOOKUP(B7,[1]characters!$A:$I,9,FALSE)</f>
        <v>5</v>
      </c>
      <c r="K7" s="7" t="str">
        <f>VLOOKUP(B7,[1]characters!$A:$H,8,FALSE)</f>
        <v>green</v>
      </c>
      <c r="L7" s="7" t="str">
        <f>VLOOKUP(B7,[1]characters!$A:$K,11,FALSE)</f>
        <v>hp</v>
      </c>
      <c r="M7" s="7" t="str">
        <f>VLOOKUP(B7,[1]characters!$A:$M,13,FALSE)</f>
        <v>animal</v>
      </c>
      <c r="N7" s="7" t="str">
        <f>VLOOKUP(B7,[1]characters!$A:$G,7,FALSE)</f>
        <v>女性</v>
      </c>
      <c r="O7" s="45">
        <f t="shared" si="3"/>
        <v>19656</v>
      </c>
      <c r="P7" s="46">
        <f t="shared" si="1"/>
        <v>1.1097560975609756E-2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5" ht="21" customHeight="1" x14ac:dyDescent="0.15">
      <c r="A8" s="2" t="str">
        <f ca="1">input_559100!A$2</f>
        <v>559100</v>
      </c>
      <c r="B8" s="6">
        <v>186</v>
      </c>
      <c r="C8" s="7" t="str">
        <f t="shared" si="0"/>
        <v>Premium5</v>
      </c>
      <c r="D8" s="7" t="str">
        <f t="shared" si="2"/>
        <v>Premium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誇り高き多触姫・クラーケン</v>
      </c>
      <c r="I8" s="7" t="str">
        <f>VLOOKUP(B8,[1]characters!$A:$J,10,FALSE)</f>
        <v>PremiumN</v>
      </c>
      <c r="J8" s="7">
        <f>VLOOKUP(B8,[1]characters!$A:$I,9,FALSE)</f>
        <v>5</v>
      </c>
      <c r="K8" s="7" t="str">
        <f>VLOOKUP(B8,[1]characters!$A:$H,8,FALSE)</f>
        <v>blue</v>
      </c>
      <c r="L8" s="7" t="str">
        <f>VLOOKUP(B8,[1]characters!$A:$K,11,FALSE)</f>
        <v>heal</v>
      </c>
      <c r="M8" s="7" t="str">
        <f>VLOOKUP(B8,[1]characters!$A:$M,13,FALSE)</f>
        <v>animal</v>
      </c>
      <c r="N8" s="7" t="str">
        <f>VLOOKUP(B8,[1]characters!$A:$G,7,FALSE)</f>
        <v>女性</v>
      </c>
      <c r="O8" s="45">
        <f t="shared" si="3"/>
        <v>19656</v>
      </c>
      <c r="P8" s="46">
        <f t="shared" si="1"/>
        <v>1.1097560975609756E-2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5" ht="21" customHeight="1" x14ac:dyDescent="0.15">
      <c r="A9" s="2" t="str">
        <f ca="1">input_559100!A$2</f>
        <v>559100</v>
      </c>
      <c r="B9" s="6">
        <v>189</v>
      </c>
      <c r="C9" s="7" t="str">
        <f t="shared" si="0"/>
        <v>Premium5</v>
      </c>
      <c r="D9" s="7" t="str">
        <f t="shared" si="2"/>
        <v>Premium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迅雷の王禽 ホルス</v>
      </c>
      <c r="I9" s="7" t="str">
        <f>VLOOKUP(B9,[1]characters!$A:$J,10,FALSE)</f>
        <v>PremiumN</v>
      </c>
      <c r="J9" s="7">
        <f>VLOOKUP(B9,[1]characters!$A:$I,9,FALSE)</f>
        <v>5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animal</v>
      </c>
      <c r="N9" s="7" t="str">
        <f>VLOOKUP(B9,[1]characters!$A:$G,7,FALSE)</f>
        <v>女性</v>
      </c>
      <c r="O9" s="45">
        <f t="shared" si="3"/>
        <v>19656</v>
      </c>
      <c r="P9" s="46">
        <f t="shared" si="1"/>
        <v>1.1097560975609756E-2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5" ht="21" customHeight="1" x14ac:dyDescent="0.15">
      <c r="A10" s="2" t="str">
        <f ca="1">input_559100!A$2</f>
        <v>559100</v>
      </c>
      <c r="B10" s="6">
        <v>192</v>
      </c>
      <c r="C10" s="7" t="str">
        <f t="shared" si="0"/>
        <v>Premium5</v>
      </c>
      <c r="D10" s="7" t="str">
        <f t="shared" si="2"/>
        <v>Premium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荘厳なる始祖帝 卑弥呼</v>
      </c>
      <c r="I10" s="7" t="str">
        <f>VLOOKUP(B10,[1]characters!$A:$J,10,FALSE)</f>
        <v>PremiumN</v>
      </c>
      <c r="J10" s="7">
        <f>VLOOKUP(B10,[1]characters!$A:$I,9,FALSE)</f>
        <v>5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t="shared" si="3"/>
        <v>19656</v>
      </c>
      <c r="P10" s="46">
        <f t="shared" si="1"/>
        <v>1.1097560975609756E-2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5" ht="21" customHeight="1" x14ac:dyDescent="0.15">
      <c r="A11" s="2" t="str">
        <f ca="1">input_559100!A$2</f>
        <v>559100</v>
      </c>
      <c r="B11" s="6">
        <v>195</v>
      </c>
      <c r="C11" s="7" t="str">
        <f t="shared" si="0"/>
        <v>Premium5</v>
      </c>
      <c r="D11" s="7" t="str">
        <f t="shared" si="2"/>
        <v>Premium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グランドハンター ロビンフッド</v>
      </c>
      <c r="I11" s="7" t="str">
        <f>VLOOKUP(B11,[1]characters!$A:$J,10,FALSE)</f>
        <v>PremiumN</v>
      </c>
      <c r="J11" s="7">
        <f>VLOOKUP(B11,[1]characters!$A:$I,9,FALSE)</f>
        <v>5</v>
      </c>
      <c r="K11" s="7" t="str">
        <f>VLOOKUP(B11,[1]characters!$A:$H,8,FALSE)</f>
        <v>green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t="shared" si="3"/>
        <v>19656</v>
      </c>
      <c r="P11" s="46">
        <f t="shared" si="1"/>
        <v>1.1097560975609756E-2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5" ht="21" customHeight="1" x14ac:dyDescent="0.15">
      <c r="A12" s="2" t="str">
        <f ca="1">input_559100!A$2</f>
        <v>559100</v>
      </c>
      <c r="B12" s="8">
        <v>198</v>
      </c>
      <c r="C12" s="7" t="str">
        <f t="shared" si="0"/>
        <v>Premium5</v>
      </c>
      <c r="D12" s="7" t="str">
        <f t="shared" si="2"/>
        <v>Premium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砕骨の剛腕 アキレス</v>
      </c>
      <c r="I12" s="7" t="str">
        <f>VLOOKUP(B12,[1]characters!$A:$J,10,FALSE)</f>
        <v>PremiumN</v>
      </c>
      <c r="J12" s="7">
        <f>VLOOKUP(B12,[1]characters!$A:$I,9,FALSE)</f>
        <v>5</v>
      </c>
      <c r="K12" s="7" t="str">
        <f>VLOOKUP(B12,[1]characters!$A:$H,8,FALSE)</f>
        <v>yellow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t="shared" si="3"/>
        <v>19656</v>
      </c>
      <c r="P12" s="46">
        <f t="shared" si="1"/>
        <v>1.1097560975609756E-2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5" ht="21" customHeight="1" x14ac:dyDescent="0.15">
      <c r="A13" s="2" t="str">
        <f ca="1">input_559100!A$2</f>
        <v>559100</v>
      </c>
      <c r="B13" s="8">
        <v>201</v>
      </c>
      <c r="C13" s="7" t="str">
        <f t="shared" si="0"/>
        <v>Premium5</v>
      </c>
      <c r="D13" s="7" t="str">
        <f t="shared" si="2"/>
        <v>Premium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斬空の大破剣 ジークフリート</v>
      </c>
      <c r="I13" s="7" t="str">
        <f>VLOOKUP(B13,[1]characters!$A:$J,10,FALSE)</f>
        <v>PremiumN</v>
      </c>
      <c r="J13" s="7">
        <f>VLOOKUP(B13,[1]characters!$A:$I,9,FALSE)</f>
        <v>5</v>
      </c>
      <c r="K13" s="7" t="str">
        <f>VLOOKUP(B13,[1]characters!$A:$H,8,FALSE)</f>
        <v>blue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男性</v>
      </c>
      <c r="O13" s="45">
        <f t="shared" si="3"/>
        <v>19656</v>
      </c>
      <c r="P13" s="46">
        <f t="shared" si="1"/>
        <v>1.1097560975609756E-2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5" ht="21" customHeight="1" x14ac:dyDescent="0.15">
      <c r="A14" s="2" t="str">
        <f ca="1">input_559100!A$2</f>
        <v>559100</v>
      </c>
      <c r="B14" s="6">
        <v>204</v>
      </c>
      <c r="C14" s="7" t="str">
        <f t="shared" si="0"/>
        <v>Premium5</v>
      </c>
      <c r="D14" s="7" t="str">
        <f t="shared" si="2"/>
        <v>Premium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慟哭の巨焔 プロメテウス</v>
      </c>
      <c r="I14" s="7" t="str">
        <f>VLOOKUP(B14,[1]characters!$A:$J,10,FALSE)</f>
        <v>PremiumN</v>
      </c>
      <c r="J14" s="7">
        <f>VLOOKUP(B14,[1]characters!$A:$I,9,FALSE)</f>
        <v>5</v>
      </c>
      <c r="K14" s="7" t="str">
        <f>VLOOKUP(B14,[1]characters!$A:$H,8,FALSE)</f>
        <v>red</v>
      </c>
      <c r="L14" s="7" t="str">
        <f>VLOOKUP(B14,[1]characters!$A:$K,11,FALSE)</f>
        <v>hp</v>
      </c>
      <c r="M14" s="7" t="str">
        <f>VLOOKUP(B14,[1]characters!$A:$M,13,FALSE)</f>
        <v>god</v>
      </c>
      <c r="N14" s="7" t="str">
        <f>VLOOKUP(B14,[1]characters!$A:$G,7,FALSE)</f>
        <v>男性</v>
      </c>
      <c r="O14" s="45">
        <f t="shared" si="3"/>
        <v>19656</v>
      </c>
      <c r="P14" s="46">
        <f t="shared" si="1"/>
        <v>1.1097560975609756E-2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5" ht="21" customHeight="1" x14ac:dyDescent="0.15">
      <c r="A15" s="2" t="str">
        <f ca="1">input_559100!A$2</f>
        <v>559100</v>
      </c>
      <c r="B15" s="6">
        <v>207</v>
      </c>
      <c r="C15" s="7" t="str">
        <f t="shared" si="0"/>
        <v>Premium5</v>
      </c>
      <c r="D15" s="7" t="str">
        <f t="shared" si="2"/>
        <v>Premium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豊穣の麗神・アフロディーテ</v>
      </c>
      <c r="I15" s="7" t="str">
        <f>VLOOKUP(B15,[1]characters!$A:$J,10,FALSE)</f>
        <v>PremiumN</v>
      </c>
      <c r="J15" s="7">
        <f>VLOOKUP(B15,[1]characters!$A:$I,9,FALSE)</f>
        <v>5</v>
      </c>
      <c r="K15" s="7" t="str">
        <f>VLOOKUP(B15,[1]characters!$A:$H,8,FALSE)</f>
        <v>green</v>
      </c>
      <c r="L15" s="7" t="str">
        <f>VLOOKUP(B15,[1]characters!$A:$K,11,FALSE)</f>
        <v>hp</v>
      </c>
      <c r="M15" s="7" t="str">
        <f>VLOOKUP(B15,[1]characters!$A:$M,13,FALSE)</f>
        <v>god</v>
      </c>
      <c r="N15" s="7" t="str">
        <f>VLOOKUP(B15,[1]characters!$A:$G,7,FALSE)</f>
        <v>女性</v>
      </c>
      <c r="O15" s="45">
        <f t="shared" si="3"/>
        <v>19656</v>
      </c>
      <c r="P15" s="46">
        <f t="shared" si="1"/>
        <v>1.1097560975609756E-2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5" ht="21" customHeight="1" x14ac:dyDescent="0.15">
      <c r="A16" s="2" t="str">
        <f ca="1">input_559100!A$2</f>
        <v>559100</v>
      </c>
      <c r="B16" s="10">
        <v>210</v>
      </c>
      <c r="C16" s="7" t="str">
        <f t="shared" si="0"/>
        <v>Premium5</v>
      </c>
      <c r="D16" s="7" t="str">
        <f t="shared" si="2"/>
        <v>Premium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海底の孤高神 テティス</v>
      </c>
      <c r="I16" s="7" t="str">
        <f>VLOOKUP(B16,[1]characters!$A:$J,10,FALSE)</f>
        <v>PremiumN</v>
      </c>
      <c r="J16" s="7">
        <f>VLOOKUP(B16,[1]characters!$A:$I,9,FALSE)</f>
        <v>5</v>
      </c>
      <c r="K16" s="7" t="str">
        <f>VLOOKUP(B16,[1]characters!$A:$H,8,FALSE)</f>
        <v>blue</v>
      </c>
      <c r="L16" s="7" t="str">
        <f>VLOOKUP(B16,[1]characters!$A:$K,11,FALSE)</f>
        <v>hp</v>
      </c>
      <c r="M16" s="7" t="str">
        <f>VLOOKUP(B16,[1]characters!$A:$M,13,FALSE)</f>
        <v>god</v>
      </c>
      <c r="N16" s="7" t="str">
        <f>VLOOKUP(B16,[1]characters!$A:$G,7,FALSE)</f>
        <v>女性</v>
      </c>
      <c r="O16" s="45">
        <f t="shared" si="3"/>
        <v>19656</v>
      </c>
      <c r="P16" s="46">
        <f t="shared" si="1"/>
        <v>1.1097560975609756E-2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input_559100!A$2</f>
        <v>559100</v>
      </c>
      <c r="B17" s="11">
        <v>213</v>
      </c>
      <c r="C17" s="7" t="str">
        <f t="shared" si="0"/>
        <v>Premium5</v>
      </c>
      <c r="D17" s="7" t="str">
        <f t="shared" si="2"/>
        <v>Premium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満天の星降神 アストライアー</v>
      </c>
      <c r="I17" s="7" t="str">
        <f>VLOOKUP(B17,[1]characters!$A:$J,10,FALSE)</f>
        <v>PremiumN</v>
      </c>
      <c r="J17" s="7">
        <f>VLOOKUP(B17,[1]characters!$A:$I,9,FALSE)</f>
        <v>5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god</v>
      </c>
      <c r="N17" s="7" t="str">
        <f>VLOOKUP(B17,[1]characters!$A:$G,7,FALSE)</f>
        <v>女性</v>
      </c>
      <c r="O17" s="45">
        <f t="shared" si="3"/>
        <v>19656</v>
      </c>
      <c r="P17" s="46">
        <f t="shared" si="1"/>
        <v>1.1097560975609756E-2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input_559100!A$2</f>
        <v>559100</v>
      </c>
      <c r="B18" s="6">
        <v>216</v>
      </c>
      <c r="C18" s="7" t="str">
        <f t="shared" si="0"/>
        <v>Premium5</v>
      </c>
      <c r="D18" s="7" t="str">
        <f t="shared" si="2"/>
        <v>Premium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百読の死導司書 アズラエル</v>
      </c>
      <c r="I18" s="7" t="str">
        <f>VLOOKUP(B18,[1]characters!$A:$J,10,FALSE)</f>
        <v>PremiumN</v>
      </c>
      <c r="J18" s="7">
        <f>VLOOKUP(B18,[1]characters!$A:$I,9,FALSE)</f>
        <v>5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god</v>
      </c>
      <c r="N18" s="7" t="str">
        <f>VLOOKUP(B18,[1]characters!$A:$G,7,FALSE)</f>
        <v>女性</v>
      </c>
      <c r="O18" s="45">
        <f t="shared" si="3"/>
        <v>19656</v>
      </c>
      <c r="P18" s="46">
        <f t="shared" si="1"/>
        <v>1.1097560975609756E-2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input_559100!A$2</f>
        <v>559100</v>
      </c>
      <c r="B19" s="6">
        <v>219</v>
      </c>
      <c r="C19" s="7" t="str">
        <f t="shared" si="0"/>
        <v>Premium5</v>
      </c>
      <c r="D19" s="7" t="str">
        <f t="shared" si="2"/>
        <v>Premium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覇翼の聖蛇竜 ケツァクアトル</v>
      </c>
      <c r="I19" s="7" t="str">
        <f>VLOOKUP(B19,[1]characters!$A:$J,10,FALSE)</f>
        <v>PremiumN</v>
      </c>
      <c r="J19" s="7">
        <f>VLOOKUP(B19,[1]characters!$A:$I,9,FALSE)</f>
        <v>5</v>
      </c>
      <c r="K19" s="7" t="str">
        <f>VLOOKUP(B19,[1]characters!$A:$H,8,FALSE)</f>
        <v>green</v>
      </c>
      <c r="L19" s="7" t="str">
        <f>VLOOKUP(B19,[1]characters!$A:$K,11,FALSE)</f>
        <v>hp</v>
      </c>
      <c r="M19" s="7" t="str">
        <f>VLOOKUP(B19,[1]characters!$A:$M,13,FALSE)</f>
        <v>dragon</v>
      </c>
      <c r="N19" s="7" t="str">
        <f>VLOOKUP(B19,[1]characters!$A:$G,7,FALSE)</f>
        <v>女性</v>
      </c>
      <c r="O19" s="45">
        <f t="shared" si="3"/>
        <v>19656</v>
      </c>
      <c r="P19" s="46">
        <f t="shared" si="1"/>
        <v>1.1097560975609756E-2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input_559100!A$2</f>
        <v>559100</v>
      </c>
      <c r="B20" s="10">
        <v>222</v>
      </c>
      <c r="C20" s="7" t="str">
        <f t="shared" si="0"/>
        <v>Premium5</v>
      </c>
      <c r="D20" s="7" t="str">
        <f t="shared" si="2"/>
        <v>Premium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避光の鉄鎖宰相 ルキフグス</v>
      </c>
      <c r="I20" s="7" t="str">
        <f>VLOOKUP(B20,[1]characters!$A:$J,10,FALSE)</f>
        <v>PremiumN</v>
      </c>
      <c r="J20" s="7">
        <f>VLOOKUP(B20,[1]characters!$A:$I,9,FALSE)</f>
        <v>5</v>
      </c>
      <c r="K20" s="7" t="str">
        <f>VLOOKUP(B20,[1]characters!$A:$H,8,FALSE)</f>
        <v>blue</v>
      </c>
      <c r="L20" s="7" t="str">
        <f>VLOOKUP(B20,[1]characters!$A:$K,11,FALSE)</f>
        <v>balance</v>
      </c>
      <c r="M20" s="7" t="str">
        <f>VLOOKUP(B20,[1]characters!$A:$M,13,FALSE)</f>
        <v>god</v>
      </c>
      <c r="N20" s="7" t="str">
        <f>VLOOKUP(B20,[1]characters!$A:$G,7,FALSE)</f>
        <v>女性</v>
      </c>
      <c r="O20" s="45">
        <f t="shared" si="3"/>
        <v>19656</v>
      </c>
      <c r="P20" s="46">
        <f t="shared" si="1"/>
        <v>1.1097560975609756E-2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input_559100!A$2</f>
        <v>559100</v>
      </c>
      <c r="B21" s="6">
        <v>225</v>
      </c>
      <c r="C21" s="7" t="str">
        <f t="shared" si="0"/>
        <v>Premium5</v>
      </c>
      <c r="D21" s="7" t="str">
        <f t="shared" si="2"/>
        <v>Premium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咆哮の巨獅腕 ヘラクレス</v>
      </c>
      <c r="I21" s="7" t="str">
        <f>VLOOKUP(B21,[1]characters!$A:$J,10,FALSE)</f>
        <v>PremiumN</v>
      </c>
      <c r="J21" s="7">
        <f>VLOOKUP(B21,[1]characters!$A:$I,9,FALSE)</f>
        <v>5</v>
      </c>
      <c r="K21" s="7" t="str">
        <f>VLOOKUP(B21,[1]characters!$A:$H,8,FALSE)</f>
        <v>yellow</v>
      </c>
      <c r="L21" s="7" t="str">
        <f>VLOOKUP(B21,[1]characters!$A:$K,11,FALSE)</f>
        <v>balance</v>
      </c>
      <c r="M21" s="7" t="str">
        <f>VLOOKUP(B21,[1]characters!$A:$M,13,FALSE)</f>
        <v>human</v>
      </c>
      <c r="N21" s="7" t="str">
        <f>VLOOKUP(B21,[1]characters!$A:$G,7,FALSE)</f>
        <v>男性</v>
      </c>
      <c r="O21" s="45">
        <f t="shared" si="3"/>
        <v>19656</v>
      </c>
      <c r="P21" s="46">
        <f t="shared" si="1"/>
        <v>1.1097560975609756E-2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input_559100!A$2</f>
        <v>559100</v>
      </c>
      <c r="B22" s="6">
        <v>228</v>
      </c>
      <c r="C22" s="7" t="str">
        <f t="shared" si="0"/>
        <v>Premium5</v>
      </c>
      <c r="D22" s="7" t="str">
        <f t="shared" si="2"/>
        <v>Premium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殲滅の掃射砲 アレス</v>
      </c>
      <c r="I22" s="7" t="str">
        <f>VLOOKUP(B22,[1]characters!$A:$J,10,FALSE)</f>
        <v>PremiumS</v>
      </c>
      <c r="J22" s="7">
        <f>VLOOKUP(B22,[1]characters!$A:$I,9,FALSE)</f>
        <v>5</v>
      </c>
      <c r="K22" s="7" t="str">
        <f>VLOOKUP(B22,[1]characters!$A:$H,8,FALSE)</f>
        <v>red</v>
      </c>
      <c r="L22" s="7" t="str">
        <f>VLOOKUP(B22,[1]characters!$A:$K,11,FALSE)</f>
        <v>attack</v>
      </c>
      <c r="M22" s="7" t="str">
        <f>VLOOKUP(B22,[1]characters!$A:$M,13,FALSE)</f>
        <v>god</v>
      </c>
      <c r="N22" s="7" t="str">
        <f>VLOOKUP(B22,[1]characters!$A:$G,7,FALSE)</f>
        <v>男性</v>
      </c>
      <c r="O22" s="45">
        <f t="shared" si="3"/>
        <v>19656</v>
      </c>
      <c r="P22" s="46">
        <f t="shared" si="1"/>
        <v>1.1097560975609756E-2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input_559100!A$2</f>
        <v>559100</v>
      </c>
      <c r="B23" s="6">
        <v>231</v>
      </c>
      <c r="C23" s="7" t="str">
        <f t="shared" si="0"/>
        <v>Premium5</v>
      </c>
      <c r="D23" s="7" t="str">
        <f t="shared" si="2"/>
        <v>Premium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必中の咬銃 ヨルムンガンド</v>
      </c>
      <c r="I23" s="7" t="str">
        <f>VLOOKUP(B23,[1]characters!$A:$J,10,FALSE)</f>
        <v>PremiumS</v>
      </c>
      <c r="J23" s="7">
        <f>VLOOKUP(B23,[1]characters!$A:$I,9,FALSE)</f>
        <v>5</v>
      </c>
      <c r="K23" s="7" t="str">
        <f>VLOOKUP(B23,[1]characters!$A:$H,8,FALSE)</f>
        <v>green</v>
      </c>
      <c r="L23" s="7" t="str">
        <f>VLOOKUP(B23,[1]characters!$A:$K,11,FALSE)</f>
        <v>technical</v>
      </c>
      <c r="M23" s="7" t="str">
        <f>VLOOKUP(B23,[1]characters!$A:$M,13,FALSE)</f>
        <v>dragon</v>
      </c>
      <c r="N23" s="7" t="str">
        <f>VLOOKUP(B23,[1]characters!$A:$G,7,FALSE)</f>
        <v>女性</v>
      </c>
      <c r="O23" s="45">
        <f t="shared" si="3"/>
        <v>19656</v>
      </c>
      <c r="P23" s="46">
        <f t="shared" si="1"/>
        <v>1.1097560975609756E-2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input_559100!A$2</f>
        <v>559100</v>
      </c>
      <c r="B24" s="6">
        <v>234</v>
      </c>
      <c r="C24" s="7" t="str">
        <f t="shared" si="0"/>
        <v>Premium5</v>
      </c>
      <c r="D24" s="7" t="str">
        <f t="shared" si="2"/>
        <v>Premium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精密なる照準 パーシヴァル</v>
      </c>
      <c r="I24" s="7" t="str">
        <f>VLOOKUP(B24,[1]characters!$A:$J,10,FALSE)</f>
        <v>PremiumS</v>
      </c>
      <c r="J24" s="7">
        <f>VLOOKUP(B24,[1]characters!$A:$I,9,FALSE)</f>
        <v>5</v>
      </c>
      <c r="K24" s="7" t="str">
        <f>VLOOKUP(B24,[1]characters!$A:$H,8,FALSE)</f>
        <v>blue</v>
      </c>
      <c r="L24" s="7" t="str">
        <f>VLOOKUP(B24,[1]characters!$A:$K,11,FALSE)</f>
        <v>technical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t="shared" si="3"/>
        <v>19656</v>
      </c>
      <c r="P24" s="46">
        <f t="shared" si="1"/>
        <v>1.1097560975609756E-2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input_559100!A$2</f>
        <v>559100</v>
      </c>
      <c r="B25" s="6">
        <v>237</v>
      </c>
      <c r="C25" s="7" t="str">
        <f t="shared" si="0"/>
        <v>Premium5R6release</v>
      </c>
      <c r="D25" s="7" t="str">
        <f t="shared" si="2"/>
        <v>Premium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>R6release</v>
      </c>
      <c r="G25" s="7"/>
      <c r="H25" s="7" t="str">
        <f>VLOOKUP(B25,[1]characters!$A:$C,3,FALSE)</f>
        <v>森羅万象の神母 イザナミ</v>
      </c>
      <c r="I25" s="7" t="str">
        <f>VLOOKUP(B25,[1]characters!$A:$J,10,FALSE)</f>
        <v>PremiumS</v>
      </c>
      <c r="J25" s="7">
        <f>VLOOKUP(B25,[1]characters!$A:$I,9,FALSE)</f>
        <v>5</v>
      </c>
      <c r="K25" s="7" t="str">
        <f>VLOOKUP(B25,[1]characters!$A:$H,8,FALSE)</f>
        <v>yellow</v>
      </c>
      <c r="L25" s="7" t="str">
        <f>VLOOKUP(B25,[1]characters!$A:$K,11,FALSE)</f>
        <v>attack</v>
      </c>
      <c r="M25" s="7" t="str">
        <f>VLOOKUP(B25,[1]characters!$A:$M,13,FALSE)</f>
        <v>god</v>
      </c>
      <c r="N25" s="7" t="str">
        <f>VLOOKUP(B25,[1]characters!$A:$G,7,FALSE)</f>
        <v>女性</v>
      </c>
      <c r="O25" s="45">
        <f t="shared" si="3"/>
        <v>19656</v>
      </c>
      <c r="P25" s="46">
        <f t="shared" si="1"/>
        <v>1.1097560975609756E-2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input_559100!A$2</f>
        <v>559100</v>
      </c>
      <c r="B26" s="6">
        <v>240</v>
      </c>
      <c r="C26" s="7" t="str">
        <f t="shared" si="0"/>
        <v>Premium5</v>
      </c>
      <c r="D26" s="7" t="str">
        <f t="shared" si="2"/>
        <v>Premium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轟炎の天使 ウリエル・スレイヤー</v>
      </c>
      <c r="I26" s="7" t="str">
        <f>VLOOKUP(B26,[1]characters!$A:$J,10,FALSE)</f>
        <v>PremiumS</v>
      </c>
      <c r="J26" s="7">
        <f>VLOOKUP(B26,[1]characters!$A:$I,9,FALSE)</f>
        <v>5</v>
      </c>
      <c r="K26" s="7" t="str">
        <f>VLOOKUP(B26,[1]characters!$A:$H,8,FALSE)</f>
        <v>red</v>
      </c>
      <c r="L26" s="7" t="str">
        <f>VLOOKUP(B26,[1]characters!$A:$K,11,FALSE)</f>
        <v>hp</v>
      </c>
      <c r="M26" s="7" t="str">
        <f>VLOOKUP(B26,[1]characters!$A:$M,13,FALSE)</f>
        <v>machine</v>
      </c>
      <c r="N26" s="7" t="str">
        <f>VLOOKUP(B26,[1]characters!$A:$G,7,FALSE)</f>
        <v>女性</v>
      </c>
      <c r="O26" s="45">
        <f t="shared" si="3"/>
        <v>19656</v>
      </c>
      <c r="P26" s="46">
        <f t="shared" si="1"/>
        <v>1.1097560975609756E-2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input_559100!A$2</f>
        <v>559100</v>
      </c>
      <c r="B27" s="6">
        <v>243</v>
      </c>
      <c r="C27" s="7" t="str">
        <f t="shared" si="0"/>
        <v>Premium5</v>
      </c>
      <c r="D27" s="7" t="str">
        <f t="shared" si="2"/>
        <v>Premium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万花の天使 ガブリエル・ブルーム</v>
      </c>
      <c r="I27" s="7" t="str">
        <f>VLOOKUP(B27,[1]characters!$A:$J,10,FALSE)</f>
        <v>PremiumS</v>
      </c>
      <c r="J27" s="7">
        <f>VLOOKUP(B27,[1]characters!$A:$I,9,FALSE)</f>
        <v>5</v>
      </c>
      <c r="K27" s="7" t="str">
        <f>VLOOKUP(B27,[1]characters!$A:$H,8,FALSE)</f>
        <v>green</v>
      </c>
      <c r="L27" s="7" t="str">
        <f>VLOOKUP(B27,[1]characters!$A:$K,11,FALSE)</f>
        <v>balance</v>
      </c>
      <c r="M27" s="7" t="str">
        <f>VLOOKUP(B27,[1]characters!$A:$M,13,FALSE)</f>
        <v>machine</v>
      </c>
      <c r="N27" s="7" t="str">
        <f>VLOOKUP(B27,[1]characters!$A:$G,7,FALSE)</f>
        <v>女性</v>
      </c>
      <c r="O27" s="45">
        <f t="shared" si="3"/>
        <v>19656</v>
      </c>
      <c r="P27" s="46">
        <f t="shared" si="1"/>
        <v>1.1097560975609756E-2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input_559100!A$2</f>
        <v>559100</v>
      </c>
      <c r="B28" s="6">
        <v>246</v>
      </c>
      <c r="C28" s="7" t="str">
        <f t="shared" si="0"/>
        <v>Premium5</v>
      </c>
      <c r="D28" s="7" t="str">
        <f t="shared" si="2"/>
        <v>Premium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真癒の天使 ラファエル・メディカ</v>
      </c>
      <c r="I28" s="7" t="str">
        <f>VLOOKUP(B28,[1]characters!$A:$J,10,FALSE)</f>
        <v>PremiumS</v>
      </c>
      <c r="J28" s="7">
        <f>VLOOKUP(B28,[1]characters!$A:$I,9,FALSE)</f>
        <v>5</v>
      </c>
      <c r="K28" s="7" t="str">
        <f>VLOOKUP(B28,[1]characters!$A:$H,8,FALSE)</f>
        <v>blue</v>
      </c>
      <c r="L28" s="7" t="str">
        <f>VLOOKUP(B28,[1]characters!$A:$K,11,FALSE)</f>
        <v>balance</v>
      </c>
      <c r="M28" s="7" t="str">
        <f>VLOOKUP(B28,[1]characters!$A:$M,13,FALSE)</f>
        <v>machine</v>
      </c>
      <c r="N28" s="7" t="str">
        <f>VLOOKUP(B28,[1]characters!$A:$G,7,FALSE)</f>
        <v>女性</v>
      </c>
      <c r="O28" s="45">
        <f t="shared" si="3"/>
        <v>19656</v>
      </c>
      <c r="P28" s="46">
        <f t="shared" si="1"/>
        <v>1.1097560975609756E-2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input_559100!A$2</f>
        <v>559100</v>
      </c>
      <c r="B29" s="6">
        <v>249</v>
      </c>
      <c r="C29" s="7" t="str">
        <f t="shared" si="0"/>
        <v>Premium5</v>
      </c>
      <c r="D29" s="7" t="str">
        <f t="shared" si="2"/>
        <v>Premium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雷電の天使 ミカエル・ゲイナー</v>
      </c>
      <c r="I29" s="7" t="str">
        <f>VLOOKUP(B29,[1]characters!$A:$J,10,FALSE)</f>
        <v>PremiumS</v>
      </c>
      <c r="J29" s="7">
        <f>VLOOKUP(B29,[1]characters!$A:$I,9,FALSE)</f>
        <v>5</v>
      </c>
      <c r="K29" s="7" t="str">
        <f>VLOOKUP(B29,[1]characters!$A:$H,8,FALSE)</f>
        <v>yellow</v>
      </c>
      <c r="L29" s="7" t="str">
        <f>VLOOKUP(B29,[1]characters!$A:$K,11,FALSE)</f>
        <v>attack</v>
      </c>
      <c r="M29" s="7" t="str">
        <f>VLOOKUP(B29,[1]characters!$A:$M,13,FALSE)</f>
        <v>machine</v>
      </c>
      <c r="N29" s="7" t="str">
        <f>VLOOKUP(B29,[1]characters!$A:$G,7,FALSE)</f>
        <v>女性</v>
      </c>
      <c r="O29" s="45">
        <f t="shared" si="3"/>
        <v>19656</v>
      </c>
      <c r="P29" s="46">
        <f t="shared" si="1"/>
        <v>1.1097560975609756E-2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input_559100!A$2</f>
        <v>559100</v>
      </c>
      <c r="B30" s="6">
        <v>252</v>
      </c>
      <c r="C30" s="7" t="str">
        <f t="shared" si="0"/>
        <v>Premium5</v>
      </c>
      <c r="D30" s="7" t="str">
        <f t="shared" si="2"/>
        <v>Premium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強欲の沸騰 マンモン</v>
      </c>
      <c r="I30" s="7" t="str">
        <f>VLOOKUP(B30,[1]characters!$A:$J,10,FALSE)</f>
        <v>PremiumS</v>
      </c>
      <c r="J30" s="7">
        <f>VLOOKUP(B30,[1]characters!$A:$I,9,FALSE)</f>
        <v>5</v>
      </c>
      <c r="K30" s="7" t="str">
        <f>VLOOKUP(B30,[1]characters!$A:$H,8,FALSE)</f>
        <v>red</v>
      </c>
      <c r="L30" s="7" t="str">
        <f>VLOOKUP(B30,[1]characters!$A:$K,11,FALSE)</f>
        <v>balance</v>
      </c>
      <c r="M30" s="7" t="str">
        <f>VLOOKUP(B30,[1]characters!$A:$M,13,FALSE)</f>
        <v>god</v>
      </c>
      <c r="N30" s="7" t="str">
        <f>VLOOKUP(B30,[1]characters!$A:$G,7,FALSE)</f>
        <v>女性</v>
      </c>
      <c r="O30" s="45">
        <f t="shared" si="3"/>
        <v>19656</v>
      </c>
      <c r="P30" s="46">
        <f t="shared" si="1"/>
        <v>1.1097560975609756E-2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input_559100!A$2</f>
        <v>559100</v>
      </c>
      <c r="B31" s="6">
        <v>255</v>
      </c>
      <c r="C31" s="7" t="str">
        <f t="shared" si="0"/>
        <v>Premium5</v>
      </c>
      <c r="D31" s="7" t="str">
        <f t="shared" si="2"/>
        <v>Premium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怠惰の頂点 ベルフェゴール</v>
      </c>
      <c r="I31" s="7" t="str">
        <f>VLOOKUP(B31,[1]characters!$A:$J,10,FALSE)</f>
        <v>PremiumS</v>
      </c>
      <c r="J31" s="7">
        <f>VLOOKUP(B31,[1]characters!$A:$I,9,FALSE)</f>
        <v>5</v>
      </c>
      <c r="K31" s="7" t="str">
        <f>VLOOKUP(B31,[1]characters!$A:$H,8,FALSE)</f>
        <v>green</v>
      </c>
      <c r="L31" s="7" t="str">
        <f>VLOOKUP(B31,[1]characters!$A:$K,11,FALSE)</f>
        <v>technical</v>
      </c>
      <c r="M31" s="7" t="str">
        <f>VLOOKUP(B31,[1]characters!$A:$M,13,FALSE)</f>
        <v>god</v>
      </c>
      <c r="N31" s="7" t="str">
        <f>VLOOKUP(B31,[1]characters!$A:$G,7,FALSE)</f>
        <v>女性</v>
      </c>
      <c r="O31" s="45">
        <f t="shared" si="3"/>
        <v>19656</v>
      </c>
      <c r="P31" s="46">
        <f t="shared" si="1"/>
        <v>1.1097560975609756E-2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input_559100!A$2</f>
        <v>559100</v>
      </c>
      <c r="B32" s="6">
        <v>258</v>
      </c>
      <c r="C32" s="7" t="str">
        <f t="shared" si="0"/>
        <v>Premium5</v>
      </c>
      <c r="D32" s="7" t="str">
        <f t="shared" si="2"/>
        <v>Premium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色欲の源流 アスモデウス</v>
      </c>
      <c r="I32" s="7" t="str">
        <f>VLOOKUP(B32,[1]characters!$A:$J,10,FALSE)</f>
        <v>PremiumS</v>
      </c>
      <c r="J32" s="7">
        <f>VLOOKUP(B32,[1]characters!$A:$I,9,FALSE)</f>
        <v>5</v>
      </c>
      <c r="K32" s="7" t="str">
        <f>VLOOKUP(B32,[1]characters!$A:$H,8,FALSE)</f>
        <v>blue</v>
      </c>
      <c r="L32" s="7" t="str">
        <f>VLOOKUP(B32,[1]characters!$A:$K,11,FALSE)</f>
        <v>attack</v>
      </c>
      <c r="M32" s="7" t="str">
        <f>VLOOKUP(B32,[1]characters!$A:$M,13,FALSE)</f>
        <v>god</v>
      </c>
      <c r="N32" s="7" t="str">
        <f>VLOOKUP(B32,[1]characters!$A:$G,7,FALSE)</f>
        <v>女性</v>
      </c>
      <c r="O32" s="45">
        <f t="shared" si="3"/>
        <v>19656</v>
      </c>
      <c r="P32" s="46">
        <f t="shared" si="1"/>
        <v>1.1097560975609756E-2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input_559100!A$2</f>
        <v>559100</v>
      </c>
      <c r="B33" s="6">
        <v>261</v>
      </c>
      <c r="C33" s="7" t="str">
        <f t="shared" si="0"/>
        <v>Premium5</v>
      </c>
      <c r="D33" s="7" t="str">
        <f t="shared" si="2"/>
        <v>Premium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輪廻の蛇龍 ウロボロス</v>
      </c>
      <c r="I33" s="7" t="str">
        <f>VLOOKUP(B33,[1]characters!$A:$J,10,FALSE)</f>
        <v>PremiumS</v>
      </c>
      <c r="J33" s="7">
        <f>VLOOKUP(B33,[1]characters!$A:$I,9,FALSE)</f>
        <v>5</v>
      </c>
      <c r="K33" s="7" t="str">
        <f>VLOOKUP(B33,[1]characters!$A:$H,8,FALSE)</f>
        <v>yellow</v>
      </c>
      <c r="L33" s="7" t="str">
        <f>VLOOKUP(B33,[1]characters!$A:$K,11,FALSE)</f>
        <v>balance</v>
      </c>
      <c r="M33" s="7" t="str">
        <f>VLOOKUP(B33,[1]characters!$A:$M,13,FALSE)</f>
        <v>dragon</v>
      </c>
      <c r="N33" s="7" t="str">
        <f>VLOOKUP(B33,[1]characters!$A:$G,7,FALSE)</f>
        <v>女性</v>
      </c>
      <c r="O33" s="45">
        <f t="shared" si="3"/>
        <v>19656</v>
      </c>
      <c r="P33" s="46">
        <f t="shared" si="1"/>
        <v>1.1097560975609756E-2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input_559100!A$2</f>
        <v>559100</v>
      </c>
      <c r="B34" s="6">
        <v>321</v>
      </c>
      <c r="C34" s="7" t="str">
        <f t="shared" si="0"/>
        <v>PremiumSS5</v>
      </c>
      <c r="D34" s="7" t="str">
        <f t="shared" si="2"/>
        <v>PremiumSS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巌鉄の烈志士 近藤勇</v>
      </c>
      <c r="I34" s="7" t="str">
        <f>VLOOKUP(B34,[1]characters!$A:$J,10,FALSE)</f>
        <v>PremiumSS</v>
      </c>
      <c r="J34" s="7">
        <f>VLOOKUP(B34,[1]characters!$A:$I,9,FALSE)</f>
        <v>5</v>
      </c>
      <c r="K34" s="7" t="str">
        <f>VLOOKUP(B34,[1]characters!$A:$H,8,FALSE)</f>
        <v>red</v>
      </c>
      <c r="L34" s="7" t="str">
        <f>VLOOKUP(B34,[1]characters!$A:$K,11,FALSE)</f>
        <v>hp</v>
      </c>
      <c r="M34" s="7" t="str">
        <f>VLOOKUP(B34,[1]characters!$A:$M,13,FALSE)</f>
        <v>human</v>
      </c>
      <c r="N34" s="7" t="str">
        <f>VLOOKUP(B34,[1]characters!$A:$G,7,FALSE)</f>
        <v>男性</v>
      </c>
      <c r="O34" s="45">
        <f t="shared" si="3"/>
        <v>1845</v>
      </c>
      <c r="P34" s="46">
        <f t="shared" si="1"/>
        <v>1.0416666666666667E-3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input_559100!A$2</f>
        <v>559100</v>
      </c>
      <c r="B35" s="6">
        <v>323</v>
      </c>
      <c r="C35" s="7" t="str">
        <f t="shared" si="0"/>
        <v>PremiumSS5</v>
      </c>
      <c r="D35" s="7" t="str">
        <f t="shared" si="2"/>
        <v>PremiumSS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流麗の愛志士 土方歳三</v>
      </c>
      <c r="I35" s="7" t="str">
        <f>VLOOKUP(B35,[1]characters!$A:$J,10,FALSE)</f>
        <v>PremiumSS</v>
      </c>
      <c r="J35" s="7">
        <f>VLOOKUP(B35,[1]characters!$A:$I,9,FALSE)</f>
        <v>5</v>
      </c>
      <c r="K35" s="7" t="str">
        <f>VLOOKUP(B35,[1]characters!$A:$H,8,FALSE)</f>
        <v>green</v>
      </c>
      <c r="L35" s="7" t="str">
        <f>VLOOKUP(B35,[1]characters!$A:$K,11,FALSE)</f>
        <v>attack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t="shared" si="3"/>
        <v>1845</v>
      </c>
      <c r="P35" s="46">
        <f t="shared" si="1"/>
        <v>1.0416666666666667E-3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input_559100!A$2</f>
        <v>559100</v>
      </c>
      <c r="B36" s="6">
        <v>325</v>
      </c>
      <c r="C36" s="7" t="str">
        <f t="shared" si="0"/>
        <v>PremiumSS5</v>
      </c>
      <c r="D36" s="7" t="str">
        <f t="shared" si="2"/>
        <v>PremiumSS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天賦の凛志士 沖田総司</v>
      </c>
      <c r="I36" s="7" t="str">
        <f>VLOOKUP(B36,[1]characters!$A:$J,10,FALSE)</f>
        <v>PremiumSS</v>
      </c>
      <c r="J36" s="7">
        <f>VLOOKUP(B36,[1]characters!$A:$I,9,FALSE)</f>
        <v>5</v>
      </c>
      <c r="K36" s="7" t="str">
        <f>VLOOKUP(B36,[1]characters!$A:$H,8,FALSE)</f>
        <v>blue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t="shared" si="3"/>
        <v>1845</v>
      </c>
      <c r="P36" s="46">
        <f t="shared" si="1"/>
        <v>1.0416666666666667E-3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input_559100!A$2</f>
        <v>559100</v>
      </c>
      <c r="B37" s="6">
        <v>327</v>
      </c>
      <c r="C37" s="7" t="str">
        <f t="shared" si="0"/>
        <v>PremiumSS5</v>
      </c>
      <c r="D37" s="7" t="str">
        <f t="shared" si="2"/>
        <v>PremiumSS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千殺の妖志士 斎藤一</v>
      </c>
      <c r="I37" s="7" t="str">
        <f>VLOOKUP(B37,[1]characters!$A:$J,10,FALSE)</f>
        <v>PremiumSS</v>
      </c>
      <c r="J37" s="7">
        <f>VLOOKUP(B37,[1]characters!$A:$I,9,FALSE)</f>
        <v>5</v>
      </c>
      <c r="K37" s="7" t="str">
        <f>VLOOKUP(B37,[1]characters!$A:$H,8,FALSE)</f>
        <v>yellow</v>
      </c>
      <c r="L37" s="7" t="str">
        <f>VLOOKUP(B37,[1]characters!$A:$K,11,FALSE)</f>
        <v>technical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t="shared" si="3"/>
        <v>1845</v>
      </c>
      <c r="P37" s="46">
        <f t="shared" si="1"/>
        <v>1.0416666666666667E-3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input_559100!A$2</f>
        <v>559100</v>
      </c>
      <c r="B38" s="60">
        <v>382</v>
      </c>
      <c r="C38" s="7" t="str">
        <f t="shared" ref="C38:C43" si="4">D38&amp;J38&amp;E38&amp;F38&amp;G38</f>
        <v>Premium5</v>
      </c>
      <c r="D38" s="7" t="str">
        <f t="shared" ref="D38:D43" si="5">IF(OR(I38="PremiumSS",I38="PremiumSSw"),"PremiumSS",IF(I38="PremiumSSS",I38,IF(I38="PremiumW",IF(J38=5,"premium",I38),"Premium")))</f>
        <v>Premium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激情の愛炎 バハムート</v>
      </c>
      <c r="I38" s="7" t="str">
        <f>VLOOKUP(B38,[1]characters!$A:$J,10,FALSE)</f>
        <v>PremiumS</v>
      </c>
      <c r="J38" s="7">
        <f>VLOOKUP(B38,[1]characters!$A:$I,9,FALSE)</f>
        <v>5</v>
      </c>
      <c r="K38" s="7" t="str">
        <f>VLOOKUP(B38,[1]characters!$A:$H,8,FALSE)</f>
        <v>red</v>
      </c>
      <c r="L38" s="7" t="str">
        <f>VLOOKUP(B38,[1]characters!$A:$K,11,FALSE)</f>
        <v>technical</v>
      </c>
      <c r="M38" s="7" t="str">
        <f>VLOOKUP(B38,[1]characters!$A:$M,13,FALSE)</f>
        <v>dragon</v>
      </c>
      <c r="N38" s="7" t="str">
        <f>VLOOKUP(B38,[1]characters!$A:$G,7,FALSE)</f>
        <v>女性</v>
      </c>
      <c r="O38" s="45">
        <f t="shared" si="3"/>
        <v>19656</v>
      </c>
      <c r="P38" s="46">
        <f t="shared" si="1"/>
        <v>1.1097560975609756E-2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input_559100!A$2</f>
        <v>559100</v>
      </c>
      <c r="B39" s="60">
        <v>384</v>
      </c>
      <c r="C39" s="7" t="str">
        <f t="shared" si="4"/>
        <v>PremiumSS5</v>
      </c>
      <c r="D39" s="7" t="str">
        <f t="shared" si="5"/>
        <v>PremiumSS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破国の呑龍 ヤマタノオロチ</v>
      </c>
      <c r="I39" s="7" t="str">
        <f>VLOOKUP(B39,[1]characters!$A:$J,10,FALSE)</f>
        <v>PremiumSS</v>
      </c>
      <c r="J39" s="7">
        <f>VLOOKUP(B39,[1]characters!$A:$I,9,FALSE)</f>
        <v>5</v>
      </c>
      <c r="K39" s="7" t="str">
        <f>VLOOKUP(B39,[1]characters!$A:$H,8,FALSE)</f>
        <v>green</v>
      </c>
      <c r="L39" s="7" t="str">
        <f>VLOOKUP(B39,[1]characters!$A:$K,11,FALSE)</f>
        <v>hp</v>
      </c>
      <c r="M39" s="7" t="str">
        <f>VLOOKUP(B39,[1]characters!$A:$M,13,FALSE)</f>
        <v>dragon</v>
      </c>
      <c r="N39" s="7" t="str">
        <f>VLOOKUP(B39,[1]characters!$A:$G,7,FALSE)</f>
        <v>女性</v>
      </c>
      <c r="O39" s="45">
        <f t="shared" si="3"/>
        <v>1845</v>
      </c>
      <c r="P39" s="46">
        <f t="shared" si="1"/>
        <v>1.0416666666666667E-3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input_559100!A$2</f>
        <v>559100</v>
      </c>
      <c r="B40" s="60">
        <v>386</v>
      </c>
      <c r="C40" s="7" t="str">
        <f t="shared" si="4"/>
        <v>PremiumSS5</v>
      </c>
      <c r="D40" s="7" t="str">
        <f t="shared" si="5"/>
        <v>PremiumSS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氾乱の海龍 リヴァイアサン</v>
      </c>
      <c r="I40" s="7" t="str">
        <f>VLOOKUP(B40,[1]characters!$A:$J,10,FALSE)</f>
        <v>PremiumSS</v>
      </c>
      <c r="J40" s="7">
        <f>VLOOKUP(B40,[1]characters!$A:$I,9,FALSE)</f>
        <v>5</v>
      </c>
      <c r="K40" s="7" t="str">
        <f>VLOOKUP(B40,[1]characters!$A:$H,8,FALSE)</f>
        <v>blue</v>
      </c>
      <c r="L40" s="7" t="str">
        <f>VLOOKUP(B40,[1]characters!$A:$K,11,FALSE)</f>
        <v>balance</v>
      </c>
      <c r="M40" s="7" t="str">
        <f>VLOOKUP(B40,[1]characters!$A:$M,13,FALSE)</f>
        <v>dragon</v>
      </c>
      <c r="N40" s="7" t="str">
        <f>VLOOKUP(B40,[1]characters!$A:$G,7,FALSE)</f>
        <v>女性</v>
      </c>
      <c r="O40" s="45">
        <f t="shared" si="3"/>
        <v>1845</v>
      </c>
      <c r="P40" s="46">
        <f t="shared" si="1"/>
        <v>1.0416666666666667E-3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input_559100!A$2</f>
        <v>559100</v>
      </c>
      <c r="B41" s="60">
        <v>389</v>
      </c>
      <c r="C41" s="7" t="str">
        <f t="shared" si="4"/>
        <v>Premium5</v>
      </c>
      <c r="D41" s="7" t="str">
        <f t="shared" si="5"/>
        <v>Premium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操神の愛姫 スフィンクス</v>
      </c>
      <c r="I41" s="7" t="str">
        <f>VLOOKUP(B41,[1]characters!$A:$J,10,FALSE)</f>
        <v>PremiumS</v>
      </c>
      <c r="J41" s="7">
        <f>VLOOKUP(B41,[1]characters!$A:$I,9,FALSE)</f>
        <v>5</v>
      </c>
      <c r="K41" s="7" t="str">
        <f>VLOOKUP(B41,[1]characters!$A:$H,8,FALSE)</f>
        <v>yellow</v>
      </c>
      <c r="L41" s="7" t="str">
        <f>VLOOKUP(B41,[1]characters!$A:$K,11,FALSE)</f>
        <v>heal</v>
      </c>
      <c r="M41" s="7" t="str">
        <f>VLOOKUP(B41,[1]characters!$A:$M,13,FALSE)</f>
        <v>animal</v>
      </c>
      <c r="N41" s="7" t="str">
        <f>VLOOKUP(B41,[1]characters!$A:$G,7,FALSE)</f>
        <v>女性</v>
      </c>
      <c r="O41" s="45">
        <f t="shared" si="3"/>
        <v>19656</v>
      </c>
      <c r="P41" s="46">
        <f t="shared" si="1"/>
        <v>1.1097560975609756E-2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input_559100!A$2</f>
        <v>559100</v>
      </c>
      <c r="B42" s="60">
        <v>391</v>
      </c>
      <c r="C42" s="7" t="str">
        <f t="shared" si="4"/>
        <v>PremiumSS5</v>
      </c>
      <c r="D42" s="7" t="str">
        <f t="shared" si="5"/>
        <v>PremiumSS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/>
      </c>
      <c r="G42" s="7"/>
      <c r="H42" s="7" t="str">
        <f>VLOOKUP(B42,[1]characters!$A:$C,3,FALSE)</f>
        <v>燕翼の旅人 親指姫</v>
      </c>
      <c r="I42" s="7" t="str">
        <f>VLOOKUP(B42,[1]characters!$A:$J,10,FALSE)</f>
        <v>PremiumSS</v>
      </c>
      <c r="J42" s="7">
        <f>VLOOKUP(B42,[1]characters!$A:$I,9,FALSE)</f>
        <v>5</v>
      </c>
      <c r="K42" s="7" t="str">
        <f>VLOOKUP(B42,[1]characters!$A:$H,8,FALSE)</f>
        <v>red</v>
      </c>
      <c r="L42" s="7" t="str">
        <f>VLOOKUP(B42,[1]characters!$A:$K,11,FALSE)</f>
        <v>heal</v>
      </c>
      <c r="M42" s="7" t="str">
        <f>VLOOKUP(B42,[1]characters!$A:$M,13,FALSE)</f>
        <v>human</v>
      </c>
      <c r="N42" s="7" t="str">
        <f>VLOOKUP(B42,[1]characters!$A:$G,7,FALSE)</f>
        <v>女性</v>
      </c>
      <c r="O42" s="45">
        <f t="shared" si="3"/>
        <v>1845</v>
      </c>
      <c r="P42" s="46">
        <f t="shared" si="1"/>
        <v>1.0416666666666667E-3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input_559100!A$2</f>
        <v>559100</v>
      </c>
      <c r="B43" s="90">
        <v>394</v>
      </c>
      <c r="C43" s="7" t="str">
        <f t="shared" si="4"/>
        <v>Premium5</v>
      </c>
      <c r="D43" s="7" t="str">
        <f t="shared" si="5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/>
      </c>
      <c r="G43" s="7"/>
      <c r="H43" s="7" t="str">
        <f>VLOOKUP(B43,[1]characters!$A:$C,3,FALSE)</f>
        <v>影求の悪童 ピーターパン</v>
      </c>
      <c r="I43" s="7" t="str">
        <f>VLOOKUP(B43,[1]characters!$A:$J,10,FALSE)</f>
        <v>PremiumS</v>
      </c>
      <c r="J43" s="7">
        <f>VLOOKUP(B43,[1]characters!$A:$I,9,FALSE)</f>
        <v>5</v>
      </c>
      <c r="K43" s="7" t="str">
        <f>VLOOKUP(B43,[1]characters!$A:$H,8,FALSE)</f>
        <v>green</v>
      </c>
      <c r="L43" s="7" t="str">
        <f>VLOOKUP(B43,[1]characters!$A:$K,11,FALSE)</f>
        <v>attack</v>
      </c>
      <c r="M43" s="7" t="str">
        <f>VLOOKUP(B43,[1]characters!$A:$M,13,FALSE)</f>
        <v>human</v>
      </c>
      <c r="N43" s="7" t="str">
        <f>VLOOKUP(B43,[1]characters!$A:$G,7,FALSE)</f>
        <v>男性</v>
      </c>
      <c r="O43" s="45">
        <f t="shared" si="3"/>
        <v>19656</v>
      </c>
      <c r="P43" s="46">
        <f t="shared" si="1"/>
        <v>1.1097560975609756E-2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input_559100!A$2</f>
        <v>559100</v>
      </c>
      <c r="B44" s="1">
        <v>397</v>
      </c>
      <c r="C44" s="7" t="str">
        <f t="shared" ref="C44:C107" si="6">D44&amp;J44&amp;E44&amp;F44&amp;G44</f>
        <v>Premium5</v>
      </c>
      <c r="D44" s="7" t="str">
        <f t="shared" ref="D44:D107" si="7">IF(OR(I44="PremiumSS",I44="PremiumSSw"),"PremiumSS",IF(I44="PremiumSSS",I44,IF(I44="PremiumW",IF(J44=5,"premium",I44),"Premium")))</f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/>
      </c>
      <c r="G44" s="7"/>
      <c r="H44" s="7" t="str">
        <f>VLOOKUP(B44,[1]characters!$A:$C,3,FALSE)</f>
        <v>禁断の追箱 乙姫</v>
      </c>
      <c r="I44" s="7" t="str">
        <f>VLOOKUP(B44,[1]characters!$A:$J,10,FALSE)</f>
        <v>PremiumS</v>
      </c>
      <c r="J44" s="7">
        <f>VLOOKUP(B44,[1]characters!$A:$I,9,FALSE)</f>
        <v>5</v>
      </c>
      <c r="K44" s="7" t="str">
        <f>VLOOKUP(B44,[1]characters!$A:$H,8,FALSE)</f>
        <v>blue</v>
      </c>
      <c r="L44" s="7" t="str">
        <f>VLOOKUP(B44,[1]characters!$A:$K,11,FALSE)</f>
        <v>hp</v>
      </c>
      <c r="M44" s="7" t="str">
        <f>VLOOKUP(B44,[1]characters!$A:$M,13,FALSE)</f>
        <v>human</v>
      </c>
      <c r="N44" s="7" t="str">
        <f>VLOOKUP(B44,[1]characters!$A:$G,7,FALSE)</f>
        <v>女性</v>
      </c>
      <c r="O44" s="45">
        <f t="shared" si="3"/>
        <v>19656</v>
      </c>
      <c r="P44" s="46">
        <f t="shared" ref="P44:P107" si="8">O44/SUM(O:O)</f>
        <v>1.1097560975609756E-2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input_559100!A$2</f>
        <v>559100</v>
      </c>
      <c r="B45" s="1">
        <v>399</v>
      </c>
      <c r="C45" s="7" t="str">
        <f t="shared" si="6"/>
        <v>PremiumSS5</v>
      </c>
      <c r="D45" s="7" t="str">
        <f t="shared" si="7"/>
        <v>PremiumSS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/>
      </c>
      <c r="G45" s="7"/>
      <c r="H45" s="7" t="str">
        <f>VLOOKUP(B45,[1]characters!$A:$C,3,FALSE)</f>
        <v>信愛の兄妹 ヘンゼル＆グレーテル</v>
      </c>
      <c r="I45" s="7" t="str">
        <f>VLOOKUP(B45,[1]characters!$A:$J,10,FALSE)</f>
        <v>PremiumSS</v>
      </c>
      <c r="J45" s="7">
        <f>VLOOKUP(B45,[1]characters!$A:$I,9,FALSE)</f>
        <v>5</v>
      </c>
      <c r="K45" s="7" t="str">
        <f>VLOOKUP(B45,[1]characters!$A:$H,8,FALSE)</f>
        <v>yellow</v>
      </c>
      <c r="L45" s="7" t="str">
        <f>VLOOKUP(B45,[1]characters!$A:$K,11,FALSE)</f>
        <v>balance</v>
      </c>
      <c r="M45" s="7" t="str">
        <f>VLOOKUP(B45,[1]characters!$A:$M,13,FALSE)</f>
        <v>human</v>
      </c>
      <c r="N45" s="7" t="str">
        <f>VLOOKUP(B45,[1]characters!$A:$G,7,FALSE)</f>
        <v>女性</v>
      </c>
      <c r="O45" s="45">
        <f t="shared" si="3"/>
        <v>1845</v>
      </c>
      <c r="P45" s="46">
        <f t="shared" si="8"/>
        <v>1.0416666666666667E-3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input_559100!A$2</f>
        <v>559100</v>
      </c>
      <c r="B46" s="1">
        <v>402</v>
      </c>
      <c r="C46" s="7" t="str">
        <f t="shared" si="6"/>
        <v>Premium5</v>
      </c>
      <c r="D46" s="7" t="str">
        <f t="shared" si="7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/>
      </c>
      <c r="G46" s="7"/>
      <c r="H46" s="7" t="str">
        <f>VLOOKUP(B46,[1]characters!$A:$C,3,FALSE)</f>
        <v>天災の神狼 フェンリル</v>
      </c>
      <c r="I46" s="7" t="str">
        <f>VLOOKUP(B46,[1]characters!$A:$J,10,FALSE)</f>
        <v>PremiumS</v>
      </c>
      <c r="J46" s="7">
        <f>VLOOKUP(B46,[1]characters!$A:$I,9,FALSE)</f>
        <v>5</v>
      </c>
      <c r="K46" s="7" t="str">
        <f>VLOOKUP(B46,[1]characters!$A:$H,8,FALSE)</f>
        <v>red</v>
      </c>
      <c r="L46" s="7" t="str">
        <f>VLOOKUP(B46,[1]characters!$A:$K,11,FALSE)</f>
        <v>attack</v>
      </c>
      <c r="M46" s="7" t="str">
        <f>VLOOKUP(B46,[1]characters!$A:$M,13,FALSE)</f>
        <v>animal</v>
      </c>
      <c r="N46" s="7" t="str">
        <f>VLOOKUP(B46,[1]characters!$A:$G,7,FALSE)</f>
        <v>女性</v>
      </c>
      <c r="O46" s="45">
        <f t="shared" si="3"/>
        <v>19656</v>
      </c>
      <c r="P46" s="46">
        <f t="shared" si="8"/>
        <v>1.1097560975609756E-2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input_559100!A$2</f>
        <v>559100</v>
      </c>
      <c r="B47" s="1">
        <v>404</v>
      </c>
      <c r="C47" s="7" t="str">
        <f t="shared" si="6"/>
        <v>PremiumSS5</v>
      </c>
      <c r="D47" s="7" t="str">
        <f t="shared" si="7"/>
        <v>PremiumSS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/>
      </c>
      <c r="G47" s="7"/>
      <c r="H47" s="7" t="str">
        <f>VLOOKUP(B47,[1]characters!$A:$C,3,FALSE)</f>
        <v>空襲の神眼 八咫烏</v>
      </c>
      <c r="I47" s="7" t="str">
        <f>VLOOKUP(B47,[1]characters!$A:$J,10,FALSE)</f>
        <v>PremiumSS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balance</v>
      </c>
      <c r="M47" s="7" t="str">
        <f>VLOOKUP(B47,[1]characters!$A:$M,13,FALSE)</f>
        <v>animal</v>
      </c>
      <c r="N47" s="7" t="str">
        <f>VLOOKUP(B47,[1]characters!$A:$G,7,FALSE)</f>
        <v>女性</v>
      </c>
      <c r="O47" s="45">
        <f t="shared" si="3"/>
        <v>1845</v>
      </c>
      <c r="P47" s="46">
        <f t="shared" si="8"/>
        <v>1.0416666666666667E-3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input_559100!A$2</f>
        <v>559100</v>
      </c>
      <c r="B48" s="1">
        <v>407</v>
      </c>
      <c r="C48" s="7" t="str">
        <f t="shared" si="6"/>
        <v>Premium5</v>
      </c>
      <c r="D48" s="7" t="str">
        <f t="shared" si="7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/>
      </c>
      <c r="G48" s="7"/>
      <c r="H48" s="7" t="str">
        <f>VLOOKUP(B48,[1]characters!$A:$C,3,FALSE)</f>
        <v>蠱惑の飛刀 エキドナ</v>
      </c>
      <c r="I48" s="7" t="str">
        <f>VLOOKUP(B48,[1]characters!$A:$J,10,FALSE)</f>
        <v>PremiumS</v>
      </c>
      <c r="J48" s="7">
        <f>VLOOKUP(B48,[1]characters!$A:$I,9,FALSE)</f>
        <v>5</v>
      </c>
      <c r="K48" s="7" t="str">
        <f>VLOOKUP(B48,[1]characters!$A:$H,8,FALSE)</f>
        <v>blue</v>
      </c>
      <c r="L48" s="7" t="str">
        <f>VLOOKUP(B48,[1]characters!$A:$K,11,FALSE)</f>
        <v>technical</v>
      </c>
      <c r="M48" s="7" t="str">
        <f>VLOOKUP(B48,[1]characters!$A:$M,13,FALSE)</f>
        <v>animal</v>
      </c>
      <c r="N48" s="7" t="str">
        <f>VLOOKUP(B48,[1]characters!$A:$G,7,FALSE)</f>
        <v>女性</v>
      </c>
      <c r="O48" s="45">
        <f t="shared" si="3"/>
        <v>19656</v>
      </c>
      <c r="P48" s="46">
        <f t="shared" si="8"/>
        <v>1.1097560975609756E-2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input_559100!A$2</f>
        <v>559100</v>
      </c>
      <c r="B49" s="1">
        <v>409</v>
      </c>
      <c r="C49" s="7" t="str">
        <f t="shared" si="6"/>
        <v>PremiumSS5</v>
      </c>
      <c r="D49" s="7" t="str">
        <f t="shared" si="7"/>
        <v>PremiumSS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/>
      </c>
      <c r="G49" s="7"/>
      <c r="H49" s="7" t="str">
        <f>VLOOKUP(B49,[1]characters!$A:$C,3,FALSE)</f>
        <v>天眼の皇貴魔 アスタロト</v>
      </c>
      <c r="I49" s="7" t="str">
        <f>VLOOKUP(B49,[1]characters!$A:$J,10,FALSE)</f>
        <v>PremiumSS</v>
      </c>
      <c r="J49" s="7">
        <f>VLOOKUP(B49,[1]characters!$A:$I,9,FALSE)</f>
        <v>5</v>
      </c>
      <c r="K49" s="7" t="str">
        <f>VLOOKUP(B49,[1]characters!$A:$H,8,FALSE)</f>
        <v>yellow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男性</v>
      </c>
      <c r="O49" s="45">
        <f t="shared" si="3"/>
        <v>1845</v>
      </c>
      <c r="P49" s="46">
        <f t="shared" si="8"/>
        <v>1.0416666666666667E-3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input_559100!A$2</f>
        <v>559100</v>
      </c>
      <c r="B50" s="1">
        <v>435</v>
      </c>
      <c r="C50" s="7" t="str">
        <f t="shared" si="6"/>
        <v>PremiumSS5</v>
      </c>
      <c r="D50" s="7" t="str">
        <f t="shared" si="7"/>
        <v>PremiumSS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/>
      </c>
      <c r="G50" s="7"/>
      <c r="H50" s="7" t="str">
        <f>VLOOKUP(B50,[1]characters!$A:$C,3,FALSE)</f>
        <v>曝弾の密偵 D.R.T.H.</v>
      </c>
      <c r="I50" s="7" t="str">
        <f>VLOOKUP(B50,[1]characters!$A:$J,10,FALSE)</f>
        <v>PremiumSS</v>
      </c>
      <c r="J50" s="7">
        <f>VLOOKUP(B50,[1]characters!$A:$I,9,FALSE)</f>
        <v>5</v>
      </c>
      <c r="K50" s="7" t="str">
        <f>VLOOKUP(B50,[1]characters!$A:$H,8,FALSE)</f>
        <v>red</v>
      </c>
      <c r="L50" s="7" t="str">
        <f>VLOOKUP(B50,[1]characters!$A:$K,11,FALSE)</f>
        <v>balance</v>
      </c>
      <c r="M50" s="7" t="str">
        <f>VLOOKUP(B50,[1]characters!$A:$M,13,FALSE)</f>
        <v>human</v>
      </c>
      <c r="N50" s="7" t="str">
        <f>VLOOKUP(B50,[1]characters!$A:$G,7,FALSE)</f>
        <v>女性</v>
      </c>
      <c r="O50" s="45">
        <f t="shared" si="3"/>
        <v>1845</v>
      </c>
      <c r="P50" s="46">
        <f t="shared" si="8"/>
        <v>1.0416666666666667E-3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input_559100!A$2</f>
        <v>559100</v>
      </c>
      <c r="B51" s="1">
        <v>438</v>
      </c>
      <c r="C51" s="7" t="str">
        <f t="shared" si="6"/>
        <v>Premium5</v>
      </c>
      <c r="D51" s="7" t="str">
        <f t="shared" si="7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記憶の奪還 カカシ</v>
      </c>
      <c r="I51" s="7" t="str">
        <f>VLOOKUP(B51,[1]characters!$A:$J,10,FALSE)</f>
        <v>PremiumS</v>
      </c>
      <c r="J51" s="7">
        <f>VLOOKUP(B51,[1]characters!$A:$I,9,FALSE)</f>
        <v>5</v>
      </c>
      <c r="K51" s="7" t="str">
        <f>VLOOKUP(B51,[1]characters!$A:$H,8,FALSE)</f>
        <v>green</v>
      </c>
      <c r="L51" s="7" t="str">
        <f>VLOOKUP(B51,[1]characters!$A:$K,11,FALSE)</f>
        <v>technical</v>
      </c>
      <c r="M51" s="7" t="str">
        <f>VLOOKUP(B51,[1]characters!$A:$M,13,FALSE)</f>
        <v>human</v>
      </c>
      <c r="N51" s="7" t="str">
        <f>VLOOKUP(B51,[1]characters!$A:$G,7,FALSE)</f>
        <v>男性</v>
      </c>
      <c r="O51" s="45">
        <f>VLOOKUP(D51,$W$2:$Y$4,3,FALSE)</f>
        <v>19656</v>
      </c>
      <c r="P51" s="46">
        <f t="shared" si="8"/>
        <v>1.1097560975609756E-2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input_559100!A$2</f>
        <v>559100</v>
      </c>
      <c r="B52" s="1">
        <v>441</v>
      </c>
      <c r="C52" s="7" t="str">
        <f t="shared" si="6"/>
        <v>Premium5</v>
      </c>
      <c r="D52" s="7" t="str">
        <f t="shared" si="7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求心の錻装 ブリキロガー</v>
      </c>
      <c r="I52" s="7" t="str">
        <f>VLOOKUP(B52,[1]characters!$A:$J,10,FALSE)</f>
        <v>PremiumS</v>
      </c>
      <c r="J52" s="7">
        <f>VLOOKUP(B52,[1]characters!$A:$I,9,FALSE)</f>
        <v>5</v>
      </c>
      <c r="K52" s="7" t="str">
        <f>VLOOKUP(B52,[1]characters!$A:$H,8,FALSE)</f>
        <v>blue</v>
      </c>
      <c r="L52" s="7" t="str">
        <f>VLOOKUP(B52,[1]characters!$A:$K,11,FALSE)</f>
        <v>attack</v>
      </c>
      <c r="M52" s="7" t="str">
        <f>VLOOKUP(B52,[1]characters!$A:$M,13,FALSE)</f>
        <v>machine</v>
      </c>
      <c r="N52" s="7" t="str">
        <f>VLOOKUP(B52,[1]characters!$A:$G,7,FALSE)</f>
        <v>不明</v>
      </c>
      <c r="O52" s="45">
        <f t="shared" si="3"/>
        <v>19656</v>
      </c>
      <c r="P52" s="46">
        <f t="shared" si="8"/>
        <v>1.1097560975609756E-2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input_559100!A$2</f>
        <v>559100</v>
      </c>
      <c r="B53" s="1">
        <v>443</v>
      </c>
      <c r="C53" s="7" t="str">
        <f t="shared" si="6"/>
        <v>PremiumSS5</v>
      </c>
      <c r="D53" s="7" t="str">
        <f t="shared" si="7"/>
        <v>PremiumSS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勇機結集 ブレイブリー・ライオン</v>
      </c>
      <c r="I53" s="7" t="str">
        <f>VLOOKUP(B53,[1]characters!$A:$J,10,FALSE)</f>
        <v>PremiumSS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hp</v>
      </c>
      <c r="M53" s="7" t="str">
        <f>VLOOKUP(B53,[1]characters!$A:$M,13,FALSE)</f>
        <v>animal</v>
      </c>
      <c r="N53" s="7" t="str">
        <f>VLOOKUP(B53,[1]characters!$A:$G,7,FALSE)</f>
        <v>不明</v>
      </c>
      <c r="O53" s="45">
        <f t="shared" si="3"/>
        <v>1845</v>
      </c>
      <c r="P53" s="46">
        <f t="shared" si="8"/>
        <v>1.0416666666666667E-3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input_559100!A$2</f>
        <v>559100</v>
      </c>
      <c r="B54" s="1">
        <v>464</v>
      </c>
      <c r="C54" s="7" t="str">
        <f t="shared" si="6"/>
        <v>Premium5</v>
      </c>
      <c r="D54" s="7" t="str">
        <f t="shared" si="7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円熟の弾導 ガウェイン</v>
      </c>
      <c r="I54" s="7" t="str">
        <f>VLOOKUP(B54,[1]characters!$A:$J,10,FALSE)</f>
        <v>PremiumS</v>
      </c>
      <c r="J54" s="7">
        <f>VLOOKUP(B54,[1]characters!$A:$I,9,FALSE)</f>
        <v>5</v>
      </c>
      <c r="K54" s="7" t="str">
        <f>VLOOKUP(B54,[1]characters!$A:$H,8,FALSE)</f>
        <v>red</v>
      </c>
      <c r="L54" s="7" t="str">
        <f>VLOOKUP(B54,[1]characters!$A:$K,11,FALSE)</f>
        <v>hp</v>
      </c>
      <c r="M54" s="7" t="str">
        <f>VLOOKUP(B54,[1]characters!$A:$M,13,FALSE)</f>
        <v>human</v>
      </c>
      <c r="N54" s="7" t="str">
        <f>VLOOKUP(B54,[1]characters!$A:$G,7,FALSE)</f>
        <v>男性</v>
      </c>
      <c r="O54" s="45">
        <f t="shared" si="3"/>
        <v>19656</v>
      </c>
      <c r="P54" s="46">
        <f t="shared" si="8"/>
        <v>1.1097560975609756E-2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input_559100!A$2</f>
        <v>559100</v>
      </c>
      <c r="B55" s="1">
        <v>466</v>
      </c>
      <c r="C55" s="7" t="str">
        <f t="shared" si="6"/>
        <v>PremiumSS5</v>
      </c>
      <c r="D55" s="7" t="str">
        <f t="shared" si="7"/>
        <v>PremiumSS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真断の勇覇 ランスロット</v>
      </c>
      <c r="I55" s="7" t="str">
        <f>VLOOKUP(B55,[1]characters!$A:$J,10,FALSE)</f>
        <v>PremiumSS</v>
      </c>
      <c r="J55" s="7">
        <f>VLOOKUP(B55,[1]characters!$A:$I,9,FALSE)</f>
        <v>5</v>
      </c>
      <c r="K55" s="7" t="str">
        <f>VLOOKUP(B55,[1]characters!$A:$H,8,FALSE)</f>
        <v>green</v>
      </c>
      <c r="L55" s="7" t="str">
        <f>VLOOKUP(B55,[1]characters!$A:$K,11,FALSE)</f>
        <v>balance</v>
      </c>
      <c r="M55" s="7" t="str">
        <f>VLOOKUP(B55,[1]characters!$A:$M,13,FALSE)</f>
        <v>human</v>
      </c>
      <c r="N55" s="7" t="str">
        <f>VLOOKUP(B55,[1]characters!$A:$G,7,FALSE)</f>
        <v>男性</v>
      </c>
      <c r="O55" s="45">
        <f t="shared" si="3"/>
        <v>1845</v>
      </c>
      <c r="P55" s="46">
        <f t="shared" si="8"/>
        <v>1.0416666666666667E-3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input_559100!A$2</f>
        <v>559100</v>
      </c>
      <c r="B56" s="1">
        <v>468</v>
      </c>
      <c r="C56" s="7" t="str">
        <f t="shared" si="6"/>
        <v>PremiumSS5</v>
      </c>
      <c r="D56" s="7" t="str">
        <f t="shared" si="7"/>
        <v>PremiumSS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憎愛の尖鋒 モルドレッド</v>
      </c>
      <c r="I56" s="7" t="str">
        <f>VLOOKUP(B56,[1]characters!$A:$J,10,FALSE)</f>
        <v>PremiumSS</v>
      </c>
      <c r="J56" s="7">
        <f>VLOOKUP(B56,[1]characters!$A:$I,9,FALSE)</f>
        <v>5</v>
      </c>
      <c r="K56" s="7" t="str">
        <f>VLOOKUP(B56,[1]characters!$A:$H,8,FALSE)</f>
        <v>blue</v>
      </c>
      <c r="L56" s="7" t="str">
        <f>VLOOKUP(B56,[1]characters!$A:$K,11,FALSE)</f>
        <v>technical</v>
      </c>
      <c r="M56" s="7" t="str">
        <f>VLOOKUP(B56,[1]characters!$A:$M,13,FALSE)</f>
        <v>human</v>
      </c>
      <c r="N56" s="7" t="str">
        <f>VLOOKUP(B56,[1]characters!$A:$G,7,FALSE)</f>
        <v>女性</v>
      </c>
      <c r="O56" s="45">
        <f t="shared" si="3"/>
        <v>1845</v>
      </c>
      <c r="P56" s="46">
        <f t="shared" si="8"/>
        <v>1.0416666666666667E-3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input_559100!A$2</f>
        <v>559100</v>
      </c>
      <c r="B57" s="1">
        <v>471</v>
      </c>
      <c r="C57" s="7" t="str">
        <f t="shared" si="6"/>
        <v>Premium5</v>
      </c>
      <c r="D57" s="7" t="str">
        <f t="shared" si="7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不可避の爆激 トリスタン</v>
      </c>
      <c r="I57" s="7" t="str">
        <f>VLOOKUP(B57,[1]characters!$A:$J,10,FALSE)</f>
        <v>PremiumS</v>
      </c>
      <c r="J57" s="7">
        <f>VLOOKUP(B57,[1]characters!$A:$I,9,FALSE)</f>
        <v>5</v>
      </c>
      <c r="K57" s="7" t="str">
        <f>VLOOKUP(B57,[1]characters!$A:$H,8,FALSE)</f>
        <v>yellow</v>
      </c>
      <c r="L57" s="7" t="str">
        <f>VLOOKUP(B57,[1]characters!$A:$K,11,FALSE)</f>
        <v>attack</v>
      </c>
      <c r="M57" s="7" t="str">
        <f>VLOOKUP(B57,[1]characters!$A:$M,13,FALSE)</f>
        <v>human</v>
      </c>
      <c r="N57" s="7" t="str">
        <f>VLOOKUP(B57,[1]characters!$A:$G,7,FALSE)</f>
        <v>男性</v>
      </c>
      <c r="O57" s="45">
        <f t="shared" si="3"/>
        <v>19656</v>
      </c>
      <c r="P57" s="46">
        <f t="shared" si="8"/>
        <v>1.1097560975609756E-2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input_559100!A$2</f>
        <v>559100</v>
      </c>
      <c r="B58" s="1">
        <v>475</v>
      </c>
      <c r="C58" s="7" t="str">
        <f t="shared" si="6"/>
        <v>PremiumSS5</v>
      </c>
      <c r="D58" s="7" t="str">
        <f t="shared" si="7"/>
        <v>PremiumSS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緋王 キング・ドライグ</v>
      </c>
      <c r="I58" s="7" t="str">
        <f>VLOOKUP(B58,[1]characters!$A:$J,10,FALSE)</f>
        <v>PremiumSS</v>
      </c>
      <c r="J58" s="7">
        <f>VLOOKUP(B58,[1]characters!$A:$I,9,FALSE)</f>
        <v>5</v>
      </c>
      <c r="K58" s="7" t="str">
        <f>VLOOKUP(B58,[1]characters!$A:$H,8,FALSE)</f>
        <v>red</v>
      </c>
      <c r="L58" s="7" t="str">
        <f>VLOOKUP(B58,[1]characters!$A:$K,11,FALSE)</f>
        <v>attack</v>
      </c>
      <c r="M58" s="7" t="str">
        <f>VLOOKUP(B58,[1]characters!$A:$M,13,FALSE)</f>
        <v>dragon</v>
      </c>
      <c r="N58" s="7" t="str">
        <f>VLOOKUP(B58,[1]characters!$A:$G,7,FALSE)</f>
        <v>不明</v>
      </c>
      <c r="O58" s="45">
        <f t="shared" si="3"/>
        <v>1845</v>
      </c>
      <c r="P58" s="46">
        <f t="shared" si="8"/>
        <v>1.0416666666666667E-3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input_559100!A$2</f>
        <v>559100</v>
      </c>
      <c r="B59" s="1">
        <v>478</v>
      </c>
      <c r="C59" s="7" t="str">
        <f t="shared" si="6"/>
        <v>Premium5</v>
      </c>
      <c r="D59" s="7" t="str">
        <f t="shared" si="7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時計仕掛けの愛羽妖精 ファータ</v>
      </c>
      <c r="I59" s="7" t="str">
        <f>VLOOKUP(B59,[1]characters!$A:$J,10,FALSE)</f>
        <v>PremiumS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heal</v>
      </c>
      <c r="M59" s="7" t="str">
        <f>VLOOKUP(B59,[1]characters!$A:$M,13,FALSE)</f>
        <v>unknown</v>
      </c>
      <c r="N59" s="7" t="str">
        <f>VLOOKUP(B59,[1]characters!$A:$G,7,FALSE)</f>
        <v>女性</v>
      </c>
      <c r="O59" s="45">
        <f t="shared" si="3"/>
        <v>19656</v>
      </c>
      <c r="P59" s="46">
        <f t="shared" si="8"/>
        <v>1.1097560975609756E-2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input_559100!A$2</f>
        <v>559100</v>
      </c>
      <c r="B60" s="1">
        <v>480</v>
      </c>
      <c r="C60" s="7" t="str">
        <f t="shared" si="6"/>
        <v>PremiumSS5</v>
      </c>
      <c r="D60" s="7" t="str">
        <f t="shared" si="7"/>
        <v>PremiumSS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夢幻の愚者フール</v>
      </c>
      <c r="I60" s="7" t="str">
        <f>VLOOKUP(B60,[1]characters!$A:$J,10,FALSE)</f>
        <v>PremiumSS</v>
      </c>
      <c r="J60" s="7">
        <f>VLOOKUP(B60,[1]characters!$A:$I,9,FALSE)</f>
        <v>5</v>
      </c>
      <c r="K60" s="7" t="str">
        <f>VLOOKUP(B60,[1]characters!$A:$H,8,FALSE)</f>
        <v>blue</v>
      </c>
      <c r="L60" s="7" t="str">
        <f>VLOOKUP(B60,[1]characters!$A:$K,11,FALSE)</f>
        <v>technical</v>
      </c>
      <c r="M60" s="7" t="str">
        <f>VLOOKUP(B60,[1]characters!$A:$M,13,FALSE)</f>
        <v>god</v>
      </c>
      <c r="N60" s="7" t="str">
        <f>VLOOKUP(B60,[1]characters!$A:$G,7,FALSE)</f>
        <v>男性</v>
      </c>
      <c r="O60" s="45">
        <f t="shared" si="3"/>
        <v>1845</v>
      </c>
      <c r="P60" s="46">
        <f t="shared" si="8"/>
        <v>1.0416666666666667E-3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input_559100!A$2</f>
        <v>559100</v>
      </c>
      <c r="B61" s="1">
        <v>483</v>
      </c>
      <c r="C61" s="7" t="str">
        <f t="shared" si="6"/>
        <v>Premium5</v>
      </c>
      <c r="D61" s="7" t="str">
        <f t="shared" si="7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 xml:space="preserve">命経死遂 沢庵宗彭 </v>
      </c>
      <c r="I61" s="7" t="str">
        <f>VLOOKUP(B61,[1]characters!$A:$J,10,FALSE)</f>
        <v>PremiumS</v>
      </c>
      <c r="J61" s="7">
        <f>VLOOKUP(B61,[1]characters!$A:$I,9,FALSE)</f>
        <v>5</v>
      </c>
      <c r="K61" s="7" t="str">
        <f>VLOOKUP(B61,[1]characters!$A:$H,8,FALSE)</f>
        <v>yellow</v>
      </c>
      <c r="L61" s="7" t="str">
        <f>VLOOKUP(B61,[1]characters!$A:$K,11,FALSE)</f>
        <v>hp</v>
      </c>
      <c r="M61" s="7" t="str">
        <f>VLOOKUP(B61,[1]characters!$A:$M,13,FALSE)</f>
        <v>human</v>
      </c>
      <c r="N61" s="7" t="str">
        <f>VLOOKUP(B61,[1]characters!$A:$G,7,FALSE)</f>
        <v>男性</v>
      </c>
      <c r="O61" s="45">
        <f t="shared" si="3"/>
        <v>19656</v>
      </c>
      <c r="P61" s="46">
        <f t="shared" si="8"/>
        <v>1.1097560975609756E-2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input_559100!A$2</f>
        <v>559100</v>
      </c>
      <c r="B62" s="1">
        <v>493</v>
      </c>
      <c r="C62" s="7" t="str">
        <f t="shared" si="6"/>
        <v>PremiumSS5</v>
      </c>
      <c r="D62" s="7" t="str">
        <f t="shared" si="7"/>
        <v>PremiumSS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跋扈の機脚 ブートレグ・ペロー</v>
      </c>
      <c r="I62" s="7" t="str">
        <f>VLOOKUP(B62,[1]characters!$A:$J,10,FALSE)</f>
        <v>PremiumSS</v>
      </c>
      <c r="J62" s="7">
        <f>VLOOKUP(B62,[1]characters!$A:$I,9,FALSE)</f>
        <v>5</v>
      </c>
      <c r="K62" s="7" t="str">
        <f>VLOOKUP(B62,[1]characters!$A:$H,8,FALSE)</f>
        <v>red</v>
      </c>
      <c r="L62" s="7" t="str">
        <f>VLOOKUP(B62,[1]characters!$A:$K,11,FALSE)</f>
        <v>hp</v>
      </c>
      <c r="M62" s="7" t="str">
        <f>VLOOKUP(B62,[1]characters!$A:$M,13,FALSE)</f>
        <v>animal</v>
      </c>
      <c r="N62" s="7" t="str">
        <f>VLOOKUP(B62,[1]characters!$A:$G,7,FALSE)</f>
        <v>不明</v>
      </c>
      <c r="O62" s="45">
        <f t="shared" si="3"/>
        <v>1845</v>
      </c>
      <c r="P62" s="46">
        <f t="shared" si="8"/>
        <v>1.0416666666666667E-3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input_559100!A$2</f>
        <v>559100</v>
      </c>
      <c r="B63" s="1">
        <v>495</v>
      </c>
      <c r="C63" s="7" t="str">
        <f t="shared" si="6"/>
        <v>PremiumSS5</v>
      </c>
      <c r="D63" s="7" t="str">
        <f t="shared" si="7"/>
        <v>PremiumSS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鼠災呼ぶ笛音 ハーメルン</v>
      </c>
      <c r="I63" s="7" t="str">
        <f>VLOOKUP(B63,[1]characters!$A:$J,10,FALSE)</f>
        <v>PremiumSS</v>
      </c>
      <c r="J63" s="7">
        <f>VLOOKUP(B63,[1]characters!$A:$I,9,FALSE)</f>
        <v>5</v>
      </c>
      <c r="K63" s="7" t="str">
        <f>VLOOKUP(B63,[1]characters!$A:$H,8,FALSE)</f>
        <v>green</v>
      </c>
      <c r="L63" s="7" t="str">
        <f>VLOOKUP(B63,[1]characters!$A:$K,11,FALSE)</f>
        <v>technical</v>
      </c>
      <c r="M63" s="7" t="str">
        <f>VLOOKUP(B63,[1]characters!$A:$M,13,FALSE)</f>
        <v>human</v>
      </c>
      <c r="N63" s="7" t="str">
        <f>VLOOKUP(B63,[1]characters!$A:$G,7,FALSE)</f>
        <v>男性</v>
      </c>
      <c r="O63" s="45">
        <f t="shared" si="3"/>
        <v>1845</v>
      </c>
      <c r="P63" s="46">
        <f t="shared" si="8"/>
        <v>1.0416666666666667E-3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input_559100!A$2</f>
        <v>559100</v>
      </c>
      <c r="B64" s="1">
        <v>498</v>
      </c>
      <c r="C64" s="7" t="str">
        <f t="shared" si="6"/>
        <v>Premium5</v>
      </c>
      <c r="D64" s="7" t="str">
        <f t="shared" si="7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自愛の高魔 エスタブ</v>
      </c>
      <c r="I64" s="7" t="str">
        <f>VLOOKUP(B64,[1]characters!$A:$J,10,FALSE)</f>
        <v>PremiumS</v>
      </c>
      <c r="J64" s="7">
        <f>VLOOKUP(B64,[1]characters!$A:$I,9,FALSE)</f>
        <v>5</v>
      </c>
      <c r="K64" s="7" t="str">
        <f>VLOOKUP(B64,[1]characters!$A:$H,8,FALSE)</f>
        <v>blue</v>
      </c>
      <c r="L64" s="7" t="str">
        <f>VLOOKUP(B64,[1]characters!$A:$K,11,FALSE)</f>
        <v>attack</v>
      </c>
      <c r="M64" s="7" t="str">
        <f>VLOOKUP(B64,[1]characters!$A:$M,13,FALSE)</f>
        <v>human</v>
      </c>
      <c r="N64" s="7" t="str">
        <f>VLOOKUP(B64,[1]characters!$A:$G,7,FALSE)</f>
        <v>男性</v>
      </c>
      <c r="O64" s="45">
        <f t="shared" si="3"/>
        <v>19656</v>
      </c>
      <c r="P64" s="46">
        <f t="shared" si="8"/>
        <v>1.1097560975609756E-2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input_559100!A$2</f>
        <v>559100</v>
      </c>
      <c r="B65" s="1">
        <v>500</v>
      </c>
      <c r="C65" s="7" t="str">
        <f t="shared" si="6"/>
        <v>PremiumSS5</v>
      </c>
      <c r="D65" s="7" t="str">
        <f t="shared" si="7"/>
        <v>PremiumSS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脈動の禁髪 ラプンツェル</v>
      </c>
      <c r="I65" s="7" t="str">
        <f>VLOOKUP(B65,[1]characters!$A:$J,10,FALSE)</f>
        <v>PremiumSS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balance</v>
      </c>
      <c r="M65" s="7" t="str">
        <f>VLOOKUP(B65,[1]characters!$A:$M,13,FALSE)</f>
        <v>human</v>
      </c>
      <c r="N65" s="7" t="str">
        <f>VLOOKUP(B65,[1]characters!$A:$G,7,FALSE)</f>
        <v>女性</v>
      </c>
      <c r="O65" s="45">
        <f t="shared" si="3"/>
        <v>1845</v>
      </c>
      <c r="P65" s="46">
        <f t="shared" si="8"/>
        <v>1.0416666666666667E-3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ht="21" customHeight="1" x14ac:dyDescent="0.15">
      <c r="A66" s="2" t="str">
        <f ca="1">input_559100!A$2</f>
        <v>559100</v>
      </c>
      <c r="B66" s="1">
        <v>560</v>
      </c>
      <c r="C66" s="7" t="str">
        <f t="shared" si="6"/>
        <v>premium5R3less</v>
      </c>
      <c r="D66" s="7" t="str">
        <f t="shared" si="7"/>
        <v>premium</v>
      </c>
      <c r="E66" s="7" t="str">
        <f>IF(COUNTIF('R6追加前'!A:A,B66)=0,IF(OR(I66="PremiumSS",I66="PremiumSSw"),"R5only","R3less"),"")</f>
        <v>R3less</v>
      </c>
      <c r="F66" s="7" t="str">
        <f>IF(COUNTIF('R6開放'!A:A,B66)&gt;0,"R6release","")</f>
        <v/>
      </c>
      <c r="G66" s="7"/>
      <c r="H66" s="7" t="str">
        <f>VLOOKUP(B66,[1]characters!$A:$C,3,FALSE)</f>
        <v>暴骨炎舞の狂賢者 ユノ</v>
      </c>
      <c r="I66" s="7" t="str">
        <f>VLOOKUP(B66,[1]characters!$A:$J,10,FALSE)</f>
        <v>PremiumW</v>
      </c>
      <c r="J66" s="7">
        <f>VLOOKUP(B66,[1]characters!$A:$I,9,FALSE)</f>
        <v>5</v>
      </c>
      <c r="K66" s="7" t="str">
        <f>VLOOKUP(B66,[1]characters!$A:$H,8,FALSE)</f>
        <v>red</v>
      </c>
      <c r="L66" s="7" t="str">
        <f>VLOOKUP(B66,[1]characters!$A:$K,11,FALSE)</f>
        <v>attack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t="shared" si="3"/>
        <v>19656</v>
      </c>
      <c r="P66" s="46">
        <f t="shared" si="8"/>
        <v>1.1097560975609756E-2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input_559100!A$2</f>
        <v>559100</v>
      </c>
      <c r="B67" s="1">
        <v>561</v>
      </c>
      <c r="C67" s="7" t="str">
        <f t="shared" si="6"/>
        <v>premium5R3less</v>
      </c>
      <c r="D67" s="7" t="str">
        <f t="shared" si="7"/>
        <v>premium</v>
      </c>
      <c r="E67" s="7" t="str">
        <f>IF(COUNTIF('R6追加前'!A:A,B67)=0,IF(OR(I67="PremiumSS",I67="PremiumSSw"),"R5only","R3less"),"")</f>
        <v>R3less</v>
      </c>
      <c r="F67" s="7" t="str">
        <f>IF(COUNTIF('R6開放'!A:A,B67)&gt;0,"R6release","")</f>
        <v/>
      </c>
      <c r="G67" s="7"/>
      <c r="H67" s="7" t="str">
        <f>VLOOKUP(B67,[1]characters!$A:$C,3,FALSE)</f>
        <v>森翠統べる獣姫 アマラ</v>
      </c>
      <c r="I67" s="7" t="str">
        <f>VLOOKUP(B67,[1]characters!$A:$J,10,FALSE)</f>
        <v>PremiumW</v>
      </c>
      <c r="J67" s="7">
        <f>VLOOKUP(B67,[1]characters!$A:$I,9,FALSE)</f>
        <v>5</v>
      </c>
      <c r="K67" s="7" t="str">
        <f>VLOOKUP(B67,[1]characters!$A:$H,8,FALSE)</f>
        <v>green</v>
      </c>
      <c r="L67" s="7" t="str">
        <f>VLOOKUP(B67,[1]characters!$A:$K,11,FALSE)</f>
        <v>attack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t="shared" ref="O67:O71" si="9">VLOOKUP(D67,$W$2:$Y$4,3,FALSE)</f>
        <v>19656</v>
      </c>
      <c r="P67" s="46">
        <f t="shared" si="8"/>
        <v>1.1097560975609756E-2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input_559100!A$2</f>
        <v>559100</v>
      </c>
      <c r="B68" s="1">
        <v>562</v>
      </c>
      <c r="C68" s="7" t="str">
        <f t="shared" si="6"/>
        <v>premium5R3less</v>
      </c>
      <c r="D68" s="7" t="str">
        <f t="shared" si="7"/>
        <v>premium</v>
      </c>
      <c r="E68" s="7" t="str">
        <f>IF(COUNTIF('R6追加前'!A:A,B68)=0,IF(OR(I68="PremiumSS",I68="PremiumSSw"),"R5only","R3less"),"")</f>
        <v>R3less</v>
      </c>
      <c r="F68" s="7" t="str">
        <f>IF(COUNTIF('R6開放'!A:A,B68)&gt;0,"R6release","")</f>
        <v/>
      </c>
      <c r="G68" s="7"/>
      <c r="H68" s="7" t="str">
        <f>VLOOKUP(B68,[1]characters!$A:$C,3,FALSE)</f>
        <v>月夜砕く蒼狂狼 ローレンス</v>
      </c>
      <c r="I68" s="7" t="str">
        <f>VLOOKUP(B68,[1]characters!$A:$J,10,FALSE)</f>
        <v>PremiumW</v>
      </c>
      <c r="J68" s="7">
        <f>VLOOKUP(B68,[1]characters!$A:$I,9,FALSE)</f>
        <v>5</v>
      </c>
      <c r="K68" s="7" t="str">
        <f>VLOOKUP(B68,[1]characters!$A:$H,8,FALSE)</f>
        <v>blue</v>
      </c>
      <c r="L68" s="7" t="str">
        <f>VLOOKUP(B68,[1]characters!$A:$K,11,FALSE)</f>
        <v>attack</v>
      </c>
      <c r="M68" s="7" t="str">
        <f>VLOOKUP(B68,[1]characters!$A:$M,13,FALSE)</f>
        <v>animal</v>
      </c>
      <c r="N68" s="7" t="str">
        <f>VLOOKUP(B68,[1]characters!$A:$G,7,FALSE)</f>
        <v>不明</v>
      </c>
      <c r="O68" s="45">
        <f t="shared" si="9"/>
        <v>19656</v>
      </c>
      <c r="P68" s="46">
        <f t="shared" si="8"/>
        <v>1.1097560975609756E-2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input_559100!A$2</f>
        <v>559100</v>
      </c>
      <c r="B69" s="1">
        <v>563</v>
      </c>
      <c r="C69" s="7" t="str">
        <f t="shared" si="6"/>
        <v>premium5R3less</v>
      </c>
      <c r="D69" s="7" t="str">
        <f t="shared" si="7"/>
        <v>premium</v>
      </c>
      <c r="E69" s="7" t="str">
        <f>IF(COUNTIF('R6追加前'!A:A,B69)=0,IF(OR(I69="PremiumSS",I69="PremiumSSw"),"R5only","R3less"),"")</f>
        <v>R3less</v>
      </c>
      <c r="F69" s="7" t="str">
        <f>IF(COUNTIF('R6開放'!A:A,B69)&gt;0,"R6release","")</f>
        <v/>
      </c>
      <c r="G69" s="7"/>
      <c r="H69" s="7" t="str">
        <f>VLOOKUP(B69,[1]characters!$A:$C,3,FALSE)</f>
        <v>電翔紫閃の雷刃 ハヤト</v>
      </c>
      <c r="I69" s="7" t="str">
        <f>VLOOKUP(B69,[1]characters!$A:$J,10,FALSE)</f>
        <v>PremiumW</v>
      </c>
      <c r="J69" s="7">
        <f>VLOOKUP(B69,[1]characters!$A:$I,9,FALSE)</f>
        <v>5</v>
      </c>
      <c r="K69" s="7" t="str">
        <f>VLOOKUP(B69,[1]characters!$A:$H,8,FALSE)</f>
        <v>yellow</v>
      </c>
      <c r="L69" s="7" t="str">
        <f>VLOOKUP(B69,[1]characters!$A:$K,11,FALSE)</f>
        <v>attack</v>
      </c>
      <c r="M69" s="7" t="str">
        <f>VLOOKUP(B69,[1]characters!$A:$M,13,FALSE)</f>
        <v>human</v>
      </c>
      <c r="N69" s="7" t="str">
        <f>VLOOKUP(B69,[1]characters!$A:$G,7,FALSE)</f>
        <v>男性</v>
      </c>
      <c r="O69" s="45">
        <f t="shared" si="9"/>
        <v>19656</v>
      </c>
      <c r="P69" s="46">
        <f t="shared" si="8"/>
        <v>1.1097560975609756E-2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input_559100!A$2</f>
        <v>559100</v>
      </c>
      <c r="B70" s="1">
        <v>566</v>
      </c>
      <c r="C70" s="7" t="str">
        <f t="shared" si="6"/>
        <v>premium5R3less</v>
      </c>
      <c r="D70" s="7" t="str">
        <f t="shared" si="7"/>
        <v>premium</v>
      </c>
      <c r="E70" s="7" t="str">
        <f>IF(COUNTIF('R6追加前'!A:A,B70)=0,IF(OR(I70="PremiumSS",I70="PremiumSSw"),"R5only","R3less"),"")</f>
        <v>R3less</v>
      </c>
      <c r="F70" s="7" t="str">
        <f>IF(COUNTIF('R6開放'!A:A,B70)&gt;0,"R6release","")</f>
        <v/>
      </c>
      <c r="G70" s="7"/>
      <c r="H70" s="7" t="str">
        <f>VLOOKUP(B70,[1]characters!$A:$C,3,FALSE)</f>
        <v>遊歩遊泳プリンセス マーメイド</v>
      </c>
      <c r="I70" s="7" t="str">
        <f>VLOOKUP(B70,[1]characters!$A:$J,10,FALSE)</f>
        <v>PremiumW</v>
      </c>
      <c r="J70" s="7">
        <f>VLOOKUP(B70,[1]characters!$A:$I,9,FALSE)</f>
        <v>5</v>
      </c>
      <c r="K70" s="7" t="str">
        <f>VLOOKUP(B70,[1]characters!$A:$H,8,FALSE)</f>
        <v>blue</v>
      </c>
      <c r="L70" s="7" t="str">
        <f>VLOOKUP(B70,[1]characters!$A:$K,11,FALSE)</f>
        <v>hp</v>
      </c>
      <c r="M70" s="7" t="str">
        <f>VLOOKUP(B70,[1]characters!$A:$M,13,FALSE)</f>
        <v>human</v>
      </c>
      <c r="N70" s="7" t="str">
        <f>VLOOKUP(B70,[1]characters!$A:$G,7,FALSE)</f>
        <v>不明</v>
      </c>
      <c r="O70" s="45">
        <f t="shared" si="9"/>
        <v>19656</v>
      </c>
      <c r="P70" s="46">
        <f t="shared" si="8"/>
        <v>1.1097560975609756E-2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input_559100!A$2</f>
        <v>559100</v>
      </c>
      <c r="B71" s="1">
        <v>567</v>
      </c>
      <c r="C71" s="7" t="str">
        <f t="shared" si="6"/>
        <v>premium5R3less</v>
      </c>
      <c r="D71" s="7" t="str">
        <f t="shared" si="7"/>
        <v>premium</v>
      </c>
      <c r="E71" s="7" t="str">
        <f>IF(COUNTIF('R6追加前'!A:A,B71)=0,IF(OR(I71="PremiumSS",I71="PremiumSSw"),"R5only","R3less"),"")</f>
        <v>R3less</v>
      </c>
      <c r="F71" s="7" t="str">
        <f>IF(COUNTIF('R6開放'!A:A,B71)&gt;0,"R6release","")</f>
        <v/>
      </c>
      <c r="G71" s="7"/>
      <c r="H71" s="7" t="str">
        <f>VLOOKUP(B71,[1]characters!$A:$C,3,FALSE)</f>
        <v>紅揚の祭狐宴舞 タマモ</v>
      </c>
      <c r="I71" s="7" t="str">
        <f>VLOOKUP(B71,[1]characters!$A:$J,10,FALSE)</f>
        <v>PremiumW</v>
      </c>
      <c r="J71" s="7">
        <f>VLOOKUP(B71,[1]characters!$A:$I,9,FALSE)</f>
        <v>5</v>
      </c>
      <c r="K71" s="7" t="str">
        <f>VLOOKUP(B71,[1]characters!$A:$H,8,FALSE)</f>
        <v>yellow</v>
      </c>
      <c r="L71" s="7" t="str">
        <f>VLOOKUP(B71,[1]characters!$A:$K,11,FALSE)</f>
        <v>balance</v>
      </c>
      <c r="M71" s="7" t="str">
        <f>VLOOKUP(B71,[1]characters!$A:$M,13,FALSE)</f>
        <v>animal</v>
      </c>
      <c r="N71" s="7" t="str">
        <f>VLOOKUP(B71,[1]characters!$A:$G,7,FALSE)</f>
        <v>不明</v>
      </c>
      <c r="O71" s="45">
        <f t="shared" si="9"/>
        <v>19656</v>
      </c>
      <c r="P71" s="46">
        <f t="shared" si="8"/>
        <v>1.1097560975609756E-2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input_559100!A$2</f>
        <v>559100</v>
      </c>
      <c r="B72" s="1">
        <v>587</v>
      </c>
      <c r="C72" s="7" t="str">
        <f t="shared" si="6"/>
        <v>PremiumSS5</v>
      </c>
      <c r="D72" s="7" t="str">
        <f t="shared" si="7"/>
        <v>PremiumSS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原初の煉鋼巨刃 ユミル</v>
      </c>
      <c r="I72" s="7" t="str">
        <f>VLOOKUP(B72,[1]characters!$A:$J,10,FALSE)</f>
        <v>PremiumSS</v>
      </c>
      <c r="J72" s="7">
        <f>VLOOKUP(B72,[1]characters!$A:$I,9,FALSE)</f>
        <v>5</v>
      </c>
      <c r="K72" s="7" t="str">
        <f>VLOOKUP(B72,[1]characters!$A:$H,8,FALSE)</f>
        <v>red</v>
      </c>
      <c r="L72" s="7" t="str">
        <f>VLOOKUP(B72,[1]characters!$A:$K,11,FALSE)</f>
        <v>hp</v>
      </c>
      <c r="M72" s="7" t="str">
        <f>VLOOKUP(B72,[1]characters!$A:$M,13,FALSE)</f>
        <v>machine</v>
      </c>
      <c r="N72" s="7" t="str">
        <f>VLOOKUP(B72,[1]characters!$A:$G,7,FALSE)</f>
        <v>不明</v>
      </c>
      <c r="O72" s="45">
        <f>VLOOKUP(D72,$W$2:$Y$4,3,FALSE)</f>
        <v>1845</v>
      </c>
      <c r="P72" s="46">
        <f t="shared" si="8"/>
        <v>1.0416666666666667E-3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input_559100!A$2</f>
        <v>559100</v>
      </c>
      <c r="B73" s="1">
        <v>590</v>
      </c>
      <c r="C73" s="7" t="str">
        <f t="shared" si="6"/>
        <v>Premium5</v>
      </c>
      <c r="D73" s="7" t="str">
        <f t="shared" si="7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永遠を廻る呪い ニーベルゲン</v>
      </c>
      <c r="I73" s="7" t="str">
        <f>VLOOKUP(B73,[1]characters!$A:$J,10,FALSE)</f>
        <v>PremiumS</v>
      </c>
      <c r="J73" s="7">
        <f>VLOOKUP(B73,[1]characters!$A:$I,9,FALSE)</f>
        <v>5</v>
      </c>
      <c r="K73" s="7" t="str">
        <f>VLOOKUP(B73,[1]characters!$A:$H,8,FALSE)</f>
        <v>green</v>
      </c>
      <c r="L73" s="7" t="str">
        <f>VLOOKUP(B73,[1]characters!$A:$K,11,FALSE)</f>
        <v>balance</v>
      </c>
      <c r="M73" s="7" t="str">
        <f>VLOOKUP(B73,[1]characters!$A:$M,13,FALSE)</f>
        <v>unknown</v>
      </c>
      <c r="N73" s="7" t="str">
        <f>VLOOKUP(B73,[1]characters!$A:$G,7,FALSE)</f>
        <v>女性</v>
      </c>
      <c r="O73" s="45">
        <f t="shared" ref="O73:O99" si="10">VLOOKUP(D73,$W$2:$Y$4,3,FALSE)</f>
        <v>19656</v>
      </c>
      <c r="P73" s="46">
        <f t="shared" si="8"/>
        <v>1.1097560975609756E-2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input_559100!A$2</f>
        <v>559100</v>
      </c>
      <c r="B74" s="1">
        <v>593</v>
      </c>
      <c r="C74" s="7" t="str">
        <f t="shared" si="6"/>
        <v>Premium5</v>
      </c>
      <c r="D74" s="7" t="str">
        <f t="shared" si="7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妄執する邪毒龍 ファフニール</v>
      </c>
      <c r="I74" s="7" t="str">
        <f>VLOOKUP(B74,[1]characters!$A:$J,10,FALSE)</f>
        <v>PremiumS</v>
      </c>
      <c r="J74" s="7">
        <f>VLOOKUP(B74,[1]characters!$A:$I,9,FALSE)</f>
        <v>5</v>
      </c>
      <c r="K74" s="7" t="str">
        <f>VLOOKUP(B74,[1]characters!$A:$H,8,FALSE)</f>
        <v>blue</v>
      </c>
      <c r="L74" s="7" t="str">
        <f>VLOOKUP(B74,[1]characters!$A:$K,11,FALSE)</f>
        <v>technical</v>
      </c>
      <c r="M74" s="7" t="str">
        <f>VLOOKUP(B74,[1]characters!$A:$M,13,FALSE)</f>
        <v>dragon</v>
      </c>
      <c r="N74" s="7" t="str">
        <f>VLOOKUP(B74,[1]characters!$A:$G,7,FALSE)</f>
        <v>不明</v>
      </c>
      <c r="O74" s="45">
        <f t="shared" si="10"/>
        <v>19656</v>
      </c>
      <c r="P74" s="46">
        <f t="shared" si="8"/>
        <v>1.1097560975609756E-2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input_559100!A$2</f>
        <v>559100</v>
      </c>
      <c r="B75" s="1">
        <v>595</v>
      </c>
      <c r="C75" s="7" t="str">
        <f t="shared" si="6"/>
        <v>PremiumSS5</v>
      </c>
      <c r="D75" s="7" t="str">
        <f t="shared" si="7"/>
        <v>PremiumSS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光華なる神域 アルフヘイム</v>
      </c>
      <c r="I75" s="7" t="str">
        <f>VLOOKUP(B75,[1]characters!$A:$J,10,FALSE)</f>
        <v>PremiumSS</v>
      </c>
      <c r="J75" s="7">
        <f>VLOOKUP(B75,[1]characters!$A:$I,9,FALSE)</f>
        <v>5</v>
      </c>
      <c r="K75" s="7" t="str">
        <f>VLOOKUP(B75,[1]characters!$A:$H,8,FALSE)</f>
        <v>yellow</v>
      </c>
      <c r="L75" s="7" t="str">
        <f>VLOOKUP(B75,[1]characters!$A:$K,11,FALSE)</f>
        <v>attack</v>
      </c>
      <c r="M75" s="7" t="str">
        <f>VLOOKUP(B75,[1]characters!$A:$M,13,FALSE)</f>
        <v>dragon</v>
      </c>
      <c r="N75" s="7" t="str">
        <f>VLOOKUP(B75,[1]characters!$A:$G,7,FALSE)</f>
        <v>不明</v>
      </c>
      <c r="O75" s="45">
        <f t="shared" si="10"/>
        <v>1845</v>
      </c>
      <c r="P75" s="46">
        <f t="shared" si="8"/>
        <v>1.0416666666666667E-3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input_559100!A$2</f>
        <v>559100</v>
      </c>
      <c r="B76" s="1">
        <v>598</v>
      </c>
      <c r="C76" s="7" t="str">
        <f t="shared" si="6"/>
        <v>Premium5</v>
      </c>
      <c r="D76" s="7" t="str">
        <f t="shared" si="7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焼燃の情熱 ムスペルヘイム</v>
      </c>
      <c r="I76" s="7" t="str">
        <f>VLOOKUP(B76,[1]characters!$A:$J,10,FALSE)</f>
        <v>PremiumS</v>
      </c>
      <c r="J76" s="7">
        <f>VLOOKUP(B76,[1]characters!$A:$I,9,FALSE)</f>
        <v>5</v>
      </c>
      <c r="K76" s="7" t="str">
        <f>VLOOKUP(B76,[1]characters!$A:$H,8,FALSE)</f>
        <v>red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t="shared" si="10"/>
        <v>19656</v>
      </c>
      <c r="P76" s="46">
        <f t="shared" si="8"/>
        <v>1.1097560975609756E-2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input_559100!A$2</f>
        <v>559100</v>
      </c>
      <c r="B77" s="1">
        <v>601</v>
      </c>
      <c r="C77" s="7" t="str">
        <f t="shared" si="6"/>
        <v>Premium5</v>
      </c>
      <c r="D77" s="7" t="str">
        <f t="shared" si="7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界根蝕む悪食 ニーズヘッグ</v>
      </c>
      <c r="I77" s="7" t="str">
        <f>VLOOKUP(B77,[1]characters!$A:$J,10,FALSE)</f>
        <v>PremiumS</v>
      </c>
      <c r="J77" s="7">
        <f>VLOOKUP(B77,[1]characters!$A:$I,9,FALSE)</f>
        <v>5</v>
      </c>
      <c r="K77" s="7" t="str">
        <f>VLOOKUP(B77,[1]characters!$A:$H,8,FALSE)</f>
        <v>green</v>
      </c>
      <c r="L77" s="7" t="str">
        <f>VLOOKUP(B77,[1]characters!$A:$K,11,FALSE)</f>
        <v>attack</v>
      </c>
      <c r="M77" s="7" t="str">
        <f>VLOOKUP(B77,[1]characters!$A:$M,13,FALSE)</f>
        <v>dragon</v>
      </c>
      <c r="N77" s="7" t="str">
        <f>VLOOKUP(B77,[1]characters!$A:$G,7,FALSE)</f>
        <v>不明</v>
      </c>
      <c r="O77" s="45">
        <f t="shared" si="10"/>
        <v>19656</v>
      </c>
      <c r="P77" s="46">
        <f t="shared" si="8"/>
        <v>1.1097560975609756E-2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input_559100!A$2</f>
        <v>559100</v>
      </c>
      <c r="B78" s="1">
        <v>603</v>
      </c>
      <c r="C78" s="7" t="str">
        <f t="shared" si="6"/>
        <v>PremiumSS5</v>
      </c>
      <c r="D78" s="7" t="str">
        <f t="shared" si="7"/>
        <v>PremiumSS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掌愛の豊穣女神 フレイヤ</v>
      </c>
      <c r="I78" s="7" t="str">
        <f>VLOOKUP(B78,[1]characters!$A:$J,10,FALSE)</f>
        <v>PremiumSS</v>
      </c>
      <c r="J78" s="7">
        <f>VLOOKUP(B78,[1]characters!$A:$I,9,FALSE)</f>
        <v>5</v>
      </c>
      <c r="K78" s="7" t="str">
        <f>VLOOKUP(B78,[1]characters!$A:$H,8,FALSE)</f>
        <v>blue</v>
      </c>
      <c r="L78" s="7" t="str">
        <f>VLOOKUP(B78,[1]characters!$A:$K,11,FALSE)</f>
        <v>heal</v>
      </c>
      <c r="M78" s="7" t="str">
        <f>VLOOKUP(B78,[1]characters!$A:$M,13,FALSE)</f>
        <v>animal</v>
      </c>
      <c r="N78" s="7" t="str">
        <f>VLOOKUP(B78,[1]characters!$A:$G,7,FALSE)</f>
        <v>女性</v>
      </c>
      <c r="O78" s="45">
        <f t="shared" si="10"/>
        <v>1845</v>
      </c>
      <c r="P78" s="46">
        <f t="shared" si="8"/>
        <v>1.0416666666666667E-3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input_559100!A$2</f>
        <v>559100</v>
      </c>
      <c r="B79" s="1">
        <v>606</v>
      </c>
      <c r="C79" s="7" t="str">
        <f t="shared" si="6"/>
        <v>Premium5</v>
      </c>
      <c r="D79" s="7" t="str">
        <f t="shared" si="7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冀望の光芒 バルドル</v>
      </c>
      <c r="I79" s="7" t="str">
        <f>VLOOKUP(B79,[1]characters!$A:$J,10,FALSE)</f>
        <v>PremiumS</v>
      </c>
      <c r="J79" s="7">
        <f>VLOOKUP(B79,[1]characters!$A:$I,9,FALSE)</f>
        <v>5</v>
      </c>
      <c r="K79" s="7" t="str">
        <f>VLOOKUP(B79,[1]characters!$A:$H,8,FALSE)</f>
        <v>yellow</v>
      </c>
      <c r="L79" s="7" t="str">
        <f>VLOOKUP(B79,[1]characters!$A:$K,11,FALSE)</f>
        <v>heal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t="shared" si="10"/>
        <v>19656</v>
      </c>
      <c r="P79" s="46">
        <f t="shared" si="8"/>
        <v>1.1097560975609756E-2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input_559100!A$2</f>
        <v>559100</v>
      </c>
      <c r="B80" s="1">
        <v>659</v>
      </c>
      <c r="C80" s="7" t="str">
        <f t="shared" si="6"/>
        <v>PremiumSS5</v>
      </c>
      <c r="D80" s="7" t="str">
        <f t="shared" si="7"/>
        <v>PremiumSS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跳梁する化猫 クルミ</v>
      </c>
      <c r="I80" s="7" t="str">
        <f>VLOOKUP(B80,[1]characters!$A:$J,10,FALSE)</f>
        <v>PremiumSS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attack</v>
      </c>
      <c r="M80" s="7" t="str">
        <f>VLOOKUP(B80,[1]characters!$A:$M,13,FALSE)</f>
        <v>animal</v>
      </c>
      <c r="N80" s="7" t="str">
        <f>VLOOKUP(B80,[1]characters!$A:$G,7,FALSE)</f>
        <v>女性</v>
      </c>
      <c r="O80" s="45">
        <f t="shared" si="10"/>
        <v>1845</v>
      </c>
      <c r="P80" s="46">
        <f t="shared" si="8"/>
        <v>1.0416666666666667E-3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input_559100!A$2</f>
        <v>559100</v>
      </c>
      <c r="B81" s="1">
        <v>661</v>
      </c>
      <c r="C81" s="7" t="str">
        <f t="shared" si="6"/>
        <v>PremiumSS5</v>
      </c>
      <c r="D81" s="7" t="str">
        <f t="shared" si="7"/>
        <v>PremiumSS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疾風の天狗礫 フウガ</v>
      </c>
      <c r="I81" s="7" t="str">
        <f>VLOOKUP(B81,[1]characters!$A:$J,10,FALSE)</f>
        <v>PremiumSS</v>
      </c>
      <c r="J81" s="7">
        <f>VLOOKUP(B81,[1]characters!$A:$I,9,FALSE)</f>
        <v>5</v>
      </c>
      <c r="K81" s="7" t="str">
        <f>VLOOKUP(B81,[1]characters!$A:$H,8,FALSE)</f>
        <v>green</v>
      </c>
      <c r="L81" s="7" t="str">
        <f>VLOOKUP(B81,[1]characters!$A:$K,11,FALSE)</f>
        <v>balance</v>
      </c>
      <c r="M81" s="7" t="str">
        <f>VLOOKUP(B81,[1]characters!$A:$M,13,FALSE)</f>
        <v>animal</v>
      </c>
      <c r="N81" s="7" t="str">
        <f>VLOOKUP(B81,[1]characters!$A:$G,7,FALSE)</f>
        <v>男性</v>
      </c>
      <c r="O81" s="45">
        <f t="shared" si="10"/>
        <v>1845</v>
      </c>
      <c r="P81" s="46">
        <f t="shared" si="8"/>
        <v>1.0416666666666667E-3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input_559100!A$2</f>
        <v>559100</v>
      </c>
      <c r="B82" s="1">
        <v>664</v>
      </c>
      <c r="C82" s="7" t="str">
        <f t="shared" si="6"/>
        <v>Premium5</v>
      </c>
      <c r="D82" s="7" t="str">
        <f t="shared" si="7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山掴み国造り ダイダラ</v>
      </c>
      <c r="I82" s="7" t="str">
        <f>VLOOKUP(B82,[1]characters!$A:$J,10,FALSE)</f>
        <v>PremiumS</v>
      </c>
      <c r="J82" s="7">
        <f>VLOOKUP(B82,[1]characters!$A:$I,9,FALSE)</f>
        <v>5</v>
      </c>
      <c r="K82" s="7" t="str">
        <f>VLOOKUP(B82,[1]characters!$A:$H,8,FALSE)</f>
        <v>blue</v>
      </c>
      <c r="L82" s="7" t="str">
        <f>VLOOKUP(B82,[1]characters!$A:$K,11,FALSE)</f>
        <v>hp</v>
      </c>
      <c r="M82" s="7" t="str">
        <f>VLOOKUP(B82,[1]characters!$A:$M,13,FALSE)</f>
        <v>unknown</v>
      </c>
      <c r="N82" s="7" t="str">
        <f>VLOOKUP(B82,[1]characters!$A:$G,7,FALSE)</f>
        <v>不明</v>
      </c>
      <c r="O82" s="45">
        <f t="shared" si="10"/>
        <v>19656</v>
      </c>
      <c r="P82" s="46">
        <f t="shared" si="8"/>
        <v>1.1097560975609756E-2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input_559100!A$2</f>
        <v>559100</v>
      </c>
      <c r="B83" s="1">
        <v>667</v>
      </c>
      <c r="C83" s="7" t="str">
        <f t="shared" si="6"/>
        <v>Premium5</v>
      </c>
      <c r="D83" s="7" t="str">
        <f t="shared" si="7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最幸運の妖童 テマリ</v>
      </c>
      <c r="I83" s="7" t="str">
        <f>VLOOKUP(B83,[1]characters!$A:$J,10,FALSE)</f>
        <v>PremiumS</v>
      </c>
      <c r="J83" s="7">
        <f>VLOOKUP(B83,[1]characters!$A:$I,9,FALSE)</f>
        <v>5</v>
      </c>
      <c r="K83" s="7" t="str">
        <f>VLOOKUP(B83,[1]characters!$A:$H,8,FALSE)</f>
        <v>yellow</v>
      </c>
      <c r="L83" s="7" t="str">
        <f>VLOOKUP(B83,[1]characters!$A:$K,11,FALSE)</f>
        <v>balance</v>
      </c>
      <c r="M83" s="7" t="str">
        <f>VLOOKUP(B83,[1]characters!$A:$M,13,FALSE)</f>
        <v>unknown</v>
      </c>
      <c r="N83" s="7" t="str">
        <f>VLOOKUP(B83,[1]characters!$A:$G,7,FALSE)</f>
        <v>女性</v>
      </c>
      <c r="O83" s="45">
        <f t="shared" si="10"/>
        <v>19656</v>
      </c>
      <c r="P83" s="46">
        <f t="shared" si="8"/>
        <v>1.1097560975609756E-2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input_559100!A$2</f>
        <v>559100</v>
      </c>
      <c r="B84" s="1">
        <v>670</v>
      </c>
      <c r="C84" s="7" t="str">
        <f t="shared" si="6"/>
        <v>Premium5</v>
      </c>
      <c r="D84" s="7" t="str">
        <f t="shared" si="7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陽天の噴煙 アグニ</v>
      </c>
      <c r="I84" s="7" t="str">
        <f>VLOOKUP(B84,[1]characters!$A:$J,10,FALSE)</f>
        <v>PremiumS</v>
      </c>
      <c r="J84" s="7">
        <f>VLOOKUP(B84,[1]characters!$A:$I,9,FALSE)</f>
        <v>5</v>
      </c>
      <c r="K84" s="7" t="str">
        <f>VLOOKUP(B84,[1]characters!$A:$H,8,FALSE)</f>
        <v>red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男性</v>
      </c>
      <c r="O84" s="45">
        <f t="shared" si="10"/>
        <v>19656</v>
      </c>
      <c r="P84" s="46">
        <f t="shared" si="8"/>
        <v>1.1097560975609756E-2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input_559100!A$2</f>
        <v>559100</v>
      </c>
      <c r="B85" s="1">
        <v>673</v>
      </c>
      <c r="C85" s="7" t="str">
        <f t="shared" si="6"/>
        <v>Premium5</v>
      </c>
      <c r="D85" s="7" t="str">
        <f t="shared" si="7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変幻自在の猿王 ハヌマーン</v>
      </c>
      <c r="I85" s="7" t="str">
        <f>VLOOKUP(B85,[1]characters!$A:$J,10,FALSE)</f>
        <v>PremiumS</v>
      </c>
      <c r="J85" s="7">
        <f>VLOOKUP(B85,[1]characters!$A:$I,9,FALSE)</f>
        <v>5</v>
      </c>
      <c r="K85" s="7" t="str">
        <f>VLOOKUP(B85,[1]characters!$A:$H,8,FALSE)</f>
        <v>green</v>
      </c>
      <c r="L85" s="7" t="str">
        <f>VLOOKUP(B85,[1]characters!$A:$K,11,FALSE)</f>
        <v>attack</v>
      </c>
      <c r="M85" s="7" t="str">
        <f>VLOOKUP(B85,[1]characters!$A:$M,13,FALSE)</f>
        <v>animal</v>
      </c>
      <c r="N85" s="7" t="str">
        <f>VLOOKUP(B85,[1]characters!$A:$G,7,FALSE)</f>
        <v>男性</v>
      </c>
      <c r="O85" s="45">
        <f t="shared" si="10"/>
        <v>19656</v>
      </c>
      <c r="P85" s="46">
        <f t="shared" si="8"/>
        <v>1.1097560975609756E-2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input_559100!A$2</f>
        <v>559100</v>
      </c>
      <c r="B86" s="1">
        <v>675</v>
      </c>
      <c r="C86" s="7" t="str">
        <f t="shared" si="6"/>
        <v>PremiumSS5</v>
      </c>
      <c r="D86" s="7" t="str">
        <f t="shared" si="7"/>
        <v>PremiumSS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芸楽の奔流 サラスヴァティ</v>
      </c>
      <c r="I86" s="7" t="str">
        <f>VLOOKUP(B86,[1]characters!$A:$J,10,FALSE)</f>
        <v>PremiumSS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balance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t="shared" si="10"/>
        <v>1845</v>
      </c>
      <c r="P86" s="46">
        <f t="shared" si="8"/>
        <v>1.0416666666666667E-3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input_559100!A$2</f>
        <v>559100</v>
      </c>
      <c r="B87" s="1">
        <v>677</v>
      </c>
      <c r="C87" s="7" t="str">
        <f t="shared" si="6"/>
        <v>PremiumSS5</v>
      </c>
      <c r="D87" s="7" t="str">
        <f t="shared" si="7"/>
        <v>PremiumSS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武遊闊歩 ヴィシュヌ</v>
      </c>
      <c r="I87" s="7" t="str">
        <f>VLOOKUP(B87,[1]characters!$A:$J,10,FALSE)</f>
        <v>PremiumSS</v>
      </c>
      <c r="J87" s="7">
        <f>VLOOKUP(B87,[1]characters!$A:$I,9,FALSE)</f>
        <v>5</v>
      </c>
      <c r="K87" s="7" t="str">
        <f>VLOOKUP(B87,[1]characters!$A:$H,8,FALSE)</f>
        <v>yellow</v>
      </c>
      <c r="L87" s="7" t="str">
        <f>VLOOKUP(B87,[1]characters!$A:$K,11,FALSE)</f>
        <v>attack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t="shared" si="10"/>
        <v>1845</v>
      </c>
      <c r="P87" s="46">
        <f t="shared" si="8"/>
        <v>1.0416666666666667E-3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input_559100!A$2</f>
        <v>559100</v>
      </c>
      <c r="B88" s="1">
        <v>729</v>
      </c>
      <c r="C88" s="7" t="str">
        <f t="shared" si="6"/>
        <v>Premium5R3less</v>
      </c>
      <c r="D88" s="7" t="str">
        <f t="shared" si="7"/>
        <v>Premium</v>
      </c>
      <c r="E88" s="7" t="str">
        <f>IF(COUNTIF('R6追加前'!A:A,B88)=0,IF(OR(I88="PremiumSS",I88="PremiumSSw"),"R5only","R3less"),"")</f>
        <v>R3less</v>
      </c>
      <c r="F88" s="7" t="str">
        <f>IF(COUNTIF('R6開放'!A:A,B88)&gt;0,"R6release","")</f>
        <v/>
      </c>
      <c r="G88" s="7"/>
      <c r="H88" s="7" t="str">
        <f>VLOOKUP(B88,[1]characters!$A:$C,3,FALSE)</f>
        <v>暗厄の双刀 井伊直虎</v>
      </c>
      <c r="I88" s="7" t="str">
        <f>VLOOKUP(B88,[1]characters!$A:$J,10,FALSE)</f>
        <v>PremiumS</v>
      </c>
      <c r="J88" s="7">
        <f>VLOOKUP(B88,[1]characters!$A:$I,9,FALSE)</f>
        <v>5</v>
      </c>
      <c r="K88" s="7" t="str">
        <f>VLOOKUP(B88,[1]characters!$A:$H,8,FALSE)</f>
        <v>red</v>
      </c>
      <c r="L88" s="7" t="str">
        <f>VLOOKUP(B88,[1]characters!$A:$K,11,FALSE)</f>
        <v>balance</v>
      </c>
      <c r="M88" s="7" t="str">
        <f>VLOOKUP(B88,[1]characters!$A:$M,13,FALSE)</f>
        <v>human</v>
      </c>
      <c r="N88" s="7" t="str">
        <f>VLOOKUP(B88,[1]characters!$A:$G,7,FALSE)</f>
        <v>女性</v>
      </c>
      <c r="O88" s="45">
        <f t="shared" si="10"/>
        <v>19656</v>
      </c>
      <c r="P88" s="46">
        <f t="shared" si="8"/>
        <v>1.1097560975609756E-2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input_559100!A$2</f>
        <v>559100</v>
      </c>
      <c r="B89" s="1">
        <v>731</v>
      </c>
      <c r="C89" s="7" t="str">
        <f t="shared" si="6"/>
        <v>Premium5R3less</v>
      </c>
      <c r="D89" s="7" t="str">
        <f t="shared" si="7"/>
        <v>Premium</v>
      </c>
      <c r="E89" s="7" t="str">
        <f>IF(COUNTIF('R6追加前'!A:A,B89)=0,IF(OR(I89="PremiumSS",I89="PremiumSSw"),"R5only","R3less"),"")</f>
        <v>R3less</v>
      </c>
      <c r="F89" s="7" t="str">
        <f>IF(COUNTIF('R6開放'!A:A,B89)&gt;0,"R6release","")</f>
        <v/>
      </c>
      <c r="G89" s="7"/>
      <c r="H89" s="7" t="str">
        <f>VLOOKUP(B89,[1]characters!$A:$C,3,FALSE)</f>
        <v>敬虔なる追銃 ガラシャ</v>
      </c>
      <c r="I89" s="7" t="str">
        <f>VLOOKUP(B89,[1]characters!$A:$J,10,FALSE)</f>
        <v>PremiumS</v>
      </c>
      <c r="J89" s="7">
        <f>VLOOKUP(B89,[1]characters!$A:$I,9,FALSE)</f>
        <v>5</v>
      </c>
      <c r="K89" s="7" t="str">
        <f>VLOOKUP(B89,[1]characters!$A:$H,8,FALSE)</f>
        <v>green</v>
      </c>
      <c r="L89" s="7" t="str">
        <f>VLOOKUP(B89,[1]characters!$A:$K,11,FALSE)</f>
        <v>heal</v>
      </c>
      <c r="M89" s="7" t="str">
        <f>VLOOKUP(B89,[1]characters!$A:$M,13,FALSE)</f>
        <v>human</v>
      </c>
      <c r="N89" s="7" t="str">
        <f>VLOOKUP(B89,[1]characters!$A:$G,7,FALSE)</f>
        <v>女性</v>
      </c>
      <c r="O89" s="45">
        <f t="shared" si="10"/>
        <v>19656</v>
      </c>
      <c r="P89" s="46">
        <f t="shared" si="8"/>
        <v>1.1097560975609756E-2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input_559100!A$2</f>
        <v>559100</v>
      </c>
      <c r="B90" s="1">
        <v>732</v>
      </c>
      <c r="C90" s="7" t="str">
        <f t="shared" si="6"/>
        <v>PremiumSS5R5only</v>
      </c>
      <c r="D90" s="7" t="str">
        <f t="shared" si="7"/>
        <v>PremiumSS</v>
      </c>
      <c r="E90" s="7" t="str">
        <f>IF(COUNTIF('R6追加前'!A:A,B90)=0,IF(OR(I90="PremiumSS",I90="PremiumSSw"),"R5only","R3less"),"")</f>
        <v>R5only</v>
      </c>
      <c r="F90" s="7" t="str">
        <f>IF(COUNTIF('R6開放'!A:A,B90)&gt;0,"R6release","")</f>
        <v/>
      </c>
      <c r="G90" s="7"/>
      <c r="H90" s="7" t="str">
        <f>VLOOKUP(B90,[1]characters!$A:$C,3,FALSE)</f>
        <v>上杉謙信</v>
      </c>
      <c r="I90" s="7" t="str">
        <f>VLOOKUP(B90,[1]characters!$A:$J,10,FALSE)</f>
        <v>PremiumSS</v>
      </c>
      <c r="J90" s="7">
        <f>VLOOKUP(B90,[1]characters!$A:$I,9,FALSE)</f>
        <v>5</v>
      </c>
      <c r="K90" s="7" t="str">
        <f>VLOOKUP(B90,[1]characters!$A:$H,8,FALSE)</f>
        <v>blue</v>
      </c>
      <c r="L90" s="7" t="str">
        <f>VLOOKUP(B90,[1]characters!$A:$K,11,FALSE)</f>
        <v>attack</v>
      </c>
      <c r="M90" s="7" t="str">
        <f>VLOOKUP(B90,[1]characters!$A:$M,13,FALSE)</f>
        <v>human</v>
      </c>
      <c r="N90" s="7" t="str">
        <f>VLOOKUP(B90,[1]characters!$A:$G,7,FALSE)</f>
        <v>女性</v>
      </c>
      <c r="O90" s="45">
        <f t="shared" si="10"/>
        <v>1845</v>
      </c>
      <c r="P90" s="46">
        <f t="shared" si="8"/>
        <v>1.0416666666666667E-3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input_559100!A$2</f>
        <v>559100</v>
      </c>
      <c r="B91" s="1">
        <v>734</v>
      </c>
      <c r="C91" s="7" t="str">
        <f t="shared" si="6"/>
        <v>PremiumSS5R5only</v>
      </c>
      <c r="D91" s="7" t="str">
        <f t="shared" si="7"/>
        <v>PremiumSS</v>
      </c>
      <c r="E91" s="7" t="str">
        <f>IF(COUNTIF('R6追加前'!A:A,B91)=0,IF(OR(I91="PremiumSS",I91="PremiumSSw"),"R5only","R3less"),"")</f>
        <v>R5only</v>
      </c>
      <c r="F91" s="7" t="str">
        <f>IF(COUNTIF('R6開放'!A:A,B91)&gt;0,"R6release","")</f>
        <v/>
      </c>
      <c r="G91" s="7"/>
      <c r="H91" s="7" t="str">
        <f>VLOOKUP(B91,[1]characters!$A:$C,3,FALSE)</f>
        <v>伊達政宗</v>
      </c>
      <c r="I91" s="7" t="str">
        <f>VLOOKUP(B91,[1]characters!$A:$J,10,FALSE)</f>
        <v>PremiumSS</v>
      </c>
      <c r="J91" s="7">
        <f>VLOOKUP(B91,[1]characters!$A:$I,9,FALSE)</f>
        <v>5</v>
      </c>
      <c r="K91" s="7" t="str">
        <f>VLOOKUP(B91,[1]characters!$A:$H,8,FALSE)</f>
        <v>yellow</v>
      </c>
      <c r="L91" s="7" t="str">
        <f>VLOOKUP(B91,[1]characters!$A:$K,11,FALSE)</f>
        <v>balance</v>
      </c>
      <c r="M91" s="7" t="str">
        <f>VLOOKUP(B91,[1]characters!$A:$M,13,FALSE)</f>
        <v>human</v>
      </c>
      <c r="N91" s="7" t="str">
        <f>VLOOKUP(B91,[1]characters!$A:$G,7,FALSE)</f>
        <v>男性</v>
      </c>
      <c r="O91" s="45">
        <f t="shared" si="10"/>
        <v>1845</v>
      </c>
      <c r="P91" s="46">
        <f t="shared" si="8"/>
        <v>1.0416666666666667E-3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input_559100!A$2</f>
        <v>559100</v>
      </c>
      <c r="B92" s="1">
        <v>742</v>
      </c>
      <c r="C92" s="7" t="str">
        <f t="shared" si="6"/>
        <v>PremiumSS5R5only</v>
      </c>
      <c r="D92" s="7" t="str">
        <f t="shared" si="7"/>
        <v>PremiumSS</v>
      </c>
      <c r="E92" s="7" t="str">
        <f>IF(COUNTIF('R6追加前'!A:A,B92)=0,IF(OR(I92="PremiumSS",I92="PremiumSSw"),"R5only","R3less"),"")</f>
        <v>R5only</v>
      </c>
      <c r="F92" s="7" t="str">
        <f>IF(COUNTIF('R6開放'!A:A,B92)&gt;0,"R6release","")</f>
        <v/>
      </c>
      <c r="G92" s="7"/>
      <c r="H92" s="7" t="str">
        <f>VLOOKUP(B92,[1]characters!$A:$C,3,FALSE)</f>
        <v>アポロン</v>
      </c>
      <c r="I92" s="7" t="str">
        <f>VLOOKUP(B92,[1]characters!$A:$J,10,FALSE)</f>
        <v>PremiumSS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attack</v>
      </c>
      <c r="M92" s="7" t="str">
        <f>VLOOKUP(B92,[1]characters!$A:$M,13,FALSE)</f>
        <v>god</v>
      </c>
      <c r="N92" s="7" t="str">
        <f>VLOOKUP(B92,[1]characters!$A:$G,7,FALSE)</f>
        <v>男性</v>
      </c>
      <c r="O92" s="45">
        <f t="shared" si="10"/>
        <v>1845</v>
      </c>
      <c r="P92" s="46">
        <f t="shared" si="8"/>
        <v>1.0416666666666667E-3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input_559100!A$2</f>
        <v>559100</v>
      </c>
      <c r="B93" s="1">
        <v>744</v>
      </c>
      <c r="C93" s="7" t="str">
        <f t="shared" si="6"/>
        <v>PremiumSS5R5only</v>
      </c>
      <c r="D93" s="7" t="str">
        <f t="shared" si="7"/>
        <v>PremiumSS</v>
      </c>
      <c r="E93" s="7" t="str">
        <f>IF(COUNTIF('R6追加前'!A:A,B93)=0,IF(OR(I93="PremiumSS",I93="PremiumSSw"),"R5only","R3less"),"")</f>
        <v>R5only</v>
      </c>
      <c r="F93" s="7" t="str">
        <f>IF(COUNTIF('R6開放'!A:A,B93)&gt;0,"R6release","")</f>
        <v/>
      </c>
      <c r="G93" s="7"/>
      <c r="H93" s="7" t="str">
        <f>VLOOKUP(B93,[1]characters!$A:$C,3,FALSE)</f>
        <v>ヘルメス</v>
      </c>
      <c r="I93" s="7" t="str">
        <f>VLOOKUP(B93,[1]characters!$A:$J,10,FALSE)</f>
        <v>PremiumSS</v>
      </c>
      <c r="J93" s="7">
        <f>VLOOKUP(B93,[1]characters!$A:$I,9,FALSE)</f>
        <v>5</v>
      </c>
      <c r="K93" s="7" t="str">
        <f>VLOOKUP(B93,[1]characters!$A:$H,8,FALSE)</f>
        <v>green</v>
      </c>
      <c r="L93" s="7" t="str">
        <f>VLOOKUP(B93,[1]characters!$A:$K,11,FALSE)</f>
        <v>technical</v>
      </c>
      <c r="M93" s="7" t="str">
        <f>VLOOKUP(B93,[1]characters!$A:$M,13,FALSE)</f>
        <v>god</v>
      </c>
      <c r="N93" s="7" t="str">
        <f>VLOOKUP(B93,[1]characters!$A:$G,7,FALSE)</f>
        <v>男性</v>
      </c>
      <c r="O93" s="45">
        <f t="shared" si="10"/>
        <v>1845</v>
      </c>
      <c r="P93" s="46">
        <f t="shared" si="8"/>
        <v>1.0416666666666667E-3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input_559100!A$2</f>
        <v>559100</v>
      </c>
      <c r="B94" s="1">
        <v>747</v>
      </c>
      <c r="C94" s="7" t="str">
        <f t="shared" si="6"/>
        <v>Premium5R3less</v>
      </c>
      <c r="D94" s="7" t="str">
        <f t="shared" si="7"/>
        <v>Premium</v>
      </c>
      <c r="E94" s="7" t="str">
        <f>IF(COUNTIF('R6追加前'!A:A,B94)=0,IF(OR(I94="PremiumSS",I94="PremiumSSw"),"R5only","R3less"),"")</f>
        <v>R3less</v>
      </c>
      <c r="F94" s="7" t="str">
        <f>IF(COUNTIF('R6開放'!A:A,B94)&gt;0,"R6release","")</f>
        <v/>
      </c>
      <c r="G94" s="7"/>
      <c r="H94" s="7" t="str">
        <f>VLOOKUP(B94,[1]characters!$A:$C,3,FALSE)</f>
        <v>潔碧の巡励神 ノルン</v>
      </c>
      <c r="I94" s="7" t="str">
        <f>VLOOKUP(B94,[1]characters!$A:$J,10,FALSE)</f>
        <v>PremiumS</v>
      </c>
      <c r="J94" s="7">
        <f>VLOOKUP(B94,[1]characters!$A:$I,9,FALSE)</f>
        <v>5</v>
      </c>
      <c r="K94" s="7" t="str">
        <f>VLOOKUP(B94,[1]characters!$A:$H,8,FALSE)</f>
        <v>blue</v>
      </c>
      <c r="L94" s="7" t="str">
        <f>VLOOKUP(B94,[1]characters!$A:$K,11,FALSE)</f>
        <v>balance</v>
      </c>
      <c r="M94" s="7" t="str">
        <f>VLOOKUP(B94,[1]characters!$A:$M,13,FALSE)</f>
        <v>god</v>
      </c>
      <c r="N94" s="7" t="str">
        <f>VLOOKUP(B94,[1]characters!$A:$G,7,FALSE)</f>
        <v>男性</v>
      </c>
      <c r="O94" s="45">
        <f t="shared" si="10"/>
        <v>19656</v>
      </c>
      <c r="P94" s="46">
        <f t="shared" si="8"/>
        <v>1.1097560975609756E-2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input_559100!A$2</f>
        <v>559100</v>
      </c>
      <c r="B95" s="1">
        <v>749</v>
      </c>
      <c r="C95" s="7" t="str">
        <f t="shared" si="6"/>
        <v>Premium5R3less</v>
      </c>
      <c r="D95" s="7" t="str">
        <f t="shared" si="7"/>
        <v>Premium</v>
      </c>
      <c r="E95" s="7" t="str">
        <f>IF(COUNTIF('R6追加前'!A:A,B95)=0,IF(OR(I95="PremiumSS",I95="PremiumSSw"),"R5only","R3less"),"")</f>
        <v>R3less</v>
      </c>
      <c r="F95" s="7" t="str">
        <f>IF(COUNTIF('R6開放'!A:A,B95)&gt;0,"R6release","")</f>
        <v/>
      </c>
      <c r="G95" s="7"/>
      <c r="H95" s="7" t="str">
        <f>VLOOKUP(B95,[1]characters!$A:$C,3,FALSE)</f>
        <v>光喜の牧童 パーン</v>
      </c>
      <c r="I95" s="7" t="str">
        <f>VLOOKUP(B95,[1]characters!$A:$J,10,FALSE)</f>
        <v>PremiumS</v>
      </c>
      <c r="J95" s="7">
        <f>VLOOKUP(B95,[1]characters!$A:$I,9,FALSE)</f>
        <v>5</v>
      </c>
      <c r="K95" s="7" t="str">
        <f>VLOOKUP(B95,[1]characters!$A:$H,8,FALSE)</f>
        <v>yellow</v>
      </c>
      <c r="L95" s="7" t="str">
        <f>VLOOKUP(B95,[1]characters!$A:$K,11,FALSE)</f>
        <v>heal</v>
      </c>
      <c r="M95" s="7" t="str">
        <f>VLOOKUP(B95,[1]characters!$A:$M,13,FALSE)</f>
        <v>animal</v>
      </c>
      <c r="N95" s="7" t="str">
        <f>VLOOKUP(B95,[1]characters!$A:$G,7,FALSE)</f>
        <v>男性</v>
      </c>
      <c r="O95" s="45">
        <f t="shared" si="10"/>
        <v>19656</v>
      </c>
      <c r="P95" s="46">
        <f t="shared" si="8"/>
        <v>1.1097560975609756E-2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input_559100!A$2</f>
        <v>559100</v>
      </c>
      <c r="B96" s="1">
        <v>771</v>
      </c>
      <c r="C96" s="7" t="str">
        <f t="shared" si="6"/>
        <v>PremiumSS5</v>
      </c>
      <c r="D96" s="7" t="str">
        <f t="shared" si="7"/>
        <v>PremiumSS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天織羽鶴 ハヅル</v>
      </c>
      <c r="I96" s="7" t="str">
        <f>VLOOKUP(B96,[1]characters!$A:$J,10,FALSE)</f>
        <v>PremiumSS</v>
      </c>
      <c r="J96" s="7">
        <f>VLOOKUP(B96,[1]characters!$A:$I,9,FALSE)</f>
        <v>5</v>
      </c>
      <c r="K96" s="7" t="str">
        <f>VLOOKUP(B96,[1]characters!$A:$H,8,FALSE)</f>
        <v>red</v>
      </c>
      <c r="L96" s="7" t="str">
        <f>VLOOKUP(B96,[1]characters!$A:$K,11,FALSE)</f>
        <v>balance</v>
      </c>
      <c r="M96" s="7" t="str">
        <f>VLOOKUP(B96,[1]characters!$A:$M,13,FALSE)</f>
        <v>animal</v>
      </c>
      <c r="N96" s="7" t="str">
        <f>VLOOKUP(B96,[1]characters!$A:$G,7,FALSE)</f>
        <v>女性</v>
      </c>
      <c r="O96" s="45">
        <f t="shared" si="10"/>
        <v>1845</v>
      </c>
      <c r="P96" s="46">
        <f t="shared" si="8"/>
        <v>1.0416666666666667E-3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input_559100!A$2</f>
        <v>559100</v>
      </c>
      <c r="B97" s="1">
        <v>773</v>
      </c>
      <c r="C97" s="7" t="str">
        <f t="shared" si="6"/>
        <v>PremiumSS5</v>
      </c>
      <c r="D97" s="7" t="str">
        <f t="shared" si="7"/>
        <v>PremiumSS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浮跳天兎 イナバ</v>
      </c>
      <c r="I97" s="7" t="str">
        <f>VLOOKUP(B97,[1]characters!$A:$J,10,FALSE)</f>
        <v>PremiumSS</v>
      </c>
      <c r="J97" s="7">
        <f>VLOOKUP(B97,[1]characters!$A:$I,9,FALSE)</f>
        <v>5</v>
      </c>
      <c r="K97" s="7" t="str">
        <f>VLOOKUP(B97,[1]characters!$A:$H,8,FALSE)</f>
        <v>green</v>
      </c>
      <c r="L97" s="7" t="str">
        <f>VLOOKUP(B97,[1]characters!$A:$K,11,FALSE)</f>
        <v>balance</v>
      </c>
      <c r="M97" s="7" t="str">
        <f>VLOOKUP(B97,[1]characters!$A:$M,13,FALSE)</f>
        <v>animal</v>
      </c>
      <c r="N97" s="7" t="str">
        <f>VLOOKUP(B97,[1]characters!$A:$G,7,FALSE)</f>
        <v>女性</v>
      </c>
      <c r="O97" s="45">
        <f t="shared" si="10"/>
        <v>1845</v>
      </c>
      <c r="P97" s="46">
        <f t="shared" si="8"/>
        <v>1.0416666666666667E-3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input_559100!A$2</f>
        <v>559100</v>
      </c>
      <c r="B98" s="1">
        <v>776</v>
      </c>
      <c r="C98" s="7" t="str">
        <f t="shared" si="6"/>
        <v>Premium5</v>
      </c>
      <c r="D98" s="7" t="str">
        <f t="shared" si="7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水竜底主 ミズチ</v>
      </c>
      <c r="I98" s="7" t="str">
        <f>VLOOKUP(B98,[1]characters!$A:$J,10,FALSE)</f>
        <v>PremiumS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heal</v>
      </c>
      <c r="M98" s="7" t="str">
        <f>VLOOKUP(B98,[1]characters!$A:$M,13,FALSE)</f>
        <v>dragon</v>
      </c>
      <c r="N98" s="7" t="str">
        <f>VLOOKUP(B98,[1]characters!$A:$G,7,FALSE)</f>
        <v>不明</v>
      </c>
      <c r="O98" s="45">
        <f t="shared" si="10"/>
        <v>19656</v>
      </c>
      <c r="P98" s="46">
        <f t="shared" si="8"/>
        <v>1.1097560975609756E-2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input_559100!A$2</f>
        <v>559100</v>
      </c>
      <c r="B99" s="1">
        <v>779</v>
      </c>
      <c r="C99" s="7" t="str">
        <f t="shared" si="6"/>
        <v>Premium5</v>
      </c>
      <c r="D99" s="7" t="str">
        <f t="shared" si="7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頑堅咬亀 ガメック</v>
      </c>
      <c r="I99" s="7" t="str">
        <f>VLOOKUP(B99,[1]characters!$A:$J,10,FALSE)</f>
        <v>PremiumS</v>
      </c>
      <c r="J99" s="7">
        <f>VLOOKUP(B99,[1]characters!$A:$I,9,FALSE)</f>
        <v>5</v>
      </c>
      <c r="K99" s="7" t="str">
        <f>VLOOKUP(B99,[1]characters!$A:$H,8,FALSE)</f>
        <v>yellow</v>
      </c>
      <c r="L99" s="7" t="str">
        <f>VLOOKUP(B99,[1]characters!$A:$K,11,FALSE)</f>
        <v>hp</v>
      </c>
      <c r="M99" s="7" t="str">
        <f>VLOOKUP(B99,[1]characters!$A:$M,13,FALSE)</f>
        <v>animal</v>
      </c>
      <c r="N99" s="7" t="str">
        <f>VLOOKUP(B99,[1]characters!$A:$G,7,FALSE)</f>
        <v>不明</v>
      </c>
      <c r="O99" s="45">
        <f t="shared" si="10"/>
        <v>19656</v>
      </c>
      <c r="P99" s="46">
        <f t="shared" si="8"/>
        <v>1.1097560975609756E-2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input_559100!A$2</f>
        <v>559100</v>
      </c>
      <c r="B100" s="1">
        <v>848</v>
      </c>
      <c r="C100" s="7" t="str">
        <f t="shared" si="6"/>
        <v>PremiumSS5R5only</v>
      </c>
      <c r="D100" s="7" t="str">
        <f t="shared" si="7"/>
        <v>PremiumSS</v>
      </c>
      <c r="E100" s="7" t="str">
        <f>IF(COUNTIF('R6追加前'!A:A,B100)=0,IF(OR(I100="PremiumSS",I100="PremiumSSw"),"R5only","R3less"),"")</f>
        <v>R5only</v>
      </c>
      <c r="F100" s="7" t="str">
        <f>IF(COUNTIF('R6開放'!A:A,B100)&gt;0,"R6release","")</f>
        <v/>
      </c>
      <c r="G100" s="7"/>
      <c r="H100" s="7" t="str">
        <f>VLOOKUP(B100,[1]characters!$A:$C,3,FALSE)</f>
        <v>メタトロン</v>
      </c>
      <c r="I100" s="7" t="str">
        <f>VLOOKUP(B100,[1]characters!$A:$J,10,FALSE)</f>
        <v>PremiumSS</v>
      </c>
      <c r="J100" s="7">
        <f>VLOOKUP(B100,[1]characters!$A:$I,9,FALSE)</f>
        <v>5</v>
      </c>
      <c r="K100" s="7" t="str">
        <f>VLOOKUP(B100,[1]characters!$A:$H,8,FALSE)</f>
        <v>red</v>
      </c>
      <c r="L100" s="7" t="str">
        <f>VLOOKUP(B100,[1]characters!$A:$K,11,FALSE)</f>
        <v>balance</v>
      </c>
      <c r="M100" s="7" t="str">
        <f>VLOOKUP(B100,[1]characters!$A:$M,13,FALSE)</f>
        <v>god</v>
      </c>
      <c r="N100" s="7" t="str">
        <f>VLOOKUP(B100,[1]characters!$A:$G,7,FALSE)</f>
        <v>男性</v>
      </c>
      <c r="O100" s="45">
        <f>VLOOKUP(D100,$W$2:$Y$4,3,FALSE)</f>
        <v>1845</v>
      </c>
      <c r="P100" s="46">
        <f t="shared" si="8"/>
        <v>1.0416666666666667E-3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input_559100!A$2</f>
        <v>559100</v>
      </c>
      <c r="B101" s="1">
        <v>850</v>
      </c>
      <c r="C101" s="7" t="str">
        <f t="shared" si="6"/>
        <v>PremiumSS5R5only</v>
      </c>
      <c r="D101" s="7" t="str">
        <f t="shared" si="7"/>
        <v>PremiumSS</v>
      </c>
      <c r="E101" s="7" t="str">
        <f>IF(COUNTIF('R6追加前'!A:A,B101)=0,IF(OR(I101="PremiumSS",I101="PremiumSSw"),"R5only","R3less"),"")</f>
        <v>R5only</v>
      </c>
      <c r="F101" s="7" t="str">
        <f>IF(COUNTIF('R6開放'!A:A,B101)&gt;0,"R6release","")</f>
        <v/>
      </c>
      <c r="G101" s="7"/>
      <c r="H101" s="7" t="str">
        <f>VLOOKUP(B101,[1]characters!$A:$C,3,FALSE)</f>
        <v>バアル</v>
      </c>
      <c r="I101" s="7" t="str">
        <f>VLOOKUP(B101,[1]characters!$A:$J,10,FALSE)</f>
        <v>PremiumSS</v>
      </c>
      <c r="J101" s="7">
        <f>VLOOKUP(B101,[1]characters!$A:$I,9,FALSE)</f>
        <v>5</v>
      </c>
      <c r="K101" s="7" t="str">
        <f>VLOOKUP(B101,[1]characters!$A:$H,8,FALSE)</f>
        <v>green</v>
      </c>
      <c r="L101" s="7" t="str">
        <f>VLOOKUP(B101,[1]characters!$A:$K,11,FALSE)</f>
        <v>technical</v>
      </c>
      <c r="M101" s="7" t="str">
        <f>VLOOKUP(B101,[1]characters!$A:$M,13,FALSE)</f>
        <v>god</v>
      </c>
      <c r="N101" s="7" t="str">
        <f>VLOOKUP(B101,[1]characters!$A:$G,7,FALSE)</f>
        <v>男性</v>
      </c>
      <c r="O101" s="45">
        <f t="shared" ref="O101:O117" si="11">VLOOKUP(D101,$W$2:$Y$4,3,FALSE)</f>
        <v>1845</v>
      </c>
      <c r="P101" s="46">
        <f t="shared" si="8"/>
        <v>1.0416666666666667E-3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input_559100!A$2</f>
        <v>559100</v>
      </c>
      <c r="B102" s="1">
        <v>853</v>
      </c>
      <c r="C102" s="7" t="str">
        <f t="shared" si="6"/>
        <v>Premium5R3less</v>
      </c>
      <c r="D102" s="7" t="str">
        <f t="shared" si="7"/>
        <v>Premium</v>
      </c>
      <c r="E102" s="7" t="str">
        <f>IF(COUNTIF('R6追加前'!A:A,B102)=0,IF(OR(I102="PremiumSS",I102="PremiumSSw"),"R5only","R3less"),"")</f>
        <v>R3less</v>
      </c>
      <c r="F102" s="7" t="str">
        <f>IF(COUNTIF('R6開放'!A:A,B102)&gt;0,"R6release","")</f>
        <v/>
      </c>
      <c r="G102" s="7"/>
      <c r="H102" s="7" t="str">
        <f>VLOOKUP(B102,[1]characters!$A:$C,3,FALSE)</f>
        <v>裂爪の天使 サキエル・ティア</v>
      </c>
      <c r="I102" s="7" t="str">
        <f>VLOOKUP(B102,[1]characters!$A:$J,10,FALSE)</f>
        <v>PremiumS</v>
      </c>
      <c r="J102" s="7">
        <f>VLOOKUP(B102,[1]characters!$A:$I,9,FALSE)</f>
        <v>5</v>
      </c>
      <c r="K102" s="7" t="str">
        <f>VLOOKUP(B102,[1]characters!$A:$H,8,FALSE)</f>
        <v>blue</v>
      </c>
      <c r="L102" s="7" t="str">
        <f>VLOOKUP(B102,[1]characters!$A:$K,11,FALSE)</f>
        <v>hp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t="shared" si="11"/>
        <v>19656</v>
      </c>
      <c r="P102" s="46">
        <f t="shared" si="8"/>
        <v>1.1097560975609756E-2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input_559100!A$2</f>
        <v>559100</v>
      </c>
      <c r="B103" s="1">
        <v>855</v>
      </c>
      <c r="C103" s="7" t="str">
        <f t="shared" si="6"/>
        <v>Premium5R3less</v>
      </c>
      <c r="D103" s="7" t="str">
        <f t="shared" si="7"/>
        <v>Premium</v>
      </c>
      <c r="E103" s="7" t="str">
        <f>IF(COUNTIF('R6追加前'!A:A,B103)=0,IF(OR(I103="PremiumSS",I103="PremiumSSw"),"R5only","R3less"),"")</f>
        <v>R3less</v>
      </c>
      <c r="F103" s="7" t="str">
        <f>IF(COUNTIF('R6開放'!A:A,B103)&gt;0,"R6release","")</f>
        <v/>
      </c>
      <c r="G103" s="7"/>
      <c r="H103" s="7" t="str">
        <f>VLOOKUP(B103,[1]characters!$A:$C,3,FALSE)</f>
        <v>豹魔の侠客 フラウロス</v>
      </c>
      <c r="I103" s="7" t="str">
        <f>VLOOKUP(B103,[1]characters!$A:$J,10,FALSE)</f>
        <v>PremiumS</v>
      </c>
      <c r="J103" s="7">
        <f>VLOOKUP(B103,[1]characters!$A:$I,9,FALSE)</f>
        <v>5</v>
      </c>
      <c r="K103" s="7" t="str">
        <f>VLOOKUP(B103,[1]characters!$A:$H,8,FALSE)</f>
        <v>yellow</v>
      </c>
      <c r="L103" s="7" t="str">
        <f>VLOOKUP(B103,[1]characters!$A:$K,11,FALSE)</f>
        <v>attack</v>
      </c>
      <c r="M103" s="7" t="str">
        <f>VLOOKUP(B103,[1]characters!$A:$M,13,FALSE)</f>
        <v>animal</v>
      </c>
      <c r="N103" s="7" t="str">
        <f>VLOOKUP(B103,[1]characters!$A:$G,7,FALSE)</f>
        <v>男性</v>
      </c>
      <c r="O103" s="45">
        <f t="shared" si="11"/>
        <v>19656</v>
      </c>
      <c r="P103" s="46">
        <f t="shared" si="8"/>
        <v>1.1097560975609756E-2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input_559100!A$2</f>
        <v>559100</v>
      </c>
      <c r="B104" s="1">
        <v>863</v>
      </c>
      <c r="C104" s="7" t="str">
        <f t="shared" si="6"/>
        <v>Premium5R3less</v>
      </c>
      <c r="D104" s="7" t="str">
        <f t="shared" si="7"/>
        <v>Premium</v>
      </c>
      <c r="E104" s="7" t="str">
        <f>IF(COUNTIF('R6追加前'!A:A,B104)=0,IF(OR(I104="PremiumSS",I104="PremiumSSw"),"R5only","R3less"),"")</f>
        <v>R3less</v>
      </c>
      <c r="F104" s="7" t="str">
        <f>IF(COUNTIF('R6開放'!A:A,B104)&gt;0,"R6release","")</f>
        <v/>
      </c>
      <c r="G104" s="7"/>
      <c r="H104" s="7" t="str">
        <f>VLOOKUP(B104,[1]characters!$A:$C,3,FALSE)</f>
        <v>歓揮の楽団長 ブレーメン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balance</v>
      </c>
      <c r="M104" s="7" t="str">
        <f>VLOOKUP(B104,[1]characters!$A:$M,13,FALSE)</f>
        <v>animal</v>
      </c>
      <c r="N104" s="7" t="str">
        <f>VLOOKUP(B104,[1]characters!$A:$G,7,FALSE)</f>
        <v>男性</v>
      </c>
      <c r="O104" s="45">
        <f t="shared" si="11"/>
        <v>19656</v>
      </c>
      <c r="P104" s="46">
        <f t="shared" si="8"/>
        <v>1.1097560975609756E-2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input_559100!A$2</f>
        <v>559100</v>
      </c>
      <c r="B105" s="1">
        <v>865</v>
      </c>
      <c r="C105" s="7" t="str">
        <f t="shared" si="6"/>
        <v>Premium5R3less</v>
      </c>
      <c r="D105" s="7" t="str">
        <f t="shared" si="7"/>
        <v>Premium</v>
      </c>
      <c r="E105" s="7" t="str">
        <f>IF(COUNTIF('R6追加前'!A:A,B105)=0,IF(OR(I105="PremiumSS",I105="PremiumSSw"),"R5only","R3less"),"")</f>
        <v>R3less</v>
      </c>
      <c r="F105" s="7" t="str">
        <f>IF(COUNTIF('R6開放'!A:A,B105)&gt;0,"R6release","")</f>
        <v/>
      </c>
      <c r="G105" s="7"/>
      <c r="H105" s="7" t="str">
        <f>VLOOKUP(B105,[1]characters!$A:$C,3,FALSE)</f>
        <v>無情の感線 ピノキオ</v>
      </c>
      <c r="I105" s="7" t="str">
        <f>VLOOKUP(B105,[1]characters!$A:$J,10,FALSE)</f>
        <v>PremiumS</v>
      </c>
      <c r="J105" s="7">
        <f>VLOOKUP(B105,[1]characters!$A:$I,9,FALSE)</f>
        <v>5</v>
      </c>
      <c r="K105" s="7" t="str">
        <f>VLOOKUP(B105,[1]characters!$A:$H,8,FALSE)</f>
        <v>green</v>
      </c>
      <c r="L105" s="7" t="str">
        <f>VLOOKUP(B105,[1]characters!$A:$K,11,FALSE)</f>
        <v>attack</v>
      </c>
      <c r="M105" s="7" t="str">
        <f>VLOOKUP(B105,[1]characters!$A:$M,13,FALSE)</f>
        <v>machine</v>
      </c>
      <c r="N105" s="7" t="str">
        <f>VLOOKUP(B105,[1]characters!$A:$G,7,FALSE)</f>
        <v>男性</v>
      </c>
      <c r="O105" s="45">
        <f t="shared" si="11"/>
        <v>19656</v>
      </c>
      <c r="P105" s="46">
        <f t="shared" si="8"/>
        <v>1.1097560975609756E-2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input_559100!A$2</f>
        <v>559100</v>
      </c>
      <c r="B106" s="1">
        <v>866</v>
      </c>
      <c r="C106" s="7" t="str">
        <f t="shared" si="6"/>
        <v>PremiumSS5R5only</v>
      </c>
      <c r="D106" s="7" t="str">
        <f t="shared" si="7"/>
        <v>PremiumSS</v>
      </c>
      <c r="E106" s="7" t="str">
        <f>IF(COUNTIF('R6追加前'!A:A,B106)=0,IF(OR(I106="PremiumSS",I106="PremiumSSw"),"R5only","R3less"),"")</f>
        <v>R5only</v>
      </c>
      <c r="F106" s="7" t="str">
        <f>IF(COUNTIF('R6開放'!A:A,B106)&gt;0,"R6release","")</f>
        <v/>
      </c>
      <c r="G106" s="7"/>
      <c r="H106" s="7" t="str">
        <f>VLOOKUP(B106,[1]characters!$A:$C,3,FALSE)</f>
        <v>無敗の司令姫 白雪姫</v>
      </c>
      <c r="I106" s="7" t="str">
        <f>VLOOKUP(B106,[1]characters!$A:$J,10,FALSE)</f>
        <v>PremiumSS</v>
      </c>
      <c r="J106" s="7">
        <f>VLOOKUP(B106,[1]characters!$A:$I,9,FALSE)</f>
        <v>5</v>
      </c>
      <c r="K106" s="7" t="str">
        <f>VLOOKUP(B106,[1]characters!$A:$H,8,FALSE)</f>
        <v>blue</v>
      </c>
      <c r="L106" s="7" t="str">
        <f>VLOOKUP(B106,[1]characters!$A:$K,11,FALSE)</f>
        <v>balance</v>
      </c>
      <c r="M106" s="7" t="str">
        <f>VLOOKUP(B106,[1]characters!$A:$M,13,FALSE)</f>
        <v>human</v>
      </c>
      <c r="N106" s="7" t="str">
        <f>VLOOKUP(B106,[1]characters!$A:$G,7,FALSE)</f>
        <v>男性</v>
      </c>
      <c r="O106" s="45">
        <f t="shared" si="11"/>
        <v>1845</v>
      </c>
      <c r="P106" s="46">
        <f t="shared" si="8"/>
        <v>1.0416666666666667E-3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input_559100!A$2</f>
        <v>559100</v>
      </c>
      <c r="B107" s="1">
        <v>868</v>
      </c>
      <c r="C107" s="7" t="str">
        <f t="shared" si="6"/>
        <v>PremiumSS5R5only</v>
      </c>
      <c r="D107" s="7" t="str">
        <f t="shared" si="7"/>
        <v>PremiumSS</v>
      </c>
      <c r="E107" s="7" t="str">
        <f>IF(COUNTIF('R6追加前'!A:A,B107)=0,IF(OR(I107="PremiumSS",I107="PremiumSSw"),"R5only","R3less"),"")</f>
        <v>R5only</v>
      </c>
      <c r="F107" s="7" t="str">
        <f>IF(COUNTIF('R6開放'!A:A,B107)&gt;0,"R6release","")</f>
        <v/>
      </c>
      <c r="G107" s="7"/>
      <c r="H107" s="7" t="str">
        <f>VLOOKUP(B107,[1]characters!$A:$C,3,FALSE)</f>
        <v>アラジンと殲滅機兵LAMP</v>
      </c>
      <c r="I107" s="7" t="str">
        <f>VLOOKUP(B107,[1]characters!$A:$J,10,FALSE)</f>
        <v>PremiumSS</v>
      </c>
      <c r="J107" s="7">
        <f>VLOOKUP(B107,[1]characters!$A:$I,9,FALSE)</f>
        <v>5</v>
      </c>
      <c r="K107" s="7" t="str">
        <f>VLOOKUP(B107,[1]characters!$A:$H,8,FALSE)</f>
        <v>yellow</v>
      </c>
      <c r="L107" s="7" t="str">
        <f>VLOOKUP(B107,[1]characters!$A:$K,11,FALSE)</f>
        <v>hp</v>
      </c>
      <c r="M107" s="7" t="str">
        <f>VLOOKUP(B107,[1]characters!$A:$M,13,FALSE)</f>
        <v>human</v>
      </c>
      <c r="N107" s="7" t="str">
        <f>VLOOKUP(B107,[1]characters!$A:$G,7,FALSE)</f>
        <v>男性</v>
      </c>
      <c r="O107" s="45">
        <f t="shared" si="11"/>
        <v>1845</v>
      </c>
      <c r="P107" s="46">
        <f t="shared" si="8"/>
        <v>1.0416666666666667E-3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input_559100!A$2</f>
        <v>559100</v>
      </c>
      <c r="B108" s="1">
        <v>937</v>
      </c>
      <c r="C108" s="7" t="str">
        <f t="shared" ref="C108:C158" si="12">D108&amp;J108&amp;E108&amp;F108&amp;G108</f>
        <v>PremiumSS5R5only</v>
      </c>
      <c r="D108" s="7" t="str">
        <f t="shared" ref="D108:D158" si="13">IF(OR(I108="PremiumSS",I108="PremiumSSw"),"PremiumSS",IF(I108="PremiumSSS",I108,IF(I108="PremiumW",IF(J108=5,"premium",I108),"Premium")))</f>
        <v>PremiumSS</v>
      </c>
      <c r="E108" s="7" t="str">
        <f>IF(COUNTIF('R6追加前'!A:A,B108)=0,IF(OR(I108="PremiumSS",I108="PremiumSSw"),"R5only","R3less"),"")</f>
        <v>R5only</v>
      </c>
      <c r="F108" s="7" t="str">
        <f>IF(COUNTIF('R6開放'!A:A,B108)&gt;0,"R6release","")</f>
        <v/>
      </c>
      <c r="G108" s="7"/>
      <c r="H108" s="7" t="str">
        <f>VLOOKUP(B108,[1]characters!$A:$C,3,FALSE)</f>
        <v>ナポレオン</v>
      </c>
      <c r="I108" s="7" t="str">
        <f>VLOOKUP(B108,[1]characters!$A:$J,10,FALSE)</f>
        <v>PremiumSS</v>
      </c>
      <c r="J108" s="7">
        <f>VLOOKUP(B108,[1]characters!$A:$I,9,FALSE)</f>
        <v>5</v>
      </c>
      <c r="K108" s="7" t="str">
        <f>VLOOKUP(B108,[1]characters!$A:$H,8,FALSE)</f>
        <v>red</v>
      </c>
      <c r="L108" s="7" t="str">
        <f>VLOOKUP(B108,[1]characters!$A:$K,11,FALSE)</f>
        <v>balance</v>
      </c>
      <c r="M108" s="7" t="str">
        <f>VLOOKUP(B108,[1]characters!$A:$M,13,FALSE)</f>
        <v>human</v>
      </c>
      <c r="N108" s="7" t="str">
        <f>VLOOKUP(B108,[1]characters!$A:$G,7,FALSE)</f>
        <v>男性</v>
      </c>
      <c r="O108" s="45">
        <f t="shared" si="11"/>
        <v>1845</v>
      </c>
      <c r="P108" s="46">
        <f t="shared" ref="P108:P155" si="14">O108/SUM(O:O)</f>
        <v>1.0416666666666667E-3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input_559100!A$2</f>
        <v>559100</v>
      </c>
      <c r="B109" s="1">
        <v>940</v>
      </c>
      <c r="C109" s="7" t="str">
        <f t="shared" si="12"/>
        <v>Premium5R3less</v>
      </c>
      <c r="D109" s="7" t="str">
        <f t="shared" si="13"/>
        <v>Premium</v>
      </c>
      <c r="E109" s="7" t="str">
        <f>IF(COUNTIF('R6追加前'!A:A,B109)=0,IF(OR(I109="PremiumSS",I109="PremiumSSw"),"R5only","R3less"),"")</f>
        <v>R3less</v>
      </c>
      <c r="F109" s="7" t="str">
        <f>IF(COUNTIF('R6開放'!A:A,B109)&gt;0,"R6release","")</f>
        <v/>
      </c>
      <c r="G109" s="7"/>
      <c r="H109" s="7" t="str">
        <f>VLOOKUP(B109,[1]characters!$A:$C,3,FALSE)</f>
        <v>不壊の大要塞 バスティーユ</v>
      </c>
      <c r="I109" s="7" t="str">
        <f>VLOOKUP(B109,[1]characters!$A:$J,10,FALSE)</f>
        <v>PremiumS</v>
      </c>
      <c r="J109" s="7">
        <f>VLOOKUP(B109,[1]characters!$A:$I,9,FALSE)</f>
        <v>5</v>
      </c>
      <c r="K109" s="7" t="str">
        <f>VLOOKUP(B109,[1]characters!$A:$H,8,FALSE)</f>
        <v>green</v>
      </c>
      <c r="L109" s="7" t="str">
        <f>VLOOKUP(B109,[1]characters!$A:$K,11,FALSE)</f>
        <v>hp</v>
      </c>
      <c r="M109" s="7" t="str">
        <f>VLOOKUP(B109,[1]characters!$A:$M,13,FALSE)</f>
        <v>unknown</v>
      </c>
      <c r="N109" s="7" t="str">
        <f>VLOOKUP(B109,[1]characters!$A:$G,7,FALSE)</f>
        <v>男性</v>
      </c>
      <c r="O109" s="45">
        <f t="shared" si="11"/>
        <v>19656</v>
      </c>
      <c r="P109" s="46">
        <f t="shared" si="14"/>
        <v>1.1097560975609756E-2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input_559100!A$2</f>
        <v>559100</v>
      </c>
      <c r="B110" s="1">
        <v>941</v>
      </c>
      <c r="C110" s="7" t="str">
        <f t="shared" si="12"/>
        <v>PremiumSS5R5only</v>
      </c>
      <c r="D110" s="7" t="str">
        <f t="shared" si="13"/>
        <v>PremiumSS</v>
      </c>
      <c r="E110" s="7" t="str">
        <f>IF(COUNTIF('R6追加前'!A:A,B110)=0,IF(OR(I110="PremiumSS",I110="PremiumSSw"),"R5only","R3less"),"")</f>
        <v>R5only</v>
      </c>
      <c r="F110" s="7" t="str">
        <f>IF(COUNTIF('R6開放'!A:A,B110)&gt;0,"R6release","")</f>
        <v/>
      </c>
      <c r="G110" s="7"/>
      <c r="H110" s="7" t="str">
        <f>VLOOKUP(B110,[1]characters!$A:$C,3,FALSE)</f>
        <v>アントワネット</v>
      </c>
      <c r="I110" s="7" t="str">
        <f>VLOOKUP(B110,[1]characters!$A:$J,10,FALSE)</f>
        <v>PremiumSS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男性</v>
      </c>
      <c r="O110" s="45">
        <f t="shared" si="11"/>
        <v>1845</v>
      </c>
      <c r="P110" s="46">
        <f t="shared" si="14"/>
        <v>1.0416666666666667E-3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input_559100!A$2</f>
        <v>559100</v>
      </c>
      <c r="B111" s="1">
        <v>943</v>
      </c>
      <c r="C111" s="7" t="str">
        <f t="shared" si="12"/>
        <v>PremiumSS5R5only</v>
      </c>
      <c r="D111" s="7" t="str">
        <f t="shared" si="13"/>
        <v>PremiumSS</v>
      </c>
      <c r="E111" s="7" t="str">
        <f>IF(COUNTIF('R6追加前'!A:A,B111)=0,IF(OR(I111="PremiumSS",I111="PremiumSSw"),"R5only","R3less"),"")</f>
        <v>R5only</v>
      </c>
      <c r="F111" s="7" t="str">
        <f>IF(COUNTIF('R6開放'!A:A,B111)&gt;0,"R6release","")</f>
        <v/>
      </c>
      <c r="G111" s="7"/>
      <c r="H111" s="7" t="str">
        <f>VLOOKUP(B111,[1]characters!$A:$C,3,FALSE)</f>
        <v>サンソン</v>
      </c>
      <c r="I111" s="7" t="str">
        <f>VLOOKUP(B111,[1]characters!$A:$J,10,FALSE)</f>
        <v>PremiumSS</v>
      </c>
      <c r="J111" s="7">
        <f>VLOOKUP(B111,[1]characters!$A:$I,9,FALSE)</f>
        <v>5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human</v>
      </c>
      <c r="N111" s="7" t="str">
        <f>VLOOKUP(B111,[1]characters!$A:$G,7,FALSE)</f>
        <v>男性</v>
      </c>
      <c r="O111" s="45">
        <f t="shared" si="11"/>
        <v>1845</v>
      </c>
      <c r="P111" s="46">
        <f t="shared" si="14"/>
        <v>1.0416666666666667E-3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input_559100!A$2</f>
        <v>559100</v>
      </c>
      <c r="B112" s="1">
        <v>1012</v>
      </c>
      <c r="C112" s="7" t="str">
        <f t="shared" si="12"/>
        <v>PremiumSS5R5only</v>
      </c>
      <c r="D112" s="7" t="str">
        <f t="shared" si="13"/>
        <v>PremiumSS</v>
      </c>
      <c r="E112" s="7" t="str">
        <f>IF(COUNTIF('R6追加前'!A:A,B112)=0,IF(OR(I112="PremiumSS",I112="PremiumSSw"),"R5only","R3less"),"")</f>
        <v>R5only</v>
      </c>
      <c r="F112" s="7" t="str">
        <f>IF(COUNTIF('R6開放'!A:A,B112)&gt;0,"R6release","")</f>
        <v/>
      </c>
      <c r="G112" s="7"/>
      <c r="H112" s="7" t="str">
        <f>VLOOKUP(B112,[1]characters!$A:$C,3,FALSE)</f>
        <v>ラー</v>
      </c>
      <c r="I112" s="7" t="str">
        <f>VLOOKUP(B112,[1]characters!$A:$J,10,FALSE)</f>
        <v>PremiumSS</v>
      </c>
      <c r="J112" s="7">
        <f>VLOOKUP(B112,[1]characters!$A:$I,9,FALSE)</f>
        <v>5</v>
      </c>
      <c r="K112" s="7" t="str">
        <f>VLOOKUP(B112,[1]characters!$A:$H,8,FALSE)</f>
        <v>red</v>
      </c>
      <c r="L112" s="7" t="str">
        <f>VLOOKUP(B112,[1]characters!$A:$K,11,FALSE)</f>
        <v>balance</v>
      </c>
      <c r="M112" s="7" t="str">
        <f>VLOOKUP(B112,[1]characters!$A:$M,13,FALSE)</f>
        <v>god</v>
      </c>
      <c r="N112" s="7" t="str">
        <f>VLOOKUP(B112,[1]characters!$A:$G,7,FALSE)</f>
        <v>男性</v>
      </c>
      <c r="O112" s="45">
        <f t="shared" si="11"/>
        <v>1845</v>
      </c>
      <c r="P112" s="46">
        <f t="shared" si="14"/>
        <v>1.0416666666666667E-3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input_559100!A$2</f>
        <v>559100</v>
      </c>
      <c r="B113" s="1">
        <v>1014</v>
      </c>
      <c r="C113" s="7" t="str">
        <f t="shared" si="12"/>
        <v>PremiumSS5R5only</v>
      </c>
      <c r="D113" s="7" t="str">
        <f t="shared" si="13"/>
        <v>PremiumSS</v>
      </c>
      <c r="E113" s="7" t="str">
        <f>IF(COUNTIF('R6追加前'!A:A,B113)=0,IF(OR(I113="PremiumSS",I113="PremiumSSw"),"R5only","R3less"),"")</f>
        <v>R5only</v>
      </c>
      <c r="F113" s="7" t="str">
        <f>IF(COUNTIF('R6開放'!A:A,B113)&gt;0,"R6release","")</f>
        <v/>
      </c>
      <c r="G113" s="7"/>
      <c r="H113" s="7" t="str">
        <f>VLOOKUP(B113,[1]characters!$A:$C,3,FALSE)</f>
        <v>イシス</v>
      </c>
      <c r="I113" s="7" t="str">
        <f>VLOOKUP(B113,[1]characters!$A:$J,10,FALSE)</f>
        <v>PremiumSS</v>
      </c>
      <c r="J113" s="7">
        <f>VLOOKUP(B113,[1]characters!$A:$I,9,FALSE)</f>
        <v>5</v>
      </c>
      <c r="K113" s="7" t="str">
        <f>VLOOKUP(B113,[1]characters!$A:$H,8,FALSE)</f>
        <v>green</v>
      </c>
      <c r="L113" s="7" t="str">
        <f>VLOOKUP(B113,[1]characters!$A:$K,11,FALSE)</f>
        <v>hp</v>
      </c>
      <c r="M113" s="7" t="str">
        <f>VLOOKUP(B113,[1]characters!$A:$M,13,FALSE)</f>
        <v>god</v>
      </c>
      <c r="N113" s="7" t="str">
        <f>VLOOKUP(B113,[1]characters!$A:$G,7,FALSE)</f>
        <v>男性</v>
      </c>
      <c r="O113" s="45">
        <f t="shared" si="11"/>
        <v>1845</v>
      </c>
      <c r="P113" s="46">
        <f t="shared" si="14"/>
        <v>1.0416666666666667E-3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input_559100!A$2</f>
        <v>559100</v>
      </c>
      <c r="B114" s="1">
        <v>1017</v>
      </c>
      <c r="C114" s="7" t="str">
        <f t="shared" si="12"/>
        <v>Premium5R3less</v>
      </c>
      <c r="D114" s="7" t="str">
        <f t="shared" si="13"/>
        <v>Premium</v>
      </c>
      <c r="E114" s="7" t="str">
        <f>IF(COUNTIF('R6追加前'!A:A,B114)=0,IF(OR(I114="PremiumSS",I114="PremiumSSw"),"R5only","R3less"),"")</f>
        <v>R3less</v>
      </c>
      <c r="F114" s="7" t="str">
        <f>IF(COUNTIF('R6開放'!A:A,B114)&gt;0,"R6release","")</f>
        <v/>
      </c>
      <c r="G114" s="7"/>
      <c r="H114" s="7" t="str">
        <f>VLOOKUP(B114,[1]characters!$A:$C,3,FALSE)</f>
        <v>命瞳の慈母神 ハトホル</v>
      </c>
      <c r="I114" s="7" t="str">
        <f>VLOOKUP(B114,[1]characters!$A:$J,10,FALSE)</f>
        <v>PremiumS</v>
      </c>
      <c r="J114" s="7">
        <f>VLOOKUP(B114,[1]characters!$A:$I,9,FALSE)</f>
        <v>5</v>
      </c>
      <c r="K114" s="7" t="str">
        <f>VLOOKUP(B114,[1]characters!$A:$H,8,FALSE)</f>
        <v>blue</v>
      </c>
      <c r="L114" s="7" t="str">
        <f>VLOOKUP(B114,[1]characters!$A:$K,11,FALSE)</f>
        <v>heal</v>
      </c>
      <c r="M114" s="7" t="str">
        <f>VLOOKUP(B114,[1]characters!$A:$M,13,FALSE)</f>
        <v>god</v>
      </c>
      <c r="N114" s="7" t="str">
        <f>VLOOKUP(B114,[1]characters!$A:$G,7,FALSE)</f>
        <v>男性</v>
      </c>
      <c r="O114" s="45">
        <f t="shared" si="11"/>
        <v>19656</v>
      </c>
      <c r="P114" s="46">
        <f t="shared" si="14"/>
        <v>1.1097560975609756E-2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input_559100!A$2</f>
        <v>559100</v>
      </c>
      <c r="B115" s="1">
        <v>1018</v>
      </c>
      <c r="C115" s="7" t="str">
        <f t="shared" si="12"/>
        <v>PremiumSS5R5only</v>
      </c>
      <c r="D115" s="7" t="str">
        <f t="shared" si="13"/>
        <v>PremiumSS</v>
      </c>
      <c r="E115" s="7" t="str">
        <f>IF(COUNTIF('R6追加前'!A:A,B115)=0,IF(OR(I115="PremiumSS",I115="PremiumSSw"),"R5only","R3less"),"")</f>
        <v>R5only</v>
      </c>
      <c r="F115" s="7" t="str">
        <f>IF(COUNTIF('R6開放'!A:A,B115)&gt;0,"R6release","")</f>
        <v/>
      </c>
      <c r="G115" s="7"/>
      <c r="H115" s="7" t="str">
        <f>VLOOKUP(B115,[1]characters!$A:$C,3,FALSE)</f>
        <v>バステト</v>
      </c>
      <c r="I115" s="7" t="str">
        <f>VLOOKUP(B115,[1]characters!$A:$J,10,FALSE)</f>
        <v>PremiumSS</v>
      </c>
      <c r="J115" s="7">
        <f>VLOOKUP(B115,[1]characters!$A:$I,9,FALSE)</f>
        <v>5</v>
      </c>
      <c r="K115" s="7" t="str">
        <f>VLOOKUP(B115,[1]characters!$A:$H,8,FALSE)</f>
        <v>yellow</v>
      </c>
      <c r="L115" s="7" t="str">
        <f>VLOOKUP(B115,[1]characters!$A:$K,11,FALSE)</f>
        <v>attack</v>
      </c>
      <c r="M115" s="7" t="str">
        <f>VLOOKUP(B115,[1]characters!$A:$M,13,FALSE)</f>
        <v>god</v>
      </c>
      <c r="N115" s="7" t="str">
        <f>VLOOKUP(B115,[1]characters!$A:$G,7,FALSE)</f>
        <v>男性</v>
      </c>
      <c r="O115" s="45">
        <f t="shared" si="11"/>
        <v>1845</v>
      </c>
      <c r="P115" s="46">
        <f t="shared" si="14"/>
        <v>1.0416666666666667E-3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input_559100!A$2</f>
        <v>559100</v>
      </c>
      <c r="B116" s="1">
        <v>1027</v>
      </c>
      <c r="C116" s="7" t="str">
        <f t="shared" si="12"/>
        <v>Premium5R3less</v>
      </c>
      <c r="D116" s="7" t="str">
        <f t="shared" si="13"/>
        <v>Premium</v>
      </c>
      <c r="E116" s="7" t="str">
        <f>IF(COUNTIF('R6追加前'!A:A,B116)=0,IF(OR(I116="PremiumSS",I116="PremiumSSw"),"R5only","R3less"),"")</f>
        <v>R3less</v>
      </c>
      <c r="F116" s="7" t="str">
        <f>IF(COUNTIF('R6開放'!A:A,B116)&gt;0,"R6release","")</f>
        <v/>
      </c>
      <c r="G116" s="7"/>
      <c r="H116" s="7" t="str">
        <f>VLOOKUP(B116,[1]characters!$A:$C,3,FALSE)</f>
        <v>弾丸多重奏 蝉丸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attack</v>
      </c>
      <c r="M116" s="7" t="str">
        <f>VLOOKUP(B116,[1]characters!$A:$M,13,FALSE)</f>
        <v>human</v>
      </c>
      <c r="N116" s="7" t="str">
        <f>VLOOKUP(B116,[1]characters!$A:$G,7,FALSE)</f>
        <v>男性</v>
      </c>
      <c r="O116" s="45">
        <f t="shared" si="11"/>
        <v>19656</v>
      </c>
      <c r="P116" s="46">
        <f t="shared" si="14"/>
        <v>1.1097560975609756E-2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input_559100!A$2</f>
        <v>559100</v>
      </c>
      <c r="B117" s="1">
        <v>1028</v>
      </c>
      <c r="C117" s="7" t="str">
        <f t="shared" si="12"/>
        <v>PremiumSS5R5only</v>
      </c>
      <c r="D117" s="7" t="str">
        <f t="shared" si="13"/>
        <v>PremiumSS</v>
      </c>
      <c r="E117" s="7" t="str">
        <f>IF(COUNTIF('R6追加前'!A:A,B117)=0,IF(OR(I117="PremiumSS",I117="PremiumSSw"),"R5only","R3less"),"")</f>
        <v>R5only</v>
      </c>
      <c r="F117" s="7" t="str">
        <f>IF(COUNTIF('R6開放'!A:A,B117)&gt;0,"R6release","")</f>
        <v/>
      </c>
      <c r="G117" s="7"/>
      <c r="H117" s="7" t="str">
        <f>VLOOKUP(B117,[1]characters!$A:$C,3,FALSE)</f>
        <v>牛若丸</v>
      </c>
      <c r="I117" s="7" t="str">
        <f>VLOOKUP(B117,[1]characters!$A:$J,10,FALSE)</f>
        <v>PremiumSS</v>
      </c>
      <c r="J117" s="7">
        <f>VLOOKUP(B117,[1]characters!$A:$I,9,FALSE)</f>
        <v>5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human</v>
      </c>
      <c r="N117" s="7" t="str">
        <f>VLOOKUP(B117,[1]characters!$A:$G,7,FALSE)</f>
        <v>男性</v>
      </c>
      <c r="O117" s="45">
        <f t="shared" si="11"/>
        <v>1845</v>
      </c>
      <c r="P117" s="46">
        <f t="shared" si="14"/>
        <v>1.0416666666666667E-3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input_559100!A$2</f>
        <v>559100</v>
      </c>
      <c r="B118" s="1">
        <v>1031</v>
      </c>
      <c r="C118" s="7" t="str">
        <f t="shared" si="12"/>
        <v>PremiumSS5R5only</v>
      </c>
      <c r="D118" s="7" t="str">
        <f t="shared" si="13"/>
        <v>PremiumSS</v>
      </c>
      <c r="E118" s="7" t="str">
        <f>IF(COUNTIF('R6追加前'!A:A,B118)=0,IF(OR(I118="PremiumSS",I118="PremiumSSw"),"R5only","R3less"),"")</f>
        <v>R5only</v>
      </c>
      <c r="F118" s="7" t="str">
        <f>IF(COUNTIF('R6開放'!A:A,B118)&gt;0,"R6release","")</f>
        <v/>
      </c>
      <c r="G118" s="7"/>
      <c r="H118" s="7" t="str">
        <f>VLOOKUP(B118,[1]characters!$A:$C,3,FALSE)</f>
        <v>紫式部</v>
      </c>
      <c r="I118" s="7" t="str">
        <f>VLOOKUP(B118,[1]characters!$A:$J,10,FALSE)</f>
        <v>PremiumSS</v>
      </c>
      <c r="J118" s="7">
        <f>VLOOKUP(B118,[1]characters!$A:$I,9,FALSE)</f>
        <v>5</v>
      </c>
      <c r="K118" s="7" t="str">
        <f>VLOOKUP(B118,[1]characters!$A:$H,8,FALSE)</f>
        <v>blue</v>
      </c>
      <c r="L118" s="7" t="str">
        <f>VLOOKUP(B118,[1]characters!$A:$K,11,FALSE)</f>
        <v>technical</v>
      </c>
      <c r="M118" s="7" t="str">
        <f>VLOOKUP(B118,[1]characters!$A:$M,13,FALSE)</f>
        <v>human</v>
      </c>
      <c r="N118" s="7" t="str">
        <f>VLOOKUP(B118,[1]characters!$A:$G,7,FALSE)</f>
        <v>男性</v>
      </c>
      <c r="O118" s="45">
        <f>VLOOKUP(D118,$W$2:$Y$4,3,FALSE)</f>
        <v>1845</v>
      </c>
      <c r="P118" s="46">
        <f t="shared" si="14"/>
        <v>1.0416666666666667E-3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input_559100!A$2</f>
        <v>559100</v>
      </c>
      <c r="B119" s="1">
        <v>1033</v>
      </c>
      <c r="C119" s="7" t="str">
        <f t="shared" si="12"/>
        <v>PremiumSS5R5only</v>
      </c>
      <c r="D119" s="7" t="str">
        <f t="shared" si="13"/>
        <v>PremiumSS</v>
      </c>
      <c r="E119" s="7" t="str">
        <f>IF(COUNTIF('R6追加前'!A:A,B119)=0,IF(OR(I119="PremiumSS",I119="PremiumSSw"),"R5only","R3less"),"")</f>
        <v>R5only</v>
      </c>
      <c r="F119" s="7" t="str">
        <f>IF(COUNTIF('R6開放'!A:A,B119)&gt;0,"R6release","")</f>
        <v/>
      </c>
      <c r="G119" s="7"/>
      <c r="H119" s="7" t="str">
        <f>VLOOKUP(B119,[1]characters!$A:$C,3,FALSE)</f>
        <v>清少納言</v>
      </c>
      <c r="I119" s="7" t="str">
        <f>VLOOKUP(B119,[1]characters!$A:$J,10,FALSE)</f>
        <v>PremiumSS</v>
      </c>
      <c r="J119" s="7">
        <f>VLOOKUP(B119,[1]characters!$A:$I,9,FALSE)</f>
        <v>5</v>
      </c>
      <c r="K119" s="7" t="str">
        <f>VLOOKUP(B119,[1]characters!$A:$H,8,FALSE)</f>
        <v>yellow</v>
      </c>
      <c r="L119" s="7" t="str">
        <f>VLOOKUP(B119,[1]characters!$A:$K,11,FALSE)</f>
        <v>heal</v>
      </c>
      <c r="M119" s="7" t="str">
        <f>VLOOKUP(B119,[1]characters!$A:$M,13,FALSE)</f>
        <v>human</v>
      </c>
      <c r="N119" s="7" t="str">
        <f>VLOOKUP(B119,[1]characters!$A:$G,7,FALSE)</f>
        <v>男性</v>
      </c>
      <c r="O119" s="45">
        <f t="shared" ref="O119:O148" si="15">VLOOKUP(D119,$W$2:$Y$4,3,FALSE)</f>
        <v>1845</v>
      </c>
      <c r="P119" s="46">
        <f t="shared" si="14"/>
        <v>1.0416666666666667E-3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input_559100!A$2</f>
        <v>559100</v>
      </c>
      <c r="B120" s="1">
        <v>1068</v>
      </c>
      <c r="C120" s="7" t="str">
        <f t="shared" si="12"/>
        <v>Premium5R3less</v>
      </c>
      <c r="D120" s="7" t="str">
        <f t="shared" si="13"/>
        <v>Premium</v>
      </c>
      <c r="E120" s="7" t="str">
        <f>IF(COUNTIF('R6追加前'!A:A,B120)=0,IF(OR(I120="PremiumSS",I120="PremiumSSw"),"R5only","R3less"),"")</f>
        <v>R3less</v>
      </c>
      <c r="F120" s="7" t="str">
        <f>IF(COUNTIF('R6開放'!A:A,B120)&gt;0,"R6release","")</f>
        <v/>
      </c>
      <c r="G120" s="7"/>
      <c r="H120" s="7" t="str">
        <f>VLOOKUP(B120,[1]characters!$A:$C,3,FALSE)</f>
        <v>想母の羽龍 ウシュムガル</v>
      </c>
      <c r="I120" s="7" t="str">
        <f>VLOOKUP(B120,[1]characters!$A:$J,10,FALSE)</f>
        <v>PremiumS</v>
      </c>
      <c r="J120" s="7">
        <f>VLOOKUP(B120,[1]characters!$A:$I,9,FALSE)</f>
        <v>5</v>
      </c>
      <c r="K120" s="7" t="str">
        <f>VLOOKUP(B120,[1]characters!$A:$H,8,FALSE)</f>
        <v>red</v>
      </c>
      <c r="L120" s="7" t="str">
        <f>VLOOKUP(B120,[1]characters!$A:$K,11,FALSE)</f>
        <v>balance</v>
      </c>
      <c r="M120" s="7" t="str">
        <f>VLOOKUP(B120,[1]characters!$A:$M,13,FALSE)</f>
        <v>dragon</v>
      </c>
      <c r="N120" s="7" t="str">
        <f>VLOOKUP(B120,[1]characters!$A:$G,7,FALSE)</f>
        <v>男性</v>
      </c>
      <c r="O120" s="45">
        <f t="shared" si="15"/>
        <v>19656</v>
      </c>
      <c r="P120" s="46">
        <f t="shared" si="14"/>
        <v>1.1097560975609756E-2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input_559100!A$2</f>
        <v>559100</v>
      </c>
      <c r="B121" s="1">
        <v>1069</v>
      </c>
      <c r="C121" s="7" t="str">
        <f t="shared" si="12"/>
        <v>PremiumSS5R5only</v>
      </c>
      <c r="D121" s="7" t="str">
        <f t="shared" si="13"/>
        <v>PremiumSS</v>
      </c>
      <c r="E121" s="7" t="str">
        <f>IF(COUNTIF('R6追加前'!A:A,B121)=0,IF(OR(I121="PremiumSS",I121="PremiumSSw"),"R5only","R3less"),"")</f>
        <v>R5only</v>
      </c>
      <c r="F121" s="7" t="str">
        <f>IF(COUNTIF('R6開放'!A:A,B121)&gt;0,"R6release","")</f>
        <v/>
      </c>
      <c r="G121" s="7"/>
      <c r="H121" s="7" t="str">
        <f>VLOOKUP(B121,[1]characters!$A:$C,3,FALSE)</f>
        <v>イシュタル</v>
      </c>
      <c r="I121" s="7" t="str">
        <f>VLOOKUP(B121,[1]characters!$A:$J,10,FALSE)</f>
        <v>PremiumSS</v>
      </c>
      <c r="J121" s="7">
        <f>VLOOKUP(B121,[1]characters!$A:$I,9,FALSE)</f>
        <v>5</v>
      </c>
      <c r="K121" s="7" t="str">
        <f>VLOOKUP(B121,[1]characters!$A:$H,8,FALSE)</f>
        <v>green</v>
      </c>
      <c r="L121" s="7" t="str">
        <f>VLOOKUP(B121,[1]characters!$A:$K,11,FALSE)</f>
        <v>technical</v>
      </c>
      <c r="M121" s="7" t="str">
        <f>VLOOKUP(B121,[1]characters!$A:$M,13,FALSE)</f>
        <v>god</v>
      </c>
      <c r="N121" s="7" t="str">
        <f>VLOOKUP(B121,[1]characters!$A:$G,7,FALSE)</f>
        <v>男性</v>
      </c>
      <c r="O121" s="45">
        <f t="shared" si="15"/>
        <v>1845</v>
      </c>
      <c r="P121" s="46">
        <f t="shared" si="14"/>
        <v>1.0416666666666667E-3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input_559100!A$2</f>
        <v>559100</v>
      </c>
      <c r="B122" s="1">
        <v>1072</v>
      </c>
      <c r="C122" s="7" t="str">
        <f t="shared" si="12"/>
        <v>PremiumSS5R5only</v>
      </c>
      <c r="D122" s="7" t="str">
        <f t="shared" si="13"/>
        <v>PremiumSS</v>
      </c>
      <c r="E122" s="7" t="str">
        <f>IF(COUNTIF('R6追加前'!A:A,B122)=0,IF(OR(I122="PremiumSS",I122="PremiumSSw"),"R5only","R3less"),"")</f>
        <v>R5only</v>
      </c>
      <c r="F122" s="7" t="str">
        <f>IF(COUNTIF('R6開放'!A:A,B122)&gt;0,"R6release","")</f>
        <v/>
      </c>
      <c r="G122" s="7"/>
      <c r="H122" s="7" t="str">
        <f>VLOOKUP(B122,[1]characters!$A:$C,3,FALSE)</f>
        <v>エンキドゥ</v>
      </c>
      <c r="I122" s="7" t="str">
        <f>VLOOKUP(B122,[1]characters!$A:$J,10,FALSE)</f>
        <v>PremiumSSw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attack</v>
      </c>
      <c r="M122" s="7" t="str">
        <f>VLOOKUP(B122,[1]characters!$A:$M,13,FALSE)</f>
        <v>human</v>
      </c>
      <c r="N122" s="7" t="str">
        <f>VLOOKUP(B122,[1]characters!$A:$G,7,FALSE)</f>
        <v>男性</v>
      </c>
      <c r="O122" s="45">
        <f t="shared" si="15"/>
        <v>1845</v>
      </c>
      <c r="P122" s="46">
        <f t="shared" si="14"/>
        <v>1.0416666666666667E-3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input_559100!A$2</f>
        <v>559100</v>
      </c>
      <c r="B123" s="1">
        <v>1074</v>
      </c>
      <c r="C123" s="7" t="str">
        <f t="shared" si="12"/>
        <v>PremiumSS5R5only</v>
      </c>
      <c r="D123" s="7" t="str">
        <f t="shared" si="13"/>
        <v>PremiumSS</v>
      </c>
      <c r="E123" s="7" t="str">
        <f>IF(COUNTIF('R6追加前'!A:A,B123)=0,IF(OR(I123="PremiumSS",I123="PremiumSSw"),"R5only","R3less"),"")</f>
        <v>R5only</v>
      </c>
      <c r="F123" s="7" t="str">
        <f>IF(COUNTIF('R6開放'!A:A,B123)&gt;0,"R6release","")</f>
        <v/>
      </c>
      <c r="G123" s="7"/>
      <c r="H123" s="7" t="str">
        <f>VLOOKUP(B123,[1]characters!$A:$C,3,FALSE)</f>
        <v>マルドゥク</v>
      </c>
      <c r="I123" s="7" t="str">
        <f>VLOOKUP(B123,[1]characters!$A:$J,10,FALSE)</f>
        <v>PremiumSS</v>
      </c>
      <c r="J123" s="7">
        <f>VLOOKUP(B123,[1]characters!$A:$I,9,FALSE)</f>
        <v>5</v>
      </c>
      <c r="K123" s="7" t="str">
        <f>VLOOKUP(B123,[1]characters!$A:$H,8,FALSE)</f>
        <v>yellow</v>
      </c>
      <c r="L123" s="7" t="str">
        <f>VLOOKUP(B123,[1]characters!$A:$K,11,FALSE)</f>
        <v>technical</v>
      </c>
      <c r="M123" s="7" t="str">
        <f>VLOOKUP(B123,[1]characters!$A:$M,13,FALSE)</f>
        <v>god</v>
      </c>
      <c r="N123" s="7" t="str">
        <f>VLOOKUP(B123,[1]characters!$A:$G,7,FALSE)</f>
        <v>男性</v>
      </c>
      <c r="O123" s="45">
        <f t="shared" si="15"/>
        <v>1845</v>
      </c>
      <c r="P123" s="46">
        <f t="shared" si="14"/>
        <v>1.0416666666666667E-3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input_559100!A$2</f>
        <v>559100</v>
      </c>
      <c r="B124" s="1">
        <v>1100</v>
      </c>
      <c r="C124" s="7" t="str">
        <f t="shared" si="12"/>
        <v>PremiumSS5R5only</v>
      </c>
      <c r="D124" s="7" t="str">
        <f t="shared" si="13"/>
        <v>PremiumSS</v>
      </c>
      <c r="E124" s="7" t="str">
        <f>IF(COUNTIF('R6追加前'!A:A,B124)=0,IF(OR(I124="PremiumSS",I124="PremiumSSw"),"R5only","R3less"),"")</f>
        <v>R5only</v>
      </c>
      <c r="F124" s="7" t="str">
        <f>IF(COUNTIF('R6開放'!A:A,B124)&gt;0,"R6release","")</f>
        <v/>
      </c>
      <c r="G124" s="7"/>
      <c r="H124" s="7" t="str">
        <f>VLOOKUP(B124,[1]characters!$A:$C,3,FALSE)</f>
        <v>北斎</v>
      </c>
      <c r="I124" s="7" t="str">
        <f>VLOOKUP(B124,[1]characters!$A:$J,10,FALSE)</f>
        <v>PremiumSS</v>
      </c>
      <c r="J124" s="7">
        <f>VLOOKUP(B124,[1]characters!$A:$I,9,FALSE)</f>
        <v>5</v>
      </c>
      <c r="K124" s="7" t="str">
        <f>VLOOKUP(B124,[1]characters!$A:$H,8,FALSE)</f>
        <v>red</v>
      </c>
      <c r="L124" s="7" t="str">
        <f>VLOOKUP(B124,[1]characters!$A:$K,11,FALSE)</f>
        <v>attack</v>
      </c>
      <c r="M124" s="7" t="str">
        <f>VLOOKUP(B124,[1]characters!$A:$M,13,FALSE)</f>
        <v>human</v>
      </c>
      <c r="N124" s="7" t="str">
        <f>VLOOKUP(B124,[1]characters!$A:$G,7,FALSE)</f>
        <v>不明</v>
      </c>
      <c r="O124" s="45">
        <f t="shared" si="15"/>
        <v>1845</v>
      </c>
      <c r="P124" s="46">
        <f t="shared" si="14"/>
        <v>1.0416666666666667E-3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input_559100!A$2</f>
        <v>559100</v>
      </c>
      <c r="B125" s="1">
        <v>1102</v>
      </c>
      <c r="C125" s="7" t="str">
        <f t="shared" si="12"/>
        <v>PremiumSS5R5only</v>
      </c>
      <c r="D125" s="7" t="str">
        <f t="shared" si="13"/>
        <v>PremiumSS</v>
      </c>
      <c r="E125" s="7" t="str">
        <f>IF(COUNTIF('R6追加前'!A:A,B125)=0,IF(OR(I125="PremiumSS",I125="PremiumSSw"),"R5only","R3less"),"")</f>
        <v>R5only</v>
      </c>
      <c r="F125" s="7" t="str">
        <f>IF(COUNTIF('R6開放'!A:A,B125)&gt;0,"R6release","")</f>
        <v/>
      </c>
      <c r="G125" s="7"/>
      <c r="H125" s="7" t="str">
        <f>VLOOKUP(B125,[1]characters!$A:$C,3,FALSE)</f>
        <v>ドガ</v>
      </c>
      <c r="I125" s="7" t="str">
        <f>VLOOKUP(B125,[1]characters!$A:$J,10,FALSE)</f>
        <v>PremiumSSw</v>
      </c>
      <c r="J125" s="7">
        <f>VLOOKUP(B125,[1]characters!$A:$I,9,FALSE)</f>
        <v>5</v>
      </c>
      <c r="K125" s="7" t="str">
        <f>VLOOKUP(B125,[1]characters!$A:$H,8,FALSE)</f>
        <v>green</v>
      </c>
      <c r="L125" s="7" t="str">
        <f>VLOOKUP(B125,[1]characters!$A:$K,11,FALSE)</f>
        <v>balance</v>
      </c>
      <c r="M125" s="7" t="str">
        <f>VLOOKUP(B125,[1]characters!$A:$M,13,FALSE)</f>
        <v>animal</v>
      </c>
      <c r="N125" s="7" t="str">
        <f>VLOOKUP(B125,[1]characters!$A:$G,7,FALSE)</f>
        <v>不明</v>
      </c>
      <c r="O125" s="45">
        <f t="shared" si="15"/>
        <v>1845</v>
      </c>
      <c r="P125" s="46">
        <f t="shared" si="14"/>
        <v>1.0416666666666667E-3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input_559100!A$2</f>
        <v>559100</v>
      </c>
      <c r="B126" s="1">
        <v>1105</v>
      </c>
      <c r="C126" s="7" t="str">
        <f t="shared" si="12"/>
        <v>Premium5R3less</v>
      </c>
      <c r="D126" s="7" t="str">
        <f t="shared" si="13"/>
        <v>Premium</v>
      </c>
      <c r="E126" s="7" t="str">
        <f>IF(COUNTIF('R6追加前'!A:A,B126)=0,IF(OR(I126="PremiumSS",I126="PremiumSSw"),"R5only","R3less"),"")</f>
        <v>R3less</v>
      </c>
      <c r="F126" s="7" t="str">
        <f>IF(COUNTIF('R6開放'!A:A,B126)&gt;0,"R6release","")</f>
        <v/>
      </c>
      <c r="G126" s="7"/>
      <c r="H126" s="7" t="str">
        <f>VLOOKUP(B126,[1]characters!$A:$C,3,FALSE)</f>
        <v>甘美なる背徳 クリムト</v>
      </c>
      <c r="I126" s="7" t="str">
        <f>VLOOKUP(B126,[1]characters!$A:$J,10,FALSE)</f>
        <v>PremiumS</v>
      </c>
      <c r="J126" s="7">
        <f>VLOOKUP(B126,[1]characters!$A:$I,9,FALSE)</f>
        <v>5</v>
      </c>
      <c r="K126" s="7" t="str">
        <f>VLOOKUP(B126,[1]characters!$A:$H,8,FALSE)</f>
        <v>blue</v>
      </c>
      <c r="L126" s="7" t="str">
        <f>VLOOKUP(B126,[1]characters!$A:$K,11,FALSE)</f>
        <v>technical</v>
      </c>
      <c r="M126" s="7" t="str">
        <f>VLOOKUP(B126,[1]characters!$A:$M,13,FALSE)</f>
        <v>human</v>
      </c>
      <c r="N126" s="7" t="str">
        <f>VLOOKUP(B126,[1]characters!$A:$G,7,FALSE)</f>
        <v>不明</v>
      </c>
      <c r="O126" s="45">
        <f t="shared" si="15"/>
        <v>19656</v>
      </c>
      <c r="P126" s="46">
        <f t="shared" si="14"/>
        <v>1.1097560975609756E-2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input_559100!A$2</f>
        <v>559100</v>
      </c>
      <c r="B127" s="1">
        <v>1106</v>
      </c>
      <c r="C127" s="7" t="str">
        <f t="shared" si="12"/>
        <v>PremiumSS5R5only</v>
      </c>
      <c r="D127" s="7" t="str">
        <f t="shared" si="13"/>
        <v>PremiumSS</v>
      </c>
      <c r="E127" s="7" t="str">
        <f>IF(COUNTIF('R6追加前'!A:A,B127)=0,IF(OR(I127="PremiumSS",I127="PremiumSSw"),"R5only","R3less"),"")</f>
        <v>R5only</v>
      </c>
      <c r="F127" s="7" t="str">
        <f>IF(COUNTIF('R6開放'!A:A,B127)&gt;0,"R6release","")</f>
        <v/>
      </c>
      <c r="G127" s="7"/>
      <c r="H127" s="7" t="str">
        <f>VLOOKUP(B127,[1]characters!$A:$C,3,FALSE)</f>
        <v>ラファエロ</v>
      </c>
      <c r="I127" s="7" t="str">
        <f>VLOOKUP(B127,[1]characters!$A:$J,10,FALSE)</f>
        <v>PremiumSS</v>
      </c>
      <c r="J127" s="7">
        <f>VLOOKUP(B127,[1]characters!$A:$I,9,FALSE)</f>
        <v>5</v>
      </c>
      <c r="K127" s="7" t="str">
        <f>VLOOKUP(B127,[1]characters!$A:$H,8,FALSE)</f>
        <v>yellow</v>
      </c>
      <c r="L127" s="7" t="str">
        <f>VLOOKUP(B127,[1]characters!$A:$K,11,FALSE)</f>
        <v>attack</v>
      </c>
      <c r="M127" s="7" t="str">
        <f>VLOOKUP(B127,[1]characters!$A:$M,13,FALSE)</f>
        <v>human</v>
      </c>
      <c r="N127" s="7" t="str">
        <f>VLOOKUP(B127,[1]characters!$A:$G,7,FALSE)</f>
        <v>不明</v>
      </c>
      <c r="O127" s="45">
        <f t="shared" si="15"/>
        <v>1845</v>
      </c>
      <c r="P127" s="46">
        <f t="shared" si="14"/>
        <v>1.0416666666666667E-3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input_559100!A$2</f>
        <v>559100</v>
      </c>
      <c r="B128" s="1">
        <v>1137</v>
      </c>
      <c r="C128" s="7" t="str">
        <f t="shared" si="12"/>
        <v>PremiumSS5R5only</v>
      </c>
      <c r="D128" s="7" t="str">
        <f t="shared" si="13"/>
        <v>PremiumSS</v>
      </c>
      <c r="E128" s="7" t="str">
        <f>IF(COUNTIF('R6追加前'!A:A,B128)=0,IF(OR(I128="PremiumSS",I128="PremiumSSw"),"R5only","R3less"),"")</f>
        <v>R5only</v>
      </c>
      <c r="F128" s="7" t="str">
        <f>IF(COUNTIF('R6開放'!A:A,B128)&gt;0,"R6release","")</f>
        <v/>
      </c>
      <c r="G128" s="7"/>
      <c r="H128" s="7" t="str">
        <f>VLOOKUP(B128,[1]characters!$A:$C,3,FALSE)</f>
        <v>諸葛亮</v>
      </c>
      <c r="I128" s="7" t="str">
        <f>VLOOKUP(B128,[1]characters!$A:$J,10,FALSE)</f>
        <v>PremiumSSw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technical</v>
      </c>
      <c r="M128" s="7" t="str">
        <f>VLOOKUP(B128,[1]characters!$A:$M,13,FALSE)</f>
        <v>samurai</v>
      </c>
      <c r="N128" s="7" t="str">
        <f>VLOOKUP(B128,[1]characters!$A:$G,7,FALSE)</f>
        <v>不明</v>
      </c>
      <c r="O128" s="45">
        <f t="shared" si="15"/>
        <v>1845</v>
      </c>
      <c r="P128" s="46">
        <f t="shared" si="14"/>
        <v>1.0416666666666667E-3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input_559100!A$2</f>
        <v>559100</v>
      </c>
      <c r="B129" s="1">
        <v>1139</v>
      </c>
      <c r="C129" s="7" t="str">
        <f t="shared" si="12"/>
        <v>PremiumSS5R5only</v>
      </c>
      <c r="D129" s="7" t="str">
        <f t="shared" si="13"/>
        <v>PremiumSS</v>
      </c>
      <c r="E129" s="7" t="str">
        <f>IF(COUNTIF('R6追加前'!A:A,B129)=0,IF(OR(I129="PremiumSS",I129="PremiumSSw"),"R5only","R3less"),"")</f>
        <v>R5only</v>
      </c>
      <c r="F129" s="7" t="str">
        <f>IF(COUNTIF('R6開放'!A:A,B129)&gt;0,"R6release","")</f>
        <v/>
      </c>
      <c r="G129" s="7"/>
      <c r="H129" s="7" t="str">
        <f>VLOOKUP(B129,[1]characters!$A:$C,3,FALSE)</f>
        <v>趙雲</v>
      </c>
      <c r="I129" s="7" t="str">
        <f>VLOOKUP(B129,[1]characters!$A:$J,10,FALSE)</f>
        <v>PremiumSS</v>
      </c>
      <c r="J129" s="7">
        <f>VLOOKUP(B129,[1]characters!$A:$I,9,FALSE)</f>
        <v>5</v>
      </c>
      <c r="K129" s="7" t="str">
        <f>VLOOKUP(B129,[1]characters!$A:$H,8,FALSE)</f>
        <v>green</v>
      </c>
      <c r="L129" s="7" t="str">
        <f>VLOOKUP(B129,[1]characters!$A:$K,11,FALSE)</f>
        <v>balance</v>
      </c>
      <c r="M129" s="7" t="str">
        <f>VLOOKUP(B129,[1]characters!$A:$M,13,FALSE)</f>
        <v>samurai</v>
      </c>
      <c r="N129" s="7" t="str">
        <f>VLOOKUP(B129,[1]characters!$A:$G,7,FALSE)</f>
        <v>不明</v>
      </c>
      <c r="O129" s="45">
        <f t="shared" si="15"/>
        <v>1845</v>
      </c>
      <c r="P129" s="46">
        <f t="shared" si="14"/>
        <v>1.0416666666666667E-3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input_559100!A$2</f>
        <v>559100</v>
      </c>
      <c r="B130" s="1">
        <v>1141</v>
      </c>
      <c r="C130" s="7" t="str">
        <f t="shared" si="12"/>
        <v>PremiumSS5R5only</v>
      </c>
      <c r="D130" s="7" t="str">
        <f t="shared" si="13"/>
        <v>PremiumSS</v>
      </c>
      <c r="E130" s="7" t="str">
        <f>IF(COUNTIF('R6追加前'!A:A,B130)=0,IF(OR(I130="PremiumSS",I130="PremiumSSw"),"R5only","R3less"),"")</f>
        <v>R5only</v>
      </c>
      <c r="F130" s="7" t="str">
        <f>IF(COUNTIF('R6開放'!A:A,B130)&gt;0,"R6release","")</f>
        <v/>
      </c>
      <c r="G130" s="7"/>
      <c r="H130" s="7" t="str">
        <f>VLOOKUP(B130,[1]characters!$A:$C,3,FALSE)</f>
        <v>月英</v>
      </c>
      <c r="I130" s="7" t="str">
        <f>VLOOKUP(B130,[1]characters!$A:$J,10,FALSE)</f>
        <v>PremiumSS</v>
      </c>
      <c r="J130" s="7">
        <f>VLOOKUP(B130,[1]characters!$A:$I,9,FALSE)</f>
        <v>5</v>
      </c>
      <c r="K130" s="7" t="str">
        <f>VLOOKUP(B130,[1]characters!$A:$H,8,FALSE)</f>
        <v>blue</v>
      </c>
      <c r="L130" s="7" t="str">
        <f>VLOOKUP(B130,[1]characters!$A:$K,11,FALSE)</f>
        <v>balance</v>
      </c>
      <c r="M130" s="7" t="str">
        <f>VLOOKUP(B130,[1]characters!$A:$M,13,FALSE)</f>
        <v>human</v>
      </c>
      <c r="N130" s="7" t="str">
        <f>VLOOKUP(B130,[1]characters!$A:$G,7,FALSE)</f>
        <v>不明</v>
      </c>
      <c r="O130" s="45">
        <f t="shared" si="15"/>
        <v>1845</v>
      </c>
      <c r="P130" s="46">
        <f t="shared" si="14"/>
        <v>1.0416666666666667E-3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input_559100!A$2</f>
        <v>559100</v>
      </c>
      <c r="B131" s="1">
        <v>1144</v>
      </c>
      <c r="C131" s="7" t="str">
        <f t="shared" si="12"/>
        <v>Premium5R3less</v>
      </c>
      <c r="D131" s="7" t="str">
        <f t="shared" si="13"/>
        <v>Premium</v>
      </c>
      <c r="E131" s="7" t="str">
        <f>IF(COUNTIF('R6追加前'!A:A,B131)=0,IF(OR(I131="PremiumSS",I131="PremiumSSw"),"R5only","R3less"),"")</f>
        <v>R3less</v>
      </c>
      <c r="F131" s="7" t="str">
        <f>IF(COUNTIF('R6開放'!A:A,B131)&gt;0,"R6release","")</f>
        <v/>
      </c>
      <c r="G131" s="7"/>
      <c r="H131" s="7" t="str">
        <f>VLOOKUP(B131,[1]characters!$A:$C,3,FALSE)</f>
        <v>白星を射る老将 黄忠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yellow</v>
      </c>
      <c r="L131" s="7" t="str">
        <f>VLOOKUP(B131,[1]characters!$A:$K,11,FALSE)</f>
        <v>technical</v>
      </c>
      <c r="M131" s="7" t="str">
        <f>VLOOKUP(B131,[1]characters!$A:$M,13,FALSE)</f>
        <v>samurai</v>
      </c>
      <c r="N131" s="7" t="str">
        <f>VLOOKUP(B131,[1]characters!$A:$G,7,FALSE)</f>
        <v>不明</v>
      </c>
      <c r="O131" s="45">
        <f t="shared" si="15"/>
        <v>19656</v>
      </c>
      <c r="P131" s="46">
        <f t="shared" si="14"/>
        <v>1.1097560975609756E-2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input_559100!A$2</f>
        <v>559100</v>
      </c>
      <c r="B132" s="1">
        <v>1152</v>
      </c>
      <c r="C132" s="7" t="str">
        <f t="shared" si="12"/>
        <v>Premium5R3less</v>
      </c>
      <c r="D132" s="7" t="str">
        <f t="shared" si="13"/>
        <v>Premium</v>
      </c>
      <c r="E132" s="7" t="str">
        <f>IF(COUNTIF('R6追加前'!A:A,B132)=0,IF(OR(I132="PremiumSS",I132="PremiumSSw"),"R5only","R3less"),"")</f>
        <v>R3less</v>
      </c>
      <c r="F132" s="7" t="str">
        <f>IF(COUNTIF('R6開放'!A:A,B132)&gt;0,"R6release","")</f>
        <v/>
      </c>
      <c r="G132" s="7"/>
      <c r="H132" s="7" t="str">
        <f>VLOOKUP(B132,[1]characters!$A:$C,3,FALSE)</f>
        <v>衆知の富益神 ガネーシャ</v>
      </c>
      <c r="I132" s="7" t="str">
        <f>VLOOKUP(B132,[1]characters!$A:$J,10,FALSE)</f>
        <v>PremiumS</v>
      </c>
      <c r="J132" s="7">
        <f>VLOOKUP(B132,[1]characters!$A:$I,9,FALSE)</f>
        <v>5</v>
      </c>
      <c r="K132" s="7" t="str">
        <f>VLOOKUP(B132,[1]characters!$A:$H,8,FALSE)</f>
        <v>red</v>
      </c>
      <c r="L132" s="7" t="str">
        <f>VLOOKUP(B132,[1]characters!$A:$K,11,FALSE)</f>
        <v>heal</v>
      </c>
      <c r="M132" s="7" t="str">
        <f>VLOOKUP(B132,[1]characters!$A:$M,13,FALSE)</f>
        <v>god</v>
      </c>
      <c r="N132" s="7" t="str">
        <f>VLOOKUP(B132,[1]characters!$A:$G,7,FALSE)</f>
        <v>不明</v>
      </c>
      <c r="O132" s="45">
        <f t="shared" si="15"/>
        <v>19656</v>
      </c>
      <c r="P132" s="46">
        <f t="shared" si="14"/>
        <v>1.1097560975609756E-2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input_559100!A$2</f>
        <v>559100</v>
      </c>
      <c r="B133" s="1">
        <v>1153</v>
      </c>
      <c r="C133" s="7" t="str">
        <f t="shared" si="12"/>
        <v>PremiumSS5R5only</v>
      </c>
      <c r="D133" s="7" t="str">
        <f t="shared" si="13"/>
        <v>PremiumSS</v>
      </c>
      <c r="E133" s="7" t="str">
        <f>IF(COUNTIF('R6追加前'!A:A,B133)=0,IF(OR(I133="PremiumSS",I133="PremiumSSw"),"R5only","R3less"),"")</f>
        <v>R5only</v>
      </c>
      <c r="F133" s="7" t="str">
        <f>IF(COUNTIF('R6開放'!A:A,B133)&gt;0,"R6release","")</f>
        <v/>
      </c>
      <c r="G133" s="7"/>
      <c r="H133" s="7" t="str">
        <f>VLOOKUP(B133,[1]characters!$A:$C,3,FALSE)</f>
        <v>ラクシュミー</v>
      </c>
      <c r="I133" s="7" t="str">
        <f>VLOOKUP(B133,[1]characters!$A:$J,10,FALSE)</f>
        <v>PremiumSSw</v>
      </c>
      <c r="J133" s="7">
        <f>VLOOKUP(B133,[1]characters!$A:$I,9,FALSE)</f>
        <v>5</v>
      </c>
      <c r="K133" s="7" t="str">
        <f>VLOOKUP(B133,[1]characters!$A:$H,8,FALSE)</f>
        <v>green</v>
      </c>
      <c r="L133" s="7" t="str">
        <f>VLOOKUP(B133,[1]characters!$A:$K,11,FALSE)</f>
        <v>hp</v>
      </c>
      <c r="M133" s="7" t="str">
        <f>VLOOKUP(B133,[1]characters!$A:$M,13,FALSE)</f>
        <v>god</v>
      </c>
      <c r="N133" s="7" t="str">
        <f>VLOOKUP(B133,[1]characters!$A:$G,7,FALSE)</f>
        <v>不明</v>
      </c>
      <c r="O133" s="45">
        <f t="shared" si="15"/>
        <v>1845</v>
      </c>
      <c r="P133" s="46">
        <f t="shared" si="14"/>
        <v>1.0416666666666667E-3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input_559100!A$2</f>
        <v>559100</v>
      </c>
      <c r="B134" s="1">
        <v>1155</v>
      </c>
      <c r="C134" s="7" t="str">
        <f t="shared" si="12"/>
        <v>PremiumSS5R5only</v>
      </c>
      <c r="D134" s="7" t="str">
        <f t="shared" si="13"/>
        <v>PremiumSS</v>
      </c>
      <c r="E134" s="7" t="str">
        <f>IF(COUNTIF('R6追加前'!A:A,B134)=0,IF(OR(I134="PremiumSS",I134="PremiumSSw"),"R5only","R3less"),"")</f>
        <v>R5only</v>
      </c>
      <c r="F134" s="7" t="str">
        <f>IF(COUNTIF('R6開放'!A:A,B134)&gt;0,"R6release","")</f>
        <v/>
      </c>
      <c r="G134" s="7"/>
      <c r="H134" s="7" t="str">
        <f>VLOOKUP(B134,[1]characters!$A:$C,3,FALSE)</f>
        <v>ドゥルガー</v>
      </c>
      <c r="I134" s="7" t="str">
        <f>VLOOKUP(B134,[1]characters!$A:$J,10,FALSE)</f>
        <v>PremiumSS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balance</v>
      </c>
      <c r="M134" s="7" t="str">
        <f>VLOOKUP(B134,[1]characters!$A:$M,13,FALSE)</f>
        <v>god</v>
      </c>
      <c r="N134" s="7" t="str">
        <f>VLOOKUP(B134,[1]characters!$A:$G,7,FALSE)</f>
        <v>不明</v>
      </c>
      <c r="O134" s="45">
        <f t="shared" si="15"/>
        <v>1845</v>
      </c>
      <c r="P134" s="46">
        <f t="shared" si="14"/>
        <v>1.0416666666666667E-3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input_559100!A$2</f>
        <v>559100</v>
      </c>
      <c r="B135" s="1">
        <v>1157</v>
      </c>
      <c r="C135" s="7" t="str">
        <f t="shared" si="12"/>
        <v>PremiumSS5R5only</v>
      </c>
      <c r="D135" s="7" t="str">
        <f t="shared" si="13"/>
        <v>PremiumSS</v>
      </c>
      <c r="E135" s="7" t="str">
        <f>IF(COUNTIF('R6追加前'!A:A,B135)=0,IF(OR(I135="PremiumSS",I135="PremiumSSw"),"R5only","R3less"),"")</f>
        <v>R5only</v>
      </c>
      <c r="F135" s="7" t="str">
        <f>IF(COUNTIF('R6開放'!A:A,B135)&gt;0,"R6release","")</f>
        <v/>
      </c>
      <c r="G135" s="7"/>
      <c r="H135" s="7" t="str">
        <f>VLOOKUP(B135,[1]characters!$A:$C,3,FALSE)</f>
        <v>インドラ</v>
      </c>
      <c r="I135" s="7" t="str">
        <f>VLOOKUP(B135,[1]characters!$A:$J,10,FALSE)</f>
        <v>PremiumSS</v>
      </c>
      <c r="J135" s="7">
        <f>VLOOKUP(B135,[1]characters!$A:$I,9,FALSE)</f>
        <v>5</v>
      </c>
      <c r="K135" s="7" t="str">
        <f>VLOOKUP(B135,[1]characters!$A:$H,8,FALSE)</f>
        <v>yellow</v>
      </c>
      <c r="L135" s="7" t="str">
        <f>VLOOKUP(B135,[1]characters!$A:$K,11,FALSE)</f>
        <v>attack</v>
      </c>
      <c r="M135" s="7" t="str">
        <f>VLOOKUP(B135,[1]characters!$A:$M,13,FALSE)</f>
        <v>god</v>
      </c>
      <c r="N135" s="7" t="str">
        <f>VLOOKUP(B135,[1]characters!$A:$G,7,FALSE)</f>
        <v>不明</v>
      </c>
      <c r="O135" s="45">
        <f t="shared" si="15"/>
        <v>1845</v>
      </c>
      <c r="P135" s="46">
        <f t="shared" si="14"/>
        <v>1.0416666666666667E-3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input_559100!A$2</f>
        <v>559100</v>
      </c>
      <c r="B136" s="1">
        <v>1214</v>
      </c>
      <c r="C136" s="7" t="str">
        <f t="shared" si="12"/>
        <v>PremiumSS5R5only</v>
      </c>
      <c r="D136" s="7" t="str">
        <f t="shared" si="13"/>
        <v>PremiumSS</v>
      </c>
      <c r="E136" s="7" t="str">
        <f>IF(COUNTIF('R6追加前'!A:A,B136)=0,IF(OR(I136="PremiumSS",I136="PremiumSSw"),"R5only","R3less"),"")</f>
        <v>R5only</v>
      </c>
      <c r="F136" s="7" t="str">
        <f>IF(COUNTIF('R6開放'!A:A,B136)&gt;0,"R6release","")</f>
        <v/>
      </c>
      <c r="G136" s="7"/>
      <c r="H136" s="7" t="str">
        <f>VLOOKUP(B136,[1]characters!$A:$C,3,FALSE)</f>
        <v>アルテミス</v>
      </c>
      <c r="I136" s="7" t="str">
        <f>VLOOKUP(B136,[1]characters!$A:$J,10,FALSE)</f>
        <v>PremiumSSw</v>
      </c>
      <c r="J136" s="7">
        <f>VLOOKUP(B136,[1]characters!$A:$I,9,FALSE)</f>
        <v>5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god</v>
      </c>
      <c r="N136" s="7">
        <f>VLOOKUP(B136,[1]characters!$A:$G,7,FALSE)</f>
        <v>0</v>
      </c>
      <c r="O136" s="45">
        <f t="shared" si="15"/>
        <v>1845</v>
      </c>
      <c r="P136" s="46">
        <f t="shared" si="14"/>
        <v>1.0416666666666667E-3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input_559100!A$2</f>
        <v>559100</v>
      </c>
      <c r="B137" s="1">
        <v>1212</v>
      </c>
      <c r="C137" s="7" t="str">
        <f t="shared" si="12"/>
        <v>PremiumSS5R5only</v>
      </c>
      <c r="D137" s="7" t="str">
        <f t="shared" si="13"/>
        <v>PremiumSS</v>
      </c>
      <c r="E137" s="7" t="str">
        <f>IF(COUNTIF('R6追加前'!A:A,B137)=0,IF(OR(I137="PremiumSS",I137="PremiumSSw"),"R5only","R3less"),"")</f>
        <v>R5only</v>
      </c>
      <c r="F137" s="7" t="str">
        <f>IF(COUNTIF('R6開放'!A:A,B137)&gt;0,"R6release","")</f>
        <v/>
      </c>
      <c r="G137" s="7"/>
      <c r="H137" s="7" t="str">
        <f>VLOOKUP(B137,[1]characters!$A:$C,3,FALSE)</f>
        <v>クロノス</v>
      </c>
      <c r="I137" s="7" t="str">
        <f>VLOOKUP(B137,[1]characters!$A:$J,10,FALSE)</f>
        <v>PremiumSS</v>
      </c>
      <c r="J137" s="7">
        <f>VLOOKUP(B137,[1]characters!$A:$I,9,FALSE)</f>
        <v>5</v>
      </c>
      <c r="K137" s="7" t="str">
        <f>VLOOKUP(B137,[1]characters!$A:$H,8,FALSE)</f>
        <v>blue</v>
      </c>
      <c r="L137" s="7" t="str">
        <f>VLOOKUP(B137,[1]characters!$A:$K,11,FALSE)</f>
        <v>technical</v>
      </c>
      <c r="M137" s="7" t="str">
        <f>VLOOKUP(B137,[1]characters!$A:$M,13,FALSE)</f>
        <v>god</v>
      </c>
      <c r="N137" s="7">
        <f>VLOOKUP(B137,[1]characters!$A:$G,7,FALSE)</f>
        <v>0</v>
      </c>
      <c r="O137" s="45">
        <f t="shared" si="15"/>
        <v>1845</v>
      </c>
      <c r="P137" s="46">
        <f t="shared" si="14"/>
        <v>1.0416666666666667E-3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input_559100!A$2</f>
        <v>559100</v>
      </c>
      <c r="B138" s="1">
        <v>1208</v>
      </c>
      <c r="C138" s="7" t="str">
        <f t="shared" si="12"/>
        <v>PremiumSS5R5only</v>
      </c>
      <c r="D138" s="7" t="str">
        <f t="shared" si="13"/>
        <v>PremiumSS</v>
      </c>
      <c r="E138" s="7" t="str">
        <f>IF(COUNTIF('R6追加前'!A:A,B138)=0,IF(OR(I138="PremiumSS",I138="PremiumSSw"),"R5only","R3less"),"")</f>
        <v>R5only</v>
      </c>
      <c r="F138" s="7" t="str">
        <f>IF(COUNTIF('R6開放'!A:A,B138)&gt;0,"R6release","")</f>
        <v/>
      </c>
      <c r="G138" s="7"/>
      <c r="H138" s="7" t="str">
        <f>VLOOKUP(B138,[1]characters!$A:$C,3,FALSE)</f>
        <v>ネメシス</v>
      </c>
      <c r="I138" s="7" t="str">
        <f>VLOOKUP(B138,[1]characters!$A:$J,10,FALSE)</f>
        <v>PremiumSS</v>
      </c>
      <c r="J138" s="7">
        <f>VLOOKUP(B138,[1]characters!$A:$I,9,FALSE)</f>
        <v>5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god</v>
      </c>
      <c r="N138" s="7">
        <f>VLOOKUP(B138,[1]characters!$A:$G,7,FALSE)</f>
        <v>0</v>
      </c>
      <c r="O138" s="45">
        <f t="shared" si="15"/>
        <v>1845</v>
      </c>
      <c r="P138" s="46">
        <f t="shared" si="14"/>
        <v>1.0416666666666667E-3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input_559100!A$2</f>
        <v>559100</v>
      </c>
      <c r="B139" s="1">
        <v>1211</v>
      </c>
      <c r="C139" s="7" t="str">
        <f t="shared" si="12"/>
        <v>Premium5R3less</v>
      </c>
      <c r="D139" s="7" t="str">
        <f t="shared" si="13"/>
        <v>Premium</v>
      </c>
      <c r="E139" s="7" t="str">
        <f>IF(COUNTIF('R6追加前'!A:A,B139)=0,IF(OR(I139="PremiumSS",I139="PremiumSSw"),"R5only","R3less"),"")</f>
        <v>R3less</v>
      </c>
      <c r="F139" s="7" t="str">
        <f>IF(COUNTIF('R6開放'!A:A,B139)&gt;0,"R6release","")</f>
        <v/>
      </c>
      <c r="G139" s="7"/>
      <c r="H139" s="7" t="str">
        <f>VLOOKUP(B139,[1]characters!$A:$C,3,FALSE)</f>
        <v>奏駆の翻騎 ケンタウロス</v>
      </c>
      <c r="I139" s="7" t="str">
        <f>VLOOKUP(B139,[1]characters!$A:$J,10,FALSE)</f>
        <v>PremiumS</v>
      </c>
      <c r="J139" s="7">
        <f>VLOOKUP(B139,[1]characters!$A:$I,9,FALSE)</f>
        <v>5</v>
      </c>
      <c r="K139" s="7" t="str">
        <f>VLOOKUP(B139,[1]characters!$A:$H,8,FALSE)</f>
        <v>green</v>
      </c>
      <c r="L139" s="7" t="str">
        <f>VLOOKUP(B139,[1]characters!$A:$K,11,FALSE)</f>
        <v>attack</v>
      </c>
      <c r="M139" s="7" t="str">
        <f>VLOOKUP(B139,[1]characters!$A:$M,13,FALSE)</f>
        <v>god</v>
      </c>
      <c r="N139" s="7">
        <f>VLOOKUP(B139,[1]characters!$A:$G,7,FALSE)</f>
        <v>0</v>
      </c>
      <c r="O139" s="45">
        <f t="shared" si="15"/>
        <v>19656</v>
      </c>
      <c r="P139" s="46">
        <f t="shared" si="14"/>
        <v>1.1097560975609756E-2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input_559100!A$2</f>
        <v>559100</v>
      </c>
      <c r="B140" s="1">
        <v>1225</v>
      </c>
      <c r="C140" s="7" t="str">
        <f t="shared" si="12"/>
        <v>Premium5R3less</v>
      </c>
      <c r="D140" s="7" t="str">
        <f t="shared" si="13"/>
        <v>Premium</v>
      </c>
      <c r="E140" s="7" t="str">
        <f>IF(COUNTIF('R6追加前'!A:A,B140)=0,IF(OR(I140="PremiumSS",I140="PremiumSSw"),"R5only","R3less"),"")</f>
        <v>R3less</v>
      </c>
      <c r="F140" s="7" t="str">
        <f>IF(COUNTIF('R6開放'!A:A,B140)&gt;0,"R6release","")</f>
        <v/>
      </c>
      <c r="G140" s="7"/>
      <c r="H140" s="7" t="str">
        <f>VLOOKUP(B140,[1]characters!$A:$C,3,FALSE)</f>
        <v>優柔なる風断者 セルバンテス</v>
      </c>
      <c r="I140" s="7" t="str">
        <f>VLOOKUP(B140,[1]characters!$A:$J,10,FALSE)</f>
        <v>PremiumS</v>
      </c>
      <c r="J140" s="7">
        <f>VLOOKUP(B140,[1]characters!$A:$I,9,FALSE)</f>
        <v>5</v>
      </c>
      <c r="K140" s="7" t="str">
        <f>VLOOKUP(B140,[1]characters!$A:$H,8,FALSE)</f>
        <v>red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>
        <f>VLOOKUP(B140,[1]characters!$A:$G,7,FALSE)</f>
        <v>0</v>
      </c>
      <c r="O140" s="45">
        <f t="shared" si="15"/>
        <v>19656</v>
      </c>
      <c r="P140" s="46">
        <f t="shared" si="14"/>
        <v>1.1097560975609756E-2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input_559100!A$2</f>
        <v>559100</v>
      </c>
      <c r="B141" s="1">
        <v>1226</v>
      </c>
      <c r="C141" s="7" t="str">
        <f t="shared" si="12"/>
        <v>PremiumSS5R5only</v>
      </c>
      <c r="D141" s="7" t="str">
        <f t="shared" si="13"/>
        <v>PremiumSS</v>
      </c>
      <c r="E141" s="7" t="str">
        <f>IF(COUNTIF('R6追加前'!A:A,B141)=0,IF(OR(I141="PremiumSS",I141="PremiumSSw"),"R5only","R3less"),"")</f>
        <v>R5only</v>
      </c>
      <c r="F141" s="7" t="str">
        <f>IF(COUNTIF('R6開放'!A:A,B141)&gt;0,"R6release","")</f>
        <v/>
      </c>
      <c r="G141" s="7"/>
      <c r="H141" s="7" t="str">
        <f>VLOOKUP(B141,[1]characters!$A:$C,3,FALSE)</f>
        <v>トルストイ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>
        <f>VLOOKUP(B141,[1]characters!$A:$G,7,FALSE)</f>
        <v>0</v>
      </c>
      <c r="O141" s="45">
        <f t="shared" si="15"/>
        <v>1845</v>
      </c>
      <c r="P141" s="46">
        <f t="shared" si="14"/>
        <v>1.0416666666666667E-3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input_559100!A$2</f>
        <v>559100</v>
      </c>
      <c r="B142" s="1">
        <v>1228</v>
      </c>
      <c r="C142" s="7" t="str">
        <f t="shared" si="12"/>
        <v>PremiumSS5R5only</v>
      </c>
      <c r="D142" s="7" t="str">
        <f t="shared" si="13"/>
        <v>PremiumSS</v>
      </c>
      <c r="E142" s="7" t="str">
        <f>IF(COUNTIF('R6追加前'!A:A,B142)=0,IF(OR(I142="PremiumSS",I142="PremiumSSw"),"R5only","R3less"),"")</f>
        <v>R5only</v>
      </c>
      <c r="F142" s="7" t="str">
        <f>IF(COUNTIF('R6開放'!A:A,B142)&gt;0,"R6release","")</f>
        <v/>
      </c>
      <c r="G142" s="7"/>
      <c r="H142" s="7" t="str">
        <f>VLOOKUP(B142,[1]characters!$A:$C,3,FALSE)</f>
        <v>芥川龍之介</v>
      </c>
      <c r="I142" s="7" t="str">
        <f>VLOOKUP(B142,[1]characters!$A:$J,10,FALSE)</f>
        <v>PremiumSSw</v>
      </c>
      <c r="J142" s="7">
        <f>VLOOKUP(B142,[1]characters!$A:$I,9,FALSE)</f>
        <v>5</v>
      </c>
      <c r="K142" s="7" t="str">
        <f>VLOOKUP(B142,[1]characters!$A:$H,8,FALSE)</f>
        <v>blue</v>
      </c>
      <c r="L142" s="7" t="str">
        <f>VLOOKUP(B142,[1]characters!$A:$K,11,FALSE)</f>
        <v>attack</v>
      </c>
      <c r="M142" s="7" t="str">
        <f>VLOOKUP(B142,[1]characters!$A:$M,13,FALSE)</f>
        <v>human</v>
      </c>
      <c r="N142" s="7">
        <f>VLOOKUP(B142,[1]characters!$A:$G,7,FALSE)</f>
        <v>0</v>
      </c>
      <c r="O142" s="45">
        <f t="shared" si="15"/>
        <v>1845</v>
      </c>
      <c r="P142" s="46">
        <f t="shared" si="14"/>
        <v>1.0416666666666667E-3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ht="21" customHeight="1" x14ac:dyDescent="0.15">
      <c r="A143" s="2" t="str">
        <f ca="1">input_559100!A$2</f>
        <v>559100</v>
      </c>
      <c r="B143" s="1">
        <v>1230</v>
      </c>
      <c r="C143" s="7" t="str">
        <f t="shared" si="12"/>
        <v>PremiumSS5R5only</v>
      </c>
      <c r="D143" s="7" t="str">
        <f t="shared" si="13"/>
        <v>PremiumSS</v>
      </c>
      <c r="E143" s="7" t="str">
        <f>IF(COUNTIF('R6追加前'!A:A,B143)=0,IF(OR(I143="PremiumSS",I143="PremiumSSw"),"R5only","R3less"),"")</f>
        <v>R5only</v>
      </c>
      <c r="F143" s="7" t="str">
        <f>IF(COUNTIF('R6開放'!A:A,B143)&gt;0,"R6release","")</f>
        <v/>
      </c>
      <c r="G143" s="7"/>
      <c r="H143" s="7" t="str">
        <f>VLOOKUP(B143,[1]characters!$A:$C,3,FALSE)</f>
        <v>夏目漱石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yellow</v>
      </c>
      <c r="L143" s="7" t="str">
        <f>VLOOKUP(B143,[1]characters!$A:$K,11,FALSE)</f>
        <v>heal</v>
      </c>
      <c r="M143" s="7" t="str">
        <f>VLOOKUP(B143,[1]characters!$A:$M,13,FALSE)</f>
        <v>animal</v>
      </c>
      <c r="N143" s="7">
        <f>VLOOKUP(B143,[1]characters!$A:$G,7,FALSE)</f>
        <v>0</v>
      </c>
      <c r="O143" s="45">
        <f t="shared" si="15"/>
        <v>1845</v>
      </c>
      <c r="P143" s="46">
        <f t="shared" si="14"/>
        <v>1.0416666666666667E-3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input_559100!A$2</f>
        <v>559100</v>
      </c>
      <c r="B144" s="1">
        <v>1250</v>
      </c>
      <c r="C144" s="7" t="str">
        <f t="shared" si="12"/>
        <v>PremiumSS5R5only</v>
      </c>
      <c r="D144" s="7" t="str">
        <f t="shared" si="13"/>
        <v>PremiumSS</v>
      </c>
      <c r="E144" s="7" t="str">
        <f>IF(COUNTIF('R6追加前'!A:A,B144)=0,IF(OR(I144="PremiumSS",I144="PremiumSSw"),"R5only","R3less"),"")</f>
        <v>R5only</v>
      </c>
      <c r="F144" s="7" t="str">
        <f>IF(COUNTIF('R6開放'!A:A,B144)&gt;0,"R6release","")</f>
        <v/>
      </c>
      <c r="G144" s="7"/>
      <c r="H144" s="7" t="str">
        <f>VLOOKUP(B144,[1]characters!$A:$C,3,FALSE)</f>
        <v>真田幸村</v>
      </c>
      <c r="I144" s="7" t="str">
        <f>VLOOKUP(B144,[1]characters!$A:$J,10,FALSE)</f>
        <v>PremiumSSw</v>
      </c>
      <c r="J144" s="7">
        <f>VLOOKUP(B144,[1]characters!$A:$I,9,FALSE)</f>
        <v>5</v>
      </c>
      <c r="K144" s="7" t="str">
        <f>VLOOKUP(B144,[1]characters!$A:$H,8,FALSE)</f>
        <v>yellow</v>
      </c>
      <c r="L144" s="7" t="str">
        <f>VLOOKUP(B144,[1]characters!$A:$K,11,FALSE)</f>
        <v>attack</v>
      </c>
      <c r="M144" s="7" t="str">
        <f>VLOOKUP(B144,[1]characters!$A:$M,13,FALSE)</f>
        <v>human</v>
      </c>
      <c r="N144" s="7">
        <f>VLOOKUP(B144,[1]characters!$A:$G,7,FALSE)</f>
        <v>0</v>
      </c>
      <c r="O144" s="45">
        <f t="shared" si="15"/>
        <v>1845</v>
      </c>
      <c r="P144" s="46">
        <f t="shared" si="14"/>
        <v>1.0416666666666667E-3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input_559100!A$2</f>
        <v>559100</v>
      </c>
      <c r="B145" s="1">
        <v>1249</v>
      </c>
      <c r="C145" s="7" t="str">
        <f t="shared" si="12"/>
        <v>Premium5R3less</v>
      </c>
      <c r="D145" s="7" t="str">
        <f t="shared" si="13"/>
        <v>Premium</v>
      </c>
      <c r="E145" s="7" t="str">
        <f>IF(COUNTIF('R6追加前'!A:A,B145)=0,IF(OR(I145="PremiumSS",I145="PremiumSSw"),"R5only","R3less"),"")</f>
        <v>R3less</v>
      </c>
      <c r="F145" s="7" t="str">
        <f>IF(COUNTIF('R6開放'!A:A,B145)&gt;0,"R6release","")</f>
        <v/>
      </c>
      <c r="G145" s="7"/>
      <c r="H145" s="7" t="str">
        <f>VLOOKUP(B145,[1]characters!$A:$C,3,FALSE)</f>
        <v>君臨する姐御様 寧々</v>
      </c>
      <c r="I145" s="7" t="str">
        <f>VLOOKUP(B145,[1]characters!$A:$J,10,FALSE)</f>
        <v>PremiumS</v>
      </c>
      <c r="J145" s="7">
        <f>VLOOKUP(B145,[1]characters!$A:$I,9,FALSE)</f>
        <v>5</v>
      </c>
      <c r="K145" s="7" t="str">
        <f>VLOOKUP(B145,[1]characters!$A:$H,8,FALSE)</f>
        <v>blue</v>
      </c>
      <c r="L145" s="7" t="str">
        <f>VLOOKUP(B145,[1]characters!$A:$K,11,FALSE)</f>
        <v>heal</v>
      </c>
      <c r="M145" s="7" t="str">
        <f>VLOOKUP(B145,[1]characters!$A:$M,13,FALSE)</f>
        <v>human</v>
      </c>
      <c r="N145" s="7">
        <f>VLOOKUP(B145,[1]characters!$A:$G,7,FALSE)</f>
        <v>0</v>
      </c>
      <c r="O145" s="45">
        <f t="shared" si="15"/>
        <v>19656</v>
      </c>
      <c r="P145" s="46">
        <f t="shared" si="14"/>
        <v>1.1097560975609756E-2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input_559100!A$2</f>
        <v>559100</v>
      </c>
      <c r="B146" s="1">
        <v>1246</v>
      </c>
      <c r="C146" s="7" t="str">
        <f t="shared" si="12"/>
        <v>PremiumSS5R5only</v>
      </c>
      <c r="D146" s="7" t="str">
        <f t="shared" si="13"/>
        <v>PremiumSS</v>
      </c>
      <c r="E146" s="7" t="str">
        <f>IF(COUNTIF('R6追加前'!A:A,B146)=0,IF(OR(I146="PremiumSS",I146="PremiumSSw"),"R5only","R3less"),"")</f>
        <v>R5only</v>
      </c>
      <c r="F146" s="7" t="str">
        <f>IF(COUNTIF('R6開放'!A:A,B146)&gt;0,"R6release","")</f>
        <v/>
      </c>
      <c r="G146" s="7"/>
      <c r="H146" s="7" t="str">
        <f>VLOOKUP(B146,[1]characters!$A:$C,3,FALSE)</f>
        <v>望月千代女</v>
      </c>
      <c r="I146" s="7" t="str">
        <f>VLOOKUP(B146,[1]characters!$A:$J,10,FALSE)</f>
        <v>PremiumSS</v>
      </c>
      <c r="J146" s="7">
        <f>VLOOKUP(B146,[1]characters!$A:$I,9,FALSE)</f>
        <v>5</v>
      </c>
      <c r="K146" s="7" t="str">
        <f>VLOOKUP(B146,[1]characters!$A:$H,8,FALSE)</f>
        <v>green</v>
      </c>
      <c r="L146" s="7" t="str">
        <f>VLOOKUP(B146,[1]characters!$A:$K,11,FALSE)</f>
        <v>heal</v>
      </c>
      <c r="M146" s="7" t="str">
        <f>VLOOKUP(B146,[1]characters!$A:$M,13,FALSE)</f>
        <v>human</v>
      </c>
      <c r="N146" s="7">
        <f>VLOOKUP(B146,[1]characters!$A:$G,7,FALSE)</f>
        <v>0</v>
      </c>
      <c r="O146" s="45">
        <f t="shared" si="15"/>
        <v>1845</v>
      </c>
      <c r="P146" s="46">
        <f t="shared" si="14"/>
        <v>1.0416666666666667E-3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input_559100!A$2</f>
        <v>559100</v>
      </c>
      <c r="B147" s="1">
        <v>1244</v>
      </c>
      <c r="C147" s="7" t="str">
        <f t="shared" si="12"/>
        <v>PremiumSS5R5only</v>
      </c>
      <c r="D147" s="7" t="str">
        <f t="shared" si="13"/>
        <v>PremiumSS</v>
      </c>
      <c r="E147" s="7" t="str">
        <f>IF(COUNTIF('R6追加前'!A:A,B147)=0,IF(OR(I147="PremiumSS",I147="PremiumSSw"),"R5only","R3less"),"")</f>
        <v>R5only</v>
      </c>
      <c r="F147" s="7" t="str">
        <f>IF(COUNTIF('R6開放'!A:A,B147)&gt;0,"R6release","")</f>
        <v/>
      </c>
      <c r="G147" s="7"/>
      <c r="H147" s="7" t="str">
        <f>VLOOKUP(B147,[1]characters!$A:$C,3,FALSE)</f>
        <v>猿飛佐助</v>
      </c>
      <c r="I147" s="7" t="str">
        <f>VLOOKUP(B147,[1]characters!$A:$J,10,FALSE)</f>
        <v>PremiumSS</v>
      </c>
      <c r="J147" s="7">
        <f>VLOOKUP(B147,[1]characters!$A:$I,9,FALSE)</f>
        <v>5</v>
      </c>
      <c r="K147" s="7" t="str">
        <f>VLOOKUP(B147,[1]characters!$A:$H,8,FALSE)</f>
        <v>red</v>
      </c>
      <c r="L147" s="7" t="str">
        <f>VLOOKUP(B147,[1]characters!$A:$K,11,FALSE)</f>
        <v>attack</v>
      </c>
      <c r="M147" s="7" t="str">
        <f>VLOOKUP(B147,[1]characters!$A:$M,13,FALSE)</f>
        <v>human</v>
      </c>
      <c r="N147" s="7">
        <f>VLOOKUP(B147,[1]characters!$A:$G,7,FALSE)</f>
        <v>0</v>
      </c>
      <c r="O147" s="45">
        <f t="shared" si="15"/>
        <v>1845</v>
      </c>
      <c r="P147" s="46">
        <f t="shared" si="14"/>
        <v>1.0416666666666667E-3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input_559100!A$2</f>
        <v>559100</v>
      </c>
      <c r="B148" s="1">
        <v>1260</v>
      </c>
      <c r="C148" s="7" t="str">
        <f t="shared" si="12"/>
        <v>PremiumSS5R5only</v>
      </c>
      <c r="D148" s="7" t="str">
        <f t="shared" si="13"/>
        <v>PremiumSS</v>
      </c>
      <c r="E148" s="7" t="str">
        <f>IF(COUNTIF('R6追加前'!A:A,B148)=0,IF(OR(I148="PremiumSS",I148="PremiumSSw"),"R5only","R3less"),"")</f>
        <v>R5only</v>
      </c>
      <c r="F148" s="7" t="str">
        <f>IF(COUNTIF('R6開放'!A:A,B148)&gt;0,"R6release","")</f>
        <v/>
      </c>
      <c r="G148" s="7"/>
      <c r="H148" s="7" t="str">
        <f>VLOOKUP(B148,[1]characters!$A:$C,3,FALSE)</f>
        <v>トール</v>
      </c>
      <c r="I148" s="7" t="str">
        <f>VLOOKUP(B148,[1]characters!$A:$J,10,FALSE)</f>
        <v>PremiumSS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balance</v>
      </c>
      <c r="M148" s="7" t="str">
        <f>VLOOKUP(B148,[1]characters!$A:$M,13,FALSE)</f>
        <v>god</v>
      </c>
      <c r="N148" s="7">
        <f>VLOOKUP(B148,[1]characters!$A:$G,7,FALSE)</f>
        <v>0</v>
      </c>
      <c r="O148" s="45">
        <f t="shared" si="15"/>
        <v>1845</v>
      </c>
      <c r="P148" s="46">
        <f t="shared" si="14"/>
        <v>1.0416666666666667E-3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input_559100!A$2</f>
        <v>559100</v>
      </c>
      <c r="B149" s="1">
        <v>1262</v>
      </c>
      <c r="C149" s="7" t="str">
        <f t="shared" si="12"/>
        <v>PremiumSS5R5only</v>
      </c>
      <c r="D149" s="7" t="str">
        <f t="shared" si="13"/>
        <v>PremiumSS</v>
      </c>
      <c r="E149" s="7" t="str">
        <f>IF(COUNTIF('R6追加前'!A:A,B149)=0,IF(OR(I149="PremiumSS",I149="PremiumSSw"),"R5only","R3less"),"")</f>
        <v>R5only</v>
      </c>
      <c r="F149" s="7" t="str">
        <f>IF(COUNTIF('R6開放'!A:A,B149)&gt;0,"R6release","")</f>
        <v/>
      </c>
      <c r="G149" s="7"/>
      <c r="H149" s="7" t="str">
        <f>VLOOKUP(B149,[1]characters!$A:$C,3,FALSE)</f>
        <v>イズン</v>
      </c>
      <c r="I149" s="7" t="str">
        <f>VLOOKUP(B149,[1]characters!$A:$J,10,FALSE)</f>
        <v>PremiumSSw</v>
      </c>
      <c r="J149" s="7">
        <f>VLOOKUP(B149,[1]characters!$A:$I,9,FALSE)</f>
        <v>5</v>
      </c>
      <c r="K149" s="7" t="str">
        <f>VLOOKUP(B149,[1]characters!$A:$H,8,FALSE)</f>
        <v>green</v>
      </c>
      <c r="L149" s="7" t="str">
        <f>VLOOKUP(B149,[1]characters!$A:$K,11,FALSE)</f>
        <v>heal</v>
      </c>
      <c r="M149" s="7" t="str">
        <f>VLOOKUP(B149,[1]characters!$A:$M,13,FALSE)</f>
        <v>god</v>
      </c>
      <c r="N149" s="7">
        <f>VLOOKUP(B149,[1]characters!$A:$G,7,FALSE)</f>
        <v>0</v>
      </c>
      <c r="O149" s="45">
        <f>VLOOKUP(D149,$W$2:$Y$4,3,FALSE)</f>
        <v>1845</v>
      </c>
      <c r="P149" s="46">
        <f t="shared" si="14"/>
        <v>1.0416666666666667E-3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input_559100!A$2</f>
        <v>559100</v>
      </c>
      <c r="B150" s="1">
        <v>1264</v>
      </c>
      <c r="C150" s="7" t="str">
        <f t="shared" si="12"/>
        <v>PremiumSS5R5only</v>
      </c>
      <c r="D150" s="7" t="str">
        <f t="shared" si="13"/>
        <v>PremiumSS</v>
      </c>
      <c r="E150" s="7" t="str">
        <f>IF(COUNTIF('R6追加前'!A:A,B150)=0,IF(OR(I150="PremiumSS",I150="PremiumSSw"),"R5only","R3less"),"")</f>
        <v>R5only</v>
      </c>
      <c r="F150" s="7" t="str">
        <f>IF(COUNTIF('R6開放'!A:A,B150)&gt;0,"R6release","")</f>
        <v/>
      </c>
      <c r="G150" s="7"/>
      <c r="H150" s="7" t="str">
        <f>VLOOKUP(B150,[1]characters!$A:$C,3,FALSE)</f>
        <v>ウルズ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blue</v>
      </c>
      <c r="L150" s="7" t="str">
        <f>VLOOKUP(B150,[1]characters!$A:$K,11,FALSE)</f>
        <v>heal</v>
      </c>
      <c r="M150" s="7" t="str">
        <f>VLOOKUP(B150,[1]characters!$A:$M,13,FALSE)</f>
        <v>god</v>
      </c>
      <c r="N150" s="7">
        <f>VLOOKUP(B150,[1]characters!$A:$G,7,FALSE)</f>
        <v>0</v>
      </c>
      <c r="O150" s="45">
        <f t="shared" ref="O150:O158" si="16">VLOOKUP(D150,$W$2:$Y$4,3,FALSE)</f>
        <v>1845</v>
      </c>
      <c r="P150" s="46">
        <f t="shared" si="14"/>
        <v>1.0416666666666667E-3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input_559100!A$2</f>
        <v>559100</v>
      </c>
      <c r="B151" s="1">
        <v>1267</v>
      </c>
      <c r="C151" s="7" t="str">
        <f t="shared" si="12"/>
        <v>Premium5R3less</v>
      </c>
      <c r="D151" s="7" t="str">
        <f t="shared" si="13"/>
        <v>Premium</v>
      </c>
      <c r="E151" s="7" t="str">
        <f>IF(COUNTIF('R6追加前'!A:A,B151)=0,IF(OR(I151="PremiumSS",I151="PremiumSSw"),"R5only","R3less"),"")</f>
        <v>R3less</v>
      </c>
      <c r="F151" s="7" t="str">
        <f>IF(COUNTIF('R6開放'!A:A,B151)&gt;0,"R6release","")</f>
        <v/>
      </c>
      <c r="G151" s="7"/>
      <c r="H151" s="7" t="str">
        <f>VLOOKUP(B151,[1]characters!$A:$C,3,FALSE)</f>
        <v>不遜の冥番犬 ガルム</v>
      </c>
      <c r="I151" s="7" t="str">
        <f>VLOOKUP(B151,[1]characters!$A:$J,10,FALSE)</f>
        <v>PremiumS</v>
      </c>
      <c r="J151" s="7">
        <f>VLOOKUP(B151,[1]characters!$A:$I,9,FALSE)</f>
        <v>5</v>
      </c>
      <c r="K151" s="7" t="str">
        <f>VLOOKUP(B151,[1]characters!$A:$H,8,FALSE)</f>
        <v>yellow</v>
      </c>
      <c r="L151" s="7" t="str">
        <f>VLOOKUP(B151,[1]characters!$A:$K,11,FALSE)</f>
        <v>hp</v>
      </c>
      <c r="M151" s="7" t="str">
        <f>VLOOKUP(B151,[1]characters!$A:$M,13,FALSE)</f>
        <v>god</v>
      </c>
      <c r="N151" s="7">
        <f>VLOOKUP(B151,[1]characters!$A:$G,7,FALSE)</f>
        <v>0</v>
      </c>
      <c r="O151" s="45">
        <f t="shared" si="16"/>
        <v>19656</v>
      </c>
      <c r="P151" s="46">
        <f t="shared" si="14"/>
        <v>1.1097560975609756E-2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input_559100!A$2</f>
        <v>559100</v>
      </c>
      <c r="B152" s="1">
        <v>1332</v>
      </c>
      <c r="C152" s="7" t="str">
        <f t="shared" si="12"/>
        <v>PremiumSS5R5only</v>
      </c>
      <c r="D152" s="7" t="str">
        <f t="shared" si="13"/>
        <v>PremiumSS</v>
      </c>
      <c r="E152" s="7" t="str">
        <f>IF(COUNTIF('R6追加前'!A:A,B152)=0,IF(OR(I152="PremiumSS",I152="PremiumSSw"),"R5only","R3less"),"")</f>
        <v>R5only</v>
      </c>
      <c r="F152" s="7" t="str">
        <f>IF(COUNTIF('R6開放'!A:A,B152)&gt;0,"R6release","")</f>
        <v/>
      </c>
      <c r="G152" s="7"/>
      <c r="H152" s="7" t="str">
        <f>VLOOKUP(B152,[1]characters!$A:$C,3,FALSE)</f>
        <v>クシナダヒメ</v>
      </c>
      <c r="I152" s="7" t="str">
        <f>VLOOKUP(B152,[1]characters!$A:$J,10,FALSE)</f>
        <v>PremiumSSw</v>
      </c>
      <c r="J152" s="7">
        <f>VLOOKUP(B152,[1]characters!$A:$I,9,FALSE)</f>
        <v>5</v>
      </c>
      <c r="K152" s="7" t="str">
        <f>VLOOKUP(B152,[1]characters!$A:$H,8,FALSE)</f>
        <v>red</v>
      </c>
      <c r="L152" s="7" t="str">
        <f>VLOOKUP(B152,[1]characters!$A:$K,11,FALSE)</f>
        <v>hp</v>
      </c>
      <c r="M152" s="7" t="str">
        <f>VLOOKUP(B152,[1]characters!$A:$M,13,FALSE)</f>
        <v>god</v>
      </c>
      <c r="N152" s="7">
        <f>VLOOKUP(B152,[1]characters!$A:$G,7,FALSE)</f>
        <v>0</v>
      </c>
      <c r="O152" s="45">
        <f t="shared" si="16"/>
        <v>1845</v>
      </c>
      <c r="P152" s="46">
        <f t="shared" si="14"/>
        <v>1.0416666666666667E-3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input_559100!A$2</f>
        <v>559100</v>
      </c>
      <c r="B153" s="1">
        <v>1336</v>
      </c>
      <c r="C153" s="7" t="str">
        <f t="shared" si="12"/>
        <v>PremiumSS5R5only</v>
      </c>
      <c r="D153" s="7" t="str">
        <f t="shared" si="13"/>
        <v>PremiumSS</v>
      </c>
      <c r="E153" s="7" t="str">
        <f>IF(COUNTIF('R6追加前'!A:A,B153)=0,IF(OR(I153="PremiumSS",I153="PremiumSSw"),"R5only","R3less"),"")</f>
        <v>R5only</v>
      </c>
      <c r="F153" s="7" t="str">
        <f>IF(COUNTIF('R6開放'!A:A,B153)&gt;0,"R6release","")</f>
        <v/>
      </c>
      <c r="G153" s="7"/>
      <c r="H153" s="7" t="str">
        <f>VLOOKUP(B153,[1]characters!$A:$C,3,FALSE)</f>
        <v>イザナギ</v>
      </c>
      <c r="I153" s="7" t="str">
        <f>VLOOKUP(B153,[1]characters!$A:$J,10,FALSE)</f>
        <v>PremiumSS</v>
      </c>
      <c r="J153" s="7">
        <f>VLOOKUP(B153,[1]characters!$A:$I,9,FALSE)</f>
        <v>5</v>
      </c>
      <c r="K153" s="7" t="str">
        <f>VLOOKUP(B153,[1]characters!$A:$H,8,FALSE)</f>
        <v>blue</v>
      </c>
      <c r="L153" s="7" t="str">
        <f>VLOOKUP(B153,[1]characters!$A:$K,11,FALSE)</f>
        <v>technical</v>
      </c>
      <c r="M153" s="7" t="str">
        <f>VLOOKUP(B153,[1]characters!$A:$M,13,FALSE)</f>
        <v>god</v>
      </c>
      <c r="N153" s="7">
        <f>VLOOKUP(B153,[1]characters!$A:$G,7,FALSE)</f>
        <v>0</v>
      </c>
      <c r="O153" s="45">
        <f t="shared" si="16"/>
        <v>1845</v>
      </c>
      <c r="P153" s="46">
        <f t="shared" si="14"/>
        <v>1.0416666666666667E-3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input_559100!A$2</f>
        <v>559100</v>
      </c>
      <c r="B154" s="1">
        <v>1338</v>
      </c>
      <c r="C154" s="7" t="str">
        <f t="shared" si="12"/>
        <v>PremiumSS5R5only</v>
      </c>
      <c r="D154" s="7" t="str">
        <f t="shared" si="13"/>
        <v>PremiumSS</v>
      </c>
      <c r="E154" s="7" t="str">
        <f>IF(COUNTIF('R6追加前'!A:A,B154)=0,IF(OR(I154="PremiumSS",I154="PremiumSSw"),"R5only","R3less"),"")</f>
        <v>R5only</v>
      </c>
      <c r="F154" s="7" t="str">
        <f>IF(COUNTIF('R6開放'!A:A,B154)&gt;0,"R6release","")</f>
        <v/>
      </c>
      <c r="G154" s="7"/>
      <c r="H154" s="7" t="str">
        <f>VLOOKUP(B154,[1]characters!$A:$C,3,FALSE)</f>
        <v>アメノウズメ</v>
      </c>
      <c r="I154" s="7" t="str">
        <f>VLOOKUP(B154,[1]characters!$A:$J,10,FALSE)</f>
        <v>PremiumSS</v>
      </c>
      <c r="J154" s="7">
        <f>VLOOKUP(B154,[1]characters!$A:$I,9,FALSE)</f>
        <v>5</v>
      </c>
      <c r="K154" s="7" t="str">
        <f>VLOOKUP(B154,[1]characters!$A:$H,8,FALSE)</f>
        <v>yellow</v>
      </c>
      <c r="L154" s="7" t="str">
        <f>VLOOKUP(B154,[1]characters!$A:$K,11,FALSE)</f>
        <v>attack</v>
      </c>
      <c r="M154" s="7" t="str">
        <f>VLOOKUP(B154,[1]characters!$A:$M,13,FALSE)</f>
        <v>god</v>
      </c>
      <c r="N154" s="7">
        <f>VLOOKUP(B154,[1]characters!$A:$G,7,FALSE)</f>
        <v>0</v>
      </c>
      <c r="O154" s="45">
        <f t="shared" si="16"/>
        <v>1845</v>
      </c>
      <c r="P154" s="46">
        <f t="shared" si="14"/>
        <v>1.0416666666666667E-3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input_559100!A$2</f>
        <v>559100</v>
      </c>
      <c r="B155" s="1">
        <v>1335</v>
      </c>
      <c r="C155" s="7" t="str">
        <f t="shared" si="12"/>
        <v>Premium5R3less</v>
      </c>
      <c r="D155" s="7" t="str">
        <f t="shared" si="13"/>
        <v>Premium</v>
      </c>
      <c r="E155" s="7" t="str">
        <f>IF(COUNTIF('R6追加前'!A:A,B155)=0,IF(OR(I155="PremiumSS",I155="PremiumSSw"),"R5only","R3less"),"")</f>
        <v>R3less</v>
      </c>
      <c r="F155" s="7" t="str">
        <f>IF(COUNTIF('R6開放'!A:A,B155)&gt;0,"R6release","")</f>
        <v/>
      </c>
      <c r="G155" s="7"/>
      <c r="H155" s="7" t="str">
        <f>VLOOKUP(B155,[1]characters!$A:$C,3,FALSE)</f>
        <v>霊司の神憑 タマヨリヒメ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green</v>
      </c>
      <c r="L155" s="7" t="str">
        <f>VLOOKUP(B155,[1]characters!$A:$K,11,FALSE)</f>
        <v>heal</v>
      </c>
      <c r="M155" s="7" t="str">
        <f>VLOOKUP(B155,[1]characters!$A:$M,13,FALSE)</f>
        <v>god</v>
      </c>
      <c r="N155" s="7">
        <f>VLOOKUP(B155,[1]characters!$A:$G,7,FALSE)</f>
        <v>0</v>
      </c>
      <c r="O155" s="45">
        <f t="shared" si="16"/>
        <v>19656</v>
      </c>
      <c r="P155" s="46">
        <f t="shared" si="14"/>
        <v>1.1097560975609756E-2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input_559100!A$2</f>
        <v>559100</v>
      </c>
      <c r="B156" s="1">
        <v>1159</v>
      </c>
      <c r="C156" s="7" t="str">
        <f t="shared" si="12"/>
        <v>PremiumSSS5R3less</v>
      </c>
      <c r="D156" s="7" t="str">
        <f t="shared" si="13"/>
        <v>PremiumSSS</v>
      </c>
      <c r="E156" s="7" t="str">
        <f>IF(COUNTIF('R6追加前'!A:A,B156)=0,IF(OR(I156="PremiumSS",I156="PremiumSSw"),"R5only","R3less"),"")</f>
        <v>R3less</v>
      </c>
      <c r="F156" s="7" t="str">
        <f>IF(COUNTIF('R6開放'!A:A,B156)&gt;0,"R6release","")</f>
        <v/>
      </c>
      <c r="G156" s="7"/>
      <c r="H156" s="7" t="str">
        <f>VLOOKUP(B156,[1]characters!$A:$C,3,FALSE)</f>
        <v>ガロア</v>
      </c>
      <c r="I156" s="7" t="str">
        <f>VLOOKUP(B156,[1]characters!$A:$J,10,FALSE)</f>
        <v>PremiumSSS</v>
      </c>
      <c r="J156" s="7">
        <f>VLOOKUP(B156,[1]characters!$A:$I,9,FALSE)</f>
        <v>5</v>
      </c>
      <c r="K156" s="7" t="str">
        <f>VLOOKUP(B156,[1]characters!$A:$H,8,FALSE)</f>
        <v>green</v>
      </c>
      <c r="L156" s="7" t="str">
        <f>VLOOKUP(B156,[1]characters!$A:$K,11,FALSE)</f>
        <v>attack</v>
      </c>
      <c r="M156" s="7" t="str">
        <f>VLOOKUP(B156,[1]characters!$A:$M,13,FALSE)</f>
        <v>academia</v>
      </c>
      <c r="N156" s="7" t="str">
        <f>VLOOKUP(B156,[1]characters!$A:$G,7,FALSE)</f>
        <v>不明</v>
      </c>
      <c r="O156" s="45">
        <f t="shared" si="16"/>
        <v>8856</v>
      </c>
      <c r="P156" s="46">
        <f>O156/SUM(O:O)</f>
        <v>5.0000000000000001E-3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input_559100!A$2</f>
        <v>559100</v>
      </c>
      <c r="B157" s="1">
        <v>750</v>
      </c>
      <c r="C157" s="7" t="str">
        <f t="shared" si="12"/>
        <v>PremiumSSS5R3less</v>
      </c>
      <c r="D157" s="7" t="str">
        <f t="shared" si="13"/>
        <v>PremiumSSS</v>
      </c>
      <c r="E157" s="7" t="str">
        <f>IF(COUNTIF('R6追加前'!A:A,B157)=0,IF(OR(I157="PremiumSS",I157="PremiumSSw"),"R5only","R3less"),"")</f>
        <v>R3less</v>
      </c>
      <c r="F157" s="7" t="str">
        <f>IF(COUNTIF('R6開放'!A:A,B157)&gt;0,"R6release","")</f>
        <v/>
      </c>
      <c r="G157" s="7"/>
      <c r="H157" s="7" t="str">
        <f>VLOOKUP(B157,[1]characters!$A:$C,3,FALSE)</f>
        <v>ポアソン</v>
      </c>
      <c r="I157" s="7" t="str">
        <f>VLOOKUP(B157,[1]characters!$A:$J,10,FALSE)</f>
        <v>PremiumSSS</v>
      </c>
      <c r="J157" s="7">
        <f>VLOOKUP(B157,[1]characters!$A:$I,9,FALSE)</f>
        <v>5</v>
      </c>
      <c r="K157" s="7" t="str">
        <f>VLOOKUP(B157,[1]characters!$A:$H,8,FALSE)</f>
        <v>green</v>
      </c>
      <c r="L157" s="7" t="str">
        <f>VLOOKUP(B157,[1]characters!$A:$K,11,FALSE)</f>
        <v>balance</v>
      </c>
      <c r="M157" s="7" t="str">
        <f>VLOOKUP(B157,[1]characters!$A:$M,13,FALSE)</f>
        <v>academia</v>
      </c>
      <c r="N157" s="7" t="str">
        <f>VLOOKUP(B157,[1]characters!$A:$G,7,FALSE)</f>
        <v>男性</v>
      </c>
      <c r="O157" s="45">
        <f t="shared" si="16"/>
        <v>8856</v>
      </c>
      <c r="P157" s="46">
        <f>O157/SUM(O:O)</f>
        <v>5.0000000000000001E-3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input_559100!A$2</f>
        <v>559100</v>
      </c>
      <c r="B158" s="1">
        <v>379</v>
      </c>
      <c r="C158" s="7" t="str">
        <f t="shared" si="12"/>
        <v>PremiumSSS5R3less</v>
      </c>
      <c r="D158" s="7" t="str">
        <f t="shared" si="13"/>
        <v>PremiumSSS</v>
      </c>
      <c r="E158" s="7" t="str">
        <f>IF(COUNTIF('R6追加前'!A:A,B158)=0,IF(OR(I158="PremiumSS",I158="PremiumSSw"),"R5only","R3less"),"")</f>
        <v>R3less</v>
      </c>
      <c r="F158" s="7" t="str">
        <f>IF(COUNTIF('R6開放'!A:A,B158)&gt;0,"R6release","")</f>
        <v/>
      </c>
      <c r="G158" s="7"/>
      <c r="H158" s="7" t="str">
        <f>VLOOKUP(B158,[1]characters!$A:$C,3,FALSE)</f>
        <v>幾何の機刃 オイラー</v>
      </c>
      <c r="I158" s="7" t="str">
        <f>VLOOKUP(B158,[1]characters!$A:$J,10,FALSE)</f>
        <v>PremiumSSS</v>
      </c>
      <c r="J158" s="7">
        <f>VLOOKUP(B158,[1]characters!$A:$I,9,FALSE)</f>
        <v>5</v>
      </c>
      <c r="K158" s="7" t="str">
        <f>VLOOKUP(B158,[1]characters!$A:$H,8,FALSE)</f>
        <v>green</v>
      </c>
      <c r="L158" s="7" t="str">
        <f>VLOOKUP(B158,[1]characters!$A:$K,11,FALSE)</f>
        <v>balance</v>
      </c>
      <c r="M158" s="7" t="str">
        <f>VLOOKUP(B158,[1]characters!$A:$M,13,FALSE)</f>
        <v>human</v>
      </c>
      <c r="N158" s="7" t="str">
        <f>VLOOKUP(B158,[1]characters!$A:$G,7,FALSE)</f>
        <v>女性</v>
      </c>
      <c r="O158" s="45">
        <f t="shared" si="16"/>
        <v>8856</v>
      </c>
      <c r="P158" s="46">
        <f>O158/SUM(O:O)</f>
        <v>5.0000000000000001E-3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</sheetData>
  <autoFilter ref="A1:V158"/>
  <phoneticPr fontId="20"/>
  <pageMargins left="0.75" right="0.75" top="1" bottom="1" header="0.3" footer="0.3"/>
  <pageSetup paperSize="9" orientation="portrait" horizontalDpi="4294967292" verticalDpi="4294967292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Q5"/>
  <sheetViews>
    <sheetView showGridLines="0" workbookViewId="0">
      <pane ySplit="1" topLeftCell="A2" activePane="bottomLeft" state="frozen"/>
      <selection activeCell="M24" sqref="M24"/>
      <selection pane="bottomLeft" activeCell="A2" sqref="A2:Q5"/>
    </sheetView>
  </sheetViews>
  <sheetFormatPr baseColWidth="12" defaultRowHeight="21" customHeight="1" x14ac:dyDescent="0.15"/>
  <cols>
    <col min="1" max="1" width="14.59765625" style="1" bestFit="1" customWidth="1"/>
    <col min="2" max="2" width="14.19921875" style="1" bestFit="1" customWidth="1"/>
    <col min="3" max="4" width="14.19921875" style="1" customWidth="1"/>
    <col min="5" max="5" width="16.3984375" style="1" customWidth="1"/>
    <col min="6" max="6" width="8.59765625" style="1" bestFit="1" customWidth="1"/>
    <col min="14" max="14" width="8.59765625" style="1" bestFit="1" customWidth="1"/>
    <col min="15" max="16" width="13" style="1"/>
    <col min="17" max="17" width="18.796875" style="1" bestFit="1" customWidth="1"/>
    <col min="18" max="16384" width="13" style="1"/>
  </cols>
  <sheetData>
    <row r="1" spans="1:17" ht="21" customHeight="1" x14ac:dyDescent="0.15">
      <c r="A1" s="13" t="s">
        <v>10</v>
      </c>
      <c r="B1" s="23" t="s">
        <v>13</v>
      </c>
      <c r="C1" s="14" t="s">
        <v>15</v>
      </c>
      <c r="D1" s="14" t="s">
        <v>16</v>
      </c>
      <c r="E1" s="14" t="s">
        <v>17</v>
      </c>
      <c r="F1" s="13" t="s">
        <v>2</v>
      </c>
      <c r="G1" s="52" t="s">
        <v>88</v>
      </c>
      <c r="H1" s="52" t="s">
        <v>89</v>
      </c>
      <c r="I1" s="53" t="s">
        <v>90</v>
      </c>
      <c r="J1" s="53" t="s">
        <v>91</v>
      </c>
      <c r="K1" s="53" t="s">
        <v>92</v>
      </c>
      <c r="L1" s="53" t="s">
        <v>93</v>
      </c>
      <c r="M1" s="53" t="s">
        <v>94</v>
      </c>
      <c r="N1" s="13" t="s">
        <v>18</v>
      </c>
      <c r="O1" s="13" t="s">
        <v>19</v>
      </c>
      <c r="P1" s="13" t="s">
        <v>20</v>
      </c>
      <c r="Q1" s="13" t="s">
        <v>21</v>
      </c>
    </row>
    <row r="2" spans="1:17" ht="21" customHeight="1" x14ac:dyDescent="0.15">
      <c r="A2" s="78"/>
      <c r="B2" s="78"/>
      <c r="C2" s="79"/>
      <c r="D2" s="79"/>
      <c r="E2" s="79"/>
      <c r="F2" s="79"/>
      <c r="G2" s="1"/>
      <c r="H2" s="1"/>
      <c r="I2" s="1"/>
      <c r="J2" s="1"/>
      <c r="K2" s="1"/>
      <c r="L2" s="1"/>
      <c r="M2" s="1"/>
      <c r="N2" s="79"/>
      <c r="O2" s="79"/>
      <c r="P2" s="79"/>
      <c r="Q2" s="80"/>
    </row>
    <row r="3" spans="1:17" ht="21" customHeight="1" x14ac:dyDescent="0.15">
      <c r="A3" s="78"/>
      <c r="B3" s="78"/>
      <c r="G3" s="85"/>
      <c r="H3" s="85"/>
      <c r="I3" s="85"/>
      <c r="J3" s="85"/>
      <c r="K3" s="85"/>
      <c r="L3" s="85"/>
      <c r="M3" s="85"/>
      <c r="N3" s="79"/>
      <c r="O3" s="79"/>
      <c r="P3" s="79"/>
      <c r="Q3" s="80"/>
    </row>
    <row r="4" spans="1:17" ht="21" customHeight="1" x14ac:dyDescent="0.15">
      <c r="A4" s="78"/>
      <c r="B4" s="78"/>
      <c r="G4" s="85"/>
      <c r="H4" s="85"/>
      <c r="I4" s="85"/>
      <c r="J4" s="85"/>
      <c r="K4" s="85"/>
      <c r="L4" s="85"/>
      <c r="M4" s="85"/>
      <c r="N4" s="79"/>
      <c r="O4" s="79"/>
      <c r="P4" s="79"/>
      <c r="Q4" s="80"/>
    </row>
    <row r="5" spans="1:17" ht="21" customHeight="1" x14ac:dyDescent="0.15">
      <c r="A5" s="78"/>
      <c r="B5" s="78"/>
      <c r="G5" s="85"/>
      <c r="H5" s="85"/>
      <c r="I5" s="85"/>
      <c r="J5" s="85"/>
      <c r="K5" s="85"/>
      <c r="L5" s="85"/>
      <c r="M5" s="85"/>
      <c r="N5" s="79"/>
      <c r="O5" s="79"/>
      <c r="P5" s="79"/>
      <c r="Q5" s="80"/>
    </row>
  </sheetData>
  <autoFilter ref="A1:F1"/>
  <phoneticPr fontId="20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266"/>
  <sheetViews>
    <sheetView topLeftCell="A11" workbookViewId="0">
      <selection activeCell="H279" sqref="H279"/>
    </sheetView>
  </sheetViews>
  <sheetFormatPr baseColWidth="12" defaultRowHeight="14" outlineLevelCol="1" x14ac:dyDescent="0.15"/>
  <cols>
    <col min="1" max="1" width="10.3984375" style="1" customWidth="1"/>
    <col min="2" max="2" width="23.3984375" style="1" customWidth="1" outlineLevel="1"/>
  </cols>
  <sheetData>
    <row r="1" spans="1:2" x14ac:dyDescent="0.15">
      <c r="A1" s="15" t="s">
        <v>32</v>
      </c>
      <c r="B1" s="3" t="s">
        <v>33</v>
      </c>
    </row>
    <row r="2" spans="1:2" x14ac:dyDescent="0.15">
      <c r="A2" s="6">
        <v>126</v>
      </c>
      <c r="B2" s="7" t="str">
        <f>VLOOKUP(A2,[1]characters!$A:$C,3,FALSE)</f>
        <v>骨器使い ユノ</v>
      </c>
    </row>
    <row r="3" spans="1:2" x14ac:dyDescent="0.15">
      <c r="A3" s="6">
        <v>127</v>
      </c>
      <c r="B3" s="7" t="str">
        <f>VLOOKUP(A3,[1]characters!$A:$C,3,FALSE)</f>
        <v>狂喜の賢者 ユノ</v>
      </c>
    </row>
    <row r="4" spans="1:2" x14ac:dyDescent="0.15">
      <c r="A4" s="6">
        <v>128</v>
      </c>
      <c r="B4" s="7" t="str">
        <f>VLOOKUP(A4,[1]characters!$A:$C,3,FALSE)</f>
        <v>野生児 アマラ</v>
      </c>
    </row>
    <row r="5" spans="1:2" x14ac:dyDescent="0.15">
      <c r="A5" s="6">
        <v>129</v>
      </c>
      <c r="B5" s="7" t="str">
        <f>VLOOKUP(A5,[1]characters!$A:$C,3,FALSE)</f>
        <v>孤高の狼憑き アマラ</v>
      </c>
    </row>
    <row r="6" spans="1:2" x14ac:dyDescent="0.15">
      <c r="A6" s="6">
        <v>130</v>
      </c>
      <c r="B6" s="7" t="str">
        <f>VLOOKUP(A6,[1]characters!$A:$C,3,FALSE)</f>
        <v>狼男 ローレンス</v>
      </c>
    </row>
    <row r="7" spans="1:2" x14ac:dyDescent="0.15">
      <c r="A7" s="6">
        <v>131</v>
      </c>
      <c r="B7" s="7" t="str">
        <f>VLOOKUP(A7,[1]characters!$A:$C,3,FALSE)</f>
        <v>月下の人狼 ローレンス</v>
      </c>
    </row>
    <row r="8" spans="1:2" x14ac:dyDescent="0.15">
      <c r="A8" s="6">
        <v>132</v>
      </c>
      <c r="B8" s="7" t="str">
        <f>VLOOKUP(A8,[1]characters!$A:$C,3,FALSE)</f>
        <v>鳥人ハヤト</v>
      </c>
    </row>
    <row r="9" spans="1:2" x14ac:dyDescent="0.15">
      <c r="A9" s="6">
        <v>133</v>
      </c>
      <c r="B9" s="7" t="str">
        <f>VLOOKUP(A9,[1]characters!$A:$C,3,FALSE)</f>
        <v>迅雷の刀剣 ハヤト</v>
      </c>
    </row>
    <row r="10" spans="1:2" x14ac:dyDescent="0.15">
      <c r="A10" s="6">
        <v>134</v>
      </c>
      <c r="B10" s="7" t="str">
        <f>VLOOKUP(A10,[1]characters!$A:$C,3,FALSE)</f>
        <v>妖炎の夕霧</v>
      </c>
    </row>
    <row r="11" spans="1:2" x14ac:dyDescent="0.15">
      <c r="A11" s="6">
        <v>135</v>
      </c>
      <c r="B11" s="7" t="str">
        <f>VLOOKUP(A11,[1]characters!$A:$C,3,FALSE)</f>
        <v>京の炎華夕霧</v>
      </c>
    </row>
    <row r="12" spans="1:2" x14ac:dyDescent="0.15">
      <c r="A12" s="8">
        <v>136</v>
      </c>
      <c r="B12" s="7" t="str">
        <f>VLOOKUP(A12,[1]characters!$A:$C,3,FALSE)</f>
        <v>お針子チハヤ</v>
      </c>
    </row>
    <row r="13" spans="1:2" x14ac:dyDescent="0.15">
      <c r="A13" s="8">
        <v>137</v>
      </c>
      <c r="B13" s="7" t="str">
        <f>VLOOKUP(A13,[1]characters!$A:$C,3,FALSE)</f>
        <v>清福の仕立屋 チハヤ</v>
      </c>
    </row>
    <row r="14" spans="1:2" x14ac:dyDescent="0.15">
      <c r="A14" s="6">
        <v>138</v>
      </c>
      <c r="B14" s="7" t="str">
        <f>VLOOKUP(A14,[1]characters!$A:$C,3,FALSE)</f>
        <v>蒼薙のトモエ</v>
      </c>
    </row>
    <row r="15" spans="1:2" x14ac:dyDescent="0.15">
      <c r="A15" s="6">
        <v>139</v>
      </c>
      <c r="B15" s="7" t="str">
        <f>VLOOKUP(A15,[1]characters!$A:$C,3,FALSE)</f>
        <v>蒼昇刃姫 トモエ</v>
      </c>
    </row>
    <row r="16" spans="1:2" x14ac:dyDescent="0.15">
      <c r="A16" s="10">
        <v>140</v>
      </c>
      <c r="B16" s="7" t="str">
        <f>VLOOKUP(A16,[1]characters!$A:$C,3,FALSE)</f>
        <v>秋祭のタマモ</v>
      </c>
    </row>
    <row r="17" spans="1:2" x14ac:dyDescent="0.15">
      <c r="A17" s="11">
        <v>141</v>
      </c>
      <c r="B17" s="7" t="str">
        <f>VLOOKUP(A17,[1]characters!$A:$C,3,FALSE)</f>
        <v>妖狐演舞 タマモ</v>
      </c>
    </row>
    <row r="18" spans="1:2" x14ac:dyDescent="0.15">
      <c r="A18" s="6">
        <v>142</v>
      </c>
      <c r="B18" s="7" t="str">
        <f>VLOOKUP(A18,[1]characters!$A:$C,3,FALSE)</f>
        <v>赤ずきん</v>
      </c>
    </row>
    <row r="19" spans="1:2" x14ac:dyDescent="0.15">
      <c r="A19" s="6">
        <v>143</v>
      </c>
      <c r="B19" s="7" t="str">
        <f>VLOOKUP(A19,[1]characters!$A:$C,3,FALSE)</f>
        <v>深紅の死神 赤ずきん</v>
      </c>
    </row>
    <row r="20" spans="1:2" x14ac:dyDescent="0.15">
      <c r="A20" s="10">
        <v>144</v>
      </c>
      <c r="B20" s="7" t="str">
        <f>VLOOKUP(A20,[1]characters!$A:$C,3,FALSE)</f>
        <v>かぐや</v>
      </c>
    </row>
    <row r="21" spans="1:2" x14ac:dyDescent="0.15">
      <c r="A21" s="6">
        <v>145</v>
      </c>
      <c r="B21" s="7" t="str">
        <f>VLOOKUP(A21,[1]characters!$A:$C,3,FALSE)</f>
        <v>魔性妖艶 かぐや</v>
      </c>
    </row>
    <row r="22" spans="1:2" x14ac:dyDescent="0.15">
      <c r="A22" s="6">
        <v>146</v>
      </c>
      <c r="B22" s="7" t="str">
        <f>VLOOKUP(A22,[1]characters!$A:$C,3,FALSE)</f>
        <v>マーメイド</v>
      </c>
    </row>
    <row r="23" spans="1:2" x14ac:dyDescent="0.15">
      <c r="A23" s="6">
        <v>147</v>
      </c>
      <c r="B23" s="7" t="str">
        <f>VLOOKUP(A23,[1]characters!$A:$C,3,FALSE)</f>
        <v>蒼き閃光 元マーメイド</v>
      </c>
    </row>
    <row r="24" spans="1:2" x14ac:dyDescent="0.15">
      <c r="A24" s="6">
        <v>148</v>
      </c>
      <c r="B24" s="7" t="str">
        <f>VLOOKUP(A24,[1]characters!$A:$C,3,FALSE)</f>
        <v>シンデレラ</v>
      </c>
    </row>
    <row r="25" spans="1:2" x14ac:dyDescent="0.15">
      <c r="A25" s="6">
        <v>149</v>
      </c>
      <c r="B25" s="7" t="str">
        <f>VLOOKUP(A25,[1]characters!$A:$C,3,FALSE)</f>
        <v>雷撃蹴技を極めし者 シンデレラ</v>
      </c>
    </row>
    <row r="26" spans="1:2" x14ac:dyDescent="0.15">
      <c r="A26" s="6">
        <v>150</v>
      </c>
      <c r="B26" s="7" t="str">
        <f>VLOOKUP(A26,[1]characters!$A:$C,3,FALSE)</f>
        <v>ポイズンマスターサキ</v>
      </c>
    </row>
    <row r="27" spans="1:2" x14ac:dyDescent="0.15">
      <c r="A27" s="6">
        <v>151</v>
      </c>
      <c r="B27" s="7" t="str">
        <f>VLOOKUP(A27,[1]characters!$A:$C,3,FALSE)</f>
        <v>毒煙の処刑人サキ</v>
      </c>
    </row>
    <row r="28" spans="1:2" x14ac:dyDescent="0.15">
      <c r="A28" s="6">
        <v>152</v>
      </c>
      <c r="B28" s="7" t="str">
        <f>VLOOKUP(A28,[1]characters!$A:$C,3,FALSE)</f>
        <v>功夫少女ランラン</v>
      </c>
    </row>
    <row r="29" spans="1:2" x14ac:dyDescent="0.15">
      <c r="A29" s="6">
        <v>153</v>
      </c>
      <c r="B29" s="7" t="str">
        <f>VLOOKUP(A29,[1]characters!$A:$C,3,FALSE)</f>
        <v>拳聖ランラン</v>
      </c>
    </row>
    <row r="30" spans="1:2" x14ac:dyDescent="0.15">
      <c r="A30" s="6">
        <v>154</v>
      </c>
      <c r="B30" s="7" t="str">
        <f>VLOOKUP(A30,[1]characters!$A:$C,3,FALSE)</f>
        <v>始末屋 ハンナ</v>
      </c>
    </row>
    <row r="31" spans="1:2" x14ac:dyDescent="0.15">
      <c r="A31" s="6">
        <v>155</v>
      </c>
      <c r="B31" s="7" t="str">
        <f>VLOOKUP(A31,[1]characters!$A:$C,3,FALSE)</f>
        <v>隻眼の掃除屋 ハンナ</v>
      </c>
    </row>
    <row r="32" spans="1:2" x14ac:dyDescent="0.15">
      <c r="A32" s="6">
        <v>156</v>
      </c>
      <c r="B32" s="7" t="str">
        <f>VLOOKUP(A32,[1]characters!$A:$C,3,FALSE)</f>
        <v>踊り子 エレナ</v>
      </c>
    </row>
    <row r="33" spans="1:2" x14ac:dyDescent="0.15">
      <c r="A33" s="6">
        <v>157</v>
      </c>
      <c r="B33" s="7" t="str">
        <f>VLOOKUP(A33,[1]characters!$A:$C,3,FALSE)</f>
        <v>雷光舞姫 エレナ</v>
      </c>
    </row>
    <row r="34" spans="1:2" x14ac:dyDescent="0.15">
      <c r="A34" s="6">
        <v>158</v>
      </c>
      <c r="B34" s="7" t="str">
        <f>VLOOKUP(A34,[1]characters!$A:$C,3,FALSE)</f>
        <v>シスター シャルロッテ</v>
      </c>
    </row>
    <row r="35" spans="1:2" x14ac:dyDescent="0.15">
      <c r="A35" s="6">
        <v>159</v>
      </c>
      <c r="B35" s="7" t="str">
        <f>VLOOKUP(A35,[1]characters!$A:$C,3,FALSE)</f>
        <v>邪を狩りし者 シャルロッテ</v>
      </c>
    </row>
    <row r="36" spans="1:2" x14ac:dyDescent="0.15">
      <c r="A36" s="6">
        <v>160</v>
      </c>
      <c r="B36" s="7" t="str">
        <f>VLOOKUP(A36,[1]characters!$A:$C,3,FALSE)</f>
        <v>反逆者 クリエ</v>
      </c>
    </row>
    <row r="37" spans="1:2" x14ac:dyDescent="0.15">
      <c r="A37" s="6">
        <v>161</v>
      </c>
      <c r="B37" s="7" t="str">
        <f>VLOOKUP(A37,[1]characters!$A:$C,3,FALSE)</f>
        <v>咆哮の先導者 クリエ</v>
      </c>
    </row>
    <row r="38" spans="1:2" x14ac:dyDescent="0.15">
      <c r="A38" s="6">
        <v>162</v>
      </c>
      <c r="B38" s="7" t="str">
        <f>VLOOKUP(A38,[1]characters!$A:$C,3,FALSE)</f>
        <v>狂女 クララ</v>
      </c>
    </row>
    <row r="39" spans="1:2" x14ac:dyDescent="0.15">
      <c r="A39" s="6">
        <v>163</v>
      </c>
      <c r="B39" s="7" t="str">
        <f>VLOOKUP(A39,[1]characters!$A:$C,3,FALSE)</f>
        <v>冷酷な狂嬢 クララ</v>
      </c>
    </row>
    <row r="40" spans="1:2" x14ac:dyDescent="0.15">
      <c r="A40" s="6">
        <v>164</v>
      </c>
      <c r="B40" s="7" t="str">
        <f>VLOOKUP(A40,[1]characters!$A:$C,3,FALSE)</f>
        <v>イブとトモダチ</v>
      </c>
    </row>
    <row r="41" spans="1:2" x14ac:dyDescent="0.15">
      <c r="A41" s="6">
        <v>165</v>
      </c>
      <c r="B41" s="7" t="str">
        <f>VLOOKUP(A41,[1]characters!$A:$C,3,FALSE)</f>
        <v>イブとたったひとりのトモダチ</v>
      </c>
    </row>
    <row r="42" spans="1:2" x14ac:dyDescent="0.15">
      <c r="A42" s="6">
        <v>166</v>
      </c>
      <c r="B42" s="7" t="str">
        <f>VLOOKUP(A42,[1]characters!$A:$C,3,FALSE)</f>
        <v>ベリアル</v>
      </c>
    </row>
    <row r="43" spans="1:2" x14ac:dyDescent="0.15">
      <c r="A43" s="6">
        <v>167</v>
      </c>
      <c r="B43" s="7" t="str">
        <f>VLOOKUP(A43,[1]characters!$A:$C,3,FALSE)</f>
        <v>逆徒 ベリアル</v>
      </c>
    </row>
    <row r="44" spans="1:2" x14ac:dyDescent="0.15">
      <c r="A44" s="6">
        <v>168</v>
      </c>
      <c r="B44" s="7" t="str">
        <f>VLOOKUP(A44,[1]characters!$A:$C,3,FALSE)</f>
        <v>猛進の大逆者 ベリアル</v>
      </c>
    </row>
    <row r="45" spans="1:2" x14ac:dyDescent="0.15">
      <c r="A45" s="6">
        <v>169</v>
      </c>
      <c r="B45" s="7" t="str">
        <f>VLOOKUP(A45,[1]characters!$A:$C,3,FALSE)</f>
        <v>オセ</v>
      </c>
    </row>
    <row r="46" spans="1:2" x14ac:dyDescent="0.15">
      <c r="A46" s="6">
        <v>170</v>
      </c>
      <c r="B46" s="7" t="str">
        <f>VLOOKUP(A46,[1]characters!$A:$C,3,FALSE)</f>
        <v>識徒 オセ</v>
      </c>
    </row>
    <row r="47" spans="1:2" x14ac:dyDescent="0.15">
      <c r="A47" s="6">
        <v>171</v>
      </c>
      <c r="B47" s="7" t="str">
        <f>VLOOKUP(A47,[1]characters!$A:$C,3,FALSE)</f>
        <v>精解の預知者 オセ</v>
      </c>
    </row>
    <row r="48" spans="1:2" x14ac:dyDescent="0.15">
      <c r="A48" s="6">
        <v>172</v>
      </c>
      <c r="B48" s="7" t="str">
        <f>VLOOKUP(A48,[1]characters!$A:$C,3,FALSE)</f>
        <v>フォルネウス</v>
      </c>
    </row>
    <row r="49" spans="1:2" x14ac:dyDescent="0.15">
      <c r="A49" s="6">
        <v>173</v>
      </c>
      <c r="B49" s="7" t="str">
        <f>VLOOKUP(A49,[1]characters!$A:$C,3,FALSE)</f>
        <v>公爵 フォルネウス</v>
      </c>
    </row>
    <row r="50" spans="1:2" x14ac:dyDescent="0.15">
      <c r="A50" s="6">
        <v>174</v>
      </c>
      <c r="B50" s="7" t="str">
        <f>VLOOKUP(A50,[1]characters!$A:$C,3,FALSE)</f>
        <v>偽愛の大公爵 フォルネウス</v>
      </c>
    </row>
    <row r="51" spans="1:2" x14ac:dyDescent="0.15">
      <c r="A51" s="6">
        <v>175</v>
      </c>
      <c r="B51" s="7" t="str">
        <f>VLOOKUP(A51,[1]characters!$A:$C,3,FALSE)</f>
        <v>バフォメット</v>
      </c>
    </row>
    <row r="52" spans="1:2" x14ac:dyDescent="0.15">
      <c r="A52" s="6">
        <v>176</v>
      </c>
      <c r="B52" s="7" t="str">
        <f>VLOOKUP(A52,[1]characters!$A:$C,3,FALSE)</f>
        <v>異教徒 バフォメット</v>
      </c>
    </row>
    <row r="53" spans="1:2" x14ac:dyDescent="0.15">
      <c r="A53" s="6">
        <v>177</v>
      </c>
      <c r="B53" s="7" t="str">
        <f>VLOOKUP(A53,[1]characters!$A:$C,3,FALSE)</f>
        <v>黒魔の異端師 バフォメット</v>
      </c>
    </row>
    <row r="54" spans="1:2" x14ac:dyDescent="0.15">
      <c r="A54" s="6">
        <v>178</v>
      </c>
      <c r="B54" s="7" t="str">
        <f>VLOOKUP(A54,[1]characters!$A:$C,3,FALSE)</f>
        <v>ケルベロス</v>
      </c>
    </row>
    <row r="55" spans="1:2" x14ac:dyDescent="0.15">
      <c r="A55" s="6">
        <v>179</v>
      </c>
      <c r="B55" s="7" t="str">
        <f>VLOOKUP(A55,[1]characters!$A:$C,3,FALSE)</f>
        <v>番犬 ケルベロス</v>
      </c>
    </row>
    <row r="56" spans="1:2" x14ac:dyDescent="0.15">
      <c r="A56" s="6">
        <v>180</v>
      </c>
      <c r="B56" s="7" t="str">
        <f>VLOOKUP(A56,[1]characters!$A:$C,3,FALSE)</f>
        <v>地獄の大門番 ケルベロス</v>
      </c>
    </row>
    <row r="57" spans="1:2" x14ac:dyDescent="0.15">
      <c r="A57" s="6">
        <v>181</v>
      </c>
      <c r="B57" s="7" t="str">
        <f>VLOOKUP(A57,[1]characters!$A:$C,3,FALSE)</f>
        <v>ベヒモス</v>
      </c>
    </row>
    <row r="58" spans="1:2" x14ac:dyDescent="0.15">
      <c r="A58" s="6">
        <v>182</v>
      </c>
      <c r="B58" s="7" t="str">
        <f>VLOOKUP(A58,[1]characters!$A:$C,3,FALSE)</f>
        <v>放蕩者 ベヒモス</v>
      </c>
    </row>
    <row r="59" spans="1:2" x14ac:dyDescent="0.15">
      <c r="A59" s="6">
        <v>183</v>
      </c>
      <c r="B59" s="7" t="str">
        <f>VLOOKUP(A59,[1]characters!$A:$C,3,FALSE)</f>
        <v>鈍重な彷徨者 ベヒモス</v>
      </c>
    </row>
    <row r="60" spans="1:2" x14ac:dyDescent="0.15">
      <c r="A60" s="6">
        <v>184</v>
      </c>
      <c r="B60" s="7" t="str">
        <f>VLOOKUP(A60,[1]characters!$A:$C,3,FALSE)</f>
        <v>クラーケン</v>
      </c>
    </row>
    <row r="61" spans="1:2" x14ac:dyDescent="0.15">
      <c r="A61" s="6">
        <v>185</v>
      </c>
      <c r="B61" s="7" t="str">
        <f>VLOOKUP(A61,[1]characters!$A:$C,3,FALSE)</f>
        <v>海姫 クラーケン</v>
      </c>
    </row>
    <row r="62" spans="1:2" x14ac:dyDescent="0.15">
      <c r="A62" s="8">
        <v>186</v>
      </c>
      <c r="B62" s="7" t="str">
        <f>VLOOKUP(A62,[1]characters!$A:$C,3,FALSE)</f>
        <v>誇り高き多触姫・クラーケン</v>
      </c>
    </row>
    <row r="63" spans="1:2" x14ac:dyDescent="0.15">
      <c r="A63" s="8">
        <v>187</v>
      </c>
      <c r="B63" s="7" t="str">
        <f>VLOOKUP(A63,[1]characters!$A:$C,3,FALSE)</f>
        <v>ホルス</v>
      </c>
    </row>
    <row r="64" spans="1:2" x14ac:dyDescent="0.15">
      <c r="A64" s="8">
        <v>188</v>
      </c>
      <c r="B64" s="7" t="str">
        <f>VLOOKUP(A64,[1]characters!$A:$C,3,FALSE)</f>
        <v>猛禽 ホルス</v>
      </c>
    </row>
    <row r="65" spans="1:2" x14ac:dyDescent="0.15">
      <c r="A65" s="8">
        <v>189</v>
      </c>
      <c r="B65" s="7" t="str">
        <f>VLOOKUP(A65,[1]characters!$A:$C,3,FALSE)</f>
        <v>迅雷の王禽 ホルス</v>
      </c>
    </row>
    <row r="66" spans="1:2" x14ac:dyDescent="0.15">
      <c r="A66" s="6">
        <v>190</v>
      </c>
      <c r="B66" s="7" t="str">
        <f>VLOOKUP(A66,[1]characters!$A:$C,3,FALSE)</f>
        <v>卑弥呼</v>
      </c>
    </row>
    <row r="67" spans="1:2" x14ac:dyDescent="0.15">
      <c r="A67" s="6">
        <v>191</v>
      </c>
      <c r="B67" s="7" t="str">
        <f>VLOOKUP(A67,[1]characters!$A:$C,3,FALSE)</f>
        <v>始祖 卑弥呼</v>
      </c>
    </row>
    <row r="68" spans="1:2" x14ac:dyDescent="0.15">
      <c r="A68" s="6">
        <v>192</v>
      </c>
      <c r="B68" s="7" t="str">
        <f>VLOOKUP(A68,[1]characters!$A:$C,3,FALSE)</f>
        <v>荘厳なる始祖帝 卑弥呼</v>
      </c>
    </row>
    <row r="69" spans="1:2" x14ac:dyDescent="0.15">
      <c r="A69" s="6">
        <v>193</v>
      </c>
      <c r="B69" s="7" t="str">
        <f>VLOOKUP(A69,[1]characters!$A:$C,3,FALSE)</f>
        <v>ロビンフッド</v>
      </c>
    </row>
    <row r="70" spans="1:2" x14ac:dyDescent="0.15">
      <c r="A70" s="10">
        <v>194</v>
      </c>
      <c r="B70" s="7" t="str">
        <f>VLOOKUP(A70,[1]characters!$A:$C,3,FALSE)</f>
        <v>スナイパー ロビンフッド</v>
      </c>
    </row>
    <row r="71" spans="1:2" x14ac:dyDescent="0.15">
      <c r="A71" s="6">
        <v>195</v>
      </c>
      <c r="B71" s="7" t="str">
        <f>VLOOKUP(A71,[1]characters!$A:$C,3,FALSE)</f>
        <v>グランドハンター ロビンフッド</v>
      </c>
    </row>
    <row r="72" spans="1:2" x14ac:dyDescent="0.15">
      <c r="A72" s="10">
        <v>196</v>
      </c>
      <c r="B72" s="7" t="str">
        <f>VLOOKUP(A72,[1]characters!$A:$C,3,FALSE)</f>
        <v>アキレス</v>
      </c>
    </row>
    <row r="73" spans="1:2" x14ac:dyDescent="0.15">
      <c r="A73" s="11">
        <v>197</v>
      </c>
      <c r="B73" s="7" t="str">
        <f>VLOOKUP(A73,[1]characters!$A:$C,3,FALSE)</f>
        <v>鉄腕 アキレス</v>
      </c>
    </row>
    <row r="74" spans="1:2" x14ac:dyDescent="0.15">
      <c r="A74" s="6">
        <v>198</v>
      </c>
      <c r="B74" s="7" t="str">
        <f>VLOOKUP(A74,[1]characters!$A:$C,3,FALSE)</f>
        <v>砕骨の剛腕 アキレス</v>
      </c>
    </row>
    <row r="75" spans="1:2" x14ac:dyDescent="0.15">
      <c r="A75" s="6">
        <v>199</v>
      </c>
      <c r="B75" s="7" t="str">
        <f>VLOOKUP(A75,[1]characters!$A:$C,3,FALSE)</f>
        <v>ジークフリート</v>
      </c>
    </row>
    <row r="76" spans="1:2" x14ac:dyDescent="0.15">
      <c r="A76" s="6">
        <v>200</v>
      </c>
      <c r="B76" s="7" t="str">
        <f>VLOOKUP(A76,[1]characters!$A:$C,3,FALSE)</f>
        <v>大剣士 ジークフリート</v>
      </c>
    </row>
    <row r="77" spans="1:2" x14ac:dyDescent="0.15">
      <c r="A77" s="5">
        <v>201</v>
      </c>
      <c r="B77" s="7" t="str">
        <f>VLOOKUP(A77,[1]characters!$A:$C,3,FALSE)</f>
        <v>斬空の大破剣 ジークフリート</v>
      </c>
    </row>
    <row r="78" spans="1:2" x14ac:dyDescent="0.15">
      <c r="A78" s="5">
        <v>202</v>
      </c>
      <c r="B78" s="7" t="str">
        <f>VLOOKUP(A78,[1]characters!$A:$C,3,FALSE)</f>
        <v>プロメテウス</v>
      </c>
    </row>
    <row r="79" spans="1:2" x14ac:dyDescent="0.15">
      <c r="A79" s="5">
        <v>203</v>
      </c>
      <c r="B79" s="7" t="str">
        <f>VLOOKUP(A79,[1]characters!$A:$C,3,FALSE)</f>
        <v>焔神 プロメテウス</v>
      </c>
    </row>
    <row r="80" spans="1:2" x14ac:dyDescent="0.15">
      <c r="A80" s="5">
        <v>204</v>
      </c>
      <c r="B80" s="7" t="str">
        <f>VLOOKUP(A80,[1]characters!$A:$C,3,FALSE)</f>
        <v>慟哭の巨焔 プロメテウス</v>
      </c>
    </row>
    <row r="81" spans="1:2" x14ac:dyDescent="0.15">
      <c r="A81" s="5">
        <v>205</v>
      </c>
      <c r="B81" s="7" t="str">
        <f>VLOOKUP(A81,[1]characters!$A:$C,3,FALSE)</f>
        <v>アフロディーテ</v>
      </c>
    </row>
    <row r="82" spans="1:2" x14ac:dyDescent="0.15">
      <c r="A82" s="5">
        <v>206</v>
      </c>
      <c r="B82" s="7" t="str">
        <f>VLOOKUP(A82,[1]characters!$A:$C,3,FALSE)</f>
        <v>美神 アフロディーテ</v>
      </c>
    </row>
    <row r="83" spans="1:2" x14ac:dyDescent="0.15">
      <c r="A83" s="5">
        <v>207</v>
      </c>
      <c r="B83" s="7" t="str">
        <f>VLOOKUP(A83,[1]characters!$A:$C,3,FALSE)</f>
        <v>豊穣の麗神・アフロディーテ</v>
      </c>
    </row>
    <row r="84" spans="1:2" x14ac:dyDescent="0.15">
      <c r="A84" s="5">
        <v>208</v>
      </c>
      <c r="B84" s="7" t="str">
        <f>VLOOKUP(A84,[1]characters!$A:$C,3,FALSE)</f>
        <v>テティス</v>
      </c>
    </row>
    <row r="85" spans="1:2" x14ac:dyDescent="0.15">
      <c r="A85" s="5">
        <v>209</v>
      </c>
      <c r="B85" s="7" t="str">
        <f>VLOOKUP(A85,[1]characters!$A:$C,3,FALSE)</f>
        <v>孤神 テティス</v>
      </c>
    </row>
    <row r="86" spans="1:2" x14ac:dyDescent="0.15">
      <c r="A86" s="5">
        <v>210</v>
      </c>
      <c r="B86" s="7" t="str">
        <f>VLOOKUP(A86,[1]characters!$A:$C,3,FALSE)</f>
        <v>海底の孤高神 テティス</v>
      </c>
    </row>
    <row r="87" spans="1:2" x14ac:dyDescent="0.15">
      <c r="A87" s="5">
        <v>211</v>
      </c>
      <c r="B87" s="7" t="str">
        <f>VLOOKUP(A87,[1]characters!$A:$C,3,FALSE)</f>
        <v>アストライアー</v>
      </c>
    </row>
    <row r="88" spans="1:2" x14ac:dyDescent="0.15">
      <c r="A88" s="5">
        <v>212</v>
      </c>
      <c r="B88" s="7" t="str">
        <f>VLOOKUP(A88,[1]characters!$A:$C,3,FALSE)</f>
        <v>星神 アストライアー</v>
      </c>
    </row>
    <row r="89" spans="1:2" x14ac:dyDescent="0.15">
      <c r="A89" s="5">
        <v>213</v>
      </c>
      <c r="B89" s="7" t="str">
        <f>VLOOKUP(A89,[1]characters!$A:$C,3,FALSE)</f>
        <v>満天の星降神 アストライアー</v>
      </c>
    </row>
    <row r="90" spans="1:2" x14ac:dyDescent="0.15">
      <c r="A90" s="5">
        <v>214</v>
      </c>
      <c r="B90" s="7" t="str">
        <f>VLOOKUP(A90,[1]characters!$A:$C,3,FALSE)</f>
        <v>アズラエル</v>
      </c>
    </row>
    <row r="91" spans="1:2" x14ac:dyDescent="0.15">
      <c r="A91" s="5">
        <v>215</v>
      </c>
      <c r="B91" s="7" t="str">
        <f>VLOOKUP(A91,[1]characters!$A:$C,3,FALSE)</f>
        <v>死導者 アズラエル</v>
      </c>
    </row>
    <row r="92" spans="1:2" x14ac:dyDescent="0.15">
      <c r="A92" s="5">
        <v>216</v>
      </c>
      <c r="B92" s="7" t="str">
        <f>VLOOKUP(A92,[1]characters!$A:$C,3,FALSE)</f>
        <v>百読の死導司書 アズラエル</v>
      </c>
    </row>
    <row r="93" spans="1:2" x14ac:dyDescent="0.15">
      <c r="A93" s="5">
        <v>217</v>
      </c>
      <c r="B93" s="7" t="str">
        <f>VLOOKUP(A93,[1]characters!$A:$C,3,FALSE)</f>
        <v>ケツァクアトル</v>
      </c>
    </row>
    <row r="94" spans="1:2" x14ac:dyDescent="0.15">
      <c r="A94" s="5">
        <v>218</v>
      </c>
      <c r="B94" s="7" t="str">
        <f>VLOOKUP(A94,[1]characters!$A:$C,3,FALSE)</f>
        <v>聖蛇 ケツァクアトル</v>
      </c>
    </row>
    <row r="95" spans="1:2" x14ac:dyDescent="0.15">
      <c r="A95" s="5">
        <v>219</v>
      </c>
      <c r="B95" s="7" t="str">
        <f>VLOOKUP(A95,[1]characters!$A:$C,3,FALSE)</f>
        <v>覇翼の聖蛇竜 ケツァクアトル</v>
      </c>
    </row>
    <row r="96" spans="1:2" x14ac:dyDescent="0.15">
      <c r="A96" s="5">
        <v>220</v>
      </c>
      <c r="B96" s="7" t="str">
        <f>VLOOKUP(A96,[1]characters!$A:$C,3,FALSE)</f>
        <v>ルキフグス</v>
      </c>
    </row>
    <row r="97" spans="1:2" x14ac:dyDescent="0.15">
      <c r="A97" s="5">
        <v>221</v>
      </c>
      <c r="B97" s="7" t="str">
        <f>VLOOKUP(A97,[1]characters!$A:$C,3,FALSE)</f>
        <v>宰相 ルキフグス</v>
      </c>
    </row>
    <row r="98" spans="1:2" x14ac:dyDescent="0.15">
      <c r="A98" s="5">
        <v>222</v>
      </c>
      <c r="B98" s="7" t="str">
        <f>VLOOKUP(A98,[1]characters!$A:$C,3,FALSE)</f>
        <v>避光の鉄鎖宰相 ルキフグス</v>
      </c>
    </row>
    <row r="99" spans="1:2" x14ac:dyDescent="0.15">
      <c r="A99" s="5">
        <v>223</v>
      </c>
      <c r="B99" s="7" t="str">
        <f>VLOOKUP(A99,[1]characters!$A:$C,3,FALSE)</f>
        <v>ヘラクレス</v>
      </c>
    </row>
    <row r="100" spans="1:2" x14ac:dyDescent="0.15">
      <c r="A100" s="5">
        <v>224</v>
      </c>
      <c r="B100" s="7" t="str">
        <f>VLOOKUP(A100,[1]characters!$A:$C,3,FALSE)</f>
        <v>巨腕 ヘラクレス</v>
      </c>
    </row>
    <row r="101" spans="1:2" x14ac:dyDescent="0.15">
      <c r="A101" s="5">
        <v>225</v>
      </c>
      <c r="B101" s="7" t="str">
        <f>VLOOKUP(A101,[1]characters!$A:$C,3,FALSE)</f>
        <v>咆哮の巨獅腕 ヘラクレス</v>
      </c>
    </row>
    <row r="102" spans="1:2" x14ac:dyDescent="0.15">
      <c r="A102" s="5">
        <v>226</v>
      </c>
      <c r="B102" s="7" t="str">
        <f>VLOOKUP(A102,[1]characters!$A:$C,3,FALSE)</f>
        <v>アレス</v>
      </c>
    </row>
    <row r="103" spans="1:2" x14ac:dyDescent="0.15">
      <c r="A103" s="5">
        <v>227</v>
      </c>
      <c r="B103" s="7" t="str">
        <f>VLOOKUP(A103,[1]characters!$A:$C,3,FALSE)</f>
        <v>滅弾 アレス</v>
      </c>
    </row>
    <row r="104" spans="1:2" x14ac:dyDescent="0.15">
      <c r="A104" s="5">
        <v>228</v>
      </c>
      <c r="B104" s="7" t="str">
        <f>VLOOKUP(A104,[1]characters!$A:$C,3,FALSE)</f>
        <v>殲滅の掃射砲 アレス</v>
      </c>
    </row>
    <row r="105" spans="1:2" x14ac:dyDescent="0.15">
      <c r="A105" s="5">
        <v>229</v>
      </c>
      <c r="B105" s="7" t="str">
        <f>VLOOKUP(A105,[1]characters!$A:$C,3,FALSE)</f>
        <v>ヨルムンガンド</v>
      </c>
    </row>
    <row r="106" spans="1:2" x14ac:dyDescent="0.15">
      <c r="A106" s="5">
        <v>230</v>
      </c>
      <c r="B106" s="7" t="str">
        <f>VLOOKUP(A106,[1]characters!$A:$C,3,FALSE)</f>
        <v>毒銃 ヨルムンガンド</v>
      </c>
    </row>
    <row r="107" spans="1:2" x14ac:dyDescent="0.15">
      <c r="A107" s="5">
        <v>231</v>
      </c>
      <c r="B107" s="7" t="str">
        <f>VLOOKUP(A107,[1]characters!$A:$C,3,FALSE)</f>
        <v>必中の咬銃 ヨルムンガンド</v>
      </c>
    </row>
    <row r="108" spans="1:2" x14ac:dyDescent="0.15">
      <c r="A108" s="5">
        <v>232</v>
      </c>
      <c r="B108" s="7" t="str">
        <f>VLOOKUP(A108,[1]characters!$A:$C,3,FALSE)</f>
        <v>パーシヴァル</v>
      </c>
    </row>
    <row r="109" spans="1:2" x14ac:dyDescent="0.15">
      <c r="A109" s="5">
        <v>233</v>
      </c>
      <c r="B109" s="7" t="str">
        <f>VLOOKUP(A109,[1]characters!$A:$C,3,FALSE)</f>
        <v>遂行 パーシヴァル</v>
      </c>
    </row>
    <row r="110" spans="1:2" x14ac:dyDescent="0.15">
      <c r="A110" s="5">
        <v>234</v>
      </c>
      <c r="B110" s="7" t="str">
        <f>VLOOKUP(A110,[1]characters!$A:$C,3,FALSE)</f>
        <v>精密なる照準 パーシヴァル</v>
      </c>
    </row>
    <row r="111" spans="1:2" x14ac:dyDescent="0.15">
      <c r="A111" s="5">
        <v>235</v>
      </c>
      <c r="B111" s="7" t="str">
        <f>VLOOKUP(A111,[1]characters!$A:$C,3,FALSE)</f>
        <v>イザナミ</v>
      </c>
    </row>
    <row r="112" spans="1:2" x14ac:dyDescent="0.15">
      <c r="A112" s="5">
        <v>236</v>
      </c>
      <c r="B112" s="7" t="str">
        <f>VLOOKUP(A112,[1]characters!$A:$C,3,FALSE)</f>
        <v>神産 イザナミ</v>
      </c>
    </row>
    <row r="113" spans="1:2" x14ac:dyDescent="0.15">
      <c r="A113" s="5">
        <v>237</v>
      </c>
      <c r="B113" s="7" t="str">
        <f>VLOOKUP(A113,[1]characters!$A:$C,3,FALSE)</f>
        <v>森羅万象の神母 イザナミ</v>
      </c>
    </row>
    <row r="114" spans="1:2" x14ac:dyDescent="0.15">
      <c r="A114" s="5">
        <v>238</v>
      </c>
      <c r="B114" s="7" t="str">
        <f>VLOOKUP(A114,[1]characters!$A:$C,3,FALSE)</f>
        <v>ウリエル</v>
      </c>
    </row>
    <row r="115" spans="1:2" x14ac:dyDescent="0.15">
      <c r="A115" s="5">
        <v>239</v>
      </c>
      <c r="B115" s="7" t="str">
        <f>VLOOKUP(A115,[1]characters!$A:$C,3,FALSE)</f>
        <v>豪炎の天使 ウリエル</v>
      </c>
    </row>
    <row r="116" spans="1:2" x14ac:dyDescent="0.15">
      <c r="A116" s="5">
        <v>240</v>
      </c>
      <c r="B116" s="7" t="str">
        <f>VLOOKUP(A116,[1]characters!$A:$C,3,FALSE)</f>
        <v>轟炎の天使 ウリエル・スレイヤー</v>
      </c>
    </row>
    <row r="117" spans="1:2" x14ac:dyDescent="0.15">
      <c r="A117" s="5">
        <v>241</v>
      </c>
      <c r="B117" s="7" t="str">
        <f>VLOOKUP(A117,[1]characters!$A:$C,3,FALSE)</f>
        <v>ガブリエル</v>
      </c>
    </row>
    <row r="118" spans="1:2" x14ac:dyDescent="0.15">
      <c r="A118" s="5">
        <v>242</v>
      </c>
      <c r="B118" s="7" t="str">
        <f>VLOOKUP(A118,[1]characters!$A:$C,3,FALSE)</f>
        <v>百花の天使 ガブリエル</v>
      </c>
    </row>
    <row r="119" spans="1:2" x14ac:dyDescent="0.15">
      <c r="A119" s="5">
        <v>243</v>
      </c>
      <c r="B119" s="7" t="str">
        <f>VLOOKUP(A119,[1]characters!$A:$C,3,FALSE)</f>
        <v>万花の天使 ガブリエル・ブルーム</v>
      </c>
    </row>
    <row r="120" spans="1:2" x14ac:dyDescent="0.15">
      <c r="A120" s="5">
        <v>244</v>
      </c>
      <c r="B120" s="7" t="str">
        <f>VLOOKUP(A120,[1]characters!$A:$C,3,FALSE)</f>
        <v>ラファエル</v>
      </c>
    </row>
    <row r="121" spans="1:2" x14ac:dyDescent="0.15">
      <c r="A121" s="5">
        <v>245</v>
      </c>
      <c r="B121" s="7" t="str">
        <f>VLOOKUP(A121,[1]characters!$A:$C,3,FALSE)</f>
        <v>鎮癒の天使 ラファエル</v>
      </c>
    </row>
    <row r="122" spans="1:2" x14ac:dyDescent="0.15">
      <c r="A122" s="5">
        <v>246</v>
      </c>
      <c r="B122" s="7" t="str">
        <f>VLOOKUP(A122,[1]characters!$A:$C,3,FALSE)</f>
        <v>真癒の天使 ラファエル・メディカ</v>
      </c>
    </row>
    <row r="123" spans="1:2" x14ac:dyDescent="0.15">
      <c r="A123" s="5">
        <v>247</v>
      </c>
      <c r="B123" s="7" t="str">
        <f>VLOOKUP(A123,[1]characters!$A:$C,3,FALSE)</f>
        <v>ミカエル</v>
      </c>
    </row>
    <row r="124" spans="1:2" x14ac:dyDescent="0.15">
      <c r="A124" s="5">
        <v>248</v>
      </c>
      <c r="B124" s="7" t="str">
        <f>VLOOKUP(A124,[1]characters!$A:$C,3,FALSE)</f>
        <v>彩電の天使 ミカエル</v>
      </c>
    </row>
    <row r="125" spans="1:2" x14ac:dyDescent="0.15">
      <c r="A125" s="6">
        <v>249</v>
      </c>
      <c r="B125" s="7" t="str">
        <f>VLOOKUP(A125,[1]characters!$A:$C,3,FALSE)</f>
        <v>雷電の天使 ミカエル・ゲイナー</v>
      </c>
    </row>
    <row r="126" spans="1:2" x14ac:dyDescent="0.15">
      <c r="A126" s="6">
        <v>250</v>
      </c>
      <c r="B126" s="7" t="str">
        <f>VLOOKUP(A126,[1]characters!$A:$C,3,FALSE)</f>
        <v>マンモン</v>
      </c>
    </row>
    <row r="127" spans="1:2" x14ac:dyDescent="0.15">
      <c r="A127" s="6">
        <v>251</v>
      </c>
      <c r="B127" s="7" t="str">
        <f>VLOOKUP(A127,[1]characters!$A:$C,3,FALSE)</f>
        <v>強欲 マンモン</v>
      </c>
    </row>
    <row r="128" spans="1:2" x14ac:dyDescent="0.15">
      <c r="A128" s="6">
        <v>252</v>
      </c>
      <c r="B128" s="7" t="str">
        <f>VLOOKUP(A128,[1]characters!$A:$C,3,FALSE)</f>
        <v>強欲の沸騰 マンモン</v>
      </c>
    </row>
    <row r="129" spans="1:2" x14ac:dyDescent="0.15">
      <c r="A129" s="6">
        <v>253</v>
      </c>
      <c r="B129" s="7" t="str">
        <f>VLOOKUP(A129,[1]characters!$A:$C,3,FALSE)</f>
        <v>ベルフェゴール</v>
      </c>
    </row>
    <row r="130" spans="1:2" x14ac:dyDescent="0.15">
      <c r="A130" s="6">
        <v>254</v>
      </c>
      <c r="B130" s="7" t="str">
        <f>VLOOKUP(A130,[1]characters!$A:$C,3,FALSE)</f>
        <v>怠惰 ベルフェゴール</v>
      </c>
    </row>
    <row r="131" spans="1:2" x14ac:dyDescent="0.15">
      <c r="A131" s="6">
        <v>255</v>
      </c>
      <c r="B131" s="7" t="str">
        <f>VLOOKUP(A131,[1]characters!$A:$C,3,FALSE)</f>
        <v>怠惰の頂点 ベルフェゴール</v>
      </c>
    </row>
    <row r="132" spans="1:2" x14ac:dyDescent="0.15">
      <c r="A132" s="6">
        <v>256</v>
      </c>
      <c r="B132" s="7" t="str">
        <f>VLOOKUP(A132,[1]characters!$A:$C,3,FALSE)</f>
        <v>アスモデウス</v>
      </c>
    </row>
    <row r="133" spans="1:2" x14ac:dyDescent="0.15">
      <c r="A133" s="6">
        <v>257</v>
      </c>
      <c r="B133" s="7" t="str">
        <f>VLOOKUP(A133,[1]characters!$A:$C,3,FALSE)</f>
        <v>色欲 アスモデウス</v>
      </c>
    </row>
    <row r="134" spans="1:2" x14ac:dyDescent="0.15">
      <c r="A134" s="6">
        <v>258</v>
      </c>
      <c r="B134" s="7" t="str">
        <f>VLOOKUP(A134,[1]characters!$A:$C,3,FALSE)</f>
        <v>色欲の源流 アスモデウス</v>
      </c>
    </row>
    <row r="135" spans="1:2" x14ac:dyDescent="0.15">
      <c r="A135" s="6">
        <v>259</v>
      </c>
      <c r="B135" s="7" t="str">
        <f>VLOOKUP(A135,[1]characters!$A:$C,3,FALSE)</f>
        <v>ウロボロス</v>
      </c>
    </row>
    <row r="136" spans="1:2" x14ac:dyDescent="0.15">
      <c r="A136" s="8">
        <v>260</v>
      </c>
      <c r="B136" s="7" t="str">
        <f>VLOOKUP(A136,[1]characters!$A:$C,3,FALSE)</f>
        <v>輪廻 ウロボロス</v>
      </c>
    </row>
    <row r="137" spans="1:2" x14ac:dyDescent="0.15">
      <c r="A137" s="8">
        <v>261</v>
      </c>
      <c r="B137" s="7" t="str">
        <f>VLOOKUP(A137,[1]characters!$A:$C,3,FALSE)</f>
        <v>輪廻の蛇龍 ウロボロス</v>
      </c>
    </row>
    <row r="138" spans="1:2" x14ac:dyDescent="0.15">
      <c r="A138" s="6">
        <v>320</v>
      </c>
      <c r="B138" s="7" t="str">
        <f>VLOOKUP(A138,[1]characters!$A:$C,3,FALSE)</f>
        <v>烈志士 近藤勇</v>
      </c>
    </row>
    <row r="139" spans="1:2" x14ac:dyDescent="0.15">
      <c r="A139" s="6">
        <v>321</v>
      </c>
      <c r="B139" s="7" t="str">
        <f>VLOOKUP(A139,[1]characters!$A:$C,3,FALSE)</f>
        <v>巌鉄の烈志士 近藤勇</v>
      </c>
    </row>
    <row r="140" spans="1:2" x14ac:dyDescent="0.15">
      <c r="A140" s="6">
        <v>322</v>
      </c>
      <c r="B140" s="7" t="str">
        <f>VLOOKUP(A140,[1]characters!$A:$C,3,FALSE)</f>
        <v>愛志士 土方歳三</v>
      </c>
    </row>
    <row r="141" spans="1:2" x14ac:dyDescent="0.15">
      <c r="A141" s="6">
        <v>323</v>
      </c>
      <c r="B141" s="7" t="str">
        <f>VLOOKUP(A141,[1]characters!$A:$C,3,FALSE)</f>
        <v>流麗の愛志士 土方歳三</v>
      </c>
    </row>
    <row r="142" spans="1:2" x14ac:dyDescent="0.15">
      <c r="A142" s="6">
        <v>324</v>
      </c>
      <c r="B142" s="7" t="str">
        <f>VLOOKUP(A142,[1]characters!$A:$C,3,FALSE)</f>
        <v>凛志士 沖田総司</v>
      </c>
    </row>
    <row r="143" spans="1:2" x14ac:dyDescent="0.15">
      <c r="A143" s="6">
        <v>325</v>
      </c>
      <c r="B143" s="7" t="str">
        <f>VLOOKUP(A143,[1]characters!$A:$C,3,FALSE)</f>
        <v>天賦の凛志士 沖田総司</v>
      </c>
    </row>
    <row r="144" spans="1:2" x14ac:dyDescent="0.15">
      <c r="A144" s="6">
        <v>326</v>
      </c>
      <c r="B144" s="7" t="str">
        <f>VLOOKUP(A144,[1]characters!$A:$C,3,FALSE)</f>
        <v>妖志士 斎藤一</v>
      </c>
    </row>
    <row r="145" spans="1:2" x14ac:dyDescent="0.15">
      <c r="A145" s="6">
        <v>327</v>
      </c>
      <c r="B145" s="7" t="str">
        <f>VLOOKUP(A145,[1]characters!$A:$C,3,FALSE)</f>
        <v>千殺の妖志士 斎藤一</v>
      </c>
    </row>
    <row r="146" spans="1:2" x14ac:dyDescent="0.15">
      <c r="A146" s="6">
        <v>380</v>
      </c>
      <c r="B146" s="7" t="str">
        <f>VLOOKUP(A146,[1]characters!$A:$C,3,FALSE)</f>
        <v>バハムート</v>
      </c>
    </row>
    <row r="147" spans="1:2" x14ac:dyDescent="0.15">
      <c r="A147" s="6">
        <v>381</v>
      </c>
      <c r="B147" s="7" t="str">
        <f>VLOOKUP(A147,[1]characters!$A:$C,3,FALSE)</f>
        <v>肉食の恋火 バハムート</v>
      </c>
    </row>
    <row r="148" spans="1:2" x14ac:dyDescent="0.15">
      <c r="A148" s="6">
        <v>382</v>
      </c>
      <c r="B148" s="7" t="str">
        <f>VLOOKUP(A148,[1]characters!$A:$C,3,FALSE)</f>
        <v>激情の愛炎 バハムート</v>
      </c>
    </row>
    <row r="149" spans="1:2" x14ac:dyDescent="0.15">
      <c r="A149" s="6">
        <v>383</v>
      </c>
      <c r="B149" s="7" t="str">
        <f>VLOOKUP(A149,[1]characters!$A:$C,3,FALSE)</f>
        <v>酒宴の蟒蛇 ヤマタノオロチ</v>
      </c>
    </row>
    <row r="150" spans="1:2" x14ac:dyDescent="0.15">
      <c r="A150" s="6">
        <v>384</v>
      </c>
      <c r="B150" s="7" t="str">
        <f>VLOOKUP(A150,[1]characters!$A:$C,3,FALSE)</f>
        <v>破国の呑龍 ヤマタノオロチ</v>
      </c>
    </row>
    <row r="151" spans="1:2" x14ac:dyDescent="0.15">
      <c r="A151" s="6">
        <v>385</v>
      </c>
      <c r="B151" s="7" t="str">
        <f>VLOOKUP(A151,[1]characters!$A:$C,3,FALSE)</f>
        <v>波烈の出奔 リヴァイアサン</v>
      </c>
    </row>
    <row r="152" spans="1:2" x14ac:dyDescent="0.15">
      <c r="A152" s="6">
        <v>386</v>
      </c>
      <c r="B152" s="7" t="str">
        <f>VLOOKUP(A152,[1]characters!$A:$C,3,FALSE)</f>
        <v>氾乱の海龍 リヴァイアサン</v>
      </c>
    </row>
    <row r="153" spans="1:2" x14ac:dyDescent="0.15">
      <c r="A153" s="6">
        <v>387</v>
      </c>
      <c r="B153" s="7" t="str">
        <f>VLOOKUP(A153,[1]characters!$A:$C,3,FALSE)</f>
        <v>スフィンクス</v>
      </c>
    </row>
    <row r="154" spans="1:2" x14ac:dyDescent="0.15">
      <c r="A154" s="6">
        <v>388</v>
      </c>
      <c r="B154" s="7" t="str">
        <f>VLOOKUP(A154,[1]characters!$A:$C,3,FALSE)</f>
        <v>神円の恋姫 スフィンクス</v>
      </c>
    </row>
    <row r="155" spans="1:2" x14ac:dyDescent="0.15">
      <c r="A155" s="6">
        <v>389</v>
      </c>
      <c r="B155" s="7" t="str">
        <f>VLOOKUP(A155,[1]characters!$A:$C,3,FALSE)</f>
        <v>操神の愛姫 スフィンクス</v>
      </c>
    </row>
    <row r="156" spans="1:2" x14ac:dyDescent="0.15">
      <c r="A156" s="6">
        <v>390</v>
      </c>
      <c r="B156" s="7" t="str">
        <f>VLOOKUP(A156,[1]characters!$A:$C,3,FALSE)</f>
        <v>華環の旅客 親指姫</v>
      </c>
    </row>
    <row r="157" spans="1:2" x14ac:dyDescent="0.15">
      <c r="A157" s="6">
        <v>391</v>
      </c>
      <c r="B157" s="7" t="str">
        <f>VLOOKUP(A157,[1]characters!$A:$C,3,FALSE)</f>
        <v>燕翼の旅人 親指姫</v>
      </c>
    </row>
    <row r="158" spans="1:2" x14ac:dyDescent="0.15">
      <c r="A158" s="6">
        <v>392</v>
      </c>
      <c r="B158" s="7" t="str">
        <f>VLOOKUP(A158,[1]characters!$A:$C,3,FALSE)</f>
        <v>ピーターパン</v>
      </c>
    </row>
    <row r="159" spans="1:2" x14ac:dyDescent="0.15">
      <c r="A159" s="6">
        <v>393</v>
      </c>
      <c r="B159" s="7" t="str">
        <f>VLOOKUP(A159,[1]characters!$A:$C,3,FALSE)</f>
        <v>影縫い ピーターパン</v>
      </c>
    </row>
    <row r="160" spans="1:2" x14ac:dyDescent="0.15">
      <c r="A160" s="6">
        <v>394</v>
      </c>
      <c r="B160" s="7" t="str">
        <f>VLOOKUP(A160,[1]characters!$A:$C,3,FALSE)</f>
        <v>影求の悪童 ピーターパン</v>
      </c>
    </row>
    <row r="161" spans="1:2" x14ac:dyDescent="0.15">
      <c r="A161" s="6">
        <v>395</v>
      </c>
      <c r="B161" s="7" t="str">
        <f>VLOOKUP(A161,[1]characters!$A:$C,3,FALSE)</f>
        <v>乙姫</v>
      </c>
    </row>
    <row r="162" spans="1:2" x14ac:dyDescent="0.15">
      <c r="A162" s="6">
        <v>396</v>
      </c>
      <c r="B162" s="7" t="str">
        <f>VLOOKUP(A162,[1]characters!$A:$C,3,FALSE)</f>
        <v>竜宮の水雷 乙姫</v>
      </c>
    </row>
    <row r="163" spans="1:2" x14ac:dyDescent="0.15">
      <c r="A163" s="6">
        <v>397</v>
      </c>
      <c r="B163" s="7" t="str">
        <f>VLOOKUP(A163,[1]characters!$A:$C,3,FALSE)</f>
        <v>禁断の追箱 乙姫</v>
      </c>
    </row>
    <row r="164" spans="1:2" x14ac:dyDescent="0.15">
      <c r="A164" s="6">
        <v>398</v>
      </c>
      <c r="B164" s="7" t="str">
        <f>VLOOKUP(A164,[1]characters!$A:$C,3,FALSE)</f>
        <v>ヘンゼル＆グレーテル</v>
      </c>
    </row>
    <row r="165" spans="1:2" x14ac:dyDescent="0.15">
      <c r="A165" s="6">
        <v>399</v>
      </c>
      <c r="B165" s="7" t="str">
        <f>VLOOKUP(A165,[1]characters!$A:$C,3,FALSE)</f>
        <v>信愛の兄妹 ヘンゼル＆グレーテル</v>
      </c>
    </row>
    <row r="166" spans="1:2" x14ac:dyDescent="0.15">
      <c r="A166" s="6">
        <v>400</v>
      </c>
      <c r="B166" s="7" t="str">
        <f>VLOOKUP(A166,[1]characters!$A:$C,3,FALSE)</f>
        <v>フェンリル</v>
      </c>
    </row>
    <row r="167" spans="1:2" x14ac:dyDescent="0.15">
      <c r="A167" s="6">
        <v>401</v>
      </c>
      <c r="B167" s="7" t="str">
        <f>VLOOKUP(A167,[1]characters!$A:$C,3,FALSE)</f>
        <v>紅銀の孤狼 フェンリル</v>
      </c>
    </row>
    <row r="168" spans="1:2" x14ac:dyDescent="0.15">
      <c r="A168" s="6">
        <v>402</v>
      </c>
      <c r="B168" s="7" t="str">
        <f>VLOOKUP(A168,[1]characters!$A:$C,3,FALSE)</f>
        <v>天災の神狼 フェンリル</v>
      </c>
    </row>
    <row r="169" spans="1:2" x14ac:dyDescent="0.15">
      <c r="A169" s="6">
        <v>403</v>
      </c>
      <c r="B169" s="7" t="str">
        <f>VLOOKUP(A169,[1]characters!$A:$C,3,FALSE)</f>
        <v>静撃の翠眼 八咫烏</v>
      </c>
    </row>
    <row r="170" spans="1:2" x14ac:dyDescent="0.15">
      <c r="A170" s="6">
        <v>404</v>
      </c>
      <c r="B170" s="7" t="str">
        <f>VLOOKUP(A170,[1]characters!$A:$C,3,FALSE)</f>
        <v>空襲の神眼 八咫烏</v>
      </c>
    </row>
    <row r="171" spans="1:2" x14ac:dyDescent="0.15">
      <c r="A171" s="6">
        <v>405</v>
      </c>
      <c r="B171" s="7" t="str">
        <f>VLOOKUP(A171,[1]characters!$A:$C,3,FALSE)</f>
        <v>エキドナ</v>
      </c>
    </row>
    <row r="172" spans="1:2" x14ac:dyDescent="0.15">
      <c r="A172" s="6">
        <v>406</v>
      </c>
      <c r="B172" s="7" t="str">
        <f>VLOOKUP(A172,[1]characters!$A:$C,3,FALSE)</f>
        <v>美笑の蒼蛇 エキドナ</v>
      </c>
    </row>
    <row r="173" spans="1:2" x14ac:dyDescent="0.15">
      <c r="A173" s="6">
        <v>407</v>
      </c>
      <c r="B173" s="7" t="str">
        <f>VLOOKUP(A173,[1]characters!$A:$C,3,FALSE)</f>
        <v>蠱惑の飛刀 エキドナ</v>
      </c>
    </row>
    <row r="174" spans="1:2" x14ac:dyDescent="0.15">
      <c r="A174" s="6">
        <v>408</v>
      </c>
      <c r="B174" s="7" t="str">
        <f>VLOOKUP(A174,[1]characters!$A:$C,3,FALSE)</f>
        <v>皇魔 アスタロト</v>
      </c>
    </row>
    <row r="175" spans="1:2" x14ac:dyDescent="0.15">
      <c r="A175" s="6">
        <v>409</v>
      </c>
      <c r="B175" s="7" t="str">
        <f>VLOOKUP(A175,[1]characters!$A:$C,3,FALSE)</f>
        <v>天眼の皇貴魔 アスタロト</v>
      </c>
    </row>
    <row r="176" spans="1:2" x14ac:dyDescent="0.15">
      <c r="A176" s="6">
        <v>434</v>
      </c>
      <c r="B176" s="7" t="str">
        <f>VLOOKUP(A176,[1]characters!$A:$C,3,FALSE)</f>
        <v>D.R.T.H.</v>
      </c>
    </row>
    <row r="177" spans="1:2" x14ac:dyDescent="0.15">
      <c r="A177" s="6">
        <v>435</v>
      </c>
      <c r="B177" s="7" t="str">
        <f>VLOOKUP(A177,[1]characters!$A:$C,3,FALSE)</f>
        <v>曝弾の密偵 D.R.T.H.</v>
      </c>
    </row>
    <row r="178" spans="1:2" x14ac:dyDescent="0.15">
      <c r="A178" s="6">
        <v>436</v>
      </c>
      <c r="B178" s="7" t="str">
        <f>VLOOKUP(A178,[1]characters!$A:$C,3,FALSE)</f>
        <v>カカシ</v>
      </c>
    </row>
    <row r="179" spans="1:2" x14ac:dyDescent="0.15">
      <c r="A179" s="6">
        <v>437</v>
      </c>
      <c r="B179" s="7" t="str">
        <f>VLOOKUP(A179,[1]characters!$A:$C,3,FALSE)</f>
        <v>忘却者 カカシ</v>
      </c>
    </row>
    <row r="180" spans="1:2" x14ac:dyDescent="0.15">
      <c r="A180" s="6">
        <v>438</v>
      </c>
      <c r="B180" s="7" t="str">
        <f>VLOOKUP(A180,[1]characters!$A:$C,3,FALSE)</f>
        <v>記憶の奪還 カカシ</v>
      </c>
    </row>
    <row r="181" spans="1:2" x14ac:dyDescent="0.15">
      <c r="A181" s="6">
        <v>439</v>
      </c>
      <c r="B181" s="7" t="str">
        <f>VLOOKUP(A181,[1]characters!$A:$C,3,FALSE)</f>
        <v>ブリキロガー</v>
      </c>
    </row>
    <row r="182" spans="1:2" x14ac:dyDescent="0.15">
      <c r="A182" s="6">
        <v>440</v>
      </c>
      <c r="B182" s="7" t="str">
        <f>VLOOKUP(A182,[1]characters!$A:$C,3,FALSE)</f>
        <v>改良型 ブリキロガー</v>
      </c>
    </row>
    <row r="183" spans="1:2" x14ac:dyDescent="0.15">
      <c r="A183" s="6">
        <v>441</v>
      </c>
      <c r="B183" s="7" t="str">
        <f>VLOOKUP(A183,[1]characters!$A:$C,3,FALSE)</f>
        <v>求心の錻装 ブリキロガー</v>
      </c>
    </row>
    <row r="184" spans="1:2" x14ac:dyDescent="0.15">
      <c r="A184" s="6">
        <v>442</v>
      </c>
      <c r="B184" s="7" t="str">
        <f>VLOOKUP(A184,[1]characters!$A:$C,3,FALSE)</f>
        <v>ブレイブリー・ライオン</v>
      </c>
    </row>
    <row r="185" spans="1:2" x14ac:dyDescent="0.15">
      <c r="A185" s="6">
        <v>443</v>
      </c>
      <c r="B185" s="7" t="str">
        <f>VLOOKUP(A185,[1]characters!$A:$C,3,FALSE)</f>
        <v>勇機結集 ブレイブリー・ライオン</v>
      </c>
    </row>
    <row r="186" spans="1:2" x14ac:dyDescent="0.15">
      <c r="A186" s="8">
        <v>462</v>
      </c>
      <c r="B186" s="7" t="str">
        <f>VLOOKUP(A186,[1]characters!$A:$C,3,FALSE)</f>
        <v>ガウェイン</v>
      </c>
    </row>
    <row r="187" spans="1:2" x14ac:dyDescent="0.15">
      <c r="A187" s="8">
        <v>463</v>
      </c>
      <c r="B187" s="7" t="str">
        <f>VLOOKUP(A187,[1]characters!$A:$C,3,FALSE)</f>
        <v>燻銀 ガウェイン</v>
      </c>
    </row>
    <row r="188" spans="1:2" x14ac:dyDescent="0.15">
      <c r="A188" s="8">
        <v>464</v>
      </c>
      <c r="B188" s="7" t="str">
        <f>VLOOKUP(A188,[1]characters!$A:$C,3,FALSE)</f>
        <v>円熟の弾導 ガウェイン</v>
      </c>
    </row>
    <row r="189" spans="1:2" x14ac:dyDescent="0.15">
      <c r="A189" s="8">
        <v>465</v>
      </c>
      <c r="B189" s="7" t="str">
        <f>VLOOKUP(A189,[1]characters!$A:$C,3,FALSE)</f>
        <v>真撃 ランスロット</v>
      </c>
    </row>
    <row r="190" spans="1:2" x14ac:dyDescent="0.15">
      <c r="A190" s="6">
        <v>466</v>
      </c>
      <c r="B190" s="7" t="str">
        <f>VLOOKUP(A190,[1]characters!$A:$C,3,FALSE)</f>
        <v>真断の勇覇 ランスロット</v>
      </c>
    </row>
    <row r="191" spans="1:2" x14ac:dyDescent="0.15">
      <c r="A191" s="6">
        <v>467</v>
      </c>
      <c r="B191" s="7" t="str">
        <f>VLOOKUP(A191,[1]characters!$A:$C,3,FALSE)</f>
        <v>報復 モルドレッド</v>
      </c>
    </row>
    <row r="192" spans="1:2" x14ac:dyDescent="0.15">
      <c r="A192" s="6">
        <v>468</v>
      </c>
      <c r="B192" s="7" t="str">
        <f>VLOOKUP(A192,[1]characters!$A:$C,3,FALSE)</f>
        <v>憎愛の尖鋒 モルドレッド</v>
      </c>
    </row>
    <row r="193" spans="1:2" x14ac:dyDescent="0.15">
      <c r="A193" s="6">
        <v>469</v>
      </c>
      <c r="B193" s="7" t="str">
        <f>VLOOKUP(A193,[1]characters!$A:$C,3,FALSE)</f>
        <v>トリスタン</v>
      </c>
    </row>
    <row r="194" spans="1:2" x14ac:dyDescent="0.15">
      <c r="A194" s="6">
        <v>470</v>
      </c>
      <c r="B194" s="7" t="str">
        <f>VLOOKUP(A194,[1]characters!$A:$C,3,FALSE)</f>
        <v>純心 トリスタン</v>
      </c>
    </row>
    <row r="195" spans="1:2" x14ac:dyDescent="0.15">
      <c r="A195" s="6">
        <v>471</v>
      </c>
      <c r="B195" s="7" t="str">
        <f>VLOOKUP(A195,[1]characters!$A:$C,3,FALSE)</f>
        <v>不可避の爆激 トリスタン</v>
      </c>
    </row>
    <row r="196" spans="1:2" x14ac:dyDescent="0.15">
      <c r="A196" s="6">
        <v>474</v>
      </c>
      <c r="B196" s="7" t="str">
        <f>VLOOKUP(A196,[1]characters!$A:$C,3,FALSE)</f>
        <v>キング・ドライグ</v>
      </c>
    </row>
    <row r="197" spans="1:2" x14ac:dyDescent="0.15">
      <c r="A197" s="6">
        <v>475</v>
      </c>
      <c r="B197" s="7" t="str">
        <f>VLOOKUP(A197,[1]characters!$A:$C,3,FALSE)</f>
        <v>緋王 キング・ドライグ</v>
      </c>
    </row>
    <row r="198" spans="1:2" x14ac:dyDescent="0.15">
      <c r="A198" s="6">
        <v>476</v>
      </c>
      <c r="B198" s="7" t="str">
        <f>VLOOKUP(A198,[1]characters!$A:$C,3,FALSE)</f>
        <v>ファータ</v>
      </c>
    </row>
    <row r="199" spans="1:2" x14ac:dyDescent="0.15">
      <c r="A199" s="6">
        <v>477</v>
      </c>
      <c r="B199" s="7" t="str">
        <f>VLOOKUP(A199,[1]characters!$A:$C,3,FALSE)</f>
        <v>愛羽妖精 ファータ</v>
      </c>
    </row>
    <row r="200" spans="1:2" x14ac:dyDescent="0.15">
      <c r="A200" s="6">
        <v>478</v>
      </c>
      <c r="B200" s="7" t="str">
        <f>VLOOKUP(A200,[1]characters!$A:$C,3,FALSE)</f>
        <v>時計仕掛けの愛羽妖精 ファータ</v>
      </c>
    </row>
    <row r="201" spans="1:2" x14ac:dyDescent="0.15">
      <c r="A201" s="6">
        <v>479</v>
      </c>
      <c r="B201" s="7" t="str">
        <f>VLOOKUP(A201,[1]characters!$A:$C,3,FALSE)</f>
        <v>フール</v>
      </c>
    </row>
    <row r="202" spans="1:2" x14ac:dyDescent="0.15">
      <c r="A202" s="6">
        <v>480</v>
      </c>
      <c r="B202" s="7" t="str">
        <f>VLOOKUP(A202,[1]characters!$A:$C,3,FALSE)</f>
        <v>夢幻の愚者フール</v>
      </c>
    </row>
    <row r="203" spans="1:2" x14ac:dyDescent="0.15">
      <c r="A203" s="6">
        <v>481</v>
      </c>
      <c r="B203" s="7" t="str">
        <f>VLOOKUP(A203,[1]characters!$A:$C,3,FALSE)</f>
        <v>沢庵宗彭</v>
      </c>
    </row>
    <row r="204" spans="1:2" x14ac:dyDescent="0.15">
      <c r="A204" s="6">
        <v>482</v>
      </c>
      <c r="B204" s="7" t="str">
        <f>VLOOKUP(A204,[1]characters!$A:$C,3,FALSE)</f>
        <v>魁僧 沢庵宗彭</v>
      </c>
    </row>
    <row r="205" spans="1:2" x14ac:dyDescent="0.15">
      <c r="A205" s="6">
        <v>483</v>
      </c>
      <c r="B205" s="7" t="str">
        <f>VLOOKUP(A205,[1]characters!$A:$C,3,FALSE)</f>
        <v xml:space="preserve">命経死遂 沢庵宗彭 </v>
      </c>
    </row>
    <row r="206" spans="1:2" x14ac:dyDescent="0.15">
      <c r="A206" s="6">
        <v>492</v>
      </c>
      <c r="B206" s="7" t="str">
        <f>VLOOKUP(A206,[1]characters!$A:$C,3,FALSE)</f>
        <v>ブートレグ・ペロー</v>
      </c>
    </row>
    <row r="207" spans="1:2" x14ac:dyDescent="0.15">
      <c r="A207" s="6">
        <v>493</v>
      </c>
      <c r="B207" s="7" t="str">
        <f>VLOOKUP(A207,[1]characters!$A:$C,3,FALSE)</f>
        <v>跋扈の機脚 ブートレグ・ペロー</v>
      </c>
    </row>
    <row r="208" spans="1:2" x14ac:dyDescent="0.15">
      <c r="A208" s="6">
        <v>494</v>
      </c>
      <c r="B208" s="7" t="str">
        <f>VLOOKUP(A208,[1]characters!$A:$C,3,FALSE)</f>
        <v>ハーメルン</v>
      </c>
    </row>
    <row r="209" spans="1:2" x14ac:dyDescent="0.15">
      <c r="A209" s="6">
        <v>495</v>
      </c>
      <c r="B209" s="7" t="str">
        <f>VLOOKUP(A209,[1]characters!$A:$C,3,FALSE)</f>
        <v>鼠災呼ぶ笛音 ハーメルン</v>
      </c>
    </row>
    <row r="210" spans="1:2" x14ac:dyDescent="0.15">
      <c r="A210" s="6">
        <v>496</v>
      </c>
      <c r="B210" s="7" t="str">
        <f>VLOOKUP(A210,[1]characters!$A:$C,3,FALSE)</f>
        <v>エスタブ</v>
      </c>
    </row>
    <row r="211" spans="1:2" x14ac:dyDescent="0.15">
      <c r="A211" s="6">
        <v>497</v>
      </c>
      <c r="B211" s="7" t="str">
        <f>VLOOKUP(A211,[1]characters!$A:$C,3,FALSE)</f>
        <v>偏愛の野獣 エスタブ</v>
      </c>
    </row>
    <row r="212" spans="1:2" x14ac:dyDescent="0.15">
      <c r="A212" s="6">
        <v>498</v>
      </c>
      <c r="B212" s="7" t="str">
        <f>VLOOKUP(A212,[1]characters!$A:$C,3,FALSE)</f>
        <v>自愛の高魔 エスタブ</v>
      </c>
    </row>
    <row r="213" spans="1:2" x14ac:dyDescent="0.15">
      <c r="A213" s="6">
        <v>499</v>
      </c>
      <c r="B213" s="7" t="str">
        <f>VLOOKUP(A213,[1]characters!$A:$C,3,FALSE)</f>
        <v>ラプンツェル</v>
      </c>
    </row>
    <row r="214" spans="1:2" x14ac:dyDescent="0.15">
      <c r="A214" s="6">
        <v>500</v>
      </c>
      <c r="B214" s="7" t="str">
        <f>VLOOKUP(A214,[1]characters!$A:$C,3,FALSE)</f>
        <v>脈動の禁髪 ラプンツェル</v>
      </c>
    </row>
    <row r="215" spans="1:2" x14ac:dyDescent="0.15">
      <c r="A215" s="6">
        <v>586</v>
      </c>
      <c r="B215" s="7" t="str">
        <f>VLOOKUP(A215,[1]characters!$A:$C,3,FALSE)</f>
        <v>ユミル</v>
      </c>
    </row>
    <row r="216" spans="1:2" x14ac:dyDescent="0.15">
      <c r="A216" s="6">
        <v>587</v>
      </c>
      <c r="B216" s="7" t="str">
        <f>VLOOKUP(A216,[1]characters!$A:$C,3,FALSE)</f>
        <v>原初の煉鋼巨刃 ユミル</v>
      </c>
    </row>
    <row r="217" spans="1:2" x14ac:dyDescent="0.15">
      <c r="A217" s="6">
        <v>588</v>
      </c>
      <c r="B217" s="7" t="str">
        <f>VLOOKUP(A217,[1]characters!$A:$C,3,FALSE)</f>
        <v>ニーベルゲン</v>
      </c>
    </row>
    <row r="218" spans="1:2" x14ac:dyDescent="0.15">
      <c r="A218" s="6">
        <v>589</v>
      </c>
      <c r="B218" s="7" t="str">
        <f>VLOOKUP(A218,[1]characters!$A:$C,3,FALSE)</f>
        <v>不幸の円環 ニーベルゲン</v>
      </c>
    </row>
    <row r="219" spans="1:2" x14ac:dyDescent="0.15">
      <c r="A219" s="6">
        <v>590</v>
      </c>
      <c r="B219" s="7" t="str">
        <f>VLOOKUP(A219,[1]characters!$A:$C,3,FALSE)</f>
        <v>永遠を廻る呪い ニーベルゲン</v>
      </c>
    </row>
    <row r="220" spans="1:2" x14ac:dyDescent="0.15">
      <c r="A220" s="6">
        <v>591</v>
      </c>
      <c r="B220" s="7" t="str">
        <f>VLOOKUP(A220,[1]characters!$A:$C,3,FALSE)</f>
        <v>ファフニール</v>
      </c>
    </row>
    <row r="221" spans="1:2" x14ac:dyDescent="0.15">
      <c r="A221" s="6">
        <v>592</v>
      </c>
      <c r="B221" s="7" t="str">
        <f>VLOOKUP(A221,[1]characters!$A:$C,3,FALSE)</f>
        <v>財宝への執着 ファフニール</v>
      </c>
    </row>
    <row r="222" spans="1:2" x14ac:dyDescent="0.15">
      <c r="A222" s="6">
        <v>593</v>
      </c>
      <c r="B222" s="7" t="str">
        <f>VLOOKUP(A222,[1]characters!$A:$C,3,FALSE)</f>
        <v>妄執する邪毒龍 ファフニール</v>
      </c>
    </row>
    <row r="223" spans="1:2" x14ac:dyDescent="0.15">
      <c r="A223" s="6">
        <v>594</v>
      </c>
      <c r="B223" s="7" t="str">
        <f>VLOOKUP(A223,[1]characters!$A:$C,3,FALSE)</f>
        <v>アルフヘイム</v>
      </c>
    </row>
    <row r="224" spans="1:2" x14ac:dyDescent="0.15">
      <c r="A224" s="6">
        <v>595</v>
      </c>
      <c r="B224" s="7" t="str">
        <f>VLOOKUP(A224,[1]characters!$A:$C,3,FALSE)</f>
        <v>光華なる神域 アルフヘイム</v>
      </c>
    </row>
    <row r="225" spans="1:2" x14ac:dyDescent="0.15">
      <c r="A225" s="6">
        <v>596</v>
      </c>
      <c r="B225" s="7" t="str">
        <f>VLOOKUP(A225,[1]characters!$A:$C,3,FALSE)</f>
        <v>ムスペルヘイム</v>
      </c>
    </row>
    <row r="226" spans="1:2" x14ac:dyDescent="0.15">
      <c r="A226" s="6">
        <v>597</v>
      </c>
      <c r="B226" s="7" t="str">
        <f>VLOOKUP(A226,[1]characters!$A:$C,3,FALSE)</f>
        <v>灼熱の魂 ムスペルヘイム</v>
      </c>
    </row>
    <row r="227" spans="1:2" x14ac:dyDescent="0.15">
      <c r="A227" s="6">
        <v>598</v>
      </c>
      <c r="B227" s="7" t="str">
        <f>VLOOKUP(A227,[1]characters!$A:$C,3,FALSE)</f>
        <v>焼燃の情熱 ムスペルヘイム</v>
      </c>
    </row>
    <row r="228" spans="1:2" x14ac:dyDescent="0.15">
      <c r="A228" s="6">
        <v>599</v>
      </c>
      <c r="B228" s="7" t="str">
        <f>VLOOKUP(A228,[1]characters!$A:$C,3,FALSE)</f>
        <v>ニーズヘッグ</v>
      </c>
    </row>
    <row r="229" spans="1:2" x14ac:dyDescent="0.15">
      <c r="A229" s="6">
        <v>600</v>
      </c>
      <c r="B229" s="7" t="str">
        <f>VLOOKUP(A229,[1]characters!$A:$C,3,FALSE)</f>
        <v>界下に潜む蛇 ニーズヘッグ</v>
      </c>
    </row>
    <row r="230" spans="1:2" x14ac:dyDescent="0.15">
      <c r="A230" s="6">
        <v>601</v>
      </c>
      <c r="B230" s="7" t="str">
        <f>VLOOKUP(A230,[1]characters!$A:$C,3,FALSE)</f>
        <v>界根蝕む悪食 ニーズヘッグ</v>
      </c>
    </row>
    <row r="231" spans="1:2" x14ac:dyDescent="0.15">
      <c r="A231" s="6">
        <v>602</v>
      </c>
      <c r="B231" s="7" t="str">
        <f>VLOOKUP(A231,[1]characters!$A:$C,3,FALSE)</f>
        <v>フレイヤ</v>
      </c>
    </row>
    <row r="232" spans="1:2" x14ac:dyDescent="0.15">
      <c r="A232" s="6">
        <v>603</v>
      </c>
      <c r="B232" s="7" t="str">
        <f>VLOOKUP(A232,[1]characters!$A:$C,3,FALSE)</f>
        <v>掌愛の豊穣女神 フレイヤ</v>
      </c>
    </row>
    <row r="233" spans="1:2" x14ac:dyDescent="0.15">
      <c r="A233" s="6">
        <v>604</v>
      </c>
      <c r="B233" s="7" t="str">
        <f>VLOOKUP(A233,[1]characters!$A:$C,3,FALSE)</f>
        <v>バルドル</v>
      </c>
    </row>
    <row r="234" spans="1:2" x14ac:dyDescent="0.15">
      <c r="A234" s="6">
        <v>605</v>
      </c>
      <c r="B234" s="7" t="str">
        <f>VLOOKUP(A234,[1]characters!$A:$C,3,FALSE)</f>
        <v>祝福される光耀 バルドル</v>
      </c>
    </row>
    <row r="235" spans="1:2" x14ac:dyDescent="0.15">
      <c r="A235" s="6">
        <v>606</v>
      </c>
      <c r="B235" s="7" t="str">
        <f>VLOOKUP(A235,[1]characters!$A:$C,3,FALSE)</f>
        <v>冀望の光芒 バルドル</v>
      </c>
    </row>
    <row r="236" spans="1:2" x14ac:dyDescent="0.15">
      <c r="A236" s="6">
        <v>658</v>
      </c>
      <c r="B236" s="7" t="str">
        <f>VLOOKUP(A236,[1]characters!$A:$C,3,FALSE)</f>
        <v>猫又 クルミ</v>
      </c>
    </row>
    <row r="237" spans="1:2" x14ac:dyDescent="0.15">
      <c r="A237" s="6">
        <v>659</v>
      </c>
      <c r="B237" s="7" t="str">
        <f>VLOOKUP(A237,[1]characters!$A:$C,3,FALSE)</f>
        <v>跳梁する化猫 クルミ</v>
      </c>
    </row>
    <row r="238" spans="1:2" x14ac:dyDescent="0.15">
      <c r="A238" s="6">
        <v>660</v>
      </c>
      <c r="B238" s="7" t="str">
        <f>VLOOKUP(A238,[1]characters!$A:$C,3,FALSE)</f>
        <v>烏天狗 フウガ</v>
      </c>
    </row>
    <row r="239" spans="1:2" x14ac:dyDescent="0.15">
      <c r="A239" s="6">
        <v>661</v>
      </c>
      <c r="B239" s="7" t="str">
        <f>VLOOKUP(A239,[1]characters!$A:$C,3,FALSE)</f>
        <v>疾風の天狗礫 フウガ</v>
      </c>
    </row>
    <row r="240" spans="1:2" x14ac:dyDescent="0.15">
      <c r="A240" s="6">
        <v>662</v>
      </c>
      <c r="B240" s="7" t="str">
        <f>VLOOKUP(A240,[1]characters!$A:$C,3,FALSE)</f>
        <v>ダイダラ</v>
      </c>
    </row>
    <row r="241" spans="1:2" x14ac:dyDescent="0.15">
      <c r="A241" s="6">
        <v>663</v>
      </c>
      <c r="B241" s="7" t="str">
        <f>VLOOKUP(A241,[1]characters!$A:$C,3,FALSE)</f>
        <v>都揺らす地響き ダイダラ</v>
      </c>
    </row>
    <row r="242" spans="1:2" x14ac:dyDescent="0.15">
      <c r="A242" s="6">
        <v>664</v>
      </c>
      <c r="B242" s="7" t="str">
        <f>VLOOKUP(A242,[1]characters!$A:$C,3,FALSE)</f>
        <v>山掴み国造り ダイダラ</v>
      </c>
    </row>
    <row r="243" spans="1:2" x14ac:dyDescent="0.15">
      <c r="A243" s="6">
        <v>665</v>
      </c>
      <c r="B243" s="7" t="str">
        <f>VLOOKUP(A243,[1]characters!$A:$C,3,FALSE)</f>
        <v>座敷童子 テマリ</v>
      </c>
    </row>
    <row r="244" spans="1:2" x14ac:dyDescent="0.15">
      <c r="A244" s="6">
        <v>666</v>
      </c>
      <c r="B244" s="7" t="str">
        <f>VLOOKUP(A244,[1]characters!$A:$C,3,FALSE)</f>
        <v>拡散する幸福 テマリ</v>
      </c>
    </row>
    <row r="245" spans="1:2" x14ac:dyDescent="0.15">
      <c r="A245" s="6">
        <v>667</v>
      </c>
      <c r="B245" s="7" t="str">
        <f>VLOOKUP(A245,[1]characters!$A:$C,3,FALSE)</f>
        <v>最幸運の妖童 テマリ</v>
      </c>
    </row>
    <row r="246" spans="1:2" x14ac:dyDescent="0.15">
      <c r="A246" s="60">
        <v>668</v>
      </c>
      <c r="B246" s="7" t="str">
        <f>VLOOKUP(A246,[1]characters!$A:$C,3,FALSE)</f>
        <v>アグニ</v>
      </c>
    </row>
    <row r="247" spans="1:2" x14ac:dyDescent="0.15">
      <c r="A247" s="60">
        <v>669</v>
      </c>
      <c r="B247" s="7" t="str">
        <f>VLOOKUP(A247,[1]characters!$A:$C,3,FALSE)</f>
        <v>天地の仲界 アグニ</v>
      </c>
    </row>
    <row r="248" spans="1:2" x14ac:dyDescent="0.15">
      <c r="A248" s="60">
        <v>670</v>
      </c>
      <c r="B248" s="7" t="str">
        <f>VLOOKUP(A248,[1]characters!$A:$C,3,FALSE)</f>
        <v>陽天の噴煙 アグニ</v>
      </c>
    </row>
    <row r="249" spans="1:2" x14ac:dyDescent="0.15">
      <c r="A249" s="60">
        <v>671</v>
      </c>
      <c r="B249" s="7" t="str">
        <f>VLOOKUP(A249,[1]characters!$A:$C,3,FALSE)</f>
        <v>ハヌマーン</v>
      </c>
    </row>
    <row r="250" spans="1:2" x14ac:dyDescent="0.15">
      <c r="A250" s="60">
        <v>672</v>
      </c>
      <c r="B250" s="7" t="str">
        <f>VLOOKUP(A250,[1]characters!$A:$C,3,FALSE)</f>
        <v>西遊韋駄天 ハヌマーン</v>
      </c>
    </row>
    <row r="251" spans="1:2" x14ac:dyDescent="0.15">
      <c r="A251" s="60">
        <v>673</v>
      </c>
      <c r="B251" s="7" t="str">
        <f>VLOOKUP(A251,[1]characters!$A:$C,3,FALSE)</f>
        <v>変幻自在の猿王 ハヌマーン</v>
      </c>
    </row>
    <row r="252" spans="1:2" x14ac:dyDescent="0.15">
      <c r="A252" s="60">
        <v>674</v>
      </c>
      <c r="B252" s="7" t="str">
        <f>VLOOKUP(A252,[1]characters!$A:$C,3,FALSE)</f>
        <v>サラスヴァティ</v>
      </c>
    </row>
    <row r="253" spans="1:2" x14ac:dyDescent="0.15">
      <c r="A253" s="60">
        <v>675</v>
      </c>
      <c r="B253" s="7" t="str">
        <f>VLOOKUP(A253,[1]characters!$A:$C,3,FALSE)</f>
        <v>芸楽の奔流 サラスヴァティ</v>
      </c>
    </row>
    <row r="254" spans="1:2" x14ac:dyDescent="0.15">
      <c r="A254" s="60">
        <v>676</v>
      </c>
      <c r="B254" s="7" t="str">
        <f>VLOOKUP(A254,[1]characters!$A:$C,3,FALSE)</f>
        <v>ヴィシュヌ</v>
      </c>
    </row>
    <row r="255" spans="1:2" x14ac:dyDescent="0.15">
      <c r="A255" s="60">
        <v>677</v>
      </c>
      <c r="B255" s="7" t="str">
        <f>VLOOKUP(A255,[1]characters!$A:$C,3,FALSE)</f>
        <v>武遊闊歩 ヴィシュヌ</v>
      </c>
    </row>
    <row r="256" spans="1:2" x14ac:dyDescent="0.15">
      <c r="A256" s="60">
        <v>770</v>
      </c>
      <c r="B256" s="7" t="str">
        <f>VLOOKUP(A256,[1]characters!$A:$C,3,FALSE)</f>
        <v>ハヅル</v>
      </c>
    </row>
    <row r="257" spans="1:2" x14ac:dyDescent="0.15">
      <c r="A257" s="60">
        <v>771</v>
      </c>
      <c r="B257" s="7" t="str">
        <f>VLOOKUP(A257,[1]characters!$A:$C,3,FALSE)</f>
        <v>天織羽鶴 ハヅル</v>
      </c>
    </row>
    <row r="258" spans="1:2" x14ac:dyDescent="0.15">
      <c r="A258" s="60">
        <v>772</v>
      </c>
      <c r="B258" s="7" t="str">
        <f>VLOOKUP(A258,[1]characters!$A:$C,3,FALSE)</f>
        <v>イナバ</v>
      </c>
    </row>
    <row r="259" spans="1:2" x14ac:dyDescent="0.15">
      <c r="A259" s="60">
        <v>773</v>
      </c>
      <c r="B259" s="7" t="str">
        <f>VLOOKUP(A259,[1]characters!$A:$C,3,FALSE)</f>
        <v>浮跳天兎 イナバ</v>
      </c>
    </row>
    <row r="260" spans="1:2" x14ac:dyDescent="0.15">
      <c r="A260" s="60">
        <v>774</v>
      </c>
      <c r="B260" s="7" t="str">
        <f>VLOOKUP(A260,[1]characters!$A:$C,3,FALSE)</f>
        <v>ミズチ</v>
      </c>
    </row>
    <row r="261" spans="1:2" x14ac:dyDescent="0.15">
      <c r="A261" s="60">
        <v>775</v>
      </c>
      <c r="B261" s="7" t="str">
        <f>VLOOKUP(A261,[1]characters!$A:$C,3,FALSE)</f>
        <v>水底霊竜 ミズチ</v>
      </c>
    </row>
    <row r="262" spans="1:2" x14ac:dyDescent="0.15">
      <c r="A262" s="60">
        <v>776</v>
      </c>
      <c r="B262" s="7" t="str">
        <f>VLOOKUP(A262,[1]characters!$A:$C,3,FALSE)</f>
        <v>水竜底主 ミズチ</v>
      </c>
    </row>
    <row r="263" spans="1:2" x14ac:dyDescent="0.15">
      <c r="A263" s="60">
        <v>777</v>
      </c>
      <c r="B263" s="7" t="str">
        <f>VLOOKUP(A263,[1]characters!$A:$C,3,FALSE)</f>
        <v>ガメック</v>
      </c>
    </row>
    <row r="264" spans="1:2" x14ac:dyDescent="0.15">
      <c r="A264" s="60">
        <v>778</v>
      </c>
      <c r="B264" s="7" t="str">
        <f>VLOOKUP(A264,[1]characters!$A:$C,3,FALSE)</f>
        <v>一亀懸明 ガメック</v>
      </c>
    </row>
    <row r="265" spans="1:2" x14ac:dyDescent="0.15">
      <c r="A265" s="60">
        <v>779</v>
      </c>
      <c r="B265" s="7" t="str">
        <f>VLOOKUP(A265,[1]characters!$A:$C,3,FALSE)</f>
        <v>頑堅咬亀 ガメック</v>
      </c>
    </row>
    <row r="266" spans="1:2" x14ac:dyDescent="0.15">
      <c r="A266" s="60">
        <v>779</v>
      </c>
      <c r="B266" s="7" t="str">
        <f>VLOOKUP(A266,[1]characters!$A:$C,3,FALSE)</f>
        <v>頑堅咬亀 ガメック</v>
      </c>
    </row>
  </sheetData>
  <phoneticPr fontId="20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B14"/>
  <sheetViews>
    <sheetView workbookViewId="0">
      <selection activeCell="A16" sqref="A16"/>
    </sheetView>
  </sheetViews>
  <sheetFormatPr baseColWidth="12" defaultRowHeight="14" x14ac:dyDescent="0.15"/>
  <sheetData>
    <row r="1" spans="1:2" x14ac:dyDescent="0.15">
      <c r="A1" s="38" t="s">
        <v>61</v>
      </c>
      <c r="B1" s="38"/>
    </row>
    <row r="2" spans="1:2" x14ac:dyDescent="0.15">
      <c r="A2" s="33" t="s">
        <v>1</v>
      </c>
      <c r="B2" s="37" t="s">
        <v>65</v>
      </c>
    </row>
    <row r="3" spans="1:2" x14ac:dyDescent="0.15">
      <c r="A3" s="6">
        <v>166</v>
      </c>
      <c r="B3" s="37" t="str">
        <f>VLOOKUP(A3,[1]characters!$A:$C,3,FALSE)</f>
        <v>ベリアル</v>
      </c>
    </row>
    <row r="4" spans="1:2" x14ac:dyDescent="0.15">
      <c r="A4" s="6">
        <v>167</v>
      </c>
      <c r="B4" s="37" t="str">
        <f>VLOOKUP(A4,[1]characters!$A:$C,3,FALSE)</f>
        <v>逆徒 ベリアル</v>
      </c>
    </row>
    <row r="5" spans="1:2" x14ac:dyDescent="0.15">
      <c r="A5" s="6">
        <v>168</v>
      </c>
      <c r="B5" s="37" t="str">
        <f>VLOOKUP(A5,[1]characters!$A:$C,3,FALSE)</f>
        <v>猛進の大逆者 ベリアル</v>
      </c>
    </row>
    <row r="6" spans="1:2" x14ac:dyDescent="0.15">
      <c r="A6" s="33">
        <v>169</v>
      </c>
      <c r="B6" s="37" t="str">
        <f>VLOOKUP(A6,[1]characters!$A:$C,3,FALSE)</f>
        <v>オセ</v>
      </c>
    </row>
    <row r="7" spans="1:2" x14ac:dyDescent="0.15">
      <c r="A7" s="33">
        <v>170</v>
      </c>
      <c r="B7" s="37" t="str">
        <f>VLOOKUP(A7,[1]characters!$A:$C,3,FALSE)</f>
        <v>識徒 オセ</v>
      </c>
    </row>
    <row r="8" spans="1:2" x14ac:dyDescent="0.15">
      <c r="A8" s="33">
        <v>171</v>
      </c>
      <c r="B8" s="37" t="str">
        <f>VLOOKUP(A8,[1]characters!$A:$C,3,FALSE)</f>
        <v>精解の預知者 オセ</v>
      </c>
    </row>
    <row r="9" spans="1:2" x14ac:dyDescent="0.15">
      <c r="A9" s="33">
        <v>172</v>
      </c>
      <c r="B9" s="37" t="str">
        <f>VLOOKUP(A9,[1]characters!$A:$C,3,FALSE)</f>
        <v>フォルネウス</v>
      </c>
    </row>
    <row r="10" spans="1:2" x14ac:dyDescent="0.15">
      <c r="A10" s="33">
        <v>173</v>
      </c>
      <c r="B10" s="37" t="str">
        <f>VLOOKUP(A10,[1]characters!$A:$C,3,FALSE)</f>
        <v>公爵 フォルネウス</v>
      </c>
    </row>
    <row r="11" spans="1:2" x14ac:dyDescent="0.15">
      <c r="A11" s="33">
        <v>174</v>
      </c>
      <c r="B11" s="37" t="str">
        <f>VLOOKUP(A11,[1]characters!$A:$C,3,FALSE)</f>
        <v>偽愛の大公爵 フォルネウス</v>
      </c>
    </row>
    <row r="12" spans="1:2" x14ac:dyDescent="0.15">
      <c r="A12" s="33">
        <v>235</v>
      </c>
      <c r="B12" s="37" t="str">
        <f>VLOOKUP(A12,[1]characters!$A:$C,3,FALSE)</f>
        <v>イザナミ</v>
      </c>
    </row>
    <row r="13" spans="1:2" x14ac:dyDescent="0.15">
      <c r="A13" s="33">
        <v>236</v>
      </c>
      <c r="B13" s="37" t="str">
        <f>VLOOKUP(A13,[1]characters!$A:$C,3,FALSE)</f>
        <v>神産 イザナミ</v>
      </c>
    </row>
    <row r="14" spans="1:2" x14ac:dyDescent="0.15">
      <c r="A14" s="33">
        <v>237</v>
      </c>
      <c r="B14" s="37" t="str">
        <f>VLOOKUP(A14,[1]characters!$A:$C,3,FALSE)</f>
        <v>森羅万象の神母 イザナミ</v>
      </c>
    </row>
  </sheetData>
  <phoneticPr fontId="20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確率の考え方</vt:lpstr>
      <vt:lpstr>Sheet1</vt:lpstr>
      <vt:lpstr>output</vt:lpstr>
      <vt:lpstr>input_559100</vt:lpstr>
      <vt:lpstr>tables_559100</vt:lpstr>
      <vt:lpstr>tables_settle_559100</vt:lpstr>
      <vt:lpstr>gacha_bonus_tables</vt:lpstr>
      <vt:lpstr>R6追加前</vt:lpstr>
      <vt:lpstr>R6開放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ユーザー</cp:lastModifiedBy>
  <dcterms:created xsi:type="dcterms:W3CDTF">2015-04-01T12:34:09Z</dcterms:created>
  <dcterms:modified xsi:type="dcterms:W3CDTF">2017-03-22T11:06:38Z</dcterms:modified>
</cp:coreProperties>
</file>