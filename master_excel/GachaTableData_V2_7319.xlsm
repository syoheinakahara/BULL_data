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016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ubo/BULL_data/master_excel/"/>
    </mc:Choice>
  </mc:AlternateContent>
  <bookViews>
    <workbookView xWindow="0" yWindow="460" windowWidth="28800" windowHeight="15940" tabRatio="943" activeTab="3"/>
  </bookViews>
  <sheets>
    <sheet name="Sheet1" sheetId="107" r:id="rId1"/>
    <sheet name="output" sheetId="103" r:id="rId2"/>
    <sheet name="tables_7319" sheetId="114" r:id="rId3"/>
    <sheet name="tables_7320" sheetId="115" r:id="rId4"/>
    <sheet name="gacha_bonus_tables" sheetId="98" r:id="rId5"/>
    <sheet name="R6追加前" sheetId="111" r:id="rId6"/>
    <sheet name="R6開放" sheetId="112" r:id="rId7"/>
  </sheets>
  <externalReferences>
    <externalReference r:id="rId8"/>
  </externalReferences>
  <definedNames>
    <definedName name="_xlnm._FilterDatabase" localSheetId="4" hidden="1">gacha_bonus_tables!$A$1:$F$1</definedName>
    <definedName name="_xlnm._FilterDatabase" localSheetId="2" hidden="1">tables_7319!$A$1:$V$4</definedName>
    <definedName name="_xlnm._FilterDatabase" localSheetId="3" hidden="1">tables_7320!$A$1:$V$4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19" i="115" l="1"/>
  <c r="N19" i="115"/>
  <c r="M19" i="115"/>
  <c r="L19" i="115"/>
  <c r="K19" i="115"/>
  <c r="J19" i="115"/>
  <c r="I19" i="115"/>
  <c r="H19" i="115"/>
  <c r="F19" i="115"/>
  <c r="E19" i="115"/>
  <c r="D19" i="115"/>
  <c r="C19" i="115"/>
  <c r="P18" i="115"/>
  <c r="N18" i="115"/>
  <c r="M18" i="115"/>
  <c r="L18" i="115"/>
  <c r="K18" i="115"/>
  <c r="J18" i="115"/>
  <c r="I18" i="115"/>
  <c r="H18" i="115"/>
  <c r="F18" i="115"/>
  <c r="E18" i="115"/>
  <c r="D18" i="115"/>
  <c r="C18" i="115"/>
  <c r="P17" i="115"/>
  <c r="N17" i="115"/>
  <c r="M17" i="115"/>
  <c r="L17" i="115"/>
  <c r="K17" i="115"/>
  <c r="J17" i="115"/>
  <c r="I17" i="115"/>
  <c r="H17" i="115"/>
  <c r="F17" i="115"/>
  <c r="E17" i="115"/>
  <c r="D17" i="115"/>
  <c r="C17" i="115"/>
  <c r="P16" i="115"/>
  <c r="N16" i="115"/>
  <c r="M16" i="115"/>
  <c r="L16" i="115"/>
  <c r="K16" i="115"/>
  <c r="J16" i="115"/>
  <c r="I16" i="115"/>
  <c r="H16" i="115"/>
  <c r="F16" i="115"/>
  <c r="E16" i="115"/>
  <c r="D16" i="115"/>
  <c r="C16" i="115"/>
  <c r="P15" i="115"/>
  <c r="N15" i="115"/>
  <c r="M15" i="115"/>
  <c r="L15" i="115"/>
  <c r="K15" i="115"/>
  <c r="J15" i="115"/>
  <c r="I15" i="115"/>
  <c r="H15" i="115"/>
  <c r="F15" i="115"/>
  <c r="E15" i="115"/>
  <c r="D15" i="115"/>
  <c r="C15" i="115"/>
  <c r="P14" i="115"/>
  <c r="N14" i="115"/>
  <c r="M14" i="115"/>
  <c r="L14" i="115"/>
  <c r="K14" i="115"/>
  <c r="J14" i="115"/>
  <c r="I14" i="115"/>
  <c r="H14" i="115"/>
  <c r="F14" i="115"/>
  <c r="E14" i="115"/>
  <c r="D14" i="115"/>
  <c r="C14" i="115"/>
  <c r="P13" i="115"/>
  <c r="N13" i="115"/>
  <c r="M13" i="115"/>
  <c r="L13" i="115"/>
  <c r="K13" i="115"/>
  <c r="J13" i="115"/>
  <c r="I13" i="115"/>
  <c r="H13" i="115"/>
  <c r="F13" i="115"/>
  <c r="E13" i="115"/>
  <c r="D13" i="115"/>
  <c r="C13" i="115"/>
  <c r="P12" i="115"/>
  <c r="N12" i="115"/>
  <c r="M12" i="115"/>
  <c r="L12" i="115"/>
  <c r="K12" i="115"/>
  <c r="J12" i="115"/>
  <c r="I12" i="115"/>
  <c r="H12" i="115"/>
  <c r="F12" i="115"/>
  <c r="E12" i="115"/>
  <c r="D12" i="115"/>
  <c r="C12" i="115"/>
  <c r="P11" i="115"/>
  <c r="N11" i="115"/>
  <c r="M11" i="115"/>
  <c r="L11" i="115"/>
  <c r="K11" i="115"/>
  <c r="J11" i="115"/>
  <c r="I11" i="115"/>
  <c r="H11" i="115"/>
  <c r="F11" i="115"/>
  <c r="E11" i="115"/>
  <c r="D11" i="115"/>
  <c r="C11" i="115"/>
  <c r="P10" i="115"/>
  <c r="N10" i="115"/>
  <c r="M10" i="115"/>
  <c r="L10" i="115"/>
  <c r="K10" i="115"/>
  <c r="J10" i="115"/>
  <c r="I10" i="115"/>
  <c r="H10" i="115"/>
  <c r="F10" i="115"/>
  <c r="E10" i="115"/>
  <c r="D10" i="115"/>
  <c r="C10" i="115"/>
  <c r="P9" i="115"/>
  <c r="N9" i="115"/>
  <c r="M9" i="115"/>
  <c r="L9" i="115"/>
  <c r="K9" i="115"/>
  <c r="J9" i="115"/>
  <c r="I9" i="115"/>
  <c r="H9" i="115"/>
  <c r="F9" i="115"/>
  <c r="E9" i="115"/>
  <c r="D9" i="115"/>
  <c r="C9" i="115"/>
  <c r="P8" i="115"/>
  <c r="N8" i="115"/>
  <c r="M8" i="115"/>
  <c r="L8" i="115"/>
  <c r="K8" i="115"/>
  <c r="J8" i="115"/>
  <c r="I8" i="115"/>
  <c r="H8" i="115"/>
  <c r="F8" i="115"/>
  <c r="E8" i="115"/>
  <c r="D8" i="115"/>
  <c r="C8" i="115"/>
  <c r="P7" i="115"/>
  <c r="N7" i="115"/>
  <c r="M7" i="115"/>
  <c r="L7" i="115"/>
  <c r="K7" i="115"/>
  <c r="J7" i="115"/>
  <c r="I7" i="115"/>
  <c r="H7" i="115"/>
  <c r="F7" i="115"/>
  <c r="E7" i="115"/>
  <c r="D7" i="115"/>
  <c r="C7" i="115"/>
  <c r="P6" i="115"/>
  <c r="N6" i="115"/>
  <c r="M6" i="115"/>
  <c r="L6" i="115"/>
  <c r="K6" i="115"/>
  <c r="J6" i="115"/>
  <c r="I6" i="115"/>
  <c r="H6" i="115"/>
  <c r="F6" i="115"/>
  <c r="E6" i="115"/>
  <c r="D6" i="115"/>
  <c r="C6" i="115"/>
  <c r="P5" i="115"/>
  <c r="N5" i="115"/>
  <c r="M5" i="115"/>
  <c r="L5" i="115"/>
  <c r="K5" i="115"/>
  <c r="J5" i="115"/>
  <c r="I5" i="115"/>
  <c r="H5" i="115"/>
  <c r="F5" i="115"/>
  <c r="E5" i="115"/>
  <c r="D5" i="115"/>
  <c r="C5" i="115"/>
  <c r="P4" i="115"/>
  <c r="N4" i="115"/>
  <c r="M4" i="115"/>
  <c r="L4" i="115"/>
  <c r="K4" i="115"/>
  <c r="J4" i="115"/>
  <c r="I4" i="115"/>
  <c r="H4" i="115"/>
  <c r="F4" i="115"/>
  <c r="E4" i="115"/>
  <c r="D4" i="115"/>
  <c r="C4" i="115"/>
  <c r="P3" i="115"/>
  <c r="N3" i="115"/>
  <c r="M3" i="115"/>
  <c r="L3" i="115"/>
  <c r="K3" i="115"/>
  <c r="J3" i="115"/>
  <c r="I3" i="115"/>
  <c r="H3" i="115"/>
  <c r="F3" i="115"/>
  <c r="E3" i="115"/>
  <c r="D3" i="115"/>
  <c r="C3" i="115"/>
  <c r="P2" i="115"/>
  <c r="N2" i="115"/>
  <c r="M2" i="115"/>
  <c r="L2" i="115"/>
  <c r="K2" i="115"/>
  <c r="J2" i="115"/>
  <c r="I2" i="115"/>
  <c r="H2" i="115"/>
  <c r="F2" i="115"/>
  <c r="E2" i="115"/>
  <c r="D2" i="115"/>
  <c r="C2" i="115"/>
  <c r="P19" i="114"/>
  <c r="N19" i="114"/>
  <c r="M19" i="114"/>
  <c r="L19" i="114"/>
  <c r="K19" i="114"/>
  <c r="J19" i="114"/>
  <c r="I19" i="114"/>
  <c r="H19" i="114"/>
  <c r="F19" i="114"/>
  <c r="E19" i="114"/>
  <c r="D19" i="114"/>
  <c r="C19" i="114"/>
  <c r="I16" i="114"/>
  <c r="D16" i="114"/>
  <c r="J16" i="114"/>
  <c r="E16" i="114"/>
  <c r="F16" i="114"/>
  <c r="C16" i="114"/>
  <c r="H16" i="114"/>
  <c r="K16" i="114"/>
  <c r="L16" i="114"/>
  <c r="M16" i="114"/>
  <c r="N16" i="114"/>
  <c r="P16" i="114"/>
  <c r="I17" i="114"/>
  <c r="D17" i="114"/>
  <c r="J17" i="114"/>
  <c r="E17" i="114"/>
  <c r="F17" i="114"/>
  <c r="C17" i="114"/>
  <c r="H17" i="114"/>
  <c r="K17" i="114"/>
  <c r="L17" i="114"/>
  <c r="M17" i="114"/>
  <c r="N17" i="114"/>
  <c r="P17" i="114"/>
  <c r="I18" i="114"/>
  <c r="D18" i="114"/>
  <c r="J18" i="114"/>
  <c r="E18" i="114"/>
  <c r="F18" i="114"/>
  <c r="C18" i="114"/>
  <c r="H18" i="114"/>
  <c r="K18" i="114"/>
  <c r="L18" i="114"/>
  <c r="M18" i="114"/>
  <c r="N18" i="114"/>
  <c r="P18" i="114"/>
  <c r="P15" i="114"/>
  <c r="N15" i="114"/>
  <c r="M15" i="114"/>
  <c r="L15" i="114"/>
  <c r="K15" i="114"/>
  <c r="J15" i="114"/>
  <c r="I15" i="114"/>
  <c r="H15" i="114"/>
  <c r="F15" i="114"/>
  <c r="E15" i="114"/>
  <c r="D15" i="114"/>
  <c r="C15" i="114"/>
  <c r="P14" i="114"/>
  <c r="N14" i="114"/>
  <c r="M14" i="114"/>
  <c r="L14" i="114"/>
  <c r="K14" i="114"/>
  <c r="J14" i="114"/>
  <c r="I14" i="114"/>
  <c r="H14" i="114"/>
  <c r="F14" i="114"/>
  <c r="E14" i="114"/>
  <c r="D14" i="114"/>
  <c r="C14" i="114"/>
  <c r="P13" i="114"/>
  <c r="N13" i="114"/>
  <c r="M13" i="114"/>
  <c r="L13" i="114"/>
  <c r="K13" i="114"/>
  <c r="J13" i="114"/>
  <c r="I13" i="114"/>
  <c r="H13" i="114"/>
  <c r="F13" i="114"/>
  <c r="E13" i="114"/>
  <c r="D13" i="114"/>
  <c r="C13" i="114"/>
  <c r="P12" i="114"/>
  <c r="N12" i="114"/>
  <c r="M12" i="114"/>
  <c r="L12" i="114"/>
  <c r="K12" i="114"/>
  <c r="J12" i="114"/>
  <c r="I12" i="114"/>
  <c r="H12" i="114"/>
  <c r="F12" i="114"/>
  <c r="E12" i="114"/>
  <c r="D12" i="114"/>
  <c r="C12" i="114"/>
  <c r="P11" i="114"/>
  <c r="N11" i="114"/>
  <c r="M11" i="114"/>
  <c r="L11" i="114"/>
  <c r="K11" i="114"/>
  <c r="J11" i="114"/>
  <c r="I11" i="114"/>
  <c r="H11" i="114"/>
  <c r="F11" i="114"/>
  <c r="E11" i="114"/>
  <c r="D11" i="114"/>
  <c r="C11" i="114"/>
  <c r="P10" i="114"/>
  <c r="N10" i="114"/>
  <c r="M10" i="114"/>
  <c r="L10" i="114"/>
  <c r="K10" i="114"/>
  <c r="J10" i="114"/>
  <c r="I10" i="114"/>
  <c r="H10" i="114"/>
  <c r="F10" i="114"/>
  <c r="E10" i="114"/>
  <c r="D10" i="114"/>
  <c r="C10" i="114"/>
  <c r="P9" i="114"/>
  <c r="N9" i="114"/>
  <c r="M9" i="114"/>
  <c r="L9" i="114"/>
  <c r="K9" i="114"/>
  <c r="J9" i="114"/>
  <c r="I9" i="114"/>
  <c r="H9" i="114"/>
  <c r="F9" i="114"/>
  <c r="E9" i="114"/>
  <c r="D9" i="114"/>
  <c r="C9" i="114"/>
  <c r="P8" i="114"/>
  <c r="N8" i="114"/>
  <c r="M8" i="114"/>
  <c r="L8" i="114"/>
  <c r="K8" i="114"/>
  <c r="J8" i="114"/>
  <c r="I8" i="114"/>
  <c r="H8" i="114"/>
  <c r="F8" i="114"/>
  <c r="E8" i="114"/>
  <c r="D8" i="114"/>
  <c r="C8" i="114"/>
  <c r="I5" i="114"/>
  <c r="D5" i="114"/>
  <c r="J5" i="114"/>
  <c r="E5" i="114"/>
  <c r="F5" i="114"/>
  <c r="C5" i="114"/>
  <c r="H5" i="114"/>
  <c r="K5" i="114"/>
  <c r="L5" i="114"/>
  <c r="M5" i="114"/>
  <c r="N5" i="114"/>
  <c r="P5" i="114"/>
  <c r="I6" i="114"/>
  <c r="D6" i="114"/>
  <c r="J6" i="114"/>
  <c r="E6" i="114"/>
  <c r="F6" i="114"/>
  <c r="C6" i="114"/>
  <c r="H6" i="114"/>
  <c r="K6" i="114"/>
  <c r="L6" i="114"/>
  <c r="M6" i="114"/>
  <c r="N6" i="114"/>
  <c r="P6" i="114"/>
  <c r="I7" i="114"/>
  <c r="D7" i="114"/>
  <c r="J7" i="114"/>
  <c r="E7" i="114"/>
  <c r="F7" i="114"/>
  <c r="C7" i="114"/>
  <c r="H7" i="114"/>
  <c r="K7" i="114"/>
  <c r="L7" i="114"/>
  <c r="M7" i="114"/>
  <c r="N7" i="114"/>
  <c r="P7" i="114"/>
  <c r="E4" i="103"/>
  <c r="E3" i="103"/>
  <c r="J4" i="114"/>
  <c r="I2" i="114"/>
  <c r="D2" i="114"/>
  <c r="J2" i="114"/>
  <c r="E2" i="114"/>
  <c r="F2" i="114"/>
  <c r="C2" i="114"/>
  <c r="I3" i="114"/>
  <c r="D3" i="114"/>
  <c r="J3" i="114"/>
  <c r="E3" i="114"/>
  <c r="F3" i="114"/>
  <c r="C3" i="114"/>
  <c r="I4" i="114"/>
  <c r="D4" i="114"/>
  <c r="E4" i="114"/>
  <c r="F4" i="114"/>
  <c r="C4" i="114"/>
  <c r="P4" i="114"/>
  <c r="N4" i="114"/>
  <c r="M4" i="114"/>
  <c r="L4" i="114"/>
  <c r="K4" i="114"/>
  <c r="H4" i="114"/>
  <c r="P3" i="114"/>
  <c r="N3" i="114"/>
  <c r="M3" i="114"/>
  <c r="L3" i="114"/>
  <c r="K3" i="114"/>
  <c r="H3" i="114"/>
  <c r="P2" i="114"/>
  <c r="N2" i="114"/>
  <c r="M2" i="114"/>
  <c r="L2" i="114"/>
  <c r="K2" i="114"/>
  <c r="H2" i="114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E7" i="103"/>
  <c r="E6" i="103"/>
  <c r="E5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<sst xmlns="http://schemas.openxmlformats.org/spreadsheetml/2006/main" count="155" uniqueCount="86">
  <si>
    <t>character_id</t>
  </si>
  <si>
    <t>character_id</t>
    <phoneticPr fontId="19"/>
  </si>
  <si>
    <t>weight</t>
    <phoneticPr fontId="19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</si>
  <si>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</si>
  <si>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</si>
  <si>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</si>
  <si>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</si>
  <si>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</si>
  <si>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</si>
  <si>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</si>
  <si>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9"/>
  </si>
  <si>
    <t>bonus_table_no</t>
    <phoneticPr fontId="19"/>
  </si>
  <si>
    <t>weight</t>
    <phoneticPr fontId="19"/>
  </si>
  <si>
    <t>gift_id</t>
    <phoneticPr fontId="19"/>
  </si>
  <si>
    <t>gift_id</t>
    <phoneticPr fontId="19"/>
  </si>
  <si>
    <t>gift_type</t>
    <phoneticPr fontId="19"/>
  </si>
  <si>
    <t>gift_value</t>
    <phoneticPr fontId="19"/>
  </si>
  <si>
    <t>gift_count</t>
    <phoneticPr fontId="19"/>
  </si>
  <si>
    <t>language</t>
    <phoneticPr fontId="19"/>
  </si>
  <si>
    <t>title</t>
    <phoneticPr fontId="19"/>
  </si>
  <si>
    <t>detail</t>
    <phoneticPr fontId="19"/>
  </si>
  <si>
    <t>message</t>
    <phoneticPr fontId="19"/>
  </si>
  <si>
    <t>gift_id</t>
    <phoneticPr fontId="19"/>
  </si>
  <si>
    <t>gift_value</t>
    <phoneticPr fontId="19"/>
  </si>
  <si>
    <t>gift_value</t>
    <phoneticPr fontId="19"/>
  </si>
  <si>
    <t>gift_count</t>
    <phoneticPr fontId="19"/>
  </si>
  <si>
    <t>language</t>
    <phoneticPr fontId="19"/>
  </si>
  <si>
    <t>title</t>
    <phoneticPr fontId="19"/>
  </si>
  <si>
    <t>detail</t>
    <phoneticPr fontId="19"/>
  </si>
  <si>
    <t>message</t>
    <phoneticPr fontId="19"/>
  </si>
  <si>
    <t>gift_type</t>
    <phoneticPr fontId="19"/>
  </si>
  <si>
    <t>備考</t>
    <rPh sb="0" eb="2">
      <t>ビコウ</t>
    </rPh>
    <phoneticPr fontId="19"/>
  </si>
  <si>
    <t>character_id</t>
    <phoneticPr fontId="19"/>
  </si>
  <si>
    <t>name</t>
    <phoneticPr fontId="19"/>
  </si>
  <si>
    <t>drop_label</t>
    <phoneticPr fontId="19"/>
  </si>
  <si>
    <t>rare</t>
    <phoneticPr fontId="19"/>
  </si>
  <si>
    <t>character_type_id</t>
    <phoneticPr fontId="19"/>
  </si>
  <si>
    <t>character_tribe_id</t>
    <phoneticPr fontId="19"/>
  </si>
  <si>
    <t>unit_level</t>
    <phoneticPr fontId="19"/>
  </si>
  <si>
    <t>weight</t>
    <phoneticPr fontId="19"/>
  </si>
  <si>
    <t>接頭語</t>
    <rPh sb="0" eb="3">
      <t>セットウゴ</t>
    </rPh>
    <phoneticPr fontId="52"/>
  </si>
  <si>
    <t>識別子</t>
    <rPh sb="0" eb="3">
      <t>シキベツシ</t>
    </rPh>
    <phoneticPr fontId="52"/>
  </si>
  <si>
    <t>形式</t>
    <rPh sb="0" eb="2">
      <t>ケイシキ</t>
    </rPh>
    <phoneticPr fontId="52"/>
  </si>
  <si>
    <t>出力ファイル名</t>
    <rPh sb="0" eb="2">
      <t>シュツリョク</t>
    </rPh>
    <rPh sb="6" eb="7">
      <t>メイ</t>
    </rPh>
    <phoneticPr fontId="52"/>
  </si>
  <si>
    <t>入力シート名</t>
    <rPh sb="0" eb="2">
      <t>ニュウリョク</t>
    </rPh>
    <rPh sb="5" eb="6">
      <t>メイ</t>
    </rPh>
    <phoneticPr fontId="52"/>
  </si>
  <si>
    <t>出力データ</t>
    <rPh sb="0" eb="2">
      <t>シュツリョク</t>
    </rPh>
    <phoneticPr fontId="52"/>
  </si>
  <si>
    <t>.tmp</t>
    <phoneticPr fontId="52"/>
  </si>
  <si>
    <t>.tmp</t>
    <phoneticPr fontId="52"/>
  </si>
  <si>
    <t>gacha_bonus_tables</t>
    <phoneticPr fontId="52"/>
  </si>
  <si>
    <t>gifts_tmp_</t>
    <phoneticPr fontId="19"/>
  </si>
  <si>
    <t>gifts_i18n_</t>
    <phoneticPr fontId="19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</si>
  <si>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9"/>
  </si>
  <si>
    <t>出力flg</t>
    <rPh sb="0" eb="2">
      <t>シュツリョク</t>
    </rPh>
    <phoneticPr fontId="52"/>
  </si>
  <si>
    <t>color</t>
    <phoneticPr fontId="19"/>
  </si>
  <si>
    <t>skip</t>
    <phoneticPr fontId="19"/>
  </si>
  <si>
    <t>hogehoge</t>
    <phoneticPr fontId="19"/>
  </si>
  <si>
    <t>性別</t>
    <rPh sb="0" eb="2">
      <t>セイベツ</t>
    </rPh>
    <phoneticPr fontId="19"/>
  </si>
  <si>
    <t>ピックアップ確率</t>
    <rPh sb="6" eb="8">
      <t>カクリツ</t>
    </rPh>
    <phoneticPr fontId="19"/>
  </si>
  <si>
    <t>確率</t>
    <rPh sb="0" eb="2">
      <t>カクリツ</t>
    </rPh>
    <phoneticPr fontId="19"/>
  </si>
  <si>
    <t>名前</t>
    <rPh sb="0" eb="2">
      <t>ナマエ</t>
    </rPh>
    <phoneticPr fontId="19"/>
  </si>
  <si>
    <t>テーブルを増やしたい場合</t>
    <rPh sb="5" eb="6">
      <t>フ</t>
    </rPh>
    <rPh sb="10" eb="12">
      <t>バアイ</t>
    </rPh>
    <phoneticPr fontId="19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</si>
  <si>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9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</si>
  <si>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9"/>
  </si>
  <si>
    <t>３．outputシートで２で作ったtablesを指定する</t>
    <rPh sb="14" eb="15">
      <t>ツク</t>
    </rPh>
    <rPh sb="24" eb="26">
      <t>シテイ</t>
    </rPh>
    <phoneticPr fontId="19"/>
  </si>
  <si>
    <t>table_no</t>
    <phoneticPr fontId="19"/>
  </si>
  <si>
    <t>table_no</t>
    <phoneticPr fontId="19"/>
  </si>
  <si>
    <t>skill_level</t>
  </si>
  <si>
    <t>level</t>
  </si>
  <si>
    <t>hp_plus</t>
    <phoneticPr fontId="52"/>
  </si>
  <si>
    <t>attack_plus</t>
    <phoneticPr fontId="52"/>
  </si>
  <si>
    <t>heal_plus</t>
    <phoneticPr fontId="52"/>
  </si>
  <si>
    <t>defense_plus</t>
    <phoneticPr fontId="52"/>
  </si>
  <si>
    <t>level</t>
    <phoneticPr fontId="52"/>
  </si>
  <si>
    <t>skill_level</t>
    <phoneticPr fontId="52"/>
  </si>
  <si>
    <t>bug</t>
    <phoneticPr fontId="52"/>
  </si>
  <si>
    <t>ja</t>
    <phoneticPr fontId="19"/>
  </si>
  <si>
    <t>drop_label2</t>
    <phoneticPr fontId="19"/>
  </si>
  <si>
    <t>color2</t>
    <phoneticPr fontId="19"/>
  </si>
  <si>
    <t>gacha_select_tables_</t>
    <phoneticPr fontId="19"/>
  </si>
  <si>
    <t>R6境界前後</t>
    <rPh sb="2" eb="4">
      <t>キョウカイ</t>
    </rPh>
    <rPh sb="4" eb="6">
      <t>ゼンゴ</t>
    </rPh>
    <phoneticPr fontId="19"/>
  </si>
  <si>
    <t>R6事後開放N,S</t>
    <rPh sb="2" eb="6">
      <t>ジゴカイホウ</t>
    </rPh>
    <phoneticPr fontId="19"/>
  </si>
  <si>
    <t>old</t>
    <phoneticPr fontId="19"/>
  </si>
  <si>
    <t>gacha_settle_tables_</t>
    <phoneticPr fontId="19"/>
  </si>
  <si>
    <t>tables_settle_7318</t>
    <phoneticPr fontId="19"/>
  </si>
  <si>
    <t>tables_7319</t>
    <phoneticPr fontId="19"/>
  </si>
  <si>
    <t>tables_7320</t>
    <phoneticPr fontId="19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</si>
</sst>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%"/>
  </numFmts>
  <fonts count="56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13"/>
      <name val="Arial"/>
    </font>
  </fonts>
  <fills count="2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663">
    <xf numFmtId="0" fontId="0" fillId="0" borderId="0"/>
    <xf numFmtId="0" fontId="18" fillId="0" borderId="0"/>
    <xf numFmtId="0" fontId="22" fillId="0" borderId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7" fillId="0" borderId="0"/>
    <xf numFmtId="0" fontId="29" fillId="5" borderId="2" applyNumberFormat="0" applyAlignment="0" applyProtection="0"/>
    <xf numFmtId="0" fontId="30" fillId="6" borderId="0" applyNumberFormat="0" applyBorder="0" applyAlignment="0" applyProtection="0"/>
    <xf numFmtId="0" fontId="31" fillId="7" borderId="3" applyNumberFormat="0" applyAlignment="0" applyProtection="0"/>
    <xf numFmtId="0" fontId="32" fillId="0" borderId="0" applyNumberFormat="0" applyFill="0" applyBorder="0" applyAlignment="0" applyProtection="0"/>
    <xf numFmtId="0" fontId="33" fillId="8" borderId="0" applyNumberFormat="0" applyBorder="0" applyAlignment="0" applyProtection="0"/>
    <xf numFmtId="0" fontId="34" fillId="9" borderId="4" applyNumberFormat="0" applyAlignment="0" applyProtection="0"/>
    <xf numFmtId="0" fontId="35" fillId="0" borderId="0" applyNumberFormat="0" applyFill="0" applyBorder="0" applyAlignment="0" applyProtection="0"/>
    <xf numFmtId="0" fontId="36" fillId="0" borderId="5" applyNumberFormat="0" applyFill="0" applyAlignment="0" applyProtection="0"/>
    <xf numFmtId="0" fontId="37" fillId="0" borderId="6" applyNumberFormat="0" applyFill="0" applyAlignment="0" applyProtection="0"/>
    <xf numFmtId="0" fontId="38" fillId="0" borderId="7" applyNumberFormat="0" applyFill="0" applyAlignment="0" applyProtection="0"/>
    <xf numFmtId="0" fontId="38" fillId="0" borderId="0" applyNumberFormat="0" applyFill="0" applyBorder="0" applyAlignment="0" applyProtection="0"/>
    <xf numFmtId="0" fontId="39" fillId="7" borderId="0" applyNumberFormat="0" applyBorder="0" applyAlignment="0" applyProtection="0"/>
    <xf numFmtId="0" fontId="39" fillId="6" borderId="0" applyNumberFormat="0" applyBorder="0" applyAlignment="0" applyProtection="0"/>
    <xf numFmtId="0" fontId="39" fillId="10" borderId="0" applyNumberFormat="0" applyBorder="0" applyAlignment="0" applyProtection="0"/>
    <xf numFmtId="0" fontId="39" fillId="7" borderId="0" applyNumberFormat="0" applyBorder="0" applyAlignment="0" applyProtection="0"/>
    <xf numFmtId="0" fontId="39" fillId="11" borderId="0" applyNumberFormat="0" applyBorder="0" applyAlignment="0" applyProtection="0"/>
    <xf numFmtId="0" fontId="39" fillId="5" borderId="0" applyNumberFormat="0" applyBorder="0" applyAlignment="0" applyProtection="0"/>
    <xf numFmtId="0" fontId="39" fillId="7" borderId="0" applyNumberFormat="0" applyBorder="0" applyAlignment="0" applyProtection="0"/>
    <xf numFmtId="0" fontId="39" fillId="12" borderId="0" applyNumberFormat="0" applyBorder="0" applyAlignment="0" applyProtection="0"/>
    <xf numFmtId="0" fontId="39" fillId="10" borderId="0" applyNumberFormat="0" applyBorder="0" applyAlignment="0" applyProtection="0"/>
    <xf numFmtId="0" fontId="39" fillId="7" borderId="0" applyNumberFormat="0" applyBorder="0" applyAlignment="0" applyProtection="0"/>
    <xf numFmtId="0" fontId="39" fillId="13" borderId="0" applyNumberFormat="0" applyBorder="0" applyAlignment="0" applyProtection="0"/>
    <xf numFmtId="0" fontId="39" fillId="6" borderId="0" applyNumberFormat="0" applyBorder="0" applyAlignment="0" applyProtection="0"/>
    <xf numFmtId="0" fontId="40" fillId="14" borderId="0" applyNumberFormat="0" applyBorder="0" applyAlignment="0" applyProtection="0"/>
    <xf numFmtId="0" fontId="40" fillId="12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4" borderId="0" applyNumberFormat="0" applyBorder="0" applyAlignment="0" applyProtection="0"/>
    <xf numFmtId="0" fontId="40" fillId="6" borderId="0" applyNumberFormat="0" applyBorder="0" applyAlignment="0" applyProtection="0"/>
    <xf numFmtId="0" fontId="32" fillId="0" borderId="0" applyNumberFormat="0" applyFill="0" applyBorder="0" applyAlignment="0" applyProtection="0"/>
    <xf numFmtId="0" fontId="40" fillId="14" borderId="0" applyNumberFormat="0" applyBorder="0" applyAlignment="0" applyProtection="0"/>
    <xf numFmtId="0" fontId="40" fillId="15" borderId="0" applyNumberFormat="0" applyBorder="0" applyAlignment="0" applyProtection="0"/>
    <xf numFmtId="0" fontId="40" fillId="10" borderId="0" applyNumberFormat="0" applyBorder="0" applyAlignment="0" applyProtection="0"/>
    <xf numFmtId="0" fontId="40" fillId="16" borderId="0" applyNumberFormat="0" applyBorder="0" applyAlignment="0" applyProtection="0"/>
    <xf numFmtId="0" fontId="40" fillId="14" borderId="0" applyNumberFormat="0" applyBorder="0" applyAlignment="0" applyProtection="0"/>
    <xf numFmtId="0" fontId="40" fillId="12" borderId="0" applyNumberFormat="0" applyBorder="0" applyAlignment="0" applyProtection="0"/>
    <xf numFmtId="0" fontId="41" fillId="17" borderId="0" applyNumberFormat="0" applyBorder="0" applyAlignment="0" applyProtection="0"/>
    <xf numFmtId="0" fontId="30" fillId="6" borderId="0" applyNumberFormat="0" applyBorder="0" applyAlignment="0" applyProtection="0"/>
    <xf numFmtId="0" fontId="42" fillId="0" borderId="8" applyNumberFormat="0" applyFill="0" applyAlignment="0" applyProtection="0"/>
    <xf numFmtId="0" fontId="43" fillId="7" borderId="9" applyNumberFormat="0" applyAlignment="0" applyProtection="0"/>
    <xf numFmtId="0" fontId="43" fillId="18" borderId="9" applyNumberFormat="0" applyAlignment="0" applyProtection="0"/>
    <xf numFmtId="0" fontId="31" fillId="6" borderId="3" applyNumberFormat="0" applyAlignment="0" applyProtection="0"/>
    <xf numFmtId="0" fontId="44" fillId="0" borderId="10" applyNumberFormat="0" applyFill="0" applyAlignment="0" applyProtection="0"/>
    <xf numFmtId="0" fontId="45" fillId="18" borderId="3" applyNumberFormat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7" fillId="0" borderId="11" applyNumberFormat="0" applyFill="0" applyAlignment="0" applyProtection="0"/>
    <xf numFmtId="38" fontId="17" fillId="0" borderId="0" applyFont="0" applyFill="0" applyBorder="0" applyAlignment="0" applyProtection="0">
      <alignment vertical="center"/>
    </xf>
    <xf numFmtId="0" fontId="48" fillId="19" borderId="0" applyNumberFormat="0" applyBorder="0" applyAlignment="0" applyProtection="0"/>
    <xf numFmtId="0" fontId="49" fillId="20" borderId="0" applyNumberFormat="0" applyBorder="0" applyAlignment="0" applyProtection="0"/>
    <xf numFmtId="0" fontId="17" fillId="0" borderId="0"/>
    <xf numFmtId="0" fontId="50" fillId="20" borderId="0" applyNumberFormat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2" fillId="0" borderId="0"/>
    <xf numFmtId="0" fontId="53" fillId="0" borderId="0">
      <alignment vertical="center"/>
    </xf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0" fillId="0" borderId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9" fontId="54" fillId="0" borderId="0" applyFon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/>
  </cellStyleXfs>
  <cellXfs count="48">
    <xf numFmtId="0" fontId="0" fillId="0" borderId="0" xfId="0"/>
    <xf numFmtId="0" fontId="24" fillId="0" borderId="0" xfId="2" applyFont="1" applyAlignment="1">
      <alignment vertical="center"/>
    </xf>
    <xf numFmtId="0" fontId="24" fillId="0" borderId="1" xfId="2" applyFont="1" applyBorder="1" applyAlignment="1">
      <alignment vertical="center"/>
    </xf>
    <xf numFmtId="0" fontId="24" fillId="3" borderId="1" xfId="2" applyFont="1" applyFill="1" applyBorder="1" applyAlignment="1">
      <alignment horizontal="center" vertical="center"/>
    </xf>
    <xf numFmtId="0" fontId="24" fillId="0" borderId="0" xfId="2" applyFont="1" applyAlignment="1">
      <alignment horizontal="center" vertical="center"/>
    </xf>
    <xf numFmtId="0" fontId="24" fillId="4" borderId="1" xfId="2" applyFont="1" applyFill="1" applyBorder="1" applyAlignment="1">
      <alignment vertical="center"/>
    </xf>
    <xf numFmtId="0" fontId="23" fillId="4" borderId="1" xfId="0" applyFont="1" applyFill="1" applyBorder="1" applyAlignment="1">
      <alignment horizontal="right" vertical="center"/>
    </xf>
    <xf numFmtId="0" fontId="24" fillId="3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vertical="center"/>
    </xf>
    <xf numFmtId="0" fontId="23" fillId="4" borderId="12" xfId="0" applyFont="1" applyFill="1" applyBorder="1" applyAlignment="1">
      <alignment horizontal="right" vertical="center"/>
    </xf>
    <xf numFmtId="0" fontId="23" fillId="4" borderId="13" xfId="0" applyFont="1" applyFill="1" applyBorder="1" applyAlignment="1">
      <alignment horizontal="right" vertical="center"/>
    </xf>
    <xf numFmtId="0" fontId="24" fillId="2" borderId="1" xfId="2" applyFont="1" applyFill="1" applyBorder="1" applyAlignment="1">
      <alignment horizontal="left" vertical="center"/>
    </xf>
    <xf numFmtId="0" fontId="51" fillId="21" borderId="1" xfId="0" applyFont="1" applyFill="1" applyBorder="1" applyAlignment="1">
      <alignment horizontal="left" vertical="center"/>
    </xf>
    <xf numFmtId="0" fontId="24" fillId="2" borderId="1" xfId="2" applyFont="1" applyFill="1" applyBorder="1" applyAlignment="1">
      <alignment horizontal="center" vertical="center"/>
    </xf>
    <xf numFmtId="0" fontId="26" fillId="22" borderId="1" xfId="2978" applyFont="1" applyFill="1" applyBorder="1"/>
    <xf numFmtId="0" fontId="12" fillId="22" borderId="1" xfId="2978" applyFill="1" applyBorder="1"/>
    <xf numFmtId="0" fontId="12" fillId="0" borderId="0" xfId="2978"/>
    <xf numFmtId="0" fontId="12" fillId="0" borderId="1" xfId="2978" applyBorder="1"/>
    <xf numFmtId="0" fontId="12" fillId="2" borderId="1" xfId="2978" applyFill="1" applyBorder="1"/>
    <xf numFmtId="0" fontId="16" fillId="2" borderId="1" xfId="19" applyFont="1" applyFill="1" applyBorder="1"/>
    <xf numFmtId="0" fontId="17" fillId="2" borderId="1" xfId="19" applyFill="1" applyBorder="1"/>
    <xf numFmtId="0" fontId="15" fillId="2" borderId="1" xfId="19" applyFont="1" applyFill="1" applyBorder="1"/>
    <xf numFmtId="0" fontId="13" fillId="2" borderId="1" xfId="19" applyFont="1" applyFill="1" applyBorder="1"/>
    <xf numFmtId="0" fontId="14" fillId="2" borderId="1" xfId="19" applyFont="1" applyFill="1" applyBorder="1"/>
    <xf numFmtId="0" fontId="12" fillId="2" borderId="1" xfId="19" applyFont="1" applyFill="1" applyBorder="1"/>
    <xf numFmtId="0" fontId="11" fillId="0" borderId="1" xfId="2978" applyFont="1" applyBorder="1"/>
    <xf numFmtId="0" fontId="26" fillId="22" borderId="1" xfId="0" applyFont="1" applyFill="1" applyBorder="1"/>
    <xf numFmtId="0" fontId="51" fillId="23" borderId="1" xfId="0" applyFont="1" applyFill="1" applyBorder="1" applyAlignment="1">
      <alignment horizontal="center" vertical="center"/>
    </xf>
    <xf numFmtId="0" fontId="51" fillId="3" borderId="1" xfId="0" applyFont="1" applyFill="1" applyBorder="1" applyAlignment="1">
      <alignment vertical="center"/>
    </xf>
    <xf numFmtId="0" fontId="9" fillId="0" borderId="1" xfId="3036" applyFont="1" applyBorder="1"/>
    <xf numFmtId="0" fontId="8" fillId="0" borderId="1" xfId="2978" applyFont="1" applyBorder="1"/>
    <xf numFmtId="0" fontId="0" fillId="0" borderId="1" xfId="0" applyBorder="1"/>
    <xf numFmtId="0" fontId="0" fillId="3" borderId="1" xfId="0" applyFill="1" applyBorder="1"/>
    <xf numFmtId="0" fontId="0" fillId="25" borderId="0" xfId="0" applyFill="1"/>
    <xf numFmtId="0" fontId="0" fillId="26" borderId="1" xfId="0" applyFill="1" applyBorder="1"/>
    <xf numFmtId="176" fontId="0" fillId="26" borderId="1" xfId="3575" applyNumberFormat="1" applyFont="1" applyFill="1" applyBorder="1"/>
    <xf numFmtId="0" fontId="7" fillId="2" borderId="1" xfId="19" applyFont="1" applyFill="1" applyBorder="1"/>
    <xf numFmtId="0" fontId="7" fillId="4" borderId="1" xfId="2978" applyFont="1" applyFill="1" applyBorder="1"/>
    <xf numFmtId="0" fontId="0" fillId="2" borderId="0" xfId="0" applyFill="1"/>
    <xf numFmtId="0" fontId="51" fillId="27" borderId="1" xfId="0" applyFont="1" applyFill="1" applyBorder="1" applyAlignment="1">
      <alignment horizontal="left" vertical="center"/>
    </xf>
    <xf numFmtId="0" fontId="24" fillId="24" borderId="1" xfId="2" applyFont="1" applyFill="1" applyBorder="1" applyAlignment="1">
      <alignment horizontal="left" vertical="center"/>
    </xf>
    <xf numFmtId="0" fontId="23" fillId="24" borderId="1" xfId="0" applyFont="1" applyFill="1" applyBorder="1" applyAlignment="1">
      <alignment horizontal="right" vertical="center"/>
    </xf>
    <xf numFmtId="0" fontId="6" fillId="0" borderId="1" xfId="2978" applyFont="1" applyBorder="1"/>
    <xf numFmtId="0" fontId="5" fillId="0" borderId="1" xfId="3036" applyFont="1" applyBorder="1"/>
    <xf numFmtId="0" fontId="4" fillId="0" borderId="1" xfId="2978" applyFont="1" applyBorder="1"/>
    <xf numFmtId="0" fontId="3" fillId="4" borderId="1" xfId="2978" applyFont="1" applyFill="1" applyBorder="1"/>
    <xf numFmtId="0" fontId="2" fillId="4" borderId="1" xfId="2978" applyFont="1" applyFill="1" applyBorder="1"/>
    <xf numFmtId="0" fontId="55" fillId="0" borderId="0" xfId="0" applyFont="1"/>
  </cellXfs>
  <cellStyles count="3663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externalLink" Target="externalLinks/externalLink1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神様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城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D1187" t="str">
            <v>鏡音リン</v>
          </cell>
          <cell r="E1187" t="str">
            <v>執行者</v>
          </cell>
          <cell r="F1187" t="str">
            <v>格好いい</v>
          </cell>
          <cell r="G1187" t="str">
            <v>男性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D1188" t="str">
            <v>鏡音レン</v>
          </cell>
          <cell r="E1188" t="str">
            <v>執行者</v>
          </cell>
          <cell r="F1188" t="str">
            <v>格好いい</v>
          </cell>
          <cell r="G1188" t="str">
            <v>女性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D1189" t="str">
            <v>鏡音レン</v>
          </cell>
          <cell r="E1189" t="str">
            <v>執行者</v>
          </cell>
          <cell r="F1189" t="str">
            <v>格好いい</v>
          </cell>
          <cell r="G1189" t="str">
            <v>女性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D1190" t="str">
            <v>巡音ルカ</v>
          </cell>
          <cell r="E1190" t="str">
            <v>執行者</v>
          </cell>
          <cell r="F1190" t="str">
            <v>格好いい</v>
          </cell>
          <cell r="G1190" t="str">
            <v>女性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D1191" t="str">
            <v>巡音ルカ</v>
          </cell>
          <cell r="E1191" t="str">
            <v>執行者</v>
          </cell>
          <cell r="F1191" t="str">
            <v>格好いい</v>
          </cell>
          <cell r="G1191" t="str">
            <v>女性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D1201" t="str">
            <v>Expoミク</v>
          </cell>
          <cell r="E1201" t="str">
            <v>執行者</v>
          </cell>
          <cell r="F1201" t="str">
            <v>格好いい</v>
          </cell>
          <cell r="G1201" t="str">
            <v>女性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D1202" t="str">
            <v>Expoミク</v>
          </cell>
          <cell r="E1202" t="str">
            <v>執行者</v>
          </cell>
          <cell r="F1202" t="str">
            <v>格好いい</v>
          </cell>
          <cell r="G1202" t="str">
            <v>女性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D1203" t="str">
            <v>Expoミク</v>
          </cell>
          <cell r="E1203" t="str">
            <v>執行者</v>
          </cell>
          <cell r="F1203" t="str">
            <v>格好いい</v>
          </cell>
          <cell r="G1203" t="str">
            <v>女性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D1204" t="str">
            <v>Expoミク</v>
          </cell>
          <cell r="E1204" t="str">
            <v>執行者</v>
          </cell>
          <cell r="F1204" t="str">
            <v>格好いい</v>
          </cell>
          <cell r="G1204" t="str">
            <v>女性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D1205" t="str">
            <v>Expoミク</v>
          </cell>
          <cell r="E1205" t="str">
            <v>執行者</v>
          </cell>
          <cell r="F1205" t="str">
            <v>格好いい</v>
          </cell>
          <cell r="G1205" t="str">
            <v>女性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D1206" t="str">
            <v>Expoミク</v>
          </cell>
          <cell r="E1206" t="str">
            <v>執行者</v>
          </cell>
          <cell r="F1206" t="str">
            <v>格好いい</v>
          </cell>
          <cell r="G1206" t="str">
            <v>女性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D1207" t="str">
            <v>Expoミク</v>
          </cell>
          <cell r="E1207" t="str">
            <v>執行者</v>
          </cell>
          <cell r="F1207" t="str">
            <v>格好いい</v>
          </cell>
          <cell r="G1207" t="str">
            <v>女性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D1208" t="str">
            <v>Expoミク</v>
          </cell>
          <cell r="E1208" t="str">
            <v>執行者</v>
          </cell>
          <cell r="F1208" t="str">
            <v>格好いい</v>
          </cell>
          <cell r="G1208" t="str">
            <v>女性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D1209" t="str">
            <v>Expoミク</v>
          </cell>
          <cell r="E1209" t="str">
            <v>執行者</v>
          </cell>
          <cell r="F1209" t="str">
            <v>格好いい</v>
          </cell>
          <cell r="G1209" t="str">
            <v>女性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D1210" t="str">
            <v>サンリオキャラ大集合+アザゼル</v>
          </cell>
          <cell r="E1210" t="str">
            <v>執行者</v>
          </cell>
          <cell r="F1210" t="str">
            <v>格好いい</v>
          </cell>
          <cell r="G1210" t="str">
            <v>女性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D1211" t="str">
            <v>サンリオキャラ大集合+アザゼル</v>
          </cell>
          <cell r="E1211" t="str">
            <v>執行者</v>
          </cell>
          <cell r="F1211" t="str">
            <v>格好いい</v>
          </cell>
          <cell r="G1211" t="str">
            <v>女性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D1212" t="str">
            <v>ニムダ_サンリオキャラ混じり</v>
          </cell>
          <cell r="E1212" t="str">
            <v>執行者</v>
          </cell>
          <cell r="F1212" t="str">
            <v>格好いい</v>
          </cell>
          <cell r="G1212" t="str">
            <v>女性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D1213" t="str">
            <v>ニムダ_サンリオキャラ混じり</v>
          </cell>
          <cell r="E1213" t="str">
            <v>執行者</v>
          </cell>
          <cell r="F1213" t="str">
            <v>格好いい</v>
          </cell>
          <cell r="G1213" t="str">
            <v>女性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D1214" t="str">
            <v>ハローキティ</v>
          </cell>
          <cell r="E1214" t="str">
            <v>執行者</v>
          </cell>
          <cell r="F1214" t="str">
            <v>格好いい</v>
          </cell>
          <cell r="G1214" t="str">
            <v>女性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D1215" t="str">
            <v>ハローキティ</v>
          </cell>
          <cell r="E1215" t="str">
            <v>執行者</v>
          </cell>
          <cell r="F1215" t="str">
            <v>格好いい</v>
          </cell>
          <cell r="G1215" t="str">
            <v>女性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D1216" t="str">
            <v>KIRIMIちゃん</v>
          </cell>
          <cell r="E1216" t="str">
            <v>執行者</v>
          </cell>
          <cell r="F1216" t="str">
            <v>格好いい</v>
          </cell>
          <cell r="G1216" t="str">
            <v>女性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D1217" t="str">
            <v>KIRIMIちゃん</v>
          </cell>
          <cell r="E1217" t="str">
            <v>執行者</v>
          </cell>
          <cell r="F1217" t="str">
            <v>格好いい</v>
          </cell>
          <cell r="G1217" t="str">
            <v>女性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D1218" t="str">
            <v>ハローキティのリボン</v>
          </cell>
          <cell r="E1218" t="str">
            <v>執行者</v>
          </cell>
          <cell r="F1218" t="str">
            <v>格好いい</v>
          </cell>
          <cell r="G1218" t="str">
            <v>女性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D1219" t="str">
            <v>ママの作ったアップルパイ</v>
          </cell>
          <cell r="E1219" t="str">
            <v>執行者</v>
          </cell>
          <cell r="F1219" t="str">
            <v>格好いい</v>
          </cell>
          <cell r="G1219" t="str">
            <v>女性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D1220" t="str">
            <v>D.R.T.H__キティコスプレ</v>
          </cell>
          <cell r="E1220" t="str">
            <v>執行者</v>
          </cell>
          <cell r="F1220" t="str">
            <v>格好いい</v>
          </cell>
          <cell r="G1220" t="str">
            <v>女性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D1221" t="str">
            <v>D.R.T.H__キティコスプレ</v>
          </cell>
          <cell r="E1221" t="str">
            <v>執行者</v>
          </cell>
          <cell r="F1221" t="str">
            <v>格好いい</v>
          </cell>
          <cell r="G1221" t="str">
            <v>女性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D1222" t="str">
            <v>マイメロディ</v>
          </cell>
          <cell r="E1222" t="str">
            <v>執行者</v>
          </cell>
          <cell r="F1222" t="str">
            <v>格好いい</v>
          </cell>
          <cell r="G1222" t="str">
            <v>女性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D1223" t="str">
            <v>マイメロディ</v>
          </cell>
          <cell r="E1223" t="str">
            <v>執行者</v>
          </cell>
          <cell r="F1223" t="str">
            <v>格好いい</v>
          </cell>
          <cell r="G1223" t="str">
            <v>女性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D1224" t="str">
            <v>ニーベルゲン_シナモロールコスプレ</v>
          </cell>
          <cell r="E1224" t="str">
            <v>執行者</v>
          </cell>
          <cell r="F1224" t="str">
            <v>格好いい</v>
          </cell>
          <cell r="G1224" t="str">
            <v>女性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D1225" t="str">
            <v>ニーベルゲン_シナモロールコスプレ</v>
          </cell>
          <cell r="E1225" t="str">
            <v>執行者</v>
          </cell>
          <cell r="F1225" t="str">
            <v>格好いい</v>
          </cell>
          <cell r="G1225" t="str">
            <v>女性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D1226" t="str">
            <v>カカシ_マイメロディコスプレ</v>
          </cell>
          <cell r="E1226" t="str">
            <v>執行者</v>
          </cell>
          <cell r="F1226" t="str">
            <v>格好いい</v>
          </cell>
          <cell r="G1226" t="str">
            <v>女性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D1227" t="str">
            <v>カカシ_マイメロディコスプレ</v>
          </cell>
          <cell r="E1227" t="str">
            <v>執行者</v>
          </cell>
          <cell r="F1227" t="str">
            <v>格好いい</v>
          </cell>
          <cell r="G1227" t="str">
            <v>女性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D1228" t="str">
            <v>ケロケロけろっぴ</v>
          </cell>
          <cell r="E1228" t="str">
            <v>執行者</v>
          </cell>
          <cell r="F1228" t="str">
            <v>格好いい</v>
          </cell>
          <cell r="G1228" t="str">
            <v>女性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D1229" t="str">
            <v>ケロケロけろっぴ</v>
          </cell>
          <cell r="E1229" t="str">
            <v>執行者</v>
          </cell>
          <cell r="F1229" t="str">
            <v>格好いい</v>
          </cell>
          <cell r="G1229" t="str">
            <v>女性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D1230" t="str">
            <v>モルドレッド_ポムポムプリンコスプレ</v>
          </cell>
          <cell r="E1230" t="str">
            <v>執行者</v>
          </cell>
          <cell r="F1230" t="str">
            <v>格好いい</v>
          </cell>
          <cell r="G1230" t="str">
            <v>女性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D1231" t="str">
            <v>モルドレッド_ポムポムプリンコスプレ</v>
          </cell>
          <cell r="E1231" t="str">
            <v>執行者</v>
          </cell>
          <cell r="F1231" t="str">
            <v>格好いい</v>
          </cell>
          <cell r="G1231" t="str">
            <v>女性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D1232" t="str">
            <v>クロミ</v>
          </cell>
          <cell r="E1232" t="str">
            <v>執行者</v>
          </cell>
          <cell r="F1232" t="str">
            <v>格好いい</v>
          </cell>
          <cell r="G1232" t="str">
            <v>女性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D1233" t="str">
            <v>クロミ</v>
          </cell>
          <cell r="E1233" t="str">
            <v>執行者</v>
          </cell>
          <cell r="F1233" t="str">
            <v>格好いい</v>
          </cell>
          <cell r="G1233" t="str">
            <v>女性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D1234" t="str">
            <v>バッドばつ丸</v>
          </cell>
          <cell r="E1234" t="str">
            <v>執行者</v>
          </cell>
          <cell r="F1234" t="str">
            <v>格好いい</v>
          </cell>
          <cell r="G1234" t="str">
            <v>女性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D1235" t="str">
            <v>バッドばつ丸</v>
          </cell>
          <cell r="E1235" t="str">
            <v>執行者</v>
          </cell>
          <cell r="F1235" t="str">
            <v>格好いい</v>
          </cell>
          <cell r="G1235" t="str">
            <v>女性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D1236" t="str">
            <v>シナモロール</v>
          </cell>
          <cell r="E1236" t="str">
            <v>執行者</v>
          </cell>
          <cell r="F1236" t="str">
            <v>格好いい</v>
          </cell>
          <cell r="G1236" t="str">
            <v>女性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D1237" t="str">
            <v>シナモロール</v>
          </cell>
          <cell r="E1237" t="str">
            <v>執行者</v>
          </cell>
          <cell r="F1237" t="str">
            <v>格好いい</v>
          </cell>
          <cell r="G1237" t="str">
            <v>女性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D1238" t="str">
            <v>ポムポムプリン</v>
          </cell>
          <cell r="E1238" t="str">
            <v>執行者</v>
          </cell>
          <cell r="F1238" t="str">
            <v>格好いい</v>
          </cell>
          <cell r="G1238" t="str">
            <v>女性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D1239" t="str">
            <v>ポムポムプリン</v>
          </cell>
          <cell r="E1239" t="str">
            <v>執行者</v>
          </cell>
          <cell r="F1239" t="str">
            <v>格好いい</v>
          </cell>
          <cell r="G1239" t="str">
            <v>女性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technical</v>
          </cell>
          <cell r="L1239" t="str">
            <v>テクニカルタイプ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technical</v>
          </cell>
          <cell r="L1240" t="str">
            <v>テクニカルタイプ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1389</v>
          </cell>
          <cell r="B1372" t="str">
            <v>ja</v>
          </cell>
          <cell r="C1372" t="str">
            <v>ユング</v>
          </cell>
          <cell r="H1372" t="str">
            <v>blue</v>
          </cell>
          <cell r="I1372">
            <v>5</v>
          </cell>
          <cell r="J1372" t="str">
            <v>PremiumSSS</v>
          </cell>
          <cell r="K1372" t="str">
            <v>balance</v>
          </cell>
          <cell r="L1372" t="str">
            <v>バランスタイプ</v>
          </cell>
          <cell r="M1372" t="str">
            <v>academia</v>
          </cell>
        </row>
        <row r="1373">
          <cell r="A1373">
            <v>1390</v>
          </cell>
          <cell r="B1373" t="str">
            <v>ja</v>
          </cell>
          <cell r="C1373" t="str">
            <v>夢誘心解の蒼翼 ユング</v>
          </cell>
          <cell r="H1373" t="str">
            <v>blue</v>
          </cell>
          <cell r="I1373">
            <v>6</v>
          </cell>
          <cell r="J1373" t="str">
            <v>PremiumSSS</v>
          </cell>
          <cell r="K1373" t="str">
            <v>balance</v>
          </cell>
          <cell r="L1373" t="str">
            <v>バランスタイプ</v>
          </cell>
          <cell r="M1373" t="str">
            <v>academia</v>
          </cell>
        </row>
        <row r="1374">
          <cell r="A1374">
            <v>1399</v>
          </cell>
          <cell r="B1374" t="str">
            <v>ja</v>
          </cell>
          <cell r="C1374" t="str">
            <v>ラヴァーズ</v>
          </cell>
          <cell r="H1374" t="str">
            <v>green</v>
          </cell>
          <cell r="I1374">
            <v>5</v>
          </cell>
          <cell r="J1374" t="str">
            <v>PremiumSSS</v>
          </cell>
          <cell r="K1374" t="str">
            <v>attack</v>
          </cell>
          <cell r="L1374" t="str">
            <v>攻撃タイプ</v>
          </cell>
          <cell r="M1374" t="str">
            <v>god</v>
          </cell>
        </row>
        <row r="1375">
          <cell r="A1375">
            <v>1400</v>
          </cell>
          <cell r="B1375" t="str">
            <v>ja</v>
          </cell>
          <cell r="C1375" t="str">
            <v>奏愛する虜籠 ラヴァーズ</v>
          </cell>
          <cell r="H1375" t="str">
            <v>green</v>
          </cell>
          <cell r="I1375">
            <v>6</v>
          </cell>
          <cell r="J1375" t="str">
            <v>PremiumSSS</v>
          </cell>
          <cell r="K1375" t="str">
            <v>attack</v>
          </cell>
          <cell r="L1375" t="str">
            <v>攻撃タイプ</v>
          </cell>
          <cell r="M1375" t="str">
            <v>god</v>
          </cell>
        </row>
        <row r="1376">
          <cell r="A1376">
            <v>1401</v>
          </cell>
          <cell r="B1376" t="str">
            <v>ja</v>
          </cell>
          <cell r="C1376" t="str">
            <v>レムリア</v>
          </cell>
          <cell r="H1376" t="str">
            <v>yellow</v>
          </cell>
          <cell r="I1376">
            <v>5</v>
          </cell>
          <cell r="J1376" t="str">
            <v>PremiumSSw</v>
          </cell>
          <cell r="K1376" t="str">
            <v>hp</v>
          </cell>
          <cell r="L1376" t="str">
            <v>体力タイプ</v>
          </cell>
          <cell r="M1376" t="str">
            <v>hero</v>
          </cell>
        </row>
        <row r="1377">
          <cell r="A1377">
            <v>1402</v>
          </cell>
          <cell r="B1377" t="str">
            <v>ja</v>
          </cell>
          <cell r="C1377" t="str">
            <v>縞彩の豊嬢 レムリア</v>
          </cell>
          <cell r="H1377" t="str">
            <v>yellow</v>
          </cell>
          <cell r="I1377">
            <v>6</v>
          </cell>
          <cell r="J1377" t="str">
            <v>PremiumSSw</v>
          </cell>
          <cell r="K1377" t="str">
            <v>hp</v>
          </cell>
          <cell r="L1377" t="str">
            <v>体力タイプ</v>
          </cell>
          <cell r="M1377" t="str">
            <v>hero</v>
          </cell>
        </row>
        <row r="1378">
          <cell r="A1378">
            <v>1403</v>
          </cell>
          <cell r="B1378" t="str">
            <v>ja</v>
          </cell>
          <cell r="C1378" t="str">
            <v>炎帝の守護獣神 朱雀</v>
          </cell>
          <cell r="H1378" t="str">
            <v>red</v>
          </cell>
          <cell r="I1378">
            <v>6</v>
          </cell>
          <cell r="J1378" t="str">
            <v>Drop2N</v>
          </cell>
          <cell r="K1378" t="str">
            <v>heal</v>
          </cell>
          <cell r="L1378" t="str">
            <v>回復タイプ</v>
          </cell>
          <cell r="M1378" t="str">
            <v>animal</v>
          </cell>
        </row>
        <row r="1379">
          <cell r="A1379">
            <v>1404</v>
          </cell>
          <cell r="B1379" t="str">
            <v>ja</v>
          </cell>
          <cell r="C1379" t="str">
            <v>玄帝の守護獣神 玄武</v>
          </cell>
          <cell r="H1379" t="str">
            <v>green</v>
          </cell>
          <cell r="I1379">
            <v>6</v>
          </cell>
          <cell r="J1379" t="str">
            <v>Drop2N</v>
          </cell>
          <cell r="K1379" t="str">
            <v>hp</v>
          </cell>
          <cell r="L1379" t="str">
            <v>体力タイプ</v>
          </cell>
          <cell r="M1379" t="str">
            <v>dragon</v>
          </cell>
        </row>
        <row r="1380">
          <cell r="A1380">
            <v>1405</v>
          </cell>
          <cell r="B1380" t="str">
            <v>ja</v>
          </cell>
          <cell r="C1380" t="str">
            <v>蒼帝の守護獣神 青龍</v>
          </cell>
          <cell r="H1380" t="str">
            <v>blue</v>
          </cell>
          <cell r="I1380">
            <v>6</v>
          </cell>
          <cell r="J1380" t="str">
            <v>Drop2N</v>
          </cell>
          <cell r="K1380" t="str">
            <v>balance</v>
          </cell>
          <cell r="L1380" t="str">
            <v>バランスタイプ</v>
          </cell>
          <cell r="M1380" t="str">
            <v>dragon</v>
          </cell>
        </row>
        <row r="1381">
          <cell r="A1381">
            <v>1406</v>
          </cell>
          <cell r="B1381" t="str">
            <v>ja</v>
          </cell>
          <cell r="C1381" t="str">
            <v>白帝の守護獣神 白虎</v>
          </cell>
          <cell r="H1381" t="str">
            <v>yellow</v>
          </cell>
          <cell r="I1381">
            <v>6</v>
          </cell>
          <cell r="J1381" t="str">
            <v>Drop2N</v>
          </cell>
          <cell r="K1381" t="str">
            <v>attack</v>
          </cell>
          <cell r="L1381" t="str">
            <v>攻撃タイプ</v>
          </cell>
          <cell r="M1381" t="str">
            <v>animal</v>
          </cell>
        </row>
        <row r="1382">
          <cell r="A1382">
            <v>1407</v>
          </cell>
          <cell r="B1382" t="str">
            <v>ja</v>
          </cell>
          <cell r="C1382" t="str">
            <v>グリム・ザ・ダンディ</v>
          </cell>
          <cell r="H1382" t="str">
            <v>yellow</v>
          </cell>
          <cell r="I1382">
            <v>5</v>
          </cell>
          <cell r="J1382" t="str">
            <v>DropWizS</v>
          </cell>
          <cell r="K1382" t="str">
            <v>balance</v>
          </cell>
          <cell r="L1382" t="str">
            <v>バランスタイプ</v>
          </cell>
          <cell r="M1382" t="str">
            <v>human</v>
          </cell>
        </row>
        <row r="1383">
          <cell r="A1383">
            <v>1408</v>
          </cell>
          <cell r="B1383" t="str">
            <v>ja</v>
          </cell>
          <cell r="C1383" t="str">
            <v>爽愛の求魂 グリム・ザ・ダンディ</v>
          </cell>
          <cell r="H1383" t="str">
            <v>yellow</v>
          </cell>
          <cell r="I1383">
            <v>6</v>
          </cell>
          <cell r="J1383" t="str">
            <v>DropWizS</v>
          </cell>
          <cell r="K1383" t="str">
            <v>balance</v>
          </cell>
          <cell r="L1383" t="str">
            <v>バランスタイプ</v>
          </cell>
          <cell r="M1383" t="str">
            <v>human</v>
          </cell>
        </row>
        <row r="1384">
          <cell r="A1384">
            <v>1409</v>
          </cell>
          <cell r="B1384" t="str">
            <v>ja</v>
          </cell>
          <cell r="C1384" t="str">
            <v>マシロ</v>
          </cell>
          <cell r="H1384" t="str">
            <v>green</v>
          </cell>
          <cell r="I1384">
            <v>5</v>
          </cell>
          <cell r="J1384" t="str">
            <v>PremiumSS</v>
          </cell>
          <cell r="K1384" t="str">
            <v>heal</v>
          </cell>
          <cell r="L1384" t="str">
            <v>回復タイプ</v>
          </cell>
          <cell r="M1384" t="str">
            <v>human</v>
          </cell>
        </row>
        <row r="1385">
          <cell r="A1385">
            <v>1410</v>
          </cell>
          <cell r="B1385" t="str">
            <v>ja</v>
          </cell>
          <cell r="C1385" t="str">
            <v>浮遊する白恋 マシロ</v>
          </cell>
          <cell r="H1385" t="str">
            <v>green</v>
          </cell>
          <cell r="I1385">
            <v>6</v>
          </cell>
          <cell r="J1385" t="str">
            <v>PremiumSS</v>
          </cell>
          <cell r="K1385" t="str">
            <v>heal</v>
          </cell>
          <cell r="L1385" t="str">
            <v>回復タイプ</v>
          </cell>
          <cell r="M1385" t="str">
            <v>human</v>
          </cell>
        </row>
        <row r="1386">
          <cell r="A1386">
            <v>1411</v>
          </cell>
          <cell r="B1386" t="str">
            <v>ja</v>
          </cell>
          <cell r="C1386" t="str">
            <v>ピーターパン・イノセンス</v>
          </cell>
          <cell r="H1386" t="str">
            <v>blue</v>
          </cell>
          <cell r="I1386">
            <v>5</v>
          </cell>
          <cell r="J1386" t="str">
            <v>PremiumS</v>
          </cell>
          <cell r="K1386" t="str">
            <v>attack</v>
          </cell>
          <cell r="L1386" t="str">
            <v>攻撃タイプ</v>
          </cell>
          <cell r="M1386" t="str">
            <v>human</v>
          </cell>
        </row>
        <row r="1387">
          <cell r="A1387">
            <v>1412</v>
          </cell>
          <cell r="B1387" t="str">
            <v>ja</v>
          </cell>
          <cell r="C1387" t="str">
            <v>アレス・パッション</v>
          </cell>
          <cell r="H1387" t="str">
            <v>yellow</v>
          </cell>
          <cell r="I1387">
            <v>5</v>
          </cell>
          <cell r="J1387" t="str">
            <v>PremiumS</v>
          </cell>
          <cell r="K1387" t="str">
            <v>attack</v>
          </cell>
          <cell r="L1387" t="str">
            <v>攻撃タイプ</v>
          </cell>
          <cell r="M1387" t="str">
            <v>god</v>
          </cell>
        </row>
        <row r="1388">
          <cell r="A1388">
            <v>1413</v>
          </cell>
          <cell r="B1388" t="str">
            <v>ja</v>
          </cell>
          <cell r="C1388" t="str">
            <v>クリムト・ペリューシド</v>
          </cell>
          <cell r="H1388" t="str">
            <v>green</v>
          </cell>
          <cell r="I1388">
            <v>5</v>
          </cell>
          <cell r="J1388" t="str">
            <v>PremiumS</v>
          </cell>
          <cell r="K1388" t="str">
            <v>technical</v>
          </cell>
          <cell r="L1388" t="str">
            <v>テクニカルタイプ</v>
          </cell>
          <cell r="M1388" t="str">
            <v>human</v>
          </cell>
        </row>
        <row r="1389">
          <cell r="A1389">
            <v>1414</v>
          </cell>
          <cell r="B1389" t="str">
            <v>ja</v>
          </cell>
          <cell r="C1389" t="str">
            <v>炎のミリオンダック 7</v>
          </cell>
          <cell r="D1389" t="str">
            <v>未定</v>
          </cell>
          <cell r="E1389" t="str">
            <v>執行者</v>
          </cell>
          <cell r="F1389" t="str">
            <v>格好いい</v>
          </cell>
          <cell r="G1389" t="str">
            <v>不明</v>
          </cell>
          <cell r="H1389" t="str">
            <v>red</v>
          </cell>
          <cell r="I1389">
            <v>6</v>
          </cell>
          <cell r="J1389" t="str">
            <v>Material</v>
          </cell>
          <cell r="K1389" t="str">
            <v>exp</v>
          </cell>
          <cell r="L1389" t="str">
            <v>強化素材タイプ</v>
          </cell>
          <cell r="M1389" t="str">
            <v>unknown</v>
          </cell>
        </row>
        <row r="1390">
          <cell r="A1390">
            <v>1415</v>
          </cell>
          <cell r="B1390" t="str">
            <v>ja</v>
          </cell>
          <cell r="C1390" t="str">
            <v>森のミリオンダック 7</v>
          </cell>
          <cell r="D1390" t="str">
            <v>未定</v>
          </cell>
          <cell r="E1390" t="str">
            <v>執行者</v>
          </cell>
          <cell r="F1390" t="str">
            <v>格好いい</v>
          </cell>
          <cell r="G1390" t="str">
            <v>不明</v>
          </cell>
          <cell r="H1390" t="str">
            <v>green</v>
          </cell>
          <cell r="I1390">
            <v>6</v>
          </cell>
          <cell r="J1390" t="str">
            <v>Material</v>
          </cell>
          <cell r="K1390" t="str">
            <v>exp</v>
          </cell>
          <cell r="L1390" t="str">
            <v>強化素材タイプ</v>
          </cell>
          <cell r="M1390" t="str">
            <v>unknown</v>
          </cell>
        </row>
        <row r="1391">
          <cell r="A1391">
            <v>1416</v>
          </cell>
          <cell r="B1391" t="str">
            <v>ja</v>
          </cell>
          <cell r="C1391" t="str">
            <v>水のミリオンダック 7</v>
          </cell>
          <cell r="D1391" t="str">
            <v>未定</v>
          </cell>
          <cell r="E1391" t="str">
            <v>執行者</v>
          </cell>
          <cell r="F1391" t="str">
            <v>格好いい</v>
          </cell>
          <cell r="G1391" t="str">
            <v>不明</v>
          </cell>
          <cell r="H1391" t="str">
            <v>blue</v>
          </cell>
          <cell r="I1391">
            <v>6</v>
          </cell>
          <cell r="J1391" t="str">
            <v>Material</v>
          </cell>
          <cell r="K1391" t="str">
            <v>exp</v>
          </cell>
          <cell r="L1391" t="str">
            <v>強化素材タイプ</v>
          </cell>
          <cell r="M1391" t="str">
            <v>unknown</v>
          </cell>
        </row>
        <row r="1392">
          <cell r="A1392">
            <v>1417</v>
          </cell>
          <cell r="B1392" t="str">
            <v>ja</v>
          </cell>
          <cell r="C1392" t="str">
            <v>雷のミリオンダック 7</v>
          </cell>
          <cell r="D1392" t="str">
            <v>未定</v>
          </cell>
          <cell r="E1392" t="str">
            <v>執行者</v>
          </cell>
          <cell r="F1392" t="str">
            <v>格好いい</v>
          </cell>
          <cell r="G1392" t="str">
            <v>不明</v>
          </cell>
          <cell r="H1392" t="str">
            <v>yellow</v>
          </cell>
          <cell r="I1392">
            <v>6</v>
          </cell>
          <cell r="J1392" t="str">
            <v>Material</v>
          </cell>
          <cell r="K1392" t="str">
            <v>exp</v>
          </cell>
          <cell r="L1392" t="str">
            <v>強化素材タイプ</v>
          </cell>
          <cell r="M1392" t="str">
            <v>unknown</v>
          </cell>
        </row>
        <row r="1393">
          <cell r="A1393">
            <v>1418</v>
          </cell>
          <cell r="B1393" t="str">
            <v>ja</v>
          </cell>
          <cell r="C1393" t="str">
            <v>擬潜送侵型メリッサ2.0</v>
          </cell>
          <cell r="H1393" t="str">
            <v>red</v>
          </cell>
          <cell r="I1393">
            <v>5</v>
          </cell>
          <cell r="J1393" t="str">
            <v>DropWizS</v>
          </cell>
          <cell r="K1393" t="str">
            <v>technical</v>
          </cell>
          <cell r="L1393" t="str">
            <v>テクニカルタイプ</v>
          </cell>
          <cell r="M1393" t="str">
            <v>unknown</v>
          </cell>
        </row>
        <row r="1394">
          <cell r="A1394">
            <v>1419</v>
          </cell>
          <cell r="B1394" t="str">
            <v>ja</v>
          </cell>
          <cell r="C1394" t="str">
            <v>感潜する侵感 メリッサ</v>
          </cell>
          <cell r="H1394" t="str">
            <v>red</v>
          </cell>
          <cell r="I1394">
            <v>6</v>
          </cell>
          <cell r="J1394" t="str">
            <v>DropWizS</v>
          </cell>
          <cell r="K1394" t="str">
            <v>technical</v>
          </cell>
          <cell r="L1394" t="str">
            <v>テクニカルタイプ</v>
          </cell>
          <cell r="M1394" t="str">
            <v>unknown</v>
          </cell>
        </row>
        <row r="1395">
          <cell r="A1395">
            <v>1420</v>
          </cell>
          <cell r="B1395" t="str">
            <v>ja</v>
          </cell>
          <cell r="C1395" t="str">
            <v>脆侵増殖型G・モリス</v>
          </cell>
          <cell r="H1395" t="str">
            <v>blue</v>
          </cell>
          <cell r="I1395">
            <v>5</v>
          </cell>
          <cell r="J1395" t="str">
            <v>DropWizS</v>
          </cell>
          <cell r="K1395" t="str">
            <v>balance</v>
          </cell>
          <cell r="L1395" t="str">
            <v>バランスタイプ</v>
          </cell>
          <cell r="M1395" t="str">
            <v>unknown</v>
          </cell>
        </row>
        <row r="1396">
          <cell r="A1396">
            <v>1421</v>
          </cell>
          <cell r="B1396" t="str">
            <v>ja</v>
          </cell>
          <cell r="C1396" t="str">
            <v>拡勢する偽増 モリス</v>
          </cell>
          <cell r="H1396" t="str">
            <v>blue</v>
          </cell>
          <cell r="I1396">
            <v>6</v>
          </cell>
          <cell r="J1396" t="str">
            <v>DropWizS</v>
          </cell>
          <cell r="K1396" t="str">
            <v>balance</v>
          </cell>
          <cell r="L1396" t="str">
            <v>バランスタイプ</v>
          </cell>
          <cell r="M1396" t="str">
            <v>unknown</v>
          </cell>
        </row>
        <row r="1397">
          <cell r="A1397">
            <v>1422</v>
          </cell>
          <cell r="B1397" t="str">
            <v>ja</v>
          </cell>
          <cell r="C1397" t="str">
            <v>解錠放散性ニムダE</v>
          </cell>
          <cell r="H1397" t="str">
            <v>yellow</v>
          </cell>
          <cell r="I1397">
            <v>5</v>
          </cell>
          <cell r="J1397" t="str">
            <v>DropWizS</v>
          </cell>
          <cell r="K1397" t="str">
            <v>hp</v>
          </cell>
          <cell r="L1397" t="str">
            <v>体力タイプ</v>
          </cell>
          <cell r="M1397" t="str">
            <v>unknown</v>
          </cell>
        </row>
        <row r="1398">
          <cell r="A1398">
            <v>1423</v>
          </cell>
          <cell r="B1398" t="str">
            <v>ja</v>
          </cell>
          <cell r="C1398" t="str">
            <v>電播する環染 ニムダ</v>
          </cell>
          <cell r="H1398" t="str">
            <v>yellow</v>
          </cell>
          <cell r="I1398">
            <v>6</v>
          </cell>
          <cell r="J1398" t="str">
            <v>DropWizS</v>
          </cell>
          <cell r="K1398" t="str">
            <v>hp</v>
          </cell>
          <cell r="L1398" t="str">
            <v>体力タイプ</v>
          </cell>
          <cell r="M1398" t="str">
            <v>unknown</v>
          </cell>
        </row>
        <row r="1399">
          <cell r="A1399">
            <v>1424</v>
          </cell>
          <cell r="B1399" t="str">
            <v>ja</v>
          </cell>
          <cell r="C1399" t="str">
            <v>波打際の宴麗 フロイト</v>
          </cell>
          <cell r="H1399" t="str">
            <v>blue</v>
          </cell>
          <cell r="I1399">
            <v>6</v>
          </cell>
          <cell r="J1399" t="str">
            <v>PremiumSSS</v>
          </cell>
          <cell r="K1399" t="str">
            <v>balance</v>
          </cell>
          <cell r="L1399" t="str">
            <v>バランスタイプ</v>
          </cell>
          <cell r="M1399" t="str">
            <v>academia</v>
          </cell>
        </row>
        <row r="1400">
          <cell r="A1400">
            <v>1425</v>
          </cell>
          <cell r="B1400" t="str">
            <v>ja</v>
          </cell>
          <cell r="C1400" t="str">
            <v>ヴォルタ</v>
          </cell>
          <cell r="D1400" t="str">
            <v>未定</v>
          </cell>
          <cell r="E1400" t="str">
            <v>アリス</v>
          </cell>
          <cell r="F1400" t="str">
            <v>世界観</v>
          </cell>
          <cell r="G1400" t="str">
            <v>不明</v>
          </cell>
          <cell r="H1400" t="str">
            <v>red</v>
          </cell>
          <cell r="I1400">
            <v>5</v>
          </cell>
          <cell r="J1400" t="str">
            <v>PremiumSSS</v>
          </cell>
          <cell r="K1400" t="str">
            <v>attack</v>
          </cell>
          <cell r="L1400" t="str">
            <v>攻撃タイプ</v>
          </cell>
          <cell r="M1400" t="str">
            <v>academia</v>
          </cell>
        </row>
        <row r="1401">
          <cell r="A1401">
            <v>1426</v>
          </cell>
          <cell r="B1401" t="str">
            <v>ja</v>
          </cell>
          <cell r="C1401" t="str">
            <v>灼々たる電花 ヴォルタ</v>
          </cell>
          <cell r="D1401" t="str">
            <v>未定</v>
          </cell>
          <cell r="E1401" t="str">
            <v>アリス</v>
          </cell>
          <cell r="F1401" t="str">
            <v>世界観</v>
          </cell>
          <cell r="G1401" t="str">
            <v>不明</v>
          </cell>
          <cell r="H1401" t="str">
            <v>red</v>
          </cell>
          <cell r="I1401">
            <v>6</v>
          </cell>
          <cell r="J1401" t="str">
            <v>PremiumSSS</v>
          </cell>
          <cell r="K1401" t="str">
            <v>attack</v>
          </cell>
          <cell r="L1401" t="str">
            <v>攻撃タイプ</v>
          </cell>
          <cell r="M1401" t="str">
            <v>academia</v>
          </cell>
        </row>
        <row r="1402">
          <cell r="A1402">
            <v>1433</v>
          </cell>
          <cell r="B1402" t="str">
            <v>ja</v>
          </cell>
          <cell r="C1402" t="str">
            <v>超越の果実</v>
          </cell>
          <cell r="D1402" t="str">
            <v>スキル進化素材</v>
          </cell>
          <cell r="E1402" t="str">
            <v>アリス</v>
          </cell>
          <cell r="F1402" t="str">
            <v>世界観</v>
          </cell>
          <cell r="G1402" t="str">
            <v>不明</v>
          </cell>
          <cell r="H1402" t="str">
            <v>yellow</v>
          </cell>
          <cell r="I1402">
            <v>3</v>
          </cell>
          <cell r="J1402" t="str">
            <v>Material</v>
          </cell>
          <cell r="K1402" t="str">
            <v>limitbreak</v>
          </cell>
          <cell r="L1402" t="str">
            <v>限界突破素材</v>
          </cell>
          <cell r="M1402" t="str">
            <v>unknown</v>
          </cell>
        </row>
        <row r="1403">
          <cell r="A1403">
            <v>1434</v>
          </cell>
          <cell r="B1403" t="str">
            <v>ja</v>
          </cell>
          <cell r="C1403" t="str">
            <v>メガ超越の果実</v>
          </cell>
          <cell r="D1403" t="str">
            <v>スキル進化素材</v>
          </cell>
          <cell r="E1403" t="str">
            <v>アリス</v>
          </cell>
          <cell r="F1403" t="str">
            <v>世界観</v>
          </cell>
          <cell r="G1403" t="str">
            <v>不明</v>
          </cell>
          <cell r="H1403" t="str">
            <v>yellow</v>
          </cell>
          <cell r="I1403">
            <v>4</v>
          </cell>
          <cell r="J1403" t="str">
            <v>Material</v>
          </cell>
          <cell r="K1403" t="str">
            <v>limitbreak</v>
          </cell>
          <cell r="L1403" t="str">
            <v>限界突破素材</v>
          </cell>
          <cell r="M1403" t="str">
            <v>unknown</v>
          </cell>
        </row>
        <row r="1404">
          <cell r="A1404">
            <v>1435</v>
          </cell>
          <cell r="B1404" t="str">
            <v>ja</v>
          </cell>
          <cell r="C1404" t="str">
            <v>ギガ超越の果実</v>
          </cell>
          <cell r="D1404" t="str">
            <v>スキル進化素材</v>
          </cell>
          <cell r="E1404" t="str">
            <v>アリス</v>
          </cell>
          <cell r="F1404" t="str">
            <v>世界観</v>
          </cell>
          <cell r="G1404" t="str">
            <v>不明</v>
          </cell>
          <cell r="H1404" t="str">
            <v>yellow</v>
          </cell>
          <cell r="I1404">
            <v>5</v>
          </cell>
          <cell r="J1404" t="str">
            <v>Material</v>
          </cell>
          <cell r="K1404" t="str">
            <v>limitbreak</v>
          </cell>
          <cell r="L1404" t="str">
            <v>限界突破素材</v>
          </cell>
          <cell r="M1404" t="str">
            <v>unknown</v>
          </cell>
        </row>
        <row r="1405">
          <cell r="A1405">
            <v>1452</v>
          </cell>
          <cell r="B1405" t="str">
            <v>ja</v>
          </cell>
          <cell r="C1405" t="str">
            <v>メルセンヌ</v>
          </cell>
          <cell r="D1405" t="str">
            <v>未定</v>
          </cell>
          <cell r="E1405" t="str">
            <v>アリス</v>
          </cell>
          <cell r="F1405" t="str">
            <v>世界観</v>
          </cell>
          <cell r="G1405" t="str">
            <v>不明</v>
          </cell>
          <cell r="H1405" t="str">
            <v>yellow</v>
          </cell>
          <cell r="I1405">
            <v>5</v>
          </cell>
          <cell r="J1405" t="str">
            <v>PremiumSSS</v>
          </cell>
          <cell r="K1405" t="str">
            <v>hp</v>
          </cell>
          <cell r="L1405" t="str">
            <v>体力タイプ</v>
          </cell>
          <cell r="M1405" t="str">
            <v>academia</v>
          </cell>
        </row>
        <row r="1406">
          <cell r="A1406">
            <v>1453</v>
          </cell>
          <cell r="B1406" t="str">
            <v>ja</v>
          </cell>
          <cell r="C1406" t="str">
            <v>数解の自鳴琴 メルセンヌ</v>
          </cell>
          <cell r="D1406" t="str">
            <v>未定</v>
          </cell>
          <cell r="E1406" t="str">
            <v>アリス</v>
          </cell>
          <cell r="F1406" t="str">
            <v>世界観</v>
          </cell>
          <cell r="G1406" t="str">
            <v>不明</v>
          </cell>
          <cell r="H1406" t="str">
            <v>yellow</v>
          </cell>
          <cell r="I1406">
            <v>6</v>
          </cell>
          <cell r="J1406" t="str">
            <v>PremiumSSS</v>
          </cell>
          <cell r="K1406" t="str">
            <v>hp</v>
          </cell>
          <cell r="L1406" t="str">
            <v>体力タイプ</v>
          </cell>
          <cell r="M1406" t="str">
            <v>academia</v>
          </cell>
        </row>
        <row r="1407">
          <cell r="A1407">
            <v>1454</v>
          </cell>
          <cell r="B1407" t="str">
            <v>ja</v>
          </cell>
          <cell r="C1407" t="str">
            <v>ストレングス</v>
          </cell>
          <cell r="D1407" t="str">
            <v>未定</v>
          </cell>
          <cell r="E1407" t="str">
            <v>アリス</v>
          </cell>
          <cell r="F1407" t="str">
            <v>世界観</v>
          </cell>
          <cell r="G1407" t="str">
            <v>不明</v>
          </cell>
          <cell r="H1407" t="str">
            <v>red</v>
          </cell>
          <cell r="I1407">
            <v>5</v>
          </cell>
          <cell r="J1407" t="str">
            <v>PremiumSSS</v>
          </cell>
          <cell r="K1407" t="str">
            <v>balance</v>
          </cell>
          <cell r="L1407" t="str">
            <v>バランスタイプ</v>
          </cell>
          <cell r="M1407" t="str">
            <v>god</v>
          </cell>
        </row>
        <row r="1408">
          <cell r="A1408">
            <v>1455</v>
          </cell>
          <cell r="B1408" t="str">
            <v>ja</v>
          </cell>
          <cell r="C1408" t="str">
            <v>豪毅なる征獣師 ストレングス</v>
          </cell>
          <cell r="D1408" t="str">
            <v>未定</v>
          </cell>
          <cell r="E1408" t="str">
            <v>アリス</v>
          </cell>
          <cell r="F1408" t="str">
            <v>世界観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PremiumSSS</v>
          </cell>
          <cell r="K1408" t="str">
            <v>balance</v>
          </cell>
          <cell r="L1408" t="str">
            <v>バランスタイプ</v>
          </cell>
          <cell r="M1408" t="str">
            <v>god</v>
          </cell>
        </row>
        <row r="1409">
          <cell r="A1409">
            <v>1456</v>
          </cell>
          <cell r="B1409" t="str">
            <v>ja</v>
          </cell>
          <cell r="C1409" t="str">
            <v>ネセバル</v>
          </cell>
          <cell r="H1409" t="str">
            <v>blue</v>
          </cell>
          <cell r="I1409">
            <v>5</v>
          </cell>
          <cell r="J1409" t="str">
            <v>PremiumSSw</v>
          </cell>
          <cell r="K1409" t="str">
            <v>attack</v>
          </cell>
          <cell r="L1409" t="str">
            <v>攻撃タイプ</v>
          </cell>
          <cell r="M1409" t="str">
            <v>hero</v>
          </cell>
        </row>
        <row r="1410">
          <cell r="A1410">
            <v>1457</v>
          </cell>
          <cell r="B1410" t="str">
            <v>ja</v>
          </cell>
          <cell r="C1410" t="str">
            <v>碧影の聖跡 ネセバル</v>
          </cell>
          <cell r="H1410" t="str">
            <v>blue</v>
          </cell>
          <cell r="I1410">
            <v>6</v>
          </cell>
          <cell r="J1410" t="str">
            <v>PremiumSSw</v>
          </cell>
          <cell r="K1410" t="str">
            <v>attack</v>
          </cell>
          <cell r="L1410" t="str">
            <v>攻撃タイプ</v>
          </cell>
          <cell r="M1410" t="str">
            <v>hero</v>
          </cell>
        </row>
        <row r="1411">
          <cell r="A1411">
            <v>1458</v>
          </cell>
          <cell r="B1411" t="str">
            <v>ja</v>
          </cell>
          <cell r="C1411" t="str">
            <v>diamond01</v>
          </cell>
          <cell r="H1411" t="str">
            <v>red</v>
          </cell>
          <cell r="I1411">
            <v>5</v>
          </cell>
          <cell r="J1411" t="str">
            <v>PremiumSS</v>
          </cell>
          <cell r="K1411" t="str">
            <v>attack</v>
          </cell>
          <cell r="L1411" t="str">
            <v>攻撃タイプ</v>
          </cell>
          <cell r="M1411" t="str">
            <v>human</v>
          </cell>
        </row>
        <row r="1412">
          <cell r="A1412">
            <v>1459</v>
          </cell>
          <cell r="B1412" t="str">
            <v>ja</v>
          </cell>
          <cell r="C1412" t="str">
            <v>diamond02</v>
          </cell>
          <cell r="H1412" t="str">
            <v>red</v>
          </cell>
          <cell r="I1412">
            <v>6</v>
          </cell>
          <cell r="J1412" t="str">
            <v>PremiumSS</v>
          </cell>
          <cell r="K1412" t="str">
            <v>attack</v>
          </cell>
          <cell r="L1412" t="str">
            <v>攻撃タイプ</v>
          </cell>
          <cell r="M1412" t="str">
            <v>human</v>
          </cell>
        </row>
        <row r="1413">
          <cell r="A1413">
            <v>1460</v>
          </cell>
          <cell r="B1413" t="str">
            <v>ja</v>
          </cell>
          <cell r="C1413" t="str">
            <v>opal01</v>
          </cell>
          <cell r="H1413" t="str">
            <v>blue</v>
          </cell>
          <cell r="I1413">
            <v>4</v>
          </cell>
          <cell r="J1413" t="str">
            <v>PremiumS</v>
          </cell>
          <cell r="K1413" t="str">
            <v>balance</v>
          </cell>
          <cell r="L1413" t="str">
            <v>バランスタイプ</v>
          </cell>
          <cell r="M1413" t="str">
            <v>human</v>
          </cell>
        </row>
        <row r="1414">
          <cell r="A1414">
            <v>1461</v>
          </cell>
          <cell r="B1414" t="str">
            <v>ja</v>
          </cell>
          <cell r="C1414" t="str">
            <v>opal02</v>
          </cell>
          <cell r="H1414" t="str">
            <v>blue</v>
          </cell>
          <cell r="I1414">
            <v>5</v>
          </cell>
          <cell r="J1414" t="str">
            <v>PremiumS</v>
          </cell>
          <cell r="K1414" t="str">
            <v>balance</v>
          </cell>
          <cell r="L1414" t="str">
            <v>バランスタイプ</v>
          </cell>
          <cell r="M1414" t="str">
            <v>human</v>
          </cell>
        </row>
        <row r="1415">
          <cell r="A1415">
            <v>1462</v>
          </cell>
          <cell r="B1415" t="str">
            <v>ja</v>
          </cell>
          <cell r="C1415" t="str">
            <v>ruby01</v>
          </cell>
          <cell r="H1415" t="str">
            <v>yellow</v>
          </cell>
          <cell r="I1415">
            <v>5</v>
          </cell>
          <cell r="J1415" t="str">
            <v>PremiumSS</v>
          </cell>
          <cell r="K1415" t="str">
            <v>technical</v>
          </cell>
          <cell r="L1415" t="str">
            <v>テクニカルタイプ</v>
          </cell>
          <cell r="M1415" t="str">
            <v>human</v>
          </cell>
        </row>
        <row r="1416">
          <cell r="A1416">
            <v>1463</v>
          </cell>
          <cell r="B1416" t="str">
            <v>ja</v>
          </cell>
          <cell r="C1416" t="str">
            <v>ruby02</v>
          </cell>
          <cell r="H1416" t="str">
            <v>yellow</v>
          </cell>
          <cell r="I1416">
            <v>6</v>
          </cell>
          <cell r="J1416" t="str">
            <v>PremiumSS</v>
          </cell>
          <cell r="K1416" t="str">
            <v>technical</v>
          </cell>
          <cell r="L1416" t="str">
            <v>テクニカルタイプ</v>
          </cell>
          <cell r="M1416" t="str">
            <v>human</v>
          </cell>
        </row>
        <row r="1417">
          <cell r="A1417">
            <v>1464</v>
          </cell>
          <cell r="B1417" t="str">
            <v>ja</v>
          </cell>
          <cell r="C1417" t="str">
            <v>garnet01</v>
          </cell>
          <cell r="H1417" t="str">
            <v>yellow</v>
          </cell>
          <cell r="I1417">
            <v>5</v>
          </cell>
          <cell r="J1417" t="str">
            <v>PremiumSS</v>
          </cell>
          <cell r="K1417" t="str">
            <v>hp</v>
          </cell>
          <cell r="L1417" t="str">
            <v>体力タイプ</v>
          </cell>
          <cell r="M1417" t="str">
            <v>human</v>
          </cell>
        </row>
        <row r="1418">
          <cell r="A1418">
            <v>1465</v>
          </cell>
          <cell r="B1418" t="str">
            <v>ja</v>
          </cell>
          <cell r="C1418" t="str">
            <v>garnet02</v>
          </cell>
          <cell r="H1418" t="str">
            <v>yellow</v>
          </cell>
          <cell r="I1418">
            <v>6</v>
          </cell>
          <cell r="J1418" t="str">
            <v>PremiumSS</v>
          </cell>
          <cell r="K1418" t="str">
            <v>hp</v>
          </cell>
          <cell r="L1418" t="str">
            <v>体力タイプ</v>
          </cell>
          <cell r="M1418" t="str">
            <v>human</v>
          </cell>
        </row>
        <row r="1419">
          <cell r="A1419">
            <v>1466</v>
          </cell>
          <cell r="B1419" t="str">
            <v>ja</v>
          </cell>
          <cell r="C1419" t="str">
            <v>sapphire01</v>
          </cell>
          <cell r="H1419" t="str">
            <v>blue</v>
          </cell>
          <cell r="I1419">
            <v>5</v>
          </cell>
          <cell r="J1419" t="str">
            <v>DropWizS</v>
          </cell>
          <cell r="K1419" t="str">
            <v>attack</v>
          </cell>
          <cell r="L1419" t="str">
            <v>攻撃タイプ</v>
          </cell>
          <cell r="M1419" t="str">
            <v>human</v>
          </cell>
        </row>
        <row r="1420">
          <cell r="A1420">
            <v>1467</v>
          </cell>
          <cell r="B1420" t="str">
            <v>ja</v>
          </cell>
          <cell r="C1420" t="str">
            <v>sapphire02</v>
          </cell>
          <cell r="H1420" t="str">
            <v>blue</v>
          </cell>
          <cell r="I1420">
            <v>6</v>
          </cell>
          <cell r="J1420" t="str">
            <v>DropWizS</v>
          </cell>
          <cell r="K1420" t="str">
            <v>attack</v>
          </cell>
          <cell r="L1420" t="str">
            <v>攻撃タイプ</v>
          </cell>
          <cell r="M1420" t="str">
            <v>human</v>
          </cell>
        </row>
        <row r="1421">
          <cell r="A1421">
            <v>1468</v>
          </cell>
          <cell r="B1421" t="str">
            <v>ja</v>
          </cell>
          <cell r="C1421" t="str">
            <v>emerald01</v>
          </cell>
          <cell r="H1421" t="str">
            <v>green</v>
          </cell>
          <cell r="I1421">
            <v>5</v>
          </cell>
          <cell r="J1421" t="str">
            <v>Drop2N</v>
          </cell>
          <cell r="K1421" t="str">
            <v>attack</v>
          </cell>
          <cell r="L1421" t="str">
            <v>攻撃タイプ</v>
          </cell>
          <cell r="M1421" t="str">
            <v>unknown</v>
          </cell>
        </row>
        <row r="1422">
          <cell r="A1422">
            <v>1469</v>
          </cell>
          <cell r="B1422" t="str">
            <v>ja</v>
          </cell>
          <cell r="C1422" t="str">
            <v>aquamarine01</v>
          </cell>
          <cell r="H1422" t="str">
            <v>yellow</v>
          </cell>
          <cell r="I1422">
            <v>5</v>
          </cell>
          <cell r="J1422" t="str">
            <v>Drop2N</v>
          </cell>
          <cell r="K1422" t="str">
            <v>technical</v>
          </cell>
          <cell r="L1422" t="str">
            <v>テクニカルタイプ</v>
          </cell>
          <cell r="M1422" t="str">
            <v>unknown</v>
          </cell>
        </row>
        <row r="1423">
          <cell r="A1423">
            <v>1470</v>
          </cell>
          <cell r="B1423" t="str">
            <v>ja</v>
          </cell>
          <cell r="C1423" t="str">
            <v>amethyst01</v>
          </cell>
          <cell r="H1423" t="str">
            <v>red</v>
          </cell>
          <cell r="I1423">
            <v>5</v>
          </cell>
          <cell r="J1423" t="str">
            <v>Drop2N</v>
          </cell>
          <cell r="K1423" t="str">
            <v>balance</v>
          </cell>
          <cell r="L1423" t="str">
            <v>バランスタイプ</v>
          </cell>
          <cell r="M1423" t="str">
            <v>unknown</v>
          </cell>
        </row>
        <row r="1424">
          <cell r="A1424">
            <v>1488</v>
          </cell>
          <cell r="B1424" t="str">
            <v>ja</v>
          </cell>
          <cell r="C1424" t="str">
            <v>バクR5</v>
          </cell>
          <cell r="D1424" t="str">
            <v>未定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green</v>
          </cell>
          <cell r="I1424">
            <v>5</v>
          </cell>
          <cell r="J1424" t="str">
            <v>PremiumSSS</v>
          </cell>
          <cell r="K1424" t="str">
            <v>attack</v>
          </cell>
          <cell r="L1424" t="str">
            <v>攻撃タイプ</v>
          </cell>
          <cell r="M1424" t="str">
            <v>academia</v>
          </cell>
        </row>
        <row r="1425">
          <cell r="A1425">
            <v>1489</v>
          </cell>
          <cell r="B1425" t="str">
            <v>ja</v>
          </cell>
          <cell r="C1425" t="str">
            <v>バクR6</v>
          </cell>
          <cell r="D1425" t="str">
            <v>未定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green</v>
          </cell>
          <cell r="I1425">
            <v>6</v>
          </cell>
          <cell r="J1425" t="str">
            <v>PremiumSSS</v>
          </cell>
          <cell r="K1425" t="str">
            <v>attack</v>
          </cell>
          <cell r="L1425" t="str">
            <v>攻撃タイプ</v>
          </cell>
          <cell r="M1425" t="str">
            <v>academia</v>
          </cell>
        </row>
        <row r="1426">
          <cell r="A1426">
            <v>1497</v>
          </cell>
          <cell r="B1426" t="str">
            <v>ja</v>
          </cell>
          <cell r="C1426" t="str">
            <v>ヨシノ</v>
          </cell>
          <cell r="H1426" t="str">
            <v>yellow</v>
          </cell>
          <cell r="I1426">
            <v>5</v>
          </cell>
          <cell r="J1426" t="str">
            <v>PremiumSS</v>
          </cell>
          <cell r="K1426" t="str">
            <v>technical</v>
          </cell>
          <cell r="L1426" t="str">
            <v>テクニカルタイプ</v>
          </cell>
          <cell r="M1426" t="str">
            <v>human</v>
          </cell>
        </row>
        <row r="1427">
          <cell r="A1427">
            <v>1498</v>
          </cell>
          <cell r="B1427" t="str">
            <v>ja</v>
          </cell>
          <cell r="C1427" t="str">
            <v>咲誇る夢見草 ヨシノ</v>
          </cell>
          <cell r="H1427" t="str">
            <v>yellow</v>
          </cell>
          <cell r="I1427">
            <v>6</v>
          </cell>
          <cell r="J1427" t="str">
            <v>PremiumSS</v>
          </cell>
          <cell r="K1427" t="str">
            <v>technical</v>
          </cell>
          <cell r="L1427" t="str">
            <v>テクニカルタイプ</v>
          </cell>
          <cell r="M1427" t="str">
            <v>human</v>
          </cell>
        </row>
        <row r="1428">
          <cell r="A1428">
            <v>1499</v>
          </cell>
          <cell r="B1428" t="str">
            <v>ja</v>
          </cell>
          <cell r="C1428" t="str">
            <v>コノハナサクヤ</v>
          </cell>
          <cell r="D1428" t="str">
            <v>未定</v>
          </cell>
          <cell r="E1428" t="str">
            <v>アリス</v>
          </cell>
          <cell r="F1428" t="str">
            <v>世界観</v>
          </cell>
          <cell r="G1428" t="str">
            <v>不明</v>
          </cell>
          <cell r="H1428" t="str">
            <v>blue</v>
          </cell>
          <cell r="I1428">
            <v>5</v>
          </cell>
          <cell r="J1428" t="str">
            <v>DropWizS</v>
          </cell>
          <cell r="K1428" t="str">
            <v>heal</v>
          </cell>
          <cell r="L1428" t="str">
            <v>回復タイプ</v>
          </cell>
          <cell r="M1428" t="str">
            <v>human</v>
          </cell>
        </row>
        <row r="1429">
          <cell r="A1429">
            <v>1500</v>
          </cell>
          <cell r="B1429" t="str">
            <v>ja</v>
          </cell>
          <cell r="C1429" t="str">
            <v>櫻歌する開華 コノハナサクヤ</v>
          </cell>
          <cell r="D1429" t="str">
            <v>未定</v>
          </cell>
          <cell r="E1429" t="str">
            <v>アリス</v>
          </cell>
          <cell r="F1429" t="str">
            <v>世界観</v>
          </cell>
          <cell r="G1429" t="str">
            <v>不明</v>
          </cell>
          <cell r="H1429" t="str">
            <v>blue</v>
          </cell>
          <cell r="I1429">
            <v>6</v>
          </cell>
          <cell r="J1429" t="str">
            <v>DropWizS</v>
          </cell>
          <cell r="K1429" t="str">
            <v>heal</v>
          </cell>
          <cell r="L1429" t="str">
            <v>回復タイプ</v>
          </cell>
          <cell r="M1429" t="str">
            <v>human</v>
          </cell>
        </row>
        <row r="1430">
          <cell r="A1430">
            <v>1504</v>
          </cell>
          <cell r="B1430" t="str">
            <v>ja</v>
          </cell>
          <cell r="C1430" t="str">
            <v>magenta01</v>
          </cell>
          <cell r="H1430" t="str">
            <v>red</v>
          </cell>
          <cell r="I1430">
            <v>1</v>
          </cell>
          <cell r="J1430" t="str">
            <v>Drop1T</v>
          </cell>
          <cell r="K1430" t="str">
            <v>balance</v>
          </cell>
          <cell r="L1430" t="str">
            <v>バランスタイプ</v>
          </cell>
          <cell r="M1430" t="str">
            <v>unknown</v>
          </cell>
        </row>
        <row r="1431">
          <cell r="A1431">
            <v>1505</v>
          </cell>
          <cell r="B1431" t="str">
            <v>ja</v>
          </cell>
          <cell r="C1431" t="str">
            <v>amber01</v>
          </cell>
          <cell r="H1431" t="str">
            <v>green</v>
          </cell>
          <cell r="I1431">
            <v>1</v>
          </cell>
          <cell r="J1431" t="str">
            <v>Drop1T</v>
          </cell>
          <cell r="K1431" t="str">
            <v>hp</v>
          </cell>
          <cell r="L1431" t="str">
            <v>体力タイプ</v>
          </cell>
          <cell r="M1431" t="str">
            <v>unknown</v>
          </cell>
        </row>
        <row r="1432">
          <cell r="A1432">
            <v>1506</v>
          </cell>
          <cell r="B1432" t="str">
            <v>ja</v>
          </cell>
          <cell r="C1432" t="str">
            <v>pumpkin01</v>
          </cell>
          <cell r="H1432" t="str">
            <v>yellow</v>
          </cell>
          <cell r="I1432">
            <v>2</v>
          </cell>
          <cell r="J1432" t="str">
            <v>Drop1S</v>
          </cell>
          <cell r="K1432" t="str">
            <v>attack</v>
          </cell>
          <cell r="L1432" t="str">
            <v>攻撃タイプ</v>
          </cell>
          <cell r="M1432" t="str">
            <v>unknown</v>
          </cell>
        </row>
        <row r="1433">
          <cell r="A1433">
            <v>1507</v>
          </cell>
          <cell r="B1433" t="str">
            <v>ja</v>
          </cell>
          <cell r="C1433" t="str">
            <v>rose01</v>
          </cell>
          <cell r="H1433" t="str">
            <v>blue</v>
          </cell>
          <cell r="I1433">
            <v>3</v>
          </cell>
          <cell r="J1433" t="str">
            <v>Drop2N</v>
          </cell>
          <cell r="K1433" t="str">
            <v>technical</v>
          </cell>
          <cell r="L1433" t="str">
            <v>テクニカルタイプ</v>
          </cell>
          <cell r="M1433" t="str">
            <v>unknown</v>
          </cell>
        </row>
        <row r="1434">
          <cell r="A1434">
            <v>1508</v>
          </cell>
          <cell r="B1434" t="str">
            <v>ja</v>
          </cell>
          <cell r="C1434" t="str">
            <v>burgundy01</v>
          </cell>
          <cell r="H1434" t="str">
            <v>red</v>
          </cell>
          <cell r="I1434">
            <v>4</v>
          </cell>
          <cell r="J1434" t="str">
            <v>Drop2N</v>
          </cell>
          <cell r="K1434" t="str">
            <v>balance</v>
          </cell>
          <cell r="L1434" t="str">
            <v>バランスタイプ</v>
          </cell>
          <cell r="M1434" t="str">
            <v>unknown</v>
          </cell>
        </row>
        <row r="1435">
          <cell r="A1435">
            <v>1509</v>
          </cell>
          <cell r="B1435" t="str">
            <v>ja</v>
          </cell>
          <cell r="C1435" t="str">
            <v>cyan01</v>
          </cell>
          <cell r="H1435" t="str">
            <v>green</v>
          </cell>
          <cell r="I1435">
            <v>5</v>
          </cell>
          <cell r="J1435" t="str">
            <v>Drop2N</v>
          </cell>
          <cell r="K1435" t="str">
            <v>hp</v>
          </cell>
          <cell r="L1435" t="str">
            <v>体力タイプ</v>
          </cell>
          <cell r="M1435" t="str">
            <v>god</v>
          </cell>
        </row>
        <row r="1436">
          <cell r="A1436">
            <v>1510</v>
          </cell>
          <cell r="B1436" t="str">
            <v>ja</v>
          </cell>
          <cell r="C1436" t="str">
            <v>scarlet01</v>
          </cell>
          <cell r="H1436" t="str">
            <v>yellow</v>
          </cell>
          <cell r="I1436">
            <v>4</v>
          </cell>
          <cell r="J1436" t="str">
            <v>DropWizS</v>
          </cell>
          <cell r="K1436" t="str">
            <v>balance</v>
          </cell>
          <cell r="L1436" t="str">
            <v>バランスタイプ</v>
          </cell>
          <cell r="M1436" t="str">
            <v>god</v>
          </cell>
        </row>
        <row r="1437">
          <cell r="A1437">
            <v>1511</v>
          </cell>
          <cell r="B1437" t="str">
            <v>ja</v>
          </cell>
          <cell r="C1437" t="str">
            <v>scarlet02</v>
          </cell>
          <cell r="H1437" t="str">
            <v>yellow</v>
          </cell>
          <cell r="I1437">
            <v>5</v>
          </cell>
          <cell r="J1437" t="str">
            <v>DropWizS</v>
          </cell>
          <cell r="K1437" t="str">
            <v>balance</v>
          </cell>
          <cell r="L1437" t="str">
            <v>バランスタイプ</v>
          </cell>
          <cell r="M1437" t="str">
            <v>god</v>
          </cell>
        </row>
        <row r="1438">
          <cell r="A1438">
            <v>1512</v>
          </cell>
          <cell r="B1438" t="str">
            <v>ja</v>
          </cell>
          <cell r="C1438" t="str">
            <v>scarlet03</v>
          </cell>
          <cell r="H1438" t="str">
            <v>yellow</v>
          </cell>
          <cell r="I1438">
            <v>6</v>
          </cell>
          <cell r="J1438" t="str">
            <v>DropWizS</v>
          </cell>
          <cell r="K1438" t="str">
            <v>balance</v>
          </cell>
          <cell r="L1438" t="str">
            <v>バランスタイプ</v>
          </cell>
          <cell r="M1438" t="str">
            <v>god</v>
          </cell>
        </row>
        <row r="1439">
          <cell r="A1439">
            <v>1513</v>
          </cell>
          <cell r="B1439" t="str">
            <v>ja</v>
          </cell>
          <cell r="C1439" t="str">
            <v>gold01</v>
          </cell>
          <cell r="H1439" t="str">
            <v>yellow</v>
          </cell>
          <cell r="I1439">
            <v>4</v>
          </cell>
          <cell r="J1439" t="str">
            <v>Material</v>
          </cell>
          <cell r="K1439" t="str">
            <v>coin</v>
          </cell>
          <cell r="L1439" t="str">
            <v>コインタイプ</v>
          </cell>
          <cell r="M1439" t="str">
            <v>unknown</v>
          </cell>
        </row>
        <row r="1440">
          <cell r="A1440">
            <v>1514</v>
          </cell>
          <cell r="B1440" t="str">
            <v>ja</v>
          </cell>
          <cell r="C1440" t="str">
            <v>gold02</v>
          </cell>
          <cell r="H1440" t="str">
            <v>yellow</v>
          </cell>
          <cell r="I1440">
            <v>5</v>
          </cell>
          <cell r="J1440" t="str">
            <v>Material</v>
          </cell>
          <cell r="K1440" t="str">
            <v>coin</v>
          </cell>
          <cell r="L1440" t="str">
            <v>コインタイプ</v>
          </cell>
          <cell r="M1440" t="str">
            <v>unknown</v>
          </cell>
        </row>
        <row r="1441">
          <cell r="A1441">
            <v>1515</v>
          </cell>
          <cell r="B1441" t="str">
            <v>ja</v>
          </cell>
          <cell r="C1441" t="str">
            <v>red01</v>
          </cell>
          <cell r="H1441" t="str">
            <v>red</v>
          </cell>
          <cell r="I1441">
            <v>4</v>
          </cell>
          <cell r="J1441" t="str">
            <v>Material</v>
          </cell>
          <cell r="K1441" t="str">
            <v>exp</v>
          </cell>
          <cell r="L1441" t="str">
            <v>強化素材タイプ</v>
          </cell>
          <cell r="M1441" t="str">
            <v>unknown</v>
          </cell>
        </row>
        <row r="1442">
          <cell r="A1442">
            <v>1516</v>
          </cell>
          <cell r="B1442" t="str">
            <v>ja</v>
          </cell>
          <cell r="C1442" t="str">
            <v>red02</v>
          </cell>
          <cell r="H1442" t="str">
            <v>red</v>
          </cell>
          <cell r="I1442">
            <v>5</v>
          </cell>
          <cell r="J1442" t="str">
            <v>Material</v>
          </cell>
          <cell r="K1442" t="str">
            <v>exp</v>
          </cell>
          <cell r="L1442" t="str">
            <v>強化素材タイプ</v>
          </cell>
          <cell r="M1442" t="str">
            <v>unknown</v>
          </cell>
        </row>
        <row r="1443">
          <cell r="A1443">
            <v>1517</v>
          </cell>
          <cell r="B1443" t="str">
            <v>ja</v>
          </cell>
          <cell r="C1443" t="str">
            <v>blue01</v>
          </cell>
          <cell r="H1443" t="str">
            <v>blue</v>
          </cell>
          <cell r="I1443">
            <v>4</v>
          </cell>
          <cell r="J1443" t="str">
            <v>Material</v>
          </cell>
          <cell r="K1443" t="str">
            <v>exp</v>
          </cell>
          <cell r="L1443" t="str">
            <v>強化素材タイプ</v>
          </cell>
          <cell r="M1443" t="str">
            <v>unknown</v>
          </cell>
        </row>
        <row r="1444">
          <cell r="A1444">
            <v>1518</v>
          </cell>
          <cell r="B1444" t="str">
            <v>ja</v>
          </cell>
          <cell r="C1444" t="str">
            <v>blue02</v>
          </cell>
          <cell r="H1444" t="str">
            <v>blue</v>
          </cell>
          <cell r="I1444">
            <v>5</v>
          </cell>
          <cell r="J1444" t="str">
            <v>Material</v>
          </cell>
          <cell r="K1444" t="str">
            <v>exp</v>
          </cell>
          <cell r="L1444" t="str">
            <v>強化素材タイプ</v>
          </cell>
          <cell r="M1444" t="str">
            <v>unknown</v>
          </cell>
        </row>
        <row r="1445">
          <cell r="A1445">
            <v>1519</v>
          </cell>
          <cell r="B1445" t="str">
            <v>ja</v>
          </cell>
          <cell r="C1445" t="str">
            <v>green01</v>
          </cell>
          <cell r="H1445" t="str">
            <v>green</v>
          </cell>
          <cell r="I1445">
            <v>4</v>
          </cell>
          <cell r="J1445" t="str">
            <v>Material</v>
          </cell>
          <cell r="K1445" t="str">
            <v>exp</v>
          </cell>
          <cell r="L1445" t="str">
            <v>強化素材タイプ</v>
          </cell>
          <cell r="M1445" t="str">
            <v>unknown</v>
          </cell>
        </row>
        <row r="1446">
          <cell r="A1446">
            <v>1520</v>
          </cell>
          <cell r="B1446" t="str">
            <v>ja</v>
          </cell>
          <cell r="C1446" t="str">
            <v>green02</v>
          </cell>
          <cell r="H1446" t="str">
            <v>green</v>
          </cell>
          <cell r="I1446">
            <v>5</v>
          </cell>
          <cell r="J1446" t="str">
            <v>Material</v>
          </cell>
          <cell r="K1446" t="str">
            <v>exp</v>
          </cell>
          <cell r="L1446" t="str">
            <v>強化素材タイプ</v>
          </cell>
          <cell r="M1446" t="str">
            <v>unknown</v>
          </cell>
        </row>
        <row r="1447">
          <cell r="A1447">
            <v>1521</v>
          </cell>
          <cell r="B1447" t="str">
            <v>ja</v>
          </cell>
          <cell r="C1447" t="str">
            <v>yellow01</v>
          </cell>
          <cell r="H1447" t="str">
            <v>yellow</v>
          </cell>
          <cell r="I1447">
            <v>4</v>
          </cell>
          <cell r="J1447" t="str">
            <v>Material</v>
          </cell>
          <cell r="K1447" t="str">
            <v>exp</v>
          </cell>
          <cell r="L1447" t="str">
            <v>強化素材タイプ</v>
          </cell>
          <cell r="M1447" t="str">
            <v>unknown</v>
          </cell>
        </row>
        <row r="1448">
          <cell r="A1448">
            <v>1522</v>
          </cell>
          <cell r="B1448" t="str">
            <v>ja</v>
          </cell>
          <cell r="C1448" t="str">
            <v>yellow02</v>
          </cell>
          <cell r="H1448" t="str">
            <v>yellow</v>
          </cell>
          <cell r="I1448">
            <v>5</v>
          </cell>
          <cell r="J1448" t="str">
            <v>Material</v>
          </cell>
          <cell r="K1448" t="str">
            <v>exp</v>
          </cell>
          <cell r="L1448" t="str">
            <v>強化素材タイプ</v>
          </cell>
          <cell r="M1448" t="str">
            <v>unknown</v>
          </cell>
        </row>
        <row r="1449">
          <cell r="A1449">
            <v>1523</v>
          </cell>
          <cell r="B1449" t="str">
            <v>ja</v>
          </cell>
          <cell r="C1449" t="str">
            <v>olive01</v>
          </cell>
          <cell r="H1449" t="str">
            <v>blue</v>
          </cell>
          <cell r="I1449">
            <v>5</v>
          </cell>
          <cell r="J1449" t="str">
            <v>DropWizS</v>
          </cell>
          <cell r="K1449" t="str">
            <v>technical</v>
          </cell>
          <cell r="L1449" t="str">
            <v>テクニカルタイプ</v>
          </cell>
          <cell r="M1449" t="str">
            <v>animal</v>
          </cell>
        </row>
        <row r="1450">
          <cell r="A1450">
            <v>1524</v>
          </cell>
          <cell r="B1450" t="str">
            <v>ja</v>
          </cell>
          <cell r="C1450" t="str">
            <v>olive02</v>
          </cell>
          <cell r="H1450" t="str">
            <v>blue</v>
          </cell>
          <cell r="I1450">
            <v>6</v>
          </cell>
          <cell r="J1450" t="str">
            <v>DropWizS</v>
          </cell>
          <cell r="K1450" t="str">
            <v>technical</v>
          </cell>
          <cell r="L1450" t="str">
            <v>テクニカルタイプ</v>
          </cell>
          <cell r="M1450" t="str">
            <v>animal</v>
          </cell>
        </row>
        <row r="1451">
          <cell r="A1451">
            <v>1525</v>
          </cell>
          <cell r="B1451" t="str">
            <v>ja</v>
          </cell>
          <cell r="C1451" t="str">
            <v>white01</v>
          </cell>
          <cell r="H1451" t="str">
            <v>red</v>
          </cell>
          <cell r="I1451">
            <v>5</v>
          </cell>
          <cell r="J1451" t="str">
            <v>DropWizSS</v>
          </cell>
          <cell r="K1451" t="str">
            <v>attack</v>
          </cell>
          <cell r="L1451" t="str">
            <v>攻撃タイプ</v>
          </cell>
          <cell r="M1451" t="str">
            <v>animal</v>
          </cell>
        </row>
        <row r="1452">
          <cell r="A1452">
            <v>1526</v>
          </cell>
          <cell r="B1452" t="str">
            <v>ja</v>
          </cell>
          <cell r="C1452" t="str">
            <v>white02</v>
          </cell>
          <cell r="H1452" t="str">
            <v>red</v>
          </cell>
          <cell r="I1452">
            <v>6</v>
          </cell>
          <cell r="J1452" t="str">
            <v>DropWizSS</v>
          </cell>
          <cell r="K1452" t="str">
            <v>attack</v>
          </cell>
          <cell r="L1452" t="str">
            <v>攻撃タイプ</v>
          </cell>
          <cell r="M1452" t="str">
            <v>animal</v>
          </cell>
        </row>
        <row r="1453">
          <cell r="A1453">
            <v>1527</v>
          </cell>
          <cell r="B1453" t="str">
            <v>ja</v>
          </cell>
          <cell r="C1453" t="str">
            <v>violet01</v>
          </cell>
          <cell r="H1453" t="str">
            <v>red</v>
          </cell>
          <cell r="I1453">
            <v>4</v>
          </cell>
          <cell r="J1453" t="str">
            <v>PremiumS</v>
          </cell>
          <cell r="K1453" t="str">
            <v>attack</v>
          </cell>
          <cell r="L1453" t="str">
            <v>攻撃タイプ</v>
          </cell>
          <cell r="M1453" t="str">
            <v>animal</v>
          </cell>
        </row>
        <row r="1454">
          <cell r="A1454">
            <v>1528</v>
          </cell>
          <cell r="B1454" t="str">
            <v>ja</v>
          </cell>
          <cell r="C1454" t="str">
            <v>violet02</v>
          </cell>
          <cell r="H1454" t="str">
            <v>red</v>
          </cell>
          <cell r="I1454">
            <v>5</v>
          </cell>
          <cell r="J1454" t="str">
            <v>PremiumS</v>
          </cell>
          <cell r="K1454" t="str">
            <v>attack</v>
          </cell>
          <cell r="L1454" t="str">
            <v>攻撃タイプ</v>
          </cell>
          <cell r="M1454" t="str">
            <v>animal</v>
          </cell>
        </row>
        <row r="1455">
          <cell r="A1455">
            <v>1529</v>
          </cell>
          <cell r="B1455" t="str">
            <v>ja</v>
          </cell>
          <cell r="C1455" t="str">
            <v>mint01</v>
          </cell>
          <cell r="H1455" t="str">
            <v>blue</v>
          </cell>
          <cell r="I1455">
            <v>4</v>
          </cell>
          <cell r="J1455" t="str">
            <v>PremiumS</v>
          </cell>
          <cell r="K1455" t="str">
            <v>balance</v>
          </cell>
          <cell r="L1455" t="str">
            <v>バランスタイプ</v>
          </cell>
          <cell r="M1455" t="str">
            <v>unknown</v>
          </cell>
        </row>
        <row r="1456">
          <cell r="A1456">
            <v>1530</v>
          </cell>
          <cell r="B1456" t="str">
            <v>ja</v>
          </cell>
          <cell r="C1456" t="str">
            <v>mint02</v>
          </cell>
          <cell r="H1456" t="str">
            <v>blue</v>
          </cell>
          <cell r="I1456">
            <v>5</v>
          </cell>
          <cell r="J1456" t="str">
            <v>PremiumS</v>
          </cell>
          <cell r="K1456" t="str">
            <v>balance</v>
          </cell>
          <cell r="L1456" t="str">
            <v>バランスタイプ</v>
          </cell>
          <cell r="M1456" t="str">
            <v>unknown</v>
          </cell>
        </row>
        <row r="1457">
          <cell r="A1457">
            <v>1531</v>
          </cell>
          <cell r="B1457" t="str">
            <v>ja</v>
          </cell>
          <cell r="C1457" t="str">
            <v>gray01</v>
          </cell>
          <cell r="H1457" t="str">
            <v>green</v>
          </cell>
          <cell r="I1457">
            <v>4</v>
          </cell>
          <cell r="J1457" t="str">
            <v>PremiumS</v>
          </cell>
          <cell r="K1457" t="str">
            <v>technical</v>
          </cell>
          <cell r="L1457" t="str">
            <v>テクニカルタイプ</v>
          </cell>
          <cell r="M1457" t="str">
            <v>animal</v>
          </cell>
        </row>
        <row r="1458">
          <cell r="A1458">
            <v>1532</v>
          </cell>
          <cell r="B1458" t="str">
            <v>ja</v>
          </cell>
          <cell r="C1458" t="str">
            <v>gray02</v>
          </cell>
          <cell r="H1458" t="str">
            <v>green</v>
          </cell>
          <cell r="I1458">
            <v>5</v>
          </cell>
          <cell r="J1458" t="str">
            <v>PremiumS</v>
          </cell>
          <cell r="K1458" t="str">
            <v>technical</v>
          </cell>
          <cell r="L1458" t="str">
            <v>テクニカルタイプ</v>
          </cell>
          <cell r="M1458" t="str">
            <v>animal</v>
          </cell>
        </row>
        <row r="1459">
          <cell r="A1459">
            <v>1533</v>
          </cell>
          <cell r="B1459" t="str">
            <v>ja</v>
          </cell>
          <cell r="C1459" t="str">
            <v>maroon01</v>
          </cell>
          <cell r="H1459" t="str">
            <v>yellow</v>
          </cell>
          <cell r="I1459">
            <v>4</v>
          </cell>
          <cell r="J1459" t="str">
            <v>PremiumS</v>
          </cell>
          <cell r="K1459" t="str">
            <v>attack</v>
          </cell>
          <cell r="L1459" t="str">
            <v>攻撃タイプ</v>
          </cell>
          <cell r="M1459" t="str">
            <v>animal</v>
          </cell>
        </row>
        <row r="1460">
          <cell r="A1460">
            <v>1534</v>
          </cell>
          <cell r="B1460" t="str">
            <v>ja</v>
          </cell>
          <cell r="C1460" t="str">
            <v>maroon02</v>
          </cell>
          <cell r="H1460" t="str">
            <v>yellow</v>
          </cell>
          <cell r="I1460">
            <v>5</v>
          </cell>
          <cell r="J1460" t="str">
            <v>PremiumS</v>
          </cell>
          <cell r="K1460" t="str">
            <v>attack</v>
          </cell>
          <cell r="L1460" t="str">
            <v>攻撃タイプ</v>
          </cell>
          <cell r="M1460" t="str">
            <v>animal</v>
          </cell>
        </row>
        <row r="1461">
          <cell r="A1461">
            <v>1535</v>
          </cell>
          <cell r="B1461" t="str">
            <v>ja</v>
          </cell>
          <cell r="C1461" t="str">
            <v>pink01</v>
          </cell>
          <cell r="H1461" t="str">
            <v>red</v>
          </cell>
          <cell r="I1461">
            <v>5</v>
          </cell>
          <cell r="J1461" t="str">
            <v>PremiumSS</v>
          </cell>
          <cell r="K1461" t="str">
            <v>technical</v>
          </cell>
          <cell r="L1461" t="str">
            <v>テクニカルタイプ</v>
          </cell>
          <cell r="M1461" t="str">
            <v>god</v>
          </cell>
        </row>
        <row r="1462">
          <cell r="A1462">
            <v>1536</v>
          </cell>
          <cell r="B1462" t="str">
            <v>ja</v>
          </cell>
          <cell r="C1462" t="str">
            <v>pink02</v>
          </cell>
          <cell r="H1462" t="str">
            <v>red</v>
          </cell>
          <cell r="I1462">
            <v>6</v>
          </cell>
          <cell r="J1462" t="str">
            <v>PremiumSS</v>
          </cell>
          <cell r="K1462" t="str">
            <v>technical</v>
          </cell>
          <cell r="L1462" t="str">
            <v>テクニカルタイプ</v>
          </cell>
          <cell r="M1462" t="str">
            <v>god</v>
          </cell>
        </row>
        <row r="1463">
          <cell r="A1463">
            <v>1537</v>
          </cell>
          <cell r="B1463" t="str">
            <v>ja</v>
          </cell>
          <cell r="C1463" t="str">
            <v>black01</v>
          </cell>
          <cell r="D1463" t="str">
            <v>ノーマルクエスト</v>
          </cell>
          <cell r="E1463" t="str">
            <v>QoH</v>
          </cell>
          <cell r="F1463" t="str">
            <v>世界観</v>
          </cell>
          <cell r="G1463" t="str">
            <v>不明</v>
          </cell>
          <cell r="H1463" t="str">
            <v>blue</v>
          </cell>
          <cell r="I1463">
            <v>5</v>
          </cell>
          <cell r="J1463" t="str">
            <v>PremiumSSS</v>
          </cell>
          <cell r="K1463" t="str">
            <v>attack</v>
          </cell>
          <cell r="L1463" t="str">
            <v>攻撃タイプ</v>
          </cell>
          <cell r="M1463" t="str">
            <v>unknown</v>
          </cell>
        </row>
        <row r="1464">
          <cell r="A1464">
            <v>1538</v>
          </cell>
          <cell r="B1464" t="str">
            <v>ja</v>
          </cell>
          <cell r="C1464" t="str">
            <v>black02</v>
          </cell>
          <cell r="D1464" t="str">
            <v>ノーマルクエスト</v>
          </cell>
          <cell r="E1464" t="str">
            <v>アバター</v>
          </cell>
          <cell r="F1464" t="str">
            <v>世界観</v>
          </cell>
          <cell r="G1464" t="str">
            <v>男性</v>
          </cell>
          <cell r="H1464" t="str">
            <v>blue</v>
          </cell>
          <cell r="I1464">
            <v>6</v>
          </cell>
          <cell r="J1464" t="str">
            <v>PremiumSSS</v>
          </cell>
          <cell r="K1464" t="str">
            <v>attack</v>
          </cell>
          <cell r="L1464" t="str">
            <v>攻撃タイプ</v>
          </cell>
          <cell r="M1464" t="str">
            <v>unknown</v>
          </cell>
        </row>
        <row r="1465">
          <cell r="A1465">
            <v>1539</v>
          </cell>
          <cell r="B1465" t="str">
            <v>ja</v>
          </cell>
          <cell r="C1465" t="str">
            <v>brown01</v>
          </cell>
          <cell r="D1465" t="str">
            <v>リンクガチャ:4神</v>
          </cell>
          <cell r="E1465" t="str">
            <v>守護神</v>
          </cell>
          <cell r="F1465" t="str">
            <v>格好いい</v>
          </cell>
          <cell r="G1465" t="str">
            <v>不明</v>
          </cell>
          <cell r="H1465" t="str">
            <v>yellow</v>
          </cell>
          <cell r="I1465">
            <v>5</v>
          </cell>
          <cell r="J1465" t="str">
            <v>PremiumSS</v>
          </cell>
          <cell r="K1465" t="str">
            <v>attack</v>
          </cell>
          <cell r="L1465" t="str">
            <v>攻撃タイプ</v>
          </cell>
          <cell r="M1465" t="str">
            <v>god</v>
          </cell>
        </row>
        <row r="1466">
          <cell r="A1466">
            <v>1540</v>
          </cell>
          <cell r="B1466" t="str">
            <v>ja</v>
          </cell>
          <cell r="C1466" t="str">
            <v>brown02</v>
          </cell>
          <cell r="D1466" t="str">
            <v>ノーマルクエスト</v>
          </cell>
          <cell r="E1466" t="str">
            <v>アバター</v>
          </cell>
          <cell r="F1466" t="str">
            <v>世界観</v>
          </cell>
          <cell r="G1466" t="str">
            <v>不明</v>
          </cell>
          <cell r="H1466" t="str">
            <v>yellow</v>
          </cell>
          <cell r="I1466">
            <v>6</v>
          </cell>
          <cell r="J1466" t="str">
            <v>PremiumSS</v>
          </cell>
          <cell r="K1466" t="str">
            <v>attack</v>
          </cell>
          <cell r="L1466" t="str">
            <v>攻撃タイプ</v>
          </cell>
          <cell r="M1466" t="str">
            <v>god</v>
          </cell>
        </row>
        <row r="1467">
          <cell r="A1467">
            <v>1541</v>
          </cell>
          <cell r="B1467" t="str">
            <v>ja</v>
          </cell>
          <cell r="C1467" t="str">
            <v>purple01</v>
          </cell>
          <cell r="D1467" t="str">
            <v>ノーマルクエスト</v>
          </cell>
          <cell r="E1467" t="str">
            <v>QoH</v>
          </cell>
          <cell r="F1467" t="str">
            <v>世界観</v>
          </cell>
          <cell r="G1467" t="str">
            <v>不明</v>
          </cell>
          <cell r="H1467" t="str">
            <v>red</v>
          </cell>
          <cell r="I1467">
            <v>5</v>
          </cell>
          <cell r="J1467" t="str">
            <v>PremiumSSS</v>
          </cell>
          <cell r="K1467" t="str">
            <v>technical</v>
          </cell>
          <cell r="L1467" t="str">
            <v>テクニカルタイプ</v>
          </cell>
          <cell r="M1467" t="str">
            <v>god</v>
          </cell>
        </row>
        <row r="1468">
          <cell r="A1468">
            <v>1542</v>
          </cell>
          <cell r="B1468" t="str">
            <v>ja</v>
          </cell>
          <cell r="C1468" t="str">
            <v>purple02</v>
          </cell>
          <cell r="D1468" t="str">
            <v>ノーマルクエスト</v>
          </cell>
          <cell r="E1468" t="str">
            <v>アバター</v>
          </cell>
          <cell r="F1468" t="str">
            <v>世界観</v>
          </cell>
          <cell r="G1468" t="str">
            <v>男性</v>
          </cell>
          <cell r="H1468" t="str">
            <v>red</v>
          </cell>
          <cell r="I1468">
            <v>6</v>
          </cell>
          <cell r="J1468" t="str">
            <v>PremiumSSS</v>
          </cell>
          <cell r="K1468" t="str">
            <v>technical</v>
          </cell>
          <cell r="L1468" t="str">
            <v>テクニカルタイプ</v>
          </cell>
          <cell r="M1468" t="str">
            <v>god</v>
          </cell>
        </row>
        <row r="1469">
          <cell r="A1469">
            <v>1543</v>
          </cell>
          <cell r="B1469" t="str">
            <v>ja</v>
          </cell>
          <cell r="C1469" t="str">
            <v>vanilla01</v>
          </cell>
          <cell r="D1469" t="str">
            <v>リンクガチャ:4神</v>
          </cell>
          <cell r="E1469" t="str">
            <v>守護神</v>
          </cell>
          <cell r="F1469" t="str">
            <v>格好いい</v>
          </cell>
          <cell r="G1469" t="str">
            <v>不明</v>
          </cell>
          <cell r="H1469" t="str">
            <v>red</v>
          </cell>
          <cell r="I1469">
            <v>5</v>
          </cell>
          <cell r="J1469" t="str">
            <v>PremiumSS</v>
          </cell>
          <cell r="K1469" t="str">
            <v>balance</v>
          </cell>
          <cell r="L1469" t="str">
            <v>バランスタイプ</v>
          </cell>
          <cell r="M1469" t="str">
            <v>hero</v>
          </cell>
        </row>
        <row r="1470">
          <cell r="A1470">
            <v>1544</v>
          </cell>
          <cell r="B1470" t="str">
            <v>ja</v>
          </cell>
          <cell r="C1470" t="str">
            <v>vanilla02</v>
          </cell>
          <cell r="D1470" t="str">
            <v>ノーマルクエスト</v>
          </cell>
          <cell r="E1470" t="str">
            <v>アバター</v>
          </cell>
          <cell r="F1470" t="str">
            <v>世界観</v>
          </cell>
          <cell r="G1470" t="str">
            <v>不明</v>
          </cell>
          <cell r="H1470" t="str">
            <v>red</v>
          </cell>
          <cell r="I1470">
            <v>6</v>
          </cell>
          <cell r="J1470" t="str">
            <v>PremiumSS</v>
          </cell>
          <cell r="K1470" t="str">
            <v>balance</v>
          </cell>
          <cell r="L1470" t="str">
            <v>バランスタイプ</v>
          </cell>
          <cell r="M1470" t="str">
            <v>hero</v>
          </cell>
        </row>
        <row r="1471">
          <cell r="A1471">
            <v>1545</v>
          </cell>
          <cell r="B1471" t="str">
            <v>ja</v>
          </cell>
          <cell r="C1471" t="str">
            <v>silver01</v>
          </cell>
          <cell r="D1471" t="str">
            <v>ノーマルクエスト</v>
          </cell>
          <cell r="E1471" t="str">
            <v>QoH</v>
          </cell>
          <cell r="F1471" t="str">
            <v>世界観</v>
          </cell>
          <cell r="G1471" t="str">
            <v>不明</v>
          </cell>
          <cell r="H1471" t="str">
            <v>green</v>
          </cell>
          <cell r="I1471">
            <v>5</v>
          </cell>
          <cell r="J1471" t="str">
            <v>PremiumSS</v>
          </cell>
          <cell r="K1471" t="str">
            <v>hp</v>
          </cell>
          <cell r="L1471" t="str">
            <v>体力タイプ</v>
          </cell>
          <cell r="M1471" t="str">
            <v>unknown</v>
          </cell>
        </row>
        <row r="1472">
          <cell r="A1472">
            <v>1546</v>
          </cell>
          <cell r="B1472" t="str">
            <v>ja</v>
          </cell>
          <cell r="C1472" t="str">
            <v>silver02</v>
          </cell>
          <cell r="D1472" t="str">
            <v>ノーマルクエスト</v>
          </cell>
          <cell r="E1472" t="str">
            <v>アバター</v>
          </cell>
          <cell r="F1472" t="str">
            <v>世界観</v>
          </cell>
          <cell r="G1472" t="str">
            <v>男性</v>
          </cell>
          <cell r="H1472" t="str">
            <v>green</v>
          </cell>
          <cell r="I1472">
            <v>6</v>
          </cell>
          <cell r="J1472" t="str">
            <v>PremiumSS</v>
          </cell>
          <cell r="K1472" t="str">
            <v>hp</v>
          </cell>
          <cell r="L1472" t="str">
            <v>体力タイプ</v>
          </cell>
          <cell r="M1472" t="str">
            <v>unknown</v>
          </cell>
        </row>
        <row r="1473">
          <cell r="A1473">
            <v>1547</v>
          </cell>
          <cell r="B1473" t="str">
            <v>ja</v>
          </cell>
          <cell r="C1473" t="str">
            <v>mauve01</v>
          </cell>
          <cell r="D1473" t="str">
            <v>リンクガチャ:4神</v>
          </cell>
          <cell r="E1473" t="str">
            <v>守護神</v>
          </cell>
          <cell r="F1473" t="str">
            <v>格好いい</v>
          </cell>
          <cell r="G1473" t="str">
            <v>不明</v>
          </cell>
          <cell r="H1473" t="str">
            <v>green</v>
          </cell>
          <cell r="I1473">
            <v>4</v>
          </cell>
          <cell r="J1473" t="str">
            <v>Drop2N</v>
          </cell>
          <cell r="K1473" t="str">
            <v>hp</v>
          </cell>
          <cell r="L1473" t="str">
            <v>体力タイプ</v>
          </cell>
          <cell r="M1473" t="str">
            <v>animal</v>
          </cell>
        </row>
        <row r="1474">
          <cell r="A1474">
            <v>1548</v>
          </cell>
          <cell r="B1474" t="str">
            <v>ja</v>
          </cell>
          <cell r="C1474" t="str">
            <v>mauve02</v>
          </cell>
          <cell r="D1474" t="str">
            <v>ノーマルクエスト</v>
          </cell>
          <cell r="E1474" t="str">
            <v>アバター</v>
          </cell>
          <cell r="F1474" t="str">
            <v>世界観</v>
          </cell>
          <cell r="G1474" t="str">
            <v>不明</v>
          </cell>
          <cell r="H1474" t="str">
            <v>green</v>
          </cell>
          <cell r="I1474">
            <v>5</v>
          </cell>
          <cell r="J1474" t="str">
            <v>Drop2N</v>
          </cell>
          <cell r="K1474" t="str">
            <v>hp</v>
          </cell>
          <cell r="L1474" t="str">
            <v>体力タイプ</v>
          </cell>
          <cell r="M1474" t="str">
            <v>animal</v>
          </cell>
        </row>
        <row r="1475">
          <cell r="A1475">
            <v>1549</v>
          </cell>
          <cell r="B1475" t="str">
            <v>ja</v>
          </cell>
          <cell r="C1475" t="str">
            <v>ochre01</v>
          </cell>
          <cell r="D1475" t="str">
            <v>初期ガチャ</v>
          </cell>
          <cell r="E1475" t="str">
            <v>管理者</v>
          </cell>
          <cell r="F1475" t="str">
            <v>美しい</v>
          </cell>
          <cell r="G1475" t="str">
            <v>女性</v>
          </cell>
          <cell r="H1475" t="str">
            <v>green</v>
          </cell>
          <cell r="I1475">
            <v>5</v>
          </cell>
          <cell r="J1475" t="str">
            <v>DropWizS</v>
          </cell>
          <cell r="K1475" t="str">
            <v>balance</v>
          </cell>
          <cell r="L1475" t="str">
            <v>バランスタイプ</v>
          </cell>
          <cell r="M1475" t="str">
            <v>unknown</v>
          </cell>
        </row>
        <row r="1476">
          <cell r="A1476">
            <v>1550</v>
          </cell>
          <cell r="B1476" t="str">
            <v>ja</v>
          </cell>
          <cell r="C1476" t="str">
            <v>ochre02</v>
          </cell>
          <cell r="D1476" t="str">
            <v>初期ガチャ</v>
          </cell>
          <cell r="E1476" t="str">
            <v>管理者</v>
          </cell>
          <cell r="F1476" t="str">
            <v>美しい</v>
          </cell>
          <cell r="G1476" t="str">
            <v>女性</v>
          </cell>
          <cell r="H1476" t="str">
            <v>green</v>
          </cell>
          <cell r="I1476">
            <v>6</v>
          </cell>
          <cell r="J1476" t="str">
            <v>DropWizS</v>
          </cell>
          <cell r="K1476" t="str">
            <v>balance</v>
          </cell>
          <cell r="L1476" t="str">
            <v>バランスタイプ</v>
          </cell>
          <cell r="M1476" t="str">
            <v>unknown</v>
          </cell>
        </row>
        <row r="1477">
          <cell r="A1477">
            <v>5001</v>
          </cell>
          <cell r="B1477" t="str">
            <v>ja</v>
          </cell>
          <cell r="C1477" t="str">
            <v>ガルーダ</v>
          </cell>
          <cell r="D1477" t="str">
            <v>ノーマルクエスト</v>
          </cell>
          <cell r="E1477" t="str">
            <v>QoH</v>
          </cell>
          <cell r="F1477" t="str">
            <v>世界観</v>
          </cell>
          <cell r="G1477" t="str">
            <v>不明</v>
          </cell>
          <cell r="H1477" t="str">
            <v>red</v>
          </cell>
          <cell r="I1477">
            <v>5</v>
          </cell>
          <cell r="J1477" t="str">
            <v>PremiumSSw</v>
          </cell>
          <cell r="K1477" t="str">
            <v>attack</v>
          </cell>
          <cell r="L1477" t="str">
            <v>攻撃タイプ</v>
          </cell>
          <cell r="M1477" t="str">
            <v>god</v>
          </cell>
        </row>
        <row r="1478">
          <cell r="A1478">
            <v>5002</v>
          </cell>
          <cell r="B1478" t="str">
            <v>ja</v>
          </cell>
          <cell r="C1478" t="str">
            <v>ガルーダ★６</v>
          </cell>
          <cell r="D1478" t="str">
            <v>ノーマルクエスト</v>
          </cell>
          <cell r="E1478" t="str">
            <v>アバター</v>
          </cell>
          <cell r="F1478" t="str">
            <v>世界観</v>
          </cell>
          <cell r="G1478" t="str">
            <v>男性</v>
          </cell>
          <cell r="H1478" t="str">
            <v>red</v>
          </cell>
          <cell r="I1478">
            <v>6</v>
          </cell>
          <cell r="J1478" t="str">
            <v>PremiumSSw</v>
          </cell>
          <cell r="K1478" t="str">
            <v>attack</v>
          </cell>
          <cell r="L1478" t="str">
            <v>攻撃タイプ</v>
          </cell>
          <cell r="M1478" t="str">
            <v>god</v>
          </cell>
        </row>
        <row r="1479">
          <cell r="A1479">
            <v>5003</v>
          </cell>
          <cell r="B1479" t="str">
            <v>ja</v>
          </cell>
          <cell r="C1479" t="str">
            <v>ナーガ</v>
          </cell>
          <cell r="D1479" t="str">
            <v>リンクガチャ:4神</v>
          </cell>
          <cell r="E1479" t="str">
            <v>守護神</v>
          </cell>
          <cell r="F1479" t="str">
            <v>格好いい</v>
          </cell>
          <cell r="G1479" t="str">
            <v>不明</v>
          </cell>
          <cell r="H1479" t="str">
            <v>green</v>
          </cell>
          <cell r="I1479">
            <v>5</v>
          </cell>
          <cell r="J1479" t="str">
            <v>DropWizS</v>
          </cell>
          <cell r="K1479" t="str">
            <v>technical</v>
          </cell>
          <cell r="L1479" t="str">
            <v>テクニカルタイプ</v>
          </cell>
          <cell r="M1479" t="str">
            <v>animal</v>
          </cell>
        </row>
        <row r="1480">
          <cell r="A1480">
            <v>5004</v>
          </cell>
          <cell r="B1480" t="str">
            <v>ja</v>
          </cell>
          <cell r="C1480" t="str">
            <v>ナーガ★６</v>
          </cell>
          <cell r="D1480" t="str">
            <v>ノーマルクエスト</v>
          </cell>
          <cell r="E1480" t="str">
            <v>アバター</v>
          </cell>
          <cell r="F1480" t="str">
            <v>世界観</v>
          </cell>
          <cell r="G1480" t="str">
            <v>不明</v>
          </cell>
          <cell r="H1480" t="str">
            <v>green</v>
          </cell>
          <cell r="I1480">
            <v>6</v>
          </cell>
          <cell r="J1480" t="str">
            <v>DropWizS</v>
          </cell>
          <cell r="K1480" t="str">
            <v>technical</v>
          </cell>
          <cell r="L1480" t="str">
            <v>テクニカルタイプ</v>
          </cell>
          <cell r="M1480" t="str">
            <v>animal</v>
          </cell>
        </row>
        <row r="1481">
          <cell r="A1481">
            <v>5005</v>
          </cell>
          <cell r="B1481" t="str">
            <v>ja</v>
          </cell>
          <cell r="C1481" t="str">
            <v>カーミラ</v>
          </cell>
          <cell r="D1481" t="str">
            <v>ノーマルクエスト</v>
          </cell>
          <cell r="E1481" t="str">
            <v>QoH</v>
          </cell>
          <cell r="F1481" t="str">
            <v>世界観</v>
          </cell>
          <cell r="G1481" t="str">
            <v>不明</v>
          </cell>
          <cell r="H1481" t="str">
            <v>green</v>
          </cell>
          <cell r="I1481">
            <v>5</v>
          </cell>
          <cell r="J1481" t="str">
            <v>PremiumSSw</v>
          </cell>
          <cell r="K1481" t="str">
            <v>balance</v>
          </cell>
          <cell r="L1481" t="str">
            <v>バランスタイプ</v>
          </cell>
          <cell r="M1481" t="str">
            <v>demon</v>
          </cell>
        </row>
        <row r="1482">
          <cell r="A1482">
            <v>5006</v>
          </cell>
          <cell r="B1482" t="str">
            <v>ja</v>
          </cell>
          <cell r="C1482" t="str">
            <v>カーミラ★６</v>
          </cell>
          <cell r="D1482" t="str">
            <v>ノーマルクエスト</v>
          </cell>
          <cell r="E1482" t="str">
            <v>アバター</v>
          </cell>
          <cell r="F1482" t="str">
            <v>世界観</v>
          </cell>
          <cell r="G1482" t="str">
            <v>男性</v>
          </cell>
          <cell r="H1482" t="str">
            <v>green</v>
          </cell>
          <cell r="I1482">
            <v>6</v>
          </cell>
          <cell r="J1482" t="str">
            <v>PremiumSSw</v>
          </cell>
          <cell r="K1482" t="str">
            <v>balance</v>
          </cell>
          <cell r="L1482" t="str">
            <v>バランスタイプ</v>
          </cell>
          <cell r="M1482" t="str">
            <v>demon</v>
          </cell>
        </row>
        <row r="1483">
          <cell r="A1483">
            <v>5007</v>
          </cell>
          <cell r="B1483" t="str">
            <v>ja</v>
          </cell>
          <cell r="C1483" t="str">
            <v>ヘルシング</v>
          </cell>
          <cell r="D1483" t="str">
            <v>リンクガチャ:4神</v>
          </cell>
          <cell r="E1483" t="str">
            <v>守護神</v>
          </cell>
          <cell r="F1483" t="str">
            <v>格好いい</v>
          </cell>
          <cell r="G1483" t="str">
            <v>不明</v>
          </cell>
          <cell r="H1483" t="str">
            <v>yellow</v>
          </cell>
          <cell r="I1483">
            <v>5</v>
          </cell>
          <cell r="J1483" t="str">
            <v>DropWizS</v>
          </cell>
          <cell r="K1483" t="str">
            <v>technical</v>
          </cell>
          <cell r="L1483" t="str">
            <v>テクニカルタイプ</v>
          </cell>
          <cell r="M1483" t="str">
            <v>human</v>
          </cell>
        </row>
        <row r="1484">
          <cell r="A1484">
            <v>5008</v>
          </cell>
          <cell r="B1484" t="str">
            <v>ja</v>
          </cell>
          <cell r="C1484" t="str">
            <v>ヘルシング★６</v>
          </cell>
          <cell r="D1484" t="str">
            <v>ノーマルクエスト</v>
          </cell>
          <cell r="E1484" t="str">
            <v>アバター</v>
          </cell>
          <cell r="F1484" t="str">
            <v>世界観</v>
          </cell>
          <cell r="G1484" t="str">
            <v>不明</v>
          </cell>
          <cell r="H1484" t="str">
            <v>yellow</v>
          </cell>
          <cell r="I1484">
            <v>6</v>
          </cell>
          <cell r="J1484" t="str">
            <v>DropWizS</v>
          </cell>
          <cell r="K1484" t="str">
            <v>technical</v>
          </cell>
          <cell r="L1484" t="str">
            <v>テクニカルタイプ</v>
          </cell>
          <cell r="M1484" t="str">
            <v>human</v>
          </cell>
        </row>
        <row r="1485">
          <cell r="A1485">
            <v>6001</v>
          </cell>
          <cell r="B1485" t="str">
            <v>ja</v>
          </cell>
          <cell r="C1485" t="str">
            <v>ジェリー</v>
          </cell>
          <cell r="D1485" t="str">
            <v>ノーマルクエスト</v>
          </cell>
          <cell r="E1485" t="str">
            <v>QoH</v>
          </cell>
          <cell r="F1485" t="str">
            <v>世界観</v>
          </cell>
          <cell r="G1485" t="str">
            <v>不明</v>
          </cell>
          <cell r="H1485" t="str">
            <v>red</v>
          </cell>
          <cell r="I1485">
            <v>1</v>
          </cell>
          <cell r="J1485" t="str">
            <v>Drop1T</v>
          </cell>
          <cell r="K1485" t="str">
            <v>ra</v>
          </cell>
          <cell r="L1485" t="str">
            <v>ラグランジュチャレンジ</v>
          </cell>
          <cell r="M1485" t="str">
            <v>unknown</v>
          </cell>
        </row>
        <row r="1486">
          <cell r="A1486">
            <v>6002</v>
          </cell>
          <cell r="B1486" t="str">
            <v>ja</v>
          </cell>
          <cell r="C1486" t="str">
            <v>ヨシタカ</v>
          </cell>
          <cell r="D1486" t="str">
            <v>ノーマルクエスト</v>
          </cell>
          <cell r="E1486" t="str">
            <v>アバター</v>
          </cell>
          <cell r="F1486" t="str">
            <v>世界観</v>
          </cell>
          <cell r="G1486" t="str">
            <v>男性</v>
          </cell>
          <cell r="H1486" t="str">
            <v>red</v>
          </cell>
          <cell r="I1486">
            <v>2</v>
          </cell>
          <cell r="J1486" t="str">
            <v>Drop1N</v>
          </cell>
          <cell r="K1486" t="str">
            <v>ra</v>
          </cell>
          <cell r="L1486" t="str">
            <v>ラグランジュチャレンジ</v>
          </cell>
          <cell r="M1486" t="str">
            <v>human</v>
          </cell>
        </row>
        <row r="1487">
          <cell r="A1487">
            <v>6003</v>
          </cell>
          <cell r="B1487" t="str">
            <v>ja</v>
          </cell>
          <cell r="C1487" t="str">
            <v>朱雀</v>
          </cell>
          <cell r="D1487" t="str">
            <v>リンクガチャ:4神</v>
          </cell>
          <cell r="E1487" t="str">
            <v>守護神</v>
          </cell>
          <cell r="F1487" t="str">
            <v>格好いい</v>
          </cell>
          <cell r="G1487" t="str">
            <v>不明</v>
          </cell>
          <cell r="H1487" t="str">
            <v>red</v>
          </cell>
          <cell r="I1487">
            <v>3</v>
          </cell>
          <cell r="J1487" t="str">
            <v>Drop2N</v>
          </cell>
          <cell r="K1487" t="str">
            <v>ra</v>
          </cell>
          <cell r="L1487" t="str">
            <v>ラグランジュチャレンジ</v>
          </cell>
          <cell r="M1487" t="str">
            <v>animal</v>
          </cell>
        </row>
        <row r="1488">
          <cell r="A1488">
            <v>6004</v>
          </cell>
          <cell r="B1488" t="str">
            <v>ja</v>
          </cell>
          <cell r="C1488" t="str">
            <v>ブレット</v>
          </cell>
          <cell r="D1488" t="str">
            <v>ノーマルクエスト</v>
          </cell>
          <cell r="E1488" t="str">
            <v>アバター</v>
          </cell>
          <cell r="F1488" t="str">
            <v>世界観</v>
          </cell>
          <cell r="G1488" t="str">
            <v>不明</v>
          </cell>
          <cell r="H1488" t="str">
            <v>red</v>
          </cell>
          <cell r="I1488">
            <v>1</v>
          </cell>
          <cell r="J1488" t="str">
            <v>Drop1W</v>
          </cell>
          <cell r="K1488" t="str">
            <v>ra</v>
          </cell>
          <cell r="L1488" t="str">
            <v>ラグランジュチャレンジ</v>
          </cell>
          <cell r="M1488" t="str">
            <v>animal</v>
          </cell>
        </row>
        <row r="1489">
          <cell r="A1489">
            <v>6005</v>
          </cell>
          <cell r="B1489" t="str">
            <v>ja</v>
          </cell>
          <cell r="C1489" t="str">
            <v>孤神 テティス</v>
          </cell>
          <cell r="D1489" t="str">
            <v>初期ガチャ</v>
          </cell>
          <cell r="E1489" t="str">
            <v>管理者</v>
          </cell>
          <cell r="F1489" t="str">
            <v>美しい</v>
          </cell>
          <cell r="G1489" t="str">
            <v>女性</v>
          </cell>
          <cell r="H1489" t="str">
            <v>blue</v>
          </cell>
          <cell r="I1489">
            <v>4</v>
          </cell>
          <cell r="J1489" t="str">
            <v>PremiumN</v>
          </cell>
          <cell r="K1489" t="str">
            <v>ra</v>
          </cell>
          <cell r="L1489" t="str">
            <v>ラグランジュチャレンジ</v>
          </cell>
          <cell r="M1489" t="str">
            <v>god</v>
          </cell>
        </row>
        <row r="1490">
          <cell r="A1490">
            <v>6006</v>
          </cell>
          <cell r="B1490" t="str">
            <v>ja</v>
          </cell>
          <cell r="C1490" t="str">
            <v>海底の孤高神 テティス</v>
          </cell>
          <cell r="D1490" t="str">
            <v>初期ガチャ</v>
          </cell>
          <cell r="E1490" t="str">
            <v>管理者</v>
          </cell>
          <cell r="F1490" t="str">
            <v>美しい</v>
          </cell>
          <cell r="G1490" t="str">
            <v>女性</v>
          </cell>
          <cell r="H1490" t="str">
            <v>blue</v>
          </cell>
          <cell r="I1490">
            <v>5</v>
          </cell>
          <cell r="J1490" t="str">
            <v>PremiumN</v>
          </cell>
          <cell r="K1490" t="str">
            <v>ra</v>
          </cell>
          <cell r="L1490" t="str">
            <v>ラグランジュチャレンジ</v>
          </cell>
          <cell r="M1490" t="str">
            <v>god</v>
          </cell>
        </row>
        <row r="1491">
          <cell r="A1491">
            <v>6007</v>
          </cell>
          <cell r="B1491" t="str">
            <v>ja</v>
          </cell>
          <cell r="C1491" t="str">
            <v>番犬 ケルベロス</v>
          </cell>
          <cell r="D1491" t="str">
            <v>初期ガチャ</v>
          </cell>
          <cell r="E1491" t="str">
            <v>破界者</v>
          </cell>
          <cell r="F1491" t="str">
            <v>可愛い</v>
          </cell>
          <cell r="G1491" t="str">
            <v>女性</v>
          </cell>
          <cell r="H1491" t="str">
            <v>red</v>
          </cell>
          <cell r="I1491">
            <v>4</v>
          </cell>
          <cell r="J1491" t="str">
            <v>PremiumN</v>
          </cell>
          <cell r="K1491" t="str">
            <v>ra</v>
          </cell>
          <cell r="L1491" t="str">
            <v>ラグランジュチャレンジ</v>
          </cell>
          <cell r="M1491" t="str">
            <v>animal</v>
          </cell>
        </row>
        <row r="1492">
          <cell r="A1492">
            <v>6008</v>
          </cell>
          <cell r="B1492" t="str">
            <v>ja</v>
          </cell>
          <cell r="C1492" t="str">
            <v>焔神 プロメテウス</v>
          </cell>
          <cell r="D1492" t="str">
            <v>初期ガチャ</v>
          </cell>
          <cell r="E1492" t="str">
            <v>管理者</v>
          </cell>
          <cell r="F1492" t="str">
            <v>格好いい</v>
          </cell>
          <cell r="G1492" t="str">
            <v>男性</v>
          </cell>
          <cell r="H1492" t="str">
            <v>red</v>
          </cell>
          <cell r="I1492">
            <v>4</v>
          </cell>
          <cell r="J1492" t="str">
            <v>PremiumN</v>
          </cell>
          <cell r="K1492" t="str">
            <v>ra</v>
          </cell>
          <cell r="L1492" t="str">
            <v>ラグランジュチャレンジ</v>
          </cell>
          <cell r="M1492" t="str">
            <v>god</v>
          </cell>
        </row>
        <row r="1493">
          <cell r="A1493">
            <v>6009</v>
          </cell>
          <cell r="B1493" t="str">
            <v>ja</v>
          </cell>
          <cell r="C1493" t="str">
            <v>超越自我 ラグランジュ</v>
          </cell>
          <cell r="D1493" t="str">
            <v>ガチャ:フィーバーフェス02</v>
          </cell>
          <cell r="E1493" t="str">
            <v>執行者</v>
          </cell>
          <cell r="F1493" t="str">
            <v>格好いい</v>
          </cell>
          <cell r="G1493" t="str">
            <v>女性</v>
          </cell>
          <cell r="H1493" t="str">
            <v>red</v>
          </cell>
          <cell r="I1493">
            <v>5</v>
          </cell>
          <cell r="J1493" t="str">
            <v>PremiumSSS</v>
          </cell>
          <cell r="K1493" t="str">
            <v>ra</v>
          </cell>
          <cell r="L1493" t="str">
            <v>ラグランジュチャレンジ</v>
          </cell>
          <cell r="M1493" t="str">
            <v>human</v>
          </cell>
        </row>
        <row r="1494">
          <cell r="A1494">
            <v>6010</v>
          </cell>
          <cell r="B1494" t="str">
            <v>ja</v>
          </cell>
          <cell r="C1494" t="str">
            <v>超越凌駕 ラグランジュ</v>
          </cell>
          <cell r="D1494" t="str">
            <v>ガチャ:フィーバーフェス02</v>
          </cell>
          <cell r="E1494" t="str">
            <v>執行者</v>
          </cell>
          <cell r="F1494" t="str">
            <v>格好いい</v>
          </cell>
          <cell r="G1494" t="str">
            <v>女性</v>
          </cell>
          <cell r="H1494" t="str">
            <v>red</v>
          </cell>
          <cell r="I1494">
            <v>6</v>
          </cell>
          <cell r="J1494" t="str">
            <v>PremiumSSS</v>
          </cell>
          <cell r="K1494" t="str">
            <v>ra</v>
          </cell>
          <cell r="L1494" t="str">
            <v>ラグランジュチャレンジ</v>
          </cell>
          <cell r="M1494" t="str">
            <v>human</v>
          </cell>
        </row>
        <row r="1495">
          <cell r="A1495">
            <v>6011</v>
          </cell>
          <cell r="B1495" t="str">
            <v>ja</v>
          </cell>
          <cell r="C1495" t="str">
            <v>パトドッグリーダー ポチ</v>
          </cell>
          <cell r="D1495" t="str">
            <v>ガチャ:フィーバーフェス02</v>
          </cell>
          <cell r="E1495" t="str">
            <v>執行者</v>
          </cell>
          <cell r="F1495" t="str">
            <v>格好いい</v>
          </cell>
          <cell r="G1495" t="str">
            <v>男性</v>
          </cell>
          <cell r="H1495" t="str">
            <v>blue</v>
          </cell>
          <cell r="I1495">
            <v>2</v>
          </cell>
          <cell r="J1495" t="str">
            <v>Drop1T</v>
          </cell>
          <cell r="K1495" t="str">
            <v>ra002</v>
          </cell>
          <cell r="L1495" t="str">
            <v>ユークリッドチャレンジ</v>
          </cell>
          <cell r="M1495" t="str">
            <v>unknown</v>
          </cell>
        </row>
        <row r="1496">
          <cell r="A1496">
            <v>6012</v>
          </cell>
          <cell r="B1496" t="str">
            <v>ja</v>
          </cell>
          <cell r="C1496" t="str">
            <v>ミミ</v>
          </cell>
          <cell r="D1496" t="str">
            <v>ガチャ:フィーバーフェス02</v>
          </cell>
          <cell r="E1496" t="str">
            <v>執行者</v>
          </cell>
          <cell r="F1496" t="str">
            <v>格好いい</v>
          </cell>
          <cell r="G1496" t="str">
            <v>男性</v>
          </cell>
          <cell r="H1496" t="str">
            <v>yellow</v>
          </cell>
          <cell r="I1496">
            <v>1</v>
          </cell>
          <cell r="J1496" t="str">
            <v>Drop1W</v>
          </cell>
          <cell r="K1496" t="str">
            <v>ra002</v>
          </cell>
          <cell r="L1496" t="str">
            <v>ユークリッドチャレンジ</v>
          </cell>
          <cell r="M1496" t="str">
            <v>animal</v>
          </cell>
        </row>
        <row r="1497">
          <cell r="A1497">
            <v>6013</v>
          </cell>
          <cell r="B1497" t="str">
            <v>ja</v>
          </cell>
          <cell r="C1497" t="str">
            <v>護衛機人 スケアクロウ</v>
          </cell>
          <cell r="D1497" t="str">
            <v>ガチャ:フィーバーフェス02</v>
          </cell>
          <cell r="E1497" t="str">
            <v>執行者</v>
          </cell>
          <cell r="F1497" t="str">
            <v>格好いい</v>
          </cell>
          <cell r="G1497" t="str">
            <v>男性</v>
          </cell>
          <cell r="H1497" t="str">
            <v>blue</v>
          </cell>
          <cell r="I1497">
            <v>2</v>
          </cell>
          <cell r="J1497" t="str">
            <v>Drop1N</v>
          </cell>
          <cell r="K1497" t="str">
            <v>ra002</v>
          </cell>
          <cell r="L1497" t="str">
            <v>ユークリッドチャレンジ</v>
          </cell>
          <cell r="M1497" t="str">
            <v>machine</v>
          </cell>
        </row>
        <row r="1498">
          <cell r="A1498">
            <v>6014</v>
          </cell>
          <cell r="B1498" t="str">
            <v>ja</v>
          </cell>
          <cell r="C1498" t="str">
            <v>月下の人狼 ローレンス</v>
          </cell>
          <cell r="D1498" t="str">
            <v>ガチャ:フィーバーフェス02</v>
          </cell>
          <cell r="E1498" t="str">
            <v>執行者</v>
          </cell>
          <cell r="F1498" t="str">
            <v>格好いい</v>
          </cell>
          <cell r="G1498" t="str">
            <v>男性</v>
          </cell>
          <cell r="H1498" t="str">
            <v>blue</v>
          </cell>
          <cell r="I1498">
            <v>4</v>
          </cell>
          <cell r="J1498" t="str">
            <v>PremiumW</v>
          </cell>
          <cell r="K1498" t="str">
            <v>ra002</v>
          </cell>
          <cell r="L1498" t="str">
            <v>ユークリッドチャレンジ</v>
          </cell>
          <cell r="M1498" t="str">
            <v>animal</v>
          </cell>
        </row>
        <row r="1499">
          <cell r="A1499">
            <v>6015</v>
          </cell>
          <cell r="B1499" t="str">
            <v>ja</v>
          </cell>
          <cell r="C1499" t="str">
            <v>フレイヤ</v>
          </cell>
          <cell r="D1499" t="str">
            <v>ガチャ:フィーバーフェス02</v>
          </cell>
          <cell r="E1499" t="str">
            <v>執行者</v>
          </cell>
          <cell r="F1499" t="str">
            <v>格好いい</v>
          </cell>
          <cell r="G1499" t="str">
            <v>男性</v>
          </cell>
          <cell r="H1499" t="str">
            <v>blue</v>
          </cell>
          <cell r="I1499">
            <v>4</v>
          </cell>
          <cell r="J1499" t="str">
            <v>PremiumSS</v>
          </cell>
          <cell r="K1499" t="str">
            <v>ra002</v>
          </cell>
          <cell r="L1499" t="str">
            <v>ユークリッドチャレンジ</v>
          </cell>
          <cell r="M1499" t="str">
            <v>animal</v>
          </cell>
        </row>
        <row r="1500">
          <cell r="A1500">
            <v>6016</v>
          </cell>
          <cell r="B1500" t="str">
            <v>ja</v>
          </cell>
          <cell r="C1500" t="str">
            <v>根原論理 ユークリッド</v>
          </cell>
          <cell r="D1500" t="str">
            <v>ガチャ:フィーバーフェス02</v>
          </cell>
          <cell r="E1500" t="str">
            <v>執行者</v>
          </cell>
          <cell r="F1500" t="str">
            <v>格好いい</v>
          </cell>
          <cell r="G1500" t="str">
            <v>男性</v>
          </cell>
          <cell r="H1500" t="str">
            <v>blue</v>
          </cell>
          <cell r="I1500">
            <v>5</v>
          </cell>
          <cell r="J1500" t="str">
            <v>PremiumSSS</v>
          </cell>
          <cell r="K1500" t="str">
            <v>ra002</v>
          </cell>
          <cell r="L1500" t="str">
            <v>ユークリッドチャレンジ</v>
          </cell>
          <cell r="M1500" t="str">
            <v>human</v>
          </cell>
        </row>
        <row r="1501">
          <cell r="A1501">
            <v>6017</v>
          </cell>
          <cell r="B1501" t="str">
            <v>ja</v>
          </cell>
          <cell r="C1501" t="str">
            <v>不朽の極論 ユークリッド</v>
          </cell>
          <cell r="D1501" t="str">
            <v>ガチャ:フィーバーフェス02</v>
          </cell>
          <cell r="E1501" t="str">
            <v>執行者</v>
          </cell>
          <cell r="F1501" t="str">
            <v>格好いい</v>
          </cell>
          <cell r="G1501" t="str">
            <v>男性</v>
          </cell>
          <cell r="H1501" t="str">
            <v>blue</v>
          </cell>
          <cell r="I1501">
            <v>6</v>
          </cell>
          <cell r="J1501" t="str">
            <v>PremiumSSS</v>
          </cell>
          <cell r="K1501" t="str">
            <v>ra002</v>
          </cell>
          <cell r="L1501" t="str">
            <v>ユークリッドチャレンジ</v>
          </cell>
          <cell r="M1501" t="str">
            <v>human</v>
          </cell>
        </row>
        <row r="1502">
          <cell r="A1502">
            <v>6018</v>
          </cell>
          <cell r="B1502" t="str">
            <v>ja</v>
          </cell>
          <cell r="C1502" t="str">
            <v>ハヅル</v>
          </cell>
          <cell r="D1502" t="str">
            <v>ガチャ:フィーバーフェス02</v>
          </cell>
          <cell r="E1502" t="str">
            <v>執行者</v>
          </cell>
          <cell r="F1502" t="str">
            <v>格好いい</v>
          </cell>
          <cell r="G1502" t="str">
            <v>男性</v>
          </cell>
          <cell r="H1502" t="str">
            <v>red</v>
          </cell>
          <cell r="I1502">
            <v>4</v>
          </cell>
          <cell r="J1502" t="str">
            <v>PremiumSS</v>
          </cell>
          <cell r="K1502" t="str">
            <v>ra002</v>
          </cell>
          <cell r="L1502" t="str">
            <v>ユークリッドチャレンジ</v>
          </cell>
          <cell r="M1502" t="str">
            <v>animal</v>
          </cell>
        </row>
        <row r="1503">
          <cell r="A1503">
            <v>6019</v>
          </cell>
          <cell r="B1503" t="str">
            <v>ja</v>
          </cell>
          <cell r="C1503" t="str">
            <v>天織羽鶴 ハヅル</v>
          </cell>
          <cell r="D1503" t="str">
            <v>ガチャ:フィーバーフェス02</v>
          </cell>
          <cell r="E1503" t="str">
            <v>執行者</v>
          </cell>
          <cell r="F1503" t="str">
            <v>格好いい</v>
          </cell>
          <cell r="G1503" t="str">
            <v>男性</v>
          </cell>
          <cell r="H1503" t="str">
            <v>red</v>
          </cell>
          <cell r="I1503">
            <v>5</v>
          </cell>
          <cell r="J1503" t="str">
            <v>PremiumSS</v>
          </cell>
          <cell r="K1503" t="str">
            <v>ra002</v>
          </cell>
          <cell r="L1503" t="str">
            <v>ユークリッドチャレンジ</v>
          </cell>
          <cell r="M1503" t="str">
            <v>animal</v>
          </cell>
        </row>
        <row r="1504">
          <cell r="A1504">
            <v>6020</v>
          </cell>
          <cell r="B1504" t="str">
            <v>ja</v>
          </cell>
          <cell r="C1504" t="str">
            <v>ミズチ</v>
          </cell>
          <cell r="D1504" t="str">
            <v>ガチャ:フィーバーフェス02</v>
          </cell>
          <cell r="E1504" t="str">
            <v>執行者</v>
          </cell>
          <cell r="F1504" t="str">
            <v>格好いい</v>
          </cell>
          <cell r="G1504" t="str">
            <v>男性</v>
          </cell>
          <cell r="H1504" t="str">
            <v>blue</v>
          </cell>
          <cell r="I1504">
            <v>4</v>
          </cell>
          <cell r="J1504" t="str">
            <v>PremiumS</v>
          </cell>
          <cell r="K1504" t="str">
            <v>ra002</v>
          </cell>
          <cell r="L1504" t="str">
            <v>ユークリッドチャレンジ</v>
          </cell>
          <cell r="M1504" t="str">
            <v>dragon</v>
          </cell>
        </row>
        <row r="1505">
          <cell r="A1505">
            <v>8001</v>
          </cell>
          <cell r="B1505" t="str">
            <v>ja</v>
          </cell>
          <cell r="C1505" t="str">
            <v>媽祖</v>
          </cell>
          <cell r="D1505" t="str">
            <v>イベント:ミクコラボ01</v>
          </cell>
          <cell r="E1505" t="str">
            <v>執行者</v>
          </cell>
          <cell r="F1505" t="str">
            <v>格好いい</v>
          </cell>
          <cell r="G1505" t="str">
            <v>女性</v>
          </cell>
          <cell r="H1505" t="str">
            <v>yellow</v>
          </cell>
          <cell r="I1505">
            <v>5</v>
          </cell>
          <cell r="J1505" t="str">
            <v>PremiumSS</v>
          </cell>
          <cell r="K1505" t="str">
            <v>attack</v>
          </cell>
          <cell r="L1505" t="str">
            <v>攻撃タイプ</v>
          </cell>
          <cell r="M1505" t="str">
            <v>god</v>
          </cell>
        </row>
        <row r="1506">
          <cell r="A1506">
            <v>8002</v>
          </cell>
          <cell r="B1506" t="str">
            <v>ja</v>
          </cell>
          <cell r="C1506" t="str">
            <v>宣導する天海妃 媽祖</v>
          </cell>
          <cell r="D1506" t="str">
            <v>イベント:ミクコラボ01</v>
          </cell>
          <cell r="E1506" t="str">
            <v>執行者</v>
          </cell>
          <cell r="F1506" t="str">
            <v>格好いい</v>
          </cell>
          <cell r="G1506" t="str">
            <v>女性</v>
          </cell>
          <cell r="H1506" t="str">
            <v>yellow</v>
          </cell>
          <cell r="I1506">
            <v>6</v>
          </cell>
          <cell r="J1506" t="str">
            <v>PremiumSS</v>
          </cell>
          <cell r="K1506" t="str">
            <v>attack</v>
          </cell>
          <cell r="L1506" t="str">
            <v>攻撃タイプ</v>
          </cell>
          <cell r="M1506" t="str">
            <v>god</v>
          </cell>
        </row>
        <row r="1507">
          <cell r="A1507">
            <v>8003</v>
          </cell>
          <cell r="B1507" t="str">
            <v>ja</v>
          </cell>
          <cell r="C1507" t="str">
            <v>蛟龍</v>
          </cell>
          <cell r="D1507" t="str">
            <v>イベント:ミクコラボ01</v>
          </cell>
          <cell r="E1507" t="str">
            <v>執行者</v>
          </cell>
          <cell r="F1507" t="str">
            <v>格好いい</v>
          </cell>
          <cell r="G1507" t="str">
            <v>不明</v>
          </cell>
          <cell r="H1507" t="str">
            <v>blue</v>
          </cell>
          <cell r="I1507">
            <v>5</v>
          </cell>
          <cell r="J1507" t="str">
            <v>DropWizS</v>
          </cell>
          <cell r="K1507" t="str">
            <v>hp</v>
          </cell>
          <cell r="L1507" t="str">
            <v>体力タイプ</v>
          </cell>
          <cell r="M1507" t="str">
            <v>dragon</v>
          </cell>
        </row>
        <row r="1508">
          <cell r="A1508">
            <v>8004</v>
          </cell>
          <cell r="B1508" t="str">
            <v>ja</v>
          </cell>
          <cell r="C1508" t="str">
            <v>呼嵐の蒼棲龍 蛟龍</v>
          </cell>
          <cell r="D1508" t="str">
            <v>イベント:ミクコラボ01</v>
          </cell>
          <cell r="E1508" t="str">
            <v>執行者</v>
          </cell>
          <cell r="F1508" t="str">
            <v>格好いい</v>
          </cell>
          <cell r="G1508" t="str">
            <v>不明</v>
          </cell>
          <cell r="H1508" t="str">
            <v>blue</v>
          </cell>
          <cell r="I1508">
            <v>6</v>
          </cell>
          <cell r="J1508" t="str">
            <v>DropWizS</v>
          </cell>
          <cell r="K1508" t="str">
            <v>hp</v>
          </cell>
          <cell r="L1508" t="str">
            <v>体力タイプ</v>
          </cell>
          <cell r="M1508" t="str">
            <v>dragon</v>
          </cell>
        </row>
        <row r="1509">
          <cell r="A1509">
            <v>8005</v>
          </cell>
          <cell r="B1509" t="str">
            <v>ja</v>
          </cell>
          <cell r="C1509" t="str">
            <v>三蔵法師</v>
          </cell>
          <cell r="D1509" t="str">
            <v>イベント:ミクコラボ01</v>
          </cell>
          <cell r="E1509" t="str">
            <v>執行者</v>
          </cell>
          <cell r="F1509" t="str">
            <v>格好いい</v>
          </cell>
          <cell r="G1509" t="str">
            <v>不明</v>
          </cell>
          <cell r="H1509" t="str">
            <v>blue</v>
          </cell>
          <cell r="I1509">
            <v>5</v>
          </cell>
          <cell r="J1509" t="str">
            <v>PremiumSS</v>
          </cell>
          <cell r="K1509" t="str">
            <v>balance</v>
          </cell>
          <cell r="L1509" t="str">
            <v>バランスタイプ</v>
          </cell>
          <cell r="M1509" t="str">
            <v>human</v>
          </cell>
        </row>
        <row r="1510">
          <cell r="A1510">
            <v>8006</v>
          </cell>
          <cell r="B1510" t="str">
            <v>ja</v>
          </cell>
          <cell r="C1510" t="str">
            <v>慈戒の呪封使 三蔵法師</v>
          </cell>
          <cell r="D1510" t="str">
            <v>イベント:ミクコラボ01</v>
          </cell>
          <cell r="E1510" t="str">
            <v>執行者</v>
          </cell>
          <cell r="F1510" t="str">
            <v>格好いい</v>
          </cell>
          <cell r="G1510" t="str">
            <v>不明</v>
          </cell>
          <cell r="H1510" t="str">
            <v>blue</v>
          </cell>
          <cell r="I1510">
            <v>6</v>
          </cell>
          <cell r="J1510" t="str">
            <v>PremiumSS</v>
          </cell>
          <cell r="K1510" t="str">
            <v>balance</v>
          </cell>
          <cell r="L1510" t="str">
            <v>バランスタイプ</v>
          </cell>
          <cell r="M1510" t="str">
            <v>human</v>
          </cell>
        </row>
        <row r="1511">
          <cell r="A1511">
            <v>8007</v>
          </cell>
          <cell r="B1511" t="str">
            <v>ja</v>
          </cell>
          <cell r="C1511" t="str">
            <v>孫悟空</v>
          </cell>
          <cell r="D1511" t="str">
            <v>イベント:ミクコラボ01</v>
          </cell>
          <cell r="E1511" t="str">
            <v>執行者</v>
          </cell>
          <cell r="F1511" t="str">
            <v>格好いい</v>
          </cell>
          <cell r="G1511" t="str">
            <v>不明</v>
          </cell>
          <cell r="H1511" t="str">
            <v>red</v>
          </cell>
          <cell r="I1511">
            <v>5</v>
          </cell>
          <cell r="J1511" t="str">
            <v>DropWizS</v>
          </cell>
          <cell r="K1511" t="str">
            <v>attack</v>
          </cell>
          <cell r="L1511" t="str">
            <v>攻撃タイプ</v>
          </cell>
          <cell r="M1511" t="str">
            <v>animal</v>
          </cell>
        </row>
        <row r="1512">
          <cell r="A1512">
            <v>8008</v>
          </cell>
          <cell r="B1512" t="str">
            <v>ja</v>
          </cell>
          <cell r="C1512" t="str">
            <v>花果の天猿仙人 孫悟空</v>
          </cell>
          <cell r="D1512" t="str">
            <v>イベント:ミクコラボ01</v>
          </cell>
          <cell r="E1512" t="str">
            <v>執行者</v>
          </cell>
          <cell r="F1512" t="str">
            <v>格好いい</v>
          </cell>
          <cell r="G1512" t="str">
            <v>不明</v>
          </cell>
          <cell r="H1512" t="str">
            <v>red</v>
          </cell>
          <cell r="I1512">
            <v>6</v>
          </cell>
          <cell r="J1512" t="str">
            <v>DropWizS</v>
          </cell>
          <cell r="K1512" t="str">
            <v>attack</v>
          </cell>
          <cell r="L1512" t="str">
            <v>攻撃タイプ</v>
          </cell>
          <cell r="M1512" t="str">
            <v>animal</v>
          </cell>
        </row>
        <row r="1513">
          <cell r="A1513">
            <v>8009</v>
          </cell>
          <cell r="B1513" t="str">
            <v>ja</v>
          </cell>
          <cell r="C1513" t="str">
            <v>西王娘娘</v>
          </cell>
          <cell r="D1513" t="str">
            <v>イベント:ミクコラボ01</v>
          </cell>
          <cell r="E1513" t="str">
            <v>執行者</v>
          </cell>
          <cell r="F1513" t="str">
            <v>格好いい</v>
          </cell>
          <cell r="G1513" t="str">
            <v>不明</v>
          </cell>
          <cell r="H1513" t="str">
            <v>green</v>
          </cell>
          <cell r="I1513">
            <v>5</v>
          </cell>
          <cell r="J1513" t="str">
            <v>PremiumSS</v>
          </cell>
          <cell r="K1513" t="str">
            <v>attack</v>
          </cell>
          <cell r="L1513" t="str">
            <v>攻撃タイプ</v>
          </cell>
          <cell r="M1513" t="str">
            <v>god</v>
          </cell>
        </row>
        <row r="1514">
          <cell r="A1514">
            <v>8010</v>
          </cell>
          <cell r="B1514" t="str">
            <v>ja</v>
          </cell>
          <cell r="C1514" t="str">
            <v>極楽瑶池の聖母 西王娘娘</v>
          </cell>
          <cell r="D1514" t="str">
            <v>イベント:ミクコラボ01</v>
          </cell>
          <cell r="E1514" t="str">
            <v>執行者</v>
          </cell>
          <cell r="F1514" t="str">
            <v>格好いい</v>
          </cell>
          <cell r="G1514" t="str">
            <v>不明</v>
          </cell>
          <cell r="H1514" t="str">
            <v>green</v>
          </cell>
          <cell r="I1514">
            <v>6</v>
          </cell>
          <cell r="J1514" t="str">
            <v>PremiumSS</v>
          </cell>
          <cell r="K1514" t="str">
            <v>attack</v>
          </cell>
          <cell r="L1514" t="str">
            <v>攻撃タイプ</v>
          </cell>
          <cell r="M1514" t="str">
            <v>god</v>
          </cell>
        </row>
        <row r="1515">
          <cell r="A1515">
            <v>8011</v>
          </cell>
          <cell r="B1515" t="str">
            <v>ja</v>
          </cell>
          <cell r="C1515" t="str">
            <v>月下老人</v>
          </cell>
          <cell r="D1515" t="str">
            <v>イベント:ミクコラボ01</v>
          </cell>
          <cell r="E1515" t="str">
            <v>執行者</v>
          </cell>
          <cell r="F1515" t="str">
            <v>格好いい</v>
          </cell>
          <cell r="G1515" t="str">
            <v>女性</v>
          </cell>
          <cell r="H1515" t="str">
            <v>yellow</v>
          </cell>
          <cell r="I1515">
            <v>5</v>
          </cell>
          <cell r="J1515" t="str">
            <v>DropWizS</v>
          </cell>
          <cell r="K1515" t="str">
            <v>balance</v>
          </cell>
          <cell r="L1515" t="str">
            <v>バランスタイプ</v>
          </cell>
          <cell r="M1515" t="str">
            <v>god</v>
          </cell>
        </row>
        <row r="1516">
          <cell r="A1516">
            <v>8012</v>
          </cell>
          <cell r="B1516" t="str">
            <v>ja</v>
          </cell>
          <cell r="C1516" t="str">
            <v>破戀斬る縁剣 月下老人</v>
          </cell>
          <cell r="D1516" t="str">
            <v>イベント:ミクコラボ01</v>
          </cell>
          <cell r="E1516" t="str">
            <v>執行者</v>
          </cell>
          <cell r="F1516" t="str">
            <v>格好いい</v>
          </cell>
          <cell r="G1516" t="str">
            <v>女性</v>
          </cell>
          <cell r="H1516" t="str">
            <v>yellow</v>
          </cell>
          <cell r="I1516">
            <v>6</v>
          </cell>
          <cell r="J1516" t="str">
            <v>DropWizS</v>
          </cell>
          <cell r="K1516" t="str">
            <v>balance</v>
          </cell>
          <cell r="L1516" t="str">
            <v>バランスタイプ</v>
          </cell>
          <cell r="M1516" t="str">
            <v>god</v>
          </cell>
        </row>
        <row r="1517">
          <cell r="A1517">
            <v>8013</v>
          </cell>
          <cell r="B1517" t="str">
            <v>ja</v>
          </cell>
          <cell r="C1517" t="str">
            <v>初音ミクV3</v>
          </cell>
          <cell r="D1517" t="str">
            <v>初音ミクV3</v>
          </cell>
          <cell r="E1517" t="str">
            <v>執行者</v>
          </cell>
          <cell r="F1517" t="str">
            <v>格好いい</v>
          </cell>
          <cell r="G1517" t="str">
            <v>女性</v>
          </cell>
          <cell r="H1517" t="str">
            <v>yellow</v>
          </cell>
          <cell r="I1517">
            <v>4</v>
          </cell>
          <cell r="J1517" t="str">
            <v>DropWizS</v>
          </cell>
          <cell r="K1517" t="str">
            <v>balance</v>
          </cell>
          <cell r="L1517" t="str">
            <v>バランスタイプ</v>
          </cell>
          <cell r="M1517" t="str">
            <v>unknown</v>
          </cell>
        </row>
        <row r="1518">
          <cell r="A1518">
            <v>8014</v>
          </cell>
          <cell r="B1518" t="str">
            <v>ja</v>
          </cell>
          <cell r="C1518" t="str">
            <v>初音ミクV3</v>
          </cell>
          <cell r="D1518" t="str">
            <v>初音ミクV3</v>
          </cell>
          <cell r="E1518" t="str">
            <v>執行者</v>
          </cell>
          <cell r="F1518" t="str">
            <v>格好いい</v>
          </cell>
          <cell r="G1518" t="str">
            <v>女性</v>
          </cell>
          <cell r="H1518" t="str">
            <v>yellow</v>
          </cell>
          <cell r="I1518">
            <v>5</v>
          </cell>
          <cell r="J1518" t="str">
            <v>DropWizS</v>
          </cell>
          <cell r="K1518" t="str">
            <v>balance</v>
          </cell>
          <cell r="L1518" t="str">
            <v>バランスタイプ</v>
          </cell>
          <cell r="M1518" t="str">
            <v>unknown</v>
          </cell>
        </row>
        <row r="1519">
          <cell r="A1519">
            <v>8015</v>
          </cell>
          <cell r="B1519" t="str">
            <v>ja</v>
          </cell>
          <cell r="C1519" t="str">
            <v>初音ミク・アペンド</v>
          </cell>
          <cell r="D1519" t="str">
            <v>初音ミク・アペンド</v>
          </cell>
          <cell r="E1519" t="str">
            <v>執行者</v>
          </cell>
          <cell r="F1519" t="str">
            <v>格好いい</v>
          </cell>
          <cell r="G1519" t="str">
            <v>女性</v>
          </cell>
          <cell r="H1519" t="str">
            <v>green</v>
          </cell>
          <cell r="I1519">
            <v>4</v>
          </cell>
          <cell r="J1519" t="str">
            <v>PremiumSSS</v>
          </cell>
          <cell r="K1519" t="str">
            <v>technical</v>
          </cell>
          <cell r="L1519" t="str">
            <v>テクニカルタイプ</v>
          </cell>
          <cell r="M1519" t="str">
            <v>unknown</v>
          </cell>
        </row>
        <row r="1520">
          <cell r="A1520">
            <v>8016</v>
          </cell>
          <cell r="B1520" t="str">
            <v>ja</v>
          </cell>
          <cell r="C1520" t="str">
            <v>初音ミク・アペンド</v>
          </cell>
          <cell r="D1520" t="str">
            <v>初音ミク・アペンド</v>
          </cell>
          <cell r="E1520" t="str">
            <v>執行者</v>
          </cell>
          <cell r="F1520" t="str">
            <v>格好いい</v>
          </cell>
          <cell r="G1520" t="str">
            <v>女性</v>
          </cell>
          <cell r="H1520" t="str">
            <v>green</v>
          </cell>
          <cell r="I1520">
            <v>5</v>
          </cell>
          <cell r="J1520" t="str">
            <v>PremiumSSS</v>
          </cell>
          <cell r="K1520" t="str">
            <v>technical</v>
          </cell>
          <cell r="L1520" t="str">
            <v>テクニカルタイプ</v>
          </cell>
          <cell r="M1520" t="str">
            <v>unknown</v>
          </cell>
        </row>
        <row r="1521">
          <cell r="A1521">
            <v>8017</v>
          </cell>
          <cell r="B1521" t="str">
            <v>ja</v>
          </cell>
          <cell r="C1521" t="str">
            <v>初音ミク</v>
          </cell>
          <cell r="D1521" t="str">
            <v>初音ミク</v>
          </cell>
          <cell r="E1521" t="str">
            <v>執行者</v>
          </cell>
          <cell r="F1521" t="str">
            <v>格好いい</v>
          </cell>
          <cell r="G1521" t="str">
            <v>女性</v>
          </cell>
          <cell r="H1521" t="str">
            <v>green</v>
          </cell>
          <cell r="I1521">
            <v>4</v>
          </cell>
          <cell r="J1521" t="str">
            <v>PremiumSSS</v>
          </cell>
          <cell r="K1521" t="str">
            <v>balance</v>
          </cell>
          <cell r="L1521" t="str">
            <v>バランスタイプ</v>
          </cell>
          <cell r="M1521" t="str">
            <v>unknown</v>
          </cell>
        </row>
        <row r="1522">
          <cell r="A1522">
            <v>8018</v>
          </cell>
          <cell r="B1522" t="str">
            <v>ja</v>
          </cell>
          <cell r="C1522" t="str">
            <v>初音ミク</v>
          </cell>
          <cell r="D1522" t="str">
            <v>初音ミク</v>
          </cell>
          <cell r="E1522" t="str">
            <v>執行者</v>
          </cell>
          <cell r="F1522" t="str">
            <v>格好いい</v>
          </cell>
          <cell r="G1522" t="str">
            <v>女性</v>
          </cell>
          <cell r="H1522" t="str">
            <v>green</v>
          </cell>
          <cell r="I1522">
            <v>5</v>
          </cell>
          <cell r="J1522" t="str">
            <v>PremiumSSS</v>
          </cell>
          <cell r="K1522" t="str">
            <v>balance</v>
          </cell>
          <cell r="L1522" t="str">
            <v>バランスタイプ</v>
          </cell>
          <cell r="M1522" t="str">
            <v>unknown</v>
          </cell>
        </row>
        <row r="1523">
          <cell r="A1523">
            <v>8019</v>
          </cell>
          <cell r="B1523" t="str">
            <v>ja</v>
          </cell>
          <cell r="C1523" t="str">
            <v>鏡音リン</v>
          </cell>
          <cell r="D1523" t="str">
            <v>鏡音リン</v>
          </cell>
          <cell r="E1523" t="str">
            <v>執行者</v>
          </cell>
          <cell r="F1523" t="str">
            <v>格好いい</v>
          </cell>
          <cell r="G1523" t="str">
            <v>男性</v>
          </cell>
          <cell r="H1523" t="str">
            <v>yellow</v>
          </cell>
          <cell r="I1523">
            <v>4</v>
          </cell>
          <cell r="J1523" t="str">
            <v>PremiumSS</v>
          </cell>
          <cell r="K1523" t="str">
            <v>balance</v>
          </cell>
          <cell r="L1523" t="str">
            <v>バランスタイプ</v>
          </cell>
          <cell r="M1523" t="str">
            <v>unknown</v>
          </cell>
        </row>
        <row r="1524">
          <cell r="A1524">
            <v>8020</v>
          </cell>
          <cell r="B1524" t="str">
            <v>ja</v>
          </cell>
          <cell r="C1524" t="str">
            <v>鏡音リン</v>
          </cell>
          <cell r="D1524" t="str">
            <v>鏡音リン</v>
          </cell>
          <cell r="E1524" t="str">
            <v>執行者</v>
          </cell>
          <cell r="F1524" t="str">
            <v>格好いい</v>
          </cell>
          <cell r="G1524" t="str">
            <v>男性</v>
          </cell>
          <cell r="H1524" t="str">
            <v>yellow</v>
          </cell>
          <cell r="I1524">
            <v>5</v>
          </cell>
          <cell r="J1524" t="str">
            <v>PremiumSS</v>
          </cell>
          <cell r="K1524" t="str">
            <v>balance</v>
          </cell>
          <cell r="L1524" t="str">
            <v>バランスタイプ</v>
          </cell>
          <cell r="M1524" t="str">
            <v>unknown</v>
          </cell>
        </row>
        <row r="1525">
          <cell r="A1525">
            <v>8021</v>
          </cell>
          <cell r="B1525" t="str">
            <v>ja</v>
          </cell>
          <cell r="C1525" t="str">
            <v>鏡音レン</v>
          </cell>
          <cell r="D1525" t="str">
            <v>鏡音レン</v>
          </cell>
          <cell r="E1525" t="str">
            <v>執行者</v>
          </cell>
          <cell r="F1525" t="str">
            <v>格好いい</v>
          </cell>
          <cell r="G1525" t="str">
            <v>女性</v>
          </cell>
          <cell r="H1525" t="str">
            <v>yellow</v>
          </cell>
          <cell r="I1525">
            <v>4</v>
          </cell>
          <cell r="J1525" t="str">
            <v>PremiumSS</v>
          </cell>
          <cell r="K1525" t="str">
            <v>heal</v>
          </cell>
          <cell r="L1525" t="str">
            <v>回復タイプ</v>
          </cell>
          <cell r="M1525" t="str">
            <v>unknown</v>
          </cell>
        </row>
        <row r="1526">
          <cell r="A1526">
            <v>8022</v>
          </cell>
          <cell r="B1526" t="str">
            <v>ja</v>
          </cell>
          <cell r="C1526" t="str">
            <v>鏡音レン</v>
          </cell>
          <cell r="D1526" t="str">
            <v>鏡音レン</v>
          </cell>
          <cell r="E1526" t="str">
            <v>執行者</v>
          </cell>
          <cell r="F1526" t="str">
            <v>格好いい</v>
          </cell>
          <cell r="G1526" t="str">
            <v>女性</v>
          </cell>
          <cell r="H1526" t="str">
            <v>yellow</v>
          </cell>
          <cell r="I1526">
            <v>5</v>
          </cell>
          <cell r="J1526" t="str">
            <v>PremiumSS</v>
          </cell>
          <cell r="K1526" t="str">
            <v>heal</v>
          </cell>
          <cell r="L1526" t="str">
            <v>回復タイプ</v>
          </cell>
          <cell r="M1526" t="str">
            <v>unknown</v>
          </cell>
        </row>
        <row r="1527">
          <cell r="A1527">
            <v>8023</v>
          </cell>
          <cell r="B1527" t="str">
            <v>ja</v>
          </cell>
          <cell r="C1527" t="str">
            <v>巡音ルカ</v>
          </cell>
          <cell r="D1527" t="str">
            <v>巡音ルカ</v>
          </cell>
          <cell r="E1527" t="str">
            <v>執行者</v>
          </cell>
          <cell r="F1527" t="str">
            <v>格好いい</v>
          </cell>
          <cell r="G1527" t="str">
            <v>女性</v>
          </cell>
          <cell r="H1527" t="str">
            <v>red</v>
          </cell>
          <cell r="I1527">
            <v>3</v>
          </cell>
          <cell r="J1527" t="str">
            <v>PremiumS</v>
          </cell>
          <cell r="K1527" t="str">
            <v>attack</v>
          </cell>
          <cell r="L1527" t="str">
            <v>攻撃タイプ</v>
          </cell>
          <cell r="M1527" t="str">
            <v>unknown</v>
          </cell>
        </row>
        <row r="1528">
          <cell r="A1528">
            <v>8024</v>
          </cell>
          <cell r="B1528" t="str">
            <v>ja</v>
          </cell>
          <cell r="C1528" t="str">
            <v>巡音ルカ</v>
          </cell>
          <cell r="D1528" t="str">
            <v>巡音ルカ</v>
          </cell>
          <cell r="E1528" t="str">
            <v>執行者</v>
          </cell>
          <cell r="F1528" t="str">
            <v>格好いい</v>
          </cell>
          <cell r="G1528" t="str">
            <v>女性</v>
          </cell>
          <cell r="H1528" t="str">
            <v>red</v>
          </cell>
          <cell r="I1528">
            <v>4</v>
          </cell>
          <cell r="J1528" t="str">
            <v>PremiumS</v>
          </cell>
          <cell r="K1528" t="str">
            <v>attack</v>
          </cell>
          <cell r="L1528" t="str">
            <v>攻撃タイプ</v>
          </cell>
          <cell r="M1528" t="str">
            <v>unknown</v>
          </cell>
        </row>
        <row r="1529">
          <cell r="A1529">
            <v>8025</v>
          </cell>
          <cell r="B1529" t="str">
            <v>ja</v>
          </cell>
          <cell r="C1529" t="str">
            <v>MEIKO</v>
          </cell>
          <cell r="D1529" t="str">
            <v>MEIKO</v>
          </cell>
          <cell r="E1529" t="str">
            <v>執行者</v>
          </cell>
          <cell r="F1529" t="str">
            <v>格好いい</v>
          </cell>
          <cell r="G1529" t="str">
            <v>男性</v>
          </cell>
          <cell r="H1529" t="str">
            <v>red</v>
          </cell>
          <cell r="I1529">
            <v>3</v>
          </cell>
          <cell r="J1529" t="str">
            <v>PremiumS</v>
          </cell>
          <cell r="K1529" t="str">
            <v>hp</v>
          </cell>
          <cell r="L1529" t="str">
            <v>体力タイプ</v>
          </cell>
          <cell r="M1529" t="str">
            <v>unknown</v>
          </cell>
        </row>
        <row r="1530">
          <cell r="A1530">
            <v>8026</v>
          </cell>
          <cell r="B1530" t="str">
            <v>ja</v>
          </cell>
          <cell r="C1530" t="str">
            <v>MEIKO</v>
          </cell>
          <cell r="D1530" t="str">
            <v>MEIKO</v>
          </cell>
          <cell r="E1530" t="str">
            <v>執行者</v>
          </cell>
          <cell r="F1530" t="str">
            <v>格好いい</v>
          </cell>
          <cell r="G1530" t="str">
            <v>男性</v>
          </cell>
          <cell r="H1530" t="str">
            <v>red</v>
          </cell>
          <cell r="I1530">
            <v>4</v>
          </cell>
          <cell r="J1530" t="str">
            <v>PremiumS</v>
          </cell>
          <cell r="K1530" t="str">
            <v>hp</v>
          </cell>
          <cell r="L1530" t="str">
            <v>体力タイプ</v>
          </cell>
          <cell r="M1530" t="str">
            <v>unknown</v>
          </cell>
        </row>
        <row r="1531">
          <cell r="A1531">
            <v>8027</v>
          </cell>
          <cell r="B1531" t="str">
            <v>ja</v>
          </cell>
          <cell r="C1531" t="str">
            <v>KAITO</v>
          </cell>
          <cell r="D1531" t="str">
            <v>KAITO</v>
          </cell>
          <cell r="E1531" t="str">
            <v>執行者</v>
          </cell>
          <cell r="F1531" t="str">
            <v>格好いい</v>
          </cell>
          <cell r="G1531" t="str">
            <v>女性</v>
          </cell>
          <cell r="H1531" t="str">
            <v>blue</v>
          </cell>
          <cell r="I1531">
            <v>3</v>
          </cell>
          <cell r="J1531" t="str">
            <v>PremiumS</v>
          </cell>
          <cell r="K1531" t="str">
            <v>technical</v>
          </cell>
          <cell r="L1531" t="str">
            <v>テクニカルタイプ</v>
          </cell>
          <cell r="M1531" t="str">
            <v>unknown</v>
          </cell>
        </row>
        <row r="1532">
          <cell r="A1532">
            <v>8028</v>
          </cell>
          <cell r="B1532" t="str">
            <v>ja</v>
          </cell>
          <cell r="C1532" t="str">
            <v>KAITO</v>
          </cell>
          <cell r="D1532" t="str">
            <v>KAITO</v>
          </cell>
          <cell r="E1532" t="str">
            <v>執行者</v>
          </cell>
          <cell r="F1532" t="str">
            <v>格好いい</v>
          </cell>
          <cell r="G1532" t="str">
            <v>女性</v>
          </cell>
          <cell r="H1532" t="str">
            <v>blue</v>
          </cell>
          <cell r="I1532">
            <v>4</v>
          </cell>
          <cell r="J1532" t="str">
            <v>PremiumS</v>
          </cell>
          <cell r="K1532" t="str">
            <v>technical</v>
          </cell>
          <cell r="L1532" t="str">
            <v>テクニカルタイプ</v>
          </cell>
          <cell r="M1532" t="str">
            <v>unknown</v>
          </cell>
        </row>
        <row r="1533">
          <cell r="A1533">
            <v>8029</v>
          </cell>
          <cell r="B1533" t="str">
            <v>ja</v>
          </cell>
          <cell r="C1533" t="str">
            <v>Expoミク</v>
          </cell>
          <cell r="D1533" t="str">
            <v>Expoミク</v>
          </cell>
          <cell r="E1533" t="str">
            <v>執行者</v>
          </cell>
          <cell r="F1533" t="str">
            <v>格好いい</v>
          </cell>
          <cell r="G1533" t="str">
            <v>女性</v>
          </cell>
          <cell r="H1533" t="str">
            <v>blue</v>
          </cell>
          <cell r="I1533">
            <v>4</v>
          </cell>
          <cell r="J1533" t="str">
            <v>Drop2N</v>
          </cell>
          <cell r="K1533" t="str">
            <v>heal</v>
          </cell>
          <cell r="L1533" t="str">
            <v>回復タイプ</v>
          </cell>
          <cell r="M1533" t="str">
            <v>unknown</v>
          </cell>
        </row>
        <row r="1534">
          <cell r="A1534">
            <v>8030</v>
          </cell>
          <cell r="B1534" t="str">
            <v>ja</v>
          </cell>
          <cell r="C1534" t="str">
            <v>Expoミク</v>
          </cell>
          <cell r="D1534" t="str">
            <v>Expoミク</v>
          </cell>
          <cell r="E1534" t="str">
            <v>執行者</v>
          </cell>
          <cell r="F1534" t="str">
            <v>格好いい</v>
          </cell>
          <cell r="G1534" t="str">
            <v>女性</v>
          </cell>
          <cell r="H1534" t="str">
            <v>blue</v>
          </cell>
          <cell r="I1534">
            <v>5</v>
          </cell>
          <cell r="J1534" t="str">
            <v>Drop2N</v>
          </cell>
          <cell r="K1534" t="str">
            <v>heal</v>
          </cell>
          <cell r="L1534" t="str">
            <v>回復タイプ</v>
          </cell>
          <cell r="M1534" t="str">
            <v>unknown</v>
          </cell>
        </row>
        <row r="1535">
          <cell r="A1535">
            <v>8031</v>
          </cell>
          <cell r="B1535" t="str">
            <v>ja</v>
          </cell>
          <cell r="C1535" t="str">
            <v>閻羅王</v>
          </cell>
          <cell r="D1535" t="str">
            <v>Expoミク</v>
          </cell>
          <cell r="E1535" t="str">
            <v>執行者</v>
          </cell>
          <cell r="F1535" t="str">
            <v>格好いい</v>
          </cell>
          <cell r="G1535" t="str">
            <v>女性</v>
          </cell>
          <cell r="H1535" t="str">
            <v>red</v>
          </cell>
          <cell r="I1535">
            <v>5</v>
          </cell>
          <cell r="J1535" t="str">
            <v>PremiumSS</v>
          </cell>
          <cell r="K1535" t="str">
            <v>balance</v>
          </cell>
          <cell r="L1535" t="str">
            <v>バランスタイプ</v>
          </cell>
          <cell r="M1535" t="str">
            <v>god</v>
          </cell>
        </row>
        <row r="1536">
          <cell r="A1536">
            <v>8032</v>
          </cell>
          <cell r="B1536" t="str">
            <v>ja</v>
          </cell>
          <cell r="C1536" t="str">
            <v>六道輪廻の絶獄 閻羅王</v>
          </cell>
          <cell r="D1536" t="str">
            <v>Expoミク</v>
          </cell>
          <cell r="E1536" t="str">
            <v>執行者</v>
          </cell>
          <cell r="F1536" t="str">
            <v>格好いい</v>
          </cell>
          <cell r="G1536" t="str">
            <v>女性</v>
          </cell>
          <cell r="H1536" t="str">
            <v>red</v>
          </cell>
          <cell r="I1536">
            <v>6</v>
          </cell>
          <cell r="J1536" t="str">
            <v>PremiumSS</v>
          </cell>
          <cell r="K1536" t="str">
            <v>balance</v>
          </cell>
          <cell r="L1536" t="str">
            <v>バランスタイプ</v>
          </cell>
          <cell r="M1536" t="str">
            <v>god</v>
          </cell>
        </row>
        <row r="1537">
          <cell r="A1537">
            <v>8033</v>
          </cell>
          <cell r="B1537" t="str">
            <v>ja</v>
          </cell>
          <cell r="C1537" t="str">
            <v>牛頭馬面</v>
          </cell>
          <cell r="D1537" t="str">
            <v>Expoミク</v>
          </cell>
          <cell r="E1537" t="str">
            <v>執行者</v>
          </cell>
          <cell r="F1537" t="str">
            <v>格好いい</v>
          </cell>
          <cell r="G1537" t="str">
            <v>女性</v>
          </cell>
          <cell r="H1537" t="str">
            <v>green</v>
          </cell>
          <cell r="I1537">
            <v>5</v>
          </cell>
          <cell r="J1537" t="str">
            <v>DropWizS</v>
          </cell>
          <cell r="K1537" t="str">
            <v>attack</v>
          </cell>
          <cell r="L1537" t="str">
            <v>攻撃タイプ</v>
          </cell>
          <cell r="M1537" t="str">
            <v>god</v>
          </cell>
        </row>
        <row r="1538">
          <cell r="A1538">
            <v>8034</v>
          </cell>
          <cell r="B1538" t="str">
            <v>ja</v>
          </cell>
          <cell r="C1538" t="str">
            <v>冥府狩る魂使 牛頭馬面</v>
          </cell>
          <cell r="D1538" t="str">
            <v>Expoミク</v>
          </cell>
          <cell r="E1538" t="str">
            <v>執行者</v>
          </cell>
          <cell r="F1538" t="str">
            <v>格好いい</v>
          </cell>
          <cell r="G1538" t="str">
            <v>女性</v>
          </cell>
          <cell r="H1538" t="str">
            <v>green</v>
          </cell>
          <cell r="I1538">
            <v>6</v>
          </cell>
          <cell r="J1538" t="str">
            <v>DropWizS</v>
          </cell>
          <cell r="K1538" t="str">
            <v>attack</v>
          </cell>
          <cell r="L1538" t="str">
            <v>攻撃タイプ</v>
          </cell>
          <cell r="M1538" t="str">
            <v>god</v>
          </cell>
        </row>
        <row r="1539">
          <cell r="A1539">
            <v>8035</v>
          </cell>
          <cell r="B1539" t="str">
            <v>ja</v>
          </cell>
          <cell r="C1539" t="str">
            <v>飛衛</v>
          </cell>
          <cell r="D1539" t="str">
            <v>Expoミク</v>
          </cell>
          <cell r="E1539" t="str">
            <v>執行者</v>
          </cell>
          <cell r="F1539" t="str">
            <v>格好いい</v>
          </cell>
          <cell r="G1539" t="str">
            <v>女性</v>
          </cell>
          <cell r="H1539" t="str">
            <v>blue</v>
          </cell>
          <cell r="I1539">
            <v>5</v>
          </cell>
          <cell r="J1539" t="str">
            <v>PremiumSS</v>
          </cell>
          <cell r="K1539" t="str">
            <v>heal</v>
          </cell>
          <cell r="L1539" t="str">
            <v>回復タイプ</v>
          </cell>
          <cell r="M1539" t="str">
            <v>human</v>
          </cell>
        </row>
        <row r="1540">
          <cell r="A1540">
            <v>8036</v>
          </cell>
          <cell r="B1540" t="str">
            <v>ja</v>
          </cell>
          <cell r="C1540" t="str">
            <v>レア６飛衛</v>
          </cell>
          <cell r="D1540" t="str">
            <v>Expoミク</v>
          </cell>
          <cell r="E1540" t="str">
            <v>執行者</v>
          </cell>
          <cell r="F1540" t="str">
            <v>格好いい</v>
          </cell>
          <cell r="G1540" t="str">
            <v>女性</v>
          </cell>
          <cell r="H1540" t="str">
            <v>blue</v>
          </cell>
          <cell r="I1540">
            <v>6</v>
          </cell>
          <cell r="J1540" t="str">
            <v>PremiumSS</v>
          </cell>
          <cell r="K1540" t="str">
            <v>heal</v>
          </cell>
          <cell r="L1540" t="str">
            <v>回復タイプ</v>
          </cell>
          <cell r="M1540" t="str">
            <v>human</v>
          </cell>
        </row>
        <row r="1541">
          <cell r="A1541">
            <v>8037</v>
          </cell>
          <cell r="B1541" t="str">
            <v>ja</v>
          </cell>
          <cell r="C1541" t="str">
            <v>紀昌</v>
          </cell>
          <cell r="D1541" t="str">
            <v>Expoミク</v>
          </cell>
          <cell r="E1541" t="str">
            <v>執行者</v>
          </cell>
          <cell r="F1541" t="str">
            <v>格好いい</v>
          </cell>
          <cell r="G1541" t="str">
            <v>女性</v>
          </cell>
          <cell r="H1541" t="str">
            <v>red</v>
          </cell>
          <cell r="I1541">
            <v>5</v>
          </cell>
          <cell r="J1541" t="str">
            <v>DropWizS</v>
          </cell>
          <cell r="K1541" t="str">
            <v>attack</v>
          </cell>
          <cell r="L1541" t="str">
            <v>攻撃タイプ</v>
          </cell>
          <cell r="M1541" t="str">
            <v>human</v>
          </cell>
        </row>
        <row r="1542">
          <cell r="A1542">
            <v>8038</v>
          </cell>
          <cell r="B1542" t="str">
            <v>ja</v>
          </cell>
          <cell r="C1542" t="str">
            <v>レア６紀昌</v>
          </cell>
          <cell r="D1542" t="str">
            <v>Expoミク</v>
          </cell>
          <cell r="E1542" t="str">
            <v>執行者</v>
          </cell>
          <cell r="F1542" t="str">
            <v>格好いい</v>
          </cell>
          <cell r="G1542" t="str">
            <v>女性</v>
          </cell>
          <cell r="H1542" t="str">
            <v>red</v>
          </cell>
          <cell r="I1542">
            <v>6</v>
          </cell>
          <cell r="J1542" t="str">
            <v>DropWizS</v>
          </cell>
          <cell r="K1542" t="str">
            <v>attack</v>
          </cell>
          <cell r="L1542" t="str">
            <v>攻撃タイプ</v>
          </cell>
          <cell r="M1542" t="str">
            <v>human</v>
          </cell>
        </row>
        <row r="1543">
          <cell r="A1543">
            <v>8039</v>
          </cell>
          <cell r="B1543" t="str">
            <v>ja</v>
          </cell>
          <cell r="C1543" t="str">
            <v>何仙姑</v>
          </cell>
          <cell r="D1543" t="str">
            <v>Expoミク</v>
          </cell>
          <cell r="E1543" t="str">
            <v>執行者</v>
          </cell>
          <cell r="F1543" t="str">
            <v>格好いい</v>
          </cell>
          <cell r="G1543" t="str">
            <v>女性</v>
          </cell>
          <cell r="H1543" t="str">
            <v>yellow</v>
          </cell>
          <cell r="I1543">
            <v>5</v>
          </cell>
          <cell r="J1543" t="str">
            <v>PremiumSSw</v>
          </cell>
          <cell r="K1543" t="str">
            <v>hp</v>
          </cell>
          <cell r="L1543" t="str">
            <v>体力タイプ</v>
          </cell>
          <cell r="M1543" t="str">
            <v>god</v>
          </cell>
        </row>
        <row r="1544">
          <cell r="A1544">
            <v>8040</v>
          </cell>
          <cell r="B1544" t="str">
            <v>ja</v>
          </cell>
          <cell r="C1544" t="str">
            <v>レア６何仙姑</v>
          </cell>
          <cell r="D1544" t="str">
            <v>Expoミク</v>
          </cell>
          <cell r="E1544" t="str">
            <v>執行者</v>
          </cell>
          <cell r="F1544" t="str">
            <v>格好いい</v>
          </cell>
          <cell r="G1544" t="str">
            <v>女性</v>
          </cell>
          <cell r="H1544" t="str">
            <v>yellow</v>
          </cell>
          <cell r="I1544">
            <v>6</v>
          </cell>
          <cell r="J1544" t="str">
            <v>PremiumSSw</v>
          </cell>
          <cell r="K1544" t="str">
            <v>hp</v>
          </cell>
          <cell r="L1544" t="str">
            <v>体力タイプ</v>
          </cell>
          <cell r="M1544" t="str">
            <v>god</v>
          </cell>
        </row>
        <row r="1545">
          <cell r="A1545">
            <v>8041</v>
          </cell>
          <cell r="B1545" t="str">
            <v>ja</v>
          </cell>
          <cell r="C1545" t="str">
            <v>藍采和</v>
          </cell>
          <cell r="D1545" t="str">
            <v>Expoミク</v>
          </cell>
          <cell r="E1545" t="str">
            <v>執行者</v>
          </cell>
          <cell r="F1545" t="str">
            <v>格好いい</v>
          </cell>
          <cell r="G1545" t="str">
            <v>女性</v>
          </cell>
          <cell r="H1545" t="str">
            <v>blue</v>
          </cell>
          <cell r="I1545">
            <v>5</v>
          </cell>
          <cell r="J1545" t="str">
            <v>DropWizS</v>
          </cell>
          <cell r="K1545" t="str">
            <v>balance</v>
          </cell>
          <cell r="L1545" t="str">
            <v>バランスタイプ</v>
          </cell>
          <cell r="M1545" t="str">
            <v>god</v>
          </cell>
        </row>
        <row r="1546">
          <cell r="A1546">
            <v>8042</v>
          </cell>
          <cell r="B1546" t="str">
            <v>ja</v>
          </cell>
          <cell r="C1546" t="str">
            <v>レア６藍采和</v>
          </cell>
          <cell r="D1546" t="str">
            <v>Expoミク</v>
          </cell>
          <cell r="E1546" t="str">
            <v>執行者</v>
          </cell>
          <cell r="F1546" t="str">
            <v>格好いい</v>
          </cell>
          <cell r="G1546" t="str">
            <v>女性</v>
          </cell>
          <cell r="H1546" t="str">
            <v>blue</v>
          </cell>
          <cell r="I1546">
            <v>6</v>
          </cell>
          <cell r="J1546" t="str">
            <v>DropWizS</v>
          </cell>
          <cell r="K1546" t="str">
            <v>balance</v>
          </cell>
          <cell r="L1546" t="str">
            <v>バランスタイプ</v>
          </cell>
          <cell r="M1546" t="str">
            <v>god</v>
          </cell>
        </row>
        <row r="1547">
          <cell r="A1547">
            <v>8043</v>
          </cell>
          <cell r="B1547" t="str">
            <v>ja</v>
          </cell>
          <cell r="C1547" t="str">
            <v>サンリオキャラ大集合+アザゼル</v>
          </cell>
          <cell r="D1547" t="str">
            <v>サンリオキャラ大集合+アザゼル</v>
          </cell>
          <cell r="E1547" t="str">
            <v>執行者</v>
          </cell>
          <cell r="F1547" t="str">
            <v>格好いい</v>
          </cell>
          <cell r="G1547" t="str">
            <v>女性</v>
          </cell>
          <cell r="H1547" t="str">
            <v>green</v>
          </cell>
          <cell r="I1547">
            <v>5</v>
          </cell>
          <cell r="J1547" t="str">
            <v>DropWizS</v>
          </cell>
          <cell r="K1547" t="str">
            <v>technical</v>
          </cell>
          <cell r="L1547" t="str">
            <v>テクニカルタイプ</v>
          </cell>
          <cell r="M1547" t="str">
            <v>ss</v>
          </cell>
        </row>
        <row r="1548">
          <cell r="A1548">
            <v>8044</v>
          </cell>
          <cell r="B1548" t="str">
            <v>ja</v>
          </cell>
          <cell r="C1548" t="str">
            <v>サンリオキャラ大集合+アザゼル</v>
          </cell>
          <cell r="D1548" t="str">
            <v>サンリオキャラ大集合+アザゼル</v>
          </cell>
          <cell r="E1548" t="str">
            <v>執行者</v>
          </cell>
          <cell r="F1548" t="str">
            <v>格好いい</v>
          </cell>
          <cell r="G1548" t="str">
            <v>女性</v>
          </cell>
          <cell r="H1548" t="str">
            <v>green</v>
          </cell>
          <cell r="I1548">
            <v>6</v>
          </cell>
          <cell r="J1548" t="str">
            <v>DropWizS</v>
          </cell>
          <cell r="K1548" t="str">
            <v>technical</v>
          </cell>
          <cell r="L1548" t="str">
            <v>テクニカルタイプ</v>
          </cell>
          <cell r="M1548" t="str">
            <v>ss</v>
          </cell>
        </row>
        <row r="1549">
          <cell r="A1549">
            <v>8045</v>
          </cell>
          <cell r="B1549" t="str">
            <v>ja</v>
          </cell>
          <cell r="C1549" t="str">
            <v>ニムダ_サンリオキャラ混じり</v>
          </cell>
          <cell r="D1549" t="str">
            <v>ニムダ_サンリオキャラ混じり</v>
          </cell>
          <cell r="E1549" t="str">
            <v>執行者</v>
          </cell>
          <cell r="F1549" t="str">
            <v>格好いい</v>
          </cell>
          <cell r="G1549" t="str">
            <v>女性</v>
          </cell>
          <cell r="H1549" t="str">
            <v>yellow</v>
          </cell>
          <cell r="I1549">
            <v>4</v>
          </cell>
          <cell r="J1549" t="str">
            <v>Drop2N</v>
          </cell>
          <cell r="K1549" t="str">
            <v>technical</v>
          </cell>
          <cell r="L1549" t="str">
            <v>テクニカルタイプ</v>
          </cell>
          <cell r="M1549" t="str">
            <v>ss</v>
          </cell>
        </row>
        <row r="1550">
          <cell r="A1550">
            <v>8046</v>
          </cell>
          <cell r="B1550" t="str">
            <v>ja</v>
          </cell>
          <cell r="C1550" t="str">
            <v>ニムダ_サンリオキャラ混じり</v>
          </cell>
          <cell r="D1550" t="str">
            <v>ニムダ_サンリオキャラ混じり</v>
          </cell>
          <cell r="E1550" t="str">
            <v>執行者</v>
          </cell>
          <cell r="F1550" t="str">
            <v>格好いい</v>
          </cell>
          <cell r="G1550" t="str">
            <v>女性</v>
          </cell>
          <cell r="H1550" t="str">
            <v>yellow</v>
          </cell>
          <cell r="I1550">
            <v>5</v>
          </cell>
          <cell r="J1550" t="str">
            <v>Drop2N</v>
          </cell>
          <cell r="K1550" t="str">
            <v>technical</v>
          </cell>
          <cell r="L1550" t="str">
            <v>テクニカルタイプ</v>
          </cell>
          <cell r="M1550" t="str">
            <v>ss</v>
          </cell>
        </row>
        <row r="1551">
          <cell r="A1551">
            <v>8047</v>
          </cell>
          <cell r="B1551" t="str">
            <v>ja</v>
          </cell>
          <cell r="C1551" t="str">
            <v>ハローキティ</v>
          </cell>
          <cell r="D1551" t="str">
            <v>ハローキティ</v>
          </cell>
          <cell r="E1551" t="str">
            <v>執行者</v>
          </cell>
          <cell r="F1551" t="str">
            <v>格好いい</v>
          </cell>
          <cell r="G1551" t="str">
            <v>女性</v>
          </cell>
          <cell r="H1551" t="str">
            <v>red</v>
          </cell>
          <cell r="I1551">
            <v>4</v>
          </cell>
          <cell r="J1551" t="str">
            <v>Drop2N</v>
          </cell>
          <cell r="K1551" t="str">
            <v>balance</v>
          </cell>
          <cell r="L1551" t="str">
            <v>バランスタイプ</v>
          </cell>
          <cell r="M1551" t="str">
            <v>ss</v>
          </cell>
        </row>
        <row r="1552">
          <cell r="A1552">
            <v>8048</v>
          </cell>
          <cell r="B1552" t="str">
            <v>ja</v>
          </cell>
          <cell r="C1552" t="str">
            <v>ハローキティ</v>
          </cell>
          <cell r="D1552" t="str">
            <v>ハローキティ</v>
          </cell>
          <cell r="E1552" t="str">
            <v>執行者</v>
          </cell>
          <cell r="F1552" t="str">
            <v>格好いい</v>
          </cell>
          <cell r="G1552" t="str">
            <v>女性</v>
          </cell>
          <cell r="H1552" t="str">
            <v>red</v>
          </cell>
          <cell r="I1552">
            <v>5</v>
          </cell>
          <cell r="J1552" t="str">
            <v>Drop2N</v>
          </cell>
          <cell r="K1552" t="str">
            <v>balance</v>
          </cell>
          <cell r="L1552" t="str">
            <v>バランスタイプ</v>
          </cell>
          <cell r="M1552" t="str">
            <v>ss</v>
          </cell>
        </row>
        <row r="1553">
          <cell r="A1553">
            <v>8049</v>
          </cell>
          <cell r="B1553" t="str">
            <v>ja</v>
          </cell>
          <cell r="C1553" t="str">
            <v>KIRIMIちゃん</v>
          </cell>
          <cell r="D1553" t="str">
            <v>KIRIMIちゃん</v>
          </cell>
          <cell r="E1553" t="str">
            <v>執行者</v>
          </cell>
          <cell r="F1553" t="str">
            <v>格好いい</v>
          </cell>
          <cell r="G1553" t="str">
            <v>女性</v>
          </cell>
          <cell r="H1553" t="str">
            <v>red</v>
          </cell>
          <cell r="I1553">
            <v>4</v>
          </cell>
          <cell r="J1553" t="str">
            <v>Drop2N</v>
          </cell>
          <cell r="K1553" t="str">
            <v>hp</v>
          </cell>
          <cell r="L1553" t="str">
            <v>体力タイプ</v>
          </cell>
          <cell r="M1553" t="str">
            <v>ss</v>
          </cell>
        </row>
        <row r="1554">
          <cell r="A1554">
            <v>8050</v>
          </cell>
          <cell r="B1554" t="str">
            <v>ja</v>
          </cell>
          <cell r="C1554" t="str">
            <v>KIRIMIちゃん</v>
          </cell>
          <cell r="D1554" t="str">
            <v>KIRIMIちゃん</v>
          </cell>
          <cell r="E1554" t="str">
            <v>執行者</v>
          </cell>
          <cell r="F1554" t="str">
            <v>格好いい</v>
          </cell>
          <cell r="G1554" t="str">
            <v>女性</v>
          </cell>
          <cell r="H1554" t="str">
            <v>red</v>
          </cell>
          <cell r="I1554">
            <v>5</v>
          </cell>
          <cell r="J1554" t="str">
            <v>Drop2N</v>
          </cell>
          <cell r="K1554" t="str">
            <v>hp</v>
          </cell>
          <cell r="L1554" t="str">
            <v>体力タイプ</v>
          </cell>
          <cell r="M1554" t="str">
            <v>ss</v>
          </cell>
        </row>
        <row r="1555">
          <cell r="A1555">
            <v>8051</v>
          </cell>
          <cell r="B1555" t="str">
            <v>ja</v>
          </cell>
          <cell r="C1555" t="str">
            <v>ハローキティのリボン</v>
          </cell>
          <cell r="D1555" t="str">
            <v>ハローキティのリボン</v>
          </cell>
          <cell r="E1555" t="str">
            <v>執行者</v>
          </cell>
          <cell r="F1555" t="str">
            <v>格好いい</v>
          </cell>
          <cell r="G1555" t="str">
            <v>女性</v>
          </cell>
          <cell r="H1555" t="str">
            <v>red</v>
          </cell>
          <cell r="I1555">
            <v>5</v>
          </cell>
          <cell r="J1555" t="str">
            <v>Drop2N</v>
          </cell>
          <cell r="K1555" t="str">
            <v>evolution</v>
          </cell>
          <cell r="L1555" t="str">
            <v>覚醒素材タイプ</v>
          </cell>
          <cell r="M1555" t="str">
            <v>ss</v>
          </cell>
        </row>
        <row r="1556">
          <cell r="A1556">
            <v>8052</v>
          </cell>
          <cell r="B1556" t="str">
            <v>ja</v>
          </cell>
          <cell r="C1556" t="str">
            <v>ママの作ったアップルパイ</v>
          </cell>
          <cell r="D1556" t="str">
            <v>ママの作ったアップルパイ</v>
          </cell>
          <cell r="E1556" t="str">
            <v>執行者</v>
          </cell>
          <cell r="F1556" t="str">
            <v>格好いい</v>
          </cell>
          <cell r="G1556" t="str">
            <v>女性</v>
          </cell>
          <cell r="H1556" t="str">
            <v>red</v>
          </cell>
          <cell r="I1556">
            <v>4</v>
          </cell>
          <cell r="J1556" t="str">
            <v>Drop2N</v>
          </cell>
          <cell r="K1556" t="str">
            <v>evolution</v>
          </cell>
          <cell r="L1556" t="str">
            <v>覚醒素材タイプ</v>
          </cell>
          <cell r="M1556" t="str">
            <v>ss</v>
          </cell>
        </row>
        <row r="1557">
          <cell r="A1557">
            <v>8053</v>
          </cell>
          <cell r="B1557" t="str">
            <v>ja</v>
          </cell>
          <cell r="C1557" t="str">
            <v>D.R.T.H__キティコスプレ</v>
          </cell>
          <cell r="D1557" t="str">
            <v>D.R.T.H__キティコスプレ</v>
          </cell>
          <cell r="E1557" t="str">
            <v>執行者</v>
          </cell>
          <cell r="F1557" t="str">
            <v>格好いい</v>
          </cell>
          <cell r="G1557" t="str">
            <v>女性</v>
          </cell>
          <cell r="H1557" t="str">
            <v>red</v>
          </cell>
          <cell r="I1557">
            <v>5</v>
          </cell>
          <cell r="J1557" t="str">
            <v>PremiumSS</v>
          </cell>
          <cell r="K1557" t="str">
            <v>balance</v>
          </cell>
          <cell r="L1557" t="str">
            <v>バランスタイプ</v>
          </cell>
          <cell r="M1557" t="str">
            <v>ss</v>
          </cell>
        </row>
        <row r="1558">
          <cell r="A1558">
            <v>8054</v>
          </cell>
          <cell r="B1558" t="str">
            <v>ja</v>
          </cell>
          <cell r="C1558" t="str">
            <v>D.R.T.H__キティコスプレ</v>
          </cell>
          <cell r="D1558" t="str">
            <v>D.R.T.H__キティコスプレ</v>
          </cell>
          <cell r="E1558" t="str">
            <v>執行者</v>
          </cell>
          <cell r="F1558" t="str">
            <v>格好いい</v>
          </cell>
          <cell r="G1558" t="str">
            <v>女性</v>
          </cell>
          <cell r="H1558" t="str">
            <v>red</v>
          </cell>
          <cell r="I1558">
            <v>6</v>
          </cell>
          <cell r="J1558" t="str">
            <v>PremiumSS</v>
          </cell>
          <cell r="K1558" t="str">
            <v>balance</v>
          </cell>
          <cell r="L1558" t="str">
            <v>バランスタイプ</v>
          </cell>
          <cell r="M1558" t="str">
            <v>ss</v>
          </cell>
        </row>
        <row r="1559">
          <cell r="A1559">
            <v>8055</v>
          </cell>
          <cell r="B1559" t="str">
            <v>ja</v>
          </cell>
          <cell r="C1559" t="str">
            <v>マイメロディ</v>
          </cell>
          <cell r="D1559" t="str">
            <v>マイメロディ</v>
          </cell>
          <cell r="E1559" t="str">
            <v>執行者</v>
          </cell>
          <cell r="F1559" t="str">
            <v>格好いい</v>
          </cell>
          <cell r="G1559" t="str">
            <v>女性</v>
          </cell>
          <cell r="H1559" t="str">
            <v>red</v>
          </cell>
          <cell r="I1559">
            <v>4</v>
          </cell>
          <cell r="J1559" t="str">
            <v>PremiumS</v>
          </cell>
          <cell r="K1559" t="str">
            <v>attack</v>
          </cell>
          <cell r="L1559" t="str">
            <v>攻撃タイプ</v>
          </cell>
          <cell r="M1559" t="str">
            <v>ss</v>
          </cell>
        </row>
        <row r="1560">
          <cell r="A1560">
            <v>8056</v>
          </cell>
          <cell r="B1560" t="str">
            <v>ja</v>
          </cell>
          <cell r="C1560" t="str">
            <v>マイメロディ</v>
          </cell>
          <cell r="D1560" t="str">
            <v>マイメロディ</v>
          </cell>
          <cell r="E1560" t="str">
            <v>執行者</v>
          </cell>
          <cell r="F1560" t="str">
            <v>格好いい</v>
          </cell>
          <cell r="G1560" t="str">
            <v>女性</v>
          </cell>
          <cell r="H1560" t="str">
            <v>red</v>
          </cell>
          <cell r="I1560">
            <v>5</v>
          </cell>
          <cell r="J1560" t="str">
            <v>PremiumS</v>
          </cell>
          <cell r="K1560" t="str">
            <v>attack</v>
          </cell>
          <cell r="L1560" t="str">
            <v>攻撃タイプ</v>
          </cell>
          <cell r="M1560" t="str">
            <v>ss</v>
          </cell>
        </row>
        <row r="1561">
          <cell r="A1561">
            <v>8057</v>
          </cell>
          <cell r="B1561" t="str">
            <v>ja</v>
          </cell>
          <cell r="C1561" t="str">
            <v>ニーベルゲン_シナモロールコスプレ</v>
          </cell>
          <cell r="D1561" t="str">
            <v>ニーベルゲン_シナモロールコスプレ</v>
          </cell>
          <cell r="E1561" t="str">
            <v>執行者</v>
          </cell>
          <cell r="F1561" t="str">
            <v>格好いい</v>
          </cell>
          <cell r="G1561" t="str">
            <v>女性</v>
          </cell>
          <cell r="H1561" t="str">
            <v>green</v>
          </cell>
          <cell r="I1561">
            <v>4</v>
          </cell>
          <cell r="J1561" t="str">
            <v>PremiumS</v>
          </cell>
          <cell r="K1561" t="str">
            <v>balance</v>
          </cell>
          <cell r="L1561" t="str">
            <v>バランスタイプ</v>
          </cell>
          <cell r="M1561" t="str">
            <v>ss</v>
          </cell>
        </row>
        <row r="1562">
          <cell r="A1562">
            <v>8058</v>
          </cell>
          <cell r="B1562" t="str">
            <v>ja</v>
          </cell>
          <cell r="C1562" t="str">
            <v>ニーベルゲン_シナモロールコスプレ</v>
          </cell>
          <cell r="D1562" t="str">
            <v>ニーベルゲン_シナモロールコスプレ</v>
          </cell>
          <cell r="E1562" t="str">
            <v>執行者</v>
          </cell>
          <cell r="F1562" t="str">
            <v>格好いい</v>
          </cell>
          <cell r="G1562" t="str">
            <v>女性</v>
          </cell>
          <cell r="H1562" t="str">
            <v>green</v>
          </cell>
          <cell r="I1562">
            <v>5</v>
          </cell>
          <cell r="J1562" t="str">
            <v>PremiumS</v>
          </cell>
          <cell r="K1562" t="str">
            <v>balance</v>
          </cell>
          <cell r="L1562" t="str">
            <v>バランスタイプ</v>
          </cell>
          <cell r="M1562" t="str">
            <v>ss</v>
          </cell>
        </row>
        <row r="1563">
          <cell r="A1563">
            <v>8059</v>
          </cell>
          <cell r="B1563" t="str">
            <v>ja</v>
          </cell>
          <cell r="C1563" t="str">
            <v>カカシ_マイメロディコスプレ</v>
          </cell>
          <cell r="D1563" t="str">
            <v>カカシ_マイメロディコスプレ</v>
          </cell>
          <cell r="E1563" t="str">
            <v>執行者</v>
          </cell>
          <cell r="F1563" t="str">
            <v>格好いい</v>
          </cell>
          <cell r="G1563" t="str">
            <v>女性</v>
          </cell>
          <cell r="H1563" t="str">
            <v>green</v>
          </cell>
          <cell r="I1563">
            <v>4</v>
          </cell>
          <cell r="J1563" t="str">
            <v>PremiumS</v>
          </cell>
          <cell r="K1563" t="str">
            <v>technical</v>
          </cell>
          <cell r="L1563" t="str">
            <v>テクニカルタイプ</v>
          </cell>
          <cell r="M1563" t="str">
            <v>ss</v>
          </cell>
        </row>
        <row r="1564">
          <cell r="A1564">
            <v>8060</v>
          </cell>
          <cell r="B1564" t="str">
            <v>ja</v>
          </cell>
          <cell r="C1564" t="str">
            <v>カカシ_マイメロディコスプレ</v>
          </cell>
          <cell r="D1564" t="str">
            <v>カカシ_マイメロディコスプレ</v>
          </cell>
          <cell r="E1564" t="str">
            <v>執行者</v>
          </cell>
          <cell r="F1564" t="str">
            <v>格好いい</v>
          </cell>
          <cell r="G1564" t="str">
            <v>女性</v>
          </cell>
          <cell r="H1564" t="str">
            <v>green</v>
          </cell>
          <cell r="I1564">
            <v>5</v>
          </cell>
          <cell r="J1564" t="str">
            <v>PremiumS</v>
          </cell>
          <cell r="K1564" t="str">
            <v>technical</v>
          </cell>
          <cell r="L1564" t="str">
            <v>テクニカルタイプ</v>
          </cell>
          <cell r="M1564" t="str">
            <v>ss</v>
          </cell>
        </row>
        <row r="1565">
          <cell r="A1565">
            <v>8061</v>
          </cell>
          <cell r="B1565" t="str">
            <v>ja</v>
          </cell>
          <cell r="C1565" t="str">
            <v>ケロケロけろっぴ</v>
          </cell>
          <cell r="D1565" t="str">
            <v>ケロケロけろっぴ</v>
          </cell>
          <cell r="E1565" t="str">
            <v>執行者</v>
          </cell>
          <cell r="F1565" t="str">
            <v>格好いい</v>
          </cell>
          <cell r="G1565" t="str">
            <v>女性</v>
          </cell>
          <cell r="H1565" t="str">
            <v>green</v>
          </cell>
          <cell r="I1565">
            <v>3</v>
          </cell>
          <cell r="J1565" t="str">
            <v>PremiumS</v>
          </cell>
          <cell r="K1565" t="str">
            <v>balance</v>
          </cell>
          <cell r="L1565" t="str">
            <v>バランスタイプ</v>
          </cell>
          <cell r="M1565" t="str">
            <v>ss</v>
          </cell>
        </row>
        <row r="1566">
          <cell r="A1566">
            <v>8062</v>
          </cell>
          <cell r="B1566" t="str">
            <v>ja</v>
          </cell>
          <cell r="C1566" t="str">
            <v>ケロケロけろっぴ</v>
          </cell>
          <cell r="D1566" t="str">
            <v>ケロケロけろっぴ</v>
          </cell>
          <cell r="E1566" t="str">
            <v>執行者</v>
          </cell>
          <cell r="F1566" t="str">
            <v>格好いい</v>
          </cell>
          <cell r="G1566" t="str">
            <v>女性</v>
          </cell>
          <cell r="H1566" t="str">
            <v>green</v>
          </cell>
          <cell r="I1566">
            <v>4</v>
          </cell>
          <cell r="J1566" t="str">
            <v>PremiumS</v>
          </cell>
          <cell r="K1566" t="str">
            <v>balance</v>
          </cell>
          <cell r="L1566" t="str">
            <v>バランスタイプ</v>
          </cell>
          <cell r="M1566" t="str">
            <v>ss</v>
          </cell>
        </row>
        <row r="1567">
          <cell r="A1567">
            <v>8063</v>
          </cell>
          <cell r="B1567" t="str">
            <v>ja</v>
          </cell>
          <cell r="C1567" t="str">
            <v>モルドレッド_ポムポムプリンコスプレ</v>
          </cell>
          <cell r="D1567" t="str">
            <v>モルドレッド_ポムポムプリンコスプレ</v>
          </cell>
          <cell r="E1567" t="str">
            <v>執行者</v>
          </cell>
          <cell r="F1567" t="str">
            <v>格好いい</v>
          </cell>
          <cell r="G1567" t="str">
            <v>女性</v>
          </cell>
          <cell r="H1567" t="str">
            <v>blue</v>
          </cell>
          <cell r="I1567">
            <v>5</v>
          </cell>
          <cell r="J1567" t="str">
            <v>PremiumSS</v>
          </cell>
          <cell r="K1567" t="str">
            <v>heal</v>
          </cell>
          <cell r="L1567" t="str">
            <v>回復タイプ</v>
          </cell>
          <cell r="M1567" t="str">
            <v>ss</v>
          </cell>
        </row>
        <row r="1568">
          <cell r="A1568">
            <v>8064</v>
          </cell>
          <cell r="B1568" t="str">
            <v>ja</v>
          </cell>
          <cell r="C1568" t="str">
            <v>モルドレッド_ポムポムプリンコスプレ</v>
          </cell>
          <cell r="D1568" t="str">
            <v>モルドレッド_ポムポムプリンコスプレ</v>
          </cell>
          <cell r="E1568" t="str">
            <v>執行者</v>
          </cell>
          <cell r="F1568" t="str">
            <v>格好いい</v>
          </cell>
          <cell r="G1568" t="str">
            <v>女性</v>
          </cell>
          <cell r="H1568" t="str">
            <v>blue</v>
          </cell>
          <cell r="I1568">
            <v>6</v>
          </cell>
          <cell r="J1568" t="str">
            <v>PremiumSS</v>
          </cell>
          <cell r="K1568" t="str">
            <v>heal</v>
          </cell>
          <cell r="L1568" t="str">
            <v>回復タイプ</v>
          </cell>
          <cell r="M1568" t="str">
            <v>ss</v>
          </cell>
        </row>
        <row r="1569">
          <cell r="A1569">
            <v>8065</v>
          </cell>
          <cell r="B1569" t="str">
            <v>ja</v>
          </cell>
          <cell r="C1569" t="str">
            <v>クロミ</v>
          </cell>
          <cell r="D1569" t="str">
            <v>クロミ</v>
          </cell>
          <cell r="E1569" t="str">
            <v>執行者</v>
          </cell>
          <cell r="F1569" t="str">
            <v>格好いい</v>
          </cell>
          <cell r="G1569" t="str">
            <v>女性</v>
          </cell>
          <cell r="H1569" t="str">
            <v>blue</v>
          </cell>
          <cell r="I1569">
            <v>3</v>
          </cell>
          <cell r="J1569" t="str">
            <v>PremiumS</v>
          </cell>
          <cell r="K1569" t="str">
            <v>technical</v>
          </cell>
          <cell r="L1569" t="str">
            <v>テクニカルタイプ</v>
          </cell>
          <cell r="M1569" t="str">
            <v>ss</v>
          </cell>
        </row>
        <row r="1570">
          <cell r="A1570">
            <v>8066</v>
          </cell>
          <cell r="B1570" t="str">
            <v>ja</v>
          </cell>
          <cell r="C1570" t="str">
            <v>クロミ</v>
          </cell>
          <cell r="D1570" t="str">
            <v>クロミ</v>
          </cell>
          <cell r="E1570" t="str">
            <v>執行者</v>
          </cell>
          <cell r="F1570" t="str">
            <v>格好いい</v>
          </cell>
          <cell r="G1570" t="str">
            <v>女性</v>
          </cell>
          <cell r="H1570" t="str">
            <v>blue</v>
          </cell>
          <cell r="I1570">
            <v>4</v>
          </cell>
          <cell r="J1570" t="str">
            <v>PremiumS</v>
          </cell>
          <cell r="K1570" t="str">
            <v>technical</v>
          </cell>
          <cell r="L1570" t="str">
            <v>テクニカルタイプ</v>
          </cell>
          <cell r="M1570" t="str">
            <v>ss</v>
          </cell>
        </row>
        <row r="1571">
          <cell r="A1571">
            <v>8067</v>
          </cell>
          <cell r="B1571" t="str">
            <v>ja</v>
          </cell>
          <cell r="C1571" t="str">
            <v>バッドばつ丸</v>
          </cell>
          <cell r="D1571" t="str">
            <v>バッドばつ丸</v>
          </cell>
          <cell r="E1571" t="str">
            <v>執行者</v>
          </cell>
          <cell r="F1571" t="str">
            <v>格好いい</v>
          </cell>
          <cell r="G1571" t="str">
            <v>女性</v>
          </cell>
          <cell r="H1571" t="str">
            <v>blue</v>
          </cell>
          <cell r="I1571">
            <v>3</v>
          </cell>
          <cell r="J1571" t="str">
            <v>PremiumS</v>
          </cell>
          <cell r="K1571" t="str">
            <v>attack</v>
          </cell>
          <cell r="L1571" t="str">
            <v>攻撃タイプ</v>
          </cell>
          <cell r="M1571" t="str">
            <v>ss</v>
          </cell>
        </row>
        <row r="1572">
          <cell r="A1572">
            <v>8068</v>
          </cell>
          <cell r="B1572" t="str">
            <v>ja</v>
          </cell>
          <cell r="C1572" t="str">
            <v>バッドばつ丸</v>
          </cell>
          <cell r="D1572" t="str">
            <v>バッドばつ丸</v>
          </cell>
          <cell r="E1572" t="str">
            <v>執行者</v>
          </cell>
          <cell r="F1572" t="str">
            <v>格好いい</v>
          </cell>
          <cell r="G1572" t="str">
            <v>女性</v>
          </cell>
          <cell r="H1572" t="str">
            <v>blue</v>
          </cell>
          <cell r="I1572">
            <v>4</v>
          </cell>
          <cell r="J1572" t="str">
            <v>PremiumS</v>
          </cell>
          <cell r="K1572" t="str">
            <v>attack</v>
          </cell>
          <cell r="L1572" t="str">
            <v>攻撃タイプ</v>
          </cell>
          <cell r="M1572" t="str">
            <v>ss</v>
          </cell>
        </row>
        <row r="1573">
          <cell r="A1573">
            <v>8069</v>
          </cell>
          <cell r="B1573" t="str">
            <v>ja</v>
          </cell>
          <cell r="C1573" t="str">
            <v>シナモロール</v>
          </cell>
          <cell r="D1573" t="str">
            <v>シナモロール</v>
          </cell>
          <cell r="E1573" t="str">
            <v>執行者</v>
          </cell>
          <cell r="F1573" t="str">
            <v>格好いい</v>
          </cell>
          <cell r="G1573" t="str">
            <v>女性</v>
          </cell>
          <cell r="H1573" t="str">
            <v>yellow</v>
          </cell>
          <cell r="I1573">
            <v>4</v>
          </cell>
          <cell r="J1573" t="str">
            <v>PremiumS</v>
          </cell>
          <cell r="K1573" t="str">
            <v>heal</v>
          </cell>
          <cell r="L1573" t="str">
            <v>回復タイプ</v>
          </cell>
          <cell r="M1573" t="str">
            <v>ss</v>
          </cell>
        </row>
        <row r="1574">
          <cell r="A1574">
            <v>8070</v>
          </cell>
          <cell r="B1574" t="str">
            <v>ja</v>
          </cell>
          <cell r="C1574" t="str">
            <v>シナモロール</v>
          </cell>
          <cell r="D1574" t="str">
            <v>シナモロール</v>
          </cell>
          <cell r="E1574" t="str">
            <v>執行者</v>
          </cell>
          <cell r="F1574" t="str">
            <v>格好いい</v>
          </cell>
          <cell r="G1574" t="str">
            <v>女性</v>
          </cell>
          <cell r="H1574" t="str">
            <v>yellow</v>
          </cell>
          <cell r="I1574">
            <v>5</v>
          </cell>
          <cell r="J1574" t="str">
            <v>PremiumS</v>
          </cell>
          <cell r="K1574" t="str">
            <v>heal</v>
          </cell>
          <cell r="L1574" t="str">
            <v>回復タイプ</v>
          </cell>
          <cell r="M1574" t="str">
            <v>ss</v>
          </cell>
        </row>
        <row r="1575">
          <cell r="A1575">
            <v>8071</v>
          </cell>
          <cell r="B1575" t="str">
            <v>ja</v>
          </cell>
          <cell r="C1575" t="str">
            <v>ポムポムプリン</v>
          </cell>
          <cell r="D1575" t="str">
            <v>ポムポムプリン</v>
          </cell>
          <cell r="E1575" t="str">
            <v>執行者</v>
          </cell>
          <cell r="F1575" t="str">
            <v>格好いい</v>
          </cell>
          <cell r="G1575" t="str">
            <v>女性</v>
          </cell>
          <cell r="H1575" t="str">
            <v>yellow</v>
          </cell>
          <cell r="I1575">
            <v>3</v>
          </cell>
          <cell r="J1575" t="str">
            <v>PremiumS</v>
          </cell>
          <cell r="K1575" t="str">
            <v>hp</v>
          </cell>
          <cell r="L1575" t="str">
            <v>体力タイプ</v>
          </cell>
          <cell r="M1575" t="str">
            <v>ss</v>
          </cell>
        </row>
        <row r="1576">
          <cell r="A1576">
            <v>8072</v>
          </cell>
          <cell r="B1576" t="str">
            <v>ja</v>
          </cell>
          <cell r="C1576" t="str">
            <v>ポムポムプリン</v>
          </cell>
          <cell r="D1576" t="str">
            <v>ポムポムプリン</v>
          </cell>
          <cell r="E1576" t="str">
            <v>執行者</v>
          </cell>
          <cell r="F1576" t="str">
            <v>格好いい</v>
          </cell>
          <cell r="G1576" t="str">
            <v>女性</v>
          </cell>
          <cell r="H1576" t="str">
            <v>yellow</v>
          </cell>
          <cell r="I1576">
            <v>4</v>
          </cell>
          <cell r="J1576" t="str">
            <v>PremiumS</v>
          </cell>
          <cell r="K1576" t="str">
            <v>hp</v>
          </cell>
          <cell r="L1576" t="str">
            <v>体力タイプ</v>
          </cell>
          <cell r="M1576" t="str">
            <v>ss</v>
          </cell>
        </row>
        <row r="1577">
          <cell r="A1577">
            <v>8073</v>
          </cell>
          <cell r="B1577" t="str">
            <v>ja</v>
          </cell>
          <cell r="C1577" t="str">
            <v>星海祈る天光妃 媽祖</v>
          </cell>
          <cell r="D1577" t="str">
            <v>Expoミク</v>
          </cell>
          <cell r="E1577" t="str">
            <v>執行者</v>
          </cell>
          <cell r="F1577" t="str">
            <v>格好いい</v>
          </cell>
          <cell r="G1577" t="str">
            <v>女性</v>
          </cell>
          <cell r="H1577" t="str">
            <v>yellow</v>
          </cell>
          <cell r="I1577">
            <v>6</v>
          </cell>
          <cell r="J1577" t="str">
            <v>PremiumSS</v>
          </cell>
          <cell r="K1577" t="str">
            <v>attack</v>
          </cell>
          <cell r="L1577" t="str">
            <v>攻撃タイプ</v>
          </cell>
          <cell r="M1577" t="str">
            <v>human</v>
          </cell>
        </row>
        <row r="1578">
          <cell r="A1578">
            <v>8074</v>
          </cell>
          <cell r="B1578" t="str">
            <v>ja</v>
          </cell>
          <cell r="C1578" t="str">
            <v>海戀の絶龍姫 蛟龍</v>
          </cell>
          <cell r="D1578" t="str">
            <v>Expoミク</v>
          </cell>
          <cell r="E1578" t="str">
            <v>執行者</v>
          </cell>
          <cell r="F1578" t="str">
            <v>格好いい</v>
          </cell>
          <cell r="G1578" t="str">
            <v>女性</v>
          </cell>
          <cell r="H1578" t="str">
            <v>blue</v>
          </cell>
          <cell r="I1578">
            <v>6</v>
          </cell>
          <cell r="J1578" t="str">
            <v>DropWizS</v>
          </cell>
          <cell r="K1578" t="str">
            <v>hp</v>
          </cell>
          <cell r="L1578" t="str">
            <v>体力タイプ</v>
          </cell>
          <cell r="M1578" t="str">
            <v>dragon</v>
          </cell>
        </row>
        <row r="1579">
          <cell r="A1579">
            <v>8075</v>
          </cell>
          <cell r="B1579" t="str">
            <v>ja</v>
          </cell>
          <cell r="C1579" t="str">
            <v>三蔵法師_超覚醒</v>
          </cell>
          <cell r="D1579" t="str">
            <v>Expoミク</v>
          </cell>
          <cell r="E1579" t="str">
            <v>執行者</v>
          </cell>
          <cell r="F1579" t="str">
            <v>格好いい</v>
          </cell>
          <cell r="G1579" t="str">
            <v>女性</v>
          </cell>
          <cell r="H1579" t="str">
            <v>blue</v>
          </cell>
          <cell r="I1579">
            <v>6</v>
          </cell>
          <cell r="J1579" t="str">
            <v>PremiumSS</v>
          </cell>
          <cell r="K1579" t="str">
            <v>balance</v>
          </cell>
          <cell r="L1579" t="str">
            <v>バランスタイプ</v>
          </cell>
          <cell r="M1579" t="str">
            <v>god</v>
          </cell>
        </row>
        <row r="1580">
          <cell r="A1580">
            <v>8076</v>
          </cell>
          <cell r="B1580" t="str">
            <v>ja</v>
          </cell>
          <cell r="C1580" t="str">
            <v>孫悟空_超覚醒</v>
          </cell>
          <cell r="D1580" t="str">
            <v>Expoミク</v>
          </cell>
          <cell r="E1580" t="str">
            <v>執行者</v>
          </cell>
          <cell r="F1580" t="str">
            <v>格好いい</v>
          </cell>
          <cell r="G1580" t="str">
            <v>女性</v>
          </cell>
          <cell r="H1580" t="str">
            <v>red</v>
          </cell>
          <cell r="I1580">
            <v>6</v>
          </cell>
          <cell r="J1580" t="str">
            <v>DropWizS</v>
          </cell>
          <cell r="K1580" t="str">
            <v>attack</v>
          </cell>
          <cell r="L1580" t="str">
            <v>攻撃タイプ</v>
          </cell>
          <cell r="M1580" t="str">
            <v>unknown</v>
          </cell>
        </row>
        <row r="1581">
          <cell r="A1581">
            <v>8077</v>
          </cell>
          <cell r="B1581" t="str">
            <v>ja</v>
          </cell>
          <cell r="C1581" t="str">
            <v>鄭成功</v>
          </cell>
          <cell r="D1581" t="str">
            <v>ポムポムプリン</v>
          </cell>
          <cell r="E1581" t="str">
            <v>執行者</v>
          </cell>
          <cell r="F1581" t="str">
            <v>格好いい</v>
          </cell>
          <cell r="G1581" t="str">
            <v>女性</v>
          </cell>
          <cell r="H1581" t="str">
            <v>blue</v>
          </cell>
          <cell r="I1581">
            <v>5</v>
          </cell>
          <cell r="J1581" t="str">
            <v>PremiumSS</v>
          </cell>
          <cell r="K1581" t="str">
            <v>attack</v>
          </cell>
          <cell r="L1581" t="str">
            <v>攻撃タイプ</v>
          </cell>
          <cell r="M1581" t="str">
            <v>human</v>
          </cell>
        </row>
        <row r="1582">
          <cell r="A1582">
            <v>8078</v>
          </cell>
          <cell r="B1582" t="str">
            <v>ja</v>
          </cell>
          <cell r="C1582" t="str">
            <v>レア６鄭成功</v>
          </cell>
          <cell r="D1582" t="str">
            <v>ポムポムプリン</v>
          </cell>
          <cell r="E1582" t="str">
            <v>執行者</v>
          </cell>
          <cell r="F1582" t="str">
            <v>格好いい</v>
          </cell>
          <cell r="G1582" t="str">
            <v>女性</v>
          </cell>
          <cell r="H1582" t="str">
            <v>blue</v>
          </cell>
          <cell r="I1582">
            <v>6</v>
          </cell>
          <cell r="J1582" t="str">
            <v>PremiumSS</v>
          </cell>
          <cell r="K1582" t="str">
            <v>attack</v>
          </cell>
          <cell r="L1582" t="str">
            <v>攻撃タイプ</v>
          </cell>
          <cell r="M1582" t="str">
            <v>human</v>
          </cell>
        </row>
        <row r="1583">
          <cell r="A1583">
            <v>8079</v>
          </cell>
          <cell r="B1583" t="str">
            <v>ja</v>
          </cell>
          <cell r="C1583" t="str">
            <v>赤鬼</v>
          </cell>
          <cell r="D1583" t="str">
            <v>ポムポムプリン</v>
          </cell>
          <cell r="E1583" t="str">
            <v>執行者</v>
          </cell>
          <cell r="F1583" t="str">
            <v>格好いい</v>
          </cell>
          <cell r="G1583" t="str">
            <v>女性</v>
          </cell>
          <cell r="H1583" t="str">
            <v>red</v>
          </cell>
          <cell r="I1583">
            <v>5</v>
          </cell>
          <cell r="J1583" t="str">
            <v>DropWizS</v>
          </cell>
          <cell r="K1583" t="str">
            <v>hp</v>
          </cell>
          <cell r="L1583" t="str">
            <v>体力タイプ</v>
          </cell>
          <cell r="M1583" t="str">
            <v>dragon</v>
          </cell>
        </row>
        <row r="1584">
          <cell r="A1584">
            <v>8080</v>
          </cell>
          <cell r="B1584" t="str">
            <v>ja</v>
          </cell>
          <cell r="C1584" t="str">
            <v>レア６赤鬼</v>
          </cell>
          <cell r="D1584" t="str">
            <v>ポムポムプリン</v>
          </cell>
          <cell r="E1584" t="str">
            <v>執行者</v>
          </cell>
          <cell r="F1584" t="str">
            <v>格好いい</v>
          </cell>
          <cell r="G1584" t="str">
            <v>女性</v>
          </cell>
          <cell r="H1584" t="str">
            <v>red</v>
          </cell>
          <cell r="I1584">
            <v>6</v>
          </cell>
          <cell r="J1584" t="str">
            <v>DropWizS</v>
          </cell>
          <cell r="K1584" t="str">
            <v>hp</v>
          </cell>
          <cell r="L1584" t="str">
            <v>体力タイプ</v>
          </cell>
          <cell r="M1584" t="str">
            <v>dragon</v>
          </cell>
        </row>
        <row r="1585">
          <cell r="A1585">
            <v>8081</v>
          </cell>
          <cell r="B1585" t="str">
            <v>ja</v>
          </cell>
          <cell r="C1585" t="str">
            <v>関羽</v>
          </cell>
          <cell r="H1585" t="str">
            <v>green</v>
          </cell>
          <cell r="I1585">
            <v>5</v>
          </cell>
          <cell r="J1585" t="str">
            <v>PremiumSSS</v>
          </cell>
          <cell r="K1585" t="str">
            <v>balance</v>
          </cell>
          <cell r="L1585" t="str">
            <v>バランスタイプ</v>
          </cell>
          <cell r="M1585" t="str">
            <v>samurai</v>
          </cell>
        </row>
        <row r="1586">
          <cell r="A1586">
            <v>8082</v>
          </cell>
          <cell r="B1586" t="str">
            <v>ja</v>
          </cell>
          <cell r="C1586" t="str">
            <v>★６関羽</v>
          </cell>
          <cell r="H1586" t="str">
            <v>green</v>
          </cell>
          <cell r="I1586">
            <v>6</v>
          </cell>
          <cell r="J1586" t="str">
            <v>PremiumSSS</v>
          </cell>
          <cell r="K1586" t="str">
            <v>balance</v>
          </cell>
          <cell r="L1586" t="str">
            <v>バランスタイプ</v>
          </cell>
          <cell r="M1586" t="str">
            <v>samurai</v>
          </cell>
        </row>
        <row r="1587">
          <cell r="A1587">
            <v>8083</v>
          </cell>
          <cell r="B1587" t="str">
            <v>ja</v>
          </cell>
          <cell r="C1587" t="str">
            <v>曹操</v>
          </cell>
          <cell r="H1587" t="str">
            <v>yellow</v>
          </cell>
          <cell r="I1587">
            <v>5</v>
          </cell>
          <cell r="J1587" t="str">
            <v>DropWizSS</v>
          </cell>
          <cell r="K1587" t="str">
            <v>technical</v>
          </cell>
          <cell r="L1587" t="str">
            <v>テクニカルタイプ</v>
          </cell>
          <cell r="M1587" t="str">
            <v>samurai</v>
          </cell>
        </row>
        <row r="1588">
          <cell r="A1588">
            <v>8084</v>
          </cell>
          <cell r="B1588" t="str">
            <v>ja</v>
          </cell>
          <cell r="C1588" t="str">
            <v>★６曹操</v>
          </cell>
          <cell r="H1588" t="str">
            <v>yellow</v>
          </cell>
          <cell r="I1588">
            <v>6</v>
          </cell>
          <cell r="J1588" t="str">
            <v>DropWizSS</v>
          </cell>
          <cell r="K1588" t="str">
            <v>technical</v>
          </cell>
          <cell r="L1588" t="str">
            <v>テクニカルタイプ</v>
          </cell>
          <cell r="M1588" t="str">
            <v>samurai</v>
          </cell>
        </row>
        <row r="1589">
          <cell r="A1589">
            <v>8087</v>
          </cell>
          <cell r="B1589" t="str">
            <v>ja</v>
          </cell>
          <cell r="C1589" t="str">
            <v>財神</v>
          </cell>
          <cell r="H1589" t="str">
            <v>red</v>
          </cell>
          <cell r="I1589">
            <v>5</v>
          </cell>
          <cell r="J1589" t="str">
            <v>PremiumSSS</v>
          </cell>
          <cell r="K1589" t="str">
            <v>technical</v>
          </cell>
          <cell r="L1589" t="str">
            <v>テクニカルタイプ</v>
          </cell>
          <cell r="M1589" t="str">
            <v>god</v>
          </cell>
        </row>
        <row r="1590">
          <cell r="A1590">
            <v>8088</v>
          </cell>
          <cell r="B1590" t="str">
            <v>ja</v>
          </cell>
          <cell r="C1590" t="str">
            <v>★６財神</v>
          </cell>
          <cell r="H1590" t="str">
            <v>red</v>
          </cell>
          <cell r="I1590">
            <v>6</v>
          </cell>
          <cell r="J1590" t="str">
            <v>PremiumSSS</v>
          </cell>
          <cell r="K1590" t="str">
            <v>technical</v>
          </cell>
          <cell r="L1590" t="str">
            <v>テクニカルタイプ</v>
          </cell>
          <cell r="M1590" t="str">
            <v>god</v>
          </cell>
        </row>
        <row r="1591">
          <cell r="A1591">
            <v>8089</v>
          </cell>
          <cell r="B1591" t="str">
            <v>ja</v>
          </cell>
          <cell r="C1591" t="str">
            <v>年獣</v>
          </cell>
          <cell r="H1591" t="str">
            <v>green</v>
          </cell>
          <cell r="I1591">
            <v>5</v>
          </cell>
          <cell r="J1591" t="str">
            <v>DropWizS</v>
          </cell>
          <cell r="K1591" t="str">
            <v>attack</v>
          </cell>
          <cell r="L1591" t="str">
            <v>攻撃タイプ</v>
          </cell>
          <cell r="M1591" t="str">
            <v>animal</v>
          </cell>
        </row>
        <row r="1592">
          <cell r="A1592">
            <v>8090</v>
          </cell>
          <cell r="B1592" t="str">
            <v>ja</v>
          </cell>
          <cell r="C1592" t="str">
            <v>★６年獣</v>
          </cell>
          <cell r="H1592" t="str">
            <v>green</v>
          </cell>
          <cell r="I1592">
            <v>6</v>
          </cell>
          <cell r="J1592" t="str">
            <v>DropWizS</v>
          </cell>
          <cell r="K1592" t="str">
            <v>attack</v>
          </cell>
          <cell r="L1592" t="str">
            <v>攻撃タイプ</v>
          </cell>
          <cell r="M1592" t="str">
            <v>animal</v>
          </cell>
        </row>
        <row r="1593">
          <cell r="A1593">
            <v>8095</v>
          </cell>
          <cell r="B1593" t="str">
            <v>ja</v>
          </cell>
          <cell r="C1593" t="str">
            <v>バハムートダック赤</v>
          </cell>
          <cell r="D1593" t="str">
            <v>ポムポムプリン</v>
          </cell>
          <cell r="E1593" t="str">
            <v>執行者</v>
          </cell>
          <cell r="F1593" t="str">
            <v>格好いい</v>
          </cell>
          <cell r="G1593" t="str">
            <v>女性</v>
          </cell>
          <cell r="H1593" t="str">
            <v>red</v>
          </cell>
          <cell r="I1593">
            <v>6</v>
          </cell>
          <cell r="J1593" t="str">
            <v>Material</v>
          </cell>
          <cell r="K1593" t="str">
            <v>exp</v>
          </cell>
          <cell r="L1593" t="str">
            <v>強化素材タイプ</v>
          </cell>
          <cell r="M1593" t="str">
            <v>unknown</v>
          </cell>
        </row>
        <row r="1594">
          <cell r="A1594">
            <v>8096</v>
          </cell>
          <cell r="B1594" t="str">
            <v>ja</v>
          </cell>
          <cell r="C1594" t="str">
            <v>バハムートダック緑</v>
          </cell>
          <cell r="D1594" t="str">
            <v>ポムポムプリン</v>
          </cell>
          <cell r="E1594" t="str">
            <v>執行者</v>
          </cell>
          <cell r="F1594" t="str">
            <v>格好いい</v>
          </cell>
          <cell r="G1594" t="str">
            <v>女性</v>
          </cell>
          <cell r="H1594" t="str">
            <v>green</v>
          </cell>
          <cell r="I1594">
            <v>6</v>
          </cell>
          <cell r="J1594" t="str">
            <v>Material</v>
          </cell>
          <cell r="K1594" t="str">
            <v>exp</v>
          </cell>
          <cell r="L1594" t="str">
            <v>強化素材タイプ</v>
          </cell>
          <cell r="M1594" t="str">
            <v>unknown</v>
          </cell>
        </row>
        <row r="1595">
          <cell r="A1595">
            <v>8097</v>
          </cell>
          <cell r="B1595" t="str">
            <v>ja</v>
          </cell>
          <cell r="C1595" t="str">
            <v>バハムートダック青</v>
          </cell>
          <cell r="D1595" t="str">
            <v>ポムポムプリン</v>
          </cell>
          <cell r="E1595" t="str">
            <v>執行者</v>
          </cell>
          <cell r="F1595" t="str">
            <v>格好いい</v>
          </cell>
          <cell r="G1595" t="str">
            <v>女性</v>
          </cell>
          <cell r="H1595" t="str">
            <v>blue</v>
          </cell>
          <cell r="I1595">
            <v>6</v>
          </cell>
          <cell r="J1595" t="str">
            <v>Material</v>
          </cell>
          <cell r="K1595" t="str">
            <v>exp</v>
          </cell>
          <cell r="L1595" t="str">
            <v>強化素材タイプ</v>
          </cell>
          <cell r="M1595" t="str">
            <v>unknown</v>
          </cell>
        </row>
        <row r="1596">
          <cell r="A1596">
            <v>8098</v>
          </cell>
          <cell r="B1596" t="str">
            <v>ja</v>
          </cell>
          <cell r="C1596" t="str">
            <v>バハムートダック黄</v>
          </cell>
          <cell r="D1596" t="str">
            <v>ポムポムプリン</v>
          </cell>
          <cell r="E1596" t="str">
            <v>執行者</v>
          </cell>
          <cell r="F1596" t="str">
            <v>格好いい</v>
          </cell>
          <cell r="G1596" t="str">
            <v>女性</v>
          </cell>
          <cell r="H1596" t="str">
            <v>yellow</v>
          </cell>
          <cell r="I1596">
            <v>6</v>
          </cell>
          <cell r="J1596" t="str">
            <v>Material</v>
          </cell>
          <cell r="K1596" t="str">
            <v>exp</v>
          </cell>
          <cell r="L1596" t="str">
            <v>強化素材タイプ</v>
          </cell>
          <cell r="M1596" t="str">
            <v>unknown</v>
          </cell>
        </row>
        <row r="1597">
          <cell r="A1597">
            <v>8099</v>
          </cell>
          <cell r="B1597" t="str">
            <v>ja</v>
          </cell>
          <cell r="C1597" t="str">
            <v>リトルハンプティ</v>
          </cell>
          <cell r="D1597" t="str">
            <v>各属性相性良3・黄・R455</v>
          </cell>
          <cell r="E1597" t="str">
            <v>執行者</v>
          </cell>
          <cell r="F1597" t="str">
            <v>格好いい</v>
          </cell>
          <cell r="G1597" t="str">
            <v>男性</v>
          </cell>
          <cell r="H1597" t="str">
            <v>green</v>
          </cell>
          <cell r="I1597">
            <v>6</v>
          </cell>
          <cell r="J1597" t="str">
            <v>Material</v>
          </cell>
          <cell r="K1597" t="str">
            <v>evolution</v>
          </cell>
          <cell r="L1597" t="str">
            <v>覚醒素材タイプ</v>
          </cell>
          <cell r="M1597" t="str">
            <v>unknown</v>
          </cell>
        </row>
        <row r="1598">
          <cell r="A1598">
            <v>9001</v>
          </cell>
          <cell r="B1598" t="str">
            <v>ja</v>
          </cell>
          <cell r="C1598" t="str">
            <v>春香</v>
          </cell>
          <cell r="D1598" t="str">
            <v>ポムポムプリン</v>
          </cell>
          <cell r="E1598" t="str">
            <v>執行者</v>
          </cell>
          <cell r="F1598" t="str">
            <v>格好いい</v>
          </cell>
          <cell r="G1598" t="str">
            <v>女性</v>
          </cell>
          <cell r="H1598" t="str">
            <v>red</v>
          </cell>
          <cell r="I1598">
            <v>5</v>
          </cell>
          <cell r="J1598" t="str">
            <v>PremiumSSw</v>
          </cell>
          <cell r="K1598" t="str">
            <v>attack</v>
          </cell>
          <cell r="L1598" t="str">
            <v>攻撃タイプ</v>
          </cell>
          <cell r="M1598" t="str">
            <v>human</v>
          </cell>
        </row>
        <row r="1599">
          <cell r="A1599">
            <v>9002</v>
          </cell>
          <cell r="B1599" t="str">
            <v>ja</v>
          </cell>
          <cell r="C1599" t="str">
            <v>春香★６</v>
          </cell>
          <cell r="D1599" t="str">
            <v>ポムポムプリン</v>
          </cell>
          <cell r="E1599" t="str">
            <v>執行者</v>
          </cell>
          <cell r="F1599" t="str">
            <v>格好いい</v>
          </cell>
          <cell r="G1599" t="str">
            <v>女性</v>
          </cell>
          <cell r="H1599" t="str">
            <v>red</v>
          </cell>
          <cell r="I1599">
            <v>6</v>
          </cell>
          <cell r="J1599" t="str">
            <v>PremiumSSw</v>
          </cell>
          <cell r="K1599" t="str">
            <v>attack</v>
          </cell>
          <cell r="L1599" t="str">
            <v>攻撃タイプ</v>
          </cell>
          <cell r="M1599" t="str">
            <v>human</v>
          </cell>
        </row>
        <row r="1600">
          <cell r="A1600">
            <v>9003</v>
          </cell>
          <cell r="B1600" t="str">
            <v>ja</v>
          </cell>
          <cell r="C1600" t="str">
            <v>夢龍</v>
          </cell>
          <cell r="D1600" t="str">
            <v>ポムポムプリン</v>
          </cell>
          <cell r="E1600" t="str">
            <v>執行者</v>
          </cell>
          <cell r="F1600" t="str">
            <v>格好いい</v>
          </cell>
          <cell r="G1600" t="str">
            <v>女性</v>
          </cell>
          <cell r="H1600" t="str">
            <v>green</v>
          </cell>
          <cell r="I1600">
            <v>5</v>
          </cell>
          <cell r="J1600" t="str">
            <v>DropWizS</v>
          </cell>
          <cell r="K1600" t="str">
            <v>technical</v>
          </cell>
          <cell r="L1600" t="str">
            <v>テクニカルタイプ</v>
          </cell>
          <cell r="M1600" t="str">
            <v>human</v>
          </cell>
        </row>
        <row r="1601">
          <cell r="A1601">
            <v>9004</v>
          </cell>
          <cell r="B1601" t="str">
            <v>ja</v>
          </cell>
          <cell r="C1601" t="str">
            <v>夢龍★６</v>
          </cell>
          <cell r="D1601" t="str">
            <v>各属性相性良3・黄・R455</v>
          </cell>
          <cell r="E1601" t="str">
            <v>執行者</v>
          </cell>
          <cell r="F1601" t="str">
            <v>格好いい</v>
          </cell>
          <cell r="G1601" t="str">
            <v>男性</v>
          </cell>
          <cell r="H1601" t="str">
            <v>green</v>
          </cell>
          <cell r="I1601">
            <v>6</v>
          </cell>
          <cell r="J1601" t="str">
            <v>DropWizS</v>
          </cell>
          <cell r="K1601" t="str">
            <v>technical</v>
          </cell>
          <cell r="L1601" t="str">
            <v>テクニカルタイプ</v>
          </cell>
          <cell r="M1601" t="str">
            <v>human</v>
          </cell>
        </row>
        <row r="1602">
          <cell r="A1602">
            <v>10001</v>
          </cell>
          <cell r="B1602" t="str">
            <v>ja</v>
          </cell>
          <cell r="C1602" t="str">
            <v>テストユニット黄</v>
          </cell>
          <cell r="H1602" t="str">
            <v>yellow</v>
          </cell>
          <cell r="I1602">
            <v>6</v>
          </cell>
          <cell r="J1602" t="str">
            <v>PremiumSSS</v>
          </cell>
          <cell r="K1602" t="str">
            <v>hp</v>
          </cell>
          <cell r="L1602" t="str">
            <v>体力タイプ</v>
          </cell>
          <cell r="M1602" t="str">
            <v>academia</v>
          </cell>
        </row>
        <row r="1603">
          <cell r="A1603">
            <v>10002</v>
          </cell>
          <cell r="B1603" t="str">
            <v>ja</v>
          </cell>
          <cell r="C1603" t="str">
            <v>テストユニット02</v>
          </cell>
          <cell r="H1603" t="str">
            <v>yellow</v>
          </cell>
          <cell r="I1603">
            <v>6</v>
          </cell>
          <cell r="J1603" t="str">
            <v>PremiumSS</v>
          </cell>
          <cell r="K1603" t="str">
            <v>technical</v>
          </cell>
          <cell r="L1603" t="str">
            <v>テクニカルタイプ</v>
          </cell>
          <cell r="M1603" t="str">
            <v>demon</v>
          </cell>
        </row>
        <row r="1604">
          <cell r="A1604">
            <v>10003</v>
          </cell>
          <cell r="B1604" t="str">
            <v>ja</v>
          </cell>
          <cell r="C1604" t="str">
            <v>テストユニット03</v>
          </cell>
          <cell r="H1604" t="str">
            <v>red</v>
          </cell>
          <cell r="I1604">
            <v>5</v>
          </cell>
          <cell r="J1604" t="str">
            <v>PremiumSSS</v>
          </cell>
          <cell r="K1604" t="str">
            <v>technical</v>
          </cell>
          <cell r="L1604" t="str">
            <v>テクニカルタイプ</v>
          </cell>
          <cell r="M1604" t="str">
            <v>academia</v>
          </cell>
        </row>
        <row r="1605">
          <cell r="A1605">
            <v>10004</v>
          </cell>
          <cell r="B1605" t="str">
            <v>ja</v>
          </cell>
          <cell r="C1605" t="str">
            <v>テストユニット04</v>
          </cell>
          <cell r="H1605" t="str">
            <v>red</v>
          </cell>
          <cell r="I1605">
            <v>6</v>
          </cell>
          <cell r="J1605" t="str">
            <v>PremiumSSS</v>
          </cell>
          <cell r="K1605" t="str">
            <v>technical</v>
          </cell>
          <cell r="L1605" t="str">
            <v>テクニカルタイプ</v>
          </cell>
          <cell r="M1605" t="str">
            <v>academia</v>
          </cell>
        </row>
        <row r="1606">
          <cell r="A1606">
            <v>10005</v>
          </cell>
          <cell r="B1606" t="str">
            <v>ja</v>
          </cell>
          <cell r="C1606" t="str">
            <v>テストユニット05</v>
          </cell>
          <cell r="H1606" t="str">
            <v>green</v>
          </cell>
          <cell r="I1606">
            <v>5</v>
          </cell>
          <cell r="J1606" t="str">
            <v>PremiumSSS</v>
          </cell>
          <cell r="K1606" t="str">
            <v>hp</v>
          </cell>
          <cell r="L1606" t="str">
            <v>体力タイプ</v>
          </cell>
          <cell r="M1606" t="str">
            <v>god</v>
          </cell>
        </row>
        <row r="1607">
          <cell r="A1607">
            <v>10006</v>
          </cell>
          <cell r="B1607" t="str">
            <v>ja</v>
          </cell>
          <cell r="C1607" t="str">
            <v>テストユニット06</v>
          </cell>
          <cell r="H1607" t="str">
            <v>green</v>
          </cell>
          <cell r="I1607">
            <v>6</v>
          </cell>
          <cell r="J1607" t="str">
            <v>PremiumSSS</v>
          </cell>
          <cell r="K1607" t="str">
            <v>hp</v>
          </cell>
          <cell r="L1607" t="str">
            <v>体力タイプ</v>
          </cell>
          <cell r="M1607" t="str">
            <v>god</v>
          </cell>
        </row>
        <row r="1608">
          <cell r="A1608">
            <v>10007</v>
          </cell>
          <cell r="B1608" t="str">
            <v>ja</v>
          </cell>
          <cell r="C1608" t="str">
            <v>テストユニット07</v>
          </cell>
          <cell r="H1608" t="str">
            <v>yellow</v>
          </cell>
          <cell r="I1608">
            <v>5</v>
          </cell>
          <cell r="J1608" t="str">
            <v>PremiumSSS</v>
          </cell>
          <cell r="K1608" t="str">
            <v>technical</v>
          </cell>
          <cell r="L1608" t="str">
            <v>テクニカルタイプ</v>
          </cell>
          <cell r="M1608" t="str">
            <v>machine</v>
          </cell>
        </row>
        <row r="1609">
          <cell r="A1609">
            <v>10008</v>
          </cell>
          <cell r="B1609" t="str">
            <v>ja</v>
          </cell>
          <cell r="C1609" t="str">
            <v>テストユニット08</v>
          </cell>
          <cell r="H1609" t="str">
            <v>yellow</v>
          </cell>
          <cell r="I1609">
            <v>6</v>
          </cell>
          <cell r="J1609" t="str">
            <v>PremiumSSS</v>
          </cell>
          <cell r="K1609" t="str">
            <v>technical</v>
          </cell>
          <cell r="L1609" t="str">
            <v>テクニカルタイプ</v>
          </cell>
          <cell r="M1609" t="str">
            <v>machine</v>
          </cell>
        </row>
        <row r="1610">
          <cell r="A1610">
            <v>10009</v>
          </cell>
          <cell r="B1610" t="str">
            <v>ja</v>
          </cell>
          <cell r="C1610" t="str">
            <v>青テスト01</v>
          </cell>
          <cell r="H1610" t="str">
            <v>blue</v>
          </cell>
          <cell r="I1610">
            <v>6</v>
          </cell>
          <cell r="J1610" t="str">
            <v>DropWizS</v>
          </cell>
          <cell r="K1610" t="str">
            <v>heal</v>
          </cell>
          <cell r="L1610" t="str">
            <v>回復タイプ</v>
          </cell>
          <cell r="M1610" t="str">
            <v>human</v>
          </cell>
        </row>
        <row r="1611">
          <cell r="A1611">
            <v>10010</v>
          </cell>
          <cell r="B1611" t="str">
            <v>ja</v>
          </cell>
          <cell r="C1611" t="str">
            <v>赤テスト01</v>
          </cell>
          <cell r="H1611" t="str">
            <v>red</v>
          </cell>
          <cell r="I1611">
            <v>6</v>
          </cell>
          <cell r="J1611" t="str">
            <v>PremiumSSS</v>
          </cell>
          <cell r="K1611" t="str">
            <v>technical</v>
          </cell>
          <cell r="L1611" t="str">
            <v>テクニカルタイプ</v>
          </cell>
          <cell r="M1611" t="str">
            <v>human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A5" sqref="A5"/>
    </sheetView>
  </sheetViews>
  <sheetFormatPr baseColWidth="12" defaultRowHeight="14" x14ac:dyDescent="0.15"/>
  <sheetData>
    <row r="1" spans="1:1" x14ac:dyDescent="0.15">
      <c r="A1" t="s">
        <v>60</v>
      </c>
    </row>
    <row r="2" spans="1:1" x14ac:dyDescent="0.15">
      <c r="A2" t="s">
        <v>61</v>
      </c>
    </row>
    <row r="3" spans="1:1" x14ac:dyDescent="0.15">
      <c r="A3" t="s">
        <v>62</v>
      </c>
    </row>
    <row r="4" spans="1:1" x14ac:dyDescent="0.15">
      <c r="A4" t="s">
        <v>63</v>
      </c>
    </row>
  </sheetData>
  <phoneticPr fontId="19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7"/>
  <sheetViews>
    <sheetView workbookViewId="0">
      <selection activeCell="C4" sqref="C4"/>
    </sheetView>
  </sheetViews>
  <sheetFormatPr baseColWidth="12" defaultRowHeight="15" x14ac:dyDescent="0.15"/>
  <cols>
    <col min="1" max="1" width="13" style="16"/>
    <col min="2" max="2" width="14.796875" style="16" bestFit="1" customWidth="1"/>
    <col min="3" max="4" width="13" style="16"/>
    <col min="5" max="5" width="17.59765625" style="16" bestFit="1" customWidth="1"/>
    <col min="6" max="6" width="22.19921875" style="16" bestFit="1" customWidth="1"/>
    <col min="7" max="16384" width="13" style="16"/>
  </cols>
  <sheetData>
    <row r="1" spans="1:21" x14ac:dyDescent="0.15">
      <c r="A1" s="26" t="s">
        <v>52</v>
      </c>
      <c r="B1" s="14" t="s">
        <v>40</v>
      </c>
      <c r="C1" s="14" t="s">
        <v>41</v>
      </c>
      <c r="D1" s="14" t="s">
        <v>42</v>
      </c>
      <c r="E1" s="14" t="s">
        <v>43</v>
      </c>
      <c r="F1" s="14" t="s">
        <v>44</v>
      </c>
      <c r="G1" s="14" t="s">
        <v>45</v>
      </c>
      <c r="H1" s="14"/>
      <c r="I1" s="14"/>
      <c r="J1" s="14"/>
      <c r="K1" s="14"/>
      <c r="L1" s="15"/>
      <c r="M1" s="15"/>
      <c r="N1" s="15"/>
      <c r="O1" s="15"/>
    </row>
    <row r="2" spans="1:21" x14ac:dyDescent="0.15">
      <c r="A2" s="43" t="s">
        <v>81</v>
      </c>
      <c r="B2" s="42" t="s">
        <v>78</v>
      </c>
      <c r="C2" s="37">
        <v>7319</v>
      </c>
      <c r="D2" s="17" t="s">
        <v>46</v>
      </c>
      <c r="E2" s="15" t="str">
        <f t="shared" ref="E2:E7" si="0">B2&amp;C2&amp;D2</f>
        <v>gacha_select_tables_7319.tmp</v>
      </c>
      <c r="F2" s="46" t="s">
        <v>84</v>
      </c>
      <c r="G2" s="36" t="s">
        <v>65</v>
      </c>
      <c r="H2" s="20" t="s">
        <v>0</v>
      </c>
      <c r="I2" s="20" t="s">
        <v>3</v>
      </c>
      <c r="J2" s="20" t="s">
        <v>4</v>
      </c>
      <c r="K2" s="20" t="s">
        <v>5</v>
      </c>
      <c r="L2" s="20" t="s">
        <v>6</v>
      </c>
      <c r="M2" s="20" t="s">
        <v>7</v>
      </c>
      <c r="N2" s="20" t="s">
        <v>8</v>
      </c>
      <c r="O2" s="20" t="s">
        <v>9</v>
      </c>
    </row>
    <row r="3" spans="1:21" x14ac:dyDescent="0.15">
      <c r="A3" s="43" t="s">
        <v>81</v>
      </c>
      <c r="B3" s="42" t="s">
        <v>78</v>
      </c>
      <c r="C3" s="37">
        <v>7320</v>
      </c>
      <c r="D3" s="17" t="s">
        <v>46</v>
      </c>
      <c r="E3" s="15" t="str">
        <f t="shared" ref="E3" si="1">B3&amp;C3&amp;D3</f>
        <v>gacha_select_tables_7320.tmp</v>
      </c>
      <c r="F3" s="46" t="s">
        <v>85</v>
      </c>
      <c r="G3" s="36" t="s">
        <v>65</v>
      </c>
      <c r="H3" s="20" t="s">
        <v>0</v>
      </c>
      <c r="I3" s="20" t="s">
        <v>3</v>
      </c>
      <c r="J3" s="20" t="s">
        <v>4</v>
      </c>
      <c r="K3" s="20" t="s">
        <v>5</v>
      </c>
      <c r="L3" s="20" t="s">
        <v>6</v>
      </c>
      <c r="M3" s="20" t="s">
        <v>7</v>
      </c>
      <c r="N3" s="20" t="s">
        <v>8</v>
      </c>
      <c r="O3" s="20" t="s">
        <v>9</v>
      </c>
    </row>
    <row r="4" spans="1:21" x14ac:dyDescent="0.15">
      <c r="A4" s="29" t="s">
        <v>54</v>
      </c>
      <c r="B4" s="44" t="s">
        <v>82</v>
      </c>
      <c r="C4" s="37">
        <v>7318</v>
      </c>
      <c r="D4" s="17" t="s">
        <v>46</v>
      </c>
      <c r="E4" s="15" t="str">
        <f>B4&amp;C4&amp;D4</f>
        <v>gacha_settle_tables_7318.tmp</v>
      </c>
      <c r="F4" s="45" t="s">
        <v>83</v>
      </c>
      <c r="G4" s="36" t="s">
        <v>65</v>
      </c>
      <c r="H4" s="20" t="s">
        <v>0</v>
      </c>
      <c r="I4" s="20" t="s">
        <v>3</v>
      </c>
      <c r="J4" s="20" t="s">
        <v>4</v>
      </c>
      <c r="K4" s="20" t="s">
        <v>5</v>
      </c>
      <c r="L4" s="20" t="s">
        <v>6</v>
      </c>
      <c r="M4" s="20" t="s">
        <v>7</v>
      </c>
      <c r="N4" s="20" t="s">
        <v>8</v>
      </c>
      <c r="O4" s="20" t="s">
        <v>9</v>
      </c>
    </row>
    <row r="5" spans="1:21" x14ac:dyDescent="0.15">
      <c r="A5" s="29" t="s">
        <v>54</v>
      </c>
      <c r="B5" s="25" t="s">
        <v>51</v>
      </c>
      <c r="C5" s="30" t="s">
        <v>55</v>
      </c>
      <c r="D5" s="17" t="s">
        <v>47</v>
      </c>
      <c r="E5" s="15" t="str">
        <f t="shared" si="0"/>
        <v>gacha_bonus_tables_hogehoge.tmp</v>
      </c>
      <c r="F5" s="17" t="s">
        <v>48</v>
      </c>
      <c r="G5" s="19" t="s">
        <v>11</v>
      </c>
      <c r="H5" s="21" t="s">
        <v>14</v>
      </c>
      <c r="I5" s="19" t="s">
        <v>12</v>
      </c>
      <c r="J5" s="18"/>
      <c r="K5" s="18"/>
      <c r="L5" s="18"/>
      <c r="M5" s="18"/>
      <c r="N5" s="18"/>
      <c r="O5" s="18"/>
    </row>
    <row r="6" spans="1:21" x14ac:dyDescent="0.15">
      <c r="A6" s="29" t="s">
        <v>54</v>
      </c>
      <c r="B6" s="17" t="s">
        <v>49</v>
      </c>
      <c r="C6" s="30" t="s">
        <v>55</v>
      </c>
      <c r="D6" s="17" t="s">
        <v>47</v>
      </c>
      <c r="E6" s="15" t="str">
        <f t="shared" si="0"/>
        <v>gifts_tmp_hogehoge.tmp</v>
      </c>
      <c r="F6" s="17" t="s">
        <v>48</v>
      </c>
      <c r="G6" s="21" t="s">
        <v>22</v>
      </c>
      <c r="H6" s="22" t="s">
        <v>30</v>
      </c>
      <c r="I6" s="21" t="s">
        <v>23</v>
      </c>
      <c r="J6" s="21" t="s">
        <v>24</v>
      </c>
      <c r="K6" s="21" t="s">
        <v>24</v>
      </c>
      <c r="L6" s="21" t="s">
        <v>25</v>
      </c>
      <c r="M6" s="21" t="s">
        <v>25</v>
      </c>
      <c r="N6" s="21" t="s">
        <v>25</v>
      </c>
      <c r="O6" s="38" t="s">
        <v>7</v>
      </c>
      <c r="P6" s="38" t="s">
        <v>9</v>
      </c>
      <c r="Q6" s="38" t="s">
        <v>6</v>
      </c>
      <c r="R6" s="38" t="s">
        <v>66</v>
      </c>
      <c r="S6" s="38" t="s">
        <v>8</v>
      </c>
      <c r="T6" s="38" t="s">
        <v>67</v>
      </c>
      <c r="U6" s="38" t="s">
        <v>5</v>
      </c>
    </row>
    <row r="7" spans="1:21" x14ac:dyDescent="0.15">
      <c r="A7" s="29" t="s">
        <v>54</v>
      </c>
      <c r="B7" s="17" t="s">
        <v>50</v>
      </c>
      <c r="C7" s="30" t="s">
        <v>55</v>
      </c>
      <c r="D7" s="17" t="s">
        <v>47</v>
      </c>
      <c r="E7" s="15" t="str">
        <f t="shared" si="0"/>
        <v>gifts_i18n_hogehoge.tmp</v>
      </c>
      <c r="F7" s="17" t="s">
        <v>48</v>
      </c>
      <c r="G7" s="21" t="s">
        <v>13</v>
      </c>
      <c r="H7" s="23" t="s">
        <v>26</v>
      </c>
      <c r="I7" s="23" t="s">
        <v>27</v>
      </c>
      <c r="J7" s="23" t="s">
        <v>28</v>
      </c>
      <c r="K7" s="23" t="s">
        <v>29</v>
      </c>
      <c r="L7" s="24"/>
      <c r="M7" s="21"/>
      <c r="N7" s="21"/>
      <c r="O7" s="17"/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V19"/>
  <sheetViews>
    <sheetView showGridLines="0" zoomScale="75" zoomScaleNormal="75" zoomScalePageLayoutView="75" workbookViewId="0">
      <pane ySplit="1" topLeftCell="A2" activePane="bottomLeft" state="frozen"/>
      <selection activeCell="A266" sqref="A266:XFD266"/>
      <selection pane="bottomLeft" activeCell="B19" sqref="B19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1" t="s">
        <v>64</v>
      </c>
      <c r="B1" s="13" t="s">
        <v>32</v>
      </c>
      <c r="C1" s="3" t="s">
        <v>31</v>
      </c>
      <c r="D1" s="3" t="s">
        <v>76</v>
      </c>
      <c r="E1" s="3" t="s">
        <v>79</v>
      </c>
      <c r="F1" s="3" t="s">
        <v>80</v>
      </c>
      <c r="G1" s="3" t="s">
        <v>77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56</v>
      </c>
      <c r="O1" s="13" t="s">
        <v>39</v>
      </c>
      <c r="P1" s="3" t="s">
        <v>58</v>
      </c>
      <c r="Q1" s="13" t="s">
        <v>38</v>
      </c>
      <c r="R1" s="27" t="s">
        <v>5</v>
      </c>
      <c r="S1" s="27" t="s">
        <v>6</v>
      </c>
      <c r="T1" s="27" t="s">
        <v>7</v>
      </c>
      <c r="U1" s="27" t="s">
        <v>8</v>
      </c>
      <c r="V1" s="27" t="s">
        <v>9</v>
      </c>
    </row>
    <row r="2" spans="1:22" ht="21" customHeight="1" x14ac:dyDescent="0.2">
      <c r="A2" s="2">
        <v>7319010</v>
      </c>
      <c r="B2" s="47">
        <v>1504</v>
      </c>
      <c r="C2" s="7" t="str">
        <f t="shared" ref="C2:C4" si="0">D2&amp;J2&amp;E2&amp;F2&amp;G2</f>
        <v>Premium1R3less</v>
      </c>
      <c r="D2" s="7" t="str">
        <f t="shared" ref="D2:D4" si="1">IF(I2="PremiumSS",I2,IF(I2="PremiumSSS",I2,IF(I2="PremiumW",I2,"Premium")))</f>
        <v>Premium</v>
      </c>
      <c r="E2" s="7" t="str">
        <f>IF(COUNTIF('R6追加前'!A:A,B2)=0,IF(I2="PremiumSS","R5only","R3less"),"")</f>
        <v>R3less</v>
      </c>
      <c r="F2" s="7" t="str">
        <f>IF(COUNTIF('R6開放'!A:A,B2)&gt;0,"R6release","")</f>
        <v/>
      </c>
      <c r="G2" s="7"/>
      <c r="H2" s="7" t="str">
        <f>VLOOKUP(B2,[1]characters!$A:$C,3,FALSE)</f>
        <v>magenta01</v>
      </c>
      <c r="I2" s="7" t="str">
        <f>VLOOKUP(B2,[1]characters!$A:$J,10,FALSE)</f>
        <v>Drop1T</v>
      </c>
      <c r="J2" s="7">
        <f>VLOOKUP(B2,[1]characters!$A:$I,9,FALSE)</f>
        <v>1</v>
      </c>
      <c r="K2" s="7" t="str">
        <f>VLOOKUP(B2,[1]characters!$A:$H,8,FALSE)</f>
        <v>red</v>
      </c>
      <c r="L2" s="7" t="str">
        <f>VLOOKUP(B2,[1]characters!$A:$K,11,FALSE)</f>
        <v>balance</v>
      </c>
      <c r="M2" s="7" t="str">
        <f>VLOOKUP(B2,[1]characters!$A:$M,13,FALSE)</f>
        <v>unknown</v>
      </c>
      <c r="N2" s="7">
        <f>VLOOKUP(B2,[1]characters!$A:$G,7,FALSE)</f>
        <v>0</v>
      </c>
      <c r="O2" s="34">
        <v>2400</v>
      </c>
      <c r="P2" s="35">
        <f t="shared" ref="P2:P19" si="2">O2/SUM(O:O)</f>
        <v>2.4E-2</v>
      </c>
      <c r="Q2" s="28">
        <v>1</v>
      </c>
      <c r="R2" s="28">
        <v>0</v>
      </c>
      <c r="S2" s="28">
        <v>0</v>
      </c>
      <c r="T2" s="28">
        <v>0</v>
      </c>
      <c r="U2" s="28">
        <v>0</v>
      </c>
      <c r="V2" s="28">
        <v>1</v>
      </c>
    </row>
    <row r="3" spans="1:22" ht="21" customHeight="1" x14ac:dyDescent="0.2">
      <c r="A3" s="2">
        <v>7319010</v>
      </c>
      <c r="B3" s="47">
        <v>1505</v>
      </c>
      <c r="C3" s="7" t="str">
        <f t="shared" si="0"/>
        <v>Premium1R3less</v>
      </c>
      <c r="D3" s="7" t="str">
        <f t="shared" si="1"/>
        <v>Premium</v>
      </c>
      <c r="E3" s="7" t="str">
        <f>IF(COUNTIF('R6追加前'!A:A,B3)=0,IF(I3="PremiumSS","R5only","R3less"),"")</f>
        <v>R3less</v>
      </c>
      <c r="F3" s="7" t="str">
        <f>IF(COUNTIF('R6開放'!A:A,B3)&gt;0,"R6release","")</f>
        <v/>
      </c>
      <c r="G3" s="7"/>
      <c r="H3" s="7" t="str">
        <f>VLOOKUP(B3,[1]characters!$A:$C,3,FALSE)</f>
        <v>amber01</v>
      </c>
      <c r="I3" s="7" t="str">
        <f>VLOOKUP(B3,[1]characters!$A:$J,10,FALSE)</f>
        <v>Drop1T</v>
      </c>
      <c r="J3" s="7">
        <f>VLOOKUP(B3,[1]characters!$A:$I,9,FALSE)</f>
        <v>1</v>
      </c>
      <c r="K3" s="7" t="str">
        <f>VLOOKUP(B3,[1]characters!$A:$H,8,FALSE)</f>
        <v>green</v>
      </c>
      <c r="L3" s="7" t="str">
        <f>VLOOKUP(B3,[1]characters!$A:$K,11,FALSE)</f>
        <v>hp</v>
      </c>
      <c r="M3" s="7" t="str">
        <f>VLOOKUP(B3,[1]characters!$A:$M,13,FALSE)</f>
        <v>unknown</v>
      </c>
      <c r="N3" s="7">
        <f>VLOOKUP(B3,[1]characters!$A:$G,7,FALSE)</f>
        <v>0</v>
      </c>
      <c r="O3" s="34">
        <v>2400</v>
      </c>
      <c r="P3" s="35">
        <f t="shared" si="2"/>
        <v>2.4E-2</v>
      </c>
      <c r="Q3" s="28">
        <v>1</v>
      </c>
      <c r="R3" s="28">
        <v>0</v>
      </c>
      <c r="S3" s="28">
        <v>0</v>
      </c>
      <c r="T3" s="28">
        <v>0</v>
      </c>
      <c r="U3" s="28">
        <v>0</v>
      </c>
      <c r="V3" s="28">
        <v>1</v>
      </c>
    </row>
    <row r="4" spans="1:22" ht="21" customHeight="1" x14ac:dyDescent="0.2">
      <c r="A4" s="2">
        <v>7319010</v>
      </c>
      <c r="B4" s="47">
        <v>1506</v>
      </c>
      <c r="C4" s="7" t="str">
        <f t="shared" si="0"/>
        <v>Premium2R3less</v>
      </c>
      <c r="D4" s="7" t="str">
        <f t="shared" si="1"/>
        <v>Premium</v>
      </c>
      <c r="E4" s="7" t="str">
        <f>IF(COUNTIF('R6追加前'!A:A,B4)=0,IF(I4="PremiumSS","R5only","R3less"),"")</f>
        <v>R3less</v>
      </c>
      <c r="F4" s="7" t="str">
        <f>IF(COUNTIF('R6開放'!A:A,B4)&gt;0,"R6release","")</f>
        <v/>
      </c>
      <c r="G4" s="7"/>
      <c r="H4" s="7" t="str">
        <f>VLOOKUP(B4,[1]characters!$A:$C,3,FALSE)</f>
        <v>pumpkin01</v>
      </c>
      <c r="I4" s="7" t="str">
        <f>VLOOKUP(B4,[1]characters!$A:$J,10,FALSE)</f>
        <v>Drop1S</v>
      </c>
      <c r="J4" s="7">
        <f>VLOOKUP(B4,[1]characters!$A:$I,9,FALSE)</f>
        <v>2</v>
      </c>
      <c r="K4" s="7" t="str">
        <f>VLOOKUP(B4,[1]characters!$A:$H,8,FALSE)</f>
        <v>yellow</v>
      </c>
      <c r="L4" s="7" t="str">
        <f>VLOOKUP(B4,[1]characters!$A:$K,11,FALSE)</f>
        <v>attack</v>
      </c>
      <c r="M4" s="7" t="str">
        <f>VLOOKUP(B4,[1]characters!$A:$M,13,FALSE)</f>
        <v>unknown</v>
      </c>
      <c r="N4" s="7">
        <f>VLOOKUP(B4,[1]characters!$A:$G,7,FALSE)</f>
        <v>0</v>
      </c>
      <c r="O4" s="34">
        <v>2400</v>
      </c>
      <c r="P4" s="35">
        <f t="shared" si="2"/>
        <v>2.4E-2</v>
      </c>
      <c r="Q4" s="28">
        <v>1</v>
      </c>
      <c r="R4" s="28">
        <v>0</v>
      </c>
      <c r="S4" s="28">
        <v>0</v>
      </c>
      <c r="T4" s="28">
        <v>0</v>
      </c>
      <c r="U4" s="28">
        <v>0</v>
      </c>
      <c r="V4" s="28">
        <v>1</v>
      </c>
    </row>
    <row r="5" spans="1:22" ht="21" customHeight="1" x14ac:dyDescent="0.2">
      <c r="A5" s="2">
        <v>7319010</v>
      </c>
      <c r="B5" s="47">
        <v>1507</v>
      </c>
      <c r="C5" s="7" t="str">
        <f t="shared" ref="C5:C8" si="3">D5&amp;J5&amp;E5&amp;F5&amp;G5</f>
        <v>Premium3R3less</v>
      </c>
      <c r="D5" s="7" t="str">
        <f t="shared" ref="D5:D8" si="4">IF(I5="PremiumSS",I5,IF(I5="PremiumSSS",I5,IF(I5="PremiumW",I5,"Premium")))</f>
        <v>Premium</v>
      </c>
      <c r="E5" s="7" t="str">
        <f>IF(COUNTIF('R6追加前'!A:A,B5)=0,IF(I5="PremiumSS","R5only","R3less"),"")</f>
        <v>R3less</v>
      </c>
      <c r="F5" s="7" t="str">
        <f>IF(COUNTIF('R6開放'!A:A,B5)&gt;0,"R6release","")</f>
        <v/>
      </c>
      <c r="G5" s="7"/>
      <c r="H5" s="7" t="str">
        <f>VLOOKUP(B5,[1]characters!$A:$C,3,FALSE)</f>
        <v>rose01</v>
      </c>
      <c r="I5" s="7" t="str">
        <f>VLOOKUP(B5,[1]characters!$A:$J,10,FALSE)</f>
        <v>Drop2N</v>
      </c>
      <c r="J5" s="7">
        <f>VLOOKUP(B5,[1]characters!$A:$I,9,FALSE)</f>
        <v>3</v>
      </c>
      <c r="K5" s="7" t="str">
        <f>VLOOKUP(B5,[1]characters!$A:$H,8,FALSE)</f>
        <v>blue</v>
      </c>
      <c r="L5" s="7" t="str">
        <f>VLOOKUP(B5,[1]characters!$A:$K,11,FALSE)</f>
        <v>technical</v>
      </c>
      <c r="M5" s="7" t="str">
        <f>VLOOKUP(B5,[1]characters!$A:$M,13,FALSE)</f>
        <v>unknown</v>
      </c>
      <c r="N5" s="7">
        <f>VLOOKUP(B5,[1]characters!$A:$G,7,FALSE)</f>
        <v>0</v>
      </c>
      <c r="O5" s="34">
        <v>2400</v>
      </c>
      <c r="P5" s="35">
        <f t="shared" si="2"/>
        <v>2.4E-2</v>
      </c>
      <c r="Q5" s="28">
        <v>1</v>
      </c>
      <c r="R5" s="28">
        <v>0</v>
      </c>
      <c r="S5" s="28">
        <v>0</v>
      </c>
      <c r="T5" s="28">
        <v>0</v>
      </c>
      <c r="U5" s="28">
        <v>0</v>
      </c>
      <c r="V5" s="28">
        <v>1</v>
      </c>
    </row>
    <row r="6" spans="1:22" ht="21" customHeight="1" x14ac:dyDescent="0.2">
      <c r="A6" s="2">
        <v>7319010</v>
      </c>
      <c r="B6" s="47">
        <v>1508</v>
      </c>
      <c r="C6" s="7" t="str">
        <f t="shared" si="3"/>
        <v>Premium4R3less</v>
      </c>
      <c r="D6" s="7" t="str">
        <f t="shared" si="4"/>
        <v>Premium</v>
      </c>
      <c r="E6" s="7" t="str">
        <f>IF(COUNTIF('R6追加前'!A:A,B6)=0,IF(I6="PremiumSS","R5only","R3less"),"")</f>
        <v>R3less</v>
      </c>
      <c r="F6" s="7" t="str">
        <f>IF(COUNTIF('R6開放'!A:A,B6)&gt;0,"R6release","")</f>
        <v/>
      </c>
      <c r="G6" s="7"/>
      <c r="H6" s="7" t="str">
        <f>VLOOKUP(B6,[1]characters!$A:$C,3,FALSE)</f>
        <v>burgundy01</v>
      </c>
      <c r="I6" s="7" t="str">
        <f>VLOOKUP(B6,[1]characters!$A:$J,10,FALSE)</f>
        <v>Drop2N</v>
      </c>
      <c r="J6" s="7">
        <f>VLOOKUP(B6,[1]characters!$A:$I,9,FALSE)</f>
        <v>4</v>
      </c>
      <c r="K6" s="7" t="str">
        <f>VLOOKUP(B6,[1]characters!$A:$H,8,FALSE)</f>
        <v>red</v>
      </c>
      <c r="L6" s="7" t="str">
        <f>VLOOKUP(B6,[1]characters!$A:$K,11,FALSE)</f>
        <v>balance</v>
      </c>
      <c r="M6" s="7" t="str">
        <f>VLOOKUP(B6,[1]characters!$A:$M,13,FALSE)</f>
        <v>unknown</v>
      </c>
      <c r="N6" s="7">
        <f>VLOOKUP(B6,[1]characters!$A:$G,7,FALSE)</f>
        <v>0</v>
      </c>
      <c r="O6" s="34">
        <v>2400</v>
      </c>
      <c r="P6" s="35">
        <f t="shared" si="2"/>
        <v>2.4E-2</v>
      </c>
      <c r="Q6" s="28">
        <v>1</v>
      </c>
      <c r="R6" s="28">
        <v>0</v>
      </c>
      <c r="S6" s="28">
        <v>0</v>
      </c>
      <c r="T6" s="28">
        <v>0</v>
      </c>
      <c r="U6" s="28">
        <v>0</v>
      </c>
      <c r="V6" s="28">
        <v>1</v>
      </c>
    </row>
    <row r="7" spans="1:22" ht="21" customHeight="1" x14ac:dyDescent="0.2">
      <c r="A7" s="2">
        <v>7319010</v>
      </c>
      <c r="B7" s="47">
        <v>1513</v>
      </c>
      <c r="C7" s="7" t="str">
        <f t="shared" si="3"/>
        <v>Premium4R3less</v>
      </c>
      <c r="D7" s="7" t="str">
        <f t="shared" si="4"/>
        <v>Premium</v>
      </c>
      <c r="E7" s="7" t="str">
        <f>IF(COUNTIF('R6追加前'!A:A,B7)=0,IF(I7="PremiumSS","R5only","R3less"),"")</f>
        <v>R3less</v>
      </c>
      <c r="F7" s="7" t="str">
        <f>IF(COUNTIF('R6開放'!A:A,B7)&gt;0,"R6release","")</f>
        <v/>
      </c>
      <c r="G7" s="7"/>
      <c r="H7" s="7" t="str">
        <f>VLOOKUP(B7,[1]characters!$A:$C,3,FALSE)</f>
        <v>gold01</v>
      </c>
      <c r="I7" s="7" t="str">
        <f>VLOOKUP(B7,[1]characters!$A:$J,10,FALSE)</f>
        <v>Material</v>
      </c>
      <c r="J7" s="7">
        <f>VLOOKUP(B7,[1]characters!$A:$I,9,FALSE)</f>
        <v>4</v>
      </c>
      <c r="K7" s="7" t="str">
        <f>VLOOKUP(B7,[1]characters!$A:$H,8,FALSE)</f>
        <v>yellow</v>
      </c>
      <c r="L7" s="7" t="str">
        <f>VLOOKUP(B7,[1]characters!$A:$K,11,FALSE)</f>
        <v>coin</v>
      </c>
      <c r="M7" s="7" t="str">
        <f>VLOOKUP(B7,[1]characters!$A:$M,13,FALSE)</f>
        <v>unknown</v>
      </c>
      <c r="N7" s="7">
        <f>VLOOKUP(B7,[1]characters!$A:$G,7,FALSE)</f>
        <v>0</v>
      </c>
      <c r="O7" s="34">
        <v>8000</v>
      </c>
      <c r="P7" s="35">
        <f t="shared" si="2"/>
        <v>0.08</v>
      </c>
      <c r="Q7" s="28">
        <v>1</v>
      </c>
      <c r="R7" s="28">
        <v>0</v>
      </c>
      <c r="S7" s="28">
        <v>0</v>
      </c>
      <c r="T7" s="28">
        <v>0</v>
      </c>
      <c r="U7" s="28">
        <v>0</v>
      </c>
      <c r="V7" s="28">
        <v>1</v>
      </c>
    </row>
    <row r="8" spans="1:22" ht="21" customHeight="1" x14ac:dyDescent="0.2">
      <c r="A8" s="2">
        <v>7319010</v>
      </c>
      <c r="B8" s="47">
        <v>1514</v>
      </c>
      <c r="C8" s="7" t="str">
        <f t="shared" si="3"/>
        <v>Premium5R3less</v>
      </c>
      <c r="D8" s="7" t="str">
        <f t="shared" si="4"/>
        <v>Premium</v>
      </c>
      <c r="E8" s="7" t="str">
        <f>IF(COUNTIF('R6追加前'!A:A,B8)=0,IF(I8="PremiumSS","R5only","R3less"),"")</f>
        <v>R3less</v>
      </c>
      <c r="F8" s="7" t="str">
        <f>IF(COUNTIF('R6開放'!A:A,B8)&gt;0,"R6release","")</f>
        <v/>
      </c>
      <c r="G8" s="7"/>
      <c r="H8" s="7" t="str">
        <f>VLOOKUP(B8,[1]characters!$A:$C,3,FALSE)</f>
        <v>gold02</v>
      </c>
      <c r="I8" s="7" t="str">
        <f>VLOOKUP(B8,[1]characters!$A:$J,10,FALSE)</f>
        <v>Material</v>
      </c>
      <c r="J8" s="7">
        <f>VLOOKUP(B8,[1]characters!$A:$I,9,FALSE)</f>
        <v>5</v>
      </c>
      <c r="K8" s="7" t="str">
        <f>VLOOKUP(B8,[1]characters!$A:$H,8,FALSE)</f>
        <v>yellow</v>
      </c>
      <c r="L8" s="7" t="str">
        <f>VLOOKUP(B8,[1]characters!$A:$K,11,FALSE)</f>
        <v>coin</v>
      </c>
      <c r="M8" s="7" t="str">
        <f>VLOOKUP(B8,[1]characters!$A:$M,13,FALSE)</f>
        <v>unknown</v>
      </c>
      <c r="N8" s="7">
        <f>VLOOKUP(B8,[1]characters!$A:$G,7,FALSE)</f>
        <v>0</v>
      </c>
      <c r="O8" s="34">
        <v>6000</v>
      </c>
      <c r="P8" s="35">
        <f t="shared" si="2"/>
        <v>0.06</v>
      </c>
      <c r="Q8" s="28">
        <v>1</v>
      </c>
      <c r="R8" s="28">
        <v>0</v>
      </c>
      <c r="S8" s="28">
        <v>0</v>
      </c>
      <c r="T8" s="28">
        <v>0</v>
      </c>
      <c r="U8" s="28">
        <v>0</v>
      </c>
      <c r="V8" s="28">
        <v>1</v>
      </c>
    </row>
    <row r="9" spans="1:22" ht="21" customHeight="1" x14ac:dyDescent="0.2">
      <c r="A9" s="2">
        <v>7319010</v>
      </c>
      <c r="B9" s="47">
        <v>1515</v>
      </c>
      <c r="C9" s="7" t="str">
        <f t="shared" ref="C9:C11" si="5">D9&amp;J9&amp;E9&amp;F9&amp;G9</f>
        <v>Premium4R3less</v>
      </c>
      <c r="D9" s="7" t="str">
        <f t="shared" ref="D9:D11" si="6">IF(I9="PremiumSS",I9,IF(I9="PremiumSSS",I9,IF(I9="PremiumW",I9,"Premium")))</f>
        <v>Premium</v>
      </c>
      <c r="E9" s="7" t="str">
        <f>IF(COUNTIF('R6追加前'!A:A,B9)=0,IF(I9="PremiumSS","R5only","R3less"),"")</f>
        <v>R3less</v>
      </c>
      <c r="F9" s="7" t="str">
        <f>IF(COUNTIF('R6開放'!A:A,B9)&gt;0,"R6release","")</f>
        <v/>
      </c>
      <c r="G9" s="7"/>
      <c r="H9" s="7" t="str">
        <f>VLOOKUP(B9,[1]characters!$A:$C,3,FALSE)</f>
        <v>red01</v>
      </c>
      <c r="I9" s="7" t="str">
        <f>VLOOKUP(B9,[1]characters!$A:$J,10,FALSE)</f>
        <v>Material</v>
      </c>
      <c r="J9" s="7">
        <f>VLOOKUP(B9,[1]characters!$A:$I,9,FALSE)</f>
        <v>4</v>
      </c>
      <c r="K9" s="7" t="str">
        <f>VLOOKUP(B9,[1]characters!$A:$H,8,FALSE)</f>
        <v>red</v>
      </c>
      <c r="L9" s="7" t="str">
        <f>VLOOKUP(B9,[1]characters!$A:$K,11,FALSE)</f>
        <v>exp</v>
      </c>
      <c r="M9" s="7" t="str">
        <f>VLOOKUP(B9,[1]characters!$A:$M,13,FALSE)</f>
        <v>unknown</v>
      </c>
      <c r="N9" s="7">
        <f>VLOOKUP(B9,[1]characters!$A:$G,7,FALSE)</f>
        <v>0</v>
      </c>
      <c r="O9" s="34">
        <v>8000</v>
      </c>
      <c r="P9" s="35">
        <f t="shared" si="2"/>
        <v>0.08</v>
      </c>
      <c r="Q9" s="28">
        <v>1</v>
      </c>
      <c r="R9" s="28">
        <v>0</v>
      </c>
      <c r="S9" s="28">
        <v>0</v>
      </c>
      <c r="T9" s="28">
        <v>0</v>
      </c>
      <c r="U9" s="28">
        <v>0</v>
      </c>
      <c r="V9" s="28">
        <v>1</v>
      </c>
    </row>
    <row r="10" spans="1:22" ht="21" customHeight="1" x14ac:dyDescent="0.2">
      <c r="A10" s="2">
        <v>7319010</v>
      </c>
      <c r="B10" s="47">
        <v>1516</v>
      </c>
      <c r="C10" s="7" t="str">
        <f t="shared" si="5"/>
        <v>Premium5R3less</v>
      </c>
      <c r="D10" s="7" t="str">
        <f t="shared" si="6"/>
        <v>Premium</v>
      </c>
      <c r="E10" s="7" t="str">
        <f>IF(COUNTIF('R6追加前'!A:A,B10)=0,IF(I10="PremiumSS","R5only","R3less"),"")</f>
        <v>R3less</v>
      </c>
      <c r="F10" s="7" t="str">
        <f>IF(COUNTIF('R6開放'!A:A,B10)&gt;0,"R6release","")</f>
        <v/>
      </c>
      <c r="G10" s="7"/>
      <c r="H10" s="7" t="str">
        <f>VLOOKUP(B10,[1]characters!$A:$C,3,FALSE)</f>
        <v>red02</v>
      </c>
      <c r="I10" s="7" t="str">
        <f>VLOOKUP(B10,[1]characters!$A:$J,10,FALSE)</f>
        <v>Material</v>
      </c>
      <c r="J10" s="7">
        <f>VLOOKUP(B10,[1]characters!$A:$I,9,FALSE)</f>
        <v>5</v>
      </c>
      <c r="K10" s="7" t="str">
        <f>VLOOKUP(B10,[1]characters!$A:$H,8,FALSE)</f>
        <v>red</v>
      </c>
      <c r="L10" s="7" t="str">
        <f>VLOOKUP(B10,[1]characters!$A:$K,11,FALSE)</f>
        <v>exp</v>
      </c>
      <c r="M10" s="7" t="str">
        <f>VLOOKUP(B10,[1]characters!$A:$M,13,FALSE)</f>
        <v>unknown</v>
      </c>
      <c r="N10" s="7">
        <f>VLOOKUP(B10,[1]characters!$A:$G,7,FALSE)</f>
        <v>0</v>
      </c>
      <c r="O10" s="34">
        <v>6000</v>
      </c>
      <c r="P10" s="35">
        <f t="shared" si="2"/>
        <v>0.06</v>
      </c>
      <c r="Q10" s="28">
        <v>1</v>
      </c>
      <c r="R10" s="28">
        <v>0</v>
      </c>
      <c r="S10" s="28">
        <v>0</v>
      </c>
      <c r="T10" s="28">
        <v>0</v>
      </c>
      <c r="U10" s="28">
        <v>0</v>
      </c>
      <c r="V10" s="28">
        <v>1</v>
      </c>
    </row>
    <row r="11" spans="1:22" ht="21" customHeight="1" x14ac:dyDescent="0.2">
      <c r="A11" s="2">
        <v>7319010</v>
      </c>
      <c r="B11" s="47">
        <v>1517</v>
      </c>
      <c r="C11" s="7" t="str">
        <f t="shared" si="5"/>
        <v>Premium4R3less</v>
      </c>
      <c r="D11" s="7" t="str">
        <f t="shared" si="6"/>
        <v>Premium</v>
      </c>
      <c r="E11" s="7" t="str">
        <f>IF(COUNTIF('R6追加前'!A:A,B11)=0,IF(I11="PremiumSS","R5only","R3less"),"")</f>
        <v>R3less</v>
      </c>
      <c r="F11" s="7" t="str">
        <f>IF(COUNTIF('R6開放'!A:A,B11)&gt;0,"R6release","")</f>
        <v/>
      </c>
      <c r="G11" s="7"/>
      <c r="H11" s="7" t="str">
        <f>VLOOKUP(B11,[1]characters!$A:$C,3,FALSE)</f>
        <v>blue01</v>
      </c>
      <c r="I11" s="7" t="str">
        <f>VLOOKUP(B11,[1]characters!$A:$J,10,FALSE)</f>
        <v>Material</v>
      </c>
      <c r="J11" s="7">
        <f>VLOOKUP(B11,[1]characters!$A:$I,9,FALSE)</f>
        <v>4</v>
      </c>
      <c r="K11" s="7" t="str">
        <f>VLOOKUP(B11,[1]characters!$A:$H,8,FALSE)</f>
        <v>blue</v>
      </c>
      <c r="L11" s="7" t="str">
        <f>VLOOKUP(B11,[1]characters!$A:$K,11,FALSE)</f>
        <v>exp</v>
      </c>
      <c r="M11" s="7" t="str">
        <f>VLOOKUP(B11,[1]characters!$A:$M,13,FALSE)</f>
        <v>unknown</v>
      </c>
      <c r="N11" s="7">
        <f>VLOOKUP(B11,[1]characters!$A:$G,7,FALSE)</f>
        <v>0</v>
      </c>
      <c r="O11" s="34">
        <v>8000</v>
      </c>
      <c r="P11" s="35">
        <f t="shared" si="2"/>
        <v>0.08</v>
      </c>
      <c r="Q11" s="28">
        <v>1</v>
      </c>
      <c r="R11" s="28">
        <v>0</v>
      </c>
      <c r="S11" s="28">
        <v>0</v>
      </c>
      <c r="T11" s="28">
        <v>0</v>
      </c>
      <c r="U11" s="28">
        <v>0</v>
      </c>
      <c r="V11" s="28">
        <v>1</v>
      </c>
    </row>
    <row r="12" spans="1:22" ht="21" customHeight="1" x14ac:dyDescent="0.2">
      <c r="A12" s="2">
        <v>7319010</v>
      </c>
      <c r="B12" s="47">
        <v>1518</v>
      </c>
      <c r="C12" s="7" t="str">
        <f t="shared" ref="C12:C13" si="7">D12&amp;J12&amp;E12&amp;F12&amp;G12</f>
        <v>Premium5R3less</v>
      </c>
      <c r="D12" s="7" t="str">
        <f t="shared" ref="D12:D13" si="8">IF(I12="PremiumSS",I12,IF(I12="PremiumSSS",I12,IF(I12="PremiumW",I12,"Premium")))</f>
        <v>Premium</v>
      </c>
      <c r="E12" s="7" t="str">
        <f>IF(COUNTIF('R6追加前'!A:A,B12)=0,IF(I12="PremiumSS","R5only","R3less"),"")</f>
        <v>R3less</v>
      </c>
      <c r="F12" s="7" t="str">
        <f>IF(COUNTIF('R6開放'!A:A,B12)&gt;0,"R6release","")</f>
        <v/>
      </c>
      <c r="G12" s="7"/>
      <c r="H12" s="7" t="str">
        <f>VLOOKUP(B12,[1]characters!$A:$C,3,FALSE)</f>
        <v>blue02</v>
      </c>
      <c r="I12" s="7" t="str">
        <f>VLOOKUP(B12,[1]characters!$A:$J,10,FALSE)</f>
        <v>Material</v>
      </c>
      <c r="J12" s="7">
        <f>VLOOKUP(B12,[1]characters!$A:$I,9,FALSE)</f>
        <v>5</v>
      </c>
      <c r="K12" s="7" t="str">
        <f>VLOOKUP(B12,[1]characters!$A:$H,8,FALSE)</f>
        <v>blue</v>
      </c>
      <c r="L12" s="7" t="str">
        <f>VLOOKUP(B12,[1]characters!$A:$K,11,FALSE)</f>
        <v>exp</v>
      </c>
      <c r="M12" s="7" t="str">
        <f>VLOOKUP(B12,[1]characters!$A:$M,13,FALSE)</f>
        <v>unknown</v>
      </c>
      <c r="N12" s="7">
        <f>VLOOKUP(B12,[1]characters!$A:$G,7,FALSE)</f>
        <v>0</v>
      </c>
      <c r="O12" s="34">
        <v>6000</v>
      </c>
      <c r="P12" s="35">
        <f t="shared" si="2"/>
        <v>0.06</v>
      </c>
      <c r="Q12" s="28">
        <v>1</v>
      </c>
      <c r="R12" s="28">
        <v>0</v>
      </c>
      <c r="S12" s="28">
        <v>0</v>
      </c>
      <c r="T12" s="28">
        <v>0</v>
      </c>
      <c r="U12" s="28">
        <v>0</v>
      </c>
      <c r="V12" s="28">
        <v>1</v>
      </c>
    </row>
    <row r="13" spans="1:22" ht="21" customHeight="1" x14ac:dyDescent="0.2">
      <c r="A13" s="2">
        <v>7319010</v>
      </c>
      <c r="B13" s="47">
        <v>1519</v>
      </c>
      <c r="C13" s="7" t="str">
        <f t="shared" si="7"/>
        <v>Premium4R3less</v>
      </c>
      <c r="D13" s="7" t="str">
        <f t="shared" si="8"/>
        <v>Premium</v>
      </c>
      <c r="E13" s="7" t="str">
        <f>IF(COUNTIF('R6追加前'!A:A,B13)=0,IF(I13="PremiumSS","R5only","R3less"),"")</f>
        <v>R3less</v>
      </c>
      <c r="F13" s="7" t="str">
        <f>IF(COUNTIF('R6開放'!A:A,B13)&gt;0,"R6release","")</f>
        <v/>
      </c>
      <c r="G13" s="7"/>
      <c r="H13" s="7" t="str">
        <f>VLOOKUP(B13,[1]characters!$A:$C,3,FALSE)</f>
        <v>green01</v>
      </c>
      <c r="I13" s="7" t="str">
        <f>VLOOKUP(B13,[1]characters!$A:$J,10,FALSE)</f>
        <v>Material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exp</v>
      </c>
      <c r="M13" s="7" t="str">
        <f>VLOOKUP(B13,[1]characters!$A:$M,13,FALSE)</f>
        <v>unknown</v>
      </c>
      <c r="N13" s="7">
        <f>VLOOKUP(B13,[1]characters!$A:$G,7,FALSE)</f>
        <v>0</v>
      </c>
      <c r="O13" s="34">
        <v>8000</v>
      </c>
      <c r="P13" s="35">
        <f t="shared" si="2"/>
        <v>0.08</v>
      </c>
      <c r="Q13" s="28">
        <v>1</v>
      </c>
      <c r="R13" s="28">
        <v>0</v>
      </c>
      <c r="S13" s="28">
        <v>0</v>
      </c>
      <c r="T13" s="28">
        <v>0</v>
      </c>
      <c r="U13" s="28">
        <v>0</v>
      </c>
      <c r="V13" s="28">
        <v>1</v>
      </c>
    </row>
    <row r="14" spans="1:22" ht="21" customHeight="1" x14ac:dyDescent="0.2">
      <c r="A14" s="2">
        <v>7319010</v>
      </c>
      <c r="B14" s="47">
        <v>1520</v>
      </c>
      <c r="C14" s="7" t="str">
        <f t="shared" ref="C14:C15" si="9">D14&amp;J14&amp;E14&amp;F14&amp;G14</f>
        <v>Premium5R3less</v>
      </c>
      <c r="D14" s="7" t="str">
        <f t="shared" ref="D14:D15" si="10">IF(I14="PremiumSS",I14,IF(I14="PremiumSSS",I14,IF(I14="PremiumW",I14,"Premium")))</f>
        <v>Premium</v>
      </c>
      <c r="E14" s="7" t="str">
        <f>IF(COUNTIF('R6追加前'!A:A,B14)=0,IF(I14="PremiumSS","R5only","R3less"),"")</f>
        <v>R3less</v>
      </c>
      <c r="F14" s="7" t="str">
        <f>IF(COUNTIF('R6開放'!A:A,B14)&gt;0,"R6release","")</f>
        <v/>
      </c>
      <c r="G14" s="7"/>
      <c r="H14" s="7" t="str">
        <f>VLOOKUP(B14,[1]characters!$A:$C,3,FALSE)</f>
        <v>green02</v>
      </c>
      <c r="I14" s="7" t="str">
        <f>VLOOKUP(B14,[1]characters!$A:$J,10,FALSE)</f>
        <v>Material</v>
      </c>
      <c r="J14" s="7">
        <f>VLOOKUP(B14,[1]characters!$A:$I,9,FALSE)</f>
        <v>5</v>
      </c>
      <c r="K14" s="7" t="str">
        <f>VLOOKUP(B14,[1]characters!$A:$H,8,FALSE)</f>
        <v>green</v>
      </c>
      <c r="L14" s="7" t="str">
        <f>VLOOKUP(B14,[1]characters!$A:$K,11,FALSE)</f>
        <v>exp</v>
      </c>
      <c r="M14" s="7" t="str">
        <f>VLOOKUP(B14,[1]characters!$A:$M,13,FALSE)</f>
        <v>unknown</v>
      </c>
      <c r="N14" s="7">
        <f>VLOOKUP(B14,[1]characters!$A:$G,7,FALSE)</f>
        <v>0</v>
      </c>
      <c r="O14" s="34">
        <v>6000</v>
      </c>
      <c r="P14" s="35">
        <f t="shared" si="2"/>
        <v>0.06</v>
      </c>
      <c r="Q14" s="28">
        <v>1</v>
      </c>
      <c r="R14" s="28">
        <v>0</v>
      </c>
      <c r="S14" s="28">
        <v>0</v>
      </c>
      <c r="T14" s="28">
        <v>0</v>
      </c>
      <c r="U14" s="28">
        <v>0</v>
      </c>
      <c r="V14" s="28">
        <v>1</v>
      </c>
    </row>
    <row r="15" spans="1:22" ht="21" customHeight="1" x14ac:dyDescent="0.2">
      <c r="A15" s="2">
        <v>7319010</v>
      </c>
      <c r="B15" s="47">
        <v>1521</v>
      </c>
      <c r="C15" s="7" t="str">
        <f t="shared" si="9"/>
        <v>Premium4R3less</v>
      </c>
      <c r="D15" s="7" t="str">
        <f t="shared" si="10"/>
        <v>Premium</v>
      </c>
      <c r="E15" s="7" t="str">
        <f>IF(COUNTIF('R6追加前'!A:A,B15)=0,IF(I15="PremiumSS","R5only","R3less"),"")</f>
        <v>R3less</v>
      </c>
      <c r="F15" s="7" t="str">
        <f>IF(COUNTIF('R6開放'!A:A,B15)&gt;0,"R6release","")</f>
        <v/>
      </c>
      <c r="G15" s="7"/>
      <c r="H15" s="7" t="str">
        <f>VLOOKUP(B15,[1]characters!$A:$C,3,FALSE)</f>
        <v>yellow01</v>
      </c>
      <c r="I15" s="7" t="str">
        <f>VLOOKUP(B15,[1]characters!$A:$J,10,FALSE)</f>
        <v>Material</v>
      </c>
      <c r="J15" s="7">
        <f>VLOOKUP(B15,[1]characters!$A:$I,9,FALSE)</f>
        <v>4</v>
      </c>
      <c r="K15" s="7" t="str">
        <f>VLOOKUP(B15,[1]characters!$A:$H,8,FALSE)</f>
        <v>yellow</v>
      </c>
      <c r="L15" s="7" t="str">
        <f>VLOOKUP(B15,[1]characters!$A:$K,11,FALSE)</f>
        <v>exp</v>
      </c>
      <c r="M15" s="7" t="str">
        <f>VLOOKUP(B15,[1]characters!$A:$M,13,FALSE)</f>
        <v>unknown</v>
      </c>
      <c r="N15" s="7">
        <f>VLOOKUP(B15,[1]characters!$A:$G,7,FALSE)</f>
        <v>0</v>
      </c>
      <c r="O15" s="34">
        <v>8000</v>
      </c>
      <c r="P15" s="35">
        <f t="shared" si="2"/>
        <v>0.08</v>
      </c>
      <c r="Q15" s="28">
        <v>1</v>
      </c>
      <c r="R15" s="28">
        <v>0</v>
      </c>
      <c r="S15" s="28">
        <v>0</v>
      </c>
      <c r="T15" s="28">
        <v>0</v>
      </c>
      <c r="U15" s="28">
        <v>0</v>
      </c>
      <c r="V15" s="28">
        <v>1</v>
      </c>
    </row>
    <row r="16" spans="1:22" ht="21" customHeight="1" x14ac:dyDescent="0.2">
      <c r="A16" s="2">
        <v>7319010</v>
      </c>
      <c r="B16" s="47">
        <v>1522</v>
      </c>
      <c r="C16" s="7" t="str">
        <f t="shared" ref="C16:C18" si="11">D16&amp;J16&amp;E16&amp;F16&amp;G16</f>
        <v>Premium5R3less</v>
      </c>
      <c r="D16" s="7" t="str">
        <f t="shared" ref="D16:D18" si="12">IF(I16="PremiumSS",I16,IF(I16="PremiumSSS",I16,IF(I16="PremiumW",I16,"Premium")))</f>
        <v>Premium</v>
      </c>
      <c r="E16" s="7" t="str">
        <f>IF(COUNTIF('R6追加前'!A:A,B16)=0,IF(I16="PremiumSS","R5only","R3less"),"")</f>
        <v>R3less</v>
      </c>
      <c r="F16" s="7" t="str">
        <f>IF(COUNTIF('R6開放'!A:A,B16)&gt;0,"R6release","")</f>
        <v/>
      </c>
      <c r="G16" s="7"/>
      <c r="H16" s="7" t="str">
        <f>VLOOKUP(B16,[1]characters!$A:$C,3,FALSE)</f>
        <v>yellow02</v>
      </c>
      <c r="I16" s="7" t="str">
        <f>VLOOKUP(B16,[1]characters!$A:$J,10,FALSE)</f>
        <v>Material</v>
      </c>
      <c r="J16" s="7">
        <f>VLOOKUP(B16,[1]characters!$A:$I,9,FALSE)</f>
        <v>5</v>
      </c>
      <c r="K16" s="7" t="str">
        <f>VLOOKUP(B16,[1]characters!$A:$H,8,FALSE)</f>
        <v>yellow</v>
      </c>
      <c r="L16" s="7" t="str">
        <f>VLOOKUP(B16,[1]characters!$A:$K,11,FALSE)</f>
        <v>exp</v>
      </c>
      <c r="M16" s="7" t="str">
        <f>VLOOKUP(B16,[1]characters!$A:$M,13,FALSE)</f>
        <v>unknown</v>
      </c>
      <c r="N16" s="7">
        <f>VLOOKUP(B16,[1]characters!$A:$G,7,FALSE)</f>
        <v>0</v>
      </c>
      <c r="O16" s="34">
        <v>6000</v>
      </c>
      <c r="P16" s="35">
        <f t="shared" si="2"/>
        <v>0.06</v>
      </c>
      <c r="Q16" s="28">
        <v>1</v>
      </c>
      <c r="R16" s="28">
        <v>0</v>
      </c>
      <c r="S16" s="28">
        <v>0</v>
      </c>
      <c r="T16" s="28">
        <v>0</v>
      </c>
      <c r="U16" s="28">
        <v>0</v>
      </c>
      <c r="V16" s="28">
        <v>1</v>
      </c>
    </row>
    <row r="17" spans="1:22" ht="21" customHeight="1" x14ac:dyDescent="0.2">
      <c r="A17" s="2">
        <v>7319010</v>
      </c>
      <c r="B17" s="47">
        <v>1509</v>
      </c>
      <c r="C17" s="7" t="str">
        <f t="shared" si="11"/>
        <v>Premium5R3less</v>
      </c>
      <c r="D17" s="7" t="str">
        <f t="shared" si="12"/>
        <v>Premium</v>
      </c>
      <c r="E17" s="7" t="str">
        <f>IF(COUNTIF('R6追加前'!A:A,B17)=0,IF(I17="PremiumSS","R5only","R3less"),"")</f>
        <v>R3less</v>
      </c>
      <c r="F17" s="7" t="str">
        <f>IF(COUNTIF('R6開放'!A:A,B17)&gt;0,"R6release","")</f>
        <v/>
      </c>
      <c r="G17" s="7"/>
      <c r="H17" s="7" t="str">
        <f>VLOOKUP(B17,[1]characters!$A:$C,3,FALSE)</f>
        <v>cyan01</v>
      </c>
      <c r="I17" s="7" t="str">
        <f>VLOOKUP(B17,[1]characters!$A:$J,10,FALSE)</f>
        <v>Drop2N</v>
      </c>
      <c r="J17" s="7">
        <f>VLOOKUP(B17,[1]characters!$A:$I,9,FALSE)</f>
        <v>5</v>
      </c>
      <c r="K17" s="7" t="str">
        <f>VLOOKUP(B17,[1]characters!$A:$H,8,FALSE)</f>
        <v>green</v>
      </c>
      <c r="L17" s="7" t="str">
        <f>VLOOKUP(B17,[1]characters!$A:$K,11,FALSE)</f>
        <v>hp</v>
      </c>
      <c r="M17" s="7" t="str">
        <f>VLOOKUP(B17,[1]characters!$A:$M,13,FALSE)</f>
        <v>god</v>
      </c>
      <c r="N17" s="7">
        <f>VLOOKUP(B17,[1]characters!$A:$G,7,FALSE)</f>
        <v>0</v>
      </c>
      <c r="O17" s="34">
        <v>10000</v>
      </c>
      <c r="P17" s="35">
        <f t="shared" si="2"/>
        <v>0.1</v>
      </c>
      <c r="Q17" s="28">
        <v>1</v>
      </c>
      <c r="R17" s="28">
        <v>0</v>
      </c>
      <c r="S17" s="28">
        <v>0</v>
      </c>
      <c r="T17" s="28">
        <v>0</v>
      </c>
      <c r="U17" s="28">
        <v>0</v>
      </c>
      <c r="V17" s="28">
        <v>1</v>
      </c>
    </row>
    <row r="18" spans="1:22" ht="21" customHeight="1" x14ac:dyDescent="0.2">
      <c r="A18" s="2">
        <v>7319010</v>
      </c>
      <c r="B18" s="47">
        <v>1511</v>
      </c>
      <c r="C18" s="7" t="str">
        <f t="shared" si="11"/>
        <v>Premium5R3less</v>
      </c>
      <c r="D18" s="7" t="str">
        <f t="shared" si="12"/>
        <v>Premium</v>
      </c>
      <c r="E18" s="7" t="str">
        <f>IF(COUNTIF('R6追加前'!A:A,B18)=0,IF(I18="PremiumSS","R5only","R3less"),"")</f>
        <v>R3less</v>
      </c>
      <c r="F18" s="7" t="str">
        <f>IF(COUNTIF('R6開放'!A:A,B18)&gt;0,"R6release","")</f>
        <v/>
      </c>
      <c r="G18" s="7"/>
      <c r="H18" s="7" t="str">
        <f>VLOOKUP(B18,[1]characters!$A:$C,3,FALSE)</f>
        <v>scarlet02</v>
      </c>
      <c r="I18" s="7" t="str">
        <f>VLOOKUP(B18,[1]characters!$A:$J,10,FALSE)</f>
        <v>DropWizS</v>
      </c>
      <c r="J18" s="7">
        <f>VLOOKUP(B18,[1]characters!$A:$I,9,FALSE)</f>
        <v>5</v>
      </c>
      <c r="K18" s="7" t="str">
        <f>VLOOKUP(B18,[1]characters!$A:$H,8,FALSE)</f>
        <v>yellow</v>
      </c>
      <c r="L18" s="7" t="str">
        <f>VLOOKUP(B18,[1]characters!$A:$K,11,FALSE)</f>
        <v>balance</v>
      </c>
      <c r="M18" s="7" t="str">
        <f>VLOOKUP(B18,[1]characters!$A:$M,13,FALSE)</f>
        <v>god</v>
      </c>
      <c r="N18" s="7">
        <f>VLOOKUP(B18,[1]characters!$A:$G,7,FALSE)</f>
        <v>0</v>
      </c>
      <c r="O18" s="34">
        <v>5000</v>
      </c>
      <c r="P18" s="35">
        <f t="shared" si="2"/>
        <v>0.05</v>
      </c>
      <c r="Q18" s="28">
        <v>1</v>
      </c>
      <c r="R18" s="28">
        <v>0</v>
      </c>
      <c r="S18" s="28">
        <v>0</v>
      </c>
      <c r="T18" s="28">
        <v>0</v>
      </c>
      <c r="U18" s="28">
        <v>0</v>
      </c>
      <c r="V18" s="28">
        <v>1</v>
      </c>
    </row>
    <row r="19" spans="1:22" ht="21" customHeight="1" x14ac:dyDescent="0.2">
      <c r="A19" s="2">
        <v>7319010</v>
      </c>
      <c r="B19" s="47">
        <v>1523</v>
      </c>
      <c r="C19" s="7" t="str">
        <f t="shared" ref="C19" si="13">D19&amp;J19&amp;E19&amp;F19&amp;G19</f>
        <v>Premium5R3less</v>
      </c>
      <c r="D19" s="7" t="str">
        <f t="shared" ref="D19" si="14">IF(I19="PremiumSS",I19,IF(I19="PremiumSSS",I19,IF(I19="PremiumW",I19,"Premium")))</f>
        <v>Premium</v>
      </c>
      <c r="E19" s="7" t="str">
        <f>IF(COUNTIF('R6追加前'!A:A,B19)=0,IF(I19="PremiumSS","R5only","R3less"),"")</f>
        <v>R3less</v>
      </c>
      <c r="F19" s="7" t="str">
        <f>IF(COUNTIF('R6開放'!A:A,B19)&gt;0,"R6release","")</f>
        <v/>
      </c>
      <c r="G19" s="7"/>
      <c r="H19" s="7" t="str">
        <f>VLOOKUP(B19,[1]characters!$A:$C,3,FALSE)</f>
        <v>olive01</v>
      </c>
      <c r="I19" s="7" t="str">
        <f>VLOOKUP(B19,[1]characters!$A:$J,10,FALSE)</f>
        <v>DropWizS</v>
      </c>
      <c r="J19" s="7">
        <f>VLOOKUP(B19,[1]characters!$A:$I,9,FALSE)</f>
        <v>5</v>
      </c>
      <c r="K19" s="7" t="str">
        <f>VLOOKUP(B19,[1]characters!$A:$H,8,FALSE)</f>
        <v>blue</v>
      </c>
      <c r="L19" s="7" t="str">
        <f>VLOOKUP(B19,[1]characters!$A:$K,11,FALSE)</f>
        <v>technical</v>
      </c>
      <c r="M19" s="7" t="str">
        <f>VLOOKUP(B19,[1]characters!$A:$M,13,FALSE)</f>
        <v>animal</v>
      </c>
      <c r="N19" s="7">
        <f>VLOOKUP(B19,[1]characters!$A:$G,7,FALSE)</f>
        <v>0</v>
      </c>
      <c r="O19" s="34">
        <v>3000</v>
      </c>
      <c r="P19" s="35">
        <f t="shared" si="2"/>
        <v>0.03</v>
      </c>
      <c r="Q19" s="28">
        <v>1</v>
      </c>
      <c r="R19" s="28">
        <v>0</v>
      </c>
      <c r="S19" s="28">
        <v>0</v>
      </c>
      <c r="T19" s="28">
        <v>0</v>
      </c>
      <c r="U19" s="28">
        <v>0</v>
      </c>
      <c r="V19" s="28">
        <v>1</v>
      </c>
    </row>
  </sheetData>
  <autoFilter ref="A1:V4"/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5" enableFormatConditionsCalculation="0">
    <tabColor rgb="FF0000FF"/>
    <outlinePr summaryBelow="0" summaryRight="0"/>
  </sheetPr>
  <dimension ref="A1:V19"/>
  <sheetViews>
    <sheetView showGridLines="0" tabSelected="1" zoomScale="75" zoomScaleNormal="75" zoomScalePageLayoutView="75" workbookViewId="0">
      <pane ySplit="1" topLeftCell="A2" activePane="bottomLeft" state="frozen"/>
      <selection activeCell="A266" sqref="A266:XFD266"/>
      <selection pane="bottomLeft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1" t="s">
        <v>64</v>
      </c>
      <c r="B1" s="13" t="s">
        <v>1</v>
      </c>
      <c r="C1" s="3" t="s">
        <v>31</v>
      </c>
      <c r="D1" s="3" t="s">
        <v>76</v>
      </c>
      <c r="E1" s="3" t="s">
        <v>79</v>
      </c>
      <c r="F1" s="3" t="s">
        <v>80</v>
      </c>
      <c r="G1" s="3" t="s">
        <v>77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56</v>
      </c>
      <c r="O1" s="13" t="s">
        <v>2</v>
      </c>
      <c r="P1" s="3" t="s">
        <v>58</v>
      </c>
      <c r="Q1" s="13" t="s">
        <v>38</v>
      </c>
      <c r="R1" s="27" t="s">
        <v>5</v>
      </c>
      <c r="S1" s="27" t="s">
        <v>6</v>
      </c>
      <c r="T1" s="27" t="s">
        <v>7</v>
      </c>
      <c r="U1" s="27" t="s">
        <v>8</v>
      </c>
      <c r="V1" s="27" t="s">
        <v>9</v>
      </c>
    </row>
    <row r="2" spans="1:22" ht="21" customHeight="1" x14ac:dyDescent="0.2">
      <c r="A2" s="2">
        <v>7320010</v>
      </c>
      <c r="B2" s="47">
        <v>1504</v>
      </c>
      <c r="C2" s="7" t="str">
        <f t="shared" ref="C2:C19" si="0">D2&amp;J2&amp;E2&amp;F2&amp;G2</f>
        <v>Premium1R3less</v>
      </c>
      <c r="D2" s="7" t="str">
        <f t="shared" ref="D2:D19" si="1">IF(I2="PremiumSS",I2,IF(I2="PremiumSSS",I2,IF(I2="PremiumW",I2,"Premium")))</f>
        <v>Premium</v>
      </c>
      <c r="E2" s="7" t="str">
        <f>IF(COUNTIF('R6追加前'!A:A,B2)=0,IF(I2="PremiumSS","R5only","R3less"),"")</f>
        <v>R3less</v>
      </c>
      <c r="F2" s="7" t="str">
        <f>IF(COUNTIF('R6開放'!A:A,B2)&gt;0,"R6release","")</f>
        <v/>
      </c>
      <c r="G2" s="7"/>
      <c r="H2" s="7" t="str">
        <f>VLOOKUP(B2,[1]characters!$A:$C,3,FALSE)</f>
        <v>magenta01</v>
      </c>
      <c r="I2" s="7" t="str">
        <f>VLOOKUP(B2,[1]characters!$A:$J,10,FALSE)</f>
        <v>Drop1T</v>
      </c>
      <c r="J2" s="7">
        <f>VLOOKUP(B2,[1]characters!$A:$I,9,FALSE)</f>
        <v>1</v>
      </c>
      <c r="K2" s="7" t="str">
        <f>VLOOKUP(B2,[1]characters!$A:$H,8,FALSE)</f>
        <v>red</v>
      </c>
      <c r="L2" s="7" t="str">
        <f>VLOOKUP(B2,[1]characters!$A:$K,11,FALSE)</f>
        <v>balance</v>
      </c>
      <c r="M2" s="7" t="str">
        <f>VLOOKUP(B2,[1]characters!$A:$M,13,FALSE)</f>
        <v>unknown</v>
      </c>
      <c r="N2" s="7">
        <f>VLOOKUP(B2,[1]characters!$A:$G,7,FALSE)</f>
        <v>0</v>
      </c>
      <c r="O2" s="34">
        <v>2400</v>
      </c>
      <c r="P2" s="35">
        <f t="shared" ref="P2:P19" si="2">O2/SUM(O:O)</f>
        <v>2.4E-2</v>
      </c>
      <c r="Q2" s="28">
        <v>1</v>
      </c>
      <c r="R2" s="28">
        <v>0</v>
      </c>
      <c r="S2" s="28">
        <v>0</v>
      </c>
      <c r="T2" s="28">
        <v>0</v>
      </c>
      <c r="U2" s="28">
        <v>0</v>
      </c>
      <c r="V2" s="28">
        <v>1</v>
      </c>
    </row>
    <row r="3" spans="1:22" ht="21" customHeight="1" x14ac:dyDescent="0.2">
      <c r="A3" s="2">
        <v>7320010</v>
      </c>
      <c r="B3" s="47">
        <v>1505</v>
      </c>
      <c r="C3" s="7" t="str">
        <f t="shared" si="0"/>
        <v>Premium1R3less</v>
      </c>
      <c r="D3" s="7" t="str">
        <f t="shared" si="1"/>
        <v>Premium</v>
      </c>
      <c r="E3" s="7" t="str">
        <f>IF(COUNTIF('R6追加前'!A:A,B3)=0,IF(I3="PremiumSS","R5only","R3less"),"")</f>
        <v>R3less</v>
      </c>
      <c r="F3" s="7" t="str">
        <f>IF(COUNTIF('R6開放'!A:A,B3)&gt;0,"R6release","")</f>
        <v/>
      </c>
      <c r="G3" s="7"/>
      <c r="H3" s="7" t="str">
        <f>VLOOKUP(B3,[1]characters!$A:$C,3,FALSE)</f>
        <v>amber01</v>
      </c>
      <c r="I3" s="7" t="str">
        <f>VLOOKUP(B3,[1]characters!$A:$J,10,FALSE)</f>
        <v>Drop1T</v>
      </c>
      <c r="J3" s="7">
        <f>VLOOKUP(B3,[1]characters!$A:$I,9,FALSE)</f>
        <v>1</v>
      </c>
      <c r="K3" s="7" t="str">
        <f>VLOOKUP(B3,[1]characters!$A:$H,8,FALSE)</f>
        <v>green</v>
      </c>
      <c r="L3" s="7" t="str">
        <f>VLOOKUP(B3,[1]characters!$A:$K,11,FALSE)</f>
        <v>hp</v>
      </c>
      <c r="M3" s="7" t="str">
        <f>VLOOKUP(B3,[1]characters!$A:$M,13,FALSE)</f>
        <v>unknown</v>
      </c>
      <c r="N3" s="7">
        <f>VLOOKUP(B3,[1]characters!$A:$G,7,FALSE)</f>
        <v>0</v>
      </c>
      <c r="O3" s="34">
        <v>2400</v>
      </c>
      <c r="P3" s="35">
        <f t="shared" si="2"/>
        <v>2.4E-2</v>
      </c>
      <c r="Q3" s="28">
        <v>1</v>
      </c>
      <c r="R3" s="28">
        <v>0</v>
      </c>
      <c r="S3" s="28">
        <v>0</v>
      </c>
      <c r="T3" s="28">
        <v>0</v>
      </c>
      <c r="U3" s="28">
        <v>0</v>
      </c>
      <c r="V3" s="28">
        <v>1</v>
      </c>
    </row>
    <row r="4" spans="1:22" ht="21" customHeight="1" x14ac:dyDescent="0.2">
      <c r="A4" s="2">
        <v>7320010</v>
      </c>
      <c r="B4" s="47">
        <v>1506</v>
      </c>
      <c r="C4" s="7" t="str">
        <f t="shared" si="0"/>
        <v>Premium2R3less</v>
      </c>
      <c r="D4" s="7" t="str">
        <f t="shared" si="1"/>
        <v>Premium</v>
      </c>
      <c r="E4" s="7" t="str">
        <f>IF(COUNTIF('R6追加前'!A:A,B4)=0,IF(I4="PremiumSS","R5only","R3less"),"")</f>
        <v>R3less</v>
      </c>
      <c r="F4" s="7" t="str">
        <f>IF(COUNTIF('R6開放'!A:A,B4)&gt;0,"R6release","")</f>
        <v/>
      </c>
      <c r="G4" s="7"/>
      <c r="H4" s="7" t="str">
        <f>VLOOKUP(B4,[1]characters!$A:$C,3,FALSE)</f>
        <v>pumpkin01</v>
      </c>
      <c r="I4" s="7" t="str">
        <f>VLOOKUP(B4,[1]characters!$A:$J,10,FALSE)</f>
        <v>Drop1S</v>
      </c>
      <c r="J4" s="7">
        <f>VLOOKUP(B4,[1]characters!$A:$I,9,FALSE)</f>
        <v>2</v>
      </c>
      <c r="K4" s="7" t="str">
        <f>VLOOKUP(B4,[1]characters!$A:$H,8,FALSE)</f>
        <v>yellow</v>
      </c>
      <c r="L4" s="7" t="str">
        <f>VLOOKUP(B4,[1]characters!$A:$K,11,FALSE)</f>
        <v>attack</v>
      </c>
      <c r="M4" s="7" t="str">
        <f>VLOOKUP(B4,[1]characters!$A:$M,13,FALSE)</f>
        <v>unknown</v>
      </c>
      <c r="N4" s="7">
        <f>VLOOKUP(B4,[1]characters!$A:$G,7,FALSE)</f>
        <v>0</v>
      </c>
      <c r="O4" s="34">
        <v>2400</v>
      </c>
      <c r="P4" s="35">
        <f t="shared" si="2"/>
        <v>2.4E-2</v>
      </c>
      <c r="Q4" s="28">
        <v>1</v>
      </c>
      <c r="R4" s="28">
        <v>0</v>
      </c>
      <c r="S4" s="28">
        <v>0</v>
      </c>
      <c r="T4" s="28">
        <v>0</v>
      </c>
      <c r="U4" s="28">
        <v>0</v>
      </c>
      <c r="V4" s="28">
        <v>1</v>
      </c>
    </row>
    <row r="5" spans="1:22" ht="21" customHeight="1" x14ac:dyDescent="0.2">
      <c r="A5" s="2">
        <v>7320010</v>
      </c>
      <c r="B5" s="47">
        <v>1507</v>
      </c>
      <c r="C5" s="7" t="str">
        <f t="shared" si="0"/>
        <v>Premium3R3less</v>
      </c>
      <c r="D5" s="7" t="str">
        <f t="shared" si="1"/>
        <v>Premium</v>
      </c>
      <c r="E5" s="7" t="str">
        <f>IF(COUNTIF('R6追加前'!A:A,B5)=0,IF(I5="PremiumSS","R5only","R3less"),"")</f>
        <v>R3less</v>
      </c>
      <c r="F5" s="7" t="str">
        <f>IF(COUNTIF('R6開放'!A:A,B5)&gt;0,"R6release","")</f>
        <v/>
      </c>
      <c r="G5" s="7"/>
      <c r="H5" s="7" t="str">
        <f>VLOOKUP(B5,[1]characters!$A:$C,3,FALSE)</f>
        <v>rose01</v>
      </c>
      <c r="I5" s="7" t="str">
        <f>VLOOKUP(B5,[1]characters!$A:$J,10,FALSE)</f>
        <v>Drop2N</v>
      </c>
      <c r="J5" s="7">
        <f>VLOOKUP(B5,[1]characters!$A:$I,9,FALSE)</f>
        <v>3</v>
      </c>
      <c r="K5" s="7" t="str">
        <f>VLOOKUP(B5,[1]characters!$A:$H,8,FALSE)</f>
        <v>blue</v>
      </c>
      <c r="L5" s="7" t="str">
        <f>VLOOKUP(B5,[1]characters!$A:$K,11,FALSE)</f>
        <v>technical</v>
      </c>
      <c r="M5" s="7" t="str">
        <f>VLOOKUP(B5,[1]characters!$A:$M,13,FALSE)</f>
        <v>unknown</v>
      </c>
      <c r="N5" s="7">
        <f>VLOOKUP(B5,[1]characters!$A:$G,7,FALSE)</f>
        <v>0</v>
      </c>
      <c r="O5" s="34">
        <v>2400</v>
      </c>
      <c r="P5" s="35">
        <f t="shared" si="2"/>
        <v>2.4E-2</v>
      </c>
      <c r="Q5" s="28">
        <v>1</v>
      </c>
      <c r="R5" s="28">
        <v>0</v>
      </c>
      <c r="S5" s="28">
        <v>0</v>
      </c>
      <c r="T5" s="28">
        <v>0</v>
      </c>
      <c r="U5" s="28">
        <v>0</v>
      </c>
      <c r="V5" s="28">
        <v>1</v>
      </c>
    </row>
    <row r="6" spans="1:22" ht="21" customHeight="1" x14ac:dyDescent="0.2">
      <c r="A6" s="2">
        <v>7320010</v>
      </c>
      <c r="B6" s="47">
        <v>1508</v>
      </c>
      <c r="C6" s="7" t="str">
        <f t="shared" si="0"/>
        <v>Premium4R3less</v>
      </c>
      <c r="D6" s="7" t="str">
        <f t="shared" si="1"/>
        <v>Premium</v>
      </c>
      <c r="E6" s="7" t="str">
        <f>IF(COUNTIF('R6追加前'!A:A,B6)=0,IF(I6="PremiumSS","R5only","R3less"),"")</f>
        <v>R3less</v>
      </c>
      <c r="F6" s="7" t="str">
        <f>IF(COUNTIF('R6開放'!A:A,B6)&gt;0,"R6release","")</f>
        <v/>
      </c>
      <c r="G6" s="7"/>
      <c r="H6" s="7" t="str">
        <f>VLOOKUP(B6,[1]characters!$A:$C,3,FALSE)</f>
        <v>burgundy01</v>
      </c>
      <c r="I6" s="7" t="str">
        <f>VLOOKUP(B6,[1]characters!$A:$J,10,FALSE)</f>
        <v>Drop2N</v>
      </c>
      <c r="J6" s="7">
        <f>VLOOKUP(B6,[1]characters!$A:$I,9,FALSE)</f>
        <v>4</v>
      </c>
      <c r="K6" s="7" t="str">
        <f>VLOOKUP(B6,[1]characters!$A:$H,8,FALSE)</f>
        <v>red</v>
      </c>
      <c r="L6" s="7" t="str">
        <f>VLOOKUP(B6,[1]characters!$A:$K,11,FALSE)</f>
        <v>balance</v>
      </c>
      <c r="M6" s="7" t="str">
        <f>VLOOKUP(B6,[1]characters!$A:$M,13,FALSE)</f>
        <v>unknown</v>
      </c>
      <c r="N6" s="7">
        <f>VLOOKUP(B6,[1]characters!$A:$G,7,FALSE)</f>
        <v>0</v>
      </c>
      <c r="O6" s="34">
        <v>2400</v>
      </c>
      <c r="P6" s="35">
        <f t="shared" si="2"/>
        <v>2.4E-2</v>
      </c>
      <c r="Q6" s="28">
        <v>1</v>
      </c>
      <c r="R6" s="28">
        <v>0</v>
      </c>
      <c r="S6" s="28">
        <v>0</v>
      </c>
      <c r="T6" s="28">
        <v>0</v>
      </c>
      <c r="U6" s="28">
        <v>0</v>
      </c>
      <c r="V6" s="28">
        <v>1</v>
      </c>
    </row>
    <row r="7" spans="1:22" ht="21" customHeight="1" x14ac:dyDescent="0.2">
      <c r="A7" s="2">
        <v>7320010</v>
      </c>
      <c r="B7" s="47">
        <v>1513</v>
      </c>
      <c r="C7" s="7" t="str">
        <f t="shared" si="0"/>
        <v>Premium4R3less</v>
      </c>
      <c r="D7" s="7" t="str">
        <f t="shared" si="1"/>
        <v>Premium</v>
      </c>
      <c r="E7" s="7" t="str">
        <f>IF(COUNTIF('R6追加前'!A:A,B7)=0,IF(I7="PremiumSS","R5only","R3less"),"")</f>
        <v>R3less</v>
      </c>
      <c r="F7" s="7" t="str">
        <f>IF(COUNTIF('R6開放'!A:A,B7)&gt;0,"R6release","")</f>
        <v/>
      </c>
      <c r="G7" s="7"/>
      <c r="H7" s="7" t="str">
        <f>VLOOKUP(B7,[1]characters!$A:$C,3,FALSE)</f>
        <v>gold01</v>
      </c>
      <c r="I7" s="7" t="str">
        <f>VLOOKUP(B7,[1]characters!$A:$J,10,FALSE)</f>
        <v>Material</v>
      </c>
      <c r="J7" s="7">
        <f>VLOOKUP(B7,[1]characters!$A:$I,9,FALSE)</f>
        <v>4</v>
      </c>
      <c r="K7" s="7" t="str">
        <f>VLOOKUP(B7,[1]characters!$A:$H,8,FALSE)</f>
        <v>yellow</v>
      </c>
      <c r="L7" s="7" t="str">
        <f>VLOOKUP(B7,[1]characters!$A:$K,11,FALSE)</f>
        <v>coin</v>
      </c>
      <c r="M7" s="7" t="str">
        <f>VLOOKUP(B7,[1]characters!$A:$M,13,FALSE)</f>
        <v>unknown</v>
      </c>
      <c r="N7" s="7">
        <f>VLOOKUP(B7,[1]characters!$A:$G,7,FALSE)</f>
        <v>0</v>
      </c>
      <c r="O7" s="34">
        <v>8000</v>
      </c>
      <c r="P7" s="35">
        <f t="shared" si="2"/>
        <v>0.08</v>
      </c>
      <c r="Q7" s="28">
        <v>1</v>
      </c>
      <c r="R7" s="28">
        <v>0</v>
      </c>
      <c r="S7" s="28">
        <v>0</v>
      </c>
      <c r="T7" s="28">
        <v>0</v>
      </c>
      <c r="U7" s="28">
        <v>0</v>
      </c>
      <c r="V7" s="28">
        <v>1</v>
      </c>
    </row>
    <row r="8" spans="1:22" ht="21" customHeight="1" x14ac:dyDescent="0.2">
      <c r="A8" s="2">
        <v>7320010</v>
      </c>
      <c r="B8" s="47">
        <v>1514</v>
      </c>
      <c r="C8" s="7" t="str">
        <f t="shared" si="0"/>
        <v>Premium5R3less</v>
      </c>
      <c r="D8" s="7" t="str">
        <f t="shared" si="1"/>
        <v>Premium</v>
      </c>
      <c r="E8" s="7" t="str">
        <f>IF(COUNTIF('R6追加前'!A:A,B8)=0,IF(I8="PremiumSS","R5only","R3less"),"")</f>
        <v>R3less</v>
      </c>
      <c r="F8" s="7" t="str">
        <f>IF(COUNTIF('R6開放'!A:A,B8)&gt;0,"R6release","")</f>
        <v/>
      </c>
      <c r="G8" s="7"/>
      <c r="H8" s="7" t="str">
        <f>VLOOKUP(B8,[1]characters!$A:$C,3,FALSE)</f>
        <v>gold02</v>
      </c>
      <c r="I8" s="7" t="str">
        <f>VLOOKUP(B8,[1]characters!$A:$J,10,FALSE)</f>
        <v>Material</v>
      </c>
      <c r="J8" s="7">
        <f>VLOOKUP(B8,[1]characters!$A:$I,9,FALSE)</f>
        <v>5</v>
      </c>
      <c r="K8" s="7" t="str">
        <f>VLOOKUP(B8,[1]characters!$A:$H,8,FALSE)</f>
        <v>yellow</v>
      </c>
      <c r="L8" s="7" t="str">
        <f>VLOOKUP(B8,[1]characters!$A:$K,11,FALSE)</f>
        <v>coin</v>
      </c>
      <c r="M8" s="7" t="str">
        <f>VLOOKUP(B8,[1]characters!$A:$M,13,FALSE)</f>
        <v>unknown</v>
      </c>
      <c r="N8" s="7">
        <f>VLOOKUP(B8,[1]characters!$A:$G,7,FALSE)</f>
        <v>0</v>
      </c>
      <c r="O8" s="34">
        <v>6000</v>
      </c>
      <c r="P8" s="35">
        <f t="shared" si="2"/>
        <v>0.06</v>
      </c>
      <c r="Q8" s="28">
        <v>1</v>
      </c>
      <c r="R8" s="28">
        <v>0</v>
      </c>
      <c r="S8" s="28">
        <v>0</v>
      </c>
      <c r="T8" s="28">
        <v>0</v>
      </c>
      <c r="U8" s="28">
        <v>0</v>
      </c>
      <c r="V8" s="28">
        <v>1</v>
      </c>
    </row>
    <row r="9" spans="1:22" ht="21" customHeight="1" x14ac:dyDescent="0.2">
      <c r="A9" s="2">
        <v>7320010</v>
      </c>
      <c r="B9" s="47">
        <v>1515</v>
      </c>
      <c r="C9" s="7" t="str">
        <f t="shared" si="0"/>
        <v>Premium4R3less</v>
      </c>
      <c r="D9" s="7" t="str">
        <f t="shared" si="1"/>
        <v>Premium</v>
      </c>
      <c r="E9" s="7" t="str">
        <f>IF(COUNTIF('R6追加前'!A:A,B9)=0,IF(I9="PremiumSS","R5only","R3less"),"")</f>
        <v>R3less</v>
      </c>
      <c r="F9" s="7" t="str">
        <f>IF(COUNTIF('R6開放'!A:A,B9)&gt;0,"R6release","")</f>
        <v/>
      </c>
      <c r="G9" s="7"/>
      <c r="H9" s="7" t="str">
        <f>VLOOKUP(B9,[1]characters!$A:$C,3,FALSE)</f>
        <v>red01</v>
      </c>
      <c r="I9" s="7" t="str">
        <f>VLOOKUP(B9,[1]characters!$A:$J,10,FALSE)</f>
        <v>Material</v>
      </c>
      <c r="J9" s="7">
        <f>VLOOKUP(B9,[1]characters!$A:$I,9,FALSE)</f>
        <v>4</v>
      </c>
      <c r="K9" s="7" t="str">
        <f>VLOOKUP(B9,[1]characters!$A:$H,8,FALSE)</f>
        <v>red</v>
      </c>
      <c r="L9" s="7" t="str">
        <f>VLOOKUP(B9,[1]characters!$A:$K,11,FALSE)</f>
        <v>exp</v>
      </c>
      <c r="M9" s="7" t="str">
        <f>VLOOKUP(B9,[1]characters!$A:$M,13,FALSE)</f>
        <v>unknown</v>
      </c>
      <c r="N9" s="7">
        <f>VLOOKUP(B9,[1]characters!$A:$G,7,FALSE)</f>
        <v>0</v>
      </c>
      <c r="O9" s="34">
        <v>8000</v>
      </c>
      <c r="P9" s="35">
        <f t="shared" si="2"/>
        <v>0.08</v>
      </c>
      <c r="Q9" s="28">
        <v>1</v>
      </c>
      <c r="R9" s="28">
        <v>0</v>
      </c>
      <c r="S9" s="28">
        <v>0</v>
      </c>
      <c r="T9" s="28">
        <v>0</v>
      </c>
      <c r="U9" s="28">
        <v>0</v>
      </c>
      <c r="V9" s="28">
        <v>1</v>
      </c>
    </row>
    <row r="10" spans="1:22" ht="21" customHeight="1" x14ac:dyDescent="0.2">
      <c r="A10" s="2">
        <v>7320010</v>
      </c>
      <c r="B10" s="47">
        <v>1516</v>
      </c>
      <c r="C10" s="7" t="str">
        <f t="shared" si="0"/>
        <v>Premium5R3less</v>
      </c>
      <c r="D10" s="7" t="str">
        <f t="shared" si="1"/>
        <v>Premium</v>
      </c>
      <c r="E10" s="7" t="str">
        <f>IF(COUNTIF('R6追加前'!A:A,B10)=0,IF(I10="PremiumSS","R5only","R3less"),"")</f>
        <v>R3less</v>
      </c>
      <c r="F10" s="7" t="str">
        <f>IF(COUNTIF('R6開放'!A:A,B10)&gt;0,"R6release","")</f>
        <v/>
      </c>
      <c r="G10" s="7"/>
      <c r="H10" s="7" t="str">
        <f>VLOOKUP(B10,[1]characters!$A:$C,3,FALSE)</f>
        <v>red02</v>
      </c>
      <c r="I10" s="7" t="str">
        <f>VLOOKUP(B10,[1]characters!$A:$J,10,FALSE)</f>
        <v>Material</v>
      </c>
      <c r="J10" s="7">
        <f>VLOOKUP(B10,[1]characters!$A:$I,9,FALSE)</f>
        <v>5</v>
      </c>
      <c r="K10" s="7" t="str">
        <f>VLOOKUP(B10,[1]characters!$A:$H,8,FALSE)</f>
        <v>red</v>
      </c>
      <c r="L10" s="7" t="str">
        <f>VLOOKUP(B10,[1]characters!$A:$K,11,FALSE)</f>
        <v>exp</v>
      </c>
      <c r="M10" s="7" t="str">
        <f>VLOOKUP(B10,[1]characters!$A:$M,13,FALSE)</f>
        <v>unknown</v>
      </c>
      <c r="N10" s="7">
        <f>VLOOKUP(B10,[1]characters!$A:$G,7,FALSE)</f>
        <v>0</v>
      </c>
      <c r="O10" s="34">
        <v>6000</v>
      </c>
      <c r="P10" s="35">
        <f t="shared" si="2"/>
        <v>0.06</v>
      </c>
      <c r="Q10" s="28">
        <v>1</v>
      </c>
      <c r="R10" s="28">
        <v>0</v>
      </c>
      <c r="S10" s="28">
        <v>0</v>
      </c>
      <c r="T10" s="28">
        <v>0</v>
      </c>
      <c r="U10" s="28">
        <v>0</v>
      </c>
      <c r="V10" s="28">
        <v>1</v>
      </c>
    </row>
    <row r="11" spans="1:22" ht="21" customHeight="1" x14ac:dyDescent="0.2">
      <c r="A11" s="2">
        <v>7320010</v>
      </c>
      <c r="B11" s="47">
        <v>1517</v>
      </c>
      <c r="C11" s="7" t="str">
        <f t="shared" si="0"/>
        <v>Premium4R3less</v>
      </c>
      <c r="D11" s="7" t="str">
        <f t="shared" si="1"/>
        <v>Premium</v>
      </c>
      <c r="E11" s="7" t="str">
        <f>IF(COUNTIF('R6追加前'!A:A,B11)=0,IF(I11="PremiumSS","R5only","R3less"),"")</f>
        <v>R3less</v>
      </c>
      <c r="F11" s="7" t="str">
        <f>IF(COUNTIF('R6開放'!A:A,B11)&gt;0,"R6release","")</f>
        <v/>
      </c>
      <c r="G11" s="7"/>
      <c r="H11" s="7" t="str">
        <f>VLOOKUP(B11,[1]characters!$A:$C,3,FALSE)</f>
        <v>blue01</v>
      </c>
      <c r="I11" s="7" t="str">
        <f>VLOOKUP(B11,[1]characters!$A:$J,10,FALSE)</f>
        <v>Material</v>
      </c>
      <c r="J11" s="7">
        <f>VLOOKUP(B11,[1]characters!$A:$I,9,FALSE)</f>
        <v>4</v>
      </c>
      <c r="K11" s="7" t="str">
        <f>VLOOKUP(B11,[1]characters!$A:$H,8,FALSE)</f>
        <v>blue</v>
      </c>
      <c r="L11" s="7" t="str">
        <f>VLOOKUP(B11,[1]characters!$A:$K,11,FALSE)</f>
        <v>exp</v>
      </c>
      <c r="M11" s="7" t="str">
        <f>VLOOKUP(B11,[1]characters!$A:$M,13,FALSE)</f>
        <v>unknown</v>
      </c>
      <c r="N11" s="7">
        <f>VLOOKUP(B11,[1]characters!$A:$G,7,FALSE)</f>
        <v>0</v>
      </c>
      <c r="O11" s="34">
        <v>8000</v>
      </c>
      <c r="P11" s="35">
        <f t="shared" si="2"/>
        <v>0.08</v>
      </c>
      <c r="Q11" s="28">
        <v>1</v>
      </c>
      <c r="R11" s="28">
        <v>0</v>
      </c>
      <c r="S11" s="28">
        <v>0</v>
      </c>
      <c r="T11" s="28">
        <v>0</v>
      </c>
      <c r="U11" s="28">
        <v>0</v>
      </c>
      <c r="V11" s="28">
        <v>1</v>
      </c>
    </row>
    <row r="12" spans="1:22" ht="21" customHeight="1" x14ac:dyDescent="0.2">
      <c r="A12" s="2">
        <v>7320010</v>
      </c>
      <c r="B12" s="47">
        <v>1518</v>
      </c>
      <c r="C12" s="7" t="str">
        <f t="shared" si="0"/>
        <v>Premium5R3less</v>
      </c>
      <c r="D12" s="7" t="str">
        <f t="shared" si="1"/>
        <v>Premium</v>
      </c>
      <c r="E12" s="7" t="str">
        <f>IF(COUNTIF('R6追加前'!A:A,B12)=0,IF(I12="PremiumSS","R5only","R3less"),"")</f>
        <v>R3less</v>
      </c>
      <c r="F12" s="7" t="str">
        <f>IF(COUNTIF('R6開放'!A:A,B12)&gt;0,"R6release","")</f>
        <v/>
      </c>
      <c r="G12" s="7"/>
      <c r="H12" s="7" t="str">
        <f>VLOOKUP(B12,[1]characters!$A:$C,3,FALSE)</f>
        <v>blue02</v>
      </c>
      <c r="I12" s="7" t="str">
        <f>VLOOKUP(B12,[1]characters!$A:$J,10,FALSE)</f>
        <v>Material</v>
      </c>
      <c r="J12" s="7">
        <f>VLOOKUP(B12,[1]characters!$A:$I,9,FALSE)</f>
        <v>5</v>
      </c>
      <c r="K12" s="7" t="str">
        <f>VLOOKUP(B12,[1]characters!$A:$H,8,FALSE)</f>
        <v>blue</v>
      </c>
      <c r="L12" s="7" t="str">
        <f>VLOOKUP(B12,[1]characters!$A:$K,11,FALSE)</f>
        <v>exp</v>
      </c>
      <c r="M12" s="7" t="str">
        <f>VLOOKUP(B12,[1]characters!$A:$M,13,FALSE)</f>
        <v>unknown</v>
      </c>
      <c r="N12" s="7">
        <f>VLOOKUP(B12,[1]characters!$A:$G,7,FALSE)</f>
        <v>0</v>
      </c>
      <c r="O12" s="34">
        <v>6000</v>
      </c>
      <c r="P12" s="35">
        <f t="shared" si="2"/>
        <v>0.06</v>
      </c>
      <c r="Q12" s="28">
        <v>1</v>
      </c>
      <c r="R12" s="28">
        <v>0</v>
      </c>
      <c r="S12" s="28">
        <v>0</v>
      </c>
      <c r="T12" s="28">
        <v>0</v>
      </c>
      <c r="U12" s="28">
        <v>0</v>
      </c>
      <c r="V12" s="28">
        <v>1</v>
      </c>
    </row>
    <row r="13" spans="1:22" ht="21" customHeight="1" x14ac:dyDescent="0.2">
      <c r="A13" s="2">
        <v>7320010</v>
      </c>
      <c r="B13" s="47">
        <v>1519</v>
      </c>
      <c r="C13" s="7" t="str">
        <f t="shared" si="0"/>
        <v>Premium4R3less</v>
      </c>
      <c r="D13" s="7" t="str">
        <f t="shared" si="1"/>
        <v>Premium</v>
      </c>
      <c r="E13" s="7" t="str">
        <f>IF(COUNTIF('R6追加前'!A:A,B13)=0,IF(I13="PremiumSS","R5only","R3less"),"")</f>
        <v>R3less</v>
      </c>
      <c r="F13" s="7" t="str">
        <f>IF(COUNTIF('R6開放'!A:A,B13)&gt;0,"R6release","")</f>
        <v/>
      </c>
      <c r="G13" s="7"/>
      <c r="H13" s="7" t="str">
        <f>VLOOKUP(B13,[1]characters!$A:$C,3,FALSE)</f>
        <v>green01</v>
      </c>
      <c r="I13" s="7" t="str">
        <f>VLOOKUP(B13,[1]characters!$A:$J,10,FALSE)</f>
        <v>Material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exp</v>
      </c>
      <c r="M13" s="7" t="str">
        <f>VLOOKUP(B13,[1]characters!$A:$M,13,FALSE)</f>
        <v>unknown</v>
      </c>
      <c r="N13" s="7">
        <f>VLOOKUP(B13,[1]characters!$A:$G,7,FALSE)</f>
        <v>0</v>
      </c>
      <c r="O13" s="34">
        <v>8000</v>
      </c>
      <c r="P13" s="35">
        <f t="shared" si="2"/>
        <v>0.08</v>
      </c>
      <c r="Q13" s="28">
        <v>1</v>
      </c>
      <c r="R13" s="28">
        <v>0</v>
      </c>
      <c r="S13" s="28">
        <v>0</v>
      </c>
      <c r="T13" s="28">
        <v>0</v>
      </c>
      <c r="U13" s="28">
        <v>0</v>
      </c>
      <c r="V13" s="28">
        <v>1</v>
      </c>
    </row>
    <row r="14" spans="1:22" ht="21" customHeight="1" x14ac:dyDescent="0.2">
      <c r="A14" s="2">
        <v>7320010</v>
      </c>
      <c r="B14" s="47">
        <v>1520</v>
      </c>
      <c r="C14" s="7" t="str">
        <f t="shared" si="0"/>
        <v>Premium5R3less</v>
      </c>
      <c r="D14" s="7" t="str">
        <f t="shared" si="1"/>
        <v>Premium</v>
      </c>
      <c r="E14" s="7" t="str">
        <f>IF(COUNTIF('R6追加前'!A:A,B14)=0,IF(I14="PremiumSS","R5only","R3less"),"")</f>
        <v>R3less</v>
      </c>
      <c r="F14" s="7" t="str">
        <f>IF(COUNTIF('R6開放'!A:A,B14)&gt;0,"R6release","")</f>
        <v/>
      </c>
      <c r="G14" s="7"/>
      <c r="H14" s="7" t="str">
        <f>VLOOKUP(B14,[1]characters!$A:$C,3,FALSE)</f>
        <v>green02</v>
      </c>
      <c r="I14" s="7" t="str">
        <f>VLOOKUP(B14,[1]characters!$A:$J,10,FALSE)</f>
        <v>Material</v>
      </c>
      <c r="J14" s="7">
        <f>VLOOKUP(B14,[1]characters!$A:$I,9,FALSE)</f>
        <v>5</v>
      </c>
      <c r="K14" s="7" t="str">
        <f>VLOOKUP(B14,[1]characters!$A:$H,8,FALSE)</f>
        <v>green</v>
      </c>
      <c r="L14" s="7" t="str">
        <f>VLOOKUP(B14,[1]characters!$A:$K,11,FALSE)</f>
        <v>exp</v>
      </c>
      <c r="M14" s="7" t="str">
        <f>VLOOKUP(B14,[1]characters!$A:$M,13,FALSE)</f>
        <v>unknown</v>
      </c>
      <c r="N14" s="7">
        <f>VLOOKUP(B14,[1]characters!$A:$G,7,FALSE)</f>
        <v>0</v>
      </c>
      <c r="O14" s="34">
        <v>6000</v>
      </c>
      <c r="P14" s="35">
        <f t="shared" si="2"/>
        <v>0.06</v>
      </c>
      <c r="Q14" s="28">
        <v>1</v>
      </c>
      <c r="R14" s="28">
        <v>0</v>
      </c>
      <c r="S14" s="28">
        <v>0</v>
      </c>
      <c r="T14" s="28">
        <v>0</v>
      </c>
      <c r="U14" s="28">
        <v>0</v>
      </c>
      <c r="V14" s="28">
        <v>1</v>
      </c>
    </row>
    <row r="15" spans="1:22" ht="21" customHeight="1" x14ac:dyDescent="0.2">
      <c r="A15" s="2">
        <v>7320010</v>
      </c>
      <c r="B15" s="47">
        <v>1521</v>
      </c>
      <c r="C15" s="7" t="str">
        <f t="shared" si="0"/>
        <v>Premium4R3less</v>
      </c>
      <c r="D15" s="7" t="str">
        <f t="shared" si="1"/>
        <v>Premium</v>
      </c>
      <c r="E15" s="7" t="str">
        <f>IF(COUNTIF('R6追加前'!A:A,B15)=0,IF(I15="PremiumSS","R5only","R3less"),"")</f>
        <v>R3less</v>
      </c>
      <c r="F15" s="7" t="str">
        <f>IF(COUNTIF('R6開放'!A:A,B15)&gt;0,"R6release","")</f>
        <v/>
      </c>
      <c r="G15" s="7"/>
      <c r="H15" s="7" t="str">
        <f>VLOOKUP(B15,[1]characters!$A:$C,3,FALSE)</f>
        <v>yellow01</v>
      </c>
      <c r="I15" s="7" t="str">
        <f>VLOOKUP(B15,[1]characters!$A:$J,10,FALSE)</f>
        <v>Material</v>
      </c>
      <c r="J15" s="7">
        <f>VLOOKUP(B15,[1]characters!$A:$I,9,FALSE)</f>
        <v>4</v>
      </c>
      <c r="K15" s="7" t="str">
        <f>VLOOKUP(B15,[1]characters!$A:$H,8,FALSE)</f>
        <v>yellow</v>
      </c>
      <c r="L15" s="7" t="str">
        <f>VLOOKUP(B15,[1]characters!$A:$K,11,FALSE)</f>
        <v>exp</v>
      </c>
      <c r="M15" s="7" t="str">
        <f>VLOOKUP(B15,[1]characters!$A:$M,13,FALSE)</f>
        <v>unknown</v>
      </c>
      <c r="N15" s="7">
        <f>VLOOKUP(B15,[1]characters!$A:$G,7,FALSE)</f>
        <v>0</v>
      </c>
      <c r="O15" s="34">
        <v>8000</v>
      </c>
      <c r="P15" s="35">
        <f t="shared" si="2"/>
        <v>0.08</v>
      </c>
      <c r="Q15" s="28">
        <v>1</v>
      </c>
      <c r="R15" s="28">
        <v>0</v>
      </c>
      <c r="S15" s="28">
        <v>0</v>
      </c>
      <c r="T15" s="28">
        <v>0</v>
      </c>
      <c r="U15" s="28">
        <v>0</v>
      </c>
      <c r="V15" s="28">
        <v>1</v>
      </c>
    </row>
    <row r="16" spans="1:22" ht="21" customHeight="1" x14ac:dyDescent="0.2">
      <c r="A16" s="2">
        <v>7320010</v>
      </c>
      <c r="B16" s="47">
        <v>1522</v>
      </c>
      <c r="C16" s="7" t="str">
        <f t="shared" si="0"/>
        <v>Premium5R3less</v>
      </c>
      <c r="D16" s="7" t="str">
        <f t="shared" si="1"/>
        <v>Premium</v>
      </c>
      <c r="E16" s="7" t="str">
        <f>IF(COUNTIF('R6追加前'!A:A,B16)=0,IF(I16="PremiumSS","R5only","R3less"),"")</f>
        <v>R3less</v>
      </c>
      <c r="F16" s="7" t="str">
        <f>IF(COUNTIF('R6開放'!A:A,B16)&gt;0,"R6release","")</f>
        <v/>
      </c>
      <c r="G16" s="7"/>
      <c r="H16" s="7" t="str">
        <f>VLOOKUP(B16,[1]characters!$A:$C,3,FALSE)</f>
        <v>yellow02</v>
      </c>
      <c r="I16" s="7" t="str">
        <f>VLOOKUP(B16,[1]characters!$A:$J,10,FALSE)</f>
        <v>Material</v>
      </c>
      <c r="J16" s="7">
        <f>VLOOKUP(B16,[1]characters!$A:$I,9,FALSE)</f>
        <v>5</v>
      </c>
      <c r="K16" s="7" t="str">
        <f>VLOOKUP(B16,[1]characters!$A:$H,8,FALSE)</f>
        <v>yellow</v>
      </c>
      <c r="L16" s="7" t="str">
        <f>VLOOKUP(B16,[1]characters!$A:$K,11,FALSE)</f>
        <v>exp</v>
      </c>
      <c r="M16" s="7" t="str">
        <f>VLOOKUP(B16,[1]characters!$A:$M,13,FALSE)</f>
        <v>unknown</v>
      </c>
      <c r="N16" s="7">
        <f>VLOOKUP(B16,[1]characters!$A:$G,7,FALSE)</f>
        <v>0</v>
      </c>
      <c r="O16" s="34">
        <v>6000</v>
      </c>
      <c r="P16" s="35">
        <f t="shared" si="2"/>
        <v>0.06</v>
      </c>
      <c r="Q16" s="28">
        <v>1</v>
      </c>
      <c r="R16" s="28">
        <v>0</v>
      </c>
      <c r="S16" s="28">
        <v>0</v>
      </c>
      <c r="T16" s="28">
        <v>0</v>
      </c>
      <c r="U16" s="28">
        <v>0</v>
      </c>
      <c r="V16" s="28">
        <v>1</v>
      </c>
    </row>
    <row r="17" spans="1:22" ht="21" customHeight="1" x14ac:dyDescent="0.2">
      <c r="A17" s="2">
        <v>7320010</v>
      </c>
      <c r="B17" s="47">
        <v>1509</v>
      </c>
      <c r="C17" s="7" t="str">
        <f t="shared" si="0"/>
        <v>Premium5R3less</v>
      </c>
      <c r="D17" s="7" t="str">
        <f t="shared" si="1"/>
        <v>Premium</v>
      </c>
      <c r="E17" s="7" t="str">
        <f>IF(COUNTIF('R6追加前'!A:A,B17)=0,IF(I17="PremiumSS","R5only","R3less"),"")</f>
        <v>R3less</v>
      </c>
      <c r="F17" s="7" t="str">
        <f>IF(COUNTIF('R6開放'!A:A,B17)&gt;0,"R6release","")</f>
        <v/>
      </c>
      <c r="G17" s="7"/>
      <c r="H17" s="7" t="str">
        <f>VLOOKUP(B17,[1]characters!$A:$C,3,FALSE)</f>
        <v>cyan01</v>
      </c>
      <c r="I17" s="7" t="str">
        <f>VLOOKUP(B17,[1]characters!$A:$J,10,FALSE)</f>
        <v>Drop2N</v>
      </c>
      <c r="J17" s="7">
        <f>VLOOKUP(B17,[1]characters!$A:$I,9,FALSE)</f>
        <v>5</v>
      </c>
      <c r="K17" s="7" t="str">
        <f>VLOOKUP(B17,[1]characters!$A:$H,8,FALSE)</f>
        <v>green</v>
      </c>
      <c r="L17" s="7" t="str">
        <f>VLOOKUP(B17,[1]characters!$A:$K,11,FALSE)</f>
        <v>hp</v>
      </c>
      <c r="M17" s="7" t="str">
        <f>VLOOKUP(B17,[1]characters!$A:$M,13,FALSE)</f>
        <v>god</v>
      </c>
      <c r="N17" s="7">
        <f>VLOOKUP(B17,[1]characters!$A:$G,7,FALSE)</f>
        <v>0</v>
      </c>
      <c r="O17" s="34">
        <v>10000</v>
      </c>
      <c r="P17" s="35">
        <f t="shared" si="2"/>
        <v>0.1</v>
      </c>
      <c r="Q17" s="28">
        <v>1</v>
      </c>
      <c r="R17" s="28">
        <v>0</v>
      </c>
      <c r="S17" s="28">
        <v>0</v>
      </c>
      <c r="T17" s="28">
        <v>0</v>
      </c>
      <c r="U17" s="28">
        <v>0</v>
      </c>
      <c r="V17" s="28">
        <v>1</v>
      </c>
    </row>
    <row r="18" spans="1:22" ht="21" customHeight="1" x14ac:dyDescent="0.2">
      <c r="A18" s="2">
        <v>7320010</v>
      </c>
      <c r="B18" s="47">
        <v>1511</v>
      </c>
      <c r="C18" s="7" t="str">
        <f t="shared" si="0"/>
        <v>Premium5R3less</v>
      </c>
      <c r="D18" s="7" t="str">
        <f t="shared" si="1"/>
        <v>Premium</v>
      </c>
      <c r="E18" s="7" t="str">
        <f>IF(COUNTIF('R6追加前'!A:A,B18)=0,IF(I18="PremiumSS","R5only","R3less"),"")</f>
        <v>R3less</v>
      </c>
      <c r="F18" s="7" t="str">
        <f>IF(COUNTIF('R6開放'!A:A,B18)&gt;0,"R6release","")</f>
        <v/>
      </c>
      <c r="G18" s="7"/>
      <c r="H18" s="7" t="str">
        <f>VLOOKUP(B18,[1]characters!$A:$C,3,FALSE)</f>
        <v>scarlet02</v>
      </c>
      <c r="I18" s="7" t="str">
        <f>VLOOKUP(B18,[1]characters!$A:$J,10,FALSE)</f>
        <v>DropWizS</v>
      </c>
      <c r="J18" s="7">
        <f>VLOOKUP(B18,[1]characters!$A:$I,9,FALSE)</f>
        <v>5</v>
      </c>
      <c r="K18" s="7" t="str">
        <f>VLOOKUP(B18,[1]characters!$A:$H,8,FALSE)</f>
        <v>yellow</v>
      </c>
      <c r="L18" s="7" t="str">
        <f>VLOOKUP(B18,[1]characters!$A:$K,11,FALSE)</f>
        <v>balance</v>
      </c>
      <c r="M18" s="7" t="str">
        <f>VLOOKUP(B18,[1]characters!$A:$M,13,FALSE)</f>
        <v>god</v>
      </c>
      <c r="N18" s="7">
        <f>VLOOKUP(B18,[1]characters!$A:$G,7,FALSE)</f>
        <v>0</v>
      </c>
      <c r="O18" s="34">
        <v>5000</v>
      </c>
      <c r="P18" s="35">
        <f t="shared" si="2"/>
        <v>0.05</v>
      </c>
      <c r="Q18" s="28">
        <v>1</v>
      </c>
      <c r="R18" s="28">
        <v>0</v>
      </c>
      <c r="S18" s="28">
        <v>0</v>
      </c>
      <c r="T18" s="28">
        <v>0</v>
      </c>
      <c r="U18" s="28">
        <v>0</v>
      </c>
      <c r="V18" s="28">
        <v>1</v>
      </c>
    </row>
    <row r="19" spans="1:22" ht="21" customHeight="1" x14ac:dyDescent="0.2">
      <c r="A19" s="2">
        <v>7320010</v>
      </c>
      <c r="B19" s="47">
        <v>1523</v>
      </c>
      <c r="C19" s="7" t="str">
        <f t="shared" si="0"/>
        <v>Premium5R3less</v>
      </c>
      <c r="D19" s="7" t="str">
        <f t="shared" si="1"/>
        <v>Premium</v>
      </c>
      <c r="E19" s="7" t="str">
        <f>IF(COUNTIF('R6追加前'!A:A,B19)=0,IF(I19="PremiumSS","R5only","R3less"),"")</f>
        <v>R3less</v>
      </c>
      <c r="F19" s="7" t="str">
        <f>IF(COUNTIF('R6開放'!A:A,B19)&gt;0,"R6release","")</f>
        <v/>
      </c>
      <c r="G19" s="7"/>
      <c r="H19" s="7" t="str">
        <f>VLOOKUP(B19,[1]characters!$A:$C,3,FALSE)</f>
        <v>olive01</v>
      </c>
      <c r="I19" s="7" t="str">
        <f>VLOOKUP(B19,[1]characters!$A:$J,10,FALSE)</f>
        <v>DropWizS</v>
      </c>
      <c r="J19" s="7">
        <f>VLOOKUP(B19,[1]characters!$A:$I,9,FALSE)</f>
        <v>5</v>
      </c>
      <c r="K19" s="7" t="str">
        <f>VLOOKUP(B19,[1]characters!$A:$H,8,FALSE)</f>
        <v>blue</v>
      </c>
      <c r="L19" s="7" t="str">
        <f>VLOOKUP(B19,[1]characters!$A:$K,11,FALSE)</f>
        <v>technical</v>
      </c>
      <c r="M19" s="7" t="str">
        <f>VLOOKUP(B19,[1]characters!$A:$M,13,FALSE)</f>
        <v>animal</v>
      </c>
      <c r="N19" s="7">
        <f>VLOOKUP(B19,[1]characters!$A:$G,7,FALSE)</f>
        <v>0</v>
      </c>
      <c r="O19" s="34">
        <v>3000</v>
      </c>
      <c r="P19" s="35">
        <f t="shared" si="2"/>
        <v>0.03</v>
      </c>
      <c r="Q19" s="28">
        <v>1</v>
      </c>
      <c r="R19" s="28">
        <v>0</v>
      </c>
      <c r="S19" s="28">
        <v>0</v>
      </c>
      <c r="T19" s="28">
        <v>0</v>
      </c>
      <c r="U19" s="28">
        <v>0</v>
      </c>
      <c r="V19" s="28">
        <v>1</v>
      </c>
    </row>
  </sheetData>
  <autoFilter ref="A1:V4"/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2"/>
  <sheetViews>
    <sheetView showGridLines="0" workbookViewId="0">
      <pane ySplit="1" topLeftCell="A2" activePane="bottomLeft" state="frozen"/>
      <selection activeCell="M24" sqref="M24"/>
      <selection pane="bottomLeft" activeCell="H10" sqref="H10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1" t="s">
        <v>10</v>
      </c>
      <c r="B1" s="21" t="s">
        <v>13</v>
      </c>
      <c r="C1" s="12" t="s">
        <v>15</v>
      </c>
      <c r="D1" s="12" t="s">
        <v>16</v>
      </c>
      <c r="E1" s="12" t="s">
        <v>17</v>
      </c>
      <c r="F1" s="11" t="s">
        <v>2</v>
      </c>
      <c r="G1" s="39" t="s">
        <v>68</v>
      </c>
      <c r="H1" s="39" t="s">
        <v>69</v>
      </c>
      <c r="I1" s="40" t="s">
        <v>70</v>
      </c>
      <c r="J1" s="40" t="s">
        <v>71</v>
      </c>
      <c r="K1" s="40" t="s">
        <v>72</v>
      </c>
      <c r="L1" s="40" t="s">
        <v>73</v>
      </c>
      <c r="M1" s="40" t="s">
        <v>74</v>
      </c>
      <c r="N1" s="11" t="s">
        <v>18</v>
      </c>
      <c r="O1" s="11" t="s">
        <v>19</v>
      </c>
      <c r="P1" s="11" t="s">
        <v>20</v>
      </c>
      <c r="Q1" s="11" t="s">
        <v>21</v>
      </c>
    </row>
    <row r="2" spans="1:17" ht="21" customHeight="1" x14ac:dyDescent="0.15"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1" t="s">
        <v>75</v>
      </c>
    </row>
  </sheetData>
  <autoFilter ref="A1:F1"/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workbookViewId="0">
      <selection activeCell="A272" sqref="A267:XFD272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3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9">
        <v>140</v>
      </c>
      <c r="B16" s="7" t="str">
        <f>VLOOKUP(A16,[1]characters!$A:$C,3,FALSE)</f>
        <v>秋祭のタマモ</v>
      </c>
    </row>
    <row r="17" spans="1:2" x14ac:dyDescent="0.15">
      <c r="A17" s="10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9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9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9">
        <v>196</v>
      </c>
      <c r="B72" s="7" t="str">
        <f>VLOOKUP(A72,[1]characters!$A:$C,3,FALSE)</f>
        <v>アキレス</v>
      </c>
    </row>
    <row r="73" spans="1:2" x14ac:dyDescent="0.15">
      <c r="A73" s="10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41">
        <v>668</v>
      </c>
      <c r="B246" s="7" t="str">
        <f>VLOOKUP(A246,[1]characters!$A:$C,3,FALSE)</f>
        <v>アグニ</v>
      </c>
    </row>
    <row r="247" spans="1:2" x14ac:dyDescent="0.15">
      <c r="A247" s="41">
        <v>669</v>
      </c>
      <c r="B247" s="7" t="str">
        <f>VLOOKUP(A247,[1]characters!$A:$C,3,FALSE)</f>
        <v>天地の仲界 アグニ</v>
      </c>
    </row>
    <row r="248" spans="1:2" x14ac:dyDescent="0.15">
      <c r="A248" s="41">
        <v>670</v>
      </c>
      <c r="B248" s="7" t="str">
        <f>VLOOKUP(A248,[1]characters!$A:$C,3,FALSE)</f>
        <v>陽天の噴煙 アグニ</v>
      </c>
    </row>
    <row r="249" spans="1:2" x14ac:dyDescent="0.15">
      <c r="A249" s="41">
        <v>671</v>
      </c>
      <c r="B249" s="7" t="str">
        <f>VLOOKUP(A249,[1]characters!$A:$C,3,FALSE)</f>
        <v>ハヌマーン</v>
      </c>
    </row>
    <row r="250" spans="1:2" x14ac:dyDescent="0.15">
      <c r="A250" s="41">
        <v>672</v>
      </c>
      <c r="B250" s="7" t="str">
        <f>VLOOKUP(A250,[1]characters!$A:$C,3,FALSE)</f>
        <v>西遊韋駄天 ハヌマーン</v>
      </c>
    </row>
    <row r="251" spans="1:2" x14ac:dyDescent="0.15">
      <c r="A251" s="41">
        <v>673</v>
      </c>
      <c r="B251" s="7" t="str">
        <f>VLOOKUP(A251,[1]characters!$A:$C,3,FALSE)</f>
        <v>変幻自在の猿王 ハヌマーン</v>
      </c>
    </row>
    <row r="252" spans="1:2" x14ac:dyDescent="0.15">
      <c r="A252" s="41">
        <v>674</v>
      </c>
      <c r="B252" s="7" t="str">
        <f>VLOOKUP(A252,[1]characters!$A:$C,3,FALSE)</f>
        <v>サラスヴァティ</v>
      </c>
    </row>
    <row r="253" spans="1:2" x14ac:dyDescent="0.15">
      <c r="A253" s="41">
        <v>675</v>
      </c>
      <c r="B253" s="7" t="str">
        <f>VLOOKUP(A253,[1]characters!$A:$C,3,FALSE)</f>
        <v>芸楽の奔流 サラスヴァティ</v>
      </c>
    </row>
    <row r="254" spans="1:2" x14ac:dyDescent="0.15">
      <c r="A254" s="41">
        <v>676</v>
      </c>
      <c r="B254" s="7" t="str">
        <f>VLOOKUP(A254,[1]characters!$A:$C,3,FALSE)</f>
        <v>ヴィシュヌ</v>
      </c>
    </row>
    <row r="255" spans="1:2" x14ac:dyDescent="0.15">
      <c r="A255" s="41">
        <v>677</v>
      </c>
      <c r="B255" s="7" t="str">
        <f>VLOOKUP(A255,[1]characters!$A:$C,3,FALSE)</f>
        <v>武遊闊歩 ヴィシュヌ</v>
      </c>
    </row>
    <row r="256" spans="1:2" x14ac:dyDescent="0.15">
      <c r="A256" s="41">
        <v>770</v>
      </c>
      <c r="B256" s="7" t="str">
        <f>VLOOKUP(A256,[1]characters!$A:$C,3,FALSE)</f>
        <v>ハヅル</v>
      </c>
    </row>
    <row r="257" spans="1:2" x14ac:dyDescent="0.15">
      <c r="A257" s="41">
        <v>771</v>
      </c>
      <c r="B257" s="7" t="str">
        <f>VLOOKUP(A257,[1]characters!$A:$C,3,FALSE)</f>
        <v>天織羽鶴 ハヅル</v>
      </c>
    </row>
    <row r="258" spans="1:2" x14ac:dyDescent="0.15">
      <c r="A258" s="41">
        <v>772</v>
      </c>
      <c r="B258" s="7" t="str">
        <f>VLOOKUP(A258,[1]characters!$A:$C,3,FALSE)</f>
        <v>イナバ</v>
      </c>
    </row>
    <row r="259" spans="1:2" x14ac:dyDescent="0.15">
      <c r="A259" s="41">
        <v>773</v>
      </c>
      <c r="B259" s="7" t="str">
        <f>VLOOKUP(A259,[1]characters!$A:$C,3,FALSE)</f>
        <v>浮跳天兎 イナバ</v>
      </c>
    </row>
    <row r="260" spans="1:2" x14ac:dyDescent="0.15">
      <c r="A260" s="41">
        <v>774</v>
      </c>
      <c r="B260" s="7" t="str">
        <f>VLOOKUP(A260,[1]characters!$A:$C,3,FALSE)</f>
        <v>ミズチ</v>
      </c>
    </row>
    <row r="261" spans="1:2" x14ac:dyDescent="0.15">
      <c r="A261" s="41">
        <v>775</v>
      </c>
      <c r="B261" s="7" t="str">
        <f>VLOOKUP(A261,[1]characters!$A:$C,3,FALSE)</f>
        <v>水底霊竜 ミズチ</v>
      </c>
    </row>
    <row r="262" spans="1:2" x14ac:dyDescent="0.15">
      <c r="A262" s="41">
        <v>776</v>
      </c>
      <c r="B262" s="7" t="str">
        <f>VLOOKUP(A262,[1]characters!$A:$C,3,FALSE)</f>
        <v>水竜底主 ミズチ</v>
      </c>
    </row>
    <row r="263" spans="1:2" x14ac:dyDescent="0.15">
      <c r="A263" s="41">
        <v>777</v>
      </c>
      <c r="B263" s="7" t="str">
        <f>VLOOKUP(A263,[1]characters!$A:$C,3,FALSE)</f>
        <v>ガメック</v>
      </c>
    </row>
    <row r="264" spans="1:2" x14ac:dyDescent="0.15">
      <c r="A264" s="41">
        <v>778</v>
      </c>
      <c r="B264" s="7" t="str">
        <f>VLOOKUP(A264,[1]characters!$A:$C,3,FALSE)</f>
        <v>一亀懸明 ガメック</v>
      </c>
    </row>
    <row r="265" spans="1:2" x14ac:dyDescent="0.15">
      <c r="A265" s="41">
        <v>779</v>
      </c>
      <c r="B265" s="7" t="str">
        <f>VLOOKUP(A265,[1]characters!$A:$C,3,FALSE)</f>
        <v>頑堅咬亀 ガメック</v>
      </c>
    </row>
    <row r="266" spans="1:2" x14ac:dyDescent="0.15">
      <c r="A266" s="41">
        <v>779</v>
      </c>
      <c r="B266" s="7" t="str">
        <f>VLOOKUP(A266,[1]characters!$A:$C,3,FALSE)</f>
        <v>頑堅咬亀 ガメック</v>
      </c>
    </row>
  </sheetData>
  <phoneticPr fontId="19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272" sqref="A267:XFD272"/>
    </sheetView>
  </sheetViews>
  <sheetFormatPr baseColWidth="12" defaultRowHeight="14" x14ac:dyDescent="0.15"/>
  <sheetData>
    <row r="1" spans="1:2" x14ac:dyDescent="0.15">
      <c r="A1" s="33" t="s">
        <v>57</v>
      </c>
      <c r="B1" s="33"/>
    </row>
    <row r="2" spans="1:2" x14ac:dyDescent="0.15">
      <c r="A2" s="31" t="s">
        <v>1</v>
      </c>
      <c r="B2" s="32" t="s">
        <v>59</v>
      </c>
    </row>
    <row r="3" spans="1:2" x14ac:dyDescent="0.15">
      <c r="A3" s="6">
        <v>166</v>
      </c>
      <c r="B3" s="32" t="str">
        <f>VLOOKUP(A3,[1]characters!$A:$C,3,FALSE)</f>
        <v>ベリアル</v>
      </c>
    </row>
    <row r="4" spans="1:2" x14ac:dyDescent="0.15">
      <c r="A4" s="6">
        <v>167</v>
      </c>
      <c r="B4" s="32" t="str">
        <f>VLOOKUP(A4,[1]characters!$A:$C,3,FALSE)</f>
        <v>逆徒 ベリアル</v>
      </c>
    </row>
    <row r="5" spans="1:2" x14ac:dyDescent="0.15">
      <c r="A5" s="6">
        <v>168</v>
      </c>
      <c r="B5" s="32" t="str">
        <f>VLOOKUP(A5,[1]characters!$A:$C,3,FALSE)</f>
        <v>猛進の大逆者 ベリアル</v>
      </c>
    </row>
    <row r="6" spans="1:2" x14ac:dyDescent="0.15">
      <c r="A6" s="31">
        <v>169</v>
      </c>
      <c r="B6" s="32" t="str">
        <f>VLOOKUP(A6,[1]characters!$A:$C,3,FALSE)</f>
        <v>オセ</v>
      </c>
    </row>
    <row r="7" spans="1:2" x14ac:dyDescent="0.15">
      <c r="A7" s="31">
        <v>170</v>
      </c>
      <c r="B7" s="32" t="str">
        <f>VLOOKUP(A7,[1]characters!$A:$C,3,FALSE)</f>
        <v>識徒 オセ</v>
      </c>
    </row>
    <row r="8" spans="1:2" x14ac:dyDescent="0.15">
      <c r="A8" s="31">
        <v>171</v>
      </c>
      <c r="B8" s="32" t="str">
        <f>VLOOKUP(A8,[1]characters!$A:$C,3,FALSE)</f>
        <v>精解の預知者 オセ</v>
      </c>
    </row>
    <row r="9" spans="1:2" x14ac:dyDescent="0.15">
      <c r="A9" s="31">
        <v>172</v>
      </c>
      <c r="B9" s="32" t="str">
        <f>VLOOKUP(A9,[1]characters!$A:$C,3,FALSE)</f>
        <v>フォルネウス</v>
      </c>
    </row>
    <row r="10" spans="1:2" x14ac:dyDescent="0.15">
      <c r="A10" s="31">
        <v>173</v>
      </c>
      <c r="B10" s="32" t="str">
        <f>VLOOKUP(A10,[1]characters!$A:$C,3,FALSE)</f>
        <v>公爵 フォルネウス</v>
      </c>
    </row>
    <row r="11" spans="1:2" x14ac:dyDescent="0.15">
      <c r="A11" s="31">
        <v>174</v>
      </c>
      <c r="B11" s="32" t="str">
        <f>VLOOKUP(A11,[1]characters!$A:$C,3,FALSE)</f>
        <v>偽愛の大公爵 フォルネウス</v>
      </c>
    </row>
    <row r="12" spans="1:2" x14ac:dyDescent="0.15">
      <c r="A12" s="31">
        <v>235</v>
      </c>
      <c r="B12" s="32" t="str">
        <f>VLOOKUP(A12,[1]characters!$A:$C,3,FALSE)</f>
        <v>イザナミ</v>
      </c>
    </row>
    <row r="13" spans="1:2" x14ac:dyDescent="0.15">
      <c r="A13" s="31">
        <v>236</v>
      </c>
      <c r="B13" s="32" t="str">
        <f>VLOOKUP(A13,[1]characters!$A:$C,3,FALSE)</f>
        <v>神産 イザナミ</v>
      </c>
    </row>
    <row r="14" spans="1:2" x14ac:dyDescent="0.15">
      <c r="A14" s="31">
        <v>237</v>
      </c>
      <c r="B14" s="32" t="str">
        <f>VLOOKUP(A14,[1]characters!$A:$C,3,FALSE)</f>
        <v>森羅万象の神母 イザナミ</v>
      </c>
    </row>
  </sheetData>
  <phoneticPr fontId="19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Sheet1</vt:lpstr>
      <vt:lpstr>output</vt:lpstr>
      <vt:lpstr>tables_7319</vt:lpstr>
      <vt:lpstr>tables_7320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2017-03-16T10:21:41Z</dcterms:modified>
</cp:coreProperties>
</file>