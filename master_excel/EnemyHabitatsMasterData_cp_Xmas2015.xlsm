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5680" yWindow="1820" windowWidth="25760" windowHeight="1550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" sheetId="19" r:id="rId9"/>
  </sheets>
  <externalReferences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stage_hints!$C$1:$N$1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8" l="1"/>
  <c r="D11" i="18"/>
  <c r="C10" i="18"/>
  <c r="D10" i="18"/>
  <c r="C9" i="18"/>
  <c r="D9" i="18"/>
  <c r="C8" i="18"/>
  <c r="D8" i="18"/>
  <c r="P4" i="19"/>
  <c r="K4" i="19"/>
  <c r="H4" i="19"/>
  <c r="G4" i="19"/>
  <c r="E4" i="19"/>
  <c r="A4" i="19"/>
  <c r="P3" i="19"/>
  <c r="K3" i="19"/>
  <c r="H3" i="19"/>
  <c r="G3" i="19"/>
  <c r="E3" i="19"/>
  <c r="A3" i="19"/>
  <c r="C11" i="16"/>
  <c r="C12" i="16"/>
  <c r="E12" i="16"/>
  <c r="E11" i="16"/>
  <c r="C10" i="16"/>
  <c r="E10" i="16"/>
  <c r="P2" i="19"/>
  <c r="K2" i="19"/>
  <c r="H2" i="19"/>
  <c r="G2" i="19"/>
  <c r="E2" i="19"/>
  <c r="A2" i="19"/>
  <c r="C7" i="18"/>
  <c r="D7" i="18"/>
  <c r="C6" i="18"/>
  <c r="D6" i="18"/>
  <c r="C5" i="18"/>
  <c r="D5" i="18"/>
  <c r="C4" i="18"/>
  <c r="D4" i="18"/>
  <c r="C3" i="18"/>
  <c r="D3" i="18"/>
  <c r="C2" i="18"/>
  <c r="D2" i="18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O21" i="9"/>
  <c r="N21" i="9"/>
  <c r="M21" i="9"/>
  <c r="L21" i="9"/>
  <c r="K21" i="9"/>
  <c r="J21" i="9"/>
  <c r="I21" i="9"/>
  <c r="H21" i="9"/>
  <c r="G21" i="9"/>
  <c r="E21" i="9"/>
  <c r="D21" i="9"/>
  <c r="A21" i="9"/>
  <c r="J9" i="11"/>
  <c r="O12" i="9"/>
  <c r="N12" i="9"/>
  <c r="M12" i="9"/>
  <c r="L12" i="9"/>
  <c r="K12" i="9"/>
  <c r="J12" i="9"/>
  <c r="I12" i="9"/>
  <c r="H12" i="9"/>
  <c r="G12" i="9"/>
  <c r="E12" i="9"/>
  <c r="D12" i="9"/>
  <c r="A12" i="9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O24" i="9"/>
  <c r="N24" i="9"/>
  <c r="M24" i="9"/>
  <c r="L24" i="9"/>
  <c r="K24" i="9"/>
  <c r="J24" i="9"/>
  <c r="I24" i="9"/>
  <c r="H24" i="9"/>
  <c r="G24" i="9"/>
  <c r="E24" i="9"/>
  <c r="D24" i="9"/>
  <c r="A24" i="9"/>
  <c r="O16" i="9"/>
  <c r="N16" i="9"/>
  <c r="M16" i="9"/>
  <c r="L16" i="9"/>
  <c r="K16" i="9"/>
  <c r="J16" i="9"/>
  <c r="I16" i="9"/>
  <c r="H16" i="9"/>
  <c r="G16" i="9"/>
  <c r="E16" i="9"/>
  <c r="D16" i="9"/>
  <c r="A16" i="9"/>
  <c r="O47" i="9"/>
  <c r="N47" i="9"/>
  <c r="M47" i="9"/>
  <c r="L47" i="9"/>
  <c r="K47" i="9"/>
  <c r="J47" i="9"/>
  <c r="I47" i="9"/>
  <c r="H47" i="9"/>
  <c r="G47" i="9"/>
  <c r="E47" i="9"/>
  <c r="D47" i="9"/>
  <c r="A47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53" i="9"/>
  <c r="N53" i="9"/>
  <c r="M53" i="9"/>
  <c r="L53" i="9"/>
  <c r="K53" i="9"/>
  <c r="J53" i="9"/>
  <c r="I53" i="9"/>
  <c r="H53" i="9"/>
  <c r="G53" i="9"/>
  <c r="E53" i="9"/>
  <c r="D53" i="9"/>
  <c r="A53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O3" i="9"/>
  <c r="N3" i="9"/>
  <c r="M3" i="9"/>
  <c r="L3" i="9"/>
  <c r="K3" i="9"/>
  <c r="J3" i="9"/>
  <c r="I3" i="9"/>
  <c r="H3" i="9"/>
  <c r="G3" i="9"/>
  <c r="E3" i="9"/>
  <c r="D3" i="9"/>
  <c r="A3" i="9"/>
  <c r="J3" i="1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14" i="9"/>
  <c r="N14" i="9"/>
  <c r="M14" i="9"/>
  <c r="L14" i="9"/>
  <c r="K14" i="9"/>
  <c r="J14" i="9"/>
  <c r="I14" i="9"/>
  <c r="H14" i="9"/>
  <c r="G14" i="9"/>
  <c r="E14" i="9"/>
  <c r="D14" i="9"/>
  <c r="A14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O9" i="9"/>
  <c r="N9" i="9"/>
  <c r="M9" i="9"/>
  <c r="L9" i="9"/>
  <c r="K9" i="9"/>
  <c r="J9" i="9"/>
  <c r="I9" i="9"/>
  <c r="H9" i="9"/>
  <c r="G9" i="9"/>
  <c r="E9" i="9"/>
  <c r="D9" i="9"/>
  <c r="A9" i="9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Y3" i="7"/>
  <c r="E8" i="9"/>
  <c r="E13" i="9"/>
  <c r="W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J3" i="7"/>
  <c r="I3" i="7"/>
  <c r="D3" i="7"/>
  <c r="F3" i="7"/>
  <c r="E3" i="7"/>
  <c r="A3" i="7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O30" i="9"/>
  <c r="N30" i="9"/>
  <c r="M30" i="9"/>
  <c r="L30" i="9"/>
  <c r="K30" i="9"/>
  <c r="J30" i="9"/>
  <c r="I30" i="9"/>
  <c r="H30" i="9"/>
  <c r="G30" i="9"/>
  <c r="E30" i="9"/>
  <c r="D30" i="9"/>
  <c r="A30" i="9"/>
  <c r="O28" i="9"/>
  <c r="N28" i="9"/>
  <c r="M28" i="9"/>
  <c r="L28" i="9"/>
  <c r="K28" i="9"/>
  <c r="J28" i="9"/>
  <c r="I28" i="9"/>
  <c r="H28" i="9"/>
  <c r="G28" i="9"/>
  <c r="E28" i="9"/>
  <c r="D28" i="9"/>
  <c r="A28" i="9"/>
  <c r="A31" i="9"/>
  <c r="D31" i="9"/>
  <c r="E31" i="9"/>
  <c r="G31" i="9"/>
  <c r="H31" i="9"/>
  <c r="I31" i="9"/>
  <c r="J31" i="9"/>
  <c r="K31" i="9"/>
  <c r="L31" i="9"/>
  <c r="M31" i="9"/>
  <c r="N31" i="9"/>
  <c r="O31" i="9"/>
  <c r="Y7" i="7"/>
  <c r="E29" i="9"/>
  <c r="W7" i="7"/>
  <c r="R7" i="7"/>
  <c r="Q7" i="7"/>
  <c r="P7" i="7"/>
  <c r="O7" i="7"/>
  <c r="N7" i="7"/>
  <c r="H7" i="7"/>
  <c r="J7" i="7"/>
  <c r="I7" i="7"/>
  <c r="D7" i="7"/>
  <c r="F7" i="7"/>
  <c r="E7" i="7"/>
  <c r="A7" i="7"/>
  <c r="A8" i="7"/>
  <c r="D8" i="7"/>
  <c r="E8" i="7"/>
  <c r="F8" i="7"/>
  <c r="H8" i="7"/>
  <c r="I8" i="7"/>
  <c r="J8" i="7"/>
  <c r="N8" i="7"/>
  <c r="O8" i="7"/>
  <c r="P8" i="7"/>
  <c r="Q8" i="7"/>
  <c r="R8" i="7"/>
  <c r="E40" i="9"/>
  <c r="W8" i="7"/>
  <c r="Y8" i="7"/>
  <c r="Y6" i="7"/>
  <c r="W6" i="7"/>
  <c r="R6" i="7"/>
  <c r="Q6" i="7"/>
  <c r="P6" i="7"/>
  <c r="O6" i="7"/>
  <c r="N6" i="7"/>
  <c r="H6" i="7"/>
  <c r="J6" i="7"/>
  <c r="I6" i="7"/>
  <c r="D6" i="7"/>
  <c r="F6" i="7"/>
  <c r="E6" i="7"/>
  <c r="A6" i="7"/>
  <c r="O39" i="9"/>
  <c r="N39" i="9"/>
  <c r="M39" i="9"/>
  <c r="L39" i="9"/>
  <c r="K39" i="9"/>
  <c r="J39" i="9"/>
  <c r="I39" i="9"/>
  <c r="H39" i="9"/>
  <c r="G39" i="9"/>
  <c r="E39" i="9"/>
  <c r="D39" i="9"/>
  <c r="A39" i="9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E45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13" i="11"/>
  <c r="J11" i="11"/>
  <c r="J12" i="11"/>
  <c r="J8" i="11"/>
  <c r="J38" i="11"/>
  <c r="O57" i="9"/>
  <c r="N57" i="9"/>
  <c r="M57" i="9"/>
  <c r="L57" i="9"/>
  <c r="K57" i="9"/>
  <c r="J57" i="9"/>
  <c r="I57" i="9"/>
  <c r="H57" i="9"/>
  <c r="G57" i="9"/>
  <c r="E57" i="9"/>
  <c r="D57" i="9"/>
  <c r="A57" i="9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J37" i="11"/>
  <c r="O56" i="9"/>
  <c r="N56" i="9"/>
  <c r="M56" i="9"/>
  <c r="L56" i="9"/>
  <c r="K56" i="9"/>
  <c r="J56" i="9"/>
  <c r="I56" i="9"/>
  <c r="H56" i="9"/>
  <c r="G56" i="9"/>
  <c r="E56" i="9"/>
  <c r="D56" i="9"/>
  <c r="A56" i="9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A55" i="9"/>
  <c r="D55" i="9"/>
  <c r="E55" i="9"/>
  <c r="G55" i="9"/>
  <c r="H55" i="9"/>
  <c r="I55" i="9"/>
  <c r="J55" i="9"/>
  <c r="K55" i="9"/>
  <c r="L55" i="9"/>
  <c r="M55" i="9"/>
  <c r="N55" i="9"/>
  <c r="J36" i="11"/>
  <c r="O55" i="9"/>
  <c r="A58" i="9"/>
  <c r="D58" i="9"/>
  <c r="E58" i="9"/>
  <c r="G58" i="9"/>
  <c r="H58" i="9"/>
  <c r="I58" i="9"/>
  <c r="J58" i="9"/>
  <c r="K58" i="9"/>
  <c r="L58" i="9"/>
  <c r="M58" i="9"/>
  <c r="N58" i="9"/>
  <c r="J39" i="11"/>
  <c r="O58" i="9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G67" i="10"/>
  <c r="H67" i="10"/>
  <c r="I67" i="10"/>
  <c r="K67" i="10"/>
  <c r="J67" i="10"/>
  <c r="M67" i="10"/>
  <c r="T67" i="10"/>
  <c r="U67" i="10"/>
  <c r="V67" i="10"/>
  <c r="X67" i="10"/>
  <c r="W67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J2" i="11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E2" i="9"/>
  <c r="AB44" i="1"/>
  <c r="AD44" i="1"/>
  <c r="AG44" i="1"/>
  <c r="AE44" i="1"/>
  <c r="AC44" i="1"/>
  <c r="AA44" i="1"/>
  <c r="V44" i="1"/>
  <c r="Q44" i="1"/>
  <c r="P44" i="1"/>
  <c r="O44" i="1"/>
  <c r="N44" i="1"/>
  <c r="M44" i="1"/>
  <c r="H44" i="1"/>
  <c r="J44" i="1"/>
  <c r="I44" i="1"/>
  <c r="D44" i="1"/>
  <c r="F44" i="1"/>
  <c r="E44" i="1"/>
  <c r="A44" i="1"/>
  <c r="AB43" i="1"/>
  <c r="AD43" i="1"/>
  <c r="AG43" i="1"/>
  <c r="AE43" i="1"/>
  <c r="AC43" i="1"/>
  <c r="AA43" i="1"/>
  <c r="V43" i="1"/>
  <c r="Q43" i="1"/>
  <c r="P43" i="1"/>
  <c r="O43" i="1"/>
  <c r="N43" i="1"/>
  <c r="M43" i="1"/>
  <c r="H43" i="1"/>
  <c r="J43" i="1"/>
  <c r="I43" i="1"/>
  <c r="D43" i="1"/>
  <c r="F43" i="1"/>
  <c r="E43" i="1"/>
  <c r="A43" i="1"/>
  <c r="AB42" i="1"/>
  <c r="AD42" i="1"/>
  <c r="AG42" i="1"/>
  <c r="AE42" i="1"/>
  <c r="AC42" i="1"/>
  <c r="AA42" i="1"/>
  <c r="V42" i="1"/>
  <c r="Q42" i="1"/>
  <c r="P42" i="1"/>
  <c r="O42" i="1"/>
  <c r="N42" i="1"/>
  <c r="M42" i="1"/>
  <c r="H42" i="1"/>
  <c r="J42" i="1"/>
  <c r="I42" i="1"/>
  <c r="D42" i="1"/>
  <c r="F42" i="1"/>
  <c r="E42" i="1"/>
  <c r="A42" i="1"/>
  <c r="AB41" i="1"/>
  <c r="AD41" i="1"/>
  <c r="AG41" i="1"/>
  <c r="AE41" i="1"/>
  <c r="AC41" i="1"/>
  <c r="AA41" i="1"/>
  <c r="V41" i="1"/>
  <c r="Q41" i="1"/>
  <c r="P41" i="1"/>
  <c r="O41" i="1"/>
  <c r="N41" i="1"/>
  <c r="M41" i="1"/>
  <c r="H41" i="1"/>
  <c r="J41" i="1"/>
  <c r="I41" i="1"/>
  <c r="D41" i="1"/>
  <c r="F41" i="1"/>
  <c r="E41" i="1"/>
  <c r="A41" i="1"/>
  <c r="AB40" i="1"/>
  <c r="AD40" i="1"/>
  <c r="AG40" i="1"/>
  <c r="AE40" i="1"/>
  <c r="AC40" i="1"/>
  <c r="AA40" i="1"/>
  <c r="V40" i="1"/>
  <c r="Q40" i="1"/>
  <c r="P40" i="1"/>
  <c r="O40" i="1"/>
  <c r="N40" i="1"/>
  <c r="M40" i="1"/>
  <c r="H40" i="1"/>
  <c r="J40" i="1"/>
  <c r="I40" i="1"/>
  <c r="D40" i="1"/>
  <c r="F40" i="1"/>
  <c r="E40" i="1"/>
  <c r="A40" i="1"/>
  <c r="AB39" i="1"/>
  <c r="AD39" i="1"/>
  <c r="AG39" i="1"/>
  <c r="AE39" i="1"/>
  <c r="AC39" i="1"/>
  <c r="AA39" i="1"/>
  <c r="V39" i="1"/>
  <c r="Q39" i="1"/>
  <c r="P39" i="1"/>
  <c r="O39" i="1"/>
  <c r="N39" i="1"/>
  <c r="M39" i="1"/>
  <c r="H39" i="1"/>
  <c r="J39" i="1"/>
  <c r="I39" i="1"/>
  <c r="D39" i="1"/>
  <c r="F39" i="1"/>
  <c r="E39" i="1"/>
  <c r="A39" i="1"/>
  <c r="AB38" i="1"/>
  <c r="AD38" i="1"/>
  <c r="AG38" i="1"/>
  <c r="AE38" i="1"/>
  <c r="AC38" i="1"/>
  <c r="AA38" i="1"/>
  <c r="V38" i="1"/>
  <c r="Q38" i="1"/>
  <c r="P38" i="1"/>
  <c r="O38" i="1"/>
  <c r="N38" i="1"/>
  <c r="M38" i="1"/>
  <c r="H38" i="1"/>
  <c r="J38" i="1"/>
  <c r="I38" i="1"/>
  <c r="D38" i="1"/>
  <c r="F38" i="1"/>
  <c r="E38" i="1"/>
  <c r="A38" i="1"/>
  <c r="AB37" i="1"/>
  <c r="AD37" i="1"/>
  <c r="AG37" i="1"/>
  <c r="AE37" i="1"/>
  <c r="AC37" i="1"/>
  <c r="AA37" i="1"/>
  <c r="V37" i="1"/>
  <c r="Q37" i="1"/>
  <c r="P37" i="1"/>
  <c r="O37" i="1"/>
  <c r="N37" i="1"/>
  <c r="M37" i="1"/>
  <c r="H37" i="1"/>
  <c r="J37" i="1"/>
  <c r="I37" i="1"/>
  <c r="D37" i="1"/>
  <c r="F37" i="1"/>
  <c r="E37" i="1"/>
  <c r="A37" i="1"/>
  <c r="AB36" i="1"/>
  <c r="AD36" i="1"/>
  <c r="AG36" i="1"/>
  <c r="AE36" i="1"/>
  <c r="AC36" i="1"/>
  <c r="AA36" i="1"/>
  <c r="V36" i="1"/>
  <c r="Q36" i="1"/>
  <c r="P36" i="1"/>
  <c r="O36" i="1"/>
  <c r="N36" i="1"/>
  <c r="M36" i="1"/>
  <c r="H36" i="1"/>
  <c r="J36" i="1"/>
  <c r="I36" i="1"/>
  <c r="D36" i="1"/>
  <c r="F36" i="1"/>
  <c r="E36" i="1"/>
  <c r="A36" i="1"/>
  <c r="AB27" i="1"/>
  <c r="AD27" i="1"/>
  <c r="AG27" i="1"/>
  <c r="AE27" i="1"/>
  <c r="AC27" i="1"/>
  <c r="AA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AA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Y16" i="7"/>
  <c r="W16" i="7"/>
  <c r="R16" i="7"/>
  <c r="Q16" i="7"/>
  <c r="P16" i="7"/>
  <c r="O16" i="7"/>
  <c r="N16" i="7"/>
  <c r="H16" i="7"/>
  <c r="J16" i="7"/>
  <c r="I16" i="7"/>
  <c r="D16" i="7"/>
  <c r="F16" i="7"/>
  <c r="E16" i="7"/>
  <c r="A16" i="7"/>
  <c r="Y15" i="7"/>
  <c r="W15" i="7"/>
  <c r="R15" i="7"/>
  <c r="Q15" i="7"/>
  <c r="P15" i="7"/>
  <c r="O15" i="7"/>
  <c r="N15" i="7"/>
  <c r="H15" i="7"/>
  <c r="J15" i="7"/>
  <c r="I15" i="7"/>
  <c r="D15" i="7"/>
  <c r="F15" i="7"/>
  <c r="E15" i="7"/>
  <c r="A15" i="7"/>
  <c r="Y14" i="7"/>
  <c r="W14" i="7"/>
  <c r="R14" i="7"/>
  <c r="Q14" i="7"/>
  <c r="P14" i="7"/>
  <c r="O14" i="7"/>
  <c r="N14" i="7"/>
  <c r="H14" i="7"/>
  <c r="J14" i="7"/>
  <c r="I14" i="7"/>
  <c r="D14" i="7"/>
  <c r="F14" i="7"/>
  <c r="E14" i="7"/>
  <c r="A14" i="7"/>
  <c r="Y13" i="7"/>
  <c r="W13" i="7"/>
  <c r="R13" i="7"/>
  <c r="Q13" i="7"/>
  <c r="P13" i="7"/>
  <c r="O13" i="7"/>
  <c r="N13" i="7"/>
  <c r="H13" i="7"/>
  <c r="J13" i="7"/>
  <c r="I13" i="7"/>
  <c r="D13" i="7"/>
  <c r="F13" i="7"/>
  <c r="E13" i="7"/>
  <c r="A13" i="7"/>
  <c r="Y20" i="7"/>
  <c r="W20" i="7"/>
  <c r="R20" i="7"/>
  <c r="Q20" i="7"/>
  <c r="P20" i="7"/>
  <c r="O20" i="7"/>
  <c r="N20" i="7"/>
  <c r="H20" i="7"/>
  <c r="J20" i="7"/>
  <c r="I20" i="7"/>
  <c r="D20" i="7"/>
  <c r="F20" i="7"/>
  <c r="E20" i="7"/>
  <c r="A20" i="7"/>
  <c r="Y19" i="7"/>
  <c r="W19" i="7"/>
  <c r="R19" i="7"/>
  <c r="Q19" i="7"/>
  <c r="P19" i="7"/>
  <c r="O19" i="7"/>
  <c r="N19" i="7"/>
  <c r="H19" i="7"/>
  <c r="J19" i="7"/>
  <c r="I19" i="7"/>
  <c r="D19" i="7"/>
  <c r="F19" i="7"/>
  <c r="E19" i="7"/>
  <c r="A19" i="7"/>
  <c r="Y18" i="7"/>
  <c r="W18" i="7"/>
  <c r="R18" i="7"/>
  <c r="Q18" i="7"/>
  <c r="P18" i="7"/>
  <c r="O18" i="7"/>
  <c r="N18" i="7"/>
  <c r="H18" i="7"/>
  <c r="J18" i="7"/>
  <c r="I18" i="7"/>
  <c r="D18" i="7"/>
  <c r="F18" i="7"/>
  <c r="E18" i="7"/>
  <c r="A18" i="7"/>
  <c r="Y17" i="7"/>
  <c r="W17" i="7"/>
  <c r="R17" i="7"/>
  <c r="Q17" i="7"/>
  <c r="P17" i="7"/>
  <c r="O17" i="7"/>
  <c r="N17" i="7"/>
  <c r="H17" i="7"/>
  <c r="J17" i="7"/>
  <c r="I17" i="7"/>
  <c r="D17" i="7"/>
  <c r="F17" i="7"/>
  <c r="E17" i="7"/>
  <c r="A17" i="7"/>
  <c r="AD35" i="1"/>
  <c r="AG35" i="1"/>
  <c r="AE35" i="1"/>
  <c r="AC35" i="1"/>
  <c r="AA35" i="1"/>
  <c r="V35" i="1"/>
  <c r="Q35" i="1"/>
  <c r="P35" i="1"/>
  <c r="O35" i="1"/>
  <c r="N35" i="1"/>
  <c r="M35" i="1"/>
  <c r="H35" i="1"/>
  <c r="J35" i="1"/>
  <c r="I35" i="1"/>
  <c r="D35" i="1"/>
  <c r="F35" i="1"/>
  <c r="E35" i="1"/>
  <c r="A35" i="1"/>
  <c r="AD34" i="1"/>
  <c r="AG34" i="1"/>
  <c r="AE34" i="1"/>
  <c r="AC34" i="1"/>
  <c r="AA34" i="1"/>
  <c r="V34" i="1"/>
  <c r="Q34" i="1"/>
  <c r="P34" i="1"/>
  <c r="O34" i="1"/>
  <c r="N34" i="1"/>
  <c r="M34" i="1"/>
  <c r="H34" i="1"/>
  <c r="J34" i="1"/>
  <c r="I34" i="1"/>
  <c r="D34" i="1"/>
  <c r="F34" i="1"/>
  <c r="E34" i="1"/>
  <c r="A34" i="1"/>
  <c r="AD33" i="1"/>
  <c r="AG33" i="1"/>
  <c r="AE33" i="1"/>
  <c r="AC33" i="1"/>
  <c r="AA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D32" i="1"/>
  <c r="AG32" i="1"/>
  <c r="AE32" i="1"/>
  <c r="AC32" i="1"/>
  <c r="AA32" i="1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D31" i="1"/>
  <c r="AG31" i="1"/>
  <c r="AE31" i="1"/>
  <c r="AC31" i="1"/>
  <c r="AA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D30" i="1"/>
  <c r="AG30" i="1"/>
  <c r="AE30" i="1"/>
  <c r="AC30" i="1"/>
  <c r="AA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D29" i="1"/>
  <c r="AG29" i="1"/>
  <c r="AE29" i="1"/>
  <c r="AC29" i="1"/>
  <c r="AA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D28" i="1"/>
  <c r="AG28" i="1"/>
  <c r="AE28" i="1"/>
  <c r="AC28" i="1"/>
  <c r="AA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48" i="1"/>
  <c r="AD48" i="1"/>
  <c r="AG48" i="1"/>
  <c r="AE48" i="1"/>
  <c r="AC48" i="1"/>
  <c r="AA48" i="1"/>
  <c r="V48" i="1"/>
  <c r="Q48" i="1"/>
  <c r="P48" i="1"/>
  <c r="O48" i="1"/>
  <c r="N48" i="1"/>
  <c r="M48" i="1"/>
  <c r="H48" i="1"/>
  <c r="J48" i="1"/>
  <c r="I48" i="1"/>
  <c r="D48" i="1"/>
  <c r="F48" i="1"/>
  <c r="E48" i="1"/>
  <c r="A48" i="1"/>
  <c r="AB47" i="1"/>
  <c r="AD47" i="1"/>
  <c r="AG47" i="1"/>
  <c r="AE47" i="1"/>
  <c r="AC47" i="1"/>
  <c r="AA47" i="1"/>
  <c r="V47" i="1"/>
  <c r="Q47" i="1"/>
  <c r="P47" i="1"/>
  <c r="O47" i="1"/>
  <c r="N47" i="1"/>
  <c r="M47" i="1"/>
  <c r="H47" i="1"/>
  <c r="J47" i="1"/>
  <c r="I47" i="1"/>
  <c r="D47" i="1"/>
  <c r="F47" i="1"/>
  <c r="E47" i="1"/>
  <c r="A47" i="1"/>
  <c r="AB46" i="1"/>
  <c r="AD46" i="1"/>
  <c r="AG46" i="1"/>
  <c r="AE46" i="1"/>
  <c r="AC46" i="1"/>
  <c r="AA46" i="1"/>
  <c r="V46" i="1"/>
  <c r="Q46" i="1"/>
  <c r="P46" i="1"/>
  <c r="O46" i="1"/>
  <c r="N46" i="1"/>
  <c r="M46" i="1"/>
  <c r="H46" i="1"/>
  <c r="J46" i="1"/>
  <c r="I46" i="1"/>
  <c r="D46" i="1"/>
  <c r="F46" i="1"/>
  <c r="E46" i="1"/>
  <c r="A46" i="1"/>
  <c r="AB45" i="1"/>
  <c r="AD45" i="1"/>
  <c r="AG45" i="1"/>
  <c r="AE45" i="1"/>
  <c r="AC45" i="1"/>
  <c r="AA45" i="1"/>
  <c r="V45" i="1"/>
  <c r="Q45" i="1"/>
  <c r="P45" i="1"/>
  <c r="O45" i="1"/>
  <c r="N45" i="1"/>
  <c r="M45" i="1"/>
  <c r="H45" i="1"/>
  <c r="J45" i="1"/>
  <c r="I45" i="1"/>
  <c r="D45" i="1"/>
  <c r="F45" i="1"/>
  <c r="E45" i="1"/>
  <c r="A45" i="1"/>
  <c r="AB21" i="1"/>
  <c r="AD21" i="1"/>
  <c r="AG21" i="1"/>
  <c r="AE21" i="1"/>
  <c r="AC21" i="1"/>
  <c r="AA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5" i="1"/>
  <c r="AD25" i="1"/>
  <c r="AG25" i="1"/>
  <c r="AE25" i="1"/>
  <c r="AC25" i="1"/>
  <c r="AA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AA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H19" i="2"/>
  <c r="E19" i="2"/>
  <c r="D19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18" i="1"/>
  <c r="H20" i="1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21" i="11"/>
  <c r="O35" i="9"/>
  <c r="N35" i="9"/>
  <c r="M35" i="9"/>
  <c r="L35" i="9"/>
  <c r="K35" i="9"/>
  <c r="J35" i="9"/>
  <c r="I35" i="9"/>
  <c r="H35" i="9"/>
  <c r="G35" i="9"/>
  <c r="E35" i="9"/>
  <c r="D35" i="9"/>
  <c r="A35" i="9"/>
  <c r="AB11" i="1"/>
  <c r="AD11" i="1"/>
  <c r="AG11" i="1"/>
  <c r="AE11" i="1"/>
  <c r="AC11" i="1"/>
  <c r="AA11" i="1"/>
  <c r="E19" i="9"/>
  <c r="E34" i="9"/>
  <c r="V11" i="1"/>
  <c r="Q11" i="1"/>
  <c r="P11" i="1"/>
  <c r="O11" i="1"/>
  <c r="N11" i="1"/>
  <c r="M11" i="1"/>
  <c r="J11" i="1"/>
  <c r="I11" i="1"/>
  <c r="D11" i="1"/>
  <c r="F11" i="1"/>
  <c r="E11" i="1"/>
  <c r="A11" i="1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A10" i="7"/>
  <c r="D10" i="7"/>
  <c r="E10" i="7"/>
  <c r="F10" i="7"/>
  <c r="H10" i="7"/>
  <c r="I10" i="7"/>
  <c r="J10" i="7"/>
  <c r="N10" i="7"/>
  <c r="O10" i="7"/>
  <c r="P10" i="7"/>
  <c r="Q10" i="7"/>
  <c r="R10" i="7"/>
  <c r="W10" i="7"/>
  <c r="Y10" i="7"/>
  <c r="Y11" i="7"/>
  <c r="W11" i="7"/>
  <c r="R11" i="7"/>
  <c r="Q11" i="7"/>
  <c r="P11" i="7"/>
  <c r="O11" i="7"/>
  <c r="N11" i="7"/>
  <c r="H11" i="7"/>
  <c r="J11" i="7"/>
  <c r="I11" i="7"/>
  <c r="D11" i="7"/>
  <c r="F11" i="7"/>
  <c r="E11" i="7"/>
  <c r="A11" i="7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J44" i="11"/>
  <c r="J45" i="11"/>
  <c r="O64" i="9"/>
  <c r="N64" i="9"/>
  <c r="M64" i="9"/>
  <c r="L64" i="9"/>
  <c r="K64" i="9"/>
  <c r="J64" i="9"/>
  <c r="I64" i="9"/>
  <c r="H64" i="9"/>
  <c r="G64" i="9"/>
  <c r="E64" i="9"/>
  <c r="D64" i="9"/>
  <c r="A64" i="9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E48" i="9"/>
  <c r="E49" i="9"/>
  <c r="J46" i="11"/>
  <c r="J43" i="11"/>
  <c r="J42" i="11"/>
  <c r="J41" i="11"/>
  <c r="J40" i="11"/>
  <c r="J35" i="11"/>
  <c r="J34" i="11"/>
  <c r="J33" i="11"/>
  <c r="J32" i="11"/>
  <c r="J31" i="11"/>
  <c r="O63" i="9"/>
  <c r="N63" i="9"/>
  <c r="M63" i="9"/>
  <c r="L63" i="9"/>
  <c r="K63" i="9"/>
  <c r="J63" i="9"/>
  <c r="I63" i="9"/>
  <c r="H63" i="9"/>
  <c r="G63" i="9"/>
  <c r="E63" i="9"/>
  <c r="D63" i="9"/>
  <c r="A63" i="9"/>
  <c r="O60" i="9"/>
  <c r="N60" i="9"/>
  <c r="M60" i="9"/>
  <c r="L60" i="9"/>
  <c r="K60" i="9"/>
  <c r="J60" i="9"/>
  <c r="I60" i="9"/>
  <c r="H60" i="9"/>
  <c r="G60" i="9"/>
  <c r="E60" i="9"/>
  <c r="D60" i="9"/>
  <c r="A60" i="9"/>
  <c r="O65" i="9"/>
  <c r="N65" i="9"/>
  <c r="M65" i="9"/>
  <c r="L65" i="9"/>
  <c r="K65" i="9"/>
  <c r="J65" i="9"/>
  <c r="I65" i="9"/>
  <c r="H65" i="9"/>
  <c r="G65" i="9"/>
  <c r="E65" i="9"/>
  <c r="D65" i="9"/>
  <c r="A65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59" i="9"/>
  <c r="N59" i="9"/>
  <c r="M59" i="9"/>
  <c r="L59" i="9"/>
  <c r="K59" i="9"/>
  <c r="J59" i="9"/>
  <c r="I59" i="9"/>
  <c r="H59" i="9"/>
  <c r="G59" i="9"/>
  <c r="E59" i="9"/>
  <c r="D59" i="9"/>
  <c r="A59" i="9"/>
  <c r="O54" i="9"/>
  <c r="N54" i="9"/>
  <c r="M54" i="9"/>
  <c r="L54" i="9"/>
  <c r="K54" i="9"/>
  <c r="J54" i="9"/>
  <c r="I54" i="9"/>
  <c r="H54" i="9"/>
  <c r="G54" i="9"/>
  <c r="E54" i="9"/>
  <c r="D54" i="9"/>
  <c r="A54" i="9"/>
  <c r="O49" i="9"/>
  <c r="N49" i="9"/>
  <c r="M49" i="9"/>
  <c r="L49" i="9"/>
  <c r="K49" i="9"/>
  <c r="J49" i="9"/>
  <c r="I49" i="9"/>
  <c r="H49" i="9"/>
  <c r="G49" i="9"/>
  <c r="D49" i="9"/>
  <c r="A49" i="9"/>
  <c r="O52" i="9"/>
  <c r="N52" i="9"/>
  <c r="M52" i="9"/>
  <c r="L52" i="9"/>
  <c r="K52" i="9"/>
  <c r="J52" i="9"/>
  <c r="I52" i="9"/>
  <c r="H52" i="9"/>
  <c r="G52" i="9"/>
  <c r="E52" i="9"/>
  <c r="D52" i="9"/>
  <c r="A52" i="9"/>
  <c r="O48" i="9"/>
  <c r="N48" i="9"/>
  <c r="M48" i="9"/>
  <c r="L48" i="9"/>
  <c r="K48" i="9"/>
  <c r="J48" i="9"/>
  <c r="I48" i="9"/>
  <c r="H48" i="9"/>
  <c r="G48" i="9"/>
  <c r="D48" i="9"/>
  <c r="A48" i="9"/>
  <c r="O46" i="9"/>
  <c r="N46" i="9"/>
  <c r="M46" i="9"/>
  <c r="L46" i="9"/>
  <c r="K46" i="9"/>
  <c r="J46" i="9"/>
  <c r="I46" i="9"/>
  <c r="H46" i="9"/>
  <c r="G46" i="9"/>
  <c r="E46" i="9"/>
  <c r="D46" i="9"/>
  <c r="A46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Y12" i="7"/>
  <c r="E26" i="9"/>
  <c r="W12" i="7"/>
  <c r="R12" i="7"/>
  <c r="Q12" i="7"/>
  <c r="P12" i="7"/>
  <c r="O12" i="7"/>
  <c r="N12" i="7"/>
  <c r="H12" i="7"/>
  <c r="J12" i="7"/>
  <c r="I12" i="7"/>
  <c r="D12" i="7"/>
  <c r="F12" i="7"/>
  <c r="E12" i="7"/>
  <c r="A12" i="7"/>
  <c r="H12" i="2"/>
  <c r="E12" i="2"/>
  <c r="D12" i="2"/>
  <c r="B12" i="2"/>
  <c r="H11" i="2"/>
  <c r="E11" i="2"/>
  <c r="D11" i="2"/>
  <c r="B11" i="2"/>
  <c r="H13" i="2"/>
  <c r="E13" i="2"/>
  <c r="D13" i="2"/>
  <c r="B13" i="2"/>
  <c r="AB20" i="1"/>
  <c r="AD20" i="1"/>
  <c r="AG20" i="1"/>
  <c r="AE20" i="1"/>
  <c r="AC20" i="1"/>
  <c r="AA20" i="1"/>
  <c r="E33" i="9"/>
  <c r="V20" i="1"/>
  <c r="Q20" i="1"/>
  <c r="P20" i="1"/>
  <c r="O20" i="1"/>
  <c r="N20" i="1"/>
  <c r="M20" i="1"/>
  <c r="J20" i="1"/>
  <c r="I20" i="1"/>
  <c r="D20" i="1"/>
  <c r="F20" i="1"/>
  <c r="E20" i="1"/>
  <c r="A20" i="1"/>
  <c r="AB18" i="1"/>
  <c r="AD18" i="1"/>
  <c r="AG18" i="1"/>
  <c r="AE18" i="1"/>
  <c r="AC18" i="1"/>
  <c r="AA18" i="1"/>
  <c r="V18" i="1"/>
  <c r="Q18" i="1"/>
  <c r="P18" i="1"/>
  <c r="O18" i="1"/>
  <c r="N18" i="1"/>
  <c r="M18" i="1"/>
  <c r="J18" i="1"/>
  <c r="I18" i="1"/>
  <c r="D18" i="1"/>
  <c r="F18" i="1"/>
  <c r="E18" i="1"/>
  <c r="A18" i="1"/>
  <c r="AB19" i="1"/>
  <c r="AD19" i="1"/>
  <c r="AG19" i="1"/>
  <c r="AE19" i="1"/>
  <c r="AC19" i="1"/>
  <c r="AA19" i="1"/>
  <c r="V19" i="1"/>
  <c r="Q19" i="1"/>
  <c r="P19" i="1"/>
  <c r="O19" i="1"/>
  <c r="N19" i="1"/>
  <c r="M19" i="1"/>
  <c r="J19" i="1"/>
  <c r="I19" i="1"/>
  <c r="D19" i="1"/>
  <c r="F19" i="1"/>
  <c r="E19" i="1"/>
  <c r="A19" i="1"/>
  <c r="AB16" i="1"/>
  <c r="AD16" i="1"/>
  <c r="AG16" i="1"/>
  <c r="AE16" i="1"/>
  <c r="AC16" i="1"/>
  <c r="AA16" i="1"/>
  <c r="V16" i="1"/>
  <c r="Q16" i="1"/>
  <c r="P16" i="1"/>
  <c r="O16" i="1"/>
  <c r="N16" i="1"/>
  <c r="M16" i="1"/>
  <c r="J16" i="1"/>
  <c r="I16" i="1"/>
  <c r="D16" i="1"/>
  <c r="F16" i="1"/>
  <c r="E16" i="1"/>
  <c r="A16" i="1"/>
  <c r="AB17" i="1"/>
  <c r="AD17" i="1"/>
  <c r="AG17" i="1"/>
  <c r="AE17" i="1"/>
  <c r="AC17" i="1"/>
  <c r="AA17" i="1"/>
  <c r="V17" i="1"/>
  <c r="Q17" i="1"/>
  <c r="P17" i="1"/>
  <c r="O17" i="1"/>
  <c r="N17" i="1"/>
  <c r="M17" i="1"/>
  <c r="J17" i="1"/>
  <c r="I17" i="1"/>
  <c r="D17" i="1"/>
  <c r="F17" i="1"/>
  <c r="E17" i="1"/>
  <c r="A17" i="1"/>
  <c r="AB15" i="1"/>
  <c r="AD15" i="1"/>
  <c r="AG15" i="1"/>
  <c r="AE15" i="1"/>
  <c r="AC15" i="1"/>
  <c r="AA15" i="1"/>
  <c r="E36" i="9"/>
  <c r="V15" i="1"/>
  <c r="Q15" i="1"/>
  <c r="P15" i="1"/>
  <c r="O15" i="1"/>
  <c r="N15" i="1"/>
  <c r="M15" i="1"/>
  <c r="J15" i="1"/>
  <c r="I15" i="1"/>
  <c r="D15" i="1"/>
  <c r="F15" i="1"/>
  <c r="E15" i="1"/>
  <c r="A15" i="1"/>
  <c r="J29" i="11"/>
  <c r="O44" i="9"/>
  <c r="N44" i="9"/>
  <c r="M44" i="9"/>
  <c r="L44" i="9"/>
  <c r="K44" i="9"/>
  <c r="J44" i="9"/>
  <c r="I44" i="9"/>
  <c r="H44" i="9"/>
  <c r="G44" i="9"/>
  <c r="W9" i="7"/>
  <c r="V12" i="1"/>
  <c r="V10" i="1"/>
  <c r="J30" i="11"/>
  <c r="J28" i="11"/>
  <c r="J27" i="11"/>
  <c r="J26" i="11"/>
  <c r="J25" i="11"/>
  <c r="J24" i="11"/>
  <c r="J23" i="11"/>
  <c r="J22" i="11"/>
  <c r="G45" i="9"/>
  <c r="O45" i="9"/>
  <c r="N45" i="9"/>
  <c r="M45" i="9"/>
  <c r="L45" i="9"/>
  <c r="K45" i="9"/>
  <c r="J45" i="9"/>
  <c r="I45" i="9"/>
  <c r="H45" i="9"/>
  <c r="D45" i="9"/>
  <c r="A45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D40" i="9"/>
  <c r="A40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D36" i="9"/>
  <c r="A36" i="9"/>
  <c r="O34" i="9"/>
  <c r="N34" i="9"/>
  <c r="M34" i="9"/>
  <c r="L34" i="9"/>
  <c r="K34" i="9"/>
  <c r="J34" i="9"/>
  <c r="I34" i="9"/>
  <c r="H34" i="9"/>
  <c r="G34" i="9"/>
  <c r="D34" i="9"/>
  <c r="A34" i="9"/>
  <c r="O33" i="9"/>
  <c r="N33" i="9"/>
  <c r="M33" i="9"/>
  <c r="L33" i="9"/>
  <c r="K33" i="9"/>
  <c r="J33" i="9"/>
  <c r="I33" i="9"/>
  <c r="H33" i="9"/>
  <c r="G33" i="9"/>
  <c r="D33" i="9"/>
  <c r="A33" i="9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R9" i="7"/>
  <c r="Q9" i="7"/>
  <c r="P9" i="7"/>
  <c r="O9" i="7"/>
  <c r="N9" i="7"/>
  <c r="Y9" i="7"/>
  <c r="H9" i="7"/>
  <c r="J9" i="7"/>
  <c r="I9" i="7"/>
  <c r="D9" i="7"/>
  <c r="F9" i="7"/>
  <c r="E9" i="7"/>
  <c r="A9" i="7"/>
  <c r="Q14" i="1"/>
  <c r="P14" i="1"/>
  <c r="O14" i="1"/>
  <c r="N14" i="1"/>
  <c r="M14" i="1"/>
  <c r="Q13" i="1"/>
  <c r="P13" i="1"/>
  <c r="O13" i="1"/>
  <c r="N13" i="1"/>
  <c r="M13" i="1"/>
  <c r="AB14" i="1"/>
  <c r="AD14" i="1"/>
  <c r="AG14" i="1"/>
  <c r="AE14" i="1"/>
  <c r="AC14" i="1"/>
  <c r="AA14" i="1"/>
  <c r="V14" i="1"/>
  <c r="J14" i="1"/>
  <c r="I14" i="1"/>
  <c r="D14" i="1"/>
  <c r="F14" i="1"/>
  <c r="E14" i="1"/>
  <c r="A14" i="1"/>
  <c r="AB13" i="1"/>
  <c r="AD13" i="1"/>
  <c r="AG13" i="1"/>
  <c r="AE13" i="1"/>
  <c r="AC13" i="1"/>
  <c r="AA13" i="1"/>
  <c r="V13" i="1"/>
  <c r="J13" i="1"/>
  <c r="I13" i="1"/>
  <c r="D13" i="1"/>
  <c r="F13" i="1"/>
  <c r="E13" i="1"/>
  <c r="A13" i="1"/>
  <c r="Q12" i="1"/>
  <c r="P12" i="1"/>
  <c r="O12" i="1"/>
  <c r="N12" i="1"/>
  <c r="M12" i="1"/>
  <c r="AB12" i="1"/>
  <c r="AD12" i="1"/>
  <c r="AG12" i="1"/>
  <c r="AE12" i="1"/>
  <c r="AC12" i="1"/>
  <c r="AA12" i="1"/>
  <c r="J12" i="1"/>
  <c r="I12" i="1"/>
  <c r="D12" i="1"/>
  <c r="F12" i="1"/>
  <c r="E12" i="1"/>
  <c r="A12" i="1"/>
  <c r="Q10" i="1"/>
  <c r="P10" i="1"/>
  <c r="O10" i="1"/>
  <c r="N10" i="1"/>
  <c r="M10" i="1"/>
  <c r="AB10" i="1"/>
  <c r="AD10" i="1"/>
  <c r="AG10" i="1"/>
  <c r="AE10" i="1"/>
  <c r="AC10" i="1"/>
  <c r="AA10" i="1"/>
  <c r="J10" i="1"/>
  <c r="I10" i="1"/>
  <c r="D10" i="1"/>
  <c r="F10" i="1"/>
  <c r="E10" i="1"/>
  <c r="A10" i="1"/>
  <c r="AB9" i="1"/>
  <c r="AD9" i="1"/>
  <c r="AG9" i="1"/>
  <c r="AE9" i="1"/>
  <c r="AC9" i="1"/>
  <c r="AA9" i="1"/>
  <c r="V9" i="1"/>
  <c r="Q9" i="1"/>
  <c r="P9" i="1"/>
  <c r="O9" i="1"/>
  <c r="N9" i="1"/>
  <c r="M9" i="1"/>
  <c r="J9" i="1"/>
  <c r="I9" i="1"/>
  <c r="D9" i="1"/>
  <c r="F9" i="1"/>
  <c r="E9" i="1"/>
  <c r="A9" i="1"/>
  <c r="H10" i="2"/>
  <c r="E10" i="2"/>
  <c r="D10" i="2"/>
  <c r="B10" i="2"/>
  <c r="H9" i="2"/>
  <c r="E9" i="2"/>
  <c r="D9" i="2"/>
  <c r="B9" i="2"/>
  <c r="H8" i="2"/>
  <c r="E8" i="2"/>
  <c r="D8" i="2"/>
  <c r="B8" i="2"/>
  <c r="J5" i="11"/>
  <c r="O17" i="9"/>
  <c r="N17" i="9"/>
  <c r="M17" i="9"/>
  <c r="L17" i="9"/>
  <c r="K17" i="9"/>
  <c r="J17" i="9"/>
  <c r="I17" i="9"/>
  <c r="H17" i="9"/>
  <c r="G17" i="9"/>
  <c r="E17" i="9"/>
  <c r="D17" i="9"/>
  <c r="A17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O25" i="9"/>
  <c r="N25" i="9"/>
  <c r="M25" i="9"/>
  <c r="L25" i="9"/>
  <c r="K25" i="9"/>
  <c r="J25" i="9"/>
  <c r="I25" i="9"/>
  <c r="H25" i="9"/>
  <c r="G25" i="9"/>
  <c r="E25" i="9"/>
  <c r="D25" i="9"/>
  <c r="A25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J4" i="11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J7" i="11"/>
  <c r="O20" i="9"/>
  <c r="N20" i="9"/>
  <c r="M20" i="9"/>
  <c r="L20" i="9"/>
  <c r="K20" i="9"/>
  <c r="J20" i="9"/>
  <c r="I20" i="9"/>
  <c r="H20" i="9"/>
  <c r="G20" i="9"/>
  <c r="E20" i="9"/>
  <c r="D20" i="9"/>
  <c r="A20" i="9"/>
  <c r="J14" i="11"/>
  <c r="J15" i="11"/>
  <c r="J6" i="11"/>
  <c r="O11" i="9"/>
  <c r="N11" i="9"/>
  <c r="M11" i="9"/>
  <c r="L11" i="9"/>
  <c r="K11" i="9"/>
  <c r="J11" i="9"/>
  <c r="I11" i="9"/>
  <c r="H11" i="9"/>
  <c r="G11" i="9"/>
  <c r="E11" i="9"/>
  <c r="D11" i="9"/>
  <c r="A11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19" i="11"/>
  <c r="J18" i="11"/>
  <c r="O29" i="9"/>
  <c r="N29" i="9"/>
  <c r="M29" i="9"/>
  <c r="L29" i="9"/>
  <c r="K29" i="9"/>
  <c r="J29" i="9"/>
  <c r="I29" i="9"/>
  <c r="H29" i="9"/>
  <c r="G29" i="9"/>
  <c r="D29" i="9"/>
  <c r="A29" i="9"/>
  <c r="J20" i="11"/>
  <c r="J17" i="11"/>
  <c r="J16" i="11"/>
  <c r="J10" i="11"/>
  <c r="AB6" i="1"/>
  <c r="AD6" i="1"/>
  <c r="AG6" i="1"/>
  <c r="AE6" i="1"/>
  <c r="AC6" i="1"/>
  <c r="AA6" i="1"/>
  <c r="E23" i="9"/>
  <c r="V6" i="1"/>
  <c r="Q6" i="1"/>
  <c r="P6" i="1"/>
  <c r="O6" i="1"/>
  <c r="N6" i="1"/>
  <c r="M6" i="1"/>
  <c r="J6" i="1"/>
  <c r="I6" i="1"/>
  <c r="D6" i="1"/>
  <c r="F6" i="1"/>
  <c r="E6" i="1"/>
  <c r="A6" i="1"/>
  <c r="E32" i="9"/>
  <c r="E18" i="9"/>
  <c r="W5" i="7"/>
  <c r="W4" i="7"/>
  <c r="W2" i="7"/>
  <c r="O32" i="9"/>
  <c r="N32" i="9"/>
  <c r="M32" i="9"/>
  <c r="L32" i="9"/>
  <c r="K32" i="9"/>
  <c r="J32" i="9"/>
  <c r="I32" i="9"/>
  <c r="H32" i="9"/>
  <c r="G32" i="9"/>
  <c r="D32" i="9"/>
  <c r="A32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D26" i="9"/>
  <c r="A26" i="9"/>
  <c r="O23" i="9"/>
  <c r="N23" i="9"/>
  <c r="M23" i="9"/>
  <c r="L23" i="9"/>
  <c r="K23" i="9"/>
  <c r="J23" i="9"/>
  <c r="I23" i="9"/>
  <c r="H23" i="9"/>
  <c r="G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O19" i="9"/>
  <c r="N19" i="9"/>
  <c r="M19" i="9"/>
  <c r="L19" i="9"/>
  <c r="K19" i="9"/>
  <c r="J19" i="9"/>
  <c r="I19" i="9"/>
  <c r="H19" i="9"/>
  <c r="G19" i="9"/>
  <c r="D19" i="9"/>
  <c r="A19" i="9"/>
  <c r="O18" i="9"/>
  <c r="N18" i="9"/>
  <c r="M18" i="9"/>
  <c r="L18" i="9"/>
  <c r="K18" i="9"/>
  <c r="J18" i="9"/>
  <c r="I18" i="9"/>
  <c r="H18" i="9"/>
  <c r="G18" i="9"/>
  <c r="D18" i="9"/>
  <c r="A18" i="9"/>
  <c r="O13" i="9"/>
  <c r="N13" i="9"/>
  <c r="M13" i="9"/>
  <c r="L13" i="9"/>
  <c r="K13" i="9"/>
  <c r="J13" i="9"/>
  <c r="I13" i="9"/>
  <c r="H13" i="9"/>
  <c r="G13" i="9"/>
  <c r="D13" i="9"/>
  <c r="A13" i="9"/>
  <c r="O15" i="9"/>
  <c r="N15" i="9"/>
  <c r="M15" i="9"/>
  <c r="L15" i="9"/>
  <c r="K15" i="9"/>
  <c r="J15" i="9"/>
  <c r="I15" i="9"/>
  <c r="H15" i="9"/>
  <c r="G15" i="9"/>
  <c r="E15" i="9"/>
  <c r="D15" i="9"/>
  <c r="A15" i="9"/>
  <c r="O10" i="9"/>
  <c r="N10" i="9"/>
  <c r="M10" i="9"/>
  <c r="L10" i="9"/>
  <c r="K10" i="9"/>
  <c r="J10" i="9"/>
  <c r="I10" i="9"/>
  <c r="H10" i="9"/>
  <c r="G10" i="9"/>
  <c r="E10" i="9"/>
  <c r="D10" i="9"/>
  <c r="A10" i="9"/>
  <c r="O8" i="9"/>
  <c r="N8" i="9"/>
  <c r="M8" i="9"/>
  <c r="L8" i="9"/>
  <c r="K8" i="9"/>
  <c r="J8" i="9"/>
  <c r="I8" i="9"/>
  <c r="H8" i="9"/>
  <c r="G8" i="9"/>
  <c r="D8" i="9"/>
  <c r="A8" i="9"/>
  <c r="O4" i="9"/>
  <c r="N4" i="9"/>
  <c r="M4" i="9"/>
  <c r="L4" i="9"/>
  <c r="K4" i="9"/>
  <c r="J4" i="9"/>
  <c r="I4" i="9"/>
  <c r="H4" i="9"/>
  <c r="G4" i="9"/>
  <c r="E4" i="9"/>
  <c r="D4" i="9"/>
  <c r="A4" i="9"/>
  <c r="AB8" i="1"/>
  <c r="AD8" i="1"/>
  <c r="AG8" i="1"/>
  <c r="AE8" i="1"/>
  <c r="AC8" i="1"/>
  <c r="AA8" i="1"/>
  <c r="V8" i="1"/>
  <c r="Q8" i="1"/>
  <c r="P8" i="1"/>
  <c r="O8" i="1"/>
  <c r="N8" i="1"/>
  <c r="M8" i="1"/>
  <c r="J8" i="1"/>
  <c r="I8" i="1"/>
  <c r="D8" i="1"/>
  <c r="F8" i="1"/>
  <c r="E8" i="1"/>
  <c r="A8" i="1"/>
  <c r="Y5" i="7"/>
  <c r="R5" i="7"/>
  <c r="Q5" i="7"/>
  <c r="P5" i="7"/>
  <c r="O5" i="7"/>
  <c r="N5" i="7"/>
  <c r="H5" i="7"/>
  <c r="J5" i="7"/>
  <c r="I5" i="7"/>
  <c r="D5" i="7"/>
  <c r="F5" i="7"/>
  <c r="E5" i="7"/>
  <c r="A5" i="7"/>
  <c r="AB7" i="1"/>
  <c r="AD7" i="1"/>
  <c r="AG7" i="1"/>
  <c r="AE7" i="1"/>
  <c r="AC7" i="1"/>
  <c r="AA7" i="1"/>
  <c r="V7" i="1"/>
  <c r="Q7" i="1"/>
  <c r="P7" i="1"/>
  <c r="O7" i="1"/>
  <c r="N7" i="1"/>
  <c r="M7" i="1"/>
  <c r="J7" i="1"/>
  <c r="I7" i="1"/>
  <c r="D7" i="1"/>
  <c r="F7" i="1"/>
  <c r="E7" i="1"/>
  <c r="A7" i="1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Y4" i="7"/>
  <c r="R4" i="7"/>
  <c r="Q4" i="7"/>
  <c r="P4" i="7"/>
  <c r="O4" i="7"/>
  <c r="N4" i="7"/>
  <c r="H4" i="7"/>
  <c r="J4" i="7"/>
  <c r="I4" i="7"/>
  <c r="D4" i="7"/>
  <c r="F4" i="7"/>
  <c r="E4" i="7"/>
  <c r="A4" i="7"/>
  <c r="AB5" i="1"/>
  <c r="AD5" i="1"/>
  <c r="AG5" i="1"/>
  <c r="AE5" i="1"/>
  <c r="AC5" i="1"/>
  <c r="AA5" i="1"/>
  <c r="V5" i="1"/>
  <c r="Q5" i="1"/>
  <c r="P5" i="1"/>
  <c r="O5" i="1"/>
  <c r="N5" i="1"/>
  <c r="M5" i="1"/>
  <c r="J5" i="1"/>
  <c r="I5" i="1"/>
  <c r="D5" i="1"/>
  <c r="F5" i="1"/>
  <c r="E5" i="1"/>
  <c r="A5" i="1"/>
  <c r="V2" i="1"/>
  <c r="AB4" i="1"/>
  <c r="AD4" i="1"/>
  <c r="AG4" i="1"/>
  <c r="AE4" i="1"/>
  <c r="AC4" i="1"/>
  <c r="AA4" i="1"/>
  <c r="V4" i="1"/>
  <c r="Q4" i="1"/>
  <c r="P4" i="1"/>
  <c r="O4" i="1"/>
  <c r="N4" i="1"/>
  <c r="M4" i="1"/>
  <c r="J4" i="1"/>
  <c r="I4" i="1"/>
  <c r="D4" i="1"/>
  <c r="F4" i="1"/>
  <c r="E4" i="1"/>
  <c r="A4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H15" i="2"/>
  <c r="E15" i="2"/>
  <c r="D15" i="2"/>
  <c r="B15" i="2"/>
  <c r="H14" i="2"/>
  <c r="E14" i="2"/>
  <c r="D14" i="2"/>
  <c r="B14" i="2"/>
  <c r="H7" i="2"/>
  <c r="E7" i="2"/>
  <c r="D7" i="2"/>
  <c r="B7" i="2"/>
  <c r="O2" i="9"/>
  <c r="N2" i="9"/>
  <c r="M2" i="9"/>
  <c r="L2" i="9"/>
  <c r="K2" i="9"/>
  <c r="J2" i="9"/>
  <c r="I2" i="9"/>
  <c r="H2" i="9"/>
  <c r="G2" i="9"/>
  <c r="D2" i="9"/>
  <c r="Y2" i="7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<sst xmlns="http://schemas.openxmlformats.org/spreadsheetml/2006/main" count="834" uniqueCount="378">
  <si>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</si>
  <si>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</si>
  <si>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</si>
  <si>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</si>
  <si>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</si>
  <si>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</si>
  <si>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</si>
  <si>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</si>
  <si>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</si>
  <si>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</si>
  <si>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</si>
  <si>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</si>
  <si>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</si>
  <si>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</si>
  <si>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</si>
  <si>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</si>
  <si>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</si>
  <si>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</si>
  <si>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</si>
  <si>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</si>
  <si>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</si>
  <si>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</si>
  <si>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</si>
  <si>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</si>
  <si>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</si>
  <si>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</si>
  <si>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</si>
  <si>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</si>
  <si>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</si>
  <si>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</si>
  <si>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</si>
  <si>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</si>
  <si>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</si>
  <si>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</si>
  <si>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</si>
  <si>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</si>
  <si>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</si>
  <si>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</si>
  <si>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</si>
  <si>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</si>
  <si>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</si>
  <si>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</si>
  <si>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</si>
  <si>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</si>
  <si>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</si>
  <si>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</si>
  <si>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</si>
  <si>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</si>
  <si>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</si>
  <si>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</si>
  <si>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</si>
  <si>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</si>
  <si>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</si>
  <si>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</si>
  <si>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</si>
  <si>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</si>
  <si>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</si>
  <si>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</si>
  <si>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</si>
  <si>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</si>
  <si>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</si>
  <si>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</si>
  <si>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</si>
  <si>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</si>
  <si>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</si>
  <si>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</si>
  <si>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</si>
  <si>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</si>
  <si>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</si>
  <si>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</si>
  <si>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</si>
  <si>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</si>
  <si>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</si>
  <si>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</si>
  <si>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</si>
  <si>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</si>
  <si>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</si>
  <si>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</si>
  <si>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</si>
  <si>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</si>
  <si>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</si>
  <si>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</si>
  <si>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</si>
  <si>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</si>
  <si>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</si>
  <si>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</si>
  <si>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</si>
  <si>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</si>
  <si>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</si>
  <si>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</si>
  <si>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</si>
  <si>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</si>
  <si>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</si>
  <si>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</si>
  <si>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</si>
  <si>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</si>
  <si>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</si>
  <si>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</si>
  <si>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</si>
  <si>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</si>
  <si>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</si>
  <si>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</si>
  <si>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</si>
  <si>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</si>
  <si>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</si>
  <si>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</si>
  <si>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</si>
  <si>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</si>
  <si>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</si>
  <si>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</si>
  <si>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</si>
  <si>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</si>
  <si>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</si>
  <si>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</si>
  <si>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</si>
  <si>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</si>
  <si>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</si>
  <si>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</si>
  <si>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</si>
  <si>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</si>
  <si>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</si>
  <si>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</si>
  <si>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</si>
  <si>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</si>
  <si>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</si>
  <si>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</si>
  <si>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</si>
  <si>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</si>
  <si>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</si>
  <si>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</si>
  <si>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</si>
  <si>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</si>
  <si>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</si>
  <si>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</si>
  <si>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</si>
  <si>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</si>
  <si>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</si>
  <si>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</si>
  <si>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</si>
  <si>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</si>
  <si>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</si>
  <si>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</si>
  <si>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</si>
  <si>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</si>
  <si>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</si>
  <si>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</si>
  <si>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</si>
  <si>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</si>
  <si>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</si>
  <si>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</si>
  <si>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old</t>
    <phoneticPr fontId="5"/>
  </si>
  <si>
    <t>old</t>
    <phoneticPr fontId="5"/>
  </si>
  <si>
    <t>old</t>
    <phoneticPr fontId="5"/>
  </si>
  <si>
    <t>quest_id</t>
    <phoneticPr fontId="5"/>
  </si>
  <si>
    <t>stage_target</t>
    <phoneticPr fontId="5"/>
  </si>
  <si>
    <t>bonus_id</t>
    <phoneticPr fontId="5"/>
  </si>
  <si>
    <t>bonus_type</t>
    <phoneticPr fontId="5"/>
  </si>
  <si>
    <t>level</t>
    <phoneticPr fontId="5"/>
  </si>
  <si>
    <t>weight</t>
    <phoneticPr fontId="5"/>
  </si>
  <si>
    <t>definite_start_date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</si>
  <si>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</si>
  <si>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</si>
  <si>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</si>
  <si>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</si>
  <si>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</si>
  <si>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stage_bug_bonuses_</t>
    <phoneticPr fontId="5"/>
  </si>
  <si>
    <t>skill_level</t>
    <phoneticPr fontId="5"/>
  </si>
  <si>
    <t>skill_level</t>
    <phoneticPr fontId="5"/>
  </si>
  <si>
    <t>null</t>
    <phoneticPr fontId="5"/>
  </si>
  <si>
    <t>プロメテウスは 悩んでいる</t>
    <rPh sb="8" eb="9">
      <t>ナヤ</t>
    </rPh>
    <phoneticPr fontId="5"/>
  </si>
  <si>
    <t>そうだ！ あいつに相談だ！</t>
    <rPh sb="9" eb="11">
      <t>ソウダン</t>
    </rPh>
    <phoneticPr fontId="5"/>
  </si>
  <si>
    <t>恋の悩みを 打ち明けてみた</t>
    <rPh sb="0" eb="1">
      <t>コイ</t>
    </rPh>
    <rPh sb="2" eb="5">
      <t>ナ</t>
    </rPh>
    <rPh sb="6" eb="7">
      <t>ウ</t>
    </rPh>
    <rPh sb="8" eb="9">
      <t>ア</t>
    </rPh>
    <phoneticPr fontId="5"/>
  </si>
  <si>
    <t>は？ そんなん 勢いでしょ！</t>
    <rPh sb="8" eb="9">
      <t>イキオ</t>
    </rPh>
    <phoneticPr fontId="5"/>
  </si>
  <si>
    <t>つづく</t>
    <phoneticPr fontId="5"/>
  </si>
  <si>
    <t>目の前が 真っ暗になっている！</t>
    <rPh sb="0" eb="1">
      <t>メ</t>
    </rPh>
    <rPh sb="2" eb="3">
      <t>マエ</t>
    </rPh>
    <rPh sb="5" eb="6">
      <t>マ</t>
    </rPh>
    <rPh sb="7" eb="8">
      <t>クラ</t>
    </rPh>
    <phoneticPr fontId="5"/>
  </si>
  <si>
    <t>ワラにもすがる 想いのようだ</t>
    <rPh sb="8" eb="9">
      <t>オモ</t>
    </rPh>
    <phoneticPr fontId="5"/>
  </si>
  <si>
    <t>x2015</t>
    <phoneticPr fontId="5"/>
  </si>
  <si>
    <t>[effect:kamikaze, val:0]</t>
    <phoneticPr fontId="5"/>
  </si>
  <si>
    <t>[effect:fix_speed, target:myself, turn:1]</t>
    <phoneticPr fontId="5"/>
  </si>
  <si>
    <t>[effect:kamikaze, val:0][effect:sleep, target:unit_all, turn:1, rate:1][effect:hungup, target:unit_all, turn:-1, rate:1]</t>
    <phoneticPr fontId="5"/>
  </si>
  <si>
    <t>オレ…ウザがられてるのかな？</t>
    <phoneticPr fontId="5"/>
  </si>
  <si>
    <t>[effect:nothing]</t>
    <phoneticPr fontId="5"/>
  </si>
  <si>
    <t>null</t>
    <phoneticPr fontId="5"/>
  </si>
  <si>
    <t>勢いじゃ ダメじゃねぇかぁぁあ！！！</t>
    <rPh sb="0" eb="1">
      <t>イキオ</t>
    </rPh>
    <phoneticPr fontId="5"/>
  </si>
  <si>
    <t>衣装に着替えて 立ち去っていった</t>
    <rPh sb="0" eb="2">
      <t>イショウ</t>
    </rPh>
    <rPh sb="3" eb="5">
      <t>キガ</t>
    </rPh>
    <rPh sb="8" eb="9">
      <t>タ</t>
    </rPh>
    <rPh sb="10" eb="11">
      <t>サ</t>
    </rPh>
    <phoneticPr fontId="5"/>
  </si>
  <si>
    <t>早口に 何か口走っている</t>
    <rPh sb="0" eb="2">
      <t>ハヤクチ</t>
    </rPh>
    <rPh sb="4" eb="5">
      <t>ナニ</t>
    </rPh>
    <rPh sb="6" eb="8">
      <t>クチバシ</t>
    </rPh>
    <phoneticPr fontId="5"/>
  </si>
  <si>
    <t>ブツブツと つぶやいている</t>
    <phoneticPr fontId="5"/>
  </si>
  <si>
    <t>null</t>
    <phoneticPr fontId="5"/>
  </si>
  <si>
    <t>テンパると 目の前真っ暗になるしさ…</t>
    <rPh sb="6" eb="7">
      <t>メ</t>
    </rPh>
    <rPh sb="8" eb="9">
      <t>マエ</t>
    </rPh>
    <rPh sb="9" eb="10">
      <t>マ</t>
    </rPh>
    <rPh sb="11" eb="12">
      <t>クラ</t>
    </rPh>
    <phoneticPr fontId="5"/>
  </si>
  <si>
    <t>取り柄がない って言われるしさ…</t>
    <rPh sb="0" eb="1">
      <t>ト</t>
    </rPh>
    <rPh sb="2" eb="3">
      <t>エ</t>
    </rPh>
    <rPh sb="9" eb="10">
      <t>イ</t>
    </rPh>
    <phoneticPr fontId="5"/>
  </si>
  <si>
    <t>プロメテウスは 派手にころんだ！</t>
    <rPh sb="8" eb="10">
      <t>ハデ</t>
    </rPh>
    <phoneticPr fontId="5"/>
  </si>
  <si>
    <t>もはや 聞いていないようだ</t>
    <rPh sb="4" eb="5">
      <t>キ</t>
    </rPh>
    <phoneticPr fontId="5"/>
  </si>
  <si>
    <t>上の空な感じだ</t>
    <rPh sb="0" eb="1">
      <t>ウワ</t>
    </rPh>
    <rPh sb="2" eb="3">
      <t>ソラ</t>
    </rPh>
    <rPh sb="4" eb="5">
      <t>カン</t>
    </rPh>
    <phoneticPr fontId="5"/>
  </si>
  <si>
    <t>衣装に着替えて すっ飛んでいった！</t>
    <rPh sb="0" eb="2">
      <t>イショウ</t>
    </rPh>
    <rPh sb="10" eb="11">
      <t>ト</t>
    </rPh>
    <phoneticPr fontId="5"/>
  </si>
  <si>
    <t>そりゃ 空気読めないしさ…</t>
    <rPh sb="4" eb="7">
      <t>クウキヨ</t>
    </rPh>
    <phoneticPr fontId="5"/>
  </si>
  <si>
    <t>[effect:kamikaze, val:0][effect:sleep, target:unit_all, turn:1, rate:1]</t>
    <phoneticPr fontId="5"/>
  </si>
  <si>
    <t>浮かれるな…家畜ども！</t>
    <rPh sb="0" eb="1">
      <t>ウ</t>
    </rPh>
    <rPh sb="6" eb="8">
      <t>カチク</t>
    </rPh>
    <phoneticPr fontId="5"/>
  </si>
  <si>
    <t>我が妹に告ったのは どいつだ？</t>
    <rPh sb="0" eb="1">
      <t>ワ</t>
    </rPh>
    <rPh sb="2" eb="3">
      <t>イモウト</t>
    </rPh>
    <rPh sb="4" eb="5">
      <t>コク</t>
    </rPh>
    <phoneticPr fontId="5"/>
  </si>
  <si>
    <t>滅びよ メリクリ</t>
    <rPh sb="0" eb="1">
      <t>ホロ</t>
    </rPh>
    <phoneticPr fontId="5"/>
  </si>
  <si>
    <t>オセの兄 アザゼルがあらわれた！</t>
    <rPh sb="3" eb="4">
      <t>アニ</t>
    </rPh>
    <phoneticPr fontId="5"/>
  </si>
  <si>
    <t>時限式ダメージパネルが カウントダウン！</t>
    <rPh sb="0" eb="3">
      <t>ジゲンシキ</t>
    </rPh>
    <phoneticPr fontId="5"/>
  </si>
  <si>
    <t>アザゼルは 飛び去っていった…</t>
    <rPh sb="6" eb="7">
      <t>ト</t>
    </rPh>
    <rPh sb="8" eb="9">
      <t>サ</t>
    </rPh>
    <phoneticPr fontId="5"/>
  </si>
  <si>
    <t>もぅ アザゼルさんったらー</t>
    <phoneticPr fontId="5"/>
  </si>
  <si>
    <t>店長の マリアが助けに来た！</t>
    <rPh sb="0" eb="2">
      <t>テンチョウ</t>
    </rPh>
    <rPh sb="8" eb="9">
      <t>タス</t>
    </rPh>
    <rPh sb="11" eb="12">
      <t>キ</t>
    </rPh>
    <phoneticPr fontId="5"/>
  </si>
  <si>
    <t>プロメテウスに 同情している</t>
    <rPh sb="8" eb="10">
      <t>ドウジョウ</t>
    </rPh>
    <phoneticPr fontId="5"/>
  </si>
  <si>
    <t>もう ダメだぁぁぁぁあ！</t>
    <phoneticPr fontId="5"/>
  </si>
  <si>
    <t>「プロメテウスの恋」
　　〜恋の奥義〜</t>
    <rPh sb="14" eb="15">
      <t>コイ</t>
    </rPh>
    <rPh sb="16" eb="18">
      <t>オウギ</t>
    </rPh>
    <phoneticPr fontId="5"/>
  </si>
  <si>
    <t>じゃ、仕事行ってくるわ！</t>
    <rPh sb="3" eb="5">
      <t>シゴト</t>
    </rPh>
    <rPh sb="5" eb="6">
      <t>イ</t>
    </rPh>
    <phoneticPr fontId="5"/>
  </si>
  <si>
    <t>[effect:kamikaze, val:0]</t>
    <phoneticPr fontId="5"/>
  </si>
  <si>
    <t>おまかせクヮッ！</t>
    <phoneticPr fontId="5"/>
  </si>
  <si>
    <t>え、ちょ…オセ…？</t>
    <phoneticPr fontId="5"/>
  </si>
  <si>
    <t>ゴソゴソ 衣装に着替えている！</t>
    <rPh sb="5" eb="7">
      <t>イショウ</t>
    </rPh>
    <rPh sb="8" eb="10">
      <t>キガ</t>
    </rPh>
    <phoneticPr fontId="5"/>
  </si>
  <si>
    <t>恋の奥義が 炸裂した！</t>
    <rPh sb="0" eb="1">
      <t>コイ</t>
    </rPh>
    <rPh sb="2" eb="4">
      <t>オウギ</t>
    </rPh>
    <rPh sb="6" eb="8">
      <t>サクレツ</t>
    </rPh>
    <phoneticPr fontId="5"/>
  </si>
  <si>
    <t>ちょ…お仕事中に なんなのよっ！</t>
    <rPh sb="4" eb="7">
      <t>シゴトチュウ</t>
    </rPh>
    <phoneticPr fontId="5"/>
  </si>
  <si>
    <t>オレ やってみるぜ！</t>
    <phoneticPr fontId="5"/>
  </si>
  <si>
    <t>プさんの…バカッ！</t>
    <phoneticPr fontId="5"/>
  </si>
  <si>
    <t>全てのクラファーに メリークリスマス！</t>
    <rPh sb="0" eb="1">
      <t>スベ</t>
    </rPh>
    <phoneticPr fontId="5"/>
  </si>
  <si>
    <t>オセは 頬をふくらませている</t>
    <rPh sb="4" eb="5">
      <t>ホオ</t>
    </rPh>
    <phoneticPr fontId="5"/>
  </si>
  <si>
    <t>でも お仕事が終わったら…</t>
    <rPh sb="4" eb="6">
      <t>シゴト</t>
    </rPh>
    <rPh sb="7" eb="8">
      <t>オ</t>
    </rPh>
    <phoneticPr fontId="5"/>
  </si>
  <si>
    <t>お仕事中に 告白なんて…</t>
    <rPh sb="1" eb="4">
      <t>シゴトチュウ</t>
    </rPh>
    <rPh sb="6" eb="8">
      <t>コクハク</t>
    </rPh>
    <phoneticPr fontId="5"/>
  </si>
  <si>
    <t>フィーバーゲージが MAX になった！</t>
    <phoneticPr fontId="5"/>
  </si>
  <si>
    <t>null</t>
    <phoneticPr fontId="5"/>
  </si>
  <si>
    <t>[effect:kamikaze, val:0][effect:sleep, target:unit_all, turn:1, rate:1]</t>
    <phoneticPr fontId="5"/>
  </si>
  <si>
    <t>[effect:fix_speed, target:myself, turn:1]</t>
    <phoneticPr fontId="5"/>
  </si>
  <si>
    <t>[effect:kamikaze, val:0][effect:degrade_fever, val:1000, animation:fevergage_down]</t>
    <phoneticPr fontId="5"/>
  </si>
  <si>
    <t>[effect:kamikaze, val:0][effect:sleep, target:unit_all, turn:1, rate:1]</t>
    <phoneticPr fontId="5"/>
  </si>
  <si>
    <t>次はフィーバーで オセの心を射止めよう！</t>
    <rPh sb="0" eb="1">
      <t>ツギ</t>
    </rPh>
    <rPh sb="12" eb="13">
      <t>ココロ</t>
    </rPh>
    <rPh sb="14" eb="16">
      <t>イト</t>
    </rPh>
    <phoneticPr fontId="5"/>
  </si>
  <si>
    <t>くっ…ここは奴の店だったのか…！</t>
    <rPh sb="6" eb="7">
      <t>ヤツ</t>
    </rPh>
    <rPh sb="8" eb="9">
      <t>ミセ</t>
    </rPh>
    <phoneticPr fontId="5"/>
  </si>
  <si>
    <t>オセは うつむいて走り去った…</t>
    <rPh sb="9" eb="10">
      <t>ハシ</t>
    </rPh>
    <rPh sb="11" eb="12">
      <t>サ</t>
    </rPh>
    <phoneticPr fontId="5"/>
  </si>
  <si>
    <t>って…この意気地なし！</t>
    <rPh sb="5" eb="8">
      <t>イクジ</t>
    </rPh>
    <phoneticPr fontId="5"/>
  </si>
  <si>
    <t>…</t>
    <phoneticPr fontId="5"/>
  </si>
  <si>
    <t>[effect:damage_fix_pierce, target:unit_all, color:yellow, val:25000]</t>
    <phoneticPr fontId="5"/>
  </si>
  <si>
    <t>ハッキングで あらゆる機能が狂わされている！</t>
    <rPh sb="11" eb="13">
      <t>キノウ</t>
    </rPh>
    <rPh sb="14" eb="15">
      <t>クル</t>
    </rPh>
    <phoneticPr fontId="5"/>
  </si>
  <si>
    <t>見えないが ハートパネルが 無効になった！</t>
    <rPh sb="0" eb="1">
      <t>ミ</t>
    </rPh>
    <rPh sb="14" eb="16">
      <t>ムコウ</t>
    </rPh>
    <phoneticPr fontId="5"/>
  </si>
  <si>
    <t>[effect:dis_panel, target:block_heart, turn:-1, animation:enemy_dis_heart]</t>
    <phoneticPr fontId="5"/>
  </si>
  <si>
    <t>招かれざる客の 気配がする…！</t>
    <rPh sb="0" eb="1">
      <t>マネ</t>
    </rPh>
    <rPh sb="5" eb="6">
      <t>キャク</t>
    </rPh>
    <rPh sb="8" eb="10">
      <t>ケハイ</t>
    </rPh>
    <phoneticPr fontId="5"/>
  </si>
  <si>
    <t>[effect:fix_speed, target:myself, turn:1][effect:force_change_block, new_block:block_heart, target:block_all, color:block_heart, count:0, val:0.0][effect:change_panel_ratio, turn:-1, block_type:red, val:0][effect:change_panel_ratio, turn:-1, block_type:green, val:0][effect:change_panel_ratio, turn:-1, block_type:blue, val:0][effect:change_panel_ratio, turn:-1, block_type:yellow, val:0][effect:change_panel_ratio, turn:-1, block_type:heal, val:100]</t>
    <phoneticPr fontId="5"/>
  </si>
  <si>
    <t>[effect:fix_speed, target:myself, turn:1]</t>
    <phoneticPr fontId="5"/>
  </si>
  <si>
    <t>副店長の ダックに託した</t>
    <rPh sb="0" eb="3">
      <t>フクテンチョウ</t>
    </rPh>
    <rPh sb="9" eb="10">
      <t>タク</t>
    </rPh>
    <phoneticPr fontId="5"/>
  </si>
  <si>
    <t>[effect:kamikaze, val:0]</t>
    <phoneticPr fontId="5"/>
  </si>
  <si>
    <t>心の声が 聞こえてきた</t>
    <rPh sb="0" eb="1">
      <t>ココロ</t>
    </rPh>
    <rPh sb="2" eb="3">
      <t>コエ</t>
    </rPh>
    <rPh sb="5" eb="6">
      <t>キ</t>
    </rPh>
    <phoneticPr fontId="5"/>
  </si>
  <si>
    <t>null</t>
    <phoneticPr fontId="5"/>
  </si>
  <si>
    <t>null</t>
    <phoneticPr fontId="5"/>
  </si>
  <si>
    <t>「プロメテウスの恋」
 〜フィーバーの力〜</t>
    <rPh sb="19" eb="20">
      <t>チカラ</t>
    </rPh>
    <phoneticPr fontId="5"/>
  </si>
  <si>
    <t>…終わったぜ…何もかも…</t>
    <rPh sb="1" eb="2">
      <t>オ</t>
    </rPh>
    <rPh sb="7" eb="8">
      <t>ナニ</t>
    </rPh>
    <phoneticPr fontId="5"/>
  </si>
  <si>
    <t>プロメテウスは 力なく倒れた…</t>
    <rPh sb="8" eb="9">
      <t>チカラ</t>
    </rPh>
    <rPh sb="11" eb="12">
      <t>タオ</t>
    </rPh>
    <phoneticPr fontId="5"/>
  </si>
  <si>
    <t>だが、拒絶されてしまった！</t>
    <rPh sb="3" eb="5">
      <t>キョゼツ</t>
    </rPh>
    <phoneticPr fontId="5"/>
  </si>
  <si>
    <t>[effect:nothing]</t>
    <phoneticPr fontId="5"/>
  </si>
  <si>
    <t>おかえりなさいま…せっ？！</t>
    <phoneticPr fontId="5"/>
  </si>
  <si>
    <t>[effect:kamikaze, val:0]</t>
    <phoneticPr fontId="5"/>
  </si>
  <si>
    <t>[effect:nothing]</t>
    <phoneticPr fontId="5"/>
  </si>
  <si>
    <t>ピョッ！</t>
    <phoneticPr fontId="5"/>
  </si>
  <si>
    <t>なんと！ピヨピヨは サンタダックに成長した！</t>
    <rPh sb="17" eb="19">
      <t>セイチョウ</t>
    </rPh>
    <phoneticPr fontId="5"/>
  </si>
  <si>
    <t>翌日の【カフェ・マリア】クヮ</t>
    <rPh sb="0" eb="2">
      <t>ヨクジツ</t>
    </rPh>
    <phoneticPr fontId="5"/>
  </si>
  <si>
    <t>お…お客さま？…ちょっ？！</t>
    <rPh sb="3" eb="4">
      <t>キャク</t>
    </rPh>
    <phoneticPr fontId="5"/>
  </si>
  <si>
    <t>そんであれでこうして
これをそれであれして</t>
    <phoneticPr fontId="5"/>
  </si>
  <si>
    <t>そろそろ お仕事行かなくちゃ！</t>
    <rPh sb="6" eb="8">
      <t>シゴト</t>
    </rPh>
    <rPh sb="8" eb="9">
      <t>イ</t>
    </rPh>
    <phoneticPr fontId="5"/>
  </si>
  <si>
    <t>なぁ どうしたらいい？</t>
    <phoneticPr fontId="5"/>
  </si>
  <si>
    <t>なるほど！
勢いで 誘ってみるぜ！</t>
    <rPh sb="6" eb="7">
      <t>イキオ</t>
    </rPh>
    <rPh sb="10" eb="11">
      <t>サソ</t>
    </rPh>
    <phoneticPr fontId="5"/>
  </si>
  <si>
    <t>オセ！聖夜にフィーバー
しようぜ！で夜明けの…</t>
    <phoneticPr fontId="5"/>
  </si>
  <si>
    <t>プさん…
ふんだりけったりだクヮ</t>
    <phoneticPr fontId="5"/>
  </si>
  <si>
    <t>恋の奥義…
プレゼントしてくるクヮ！</t>
    <rPh sb="0" eb="1">
      <t>コイ</t>
    </rPh>
    <rPh sb="2" eb="4">
      <t>オウギ</t>
    </rPh>
    <phoneticPr fontId="5"/>
  </si>
  <si>
    <t>考えたげても いいんだからね…！</t>
    <rPh sb="0" eb="1">
      <t>カンガ</t>
    </rPh>
    <phoneticPr fontId="5"/>
  </si>
  <si>
    <t>オセ！お前のことが…
好きだクヮ！</t>
    <rPh sb="4" eb="5">
      <t>マエ</t>
    </rPh>
    <rPh sb="11" eb="12">
      <t>ス</t>
    </rPh>
    <phoneticPr fontId="5"/>
  </si>
  <si>
    <t>（そういや このあと仕事だな）</t>
    <rPh sb="10" eb="12">
      <t>シゴト</t>
    </rPh>
    <phoneticPr fontId="5"/>
  </si>
  <si>
    <t>勢いが 空回りしている…</t>
    <rPh sb="0" eb="1">
      <t>イキオ</t>
    </rPh>
    <rPh sb="4" eb="6">
      <t>カラマワ</t>
    </rPh>
    <phoneticPr fontId="5"/>
  </si>
  <si>
    <t>プさんのことも 助けてあげてー</t>
    <rPh sb="8" eb="9">
      <t>タス</t>
    </rPh>
    <phoneticPr fontId="5"/>
  </si>
  <si>
    <t>店員の二人は 吹き飛ばされた！</t>
    <rPh sb="0" eb="2">
      <t>テンイン</t>
    </rPh>
    <rPh sb="3" eb="5">
      <t>フタリ</t>
    </rPh>
    <rPh sb="7" eb="8">
      <t>フ</t>
    </rPh>
    <rPh sb="9" eb="10">
      <t>ト</t>
    </rPh>
    <phoneticPr fontId="5"/>
  </si>
  <si>
    <t>ご注文は おきまりですか？</t>
    <rPh sb="1" eb="3">
      <t>チュウモン</t>
    </rPh>
    <phoneticPr fontId="5"/>
  </si>
  <si>
    <t>え…あれ…オセ…</t>
    <phoneticPr fontId="5"/>
  </si>
  <si>
    <t>立ち去るオセを 追えないでいる…</t>
    <rPh sb="0" eb="1">
      <t>タ</t>
    </rPh>
    <rPh sb="2" eb="3">
      <t>サ</t>
    </rPh>
    <rPh sb="8" eb="9">
      <t>オ</t>
    </rPh>
    <phoneticPr fontId="5"/>
  </si>
  <si>
    <t>（はやく とどめを…）</t>
    <phoneticPr fontId="5"/>
  </si>
  <si>
    <t>[effect:kamikaze, val:0][effect:degrade_fever, val:1000, animation:fevergage_down][effect:force_change_block, new_block:jammer, target:block_all, count:0, val:0.0][effect:sleep, target:unit_all, turn:2, rate:1]</t>
    <phoneticPr fontId="5"/>
  </si>
  <si>
    <t>顔も 赤らめている</t>
    <rPh sb="0" eb="1">
      <t>カオ</t>
    </rPh>
    <rPh sb="3" eb="4">
      <t>アカ</t>
    </rPh>
    <phoneticPr fontId="5"/>
  </si>
  <si>
    <t>「プロメテウスの恋」
　 〜勢いまかせ〜</t>
    <rPh sb="14" eb="15">
      <t>イキオ</t>
    </rPh>
    <phoneticPr fontId="5"/>
  </si>
  <si>
    <t>[effect:fix_speed, target:myself, turn:1][effect:degrade_crash, count:50, special:50, turn:-1, animation:enemy_crash_extend][effect:hungup, target:unit_all, turn:-1, rate:1.0][effect:force_change_block, new_block:block_blue, target:block_all, color:block_blue, count:0, val:0.0][effect:dis_panel, target:block_heart, turn:3][effect:change_block, new_block:time_bomb, target:block_all, color:block_green, count:3, val:0.30][effect:change_panel_ratio, block_type:green, turn:3, val:0.0][effect:degrade_fever, val:1000.0][effect:enhance_enemy, target:myself, turn:-1, status:defense, val:0]</t>
    <phoneticPr fontId="5"/>
  </si>
  <si>
    <t>null</t>
    <phoneticPr fontId="5"/>
  </si>
  <si>
    <t>null</t>
    <phoneticPr fontId="5"/>
  </si>
  <si>
    <t>[effect:kamikaze, val:0]</t>
    <phoneticPr fontId="5"/>
  </si>
  <si>
    <t>アザゼルの翼が開いてゆく…</t>
    <phoneticPr fontId="5"/>
  </si>
  <si>
    <t>引導を渡してやろう…</t>
    <rPh sb="0" eb="2">
      <t>インドウ</t>
    </rPh>
    <rPh sb="3" eb="4">
      <t>ワタ</t>
    </rPh>
    <phoneticPr fontId="5"/>
  </si>
  <si>
    <t>[effect:fix_speed, target:myself, turn:1][effect:dark, target:unit_all, turn:-1]</t>
    <phoneticPr fontId="5"/>
  </si>
  <si>
    <t>見えないが ハートパネルが ボムになった！</t>
    <rPh sb="0" eb="1">
      <t>ミ</t>
    </rPh>
    <phoneticPr fontId="5"/>
  </si>
  <si>
    <t>[effect:hungup, target:unit_all, turn:-1, rate:1]</t>
    <phoneticPr fontId="5"/>
  </si>
  <si>
    <t>[effect:nothing]</t>
    <phoneticPr fontId="5"/>
  </si>
  <si>
    <t>プロメテウスは 取り乱している</t>
    <rPh sb="8" eb="9">
      <t>ト</t>
    </rPh>
    <rPh sb="10" eb="11">
      <t>ミダ</t>
    </rPh>
    <phoneticPr fontId="5"/>
  </si>
  <si>
    <t>null</t>
    <phoneticPr fontId="5"/>
  </si>
  <si>
    <t>もう…
プロメテウスったら…</t>
    <phoneticPr fontId="5"/>
  </si>
  <si>
    <t>null</t>
    <phoneticPr fontId="5"/>
  </si>
  <si>
    <t>（アイツなら 頼りになるはず…）</t>
    <rPh sb="7" eb="8">
      <t>タヨ</t>
    </rPh>
    <phoneticPr fontId="5"/>
  </si>
  <si>
    <t>ヤル気に 満ちあふれている！</t>
    <rPh sb="2" eb="3">
      <t>キ</t>
    </rPh>
    <rPh sb="5" eb="6">
      <t>ミ</t>
    </rPh>
    <phoneticPr fontId="5"/>
  </si>
  <si>
    <t>全然 相手にされてねーし！</t>
    <rPh sb="0" eb="2">
      <t>ゼンゼン</t>
    </rPh>
    <rPh sb="3" eb="5">
      <t>アイテ</t>
    </rPh>
    <phoneticPr fontId="5"/>
  </si>
  <si>
    <t>[effect:fix_speed, target:myself, turn:1][effect:force_change_block, new_block:crack_bomb, target:block_heart, color:block_red, count:0, val:0]</t>
    <phoneticPr fontId="5"/>
  </si>
  <si>
    <t>（やっぱ 勢いだよな）</t>
    <rPh sb="5" eb="6">
      <t>イキオ</t>
    </rPh>
    <phoneticPr fontId="5"/>
  </si>
  <si>
    <t>（早く 先に進むクヮ…）</t>
    <rPh sb="1" eb="2">
      <t>ハヤ</t>
    </rPh>
    <rPh sb="4" eb="5">
      <t>サキ</t>
    </rPh>
    <rPh sb="6" eb="7">
      <t>スス</t>
    </rPh>
    <phoneticPr fontId="5"/>
  </si>
  <si>
    <t>null</t>
    <phoneticPr fontId="5"/>
  </si>
  <si>
    <t>ユニットを倒して ストーリーを進めよう！</t>
    <rPh sb="5" eb="6">
      <t>タオ</t>
    </rPh>
    <rPh sb="15" eb="16">
      <t>スス</t>
    </rPh>
    <phoneticPr fontId="5"/>
  </si>
  <si>
    <t>後は うまくやるクヮ！</t>
    <rPh sb="0" eb="1">
      <t>アト</t>
    </rPh>
    <phoneticPr fontId="5"/>
  </si>
  <si>
    <t>プロメテウスを 応援している</t>
    <rPh sb="8" eb="10">
      <t>オウエン</t>
    </rPh>
    <phoneticPr fontId="5"/>
  </si>
  <si>
    <t>これが 恋の奥義か…</t>
    <rPh sb="4" eb="5">
      <t>コイ</t>
    </rPh>
    <rPh sb="6" eb="8">
      <t>オウギ</t>
    </rPh>
    <phoneticPr fontId="5"/>
  </si>
  <si>
    <t>心底 感心している</t>
    <rPh sb="0" eb="2">
      <t>シンソコ</t>
    </rPh>
    <rPh sb="3" eb="5">
      <t>カンシン</t>
    </rPh>
    <phoneticPr fontId="5"/>
  </si>
  <si>
    <t>（やっぱ 恋の奥義だよな）</t>
    <rPh sb="5" eb="6">
      <t>コイ</t>
    </rPh>
    <rPh sb="7" eb="9">
      <t>オウギ</t>
    </rPh>
    <phoneticPr fontId="5"/>
  </si>
  <si>
    <t>オセは 仕事中のようだ</t>
    <rPh sb="4" eb="6">
      <t>シゴト</t>
    </rPh>
    <rPh sb="6" eb="7">
      <t>セッキャクチュウ</t>
    </rPh>
    <phoneticPr fontId="5"/>
  </si>
  <si>
    <t>[effect:fix_speed, target:myself, turn:1][effect:force_change_block, new_block:block_heart, target:block_all, color:block_heart, count:0, val:0.0][effect:sleep, target:unit_all, turn:2, rate:1]</t>
    <phoneticPr fontId="5"/>
  </si>
  <si>
    <t>なにやら 入れ知恵をしたようだ</t>
    <rPh sb="5" eb="6">
      <t>イ</t>
    </rPh>
    <rPh sb="7" eb="9">
      <t>ジエ</t>
    </rPh>
    <phoneticPr fontId="5"/>
  </si>
  <si>
    <t>オレ また やってみるぜ！</t>
    <phoneticPr fontId="5"/>
  </si>
  <si>
    <t>null</t>
    <phoneticPr fontId="5"/>
  </si>
  <si>
    <t>すごい勢いで すっ飛んでいった！</t>
    <rPh sb="3" eb="4">
      <t>イキオ</t>
    </rPh>
    <rPh sb="9" eb="10">
      <t>ト</t>
    </rPh>
    <phoneticPr fontId="5"/>
  </si>
  <si>
    <t>華麗に スルーされてるし！</t>
    <rPh sb="0" eb="2">
      <t>カレイ</t>
    </rPh>
    <phoneticPr fontId="5"/>
  </si>
  <si>
    <t>[effect:fix_speed, target:myself, turn:1][effect:enhance_enemy, target:myself, turn:-1, status:defense, val:65335, calc:add]</t>
    <phoneticPr fontId="5"/>
  </si>
  <si>
    <t>（もう…このあと お仕事なのに…）</t>
    <rPh sb="10" eb="12">
      <t>シゴト</t>
    </rPh>
    <phoneticPr fontId="5"/>
  </si>
  <si>
    <t>オセは それどころでは ないらしい</t>
    <phoneticPr fontId="5"/>
  </si>
  <si>
    <t>[effect:kamikaze, val:0][effect:sleep, target:unit_all, turn:1, rate:1]</t>
    <phoneticPr fontId="5"/>
  </si>
  <si>
    <t>[effect:fix_speed, target:myself, turn:1][effect:enhance_enemy, target:myself, turn:-1, status:defense, val:65335, calc:add]</t>
    <phoneticPr fontId="5"/>
  </si>
  <si>
    <t>null</t>
    <phoneticPr fontId="5"/>
  </si>
  <si>
    <t>ベリアルは ノリで答えている</t>
    <rPh sb="9" eb="10">
      <t>コタ</t>
    </rPh>
    <phoneticPr fontId="5"/>
  </si>
  <si>
    <t>（ぼちぼち 時間だ）</t>
    <rPh sb="6" eb="8">
      <t>ジカン</t>
    </rPh>
    <phoneticPr fontId="5"/>
  </si>
  <si>
    <t>ベリアルは ゴソゴソしている</t>
    <phoneticPr fontId="5"/>
  </si>
  <si>
    <t>null</t>
    <phoneticPr fontId="5"/>
  </si>
  <si>
    <t>（時間だわ）</t>
    <rPh sb="1" eb="3">
      <t>ジカン</t>
    </rPh>
    <phoneticPr fontId="5"/>
  </si>
  <si>
    <t>オセは ゴソゴソしている</t>
    <phoneticPr fontId="5"/>
  </si>
  <si>
    <t>（勢い…か）</t>
    <rPh sb="1" eb="2">
      <t>イキオ</t>
    </rPh>
    <phoneticPr fontId="5"/>
  </si>
  <si>
    <t>考え込んでいる</t>
    <rPh sb="0" eb="1">
      <t>カンガ</t>
    </rPh>
    <rPh sb="2" eb="3">
      <t>コ</t>
    </rPh>
    <phoneticPr fontId="5"/>
  </si>
  <si>
    <t>…私…忙しいんだけど…？</t>
    <rPh sb="1" eb="2">
      <t>ワタシ</t>
    </rPh>
    <rPh sb="3" eb="4">
      <t>イソガ</t>
    </rPh>
    <phoneticPr fontId="5"/>
  </si>
  <si>
    <t>なんでだぁぁぁあ！</t>
    <phoneticPr fontId="5"/>
  </si>
  <si>
    <t>[effect:fix_speed, target:myself, turn:1][effect:dis_heart, turn:-1, animation:enemy_dis_heart][effect:force_change_block, new_block:time_bomb, target:block_all, min_time_count:1, max_time_count:1, count:5, val:0.19][effect:kamikaze, val:0]</t>
    <phoneticPr fontId="5"/>
  </si>
  <si>
    <t>[effect:force_change_block, new_block:block_heart, target:block_all, color:block_heart, count:0, val:0.0][effect:kamikaze, val:0]</t>
    <phoneticPr fontId="5"/>
  </si>
  <si>
    <t>[effect:fix_speed, target:myself, turn:1][effect:cure, bad_status:dis_heart]</t>
    <phoneticPr fontId="5"/>
  </si>
  <si>
    <t>【小さな恋の物語】</t>
    <rPh sb="1" eb="2">
      <t>チイ</t>
    </rPh>
    <rPh sb="4" eb="5">
      <t>コイ</t>
    </rPh>
    <rPh sb="6" eb="8">
      <t>モノガt</t>
    </rPh>
    <phoneticPr fontId="5"/>
  </si>
  <si>
    <t>【小さな恋の フィナーレ】</t>
    <rPh sb="1" eb="2">
      <t>チイ</t>
    </rPh>
    <rPh sb="4" eb="5">
      <t>コイ</t>
    </rPh>
    <phoneticPr fontId="5"/>
  </si>
  <si>
    <t>unit</t>
  </si>
  <si>
    <t>old</t>
    <phoneticPr fontId="7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</si>
  <si>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</si>
  <si>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</si>
  <si>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</si>
  <si>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</si>
  <si>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bonus_value</t>
    <phoneticPr fontId="5"/>
  </si>
  <si>
    <t>bonus_count</t>
    <phoneticPr fontId="5"/>
  </si>
  <si>
    <t>hp_plus</t>
    <phoneticPr fontId="5"/>
  </si>
  <si>
    <t>definite_end_date</t>
    <phoneticPr fontId="5"/>
  </si>
  <si>
    <t>bonus_value</t>
    <phoneticPr fontId="5"/>
  </si>
  <si>
    <t>temp_id</t>
    <phoneticPr fontId="5"/>
  </si>
  <si>
    <t>hint_type</t>
    <phoneticPr fontId="5"/>
  </si>
  <si>
    <t>quest_id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</si>
  <si>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</si>
  <si>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</si>
  <si>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</si>
  <si>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</si>
  <si>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language</t>
    <phoneticPr fontId="5"/>
  </si>
  <si>
    <t>title</t>
    <phoneticPr fontId="5"/>
  </si>
  <si>
    <t>hint</t>
    <phoneticPr fontId="5"/>
  </si>
  <si>
    <t>filename</t>
    <phoneticPr fontId="5"/>
  </si>
  <si>
    <t>len check</t>
    <phoneticPr fontId="5"/>
  </si>
  <si>
    <t>complete</t>
  </si>
  <si>
    <t>NULL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</si>
  <si>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</si>
  <si>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</si>
  <si>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stage_hints</t>
  </si>
  <si>
    <t>quest_id</t>
    <phoneticPr fontId="5"/>
  </si>
  <si>
    <t>stage_id</t>
    <phoneticPr fontId="5"/>
  </si>
  <si>
    <t>hint_id</t>
    <phoneticPr fontId="5"/>
  </si>
  <si>
    <t>floor_id</t>
    <phoneticPr fontId="5"/>
  </si>
  <si>
    <t>hint_type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</si>
  <si>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</si>
  <si>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</si>
  <si>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filename</t>
  </si>
  <si>
    <t>プロメテウスの恋の行方は！？</t>
    <rPh sb="7" eb="8">
      <t>コイ</t>
    </rPh>
    <rPh sb="9" eb="11">
      <t>ユクエ</t>
    </rPh>
    <phoneticPr fontId="5"/>
  </si>
  <si>
    <t>failure</t>
  </si>
  <si>
    <t>サンタダックを捕獲しよう！</t>
    <rPh sb="7" eb="9">
      <t>ホカク</t>
    </rPh>
    <phoneticPr fontId="5"/>
  </si>
  <si>
    <t>【ストーリー後編】のステージが出現！
物語を進めて、サンタダックをGET！</t>
    <rPh sb="15" eb="17">
      <t>シュツゲン</t>
    </rPh>
    <rPh sb="19" eb="21">
      <t>モノガタリ</t>
    </rPh>
    <rPh sb="22" eb="23">
      <t>スス</t>
    </rPh>
    <phoneticPr fontId="5"/>
  </si>
  <si>
    <t>オセの心を射止めよう！</t>
    <rPh sb="3" eb="4">
      <t>ココロ</t>
    </rPh>
    <rPh sb="5" eb="7">
      <t>イト</t>
    </rPh>
    <phoneticPr fontId="5"/>
  </si>
  <si>
    <t>フィーバーを発動して、オセを倒すと…？
恋の結末を見届けよう！</t>
    <rPh sb="6" eb="8">
      <t>ハツドウ</t>
    </rPh>
    <rPh sb="14" eb="15">
      <t>タオ</t>
    </rPh>
    <rPh sb="20" eb="21">
      <t>コイ</t>
    </rPh>
    <rPh sb="22" eb="24">
      <t>ケツマツ</t>
    </rPh>
    <rPh sb="25" eb="27">
      <t>ミトド</t>
    </rPh>
    <phoneticPr fontId="5"/>
  </si>
  <si>
    <t>[effect:fix_speed, target:myself, turn:1][effect:enhance_fever, val:1000.0][effect:enhance_unit, target:unit_all, turn:-1, status:heal, val:20, calc:mul]</t>
    <phoneticPr fontId="5"/>
  </si>
  <si>
    <t>恋の奥義…
プレゼントしたクヮ</t>
    <rPh sb="0" eb="1">
      <t>コイ</t>
    </rPh>
    <rPh sb="2" eb="4">
      <t>オウギ</t>
    </rPh>
    <phoneticPr fontId="5"/>
  </si>
  <si>
    <t>あまりのショックに ぼーぜんとしている…</t>
    <phoneticPr fontId="5"/>
  </si>
  <si>
    <t>キャンペーン期間中のゲリラ時間帯に
「サンタダックを捕獲せよ！」が出現！
繰り返しプレイして、サンタダックをGET！</t>
    <rPh sb="6" eb="9">
      <t>キカンチュウ</t>
    </rPh>
    <rPh sb="13" eb="16">
      <t>ジカンタイ</t>
    </rPh>
    <rPh sb="26" eb="28">
      <t>ホカク</t>
    </rPh>
    <rPh sb="33" eb="35">
      <t>シュツゲン</t>
    </rPh>
    <rPh sb="38" eb="39">
      <t>ク</t>
    </rPh>
    <rPh sb="40" eb="41">
      <t>カエ</t>
    </rPh>
    <phoneticPr fontId="5"/>
  </si>
  <si>
    <t>ピヨピヨは チックに成長した！</t>
    <rPh sb="10" eb="12">
      <t>セイチョウ</t>
    </rPh>
    <phoneticPr fontId="5"/>
  </si>
  <si>
    <t>メリークリスマス クヮッ！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</si>
</sst>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indexed="2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775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1" fillId="17" borderId="14" applyNumberFormat="0" applyAlignment="0" applyProtection="0"/>
    <xf numFmtId="0" fontId="32" fillId="18" borderId="0" applyNumberFormat="0" applyBorder="0" applyAlignment="0" applyProtection="0"/>
    <xf numFmtId="0" fontId="33" fillId="19" borderId="15" applyNumberFormat="0" applyAlignment="0" applyProtection="0"/>
    <xf numFmtId="0" fontId="34" fillId="0" borderId="0" applyNumberFormat="0" applyFill="0" applyBorder="0" applyAlignment="0" applyProtection="0"/>
    <xf numFmtId="0" fontId="35" fillId="20" borderId="0" applyNumberFormat="0" applyBorder="0" applyAlignment="0" applyProtection="0"/>
    <xf numFmtId="0" fontId="36" fillId="21" borderId="16" applyNumberFormat="0" applyAlignment="0" applyProtection="0"/>
    <xf numFmtId="0" fontId="37" fillId="0" borderId="0" applyNumberFormat="0" applyFill="0" applyBorder="0" applyAlignment="0" applyProtection="0"/>
    <xf numFmtId="0" fontId="38" fillId="0" borderId="17" applyNumberFormat="0" applyFill="0" applyAlignment="0" applyProtection="0"/>
    <xf numFmtId="0" fontId="39" fillId="0" borderId="18" applyNumberFormat="0" applyFill="0" applyAlignment="0" applyProtection="0"/>
    <xf numFmtId="0" fontId="40" fillId="0" borderId="19" applyNumberFormat="0" applyFill="0" applyAlignment="0" applyProtection="0"/>
    <xf numFmtId="0" fontId="40" fillId="0" borderId="0" applyNumberFormat="0" applyFill="0" applyBorder="0" applyAlignment="0" applyProtection="0"/>
    <xf numFmtId="0" fontId="41" fillId="19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9" borderId="0" applyNumberFormat="0" applyBorder="0" applyAlignment="0" applyProtection="0"/>
    <xf numFmtId="0" fontId="41" fillId="23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4" borderId="0" applyNumberFormat="0" applyBorder="0" applyAlignment="0" applyProtection="0"/>
    <xf numFmtId="0" fontId="41" fillId="22" borderId="0" applyNumberFormat="0" applyBorder="0" applyAlignment="0" applyProtection="0"/>
    <xf numFmtId="0" fontId="41" fillId="19" borderId="0" applyNumberFormat="0" applyBorder="0" applyAlignment="0" applyProtection="0"/>
    <xf numFmtId="0" fontId="41" fillId="25" borderId="0" applyNumberFormat="0" applyBorder="0" applyAlignment="0" applyProtection="0"/>
    <xf numFmtId="0" fontId="41" fillId="18" borderId="0" applyNumberFormat="0" applyBorder="0" applyAlignment="0" applyProtection="0"/>
    <xf numFmtId="0" fontId="42" fillId="26" borderId="0" applyNumberFormat="0" applyBorder="0" applyAlignment="0" applyProtection="0"/>
    <xf numFmtId="0" fontId="42" fillId="24" borderId="0" applyNumberFormat="0" applyBorder="0" applyAlignment="0" applyProtection="0"/>
    <xf numFmtId="0" fontId="42" fillId="22" borderId="0" applyNumberFormat="0" applyBorder="0" applyAlignment="0" applyProtection="0"/>
    <xf numFmtId="0" fontId="42" fillId="19" borderId="0" applyNumberFormat="0" applyBorder="0" applyAlignment="0" applyProtection="0"/>
    <xf numFmtId="0" fontId="42" fillId="26" borderId="0" applyNumberFormat="0" applyBorder="0" applyAlignment="0" applyProtection="0"/>
    <xf numFmtId="0" fontId="42" fillId="18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6" borderId="0" applyNumberFormat="0" applyBorder="0" applyAlignment="0" applyProtection="0"/>
    <xf numFmtId="0" fontId="42" fillId="27" borderId="0" applyNumberFormat="0" applyBorder="0" applyAlignment="0" applyProtection="0"/>
    <xf numFmtId="0" fontId="42" fillId="22" borderId="0" applyNumberFormat="0" applyBorder="0" applyAlignment="0" applyProtection="0"/>
    <xf numFmtId="0" fontId="42" fillId="28" borderId="0" applyNumberFormat="0" applyBorder="0" applyAlignment="0" applyProtection="0"/>
    <xf numFmtId="0" fontId="42" fillId="26" borderId="0" applyNumberFormat="0" applyBorder="0" applyAlignment="0" applyProtection="0"/>
    <xf numFmtId="0" fontId="42" fillId="24" borderId="0" applyNumberFormat="0" applyBorder="0" applyAlignment="0" applyProtection="0"/>
    <xf numFmtId="0" fontId="43" fillId="29" borderId="0" applyNumberFormat="0" applyBorder="0" applyAlignment="0" applyProtection="0"/>
    <xf numFmtId="0" fontId="32" fillId="18" borderId="0" applyNumberFormat="0" applyBorder="0" applyAlignment="0" applyProtection="0"/>
    <xf numFmtId="0" fontId="44" fillId="0" borderId="20" applyNumberFormat="0" applyFill="0" applyAlignment="0" applyProtection="0"/>
    <xf numFmtId="0" fontId="45" fillId="19" borderId="21" applyNumberFormat="0" applyAlignment="0" applyProtection="0"/>
    <xf numFmtId="0" fontId="45" fillId="30" borderId="21" applyNumberFormat="0" applyAlignment="0" applyProtection="0"/>
    <xf numFmtId="0" fontId="33" fillId="18" borderId="15" applyNumberFormat="0" applyAlignment="0" applyProtection="0"/>
    <xf numFmtId="0" fontId="46" fillId="0" borderId="22" applyNumberFormat="0" applyFill="0" applyAlignment="0" applyProtection="0"/>
    <xf numFmtId="0" fontId="47" fillId="30" borderId="15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3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176" fontId="4" fillId="0" borderId="9" xfId="0" applyNumberFormat="1" applyFont="1" applyFill="1" applyBorder="1" applyAlignment="1">
      <alignment horizontal="center" vertical="center"/>
    </xf>
    <xf numFmtId="0" fontId="11" fillId="0" borderId="7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16" fillId="0" borderId="8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2" fillId="14" borderId="0" xfId="0" applyFont="1" applyFill="1" applyAlignment="1">
      <alignment vertical="center"/>
    </xf>
    <xf numFmtId="176" fontId="4" fillId="14" borderId="3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6" fillId="15" borderId="3" xfId="0" applyFont="1" applyFill="1" applyBorder="1" applyAlignment="1">
      <alignment vertical="center"/>
    </xf>
    <xf numFmtId="0" fontId="4" fillId="14" borderId="7" xfId="0" applyFont="1" applyFill="1" applyBorder="1" applyAlignment="1">
      <alignment horizontal="center" vertical="center"/>
    </xf>
    <xf numFmtId="0" fontId="6" fillId="14" borderId="7" xfId="0" applyFont="1" applyFill="1" applyBorder="1" applyAlignment="1">
      <alignment vertical="center"/>
    </xf>
    <xf numFmtId="0" fontId="6" fillId="15" borderId="9" xfId="0" applyFont="1" applyFill="1" applyBorder="1" applyAlignment="1">
      <alignment vertical="center"/>
    </xf>
    <xf numFmtId="0" fontId="8" fillId="14" borderId="4" xfId="0" applyFont="1" applyFill="1" applyBorder="1" applyAlignment="1">
      <alignment vertical="center"/>
    </xf>
    <xf numFmtId="177" fontId="8" fillId="14" borderId="4" xfId="0" applyNumberFormat="1" applyFont="1" applyFill="1" applyBorder="1" applyAlignment="1">
      <alignment vertical="center"/>
    </xf>
    <xf numFmtId="0" fontId="11" fillId="14" borderId="7" xfId="0" applyFont="1" applyFill="1" applyBorder="1" applyAlignment="1">
      <alignment vertical="center"/>
    </xf>
    <xf numFmtId="0" fontId="4" fillId="14" borderId="5" xfId="0" applyFont="1" applyFill="1" applyBorder="1" applyAlignment="1">
      <alignment vertical="center"/>
    </xf>
    <xf numFmtId="0" fontId="4" fillId="14" borderId="1" xfId="0" applyFont="1" applyFill="1" applyBorder="1" applyAlignment="1">
      <alignment vertical="center"/>
    </xf>
    <xf numFmtId="0" fontId="4" fillId="14" borderId="6" xfId="0" applyFont="1" applyFill="1" applyBorder="1" applyAlignment="1">
      <alignment vertical="center"/>
    </xf>
    <xf numFmtId="0" fontId="4" fillId="14" borderId="7" xfId="0" applyFont="1" applyFill="1" applyBorder="1" applyAlignment="1">
      <alignment vertical="center"/>
    </xf>
    <xf numFmtId="0" fontId="4" fillId="14" borderId="0" xfId="0" applyFont="1" applyFill="1" applyAlignment="1">
      <alignment vertical="center"/>
    </xf>
    <xf numFmtId="176" fontId="4" fillId="14" borderId="9" xfId="0" applyNumberFormat="1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vertical="center"/>
    </xf>
    <xf numFmtId="0" fontId="6" fillId="15" borderId="11" xfId="0" applyFont="1" applyFill="1" applyBorder="1" applyAlignment="1">
      <alignment vertical="center"/>
    </xf>
    <xf numFmtId="0" fontId="14" fillId="14" borderId="0" xfId="0" applyFont="1" applyFill="1" applyAlignment="1">
      <alignment vertical="center"/>
    </xf>
    <xf numFmtId="0" fontId="16" fillId="14" borderId="7" xfId="0" applyFont="1" applyFill="1" applyBorder="1" applyAlignment="1">
      <alignment horizontal="left" vertical="center"/>
    </xf>
    <xf numFmtId="0" fontId="16" fillId="14" borderId="0" xfId="0" applyFont="1" applyFill="1" applyAlignment="1">
      <alignment vertical="center"/>
    </xf>
    <xf numFmtId="0" fontId="16" fillId="14" borderId="7" xfId="0" applyFont="1" applyFill="1" applyBorder="1" applyAlignment="1">
      <alignment horizontal="left" vertical="center" wrapText="1"/>
    </xf>
    <xf numFmtId="14" fontId="16" fillId="14" borderId="7" xfId="0" applyNumberFormat="1" applyFont="1" applyFill="1" applyBorder="1" applyAlignment="1">
      <alignment horizontal="left" vertical="center"/>
    </xf>
    <xf numFmtId="0" fontId="16" fillId="14" borderId="7" xfId="0" applyFont="1" applyFill="1" applyBorder="1" applyAlignment="1">
      <alignment vertical="center" wrapText="1"/>
    </xf>
    <xf numFmtId="0" fontId="16" fillId="6" borderId="7" xfId="11" applyFont="1" applyFill="1" applyBorder="1" applyAlignment="1">
      <alignment horizontal="left"/>
    </xf>
    <xf numFmtId="0" fontId="14" fillId="7" borderId="0" xfId="11" applyFont="1" applyFill="1" applyAlignment="1">
      <alignment horizontal="center" vertical="center"/>
    </xf>
    <xf numFmtId="0" fontId="0" fillId="3" borderId="2" xfId="0" applyFill="1" applyBorder="1"/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27" fillId="0" borderId="7" xfId="0" applyFont="1" applyFill="1" applyBorder="1"/>
    <xf numFmtId="0" fontId="28" fillId="3" borderId="13" xfId="0" applyFont="1" applyFill="1" applyBorder="1" applyAlignment="1">
      <alignment vertical="center"/>
    </xf>
    <xf numFmtId="0" fontId="29" fillId="0" borderId="7" xfId="0" applyFont="1" applyFill="1" applyBorder="1"/>
    <xf numFmtId="0" fontId="28" fillId="0" borderId="13" xfId="0" applyFont="1" applyFill="1" applyBorder="1" applyAlignment="1">
      <alignment vertical="center"/>
    </xf>
    <xf numFmtId="0" fontId="29" fillId="16" borderId="7" xfId="0" applyFont="1" applyFill="1" applyBorder="1"/>
    <xf numFmtId="0" fontId="30" fillId="0" borderId="7" xfId="0" applyFont="1" applyFill="1" applyBorder="1"/>
    <xf numFmtId="0" fontId="16" fillId="0" borderId="7" xfId="0" applyFont="1" applyBorder="1" applyAlignment="1">
      <alignment wrapText="1"/>
    </xf>
    <xf numFmtId="0" fontId="27" fillId="0" borderId="0" xfId="0" applyFont="1" applyFill="1"/>
    <xf numFmtId="0" fontId="2" fillId="0" borderId="7" xfId="615" applyBorder="1"/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6" borderId="0" xfId="615" applyFill="1"/>
    <xf numFmtId="0" fontId="0" fillId="0" borderId="2" xfId="0" applyFill="1" applyBorder="1"/>
    <xf numFmtId="0" fontId="0" fillId="0" borderId="7" xfId="0" applyFill="1" applyBorder="1"/>
    <xf numFmtId="0" fontId="16" fillId="31" borderId="7" xfId="0" applyFont="1" applyFill="1" applyBorder="1" applyAlignment="1">
      <alignment horizontal="center"/>
    </xf>
    <xf numFmtId="56" fontId="16" fillId="31" borderId="7" xfId="0" applyNumberFormat="1" applyFont="1" applyFill="1" applyBorder="1" applyAlignment="1">
      <alignment horizontal="center"/>
    </xf>
    <xf numFmtId="0" fontId="0" fillId="31" borderId="7" xfId="0" applyFill="1" applyBorder="1"/>
  </cellXfs>
  <cellStyles count="1775">
    <cellStyle name="" xfId="1682"/>
    <cellStyle name="_" xfId="1683"/>
    <cellStyle name="__" xfId="1684"/>
    <cellStyle name="__÷" xfId="1685"/>
    <cellStyle name="«¢" xfId="1686"/>
    <cellStyle name="`FbN Z" xfId="1687"/>
    <cellStyle name="^Cg" xfId="1688"/>
    <cellStyle name="©oµ 1" xfId="1689"/>
    <cellStyle name="©oµ 2" xfId="1690"/>
    <cellStyle name="©oµ 3" xfId="1691"/>
    <cellStyle name="©oµ 4" xfId="1692"/>
    <cellStyle name="20% - ANZg1" xfId="1693"/>
    <cellStyle name="20% - ANZg2" xfId="1694"/>
    <cellStyle name="20% - ANZg3" xfId="1695"/>
    <cellStyle name="20% - ANZg4" xfId="1696"/>
    <cellStyle name="20% - ANZg5" xfId="1697"/>
    <cellStyle name="20% - ANZg6" xfId="1698"/>
    <cellStyle name="40% - ANZg1" xfId="1699"/>
    <cellStyle name="40% - ANZg2" xfId="1700"/>
    <cellStyle name="40% - ANZg3" xfId="1701"/>
    <cellStyle name="40% - ANZg4" xfId="1702"/>
    <cellStyle name="40% - ANZg5" xfId="1703"/>
    <cellStyle name="40% - ANZg6" xfId="1704"/>
    <cellStyle name="60% - ANZg1" xfId="1705"/>
    <cellStyle name="60% - ANZg2" xfId="1706"/>
    <cellStyle name="60% - ANZg3" xfId="1707"/>
    <cellStyle name="60% - ANZg4" xfId="1708"/>
    <cellStyle name="60% - ANZg5" xfId="1709"/>
    <cellStyle name="60% - ANZg6" xfId="1710"/>
    <cellStyle name="à¾¶" xfId="1711"/>
    <cellStyle name="ANZg 1" xfId="1712"/>
    <cellStyle name="ANZg 2" xfId="1713"/>
    <cellStyle name="ANZg 3" xfId="1714"/>
    <cellStyle name="ANZg 4" xfId="1715"/>
    <cellStyle name="ANZg 5" xfId="1716"/>
    <cellStyle name="ANZg 6" xfId="1717"/>
    <cellStyle name="Ç¢" xfId="1718"/>
    <cellStyle name="Ê" xfId="1719"/>
    <cellStyle name="Excel Built-in Normal" xfId="428"/>
    <cellStyle name="N Z" xfId="1720"/>
    <cellStyle name="o_" xfId="1721"/>
    <cellStyle name="oÍ" xfId="1722"/>
    <cellStyle name="üÍ" xfId="1723"/>
    <cellStyle name="v" xfId="1724"/>
    <cellStyle name="vZ" xfId="1725"/>
    <cellStyle name="x¶" xfId="1726"/>
    <cellStyle name="x÷" xfId="1727"/>
    <cellStyle name="ýo_ 1" xfId="17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桁区切り 2" xfId="429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1729"/>
    <cellStyle name="標準 5 2" xfId="1730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無題1" xfId="435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attribute_red</v>
          </cell>
          <cell r="H1" t="str">
            <v>attribute_blue</v>
          </cell>
          <cell r="I1" t="str">
            <v>attribute_green</v>
          </cell>
          <cell r="J1" t="str">
            <v>attribute_yellow</v>
          </cell>
          <cell r="K1" t="str">
            <v>story</v>
          </cell>
          <cell r="L1" t="str">
            <v>story文字数</v>
          </cell>
          <cell r="M1" t="str">
            <v>位置付け</v>
          </cell>
          <cell r="N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11214</v>
          </cell>
        </row>
        <row r="70">
          <cell r="A70">
            <v>11215</v>
          </cell>
        </row>
        <row r="71">
          <cell r="A71">
            <v>12001</v>
          </cell>
        </row>
        <row r="72">
          <cell r="A72">
            <v>12002</v>
          </cell>
        </row>
        <row r="73">
          <cell r="A73">
            <v>12003</v>
          </cell>
        </row>
        <row r="74">
          <cell r="A74">
            <v>11210</v>
          </cell>
        </row>
        <row r="75">
          <cell r="A75">
            <v>13001</v>
          </cell>
        </row>
        <row r="76">
          <cell r="A76">
            <v>20001</v>
          </cell>
        </row>
        <row r="77">
          <cell r="A77">
            <v>20002</v>
          </cell>
        </row>
        <row r="78">
          <cell r="A78">
            <v>20003</v>
          </cell>
        </row>
        <row r="79">
          <cell r="A79">
            <v>20004</v>
          </cell>
        </row>
        <row r="80">
          <cell r="A80">
            <v>20005</v>
          </cell>
        </row>
        <row r="81">
          <cell r="A81">
            <v>20006</v>
          </cell>
        </row>
        <row r="82">
          <cell r="A82">
            <v>20007</v>
          </cell>
        </row>
        <row r="83">
          <cell r="A83">
            <v>20008</v>
          </cell>
        </row>
        <row r="84">
          <cell r="A84">
            <v>20009</v>
          </cell>
        </row>
        <row r="85">
          <cell r="A85">
            <v>20010</v>
          </cell>
        </row>
        <row r="86">
          <cell r="A86">
            <v>20011</v>
          </cell>
        </row>
        <row r="87">
          <cell r="A87">
            <v>20012</v>
          </cell>
        </row>
        <row r="88">
          <cell r="A88">
            <v>30001</v>
          </cell>
        </row>
        <row r="89">
          <cell r="A89">
            <v>30002</v>
          </cell>
        </row>
        <row r="90">
          <cell r="A90">
            <v>30003</v>
          </cell>
        </row>
        <row r="91">
          <cell r="A91">
            <v>30004</v>
          </cell>
        </row>
        <row r="92">
          <cell r="A92">
            <v>30005</v>
          </cell>
        </row>
        <row r="93">
          <cell r="A93">
            <v>30006</v>
          </cell>
        </row>
        <row r="94">
          <cell r="A94">
            <v>30007</v>
          </cell>
        </row>
        <row r="95">
          <cell r="A95">
            <v>30008</v>
          </cell>
        </row>
        <row r="96">
          <cell r="A96">
            <v>30009</v>
          </cell>
        </row>
        <row r="97">
          <cell r="A97">
            <v>30010</v>
          </cell>
        </row>
        <row r="98">
          <cell r="A98">
            <v>30011</v>
          </cell>
        </row>
        <row r="99">
          <cell r="A99">
            <v>30012</v>
          </cell>
        </row>
        <row r="100">
          <cell r="A100">
            <v>30013</v>
          </cell>
        </row>
        <row r="101">
          <cell r="A101">
            <v>30014</v>
          </cell>
        </row>
        <row r="102">
          <cell r="A102">
            <v>30015</v>
          </cell>
        </row>
        <row r="103">
          <cell r="A103">
            <v>30016</v>
          </cell>
        </row>
        <row r="104">
          <cell r="A104">
            <v>30017</v>
          </cell>
        </row>
        <row r="105">
          <cell r="A105">
            <v>30018</v>
          </cell>
        </row>
        <row r="106">
          <cell r="A106">
            <v>30019</v>
          </cell>
        </row>
        <row r="107">
          <cell r="A107">
            <v>30020</v>
          </cell>
        </row>
        <row r="108">
          <cell r="A108">
            <v>40001</v>
          </cell>
        </row>
        <row r="109">
          <cell r="A109">
            <v>40002</v>
          </cell>
        </row>
        <row r="110">
          <cell r="A110">
            <v>40003</v>
          </cell>
        </row>
        <row r="111">
          <cell r="A111">
            <v>40004</v>
          </cell>
        </row>
        <row r="112">
          <cell r="A112">
            <v>40005</v>
          </cell>
        </row>
        <row r="113">
          <cell r="A113">
            <v>40006</v>
          </cell>
        </row>
        <row r="114">
          <cell r="A114">
            <v>50001</v>
          </cell>
        </row>
        <row r="115">
          <cell r="A115">
            <v>65535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continue_limit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 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 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【キャンペーン限定】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everyone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【キャンペーン限定】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everyone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【キャンペーン限定】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everyone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【キャンペーン限定】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everyone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【キャンペーン限定】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everyone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【キャンペーン限定】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everyone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【キャンペーン限定】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everyone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【キャンペーン限定】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everyone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【キャンペーン限定】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everyone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【キャンペーン限定】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【キャンペーン限定】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【キャンペーン限定】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【キャンペーン限定】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【キャンペーン限定】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【キャンペーン限定】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【キャンペーン限定】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11106_1</v>
          </cell>
          <cell r="B231">
            <v>3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3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3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3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3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3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100万DL記念★曜日クエスト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3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3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1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1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1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everyone</v>
          </cell>
        </row>
        <row r="258">
          <cell r="A258" t="str">
            <v>12001_1</v>
          </cell>
          <cell r="B258">
            <v>3</v>
          </cell>
          <cell r="C258">
            <v>12001</v>
          </cell>
          <cell r="D258" t="str">
            <v>【緊急！！】 アヒル捕獲作戦</v>
          </cell>
          <cell r="E258" t="str">
            <v>ゲリラクエスト</v>
          </cell>
          <cell r="F258">
            <v>1</v>
          </cell>
          <cell r="G258" t="str">
            <v>ja</v>
          </cell>
          <cell r="H258" t="str">
            <v xml:space="preserve">【初級】メタルダックを捕獲せよ！ 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12001_2</v>
          </cell>
          <cell r="B259">
            <v>3</v>
          </cell>
          <cell r="C259">
            <v>12001</v>
          </cell>
          <cell r="D259" t="str">
            <v>【緊急！！】 アヒル捕獲作戦</v>
          </cell>
          <cell r="E259" t="str">
            <v>ゲリラクエスト</v>
          </cell>
          <cell r="F259">
            <v>2</v>
          </cell>
          <cell r="G259" t="str">
            <v>ja</v>
          </cell>
          <cell r="H259" t="str">
            <v xml:space="preserve">【上級】メタルダックを捕獲せよ！ </v>
          </cell>
          <cell r="I259" t="str">
            <v>経験値ゲリラ</v>
          </cell>
          <cell r="J259">
            <v>334</v>
          </cell>
          <cell r="K259">
            <v>20</v>
          </cell>
          <cell r="L259">
            <v>350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201</v>
          </cell>
          <cell r="AD259">
            <v>6</v>
          </cell>
          <cell r="AE259" t="str">
            <v>everyone</v>
          </cell>
        </row>
        <row r="260">
          <cell r="A260" t="str">
            <v>12001_3</v>
          </cell>
          <cell r="B260">
            <v>0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3</v>
          </cell>
          <cell r="G260" t="str">
            <v>ja</v>
          </cell>
          <cell r="H260" t="str">
            <v>★100DL記念 マルチ専用★_x000D_【上級】メタルダックを捕獲せよ！</v>
          </cell>
          <cell r="I260" t="str">
            <v>経験値ゲリラ</v>
          </cell>
          <cell r="J260">
            <v>334</v>
          </cell>
          <cell r="K260">
            <v>10</v>
          </cell>
          <cell r="L260">
            <v>350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multionly</v>
          </cell>
        </row>
        <row r="261">
          <cell r="A261" t="str">
            <v>12002_3</v>
          </cell>
          <cell r="B261">
            <v>0</v>
          </cell>
          <cell r="C261">
            <v>12002</v>
          </cell>
          <cell r="D261" t="str">
            <v>【マルチ専用1/2】 アヒル捕獲作戦</v>
          </cell>
          <cell r="E261" t="str">
            <v>ゲリラクエスト</v>
          </cell>
          <cell r="F261">
            <v>3</v>
          </cell>
          <cell r="G261" t="str">
            <v>ja</v>
          </cell>
          <cell r="H261" t="str">
            <v xml:space="preserve">【初級】メタルダックを捕獲せよ！ </v>
          </cell>
          <cell r="I261" t="str">
            <v>経験値ゲリラ</v>
          </cell>
          <cell r="J261">
            <v>334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12002_2</v>
          </cell>
          <cell r="B262">
            <v>0</v>
          </cell>
          <cell r="C262">
            <v>12002</v>
          </cell>
          <cell r="D262" t="str">
            <v>【マルチ専用1/2】 アヒル捕獲作戦</v>
          </cell>
          <cell r="E262" t="str">
            <v>ゲリラクエスト</v>
          </cell>
          <cell r="F262">
            <v>2</v>
          </cell>
          <cell r="G262" t="str">
            <v>ja</v>
          </cell>
          <cell r="H262" t="str">
            <v xml:space="preserve">【上級】メタルダックを捕獲せよ！ </v>
          </cell>
          <cell r="I262" t="str">
            <v>経験値ゲリラ</v>
          </cell>
          <cell r="J262">
            <v>334</v>
          </cell>
          <cell r="K262">
            <v>20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12002_1</v>
          </cell>
          <cell r="B263">
            <v>3</v>
          </cell>
          <cell r="C263">
            <v>12002</v>
          </cell>
          <cell r="D263" t="str">
            <v>【マルチ専用1/2】 アヒル捕獲作戦</v>
          </cell>
          <cell r="E263" t="str">
            <v>ゲリラクエスト</v>
          </cell>
          <cell r="F263">
            <v>1</v>
          </cell>
          <cell r="G263" t="str">
            <v>ja</v>
          </cell>
          <cell r="H263" t="str">
            <v>【上級】メタルダックを捕獲せよ！</v>
          </cell>
          <cell r="I263" t="str">
            <v>経験値ゲリラ</v>
          </cell>
          <cell r="J263">
            <v>334</v>
          </cell>
          <cell r="K263">
            <v>10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multionly</v>
          </cell>
        </row>
        <row r="264">
          <cell r="A264" t="str">
            <v>12003_1</v>
          </cell>
          <cell r="B264">
            <v>3</v>
          </cell>
          <cell r="C264">
            <v>12003</v>
          </cell>
          <cell r="D264" t="str">
            <v>100万DL記念★育成ブースト！</v>
          </cell>
          <cell r="E264" t="str">
            <v>ゲリラ【超級】</v>
          </cell>
          <cell r="F264">
            <v>1</v>
          </cell>
          <cell r="G264" t="str">
            <v>ja</v>
          </cell>
          <cell r="H264" t="str">
            <v>【超級】雷のジェントルを追え！</v>
          </cell>
          <cell r="I264" t="str">
            <v>超級ゲリラ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12003_2</v>
          </cell>
          <cell r="B265">
            <v>3</v>
          </cell>
          <cell r="C265">
            <v>12003</v>
          </cell>
          <cell r="D265" t="str">
            <v>100万DL記念★育成ブースト！</v>
          </cell>
          <cell r="E265" t="str">
            <v>ゲリラ【超級】</v>
          </cell>
          <cell r="F265">
            <v>2</v>
          </cell>
          <cell r="G265" t="str">
            <v>ja</v>
          </cell>
          <cell r="H265" t="str">
            <v>【超級】水のジェントルを追え！</v>
          </cell>
          <cell r="I265" t="str">
            <v>超級ゲリラ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12003_3</v>
          </cell>
          <cell r="B266">
            <v>3</v>
          </cell>
          <cell r="C266">
            <v>12003</v>
          </cell>
          <cell r="D266" t="str">
            <v>100万DL記念★育成ブースト！</v>
          </cell>
          <cell r="E266" t="str">
            <v>ゲリラ【超級】</v>
          </cell>
          <cell r="F266">
            <v>3</v>
          </cell>
          <cell r="G266" t="str">
            <v>ja</v>
          </cell>
          <cell r="H266" t="str">
            <v>【超級】森のジェントルを追え！</v>
          </cell>
          <cell r="I266" t="str">
            <v>超級ゲリラ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12003_4</v>
          </cell>
          <cell r="B267">
            <v>3</v>
          </cell>
          <cell r="C267">
            <v>12003</v>
          </cell>
          <cell r="D267" t="str">
            <v>100万DL記念★育成ブースト！</v>
          </cell>
          <cell r="E267" t="str">
            <v>ゲリラ【超級】</v>
          </cell>
          <cell r="F267">
            <v>4</v>
          </cell>
          <cell r="G267" t="str">
            <v>ja</v>
          </cell>
          <cell r="H267" t="str">
            <v>【超級】炎のジェントルを追え！</v>
          </cell>
          <cell r="I267" t="str">
            <v>超級ゲリラ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13001_1</v>
          </cell>
          <cell r="B268">
            <v>3</v>
          </cell>
          <cell r="C268">
            <v>13001</v>
          </cell>
          <cell r="D268" t="str">
            <v>チャレンジタワー(ソロ専用)</v>
          </cell>
          <cell r="E268" t="str">
            <v>試練の塔</v>
          </cell>
          <cell r="F268">
            <v>1</v>
          </cell>
          <cell r="G268" t="str">
            <v>ja</v>
          </cell>
          <cell r="H268" t="str">
            <v>チャレンジタワー 1F</v>
          </cell>
          <cell r="I268" t="str">
            <v>試練の塔</v>
          </cell>
          <cell r="J268">
            <v>345</v>
          </cell>
          <cell r="K268">
            <v>3</v>
          </cell>
          <cell r="L268">
            <v>120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character</v>
          </cell>
          <cell r="T268" t="str">
            <v>345,345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26</v>
          </cell>
          <cell r="AD268">
            <v>6</v>
          </cell>
          <cell r="AE268" t="str">
            <v>singleonly</v>
          </cell>
        </row>
        <row r="269">
          <cell r="A269" t="str">
            <v>13001_2</v>
          </cell>
          <cell r="B269">
            <v>3</v>
          </cell>
          <cell r="C269">
            <v>13001</v>
          </cell>
          <cell r="D269" t="str">
            <v>チャレンジタワー(ソロ専用)</v>
          </cell>
          <cell r="E269" t="str">
            <v>試練の塔</v>
          </cell>
          <cell r="F269">
            <v>2</v>
          </cell>
          <cell r="G269" t="str">
            <v>ja</v>
          </cell>
          <cell r="H269" t="str">
            <v>チャレンジタワー 2F</v>
          </cell>
          <cell r="I269" t="str">
            <v>試練の塔</v>
          </cell>
          <cell r="J269">
            <v>333</v>
          </cell>
          <cell r="K269">
            <v>4</v>
          </cell>
          <cell r="L269">
            <v>176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character</v>
          </cell>
          <cell r="T269" t="str">
            <v>333,333</v>
          </cell>
          <cell r="U269">
            <v>13001</v>
          </cell>
          <cell r="V269">
            <v>1</v>
          </cell>
          <cell r="W269" t="str">
            <v>チャレンジタワー 1F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26</v>
          </cell>
          <cell r="AD269">
            <v>6</v>
          </cell>
          <cell r="AE269" t="str">
            <v>singleonly</v>
          </cell>
        </row>
        <row r="270">
          <cell r="A270" t="str">
            <v>13001_3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試練の塔</v>
          </cell>
          <cell r="F270">
            <v>3</v>
          </cell>
          <cell r="G270" t="str">
            <v>ja</v>
          </cell>
          <cell r="H270" t="str">
            <v>チャレンジタワー 3F</v>
          </cell>
          <cell r="I270" t="str">
            <v>試練の塔</v>
          </cell>
          <cell r="J270">
            <v>337</v>
          </cell>
          <cell r="K270">
            <v>5</v>
          </cell>
          <cell r="L270">
            <v>242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337,337</v>
          </cell>
          <cell r="U270">
            <v>13001</v>
          </cell>
          <cell r="V270">
            <v>2</v>
          </cell>
          <cell r="W270" t="str">
            <v>チャレンジタワー 2F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13001_4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試練の塔</v>
          </cell>
          <cell r="F271">
            <v>4</v>
          </cell>
          <cell r="G271" t="str">
            <v>ja</v>
          </cell>
          <cell r="H271" t="str">
            <v>チャレンジタワー 4F</v>
          </cell>
          <cell r="I271" t="str">
            <v>試練の塔</v>
          </cell>
          <cell r="J271">
            <v>341</v>
          </cell>
          <cell r="K271">
            <v>7</v>
          </cell>
          <cell r="L271">
            <v>508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341,341</v>
          </cell>
          <cell r="U271">
            <v>13001</v>
          </cell>
          <cell r="V271">
            <v>3</v>
          </cell>
          <cell r="W271" t="str">
            <v>チャレンジタワー 3F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13001_5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試練の塔</v>
          </cell>
          <cell r="F272">
            <v>5</v>
          </cell>
          <cell r="G272" t="str">
            <v>ja</v>
          </cell>
          <cell r="H272" t="str">
            <v>チャレンジタワー 5F</v>
          </cell>
          <cell r="I272" t="str">
            <v>試練の塔</v>
          </cell>
          <cell r="J272">
            <v>333</v>
          </cell>
          <cell r="K272">
            <v>7</v>
          </cell>
          <cell r="L272">
            <v>280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333,337,341,345</v>
          </cell>
          <cell r="U272">
            <v>13001</v>
          </cell>
          <cell r="V272">
            <v>4</v>
          </cell>
          <cell r="W272" t="str">
            <v>チャレンジタワー 4F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13001_6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6</v>
          </cell>
          <cell r="G273" t="str">
            <v>ja</v>
          </cell>
          <cell r="H273" t="str">
            <v>チャレンジタワー 6F</v>
          </cell>
          <cell r="I273" t="str">
            <v>試練の塔</v>
          </cell>
          <cell r="J273">
            <v>346</v>
          </cell>
          <cell r="K273">
            <v>8</v>
          </cell>
          <cell r="L273">
            <v>474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346,345</v>
          </cell>
          <cell r="U273">
            <v>13001</v>
          </cell>
          <cell r="V273">
            <v>5</v>
          </cell>
          <cell r="W273" t="str">
            <v>チャレンジタワー 5F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13001_7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7</v>
          </cell>
          <cell r="G274" t="str">
            <v>ja</v>
          </cell>
          <cell r="H274" t="str">
            <v>チャレンジタワー 7F</v>
          </cell>
          <cell r="I274" t="str">
            <v>試練の塔</v>
          </cell>
          <cell r="J274">
            <v>342</v>
          </cell>
          <cell r="K274">
            <v>8</v>
          </cell>
          <cell r="L274">
            <v>486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342,341</v>
          </cell>
          <cell r="U274">
            <v>13001</v>
          </cell>
          <cell r="V274">
            <v>6</v>
          </cell>
          <cell r="W274" t="str">
            <v>チャレンジタワー 6F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13001_8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8</v>
          </cell>
          <cell r="G275" t="str">
            <v>ja</v>
          </cell>
          <cell r="H275" t="str">
            <v>チャレンジタワー 8F</v>
          </cell>
          <cell r="I275" t="str">
            <v>試練の塔</v>
          </cell>
          <cell r="J275">
            <v>334</v>
          </cell>
          <cell r="K275">
            <v>10</v>
          </cell>
          <cell r="L275">
            <v>1006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334,333</v>
          </cell>
          <cell r="U275">
            <v>13001</v>
          </cell>
          <cell r="V275">
            <v>7</v>
          </cell>
          <cell r="W275" t="str">
            <v>チャレンジタワー 7F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13001_9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9</v>
          </cell>
          <cell r="G276" t="str">
            <v>ja</v>
          </cell>
          <cell r="H276" t="str">
            <v>チャレンジタワー 9F</v>
          </cell>
          <cell r="I276" t="str">
            <v>試練の塔</v>
          </cell>
          <cell r="J276">
            <v>338</v>
          </cell>
          <cell r="K276">
            <v>10</v>
          </cell>
          <cell r="L276">
            <v>702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337,337,338</v>
          </cell>
          <cell r="U276">
            <v>13001</v>
          </cell>
          <cell r="V276">
            <v>8</v>
          </cell>
          <cell r="W276" t="str">
            <v>チャレンジタワー 8F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13001_10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10</v>
          </cell>
          <cell r="G277" t="str">
            <v>ja</v>
          </cell>
          <cell r="H277" t="str">
            <v>チャレンジタワー 10F</v>
          </cell>
          <cell r="I277" t="str">
            <v>試練の塔</v>
          </cell>
          <cell r="J277">
            <v>346</v>
          </cell>
          <cell r="K277">
            <v>11</v>
          </cell>
          <cell r="L277">
            <v>788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346,333,337,341</v>
          </cell>
          <cell r="U277">
            <v>13001</v>
          </cell>
          <cell r="V277">
            <v>9</v>
          </cell>
          <cell r="W277" t="str">
            <v>チャレンジタワー 9F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13001_11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11</v>
          </cell>
          <cell r="G278" t="str">
            <v>ja</v>
          </cell>
          <cell r="H278" t="str">
            <v>チャレンジタワー 11F</v>
          </cell>
          <cell r="I278" t="str">
            <v>試練の塔</v>
          </cell>
          <cell r="J278">
            <v>346</v>
          </cell>
          <cell r="K278">
            <v>12</v>
          </cell>
          <cell r="L278">
            <v>936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346,346</v>
          </cell>
          <cell r="U278">
            <v>13001</v>
          </cell>
          <cell r="V278">
            <v>10</v>
          </cell>
          <cell r="W278" t="str">
            <v>チャレンジタワー 10F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13001_12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12</v>
          </cell>
          <cell r="G279" t="str">
            <v>ja</v>
          </cell>
          <cell r="H279" t="str">
            <v>チャレンジタワー 12F</v>
          </cell>
          <cell r="I279" t="str">
            <v>試練の塔</v>
          </cell>
          <cell r="J279">
            <v>342</v>
          </cell>
          <cell r="K279">
            <v>13</v>
          </cell>
          <cell r="L279">
            <v>1601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342,342</v>
          </cell>
          <cell r="U279">
            <v>13001</v>
          </cell>
          <cell r="V279">
            <v>11</v>
          </cell>
          <cell r="W279" t="str">
            <v>チャレンジタワー 11F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13001_13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13</v>
          </cell>
          <cell r="G280" t="str">
            <v>ja</v>
          </cell>
          <cell r="H280" t="str">
            <v>チャレンジタワー 13F</v>
          </cell>
          <cell r="I280" t="str">
            <v>試練の塔</v>
          </cell>
          <cell r="J280">
            <v>338</v>
          </cell>
          <cell r="K280">
            <v>14</v>
          </cell>
          <cell r="L280">
            <v>945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338,338</v>
          </cell>
          <cell r="U280">
            <v>13001</v>
          </cell>
          <cell r="V280">
            <v>12</v>
          </cell>
          <cell r="W280" t="str">
            <v>チャレンジタワー 12F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13001_14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14</v>
          </cell>
          <cell r="G281" t="str">
            <v>ja</v>
          </cell>
          <cell r="H281" t="str">
            <v>チャレンジタワー 14F</v>
          </cell>
          <cell r="I281" t="str">
            <v>試練の塔</v>
          </cell>
          <cell r="J281">
            <v>334</v>
          </cell>
          <cell r="K281">
            <v>14</v>
          </cell>
          <cell r="L281">
            <v>1188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334,334</v>
          </cell>
          <cell r="U281">
            <v>13001</v>
          </cell>
          <cell r="V281">
            <v>13</v>
          </cell>
          <cell r="W281" t="str">
            <v>チャレンジタワー 13F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13001_15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15</v>
          </cell>
          <cell r="G282" t="str">
            <v>ja</v>
          </cell>
          <cell r="H282" t="str">
            <v>チャレンジタワー 15F</v>
          </cell>
          <cell r="I282" t="str">
            <v>試練の塔</v>
          </cell>
          <cell r="J282">
            <v>316</v>
          </cell>
          <cell r="K282">
            <v>14</v>
          </cell>
          <cell r="L282">
            <v>1008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316</v>
          </cell>
          <cell r="U282">
            <v>13001</v>
          </cell>
          <cell r="V282">
            <v>14</v>
          </cell>
          <cell r="W282" t="str">
            <v>チャレンジタワー 14F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13001_16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16</v>
          </cell>
          <cell r="G283" t="str">
            <v>ja</v>
          </cell>
          <cell r="H283" t="str">
            <v>チャレンジタワー 16F</v>
          </cell>
          <cell r="I283" t="str">
            <v>試練の塔</v>
          </cell>
          <cell r="J283">
            <v>338</v>
          </cell>
          <cell r="K283">
            <v>16</v>
          </cell>
          <cell r="L283">
            <v>2573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338,338,337</v>
          </cell>
          <cell r="U283">
            <v>13001</v>
          </cell>
          <cell r="V283">
            <v>15</v>
          </cell>
          <cell r="W283" t="str">
            <v>チャレンジタワー 15F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13001_17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17</v>
          </cell>
          <cell r="G284" t="str">
            <v>ja</v>
          </cell>
          <cell r="H284" t="str">
            <v>チャレンジタワー 17F</v>
          </cell>
          <cell r="I284" t="str">
            <v>試練の塔</v>
          </cell>
          <cell r="J284">
            <v>346</v>
          </cell>
          <cell r="K284">
            <v>16</v>
          </cell>
          <cell r="L284">
            <v>1568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346,346,345</v>
          </cell>
          <cell r="U284">
            <v>13001</v>
          </cell>
          <cell r="V284">
            <v>16</v>
          </cell>
          <cell r="W284" t="str">
            <v>チャレンジタワー 16F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13001_18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18</v>
          </cell>
          <cell r="G285" t="str">
            <v>ja</v>
          </cell>
          <cell r="H285" t="str">
            <v>チャレンジタワー 18F</v>
          </cell>
          <cell r="I285" t="str">
            <v>試練の塔</v>
          </cell>
          <cell r="J285">
            <v>334</v>
          </cell>
          <cell r="K285">
            <v>17</v>
          </cell>
          <cell r="L285">
            <v>1821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334,334,333</v>
          </cell>
          <cell r="U285">
            <v>13001</v>
          </cell>
          <cell r="V285">
            <v>17</v>
          </cell>
          <cell r="W285" t="str">
            <v>チャレンジタワー 17F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13001_19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19</v>
          </cell>
          <cell r="G286" t="str">
            <v>ja</v>
          </cell>
          <cell r="H286" t="str">
            <v>チャレンジタワー 19F</v>
          </cell>
          <cell r="I286" t="str">
            <v>試練の塔</v>
          </cell>
          <cell r="J286">
            <v>342</v>
          </cell>
          <cell r="K286">
            <v>18</v>
          </cell>
          <cell r="L286">
            <v>2108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342,342,341</v>
          </cell>
          <cell r="U286">
            <v>13001</v>
          </cell>
          <cell r="V286">
            <v>18</v>
          </cell>
          <cell r="W286" t="str">
            <v>チャレンジタワー 18F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13001_20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20</v>
          </cell>
          <cell r="G287" t="str">
            <v>ja</v>
          </cell>
          <cell r="H287" t="str">
            <v>チャレンジタワー 20F</v>
          </cell>
          <cell r="I287" t="str">
            <v>試練の塔</v>
          </cell>
          <cell r="J287">
            <v>318</v>
          </cell>
          <cell r="K287">
            <v>18</v>
          </cell>
          <cell r="L287">
            <v>1620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318</v>
          </cell>
          <cell r="U287">
            <v>13001</v>
          </cell>
          <cell r="V287">
            <v>19</v>
          </cell>
          <cell r="W287" t="str">
            <v>チャレンジタワー 19F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13001_21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21</v>
          </cell>
          <cell r="G288" t="str">
            <v>ja</v>
          </cell>
          <cell r="H288" t="str">
            <v>チャレンジタワー 21F</v>
          </cell>
          <cell r="I288" t="str">
            <v>試練の塔</v>
          </cell>
          <cell r="J288" t="str">
            <v>335</v>
          </cell>
          <cell r="K288">
            <v>18</v>
          </cell>
          <cell r="L288">
            <v>1620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334,335,335</v>
          </cell>
          <cell r="U288">
            <v>13001</v>
          </cell>
          <cell r="V288">
            <v>20</v>
          </cell>
          <cell r="W288" t="str">
            <v>チャレンジタワー 20F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13001_22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22</v>
          </cell>
          <cell r="G289" t="str">
            <v>ja</v>
          </cell>
          <cell r="H289" t="str">
            <v>チャレンジタワー 22F</v>
          </cell>
          <cell r="I289" t="str">
            <v>試練の塔</v>
          </cell>
          <cell r="J289" t="str">
            <v>339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338,339,339</v>
          </cell>
          <cell r="U289">
            <v>13001</v>
          </cell>
          <cell r="V289">
            <v>21</v>
          </cell>
          <cell r="W289" t="str">
            <v>チャレンジタワー 21F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13001_23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23</v>
          </cell>
          <cell r="G290" t="str">
            <v>ja</v>
          </cell>
          <cell r="H290" t="str">
            <v>チャレンジタワー 23F</v>
          </cell>
          <cell r="I290" t="str">
            <v>試練の塔</v>
          </cell>
          <cell r="J290" t="str">
            <v>347</v>
          </cell>
          <cell r="K290">
            <v>20</v>
          </cell>
          <cell r="L290">
            <v>1821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346,347,347</v>
          </cell>
          <cell r="U290">
            <v>13001</v>
          </cell>
          <cell r="V290">
            <v>22</v>
          </cell>
          <cell r="W290" t="str">
            <v>チャレンジタワー 22F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13001_24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24</v>
          </cell>
          <cell r="G291" t="str">
            <v>ja</v>
          </cell>
          <cell r="H291" t="str">
            <v>チャレンジタワー 24F</v>
          </cell>
          <cell r="I291" t="str">
            <v>試練の塔</v>
          </cell>
          <cell r="J291" t="str">
            <v>343</v>
          </cell>
          <cell r="K291">
            <v>20</v>
          </cell>
          <cell r="L291">
            <v>2871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342,343,343</v>
          </cell>
          <cell r="U291">
            <v>13001</v>
          </cell>
          <cell r="V291">
            <v>23</v>
          </cell>
          <cell r="W291" t="str">
            <v>チャレンジタワー 23F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13001_25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25</v>
          </cell>
          <cell r="G292" t="str">
            <v>ja</v>
          </cell>
          <cell r="H292" t="str">
            <v>チャレンジタワー 25F</v>
          </cell>
          <cell r="I292" t="str">
            <v>試練の塔</v>
          </cell>
          <cell r="J292" t="str">
            <v>368</v>
          </cell>
          <cell r="K292">
            <v>22</v>
          </cell>
          <cell r="L292">
            <v>3740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368</v>
          </cell>
          <cell r="U292">
            <v>13001</v>
          </cell>
          <cell r="V292">
            <v>24</v>
          </cell>
          <cell r="W292" t="str">
            <v>チャレンジタワー 24F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20001_1</v>
          </cell>
          <cell r="B293">
            <v>3</v>
          </cell>
          <cell r="C293">
            <v>20001</v>
          </cell>
          <cell r="D293" t="str">
            <v>紅き執行者</v>
          </cell>
          <cell r="E293" t="str">
            <v>ドロップイベント1-1</v>
          </cell>
          <cell r="F293">
            <v>1</v>
          </cell>
          <cell r="G293" t="str">
            <v>ja</v>
          </cell>
          <cell r="H293" t="str">
            <v xml:space="preserve">【初級】紅き執行者 </v>
          </cell>
          <cell r="I293" t="str">
            <v>初級</v>
          </cell>
          <cell r="J293">
            <v>262</v>
          </cell>
          <cell r="K293">
            <v>8</v>
          </cell>
          <cell r="L293">
            <v>384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none</v>
          </cell>
          <cell r="T293">
            <v>0</v>
          </cell>
          <cell r="U293" t="str">
            <v>NULL</v>
          </cell>
          <cell r="V293" t="str">
            <v>NULL</v>
          </cell>
          <cell r="W293" t="str">
            <v/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14</v>
          </cell>
          <cell r="AD293">
            <v>6</v>
          </cell>
          <cell r="AE293" t="str">
            <v>everyone</v>
          </cell>
        </row>
        <row r="294">
          <cell r="A294" t="str">
            <v>20001_2</v>
          </cell>
          <cell r="B294">
            <v>3</v>
          </cell>
          <cell r="C294">
            <v>20001</v>
          </cell>
          <cell r="D294" t="str">
            <v>紅き執行者</v>
          </cell>
          <cell r="E294" t="str">
            <v>ドロップイベント1-1</v>
          </cell>
          <cell r="F294">
            <v>2</v>
          </cell>
          <cell r="G294" t="str">
            <v>ja</v>
          </cell>
          <cell r="H294" t="str">
            <v>【中級】紅き執行者</v>
          </cell>
          <cell r="I294" t="str">
            <v>中級</v>
          </cell>
          <cell r="J294">
            <v>262</v>
          </cell>
          <cell r="K294">
            <v>15</v>
          </cell>
          <cell r="L294">
            <v>1200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none</v>
          </cell>
          <cell r="T294">
            <v>0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14</v>
          </cell>
          <cell r="AD294">
            <v>6</v>
          </cell>
          <cell r="AE294" t="str">
            <v>everyone</v>
          </cell>
        </row>
        <row r="295">
          <cell r="A295" t="str">
            <v>20001_3</v>
          </cell>
          <cell r="B295">
            <v>3</v>
          </cell>
          <cell r="C295">
            <v>20001</v>
          </cell>
          <cell r="D295" t="str">
            <v>紅き執行者</v>
          </cell>
          <cell r="E295" t="str">
            <v>ドロップイベント1-1</v>
          </cell>
          <cell r="F295">
            <v>3</v>
          </cell>
          <cell r="G295" t="str">
            <v>ja</v>
          </cell>
          <cell r="H295" t="str">
            <v xml:space="preserve">【上級】紅き執行者 </v>
          </cell>
          <cell r="I295" t="str">
            <v>上級</v>
          </cell>
          <cell r="J295">
            <v>263</v>
          </cell>
          <cell r="K295">
            <v>20</v>
          </cell>
          <cell r="L295">
            <v>2000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14</v>
          </cell>
          <cell r="AD295">
            <v>6</v>
          </cell>
          <cell r="AE295" t="str">
            <v>everyone</v>
          </cell>
        </row>
        <row r="296">
          <cell r="A296" t="str">
            <v>20002_1</v>
          </cell>
          <cell r="B296">
            <v>3</v>
          </cell>
          <cell r="C296">
            <v>20002</v>
          </cell>
          <cell r="D296" t="str">
            <v>孤高の一角獣</v>
          </cell>
          <cell r="E296" t="str">
            <v>ドロップイベント1-2</v>
          </cell>
          <cell r="F296">
            <v>1</v>
          </cell>
          <cell r="G296" t="str">
            <v>ja</v>
          </cell>
          <cell r="H296" t="str">
            <v>【初級】孤高の一角獣(ハートなし)</v>
          </cell>
          <cell r="I296" t="str">
            <v>初級</v>
          </cell>
          <cell r="J296">
            <v>264</v>
          </cell>
          <cell r="K296">
            <v>8</v>
          </cell>
          <cell r="L296">
            <v>384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19</v>
          </cell>
          <cell r="AD296">
            <v>6</v>
          </cell>
          <cell r="AE296" t="str">
            <v>everyone</v>
          </cell>
        </row>
        <row r="297">
          <cell r="A297" t="str">
            <v>20002_2</v>
          </cell>
          <cell r="B297">
            <v>3</v>
          </cell>
          <cell r="C297">
            <v>20002</v>
          </cell>
          <cell r="D297" t="str">
            <v>孤高の一角獣</v>
          </cell>
          <cell r="E297" t="str">
            <v>ドロップイベント1-2</v>
          </cell>
          <cell r="F297">
            <v>2</v>
          </cell>
          <cell r="G297" t="str">
            <v>ja</v>
          </cell>
          <cell r="H297" t="str">
            <v>【中級】孤高の一角獣(ハートなし)</v>
          </cell>
          <cell r="I297" t="str">
            <v>中級</v>
          </cell>
          <cell r="J297">
            <v>264</v>
          </cell>
          <cell r="K297">
            <v>15</v>
          </cell>
          <cell r="L297">
            <v>1200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19</v>
          </cell>
          <cell r="AD297">
            <v>6</v>
          </cell>
          <cell r="AE297" t="str">
            <v>everyone</v>
          </cell>
        </row>
        <row r="298">
          <cell r="A298" t="str">
            <v>20002_3</v>
          </cell>
          <cell r="B298">
            <v>3</v>
          </cell>
          <cell r="C298">
            <v>20002</v>
          </cell>
          <cell r="D298" t="str">
            <v>孤高の一角獣</v>
          </cell>
          <cell r="E298" t="str">
            <v>ドロップイベント1-2</v>
          </cell>
          <cell r="F298">
            <v>3</v>
          </cell>
          <cell r="G298" t="str">
            <v>ja</v>
          </cell>
          <cell r="H298" t="str">
            <v>【上級】孤高の一角獣(ハートなし)</v>
          </cell>
          <cell r="I298" t="str">
            <v>上級</v>
          </cell>
          <cell r="J298">
            <v>265</v>
          </cell>
          <cell r="K298">
            <v>20</v>
          </cell>
          <cell r="L298">
            <v>2000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19</v>
          </cell>
          <cell r="AD298">
            <v>6</v>
          </cell>
          <cell r="AE298" t="str">
            <v>everyone</v>
          </cell>
        </row>
        <row r="299">
          <cell r="A299" t="str">
            <v>20003_1</v>
          </cell>
          <cell r="B299">
            <v>3</v>
          </cell>
          <cell r="C299">
            <v>20003</v>
          </cell>
          <cell r="D299" t="str">
            <v>忍び寄る短剣</v>
          </cell>
          <cell r="E299" t="str">
            <v>ドロップイベント1-3</v>
          </cell>
          <cell r="F299">
            <v>1</v>
          </cell>
          <cell r="G299" t="str">
            <v>ja</v>
          </cell>
          <cell r="H299" t="str">
            <v xml:space="preserve">【初級】忍び寄る短剣 </v>
          </cell>
          <cell r="I299" t="str">
            <v>初級</v>
          </cell>
          <cell r="J299">
            <v>266</v>
          </cell>
          <cell r="K299">
            <v>8</v>
          </cell>
          <cell r="L299">
            <v>384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11</v>
          </cell>
          <cell r="AD299">
            <v>6</v>
          </cell>
          <cell r="AE299" t="str">
            <v>everyone</v>
          </cell>
        </row>
        <row r="300">
          <cell r="A300" t="str">
            <v>20003_2</v>
          </cell>
          <cell r="B300">
            <v>3</v>
          </cell>
          <cell r="C300">
            <v>20003</v>
          </cell>
          <cell r="D300" t="str">
            <v>忍び寄る短剣</v>
          </cell>
          <cell r="E300" t="str">
            <v>ドロップイベント1-3</v>
          </cell>
          <cell r="F300">
            <v>2</v>
          </cell>
          <cell r="G300" t="str">
            <v>ja</v>
          </cell>
          <cell r="H300" t="str">
            <v xml:space="preserve">【中級】忍び寄る短剣 </v>
          </cell>
          <cell r="I300" t="str">
            <v>中級</v>
          </cell>
          <cell r="J300">
            <v>266</v>
          </cell>
          <cell r="K300">
            <v>15</v>
          </cell>
          <cell r="L300">
            <v>1200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11</v>
          </cell>
          <cell r="AD300">
            <v>6</v>
          </cell>
          <cell r="AE300" t="str">
            <v>everyone</v>
          </cell>
        </row>
        <row r="301">
          <cell r="A301" t="str">
            <v>20003_3</v>
          </cell>
          <cell r="B301">
            <v>3</v>
          </cell>
          <cell r="C301">
            <v>20003</v>
          </cell>
          <cell r="D301" t="str">
            <v>忍び寄る短剣</v>
          </cell>
          <cell r="E301" t="str">
            <v>ドロップイベント1-3</v>
          </cell>
          <cell r="F301">
            <v>3</v>
          </cell>
          <cell r="G301" t="str">
            <v>ja</v>
          </cell>
          <cell r="H301" t="str">
            <v xml:space="preserve">【上級】忍び寄る短剣 </v>
          </cell>
          <cell r="I301" t="str">
            <v>上級</v>
          </cell>
          <cell r="J301">
            <v>267</v>
          </cell>
          <cell r="K301">
            <v>20</v>
          </cell>
          <cell r="L301">
            <v>2000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11</v>
          </cell>
          <cell r="AD301">
            <v>6</v>
          </cell>
          <cell r="AE301" t="str">
            <v>everyone</v>
          </cell>
        </row>
        <row r="302">
          <cell r="A302" t="str">
            <v>20004_1</v>
          </cell>
          <cell r="B302">
            <v>3</v>
          </cell>
          <cell r="C302">
            <v>20004</v>
          </cell>
          <cell r="D302" t="str">
            <v>雷雲からの刺客</v>
          </cell>
          <cell r="E302" t="str">
            <v>ドロップイベント1-4</v>
          </cell>
          <cell r="F302">
            <v>1</v>
          </cell>
          <cell r="G302" t="str">
            <v>ja</v>
          </cell>
          <cell r="H302" t="str">
            <v>【初級】雷雲からの刺客(ハートなし)</v>
          </cell>
          <cell r="I302" t="str">
            <v>初級</v>
          </cell>
          <cell r="J302">
            <v>268</v>
          </cell>
          <cell r="K302">
            <v>8</v>
          </cell>
          <cell r="L302">
            <v>384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4</v>
          </cell>
          <cell r="AD302">
            <v>6</v>
          </cell>
          <cell r="AE302" t="str">
            <v>everyone</v>
          </cell>
        </row>
        <row r="303">
          <cell r="A303" t="str">
            <v>20004_2</v>
          </cell>
          <cell r="B303">
            <v>3</v>
          </cell>
          <cell r="C303">
            <v>20004</v>
          </cell>
          <cell r="D303" t="str">
            <v>雷雲からの刺客</v>
          </cell>
          <cell r="E303" t="str">
            <v>ドロップイベント1-4</v>
          </cell>
          <cell r="F303">
            <v>2</v>
          </cell>
          <cell r="G303" t="str">
            <v>ja</v>
          </cell>
          <cell r="H303" t="str">
            <v>【中級】雷雲からの刺客(ハートなし)</v>
          </cell>
          <cell r="I303" t="str">
            <v>中級</v>
          </cell>
          <cell r="J303">
            <v>268</v>
          </cell>
          <cell r="K303">
            <v>15</v>
          </cell>
          <cell r="L303">
            <v>1200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4</v>
          </cell>
          <cell r="AD303">
            <v>6</v>
          </cell>
          <cell r="AE303" t="str">
            <v>everyone</v>
          </cell>
        </row>
        <row r="304">
          <cell r="A304" t="str">
            <v>20004_3</v>
          </cell>
          <cell r="B304">
            <v>3</v>
          </cell>
          <cell r="C304">
            <v>20004</v>
          </cell>
          <cell r="D304" t="str">
            <v>雷雲からの刺客</v>
          </cell>
          <cell r="E304" t="str">
            <v>ドロップイベント1-4</v>
          </cell>
          <cell r="F304">
            <v>3</v>
          </cell>
          <cell r="G304" t="str">
            <v>ja</v>
          </cell>
          <cell r="H304" t="str">
            <v>【上級】雷雲からの刺客(ハートなし)</v>
          </cell>
          <cell r="I304" t="str">
            <v>上級</v>
          </cell>
          <cell r="J304">
            <v>269</v>
          </cell>
          <cell r="K304">
            <v>20</v>
          </cell>
          <cell r="L304">
            <v>2000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polygon</v>
          </cell>
          <cell r="T304">
            <v>1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4</v>
          </cell>
          <cell r="AD304">
            <v>6</v>
          </cell>
          <cell r="AE304" t="str">
            <v>everyone</v>
          </cell>
        </row>
        <row r="305">
          <cell r="A305" t="str">
            <v>20005_1</v>
          </cell>
          <cell r="B305">
            <v>3</v>
          </cell>
          <cell r="C305">
            <v>20005</v>
          </cell>
          <cell r="D305" t="str">
            <v>ザ・キャノン</v>
          </cell>
          <cell r="E305" t="str">
            <v>ドロップイベント2-2</v>
          </cell>
          <cell r="F305">
            <v>1</v>
          </cell>
          <cell r="G305" t="str">
            <v>ja</v>
          </cell>
          <cell r="H305" t="str">
            <v>【初級】ザ・キャノン(4タップ）</v>
          </cell>
          <cell r="I305" t="str">
            <v>初級</v>
          </cell>
          <cell r="J305">
            <v>286</v>
          </cell>
          <cell r="K305">
            <v>8</v>
          </cell>
          <cell r="L305">
            <v>384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4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14</v>
          </cell>
          <cell r="AD305">
            <v>6</v>
          </cell>
          <cell r="AE305" t="str">
            <v>everyone</v>
          </cell>
        </row>
        <row r="306">
          <cell r="A306" t="str">
            <v>20005_2</v>
          </cell>
          <cell r="B306">
            <v>3</v>
          </cell>
          <cell r="C306">
            <v>20005</v>
          </cell>
          <cell r="D306" t="str">
            <v>ザ・キャノン</v>
          </cell>
          <cell r="E306" t="str">
            <v>ドロップイベント2-2</v>
          </cell>
          <cell r="F306">
            <v>2</v>
          </cell>
          <cell r="G306" t="str">
            <v>ja</v>
          </cell>
          <cell r="H306" t="str">
            <v>【中級】ザ・キャノン(4タップ)</v>
          </cell>
          <cell r="I306" t="str">
            <v>中級</v>
          </cell>
          <cell r="J306">
            <v>286</v>
          </cell>
          <cell r="K306">
            <v>15</v>
          </cell>
          <cell r="L306">
            <v>1200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4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14</v>
          </cell>
          <cell r="AD306">
            <v>6</v>
          </cell>
          <cell r="AE306" t="str">
            <v>everyone</v>
          </cell>
        </row>
        <row r="307">
          <cell r="A307" t="str">
            <v>20005_3</v>
          </cell>
          <cell r="B307">
            <v>3</v>
          </cell>
          <cell r="C307">
            <v>20005</v>
          </cell>
          <cell r="D307" t="str">
            <v>ザ・キャノン</v>
          </cell>
          <cell r="E307" t="str">
            <v>ドロップイベント2-2</v>
          </cell>
          <cell r="F307">
            <v>3</v>
          </cell>
          <cell r="G307" t="str">
            <v>ja</v>
          </cell>
          <cell r="H307" t="str">
            <v>【上級】ザ・キャノン(4タップ)</v>
          </cell>
          <cell r="I307" t="str">
            <v>上級</v>
          </cell>
          <cell r="J307">
            <v>287</v>
          </cell>
          <cell r="K307">
            <v>20</v>
          </cell>
          <cell r="L307">
            <v>2000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4</v>
          </cell>
          <cell r="S307" t="str">
            <v>polygon</v>
          </cell>
          <cell r="T307">
            <v>1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14</v>
          </cell>
          <cell r="AD307">
            <v>6</v>
          </cell>
          <cell r="AE307" t="str">
            <v>everyone</v>
          </cell>
        </row>
        <row r="308">
          <cell r="A308" t="str">
            <v>20006_1</v>
          </cell>
          <cell r="B308">
            <v>3</v>
          </cell>
          <cell r="C308">
            <v>20006</v>
          </cell>
          <cell r="D308" t="str">
            <v>スチール・プレデター</v>
          </cell>
          <cell r="E308" t="str">
            <v>ドロップイベント2-3</v>
          </cell>
          <cell r="F308">
            <v>1</v>
          </cell>
          <cell r="G308" t="str">
            <v>ja</v>
          </cell>
          <cell r="H308" t="str">
            <v>【初級】スチール・プレデター</v>
          </cell>
          <cell r="I308" t="str">
            <v>初級</v>
          </cell>
          <cell r="J308">
            <v>280</v>
          </cell>
          <cell r="K308">
            <v>8</v>
          </cell>
          <cell r="L308">
            <v>384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2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19</v>
          </cell>
          <cell r="AD308">
            <v>6</v>
          </cell>
          <cell r="AE308" t="str">
            <v>everyone</v>
          </cell>
        </row>
        <row r="309">
          <cell r="A309" t="str">
            <v>20006_2</v>
          </cell>
          <cell r="B309">
            <v>3</v>
          </cell>
          <cell r="C309">
            <v>20006</v>
          </cell>
          <cell r="D309" t="str">
            <v>スチール・プレデター</v>
          </cell>
          <cell r="E309" t="str">
            <v>ドロップイベント2-3</v>
          </cell>
          <cell r="F309">
            <v>2</v>
          </cell>
          <cell r="G309" t="str">
            <v>ja</v>
          </cell>
          <cell r="H309" t="str">
            <v>【中級】スチール・プレデター</v>
          </cell>
          <cell r="I309" t="str">
            <v>中級</v>
          </cell>
          <cell r="J309">
            <v>280</v>
          </cell>
          <cell r="K309">
            <v>15</v>
          </cell>
          <cell r="L309">
            <v>1200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2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19</v>
          </cell>
          <cell r="AD309">
            <v>6</v>
          </cell>
          <cell r="AE309" t="str">
            <v>everyone</v>
          </cell>
        </row>
        <row r="310">
          <cell r="A310" t="str">
            <v>20006_3</v>
          </cell>
          <cell r="B310">
            <v>3</v>
          </cell>
          <cell r="C310">
            <v>20006</v>
          </cell>
          <cell r="D310" t="str">
            <v>スチール・プレデター</v>
          </cell>
          <cell r="E310" t="str">
            <v>ドロップイベント2-3</v>
          </cell>
          <cell r="F310">
            <v>3</v>
          </cell>
          <cell r="G310" t="str">
            <v>ja</v>
          </cell>
          <cell r="H310" t="str">
            <v>【上級】スチール・プレデター</v>
          </cell>
          <cell r="I310" t="str">
            <v>上級</v>
          </cell>
          <cell r="J310">
            <v>281</v>
          </cell>
          <cell r="K310">
            <v>20</v>
          </cell>
          <cell r="L310">
            <v>2000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2</v>
          </cell>
          <cell r="S310" t="str">
            <v>polygon</v>
          </cell>
          <cell r="T310">
            <v>1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19</v>
          </cell>
          <cell r="AD310">
            <v>6</v>
          </cell>
          <cell r="AE310" t="str">
            <v>everyone</v>
          </cell>
        </row>
        <row r="311">
          <cell r="A311" t="str">
            <v>20007_1</v>
          </cell>
          <cell r="B311">
            <v>3</v>
          </cell>
          <cell r="C311">
            <v>20007</v>
          </cell>
          <cell r="D311" t="str">
            <v>女王陛下の処刑龍</v>
          </cell>
          <cell r="E311" t="str">
            <v>ドロップイベント2-1</v>
          </cell>
          <cell r="F311">
            <v>1</v>
          </cell>
          <cell r="G311" t="str">
            <v>ja</v>
          </cell>
          <cell r="H311" t="str">
            <v>【初級】女王陛下の処刑龍(4タップ)</v>
          </cell>
          <cell r="I311" t="str">
            <v>初級</v>
          </cell>
          <cell r="J311">
            <v>282</v>
          </cell>
          <cell r="K311">
            <v>8</v>
          </cell>
          <cell r="L311">
            <v>384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4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17</v>
          </cell>
          <cell r="AD311">
            <v>6</v>
          </cell>
          <cell r="AE311" t="str">
            <v>everyone</v>
          </cell>
        </row>
        <row r="312">
          <cell r="A312" t="str">
            <v>20007_2</v>
          </cell>
          <cell r="B312">
            <v>3</v>
          </cell>
          <cell r="C312">
            <v>20007</v>
          </cell>
          <cell r="D312" t="str">
            <v>女王陛下の処刑龍</v>
          </cell>
          <cell r="E312" t="str">
            <v>ドロップイベント2-1</v>
          </cell>
          <cell r="F312">
            <v>2</v>
          </cell>
          <cell r="G312" t="str">
            <v>ja</v>
          </cell>
          <cell r="H312" t="str">
            <v>【中級】女王陛下の処刑龍(4タップ)</v>
          </cell>
          <cell r="I312" t="str">
            <v>中級</v>
          </cell>
          <cell r="J312">
            <v>282</v>
          </cell>
          <cell r="K312">
            <v>15</v>
          </cell>
          <cell r="L312">
            <v>1200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4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17</v>
          </cell>
          <cell r="AD312">
            <v>6</v>
          </cell>
          <cell r="AE312" t="str">
            <v>everyone</v>
          </cell>
        </row>
        <row r="313">
          <cell r="A313" t="str">
            <v>20007_3</v>
          </cell>
          <cell r="B313">
            <v>3</v>
          </cell>
          <cell r="C313">
            <v>20007</v>
          </cell>
          <cell r="D313" t="str">
            <v>女王陛下の処刑龍</v>
          </cell>
          <cell r="E313" t="str">
            <v>ドロップイベント2-1</v>
          </cell>
          <cell r="F313">
            <v>3</v>
          </cell>
          <cell r="G313" t="str">
            <v>ja</v>
          </cell>
          <cell r="H313" t="str">
            <v>【上級】女王陛下の処刑龍(4タップ)</v>
          </cell>
          <cell r="I313" t="str">
            <v>上級</v>
          </cell>
          <cell r="J313">
            <v>283</v>
          </cell>
          <cell r="K313">
            <v>20</v>
          </cell>
          <cell r="L313">
            <v>2000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polygon</v>
          </cell>
          <cell r="T313">
            <v>1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17</v>
          </cell>
          <cell r="AD313">
            <v>6</v>
          </cell>
          <cell r="AE313" t="str">
            <v>everyone</v>
          </cell>
        </row>
        <row r="314">
          <cell r="A314" t="str">
            <v>20008_1</v>
          </cell>
          <cell r="B314">
            <v>3</v>
          </cell>
          <cell r="C314">
            <v>20008</v>
          </cell>
          <cell r="D314" t="str">
            <v>天翔ける金轟機龍</v>
          </cell>
          <cell r="E314" t="str">
            <v>ドロップイベント2-4</v>
          </cell>
          <cell r="F314">
            <v>1</v>
          </cell>
          <cell r="G314" t="str">
            <v>ja</v>
          </cell>
          <cell r="H314" t="str">
            <v>【初級】天翔ける金轟機龍</v>
          </cell>
          <cell r="I314" t="str">
            <v>初級</v>
          </cell>
          <cell r="J314">
            <v>284</v>
          </cell>
          <cell r="K314">
            <v>8</v>
          </cell>
          <cell r="L314">
            <v>384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8</v>
          </cell>
          <cell r="AD314">
            <v>6</v>
          </cell>
          <cell r="AE314" t="str">
            <v>everyone</v>
          </cell>
        </row>
        <row r="315">
          <cell r="A315" t="str">
            <v>20008_2</v>
          </cell>
          <cell r="B315">
            <v>3</v>
          </cell>
          <cell r="C315">
            <v>20008</v>
          </cell>
          <cell r="D315" t="str">
            <v>天翔ける金轟機龍</v>
          </cell>
          <cell r="E315" t="str">
            <v>ドロップイベント2-4</v>
          </cell>
          <cell r="F315">
            <v>2</v>
          </cell>
          <cell r="G315" t="str">
            <v>ja</v>
          </cell>
          <cell r="H315" t="str">
            <v>【中級】天翔ける金轟機龍</v>
          </cell>
          <cell r="I315" t="str">
            <v>中級</v>
          </cell>
          <cell r="J315">
            <v>284</v>
          </cell>
          <cell r="K315">
            <v>15</v>
          </cell>
          <cell r="L315">
            <v>1200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8</v>
          </cell>
          <cell r="AD315">
            <v>6</v>
          </cell>
          <cell r="AE315" t="str">
            <v>everyone</v>
          </cell>
        </row>
        <row r="316">
          <cell r="A316" t="str">
            <v>20008_3</v>
          </cell>
          <cell r="B316">
            <v>3</v>
          </cell>
          <cell r="C316">
            <v>20008</v>
          </cell>
          <cell r="D316" t="str">
            <v>天翔ける金轟機龍</v>
          </cell>
          <cell r="E316" t="str">
            <v>ドロップイベント2-4</v>
          </cell>
          <cell r="F316">
            <v>3</v>
          </cell>
          <cell r="G316" t="str">
            <v>ja</v>
          </cell>
          <cell r="H316" t="str">
            <v>【上級】天翔ける金轟機龍</v>
          </cell>
          <cell r="I316" t="str">
            <v>上級</v>
          </cell>
          <cell r="J316">
            <v>285</v>
          </cell>
          <cell r="K316">
            <v>20</v>
          </cell>
          <cell r="L316">
            <v>2000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polygon</v>
          </cell>
          <cell r="T316">
            <v>1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8</v>
          </cell>
          <cell r="AD316">
            <v>6</v>
          </cell>
          <cell r="AE316" t="str">
            <v>everyone</v>
          </cell>
        </row>
        <row r="317">
          <cell r="A317" t="str">
            <v>20009_1</v>
          </cell>
          <cell r="B317">
            <v>0</v>
          </cell>
          <cell r="C317">
            <v>20009</v>
          </cell>
          <cell r="D317" t="str">
            <v>迫り来る窒息</v>
          </cell>
          <cell r="E317" t="str">
            <v>ドロップイベント3</v>
          </cell>
          <cell r="F317">
            <v>1</v>
          </cell>
          <cell r="G317" t="str">
            <v>ja</v>
          </cell>
          <cell r="H317" t="str">
            <v>【初級】迫り来る窒息</v>
          </cell>
          <cell r="I317" t="str">
            <v>初級</v>
          </cell>
          <cell r="J317" t="str">
            <v>NULL</v>
          </cell>
          <cell r="K317">
            <v>8</v>
          </cell>
          <cell r="L317">
            <v>384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25</v>
          </cell>
          <cell r="AD317">
            <v>5</v>
          </cell>
          <cell r="AE317" t="str">
            <v>everyone</v>
          </cell>
        </row>
        <row r="318">
          <cell r="A318" t="str">
            <v>20009_2</v>
          </cell>
          <cell r="B318">
            <v>3</v>
          </cell>
          <cell r="C318">
            <v>20009</v>
          </cell>
          <cell r="D318" t="str">
            <v>迫り来る窒息</v>
          </cell>
          <cell r="E318" t="str">
            <v>ドロップイベント3</v>
          </cell>
          <cell r="F318">
            <v>2</v>
          </cell>
          <cell r="G318" t="str">
            <v>ja</v>
          </cell>
          <cell r="H318" t="str">
            <v>【中級】迫り来る窒息</v>
          </cell>
          <cell r="I318" t="str">
            <v>中級</v>
          </cell>
          <cell r="J318">
            <v>302</v>
          </cell>
          <cell r="K318">
            <v>15</v>
          </cell>
          <cell r="L318">
            <v>1200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25</v>
          </cell>
          <cell r="AD318">
            <v>5</v>
          </cell>
          <cell r="AE318" t="str">
            <v>everyone</v>
          </cell>
        </row>
        <row r="319">
          <cell r="A319" t="str">
            <v>20009_3</v>
          </cell>
          <cell r="B319">
            <v>3</v>
          </cell>
          <cell r="C319">
            <v>20009</v>
          </cell>
          <cell r="D319" t="str">
            <v>迫り来る窒息</v>
          </cell>
          <cell r="E319" t="str">
            <v>ドロップイベント3</v>
          </cell>
          <cell r="F319">
            <v>3</v>
          </cell>
          <cell r="G319" t="str">
            <v>ja</v>
          </cell>
          <cell r="H319" t="str">
            <v>【上級】迫り来る窒息</v>
          </cell>
          <cell r="I319" t="str">
            <v>上級</v>
          </cell>
          <cell r="J319">
            <v>303</v>
          </cell>
          <cell r="K319">
            <v>20</v>
          </cell>
          <cell r="L319">
            <v>2000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polygon</v>
          </cell>
          <cell r="T319">
            <v>1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25</v>
          </cell>
          <cell r="AD319">
            <v>5</v>
          </cell>
          <cell r="AE319" t="str">
            <v>everyone</v>
          </cell>
        </row>
        <row r="320">
          <cell r="A320" t="str">
            <v>20010_1</v>
          </cell>
          <cell r="B320">
            <v>3</v>
          </cell>
          <cell r="C320">
            <v>20010</v>
          </cell>
          <cell r="D320" t="str">
            <v>悪夢の一目惚れ</v>
          </cell>
          <cell r="E320" t="str">
            <v>ドロップイベント3</v>
          </cell>
          <cell r="F320">
            <v>1</v>
          </cell>
          <cell r="G320" t="str">
            <v>ja</v>
          </cell>
          <cell r="H320" t="str">
            <v>【初級】悪夢の一目惚れ</v>
          </cell>
          <cell r="I320" t="str">
            <v>初級</v>
          </cell>
          <cell r="J320">
            <v>304</v>
          </cell>
          <cell r="K320">
            <v>8</v>
          </cell>
          <cell r="L320">
            <v>384</v>
          </cell>
          <cell r="M320">
            <v>1</v>
          </cell>
          <cell r="N320">
            <v>1</v>
          </cell>
          <cell r="O320">
            <v>0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2601</v>
          </cell>
          <cell r="AD320">
            <v>6</v>
          </cell>
          <cell r="AE320" t="str">
            <v>everyone</v>
          </cell>
        </row>
        <row r="321">
          <cell r="A321" t="str">
            <v>20010_2</v>
          </cell>
          <cell r="B321">
            <v>3</v>
          </cell>
          <cell r="C321">
            <v>20010</v>
          </cell>
          <cell r="D321" t="str">
            <v>悪夢の一目惚れ</v>
          </cell>
          <cell r="E321" t="str">
            <v>ドロップイベント3</v>
          </cell>
          <cell r="F321">
            <v>2</v>
          </cell>
          <cell r="G321" t="str">
            <v>ja</v>
          </cell>
          <cell r="H321" t="str">
            <v>【中級】悪夢の一目惚れ</v>
          </cell>
          <cell r="I321" t="str">
            <v>中級</v>
          </cell>
          <cell r="J321">
            <v>304</v>
          </cell>
          <cell r="K321">
            <v>15</v>
          </cell>
          <cell r="L321">
            <v>1200</v>
          </cell>
          <cell r="M321">
            <v>1</v>
          </cell>
          <cell r="N321">
            <v>1</v>
          </cell>
          <cell r="O321">
            <v>0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2601</v>
          </cell>
          <cell r="AD321">
            <v>6</v>
          </cell>
          <cell r="AE321" t="str">
            <v>everyone</v>
          </cell>
        </row>
        <row r="322">
          <cell r="A322" t="str">
            <v>20010_3</v>
          </cell>
          <cell r="B322">
            <v>3</v>
          </cell>
          <cell r="C322">
            <v>20010</v>
          </cell>
          <cell r="D322" t="str">
            <v>悪夢の一目惚れ</v>
          </cell>
          <cell r="E322" t="str">
            <v>ドロップイベント3</v>
          </cell>
          <cell r="F322">
            <v>3</v>
          </cell>
          <cell r="G322" t="str">
            <v>ja</v>
          </cell>
          <cell r="H322" t="str">
            <v>【上級】悪夢の一目惚れ</v>
          </cell>
          <cell r="I322" t="str">
            <v>上級</v>
          </cell>
          <cell r="J322">
            <v>305</v>
          </cell>
          <cell r="K322">
            <v>20</v>
          </cell>
          <cell r="L322">
            <v>2000</v>
          </cell>
          <cell r="M322">
            <v>1</v>
          </cell>
          <cell r="N322">
            <v>1</v>
          </cell>
          <cell r="O322">
            <v>0</v>
          </cell>
          <cell r="P322">
            <v>1</v>
          </cell>
          <cell r="Q322">
            <v>1</v>
          </cell>
          <cell r="R322">
            <v>3</v>
          </cell>
          <cell r="S322" t="str">
            <v>polygon</v>
          </cell>
          <cell r="T322">
            <v>1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2601</v>
          </cell>
          <cell r="AD322">
            <v>6</v>
          </cell>
          <cell r="AE322" t="str">
            <v>everyone</v>
          </cell>
        </row>
        <row r="323">
          <cell r="A323" t="str">
            <v>20011_1</v>
          </cell>
          <cell r="B323">
            <v>3</v>
          </cell>
          <cell r="C323">
            <v>20011</v>
          </cell>
          <cell r="D323" t="str">
            <v>すべてが灰になる</v>
          </cell>
          <cell r="E323" t="str">
            <v>ドロップイベント3</v>
          </cell>
          <cell r="F323">
            <v>1</v>
          </cell>
          <cell r="G323" t="str">
            <v>ja</v>
          </cell>
          <cell r="H323" t="str">
            <v>【初級】すべてが灰になる</v>
          </cell>
          <cell r="I323" t="str">
            <v>初級</v>
          </cell>
          <cell r="J323">
            <v>298</v>
          </cell>
          <cell r="K323">
            <v>8</v>
          </cell>
          <cell r="L323">
            <v>384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10</v>
          </cell>
          <cell r="AD323">
            <v>5</v>
          </cell>
          <cell r="AE323" t="str">
            <v>everyone</v>
          </cell>
        </row>
        <row r="324">
          <cell r="A324" t="str">
            <v>20011_2</v>
          </cell>
          <cell r="B324">
            <v>3</v>
          </cell>
          <cell r="C324">
            <v>20011</v>
          </cell>
          <cell r="D324" t="str">
            <v>すべてが灰になる</v>
          </cell>
          <cell r="E324" t="str">
            <v>ドロップイベント3</v>
          </cell>
          <cell r="F324">
            <v>2</v>
          </cell>
          <cell r="G324" t="str">
            <v>ja</v>
          </cell>
          <cell r="H324" t="str">
            <v>【中級】すべてが灰になる</v>
          </cell>
          <cell r="I324" t="str">
            <v>中級</v>
          </cell>
          <cell r="J324">
            <v>298</v>
          </cell>
          <cell r="K324">
            <v>15</v>
          </cell>
          <cell r="L324">
            <v>1200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10</v>
          </cell>
          <cell r="AD324">
            <v>5</v>
          </cell>
          <cell r="AE324" t="str">
            <v>everyone</v>
          </cell>
        </row>
        <row r="325">
          <cell r="A325" t="str">
            <v>20011_3</v>
          </cell>
          <cell r="B325">
            <v>3</v>
          </cell>
          <cell r="C325">
            <v>20011</v>
          </cell>
          <cell r="D325" t="str">
            <v>すべてが灰になる</v>
          </cell>
          <cell r="E325" t="str">
            <v>ドロップイベント3</v>
          </cell>
          <cell r="F325">
            <v>3</v>
          </cell>
          <cell r="G325" t="str">
            <v>ja</v>
          </cell>
          <cell r="H325" t="str">
            <v>【上級】すべてが灰になる</v>
          </cell>
          <cell r="I325" t="str">
            <v>上級</v>
          </cell>
          <cell r="J325">
            <v>299</v>
          </cell>
          <cell r="K325">
            <v>20</v>
          </cell>
          <cell r="L325">
            <v>2000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polygon</v>
          </cell>
          <cell r="T325">
            <v>1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5</v>
          </cell>
          <cell r="AE325" t="str">
            <v>everyone</v>
          </cell>
        </row>
        <row r="326">
          <cell r="A326" t="str">
            <v>20012_1</v>
          </cell>
          <cell r="B326">
            <v>3</v>
          </cell>
          <cell r="C326">
            <v>20012</v>
          </cell>
          <cell r="D326" t="str">
            <v>罪と劇薬</v>
          </cell>
          <cell r="E326" t="str">
            <v>ドロップイベント3</v>
          </cell>
          <cell r="F326">
            <v>1</v>
          </cell>
          <cell r="G326" t="str">
            <v>ja</v>
          </cell>
          <cell r="H326" t="str">
            <v>【初級】罪と劇薬</v>
          </cell>
          <cell r="I326" t="str">
            <v>初級</v>
          </cell>
          <cell r="J326">
            <v>300</v>
          </cell>
          <cell r="K326">
            <v>8</v>
          </cell>
          <cell r="L326">
            <v>384</v>
          </cell>
          <cell r="M326">
            <v>0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19</v>
          </cell>
          <cell r="AD326">
            <v>6</v>
          </cell>
          <cell r="AE326" t="str">
            <v>everyone</v>
          </cell>
        </row>
        <row r="327">
          <cell r="A327" t="str">
            <v>20012_2</v>
          </cell>
          <cell r="B327">
            <v>3</v>
          </cell>
          <cell r="C327">
            <v>20012</v>
          </cell>
          <cell r="D327" t="str">
            <v>罪と劇薬</v>
          </cell>
          <cell r="E327" t="str">
            <v>ドロップイベント3</v>
          </cell>
          <cell r="F327">
            <v>2</v>
          </cell>
          <cell r="G327" t="str">
            <v>ja</v>
          </cell>
          <cell r="H327" t="str">
            <v>【中級】罪と劇薬</v>
          </cell>
          <cell r="I327" t="str">
            <v>中級</v>
          </cell>
          <cell r="J327">
            <v>300</v>
          </cell>
          <cell r="K327">
            <v>15</v>
          </cell>
          <cell r="L327">
            <v>1200</v>
          </cell>
          <cell r="M327">
            <v>0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19</v>
          </cell>
          <cell r="AD327">
            <v>6</v>
          </cell>
          <cell r="AE327" t="str">
            <v>everyone</v>
          </cell>
        </row>
        <row r="328">
          <cell r="A328" t="str">
            <v>20012_3</v>
          </cell>
          <cell r="B328">
            <v>3</v>
          </cell>
          <cell r="C328">
            <v>20012</v>
          </cell>
          <cell r="D328" t="str">
            <v>罪と劇薬</v>
          </cell>
          <cell r="E328" t="str">
            <v>ドロップイベント3</v>
          </cell>
          <cell r="F328">
            <v>3</v>
          </cell>
          <cell r="G328" t="str">
            <v>ja</v>
          </cell>
          <cell r="H328" t="str">
            <v>【上級】罪と劇薬</v>
          </cell>
          <cell r="I328" t="str">
            <v>上級</v>
          </cell>
          <cell r="J328">
            <v>301</v>
          </cell>
          <cell r="K328">
            <v>20</v>
          </cell>
          <cell r="L328">
            <v>2000</v>
          </cell>
          <cell r="M328">
            <v>0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polygon</v>
          </cell>
          <cell r="T328">
            <v>1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19</v>
          </cell>
          <cell r="AD328">
            <v>6</v>
          </cell>
          <cell r="AE328" t="str">
            <v>everyone</v>
          </cell>
        </row>
        <row r="329">
          <cell r="A329" t="str">
            <v>30001_1</v>
          </cell>
          <cell r="B329">
            <v>3</v>
          </cell>
          <cell r="C329">
            <v>30001</v>
          </cell>
          <cell r="D329" t="str">
            <v>ハンター・オブ・ハンター</v>
          </cell>
          <cell r="E329" t="str">
            <v>ドロップイベント1-1（マルチ専用）</v>
          </cell>
          <cell r="F329">
            <v>1</v>
          </cell>
          <cell r="G329" t="str">
            <v>ja</v>
          </cell>
          <cell r="H329" t="str">
            <v xml:space="preserve">【中級】ハンター・オブ・ハンター </v>
          </cell>
          <cell r="I329" t="str">
            <v>中級</v>
          </cell>
          <cell r="J329">
            <v>270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7</v>
          </cell>
          <cell r="AD329">
            <v>6</v>
          </cell>
          <cell r="AE329" t="str">
            <v>everyone</v>
          </cell>
        </row>
        <row r="330">
          <cell r="A330" t="str">
            <v>30001_2</v>
          </cell>
          <cell r="B330">
            <v>3</v>
          </cell>
          <cell r="C330">
            <v>30001</v>
          </cell>
          <cell r="D330" t="str">
            <v>ハンター・オブ・ハンター</v>
          </cell>
          <cell r="E330" t="str">
            <v>ドロップイベント1-1（マルチ専用）</v>
          </cell>
          <cell r="F330">
            <v>2</v>
          </cell>
          <cell r="G330" t="str">
            <v>ja</v>
          </cell>
          <cell r="H330" t="str">
            <v xml:space="preserve">【上級】ハンター・オブ・ハンター </v>
          </cell>
          <cell r="I330" t="str">
            <v>上級</v>
          </cell>
          <cell r="J330">
            <v>270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everyone</v>
          </cell>
        </row>
        <row r="331">
          <cell r="A331" t="str">
            <v>30001_3</v>
          </cell>
          <cell r="B331">
            <v>3</v>
          </cell>
          <cell r="C331">
            <v>30001</v>
          </cell>
          <cell r="D331" t="str">
            <v>ハンター・オブ・ハンター</v>
          </cell>
          <cell r="E331" t="str">
            <v>ドロップイベント1-1（マルチ専用）</v>
          </cell>
          <cell r="F331">
            <v>3</v>
          </cell>
          <cell r="G331" t="str">
            <v>ja</v>
          </cell>
          <cell r="H331" t="str">
            <v xml:space="preserve">【超級】ハンター・オブ・ハンター </v>
          </cell>
          <cell r="I331" t="str">
            <v>超級</v>
          </cell>
          <cell r="J331">
            <v>271</v>
          </cell>
          <cell r="K331">
            <v>30</v>
          </cell>
          <cell r="L331">
            <v>3300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polygon</v>
          </cell>
          <cell r="T331">
            <v>1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7</v>
          </cell>
          <cell r="AD331">
            <v>6</v>
          </cell>
          <cell r="AE331" t="str">
            <v>everyone</v>
          </cell>
        </row>
        <row r="332">
          <cell r="A332" t="str">
            <v>30002_1</v>
          </cell>
          <cell r="B332">
            <v>3</v>
          </cell>
          <cell r="C332">
            <v>30002</v>
          </cell>
          <cell r="D332" t="str">
            <v>トリックスター</v>
          </cell>
          <cell r="E332" t="str">
            <v>ドロップイベント1-2（マルチ専用）</v>
          </cell>
          <cell r="F332">
            <v>1</v>
          </cell>
          <cell r="G332" t="str">
            <v>ja</v>
          </cell>
          <cell r="H332" t="str">
            <v xml:space="preserve">【中級】トリックスター </v>
          </cell>
          <cell r="I332" t="str">
            <v>中級</v>
          </cell>
          <cell r="J332">
            <v>272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17</v>
          </cell>
          <cell r="AD332">
            <v>6</v>
          </cell>
          <cell r="AE332" t="str">
            <v>everyone</v>
          </cell>
        </row>
        <row r="333">
          <cell r="A333" t="str">
            <v>30002_2</v>
          </cell>
          <cell r="B333">
            <v>3</v>
          </cell>
          <cell r="C333">
            <v>30002</v>
          </cell>
          <cell r="D333" t="str">
            <v>トリックスター</v>
          </cell>
          <cell r="E333" t="str">
            <v>ドロップイベント1-2（マルチ専用）</v>
          </cell>
          <cell r="F333">
            <v>2</v>
          </cell>
          <cell r="G333" t="str">
            <v>ja</v>
          </cell>
          <cell r="H333" t="str">
            <v xml:space="preserve">【上級】トリックスター </v>
          </cell>
          <cell r="I333" t="str">
            <v>上級</v>
          </cell>
          <cell r="J333">
            <v>272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17</v>
          </cell>
          <cell r="AD333">
            <v>6</v>
          </cell>
          <cell r="AE333" t="str">
            <v>everyone</v>
          </cell>
        </row>
        <row r="334">
          <cell r="A334" t="str">
            <v>30002_3</v>
          </cell>
          <cell r="B334">
            <v>3</v>
          </cell>
          <cell r="C334">
            <v>30002</v>
          </cell>
          <cell r="D334" t="str">
            <v>トリックスター</v>
          </cell>
          <cell r="E334" t="str">
            <v>ドロップイベント1-2（マルチ専用）</v>
          </cell>
          <cell r="F334">
            <v>3</v>
          </cell>
          <cell r="G334" t="str">
            <v>ja</v>
          </cell>
          <cell r="H334" t="str">
            <v xml:space="preserve">【超級】トリックスター </v>
          </cell>
          <cell r="I334" t="str">
            <v>超級</v>
          </cell>
          <cell r="J334">
            <v>273</v>
          </cell>
          <cell r="K334">
            <v>30</v>
          </cell>
          <cell r="L334">
            <v>3300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17</v>
          </cell>
          <cell r="AD334">
            <v>6</v>
          </cell>
          <cell r="AE334" t="str">
            <v>everyone</v>
          </cell>
        </row>
        <row r="335">
          <cell r="A335" t="str">
            <v>30003_1</v>
          </cell>
          <cell r="B335">
            <v>3</v>
          </cell>
          <cell r="C335">
            <v>30003</v>
          </cell>
          <cell r="D335" t="str">
            <v>打ち下ろされる砕棒</v>
          </cell>
          <cell r="E335" t="str">
            <v>ドロップイベント1-3（マルチ専用）</v>
          </cell>
          <cell r="F335">
            <v>1</v>
          </cell>
          <cell r="G335" t="str">
            <v>ja</v>
          </cell>
          <cell r="H335" t="str">
            <v xml:space="preserve">【中級】打ち下ろされる砕棒 </v>
          </cell>
          <cell r="I335" t="str">
            <v>中級</v>
          </cell>
          <cell r="J335">
            <v>274</v>
          </cell>
          <cell r="K335">
            <v>15</v>
          </cell>
          <cell r="L335">
            <v>1200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20</v>
          </cell>
          <cell r="AD335">
            <v>6</v>
          </cell>
          <cell r="AE335" t="str">
            <v>everyone</v>
          </cell>
        </row>
        <row r="336">
          <cell r="A336" t="str">
            <v>30003_2</v>
          </cell>
          <cell r="B336">
            <v>3</v>
          </cell>
          <cell r="C336">
            <v>30003</v>
          </cell>
          <cell r="D336" t="str">
            <v>打ち下ろされる砕棒</v>
          </cell>
          <cell r="E336" t="str">
            <v>ドロップイベント1-3（マルチ専用）</v>
          </cell>
          <cell r="F336">
            <v>2</v>
          </cell>
          <cell r="G336" t="str">
            <v>ja</v>
          </cell>
          <cell r="H336" t="str">
            <v>【上級】打ち下ろされる砕棒</v>
          </cell>
          <cell r="I336" t="str">
            <v>上級</v>
          </cell>
          <cell r="J336">
            <v>274</v>
          </cell>
          <cell r="K336">
            <v>20</v>
          </cell>
          <cell r="L336">
            <v>2000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20</v>
          </cell>
          <cell r="AD336">
            <v>6</v>
          </cell>
          <cell r="AE336" t="str">
            <v>everyone</v>
          </cell>
        </row>
        <row r="337">
          <cell r="A337" t="str">
            <v>30003_3</v>
          </cell>
          <cell r="B337">
            <v>3</v>
          </cell>
          <cell r="C337">
            <v>30003</v>
          </cell>
          <cell r="D337" t="str">
            <v>打ち下ろされる砕棒</v>
          </cell>
          <cell r="E337" t="str">
            <v>ドロップイベント1-3（マルチ専用）</v>
          </cell>
          <cell r="F337">
            <v>3</v>
          </cell>
          <cell r="G337" t="str">
            <v>ja</v>
          </cell>
          <cell r="H337" t="str">
            <v xml:space="preserve">【超級】打ち下ろされる砕棒 </v>
          </cell>
          <cell r="I337" t="str">
            <v>超級</v>
          </cell>
          <cell r="J337">
            <v>275</v>
          </cell>
          <cell r="K337">
            <v>30</v>
          </cell>
          <cell r="L337">
            <v>3300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20</v>
          </cell>
          <cell r="AD337">
            <v>6</v>
          </cell>
          <cell r="AE337" t="str">
            <v>everyone</v>
          </cell>
        </row>
        <row r="338">
          <cell r="A338" t="str">
            <v>30004_1</v>
          </cell>
          <cell r="B338">
            <v>3</v>
          </cell>
          <cell r="C338">
            <v>30004</v>
          </cell>
          <cell r="D338" t="str">
            <v>危険な仲裁者</v>
          </cell>
          <cell r="E338" t="str">
            <v>ドロップイベント1-4（マルチ専用）</v>
          </cell>
          <cell r="F338">
            <v>1</v>
          </cell>
          <cell r="G338" t="str">
            <v>ja</v>
          </cell>
          <cell r="H338" t="str">
            <v xml:space="preserve">【中級】危険な仲裁者 </v>
          </cell>
          <cell r="I338" t="str">
            <v>中級</v>
          </cell>
          <cell r="J338">
            <v>276</v>
          </cell>
          <cell r="K338">
            <v>15</v>
          </cell>
          <cell r="L338">
            <v>1200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14</v>
          </cell>
          <cell r="AD338">
            <v>6</v>
          </cell>
          <cell r="AE338" t="str">
            <v>everyone</v>
          </cell>
        </row>
        <row r="339">
          <cell r="A339" t="str">
            <v>30004_2</v>
          </cell>
          <cell r="B339">
            <v>3</v>
          </cell>
          <cell r="C339">
            <v>30004</v>
          </cell>
          <cell r="D339" t="str">
            <v>危険な仲裁者</v>
          </cell>
          <cell r="E339" t="str">
            <v>ドロップイベント1-4（マルチ専用）</v>
          </cell>
          <cell r="F339">
            <v>2</v>
          </cell>
          <cell r="G339" t="str">
            <v>ja</v>
          </cell>
          <cell r="H339" t="str">
            <v xml:space="preserve">【上級】危険な仲裁者 </v>
          </cell>
          <cell r="I339" t="str">
            <v>上級</v>
          </cell>
          <cell r="J339">
            <v>276</v>
          </cell>
          <cell r="K339">
            <v>20</v>
          </cell>
          <cell r="L339">
            <v>2000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14</v>
          </cell>
          <cell r="AD339">
            <v>6</v>
          </cell>
          <cell r="AE339" t="str">
            <v>everyone</v>
          </cell>
        </row>
        <row r="340">
          <cell r="A340" t="str">
            <v>30004_3</v>
          </cell>
          <cell r="B340">
            <v>3</v>
          </cell>
          <cell r="C340">
            <v>30004</v>
          </cell>
          <cell r="D340" t="str">
            <v>危険な仲裁者</v>
          </cell>
          <cell r="E340" t="str">
            <v>ドロップイベント1-4（マルチ専用）</v>
          </cell>
          <cell r="F340">
            <v>3</v>
          </cell>
          <cell r="G340" t="str">
            <v>ja</v>
          </cell>
          <cell r="H340" t="str">
            <v xml:space="preserve">【超級】危険な仲裁者 </v>
          </cell>
          <cell r="I340" t="str">
            <v>超級</v>
          </cell>
          <cell r="J340">
            <v>277</v>
          </cell>
          <cell r="K340">
            <v>30</v>
          </cell>
          <cell r="L340">
            <v>3300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14</v>
          </cell>
          <cell r="AD340">
            <v>6</v>
          </cell>
          <cell r="AE340" t="str">
            <v>everyone</v>
          </cell>
        </row>
        <row r="341">
          <cell r="A341" t="str">
            <v>30005_1</v>
          </cell>
          <cell r="B341">
            <v>3</v>
          </cell>
          <cell r="C341">
            <v>30005</v>
          </cell>
          <cell r="D341" t="str">
            <v>ニンゲンにしてあげる☆</v>
          </cell>
          <cell r="E341" t="str">
            <v>ドロップイベント2-1（マルチ専用）</v>
          </cell>
          <cell r="F341">
            <v>1</v>
          </cell>
          <cell r="G341" t="str">
            <v>ja</v>
          </cell>
          <cell r="H341" t="str">
            <v xml:space="preserve">【中級】ニンゲンにしてあげる </v>
          </cell>
          <cell r="I341" t="str">
            <v>中級</v>
          </cell>
          <cell r="J341">
            <v>290</v>
          </cell>
          <cell r="K341">
            <v>15</v>
          </cell>
          <cell r="L341">
            <v>1200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11</v>
          </cell>
          <cell r="AD341">
            <v>6</v>
          </cell>
          <cell r="AE341" t="str">
            <v>everyone</v>
          </cell>
        </row>
        <row r="342">
          <cell r="A342" t="str">
            <v>30005_2</v>
          </cell>
          <cell r="B342">
            <v>3</v>
          </cell>
          <cell r="C342">
            <v>30005</v>
          </cell>
          <cell r="D342" t="str">
            <v>ニンゲンにしてあげる☆</v>
          </cell>
          <cell r="E342" t="str">
            <v>ドロップイベント2-1（マルチ専用）</v>
          </cell>
          <cell r="F342">
            <v>2</v>
          </cell>
          <cell r="G342" t="str">
            <v>ja</v>
          </cell>
          <cell r="H342" t="str">
            <v xml:space="preserve">【上級】ニンゲンにしてあげる </v>
          </cell>
          <cell r="I342" t="str">
            <v>上級</v>
          </cell>
          <cell r="J342">
            <v>290</v>
          </cell>
          <cell r="K342">
            <v>20</v>
          </cell>
          <cell r="L342">
            <v>2000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11</v>
          </cell>
          <cell r="AD342">
            <v>6</v>
          </cell>
          <cell r="AE342" t="str">
            <v>everyone</v>
          </cell>
        </row>
        <row r="343">
          <cell r="A343" t="str">
            <v>30005_3</v>
          </cell>
          <cell r="B343">
            <v>3</v>
          </cell>
          <cell r="C343">
            <v>30005</v>
          </cell>
          <cell r="D343" t="str">
            <v>ニンゲンにしてあげる☆</v>
          </cell>
          <cell r="E343" t="str">
            <v>ドロップイベント2-1（マルチ専用）</v>
          </cell>
          <cell r="F343">
            <v>3</v>
          </cell>
          <cell r="G343" t="str">
            <v>ja</v>
          </cell>
          <cell r="H343" t="str">
            <v>【超級】ニンゲンにしてあげる</v>
          </cell>
          <cell r="I343" t="str">
            <v>超級</v>
          </cell>
          <cell r="J343">
            <v>291</v>
          </cell>
          <cell r="K343">
            <v>30</v>
          </cell>
          <cell r="L343">
            <v>3300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11</v>
          </cell>
          <cell r="AD343">
            <v>6</v>
          </cell>
          <cell r="AE343" t="str">
            <v>everyone</v>
          </cell>
        </row>
        <row r="344">
          <cell r="A344" t="str">
            <v>30006_1</v>
          </cell>
          <cell r="B344">
            <v>3</v>
          </cell>
          <cell r="C344">
            <v>30006</v>
          </cell>
          <cell r="D344" t="str">
            <v>それはお前を食べるためさ</v>
          </cell>
          <cell r="E344" t="str">
            <v>ドロップイベント2-3（マルチ専用）</v>
          </cell>
          <cell r="F344">
            <v>1</v>
          </cell>
          <cell r="G344" t="str">
            <v>ja</v>
          </cell>
          <cell r="H344" t="str">
            <v>【中級】それはお前を食べるためさ</v>
          </cell>
          <cell r="I344" t="str">
            <v>中級</v>
          </cell>
          <cell r="J344">
            <v>294</v>
          </cell>
          <cell r="K344">
            <v>15</v>
          </cell>
          <cell r="L344">
            <v>1200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7</v>
          </cell>
          <cell r="AD344">
            <v>6</v>
          </cell>
          <cell r="AE344" t="str">
            <v>everyone</v>
          </cell>
        </row>
        <row r="345">
          <cell r="A345" t="str">
            <v>30006_2</v>
          </cell>
          <cell r="B345">
            <v>3</v>
          </cell>
          <cell r="C345">
            <v>30006</v>
          </cell>
          <cell r="D345" t="str">
            <v>それはお前を食べるためさ</v>
          </cell>
          <cell r="E345" t="str">
            <v>ドロップイベント2-3（マルチ専用）</v>
          </cell>
          <cell r="F345">
            <v>2</v>
          </cell>
          <cell r="G345" t="str">
            <v>ja</v>
          </cell>
          <cell r="H345" t="str">
            <v>【上級】それはお前を食べるためさ</v>
          </cell>
          <cell r="I345" t="str">
            <v>上級</v>
          </cell>
          <cell r="J345">
            <v>294</v>
          </cell>
          <cell r="K345">
            <v>20</v>
          </cell>
          <cell r="L345">
            <v>2000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7</v>
          </cell>
          <cell r="AD345">
            <v>6</v>
          </cell>
          <cell r="AE345" t="str">
            <v>everyone</v>
          </cell>
        </row>
        <row r="346">
          <cell r="A346" t="str">
            <v>30006_3</v>
          </cell>
          <cell r="B346">
            <v>3</v>
          </cell>
          <cell r="C346">
            <v>30006</v>
          </cell>
          <cell r="D346" t="str">
            <v>それはお前を食べるためさ</v>
          </cell>
          <cell r="E346" t="str">
            <v>ドロップイベント2-3（マルチ専用）</v>
          </cell>
          <cell r="F346">
            <v>3</v>
          </cell>
          <cell r="G346" t="str">
            <v>ja</v>
          </cell>
          <cell r="H346" t="str">
            <v>【超級】それはお前を食べるためさ</v>
          </cell>
          <cell r="I346" t="str">
            <v>超級</v>
          </cell>
          <cell r="J346">
            <v>295</v>
          </cell>
          <cell r="K346">
            <v>30</v>
          </cell>
          <cell r="L346">
            <v>3300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30007_1</v>
          </cell>
          <cell r="B347">
            <v>3</v>
          </cell>
          <cell r="C347">
            <v>30007</v>
          </cell>
          <cell r="D347" t="str">
            <v>ガラスの靴は私のもの</v>
          </cell>
          <cell r="E347" t="str">
            <v>ドロップイベント2-2（マルチ専用）</v>
          </cell>
          <cell r="F347">
            <v>1</v>
          </cell>
          <cell r="G347" t="str">
            <v>ja</v>
          </cell>
          <cell r="H347" t="str">
            <v xml:space="preserve">【中級】ガラスの靴は私のもの </v>
          </cell>
          <cell r="I347" t="str">
            <v>中級</v>
          </cell>
          <cell r="J347">
            <v>292</v>
          </cell>
          <cell r="K347">
            <v>15</v>
          </cell>
          <cell r="L347">
            <v>1200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9</v>
          </cell>
          <cell r="AD347">
            <v>6</v>
          </cell>
          <cell r="AE347" t="str">
            <v>everyone</v>
          </cell>
        </row>
        <row r="348">
          <cell r="A348" t="str">
            <v>30007_2</v>
          </cell>
          <cell r="B348">
            <v>3</v>
          </cell>
          <cell r="C348">
            <v>30007</v>
          </cell>
          <cell r="D348" t="str">
            <v>ガラスの靴は私のもの</v>
          </cell>
          <cell r="E348" t="str">
            <v>ドロップイベント2-2（マルチ専用）</v>
          </cell>
          <cell r="F348">
            <v>2</v>
          </cell>
          <cell r="G348" t="str">
            <v>ja</v>
          </cell>
          <cell r="H348" t="str">
            <v>【上級】ガラスの靴は私のもの</v>
          </cell>
          <cell r="I348" t="str">
            <v>上級</v>
          </cell>
          <cell r="J348">
            <v>292</v>
          </cell>
          <cell r="K348">
            <v>20</v>
          </cell>
          <cell r="L348">
            <v>2000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9</v>
          </cell>
          <cell r="AD348">
            <v>6</v>
          </cell>
          <cell r="AE348" t="str">
            <v>everyone</v>
          </cell>
        </row>
        <row r="349">
          <cell r="A349" t="str">
            <v>30007_3</v>
          </cell>
          <cell r="B349">
            <v>3</v>
          </cell>
          <cell r="C349">
            <v>30007</v>
          </cell>
          <cell r="D349" t="str">
            <v>ガラスの靴は私のもの</v>
          </cell>
          <cell r="E349" t="str">
            <v>ドロップイベント2-2（マルチ専用）</v>
          </cell>
          <cell r="F349">
            <v>3</v>
          </cell>
          <cell r="G349" t="str">
            <v>ja</v>
          </cell>
          <cell r="H349" t="str">
            <v xml:space="preserve">【超級】ガラスの靴は私のもの </v>
          </cell>
          <cell r="I349" t="str">
            <v>超級</v>
          </cell>
          <cell r="J349">
            <v>293</v>
          </cell>
          <cell r="K349">
            <v>30</v>
          </cell>
          <cell r="L349">
            <v>3300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9</v>
          </cell>
          <cell r="AD349">
            <v>6</v>
          </cell>
          <cell r="AE349" t="str">
            <v>everyone</v>
          </cell>
        </row>
        <row r="350">
          <cell r="A350" t="str">
            <v>30008_1</v>
          </cell>
          <cell r="B350">
            <v>3</v>
          </cell>
          <cell r="C350">
            <v>30008</v>
          </cell>
          <cell r="D350" t="str">
            <v>わたしの嫁を返してもらおう</v>
          </cell>
          <cell r="E350" t="str">
            <v>ドロップイベント2-4（マルチ専用）</v>
          </cell>
          <cell r="F350">
            <v>1</v>
          </cell>
          <cell r="G350" t="str">
            <v>ja</v>
          </cell>
          <cell r="H350" t="str">
            <v>【中級】わたしの嫁を返してもらおう</v>
          </cell>
          <cell r="I350" t="str">
            <v>中級</v>
          </cell>
          <cell r="J350">
            <v>288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22</v>
          </cell>
          <cell r="AD350">
            <v>6</v>
          </cell>
          <cell r="AE350" t="str">
            <v>everyone</v>
          </cell>
        </row>
        <row r="351">
          <cell r="A351" t="str">
            <v>30008_2</v>
          </cell>
          <cell r="B351">
            <v>3</v>
          </cell>
          <cell r="C351">
            <v>30008</v>
          </cell>
          <cell r="D351" t="str">
            <v>わたしの嫁を返してもらおう</v>
          </cell>
          <cell r="E351" t="str">
            <v>ドロップイベント2-4（マルチ専用）</v>
          </cell>
          <cell r="F351">
            <v>2</v>
          </cell>
          <cell r="G351" t="str">
            <v>ja</v>
          </cell>
          <cell r="H351" t="str">
            <v>【上級】わたしの嫁を返してもらおう</v>
          </cell>
          <cell r="I351" t="str">
            <v>上級</v>
          </cell>
          <cell r="J351">
            <v>288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22</v>
          </cell>
          <cell r="AD351">
            <v>6</v>
          </cell>
          <cell r="AE351" t="str">
            <v>everyone</v>
          </cell>
        </row>
        <row r="352">
          <cell r="A352" t="str">
            <v>30008_3</v>
          </cell>
          <cell r="B352">
            <v>3</v>
          </cell>
          <cell r="C352">
            <v>30008</v>
          </cell>
          <cell r="D352" t="str">
            <v>わたしの嫁を返してもらおう</v>
          </cell>
          <cell r="E352" t="str">
            <v>ドロップイベント2-4（マルチ専用）</v>
          </cell>
          <cell r="F352">
            <v>3</v>
          </cell>
          <cell r="G352" t="str">
            <v>ja</v>
          </cell>
          <cell r="H352" t="str">
            <v>【超級】わたしの嫁を返してもらおう</v>
          </cell>
          <cell r="I352" t="str">
            <v>超級</v>
          </cell>
          <cell r="J352">
            <v>289</v>
          </cell>
          <cell r="K352">
            <v>30</v>
          </cell>
          <cell r="L352">
            <v>3300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22</v>
          </cell>
          <cell r="AD352">
            <v>6</v>
          </cell>
          <cell r="AE352" t="str">
            <v>everyone</v>
          </cell>
        </row>
        <row r="353">
          <cell r="A353" t="str">
            <v>30009_3</v>
          </cell>
          <cell r="B353">
            <v>0</v>
          </cell>
          <cell r="C353">
            <v>30009</v>
          </cell>
          <cell r="D353" t="str">
            <v>復活の捕食者</v>
          </cell>
          <cell r="E353" t="str">
            <v>ドロップイベント3（マルチ専用）</v>
          </cell>
          <cell r="F353">
            <v>3</v>
          </cell>
          <cell r="G353" t="str">
            <v>ja</v>
          </cell>
          <cell r="H353" t="str">
            <v>【上級】復活の捕食者</v>
          </cell>
          <cell r="I353" t="str">
            <v>上級</v>
          </cell>
          <cell r="J353">
            <v>312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2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30009_1</v>
          </cell>
          <cell r="B354">
            <v>3</v>
          </cell>
          <cell r="C354">
            <v>30009</v>
          </cell>
          <cell r="D354" t="str">
            <v>復活の捕食者</v>
          </cell>
          <cell r="E354" t="str">
            <v>ドロップイベント3（マルチ専用）</v>
          </cell>
          <cell r="F354">
            <v>1</v>
          </cell>
          <cell r="G354" t="str">
            <v>ja</v>
          </cell>
          <cell r="H354" t="str">
            <v>【超級】復活の捕食者</v>
          </cell>
          <cell r="I354" t="str">
            <v>超級</v>
          </cell>
          <cell r="J354">
            <v>312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2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30009_2</v>
          </cell>
          <cell r="B355">
            <v>3</v>
          </cell>
          <cell r="C355">
            <v>30009</v>
          </cell>
          <cell r="D355" t="str">
            <v>復活の捕食者</v>
          </cell>
          <cell r="E355" t="str">
            <v>ドロップイベント3（マルチ専用）</v>
          </cell>
          <cell r="F355">
            <v>2</v>
          </cell>
          <cell r="G355" t="str">
            <v>ja</v>
          </cell>
          <cell r="H355" t="str">
            <v>【超絶級】復活の捕食者</v>
          </cell>
          <cell r="I355" t="str">
            <v>超絶級</v>
          </cell>
          <cell r="J355">
            <v>312</v>
          </cell>
          <cell r="K355">
            <v>35</v>
          </cell>
          <cell r="L355">
            <v>4200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2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30010_1</v>
          </cell>
          <cell r="B356">
            <v>3</v>
          </cell>
          <cell r="C356">
            <v>30010</v>
          </cell>
          <cell r="D356" t="str">
            <v>最大最凶</v>
          </cell>
          <cell r="E356" t="str">
            <v>ドロップイベント3（マルチ専用）</v>
          </cell>
          <cell r="F356">
            <v>1</v>
          </cell>
          <cell r="G356" t="str">
            <v>ja</v>
          </cell>
          <cell r="H356" t="str">
            <v>【上級】最大最凶</v>
          </cell>
          <cell r="I356" t="str">
            <v>上級</v>
          </cell>
          <cell r="J356">
            <v>306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</v>
          </cell>
          <cell r="AD356">
            <v>7</v>
          </cell>
          <cell r="AE356" t="str">
            <v>everyone</v>
          </cell>
        </row>
        <row r="357">
          <cell r="A357" t="str">
            <v>30010_2</v>
          </cell>
          <cell r="B357">
            <v>3</v>
          </cell>
          <cell r="C357">
            <v>30010</v>
          </cell>
          <cell r="D357" t="str">
            <v>最大最凶</v>
          </cell>
          <cell r="E357" t="str">
            <v>ドロップイベント3（マルチ専用）</v>
          </cell>
          <cell r="F357">
            <v>2</v>
          </cell>
          <cell r="G357" t="str">
            <v>ja</v>
          </cell>
          <cell r="H357" t="str">
            <v>【超級】最大最凶</v>
          </cell>
          <cell r="I357" t="str">
            <v>超級</v>
          </cell>
          <cell r="J357">
            <v>306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</v>
          </cell>
          <cell r="AD357">
            <v>7</v>
          </cell>
          <cell r="AE357" t="str">
            <v>everyone</v>
          </cell>
        </row>
        <row r="358">
          <cell r="A358" t="str">
            <v>30010_3</v>
          </cell>
          <cell r="B358">
            <v>3</v>
          </cell>
          <cell r="C358">
            <v>30010</v>
          </cell>
          <cell r="D358" t="str">
            <v>最大最凶</v>
          </cell>
          <cell r="E358" t="str">
            <v>ドロップイベント3（マルチ専用）</v>
          </cell>
          <cell r="F358">
            <v>3</v>
          </cell>
          <cell r="G358" t="str">
            <v>ja</v>
          </cell>
          <cell r="H358" t="str">
            <v>【超絶級】最大最凶</v>
          </cell>
          <cell r="I358" t="str">
            <v>超絶級</v>
          </cell>
          <cell r="J358">
            <v>306</v>
          </cell>
          <cell r="K358">
            <v>35</v>
          </cell>
          <cell r="L358">
            <v>4200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</v>
          </cell>
          <cell r="AD358">
            <v>7</v>
          </cell>
          <cell r="AE358" t="str">
            <v>everyone</v>
          </cell>
        </row>
        <row r="359">
          <cell r="A359" t="str">
            <v>30011_1</v>
          </cell>
          <cell r="B359">
            <v>3</v>
          </cell>
          <cell r="C359">
            <v>30011</v>
          </cell>
          <cell r="D359" t="str">
            <v>気怠い巨読者</v>
          </cell>
          <cell r="E359" t="str">
            <v>ドロップイベント3（マルチ専用）</v>
          </cell>
          <cell r="F359">
            <v>1</v>
          </cell>
          <cell r="G359" t="str">
            <v>ja</v>
          </cell>
          <cell r="H359" t="str">
            <v>【上級】気怠い巨読者</v>
          </cell>
          <cell r="I359" t="str">
            <v>上級</v>
          </cell>
          <cell r="J359">
            <v>308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2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19</v>
          </cell>
          <cell r="AD359">
            <v>6</v>
          </cell>
          <cell r="AE359" t="str">
            <v>everyone</v>
          </cell>
        </row>
        <row r="360">
          <cell r="A360" t="str">
            <v>30011_2</v>
          </cell>
          <cell r="B360">
            <v>3</v>
          </cell>
          <cell r="C360">
            <v>30011</v>
          </cell>
          <cell r="D360" t="str">
            <v>気怠い巨読者</v>
          </cell>
          <cell r="E360" t="str">
            <v>ドロップイベント3（マルチ専用）</v>
          </cell>
          <cell r="F360">
            <v>2</v>
          </cell>
          <cell r="G360" t="str">
            <v>ja</v>
          </cell>
          <cell r="H360" t="str">
            <v>【超級】気怠い巨読者</v>
          </cell>
          <cell r="I360" t="str">
            <v>超級</v>
          </cell>
          <cell r="J360">
            <v>308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2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19</v>
          </cell>
          <cell r="AD360">
            <v>6</v>
          </cell>
          <cell r="AE360" t="str">
            <v>everyone</v>
          </cell>
        </row>
        <row r="361">
          <cell r="A361" t="str">
            <v>30011_3</v>
          </cell>
          <cell r="B361">
            <v>3</v>
          </cell>
          <cell r="C361">
            <v>30011</v>
          </cell>
          <cell r="D361" t="str">
            <v>気怠い巨読者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【超絶級】気怠い巨読者</v>
          </cell>
          <cell r="I361" t="str">
            <v>超絶級</v>
          </cell>
          <cell r="J361">
            <v>309</v>
          </cell>
          <cell r="K361">
            <v>35</v>
          </cell>
          <cell r="L361">
            <v>4200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19</v>
          </cell>
          <cell r="AD361">
            <v>6</v>
          </cell>
          <cell r="AE361" t="str">
            <v>everyone</v>
          </cell>
        </row>
        <row r="362">
          <cell r="A362" t="str">
            <v>30012_1</v>
          </cell>
          <cell r="B362">
            <v>3</v>
          </cell>
          <cell r="C362">
            <v>30012</v>
          </cell>
          <cell r="D362" t="str">
            <v>底なしの胃袋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【上級】底なしの胃袋</v>
          </cell>
          <cell r="I362" t="str">
            <v>上級</v>
          </cell>
          <cell r="J362">
            <v>310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0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5</v>
          </cell>
          <cell r="AD362">
            <v>6</v>
          </cell>
          <cell r="AE362" t="str">
            <v>everyone</v>
          </cell>
        </row>
        <row r="363">
          <cell r="A363" t="str">
            <v>30012_2</v>
          </cell>
          <cell r="B363">
            <v>3</v>
          </cell>
          <cell r="C363">
            <v>30012</v>
          </cell>
          <cell r="D363" t="str">
            <v>底なしの胃袋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【超級】底なしの胃袋</v>
          </cell>
          <cell r="I363" t="str">
            <v>超級</v>
          </cell>
          <cell r="J363">
            <v>310</v>
          </cell>
          <cell r="K363">
            <v>30</v>
          </cell>
          <cell r="L363">
            <v>3300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0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5</v>
          </cell>
          <cell r="AD363">
            <v>6</v>
          </cell>
          <cell r="AE363" t="str">
            <v>everyone</v>
          </cell>
        </row>
        <row r="364">
          <cell r="A364" t="str">
            <v>30012_3</v>
          </cell>
          <cell r="B364">
            <v>3</v>
          </cell>
          <cell r="C364">
            <v>30012</v>
          </cell>
          <cell r="D364" t="str">
            <v>底なしの胃袋</v>
          </cell>
          <cell r="E364" t="str">
            <v>ドロップイベント3（マルチ専用）</v>
          </cell>
          <cell r="F364">
            <v>3</v>
          </cell>
          <cell r="G364" t="str">
            <v>ja</v>
          </cell>
          <cell r="H364" t="str">
            <v>【超絶級】底なしの胃袋</v>
          </cell>
          <cell r="I364" t="str">
            <v>超絶級</v>
          </cell>
          <cell r="J364">
            <v>310</v>
          </cell>
          <cell r="K364">
            <v>35</v>
          </cell>
          <cell r="L364">
            <v>4200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0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5</v>
          </cell>
          <cell r="AD364">
            <v>6</v>
          </cell>
          <cell r="AE364" t="str">
            <v>everyone</v>
          </cell>
        </row>
        <row r="365">
          <cell r="A365" t="str">
            <v>30013_1</v>
          </cell>
          <cell r="B365">
            <v>3</v>
          </cell>
          <cell r="C365">
            <v>30013</v>
          </cell>
          <cell r="D365" t="str">
            <v>決戦・竜宮城</v>
          </cell>
          <cell r="E365" t="str">
            <v>ドロップイベント4（マルチ専用）</v>
          </cell>
          <cell r="F365">
            <v>1</v>
          </cell>
          <cell r="G365" t="str">
            <v>ja</v>
          </cell>
          <cell r="H365" t="str">
            <v>【超級】決戦・竜宮城</v>
          </cell>
          <cell r="I365" t="str">
            <v>超級</v>
          </cell>
          <cell r="J365">
            <v>418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17</v>
          </cell>
          <cell r="AD365">
            <v>6</v>
          </cell>
          <cell r="AE365" t="str">
            <v>everyone</v>
          </cell>
        </row>
        <row r="366">
          <cell r="A366" t="str">
            <v>30013_2</v>
          </cell>
          <cell r="B366">
            <v>3</v>
          </cell>
          <cell r="C366">
            <v>30013</v>
          </cell>
          <cell r="D366" t="str">
            <v>決戦・竜宮城</v>
          </cell>
          <cell r="E366" t="str">
            <v>ドロップイベント4（マルチ専用）</v>
          </cell>
          <cell r="F366">
            <v>2</v>
          </cell>
          <cell r="G366" t="str">
            <v>ja</v>
          </cell>
          <cell r="H366" t="str">
            <v>【超絶級】決戦・竜宮城</v>
          </cell>
          <cell r="I366" t="str">
            <v>超絶級</v>
          </cell>
          <cell r="J366">
            <v>419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17</v>
          </cell>
          <cell r="AD366">
            <v>6</v>
          </cell>
          <cell r="AE366" t="str">
            <v>everyone</v>
          </cell>
        </row>
        <row r="367">
          <cell r="A367" t="str">
            <v>30014_1</v>
          </cell>
          <cell r="B367">
            <v>3</v>
          </cell>
          <cell r="C367">
            <v>30014</v>
          </cell>
          <cell r="D367" t="str">
            <v>親指を突き立てろ！</v>
          </cell>
          <cell r="E367" t="str">
            <v>ドロップイベント4（マルチ専用）</v>
          </cell>
          <cell r="F367">
            <v>1</v>
          </cell>
          <cell r="G367" t="str">
            <v>ja</v>
          </cell>
          <cell r="H367" t="str">
            <v>【超級】親指を突き立てろ！</v>
          </cell>
          <cell r="I367" t="str">
            <v>超級</v>
          </cell>
          <cell r="J367">
            <v>420</v>
          </cell>
          <cell r="K367">
            <v>30</v>
          </cell>
          <cell r="L367">
            <v>3300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23</v>
          </cell>
          <cell r="AD367">
            <v>5</v>
          </cell>
          <cell r="AE367" t="str">
            <v>everyone</v>
          </cell>
        </row>
        <row r="368">
          <cell r="A368" t="str">
            <v>30014_2</v>
          </cell>
          <cell r="B368">
            <v>3</v>
          </cell>
          <cell r="C368">
            <v>30014</v>
          </cell>
          <cell r="D368" t="str">
            <v>親指を突き立てろ！</v>
          </cell>
          <cell r="E368" t="str">
            <v>ドロップイベント4（マルチ専用）</v>
          </cell>
          <cell r="F368">
            <v>2</v>
          </cell>
          <cell r="G368" t="str">
            <v>ja</v>
          </cell>
          <cell r="H368" t="str">
            <v>【超絶級】親指を突き立てろ！</v>
          </cell>
          <cell r="I368" t="str">
            <v>超絶級</v>
          </cell>
          <cell r="J368">
            <v>421</v>
          </cell>
          <cell r="K368">
            <v>35</v>
          </cell>
          <cell r="L368">
            <v>4200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23</v>
          </cell>
          <cell r="AD368">
            <v>5</v>
          </cell>
          <cell r="AE368" t="str">
            <v>everyone</v>
          </cell>
        </row>
        <row r="369">
          <cell r="A369" t="str">
            <v>30015_1</v>
          </cell>
          <cell r="B369">
            <v>3</v>
          </cell>
          <cell r="C369">
            <v>30015</v>
          </cell>
          <cell r="D369" t="str">
            <v>兄妹の大冒険</v>
          </cell>
          <cell r="E369" t="str">
            <v>ドロップイベント4（マルチ専用）</v>
          </cell>
          <cell r="F369">
            <v>1</v>
          </cell>
          <cell r="G369" t="str">
            <v>ja</v>
          </cell>
          <cell r="H369" t="str">
            <v>【超級】兄妹の大冒険</v>
          </cell>
          <cell r="I369" t="str">
            <v>超級</v>
          </cell>
          <cell r="J369">
            <v>422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16</v>
          </cell>
          <cell r="AD369">
            <v>6</v>
          </cell>
          <cell r="AE369" t="str">
            <v>everyone</v>
          </cell>
        </row>
        <row r="370">
          <cell r="A370" t="str">
            <v>30015_2</v>
          </cell>
          <cell r="B370">
            <v>3</v>
          </cell>
          <cell r="C370">
            <v>30015</v>
          </cell>
          <cell r="D370" t="str">
            <v>兄妹の大冒険</v>
          </cell>
          <cell r="E370" t="str">
            <v>ドロップイベント4（マルチ専用）</v>
          </cell>
          <cell r="F370">
            <v>2</v>
          </cell>
          <cell r="G370" t="str">
            <v>ja</v>
          </cell>
          <cell r="H370" t="str">
            <v>【超絶級】兄妹の大冒険</v>
          </cell>
          <cell r="I370" t="str">
            <v>超絶級</v>
          </cell>
          <cell r="J370">
            <v>423</v>
          </cell>
          <cell r="K370">
            <v>35</v>
          </cell>
          <cell r="L370">
            <v>4200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16</v>
          </cell>
          <cell r="AD370">
            <v>6</v>
          </cell>
          <cell r="AE370" t="str">
            <v>everyone</v>
          </cell>
        </row>
        <row r="371">
          <cell r="A371" t="str">
            <v>30016_1</v>
          </cell>
          <cell r="B371">
            <v>3</v>
          </cell>
          <cell r="C371">
            <v>30016</v>
          </cell>
          <cell r="D371" t="str">
            <v>私がワニの天敵よ？</v>
          </cell>
          <cell r="E371" t="str">
            <v>ドロップイベント4（マルチ専用）</v>
          </cell>
          <cell r="F371">
            <v>1</v>
          </cell>
          <cell r="G371" t="str">
            <v>ja</v>
          </cell>
          <cell r="H371" t="str">
            <v>【超級】私がワニの天敵よ？</v>
          </cell>
          <cell r="I371" t="str">
            <v>超級</v>
          </cell>
          <cell r="J371">
            <v>424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4</v>
          </cell>
          <cell r="AD371">
            <v>6</v>
          </cell>
          <cell r="AE371" t="str">
            <v>everyone</v>
          </cell>
        </row>
        <row r="372">
          <cell r="A372" t="str">
            <v>30016_2</v>
          </cell>
          <cell r="B372">
            <v>3</v>
          </cell>
          <cell r="C372">
            <v>30016</v>
          </cell>
          <cell r="D372" t="str">
            <v>私がワニの天敵よ？</v>
          </cell>
          <cell r="E372" t="str">
            <v>ドロップイベント4（マルチ専用）</v>
          </cell>
          <cell r="F372">
            <v>2</v>
          </cell>
          <cell r="G372" t="str">
            <v>ja</v>
          </cell>
          <cell r="H372" t="str">
            <v>【超絶級】私がワニの天敵よ？</v>
          </cell>
          <cell r="I372" t="str">
            <v>超絶級</v>
          </cell>
          <cell r="J372">
            <v>425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4</v>
          </cell>
          <cell r="AD372">
            <v>6</v>
          </cell>
          <cell r="AE372" t="str">
            <v>everyone</v>
          </cell>
        </row>
        <row r="373">
          <cell r="A373" t="str">
            <v>30017_1</v>
          </cell>
          <cell r="B373">
            <v>3</v>
          </cell>
          <cell r="C373">
            <v>30017</v>
          </cell>
          <cell r="D373" t="str">
            <v>狩人の挽歌</v>
          </cell>
          <cell r="E373" t="str">
            <v>ドロップイベント5（マルチ専用）</v>
          </cell>
          <cell r="F373">
            <v>1</v>
          </cell>
          <cell r="G373" t="str">
            <v>ja</v>
          </cell>
          <cell r="H373" t="str">
            <v>【超級】狩人の挽歌</v>
          </cell>
          <cell r="I373" t="str">
            <v>超級</v>
          </cell>
          <cell r="J373">
            <v>452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20</v>
          </cell>
          <cell r="AD373">
            <v>6</v>
          </cell>
          <cell r="AE373" t="str">
            <v>multionly</v>
          </cell>
        </row>
        <row r="374">
          <cell r="A374" t="str">
            <v>30017_2</v>
          </cell>
          <cell r="B374">
            <v>3</v>
          </cell>
          <cell r="C374">
            <v>30017</v>
          </cell>
          <cell r="D374" t="str">
            <v>狩人の挽歌</v>
          </cell>
          <cell r="E374" t="str">
            <v>ドロップイベント5（マルチ専用）</v>
          </cell>
          <cell r="F374">
            <v>2</v>
          </cell>
          <cell r="G374" t="str">
            <v>ja</v>
          </cell>
          <cell r="H374" t="str">
            <v>【超絶級】狩人の挽歌</v>
          </cell>
          <cell r="I374" t="str">
            <v>超絶級</v>
          </cell>
          <cell r="J374">
            <v>453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20</v>
          </cell>
          <cell r="AD374">
            <v>6</v>
          </cell>
          <cell r="AE374" t="str">
            <v>multionly</v>
          </cell>
        </row>
        <row r="375">
          <cell r="A375" t="str">
            <v>30018_1</v>
          </cell>
          <cell r="B375">
            <v>3</v>
          </cell>
          <cell r="C375">
            <v>30018</v>
          </cell>
          <cell r="D375" t="str">
            <v>バックストリートファイト</v>
          </cell>
          <cell r="E375" t="str">
            <v>ドロップイベント5（マルチ専用）</v>
          </cell>
          <cell r="F375">
            <v>1</v>
          </cell>
          <cell r="G375" t="str">
            <v>ja</v>
          </cell>
          <cell r="H375" t="str">
            <v>【超級】バックストリートファイト</v>
          </cell>
          <cell r="I375" t="str">
            <v>超級</v>
          </cell>
          <cell r="J375">
            <v>454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0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14</v>
          </cell>
          <cell r="AD375">
            <v>6</v>
          </cell>
          <cell r="AE375" t="str">
            <v>everyone</v>
          </cell>
        </row>
        <row r="376">
          <cell r="A376" t="str">
            <v>30018_2</v>
          </cell>
          <cell r="B376">
            <v>3</v>
          </cell>
          <cell r="C376">
            <v>30018</v>
          </cell>
          <cell r="D376" t="str">
            <v>バックストリートファイト</v>
          </cell>
          <cell r="E376" t="str">
            <v>ドロップイベント5（マルチ専用）</v>
          </cell>
          <cell r="F376">
            <v>2</v>
          </cell>
          <cell r="G376" t="str">
            <v>ja</v>
          </cell>
          <cell r="H376" t="str">
            <v>【超絶級】バックストリートファイト</v>
          </cell>
          <cell r="I376" t="str">
            <v>超絶級</v>
          </cell>
          <cell r="J376">
            <v>455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0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14</v>
          </cell>
          <cell r="AD376">
            <v>6</v>
          </cell>
          <cell r="AE376" t="str">
            <v>everyone</v>
          </cell>
        </row>
        <row r="377">
          <cell r="A377" t="str">
            <v>30019_1</v>
          </cell>
          <cell r="B377">
            <v>1</v>
          </cell>
          <cell r="C377">
            <v>30019</v>
          </cell>
          <cell r="D377" t="str">
            <v>狙撃は終わらない</v>
          </cell>
          <cell r="E377" t="str">
            <v>ドロップイベント5（マルチ専用）</v>
          </cell>
          <cell r="F377">
            <v>1</v>
          </cell>
          <cell r="G377" t="str">
            <v>ja</v>
          </cell>
          <cell r="H377" t="str">
            <v>【超級】狙撃は終わらない</v>
          </cell>
          <cell r="I377" t="str">
            <v>超級</v>
          </cell>
          <cell r="J377">
            <v>456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24</v>
          </cell>
          <cell r="AD377">
            <v>6</v>
          </cell>
          <cell r="AE377" t="str">
            <v>everyone</v>
          </cell>
        </row>
        <row r="378">
          <cell r="A378" t="str">
            <v>30019_2</v>
          </cell>
          <cell r="B378">
            <v>1</v>
          </cell>
          <cell r="C378">
            <v>30019</v>
          </cell>
          <cell r="D378" t="str">
            <v>狙撃は終わらない</v>
          </cell>
          <cell r="E378" t="str">
            <v>ドロップイベント5（マルチ専用）</v>
          </cell>
          <cell r="F378">
            <v>2</v>
          </cell>
          <cell r="G378" t="str">
            <v>ja</v>
          </cell>
          <cell r="H378" t="str">
            <v>【超絶級】狙撃は終わらない</v>
          </cell>
          <cell r="I378" t="str">
            <v>超絶級</v>
          </cell>
          <cell r="J378">
            <v>457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24</v>
          </cell>
          <cell r="AD378">
            <v>6</v>
          </cell>
          <cell r="AE378" t="str">
            <v>everyone</v>
          </cell>
        </row>
        <row r="379">
          <cell r="A379" t="str">
            <v>30020_1</v>
          </cell>
          <cell r="B379">
            <v>1</v>
          </cell>
          <cell r="C379">
            <v>30020</v>
          </cell>
          <cell r="D379" t="str">
            <v>若造よ、身の程を知れ</v>
          </cell>
          <cell r="E379" t="str">
            <v>ドロップイベント5（マルチ専用）</v>
          </cell>
          <cell r="F379">
            <v>1</v>
          </cell>
          <cell r="G379" t="str">
            <v>ja</v>
          </cell>
          <cell r="H379" t="str">
            <v>【超級】若造よ、身の程を知れ</v>
          </cell>
          <cell r="I379" t="str">
            <v>超級</v>
          </cell>
          <cell r="J379">
            <v>458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13</v>
          </cell>
          <cell r="AD379">
            <v>6</v>
          </cell>
          <cell r="AE379" t="str">
            <v>everyone</v>
          </cell>
        </row>
        <row r="380">
          <cell r="A380" t="str">
            <v>30020_2</v>
          </cell>
          <cell r="B380">
            <v>1</v>
          </cell>
          <cell r="C380">
            <v>30020</v>
          </cell>
          <cell r="D380" t="str">
            <v>若造よ、身の程を知れ</v>
          </cell>
          <cell r="E380" t="str">
            <v>ドロップイベント5（マルチ専用）</v>
          </cell>
          <cell r="F380">
            <v>2</v>
          </cell>
          <cell r="G380" t="str">
            <v>ja</v>
          </cell>
          <cell r="H380" t="str">
            <v>【超絶級】若造よ、身の程を知れ</v>
          </cell>
          <cell r="I380" t="str">
            <v>超絶級</v>
          </cell>
          <cell r="J380">
            <v>459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13</v>
          </cell>
          <cell r="AD380">
            <v>6</v>
          </cell>
          <cell r="AE380" t="str">
            <v>everyone</v>
          </cell>
        </row>
        <row r="381">
          <cell r="A381" t="str">
            <v>40001_1</v>
          </cell>
          <cell r="B381">
            <v>3</v>
          </cell>
          <cell r="C381">
            <v>40001</v>
          </cell>
          <cell r="D381" t="str">
            <v>アマテラス襲来！</v>
          </cell>
          <cell r="E381" t="str">
            <v>降臨1</v>
          </cell>
          <cell r="F381">
            <v>1</v>
          </cell>
          <cell r="G381" t="str">
            <v>ja</v>
          </cell>
          <cell r="H381" t="str">
            <v xml:space="preserve">【ウィザード級】アマテラス襲来 </v>
          </cell>
          <cell r="I381" t="str">
            <v>地獄級</v>
          </cell>
          <cell r="J381">
            <v>278</v>
          </cell>
          <cell r="K381">
            <v>35</v>
          </cell>
          <cell r="L381">
            <v>4200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901</v>
          </cell>
          <cell r="AD381">
            <v>6</v>
          </cell>
          <cell r="AE381" t="str">
            <v>everyone</v>
          </cell>
        </row>
        <row r="382">
          <cell r="A382" t="str">
            <v>40002_1</v>
          </cell>
          <cell r="B382">
            <v>3</v>
          </cell>
          <cell r="C382">
            <v>40002</v>
          </cell>
          <cell r="D382" t="str">
            <v>アザゼル襲来！</v>
          </cell>
          <cell r="E382" t="str">
            <v>降臨2</v>
          </cell>
          <cell r="F382">
            <v>1</v>
          </cell>
          <cell r="G382" t="str">
            <v>ja</v>
          </cell>
          <cell r="H382" t="str">
            <v xml:space="preserve">【超級】アザゼル襲来 </v>
          </cell>
          <cell r="I382" t="str">
            <v>超級</v>
          </cell>
          <cell r="J382">
            <v>296</v>
          </cell>
          <cell r="K382">
            <v>25</v>
          </cell>
          <cell r="L382">
            <v>2000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902</v>
          </cell>
          <cell r="AD382">
            <v>6</v>
          </cell>
          <cell r="AE382" t="str">
            <v>everyone</v>
          </cell>
        </row>
        <row r="383">
          <cell r="A383" t="str">
            <v>40002_2</v>
          </cell>
          <cell r="B383">
            <v>3</v>
          </cell>
          <cell r="C383">
            <v>40002</v>
          </cell>
          <cell r="D383" t="str">
            <v>アザゼル襲来！</v>
          </cell>
          <cell r="E383" t="str">
            <v>降臨2</v>
          </cell>
          <cell r="F383">
            <v>2</v>
          </cell>
          <cell r="G383" t="str">
            <v>ja</v>
          </cell>
          <cell r="H383" t="str">
            <v>【超絶級】アザゼル襲来</v>
          </cell>
          <cell r="I383" t="str">
            <v>超絶級</v>
          </cell>
          <cell r="J383">
            <v>297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902</v>
          </cell>
          <cell r="AD383">
            <v>6</v>
          </cell>
          <cell r="AE383" t="str">
            <v>everyone</v>
          </cell>
        </row>
        <row r="384">
          <cell r="A384" t="str">
            <v>40002_3</v>
          </cell>
          <cell r="B384">
            <v>3</v>
          </cell>
          <cell r="C384">
            <v>40002</v>
          </cell>
          <cell r="D384" t="str">
            <v>アザゼル襲来！</v>
          </cell>
          <cell r="E384" t="str">
            <v>降臨2</v>
          </cell>
          <cell r="F384">
            <v>3</v>
          </cell>
          <cell r="G384" t="str">
            <v>ja</v>
          </cell>
          <cell r="H384" t="str">
            <v xml:space="preserve">【ウィザード級】アザゼル襲来 </v>
          </cell>
          <cell r="I384" t="str">
            <v>地獄級</v>
          </cell>
          <cell r="J384">
            <v>297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>
            <v>296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902</v>
          </cell>
          <cell r="AD384">
            <v>6</v>
          </cell>
          <cell r="AE384" t="str">
            <v>everyone</v>
          </cell>
        </row>
        <row r="385">
          <cell r="A385" t="str">
            <v>40003_1</v>
          </cell>
          <cell r="B385">
            <v>3</v>
          </cell>
          <cell r="C385">
            <v>40003</v>
          </cell>
          <cell r="D385" t="str">
            <v>ジャンヌ襲来！</v>
          </cell>
          <cell r="E385" t="str">
            <v>降臨3</v>
          </cell>
          <cell r="F385">
            <v>1</v>
          </cell>
          <cell r="G385" t="str">
            <v>ja</v>
          </cell>
          <cell r="H385" t="str">
            <v xml:space="preserve">【ウィザード級】ジャンヌ襲来 </v>
          </cell>
          <cell r="I385" t="str">
            <v>地獄級</v>
          </cell>
          <cell r="J385">
            <v>315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>
            <v>314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903</v>
          </cell>
          <cell r="AD385">
            <v>6</v>
          </cell>
          <cell r="AE385" t="str">
            <v>everyone</v>
          </cell>
        </row>
        <row r="386">
          <cell r="A386" t="str">
            <v>40004_1</v>
          </cell>
          <cell r="B386">
            <v>3</v>
          </cell>
          <cell r="C386">
            <v>40004</v>
          </cell>
          <cell r="D386" t="str">
            <v>宮本武蔵襲来！</v>
          </cell>
          <cell r="E386" t="str">
            <v>降臨4</v>
          </cell>
          <cell r="F386">
            <v>1</v>
          </cell>
          <cell r="G386" t="str">
            <v>ja</v>
          </cell>
          <cell r="H386" t="str">
            <v xml:space="preserve">【ウィザード級】宮本武蔵襲来 </v>
          </cell>
          <cell r="I386" t="str">
            <v>地獄級</v>
          </cell>
          <cell r="J386">
            <v>427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>
            <v>426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904</v>
          </cell>
          <cell r="AD386">
            <v>6</v>
          </cell>
          <cell r="AE386" t="str">
            <v>everyone</v>
          </cell>
        </row>
        <row r="387">
          <cell r="A387" t="str">
            <v>40005_1</v>
          </cell>
          <cell r="B387">
            <v>1</v>
          </cell>
          <cell r="C387">
            <v>40005</v>
          </cell>
          <cell r="D387" t="str">
            <v>オズ襲来！</v>
          </cell>
          <cell r="E387" t="str">
            <v>降臨5</v>
          </cell>
          <cell r="F387">
            <v>1</v>
          </cell>
          <cell r="G387" t="str">
            <v>ja</v>
          </cell>
          <cell r="H387" t="str">
            <v xml:space="preserve">【ウィザード級】オズ襲来 </v>
          </cell>
          <cell r="I387" t="str">
            <v>地獄級</v>
          </cell>
          <cell r="J387">
            <v>461</v>
          </cell>
          <cell r="K387">
            <v>35</v>
          </cell>
          <cell r="L387">
            <v>4200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>
            <v>460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906</v>
          </cell>
          <cell r="AD387">
            <v>6</v>
          </cell>
          <cell r="AE387" t="str">
            <v>everyone</v>
          </cell>
        </row>
        <row r="388">
          <cell r="A388" t="str">
            <v>40006_1</v>
          </cell>
          <cell r="B388">
            <v>1</v>
          </cell>
          <cell r="C388">
            <v>40006</v>
          </cell>
          <cell r="D388" t="str">
            <v>アーサー襲来！</v>
          </cell>
          <cell r="E388" t="str">
            <v>降臨6</v>
          </cell>
          <cell r="F388">
            <v>1</v>
          </cell>
          <cell r="G388" t="str">
            <v>ja</v>
          </cell>
          <cell r="H388" t="str">
            <v xml:space="preserve">【ウィザード級】アーサー襲来 </v>
          </cell>
          <cell r="I388" t="str">
            <v>地獄級</v>
          </cell>
          <cell r="J388">
            <v>473</v>
          </cell>
          <cell r="K388">
            <v>35</v>
          </cell>
          <cell r="L388">
            <v>4200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>
            <v>472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907</v>
          </cell>
          <cell r="AD388">
            <v>6</v>
          </cell>
          <cell r="AE388" t="str">
            <v>everyone</v>
          </cell>
        </row>
        <row r="389">
          <cell r="A389" t="str">
            <v>50001_1</v>
          </cell>
          <cell r="B389">
            <v>3</v>
          </cell>
          <cell r="C389">
            <v>50001</v>
          </cell>
          <cell r="D389" t="str">
            <v>麒麟襲来！</v>
          </cell>
          <cell r="E389" t="str">
            <v>超降臨1</v>
          </cell>
          <cell r="F389">
            <v>1</v>
          </cell>
          <cell r="G389" t="str">
            <v>ja</v>
          </cell>
          <cell r="H389" t="str">
            <v xml:space="preserve">【超ウィザード級】麒麟襲来 </v>
          </cell>
          <cell r="I389" t="str">
            <v>超地獄級</v>
          </cell>
          <cell r="J389">
            <v>328</v>
          </cell>
          <cell r="K389">
            <v>40</v>
          </cell>
          <cell r="L389">
            <v>5200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>
            <v>432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905</v>
          </cell>
          <cell r="AD389">
            <v>6</v>
          </cell>
          <cell r="AE389" t="str">
            <v>everyone</v>
          </cell>
        </row>
        <row r="390">
          <cell r="A390" t="str">
            <v>65535_1</v>
          </cell>
          <cell r="B390">
            <v>1</v>
          </cell>
          <cell r="C390">
            <v>65535</v>
          </cell>
          <cell r="D390" t="str">
            <v>★検証専用クエスト★</v>
          </cell>
          <cell r="E390" t="str">
            <v>検証</v>
          </cell>
          <cell r="F390">
            <v>1</v>
          </cell>
          <cell r="G390" t="str">
            <v>ja</v>
          </cell>
          <cell r="H390" t="str">
            <v>テンプレート</v>
          </cell>
          <cell r="I390" t="str">
            <v>検証</v>
          </cell>
          <cell r="J390" t="str">
            <v>NULL</v>
          </cell>
          <cell r="K390">
            <v>1</v>
          </cell>
          <cell r="L390">
            <v>1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903</v>
          </cell>
          <cell r="AD390">
            <v>6</v>
          </cell>
          <cell r="AE390" t="str">
            <v>everyone</v>
          </cell>
        </row>
        <row r="391">
          <cell r="A391" t="str">
            <v>65535_2</v>
          </cell>
          <cell r="B391">
            <v>1</v>
          </cell>
          <cell r="C391">
            <v>65535</v>
          </cell>
          <cell r="D391" t="str">
            <v>★検証専用クエスト★</v>
          </cell>
          <cell r="E391" t="str">
            <v>検証</v>
          </cell>
          <cell r="F391">
            <v>2</v>
          </cell>
          <cell r="G391" t="str">
            <v>ja</v>
          </cell>
          <cell r="H391" t="str">
            <v>ランクアップクエスト</v>
          </cell>
          <cell r="I391" t="str">
            <v>検証</v>
          </cell>
          <cell r="J391" t="str">
            <v>NULL</v>
          </cell>
          <cell r="K391">
            <v>1</v>
          </cell>
          <cell r="L391">
            <v>65535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903</v>
          </cell>
          <cell r="AD391">
            <v>6</v>
          </cell>
          <cell r="AE391" t="str">
            <v>everyone</v>
          </cell>
        </row>
        <row r="392">
          <cell r="A392" t="str">
            <v>65535_3</v>
          </cell>
          <cell r="B392">
            <v>1</v>
          </cell>
          <cell r="C392">
            <v>65535</v>
          </cell>
          <cell r="D392" t="str">
            <v>★検証専用クエスト★</v>
          </cell>
          <cell r="E392" t="str">
            <v>検証</v>
          </cell>
          <cell r="F392">
            <v>3</v>
          </cell>
          <cell r="G392" t="str">
            <v>ja</v>
          </cell>
          <cell r="H392" t="str">
            <v>男気ゲリラテスト</v>
          </cell>
          <cell r="I392" t="str">
            <v>検証</v>
          </cell>
          <cell r="J392" t="str">
            <v>NULL</v>
          </cell>
          <cell r="K392">
            <v>1</v>
          </cell>
          <cell r="L392">
            <v>1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105</v>
          </cell>
          <cell r="AD392">
            <v>6</v>
          </cell>
          <cell r="AE392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0" sqref="A10:A12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151</v>
      </c>
      <c r="B2" s="57" t="s">
        <v>106</v>
      </c>
      <c r="C2" s="62" t="s">
        <v>176</v>
      </c>
      <c r="D2" s="57" t="s">
        <v>107</v>
      </c>
      <c r="E2" s="56" t="str">
        <f>B2&amp;C2&amp;D2</f>
        <v>floors_x2015.tmp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152</v>
      </c>
      <c r="B3" s="57" t="s">
        <v>109</v>
      </c>
      <c r="C3" s="62" t="str">
        <f>C$2</f>
        <v>x2015</v>
      </c>
      <c r="D3" s="57" t="s">
        <v>107</v>
      </c>
      <c r="E3" s="56" t="str">
        <f>B3&amp;C3&amp;D3</f>
        <v>enemy_habitats_x2015.tmp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166</v>
      </c>
    </row>
    <row r="4" spans="1:30">
      <c r="A4" s="61" t="s">
        <v>152</v>
      </c>
      <c r="B4" s="57" t="s">
        <v>111</v>
      </c>
      <c r="C4" s="62" t="str">
        <f t="shared" ref="C4:C12" si="0">C$2</f>
        <v>x2015</v>
      </c>
      <c r="D4" s="57" t="s">
        <v>107</v>
      </c>
      <c r="E4" s="56" t="str">
        <f>B4&amp;C4&amp;D4</f>
        <v>enemy_habitat_S_x2015.tmp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152</v>
      </c>
      <c r="B5" s="57" t="s">
        <v>113</v>
      </c>
      <c r="C5" s="62" t="str">
        <f t="shared" si="0"/>
        <v>x2015</v>
      </c>
      <c r="D5" s="57" t="s">
        <v>107</v>
      </c>
      <c r="E5" s="56" t="str">
        <f>B5&amp;C5&amp;D5</f>
        <v>enemy_skill_sets_x2015.tmp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152</v>
      </c>
      <c r="B6" s="57" t="s">
        <v>115</v>
      </c>
      <c r="C6" s="62" t="str">
        <f t="shared" si="0"/>
        <v>x2015</v>
      </c>
      <c r="D6" s="57" t="s">
        <v>116</v>
      </c>
      <c r="E6" s="56" t="str">
        <f t="shared" ref="E6:E9" si="1">B6&amp;C6&amp;D6</f>
        <v>enemy_skills_tmp_x2015.tmp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152</v>
      </c>
      <c r="B7" s="57" t="s">
        <v>117</v>
      </c>
      <c r="C7" s="62" t="str">
        <f t="shared" si="0"/>
        <v>x2015</v>
      </c>
      <c r="D7" s="57" t="s">
        <v>107</v>
      </c>
      <c r="E7" s="56" t="str">
        <f>B7&amp;C7&amp;D7</f>
        <v>enemy_skills_i18n_x2015.tmp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150</v>
      </c>
      <c r="B8" s="57" t="s">
        <v>119</v>
      </c>
      <c r="C8" s="62" t="str">
        <f t="shared" si="0"/>
        <v>x2015</v>
      </c>
      <c r="D8" s="57" t="s">
        <v>120</v>
      </c>
      <c r="E8" s="56" t="str">
        <f t="shared" si="1"/>
        <v>enemy_skill_triggers_x2015.tmp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5" t="s">
        <v>331</v>
      </c>
      <c r="B9" s="65" t="s">
        <v>165</v>
      </c>
      <c r="C9" s="62" t="str">
        <f t="shared" si="0"/>
        <v>x2015</v>
      </c>
      <c r="D9" s="65" t="s">
        <v>163</v>
      </c>
      <c r="E9" s="66" t="str">
        <f t="shared" si="1"/>
        <v>stage_bug_bonuses_x2015.tmp</v>
      </c>
      <c r="F9" s="65" t="s">
        <v>164</v>
      </c>
      <c r="G9" s="100" t="s">
        <v>153</v>
      </c>
      <c r="H9" s="100" t="s">
        <v>332</v>
      </c>
      <c r="I9" s="100" t="s">
        <v>154</v>
      </c>
      <c r="J9" s="64" t="s">
        <v>155</v>
      </c>
      <c r="K9" s="100" t="s">
        <v>156</v>
      </c>
      <c r="L9" s="100" t="s">
        <v>340</v>
      </c>
      <c r="M9" s="100" t="s">
        <v>337</v>
      </c>
      <c r="N9" s="100" t="s">
        <v>157</v>
      </c>
      <c r="O9" s="100" t="s">
        <v>166</v>
      </c>
      <c r="P9" s="100" t="s">
        <v>338</v>
      </c>
      <c r="Q9" s="100" t="s">
        <v>40</v>
      </c>
      <c r="R9" s="100" t="s">
        <v>42</v>
      </c>
      <c r="S9" s="100" t="s">
        <v>44</v>
      </c>
      <c r="T9" s="100" t="s">
        <v>46</v>
      </c>
      <c r="U9" s="100" t="s">
        <v>158</v>
      </c>
      <c r="V9" s="100" t="s">
        <v>159</v>
      </c>
      <c r="W9" s="100" t="s">
        <v>339</v>
      </c>
    </row>
    <row r="10" spans="1:30">
      <c r="A10" s="61" t="s">
        <v>152</v>
      </c>
      <c r="B10" s="57" t="s">
        <v>115</v>
      </c>
      <c r="C10" s="62" t="str">
        <f t="shared" si="0"/>
        <v>x2015</v>
      </c>
      <c r="D10" s="57" t="s">
        <v>107</v>
      </c>
      <c r="E10" s="56" t="str">
        <f t="shared" ref="E10:E12" si="2">B10&amp;C10&amp;D10</f>
        <v>enemy_skills_tmp_x2015.tmp</v>
      </c>
      <c r="F10" s="57" t="s">
        <v>90</v>
      </c>
      <c r="G10" s="58" t="s">
        <v>79</v>
      </c>
      <c r="H10" s="58" t="s">
        <v>80</v>
      </c>
      <c r="I10" s="58" t="s">
        <v>81</v>
      </c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</row>
    <row r="11" spans="1:30">
      <c r="A11" s="61" t="s">
        <v>152</v>
      </c>
      <c r="B11" s="65" t="s">
        <v>355</v>
      </c>
      <c r="C11" s="62" t="str">
        <f t="shared" si="0"/>
        <v>x2015</v>
      </c>
      <c r="D11" s="65" t="s">
        <v>356</v>
      </c>
      <c r="E11" s="66" t="str">
        <f t="shared" si="2"/>
        <v>stage_hints_data_x2015.tmp</v>
      </c>
      <c r="F11" s="116" t="s">
        <v>357</v>
      </c>
      <c r="G11" s="105" t="s">
        <v>358</v>
      </c>
      <c r="H11" s="105" t="s">
        <v>359</v>
      </c>
      <c r="I11" s="117" t="s">
        <v>360</v>
      </c>
      <c r="J11" s="64" t="s">
        <v>361</v>
      </c>
      <c r="K11" s="118" t="s">
        <v>362</v>
      </c>
    </row>
    <row r="12" spans="1:30">
      <c r="A12" s="61" t="s">
        <v>152</v>
      </c>
      <c r="B12" s="65" t="s">
        <v>363</v>
      </c>
      <c r="C12" s="62" t="str">
        <f t="shared" si="0"/>
        <v>x2015</v>
      </c>
      <c r="D12" s="65" t="s">
        <v>364</v>
      </c>
      <c r="E12" s="66" t="str">
        <f t="shared" si="2"/>
        <v>stage_hints_i18n_x2015.tmp</v>
      </c>
      <c r="F12" s="116" t="s">
        <v>357</v>
      </c>
      <c r="G12" s="117" t="s">
        <v>347</v>
      </c>
      <c r="H12" s="100" t="s">
        <v>348</v>
      </c>
      <c r="I12" s="105" t="s">
        <v>350</v>
      </c>
      <c r="J12" s="119" t="s">
        <v>365</v>
      </c>
      <c r="K12" s="118" t="s">
        <v>349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9"/>
  <sheetViews>
    <sheetView showGridLines="0" workbookViewId="0">
      <pane ySplit="1" topLeftCell="A2" activePane="bottomLeft" state="frozen"/>
      <selection activeCell="V2" sqref="V2:X34"/>
      <selection pane="bottomLeft" activeCell="F15" sqref="F15:F19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23.5" style="3" bestFit="1" customWidth="1" outlineLevel="1"/>
    <col min="5" max="5" width="19.1640625" style="3" bestFit="1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 t="shared" ref="A2:A15" si="0">G2&amp;"-"&amp;I2</f>
        <v>11214_1-1</v>
      </c>
      <c r="B2" s="16" t="str">
        <f>IF(COUNTIF(enemy_habitats!$H:$H,A2),"OK","NG")</f>
        <v>OK</v>
      </c>
      <c r="C2" s="7">
        <v>11214</v>
      </c>
      <c r="D2" s="11" t="str">
        <f ca="1">VLOOKUP($C2,OFFSET([2]quests!$A$1,0,0,COUNTA([2]quests!$A:$A),MATCH(D$1,[2]quests!$1:$1,0)-MATCH($C$1,[2]quests!$1:$1,0)+1),MATCH(D$1,[2]quests!$1:$1,0)-MATCH($C$1,[2]quests!$1:$1,0)+1,FALSE)</f>
        <v>プロメテウスの恋</v>
      </c>
      <c r="E2" s="18" t="str">
        <f ca="1">VLOOKUP($C2,OFFSET([2]quests!$A$1,0,0,COUNTA([2]quests!$A:$A),MATCH(E$1,[2]quests!$1:$1,0)-MATCH($C$1,[2]quests!$1:$1,0)+1),MATCH(E$1,[2]quests!$1:$1,0)-MATCH($C$1,[2]quests!$1:$1,0)+1,FALSE)</f>
        <v>2015年クリスマスクエスト</v>
      </c>
      <c r="F2" s="21">
        <v>1</v>
      </c>
      <c r="G2" s="23" t="str">
        <f t="shared" ref="G2:G15" si="1">C2&amp;"_"&amp;F2</f>
        <v>11214_1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【ストーリー前編】勢いまかせ</v>
      </c>
      <c r="I2" s="21">
        <v>1</v>
      </c>
      <c r="J2" s="12">
        <v>20</v>
      </c>
      <c r="K2" s="12">
        <v>20</v>
      </c>
    </row>
    <row r="3" spans="1:11" ht="21" customHeight="1">
      <c r="A3" s="16" t="str">
        <f t="shared" si="0"/>
        <v>11214_1-2</v>
      </c>
      <c r="B3" s="16" t="str">
        <f>IF(COUNTIF(enemy_habitats!$H:$H,A3),"OK","NG")</f>
        <v>OK</v>
      </c>
      <c r="C3" s="7">
        <v>11214</v>
      </c>
      <c r="D3" s="11" t="str">
        <f ca="1">VLOOKUP($C3,OFFSET([2]quests!$A$1,0,0,COUNTA([2]quests!$A:$A),MATCH(D$1,[2]quests!$1:$1,0)-MATCH($C$1,[2]quests!$1:$1,0)+1),MATCH(D$1,[2]quests!$1:$1,0)-MATCH($C$1,[2]quests!$1:$1,0)+1,FALSE)</f>
        <v>プロメテウスの恋</v>
      </c>
      <c r="E3" s="18" t="str">
        <f ca="1">VLOOKUP($C3,OFFSET([2]quests!$A$1,0,0,COUNTA([2]quests!$A:$A),MATCH(E$1,[2]quests!$1:$1,0)-MATCH($C$1,[2]quests!$1:$1,0)+1),MATCH(E$1,[2]quests!$1:$1,0)-MATCH($C$1,[2]quests!$1:$1,0)+1,FALSE)</f>
        <v>2015年クリスマスクエスト</v>
      </c>
      <c r="F3" s="21">
        <v>1</v>
      </c>
      <c r="G3" s="23" t="str">
        <f t="shared" si="1"/>
        <v>11214_1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【ストーリー前編】勢いまかせ</v>
      </c>
      <c r="I3" s="21">
        <v>2</v>
      </c>
      <c r="J3" s="12">
        <v>20</v>
      </c>
      <c r="K3" s="12">
        <v>20</v>
      </c>
    </row>
    <row r="4" spans="1:11" ht="21" customHeight="1">
      <c r="A4" s="16" t="str">
        <f t="shared" si="0"/>
        <v>11214_1-3</v>
      </c>
      <c r="B4" s="16" t="str">
        <f>IF(COUNTIF(enemy_habitats!$H:$H,A4),"OK","NG")</f>
        <v>OK</v>
      </c>
      <c r="C4" s="7">
        <v>11214</v>
      </c>
      <c r="D4" s="11" t="str">
        <f ca="1">VLOOKUP($C4,OFFSET([2]quests!$A$1,0,0,COUNTA([2]quests!$A:$A),MATCH(D$1,[2]quests!$1:$1,0)-MATCH($C$1,[2]quests!$1:$1,0)+1),MATCH(D$1,[2]quests!$1:$1,0)-MATCH($C$1,[2]quests!$1:$1,0)+1,FALSE)</f>
        <v>プロメテウスの恋</v>
      </c>
      <c r="E4" s="18" t="str">
        <f ca="1">VLOOKUP($C4,OFFSET([2]quests!$A$1,0,0,COUNTA([2]quests!$A:$A),MATCH(E$1,[2]quests!$1:$1,0)-MATCH($C$1,[2]quests!$1:$1,0)+1),MATCH(E$1,[2]quests!$1:$1,0)-MATCH($C$1,[2]quests!$1:$1,0)+1,FALSE)</f>
        <v>2015年クリスマスクエスト</v>
      </c>
      <c r="F4" s="21">
        <v>1</v>
      </c>
      <c r="G4" s="23" t="str">
        <f t="shared" si="1"/>
        <v>11214_1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【ストーリー前編】勢いまかせ</v>
      </c>
      <c r="I4" s="21">
        <v>3</v>
      </c>
      <c r="J4" s="12">
        <v>50</v>
      </c>
      <c r="K4" s="12">
        <v>50</v>
      </c>
    </row>
    <row r="5" spans="1:11" ht="21" customHeight="1">
      <c r="A5" s="16" t="str">
        <f t="shared" si="0"/>
        <v>11214_1-4</v>
      </c>
      <c r="B5" s="16" t="str">
        <f>IF(COUNTIF(enemy_habitats!$H:$H,A5),"OK","NG")</f>
        <v>OK</v>
      </c>
      <c r="C5" s="7">
        <v>11214</v>
      </c>
      <c r="D5" s="11" t="str">
        <f ca="1">VLOOKUP($C5,OFFSET([2]quests!$A$1,0,0,COUNTA([2]quests!$A:$A),MATCH(D$1,[2]quests!$1:$1,0)-MATCH($C$1,[2]quests!$1:$1,0)+1),MATCH(D$1,[2]quests!$1:$1,0)-MATCH($C$1,[2]quests!$1:$1,0)+1,FALSE)</f>
        <v>プロメテウスの恋</v>
      </c>
      <c r="E5" s="18" t="str">
        <f ca="1">VLOOKUP($C5,OFFSET([2]quests!$A$1,0,0,COUNTA([2]quests!$A:$A),MATCH(E$1,[2]quests!$1:$1,0)-MATCH($C$1,[2]quests!$1:$1,0)+1),MATCH(E$1,[2]quests!$1:$1,0)-MATCH($C$1,[2]quests!$1:$1,0)+1,FALSE)</f>
        <v>2015年クリスマスクエスト</v>
      </c>
      <c r="F5" s="21">
        <v>1</v>
      </c>
      <c r="G5" s="23" t="str">
        <f t="shared" si="1"/>
        <v>11214_1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【ストーリー前編】勢いまかせ</v>
      </c>
      <c r="I5" s="21">
        <v>4</v>
      </c>
      <c r="J5" s="12">
        <v>50</v>
      </c>
      <c r="K5" s="12">
        <v>50</v>
      </c>
    </row>
    <row r="6" spans="1:11" ht="21" customHeight="1">
      <c r="A6" s="16" t="str">
        <f t="shared" si="0"/>
        <v>11214_1-5</v>
      </c>
      <c r="B6" s="16" t="str">
        <f>IF(COUNTIF(enemy_habitats!$H:$H,A6),"OK","NG")</f>
        <v>OK</v>
      </c>
      <c r="C6" s="7">
        <v>11214</v>
      </c>
      <c r="D6" s="11" t="str">
        <f ca="1">VLOOKUP($C6,OFFSET([2]quests!$A$1,0,0,COUNTA([2]quests!$A:$A),MATCH(D$1,[2]quests!$1:$1,0)-MATCH($C$1,[2]quests!$1:$1,0)+1),MATCH(D$1,[2]quests!$1:$1,0)-MATCH($C$1,[2]quests!$1:$1,0)+1,FALSE)</f>
        <v>プロメテウスの恋</v>
      </c>
      <c r="E6" s="18" t="str">
        <f ca="1">VLOOKUP($C6,OFFSET([2]quests!$A$1,0,0,COUNTA([2]quests!$A:$A),MATCH(E$1,[2]quests!$1:$1,0)-MATCH($C$1,[2]quests!$1:$1,0)+1),MATCH(E$1,[2]quests!$1:$1,0)-MATCH($C$1,[2]quests!$1:$1,0)+1,FALSE)</f>
        <v>2015年クリスマスクエスト</v>
      </c>
      <c r="F6" s="21">
        <v>1</v>
      </c>
      <c r="G6" s="23" t="str">
        <f t="shared" si="1"/>
        <v>11214_1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【ストーリー前編】勢いまかせ</v>
      </c>
      <c r="I6" s="21">
        <v>5</v>
      </c>
      <c r="J6" s="12">
        <v>60</v>
      </c>
      <c r="K6" s="12">
        <v>60</v>
      </c>
    </row>
    <row r="7" spans="1:11" ht="21" customHeight="1">
      <c r="A7" s="16" t="str">
        <f t="shared" si="0"/>
        <v>11214_2-1</v>
      </c>
      <c r="B7" s="16" t="str">
        <f>IF(COUNTIF(enemy_habitats!$H:$H,A7),"OK","NG")</f>
        <v>OK</v>
      </c>
      <c r="C7" s="7">
        <v>11214</v>
      </c>
      <c r="D7" s="11" t="str">
        <f ca="1">VLOOKUP($C7,OFFSET([2]quests!$A$1,0,0,COUNTA([2]quests!$A:$A),MATCH(D$1,[2]quests!$1:$1,0)-MATCH($C$1,[2]quests!$1:$1,0)+1),MATCH(D$1,[2]quests!$1:$1,0)-MATCH($C$1,[2]quests!$1:$1,0)+1,FALSE)</f>
        <v>プロメテウスの恋</v>
      </c>
      <c r="E7" s="18" t="str">
        <f ca="1">VLOOKUP($C7,OFFSET([2]quests!$A$1,0,0,COUNTA([2]quests!$A:$A),MATCH(E$1,[2]quests!$1:$1,0)-MATCH($C$1,[2]quests!$1:$1,0)+1),MATCH(E$1,[2]quests!$1:$1,0)-MATCH($C$1,[2]quests!$1:$1,0)+1,FALSE)</f>
        <v>2015年クリスマスクエスト</v>
      </c>
      <c r="F7" s="21">
        <v>2</v>
      </c>
      <c r="G7" s="23" t="str">
        <f t="shared" si="1"/>
        <v>11214_2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【ストーリー】恋の奥義</v>
      </c>
      <c r="I7" s="21">
        <v>1</v>
      </c>
      <c r="J7" s="12">
        <v>20</v>
      </c>
      <c r="K7" s="12">
        <v>20</v>
      </c>
    </row>
    <row r="8" spans="1:11" ht="21" customHeight="1">
      <c r="A8" s="16" t="str">
        <f t="shared" ref="A8:A9" si="2">G8&amp;"-"&amp;I8</f>
        <v>11214_2-2</v>
      </c>
      <c r="B8" s="16" t="str">
        <f>IF(COUNTIF(enemy_habitats!$H:$H,A8),"OK","NG")</f>
        <v>OK</v>
      </c>
      <c r="C8" s="7">
        <v>11214</v>
      </c>
      <c r="D8" s="11" t="str">
        <f ca="1">VLOOKUP($C8,OFFSET([2]quests!$A$1,0,0,COUNTA([2]quests!$A:$A),MATCH(D$1,[2]quests!$1:$1,0)-MATCH($C$1,[2]quests!$1:$1,0)+1),MATCH(D$1,[2]quests!$1:$1,0)-MATCH($C$1,[2]quests!$1:$1,0)+1,FALSE)</f>
        <v>プロメテウスの恋</v>
      </c>
      <c r="E8" s="18" t="str">
        <f ca="1">VLOOKUP($C8,OFFSET([2]quests!$A$1,0,0,COUNTA([2]quests!$A:$A),MATCH(E$1,[2]quests!$1:$1,0)-MATCH($C$1,[2]quests!$1:$1,0)+1),MATCH(E$1,[2]quests!$1:$1,0)-MATCH($C$1,[2]quests!$1:$1,0)+1,FALSE)</f>
        <v>2015年クリスマスクエスト</v>
      </c>
      <c r="F8" s="21">
        <v>2</v>
      </c>
      <c r="G8" s="23" t="str">
        <f t="shared" ref="G8:G9" si="3">C8&amp;"_"&amp;F8</f>
        <v>11214_2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【ストーリー】恋の奥義</v>
      </c>
      <c r="I8" s="21">
        <v>2</v>
      </c>
      <c r="J8" s="12">
        <v>50</v>
      </c>
      <c r="K8" s="12">
        <v>50</v>
      </c>
    </row>
    <row r="9" spans="1:11" ht="21" customHeight="1">
      <c r="A9" s="16" t="str">
        <f t="shared" si="2"/>
        <v>11214_2-3</v>
      </c>
      <c r="B9" s="16" t="str">
        <f>IF(COUNTIF(enemy_habitats!$H:$H,A9),"OK","NG")</f>
        <v>OK</v>
      </c>
      <c r="C9" s="7">
        <v>11214</v>
      </c>
      <c r="D9" s="11" t="str">
        <f ca="1">VLOOKUP($C9,OFFSET([2]quests!$A$1,0,0,COUNTA([2]quests!$A:$A),MATCH(D$1,[2]quests!$1:$1,0)-MATCH($C$1,[2]quests!$1:$1,0)+1),MATCH(D$1,[2]quests!$1:$1,0)-MATCH($C$1,[2]quests!$1:$1,0)+1,FALSE)</f>
        <v>プロメテウスの恋</v>
      </c>
      <c r="E9" s="18" t="str">
        <f ca="1">VLOOKUP($C9,OFFSET([2]quests!$A$1,0,0,COUNTA([2]quests!$A:$A),MATCH(E$1,[2]quests!$1:$1,0)-MATCH($C$1,[2]quests!$1:$1,0)+1),MATCH(E$1,[2]quests!$1:$1,0)-MATCH($C$1,[2]quests!$1:$1,0)+1,FALSE)</f>
        <v>2015年クリスマスクエスト</v>
      </c>
      <c r="F9" s="21">
        <v>2</v>
      </c>
      <c r="G9" s="23" t="str">
        <f t="shared" si="3"/>
        <v>11214_2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【ストーリー】恋の奥義</v>
      </c>
      <c r="I9" s="21">
        <v>3</v>
      </c>
      <c r="J9" s="12">
        <v>60</v>
      </c>
      <c r="K9" s="12">
        <v>60</v>
      </c>
    </row>
    <row r="10" spans="1:11" ht="21" customHeight="1">
      <c r="A10" s="16" t="str">
        <f t="shared" ref="A10:A13" si="4">G10&amp;"-"&amp;I10</f>
        <v>11214_2-4</v>
      </c>
      <c r="B10" s="16" t="str">
        <f>IF(COUNTIF(enemy_habitats!$H:$H,A10),"OK","NG")</f>
        <v>OK</v>
      </c>
      <c r="C10" s="7">
        <v>11214</v>
      </c>
      <c r="D10" s="11" t="str">
        <f ca="1">VLOOKUP($C10,OFFSET([2]quests!$A$1,0,0,COUNTA([2]quests!$A:$A),MATCH(D$1,[2]quests!$1:$1,0)-MATCH($C$1,[2]quests!$1:$1,0)+1),MATCH(D$1,[2]quests!$1:$1,0)-MATCH($C$1,[2]quests!$1:$1,0)+1,FALSE)</f>
        <v>プロメテウスの恋</v>
      </c>
      <c r="E10" s="18" t="str">
        <f ca="1">VLOOKUP($C10,OFFSET([2]quests!$A$1,0,0,COUNTA([2]quests!$A:$A),MATCH(E$1,[2]quests!$1:$1,0)-MATCH($C$1,[2]quests!$1:$1,0)+1),MATCH(E$1,[2]quests!$1:$1,0)-MATCH($C$1,[2]quests!$1:$1,0)+1,FALSE)</f>
        <v>2015年クリスマスクエスト</v>
      </c>
      <c r="F10" s="21">
        <v>2</v>
      </c>
      <c r="G10" s="23" t="str">
        <f t="shared" ref="G10:G13" si="5">C10&amp;"_"&amp;F10</f>
        <v>11214_2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【ストーリー】恋の奥義</v>
      </c>
      <c r="I10" s="21">
        <v>4</v>
      </c>
      <c r="J10" s="12">
        <v>50</v>
      </c>
      <c r="K10" s="12">
        <v>50</v>
      </c>
    </row>
    <row r="11" spans="1:11" ht="21" customHeight="1">
      <c r="A11" s="16" t="str">
        <f t="shared" ref="A11:A12" si="6">G11&amp;"-"&amp;I11</f>
        <v>11214_3-1</v>
      </c>
      <c r="B11" s="16" t="str">
        <f>IF(COUNTIF(enemy_habitats!$H:$H,A11),"OK","NG")</f>
        <v>OK</v>
      </c>
      <c r="C11" s="7">
        <v>11214</v>
      </c>
      <c r="D11" s="11" t="str">
        <f ca="1">VLOOKUP($C11,OFFSET([2]quests!$A$1,0,0,COUNTA([2]quests!$A:$A),MATCH(D$1,[2]quests!$1:$1,0)-MATCH($C$1,[2]quests!$1:$1,0)+1),MATCH(D$1,[2]quests!$1:$1,0)-MATCH($C$1,[2]quests!$1:$1,0)+1,FALSE)</f>
        <v>プロメテウスの恋</v>
      </c>
      <c r="E11" s="18" t="str">
        <f ca="1">VLOOKUP($C11,OFFSET([2]quests!$A$1,0,0,COUNTA([2]quests!$A:$A),MATCH(E$1,[2]quests!$1:$1,0)-MATCH($C$1,[2]quests!$1:$1,0)+1),MATCH(E$1,[2]quests!$1:$1,0)-MATCH($C$1,[2]quests!$1:$1,0)+1,FALSE)</f>
        <v>2015年クリスマスクエスト</v>
      </c>
      <c r="F11" s="21">
        <v>3</v>
      </c>
      <c r="G11" s="23" t="str">
        <f t="shared" ref="G11:G12" si="7">C11&amp;"_"&amp;F11</f>
        <v>11214_3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【ストーリー後編】フィーバーの力</v>
      </c>
      <c r="I11" s="21">
        <v>1</v>
      </c>
      <c r="J11" s="12">
        <v>20</v>
      </c>
      <c r="K11" s="12">
        <v>20</v>
      </c>
    </row>
    <row r="12" spans="1:11" ht="21" customHeight="1">
      <c r="A12" s="16" t="str">
        <f t="shared" si="6"/>
        <v>11214_3-2</v>
      </c>
      <c r="B12" s="16" t="str">
        <f>IF(COUNTIF(enemy_habitats!$H:$H,A12),"OK","NG")</f>
        <v>OK</v>
      </c>
      <c r="C12" s="7">
        <v>11214</v>
      </c>
      <c r="D12" s="11" t="str">
        <f ca="1">VLOOKUP($C12,OFFSET([2]quests!$A$1,0,0,COUNTA([2]quests!$A:$A),MATCH(D$1,[2]quests!$1:$1,0)-MATCH($C$1,[2]quests!$1:$1,0)+1),MATCH(D$1,[2]quests!$1:$1,0)-MATCH($C$1,[2]quests!$1:$1,0)+1,FALSE)</f>
        <v>プロメテウスの恋</v>
      </c>
      <c r="E12" s="18" t="str">
        <f ca="1">VLOOKUP($C12,OFFSET([2]quests!$A$1,0,0,COUNTA([2]quests!$A:$A),MATCH(E$1,[2]quests!$1:$1,0)-MATCH($C$1,[2]quests!$1:$1,0)+1),MATCH(E$1,[2]quests!$1:$1,0)-MATCH($C$1,[2]quests!$1:$1,0)+1,FALSE)</f>
        <v>2015年クリスマスクエスト</v>
      </c>
      <c r="F12" s="21">
        <v>3</v>
      </c>
      <c r="G12" s="23" t="str">
        <f t="shared" si="7"/>
        <v>11214_3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【ストーリー後編】フィーバーの力</v>
      </c>
      <c r="I12" s="21">
        <v>2</v>
      </c>
      <c r="J12" s="12">
        <v>40</v>
      </c>
      <c r="K12" s="12">
        <v>40</v>
      </c>
    </row>
    <row r="13" spans="1:11" ht="21" customHeight="1">
      <c r="A13" s="16" t="str">
        <f t="shared" si="4"/>
        <v>11214_3-3</v>
      </c>
      <c r="B13" s="16" t="str">
        <f>IF(COUNTIF(enemy_habitats!$H:$H,A13),"OK","NG")</f>
        <v>OK</v>
      </c>
      <c r="C13" s="7">
        <v>11214</v>
      </c>
      <c r="D13" s="11" t="str">
        <f ca="1">VLOOKUP($C13,OFFSET([2]quests!$A$1,0,0,COUNTA([2]quests!$A:$A),MATCH(D$1,[2]quests!$1:$1,0)-MATCH($C$1,[2]quests!$1:$1,0)+1),MATCH(D$1,[2]quests!$1:$1,0)-MATCH($C$1,[2]quests!$1:$1,0)+1,FALSE)</f>
        <v>プロメテウスの恋</v>
      </c>
      <c r="E13" s="18" t="str">
        <f ca="1">VLOOKUP($C13,OFFSET([2]quests!$A$1,0,0,COUNTA([2]quests!$A:$A),MATCH(E$1,[2]quests!$1:$1,0)-MATCH($C$1,[2]quests!$1:$1,0)+1),MATCH(E$1,[2]quests!$1:$1,0)-MATCH($C$1,[2]quests!$1:$1,0)+1,FALSE)</f>
        <v>2015年クリスマスクエスト</v>
      </c>
      <c r="F13" s="21">
        <v>3</v>
      </c>
      <c r="G13" s="23" t="str">
        <f t="shared" si="5"/>
        <v>11214_3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【ストーリー後編】フィーバーの力</v>
      </c>
      <c r="I13" s="21">
        <v>3</v>
      </c>
      <c r="J13" s="12">
        <v>50</v>
      </c>
      <c r="K13" s="12">
        <v>50</v>
      </c>
    </row>
    <row r="14" spans="1:11" ht="21" customHeight="1">
      <c r="A14" s="16" t="str">
        <f t="shared" si="0"/>
        <v>11214_3-4</v>
      </c>
      <c r="B14" s="16" t="str">
        <f>IF(COUNTIF(enemy_habitats!$H:$H,A14),"OK","NG")</f>
        <v>OK</v>
      </c>
      <c r="C14" s="7">
        <v>11214</v>
      </c>
      <c r="D14" s="11" t="str">
        <f ca="1">VLOOKUP($C14,OFFSET([2]quests!$A$1,0,0,COUNTA([2]quests!$A:$A),MATCH(D$1,[2]quests!$1:$1,0)-MATCH($C$1,[2]quests!$1:$1,0)+1),MATCH(D$1,[2]quests!$1:$1,0)-MATCH($C$1,[2]quests!$1:$1,0)+1,FALSE)</f>
        <v>プロメテウスの恋</v>
      </c>
      <c r="E14" s="18" t="str">
        <f ca="1">VLOOKUP($C14,OFFSET([2]quests!$A$1,0,0,COUNTA([2]quests!$A:$A),MATCH(E$1,[2]quests!$1:$1,0)-MATCH($C$1,[2]quests!$1:$1,0)+1),MATCH(E$1,[2]quests!$1:$1,0)-MATCH($C$1,[2]quests!$1:$1,0)+1,FALSE)</f>
        <v>2015年クリスマスクエスト</v>
      </c>
      <c r="F14" s="21">
        <v>3</v>
      </c>
      <c r="G14" s="23" t="str">
        <f t="shared" si="1"/>
        <v>11214_3</v>
      </c>
      <c r="H14" s="15" t="str">
        <f ca="1">VLOOKUP($G14,OFFSET([2]stages!$A$1,0,0,COUNTA([2]stages!$A:$A),MATCH(H$1,[2]stages!$2:$2,0)-MATCH($G$1,[2]stages!$2:$2,0)+1),MATCH(H$1,[2]stages!$2:$2,0)-MATCH($G$1,[2]stages!$2:$2,0)+1,FALSE)</f>
        <v>【ストーリー後編】フィーバーの力</v>
      </c>
      <c r="I14" s="21">
        <v>4</v>
      </c>
      <c r="J14" s="12">
        <v>30</v>
      </c>
      <c r="K14" s="12">
        <v>30</v>
      </c>
    </row>
    <row r="15" spans="1:11" ht="21" customHeight="1">
      <c r="A15" s="16" t="str">
        <f t="shared" si="0"/>
        <v>11215_1-1</v>
      </c>
      <c r="B15" s="16" t="str">
        <f>IF(COUNTIF(enemy_habitats!$H:$H,A15),"OK","NG")</f>
        <v>OK</v>
      </c>
      <c r="C15" s="7">
        <v>11215</v>
      </c>
      <c r="D15" s="11" t="str">
        <f ca="1">VLOOKUP($C15,OFFSET([2]quests!$A$1,0,0,COUNTA([2]quests!$A:$A),MATCH(D$1,[2]quests!$1:$1,0)-MATCH($C$1,[2]quests!$1:$1,0)+1),MATCH(D$1,[2]quests!$1:$1,0)-MATCH($C$1,[2]quests!$1:$1,0)+1,FALSE)</f>
        <v>【マルチ】サンタダックを捕獲せよ！</v>
      </c>
      <c r="E15" s="18" t="str">
        <f ca="1">VLOOKUP($C15,OFFSET([2]quests!$A$1,0,0,COUNTA([2]quests!$A:$A),MATCH(E$1,[2]quests!$1:$1,0)-MATCH($C$1,[2]quests!$1:$1,0)+1),MATCH(E$1,[2]quests!$1:$1,0)-MATCH($C$1,[2]quests!$1:$1,0)+1,FALSE)</f>
        <v>2015年クリスマスゲリラクエスト</v>
      </c>
      <c r="F15" s="21">
        <v>1</v>
      </c>
      <c r="G15" s="23" t="str">
        <f t="shared" si="1"/>
        <v>11215_1</v>
      </c>
      <c r="H15" s="15" t="str">
        <f ca="1">VLOOKUP($G15,OFFSET([2]stages!$A$1,0,0,COUNTA([2]stages!$A:$A),MATCH(H$1,[2]stages!$2:$2,0)-MATCH($G$1,[2]stages!$2:$2,0)+1),MATCH(H$1,[2]stages!$2:$2,0)-MATCH($G$1,[2]stages!$2:$2,0)+1,FALSE)</f>
        <v>【上級】サンタダックを捕獲せよ！</v>
      </c>
      <c r="I15" s="21">
        <v>1</v>
      </c>
      <c r="J15" s="12">
        <v>60</v>
      </c>
      <c r="K15" s="12">
        <v>60</v>
      </c>
    </row>
    <row r="16" spans="1:11" ht="21" customHeight="1">
      <c r="A16" s="16" t="str">
        <f t="shared" ref="A16:A17" si="8">G16&amp;"-"&amp;I16</f>
        <v>11215_1-2</v>
      </c>
      <c r="B16" s="16" t="str">
        <f>IF(COUNTIF(enemy_habitats!$H:$H,A16),"OK","NG")</f>
        <v>OK</v>
      </c>
      <c r="C16" s="7">
        <v>11215</v>
      </c>
      <c r="D16" s="11" t="str">
        <f ca="1">VLOOKUP($C16,OFFSET([2]quests!$A$1,0,0,COUNTA([2]quests!$A:$A),MATCH(D$1,[2]quests!$1:$1,0)-MATCH($C$1,[2]quests!$1:$1,0)+1),MATCH(D$1,[2]quests!$1:$1,0)-MATCH($C$1,[2]quests!$1:$1,0)+1,FALSE)</f>
        <v>【マルチ】サンタダックを捕獲せよ！</v>
      </c>
      <c r="E16" s="18" t="str">
        <f ca="1">VLOOKUP($C16,OFFSET([2]quests!$A$1,0,0,COUNTA([2]quests!$A:$A),MATCH(E$1,[2]quests!$1:$1,0)-MATCH($C$1,[2]quests!$1:$1,0)+1),MATCH(E$1,[2]quests!$1:$1,0)-MATCH($C$1,[2]quests!$1:$1,0)+1,FALSE)</f>
        <v>2015年クリスマスゲリラクエスト</v>
      </c>
      <c r="F16" s="21">
        <v>1</v>
      </c>
      <c r="G16" s="23" t="str">
        <f t="shared" ref="G16:G17" si="9">C16&amp;"_"&amp;F16</f>
        <v>11215_1</v>
      </c>
      <c r="H16" s="15" t="str">
        <f ca="1">VLOOKUP($G16,OFFSET([2]stages!$A$1,0,0,COUNTA([2]stages!$A:$A),MATCH(H$1,[2]stages!$2:$2,0)-MATCH($G$1,[2]stages!$2:$2,0)+1),MATCH(H$1,[2]stages!$2:$2,0)-MATCH($G$1,[2]stages!$2:$2,0)+1,FALSE)</f>
        <v>【上級】サンタダックを捕獲せよ！</v>
      </c>
      <c r="I16" s="21">
        <v>2</v>
      </c>
      <c r="J16" s="12">
        <v>49</v>
      </c>
      <c r="K16" s="12">
        <v>50</v>
      </c>
    </row>
    <row r="17" spans="1:11" ht="21" customHeight="1">
      <c r="A17" s="16" t="str">
        <f t="shared" si="8"/>
        <v>11215_1-3</v>
      </c>
      <c r="B17" s="16" t="str">
        <f>IF(COUNTIF(enemy_habitats!$H:$H,A17),"OK","NG")</f>
        <v>OK</v>
      </c>
      <c r="C17" s="7">
        <v>11215</v>
      </c>
      <c r="D17" s="11" t="str">
        <f ca="1">VLOOKUP($C17,OFFSET([2]quests!$A$1,0,0,COUNTA([2]quests!$A:$A),MATCH(D$1,[2]quests!$1:$1,0)-MATCH($C$1,[2]quests!$1:$1,0)+1),MATCH(D$1,[2]quests!$1:$1,0)-MATCH($C$1,[2]quests!$1:$1,0)+1,FALSE)</f>
        <v>【マルチ】サンタダックを捕獲せよ！</v>
      </c>
      <c r="E17" s="18" t="str">
        <f ca="1">VLOOKUP($C17,OFFSET([2]quests!$A$1,0,0,COUNTA([2]quests!$A:$A),MATCH(E$1,[2]quests!$1:$1,0)-MATCH($C$1,[2]quests!$1:$1,0)+1),MATCH(E$1,[2]quests!$1:$1,0)-MATCH($C$1,[2]quests!$1:$1,0)+1,FALSE)</f>
        <v>2015年クリスマスゲリラクエスト</v>
      </c>
      <c r="F17" s="21">
        <v>1</v>
      </c>
      <c r="G17" s="23" t="str">
        <f t="shared" si="9"/>
        <v>11215_1</v>
      </c>
      <c r="H17" s="15" t="str">
        <f ca="1">VLOOKUP($G17,OFFSET([2]stages!$A$1,0,0,COUNTA([2]stages!$A:$A),MATCH(H$1,[2]stages!$2:$2,0)-MATCH($G$1,[2]stages!$2:$2,0)+1),MATCH(H$1,[2]stages!$2:$2,0)-MATCH($G$1,[2]stages!$2:$2,0)+1,FALSE)</f>
        <v>【上級】サンタダックを捕獲せよ！</v>
      </c>
      <c r="I17" s="21">
        <v>3</v>
      </c>
      <c r="J17" s="12">
        <v>15</v>
      </c>
      <c r="K17" s="12">
        <v>15</v>
      </c>
    </row>
    <row r="18" spans="1:11" ht="21" customHeight="1">
      <c r="A18" s="16" t="str">
        <f t="shared" ref="A18" si="10">G18&amp;"-"&amp;I18</f>
        <v>11215_1-4</v>
      </c>
      <c r="B18" s="16" t="str">
        <f>IF(COUNTIF(enemy_habitats!$H:$H,A18),"OK","NG")</f>
        <v>OK</v>
      </c>
      <c r="C18" s="7">
        <v>11215</v>
      </c>
      <c r="D18" s="11" t="str">
        <f ca="1">VLOOKUP($C18,OFFSET([2]quests!$A$1,0,0,COUNTA([2]quests!$A:$A),MATCH(D$1,[2]quests!$1:$1,0)-MATCH($C$1,[2]quests!$1:$1,0)+1),MATCH(D$1,[2]quests!$1:$1,0)-MATCH($C$1,[2]quests!$1:$1,0)+1,FALSE)</f>
        <v>【マルチ】サンタダックを捕獲せよ！</v>
      </c>
      <c r="E18" s="18" t="str">
        <f ca="1">VLOOKUP($C18,OFFSET([2]quests!$A$1,0,0,COUNTA([2]quests!$A:$A),MATCH(E$1,[2]quests!$1:$1,0)-MATCH($C$1,[2]quests!$1:$1,0)+1),MATCH(E$1,[2]quests!$1:$1,0)-MATCH($C$1,[2]quests!$1:$1,0)+1,FALSE)</f>
        <v>2015年クリスマスゲリラクエスト</v>
      </c>
      <c r="F18" s="21">
        <v>1</v>
      </c>
      <c r="G18" s="23" t="str">
        <f t="shared" ref="G18" si="11">C18&amp;"_"&amp;F18</f>
        <v>11215_1</v>
      </c>
      <c r="H18" s="15" t="str">
        <f ca="1">VLOOKUP($G18,OFFSET([2]stages!$A$1,0,0,COUNTA([2]stages!$A:$A),MATCH(H$1,[2]stages!$2:$2,0)-MATCH($G$1,[2]stages!$2:$2,0)+1),MATCH(H$1,[2]stages!$2:$2,0)-MATCH($G$1,[2]stages!$2:$2,0)+1,FALSE)</f>
        <v>【上級】サンタダックを捕獲せよ！</v>
      </c>
      <c r="I18" s="21">
        <v>4</v>
      </c>
      <c r="J18" s="12">
        <v>55</v>
      </c>
      <c r="K18" s="12">
        <v>55</v>
      </c>
    </row>
    <row r="19" spans="1:11" ht="21" customHeight="1">
      <c r="A19" s="16" t="str">
        <f t="shared" ref="A19" si="12">G19&amp;"-"&amp;I19</f>
        <v>11215_1-5</v>
      </c>
      <c r="B19" s="16" t="str">
        <f>IF(COUNTIF(enemy_habitats!$H:$H,A19),"OK","NG")</f>
        <v>OK</v>
      </c>
      <c r="C19" s="7">
        <v>11215</v>
      </c>
      <c r="D19" s="11" t="str">
        <f ca="1">VLOOKUP($C19,OFFSET([2]quests!$A$1,0,0,COUNTA([2]quests!$A:$A),MATCH(D$1,[2]quests!$1:$1,0)-MATCH($C$1,[2]quests!$1:$1,0)+1),MATCH(D$1,[2]quests!$1:$1,0)-MATCH($C$1,[2]quests!$1:$1,0)+1,FALSE)</f>
        <v>【マルチ】サンタダックを捕獲せよ！</v>
      </c>
      <c r="E19" s="18" t="str">
        <f ca="1">VLOOKUP($C19,OFFSET([2]quests!$A$1,0,0,COUNTA([2]quests!$A:$A),MATCH(E$1,[2]quests!$1:$1,0)-MATCH($C$1,[2]quests!$1:$1,0)+1),MATCH(E$1,[2]quests!$1:$1,0)-MATCH($C$1,[2]quests!$1:$1,0)+1,FALSE)</f>
        <v>2015年クリスマスゲリラクエスト</v>
      </c>
      <c r="F19" s="21">
        <v>1</v>
      </c>
      <c r="G19" s="23" t="str">
        <f t="shared" ref="G19" si="13">C19&amp;"_"&amp;F19</f>
        <v>11215_1</v>
      </c>
      <c r="H19" s="15" t="str">
        <f ca="1">VLOOKUP($G19,OFFSET([2]stages!$A$1,0,0,COUNTA([2]stages!$A:$A),MATCH(H$1,[2]stages!$2:$2,0)-MATCH($G$1,[2]stages!$2:$2,0)+1),MATCH(H$1,[2]stages!$2:$2,0)-MATCH($G$1,[2]stages!$2:$2,0)+1,FALSE)</f>
        <v>【上級】サンタダックを捕獲せよ！</v>
      </c>
      <c r="I19" s="21">
        <v>5</v>
      </c>
      <c r="J19" s="12">
        <v>60</v>
      </c>
      <c r="K1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48"/>
  <sheetViews>
    <sheetView showGridLines="0" zoomScale="75" zoomScaleNormal="75" zoomScalePageLayoutView="75" workbookViewId="0">
      <pane xSplit="17" ySplit="1" topLeftCell="R20" activePane="bottomRight" state="frozen"/>
      <selection pane="topRight" activeCell="N1" sqref="N1"/>
      <selection pane="bottomLeft" activeCell="A2" sqref="A2"/>
      <selection pane="bottomRight" activeCell="L44" sqref="L44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9.332031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5.33203125" style="3" bestFit="1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14.33203125" style="13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167</v>
      </c>
    </row>
    <row r="2" spans="1:40" ht="21" customHeight="1">
      <c r="A2" s="16" t="str">
        <f t="shared" ref="A2:A8" ca="1" si="0">B2&amp;"_"&amp;C2&amp;"-"&amp;G2&amp;"/"&amp;L2&amp;"&lt;lv"&amp;R2&amp;"&gt;s"&amp;AA2</f>
        <v>11214_1-1/520&lt;lv1&gt;s3</v>
      </c>
      <c r="B2" s="22">
        <v>11214</v>
      </c>
      <c r="C2" s="21">
        <v>1</v>
      </c>
      <c r="D2" s="2" t="str">
        <f t="shared" ref="D2:D8" si="1">B2&amp;"_"&amp;C2</f>
        <v>11214_1</v>
      </c>
      <c r="E2" s="4" t="str">
        <f ca="1">VLOOKUP($B2,OFFSET([2]quests!$A$1,0,0,COUNTA([2]quests!$A:$A),MATCH(E$1,[2]quests!$1:$1,0)-MATCH($B$1,[2]quests!$1:$1,0)+1),MATCH(E$1,[2]quests!$1:$1,0)-MATCH($B$1,[2]quests!$1:$1,0)+1,FALSE)</f>
        <v>プロメテウスの恋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【ストーリー前編】勢いまかせ</v>
      </c>
      <c r="G2" s="21">
        <v>1</v>
      </c>
      <c r="H2" s="15" t="str">
        <f t="shared" ref="H2:H8" si="2">B2&amp;"_"&amp;C2&amp;"-"&amp;G2</f>
        <v>11214_1-1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520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サンタダック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</v>
      </c>
      <c r="S2" s="25">
        <v>0.1</v>
      </c>
      <c r="T2" s="25">
        <v>1</v>
      </c>
      <c r="U2" s="5">
        <v>-8000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「プロメテウスの恋」_x000D_　 〜勢いまかせ〜</v>
      </c>
      <c r="W2" s="71">
        <v>112141100</v>
      </c>
      <c r="X2" s="6">
        <v>1</v>
      </c>
      <c r="Y2" s="6">
        <v>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8" si="3">L2</f>
        <v>520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8" ca="1" si="4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>
      <c r="A3" s="16" t="str">
        <f t="shared" ca="1" si="0"/>
        <v>11214_1-2/202&lt;lv1&gt;s3</v>
      </c>
      <c r="B3" s="70">
        <v>11214</v>
      </c>
      <c r="C3" s="21">
        <v>1</v>
      </c>
      <c r="D3" s="2" t="str">
        <f t="shared" si="1"/>
        <v>11214_1</v>
      </c>
      <c r="E3" s="4" t="str">
        <f ca="1">VLOOKUP($B3,OFFSET([2]quests!$A$1,0,0,COUNTA([2]quests!$A:$A),MATCH(E$1,[2]quests!$1:$1,0)-MATCH($B$1,[2]quests!$1:$1,0)+1),MATCH(E$1,[2]quests!$1:$1,0)-MATCH($B$1,[2]quests!$1:$1,0)+1,FALSE)</f>
        <v>プロメテウスの恋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【ストーリー前編】勢いまかせ</v>
      </c>
      <c r="G3" s="21">
        <v>2</v>
      </c>
      <c r="H3" s="15" t="str">
        <f t="shared" si="2"/>
        <v>11214_1-2</v>
      </c>
      <c r="I3" s="4">
        <f ca="1">VLOOKUP($H3,OFFSET(floors!$A$1,0,0,COUNTA(floors!$A:$A),MATCH(I$1,floors!$1:$1,0)-MATCH($H$1,floors!$1:$1,0)+1),MATCH(I$1,floors!$1:$1,0)-MATCH($H$1,floors!$1:$1,0)+1,FALSE)</f>
        <v>20</v>
      </c>
      <c r="J3" s="4">
        <f ca="1">VLOOKUP($H3,OFFSET(floors!$A$1,0,0,COUNTA(floors!$A:$A),MATCH(J$1,floors!$1:$1,0)-MATCH($H$1,floors!$1:$1,0)+1),MATCH(J$1,floors!$1:$1,0)-MATCH($H$1,floors!$1:$1,0)+1,FALSE)</f>
        <v>20</v>
      </c>
      <c r="K3" s="38">
        <v>1</v>
      </c>
      <c r="L3" s="20">
        <v>202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プロメテウス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</v>
      </c>
      <c r="S3" s="25">
        <v>0.1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プロメテウスは 悩んでいる</v>
      </c>
      <c r="W3" s="71">
        <v>112141200</v>
      </c>
      <c r="X3" s="6">
        <v>1</v>
      </c>
      <c r="Y3" s="6">
        <v>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 t="shared" si="3"/>
        <v>202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" s="7">
        <v>1</v>
      </c>
      <c r="AG3" s="24">
        <f t="shared" ca="1" si="4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>
      <c r="A4" s="16" t="str">
        <f t="shared" ca="1" si="0"/>
        <v>11214_1-3/202&lt;lv1&gt;s3</v>
      </c>
      <c r="B4" s="70">
        <v>11214</v>
      </c>
      <c r="C4" s="21">
        <v>1</v>
      </c>
      <c r="D4" s="2" t="str">
        <f t="shared" si="1"/>
        <v>11214_1</v>
      </c>
      <c r="E4" s="4" t="str">
        <f ca="1">VLOOKUP($B4,OFFSET([2]quests!$A$1,0,0,COUNTA([2]quests!$A:$A),MATCH(E$1,[2]quests!$1:$1,0)-MATCH($B$1,[2]quests!$1:$1,0)+1),MATCH(E$1,[2]quests!$1:$1,0)-MATCH($B$1,[2]quests!$1:$1,0)+1,FALSE)</f>
        <v>プロメテウスの恋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【ストーリー前編】勢いまかせ</v>
      </c>
      <c r="G4" s="21">
        <v>3</v>
      </c>
      <c r="H4" s="15" t="str">
        <f t="shared" si="2"/>
        <v>11214_1-3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314</v>
      </c>
      <c r="L4" s="20">
        <v>202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プロメテウス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99.9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恋の悩みを 打ち明けてみた</v>
      </c>
      <c r="W4" s="71">
        <v>112141300</v>
      </c>
      <c r="X4" s="6">
        <v>1</v>
      </c>
      <c r="Y4" s="6">
        <v>0</v>
      </c>
      <c r="Z4" s="6">
        <v>2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202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>
      <c r="A5" s="16" t="str">
        <f t="shared" ca="1" si="0"/>
        <v>11214_1-3/167&lt;lv1&gt;s2</v>
      </c>
      <c r="B5" s="70">
        <v>11214</v>
      </c>
      <c r="C5" s="21">
        <v>1</v>
      </c>
      <c r="D5" s="2" t="str">
        <f t="shared" si="1"/>
        <v>11214_1</v>
      </c>
      <c r="E5" s="4" t="str">
        <f ca="1">VLOOKUP($B5,OFFSET([2]quests!$A$1,0,0,COUNTA([2]quests!$A:$A),MATCH(E$1,[2]quests!$1:$1,0)-MATCH($B$1,[2]quests!$1:$1,0)+1),MATCH(E$1,[2]quests!$1:$1,0)-MATCH($B$1,[2]quests!$1:$1,0)+1,FALSE)</f>
        <v>プロメテウスの恋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【ストーリー前編】勢いまかせ</v>
      </c>
      <c r="G5" s="21">
        <v>3</v>
      </c>
      <c r="H5" s="15" t="str">
        <f t="shared" si="2"/>
        <v>11214_1-3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>
        <v>2</v>
      </c>
      <c r="L5" s="20">
        <v>167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逆徒 ベリアル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0.1</v>
      </c>
      <c r="T5" s="25">
        <v>1</v>
      </c>
      <c r="U5" s="5">
        <v>-440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ベリアルは ノリで答えている</v>
      </c>
      <c r="W5" s="71">
        <v>112141310</v>
      </c>
      <c r="X5" s="6">
        <v>1</v>
      </c>
      <c r="Y5" s="6">
        <v>0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167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逆徒 ベリアル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5" s="7">
        <v>1</v>
      </c>
      <c r="AG5" s="24">
        <f t="shared" ca="1" si="4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>
      <c r="A6" s="16" t="str">
        <f t="shared" ca="1" si="0"/>
        <v>11214_1-4/202&lt;lv1&gt;s3</v>
      </c>
      <c r="B6" s="70">
        <v>11214</v>
      </c>
      <c r="C6" s="21">
        <v>1</v>
      </c>
      <c r="D6" s="2" t="str">
        <f t="shared" si="1"/>
        <v>11214_1</v>
      </c>
      <c r="E6" s="4" t="str">
        <f ca="1">VLOOKUP($B6,OFFSET([2]quests!$A$1,0,0,COUNTA([2]quests!$A:$A),MATCH(E$1,[2]quests!$1:$1,0)-MATCH($B$1,[2]quests!$1:$1,0)+1),MATCH(E$1,[2]quests!$1:$1,0)-MATCH($B$1,[2]quests!$1:$1,0)+1,FALSE)</f>
        <v>プロメテウスの恋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【ストーリー前編】勢いまかせ</v>
      </c>
      <c r="G6" s="21">
        <v>4</v>
      </c>
      <c r="H6" s="15" t="str">
        <f t="shared" si="2"/>
        <v>11214_1-4</v>
      </c>
      <c r="I6" s="4">
        <f ca="1">VLOOKUP($H6,OFFSET(floors!$A$1,0,0,COUNTA(floors!$A:$A),MATCH(I$1,floors!$1:$1,0)-MATCH($H$1,floors!$1:$1,0)+1),MATCH(I$1,floors!$1:$1,0)-MATCH($H$1,floors!$1:$1,0)+1,FALSE)</f>
        <v>50</v>
      </c>
      <c r="J6" s="4">
        <f ca="1">VLOOKUP($H6,OFFSET(floors!$A$1,0,0,COUNTA(floors!$A:$A),MATCH(J$1,floors!$1:$1,0)-MATCH($H$1,floors!$1:$1,0)+1),MATCH(J$1,floors!$1:$1,0)-MATCH($H$1,floors!$1:$1,0)+1,FALSE)</f>
        <v>50</v>
      </c>
      <c r="K6" s="38" t="s">
        <v>288</v>
      </c>
      <c r="L6" s="20">
        <v>202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プロメテウス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1</v>
      </c>
      <c r="S6" s="25">
        <v>99.9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勢いが 空回りしている…</v>
      </c>
      <c r="W6" s="71">
        <v>112141400</v>
      </c>
      <c r="X6" s="6">
        <v>1</v>
      </c>
      <c r="Y6" s="6">
        <v>0</v>
      </c>
      <c r="Z6" s="6">
        <v>2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202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7">
        <v>1</v>
      </c>
      <c r="AG6" s="24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>
      <c r="A7" s="16" t="str">
        <f t="shared" ca="1" si="0"/>
        <v>11214_1-4/170&lt;lv1&gt;s2</v>
      </c>
      <c r="B7" s="70">
        <v>11214</v>
      </c>
      <c r="C7" s="21">
        <v>1</v>
      </c>
      <c r="D7" s="2" t="str">
        <f t="shared" si="1"/>
        <v>11214_1</v>
      </c>
      <c r="E7" s="4" t="str">
        <f ca="1">VLOOKUP($B7,OFFSET([2]quests!$A$1,0,0,COUNTA([2]quests!$A:$A),MATCH(E$1,[2]quests!$1:$1,0)-MATCH($B$1,[2]quests!$1:$1,0)+1),MATCH(E$1,[2]quests!$1:$1,0)-MATCH($B$1,[2]quests!$1:$1,0)+1,FALSE)</f>
        <v>プロメテウスの恋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【ストーリー前編】勢いまかせ</v>
      </c>
      <c r="G7" s="21">
        <v>4</v>
      </c>
      <c r="H7" s="15" t="str">
        <f t="shared" si="2"/>
        <v>11214_1-4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>
        <v>1</v>
      </c>
      <c r="L7" s="20">
        <v>170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識徒 オセ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5">
        <v>0.1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オセは それどころでは ないらしい</v>
      </c>
      <c r="W7" s="71">
        <v>112141410</v>
      </c>
      <c r="X7" s="6">
        <v>1</v>
      </c>
      <c r="Y7" s="6">
        <v>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170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識徒 オセ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>
      <c r="A8" s="16" t="str">
        <f t="shared" ca="1" si="0"/>
        <v>11214_1-5/204&lt;lv1&gt;s3</v>
      </c>
      <c r="B8" s="70">
        <v>11214</v>
      </c>
      <c r="C8" s="21">
        <v>1</v>
      </c>
      <c r="D8" s="2" t="str">
        <f t="shared" si="1"/>
        <v>11214_1</v>
      </c>
      <c r="E8" s="4" t="str">
        <f ca="1">VLOOKUP($B8,OFFSET([2]quests!$A$1,0,0,COUNTA([2]quests!$A:$A),MATCH(E$1,[2]quests!$1:$1,0)-MATCH($B$1,[2]quests!$1:$1,0)+1),MATCH(E$1,[2]quests!$1:$1,0)-MATCH($B$1,[2]quests!$1:$1,0)+1,FALSE)</f>
        <v>プロメテウスの恋</v>
      </c>
      <c r="F8" s="4" t="str">
        <f ca="1">VLOOKUP($D8,OFFSET([2]stages!$A$1,0,0,COUNTA([2]stages!$A:$A),MATCH(F$1,[2]stages!$2:$2,0)-MATCH($D$1,[2]stages!$2:$2,0)+1),MATCH(F$1,[2]stages!$2:$2,0)-MATCH($D$1,[2]stages!$2:$2,0)+1,FALSE)</f>
        <v>【ストーリー前編】勢いまかせ</v>
      </c>
      <c r="G8" s="21">
        <v>5</v>
      </c>
      <c r="H8" s="15" t="str">
        <f t="shared" si="2"/>
        <v>11214_1-5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204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慟哭の巨焔 プロメテウス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1</v>
      </c>
      <c r="S8" s="25">
        <v>0.1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目の前が 真っ暗になっている！</v>
      </c>
      <c r="W8" s="71">
        <v>112141500</v>
      </c>
      <c r="X8" s="6">
        <v>1</v>
      </c>
      <c r="Y8" s="6">
        <v>0</v>
      </c>
      <c r="Z8" s="6">
        <v>1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3"/>
        <v>204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慟哭の巨焔 プロメテウス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7">
        <v>1</v>
      </c>
      <c r="AG8" s="24">
        <f t="shared" ca="1" si="4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s="90" customFormat="1" ht="21" customHeight="1">
      <c r="A9" s="76" t="str">
        <f t="shared" ref="A9" ca="1" si="5">B9&amp;"_"&amp;C9&amp;"-"&amp;G9&amp;"/"&amp;L9&amp;"&lt;lv"&amp;R9&amp;"&gt;s"&amp;AA9</f>
        <v>11214_2-1/334&lt;lv1&gt;s3</v>
      </c>
      <c r="B9" s="77">
        <v>11214</v>
      </c>
      <c r="C9" s="78">
        <v>2</v>
      </c>
      <c r="D9" s="78" t="str">
        <f t="shared" ref="D9" si="6">B9&amp;"_"&amp;C9</f>
        <v>11214_2</v>
      </c>
      <c r="E9" s="79" t="str">
        <f ca="1">VLOOKUP($B9,OFFSET([2]quests!$A$1,0,0,COUNTA([2]quests!$A:$A),MATCH(E$1,[2]quests!$1:$1,0)-MATCH($B$1,[2]quests!$1:$1,0)+1),MATCH(E$1,[2]quests!$1:$1,0)-MATCH($B$1,[2]quests!$1:$1,0)+1,FALSE)</f>
        <v>プロメテウスの恋</v>
      </c>
      <c r="F9" s="79" t="str">
        <f ca="1">VLOOKUP($D9,OFFSET([2]stages!$A$1,0,0,COUNTA([2]stages!$A:$A),MATCH(F$1,[2]stages!$2:$2,0)-MATCH($D$1,[2]stages!$2:$2,0)+1),MATCH(F$1,[2]stages!$2:$2,0)-MATCH($D$1,[2]stages!$2:$2,0)+1,FALSE)</f>
        <v>【ストーリー】恋の奥義</v>
      </c>
      <c r="G9" s="78">
        <v>1</v>
      </c>
      <c r="H9" s="80" t="str">
        <f t="shared" ref="H9" si="7">B9&amp;"_"&amp;C9&amp;"-"&amp;G9</f>
        <v>11214_2-1</v>
      </c>
      <c r="I9" s="79">
        <f ca="1">VLOOKUP($H9,OFFSET(floors!$A$1,0,0,COUNTA(floors!$A:$A),MATCH(I$1,floors!$1:$1,0)-MATCH($H$1,floors!$1:$1,0)+1),MATCH(I$1,floors!$1:$1,0)-MATCH($H$1,floors!$1:$1,0)+1,FALSE)</f>
        <v>20</v>
      </c>
      <c r="J9" s="79">
        <f ca="1">VLOOKUP($H9,OFFSET(floors!$A$1,0,0,COUNTA(floors!$A:$A),MATCH(J$1,floors!$1:$1,0)-MATCH($H$1,floors!$1:$1,0)+1),MATCH(J$1,floors!$1:$1,0)-MATCH($H$1,floors!$1:$1,0)+1,FALSE)</f>
        <v>20</v>
      </c>
      <c r="K9" s="81" t="s">
        <v>53</v>
      </c>
      <c r="L9" s="78">
        <v>334</v>
      </c>
      <c r="M9" s="82" t="str">
        <f ca="1">VLOOKUP($L9,OFFSET([3]enemies!$A$1,0,0,COUNTA([3]enemies!$A:$A),MATCH(M$1,[3]enemies!$1:$1,0)-MATCH($L$1,[3]enemies!$1:$1,0)+1),MATCH(M$1,[3]enemies!$1:$1,0)-MATCH($L$1,[3]enemies!$1:$1,0)+1,FALSE)</f>
        <v>炎のメタルダック</v>
      </c>
      <c r="N9" s="82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82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82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82">
        <f ca="1">VLOOKUP($L9,OFFSET([3]enemies!$A$1,0,0,COUNTA([3]enemies!$A:$A),MATCH(Q$1,[3]enemies!$1:$1,0)-MATCH($L$1,[3]enemies!$1:$1,0)+1),MATCH(Q$1,[3]enemies!$1:$1,0)-MATCH($L$1,[3]enemies!$1:$1,0)+1,FALSE)</f>
        <v>20</v>
      </c>
      <c r="R9" s="83">
        <v>1</v>
      </c>
      <c r="S9" s="84">
        <v>1</v>
      </c>
      <c r="T9" s="84">
        <v>1</v>
      </c>
      <c r="U9" s="83">
        <v>0</v>
      </c>
      <c r="V9" s="79" t="str">
        <f ca="1">VLOOKUP($W9,OFFSET(enemy_skill_sets!$B$1,0,0,COUNTA(enemy_skill_sets!$B:$B),MATCH(M$1,enemy_skill_sets!$1:$1,0)-MATCH($W$1,enemy_skill_sets!$1:$1,0)+2),MATCH(M$1,enemy_skill_sets!$1:$1,0)-MATCH($W$1,enemy_skill_sets!$1:$1,0)+2,FALSE)</f>
        <v>「プロメテウスの恋」_x000D_　　〜恋の奥義〜</v>
      </c>
      <c r="W9" s="85">
        <v>112142100</v>
      </c>
      <c r="X9" s="86">
        <v>1</v>
      </c>
      <c r="Y9" s="86">
        <v>0</v>
      </c>
      <c r="Z9" s="86">
        <v>1</v>
      </c>
      <c r="AA9" s="82">
        <f ca="1">VLOOKUP($L9,OFFSET([3]enemies!$A$1,0,0,COUNTA([3]enemies!$A:$A),MATCH(AA$1,[3]enemies!$1:$1,0)-MATCH($L$1,[3]enemies!$1:$1,0)+1),MATCH(AA$1,[3]enemies!$1:$1,0)-MATCH($L$1,[3]enemies!$1:$1,0)+1,FALSE)</f>
        <v>3</v>
      </c>
      <c r="AB9" s="87">
        <f t="shared" ref="AB9" si="8">L9</f>
        <v>334</v>
      </c>
      <c r="AC9" s="79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9" s="79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79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87">
        <v>1</v>
      </c>
      <c r="AG9" s="87">
        <f t="shared" ref="AG9" ca="1" si="9">AD9</f>
        <v>5</v>
      </c>
      <c r="AH9" s="88">
        <v>0</v>
      </c>
      <c r="AI9" s="87">
        <v>0</v>
      </c>
      <c r="AJ9" s="87">
        <v>0</v>
      </c>
      <c r="AK9" s="87">
        <v>0</v>
      </c>
      <c r="AL9" s="87">
        <v>0</v>
      </c>
      <c r="AM9" s="87">
        <v>1</v>
      </c>
      <c r="AN9" s="89">
        <v>1</v>
      </c>
    </row>
    <row r="10" spans="1:40" s="90" customFormat="1" ht="21" customHeight="1">
      <c r="A10" s="76" t="str">
        <f t="shared" ref="A10:A11" ca="1" si="10">B10&amp;"_"&amp;C10&amp;"-"&amp;G10&amp;"/"&amp;L10&amp;"&lt;lv"&amp;R10&amp;"&gt;s"&amp;AA10</f>
        <v>11214_2-2/518&lt;lv1&gt;s3</v>
      </c>
      <c r="B10" s="77">
        <v>11214</v>
      </c>
      <c r="C10" s="78">
        <v>2</v>
      </c>
      <c r="D10" s="78" t="str">
        <f t="shared" ref="D10:D11" si="11">B10&amp;"_"&amp;C10</f>
        <v>11214_2</v>
      </c>
      <c r="E10" s="79" t="str">
        <f ca="1">VLOOKUP($B10,OFFSET([2]quests!$A$1,0,0,COUNTA([2]quests!$A:$A),MATCH(E$1,[2]quests!$1:$1,0)-MATCH($B$1,[2]quests!$1:$1,0)+1),MATCH(E$1,[2]quests!$1:$1,0)-MATCH($B$1,[2]quests!$1:$1,0)+1,FALSE)</f>
        <v>プロメテウスの恋</v>
      </c>
      <c r="F10" s="79" t="str">
        <f ca="1">VLOOKUP($D10,OFFSET([2]stages!$A$1,0,0,COUNTA([2]stages!$A:$A),MATCH(F$1,[2]stages!$2:$2,0)-MATCH($D$1,[2]stages!$2:$2,0)+1),MATCH(F$1,[2]stages!$2:$2,0)-MATCH($D$1,[2]stages!$2:$2,0)+1,FALSE)</f>
        <v>【ストーリー】恋の奥義</v>
      </c>
      <c r="G10" s="78">
        <v>2</v>
      </c>
      <c r="H10" s="80" t="str">
        <f t="shared" ref="H10:H11" si="12">B10&amp;"_"&amp;C10&amp;"-"&amp;G10</f>
        <v>11214_2-2</v>
      </c>
      <c r="I10" s="79">
        <f ca="1">VLOOKUP($H10,OFFSET(floors!$A$1,0,0,COUNTA(floors!$A:$A),MATCH(I$1,floors!$1:$1,0)-MATCH($H$1,floors!$1:$1,0)+1),MATCH(I$1,floors!$1:$1,0)-MATCH($H$1,floors!$1:$1,0)+1,FALSE)</f>
        <v>50</v>
      </c>
      <c r="J10" s="79">
        <f ca="1">VLOOKUP($H10,OFFSET(floors!$A$1,0,0,COUNTA(floors!$A:$A),MATCH(J$1,floors!$1:$1,0)-MATCH($H$1,floors!$1:$1,0)+1),MATCH(J$1,floors!$1:$1,0)-MATCH($H$1,floors!$1:$1,0)+1,FALSE)</f>
        <v>50</v>
      </c>
      <c r="K10" s="81" t="s">
        <v>53</v>
      </c>
      <c r="L10" s="78">
        <v>518</v>
      </c>
      <c r="M10" s="82" t="str">
        <f ca="1">VLOOKUP($L10,OFFSET([3]enemies!$A$1,0,0,COUNTA([3]enemies!$A:$A),MATCH(M$1,[3]enemies!$1:$1,0)-MATCH($L$1,[3]enemies!$1:$1,0)+1),MATCH(M$1,[3]enemies!$1:$1,0)-MATCH($L$1,[3]enemies!$1:$1,0)+1,FALSE)</f>
        <v>秘来の聖天使 ミカエル</v>
      </c>
      <c r="N10" s="82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82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82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82">
        <f ca="1">VLOOKUP($L10,OFFSET([3]enemies!$A$1,0,0,COUNTA([3]enemies!$A:$A),MATCH(Q$1,[3]enemies!$1:$1,0)-MATCH($L$1,[3]enemies!$1:$1,0)+1),MATCH(Q$1,[3]enemies!$1:$1,0)-MATCH($L$1,[3]enemies!$1:$1,0)+1,FALSE)</f>
        <v>30</v>
      </c>
      <c r="R10" s="83">
        <v>1</v>
      </c>
      <c r="S10" s="84">
        <v>1</v>
      </c>
      <c r="T10" s="84">
        <v>1</v>
      </c>
      <c r="U10" s="83">
        <v>0</v>
      </c>
      <c r="V10" s="79" t="str">
        <f ca="1">VLOOKUP($W10,OFFSET(enemy_skill_sets!$B$1,0,0,COUNTA(enemy_skill_sets!$B:$B),MATCH(M$1,enemy_skill_sets!$1:$1,0)-MATCH($W$1,enemy_skill_sets!$1:$1,0)+2),MATCH(M$1,enemy_skill_sets!$1:$1,0)-MATCH($W$1,enemy_skill_sets!$1:$1,0)+2,FALSE)</f>
        <v>招かれざる客の 気配がする…！</v>
      </c>
      <c r="W10" s="85">
        <v>112142200</v>
      </c>
      <c r="X10" s="86">
        <v>1</v>
      </c>
      <c r="Y10" s="86">
        <v>0</v>
      </c>
      <c r="Z10" s="86">
        <v>2</v>
      </c>
      <c r="AA10" s="82">
        <f ca="1">VLOOKUP($L10,OFFSET([3]enemies!$A$1,0,0,COUNTA([3]enemies!$A:$A),MATCH(AA$1,[3]enemies!$1:$1,0)-MATCH($L$1,[3]enemies!$1:$1,0)+1),MATCH(AA$1,[3]enemies!$1:$1,0)-MATCH($L$1,[3]enemies!$1:$1,0)+1,FALSE)</f>
        <v>3</v>
      </c>
      <c r="AB10" s="87">
        <f t="shared" ref="AB10:AB11" si="13">L10</f>
        <v>518</v>
      </c>
      <c r="AC10" s="79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秘来の聖天使 ミカエル</v>
      </c>
      <c r="AD10" s="79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79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0" s="87">
        <v>1</v>
      </c>
      <c r="AG10" s="87">
        <f t="shared" ref="AG10:AG11" ca="1" si="14">AD10</f>
        <v>4</v>
      </c>
      <c r="AH10" s="88">
        <v>0</v>
      </c>
      <c r="AI10" s="87">
        <v>0</v>
      </c>
      <c r="AJ10" s="87">
        <v>0</v>
      </c>
      <c r="AK10" s="87">
        <v>0</v>
      </c>
      <c r="AL10" s="87">
        <v>0</v>
      </c>
      <c r="AM10" s="87">
        <v>1</v>
      </c>
      <c r="AN10" s="89">
        <v>1</v>
      </c>
    </row>
    <row r="11" spans="1:40" s="90" customFormat="1" ht="21" customHeight="1">
      <c r="A11" s="76" t="str">
        <f t="shared" ca="1" si="10"/>
        <v>11214_2-2/202&lt;lv1&gt;s3</v>
      </c>
      <c r="B11" s="91">
        <v>11214</v>
      </c>
      <c r="C11" s="78">
        <v>2</v>
      </c>
      <c r="D11" s="78" t="str">
        <f t="shared" si="11"/>
        <v>11214_2</v>
      </c>
      <c r="E11" s="79" t="str">
        <f ca="1">VLOOKUP($B11,OFFSET([2]quests!$A$1,0,0,COUNTA([2]quests!$A:$A),MATCH(E$1,[2]quests!$1:$1,0)-MATCH($B$1,[2]quests!$1:$1,0)+1),MATCH(E$1,[2]quests!$1:$1,0)-MATCH($B$1,[2]quests!$1:$1,0)+1,FALSE)</f>
        <v>プロメテウスの恋</v>
      </c>
      <c r="F11" s="79" t="str">
        <f ca="1">VLOOKUP($D11,OFFSET([2]stages!$A$1,0,0,COUNTA([2]stages!$A:$A),MATCH(F$1,[2]stages!$2:$2,0)-MATCH($D$1,[2]stages!$2:$2,0)+1),MATCH(F$1,[2]stages!$2:$2,0)-MATCH($D$1,[2]stages!$2:$2,0)+1,FALSE)</f>
        <v>【ストーリー】恋の奥義</v>
      </c>
      <c r="G11" s="78">
        <v>2</v>
      </c>
      <c r="H11" s="80" t="str">
        <f t="shared" si="12"/>
        <v>11214_2-2</v>
      </c>
      <c r="I11" s="79">
        <f ca="1">VLOOKUP($H11,OFFSET(floors!$A$1,0,0,COUNTA(floors!$A:$A),MATCH(I$1,floors!$1:$1,0)-MATCH($H$1,floors!$1:$1,0)+1),MATCH(I$1,floors!$1:$1,0)-MATCH($H$1,floors!$1:$1,0)+1,FALSE)</f>
        <v>50</v>
      </c>
      <c r="J11" s="79">
        <f ca="1">VLOOKUP($H11,OFFSET(floors!$A$1,0,0,COUNTA(floors!$A:$A),MATCH(J$1,floors!$1:$1,0)-MATCH($H$1,floors!$1:$1,0)+1),MATCH(J$1,floors!$1:$1,0)-MATCH($H$1,floors!$1:$1,0)+1,FALSE)</f>
        <v>50</v>
      </c>
      <c r="K11" s="81" t="s">
        <v>53</v>
      </c>
      <c r="L11" s="78">
        <v>202</v>
      </c>
      <c r="M11" s="82" t="str">
        <f ca="1">VLOOKUP($L11,OFFSET([3]enemies!$A$1,0,0,COUNTA([3]enemies!$A:$A),MATCH(M$1,[3]enemies!$1:$1,0)-MATCH($L$1,[3]enemies!$1:$1,0)+1),MATCH(M$1,[3]enemies!$1:$1,0)-MATCH($L$1,[3]enemies!$1:$1,0)+1,FALSE)</f>
        <v>プロメテウス</v>
      </c>
      <c r="N11" s="82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82" t="str">
        <f ca="1">VLOOKUP($L11,OFFSET([4]characters!$A$1,0,0,COUNTA([4]characters!$A:$A),MATCH(O$1,[4]characters!$1:$1,0)-MATCH($L$1,[4]characters!$1:$1,0)+1),MATCH(O$1,[4]characters!$1:$1,0)-MATCH($L$1,[4]characters!$1:$1,0)+1,FALSE)</f>
        <v>PremiumN</v>
      </c>
      <c r="P11" s="82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82">
        <f ca="1">VLOOKUP($L11,OFFSET([3]enemies!$A$1,0,0,COUNTA([3]enemies!$A:$A),MATCH(Q$1,[3]enemies!$1:$1,0)-MATCH($L$1,[3]enemies!$1:$1,0)+1),MATCH(Q$1,[3]enemies!$1:$1,0)-MATCH($L$1,[3]enemies!$1:$1,0)+1,FALSE)</f>
        <v>20</v>
      </c>
      <c r="R11" s="83">
        <v>1</v>
      </c>
      <c r="S11" s="84">
        <v>1</v>
      </c>
      <c r="T11" s="84">
        <v>1</v>
      </c>
      <c r="U11" s="83">
        <v>0</v>
      </c>
      <c r="V11" s="79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店員の二人は 吹き飛ばされた！</v>
      </c>
      <c r="W11" s="85">
        <v>112142201</v>
      </c>
      <c r="X11" s="86">
        <v>1</v>
      </c>
      <c r="Y11" s="86">
        <v>0</v>
      </c>
      <c r="Z11" s="86">
        <v>1</v>
      </c>
      <c r="AA11" s="82">
        <f ca="1">VLOOKUP($L11,OFFSET([3]enemies!$A$1,0,0,COUNTA([3]enemies!$A:$A),MATCH(AA$1,[3]enemies!$1:$1,0)-MATCH($L$1,[3]enemies!$1:$1,0)+1),MATCH(AA$1,[3]enemies!$1:$1,0)-MATCH($L$1,[3]enemies!$1:$1,0)+1,FALSE)</f>
        <v>3</v>
      </c>
      <c r="AB11" s="87">
        <f t="shared" si="13"/>
        <v>202</v>
      </c>
      <c r="AC11" s="79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11" s="79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79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1" s="87">
        <v>1</v>
      </c>
      <c r="AG11" s="87">
        <f t="shared" ca="1" si="14"/>
        <v>3</v>
      </c>
      <c r="AH11" s="88">
        <v>0</v>
      </c>
      <c r="AI11" s="87">
        <v>0</v>
      </c>
      <c r="AJ11" s="87">
        <v>0</v>
      </c>
      <c r="AK11" s="87">
        <v>0</v>
      </c>
      <c r="AL11" s="87">
        <v>0</v>
      </c>
      <c r="AM11" s="87">
        <v>1</v>
      </c>
      <c r="AN11" s="89">
        <v>1</v>
      </c>
    </row>
    <row r="12" spans="1:40" s="90" customFormat="1" ht="21" customHeight="1">
      <c r="A12" s="76" t="str">
        <f t="shared" ref="A12" ca="1" si="15">B12&amp;"_"&amp;C12&amp;"-"&amp;G12&amp;"/"&amp;L12&amp;"&lt;lv"&amp;R12&amp;"&gt;s"&amp;AA12</f>
        <v>11214_2-3/296&lt;lv1&gt;s2</v>
      </c>
      <c r="B12" s="77">
        <v>11214</v>
      </c>
      <c r="C12" s="78">
        <v>2</v>
      </c>
      <c r="D12" s="78" t="str">
        <f t="shared" ref="D12" si="16">B12&amp;"_"&amp;C12</f>
        <v>11214_2</v>
      </c>
      <c r="E12" s="79" t="str">
        <f ca="1">VLOOKUP($B12,OFFSET([2]quests!$A$1,0,0,COUNTA([2]quests!$A:$A),MATCH(E$1,[2]quests!$1:$1,0)-MATCH($B$1,[2]quests!$1:$1,0)+1),MATCH(E$1,[2]quests!$1:$1,0)-MATCH($B$1,[2]quests!$1:$1,0)+1,FALSE)</f>
        <v>プロメテウスの恋</v>
      </c>
      <c r="F12" s="79" t="str">
        <f ca="1">VLOOKUP($D12,OFFSET([2]stages!$A$1,0,0,COUNTA([2]stages!$A:$A),MATCH(F$1,[2]stages!$2:$2,0)-MATCH($D$1,[2]stages!$2:$2,0)+1),MATCH(F$1,[2]stages!$2:$2,0)-MATCH($D$1,[2]stages!$2:$2,0)+1,FALSE)</f>
        <v>【ストーリー】恋の奥義</v>
      </c>
      <c r="G12" s="78">
        <v>3</v>
      </c>
      <c r="H12" s="80" t="str">
        <f t="shared" ref="H12" si="17">B12&amp;"_"&amp;C12&amp;"-"&amp;G12</f>
        <v>11214_2-3</v>
      </c>
      <c r="I12" s="79">
        <f ca="1">VLOOKUP($H12,OFFSET(floors!$A$1,0,0,COUNTA(floors!$A:$A),MATCH(I$1,floors!$1:$1,0)-MATCH($H$1,floors!$1:$1,0)+1),MATCH(I$1,floors!$1:$1,0)-MATCH($H$1,floors!$1:$1,0)+1,FALSE)</f>
        <v>60</v>
      </c>
      <c r="J12" s="79">
        <f ca="1">VLOOKUP($H12,OFFSET(floors!$A$1,0,0,COUNTA(floors!$A:$A),MATCH(J$1,floors!$1:$1,0)-MATCH($H$1,floors!$1:$1,0)+1),MATCH(J$1,floors!$1:$1,0)-MATCH($H$1,floors!$1:$1,0)+1,FALSE)</f>
        <v>60</v>
      </c>
      <c r="K12" s="81">
        <v>1</v>
      </c>
      <c r="L12" s="78">
        <v>296</v>
      </c>
      <c r="M12" s="82" t="str">
        <f ca="1">VLOOKUP($L12,OFFSET([3]enemies!$A$1,0,0,COUNTA([3]enemies!$A:$A),MATCH(M$1,[3]enemies!$1:$1,0)-MATCH($L$1,[3]enemies!$1:$1,0)+1),MATCH(M$1,[3]enemies!$1:$1,0)-MATCH($L$1,[3]enemies!$1:$1,0)+1,FALSE)</f>
        <v>アザゼル</v>
      </c>
      <c r="N12" s="82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82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82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82">
        <f ca="1">VLOOKUP($L12,OFFSET([3]enemies!$A$1,0,0,COUNTA([3]enemies!$A:$A),MATCH(Q$1,[3]enemies!$1:$1,0)-MATCH($L$1,[3]enemies!$1:$1,0)+1),MATCH(Q$1,[3]enemies!$1:$1,0)-MATCH($L$1,[3]enemies!$1:$1,0)+1,FALSE)</f>
        <v>30</v>
      </c>
      <c r="R12" s="83">
        <v>1</v>
      </c>
      <c r="S12" s="84">
        <v>99.9</v>
      </c>
      <c r="T12" s="84">
        <v>1</v>
      </c>
      <c r="U12" s="83">
        <v>0</v>
      </c>
      <c r="V12" s="79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オセの兄 アザゼルがあらわれた！</v>
      </c>
      <c r="W12" s="85">
        <v>112142300</v>
      </c>
      <c r="X12" s="86">
        <v>1</v>
      </c>
      <c r="Y12" s="86">
        <v>0</v>
      </c>
      <c r="Z12" s="86">
        <v>1</v>
      </c>
      <c r="AA12" s="82">
        <f ca="1">VLOOKUP($L12,OFFSET([3]enemies!$A$1,0,0,COUNTA([3]enemies!$A:$A),MATCH(AA$1,[3]enemies!$1:$1,0)-MATCH($L$1,[3]enemies!$1:$1,0)+1),MATCH(AA$1,[3]enemies!$1:$1,0)-MATCH($L$1,[3]enemies!$1:$1,0)+1,FALSE)</f>
        <v>2</v>
      </c>
      <c r="AB12" s="87">
        <f t="shared" ref="AB12" si="18">L12</f>
        <v>296</v>
      </c>
      <c r="AC12" s="79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アザゼル</v>
      </c>
      <c r="AD12" s="79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79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2" s="87">
        <v>1</v>
      </c>
      <c r="AG12" s="87">
        <f t="shared" ref="AG12" ca="1" si="19">AD12</f>
        <v>4</v>
      </c>
      <c r="AH12" s="88">
        <v>0</v>
      </c>
      <c r="AI12" s="87">
        <v>0</v>
      </c>
      <c r="AJ12" s="87">
        <v>0</v>
      </c>
      <c r="AK12" s="87">
        <v>0</v>
      </c>
      <c r="AL12" s="87">
        <v>0</v>
      </c>
      <c r="AM12" s="87">
        <v>1</v>
      </c>
      <c r="AN12" s="89">
        <v>1</v>
      </c>
    </row>
    <row r="13" spans="1:40" s="90" customFormat="1" ht="21" customHeight="1">
      <c r="A13" s="76" t="str">
        <f t="shared" ref="A13" ca="1" si="20">B13&amp;"_"&amp;C13&amp;"-"&amp;G13&amp;"/"&amp;L13&amp;"&lt;lv"&amp;R13&amp;"&gt;s"&amp;AA13</f>
        <v>11214_2-4/516&lt;lv1&gt;s3</v>
      </c>
      <c r="B13" s="77">
        <v>11214</v>
      </c>
      <c r="C13" s="78">
        <v>2</v>
      </c>
      <c r="D13" s="78" t="str">
        <f t="shared" ref="D13" si="21">B13&amp;"_"&amp;C13</f>
        <v>11214_2</v>
      </c>
      <c r="E13" s="79" t="str">
        <f ca="1">VLOOKUP($B13,OFFSET([2]quests!$A$1,0,0,COUNTA([2]quests!$A:$A),MATCH(E$1,[2]quests!$1:$1,0)-MATCH($B$1,[2]quests!$1:$1,0)+1),MATCH(E$1,[2]quests!$1:$1,0)-MATCH($B$1,[2]quests!$1:$1,0)+1,FALSE)</f>
        <v>プロメテウスの恋</v>
      </c>
      <c r="F13" s="79" t="str">
        <f ca="1">VLOOKUP($D13,OFFSET([2]stages!$A$1,0,0,COUNTA([2]stages!$A:$A),MATCH(F$1,[2]stages!$2:$2,0)-MATCH($D$1,[2]stages!$2:$2,0)+1),MATCH(F$1,[2]stages!$2:$2,0)-MATCH($D$1,[2]stages!$2:$2,0)+1,FALSE)</f>
        <v>【ストーリー】恋の奥義</v>
      </c>
      <c r="G13" s="78">
        <v>4</v>
      </c>
      <c r="H13" s="80" t="str">
        <f t="shared" ref="H13" si="22">B13&amp;"_"&amp;C13&amp;"-"&amp;G13</f>
        <v>11214_2-4</v>
      </c>
      <c r="I13" s="79">
        <f ca="1">VLOOKUP($H13,OFFSET(floors!$A$1,0,0,COUNTA(floors!$A:$A),MATCH(I$1,floors!$1:$1,0)-MATCH($H$1,floors!$1:$1,0)+1),MATCH(I$1,floors!$1:$1,0)-MATCH($H$1,floors!$1:$1,0)+1,FALSE)</f>
        <v>50</v>
      </c>
      <c r="J13" s="79">
        <f ca="1">VLOOKUP($H13,OFFSET(floors!$A$1,0,0,COUNTA(floors!$A:$A),MATCH(J$1,floors!$1:$1,0)-MATCH($H$1,floors!$1:$1,0)+1),MATCH(J$1,floors!$1:$1,0)-MATCH($H$1,floors!$1:$1,0)+1,FALSE)</f>
        <v>50</v>
      </c>
      <c r="K13" s="81" t="s">
        <v>53</v>
      </c>
      <c r="L13" s="78">
        <v>516</v>
      </c>
      <c r="M13" s="82" t="str">
        <f ca="1">VLOOKUP($L13,OFFSET([3]enemies!$A$1,0,0,COUNTA([3]enemies!$A:$A),MATCH(M$1,[3]enemies!$1:$1,0)-MATCH($L$1,[3]enemies!$1:$1,0)+1),MATCH(M$1,[3]enemies!$1:$1,0)-MATCH($L$1,[3]enemies!$1:$1,0)+1,FALSE)</f>
        <v>聖母 マリア</v>
      </c>
      <c r="N13" s="82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82" t="str">
        <f ca="1">VLOOKUP($L13,OFFSET([4]characters!$A$1,0,0,COUNTA([4]characters!$A:$A),MATCH(O$1,[4]characters!$1:$1,0)-MATCH($L$1,[4]characters!$1:$1,0)+1),MATCH(O$1,[4]characters!$1:$1,0)-MATCH($L$1,[4]characters!$1:$1,0)+1,FALSE)</f>
        <v>PremiumSS</v>
      </c>
      <c r="P13" s="82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82">
        <f ca="1">VLOOKUP($L13,OFFSET([3]enemies!$A$1,0,0,COUNTA([3]enemies!$A:$A),MATCH(Q$1,[3]enemies!$1:$1,0)-MATCH($L$1,[3]enemies!$1:$1,0)+1),MATCH(Q$1,[3]enemies!$1:$1,0)-MATCH($L$1,[3]enemies!$1:$1,0)+1,FALSE)</f>
        <v>30</v>
      </c>
      <c r="R13" s="83">
        <v>1</v>
      </c>
      <c r="S13" s="84">
        <v>1</v>
      </c>
      <c r="T13" s="84">
        <v>1</v>
      </c>
      <c r="U13" s="83">
        <v>0</v>
      </c>
      <c r="V13" s="79" t="str">
        <f ca="1">VLOOKUP($W13,OFFSET(enemy_skill_sets!$B$1,0,0,COUNTA(enemy_skill_sets!$B:$B),MATCH(M$1,enemy_skill_sets!$1:$1,0)-MATCH($W$1,enemy_skill_sets!$1:$1,0)+2),MATCH(M$1,enemy_skill_sets!$1:$1,0)-MATCH($W$1,enemy_skill_sets!$1:$1,0)+2,FALSE)</f>
        <v>店長の マリアが助けに来た！</v>
      </c>
      <c r="W13" s="85">
        <v>112142410</v>
      </c>
      <c r="X13" s="86">
        <v>1</v>
      </c>
      <c r="Y13" s="86">
        <v>0</v>
      </c>
      <c r="Z13" s="86">
        <v>2</v>
      </c>
      <c r="AA13" s="82">
        <f ca="1">VLOOKUP($L13,OFFSET([3]enemies!$A$1,0,0,COUNTA([3]enemies!$A:$A),MATCH(AA$1,[3]enemies!$1:$1,0)-MATCH($L$1,[3]enemies!$1:$1,0)+1),MATCH(AA$1,[3]enemies!$1:$1,0)-MATCH($L$1,[3]enemies!$1:$1,0)+1,FALSE)</f>
        <v>3</v>
      </c>
      <c r="AB13" s="87">
        <f t="shared" ref="AB13" si="23">L13</f>
        <v>516</v>
      </c>
      <c r="AC13" s="79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聖母 マリア</v>
      </c>
      <c r="AD13" s="79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79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3" s="87">
        <v>1</v>
      </c>
      <c r="AG13" s="87">
        <f t="shared" ref="AG13" ca="1" si="24">AD13</f>
        <v>4</v>
      </c>
      <c r="AH13" s="88">
        <v>0</v>
      </c>
      <c r="AI13" s="87">
        <v>0</v>
      </c>
      <c r="AJ13" s="87">
        <v>0</v>
      </c>
      <c r="AK13" s="87">
        <v>0</v>
      </c>
      <c r="AL13" s="87">
        <v>0</v>
      </c>
      <c r="AM13" s="87">
        <v>1</v>
      </c>
      <c r="AN13" s="89">
        <v>1</v>
      </c>
    </row>
    <row r="14" spans="1:40" s="90" customFormat="1" ht="21" customHeight="1">
      <c r="A14" s="76" t="str">
        <f t="shared" ref="A14:A15" ca="1" si="25">B14&amp;"_"&amp;C14&amp;"-"&amp;G14&amp;"/"&amp;L14&amp;"&lt;lv"&amp;R14&amp;"&gt;s"&amp;AA14</f>
        <v>11214_2-4/334&lt;lv1&gt;s3</v>
      </c>
      <c r="B14" s="77">
        <v>11214</v>
      </c>
      <c r="C14" s="78">
        <v>2</v>
      </c>
      <c r="D14" s="78" t="str">
        <f t="shared" ref="D14:D15" si="26">B14&amp;"_"&amp;C14</f>
        <v>11214_2</v>
      </c>
      <c r="E14" s="79" t="str">
        <f ca="1">VLOOKUP($B14,OFFSET([2]quests!$A$1,0,0,COUNTA([2]quests!$A:$A),MATCH(E$1,[2]quests!$1:$1,0)-MATCH($B$1,[2]quests!$1:$1,0)+1),MATCH(E$1,[2]quests!$1:$1,0)-MATCH($B$1,[2]quests!$1:$1,0)+1,FALSE)</f>
        <v>プロメテウスの恋</v>
      </c>
      <c r="F14" s="79" t="str">
        <f ca="1">VLOOKUP($D14,OFFSET([2]stages!$A$1,0,0,COUNTA([2]stages!$A:$A),MATCH(F$1,[2]stages!$2:$2,0)-MATCH($D$1,[2]stages!$2:$2,0)+1),MATCH(F$1,[2]stages!$2:$2,0)-MATCH($D$1,[2]stages!$2:$2,0)+1,FALSE)</f>
        <v>【ストーリー】恋の奥義</v>
      </c>
      <c r="G14" s="78">
        <v>4</v>
      </c>
      <c r="H14" s="80" t="str">
        <f t="shared" ref="H14:H15" si="27">B14&amp;"_"&amp;C14&amp;"-"&amp;G14</f>
        <v>11214_2-4</v>
      </c>
      <c r="I14" s="79">
        <f ca="1">VLOOKUP($H14,OFFSET(floors!$A$1,0,0,COUNTA(floors!$A:$A),MATCH(I$1,floors!$1:$1,0)-MATCH($H$1,floors!$1:$1,0)+1),MATCH(I$1,floors!$1:$1,0)-MATCH($H$1,floors!$1:$1,0)+1,FALSE)</f>
        <v>50</v>
      </c>
      <c r="J14" s="79">
        <f ca="1">VLOOKUP($H14,OFFSET(floors!$A$1,0,0,COUNTA(floors!$A:$A),MATCH(J$1,floors!$1:$1,0)-MATCH($H$1,floors!$1:$1,0)+1),MATCH(J$1,floors!$1:$1,0)-MATCH($H$1,floors!$1:$1,0)+1,FALSE)</f>
        <v>50</v>
      </c>
      <c r="K14" s="81">
        <v>1</v>
      </c>
      <c r="L14" s="78">
        <v>334</v>
      </c>
      <c r="M14" s="82" t="str">
        <f ca="1">VLOOKUP($L14,OFFSET([3]enemies!$A$1,0,0,COUNTA([3]enemies!$A:$A),MATCH(M$1,[3]enemies!$1:$1,0)-MATCH($L$1,[3]enemies!$1:$1,0)+1),MATCH(M$1,[3]enemies!$1:$1,0)-MATCH($L$1,[3]enemies!$1:$1,0)+1,FALSE)</f>
        <v>炎のメタルダック</v>
      </c>
      <c r="N14" s="82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82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82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82">
        <f ca="1">VLOOKUP($L14,OFFSET([3]enemies!$A$1,0,0,COUNTA([3]enemies!$A:$A),MATCH(Q$1,[3]enemies!$1:$1,0)-MATCH($L$1,[3]enemies!$1:$1,0)+1),MATCH(Q$1,[3]enemies!$1:$1,0)-MATCH($L$1,[3]enemies!$1:$1,0)+1,FALSE)</f>
        <v>20</v>
      </c>
      <c r="R14" s="83">
        <v>1</v>
      </c>
      <c r="S14" s="84">
        <v>1</v>
      </c>
      <c r="T14" s="84">
        <v>1</v>
      </c>
      <c r="U14" s="83">
        <v>0</v>
      </c>
      <c r="V14" s="79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プロメテウスに 同情している</v>
      </c>
      <c r="W14" s="85">
        <v>112142420</v>
      </c>
      <c r="X14" s="86">
        <v>1</v>
      </c>
      <c r="Y14" s="86">
        <v>0</v>
      </c>
      <c r="Z14" s="86">
        <v>1</v>
      </c>
      <c r="AA14" s="82">
        <f ca="1">VLOOKUP($L14,OFFSET([3]enemies!$A$1,0,0,COUNTA([3]enemies!$A:$A),MATCH(AA$1,[3]enemies!$1:$1,0)-MATCH($L$1,[3]enemies!$1:$1,0)+1),MATCH(AA$1,[3]enemies!$1:$1,0)-MATCH($L$1,[3]enemies!$1:$1,0)+1,FALSE)</f>
        <v>3</v>
      </c>
      <c r="AB14" s="87">
        <f t="shared" ref="AB14:AB15" si="28">L14</f>
        <v>334</v>
      </c>
      <c r="AC14" s="79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14" s="79">
        <f ca="1">VLOOKUP($AB14,OFFSET([4]characters!$A$1,0,0,COUNTA([4]characters!$A:$A),MATCH(AD$1,[4]characters!$1:$1,0)-MATCH("character_id",[4]characters!$1:$1,0)+1),MATCH(AD$1,[4]characters!$1:$1,0)-MATCH("character_id",[4]characters!$1:$1,0)+1,FALSE)</f>
        <v>5</v>
      </c>
      <c r="AE14" s="79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87">
        <v>1</v>
      </c>
      <c r="AG14" s="87">
        <f t="shared" ref="AG14:AG15" ca="1" si="29">AD14</f>
        <v>5</v>
      </c>
      <c r="AH14" s="88">
        <v>0</v>
      </c>
      <c r="AI14" s="87">
        <v>0</v>
      </c>
      <c r="AJ14" s="87">
        <v>0</v>
      </c>
      <c r="AK14" s="87">
        <v>0</v>
      </c>
      <c r="AL14" s="87">
        <v>0</v>
      </c>
      <c r="AM14" s="87">
        <v>1</v>
      </c>
      <c r="AN14" s="89">
        <v>1</v>
      </c>
    </row>
    <row r="15" spans="1:40" ht="21" customHeight="1">
      <c r="A15" s="16" t="str">
        <f t="shared" ca="1" si="25"/>
        <v>11214_3-1/520&lt;lv1&gt;s3</v>
      </c>
      <c r="B15" s="22">
        <v>11214</v>
      </c>
      <c r="C15" s="21">
        <v>3</v>
      </c>
      <c r="D15" s="2" t="str">
        <f t="shared" si="26"/>
        <v>11214_3</v>
      </c>
      <c r="E15" s="4" t="str">
        <f ca="1">VLOOKUP($B15,OFFSET([2]quests!$A$1,0,0,COUNTA([2]quests!$A:$A),MATCH(E$1,[2]quests!$1:$1,0)-MATCH($B$1,[2]quests!$1:$1,0)+1),MATCH(E$1,[2]quests!$1:$1,0)-MATCH($B$1,[2]quests!$1:$1,0)+1,FALSE)</f>
        <v>プロメテウスの恋</v>
      </c>
      <c r="F15" s="4" t="str">
        <f ca="1">VLOOKUP($D15,OFFSET([2]stages!$A$1,0,0,COUNTA([2]stages!$A:$A),MATCH(F$1,[2]stages!$2:$2,0)-MATCH($D$1,[2]stages!$2:$2,0)+1),MATCH(F$1,[2]stages!$2:$2,0)-MATCH($D$1,[2]stages!$2:$2,0)+1,FALSE)</f>
        <v>【ストーリー後編】フィーバーの力</v>
      </c>
      <c r="G15" s="21">
        <v>1</v>
      </c>
      <c r="H15" s="15" t="str">
        <f t="shared" si="27"/>
        <v>11214_3-1</v>
      </c>
      <c r="I15" s="4">
        <f ca="1">VLOOKUP($H15,OFFSET(floors!$A$1,0,0,COUNTA(floors!$A:$A),MATCH(I$1,floors!$1:$1,0)-MATCH($H$1,floors!$1:$1,0)+1),MATCH(I$1,floors!$1:$1,0)-MATCH($H$1,floors!$1:$1,0)+1,FALSE)</f>
        <v>20</v>
      </c>
      <c r="J15" s="4">
        <f ca="1">VLOOKUP($H15,OFFSET(floors!$A$1,0,0,COUNTA(floors!$A:$A),MATCH(J$1,floors!$1:$1,0)-MATCH($H$1,floors!$1:$1,0)+1),MATCH(J$1,floors!$1:$1,0)-MATCH($H$1,floors!$1:$1,0)+1,FALSE)</f>
        <v>20</v>
      </c>
      <c r="K15" s="38" t="s">
        <v>53</v>
      </c>
      <c r="L15" s="20">
        <v>520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サンタダック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1</v>
      </c>
      <c r="S15" s="25">
        <v>0.1</v>
      </c>
      <c r="T15" s="25">
        <v>1</v>
      </c>
      <c r="U15" s="5">
        <v>-8000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「プロメテウスの恋」_x000D_ 〜フィーバーの力〜</v>
      </c>
      <c r="W15" s="71">
        <v>112143100</v>
      </c>
      <c r="X15" s="6">
        <v>1</v>
      </c>
      <c r="Y15" s="6">
        <v>0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3</v>
      </c>
      <c r="AB15" s="24">
        <f t="shared" si="28"/>
        <v>520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5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7">
        <v>1</v>
      </c>
      <c r="AG15" s="24">
        <f t="shared" ca="1" si="29"/>
        <v>5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7">
        <v>1</v>
      </c>
    </row>
    <row r="16" spans="1:40" ht="21" customHeight="1">
      <c r="A16" s="16" t="str">
        <f t="shared" ref="A16" ca="1" si="30">B16&amp;"_"&amp;C16&amp;"-"&amp;G16&amp;"/"&amp;L16&amp;"&lt;lv"&amp;R16&amp;"&gt;s"&amp;AA16</f>
        <v>11214_3-2/202&lt;lv1&gt;s3</v>
      </c>
      <c r="B16" s="22">
        <v>11214</v>
      </c>
      <c r="C16" s="21">
        <v>3</v>
      </c>
      <c r="D16" s="2" t="str">
        <f t="shared" ref="D16" si="31">B16&amp;"_"&amp;C16</f>
        <v>11214_3</v>
      </c>
      <c r="E16" s="4" t="str">
        <f ca="1">VLOOKUP($B16,OFFSET([2]quests!$A$1,0,0,COUNTA([2]quests!$A:$A),MATCH(E$1,[2]quests!$1:$1,0)-MATCH($B$1,[2]quests!$1:$1,0)+1),MATCH(E$1,[2]quests!$1:$1,0)-MATCH($B$1,[2]quests!$1:$1,0)+1,FALSE)</f>
        <v>プロメテウスの恋</v>
      </c>
      <c r="F16" s="4" t="str">
        <f ca="1">VLOOKUP($D16,OFFSET([2]stages!$A$1,0,0,COUNTA([2]stages!$A:$A),MATCH(F$1,[2]stages!$2:$2,0)-MATCH($D$1,[2]stages!$2:$2,0)+1),MATCH(F$1,[2]stages!$2:$2,0)-MATCH($D$1,[2]stages!$2:$2,0)+1,FALSE)</f>
        <v>【ストーリー後編】フィーバーの力</v>
      </c>
      <c r="G16" s="21">
        <v>2</v>
      </c>
      <c r="H16" s="15" t="str">
        <f t="shared" ref="H16" si="32">B16&amp;"_"&amp;C16&amp;"-"&amp;G16</f>
        <v>11214_3-2</v>
      </c>
      <c r="I16" s="4">
        <f ca="1">VLOOKUP($H16,OFFSET(floors!$A$1,0,0,COUNTA(floors!$A:$A),MATCH(I$1,floors!$1:$1,0)-MATCH($H$1,floors!$1:$1,0)+1),MATCH(I$1,floors!$1:$1,0)-MATCH($H$1,floors!$1:$1,0)+1,FALSE)</f>
        <v>40</v>
      </c>
      <c r="J16" s="4">
        <f ca="1">VLOOKUP($H16,OFFSET(floors!$A$1,0,0,COUNTA(floors!$A:$A),MATCH(J$1,floors!$1:$1,0)-MATCH($H$1,floors!$1:$1,0)+1),MATCH(J$1,floors!$1:$1,0)-MATCH($H$1,floors!$1:$1,0)+1,FALSE)</f>
        <v>40</v>
      </c>
      <c r="K16" s="38" t="s">
        <v>306</v>
      </c>
      <c r="L16" s="20">
        <v>202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プロメテウス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god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1</v>
      </c>
      <c r="S16" s="25">
        <v>0.1</v>
      </c>
      <c r="T16" s="25">
        <v>1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ヤル気に 満ちあふれている！</v>
      </c>
      <c r="W16" s="71">
        <v>112143200</v>
      </c>
      <c r="X16" s="6">
        <v>1</v>
      </c>
      <c r="Y16" s="6">
        <v>0</v>
      </c>
      <c r="Z16" s="6">
        <v>2</v>
      </c>
      <c r="AA16" s="17">
        <f ca="1">VLOOKUP($L16,OFFSET([3]enemies!$A$1,0,0,COUNTA([3]enemies!$A:$A),MATCH(AA$1,[3]enemies!$1:$1,0)-MATCH($L$1,[3]enemies!$1:$1,0)+1),MATCH(AA$1,[3]enemies!$1:$1,0)-MATCH($L$1,[3]enemies!$1:$1,0)+1,FALSE)</f>
        <v>3</v>
      </c>
      <c r="AB16" s="24">
        <f t="shared" ref="AB16" si="33">L16</f>
        <v>202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6" s="7">
        <v>1</v>
      </c>
      <c r="AG16" s="24">
        <f t="shared" ref="AG16" ca="1" si="34">AD16</f>
        <v>3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7">
        <v>1</v>
      </c>
    </row>
    <row r="17" spans="1:40" ht="21" customHeight="1">
      <c r="A17" s="16" t="str">
        <f t="shared" ref="A17" ca="1" si="35">B17&amp;"_"&amp;C17&amp;"-"&amp;G17&amp;"/"&amp;L17&amp;"&lt;lv"&amp;R17&amp;"&gt;s"&amp;AA17</f>
        <v>11214_3-2/520&lt;lv1&gt;s3</v>
      </c>
      <c r="B17" s="22">
        <v>11214</v>
      </c>
      <c r="C17" s="21">
        <v>3</v>
      </c>
      <c r="D17" s="2" t="str">
        <f t="shared" ref="D17" si="36">B17&amp;"_"&amp;C17</f>
        <v>11214_3</v>
      </c>
      <c r="E17" s="4" t="str">
        <f ca="1">VLOOKUP($B17,OFFSET([2]quests!$A$1,0,0,COUNTA([2]quests!$A:$A),MATCH(E$1,[2]quests!$1:$1,0)-MATCH($B$1,[2]quests!$1:$1,0)+1),MATCH(E$1,[2]quests!$1:$1,0)-MATCH($B$1,[2]quests!$1:$1,0)+1,FALSE)</f>
        <v>プロメテウスの恋</v>
      </c>
      <c r="F17" s="4" t="str">
        <f ca="1">VLOOKUP($D17,OFFSET([2]stages!$A$1,0,0,COUNTA([2]stages!$A:$A),MATCH(F$1,[2]stages!$2:$2,0)-MATCH($D$1,[2]stages!$2:$2,0)+1),MATCH(F$1,[2]stages!$2:$2,0)-MATCH($D$1,[2]stages!$2:$2,0)+1,FALSE)</f>
        <v>【ストーリー後編】フィーバーの力</v>
      </c>
      <c r="G17" s="21">
        <v>2</v>
      </c>
      <c r="H17" s="15" t="str">
        <f t="shared" ref="H17" si="37">B17&amp;"_"&amp;C17&amp;"-"&amp;G17</f>
        <v>11214_3-2</v>
      </c>
      <c r="I17" s="4">
        <f ca="1">VLOOKUP($H17,OFFSET(floors!$A$1,0,0,COUNTA(floors!$A:$A),MATCH(I$1,floors!$1:$1,0)-MATCH($H$1,floors!$1:$1,0)+1),MATCH(I$1,floors!$1:$1,0)-MATCH($H$1,floors!$1:$1,0)+1,FALSE)</f>
        <v>40</v>
      </c>
      <c r="J17" s="4">
        <f ca="1">VLOOKUP($H17,OFFSET(floors!$A$1,0,0,COUNTA(floors!$A:$A),MATCH(J$1,floors!$1:$1,0)-MATCH($H$1,floors!$1:$1,0)+1),MATCH(J$1,floors!$1:$1,0)-MATCH($H$1,floors!$1:$1,0)+1,FALSE)</f>
        <v>40</v>
      </c>
      <c r="K17" s="38" t="s">
        <v>53</v>
      </c>
      <c r="L17" s="20">
        <v>520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サンタダック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1</v>
      </c>
      <c r="S17" s="25">
        <v>0.1</v>
      </c>
      <c r="T17" s="25">
        <v>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なにやら 入れ知恵をしたようだ</v>
      </c>
      <c r="W17" s="71">
        <v>112143210</v>
      </c>
      <c r="X17" s="6">
        <v>1</v>
      </c>
      <c r="Y17" s="6">
        <v>0</v>
      </c>
      <c r="Z17" s="6">
        <v>1</v>
      </c>
      <c r="AA17" s="17">
        <f ca="1">VLOOKUP($L17,OFFSET([3]enemies!$A$1,0,0,COUNTA([3]enemies!$A:$A),MATCH(AA$1,[3]enemies!$1:$1,0)-MATCH($L$1,[3]enemies!$1:$1,0)+1),MATCH(AA$1,[3]enemies!$1:$1,0)-MATCH($L$1,[3]enemies!$1:$1,0)+1,FALSE)</f>
        <v>3</v>
      </c>
      <c r="AB17" s="24">
        <f t="shared" ref="AB17" si="38">L17</f>
        <v>520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5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7">
        <v>1</v>
      </c>
      <c r="AG17" s="24">
        <f t="shared" ref="AG17" ca="1" si="39">AD17</f>
        <v>5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7">
        <v>1</v>
      </c>
    </row>
    <row r="18" spans="1:40" ht="21" customHeight="1">
      <c r="A18" s="16" t="str">
        <f t="shared" ref="A18" ca="1" si="40">B18&amp;"_"&amp;C18&amp;"-"&amp;G18&amp;"/"&amp;L18&amp;"&lt;lv"&amp;R18&amp;"&gt;s"&amp;AA18</f>
        <v>11214_3-3/514&lt;lv1&gt;s3</v>
      </c>
      <c r="B18" s="22">
        <v>11214</v>
      </c>
      <c r="C18" s="21">
        <v>3</v>
      </c>
      <c r="D18" s="2" t="str">
        <f t="shared" ref="D18" si="41">B18&amp;"_"&amp;C18</f>
        <v>11214_3</v>
      </c>
      <c r="E18" s="4" t="str">
        <f ca="1">VLOOKUP($B18,OFFSET([2]quests!$A$1,0,0,COUNTA([2]quests!$A:$A),MATCH(E$1,[2]quests!$1:$1,0)-MATCH($B$1,[2]quests!$1:$1,0)+1),MATCH(E$1,[2]quests!$1:$1,0)-MATCH($B$1,[2]quests!$1:$1,0)+1,FALSE)</f>
        <v>プロメテウスの恋</v>
      </c>
      <c r="F18" s="4" t="str">
        <f ca="1">VLOOKUP($D18,OFFSET([2]stages!$A$1,0,0,COUNTA([2]stages!$A:$A),MATCH(F$1,[2]stages!$2:$2,0)-MATCH($D$1,[2]stages!$2:$2,0)+1),MATCH(F$1,[2]stages!$2:$2,0)-MATCH($D$1,[2]stages!$2:$2,0)+1,FALSE)</f>
        <v>【ストーリー後編】フィーバーの力</v>
      </c>
      <c r="G18" s="21">
        <v>3</v>
      </c>
      <c r="H18" s="15" t="str">
        <f t="shared" ref="H18" si="42">B18&amp;"_"&amp;C18&amp;"-"&amp;G18</f>
        <v>11214_3-3</v>
      </c>
      <c r="I18" s="4">
        <f ca="1">VLOOKUP($H18,OFFSET(floors!$A$1,0,0,COUNTA(floors!$A:$A),MATCH(I$1,floors!$1:$1,0)-MATCH($H$1,floors!$1:$1,0)+1),MATCH(I$1,floors!$1:$1,0)-MATCH($H$1,floors!$1:$1,0)+1,FALSE)</f>
        <v>50</v>
      </c>
      <c r="J18" s="4">
        <f ca="1">VLOOKUP($H18,OFFSET(floors!$A$1,0,0,COUNTA(floors!$A:$A),MATCH(J$1,floors!$1:$1,0)-MATCH($H$1,floors!$1:$1,0)+1),MATCH(J$1,floors!$1:$1,0)-MATCH($H$1,floors!$1:$1,0)+1,FALSE)</f>
        <v>50</v>
      </c>
      <c r="K18" s="38" t="s">
        <v>53</v>
      </c>
      <c r="L18" s="20">
        <v>514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祝宴の識徒 サンタクロース・オセ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1</v>
      </c>
      <c r="S18" s="25">
        <v>1</v>
      </c>
      <c r="T18" s="25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オセは 仕事中のようだ</v>
      </c>
      <c r="W18" s="71">
        <v>112143310</v>
      </c>
      <c r="X18" s="6">
        <v>1</v>
      </c>
      <c r="Y18" s="6">
        <v>0</v>
      </c>
      <c r="Z18" s="6">
        <v>2</v>
      </c>
      <c r="AA18" s="17">
        <f ca="1">VLOOKUP($L18,OFFSET([3]enemies!$A$1,0,0,COUNTA([3]enemies!$A:$A),MATCH(AA$1,[3]enemies!$1:$1,0)-MATCH($L$1,[3]enemies!$1:$1,0)+1),MATCH(AA$1,[3]enemies!$1:$1,0)-MATCH($L$1,[3]enemies!$1:$1,0)+1,FALSE)</f>
        <v>3</v>
      </c>
      <c r="AB18" s="24">
        <f t="shared" ref="AB18" si="43">L18</f>
        <v>514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祝宴の識徒 サンタクロース・オセ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8" s="7">
        <v>1</v>
      </c>
      <c r="AG18" s="24">
        <f t="shared" ref="AG18" ca="1" si="44">AD18</f>
        <v>4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7">
        <v>1</v>
      </c>
    </row>
    <row r="19" spans="1:40" ht="21" customHeight="1">
      <c r="A19" s="16" t="str">
        <f t="shared" ref="A19" ca="1" si="45">B19&amp;"_"&amp;C19&amp;"-"&amp;G19&amp;"/"&amp;L19&amp;"&lt;lv"&amp;R19&amp;"&gt;s"&amp;AA19</f>
        <v>11214_3-3/202&lt;lv1&gt;s3</v>
      </c>
      <c r="B19" s="22">
        <v>11214</v>
      </c>
      <c r="C19" s="21">
        <v>3</v>
      </c>
      <c r="D19" s="2" t="str">
        <f t="shared" ref="D19" si="46">B19&amp;"_"&amp;C19</f>
        <v>11214_3</v>
      </c>
      <c r="E19" s="4" t="str">
        <f ca="1">VLOOKUP($B19,OFFSET([2]quests!$A$1,0,0,COUNTA([2]quests!$A:$A),MATCH(E$1,[2]quests!$1:$1,0)-MATCH($B$1,[2]quests!$1:$1,0)+1),MATCH(E$1,[2]quests!$1:$1,0)-MATCH($B$1,[2]quests!$1:$1,0)+1,FALSE)</f>
        <v>プロメテウスの恋</v>
      </c>
      <c r="F19" s="4" t="str">
        <f ca="1">VLOOKUP($D19,OFFSET([2]stages!$A$1,0,0,COUNTA([2]stages!$A:$A),MATCH(F$1,[2]stages!$2:$2,0)-MATCH($D$1,[2]stages!$2:$2,0)+1),MATCH(F$1,[2]stages!$2:$2,0)-MATCH($D$1,[2]stages!$2:$2,0)+1,FALSE)</f>
        <v>【ストーリー後編】フィーバーの力</v>
      </c>
      <c r="G19" s="21">
        <v>3</v>
      </c>
      <c r="H19" s="15" t="str">
        <f t="shared" ref="H19" si="47">B19&amp;"_"&amp;C19&amp;"-"&amp;G19</f>
        <v>11214_3-3</v>
      </c>
      <c r="I19" s="4">
        <f ca="1">VLOOKUP($H19,OFFSET(floors!$A$1,0,0,COUNTA(floors!$A:$A),MATCH(I$1,floors!$1:$1,0)-MATCH($H$1,floors!$1:$1,0)+1),MATCH(I$1,floors!$1:$1,0)-MATCH($H$1,floors!$1:$1,0)+1,FALSE)</f>
        <v>50</v>
      </c>
      <c r="J19" s="4">
        <f ca="1">VLOOKUP($H19,OFFSET(floors!$A$1,0,0,COUNTA(floors!$A:$A),MATCH(J$1,floors!$1:$1,0)-MATCH($H$1,floors!$1:$1,0)+1),MATCH(J$1,floors!$1:$1,0)-MATCH($H$1,floors!$1:$1,0)+1,FALSE)</f>
        <v>50</v>
      </c>
      <c r="K19" s="38">
        <v>1</v>
      </c>
      <c r="L19" s="20">
        <v>202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プロメテウス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god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5">
        <v>1</v>
      </c>
      <c r="S19" s="25">
        <v>0.1</v>
      </c>
      <c r="T19" s="25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恋の奥義が 炸裂した！</v>
      </c>
      <c r="W19" s="71">
        <v>112143300</v>
      </c>
      <c r="X19" s="6">
        <v>1</v>
      </c>
      <c r="Y19" s="6">
        <v>0</v>
      </c>
      <c r="Z19" s="6">
        <v>1</v>
      </c>
      <c r="AA19" s="17">
        <f ca="1">VLOOKUP($L19,OFFSET([3]enemies!$A$1,0,0,COUNTA([3]enemies!$A:$A),MATCH(AA$1,[3]enemies!$1:$1,0)-MATCH($L$1,[3]enemies!$1:$1,0)+1),MATCH(AA$1,[3]enemies!$1:$1,0)-MATCH($L$1,[3]enemies!$1:$1,0)+1,FALSE)</f>
        <v>3</v>
      </c>
      <c r="AB19" s="24">
        <f t="shared" ref="AB19" si="48">L19</f>
        <v>202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9" s="7">
        <v>1</v>
      </c>
      <c r="AG19" s="24">
        <f t="shared" ref="AG19" ca="1" si="49">AD19</f>
        <v>3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7">
        <v>1</v>
      </c>
    </row>
    <row r="20" spans="1:40" ht="21" customHeight="1">
      <c r="A20" s="16" t="str">
        <f t="shared" ref="A20:A22" ca="1" si="50">B20&amp;"_"&amp;C20&amp;"-"&amp;G20&amp;"/"&amp;L20&amp;"&lt;lv"&amp;R20&amp;"&gt;s"&amp;AA20</f>
        <v>11214_3-4/514&lt;lv1&gt;s3</v>
      </c>
      <c r="B20" s="22">
        <v>11214</v>
      </c>
      <c r="C20" s="21">
        <v>3</v>
      </c>
      <c r="D20" s="2" t="str">
        <f t="shared" ref="D20:D22" si="51">B20&amp;"_"&amp;C20</f>
        <v>11214_3</v>
      </c>
      <c r="E20" s="4" t="str">
        <f ca="1">VLOOKUP($B20,OFFSET([2]quests!$A$1,0,0,COUNTA([2]quests!$A:$A),MATCH(E$1,[2]quests!$1:$1,0)-MATCH($B$1,[2]quests!$1:$1,0)+1),MATCH(E$1,[2]quests!$1:$1,0)-MATCH($B$1,[2]quests!$1:$1,0)+1,FALSE)</f>
        <v>プロメテウスの恋</v>
      </c>
      <c r="F20" s="4" t="str">
        <f ca="1">VLOOKUP($D20,OFFSET([2]stages!$A$1,0,0,COUNTA([2]stages!$A:$A),MATCH(F$1,[2]stages!$2:$2,0)-MATCH($D$1,[2]stages!$2:$2,0)+1),MATCH(F$1,[2]stages!$2:$2,0)-MATCH($D$1,[2]stages!$2:$2,0)+1,FALSE)</f>
        <v>【ストーリー後編】フィーバーの力</v>
      </c>
      <c r="G20" s="21">
        <v>4</v>
      </c>
      <c r="H20" s="15" t="str">
        <f t="shared" ref="H20:H22" si="52">B20&amp;"_"&amp;C20&amp;"-"&amp;G20</f>
        <v>11214_3-4</v>
      </c>
      <c r="I20" s="4">
        <f ca="1">VLOOKUP($H20,OFFSET(floors!$A$1,0,0,COUNTA(floors!$A:$A),MATCH(I$1,floors!$1:$1,0)-MATCH($H$1,floors!$1:$1,0)+1),MATCH(I$1,floors!$1:$1,0)-MATCH($H$1,floors!$1:$1,0)+1,FALSE)</f>
        <v>30</v>
      </c>
      <c r="J20" s="4">
        <f ca="1">VLOOKUP($H20,OFFSET(floors!$A$1,0,0,COUNTA(floors!$A:$A),MATCH(J$1,floors!$1:$1,0)-MATCH($H$1,floors!$1:$1,0)+1),MATCH(J$1,floors!$1:$1,0)-MATCH($H$1,floors!$1:$1,0)+1,FALSE)</f>
        <v>30</v>
      </c>
      <c r="K20" s="38">
        <v>1</v>
      </c>
      <c r="L20" s="20">
        <v>514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祝宴の識徒 サンタクロース・オセ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PremiumS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god</v>
      </c>
      <c r="Q20" s="17">
        <f ca="1">VLOOKUP($L20,OFFSET([3]enemies!$A$1,0,0,COUNTA([3]enemies!$A:$A),MATCH(Q$1,[3]enemies!$1:$1,0)-MATCH($L$1,[3]enemies!$1:$1,0)+1),MATCH(Q$1,[3]enemies!$1:$1,0)-MATCH($L$1,[3]enemies!$1:$1,0)+1,FALSE)</f>
        <v>30</v>
      </c>
      <c r="R20" s="5">
        <v>1</v>
      </c>
      <c r="S20" s="25">
        <v>1</v>
      </c>
      <c r="T20" s="25">
        <v>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オセは 頬をふくらませている</v>
      </c>
      <c r="W20" s="71">
        <v>112143400</v>
      </c>
      <c r="X20" s="6">
        <v>1</v>
      </c>
      <c r="Y20" s="6">
        <v>0</v>
      </c>
      <c r="Z20" s="6">
        <v>1</v>
      </c>
      <c r="AA20" s="17">
        <f ca="1">VLOOKUP($L20,OFFSET([3]enemies!$A$1,0,0,COUNTA([3]enemies!$A:$A),MATCH(AA$1,[3]enemies!$1:$1,0)-MATCH($L$1,[3]enemies!$1:$1,0)+1),MATCH(AA$1,[3]enemies!$1:$1,0)-MATCH($L$1,[3]enemies!$1:$1,0)+1,FALSE)</f>
        <v>3</v>
      </c>
      <c r="AB20" s="24">
        <f t="shared" ref="AB20:AB22" si="53">L20</f>
        <v>514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祝宴の識徒 サンタクロース・オセ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0" s="7">
        <v>1</v>
      </c>
      <c r="AG20" s="24">
        <f t="shared" ref="AG20:AG22" ca="1" si="54">AD20</f>
        <v>4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7">
        <v>1</v>
      </c>
    </row>
    <row r="21" spans="1:40" ht="21" customHeight="1">
      <c r="A21" s="16" t="str">
        <f t="shared" ref="A21" ca="1" si="55">B21&amp;"_"&amp;C21&amp;"-"&amp;G21&amp;"/"&amp;L21&amp;"&lt;lv"&amp;R21&amp;"&gt;s"&amp;AA21</f>
        <v>11215_1-1/118&lt;lv3&gt;s2</v>
      </c>
      <c r="B21" s="22">
        <v>11215</v>
      </c>
      <c r="C21" s="21">
        <v>1</v>
      </c>
      <c r="D21" s="2" t="str">
        <f t="shared" ref="D21" si="56">B21&amp;"_"&amp;C21</f>
        <v>11215_1</v>
      </c>
      <c r="E21" s="4" t="str">
        <f ca="1">VLOOKUP($B21,OFFSET([2]quests!$A$1,0,0,COUNTA([2]quests!$A:$A),MATCH(E$1,[2]quests!$1:$1,0)-MATCH($B$1,[2]quests!$1:$1,0)+1),MATCH(E$1,[2]quests!$1:$1,0)-MATCH($B$1,[2]quests!$1:$1,0)+1,FALSE)</f>
        <v>【マルチ】サンタダックを捕獲せよ！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【上級】サンタダックを捕獲せよ！</v>
      </c>
      <c r="G21" s="21">
        <v>1</v>
      </c>
      <c r="H21" s="15" t="str">
        <f t="shared" ref="H21" si="57">B21&amp;"_"&amp;C21&amp;"-"&amp;G21</f>
        <v>11215_1-1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118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ゴールドチック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3</v>
      </c>
      <c r="S21" s="25">
        <v>28.8</v>
      </c>
      <c r="T21" s="25">
        <v>38.5</v>
      </c>
      <c r="U21" s="5">
        <v>0</v>
      </c>
      <c r="V21" s="4" t="e">
        <f ca="1">VLOOKUP($W21,OFFSET(enemy_skill_sets!$B$1,0,0,COUNTA(enemy_skill_sets!$B:$B),MATCH(M$1,enemy_skill_sets!$1:$1,0)-MATCH($W$1,enemy_skill_sets!$1:$1,0)+2),MATCH(M$1,enemy_skill_sets!$1:$1,0)-MATCH($W$1,enemy_skill_sets!$1:$1,0)+2,FALSE)</f>
        <v>#N/A</v>
      </c>
      <c r="W21" s="71">
        <v>0</v>
      </c>
      <c r="X21" s="6">
        <v>1</v>
      </c>
      <c r="Y21" s="6">
        <v>0</v>
      </c>
      <c r="Z21" s="6">
        <v>0</v>
      </c>
      <c r="AA21" s="17">
        <f ca="1">VLOOKUP($L21,OFFSET([3]enemies!$A$1,0,0,COUNTA([3]enemies!$A:$A),MATCH(AA$1,[3]enemies!$1:$1,0)-MATCH($L$1,[3]enemies!$1:$1,0)+1),MATCH(AA$1,[3]enemies!$1:$1,0)-MATCH($L$1,[3]enemies!$1:$1,0)+1,FALSE)</f>
        <v>2</v>
      </c>
      <c r="AB21" s="24">
        <f t="shared" ref="AB21" si="58">L21</f>
        <v>118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ゴールドチック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7">
        <v>1</v>
      </c>
      <c r="AG21" s="24">
        <f t="shared" ref="AG21" ca="1" si="59">AD21</f>
        <v>4</v>
      </c>
      <c r="AH21" s="8">
        <v>100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7">
        <v>1</v>
      </c>
    </row>
    <row r="22" spans="1:40" ht="21" customHeight="1">
      <c r="A22" s="16" t="str">
        <f t="shared" ca="1" si="50"/>
        <v>11215_1-1/333&lt;lv3&gt;s2</v>
      </c>
      <c r="B22" s="22">
        <v>11215</v>
      </c>
      <c r="C22" s="21">
        <v>1</v>
      </c>
      <c r="D22" s="2" t="str">
        <f t="shared" si="51"/>
        <v>11215_1</v>
      </c>
      <c r="E22" s="4" t="str">
        <f ca="1">VLOOKUP($B22,OFFSET([2]quests!$A$1,0,0,COUNTA([2]quests!$A:$A),MATCH(E$1,[2]quests!$1:$1,0)-MATCH($B$1,[2]quests!$1:$1,0)+1),MATCH(E$1,[2]quests!$1:$1,0)-MATCH($B$1,[2]quests!$1:$1,0)+1,FALSE)</f>
        <v>【マルチ】サンタダックを捕獲せよ！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【上級】サンタダックを捕獲せよ！</v>
      </c>
      <c r="G22" s="21">
        <v>1</v>
      </c>
      <c r="H22" s="15" t="str">
        <f t="shared" si="52"/>
        <v>11215_1-1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333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炎のメタルチック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74">
        <v>3</v>
      </c>
      <c r="S22" s="25">
        <v>1</v>
      </c>
      <c r="T22" s="25">
        <v>35</v>
      </c>
      <c r="U22" s="5">
        <v>-2000</v>
      </c>
      <c r="V22" s="4" t="e">
        <f ca="1">VLOOKUP($W22,OFFSET(enemy_skill_sets!$B$1,0,0,COUNTA(enemy_skill_sets!$B:$B),MATCH(M$1,enemy_skill_sets!$1:$1,0)-MATCH($W$1,enemy_skill_sets!$1:$1,0)+2),MATCH(M$1,enemy_skill_sets!$1:$1,0)-MATCH($W$1,enemy_skill_sets!$1:$1,0)+2,FALSE)</f>
        <v>#N/A</v>
      </c>
      <c r="W22" s="71">
        <v>0</v>
      </c>
      <c r="X22" s="6">
        <v>0</v>
      </c>
      <c r="Y22" s="6">
        <v>100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f t="shared" si="53"/>
        <v>333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7">
        <v>1</v>
      </c>
      <c r="AG22" s="24">
        <f t="shared" ca="1" si="54"/>
        <v>4</v>
      </c>
      <c r="AH22" s="8">
        <v>100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7">
        <v>1</v>
      </c>
    </row>
    <row r="23" spans="1:40" ht="21" customHeight="1">
      <c r="A23" s="16" t="str">
        <f t="shared" ref="A23:A24" ca="1" si="60">B23&amp;"_"&amp;C23&amp;"-"&amp;G23&amp;"/"&amp;L23&amp;"&lt;lv"&amp;R23&amp;"&gt;s"&amp;AA23</f>
        <v>11215_1-1/337&lt;lv3&gt;s2</v>
      </c>
      <c r="B23" s="22">
        <v>11215</v>
      </c>
      <c r="C23" s="21">
        <v>1</v>
      </c>
      <c r="D23" s="2" t="str">
        <f t="shared" ref="D23:D24" si="61">B23&amp;"_"&amp;C23</f>
        <v>11215_1</v>
      </c>
      <c r="E23" s="4" t="str">
        <f ca="1">VLOOKUP($B23,OFFSET([2]quests!$A$1,0,0,COUNTA([2]quests!$A:$A),MATCH(E$1,[2]quests!$1:$1,0)-MATCH($B$1,[2]quests!$1:$1,0)+1),MATCH(E$1,[2]quests!$1:$1,0)-MATCH($B$1,[2]quests!$1:$1,0)+1,FALSE)</f>
        <v>【マルチ】サンタダックを捕獲せよ！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【上級】サンタダックを捕獲せよ！</v>
      </c>
      <c r="G23" s="21">
        <v>1</v>
      </c>
      <c r="H23" s="15" t="str">
        <f t="shared" ref="H23:H24" si="62">B23&amp;"_"&amp;C23&amp;"-"&amp;G23</f>
        <v>11215_1-1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337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森のメタルチック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74">
        <v>3</v>
      </c>
      <c r="S23" s="25">
        <v>1</v>
      </c>
      <c r="T23" s="25">
        <v>35</v>
      </c>
      <c r="U23" s="5">
        <v>-2000</v>
      </c>
      <c r="V23" s="4" t="e">
        <f ca="1">VLOOKUP($W23,OFFSET(enemy_skill_sets!$B$1,0,0,COUNTA(enemy_skill_sets!$B:$B),MATCH(M$1,enemy_skill_sets!$1:$1,0)-MATCH($W$1,enemy_skill_sets!$1:$1,0)+2),MATCH(M$1,enemy_skill_sets!$1:$1,0)-MATCH($W$1,enemy_skill_sets!$1:$1,0)+2,FALSE)</f>
        <v>#N/A</v>
      </c>
      <c r="W23" s="71">
        <v>0</v>
      </c>
      <c r="X23" s="6">
        <v>0</v>
      </c>
      <c r="Y23" s="6">
        <v>100</v>
      </c>
      <c r="Z23" s="6">
        <v>0</v>
      </c>
      <c r="AA23" s="17">
        <f ca="1">VLOOKUP($L23,OFFSET([3]enemies!$A$1,0,0,COUNTA([3]enemies!$A:$A),MATCH(AA$1,[3]enemies!$1:$1,0)-MATCH($L$1,[3]enemies!$1:$1,0)+1),MATCH(AA$1,[3]enemies!$1:$1,0)-MATCH($L$1,[3]enemies!$1:$1,0)+1,FALSE)</f>
        <v>2</v>
      </c>
      <c r="AB23" s="24">
        <f t="shared" ref="AB23:AB24" si="63">L23</f>
        <v>337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7">
        <v>1</v>
      </c>
      <c r="AG23" s="24">
        <f t="shared" ref="AG23:AG24" ca="1" si="64">AD23</f>
        <v>4</v>
      </c>
      <c r="AH23" s="8">
        <v>100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7">
        <v>1</v>
      </c>
    </row>
    <row r="24" spans="1:40" ht="21" customHeight="1">
      <c r="A24" s="16" t="str">
        <f t="shared" ca="1" si="60"/>
        <v>11215_1-1/341&lt;lv3&gt;s2</v>
      </c>
      <c r="B24" s="22">
        <v>11215</v>
      </c>
      <c r="C24" s="21">
        <v>1</v>
      </c>
      <c r="D24" s="2" t="str">
        <f t="shared" si="61"/>
        <v>11215_1</v>
      </c>
      <c r="E24" s="4" t="str">
        <f ca="1">VLOOKUP($B24,OFFSET([2]quests!$A$1,0,0,COUNTA([2]quests!$A:$A),MATCH(E$1,[2]quests!$1:$1,0)-MATCH($B$1,[2]quests!$1:$1,0)+1),MATCH(E$1,[2]quests!$1:$1,0)-MATCH($B$1,[2]quests!$1:$1,0)+1,FALSE)</f>
        <v>【マルチ】サンタダックを捕獲せよ！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【上級】サンタダックを捕獲せよ！</v>
      </c>
      <c r="G24" s="21">
        <v>1</v>
      </c>
      <c r="H24" s="15" t="str">
        <f t="shared" si="62"/>
        <v>11215_1-1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53</v>
      </c>
      <c r="L24" s="20">
        <v>341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水のメタルチック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74">
        <v>3</v>
      </c>
      <c r="S24" s="25">
        <v>1</v>
      </c>
      <c r="T24" s="25">
        <v>35</v>
      </c>
      <c r="U24" s="5">
        <v>-2000</v>
      </c>
      <c r="V24" s="4" t="e">
        <f ca="1">VLOOKUP($W24,OFFSET(enemy_skill_sets!$B$1,0,0,COUNTA(enemy_skill_sets!$B:$B),MATCH(M$1,enemy_skill_sets!$1:$1,0)-MATCH($W$1,enemy_skill_sets!$1:$1,0)+2),MATCH(M$1,enemy_skill_sets!$1:$1,0)-MATCH($W$1,enemy_skill_sets!$1:$1,0)+2,FALSE)</f>
        <v>#N/A</v>
      </c>
      <c r="W24" s="71">
        <v>0</v>
      </c>
      <c r="X24" s="6">
        <v>0</v>
      </c>
      <c r="Y24" s="6">
        <v>100</v>
      </c>
      <c r="Z24" s="6">
        <v>0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f t="shared" si="63"/>
        <v>341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7">
        <v>1</v>
      </c>
      <c r="AG24" s="24">
        <f t="shared" ca="1" si="64"/>
        <v>4</v>
      </c>
      <c r="AH24" s="8">
        <v>100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7">
        <v>1</v>
      </c>
    </row>
    <row r="25" spans="1:40" ht="21" customHeight="1">
      <c r="A25" s="16" t="str">
        <f t="shared" ref="A25:A47" ca="1" si="65">B25&amp;"_"&amp;C25&amp;"-"&amp;G25&amp;"/"&amp;L25&amp;"&lt;lv"&amp;R25&amp;"&gt;s"&amp;AA25</f>
        <v>11215_1-1/345&lt;lv3&gt;s2</v>
      </c>
      <c r="B25" s="22">
        <v>11215</v>
      </c>
      <c r="C25" s="21">
        <v>1</v>
      </c>
      <c r="D25" s="2" t="str">
        <f t="shared" ref="D25:D47" si="66">B25&amp;"_"&amp;C25</f>
        <v>11215_1</v>
      </c>
      <c r="E25" s="4" t="str">
        <f ca="1">VLOOKUP($B25,OFFSET([2]quests!$A$1,0,0,COUNTA([2]quests!$A:$A),MATCH(E$1,[2]quests!$1:$1,0)-MATCH($B$1,[2]quests!$1:$1,0)+1),MATCH(E$1,[2]quests!$1:$1,0)-MATCH($B$1,[2]quests!$1:$1,0)+1,FALSE)</f>
        <v>【マルチ】サンタダックを捕獲せよ！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【上級】サンタダックを捕獲せよ！</v>
      </c>
      <c r="G25" s="21">
        <v>1</v>
      </c>
      <c r="H25" s="15" t="str">
        <f t="shared" ref="H25:H47" si="67">B25&amp;"_"&amp;C25&amp;"-"&amp;G25</f>
        <v>11215_1-1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20">
        <v>345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雷のメタルチック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74">
        <v>3</v>
      </c>
      <c r="S25" s="25">
        <v>1</v>
      </c>
      <c r="T25" s="25">
        <v>35</v>
      </c>
      <c r="U25" s="5">
        <v>-2000</v>
      </c>
      <c r="V25" s="4" t="e">
        <f ca="1">VLOOKUP($W25,OFFSET(enemy_skill_sets!$B$1,0,0,COUNTA(enemy_skill_sets!$B:$B),MATCH(M$1,enemy_skill_sets!$1:$1,0)-MATCH($W$1,enemy_skill_sets!$1:$1,0)+2),MATCH(M$1,enemy_skill_sets!$1:$1,0)-MATCH($W$1,enemy_skill_sets!$1:$1,0)+2,FALSE)</f>
        <v>#N/A</v>
      </c>
      <c r="W25" s="71">
        <v>0</v>
      </c>
      <c r="X25" s="6">
        <v>0</v>
      </c>
      <c r="Y25" s="6">
        <v>100</v>
      </c>
      <c r="Z25" s="6">
        <v>0</v>
      </c>
      <c r="AA25" s="17">
        <f ca="1">VLOOKUP($L25,OFFSET([3]enemies!$A$1,0,0,COUNTA([3]enemies!$A:$A),MATCH(AA$1,[3]enemies!$1:$1,0)-MATCH($L$1,[3]enemies!$1:$1,0)+1),MATCH(AA$1,[3]enemies!$1:$1,0)-MATCH($L$1,[3]enemies!$1:$1,0)+1,FALSE)</f>
        <v>2</v>
      </c>
      <c r="AB25" s="24">
        <f t="shared" ref="AB25:AB47" si="68">L25</f>
        <v>345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7">
        <v>1</v>
      </c>
      <c r="AG25" s="24">
        <f t="shared" ref="AG25:AG47" ca="1" si="69">AD25</f>
        <v>4</v>
      </c>
      <c r="AH25" s="8">
        <v>100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7">
        <v>1</v>
      </c>
    </row>
    <row r="26" spans="1:40" ht="21" customHeight="1">
      <c r="A26" s="16" t="str">
        <f t="shared" ca="1" si="65"/>
        <v>11215_1-2/118&lt;lv3&gt;s2</v>
      </c>
      <c r="B26" s="22">
        <v>11215</v>
      </c>
      <c r="C26" s="21">
        <v>1</v>
      </c>
      <c r="D26" s="2" t="str">
        <f t="shared" si="66"/>
        <v>11215_1</v>
      </c>
      <c r="E26" s="4" t="str">
        <f ca="1">VLOOKUP($B26,OFFSET([2]quests!$A$1,0,0,COUNTA([2]quests!$A:$A),MATCH(E$1,[2]quests!$1:$1,0)-MATCH($B$1,[2]quests!$1:$1,0)+1),MATCH(E$1,[2]quests!$1:$1,0)-MATCH($B$1,[2]quests!$1:$1,0)+1,FALSE)</f>
        <v>【マルチ】サンタダックを捕獲せよ！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【上級】サンタダックを捕獲せよ！</v>
      </c>
      <c r="G26" s="21">
        <v>2</v>
      </c>
      <c r="H26" s="15" t="str">
        <f t="shared" si="67"/>
        <v>11215_1-2</v>
      </c>
      <c r="I26" s="4">
        <f ca="1">VLOOKUP($H26,OFFSET(floors!$A$1,0,0,COUNTA(floors!$A:$A),MATCH(I$1,floors!$1:$1,0)-MATCH($H$1,floors!$1:$1,0)+1),MATCH(I$1,floors!$1:$1,0)-MATCH($H$1,floors!$1:$1,0)+1,FALSE)</f>
        <v>49</v>
      </c>
      <c r="J26" s="4">
        <f ca="1">VLOOKUP($H26,OFFSET(floors!$A$1,0,0,COUNTA(floors!$A:$A),MATCH(J$1,floors!$1:$1,0)-MATCH($H$1,floors!$1:$1,0)+1),MATCH(J$1,floors!$1:$1,0)-MATCH($H$1,floors!$1:$1,0)+1,FALSE)</f>
        <v>50</v>
      </c>
      <c r="K26" s="38" t="s">
        <v>53</v>
      </c>
      <c r="L26" s="20">
        <v>118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ゴールドチック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3</v>
      </c>
      <c r="S26" s="25">
        <v>28.8</v>
      </c>
      <c r="T26" s="25">
        <v>38.5</v>
      </c>
      <c r="U26" s="5">
        <v>0</v>
      </c>
      <c r="V26" s="4" t="e">
        <f ca="1">VLOOKUP($W26,OFFSET(enemy_skill_sets!$B$1,0,0,COUNTA(enemy_skill_sets!$B:$B),MATCH(M$1,enemy_skill_sets!$1:$1,0)-MATCH($W$1,enemy_skill_sets!$1:$1,0)+2),MATCH(M$1,enemy_skill_sets!$1:$1,0)-MATCH($W$1,enemy_skill_sets!$1:$1,0)+2,FALSE)</f>
        <v>#N/A</v>
      </c>
      <c r="W26" s="71">
        <v>0</v>
      </c>
      <c r="X26" s="6">
        <v>0</v>
      </c>
      <c r="Y26" s="6">
        <v>100</v>
      </c>
      <c r="Z26" s="6">
        <v>2</v>
      </c>
      <c r="AA26" s="17">
        <f ca="1">VLOOKUP($L26,OFFSET([3]enemies!$A$1,0,0,COUNTA([3]enemies!$A:$A),MATCH(AA$1,[3]enemies!$1:$1,0)-MATCH($L$1,[3]enemies!$1:$1,0)+1),MATCH(AA$1,[3]enemies!$1:$1,0)-MATCH($L$1,[3]enemies!$1:$1,0)+1,FALSE)</f>
        <v>2</v>
      </c>
      <c r="AB26" s="24">
        <f t="shared" si="68"/>
        <v>118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ゴールドチック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7">
        <v>1</v>
      </c>
      <c r="AG26" s="24">
        <f t="shared" ca="1" si="69"/>
        <v>4</v>
      </c>
      <c r="AH26" s="8">
        <v>50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7">
        <v>1</v>
      </c>
    </row>
    <row r="27" spans="1:40" ht="21" customHeight="1">
      <c r="A27" s="16" t="str">
        <f t="shared" ref="A27" ca="1" si="70">B27&amp;"_"&amp;C27&amp;"-"&amp;G27&amp;"/"&amp;L27&amp;"&lt;lv"&amp;R27&amp;"&gt;s"&amp;AA27</f>
        <v>11215_1-2/119&lt;lv2&gt;s3</v>
      </c>
      <c r="B27" s="22">
        <v>11215</v>
      </c>
      <c r="C27" s="21">
        <v>1</v>
      </c>
      <c r="D27" s="2" t="str">
        <f t="shared" ref="D27" si="71">B27&amp;"_"&amp;C27</f>
        <v>11215_1</v>
      </c>
      <c r="E27" s="4" t="str">
        <f ca="1">VLOOKUP($B27,OFFSET([2]quests!$A$1,0,0,COUNTA([2]quests!$A:$A),MATCH(E$1,[2]quests!$1:$1,0)-MATCH($B$1,[2]quests!$1:$1,0)+1),MATCH(E$1,[2]quests!$1:$1,0)-MATCH($B$1,[2]quests!$1:$1,0)+1,FALSE)</f>
        <v>【マルチ】サンタダックを捕獲せよ！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【上級】サンタダックを捕獲せよ！</v>
      </c>
      <c r="G27" s="21">
        <v>2</v>
      </c>
      <c r="H27" s="15" t="str">
        <f t="shared" ref="H27" si="72">B27&amp;"_"&amp;C27&amp;"-"&amp;G27</f>
        <v>11215_1-2</v>
      </c>
      <c r="I27" s="4">
        <f ca="1">VLOOKUP($H27,OFFSET(floors!$A$1,0,0,COUNTA(floors!$A:$A),MATCH(I$1,floors!$1:$1,0)-MATCH($H$1,floors!$1:$1,0)+1),MATCH(I$1,floors!$1:$1,0)-MATCH($H$1,floors!$1:$1,0)+1,FALSE)</f>
        <v>49</v>
      </c>
      <c r="J27" s="4">
        <f ca="1">VLOOKUP($H27,OFFSET(floors!$A$1,0,0,COUNTA(floors!$A:$A),MATCH(J$1,floors!$1:$1,0)-MATCH($H$1,floors!$1:$1,0)+1),MATCH(J$1,floors!$1:$1,0)-MATCH($H$1,floors!$1:$1,0)+1,FALSE)</f>
        <v>50</v>
      </c>
      <c r="K27" s="38" t="s">
        <v>53</v>
      </c>
      <c r="L27" s="20">
        <v>119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ゴールドダック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7">
        <f ca="1">VLOOKUP($L27,OFFSET([3]enemies!$A$1,0,0,COUNTA([3]enemies!$A:$A),MATCH(Q$1,[3]enemies!$1:$1,0)-MATCH($L$1,[3]enemies!$1:$1,0)+1),MATCH(Q$1,[3]enemies!$1:$1,0)-MATCH($L$1,[3]enemies!$1:$1,0)+1,FALSE)</f>
        <v>20</v>
      </c>
      <c r="R27" s="5">
        <v>2</v>
      </c>
      <c r="S27" s="25">
        <v>93.3</v>
      </c>
      <c r="T27" s="25">
        <v>41</v>
      </c>
      <c r="U27" s="5">
        <v>0</v>
      </c>
      <c r="V27" s="4" t="e">
        <f ca="1">VLOOKUP($W27,OFFSET(enemy_skill_sets!$B$1,0,0,COUNTA(enemy_skill_sets!$B:$B),MATCH(M$1,enemy_skill_sets!$1:$1,0)-MATCH($W$1,enemy_skill_sets!$1:$1,0)+2),MATCH(M$1,enemy_skill_sets!$1:$1,0)-MATCH($W$1,enemy_skill_sets!$1:$1,0)+2,FALSE)</f>
        <v>#N/A</v>
      </c>
      <c r="W27" s="71">
        <v>0</v>
      </c>
      <c r="X27" s="6">
        <v>1</v>
      </c>
      <c r="Y27" s="6">
        <v>0</v>
      </c>
      <c r="Z27" s="6">
        <v>1</v>
      </c>
      <c r="AA27" s="17">
        <f ca="1">VLOOKUP($L27,OFFSET([3]enemies!$A$1,0,0,COUNTA([3]enemies!$A:$A),MATCH(AA$1,[3]enemies!$1:$1,0)-MATCH($L$1,[3]enemies!$1:$1,0)+1),MATCH(AA$1,[3]enemies!$1:$1,0)-MATCH($L$1,[3]enemies!$1:$1,0)+1,FALSE)</f>
        <v>3</v>
      </c>
      <c r="AB27" s="24">
        <f t="shared" ref="AB27" si="73">L27</f>
        <v>119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5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7">
        <v>1</v>
      </c>
      <c r="AG27" s="24">
        <f t="shared" ref="AG27" ca="1" si="74">AD27</f>
        <v>5</v>
      </c>
      <c r="AH27" s="8">
        <v>100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7">
        <v>1</v>
      </c>
    </row>
    <row r="28" spans="1:40" ht="21" customHeight="1">
      <c r="A28" s="16" t="str">
        <f t="shared" ca="1" si="65"/>
        <v>11215_1-3/332&lt;lv2&gt;s1</v>
      </c>
      <c r="B28" s="22">
        <v>11215</v>
      </c>
      <c r="C28" s="21">
        <v>1</v>
      </c>
      <c r="D28" s="2" t="str">
        <f t="shared" si="66"/>
        <v>11215_1</v>
      </c>
      <c r="E28" s="4" t="str">
        <f ca="1">VLOOKUP($B28,OFFSET([2]quests!$A$1,0,0,COUNTA([2]quests!$A:$A),MATCH(E$1,[2]quests!$1:$1,0)-MATCH($B$1,[2]quests!$1:$1,0)+1),MATCH(E$1,[2]quests!$1:$1,0)-MATCH($B$1,[2]quests!$1:$1,0)+1,FALSE)</f>
        <v>【マルチ】サンタダックを捕獲せよ！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【上級】サンタダックを捕獲せよ！</v>
      </c>
      <c r="G28" s="21">
        <v>3</v>
      </c>
      <c r="H28" s="15" t="str">
        <f t="shared" si="67"/>
        <v>11215_1-3</v>
      </c>
      <c r="I28" s="4">
        <f ca="1">VLOOKUP($H28,OFFSET(floors!$A$1,0,0,COUNTA(floors!$A:$A),MATCH(I$1,floors!$1:$1,0)-MATCH($H$1,floors!$1:$1,0)+1),MATCH(I$1,floors!$1:$1,0)-MATCH($H$1,floors!$1:$1,0)+1,FALSE)</f>
        <v>15</v>
      </c>
      <c r="J28" s="4">
        <f ca="1">VLOOKUP($H28,OFFSET(floors!$A$1,0,0,COUNTA(floors!$A:$A),MATCH(J$1,floors!$1:$1,0)-MATCH($H$1,floors!$1:$1,0)+1),MATCH(J$1,floors!$1:$1,0)-MATCH($H$1,floors!$1:$1,0)+1,FALSE)</f>
        <v>15</v>
      </c>
      <c r="K28" s="38">
        <v>1</v>
      </c>
      <c r="L28" s="20">
        <v>332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炎のメタルピヨピヨ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2</v>
      </c>
      <c r="S28" s="25">
        <v>1</v>
      </c>
      <c r="T28" s="25">
        <v>35</v>
      </c>
      <c r="U28" s="5">
        <v>-2000</v>
      </c>
      <c r="V28" s="4" t="e">
        <f ca="1">VLOOKUP($W28,OFFSET(enemy_skill_sets!$B$1,0,0,COUNTA(enemy_skill_sets!$B:$B),MATCH(M$1,enemy_skill_sets!$1:$1,0)-MATCH($W$1,enemy_skill_sets!$1:$1,0)+2),MATCH(M$1,enemy_skill_sets!$1:$1,0)-MATCH($W$1,enemy_skill_sets!$1:$1,0)+2,FALSE)</f>
        <v>#N/A</v>
      </c>
      <c r="W28" s="71">
        <v>0</v>
      </c>
      <c r="X28" s="6">
        <v>0</v>
      </c>
      <c r="Y28" s="6">
        <v>100</v>
      </c>
      <c r="Z28" s="6">
        <v>0</v>
      </c>
      <c r="AA28" s="17">
        <f ca="1">VLOOKUP($L28,OFFSET([3]enemies!$A$1,0,0,COUNTA([3]enemies!$A:$A),MATCH(AA$1,[3]enemies!$1:$1,0)-MATCH($L$1,[3]enemies!$1:$1,0)+1),MATCH(AA$1,[3]enemies!$1:$1,0)-MATCH($L$1,[3]enemies!$1:$1,0)+1,FALSE)</f>
        <v>1</v>
      </c>
      <c r="AB28" s="20">
        <v>333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7">
        <v>1</v>
      </c>
      <c r="AG28" s="24">
        <f t="shared" ca="1" si="69"/>
        <v>4</v>
      </c>
      <c r="AH28" s="8">
        <v>100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7">
        <v>1</v>
      </c>
    </row>
    <row r="29" spans="1:40" ht="21" customHeight="1">
      <c r="A29" s="16" t="str">
        <f t="shared" ca="1" si="65"/>
        <v>11215_1-3/336&lt;lv2&gt;s1</v>
      </c>
      <c r="B29" s="22">
        <v>11215</v>
      </c>
      <c r="C29" s="21">
        <v>1</v>
      </c>
      <c r="D29" s="2" t="str">
        <f t="shared" si="66"/>
        <v>11215_1</v>
      </c>
      <c r="E29" s="4" t="str">
        <f ca="1">VLOOKUP($B29,OFFSET([2]quests!$A$1,0,0,COUNTA([2]quests!$A:$A),MATCH(E$1,[2]quests!$1:$1,0)-MATCH($B$1,[2]quests!$1:$1,0)+1),MATCH(E$1,[2]quests!$1:$1,0)-MATCH($B$1,[2]quests!$1:$1,0)+1,FALSE)</f>
        <v>【マルチ】サンタダックを捕獲せよ！</v>
      </c>
      <c r="F29" s="4" t="str">
        <f ca="1">VLOOKUP($D29,OFFSET([2]stages!$A$1,0,0,COUNTA([2]stages!$A:$A),MATCH(F$1,[2]stages!$2:$2,0)-MATCH($D$1,[2]stages!$2:$2,0)+1),MATCH(F$1,[2]stages!$2:$2,0)-MATCH($D$1,[2]stages!$2:$2,0)+1,FALSE)</f>
        <v>【上級】サンタダックを捕獲せよ！</v>
      </c>
      <c r="G29" s="21">
        <v>3</v>
      </c>
      <c r="H29" s="15" t="str">
        <f t="shared" si="67"/>
        <v>11215_1-3</v>
      </c>
      <c r="I29" s="4">
        <f ca="1">VLOOKUP($H29,OFFSET(floors!$A$1,0,0,COUNTA(floors!$A:$A),MATCH(I$1,floors!$1:$1,0)-MATCH($H$1,floors!$1:$1,0)+1),MATCH(I$1,floors!$1:$1,0)-MATCH($H$1,floors!$1:$1,0)+1,FALSE)</f>
        <v>15</v>
      </c>
      <c r="J29" s="4">
        <f ca="1">VLOOKUP($H29,OFFSET(floors!$A$1,0,0,COUNTA(floors!$A:$A),MATCH(J$1,floors!$1:$1,0)-MATCH($H$1,floors!$1:$1,0)+1),MATCH(J$1,floors!$1:$1,0)-MATCH($H$1,floors!$1:$1,0)+1,FALSE)</f>
        <v>15</v>
      </c>
      <c r="K29" s="38">
        <v>2</v>
      </c>
      <c r="L29" s="20">
        <v>336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森のメタルピヨピヨ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green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2</v>
      </c>
      <c r="S29" s="25">
        <v>1</v>
      </c>
      <c r="T29" s="25">
        <v>35</v>
      </c>
      <c r="U29" s="5">
        <v>-2000</v>
      </c>
      <c r="V29" s="4" t="e">
        <f ca="1">VLOOKUP($W29,OFFSET(enemy_skill_sets!$B$1,0,0,COUNTA(enemy_skill_sets!$B:$B),MATCH(M$1,enemy_skill_sets!$1:$1,0)-MATCH($W$1,enemy_skill_sets!$1:$1,0)+2),MATCH(M$1,enemy_skill_sets!$1:$1,0)-MATCH($W$1,enemy_skill_sets!$1:$1,0)+2,FALSE)</f>
        <v>#N/A</v>
      </c>
      <c r="W29" s="71">
        <v>0</v>
      </c>
      <c r="X29" s="6">
        <v>0</v>
      </c>
      <c r="Y29" s="6">
        <v>100</v>
      </c>
      <c r="Z29" s="6">
        <v>0</v>
      </c>
      <c r="AA29" s="17">
        <f ca="1">VLOOKUP($L29,OFFSET([3]enemies!$A$1,0,0,COUNTA([3]enemies!$A:$A),MATCH(AA$1,[3]enemies!$1:$1,0)-MATCH($L$1,[3]enemies!$1:$1,0)+1),MATCH(AA$1,[3]enemies!$1:$1,0)-MATCH($L$1,[3]enemies!$1:$1,0)+1,FALSE)</f>
        <v>1</v>
      </c>
      <c r="AB29" s="20">
        <v>337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7">
        <v>1</v>
      </c>
      <c r="AG29" s="24">
        <f t="shared" ca="1" si="69"/>
        <v>4</v>
      </c>
      <c r="AH29" s="8">
        <v>100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7">
        <v>1</v>
      </c>
    </row>
    <row r="30" spans="1:40" ht="21" customHeight="1">
      <c r="A30" s="16" t="str">
        <f t="shared" ca="1" si="65"/>
        <v>11215_1-3/340&lt;lv2&gt;s1</v>
      </c>
      <c r="B30" s="22">
        <v>11215</v>
      </c>
      <c r="C30" s="21">
        <v>1</v>
      </c>
      <c r="D30" s="2" t="str">
        <f t="shared" si="66"/>
        <v>11215_1</v>
      </c>
      <c r="E30" s="4" t="str">
        <f ca="1">VLOOKUP($B30,OFFSET([2]quests!$A$1,0,0,COUNTA([2]quests!$A:$A),MATCH(E$1,[2]quests!$1:$1,0)-MATCH($B$1,[2]quests!$1:$1,0)+1),MATCH(E$1,[2]quests!$1:$1,0)-MATCH($B$1,[2]quests!$1:$1,0)+1,FALSE)</f>
        <v>【マルチ】サンタダックを捕獲せよ！</v>
      </c>
      <c r="F30" s="4" t="str">
        <f ca="1">VLOOKUP($D30,OFFSET([2]stages!$A$1,0,0,COUNTA([2]stages!$A:$A),MATCH(F$1,[2]stages!$2:$2,0)-MATCH($D$1,[2]stages!$2:$2,0)+1),MATCH(F$1,[2]stages!$2:$2,0)-MATCH($D$1,[2]stages!$2:$2,0)+1,FALSE)</f>
        <v>【上級】サンタダックを捕獲せよ！</v>
      </c>
      <c r="G30" s="21">
        <v>3</v>
      </c>
      <c r="H30" s="15" t="str">
        <f t="shared" si="67"/>
        <v>11215_1-3</v>
      </c>
      <c r="I30" s="4">
        <f ca="1">VLOOKUP($H30,OFFSET(floors!$A$1,0,0,COUNTA(floors!$A:$A),MATCH(I$1,floors!$1:$1,0)-MATCH($H$1,floors!$1:$1,0)+1),MATCH(I$1,floors!$1:$1,0)-MATCH($H$1,floors!$1:$1,0)+1,FALSE)</f>
        <v>15</v>
      </c>
      <c r="J30" s="4">
        <f ca="1">VLOOKUP($H30,OFFSET(floors!$A$1,0,0,COUNTA(floors!$A:$A),MATCH(J$1,floors!$1:$1,0)-MATCH($H$1,floors!$1:$1,0)+1),MATCH(J$1,floors!$1:$1,0)-MATCH($H$1,floors!$1:$1,0)+1,FALSE)</f>
        <v>15</v>
      </c>
      <c r="K30" s="38">
        <v>3</v>
      </c>
      <c r="L30" s="20">
        <v>340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水のメタルピヨピヨ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2</v>
      </c>
      <c r="S30" s="25">
        <v>1</v>
      </c>
      <c r="T30" s="25">
        <v>35</v>
      </c>
      <c r="U30" s="5">
        <v>-2000</v>
      </c>
      <c r="V30" s="4" t="e">
        <f ca="1">VLOOKUP($W30,OFFSET(enemy_skill_sets!$B$1,0,0,COUNTA(enemy_skill_sets!$B:$B),MATCH(M$1,enemy_skill_sets!$1:$1,0)-MATCH($W$1,enemy_skill_sets!$1:$1,0)+2),MATCH(M$1,enemy_skill_sets!$1:$1,0)-MATCH($W$1,enemy_skill_sets!$1:$1,0)+2,FALSE)</f>
        <v>#N/A</v>
      </c>
      <c r="W30" s="71">
        <v>0</v>
      </c>
      <c r="X30" s="6">
        <v>0</v>
      </c>
      <c r="Y30" s="6">
        <v>100</v>
      </c>
      <c r="Z30" s="6">
        <v>0</v>
      </c>
      <c r="AA30" s="17">
        <f ca="1">VLOOKUP($L30,OFFSET([3]enemies!$A$1,0,0,COUNTA([3]enemies!$A:$A),MATCH(AA$1,[3]enemies!$1:$1,0)-MATCH($L$1,[3]enemies!$1:$1,0)+1),MATCH(AA$1,[3]enemies!$1:$1,0)-MATCH($L$1,[3]enemies!$1:$1,0)+1,FALSE)</f>
        <v>1</v>
      </c>
      <c r="AB30" s="20">
        <v>341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4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7">
        <v>1</v>
      </c>
      <c r="AG30" s="24">
        <f t="shared" ca="1" si="69"/>
        <v>4</v>
      </c>
      <c r="AH30" s="8">
        <v>100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7">
        <v>1</v>
      </c>
    </row>
    <row r="31" spans="1:40" ht="21" customHeight="1">
      <c r="A31" s="16" t="str">
        <f t="shared" ref="A31:A34" ca="1" si="75">B31&amp;"_"&amp;C31&amp;"-"&amp;G31&amp;"/"&amp;L31&amp;"&lt;lv"&amp;R31&amp;"&gt;s"&amp;AA31</f>
        <v>11215_1-3/344&lt;lv2&gt;s1</v>
      </c>
      <c r="B31" s="22">
        <v>11215</v>
      </c>
      <c r="C31" s="21">
        <v>1</v>
      </c>
      <c r="D31" s="2" t="str">
        <f t="shared" ref="D31:D34" si="76">B31&amp;"_"&amp;C31</f>
        <v>11215_1</v>
      </c>
      <c r="E31" s="4" t="str">
        <f ca="1">VLOOKUP($B31,OFFSET([2]quests!$A$1,0,0,COUNTA([2]quests!$A:$A),MATCH(E$1,[2]quests!$1:$1,0)-MATCH($B$1,[2]quests!$1:$1,0)+1),MATCH(E$1,[2]quests!$1:$1,0)-MATCH($B$1,[2]quests!$1:$1,0)+1,FALSE)</f>
        <v>【マルチ】サンタダックを捕獲せよ！</v>
      </c>
      <c r="F31" s="4" t="str">
        <f ca="1">VLOOKUP($D31,OFFSET([2]stages!$A$1,0,0,COUNTA([2]stages!$A:$A),MATCH(F$1,[2]stages!$2:$2,0)-MATCH($D$1,[2]stages!$2:$2,0)+1),MATCH(F$1,[2]stages!$2:$2,0)-MATCH($D$1,[2]stages!$2:$2,0)+1,FALSE)</f>
        <v>【上級】サンタダックを捕獲せよ！</v>
      </c>
      <c r="G31" s="21">
        <v>3</v>
      </c>
      <c r="H31" s="15" t="str">
        <f t="shared" ref="H31:H34" si="77">B31&amp;"_"&amp;C31&amp;"-"&amp;G31</f>
        <v>11215_1-3</v>
      </c>
      <c r="I31" s="4">
        <f ca="1">VLOOKUP($H31,OFFSET(floors!$A$1,0,0,COUNTA(floors!$A:$A),MATCH(I$1,floors!$1:$1,0)-MATCH($H$1,floors!$1:$1,0)+1),MATCH(I$1,floors!$1:$1,0)-MATCH($H$1,floors!$1:$1,0)+1,FALSE)</f>
        <v>15</v>
      </c>
      <c r="J31" s="4">
        <f ca="1">VLOOKUP($H31,OFFSET(floors!$A$1,0,0,COUNTA(floors!$A:$A),MATCH(J$1,floors!$1:$1,0)-MATCH($H$1,floors!$1:$1,0)+1),MATCH(J$1,floors!$1:$1,0)-MATCH($H$1,floors!$1:$1,0)+1,FALSE)</f>
        <v>15</v>
      </c>
      <c r="K31" s="38">
        <v>4</v>
      </c>
      <c r="L31" s="20">
        <v>344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雷のメタルピヨピヨ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2</v>
      </c>
      <c r="S31" s="25">
        <v>1</v>
      </c>
      <c r="T31" s="25">
        <v>35</v>
      </c>
      <c r="U31" s="5">
        <v>-2000</v>
      </c>
      <c r="V31" s="4" t="e">
        <f ca="1">VLOOKUP($W31,OFFSET(enemy_skill_sets!$B$1,0,0,COUNTA(enemy_skill_sets!$B:$B),MATCH(M$1,enemy_skill_sets!$1:$1,0)-MATCH($W$1,enemy_skill_sets!$1:$1,0)+2),MATCH(M$1,enemy_skill_sets!$1:$1,0)-MATCH($W$1,enemy_skill_sets!$1:$1,0)+2,FALSE)</f>
        <v>#N/A</v>
      </c>
      <c r="W31" s="71">
        <v>0</v>
      </c>
      <c r="X31" s="6">
        <v>0</v>
      </c>
      <c r="Y31" s="6">
        <v>100</v>
      </c>
      <c r="Z31" s="6">
        <v>0</v>
      </c>
      <c r="AA31" s="17">
        <f ca="1">VLOOKUP($L31,OFFSET([3]enemies!$A$1,0,0,COUNTA([3]enemies!$A:$A),MATCH(AA$1,[3]enemies!$1:$1,0)-MATCH($L$1,[3]enemies!$1:$1,0)+1),MATCH(AA$1,[3]enemies!$1:$1,0)-MATCH($L$1,[3]enemies!$1:$1,0)+1,FALSE)</f>
        <v>1</v>
      </c>
      <c r="AB31" s="20">
        <v>345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7">
        <v>1</v>
      </c>
      <c r="AG31" s="24">
        <f t="shared" ref="AG31:AG34" ca="1" si="78">AD31</f>
        <v>4</v>
      </c>
      <c r="AH31" s="8">
        <v>100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7">
        <v>1</v>
      </c>
    </row>
    <row r="32" spans="1:40" ht="21" customHeight="1">
      <c r="A32" s="16" t="str">
        <f t="shared" ca="1" si="75"/>
        <v>11215_1-3/332&lt;lv3&gt;s1</v>
      </c>
      <c r="B32" s="22">
        <v>11215</v>
      </c>
      <c r="C32" s="21">
        <v>1</v>
      </c>
      <c r="D32" s="2" t="str">
        <f t="shared" si="76"/>
        <v>11215_1</v>
      </c>
      <c r="E32" s="4" t="str">
        <f ca="1">VLOOKUP($B32,OFFSET([2]quests!$A$1,0,0,COUNTA([2]quests!$A:$A),MATCH(E$1,[2]quests!$1:$1,0)-MATCH($B$1,[2]quests!$1:$1,0)+1),MATCH(E$1,[2]quests!$1:$1,0)-MATCH($B$1,[2]quests!$1:$1,0)+1,FALSE)</f>
        <v>【マルチ】サンタダックを捕獲せよ！</v>
      </c>
      <c r="F32" s="4" t="str">
        <f ca="1">VLOOKUP($D32,OFFSET([2]stages!$A$1,0,0,COUNTA([2]stages!$A:$A),MATCH(F$1,[2]stages!$2:$2,0)-MATCH($D$1,[2]stages!$2:$2,0)+1),MATCH(F$1,[2]stages!$2:$2,0)-MATCH($D$1,[2]stages!$2:$2,0)+1,FALSE)</f>
        <v>【上級】サンタダックを捕獲せよ！</v>
      </c>
      <c r="G32" s="21">
        <v>3</v>
      </c>
      <c r="H32" s="15" t="str">
        <f t="shared" si="77"/>
        <v>11215_1-3</v>
      </c>
      <c r="I32" s="4">
        <f ca="1">VLOOKUP($H32,OFFSET(floors!$A$1,0,0,COUNTA(floors!$A:$A),MATCH(I$1,floors!$1:$1,0)-MATCH($H$1,floors!$1:$1,0)+1),MATCH(I$1,floors!$1:$1,0)-MATCH($H$1,floors!$1:$1,0)+1,FALSE)</f>
        <v>15</v>
      </c>
      <c r="J32" s="4">
        <f ca="1">VLOOKUP($H32,OFFSET(floors!$A$1,0,0,COUNTA(floors!$A:$A),MATCH(J$1,floors!$1:$1,0)-MATCH($H$1,floors!$1:$1,0)+1),MATCH(J$1,floors!$1:$1,0)-MATCH($H$1,floors!$1:$1,0)+1,FALSE)</f>
        <v>15</v>
      </c>
      <c r="K32" s="38">
        <v>5</v>
      </c>
      <c r="L32" s="20">
        <v>332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炎のメタルピヨピヨ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red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74">
        <v>3</v>
      </c>
      <c r="S32" s="25">
        <v>1</v>
      </c>
      <c r="T32" s="25">
        <v>35</v>
      </c>
      <c r="U32" s="5">
        <v>-2000</v>
      </c>
      <c r="V32" s="4" t="e">
        <f ca="1">VLOOKUP($W32,OFFSET(enemy_skill_sets!$B$1,0,0,COUNTA(enemy_skill_sets!$B:$B),MATCH(M$1,enemy_skill_sets!$1:$1,0)-MATCH($W$1,enemy_skill_sets!$1:$1,0)+2),MATCH(M$1,enemy_skill_sets!$1:$1,0)-MATCH($W$1,enemy_skill_sets!$1:$1,0)+2,FALSE)</f>
        <v>#N/A</v>
      </c>
      <c r="W32" s="71">
        <v>0</v>
      </c>
      <c r="X32" s="6">
        <v>0</v>
      </c>
      <c r="Y32" s="6">
        <v>50</v>
      </c>
      <c r="Z32" s="6">
        <v>0</v>
      </c>
      <c r="AA32" s="17">
        <f ca="1">VLOOKUP($L32,OFFSET([3]enemies!$A$1,0,0,COUNTA([3]enemies!$A:$A),MATCH(AA$1,[3]enemies!$1:$1,0)-MATCH($L$1,[3]enemies!$1:$1,0)+1),MATCH(AA$1,[3]enemies!$1:$1,0)-MATCH($L$1,[3]enemies!$1:$1,0)+1,FALSE)</f>
        <v>1</v>
      </c>
      <c r="AB32" s="21">
        <v>520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5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7">
        <v>1</v>
      </c>
      <c r="AG32" s="24">
        <f t="shared" ca="1" si="78"/>
        <v>5</v>
      </c>
      <c r="AH32" s="8">
        <v>100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7">
        <v>1</v>
      </c>
    </row>
    <row r="33" spans="1:40" ht="21" customHeight="1">
      <c r="A33" s="16" t="str">
        <f t="shared" ca="1" si="75"/>
        <v>11215_1-3/336&lt;lv3&gt;s1</v>
      </c>
      <c r="B33" s="22">
        <v>11215</v>
      </c>
      <c r="C33" s="21">
        <v>1</v>
      </c>
      <c r="D33" s="2" t="str">
        <f t="shared" si="76"/>
        <v>11215_1</v>
      </c>
      <c r="E33" s="4" t="str">
        <f ca="1">VLOOKUP($B33,OFFSET([2]quests!$A$1,0,0,COUNTA([2]quests!$A:$A),MATCH(E$1,[2]quests!$1:$1,0)-MATCH($B$1,[2]quests!$1:$1,0)+1),MATCH(E$1,[2]quests!$1:$1,0)-MATCH($B$1,[2]quests!$1:$1,0)+1,FALSE)</f>
        <v>【マルチ】サンタダックを捕獲せよ！</v>
      </c>
      <c r="F33" s="4" t="str">
        <f ca="1">VLOOKUP($D33,OFFSET([2]stages!$A$1,0,0,COUNTA([2]stages!$A:$A),MATCH(F$1,[2]stages!$2:$2,0)-MATCH($D$1,[2]stages!$2:$2,0)+1),MATCH(F$1,[2]stages!$2:$2,0)-MATCH($D$1,[2]stages!$2:$2,0)+1,FALSE)</f>
        <v>【上級】サンタダックを捕獲せよ！</v>
      </c>
      <c r="G33" s="21">
        <v>3</v>
      </c>
      <c r="H33" s="15" t="str">
        <f t="shared" si="77"/>
        <v>11215_1-3</v>
      </c>
      <c r="I33" s="4">
        <f ca="1">VLOOKUP($H33,OFFSET(floors!$A$1,0,0,COUNTA(floors!$A:$A),MATCH(I$1,floors!$1:$1,0)-MATCH($H$1,floors!$1:$1,0)+1),MATCH(I$1,floors!$1:$1,0)-MATCH($H$1,floors!$1:$1,0)+1,FALSE)</f>
        <v>15</v>
      </c>
      <c r="J33" s="4">
        <f ca="1">VLOOKUP($H33,OFFSET(floors!$A$1,0,0,COUNTA(floors!$A:$A),MATCH(J$1,floors!$1:$1,0)-MATCH($H$1,floors!$1:$1,0)+1),MATCH(J$1,floors!$1:$1,0)-MATCH($H$1,floors!$1:$1,0)+1,FALSE)</f>
        <v>15</v>
      </c>
      <c r="K33" s="38">
        <v>6</v>
      </c>
      <c r="L33" s="20">
        <v>336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森のメタルピヨピヨ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green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74">
        <v>3</v>
      </c>
      <c r="S33" s="25">
        <v>1</v>
      </c>
      <c r="T33" s="25">
        <v>35</v>
      </c>
      <c r="U33" s="5">
        <v>-2000</v>
      </c>
      <c r="V33" s="4" t="e">
        <f ca="1">VLOOKUP($W33,OFFSET(enemy_skill_sets!$B$1,0,0,COUNTA(enemy_skill_sets!$B:$B),MATCH(M$1,enemy_skill_sets!$1:$1,0)-MATCH($W$1,enemy_skill_sets!$1:$1,0)+2),MATCH(M$1,enemy_skill_sets!$1:$1,0)-MATCH($W$1,enemy_skill_sets!$1:$1,0)+2,FALSE)</f>
        <v>#N/A</v>
      </c>
      <c r="W33" s="71">
        <v>0</v>
      </c>
      <c r="X33" s="6">
        <v>0</v>
      </c>
      <c r="Y33" s="6">
        <v>50</v>
      </c>
      <c r="Z33" s="6">
        <v>0</v>
      </c>
      <c r="AA33" s="17">
        <f ca="1">VLOOKUP($L33,OFFSET([3]enemies!$A$1,0,0,COUNTA([3]enemies!$A:$A),MATCH(AA$1,[3]enemies!$1:$1,0)-MATCH($L$1,[3]enemies!$1:$1,0)+1),MATCH(AA$1,[3]enemies!$1:$1,0)-MATCH($L$1,[3]enemies!$1:$1,0)+1,FALSE)</f>
        <v>1</v>
      </c>
      <c r="AB33" s="21">
        <v>521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5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7">
        <v>1</v>
      </c>
      <c r="AG33" s="24">
        <f t="shared" ca="1" si="78"/>
        <v>5</v>
      </c>
      <c r="AH33" s="8">
        <v>100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7">
        <v>1</v>
      </c>
    </row>
    <row r="34" spans="1:40" ht="21" customHeight="1">
      <c r="A34" s="16" t="str">
        <f t="shared" ca="1" si="75"/>
        <v>11215_1-3/340&lt;lv3&gt;s1</v>
      </c>
      <c r="B34" s="22">
        <v>11215</v>
      </c>
      <c r="C34" s="21">
        <v>1</v>
      </c>
      <c r="D34" s="2" t="str">
        <f t="shared" si="76"/>
        <v>11215_1</v>
      </c>
      <c r="E34" s="4" t="str">
        <f ca="1">VLOOKUP($B34,OFFSET([2]quests!$A$1,0,0,COUNTA([2]quests!$A:$A),MATCH(E$1,[2]quests!$1:$1,0)-MATCH($B$1,[2]quests!$1:$1,0)+1),MATCH(E$1,[2]quests!$1:$1,0)-MATCH($B$1,[2]quests!$1:$1,0)+1,FALSE)</f>
        <v>【マルチ】サンタダックを捕獲せよ！</v>
      </c>
      <c r="F34" s="4" t="str">
        <f ca="1">VLOOKUP($D34,OFFSET([2]stages!$A$1,0,0,COUNTA([2]stages!$A:$A),MATCH(F$1,[2]stages!$2:$2,0)-MATCH($D$1,[2]stages!$2:$2,0)+1),MATCH(F$1,[2]stages!$2:$2,0)-MATCH($D$1,[2]stages!$2:$2,0)+1,FALSE)</f>
        <v>【上級】サンタダックを捕獲せよ！</v>
      </c>
      <c r="G34" s="21">
        <v>3</v>
      </c>
      <c r="H34" s="15" t="str">
        <f t="shared" si="77"/>
        <v>11215_1-3</v>
      </c>
      <c r="I34" s="4">
        <f ca="1">VLOOKUP($H34,OFFSET(floors!$A$1,0,0,COUNTA(floors!$A:$A),MATCH(I$1,floors!$1:$1,0)-MATCH($H$1,floors!$1:$1,0)+1),MATCH(I$1,floors!$1:$1,0)-MATCH($H$1,floors!$1:$1,0)+1,FALSE)</f>
        <v>15</v>
      </c>
      <c r="J34" s="4">
        <f ca="1">VLOOKUP($H34,OFFSET(floors!$A$1,0,0,COUNTA(floors!$A:$A),MATCH(J$1,floors!$1:$1,0)-MATCH($H$1,floors!$1:$1,0)+1),MATCH(J$1,floors!$1:$1,0)-MATCH($H$1,floors!$1:$1,0)+1,FALSE)</f>
        <v>15</v>
      </c>
      <c r="K34" s="38">
        <v>7</v>
      </c>
      <c r="L34" s="20">
        <v>340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水のメタルピヨピヨ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74">
        <v>3</v>
      </c>
      <c r="S34" s="25">
        <v>1</v>
      </c>
      <c r="T34" s="25">
        <v>35</v>
      </c>
      <c r="U34" s="5">
        <v>-2000</v>
      </c>
      <c r="V34" s="4" t="e">
        <f ca="1">VLOOKUP($W34,OFFSET(enemy_skill_sets!$B$1,0,0,COUNTA(enemy_skill_sets!$B:$B),MATCH(M$1,enemy_skill_sets!$1:$1,0)-MATCH($W$1,enemy_skill_sets!$1:$1,0)+2),MATCH(M$1,enemy_skill_sets!$1:$1,0)-MATCH($W$1,enemy_skill_sets!$1:$1,0)+2,FALSE)</f>
        <v>#N/A</v>
      </c>
      <c r="W34" s="71">
        <v>0</v>
      </c>
      <c r="X34" s="6">
        <v>0</v>
      </c>
      <c r="Y34" s="6">
        <v>50</v>
      </c>
      <c r="Z34" s="6">
        <v>0</v>
      </c>
      <c r="AA34" s="17">
        <f ca="1">VLOOKUP($L34,OFFSET([3]enemies!$A$1,0,0,COUNTA([3]enemies!$A:$A),MATCH(AA$1,[3]enemies!$1:$1,0)-MATCH($L$1,[3]enemies!$1:$1,0)+1),MATCH(AA$1,[3]enemies!$1:$1,0)-MATCH($L$1,[3]enemies!$1:$1,0)+1,FALSE)</f>
        <v>1</v>
      </c>
      <c r="AB34" s="21">
        <v>522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5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4" s="7">
        <v>1</v>
      </c>
      <c r="AG34" s="24">
        <f t="shared" ca="1" si="78"/>
        <v>5</v>
      </c>
      <c r="AH34" s="8">
        <v>100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7">
        <v>1</v>
      </c>
    </row>
    <row r="35" spans="1:40" ht="21" customHeight="1">
      <c r="A35" s="16" t="str">
        <f t="shared" ref="A35:A40" ca="1" si="79">B35&amp;"_"&amp;C35&amp;"-"&amp;G35&amp;"/"&amp;L35&amp;"&lt;lv"&amp;R35&amp;"&gt;s"&amp;AA35</f>
        <v>11215_1-3/344&lt;lv3&gt;s1</v>
      </c>
      <c r="B35" s="22">
        <v>11215</v>
      </c>
      <c r="C35" s="21">
        <v>1</v>
      </c>
      <c r="D35" s="2" t="str">
        <f t="shared" ref="D35:D40" si="80">B35&amp;"_"&amp;C35</f>
        <v>11215_1</v>
      </c>
      <c r="E35" s="4" t="str">
        <f ca="1">VLOOKUP($B35,OFFSET([2]quests!$A$1,0,0,COUNTA([2]quests!$A:$A),MATCH(E$1,[2]quests!$1:$1,0)-MATCH($B$1,[2]quests!$1:$1,0)+1),MATCH(E$1,[2]quests!$1:$1,0)-MATCH($B$1,[2]quests!$1:$1,0)+1,FALSE)</f>
        <v>【マルチ】サンタダックを捕獲せよ！</v>
      </c>
      <c r="F35" s="4" t="str">
        <f ca="1">VLOOKUP($D35,OFFSET([2]stages!$A$1,0,0,COUNTA([2]stages!$A:$A),MATCH(F$1,[2]stages!$2:$2,0)-MATCH($D$1,[2]stages!$2:$2,0)+1),MATCH(F$1,[2]stages!$2:$2,0)-MATCH($D$1,[2]stages!$2:$2,0)+1,FALSE)</f>
        <v>【上級】サンタダックを捕獲せよ！</v>
      </c>
      <c r="G35" s="21">
        <v>3</v>
      </c>
      <c r="H35" s="15" t="str">
        <f t="shared" ref="H35:H40" si="81">B35&amp;"_"&amp;C35&amp;"-"&amp;G35</f>
        <v>11215_1-3</v>
      </c>
      <c r="I35" s="4">
        <f ca="1">VLOOKUP($H35,OFFSET(floors!$A$1,0,0,COUNTA(floors!$A:$A),MATCH(I$1,floors!$1:$1,0)-MATCH($H$1,floors!$1:$1,0)+1),MATCH(I$1,floors!$1:$1,0)-MATCH($H$1,floors!$1:$1,0)+1,FALSE)</f>
        <v>15</v>
      </c>
      <c r="J35" s="4">
        <f ca="1">VLOOKUP($H35,OFFSET(floors!$A$1,0,0,COUNTA(floors!$A:$A),MATCH(J$1,floors!$1:$1,0)-MATCH($H$1,floors!$1:$1,0)+1),MATCH(J$1,floors!$1:$1,0)-MATCH($H$1,floors!$1:$1,0)+1,FALSE)</f>
        <v>15</v>
      </c>
      <c r="K35" s="38">
        <v>8</v>
      </c>
      <c r="L35" s="20">
        <v>344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雷のメタルピヨピヨ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yellow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74">
        <v>3</v>
      </c>
      <c r="S35" s="25">
        <v>1</v>
      </c>
      <c r="T35" s="25">
        <v>35</v>
      </c>
      <c r="U35" s="5">
        <v>-2000</v>
      </c>
      <c r="V35" s="4" t="e">
        <f ca="1">VLOOKUP($W35,OFFSET(enemy_skill_sets!$B$1,0,0,COUNTA(enemy_skill_sets!$B:$B),MATCH(M$1,enemy_skill_sets!$1:$1,0)-MATCH($W$1,enemy_skill_sets!$1:$1,0)+2),MATCH(M$1,enemy_skill_sets!$1:$1,0)-MATCH($W$1,enemy_skill_sets!$1:$1,0)+2,FALSE)</f>
        <v>#N/A</v>
      </c>
      <c r="W35" s="71">
        <v>0</v>
      </c>
      <c r="X35" s="6">
        <v>0</v>
      </c>
      <c r="Y35" s="6">
        <v>50</v>
      </c>
      <c r="Z35" s="6">
        <v>0</v>
      </c>
      <c r="AA35" s="17">
        <f ca="1">VLOOKUP($L35,OFFSET([3]enemies!$A$1,0,0,COUNTA([3]enemies!$A:$A),MATCH(AA$1,[3]enemies!$1:$1,0)-MATCH($L$1,[3]enemies!$1:$1,0)+1),MATCH(AA$1,[3]enemies!$1:$1,0)-MATCH($L$1,[3]enemies!$1:$1,0)+1,FALSE)</f>
        <v>1</v>
      </c>
      <c r="AB35" s="21">
        <v>523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5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7">
        <v>1</v>
      </c>
      <c r="AG35" s="24">
        <f t="shared" ref="AG35:AG40" ca="1" si="82">AD35</f>
        <v>5</v>
      </c>
      <c r="AH35" s="8">
        <v>100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7">
        <v>1</v>
      </c>
    </row>
    <row r="36" spans="1:40" ht="21" customHeight="1">
      <c r="A36" s="16" t="str">
        <f t="shared" ca="1" si="79"/>
        <v>11215_1-4/118&lt;lv3&gt;s2</v>
      </c>
      <c r="B36" s="22">
        <v>11215</v>
      </c>
      <c r="C36" s="21">
        <v>1</v>
      </c>
      <c r="D36" s="2" t="str">
        <f t="shared" si="80"/>
        <v>11215_1</v>
      </c>
      <c r="E36" s="4" t="str">
        <f ca="1">VLOOKUP($B36,OFFSET([2]quests!$A$1,0,0,COUNTA([2]quests!$A:$A),MATCH(E$1,[2]quests!$1:$1,0)-MATCH($B$1,[2]quests!$1:$1,0)+1),MATCH(E$1,[2]quests!$1:$1,0)-MATCH($B$1,[2]quests!$1:$1,0)+1,FALSE)</f>
        <v>【マルチ】サンタダックを捕獲せよ！</v>
      </c>
      <c r="F36" s="4" t="str">
        <f ca="1">VLOOKUP($D36,OFFSET([2]stages!$A$1,0,0,COUNTA([2]stages!$A:$A),MATCH(F$1,[2]stages!$2:$2,0)-MATCH($D$1,[2]stages!$2:$2,0)+1),MATCH(F$1,[2]stages!$2:$2,0)-MATCH($D$1,[2]stages!$2:$2,0)+1,FALSE)</f>
        <v>【上級】サンタダックを捕獲せよ！</v>
      </c>
      <c r="G36" s="21">
        <v>4</v>
      </c>
      <c r="H36" s="15" t="str">
        <f t="shared" si="81"/>
        <v>11215_1-4</v>
      </c>
      <c r="I36" s="4">
        <f ca="1">VLOOKUP($H36,OFFSET(floors!$A$1,0,0,COUNTA(floors!$A:$A),MATCH(I$1,floors!$1:$1,0)-MATCH($H$1,floors!$1:$1,0)+1),MATCH(I$1,floors!$1:$1,0)-MATCH($H$1,floors!$1:$1,0)+1,FALSE)</f>
        <v>55</v>
      </c>
      <c r="J36" s="4">
        <f ca="1">VLOOKUP($H36,OFFSET(floors!$A$1,0,0,COUNTA(floors!$A:$A),MATCH(J$1,floors!$1:$1,0)-MATCH($H$1,floors!$1:$1,0)+1),MATCH(J$1,floors!$1:$1,0)-MATCH($H$1,floors!$1:$1,0)+1,FALSE)</f>
        <v>55</v>
      </c>
      <c r="K36" s="38" t="s">
        <v>53</v>
      </c>
      <c r="L36" s="20">
        <v>118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ゴールドチック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17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3</v>
      </c>
      <c r="S36" s="25">
        <v>28.8</v>
      </c>
      <c r="T36" s="25">
        <v>38.5</v>
      </c>
      <c r="U36" s="5">
        <v>0</v>
      </c>
      <c r="V36" s="4" t="e">
        <f ca="1">VLOOKUP($W36,OFFSET(enemy_skill_sets!$B$1,0,0,COUNTA(enemy_skill_sets!$B:$B),MATCH(M$1,enemy_skill_sets!$1:$1,0)-MATCH($W$1,enemy_skill_sets!$1:$1,0)+2),MATCH(M$1,enemy_skill_sets!$1:$1,0)-MATCH($W$1,enemy_skill_sets!$1:$1,0)+2,FALSE)</f>
        <v>#N/A</v>
      </c>
      <c r="W36" s="71">
        <v>0</v>
      </c>
      <c r="X36" s="6">
        <v>0</v>
      </c>
      <c r="Y36" s="6">
        <v>100</v>
      </c>
      <c r="Z36" s="6">
        <v>0</v>
      </c>
      <c r="AA36" s="17">
        <f ca="1">VLOOKUP($L36,OFFSET([3]enemies!$A$1,0,0,COUNTA([3]enemies!$A:$A),MATCH(AA$1,[3]enemies!$1:$1,0)-MATCH($L$1,[3]enemies!$1:$1,0)+1),MATCH(AA$1,[3]enemies!$1:$1,0)-MATCH($L$1,[3]enemies!$1:$1,0)+1,FALSE)</f>
        <v>2</v>
      </c>
      <c r="AB36" s="24">
        <f t="shared" ref="AB36:AB40" si="83">L36</f>
        <v>118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ゴールドチック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4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7">
        <v>1</v>
      </c>
      <c r="AG36" s="24">
        <f t="shared" ca="1" si="82"/>
        <v>4</v>
      </c>
      <c r="AH36" s="8">
        <v>100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7">
        <v>1</v>
      </c>
    </row>
    <row r="37" spans="1:40" ht="21" customHeight="1">
      <c r="A37" s="16" t="str">
        <f t="shared" ca="1" si="79"/>
        <v>11215_1-4/333&lt;lv3&gt;s2</v>
      </c>
      <c r="B37" s="22">
        <v>11215</v>
      </c>
      <c r="C37" s="21">
        <v>1</v>
      </c>
      <c r="D37" s="2" t="str">
        <f t="shared" si="80"/>
        <v>11215_1</v>
      </c>
      <c r="E37" s="4" t="str">
        <f ca="1">VLOOKUP($B37,OFFSET([2]quests!$A$1,0,0,COUNTA([2]quests!$A:$A),MATCH(E$1,[2]quests!$1:$1,0)-MATCH($B$1,[2]quests!$1:$1,0)+1),MATCH(E$1,[2]quests!$1:$1,0)-MATCH($B$1,[2]quests!$1:$1,0)+1,FALSE)</f>
        <v>【マルチ】サンタダックを捕獲せよ！</v>
      </c>
      <c r="F37" s="4" t="str">
        <f ca="1">VLOOKUP($D37,OFFSET([2]stages!$A$1,0,0,COUNTA([2]stages!$A:$A),MATCH(F$1,[2]stages!$2:$2,0)-MATCH($D$1,[2]stages!$2:$2,0)+1),MATCH(F$1,[2]stages!$2:$2,0)-MATCH($D$1,[2]stages!$2:$2,0)+1,FALSE)</f>
        <v>【上級】サンタダックを捕獲せよ！</v>
      </c>
      <c r="G37" s="21">
        <v>4</v>
      </c>
      <c r="H37" s="15" t="str">
        <f t="shared" si="81"/>
        <v>11215_1-4</v>
      </c>
      <c r="I37" s="4">
        <f ca="1">VLOOKUP($H37,OFFSET(floors!$A$1,0,0,COUNTA(floors!$A:$A),MATCH(I$1,floors!$1:$1,0)-MATCH($H$1,floors!$1:$1,0)+1),MATCH(I$1,floors!$1:$1,0)-MATCH($H$1,floors!$1:$1,0)+1,FALSE)</f>
        <v>55</v>
      </c>
      <c r="J37" s="4">
        <f ca="1">VLOOKUP($H37,OFFSET(floors!$A$1,0,0,COUNTA(floors!$A:$A),MATCH(J$1,floors!$1:$1,0)-MATCH($H$1,floors!$1:$1,0)+1),MATCH(J$1,floors!$1:$1,0)-MATCH($H$1,floors!$1:$1,0)+1,FALSE)</f>
        <v>55</v>
      </c>
      <c r="K37" s="38" t="s">
        <v>53</v>
      </c>
      <c r="L37" s="20">
        <v>333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炎のメタルチック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red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7">
        <f ca="1">VLOOKUP($L37,OFFSET([3]enemies!$A$1,0,0,COUNTA([3]enemies!$A:$A),MATCH(Q$1,[3]enemies!$1:$1,0)-MATCH($L$1,[3]enemies!$1:$1,0)+1),MATCH(Q$1,[3]enemies!$1:$1,0)-MATCH($L$1,[3]enemies!$1:$1,0)+1,FALSE)</f>
        <v>15</v>
      </c>
      <c r="R37" s="74">
        <v>3</v>
      </c>
      <c r="S37" s="25">
        <v>1</v>
      </c>
      <c r="T37" s="25">
        <v>35</v>
      </c>
      <c r="U37" s="5">
        <v>-2000</v>
      </c>
      <c r="V37" s="4" t="e">
        <f ca="1">VLOOKUP($W37,OFFSET(enemy_skill_sets!$B$1,0,0,COUNTA(enemy_skill_sets!$B:$B),MATCH(M$1,enemy_skill_sets!$1:$1,0)-MATCH($W$1,enemy_skill_sets!$1:$1,0)+2),MATCH(M$1,enemy_skill_sets!$1:$1,0)-MATCH($W$1,enemy_skill_sets!$1:$1,0)+2,FALSE)</f>
        <v>#N/A</v>
      </c>
      <c r="W37" s="71">
        <v>0</v>
      </c>
      <c r="X37" s="6">
        <v>0</v>
      </c>
      <c r="Y37" s="6">
        <v>100</v>
      </c>
      <c r="Z37" s="6">
        <v>0</v>
      </c>
      <c r="AA37" s="17">
        <f ca="1">VLOOKUP($L37,OFFSET([3]enemies!$A$1,0,0,COUNTA([3]enemies!$A:$A),MATCH(AA$1,[3]enemies!$1:$1,0)-MATCH($L$1,[3]enemies!$1:$1,0)+1),MATCH(AA$1,[3]enemies!$1:$1,0)-MATCH($L$1,[3]enemies!$1:$1,0)+1,FALSE)</f>
        <v>2</v>
      </c>
      <c r="AB37" s="24">
        <f t="shared" si="83"/>
        <v>333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4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7">
        <v>1</v>
      </c>
      <c r="AG37" s="24">
        <f t="shared" ca="1" si="82"/>
        <v>4</v>
      </c>
      <c r="AH37" s="8">
        <v>100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7">
        <v>1</v>
      </c>
    </row>
    <row r="38" spans="1:40" ht="21" customHeight="1">
      <c r="A38" s="16" t="str">
        <f t="shared" ca="1" si="79"/>
        <v>11215_1-4/337&lt;lv3&gt;s2</v>
      </c>
      <c r="B38" s="22">
        <v>11215</v>
      </c>
      <c r="C38" s="21">
        <v>1</v>
      </c>
      <c r="D38" s="2" t="str">
        <f t="shared" si="80"/>
        <v>11215_1</v>
      </c>
      <c r="E38" s="4" t="str">
        <f ca="1">VLOOKUP($B38,OFFSET([2]quests!$A$1,0,0,COUNTA([2]quests!$A:$A),MATCH(E$1,[2]quests!$1:$1,0)-MATCH($B$1,[2]quests!$1:$1,0)+1),MATCH(E$1,[2]quests!$1:$1,0)-MATCH($B$1,[2]quests!$1:$1,0)+1,FALSE)</f>
        <v>【マルチ】サンタダックを捕獲せよ！</v>
      </c>
      <c r="F38" s="4" t="str">
        <f ca="1">VLOOKUP($D38,OFFSET([2]stages!$A$1,0,0,COUNTA([2]stages!$A:$A),MATCH(F$1,[2]stages!$2:$2,0)-MATCH($D$1,[2]stages!$2:$2,0)+1),MATCH(F$1,[2]stages!$2:$2,0)-MATCH($D$1,[2]stages!$2:$2,0)+1,FALSE)</f>
        <v>【上級】サンタダックを捕獲せよ！</v>
      </c>
      <c r="G38" s="21">
        <v>4</v>
      </c>
      <c r="H38" s="15" t="str">
        <f t="shared" si="81"/>
        <v>11215_1-4</v>
      </c>
      <c r="I38" s="4">
        <f ca="1">VLOOKUP($H38,OFFSET(floors!$A$1,0,0,COUNTA(floors!$A:$A),MATCH(I$1,floors!$1:$1,0)-MATCH($H$1,floors!$1:$1,0)+1),MATCH(I$1,floors!$1:$1,0)-MATCH($H$1,floors!$1:$1,0)+1,FALSE)</f>
        <v>55</v>
      </c>
      <c r="J38" s="4">
        <f ca="1">VLOOKUP($H38,OFFSET(floors!$A$1,0,0,COUNTA(floors!$A:$A),MATCH(J$1,floors!$1:$1,0)-MATCH($H$1,floors!$1:$1,0)+1),MATCH(J$1,floors!$1:$1,0)-MATCH($H$1,floors!$1:$1,0)+1,FALSE)</f>
        <v>55</v>
      </c>
      <c r="K38" s="38" t="s">
        <v>53</v>
      </c>
      <c r="L38" s="20">
        <v>337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森のメタルチック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green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7">
        <f ca="1">VLOOKUP($L38,OFFSET([3]enemies!$A$1,0,0,COUNTA([3]enemies!$A:$A),MATCH(Q$1,[3]enemies!$1:$1,0)-MATCH($L$1,[3]enemies!$1:$1,0)+1),MATCH(Q$1,[3]enemies!$1:$1,0)-MATCH($L$1,[3]enemies!$1:$1,0)+1,FALSE)</f>
        <v>15</v>
      </c>
      <c r="R38" s="74">
        <v>3</v>
      </c>
      <c r="S38" s="25">
        <v>1</v>
      </c>
      <c r="T38" s="25">
        <v>35</v>
      </c>
      <c r="U38" s="5">
        <v>-2000</v>
      </c>
      <c r="V38" s="4" t="e">
        <f ca="1">VLOOKUP($W38,OFFSET(enemy_skill_sets!$B$1,0,0,COUNTA(enemy_skill_sets!$B:$B),MATCH(M$1,enemy_skill_sets!$1:$1,0)-MATCH($W$1,enemy_skill_sets!$1:$1,0)+2),MATCH(M$1,enemy_skill_sets!$1:$1,0)-MATCH($W$1,enemy_skill_sets!$1:$1,0)+2,FALSE)</f>
        <v>#N/A</v>
      </c>
      <c r="W38" s="71">
        <v>0</v>
      </c>
      <c r="X38" s="6">
        <v>0</v>
      </c>
      <c r="Y38" s="6">
        <v>100</v>
      </c>
      <c r="Z38" s="6">
        <v>0</v>
      </c>
      <c r="AA38" s="17">
        <f ca="1">VLOOKUP($L38,OFFSET([3]enemies!$A$1,0,0,COUNTA([3]enemies!$A:$A),MATCH(AA$1,[3]enemies!$1:$1,0)-MATCH($L$1,[3]enemies!$1:$1,0)+1),MATCH(AA$1,[3]enemies!$1:$1,0)-MATCH($L$1,[3]enemies!$1:$1,0)+1,FALSE)</f>
        <v>2</v>
      </c>
      <c r="AB38" s="24">
        <f t="shared" si="83"/>
        <v>337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4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7">
        <v>1</v>
      </c>
      <c r="AG38" s="24">
        <f t="shared" ca="1" si="82"/>
        <v>4</v>
      </c>
      <c r="AH38" s="8">
        <v>100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  <c r="AN38" s="67">
        <v>1</v>
      </c>
    </row>
    <row r="39" spans="1:40" ht="21" customHeight="1">
      <c r="A39" s="16" t="str">
        <f t="shared" ca="1" si="79"/>
        <v>11215_1-4/341&lt;lv3&gt;s2</v>
      </c>
      <c r="B39" s="22">
        <v>11215</v>
      </c>
      <c r="C39" s="21">
        <v>1</v>
      </c>
      <c r="D39" s="2" t="str">
        <f t="shared" si="80"/>
        <v>11215_1</v>
      </c>
      <c r="E39" s="4" t="str">
        <f ca="1">VLOOKUP($B39,OFFSET([2]quests!$A$1,0,0,COUNTA([2]quests!$A:$A),MATCH(E$1,[2]quests!$1:$1,0)-MATCH($B$1,[2]quests!$1:$1,0)+1),MATCH(E$1,[2]quests!$1:$1,0)-MATCH($B$1,[2]quests!$1:$1,0)+1,FALSE)</f>
        <v>【マルチ】サンタダックを捕獲せよ！</v>
      </c>
      <c r="F39" s="4" t="str">
        <f ca="1">VLOOKUP($D39,OFFSET([2]stages!$A$1,0,0,COUNTA([2]stages!$A:$A),MATCH(F$1,[2]stages!$2:$2,0)-MATCH($D$1,[2]stages!$2:$2,0)+1),MATCH(F$1,[2]stages!$2:$2,0)-MATCH($D$1,[2]stages!$2:$2,0)+1,FALSE)</f>
        <v>【上級】サンタダックを捕獲せよ！</v>
      </c>
      <c r="G39" s="21">
        <v>4</v>
      </c>
      <c r="H39" s="15" t="str">
        <f t="shared" si="81"/>
        <v>11215_1-4</v>
      </c>
      <c r="I39" s="4">
        <f ca="1">VLOOKUP($H39,OFFSET(floors!$A$1,0,0,COUNTA(floors!$A:$A),MATCH(I$1,floors!$1:$1,0)-MATCH($H$1,floors!$1:$1,0)+1),MATCH(I$1,floors!$1:$1,0)-MATCH($H$1,floors!$1:$1,0)+1,FALSE)</f>
        <v>55</v>
      </c>
      <c r="J39" s="4">
        <f ca="1">VLOOKUP($H39,OFFSET(floors!$A$1,0,0,COUNTA(floors!$A:$A),MATCH(J$1,floors!$1:$1,0)-MATCH($H$1,floors!$1:$1,0)+1),MATCH(J$1,floors!$1:$1,0)-MATCH($H$1,floors!$1:$1,0)+1,FALSE)</f>
        <v>55</v>
      </c>
      <c r="K39" s="38" t="s">
        <v>53</v>
      </c>
      <c r="L39" s="20">
        <v>341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水のメタルチック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">
        <f ca="1">VLOOKUP($L39,OFFSET([3]enemies!$A$1,0,0,COUNTA([3]enemies!$A:$A),MATCH(Q$1,[3]enemies!$1:$1,0)-MATCH($L$1,[3]enemies!$1:$1,0)+1),MATCH(Q$1,[3]enemies!$1:$1,0)-MATCH($L$1,[3]enemies!$1:$1,0)+1,FALSE)</f>
        <v>15</v>
      </c>
      <c r="R39" s="74">
        <v>3</v>
      </c>
      <c r="S39" s="25">
        <v>1</v>
      </c>
      <c r="T39" s="25">
        <v>35</v>
      </c>
      <c r="U39" s="5">
        <v>-2000</v>
      </c>
      <c r="V39" s="4" t="e">
        <f ca="1">VLOOKUP($W39,OFFSET(enemy_skill_sets!$B$1,0,0,COUNTA(enemy_skill_sets!$B:$B),MATCH(M$1,enemy_skill_sets!$1:$1,0)-MATCH($W$1,enemy_skill_sets!$1:$1,0)+2),MATCH(M$1,enemy_skill_sets!$1:$1,0)-MATCH($W$1,enemy_skill_sets!$1:$1,0)+2,FALSE)</f>
        <v>#N/A</v>
      </c>
      <c r="W39" s="71">
        <v>0</v>
      </c>
      <c r="X39" s="6">
        <v>0</v>
      </c>
      <c r="Y39" s="6">
        <v>100</v>
      </c>
      <c r="Z39" s="6">
        <v>0</v>
      </c>
      <c r="AA39" s="17">
        <f ca="1">VLOOKUP($L39,OFFSET([3]enemies!$A$1,0,0,COUNTA([3]enemies!$A:$A),MATCH(AA$1,[3]enemies!$1:$1,0)-MATCH($L$1,[3]enemies!$1:$1,0)+1),MATCH(AA$1,[3]enemies!$1:$1,0)-MATCH($L$1,[3]enemies!$1:$1,0)+1,FALSE)</f>
        <v>2</v>
      </c>
      <c r="AB39" s="24">
        <f t="shared" si="83"/>
        <v>341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4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7">
        <v>1</v>
      </c>
      <c r="AG39" s="24">
        <f t="shared" ca="1" si="82"/>
        <v>4</v>
      </c>
      <c r="AH39" s="8">
        <v>100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  <c r="AN39" s="67">
        <v>1</v>
      </c>
    </row>
    <row r="40" spans="1:40" ht="21" customHeight="1">
      <c r="A40" s="16" t="str">
        <f t="shared" ca="1" si="79"/>
        <v>11215_1-4/345&lt;lv3&gt;s2</v>
      </c>
      <c r="B40" s="22">
        <v>11215</v>
      </c>
      <c r="C40" s="21">
        <v>1</v>
      </c>
      <c r="D40" s="2" t="str">
        <f t="shared" si="80"/>
        <v>11215_1</v>
      </c>
      <c r="E40" s="4" t="str">
        <f ca="1">VLOOKUP($B40,OFFSET([2]quests!$A$1,0,0,COUNTA([2]quests!$A:$A),MATCH(E$1,[2]quests!$1:$1,0)-MATCH($B$1,[2]quests!$1:$1,0)+1),MATCH(E$1,[2]quests!$1:$1,0)-MATCH($B$1,[2]quests!$1:$1,0)+1,FALSE)</f>
        <v>【マルチ】サンタダックを捕獲せよ！</v>
      </c>
      <c r="F40" s="4" t="str">
        <f ca="1">VLOOKUP($D40,OFFSET([2]stages!$A$1,0,0,COUNTA([2]stages!$A:$A),MATCH(F$1,[2]stages!$2:$2,0)-MATCH($D$1,[2]stages!$2:$2,0)+1),MATCH(F$1,[2]stages!$2:$2,0)-MATCH($D$1,[2]stages!$2:$2,0)+1,FALSE)</f>
        <v>【上級】サンタダックを捕獲せよ！</v>
      </c>
      <c r="G40" s="21">
        <v>4</v>
      </c>
      <c r="H40" s="15" t="str">
        <f t="shared" si="81"/>
        <v>11215_1-4</v>
      </c>
      <c r="I40" s="4">
        <f ca="1">VLOOKUP($H40,OFFSET(floors!$A$1,0,0,COUNTA(floors!$A:$A),MATCH(I$1,floors!$1:$1,0)-MATCH($H$1,floors!$1:$1,0)+1),MATCH(I$1,floors!$1:$1,0)-MATCH($H$1,floors!$1:$1,0)+1,FALSE)</f>
        <v>55</v>
      </c>
      <c r="J40" s="4">
        <f ca="1">VLOOKUP($H40,OFFSET(floors!$A$1,0,0,COUNTA(floors!$A:$A),MATCH(J$1,floors!$1:$1,0)-MATCH($H$1,floors!$1:$1,0)+1),MATCH(J$1,floors!$1:$1,0)-MATCH($H$1,floors!$1:$1,0)+1,FALSE)</f>
        <v>55</v>
      </c>
      <c r="K40" s="38" t="s">
        <v>53</v>
      </c>
      <c r="L40" s="20">
        <v>345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雷のメタルチック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yellow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17">
        <f ca="1">VLOOKUP($L40,OFFSET([3]enemies!$A$1,0,0,COUNTA([3]enemies!$A:$A),MATCH(Q$1,[3]enemies!$1:$1,0)-MATCH($L$1,[3]enemies!$1:$1,0)+1),MATCH(Q$1,[3]enemies!$1:$1,0)-MATCH($L$1,[3]enemies!$1:$1,0)+1,FALSE)</f>
        <v>15</v>
      </c>
      <c r="R40" s="74">
        <v>3</v>
      </c>
      <c r="S40" s="25">
        <v>1</v>
      </c>
      <c r="T40" s="25">
        <v>35</v>
      </c>
      <c r="U40" s="5">
        <v>-2000</v>
      </c>
      <c r="V40" s="4" t="e">
        <f ca="1">VLOOKUP($W40,OFFSET(enemy_skill_sets!$B$1,0,0,COUNTA(enemy_skill_sets!$B:$B),MATCH(M$1,enemy_skill_sets!$1:$1,0)-MATCH($W$1,enemy_skill_sets!$1:$1,0)+2),MATCH(M$1,enemy_skill_sets!$1:$1,0)-MATCH($W$1,enemy_skill_sets!$1:$1,0)+2,FALSE)</f>
        <v>#N/A</v>
      </c>
      <c r="W40" s="71">
        <v>0</v>
      </c>
      <c r="X40" s="6">
        <v>0</v>
      </c>
      <c r="Y40" s="6">
        <v>100</v>
      </c>
      <c r="Z40" s="6">
        <v>0</v>
      </c>
      <c r="AA40" s="17">
        <f ca="1">VLOOKUP($L40,OFFSET([3]enemies!$A$1,0,0,COUNTA([3]enemies!$A:$A),MATCH(AA$1,[3]enemies!$1:$1,0)-MATCH($L$1,[3]enemies!$1:$1,0)+1),MATCH(AA$1,[3]enemies!$1:$1,0)-MATCH($L$1,[3]enemies!$1:$1,0)+1,FALSE)</f>
        <v>2</v>
      </c>
      <c r="AB40" s="24">
        <f t="shared" si="83"/>
        <v>345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4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0" s="7">
        <v>1</v>
      </c>
      <c r="AG40" s="24">
        <f t="shared" ca="1" si="82"/>
        <v>4</v>
      </c>
      <c r="AH40" s="8">
        <v>100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  <c r="AN40" s="67">
        <v>1</v>
      </c>
    </row>
    <row r="41" spans="1:40" ht="21" customHeight="1">
      <c r="A41" s="16" t="str">
        <f t="shared" ref="A41:A44" ca="1" si="84">B41&amp;"_"&amp;C41&amp;"-"&amp;G41&amp;"/"&amp;L41&amp;"&lt;lv"&amp;R41&amp;"&gt;s"&amp;AA41</f>
        <v>11215_1-4/334&lt;lv3&gt;s3</v>
      </c>
      <c r="B41" s="22">
        <v>11215</v>
      </c>
      <c r="C41" s="21">
        <v>1</v>
      </c>
      <c r="D41" s="2" t="str">
        <f t="shared" ref="D41:D44" si="85">B41&amp;"_"&amp;C41</f>
        <v>11215_1</v>
      </c>
      <c r="E41" s="4" t="str">
        <f ca="1">VLOOKUP($B41,OFFSET([2]quests!$A$1,0,0,COUNTA([2]quests!$A:$A),MATCH(E$1,[2]quests!$1:$1,0)-MATCH($B$1,[2]quests!$1:$1,0)+1),MATCH(E$1,[2]quests!$1:$1,0)-MATCH($B$1,[2]quests!$1:$1,0)+1,FALSE)</f>
        <v>【マルチ】サンタダックを捕獲せよ！</v>
      </c>
      <c r="F41" s="4" t="str">
        <f ca="1">VLOOKUP($D41,OFFSET([2]stages!$A$1,0,0,COUNTA([2]stages!$A:$A),MATCH(F$1,[2]stages!$2:$2,0)-MATCH($D$1,[2]stages!$2:$2,0)+1),MATCH(F$1,[2]stages!$2:$2,0)-MATCH($D$1,[2]stages!$2:$2,0)+1,FALSE)</f>
        <v>【上級】サンタダックを捕獲せよ！</v>
      </c>
      <c r="G41" s="21">
        <v>4</v>
      </c>
      <c r="H41" s="15" t="str">
        <f t="shared" ref="H41:H44" si="86">B41&amp;"_"&amp;C41&amp;"-"&amp;G41</f>
        <v>11215_1-4</v>
      </c>
      <c r="I41" s="4">
        <f ca="1">VLOOKUP($H41,OFFSET(floors!$A$1,0,0,COUNTA(floors!$A:$A),MATCH(I$1,floors!$1:$1,0)-MATCH($H$1,floors!$1:$1,0)+1),MATCH(I$1,floors!$1:$1,0)-MATCH($H$1,floors!$1:$1,0)+1,FALSE)</f>
        <v>55</v>
      </c>
      <c r="J41" s="4">
        <f ca="1">VLOOKUP($H41,OFFSET(floors!$A$1,0,0,COUNTA(floors!$A:$A),MATCH(J$1,floors!$1:$1,0)-MATCH($H$1,floors!$1:$1,0)+1),MATCH(J$1,floors!$1:$1,0)-MATCH($H$1,floors!$1:$1,0)+1,FALSE)</f>
        <v>55</v>
      </c>
      <c r="K41" s="38" t="s">
        <v>53</v>
      </c>
      <c r="L41" s="20">
        <v>334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炎のメタルダック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red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20</v>
      </c>
      <c r="R41" s="74">
        <v>3</v>
      </c>
      <c r="S41" s="25">
        <v>1</v>
      </c>
      <c r="T41" s="25">
        <v>35</v>
      </c>
      <c r="U41" s="5">
        <v>-9000</v>
      </c>
      <c r="V41" s="4" t="e">
        <f ca="1">VLOOKUP($W41,OFFSET(enemy_skill_sets!$B$1,0,0,COUNTA(enemy_skill_sets!$B:$B),MATCH(M$1,enemy_skill_sets!$1:$1,0)-MATCH($W$1,enemy_skill_sets!$1:$1,0)+2),MATCH(M$1,enemy_skill_sets!$1:$1,0)-MATCH($W$1,enemy_skill_sets!$1:$1,0)+2,FALSE)</f>
        <v>#N/A</v>
      </c>
      <c r="W41" s="71">
        <v>0</v>
      </c>
      <c r="X41" s="6">
        <v>0</v>
      </c>
      <c r="Y41" s="6">
        <v>100</v>
      </c>
      <c r="Z41" s="6">
        <v>1</v>
      </c>
      <c r="AA41" s="17">
        <f ca="1">VLOOKUP($L41,OFFSET([3]enemies!$A$1,0,0,COUNTA([3]enemies!$A:$A),MATCH(AA$1,[3]enemies!$1:$1,0)-MATCH($L$1,[3]enemies!$1:$1,0)+1),MATCH(AA$1,[3]enemies!$1:$1,0)-MATCH($L$1,[3]enemies!$1:$1,0)+1,FALSE)</f>
        <v>3</v>
      </c>
      <c r="AB41" s="24">
        <f t="shared" ref="AB41:AB44" si="87">L41</f>
        <v>334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5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7">
        <v>1</v>
      </c>
      <c r="AG41" s="24">
        <f t="shared" ref="AG41:AG44" ca="1" si="88">AD41</f>
        <v>5</v>
      </c>
      <c r="AH41" s="8">
        <v>77</v>
      </c>
      <c r="AI41" s="7">
        <v>0</v>
      </c>
      <c r="AJ41" s="7">
        <v>0</v>
      </c>
      <c r="AK41" s="7">
        <v>0</v>
      </c>
      <c r="AL41" s="7">
        <v>0</v>
      </c>
      <c r="AM41" s="7">
        <v>1</v>
      </c>
      <c r="AN41" s="67">
        <v>1</v>
      </c>
    </row>
    <row r="42" spans="1:40" ht="21" customHeight="1">
      <c r="A42" s="16" t="str">
        <f t="shared" ca="1" si="84"/>
        <v>11215_1-4/338&lt;lv3&gt;s3</v>
      </c>
      <c r="B42" s="22">
        <v>11215</v>
      </c>
      <c r="C42" s="21">
        <v>1</v>
      </c>
      <c r="D42" s="2" t="str">
        <f t="shared" si="85"/>
        <v>11215_1</v>
      </c>
      <c r="E42" s="4" t="str">
        <f ca="1">VLOOKUP($B42,OFFSET([2]quests!$A$1,0,0,COUNTA([2]quests!$A:$A),MATCH(E$1,[2]quests!$1:$1,0)-MATCH($B$1,[2]quests!$1:$1,0)+1),MATCH(E$1,[2]quests!$1:$1,0)-MATCH($B$1,[2]quests!$1:$1,0)+1,FALSE)</f>
        <v>【マルチ】サンタダックを捕獲せよ！</v>
      </c>
      <c r="F42" s="4" t="str">
        <f ca="1">VLOOKUP($D42,OFFSET([2]stages!$A$1,0,0,COUNTA([2]stages!$A:$A),MATCH(F$1,[2]stages!$2:$2,0)-MATCH($D$1,[2]stages!$2:$2,0)+1),MATCH(F$1,[2]stages!$2:$2,0)-MATCH($D$1,[2]stages!$2:$2,0)+1,FALSE)</f>
        <v>【上級】サンタダックを捕獲せよ！</v>
      </c>
      <c r="G42" s="21">
        <v>4</v>
      </c>
      <c r="H42" s="15" t="str">
        <f t="shared" si="86"/>
        <v>11215_1-4</v>
      </c>
      <c r="I42" s="4">
        <f ca="1">VLOOKUP($H42,OFFSET(floors!$A$1,0,0,COUNTA(floors!$A:$A),MATCH(I$1,floors!$1:$1,0)-MATCH($H$1,floors!$1:$1,0)+1),MATCH(I$1,floors!$1:$1,0)-MATCH($H$1,floors!$1:$1,0)+1,FALSE)</f>
        <v>55</v>
      </c>
      <c r="J42" s="4">
        <f ca="1">VLOOKUP($H42,OFFSET(floors!$A$1,0,0,COUNTA(floors!$A:$A),MATCH(J$1,floors!$1:$1,0)-MATCH($H$1,floors!$1:$1,0)+1),MATCH(J$1,floors!$1:$1,0)-MATCH($H$1,floors!$1:$1,0)+1,FALSE)</f>
        <v>55</v>
      </c>
      <c r="K42" s="38" t="s">
        <v>53</v>
      </c>
      <c r="L42" s="20">
        <v>338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森のメタルダック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green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7">
        <f ca="1">VLOOKUP($L42,OFFSET([3]enemies!$A$1,0,0,COUNTA([3]enemies!$A:$A),MATCH(Q$1,[3]enemies!$1:$1,0)-MATCH($L$1,[3]enemies!$1:$1,0)+1),MATCH(Q$1,[3]enemies!$1:$1,0)-MATCH($L$1,[3]enemies!$1:$1,0)+1,FALSE)</f>
        <v>20</v>
      </c>
      <c r="R42" s="74">
        <v>3</v>
      </c>
      <c r="S42" s="25">
        <v>1</v>
      </c>
      <c r="T42" s="25">
        <v>35</v>
      </c>
      <c r="U42" s="5">
        <v>-9000</v>
      </c>
      <c r="V42" s="4" t="e">
        <f ca="1">VLOOKUP($W42,OFFSET(enemy_skill_sets!$B$1,0,0,COUNTA(enemy_skill_sets!$B:$B),MATCH(M$1,enemy_skill_sets!$1:$1,0)-MATCH($W$1,enemy_skill_sets!$1:$1,0)+2),MATCH(M$1,enemy_skill_sets!$1:$1,0)-MATCH($W$1,enemy_skill_sets!$1:$1,0)+2,FALSE)</f>
        <v>#N/A</v>
      </c>
      <c r="W42" s="71">
        <v>0</v>
      </c>
      <c r="X42" s="6">
        <v>0</v>
      </c>
      <c r="Y42" s="6">
        <v>100</v>
      </c>
      <c r="Z42" s="6">
        <v>1</v>
      </c>
      <c r="AA42" s="17">
        <f ca="1">VLOOKUP($L42,OFFSET([3]enemies!$A$1,0,0,COUNTA([3]enemies!$A:$A),MATCH(AA$1,[3]enemies!$1:$1,0)-MATCH($L$1,[3]enemies!$1:$1,0)+1),MATCH(AA$1,[3]enemies!$1:$1,0)-MATCH($L$1,[3]enemies!$1:$1,0)+1,FALSE)</f>
        <v>3</v>
      </c>
      <c r="AB42" s="24">
        <f t="shared" si="87"/>
        <v>338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5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7">
        <v>1</v>
      </c>
      <c r="AG42" s="24">
        <f t="shared" ca="1" si="88"/>
        <v>5</v>
      </c>
      <c r="AH42" s="8">
        <v>77</v>
      </c>
      <c r="AI42" s="7">
        <v>0</v>
      </c>
      <c r="AJ42" s="7">
        <v>0</v>
      </c>
      <c r="AK42" s="7">
        <v>0</v>
      </c>
      <c r="AL42" s="7">
        <v>0</v>
      </c>
      <c r="AM42" s="7">
        <v>1</v>
      </c>
      <c r="AN42" s="67">
        <v>1</v>
      </c>
    </row>
    <row r="43" spans="1:40" ht="21" customHeight="1">
      <c r="A43" s="16" t="str">
        <f t="shared" ca="1" si="84"/>
        <v>11215_1-4/342&lt;lv3&gt;s3</v>
      </c>
      <c r="B43" s="22">
        <v>11215</v>
      </c>
      <c r="C43" s="21">
        <v>1</v>
      </c>
      <c r="D43" s="2" t="str">
        <f t="shared" si="85"/>
        <v>11215_1</v>
      </c>
      <c r="E43" s="4" t="str">
        <f ca="1">VLOOKUP($B43,OFFSET([2]quests!$A$1,0,0,COUNTA([2]quests!$A:$A),MATCH(E$1,[2]quests!$1:$1,0)-MATCH($B$1,[2]quests!$1:$1,0)+1),MATCH(E$1,[2]quests!$1:$1,0)-MATCH($B$1,[2]quests!$1:$1,0)+1,FALSE)</f>
        <v>【マルチ】サンタダックを捕獲せよ！</v>
      </c>
      <c r="F43" s="4" t="str">
        <f ca="1">VLOOKUP($D43,OFFSET([2]stages!$A$1,0,0,COUNTA([2]stages!$A:$A),MATCH(F$1,[2]stages!$2:$2,0)-MATCH($D$1,[2]stages!$2:$2,0)+1),MATCH(F$1,[2]stages!$2:$2,0)-MATCH($D$1,[2]stages!$2:$2,0)+1,FALSE)</f>
        <v>【上級】サンタダックを捕獲せよ！</v>
      </c>
      <c r="G43" s="21">
        <v>4</v>
      </c>
      <c r="H43" s="15" t="str">
        <f t="shared" si="86"/>
        <v>11215_1-4</v>
      </c>
      <c r="I43" s="4">
        <f ca="1">VLOOKUP($H43,OFFSET(floors!$A$1,0,0,COUNTA(floors!$A:$A),MATCH(I$1,floors!$1:$1,0)-MATCH($H$1,floors!$1:$1,0)+1),MATCH(I$1,floors!$1:$1,0)-MATCH($H$1,floors!$1:$1,0)+1,FALSE)</f>
        <v>55</v>
      </c>
      <c r="J43" s="4">
        <f ca="1">VLOOKUP($H43,OFFSET(floors!$A$1,0,0,COUNTA(floors!$A:$A),MATCH(J$1,floors!$1:$1,0)-MATCH($H$1,floors!$1:$1,0)+1),MATCH(J$1,floors!$1:$1,0)-MATCH($H$1,floors!$1:$1,0)+1,FALSE)</f>
        <v>55</v>
      </c>
      <c r="K43" s="38" t="s">
        <v>53</v>
      </c>
      <c r="L43" s="20">
        <v>342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水のメタルダック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blue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7">
        <f ca="1">VLOOKUP($L43,OFFSET([3]enemies!$A$1,0,0,COUNTA([3]enemies!$A:$A),MATCH(Q$1,[3]enemies!$1:$1,0)-MATCH($L$1,[3]enemies!$1:$1,0)+1),MATCH(Q$1,[3]enemies!$1:$1,0)-MATCH($L$1,[3]enemies!$1:$1,0)+1,FALSE)</f>
        <v>20</v>
      </c>
      <c r="R43" s="74">
        <v>3</v>
      </c>
      <c r="S43" s="25">
        <v>1</v>
      </c>
      <c r="T43" s="25">
        <v>35</v>
      </c>
      <c r="U43" s="5">
        <v>-9000</v>
      </c>
      <c r="V43" s="4" t="e">
        <f ca="1">VLOOKUP($W43,OFFSET(enemy_skill_sets!$B$1,0,0,COUNTA(enemy_skill_sets!$B:$B),MATCH(M$1,enemy_skill_sets!$1:$1,0)-MATCH($W$1,enemy_skill_sets!$1:$1,0)+2),MATCH(M$1,enemy_skill_sets!$1:$1,0)-MATCH($W$1,enemy_skill_sets!$1:$1,0)+2,FALSE)</f>
        <v>#N/A</v>
      </c>
      <c r="W43" s="71">
        <v>0</v>
      </c>
      <c r="X43" s="6">
        <v>0</v>
      </c>
      <c r="Y43" s="6">
        <v>100</v>
      </c>
      <c r="Z43" s="6">
        <v>1</v>
      </c>
      <c r="AA43" s="17">
        <f ca="1">VLOOKUP($L43,OFFSET([3]enemies!$A$1,0,0,COUNTA([3]enemies!$A:$A),MATCH(AA$1,[3]enemies!$1:$1,0)-MATCH($L$1,[3]enemies!$1:$1,0)+1),MATCH(AA$1,[3]enemies!$1:$1,0)-MATCH($L$1,[3]enemies!$1:$1,0)+1,FALSE)</f>
        <v>3</v>
      </c>
      <c r="AB43" s="24">
        <f t="shared" si="87"/>
        <v>342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5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7">
        <v>1</v>
      </c>
      <c r="AG43" s="24">
        <f t="shared" ca="1" si="88"/>
        <v>5</v>
      </c>
      <c r="AH43" s="8">
        <v>77</v>
      </c>
      <c r="AI43" s="7">
        <v>0</v>
      </c>
      <c r="AJ43" s="7">
        <v>0</v>
      </c>
      <c r="AK43" s="7">
        <v>0</v>
      </c>
      <c r="AL43" s="7">
        <v>0</v>
      </c>
      <c r="AM43" s="7">
        <v>1</v>
      </c>
      <c r="AN43" s="67">
        <v>1</v>
      </c>
    </row>
    <row r="44" spans="1:40" ht="21" customHeight="1">
      <c r="A44" s="16" t="str">
        <f t="shared" ca="1" si="84"/>
        <v>11215_1-4/346&lt;lv3&gt;s3</v>
      </c>
      <c r="B44" s="22">
        <v>11215</v>
      </c>
      <c r="C44" s="21">
        <v>1</v>
      </c>
      <c r="D44" s="2" t="str">
        <f t="shared" si="85"/>
        <v>11215_1</v>
      </c>
      <c r="E44" s="4" t="str">
        <f ca="1">VLOOKUP($B44,OFFSET([2]quests!$A$1,0,0,COUNTA([2]quests!$A:$A),MATCH(E$1,[2]quests!$1:$1,0)-MATCH($B$1,[2]quests!$1:$1,0)+1),MATCH(E$1,[2]quests!$1:$1,0)-MATCH($B$1,[2]quests!$1:$1,0)+1,FALSE)</f>
        <v>【マルチ】サンタダックを捕獲せよ！</v>
      </c>
      <c r="F44" s="4" t="str">
        <f ca="1">VLOOKUP($D44,OFFSET([2]stages!$A$1,0,0,COUNTA([2]stages!$A:$A),MATCH(F$1,[2]stages!$2:$2,0)-MATCH($D$1,[2]stages!$2:$2,0)+1),MATCH(F$1,[2]stages!$2:$2,0)-MATCH($D$1,[2]stages!$2:$2,0)+1,FALSE)</f>
        <v>【上級】サンタダックを捕獲せよ！</v>
      </c>
      <c r="G44" s="21">
        <v>4</v>
      </c>
      <c r="H44" s="15" t="str">
        <f t="shared" si="86"/>
        <v>11215_1-4</v>
      </c>
      <c r="I44" s="4">
        <f ca="1">VLOOKUP($H44,OFFSET(floors!$A$1,0,0,COUNTA(floors!$A:$A),MATCH(I$1,floors!$1:$1,0)-MATCH($H$1,floors!$1:$1,0)+1),MATCH(I$1,floors!$1:$1,0)-MATCH($H$1,floors!$1:$1,0)+1,FALSE)</f>
        <v>55</v>
      </c>
      <c r="J44" s="4">
        <f ca="1">VLOOKUP($H44,OFFSET(floors!$A$1,0,0,COUNTA(floors!$A:$A),MATCH(J$1,floors!$1:$1,0)-MATCH($H$1,floors!$1:$1,0)+1),MATCH(J$1,floors!$1:$1,0)-MATCH($H$1,floors!$1:$1,0)+1,FALSE)</f>
        <v>55</v>
      </c>
      <c r="K44" s="38" t="s">
        <v>53</v>
      </c>
      <c r="L44" s="20">
        <v>346</v>
      </c>
      <c r="M44" s="17" t="str">
        <f ca="1">VLOOKUP($L44,OFFSET([3]enemies!$A$1,0,0,COUNTA([3]enemies!$A:$A),MATCH(M$1,[3]enemies!$1:$1,0)-MATCH($L$1,[3]enemies!$1:$1,0)+1),MATCH(M$1,[3]enemies!$1:$1,0)-MATCH($L$1,[3]enemies!$1:$1,0)+1,FALSE)</f>
        <v>雷のメタルダック</v>
      </c>
      <c r="N44" s="17" t="str">
        <f ca="1">VLOOKUP($L44,OFFSET([3]enemies!$A$1,0,0,COUNTA([3]enemies!$A:$A),MATCH(N$1,[3]enemies!$1:$1,0)-MATCH($L$1,[3]enemies!$1:$1,0)+1),MATCH(N$1,[3]enemies!$1:$1,0)-MATCH($L$1,[3]enemies!$1:$1,0)+1,FALSE)</f>
        <v>yellow</v>
      </c>
      <c r="O44" s="17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17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17">
        <f ca="1">VLOOKUP($L44,OFFSET([3]enemies!$A$1,0,0,COUNTA([3]enemies!$A:$A),MATCH(Q$1,[3]enemies!$1:$1,0)-MATCH($L$1,[3]enemies!$1:$1,0)+1),MATCH(Q$1,[3]enemies!$1:$1,0)-MATCH($L$1,[3]enemies!$1:$1,0)+1,FALSE)</f>
        <v>20</v>
      </c>
      <c r="R44" s="74">
        <v>3</v>
      </c>
      <c r="S44" s="25">
        <v>1</v>
      </c>
      <c r="T44" s="25">
        <v>35</v>
      </c>
      <c r="U44" s="5">
        <v>-9000</v>
      </c>
      <c r="V44" s="4" t="e">
        <f ca="1">VLOOKUP($W44,OFFSET(enemy_skill_sets!$B$1,0,0,COUNTA(enemy_skill_sets!$B:$B),MATCH(M$1,enemy_skill_sets!$1:$1,0)-MATCH($W$1,enemy_skill_sets!$1:$1,0)+2),MATCH(M$1,enemy_skill_sets!$1:$1,0)-MATCH($W$1,enemy_skill_sets!$1:$1,0)+2,FALSE)</f>
        <v>#N/A</v>
      </c>
      <c r="W44" s="71">
        <v>0</v>
      </c>
      <c r="X44" s="6">
        <v>0</v>
      </c>
      <c r="Y44" s="6">
        <v>100</v>
      </c>
      <c r="Z44" s="6">
        <v>1</v>
      </c>
      <c r="AA44" s="17">
        <f ca="1">VLOOKUP($L44,OFFSET([3]enemies!$A$1,0,0,COUNTA([3]enemies!$A:$A),MATCH(AA$1,[3]enemies!$1:$1,0)-MATCH($L$1,[3]enemies!$1:$1,0)+1),MATCH(AA$1,[3]enemies!$1:$1,0)-MATCH($L$1,[3]enemies!$1:$1,0)+1,FALSE)</f>
        <v>3</v>
      </c>
      <c r="AB44" s="24">
        <f t="shared" si="87"/>
        <v>346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5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7">
        <v>1</v>
      </c>
      <c r="AG44" s="24">
        <f t="shared" ca="1" si="88"/>
        <v>5</v>
      </c>
      <c r="AH44" s="8">
        <v>77</v>
      </c>
      <c r="AI44" s="7">
        <v>0</v>
      </c>
      <c r="AJ44" s="7">
        <v>0</v>
      </c>
      <c r="AK44" s="7">
        <v>0</v>
      </c>
      <c r="AL44" s="7">
        <v>0</v>
      </c>
      <c r="AM44" s="7">
        <v>1</v>
      </c>
      <c r="AN44" s="67">
        <v>1</v>
      </c>
    </row>
    <row r="45" spans="1:40" ht="21" customHeight="1">
      <c r="A45" s="16" t="str">
        <f t="shared" ca="1" si="65"/>
        <v>11215_1-5/520&lt;lv3&gt;s3</v>
      </c>
      <c r="B45" s="22">
        <v>11215</v>
      </c>
      <c r="C45" s="21">
        <v>1</v>
      </c>
      <c r="D45" s="2" t="str">
        <f t="shared" si="66"/>
        <v>11215_1</v>
      </c>
      <c r="E45" s="4" t="str">
        <f ca="1">VLOOKUP($B45,OFFSET([2]quests!$A$1,0,0,COUNTA([2]quests!$A:$A),MATCH(E$1,[2]quests!$1:$1,0)-MATCH($B$1,[2]quests!$1:$1,0)+1),MATCH(E$1,[2]quests!$1:$1,0)-MATCH($B$1,[2]quests!$1:$1,0)+1,FALSE)</f>
        <v>【マルチ】サンタダックを捕獲せよ！</v>
      </c>
      <c r="F45" s="4" t="str">
        <f ca="1">VLOOKUP($D45,OFFSET([2]stages!$A$1,0,0,COUNTA([2]stages!$A:$A),MATCH(F$1,[2]stages!$2:$2,0)-MATCH($D$1,[2]stages!$2:$2,0)+1),MATCH(F$1,[2]stages!$2:$2,0)-MATCH($D$1,[2]stages!$2:$2,0)+1,FALSE)</f>
        <v>【上級】サンタダックを捕獲せよ！</v>
      </c>
      <c r="G45" s="21">
        <v>5</v>
      </c>
      <c r="H45" s="15" t="str">
        <f t="shared" si="67"/>
        <v>11215_1-5</v>
      </c>
      <c r="I45" s="4">
        <f ca="1">VLOOKUP($H45,OFFSET(floors!$A$1,0,0,COUNTA(floors!$A:$A),MATCH(I$1,floors!$1:$1,0)-MATCH($H$1,floors!$1:$1,0)+1),MATCH(I$1,floors!$1:$1,0)-MATCH($H$1,floors!$1:$1,0)+1,FALSE)</f>
        <v>60</v>
      </c>
      <c r="J45" s="4">
        <f ca="1">VLOOKUP($H45,OFFSET(floors!$A$1,0,0,COUNTA(floors!$A:$A),MATCH(J$1,floors!$1:$1,0)-MATCH($H$1,floors!$1:$1,0)+1),MATCH(J$1,floors!$1:$1,0)-MATCH($H$1,floors!$1:$1,0)+1,FALSE)</f>
        <v>60</v>
      </c>
      <c r="K45" s="38" t="s">
        <v>53</v>
      </c>
      <c r="L45" s="20">
        <v>520</v>
      </c>
      <c r="M45" s="17" t="str">
        <f ca="1">VLOOKUP($L45,OFFSET([3]enemies!$A$1,0,0,COUNTA([3]enemies!$A:$A),MATCH(M$1,[3]enemies!$1:$1,0)-MATCH($L$1,[3]enemies!$1:$1,0)+1),MATCH(M$1,[3]enemies!$1:$1,0)-MATCH($L$1,[3]enemies!$1:$1,0)+1,FALSE)</f>
        <v>サンタダック</v>
      </c>
      <c r="N45" s="17" t="str">
        <f ca="1">VLOOKUP($L45,OFFSET([3]enemies!$A$1,0,0,COUNTA([3]enemies!$A:$A),MATCH(N$1,[3]enemies!$1:$1,0)-MATCH($L$1,[3]enemies!$1:$1,0)+1),MATCH(N$1,[3]enemies!$1:$1,0)-MATCH($L$1,[3]enemies!$1:$1,0)+1,FALSE)</f>
        <v>red</v>
      </c>
      <c r="O45" s="17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17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17">
        <f ca="1">VLOOKUP($L45,OFFSET([3]enemies!$A$1,0,0,COUNTA([3]enemies!$A:$A),MATCH(Q$1,[3]enemies!$1:$1,0)-MATCH($L$1,[3]enemies!$1:$1,0)+1),MATCH(Q$1,[3]enemies!$1:$1,0)-MATCH($L$1,[3]enemies!$1:$1,0)+1,FALSE)</f>
        <v>20</v>
      </c>
      <c r="R45" s="74">
        <v>3</v>
      </c>
      <c r="S45" s="25">
        <v>1</v>
      </c>
      <c r="T45" s="25">
        <v>35</v>
      </c>
      <c r="U45" s="5">
        <v>-9000</v>
      </c>
      <c r="V45" s="4" t="e">
        <f ca="1">VLOOKUP($W45,OFFSET(enemy_skill_sets!$B$1,0,0,COUNTA(enemy_skill_sets!$B:$B),MATCH(M$1,enemy_skill_sets!$1:$1,0)-MATCH($W$1,enemy_skill_sets!$1:$1,0)+2),MATCH(M$1,enemy_skill_sets!$1:$1,0)-MATCH($W$1,enemy_skill_sets!$1:$1,0)+2,FALSE)</f>
        <v>#N/A</v>
      </c>
      <c r="W45" s="71">
        <v>0</v>
      </c>
      <c r="X45" s="6">
        <v>0</v>
      </c>
      <c r="Y45" s="6">
        <v>100</v>
      </c>
      <c r="Z45" s="6">
        <v>0</v>
      </c>
      <c r="AA45" s="17">
        <f ca="1">VLOOKUP($L45,OFFSET([3]enemies!$A$1,0,0,COUNTA([3]enemies!$A:$A),MATCH(AA$1,[3]enemies!$1:$1,0)-MATCH($L$1,[3]enemies!$1:$1,0)+1),MATCH(AA$1,[3]enemies!$1:$1,0)-MATCH($L$1,[3]enemies!$1:$1,0)+1,FALSE)</f>
        <v>3</v>
      </c>
      <c r="AB45" s="24">
        <f t="shared" si="68"/>
        <v>520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5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5" s="7">
        <v>1</v>
      </c>
      <c r="AG45" s="24">
        <f t="shared" ca="1" si="69"/>
        <v>5</v>
      </c>
      <c r="AH45" s="8">
        <v>100</v>
      </c>
      <c r="AI45" s="7">
        <v>0</v>
      </c>
      <c r="AJ45" s="7">
        <v>0</v>
      </c>
      <c r="AK45" s="7">
        <v>0</v>
      </c>
      <c r="AL45" s="7">
        <v>0</v>
      </c>
      <c r="AM45" s="7">
        <v>1</v>
      </c>
      <c r="AN45" s="67">
        <v>1</v>
      </c>
    </row>
    <row r="46" spans="1:40" ht="21" customHeight="1">
      <c r="A46" s="16" t="str">
        <f t="shared" ca="1" si="65"/>
        <v>11215_1-5/521&lt;lv3&gt;s3</v>
      </c>
      <c r="B46" s="22">
        <v>11215</v>
      </c>
      <c r="C46" s="21">
        <v>1</v>
      </c>
      <c r="D46" s="2" t="str">
        <f t="shared" si="66"/>
        <v>11215_1</v>
      </c>
      <c r="E46" s="4" t="str">
        <f ca="1">VLOOKUP($B46,OFFSET([2]quests!$A$1,0,0,COUNTA([2]quests!$A:$A),MATCH(E$1,[2]quests!$1:$1,0)-MATCH($B$1,[2]quests!$1:$1,0)+1),MATCH(E$1,[2]quests!$1:$1,0)-MATCH($B$1,[2]quests!$1:$1,0)+1,FALSE)</f>
        <v>【マルチ】サンタダックを捕獲せよ！</v>
      </c>
      <c r="F46" s="4" t="str">
        <f ca="1">VLOOKUP($D46,OFFSET([2]stages!$A$1,0,0,COUNTA([2]stages!$A:$A),MATCH(F$1,[2]stages!$2:$2,0)-MATCH($D$1,[2]stages!$2:$2,0)+1),MATCH(F$1,[2]stages!$2:$2,0)-MATCH($D$1,[2]stages!$2:$2,0)+1,FALSE)</f>
        <v>【上級】サンタダックを捕獲せよ！</v>
      </c>
      <c r="G46" s="21">
        <v>5</v>
      </c>
      <c r="H46" s="15" t="str">
        <f t="shared" si="67"/>
        <v>11215_1-5</v>
      </c>
      <c r="I46" s="4">
        <f ca="1">VLOOKUP($H46,OFFSET(floors!$A$1,0,0,COUNTA(floors!$A:$A),MATCH(I$1,floors!$1:$1,0)-MATCH($H$1,floors!$1:$1,0)+1),MATCH(I$1,floors!$1:$1,0)-MATCH($H$1,floors!$1:$1,0)+1,FALSE)</f>
        <v>60</v>
      </c>
      <c r="J46" s="4">
        <f ca="1">VLOOKUP($H46,OFFSET(floors!$A$1,0,0,COUNTA(floors!$A:$A),MATCH(J$1,floors!$1:$1,0)-MATCH($H$1,floors!$1:$1,0)+1),MATCH(J$1,floors!$1:$1,0)-MATCH($H$1,floors!$1:$1,0)+1,FALSE)</f>
        <v>60</v>
      </c>
      <c r="K46" s="38" t="s">
        <v>53</v>
      </c>
      <c r="L46" s="20">
        <v>521</v>
      </c>
      <c r="M46" s="17" t="str">
        <f ca="1">VLOOKUP($L46,OFFSET([3]enemies!$A$1,0,0,COUNTA([3]enemies!$A:$A),MATCH(M$1,[3]enemies!$1:$1,0)-MATCH($L$1,[3]enemies!$1:$1,0)+1),MATCH(M$1,[3]enemies!$1:$1,0)-MATCH($L$1,[3]enemies!$1:$1,0)+1,FALSE)</f>
        <v>サンタダック</v>
      </c>
      <c r="N46" s="17" t="str">
        <f ca="1">VLOOKUP($L46,OFFSET([3]enemies!$A$1,0,0,COUNTA([3]enemies!$A:$A),MATCH(N$1,[3]enemies!$1:$1,0)-MATCH($L$1,[3]enemies!$1:$1,0)+1),MATCH(N$1,[3]enemies!$1:$1,0)-MATCH($L$1,[3]enemies!$1:$1,0)+1,FALSE)</f>
        <v>green</v>
      </c>
      <c r="O46" s="17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17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17">
        <f ca="1">VLOOKUP($L46,OFFSET([3]enemies!$A$1,0,0,COUNTA([3]enemies!$A:$A),MATCH(Q$1,[3]enemies!$1:$1,0)-MATCH($L$1,[3]enemies!$1:$1,0)+1),MATCH(Q$1,[3]enemies!$1:$1,0)-MATCH($L$1,[3]enemies!$1:$1,0)+1,FALSE)</f>
        <v>20</v>
      </c>
      <c r="R46" s="74">
        <v>3</v>
      </c>
      <c r="S46" s="25">
        <v>1</v>
      </c>
      <c r="T46" s="25">
        <v>35</v>
      </c>
      <c r="U46" s="5">
        <v>-9000</v>
      </c>
      <c r="V46" s="4" t="e">
        <f ca="1">VLOOKUP($W46,OFFSET(enemy_skill_sets!$B$1,0,0,COUNTA(enemy_skill_sets!$B:$B),MATCH(M$1,enemy_skill_sets!$1:$1,0)-MATCH($W$1,enemy_skill_sets!$1:$1,0)+2),MATCH(M$1,enemy_skill_sets!$1:$1,0)-MATCH($W$1,enemy_skill_sets!$1:$1,0)+2,FALSE)</f>
        <v>#N/A</v>
      </c>
      <c r="W46" s="71">
        <v>0</v>
      </c>
      <c r="X46" s="6">
        <v>0</v>
      </c>
      <c r="Y46" s="6">
        <v>100</v>
      </c>
      <c r="Z46" s="6">
        <v>0</v>
      </c>
      <c r="AA46" s="17">
        <f ca="1">VLOOKUP($L46,OFFSET([3]enemies!$A$1,0,0,COUNTA([3]enemies!$A:$A),MATCH(AA$1,[3]enemies!$1:$1,0)-MATCH($L$1,[3]enemies!$1:$1,0)+1),MATCH(AA$1,[3]enemies!$1:$1,0)-MATCH($L$1,[3]enemies!$1:$1,0)+1,FALSE)</f>
        <v>3</v>
      </c>
      <c r="AB46" s="24">
        <f t="shared" si="68"/>
        <v>521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5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6" s="7">
        <v>1</v>
      </c>
      <c r="AG46" s="24">
        <f t="shared" ca="1" si="69"/>
        <v>5</v>
      </c>
      <c r="AH46" s="8">
        <v>100</v>
      </c>
      <c r="AI46" s="7">
        <v>0</v>
      </c>
      <c r="AJ46" s="7">
        <v>0</v>
      </c>
      <c r="AK46" s="7">
        <v>0</v>
      </c>
      <c r="AL46" s="7">
        <v>0</v>
      </c>
      <c r="AM46" s="7">
        <v>1</v>
      </c>
      <c r="AN46" s="67">
        <v>1</v>
      </c>
    </row>
    <row r="47" spans="1:40" ht="21" customHeight="1">
      <c r="A47" s="16" t="str">
        <f t="shared" ca="1" si="65"/>
        <v>11215_1-5/522&lt;lv3&gt;s3</v>
      </c>
      <c r="B47" s="22">
        <v>11215</v>
      </c>
      <c r="C47" s="21">
        <v>1</v>
      </c>
      <c r="D47" s="2" t="str">
        <f t="shared" si="66"/>
        <v>11215_1</v>
      </c>
      <c r="E47" s="4" t="str">
        <f ca="1">VLOOKUP($B47,OFFSET([2]quests!$A$1,0,0,COUNTA([2]quests!$A:$A),MATCH(E$1,[2]quests!$1:$1,0)-MATCH($B$1,[2]quests!$1:$1,0)+1),MATCH(E$1,[2]quests!$1:$1,0)-MATCH($B$1,[2]quests!$1:$1,0)+1,FALSE)</f>
        <v>【マルチ】サンタダックを捕獲せよ！</v>
      </c>
      <c r="F47" s="4" t="str">
        <f ca="1">VLOOKUP($D47,OFFSET([2]stages!$A$1,0,0,COUNTA([2]stages!$A:$A),MATCH(F$1,[2]stages!$2:$2,0)-MATCH($D$1,[2]stages!$2:$2,0)+1),MATCH(F$1,[2]stages!$2:$2,0)-MATCH($D$1,[2]stages!$2:$2,0)+1,FALSE)</f>
        <v>【上級】サンタダックを捕獲せよ！</v>
      </c>
      <c r="G47" s="21">
        <v>5</v>
      </c>
      <c r="H47" s="15" t="str">
        <f t="shared" si="67"/>
        <v>11215_1-5</v>
      </c>
      <c r="I47" s="4">
        <f ca="1">VLOOKUP($H47,OFFSET(floors!$A$1,0,0,COUNTA(floors!$A:$A),MATCH(I$1,floors!$1:$1,0)-MATCH($H$1,floors!$1:$1,0)+1),MATCH(I$1,floors!$1:$1,0)-MATCH($H$1,floors!$1:$1,0)+1,FALSE)</f>
        <v>60</v>
      </c>
      <c r="J47" s="4">
        <f ca="1">VLOOKUP($H47,OFFSET(floors!$A$1,0,0,COUNTA(floors!$A:$A),MATCH(J$1,floors!$1:$1,0)-MATCH($H$1,floors!$1:$1,0)+1),MATCH(J$1,floors!$1:$1,0)-MATCH($H$1,floors!$1:$1,0)+1,FALSE)</f>
        <v>60</v>
      </c>
      <c r="K47" s="38" t="s">
        <v>53</v>
      </c>
      <c r="L47" s="20">
        <v>522</v>
      </c>
      <c r="M47" s="17" t="str">
        <f ca="1">VLOOKUP($L47,OFFSET([3]enemies!$A$1,0,0,COUNTA([3]enemies!$A:$A),MATCH(M$1,[3]enemies!$1:$1,0)-MATCH($L$1,[3]enemies!$1:$1,0)+1),MATCH(M$1,[3]enemies!$1:$1,0)-MATCH($L$1,[3]enemies!$1:$1,0)+1,FALSE)</f>
        <v>サンタダック</v>
      </c>
      <c r="N47" s="17" t="str">
        <f ca="1">VLOOKUP($L47,OFFSET([3]enemies!$A$1,0,0,COUNTA([3]enemies!$A:$A),MATCH(N$1,[3]enemies!$1:$1,0)-MATCH($L$1,[3]enemies!$1:$1,0)+1),MATCH(N$1,[3]enemies!$1:$1,0)-MATCH($L$1,[3]enemies!$1:$1,0)+1,FALSE)</f>
        <v>blue</v>
      </c>
      <c r="O47" s="17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17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17">
        <f ca="1">VLOOKUP($L47,OFFSET([3]enemies!$A$1,0,0,COUNTA([3]enemies!$A:$A),MATCH(Q$1,[3]enemies!$1:$1,0)-MATCH($L$1,[3]enemies!$1:$1,0)+1),MATCH(Q$1,[3]enemies!$1:$1,0)-MATCH($L$1,[3]enemies!$1:$1,0)+1,FALSE)</f>
        <v>20</v>
      </c>
      <c r="R47" s="74">
        <v>3</v>
      </c>
      <c r="S47" s="25">
        <v>1</v>
      </c>
      <c r="T47" s="25">
        <v>35</v>
      </c>
      <c r="U47" s="5">
        <v>-9000</v>
      </c>
      <c r="V47" s="4" t="e">
        <f ca="1">VLOOKUP($W47,OFFSET(enemy_skill_sets!$B$1,0,0,COUNTA(enemy_skill_sets!$B:$B),MATCH(M$1,enemy_skill_sets!$1:$1,0)-MATCH($W$1,enemy_skill_sets!$1:$1,0)+2),MATCH(M$1,enemy_skill_sets!$1:$1,0)-MATCH($W$1,enemy_skill_sets!$1:$1,0)+2,FALSE)</f>
        <v>#N/A</v>
      </c>
      <c r="W47" s="71">
        <v>0</v>
      </c>
      <c r="X47" s="6">
        <v>0</v>
      </c>
      <c r="Y47" s="6">
        <v>100</v>
      </c>
      <c r="Z47" s="6">
        <v>0</v>
      </c>
      <c r="AA47" s="17">
        <f ca="1">VLOOKUP($L47,OFFSET([3]enemies!$A$1,0,0,COUNTA([3]enemies!$A:$A),MATCH(AA$1,[3]enemies!$1:$1,0)-MATCH($L$1,[3]enemies!$1:$1,0)+1),MATCH(AA$1,[3]enemies!$1:$1,0)-MATCH($L$1,[3]enemies!$1:$1,0)+1,FALSE)</f>
        <v>3</v>
      </c>
      <c r="AB47" s="24">
        <f t="shared" si="68"/>
        <v>522</v>
      </c>
      <c r="AC47" s="4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47" s="4">
        <f ca="1">VLOOKUP($AB47,OFFSET([4]characters!$A$1,0,0,COUNTA([4]characters!$A:$A),MATCH(AD$1,[4]characters!$1:$1,0)-MATCH("character_id",[4]characters!$1:$1,0)+1),MATCH(AD$1,[4]characters!$1:$1,0)-MATCH("character_id",[4]characters!$1:$1,0)+1,FALSE)</f>
        <v>5</v>
      </c>
      <c r="AE47" s="4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7" s="7">
        <v>1</v>
      </c>
      <c r="AG47" s="24">
        <f t="shared" ca="1" si="69"/>
        <v>5</v>
      </c>
      <c r="AH47" s="8">
        <v>100</v>
      </c>
      <c r="AI47" s="7">
        <v>0</v>
      </c>
      <c r="AJ47" s="7">
        <v>0</v>
      </c>
      <c r="AK47" s="7">
        <v>0</v>
      </c>
      <c r="AL47" s="7">
        <v>0</v>
      </c>
      <c r="AM47" s="7">
        <v>1</v>
      </c>
      <c r="AN47" s="67">
        <v>1</v>
      </c>
    </row>
    <row r="48" spans="1:40" ht="21" customHeight="1">
      <c r="A48" s="16" t="str">
        <f t="shared" ref="A48" ca="1" si="89">B48&amp;"_"&amp;C48&amp;"-"&amp;G48&amp;"/"&amp;L48&amp;"&lt;lv"&amp;R48&amp;"&gt;s"&amp;AA48</f>
        <v>11215_1-5/523&lt;lv3&gt;s3</v>
      </c>
      <c r="B48" s="22">
        <v>11215</v>
      </c>
      <c r="C48" s="21">
        <v>1</v>
      </c>
      <c r="D48" s="2" t="str">
        <f t="shared" ref="D48" si="90">B48&amp;"_"&amp;C48</f>
        <v>11215_1</v>
      </c>
      <c r="E48" s="4" t="str">
        <f ca="1">VLOOKUP($B48,OFFSET([2]quests!$A$1,0,0,COUNTA([2]quests!$A:$A),MATCH(E$1,[2]quests!$1:$1,0)-MATCH($B$1,[2]quests!$1:$1,0)+1),MATCH(E$1,[2]quests!$1:$1,0)-MATCH($B$1,[2]quests!$1:$1,0)+1,FALSE)</f>
        <v>【マルチ】サンタダックを捕獲せよ！</v>
      </c>
      <c r="F48" s="4" t="str">
        <f ca="1">VLOOKUP($D48,OFFSET([2]stages!$A$1,0,0,COUNTA([2]stages!$A:$A),MATCH(F$1,[2]stages!$2:$2,0)-MATCH($D$1,[2]stages!$2:$2,0)+1),MATCH(F$1,[2]stages!$2:$2,0)-MATCH($D$1,[2]stages!$2:$2,0)+1,FALSE)</f>
        <v>【上級】サンタダックを捕獲せよ！</v>
      </c>
      <c r="G48" s="21">
        <v>5</v>
      </c>
      <c r="H48" s="15" t="str">
        <f t="shared" ref="H48" si="91">B48&amp;"_"&amp;C48&amp;"-"&amp;G48</f>
        <v>11215_1-5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38" t="s">
        <v>53</v>
      </c>
      <c r="L48" s="20">
        <v>523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サンタダック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yellow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7">
        <f ca="1">VLOOKUP($L48,OFFSET([3]enemies!$A$1,0,0,COUNTA([3]enemies!$A:$A),MATCH(Q$1,[3]enemies!$1:$1,0)-MATCH($L$1,[3]enemies!$1:$1,0)+1),MATCH(Q$1,[3]enemies!$1:$1,0)-MATCH($L$1,[3]enemies!$1:$1,0)+1,FALSE)</f>
        <v>20</v>
      </c>
      <c r="R48" s="74">
        <v>3</v>
      </c>
      <c r="S48" s="25">
        <v>1</v>
      </c>
      <c r="T48" s="25">
        <v>35</v>
      </c>
      <c r="U48" s="5">
        <v>-9000</v>
      </c>
      <c r="V48" s="4" t="e">
        <f ca="1">VLOOKUP($W48,OFFSET(enemy_skill_sets!$B$1,0,0,COUNTA(enemy_skill_sets!$B:$B),MATCH(M$1,enemy_skill_sets!$1:$1,0)-MATCH($W$1,enemy_skill_sets!$1:$1,0)+2),MATCH(M$1,enemy_skill_sets!$1:$1,0)-MATCH($W$1,enemy_skill_sets!$1:$1,0)+2,FALSE)</f>
        <v>#N/A</v>
      </c>
      <c r="W48" s="71">
        <v>0</v>
      </c>
      <c r="X48" s="6">
        <v>0</v>
      </c>
      <c r="Y48" s="6">
        <v>100</v>
      </c>
      <c r="Z48" s="6">
        <v>0</v>
      </c>
      <c r="AA48" s="17">
        <f ca="1">VLOOKUP($L48,OFFSET([3]enemies!$A$1,0,0,COUNTA([3]enemies!$A:$A),MATCH(AA$1,[3]enemies!$1:$1,0)-MATCH($L$1,[3]enemies!$1:$1,0)+1),MATCH(AA$1,[3]enemies!$1:$1,0)-MATCH($L$1,[3]enemies!$1:$1,0)+1,FALSE)</f>
        <v>3</v>
      </c>
      <c r="AB48" s="24">
        <f t="shared" ref="AB48" si="92">L48</f>
        <v>523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サンタダック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5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7">
        <v>1</v>
      </c>
      <c r="AG48" s="24">
        <f t="shared" ref="AG48" ca="1" si="93">AD48</f>
        <v>5</v>
      </c>
      <c r="AH48" s="8">
        <v>100</v>
      </c>
      <c r="AI48" s="7">
        <v>0</v>
      </c>
      <c r="AJ48" s="7">
        <v>0</v>
      </c>
      <c r="AK48" s="7">
        <v>0</v>
      </c>
      <c r="AL48" s="7">
        <v>0</v>
      </c>
      <c r="AM48" s="7">
        <v>1</v>
      </c>
      <c r="AN48" s="67">
        <v>1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0"/>
  <sheetViews>
    <sheetView showGridLines="0" zoomScale="75" zoomScaleNormal="75" zoomScalePageLayoutView="75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W22" sqref="W22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4.83203125" style="3" bestFit="1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.5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>
      <c r="A2" s="16" t="str">
        <f t="shared" ref="A2:A16" si="0">B2&amp;"_"&amp;C2&amp;"-"&amp;G2&amp;"/"&amp;M2&amp;"&lt;lv"&amp;S2&amp;"&gt;sq"&amp;K2&amp;"st"&amp;L2</f>
        <v>11214_1-2/202&lt;lv1&gt;sq1st2</v>
      </c>
      <c r="B2" s="22">
        <v>11214</v>
      </c>
      <c r="C2" s="21">
        <v>1</v>
      </c>
      <c r="D2" s="2" t="str">
        <f t="shared" ref="D2:D16" si="1">B2&amp;"_"&amp;C2</f>
        <v>11214_1</v>
      </c>
      <c r="E2" s="4" t="str">
        <f ca="1">VLOOKUP($B2,OFFSET([2]quests!$A$1,0,0,COUNTA([2]quests!$A:$A),MATCH(E$1,[2]quests!$1:$1,0)-MATCH($B$1,[2]quests!$1:$1,0)+1),MATCH(E$1,[2]quests!$1:$1,0)-MATCH($B$1,[2]quests!$1:$1,0)+1,FALSE)</f>
        <v>プロメテウスの恋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【ストーリー前編】勢いまかせ</v>
      </c>
      <c r="G2" s="21">
        <v>2</v>
      </c>
      <c r="H2" s="15" t="str">
        <f t="shared" ref="H2:H16" si="2">B2&amp;"_"&amp;C2&amp;"-"&amp;G2</f>
        <v>11214_1-2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>
        <v>1</v>
      </c>
      <c r="L2" s="38">
        <v>2</v>
      </c>
      <c r="M2" s="20">
        <v>202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プロメテウス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1</v>
      </c>
      <c r="T2" s="25">
        <v>0.1</v>
      </c>
      <c r="U2" s="25">
        <v>1</v>
      </c>
      <c r="V2" s="5">
        <v>0</v>
      </c>
      <c r="W2" s="4" t="str">
        <f ca="1">VLOOKUP($X2,OFFSET(enemy_skill_sets!$B$1,0,0,COUNTA(enemy_skill_sets!$B:$B),MATCH("name",enemy_skill_sets!$1:$1,0)-MATCH(X$1,enemy_skill_sets!$1:$1,0)+2),MATCH("name",enemy_skill_sets!$1:$1,0)-MATCH(X$1,enemy_skill_sets!$1:$1,0)+2,FALSE)</f>
        <v>すごい勢いで すっ飛んでいった！</v>
      </c>
      <c r="X2" s="47">
        <v>112141210</v>
      </c>
      <c r="Y2" s="68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>
      <c r="A3" s="16" t="str">
        <f t="shared" ref="A3" si="3">B3&amp;"_"&amp;C3&amp;"-"&amp;G3&amp;"/"&amp;M3&amp;"&lt;lv"&amp;S3&amp;"&gt;sq"&amp;K3&amp;"st"&amp;L3</f>
        <v>11214_1-3/202&lt;lv1&gt;sq1st2</v>
      </c>
      <c r="B3" s="22">
        <v>11214</v>
      </c>
      <c r="C3" s="21">
        <v>1</v>
      </c>
      <c r="D3" s="2" t="str">
        <f t="shared" ref="D3" si="4">B3&amp;"_"&amp;C3</f>
        <v>11214_1</v>
      </c>
      <c r="E3" s="4" t="str">
        <f ca="1">VLOOKUP($B3,OFFSET([2]quests!$A$1,0,0,COUNTA([2]quests!$A:$A),MATCH(E$1,[2]quests!$1:$1,0)-MATCH($B$1,[2]quests!$1:$1,0)+1),MATCH(E$1,[2]quests!$1:$1,0)-MATCH($B$1,[2]quests!$1:$1,0)+1,FALSE)</f>
        <v>プロメテウスの恋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【ストーリー前編】勢いまかせ</v>
      </c>
      <c r="G3" s="21">
        <v>3</v>
      </c>
      <c r="H3" s="15" t="str">
        <f t="shared" ref="H3" si="5">B3&amp;"_"&amp;C3&amp;"-"&amp;G3</f>
        <v>11214_1-3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>
        <v>1</v>
      </c>
      <c r="L3" s="38">
        <v>2</v>
      </c>
      <c r="M3" s="20">
        <v>202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プロメテウス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1</v>
      </c>
      <c r="T3" s="25">
        <v>0.1</v>
      </c>
      <c r="U3" s="25">
        <v>1</v>
      </c>
      <c r="V3" s="5">
        <v>0</v>
      </c>
      <c r="W3" s="4" t="str">
        <f ca="1">VLOOKUP($X3,OFFSET(enemy_skill_sets!$B$1,0,0,COUNTA(enemy_skill_sets!$B:$B),MATCH("name",enemy_skill_sets!$1:$1,0)-MATCH(X$1,enemy_skill_sets!$1:$1,0)+2),MATCH("name",enemy_skill_sets!$1:$1,0)-MATCH(X$1,enemy_skill_sets!$1:$1,0)+2,FALSE)</f>
        <v>ヤル気に 満ちあふれている！</v>
      </c>
      <c r="X3" s="47">
        <v>112141320</v>
      </c>
      <c r="Y3" s="68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>
      <c r="A4" s="16" t="str">
        <f t="shared" si="0"/>
        <v>11214_1-3/512&lt;lv1&gt;sq2st2</v>
      </c>
      <c r="B4" s="22">
        <v>11214</v>
      </c>
      <c r="C4" s="21">
        <v>1</v>
      </c>
      <c r="D4" s="2" t="str">
        <f t="shared" si="1"/>
        <v>11214_1</v>
      </c>
      <c r="E4" s="4" t="str">
        <f ca="1">VLOOKUP($B4,OFFSET([2]quests!$A$1,0,0,COUNTA([2]quests!$A:$A),MATCH(E$1,[2]quests!$1:$1,0)-MATCH($B$1,[2]quests!$1:$1,0)+1),MATCH(E$1,[2]quests!$1:$1,0)-MATCH($B$1,[2]quests!$1:$1,0)+1,FALSE)</f>
        <v>プロメテウスの恋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【ストーリー前編】勢いまかせ</v>
      </c>
      <c r="G4" s="21">
        <v>3</v>
      </c>
      <c r="H4" s="15" t="str">
        <f t="shared" si="2"/>
        <v>11214_1-3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>
        <v>2</v>
      </c>
      <c r="L4" s="38">
        <v>2</v>
      </c>
      <c r="M4" s="21">
        <v>512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聖火の逆徒 クリスマス・ベリアル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1</v>
      </c>
      <c r="T4" s="25">
        <v>1</v>
      </c>
      <c r="U4" s="25">
        <v>1</v>
      </c>
      <c r="V4" s="72">
        <v>0</v>
      </c>
      <c r="W4" s="4" t="str">
        <f ca="1">VLOOKUP($X4,OFFSET(enemy_skill_sets!$B$1,0,0,COUNTA(enemy_skill_sets!$B:$B),MATCH("name",enemy_skill_sets!$1:$1,0)-MATCH(X$1,enemy_skill_sets!$1:$1,0)+2),MATCH("name",enemy_skill_sets!$1:$1,0)-MATCH(X$1,enemy_skill_sets!$1:$1,0)+2,FALSE)</f>
        <v>衣装に着替えて すっ飛んでいった！</v>
      </c>
      <c r="X4" s="47">
        <v>112141319</v>
      </c>
      <c r="Y4" s="68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>
      <c r="A5" s="16" t="str">
        <f t="shared" si="0"/>
        <v>11214_1-4/514&lt;lv1&gt;sq1st2</v>
      </c>
      <c r="B5" s="22">
        <v>11214</v>
      </c>
      <c r="C5" s="21">
        <v>1</v>
      </c>
      <c r="D5" s="2" t="str">
        <f t="shared" si="1"/>
        <v>11214_1</v>
      </c>
      <c r="E5" s="4" t="str">
        <f ca="1">VLOOKUP($B5,OFFSET([2]quests!$A$1,0,0,COUNTA([2]quests!$A:$A),MATCH(E$1,[2]quests!$1:$1,0)-MATCH($B$1,[2]quests!$1:$1,0)+1),MATCH(E$1,[2]quests!$1:$1,0)-MATCH($B$1,[2]quests!$1:$1,0)+1,FALSE)</f>
        <v>プロメテウスの恋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【ストーリー前編】勢いまかせ</v>
      </c>
      <c r="G5" s="21">
        <v>4</v>
      </c>
      <c r="H5" s="15" t="str">
        <f t="shared" si="2"/>
        <v>11214_1-4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>
        <v>1</v>
      </c>
      <c r="L5" s="38">
        <v>2</v>
      </c>
      <c r="M5" s="21">
        <v>514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祝宴の識徒 サンタクロース・オセ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1</v>
      </c>
      <c r="T5" s="25">
        <v>1</v>
      </c>
      <c r="U5" s="25">
        <v>1</v>
      </c>
      <c r="V5" s="5">
        <v>0</v>
      </c>
      <c r="W5" s="4" t="str">
        <f ca="1">VLOOKUP($X5,OFFSET(enemy_skill_sets!$B$1,0,0,COUNTA(enemy_skill_sets!$B:$B),MATCH("name",enemy_skill_sets!$1:$1,0)-MATCH(X$1,enemy_skill_sets!$1:$1,0)+2),MATCH("name",enemy_skill_sets!$1:$1,0)-MATCH(X$1,enemy_skill_sets!$1:$1,0)+2,FALSE)</f>
        <v>衣装に着替えて 立ち去っていった</v>
      </c>
      <c r="X5" s="47">
        <v>112141419</v>
      </c>
      <c r="Y5" s="68">
        <f ca="1">VLOOKUP($M5,OFFSET([3]enemies!$A$1,0,0,COUNTA([3]enemies!$A:$A),MATCH(Y$1,[3]enemies!$1:$1,0)-MATCH($M$1,[3]enemies!$1:$1,0)+1),MATCH(Y$1,[3]enemies!$1:$1,0)-MATCH($M$1,[3]enemies!$1:$1,0)+1,FALSE)</f>
        <v>3</v>
      </c>
    </row>
    <row r="6" spans="1:25" ht="21" customHeight="1">
      <c r="A6" s="16" t="str">
        <f t="shared" ref="A6" si="6">B6&amp;"_"&amp;C6&amp;"-"&amp;G6&amp;"/"&amp;M6&amp;"&lt;lv"&amp;S6&amp;"&gt;sq"&amp;K6&amp;"st"&amp;L6</f>
        <v>11214_1-5/204&lt;lv1&gt;sq1st2</v>
      </c>
      <c r="B6" s="22">
        <v>11214</v>
      </c>
      <c r="C6" s="21">
        <v>1</v>
      </c>
      <c r="D6" s="2" t="str">
        <f t="shared" ref="D6" si="7">B6&amp;"_"&amp;C6</f>
        <v>11214_1</v>
      </c>
      <c r="E6" s="4" t="str">
        <f ca="1">VLOOKUP($B6,OFFSET([2]quests!$A$1,0,0,COUNTA([2]quests!$A:$A),MATCH(E$1,[2]quests!$1:$1,0)-MATCH($B$1,[2]quests!$1:$1,0)+1),MATCH(E$1,[2]quests!$1:$1,0)-MATCH($B$1,[2]quests!$1:$1,0)+1,FALSE)</f>
        <v>プロメテウスの恋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【ストーリー前編】勢いまかせ</v>
      </c>
      <c r="G6" s="21">
        <v>5</v>
      </c>
      <c r="H6" s="15" t="str">
        <f t="shared" ref="H6" si="8">B6&amp;"_"&amp;C6&amp;"-"&amp;G6</f>
        <v>11214_1-5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204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慟哭の巨焔 プロメテウス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1</v>
      </c>
      <c r="T6" s="25">
        <v>0.1</v>
      </c>
      <c r="U6" s="25">
        <v>1</v>
      </c>
      <c r="V6" s="5">
        <v>0</v>
      </c>
      <c r="W6" s="4" t="str">
        <f ca="1">VLOOKUP($X6,OFFSET(enemy_skill_sets!$B$1,0,0,COUNTA(enemy_skill_sets!$B:$B),MATCH("name",enemy_skill_sets!$1:$1,0)-MATCH(X$1,enemy_skill_sets!$1:$1,0)+2),MATCH("name",enemy_skill_sets!$1:$1,0)-MATCH(X$1,enemy_skill_sets!$1:$1,0)+2,FALSE)</f>
        <v>見えないが ハートパネルが 無効になった！</v>
      </c>
      <c r="X6" s="47">
        <v>112141501</v>
      </c>
      <c r="Y6" s="68">
        <f ca="1">VLOOKUP($M6,OFFSET([3]enemies!$A$1,0,0,COUNTA([3]enemies!$A:$A),MATCH(Y$1,[3]enemies!$1:$1,0)-MATCH($M$1,[3]enemies!$1:$1,0)+1),MATCH(Y$1,[3]enemies!$1:$1,0)-MATCH($M$1,[3]enemies!$1:$1,0)+1,FALSE)</f>
        <v>3</v>
      </c>
    </row>
    <row r="7" spans="1:25" ht="21" customHeight="1">
      <c r="A7" s="16" t="str">
        <f t="shared" ref="A7" si="9">B7&amp;"_"&amp;C7&amp;"-"&amp;G7&amp;"/"&amp;M7&amp;"&lt;lv"&amp;S7&amp;"&gt;sq"&amp;K7&amp;"st"&amp;L7</f>
        <v>11214_1-5/204&lt;lv1&gt;sq1st3</v>
      </c>
      <c r="B7" s="22">
        <v>11214</v>
      </c>
      <c r="C7" s="21">
        <v>1</v>
      </c>
      <c r="D7" s="2" t="str">
        <f t="shared" ref="D7" si="10">B7&amp;"_"&amp;C7</f>
        <v>11214_1</v>
      </c>
      <c r="E7" s="4" t="str">
        <f ca="1">VLOOKUP($B7,OFFSET([2]quests!$A$1,0,0,COUNTA([2]quests!$A:$A),MATCH(E$1,[2]quests!$1:$1,0)-MATCH($B$1,[2]quests!$1:$1,0)+1),MATCH(E$1,[2]quests!$1:$1,0)-MATCH($B$1,[2]quests!$1:$1,0)+1,FALSE)</f>
        <v>プロメテウスの恋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【ストーリー前編】勢いまかせ</v>
      </c>
      <c r="G7" s="21">
        <v>5</v>
      </c>
      <c r="H7" s="15" t="str">
        <f t="shared" ref="H7" si="11">B7&amp;"_"&amp;C7&amp;"-"&amp;G7</f>
        <v>11214_1-5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38">
        <v>3</v>
      </c>
      <c r="M7" s="20">
        <v>204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慟哭の巨焔 プロメテウス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PremiumN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1</v>
      </c>
      <c r="T7" s="25">
        <v>0.1</v>
      </c>
      <c r="U7" s="25">
        <v>1</v>
      </c>
      <c r="V7" s="5">
        <v>0</v>
      </c>
      <c r="W7" s="4" t="str">
        <f ca="1">VLOOKUP($X7,OFFSET(enemy_skill_sets!$B$1,0,0,COUNTA(enemy_skill_sets!$B:$B),MATCH("name",enemy_skill_sets!$1:$1,0)-MATCH(X$1,enemy_skill_sets!$1:$1,0)+2),MATCH("name",enemy_skill_sets!$1:$1,0)-MATCH(X$1,enemy_skill_sets!$1:$1,0)+2,FALSE)</f>
        <v>見えないが ハートパネルが ボムになった！</v>
      </c>
      <c r="X7" s="47">
        <v>112141502</v>
      </c>
      <c r="Y7" s="68">
        <f ca="1">VLOOKUP($M7,OFFSET([3]enemies!$A$1,0,0,COUNTA([3]enemies!$A:$A),MATCH(Y$1,[3]enemies!$1:$1,0)-MATCH($M$1,[3]enemies!$1:$1,0)+1),MATCH(Y$1,[3]enemies!$1:$1,0)-MATCH($M$1,[3]enemies!$1:$1,0)+1,FALSE)</f>
        <v>3</v>
      </c>
    </row>
    <row r="8" spans="1:25" s="90" customFormat="1" ht="21" customHeight="1">
      <c r="A8" s="76" t="str">
        <f t="shared" ref="A8" si="12">B8&amp;"_"&amp;C8&amp;"-"&amp;G8&amp;"/"&amp;M8&amp;"&lt;lv"&amp;S8&amp;"&gt;sq"&amp;K8&amp;"st"&amp;L8</f>
        <v>11214_2-3/297&lt;lv1&gt;sq1st2</v>
      </c>
      <c r="B8" s="77">
        <v>11214</v>
      </c>
      <c r="C8" s="78">
        <v>2</v>
      </c>
      <c r="D8" s="78" t="str">
        <f t="shared" ref="D8" si="13">B8&amp;"_"&amp;C8</f>
        <v>11214_2</v>
      </c>
      <c r="E8" s="79" t="str">
        <f ca="1">VLOOKUP($B8,OFFSET([2]quests!$A$1,0,0,COUNTA([2]quests!$A:$A),MATCH(E$1,[2]quests!$1:$1,0)-MATCH($B$1,[2]quests!$1:$1,0)+1),MATCH(E$1,[2]quests!$1:$1,0)-MATCH($B$1,[2]quests!$1:$1,0)+1,FALSE)</f>
        <v>プロメテウスの恋</v>
      </c>
      <c r="F8" s="79" t="str">
        <f ca="1">VLOOKUP($D8,OFFSET([2]stages!$A$1,0,0,COUNTA([2]stages!$A:$A),MATCH(F$1,[2]stages!$2:$2,0)-MATCH($D$1,[2]stages!$2:$2,0)+1),MATCH(F$1,[2]stages!$2:$2,0)-MATCH($D$1,[2]stages!$2:$2,0)+1,FALSE)</f>
        <v>【ストーリー】恋の奥義</v>
      </c>
      <c r="G8" s="78">
        <v>3</v>
      </c>
      <c r="H8" s="80" t="str">
        <f t="shared" ref="H8" si="14">B8&amp;"_"&amp;C8&amp;"-"&amp;G8</f>
        <v>11214_2-3</v>
      </c>
      <c r="I8" s="79">
        <f ca="1">VLOOKUP($H8,OFFSET(floors!$A$1,0,0,COUNTA(floors!$A:$A),MATCH(I$1,floors!$1:$1,0)-MATCH($H$1,floors!$1:$1,0)+1),MATCH(I$1,floors!$1:$1,0)-MATCH($H$1,floors!$1:$1,0)+1,FALSE)</f>
        <v>60</v>
      </c>
      <c r="J8" s="79">
        <f ca="1">VLOOKUP($H8,OFFSET(floors!$A$1,0,0,COUNTA(floors!$A:$A),MATCH(J$1,floors!$1:$1,0)-MATCH($H$1,floors!$1:$1,0)+1),MATCH(J$1,floors!$1:$1,0)-MATCH($H$1,floors!$1:$1,0)+1,FALSE)</f>
        <v>60</v>
      </c>
      <c r="K8" s="81">
        <v>1</v>
      </c>
      <c r="L8" s="81">
        <v>2</v>
      </c>
      <c r="M8" s="78">
        <v>297</v>
      </c>
      <c r="N8" s="82" t="str">
        <f ca="1">VLOOKUP($M8,OFFSET([3]enemies!$A$1,0,0,COUNTA([3]enemies!$A:$A),MATCH(N$1,[3]enemies!$1:$1,0)-MATCH($M$1,[3]enemies!$1:$1,0)+1),MATCH(N$1,[3]enemies!$1:$1,0)-MATCH($M$1,[3]enemies!$1:$1,0)+1,FALSE)</f>
        <v>狂靭なる双撃 アザゼル</v>
      </c>
      <c r="O8" s="82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82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82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82">
        <f ca="1">VLOOKUP($M8,OFFSET([3]enemies!$A$1,0,0,COUNTA([3]enemies!$A:$A),MATCH(R$1,[3]enemies!$1:$1,0)-MATCH($M$1,[3]enemies!$1:$1,0)+1),MATCH(R$1,[3]enemies!$1:$1,0)-MATCH($M$1,[3]enemies!$1:$1,0)+1,FALSE)</f>
        <v>60</v>
      </c>
      <c r="S8" s="83">
        <v>1</v>
      </c>
      <c r="T8" s="84">
        <v>1</v>
      </c>
      <c r="U8" s="84">
        <v>1</v>
      </c>
      <c r="V8" s="83">
        <v>0</v>
      </c>
      <c r="W8" s="79" t="str">
        <f ca="1">VLOOKUP($X8,OFFSET(enemy_skill_sets!$B$1,0,0,COUNTA(enemy_skill_sets!$B:$B),MATCH("name",enemy_skill_sets!$1:$1,0)-MATCH(X$1,enemy_skill_sets!$1:$1,0)+2),MATCH("name",enemy_skill_sets!$1:$1,0)-MATCH(X$1,enemy_skill_sets!$1:$1,0)+2,FALSE)</f>
        <v>アザゼルは 飛び去っていった…</v>
      </c>
      <c r="X8" s="92">
        <v>112142309</v>
      </c>
      <c r="Y8" s="93">
        <f ca="1">VLOOKUP($M8,OFFSET([3]enemies!$A$1,0,0,COUNTA([3]enemies!$A:$A),MATCH(Y$1,[3]enemies!$1:$1,0)-MATCH($M$1,[3]enemies!$1:$1,0)+1),MATCH(Y$1,[3]enemies!$1:$1,0)-MATCH($M$1,[3]enemies!$1:$1,0)+1,FALSE)</f>
        <v>2</v>
      </c>
    </row>
    <row r="9" spans="1:25" s="90" customFormat="1" ht="21" customHeight="1">
      <c r="A9" s="76" t="str">
        <f t="shared" si="0"/>
        <v>11214_2-4/520&lt;lv1&gt;sq1st2</v>
      </c>
      <c r="B9" s="77">
        <v>11214</v>
      </c>
      <c r="C9" s="78">
        <v>2</v>
      </c>
      <c r="D9" s="78" t="str">
        <f t="shared" si="1"/>
        <v>11214_2</v>
      </c>
      <c r="E9" s="79" t="str">
        <f ca="1">VLOOKUP($B9,OFFSET([2]quests!$A$1,0,0,COUNTA([2]quests!$A:$A),MATCH(E$1,[2]quests!$1:$1,0)-MATCH($B$1,[2]quests!$1:$1,0)+1),MATCH(E$1,[2]quests!$1:$1,0)-MATCH($B$1,[2]quests!$1:$1,0)+1,FALSE)</f>
        <v>プロメテウスの恋</v>
      </c>
      <c r="F9" s="79" t="str">
        <f ca="1">VLOOKUP($D9,OFFSET([2]stages!$A$1,0,0,COUNTA([2]stages!$A:$A),MATCH(F$1,[2]stages!$2:$2,0)-MATCH($D$1,[2]stages!$2:$2,0)+1),MATCH(F$1,[2]stages!$2:$2,0)-MATCH($D$1,[2]stages!$2:$2,0)+1,FALSE)</f>
        <v>【ストーリー】恋の奥義</v>
      </c>
      <c r="G9" s="78">
        <v>4</v>
      </c>
      <c r="H9" s="80" t="str">
        <f t="shared" si="2"/>
        <v>11214_2-4</v>
      </c>
      <c r="I9" s="79">
        <f ca="1">VLOOKUP($H9,OFFSET(floors!$A$1,0,0,COUNTA(floors!$A:$A),MATCH(I$1,floors!$1:$1,0)-MATCH($H$1,floors!$1:$1,0)+1),MATCH(I$1,floors!$1:$1,0)-MATCH($H$1,floors!$1:$1,0)+1,FALSE)</f>
        <v>50</v>
      </c>
      <c r="J9" s="79">
        <f ca="1">VLOOKUP($H9,OFFSET(floors!$A$1,0,0,COUNTA(floors!$A:$A),MATCH(J$1,floors!$1:$1,0)-MATCH($H$1,floors!$1:$1,0)+1),MATCH(J$1,floors!$1:$1,0)-MATCH($H$1,floors!$1:$1,0)+1,FALSE)</f>
        <v>50</v>
      </c>
      <c r="K9" s="81">
        <v>1</v>
      </c>
      <c r="L9" s="81">
        <v>2</v>
      </c>
      <c r="M9" s="78">
        <v>520</v>
      </c>
      <c r="N9" s="82" t="str">
        <f ca="1">VLOOKUP($M9,OFFSET([3]enemies!$A$1,0,0,COUNTA([3]enemies!$A:$A),MATCH(N$1,[3]enemies!$1:$1,0)-MATCH($M$1,[3]enemies!$1:$1,0)+1),MATCH(N$1,[3]enemies!$1:$1,0)-MATCH($M$1,[3]enemies!$1:$1,0)+1,FALSE)</f>
        <v>サンタダック</v>
      </c>
      <c r="O9" s="82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82" t="str">
        <f ca="1">VLOOKUP($M9,OFFSET([4]characters!$A$1,0,0,COUNTA([4]characters!$A:$A),MATCH(P$1,[4]characters!$1:$1,0)-MATCH($M$1,[4]characters!$1:$1,0)+1),MATCH(P$1,[4]characters!$1:$1,0)-MATCH($M$1,[4]characters!$1:$1,0)+1,FALSE)</f>
        <v>Material</v>
      </c>
      <c r="Q9" s="82" t="str">
        <f ca="1">VLOOKUP($M9,OFFSET([3]enemies!$A$1,0,0,COUNTA([3]enemies!$A:$A),MATCH(Q$1,[3]enemies!$1:$1,0)-MATCH($M$1,[3]enemies!$1:$1,0)+1),MATCH(Q$1,[3]enemies!$1:$1,0)-MATCH($M$1,[3]enemies!$1:$1,0)+1,FALSE)</f>
        <v>unknown</v>
      </c>
      <c r="R9" s="82">
        <f ca="1">VLOOKUP($M9,OFFSET([3]enemies!$A$1,0,0,COUNTA([3]enemies!$A:$A),MATCH(R$1,[3]enemies!$1:$1,0)-MATCH($M$1,[3]enemies!$1:$1,0)+1),MATCH(R$1,[3]enemies!$1:$1,0)-MATCH($M$1,[3]enemies!$1:$1,0)+1,FALSE)</f>
        <v>20</v>
      </c>
      <c r="S9" s="83">
        <v>1</v>
      </c>
      <c r="T9" s="84">
        <v>1</v>
      </c>
      <c r="U9" s="84">
        <v>1</v>
      </c>
      <c r="V9" s="83">
        <v>0</v>
      </c>
      <c r="W9" s="79" t="str">
        <f ca="1">VLOOKUP($X9,OFFSET(enemy_skill_sets!$B$1,0,0,COUNTA(enemy_skill_sets!$B:$B),MATCH("name",enemy_skill_sets!$1:$1,0)-MATCH(X$1,enemy_skill_sets!$1:$1,0)+2),MATCH("name",enemy_skill_sets!$1:$1,0)-MATCH(X$1,enemy_skill_sets!$1:$1,0)+2,FALSE)</f>
        <v>つづく</v>
      </c>
      <c r="X9" s="92">
        <v>112142429</v>
      </c>
      <c r="Y9" s="93">
        <f ca="1">VLOOKUP($M9,OFFSET([3]enemies!$A$1,0,0,COUNTA([3]enemies!$A:$A),MATCH(Y$1,[3]enemies!$1:$1,0)-MATCH($M$1,[3]enemies!$1:$1,0)+1),MATCH(Y$1,[3]enemies!$1:$1,0)-MATCH($M$1,[3]enemies!$1:$1,0)+1,FALSE)</f>
        <v>3</v>
      </c>
    </row>
    <row r="10" spans="1:25" ht="21" customHeight="1">
      <c r="A10" s="16" t="str">
        <f t="shared" si="0"/>
        <v>11214_3-2/202&lt;lv1&gt;sq1st2</v>
      </c>
      <c r="B10" s="22">
        <v>11214</v>
      </c>
      <c r="C10" s="21">
        <v>3</v>
      </c>
      <c r="D10" s="2" t="str">
        <f t="shared" si="1"/>
        <v>11214_3</v>
      </c>
      <c r="E10" s="4" t="str">
        <f ca="1">VLOOKUP($B10,OFFSET([2]quests!$A$1,0,0,COUNTA([2]quests!$A:$A),MATCH(E$1,[2]quests!$1:$1,0)-MATCH($B$1,[2]quests!$1:$1,0)+1),MATCH(E$1,[2]quests!$1:$1,0)-MATCH($B$1,[2]quests!$1:$1,0)+1,FALSE)</f>
        <v>プロメテウスの恋</v>
      </c>
      <c r="F10" s="4" t="str">
        <f ca="1">VLOOKUP($D10,OFFSET([2]stages!$A$1,0,0,COUNTA([2]stages!$A:$A),MATCH(F$1,[2]stages!$2:$2,0)-MATCH($D$1,[2]stages!$2:$2,0)+1),MATCH(F$1,[2]stages!$2:$2,0)-MATCH($D$1,[2]stages!$2:$2,0)+1,FALSE)</f>
        <v>【ストーリー後編】フィーバーの力</v>
      </c>
      <c r="G10" s="21">
        <v>2</v>
      </c>
      <c r="H10" s="15" t="str">
        <f t="shared" si="2"/>
        <v>11214_3-2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>
        <v>1</v>
      </c>
      <c r="L10" s="38">
        <v>2</v>
      </c>
      <c r="M10" s="20">
        <v>202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プロメテウス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PremiumN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god</v>
      </c>
      <c r="R10" s="17">
        <f ca="1">VLOOKUP($M10,OFFSET([3]enemies!$A$1,0,0,COUNTA([3]enemies!$A:$A),MATCH(R$1,[3]enemies!$1:$1,0)-MATCH($M$1,[3]enemies!$1:$1,0)+1),MATCH(R$1,[3]enemies!$1:$1,0)-MATCH($M$1,[3]enemies!$1:$1,0)+1,FALSE)</f>
        <v>20</v>
      </c>
      <c r="S10" s="5">
        <v>1</v>
      </c>
      <c r="T10" s="25">
        <v>0.1</v>
      </c>
      <c r="U10" s="25">
        <v>1</v>
      </c>
      <c r="V10" s="5">
        <v>0</v>
      </c>
      <c r="W10" s="4" t="str">
        <f ca="1">VLOOKUP($X10,OFFSET(enemy_skill_sets!$B$1,0,0,COUNTA(enemy_skill_sets!$B:$B),MATCH("name",enemy_skill_sets!$1:$1,0)-MATCH(X$1,enemy_skill_sets!$1:$1,0)+2),MATCH("name",enemy_skill_sets!$1:$1,0)-MATCH(X$1,enemy_skill_sets!$1:$1,0)+2,FALSE)</f>
        <v>ヤル気に 満ちあふれている！</v>
      </c>
      <c r="X10" s="71">
        <v>112143220</v>
      </c>
      <c r="Y10" s="68">
        <f ca="1">VLOOKUP($M10,OFFSET([3]enemies!$A$1,0,0,COUNTA([3]enemies!$A:$A),MATCH(Y$1,[3]enemies!$1:$1,0)-MATCH($M$1,[3]enemies!$1:$1,0)+1),MATCH(Y$1,[3]enemies!$1:$1,0)-MATCH($M$1,[3]enemies!$1:$1,0)+1,FALSE)</f>
        <v>3</v>
      </c>
    </row>
    <row r="11" spans="1:25" ht="21" customHeight="1">
      <c r="A11" s="16" t="str">
        <f t="shared" si="0"/>
        <v>11214_3-3/202&lt;lv1&gt;sq1st2</v>
      </c>
      <c r="B11" s="22">
        <v>11214</v>
      </c>
      <c r="C11" s="21">
        <v>3</v>
      </c>
      <c r="D11" s="2" t="str">
        <f t="shared" si="1"/>
        <v>11214_3</v>
      </c>
      <c r="E11" s="4" t="str">
        <f ca="1">VLOOKUP($B11,OFFSET([2]quests!$A$1,0,0,COUNTA([2]quests!$A:$A),MATCH(E$1,[2]quests!$1:$1,0)-MATCH($B$1,[2]quests!$1:$1,0)+1),MATCH(E$1,[2]quests!$1:$1,0)-MATCH($B$1,[2]quests!$1:$1,0)+1,FALSE)</f>
        <v>プロメテウスの恋</v>
      </c>
      <c r="F11" s="4" t="str">
        <f ca="1">VLOOKUP($D11,OFFSET([2]stages!$A$1,0,0,COUNTA([2]stages!$A:$A),MATCH(F$1,[2]stages!$2:$2,0)-MATCH($D$1,[2]stages!$2:$2,0)+1),MATCH(F$1,[2]stages!$2:$2,0)-MATCH($D$1,[2]stages!$2:$2,0)+1,FALSE)</f>
        <v>【ストーリー後編】フィーバーの力</v>
      </c>
      <c r="G11" s="21">
        <v>3</v>
      </c>
      <c r="H11" s="15" t="str">
        <f t="shared" si="2"/>
        <v>11214_3-3</v>
      </c>
      <c r="I11" s="4">
        <f ca="1">VLOOKUP($H11,OFFSET(floors!$A$1,0,0,COUNTA(floors!$A:$A),MATCH(I$1,floors!$1:$1,0)-MATCH($H$1,floors!$1:$1,0)+1),MATCH(I$1,floors!$1:$1,0)-MATCH($H$1,floors!$1:$1,0)+1,FALSE)</f>
        <v>50</v>
      </c>
      <c r="J11" s="4">
        <f ca="1">VLOOKUP($H11,OFFSET(floors!$A$1,0,0,COUNTA(floors!$A:$A),MATCH(J$1,floors!$1:$1,0)-MATCH($H$1,floors!$1:$1,0)+1),MATCH(J$1,floors!$1:$1,0)-MATCH($H$1,floors!$1:$1,0)+1,FALSE)</f>
        <v>50</v>
      </c>
      <c r="K11" s="38">
        <v>1</v>
      </c>
      <c r="L11" s="38">
        <v>2</v>
      </c>
      <c r="M11" s="20">
        <v>202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プロメテウス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red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PremiumN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god</v>
      </c>
      <c r="R11" s="17">
        <f ca="1">VLOOKUP($M11,OFFSET([3]enemies!$A$1,0,0,COUNTA([3]enemies!$A:$A),MATCH(R$1,[3]enemies!$1:$1,0)-MATCH($M$1,[3]enemies!$1:$1,0)+1),MATCH(R$1,[3]enemies!$1:$1,0)-MATCH($M$1,[3]enemies!$1:$1,0)+1,FALSE)</f>
        <v>20</v>
      </c>
      <c r="S11" s="5">
        <v>1</v>
      </c>
      <c r="T11" s="25">
        <v>0.1</v>
      </c>
      <c r="U11" s="25">
        <v>1</v>
      </c>
      <c r="V11" s="5">
        <v>0</v>
      </c>
      <c r="W11" s="4" t="str">
        <f ca="1">VLOOKUP($X11,OFFSET(enemy_skill_sets!$B$1,0,0,COUNTA(enemy_skill_sets!$B:$B),MATCH("name",enemy_skill_sets!$1:$1,0)-MATCH(X$1,enemy_skill_sets!$1:$1,0)+2),MATCH("name",enemy_skill_sets!$1:$1,0)-MATCH(X$1,enemy_skill_sets!$1:$1,0)+2,FALSE)</f>
        <v>プロメテウスは 力なく倒れた…</v>
      </c>
      <c r="X11" s="71">
        <v>112143309</v>
      </c>
      <c r="Y11" s="68">
        <f ca="1">VLOOKUP($M11,OFFSET([3]enemies!$A$1,0,0,COUNTA([3]enemies!$A:$A),MATCH(Y$1,[3]enemies!$1:$1,0)-MATCH($M$1,[3]enemies!$1:$1,0)+1),MATCH(Y$1,[3]enemies!$1:$1,0)-MATCH($M$1,[3]enemies!$1:$1,0)+1,FALSE)</f>
        <v>3</v>
      </c>
    </row>
    <row r="12" spans="1:25" ht="21" customHeight="1">
      <c r="A12" s="16" t="str">
        <f t="shared" si="0"/>
        <v>11214_3-4/515&lt;lv1&gt;sq1st2</v>
      </c>
      <c r="B12" s="22">
        <v>11214</v>
      </c>
      <c r="C12" s="21">
        <v>3</v>
      </c>
      <c r="D12" s="2" t="str">
        <f t="shared" si="1"/>
        <v>11214_3</v>
      </c>
      <c r="E12" s="4" t="str">
        <f ca="1">VLOOKUP($B12,OFFSET([2]quests!$A$1,0,0,COUNTA([2]quests!$A:$A),MATCH(E$1,[2]quests!$1:$1,0)-MATCH($B$1,[2]quests!$1:$1,0)+1),MATCH(E$1,[2]quests!$1:$1,0)-MATCH($B$1,[2]quests!$1:$1,0)+1,FALSE)</f>
        <v>プロメテウスの恋</v>
      </c>
      <c r="F12" s="4" t="str">
        <f ca="1">VLOOKUP($D12,OFFSET([2]stages!$A$1,0,0,COUNTA([2]stages!$A:$A),MATCH(F$1,[2]stages!$2:$2,0)-MATCH($D$1,[2]stages!$2:$2,0)+1),MATCH(F$1,[2]stages!$2:$2,0)-MATCH($D$1,[2]stages!$2:$2,0)+1,FALSE)</f>
        <v>【ストーリー後編】フィーバーの力</v>
      </c>
      <c r="G12" s="21">
        <v>4</v>
      </c>
      <c r="H12" s="15" t="str">
        <f t="shared" si="2"/>
        <v>11214_3-4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>
        <v>1</v>
      </c>
      <c r="L12" s="38">
        <v>2</v>
      </c>
      <c r="M12" s="21">
        <v>515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聖夜の贈主 サンタクロース・オセ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PremiumS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god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1</v>
      </c>
      <c r="T12" s="25">
        <v>1</v>
      </c>
      <c r="U12" s="25">
        <v>1</v>
      </c>
      <c r="V12" s="5">
        <v>0</v>
      </c>
      <c r="W12" s="4" t="str">
        <f ca="1">VLOOKUP($X12,OFFSET(enemy_skill_sets!$B$1,0,0,COUNTA(enemy_skill_sets!$B:$B),MATCH("name",enemy_skill_sets!$1:$1,0)-MATCH(X$1,enemy_skill_sets!$1:$1,0)+2),MATCH("name",enemy_skill_sets!$1:$1,0)-MATCH(X$1,enemy_skill_sets!$1:$1,0)+2,FALSE)</f>
        <v>全てのクラファーに メリークリスマス！</v>
      </c>
      <c r="X12" s="47">
        <v>112143409</v>
      </c>
      <c r="Y12" s="68">
        <f ca="1">VLOOKUP($M12,OFFSET([3]enemies!$A$1,0,0,COUNTA([3]enemies!$A:$A),MATCH(Y$1,[3]enemies!$1:$1,0)-MATCH($M$1,[3]enemies!$1:$1,0)+1),MATCH(Y$1,[3]enemies!$1:$1,0)-MATCH($M$1,[3]enemies!$1:$1,0)+1,FALSE)</f>
        <v>3</v>
      </c>
    </row>
    <row r="13" spans="1:25" ht="21" customHeight="1">
      <c r="A13" s="16" t="str">
        <f t="shared" si="0"/>
        <v>11215_1-3/333&lt;lv3&gt;sq1st2</v>
      </c>
      <c r="B13" s="22">
        <v>11215</v>
      </c>
      <c r="C13" s="21">
        <v>1</v>
      </c>
      <c r="D13" s="2" t="str">
        <f t="shared" si="1"/>
        <v>11215_1</v>
      </c>
      <c r="E13" s="4" t="str">
        <f ca="1">VLOOKUP($B13,OFFSET([2]quests!$A$1,0,0,COUNTA([2]quests!$A:$A),MATCH(E$1,[2]quests!$1:$1,0)-MATCH($B$1,[2]quests!$1:$1,0)+1),MATCH(E$1,[2]quests!$1:$1,0)-MATCH($B$1,[2]quests!$1:$1,0)+1,FALSE)</f>
        <v>【マルチ】サンタダックを捕獲せよ！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【上級】サンタダックを捕獲せよ！</v>
      </c>
      <c r="G13" s="21">
        <v>3</v>
      </c>
      <c r="H13" s="15" t="str">
        <f t="shared" si="2"/>
        <v>11215_1-3</v>
      </c>
      <c r="I13" s="4">
        <f ca="1">VLOOKUP($H13,OFFSET(floors!$A$1,0,0,COUNTA(floors!$A:$A),MATCH(I$1,floors!$1:$1,0)-MATCH($H$1,floors!$1:$1,0)+1),MATCH(I$1,floors!$1:$1,0)-MATCH($H$1,floors!$1:$1,0)+1,FALSE)</f>
        <v>15</v>
      </c>
      <c r="J13" s="4">
        <f ca="1">VLOOKUP($H13,OFFSET(floors!$A$1,0,0,COUNTA(floors!$A:$A),MATCH(J$1,floors!$1:$1,0)-MATCH($H$1,floors!$1:$1,0)+1),MATCH(J$1,floors!$1:$1,0)-MATCH($H$1,floors!$1:$1,0)+1,FALSE)</f>
        <v>15</v>
      </c>
      <c r="K13" s="38">
        <v>1</v>
      </c>
      <c r="L13" s="38">
        <v>2</v>
      </c>
      <c r="M13" s="20">
        <v>333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炎のメタルチック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red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Material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unknown</v>
      </c>
      <c r="R13" s="17">
        <f ca="1">VLOOKUP($M13,OFFSET([3]enemies!$A$1,0,0,COUNTA([3]enemies!$A:$A),MATCH(R$1,[3]enemies!$1:$1,0)-MATCH($M$1,[3]enemies!$1:$1,0)+1),MATCH(R$1,[3]enemies!$1:$1,0)-MATCH($M$1,[3]enemies!$1:$1,0)+1,FALSE)</f>
        <v>15</v>
      </c>
      <c r="S13" s="74">
        <v>3</v>
      </c>
      <c r="T13" s="25">
        <v>1</v>
      </c>
      <c r="U13" s="25">
        <v>35</v>
      </c>
      <c r="V13" s="5">
        <v>-9000</v>
      </c>
      <c r="W13" s="4" t="str">
        <f ca="1">VLOOKUP($X13,OFFSET(enemy_skill_sets!$B$1,0,0,COUNTA(enemy_skill_sets!$B:$B),MATCH("name",enemy_skill_sets!$1:$1,0)-MATCH(X$1,enemy_skill_sets!$1:$1,0)+2),MATCH("name",enemy_skill_sets!$1:$1,0)-MATCH(X$1,enemy_skill_sets!$1:$1,0)+2,FALSE)</f>
        <v>ピヨピヨは チックに成長した！</v>
      </c>
      <c r="X13" s="71">
        <v>112143000</v>
      </c>
      <c r="Y13" s="68">
        <f ca="1">VLOOKUP($M13,OFFSET([3]enemies!$A$1,0,0,COUNTA([3]enemies!$A:$A),MATCH(Y$1,[3]enemies!$1:$1,0)-MATCH($M$1,[3]enemies!$1:$1,0)+1),MATCH(Y$1,[3]enemies!$1:$1,0)-MATCH($M$1,[3]enemies!$1:$1,0)+1,FALSE)</f>
        <v>2</v>
      </c>
    </row>
    <row r="14" spans="1:25" ht="21" customHeight="1">
      <c r="A14" s="16" t="str">
        <f t="shared" si="0"/>
        <v>11215_1-3/337&lt;lv3&gt;sq2st2</v>
      </c>
      <c r="B14" s="22">
        <v>11215</v>
      </c>
      <c r="C14" s="21">
        <v>1</v>
      </c>
      <c r="D14" s="2" t="str">
        <f t="shared" si="1"/>
        <v>11215_1</v>
      </c>
      <c r="E14" s="4" t="str">
        <f ca="1">VLOOKUP($B14,OFFSET([2]quests!$A$1,0,0,COUNTA([2]quests!$A:$A),MATCH(E$1,[2]quests!$1:$1,0)-MATCH($B$1,[2]quests!$1:$1,0)+1),MATCH(E$1,[2]quests!$1:$1,0)-MATCH($B$1,[2]quests!$1:$1,0)+1,FALSE)</f>
        <v>【マルチ】サンタダックを捕獲せよ！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【上級】サンタダックを捕獲せよ！</v>
      </c>
      <c r="G14" s="21">
        <v>3</v>
      </c>
      <c r="H14" s="15" t="str">
        <f t="shared" si="2"/>
        <v>11215_1-3</v>
      </c>
      <c r="I14" s="4">
        <f ca="1">VLOOKUP($H14,OFFSET(floors!$A$1,0,0,COUNTA(floors!$A:$A),MATCH(I$1,floors!$1:$1,0)-MATCH($H$1,floors!$1:$1,0)+1),MATCH(I$1,floors!$1:$1,0)-MATCH($H$1,floors!$1:$1,0)+1,FALSE)</f>
        <v>15</v>
      </c>
      <c r="J14" s="4">
        <f ca="1">VLOOKUP($H14,OFFSET(floors!$A$1,0,0,COUNTA(floors!$A:$A),MATCH(J$1,floors!$1:$1,0)-MATCH($H$1,floors!$1:$1,0)+1),MATCH(J$1,floors!$1:$1,0)-MATCH($H$1,floors!$1:$1,0)+1,FALSE)</f>
        <v>15</v>
      </c>
      <c r="K14" s="38">
        <v>2</v>
      </c>
      <c r="L14" s="38">
        <v>2</v>
      </c>
      <c r="M14" s="20">
        <v>337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森のメタルチック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green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Material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unknown</v>
      </c>
      <c r="R14" s="17">
        <f ca="1">VLOOKUP($M14,OFFSET([3]enemies!$A$1,0,0,COUNTA([3]enemies!$A:$A),MATCH(R$1,[3]enemies!$1:$1,0)-MATCH($M$1,[3]enemies!$1:$1,0)+1),MATCH(R$1,[3]enemies!$1:$1,0)-MATCH($M$1,[3]enemies!$1:$1,0)+1,FALSE)</f>
        <v>15</v>
      </c>
      <c r="S14" s="74">
        <v>3</v>
      </c>
      <c r="T14" s="25">
        <v>1</v>
      </c>
      <c r="U14" s="25">
        <v>35</v>
      </c>
      <c r="V14" s="5">
        <v>-9000</v>
      </c>
      <c r="W14" s="4" t="str">
        <f ca="1">VLOOKUP($X14,OFFSET(enemy_skill_sets!$B$1,0,0,COUNTA(enemy_skill_sets!$B:$B),MATCH("name",enemy_skill_sets!$1:$1,0)-MATCH(X$1,enemy_skill_sets!$1:$1,0)+2),MATCH("name",enemy_skill_sets!$1:$1,0)-MATCH(X$1,enemy_skill_sets!$1:$1,0)+2,FALSE)</f>
        <v>ピヨピヨは チックに成長した！</v>
      </c>
      <c r="X14" s="71">
        <v>112143000</v>
      </c>
      <c r="Y14" s="68">
        <f ca="1">VLOOKUP($M14,OFFSET([3]enemies!$A$1,0,0,COUNTA([3]enemies!$A:$A),MATCH(Y$1,[3]enemies!$1:$1,0)-MATCH($M$1,[3]enemies!$1:$1,0)+1),MATCH(Y$1,[3]enemies!$1:$1,0)-MATCH($M$1,[3]enemies!$1:$1,0)+1,FALSE)</f>
        <v>2</v>
      </c>
    </row>
    <row r="15" spans="1:25" ht="21" customHeight="1">
      <c r="A15" s="16" t="str">
        <f t="shared" si="0"/>
        <v>11215_1-3/341&lt;lv3&gt;sq3st2</v>
      </c>
      <c r="B15" s="22">
        <v>11215</v>
      </c>
      <c r="C15" s="21">
        <v>1</v>
      </c>
      <c r="D15" s="2" t="str">
        <f t="shared" si="1"/>
        <v>11215_1</v>
      </c>
      <c r="E15" s="4" t="str">
        <f ca="1">VLOOKUP($B15,OFFSET([2]quests!$A$1,0,0,COUNTA([2]quests!$A:$A),MATCH(E$1,[2]quests!$1:$1,0)-MATCH($B$1,[2]quests!$1:$1,0)+1),MATCH(E$1,[2]quests!$1:$1,0)-MATCH($B$1,[2]quests!$1:$1,0)+1,FALSE)</f>
        <v>【マルチ】サンタダックを捕獲せよ！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【上級】サンタダックを捕獲せよ！</v>
      </c>
      <c r="G15" s="21">
        <v>3</v>
      </c>
      <c r="H15" s="15" t="str">
        <f t="shared" si="2"/>
        <v>11215_1-3</v>
      </c>
      <c r="I15" s="4">
        <f ca="1">VLOOKUP($H15,OFFSET(floors!$A$1,0,0,COUNTA(floors!$A:$A),MATCH(I$1,floors!$1:$1,0)-MATCH($H$1,floors!$1:$1,0)+1),MATCH(I$1,floors!$1:$1,0)-MATCH($H$1,floors!$1:$1,0)+1,FALSE)</f>
        <v>15</v>
      </c>
      <c r="J15" s="4">
        <f ca="1">VLOOKUP($H15,OFFSET(floors!$A$1,0,0,COUNTA(floors!$A:$A),MATCH(J$1,floors!$1:$1,0)-MATCH($H$1,floors!$1:$1,0)+1),MATCH(J$1,floors!$1:$1,0)-MATCH($H$1,floors!$1:$1,0)+1,FALSE)</f>
        <v>15</v>
      </c>
      <c r="K15" s="38">
        <v>3</v>
      </c>
      <c r="L15" s="38">
        <v>2</v>
      </c>
      <c r="M15" s="20">
        <v>341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水のメタルチック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blue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Material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unknown</v>
      </c>
      <c r="R15" s="17">
        <f ca="1">VLOOKUP($M15,OFFSET([3]enemies!$A$1,0,0,COUNTA([3]enemies!$A:$A),MATCH(R$1,[3]enemies!$1:$1,0)-MATCH($M$1,[3]enemies!$1:$1,0)+1),MATCH(R$1,[3]enemies!$1:$1,0)-MATCH($M$1,[3]enemies!$1:$1,0)+1,FALSE)</f>
        <v>15</v>
      </c>
      <c r="S15" s="74">
        <v>3</v>
      </c>
      <c r="T15" s="25">
        <v>1</v>
      </c>
      <c r="U15" s="25">
        <v>35</v>
      </c>
      <c r="V15" s="5">
        <v>-9000</v>
      </c>
      <c r="W15" s="4" t="str">
        <f ca="1">VLOOKUP($X15,OFFSET(enemy_skill_sets!$B$1,0,0,COUNTA(enemy_skill_sets!$B:$B),MATCH("name",enemy_skill_sets!$1:$1,0)-MATCH(X$1,enemy_skill_sets!$1:$1,0)+2),MATCH("name",enemy_skill_sets!$1:$1,0)-MATCH(X$1,enemy_skill_sets!$1:$1,0)+2,FALSE)</f>
        <v>ピヨピヨは チックに成長した！</v>
      </c>
      <c r="X15" s="71">
        <v>112143000</v>
      </c>
      <c r="Y15" s="68">
        <f ca="1">VLOOKUP($M15,OFFSET([3]enemies!$A$1,0,0,COUNTA([3]enemies!$A:$A),MATCH(Y$1,[3]enemies!$1:$1,0)-MATCH($M$1,[3]enemies!$1:$1,0)+1),MATCH(Y$1,[3]enemies!$1:$1,0)-MATCH($M$1,[3]enemies!$1:$1,0)+1,FALSE)</f>
        <v>2</v>
      </c>
    </row>
    <row r="16" spans="1:25" ht="21" customHeight="1">
      <c r="A16" s="16" t="str">
        <f t="shared" si="0"/>
        <v>11215_1-3/345&lt;lv3&gt;sq4st2</v>
      </c>
      <c r="B16" s="22">
        <v>11215</v>
      </c>
      <c r="C16" s="21">
        <v>1</v>
      </c>
      <c r="D16" s="2" t="str">
        <f t="shared" si="1"/>
        <v>11215_1</v>
      </c>
      <c r="E16" s="4" t="str">
        <f ca="1">VLOOKUP($B16,OFFSET([2]quests!$A$1,0,0,COUNTA([2]quests!$A:$A),MATCH(E$1,[2]quests!$1:$1,0)-MATCH($B$1,[2]quests!$1:$1,0)+1),MATCH(E$1,[2]quests!$1:$1,0)-MATCH($B$1,[2]quests!$1:$1,0)+1,FALSE)</f>
        <v>【マルチ】サンタダックを捕獲せよ！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【上級】サンタダックを捕獲せよ！</v>
      </c>
      <c r="G16" s="21">
        <v>3</v>
      </c>
      <c r="H16" s="15" t="str">
        <f t="shared" si="2"/>
        <v>11215_1-3</v>
      </c>
      <c r="I16" s="4">
        <f ca="1">VLOOKUP($H16,OFFSET(floors!$A$1,0,0,COUNTA(floors!$A:$A),MATCH(I$1,floors!$1:$1,0)-MATCH($H$1,floors!$1:$1,0)+1),MATCH(I$1,floors!$1:$1,0)-MATCH($H$1,floors!$1:$1,0)+1,FALSE)</f>
        <v>15</v>
      </c>
      <c r="J16" s="4">
        <f ca="1">VLOOKUP($H16,OFFSET(floors!$A$1,0,0,COUNTA(floors!$A:$A),MATCH(J$1,floors!$1:$1,0)-MATCH($H$1,floors!$1:$1,0)+1),MATCH(J$1,floors!$1:$1,0)-MATCH($H$1,floors!$1:$1,0)+1,FALSE)</f>
        <v>15</v>
      </c>
      <c r="K16" s="38">
        <v>4</v>
      </c>
      <c r="L16" s="38">
        <v>2</v>
      </c>
      <c r="M16" s="20">
        <v>345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雷のメタルチック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yellow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Material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17">
        <f ca="1">VLOOKUP($M16,OFFSET([3]enemies!$A$1,0,0,COUNTA([3]enemies!$A:$A),MATCH(R$1,[3]enemies!$1:$1,0)-MATCH($M$1,[3]enemies!$1:$1,0)+1),MATCH(R$1,[3]enemies!$1:$1,0)-MATCH($M$1,[3]enemies!$1:$1,0)+1,FALSE)</f>
        <v>15</v>
      </c>
      <c r="S16" s="74">
        <v>3</v>
      </c>
      <c r="T16" s="25">
        <v>1</v>
      </c>
      <c r="U16" s="25">
        <v>35</v>
      </c>
      <c r="V16" s="5">
        <v>-9000</v>
      </c>
      <c r="W16" s="4" t="str">
        <f ca="1">VLOOKUP($X16,OFFSET(enemy_skill_sets!$B$1,0,0,COUNTA(enemy_skill_sets!$B:$B),MATCH("name",enemy_skill_sets!$1:$1,0)-MATCH(X$1,enemy_skill_sets!$1:$1,0)+2),MATCH("name",enemy_skill_sets!$1:$1,0)-MATCH(X$1,enemy_skill_sets!$1:$1,0)+2,FALSE)</f>
        <v>ピヨピヨは チックに成長した！</v>
      </c>
      <c r="X16" s="71">
        <v>112143000</v>
      </c>
      <c r="Y16" s="68">
        <f ca="1">VLOOKUP($M16,OFFSET([3]enemies!$A$1,0,0,COUNTA([3]enemies!$A:$A),MATCH(Y$1,[3]enemies!$1:$1,0)-MATCH($M$1,[3]enemies!$1:$1,0)+1),MATCH(Y$1,[3]enemies!$1:$1,0)-MATCH($M$1,[3]enemies!$1:$1,0)+1,FALSE)</f>
        <v>2</v>
      </c>
    </row>
    <row r="17" spans="1:25" ht="21" customHeight="1">
      <c r="A17" s="16" t="str">
        <f t="shared" ref="A17:A18" si="15">B17&amp;"_"&amp;C17&amp;"-"&amp;G17&amp;"/"&amp;M17&amp;"&lt;lv"&amp;S17&amp;"&gt;sq"&amp;K17&amp;"st"&amp;L17</f>
        <v>11215_1-3/520&lt;lv3&gt;sq5st2</v>
      </c>
      <c r="B17" s="22">
        <v>11215</v>
      </c>
      <c r="C17" s="21">
        <v>1</v>
      </c>
      <c r="D17" s="2" t="str">
        <f t="shared" ref="D17:D18" si="16">B17&amp;"_"&amp;C17</f>
        <v>11215_1</v>
      </c>
      <c r="E17" s="4" t="str">
        <f ca="1">VLOOKUP($B17,OFFSET([2]quests!$A$1,0,0,COUNTA([2]quests!$A:$A),MATCH(E$1,[2]quests!$1:$1,0)-MATCH($B$1,[2]quests!$1:$1,0)+1),MATCH(E$1,[2]quests!$1:$1,0)-MATCH($B$1,[2]quests!$1:$1,0)+1,FALSE)</f>
        <v>【マルチ】サンタダックを捕獲せよ！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【上級】サンタダックを捕獲せよ！</v>
      </c>
      <c r="G17" s="21">
        <v>3</v>
      </c>
      <c r="H17" s="15" t="str">
        <f t="shared" ref="H17:H18" si="17">B17&amp;"_"&amp;C17&amp;"-"&amp;G17</f>
        <v>11215_1-3</v>
      </c>
      <c r="I17" s="4">
        <f ca="1">VLOOKUP($H17,OFFSET(floors!$A$1,0,0,COUNTA(floors!$A:$A),MATCH(I$1,floors!$1:$1,0)-MATCH($H$1,floors!$1:$1,0)+1),MATCH(I$1,floors!$1:$1,0)-MATCH($H$1,floors!$1:$1,0)+1,FALSE)</f>
        <v>15</v>
      </c>
      <c r="J17" s="4">
        <f ca="1">VLOOKUP($H17,OFFSET(floors!$A$1,0,0,COUNTA(floors!$A:$A),MATCH(J$1,floors!$1:$1,0)-MATCH($H$1,floors!$1:$1,0)+1),MATCH(J$1,floors!$1:$1,0)-MATCH($H$1,floors!$1:$1,0)+1,FALSE)</f>
        <v>15</v>
      </c>
      <c r="K17" s="38">
        <v>5</v>
      </c>
      <c r="L17" s="38">
        <v>2</v>
      </c>
      <c r="M17" s="21">
        <v>520</v>
      </c>
      <c r="N17" s="17" t="str">
        <f ca="1">VLOOKUP($M17,OFFSET([3]enemies!$A$1,0,0,COUNTA([3]enemies!$A:$A),MATCH(N$1,[3]enemies!$1:$1,0)-MATCH($M$1,[3]enemies!$1:$1,0)+1),MATCH(N$1,[3]enemies!$1:$1,0)-MATCH($M$1,[3]enemies!$1:$1,0)+1,FALSE)</f>
        <v>サンタダック</v>
      </c>
      <c r="O17" s="17" t="str">
        <f ca="1">VLOOKUP($M17,OFFSET([3]enemies!$A$1,0,0,COUNTA([3]enemies!$A:$A),MATCH(O$1,[3]enemies!$1:$1,0)-MATCH($M$1,[3]enemies!$1:$1,0)+1),MATCH(O$1,[3]enemies!$1:$1,0)-MATCH($M$1,[3]enemies!$1:$1,0)+1,FALSE)</f>
        <v>red</v>
      </c>
      <c r="P17" s="17" t="str">
        <f ca="1">VLOOKUP($M17,OFFSET([4]characters!$A$1,0,0,COUNTA([4]characters!$A:$A),MATCH(P$1,[4]characters!$1:$1,0)-MATCH($M$1,[4]characters!$1:$1,0)+1),MATCH(P$1,[4]characters!$1:$1,0)-MATCH($M$1,[4]characters!$1:$1,0)+1,FALSE)</f>
        <v>Material</v>
      </c>
      <c r="Q17" s="17" t="str">
        <f ca="1">VLOOKUP($M17,OFFSET([3]enemies!$A$1,0,0,COUNTA([3]enemies!$A:$A),MATCH(Q$1,[3]enemies!$1:$1,0)-MATCH($M$1,[3]enemies!$1:$1,0)+1),MATCH(Q$1,[3]enemies!$1:$1,0)-MATCH($M$1,[3]enemies!$1:$1,0)+1,FALSE)</f>
        <v>unknown</v>
      </c>
      <c r="R17" s="17">
        <f ca="1">VLOOKUP($M17,OFFSET([3]enemies!$A$1,0,0,COUNTA([3]enemies!$A:$A),MATCH(R$1,[3]enemies!$1:$1,0)-MATCH($M$1,[3]enemies!$1:$1,0)+1),MATCH(R$1,[3]enemies!$1:$1,0)-MATCH($M$1,[3]enemies!$1:$1,0)+1,FALSE)</f>
        <v>20</v>
      </c>
      <c r="S17" s="74">
        <v>3</v>
      </c>
      <c r="T17" s="25">
        <v>1</v>
      </c>
      <c r="U17" s="25">
        <v>35</v>
      </c>
      <c r="V17" s="5">
        <v>-9000</v>
      </c>
      <c r="W17" s="4" t="str">
        <f ca="1">VLOOKUP($X17,OFFSET(enemy_skill_sets!$B$1,0,0,COUNTA(enemy_skill_sets!$B:$B),MATCH("name",enemy_skill_sets!$1:$1,0)-MATCH(X$1,enemy_skill_sets!$1:$1,0)+2),MATCH("name",enemy_skill_sets!$1:$1,0)-MATCH(X$1,enemy_skill_sets!$1:$1,0)+2,FALSE)</f>
        <v>なんと！ピヨピヨは サンタダックに成長した！</v>
      </c>
      <c r="X17" s="75">
        <v>112143001</v>
      </c>
      <c r="Y17" s="68">
        <f ca="1">VLOOKUP($M17,OFFSET([3]enemies!$A$1,0,0,COUNTA([3]enemies!$A:$A),MATCH(Y$1,[3]enemies!$1:$1,0)-MATCH($M$1,[3]enemies!$1:$1,0)+1),MATCH(Y$1,[3]enemies!$1:$1,0)-MATCH($M$1,[3]enemies!$1:$1,0)+1,FALSE)</f>
        <v>3</v>
      </c>
    </row>
    <row r="18" spans="1:25" ht="21" customHeight="1">
      <c r="A18" s="16" t="str">
        <f t="shared" si="15"/>
        <v>11215_1-3/521&lt;lv3&gt;sq6st2</v>
      </c>
      <c r="B18" s="22">
        <v>11215</v>
      </c>
      <c r="C18" s="21">
        <v>1</v>
      </c>
      <c r="D18" s="2" t="str">
        <f t="shared" si="16"/>
        <v>11215_1</v>
      </c>
      <c r="E18" s="4" t="str">
        <f ca="1">VLOOKUP($B18,OFFSET([2]quests!$A$1,0,0,COUNTA([2]quests!$A:$A),MATCH(E$1,[2]quests!$1:$1,0)-MATCH($B$1,[2]quests!$1:$1,0)+1),MATCH(E$1,[2]quests!$1:$1,0)-MATCH($B$1,[2]quests!$1:$1,0)+1,FALSE)</f>
        <v>【マルチ】サンタダックを捕獲せよ！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【上級】サンタダックを捕獲せよ！</v>
      </c>
      <c r="G18" s="21">
        <v>3</v>
      </c>
      <c r="H18" s="15" t="str">
        <f t="shared" si="17"/>
        <v>11215_1-3</v>
      </c>
      <c r="I18" s="4">
        <f ca="1">VLOOKUP($H18,OFFSET(floors!$A$1,0,0,COUNTA(floors!$A:$A),MATCH(I$1,floors!$1:$1,0)-MATCH($H$1,floors!$1:$1,0)+1),MATCH(I$1,floors!$1:$1,0)-MATCH($H$1,floors!$1:$1,0)+1,FALSE)</f>
        <v>15</v>
      </c>
      <c r="J18" s="4">
        <f ca="1">VLOOKUP($H18,OFFSET(floors!$A$1,0,0,COUNTA(floors!$A:$A),MATCH(J$1,floors!$1:$1,0)-MATCH($H$1,floors!$1:$1,0)+1),MATCH(J$1,floors!$1:$1,0)-MATCH($H$1,floors!$1:$1,0)+1,FALSE)</f>
        <v>15</v>
      </c>
      <c r="K18" s="38">
        <v>6</v>
      </c>
      <c r="L18" s="38">
        <v>2</v>
      </c>
      <c r="M18" s="21">
        <v>521</v>
      </c>
      <c r="N18" s="17" t="str">
        <f ca="1">VLOOKUP($M18,OFFSET([3]enemies!$A$1,0,0,COUNTA([3]enemies!$A:$A),MATCH(N$1,[3]enemies!$1:$1,0)-MATCH($M$1,[3]enemies!$1:$1,0)+1),MATCH(N$1,[3]enemies!$1:$1,0)-MATCH($M$1,[3]enemies!$1:$1,0)+1,FALSE)</f>
        <v>サンタダック</v>
      </c>
      <c r="O18" s="17" t="str">
        <f ca="1">VLOOKUP($M18,OFFSET([3]enemies!$A$1,0,0,COUNTA([3]enemies!$A:$A),MATCH(O$1,[3]enemies!$1:$1,0)-MATCH($M$1,[3]enemies!$1:$1,0)+1),MATCH(O$1,[3]enemies!$1:$1,0)-MATCH($M$1,[3]enemies!$1:$1,0)+1,FALSE)</f>
        <v>green</v>
      </c>
      <c r="P18" s="17" t="str">
        <f ca="1">VLOOKUP($M18,OFFSET([4]characters!$A$1,0,0,COUNTA([4]characters!$A:$A),MATCH(P$1,[4]characters!$1:$1,0)-MATCH($M$1,[4]characters!$1:$1,0)+1),MATCH(P$1,[4]characters!$1:$1,0)-MATCH($M$1,[4]characters!$1:$1,0)+1,FALSE)</f>
        <v>Material</v>
      </c>
      <c r="Q18" s="17" t="str">
        <f ca="1">VLOOKUP($M18,OFFSET([3]enemies!$A$1,0,0,COUNTA([3]enemies!$A:$A),MATCH(Q$1,[3]enemies!$1:$1,0)-MATCH($M$1,[3]enemies!$1:$1,0)+1),MATCH(Q$1,[3]enemies!$1:$1,0)-MATCH($M$1,[3]enemies!$1:$1,0)+1,FALSE)</f>
        <v>unknown</v>
      </c>
      <c r="R18" s="17">
        <f ca="1">VLOOKUP($M18,OFFSET([3]enemies!$A$1,0,0,COUNTA([3]enemies!$A:$A),MATCH(R$1,[3]enemies!$1:$1,0)-MATCH($M$1,[3]enemies!$1:$1,0)+1),MATCH(R$1,[3]enemies!$1:$1,0)-MATCH($M$1,[3]enemies!$1:$1,0)+1,FALSE)</f>
        <v>20</v>
      </c>
      <c r="S18" s="74">
        <v>3</v>
      </c>
      <c r="T18" s="25">
        <v>1</v>
      </c>
      <c r="U18" s="25">
        <v>35</v>
      </c>
      <c r="V18" s="5">
        <v>-9000</v>
      </c>
      <c r="W18" s="4" t="str">
        <f ca="1">VLOOKUP($X18,OFFSET(enemy_skill_sets!$B$1,0,0,COUNTA(enemy_skill_sets!$B:$B),MATCH("name",enemy_skill_sets!$1:$1,0)-MATCH(X$1,enemy_skill_sets!$1:$1,0)+2),MATCH("name",enemy_skill_sets!$1:$1,0)-MATCH(X$1,enemy_skill_sets!$1:$1,0)+2,FALSE)</f>
        <v>なんと！ピヨピヨは サンタダックに成長した！</v>
      </c>
      <c r="X18" s="75">
        <v>112143001</v>
      </c>
      <c r="Y18" s="68">
        <f ca="1">VLOOKUP($M18,OFFSET([3]enemies!$A$1,0,0,COUNTA([3]enemies!$A:$A),MATCH(Y$1,[3]enemies!$1:$1,0)-MATCH($M$1,[3]enemies!$1:$1,0)+1),MATCH(Y$1,[3]enemies!$1:$1,0)-MATCH($M$1,[3]enemies!$1:$1,0)+1,FALSE)</f>
        <v>3</v>
      </c>
    </row>
    <row r="19" spans="1:25" ht="21" customHeight="1">
      <c r="A19" s="16" t="str">
        <f t="shared" ref="A19" si="18">B19&amp;"_"&amp;C19&amp;"-"&amp;G19&amp;"/"&amp;M19&amp;"&lt;lv"&amp;S19&amp;"&gt;sq"&amp;K19&amp;"st"&amp;L19</f>
        <v>11215_1-3/522&lt;lv3&gt;sq7st2</v>
      </c>
      <c r="B19" s="22">
        <v>11215</v>
      </c>
      <c r="C19" s="21">
        <v>1</v>
      </c>
      <c r="D19" s="2" t="str">
        <f t="shared" ref="D19" si="19">B19&amp;"_"&amp;C19</f>
        <v>11215_1</v>
      </c>
      <c r="E19" s="4" t="str">
        <f ca="1">VLOOKUP($B19,OFFSET([2]quests!$A$1,0,0,COUNTA([2]quests!$A:$A),MATCH(E$1,[2]quests!$1:$1,0)-MATCH($B$1,[2]quests!$1:$1,0)+1),MATCH(E$1,[2]quests!$1:$1,0)-MATCH($B$1,[2]quests!$1:$1,0)+1,FALSE)</f>
        <v>【マルチ】サンタダックを捕獲せよ！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【上級】サンタダックを捕獲せよ！</v>
      </c>
      <c r="G19" s="21">
        <v>3</v>
      </c>
      <c r="H19" s="15" t="str">
        <f t="shared" ref="H19" si="20">B19&amp;"_"&amp;C19&amp;"-"&amp;G19</f>
        <v>11215_1-3</v>
      </c>
      <c r="I19" s="4">
        <f ca="1">VLOOKUP($H19,OFFSET(floors!$A$1,0,0,COUNTA(floors!$A:$A),MATCH(I$1,floors!$1:$1,0)-MATCH($H$1,floors!$1:$1,0)+1),MATCH(I$1,floors!$1:$1,0)-MATCH($H$1,floors!$1:$1,0)+1,FALSE)</f>
        <v>15</v>
      </c>
      <c r="J19" s="4">
        <f ca="1">VLOOKUP($H19,OFFSET(floors!$A$1,0,0,COUNTA(floors!$A:$A),MATCH(J$1,floors!$1:$1,0)-MATCH($H$1,floors!$1:$1,0)+1),MATCH(J$1,floors!$1:$1,0)-MATCH($H$1,floors!$1:$1,0)+1,FALSE)</f>
        <v>15</v>
      </c>
      <c r="K19" s="38">
        <v>7</v>
      </c>
      <c r="L19" s="38">
        <v>2</v>
      </c>
      <c r="M19" s="21">
        <v>522</v>
      </c>
      <c r="N19" s="17" t="str">
        <f ca="1">VLOOKUP($M19,OFFSET([3]enemies!$A$1,0,0,COUNTA([3]enemies!$A:$A),MATCH(N$1,[3]enemies!$1:$1,0)-MATCH($M$1,[3]enemies!$1:$1,0)+1),MATCH(N$1,[3]enemies!$1:$1,0)-MATCH($M$1,[3]enemies!$1:$1,0)+1,FALSE)</f>
        <v>サンタダック</v>
      </c>
      <c r="O19" s="17" t="str">
        <f ca="1">VLOOKUP($M19,OFFSET([3]enemies!$A$1,0,0,COUNTA([3]enemies!$A:$A),MATCH(O$1,[3]enemies!$1:$1,0)-MATCH($M$1,[3]enemies!$1:$1,0)+1),MATCH(O$1,[3]enemies!$1:$1,0)-MATCH($M$1,[3]enemies!$1:$1,0)+1,FALSE)</f>
        <v>blue</v>
      </c>
      <c r="P19" s="17" t="str">
        <f ca="1">VLOOKUP($M19,OFFSET([4]characters!$A$1,0,0,COUNTA([4]characters!$A:$A),MATCH(P$1,[4]characters!$1:$1,0)-MATCH($M$1,[4]characters!$1:$1,0)+1),MATCH(P$1,[4]characters!$1:$1,0)-MATCH($M$1,[4]characters!$1:$1,0)+1,FALSE)</f>
        <v>Material</v>
      </c>
      <c r="Q19" s="17" t="str">
        <f ca="1">VLOOKUP($M19,OFFSET([3]enemies!$A$1,0,0,COUNTA([3]enemies!$A:$A),MATCH(Q$1,[3]enemies!$1:$1,0)-MATCH($M$1,[3]enemies!$1:$1,0)+1),MATCH(Q$1,[3]enemies!$1:$1,0)-MATCH($M$1,[3]enemies!$1:$1,0)+1,FALSE)</f>
        <v>unknown</v>
      </c>
      <c r="R19" s="17">
        <f ca="1">VLOOKUP($M19,OFFSET([3]enemies!$A$1,0,0,COUNTA([3]enemies!$A:$A),MATCH(R$1,[3]enemies!$1:$1,0)-MATCH($M$1,[3]enemies!$1:$1,0)+1),MATCH(R$1,[3]enemies!$1:$1,0)-MATCH($M$1,[3]enemies!$1:$1,0)+1,FALSE)</f>
        <v>20</v>
      </c>
      <c r="S19" s="74">
        <v>3</v>
      </c>
      <c r="T19" s="25">
        <v>1</v>
      </c>
      <c r="U19" s="25">
        <v>35</v>
      </c>
      <c r="V19" s="5">
        <v>-9000</v>
      </c>
      <c r="W19" s="4" t="str">
        <f ca="1">VLOOKUP($X19,OFFSET(enemy_skill_sets!$B$1,0,0,COUNTA(enemy_skill_sets!$B:$B),MATCH("name",enemy_skill_sets!$1:$1,0)-MATCH(X$1,enemy_skill_sets!$1:$1,0)+2),MATCH("name",enemy_skill_sets!$1:$1,0)-MATCH(X$1,enemy_skill_sets!$1:$1,0)+2,FALSE)</f>
        <v>なんと！ピヨピヨは サンタダックに成長した！</v>
      </c>
      <c r="X19" s="75">
        <v>112143001</v>
      </c>
      <c r="Y19" s="68">
        <f ca="1">VLOOKUP($M19,OFFSET([3]enemies!$A$1,0,0,COUNTA([3]enemies!$A:$A),MATCH(Y$1,[3]enemies!$1:$1,0)-MATCH($M$1,[3]enemies!$1:$1,0)+1),MATCH(Y$1,[3]enemies!$1:$1,0)-MATCH($M$1,[3]enemies!$1:$1,0)+1,FALSE)</f>
        <v>3</v>
      </c>
    </row>
    <row r="20" spans="1:25" ht="21" customHeight="1">
      <c r="A20" s="16" t="str">
        <f t="shared" ref="A20" si="21">B20&amp;"_"&amp;C20&amp;"-"&amp;G20&amp;"/"&amp;M20&amp;"&lt;lv"&amp;S20&amp;"&gt;sq"&amp;K20&amp;"st"&amp;L20</f>
        <v>11215_1-3/523&lt;lv3&gt;sq8st2</v>
      </c>
      <c r="B20" s="22">
        <v>11215</v>
      </c>
      <c r="C20" s="21">
        <v>1</v>
      </c>
      <c r="D20" s="2" t="str">
        <f t="shared" ref="D20" si="22">B20&amp;"_"&amp;C20</f>
        <v>11215_1</v>
      </c>
      <c r="E20" s="4" t="str">
        <f ca="1">VLOOKUP($B20,OFFSET([2]quests!$A$1,0,0,COUNTA([2]quests!$A:$A),MATCH(E$1,[2]quests!$1:$1,0)-MATCH($B$1,[2]quests!$1:$1,0)+1),MATCH(E$1,[2]quests!$1:$1,0)-MATCH($B$1,[2]quests!$1:$1,0)+1,FALSE)</f>
        <v>【マルチ】サンタダックを捕獲せよ！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【上級】サンタダックを捕獲せよ！</v>
      </c>
      <c r="G20" s="21">
        <v>3</v>
      </c>
      <c r="H20" s="15" t="str">
        <f t="shared" ref="H20" si="23">B20&amp;"_"&amp;C20&amp;"-"&amp;G20</f>
        <v>11215_1-3</v>
      </c>
      <c r="I20" s="4">
        <f ca="1">VLOOKUP($H20,OFFSET(floors!$A$1,0,0,COUNTA(floors!$A:$A),MATCH(I$1,floors!$1:$1,0)-MATCH($H$1,floors!$1:$1,0)+1),MATCH(I$1,floors!$1:$1,0)-MATCH($H$1,floors!$1:$1,0)+1,FALSE)</f>
        <v>15</v>
      </c>
      <c r="J20" s="4">
        <f ca="1">VLOOKUP($H20,OFFSET(floors!$A$1,0,0,COUNTA(floors!$A:$A),MATCH(J$1,floors!$1:$1,0)-MATCH($H$1,floors!$1:$1,0)+1),MATCH(J$1,floors!$1:$1,0)-MATCH($H$1,floors!$1:$1,0)+1,FALSE)</f>
        <v>15</v>
      </c>
      <c r="K20" s="38">
        <v>8</v>
      </c>
      <c r="L20" s="38">
        <v>2</v>
      </c>
      <c r="M20" s="21">
        <v>523</v>
      </c>
      <c r="N20" s="17" t="str">
        <f ca="1">VLOOKUP($M20,OFFSET([3]enemies!$A$1,0,0,COUNTA([3]enemies!$A:$A),MATCH(N$1,[3]enemies!$1:$1,0)-MATCH($M$1,[3]enemies!$1:$1,0)+1),MATCH(N$1,[3]enemies!$1:$1,0)-MATCH($M$1,[3]enemies!$1:$1,0)+1,FALSE)</f>
        <v>サンタダック</v>
      </c>
      <c r="O20" s="17" t="str">
        <f ca="1">VLOOKUP($M20,OFFSET([3]enemies!$A$1,0,0,COUNTA([3]enemies!$A:$A),MATCH(O$1,[3]enemies!$1:$1,0)-MATCH($M$1,[3]enemies!$1:$1,0)+1),MATCH(O$1,[3]enemies!$1:$1,0)-MATCH($M$1,[3]enemies!$1:$1,0)+1,FALSE)</f>
        <v>yellow</v>
      </c>
      <c r="P20" s="17" t="str">
        <f ca="1">VLOOKUP($M20,OFFSET([4]characters!$A$1,0,0,COUNTA([4]characters!$A:$A),MATCH(P$1,[4]characters!$1:$1,0)-MATCH($M$1,[4]characters!$1:$1,0)+1),MATCH(P$1,[4]characters!$1:$1,0)-MATCH($M$1,[4]characters!$1:$1,0)+1,FALSE)</f>
        <v>Material</v>
      </c>
      <c r="Q20" s="17" t="str">
        <f ca="1">VLOOKUP($M20,OFFSET([3]enemies!$A$1,0,0,COUNTA([3]enemies!$A:$A),MATCH(Q$1,[3]enemies!$1:$1,0)-MATCH($M$1,[3]enemies!$1:$1,0)+1),MATCH(Q$1,[3]enemies!$1:$1,0)-MATCH($M$1,[3]enemies!$1:$1,0)+1,FALSE)</f>
        <v>unknown</v>
      </c>
      <c r="R20" s="17">
        <f ca="1">VLOOKUP($M20,OFFSET([3]enemies!$A$1,0,0,COUNTA([3]enemies!$A:$A),MATCH(R$1,[3]enemies!$1:$1,0)-MATCH($M$1,[3]enemies!$1:$1,0)+1),MATCH(R$1,[3]enemies!$1:$1,0)-MATCH($M$1,[3]enemies!$1:$1,0)+1,FALSE)</f>
        <v>20</v>
      </c>
      <c r="S20" s="74">
        <v>3</v>
      </c>
      <c r="T20" s="25">
        <v>1</v>
      </c>
      <c r="U20" s="25">
        <v>35</v>
      </c>
      <c r="V20" s="5">
        <v>-9000</v>
      </c>
      <c r="W20" s="4" t="str">
        <f ca="1">VLOOKUP($X20,OFFSET(enemy_skill_sets!$B$1,0,0,COUNTA(enemy_skill_sets!$B:$B),MATCH("name",enemy_skill_sets!$1:$1,0)-MATCH(X$1,enemy_skill_sets!$1:$1,0)+2),MATCH("name",enemy_skill_sets!$1:$1,0)-MATCH(X$1,enemy_skill_sets!$1:$1,0)+2,FALSE)</f>
        <v>なんと！ピヨピヨは サンタダックに成長した！</v>
      </c>
      <c r="X20" s="75">
        <v>112143001</v>
      </c>
      <c r="Y20" s="68">
        <f ca="1">VLOOKUP($M20,OFFSET([3]enemies!$A$1,0,0,COUNTA([3]enemies!$A:$A),MATCH(Y$1,[3]enemies!$1:$1,0)-MATCH($M$1,[3]enemies!$1:$1,0)+1),MATCH(Y$1,[3]enemies!$1:$1,0)-MATCH($M$1,[3]enemies!$1:$1,0)+1,FALSE)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7"/>
  <sheetViews>
    <sheetView showGridLines="0" zoomScale="75" zoomScaleNormal="75" zoomScalePageLayoutView="75" workbookViewId="0">
      <pane xSplit="5" ySplit="1" topLeftCell="F47" activePane="bottomRight" state="frozen"/>
      <selection pane="topRight"/>
      <selection pane="bottomLeft"/>
      <selection pane="bottomRight" activeCell="B66" sqref="B66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3" width="11.5" style="49" bestFit="1" customWidth="1"/>
    <col min="4" max="4" width="20.83203125" style="49" bestFit="1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112141100_112141100</v>
      </c>
      <c r="B2" s="47">
        <v>112141100</v>
      </c>
      <c r="C2" s="47">
        <v>112141100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【小さな恋の物語】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「プロメテウスの恋」_x000D_　 〜勢いまかせ〜</v>
      </c>
      <c r="F2" s="47">
        <v>112141100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" s="47"/>
      <c r="Q2" s="47"/>
      <c r="R2" s="47"/>
    </row>
    <row r="3" spans="1:18" ht="21" customHeight="1">
      <c r="A3" s="39" t="str">
        <f t="shared" ref="A3" si="1">B3&amp;"_"&amp;C3</f>
        <v>112141100_112141101</v>
      </c>
      <c r="B3" s="47">
        <v>112141100</v>
      </c>
      <c r="C3" s="47">
        <v>112141101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（早く 先に進むクヮ…）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ユニットを倒して ストーリーを進めよう！</v>
      </c>
      <c r="F3" s="47">
        <v>112141101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>
      <c r="A4" s="39" t="str">
        <f t="shared" ref="A4" si="2">B4&amp;"_"&amp;C4</f>
        <v>112141200_112141200</v>
      </c>
      <c r="B4" s="47">
        <v>112141200</v>
      </c>
      <c r="C4" s="47">
        <v>112141200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オレ…ウザがられてるのかな？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プロメテウスは 悩んでいる</v>
      </c>
      <c r="F4" s="47">
        <v>112141200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" s="47"/>
      <c r="Q4" s="47"/>
      <c r="R4" s="47"/>
    </row>
    <row r="5" spans="1:18" ht="21" customHeight="1">
      <c r="A5" s="39" t="str">
        <f t="shared" ref="A5" si="3">B5&amp;"_"&amp;C5</f>
        <v>112141200_112141201</v>
      </c>
      <c r="B5" s="47">
        <v>112141200</v>
      </c>
      <c r="C5" s="47">
        <v>112141201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そりゃ 空気読めないしさ…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ブツブツと つぶやいている</v>
      </c>
      <c r="F5" s="47">
        <v>112141201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ref="A6" si="4">B6&amp;"_"&amp;C6</f>
        <v>112141200_112141202</v>
      </c>
      <c r="B6" s="47">
        <v>112141200</v>
      </c>
      <c r="C6" s="47">
        <v>112141202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テンパると 目の前真っ暗になるしさ…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ブツブツと つぶやいている</v>
      </c>
      <c r="F6" s="47">
        <v>112141201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>
      <c r="A7" s="39" t="str">
        <f t="shared" ref="A7" si="5">B7&amp;"_"&amp;C7</f>
        <v>112141200_112141203</v>
      </c>
      <c r="B7" s="47">
        <v>112141200</v>
      </c>
      <c r="C7" s="47">
        <v>112141203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取り柄がない って言われるしさ…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ブツブツと つぶやいている</v>
      </c>
      <c r="F7" s="47">
        <v>112141201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ref="A8" si="6">B8&amp;"_"&amp;C8</f>
        <v>112141210_112141210</v>
      </c>
      <c r="B8" s="47">
        <v>112141210</v>
      </c>
      <c r="C8" s="47">
        <v>112141210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そうだ！ あいつに相談だ！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すごい勢いで すっ飛んでいった！</v>
      </c>
      <c r="F8" s="47">
        <v>112141200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8" s="47"/>
      <c r="Q8" s="47"/>
      <c r="R8" s="47"/>
    </row>
    <row r="9" spans="1:18" ht="21" customHeight="1">
      <c r="A9" s="39" t="str">
        <f t="shared" ref="A9" si="7">B9&amp;"_"&amp;C9</f>
        <v>112141210_112141211</v>
      </c>
      <c r="B9" s="47">
        <v>112141210</v>
      </c>
      <c r="C9" s="47">
        <v>112141211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（アイツなら 頼りになるはず…）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ワラにもすがる 想いのようだ</v>
      </c>
      <c r="F9" s="47">
        <v>112141201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 t="shared" ref="A10" si="8">B10&amp;"_"&amp;C10</f>
        <v>112141300_112141300</v>
      </c>
      <c r="B10" s="47">
        <v>112141300</v>
      </c>
      <c r="C10" s="47">
        <v>112141300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なぁ どうしたらいい？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恋の悩みを 打ち明けてみた</v>
      </c>
      <c r="F10" s="47">
        <v>112141300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0" s="47"/>
      <c r="Q10" s="47"/>
      <c r="R10" s="47"/>
    </row>
    <row r="11" spans="1:18" ht="21" customHeight="1">
      <c r="A11" s="39" t="str">
        <f t="shared" ref="A11" si="9">B11&amp;"_"&amp;C11</f>
        <v>112141300_112141301</v>
      </c>
      <c r="B11" s="47">
        <v>112141300</v>
      </c>
      <c r="C11" s="47">
        <v>112141301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（勢い…か）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考え込んでいる</v>
      </c>
      <c r="F11" s="47">
        <v>112141301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ref="A12" si="10">B12&amp;"_"&amp;C12</f>
        <v>112141300_112141308</v>
      </c>
      <c r="B12" s="47">
        <v>112141300</v>
      </c>
      <c r="C12" s="47">
        <v>112141308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なるほど！_x000D_勢いで 誘ってみるぜ！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すごい勢いで すっ飛んでいった！</v>
      </c>
      <c r="F12" s="47">
        <v>112141308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ref="A13" si="11">B13&amp;"_"&amp;C13</f>
        <v>112141300_112141309</v>
      </c>
      <c r="B13" s="47">
        <v>112141300</v>
      </c>
      <c r="C13" s="47">
        <v>112141309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なるほど！_x000D_勢いで 誘ってみるぜ！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すごい勢いで すっ飛んでいった！</v>
      </c>
      <c r="F13" s="47">
        <v>112141309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512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ref="A14" si="12">B14&amp;"_"&amp;C14</f>
        <v>112141320_112141321</v>
      </c>
      <c r="B14" s="47">
        <v>112141320</v>
      </c>
      <c r="C14" s="47">
        <v>112141321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（やっぱ 勢いだよな）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ヤル気に 満ちあふれている！</v>
      </c>
      <c r="F14" s="47">
        <v>112141301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ref="A15:A16" si="13">B15&amp;"_"&amp;C15</f>
        <v>112141310_112141310</v>
      </c>
      <c r="B15" s="47">
        <v>112141310</v>
      </c>
      <c r="C15" s="47">
        <v>112141310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は？ そんなん 勢いでしょ！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ベリアルは ノリで答えている</v>
      </c>
      <c r="F15" s="47">
        <v>112141310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5" s="47"/>
      <c r="Q15" s="47"/>
      <c r="R15" s="47"/>
    </row>
    <row r="16" spans="1:18" ht="21" customHeight="1">
      <c r="A16" s="39" t="str">
        <f t="shared" si="13"/>
        <v>112141310_112141318</v>
      </c>
      <c r="B16" s="47">
        <v>112141310</v>
      </c>
      <c r="C16" s="47">
        <v>112141318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（ぼちぼち 時間だ）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ベリアルは ゴソゴソしている</v>
      </c>
      <c r="F16" s="47">
        <v>112141318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>
      <c r="A17" s="39" t="str">
        <f t="shared" ref="A17" si="14">B17&amp;"_"&amp;C17</f>
        <v>112141310_112141311</v>
      </c>
      <c r="B17" s="47">
        <v>112141310</v>
      </c>
      <c r="C17" s="47">
        <v>112141311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（そういや このあと仕事だな）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上の空な感じだ</v>
      </c>
      <c r="F17" s="47">
        <v>112141311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ref="A18" si="15">B18&amp;"_"&amp;C18</f>
        <v>112141319_112141319</v>
      </c>
      <c r="B18" s="47">
        <v>112141319</v>
      </c>
      <c r="C18" s="47">
        <v>112141319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じゃ、仕事行ってくるわ！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衣装に着替えて すっ飛んでいった！</v>
      </c>
      <c r="F18" s="47">
        <v>112141100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8" s="47"/>
      <c r="Q18" s="47"/>
      <c r="R18" s="47"/>
    </row>
    <row r="19" spans="1:18" ht="21" customHeight="1">
      <c r="A19" s="39" t="str">
        <f t="shared" ref="A19" si="16">B19&amp;"_"&amp;C19</f>
        <v>112141400_112141400</v>
      </c>
      <c r="B19" s="47">
        <v>112141400</v>
      </c>
      <c r="C19" s="47">
        <v>112141400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オセ！聖夜にフィーバー_x000D_しようぜ！で夜明けの…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勢いが 空回りしている…</v>
      </c>
      <c r="F19" s="47">
        <v>112141300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9" s="47"/>
      <c r="Q19" s="47"/>
      <c r="R19" s="47"/>
    </row>
    <row r="20" spans="1:18" ht="21" customHeight="1">
      <c r="A20" s="39" t="str">
        <f t="shared" ref="A20" si="17">B20&amp;"_"&amp;C20</f>
        <v>112141400_112141401</v>
      </c>
      <c r="B20" s="47">
        <v>112141400</v>
      </c>
      <c r="C20" s="47">
        <v>112141401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そんであれでこうして_x000D_これをそれであれして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早口に 何か口走っている</v>
      </c>
      <c r="F20" s="47">
        <v>112141301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ref="A21" si="18">B21&amp;"_"&amp;C21</f>
        <v>112141400_112141408</v>
      </c>
      <c r="B21" s="47">
        <v>112141400</v>
      </c>
      <c r="C21" s="47">
        <v>112141408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え、ちょ…オセ…？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プロメテウスは 派手にころんだ！</v>
      </c>
      <c r="F21" s="47">
        <v>112141308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ref="A22:A24" si="19">B22&amp;"_"&amp;C22</f>
        <v>112141400_112141409</v>
      </c>
      <c r="B22" s="47">
        <v>112141400</v>
      </c>
      <c r="C22" s="47">
        <v>112141409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え、ちょ…オセ…？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プロメテウスは 派手にころんだ！</v>
      </c>
      <c r="F22" s="47">
        <v>112141409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514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si="19"/>
        <v>112141410_112141410</v>
      </c>
      <c r="B23" s="47">
        <v>112141410</v>
      </c>
      <c r="C23" s="47">
        <v>112141410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…私…忙しいんだけど…？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オセは それどころでは ないらしい</v>
      </c>
      <c r="F23" s="47">
        <v>112141310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3" s="47"/>
      <c r="Q23" s="47"/>
      <c r="R23" s="47"/>
    </row>
    <row r="24" spans="1:18" ht="21" customHeight="1">
      <c r="A24" s="39" t="str">
        <f t="shared" si="19"/>
        <v>112141410_112141418</v>
      </c>
      <c r="B24" s="47">
        <v>112141410</v>
      </c>
      <c r="C24" s="47">
        <v>112141418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（時間だわ）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オセは ゴソゴソしている</v>
      </c>
      <c r="F24" s="47">
        <v>112141318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ref="A25" si="20">B25&amp;"_"&amp;C25</f>
        <v>112141410_112141411</v>
      </c>
      <c r="B25" s="47">
        <v>112141410</v>
      </c>
      <c r="C25" s="47">
        <v>112141411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（もう…このあと お仕事なのに…）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もはや 聞いていないようだ</v>
      </c>
      <c r="F25" s="47">
        <v>112141311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>
      <c r="A26" s="39" t="str">
        <f t="shared" ref="A26" si="21">B26&amp;"_"&amp;C26</f>
        <v>112141419_112141419</v>
      </c>
      <c r="B26" s="47">
        <v>112141419</v>
      </c>
      <c r="C26" s="47">
        <v>112141419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そろそろ お仕事行かなくちゃ！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衣装に着替えて 立ち去っていった</v>
      </c>
      <c r="F26" s="47">
        <v>112141100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6" s="47"/>
      <c r="Q26" s="47"/>
      <c r="R26" s="47"/>
    </row>
    <row r="27" spans="1:18" ht="21" customHeight="1">
      <c r="A27" s="39" t="str">
        <f t="shared" ref="A27" si="22">B27&amp;"_"&amp;C27</f>
        <v>112141500_112141500</v>
      </c>
      <c r="B27" s="47">
        <v>112141500</v>
      </c>
      <c r="C27" s="47">
        <v>112141500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勢いじゃ ダメじゃねぇかぁぁあ！！！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目の前が 真っ暗になっている！</v>
      </c>
      <c r="F27" s="47">
        <v>112141500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7" s="47"/>
      <c r="Q27" s="47"/>
      <c r="R27" s="47"/>
    </row>
    <row r="28" spans="1:18" ht="21" customHeight="1">
      <c r="A28" s="39" t="str">
        <f t="shared" ref="A28" si="23">B28&amp;"_"&amp;C28</f>
        <v>112141500_112141508</v>
      </c>
      <c r="B28" s="47">
        <v>112141500</v>
      </c>
      <c r="C28" s="47">
        <v>112141508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なんでだぁぁぁあ！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プロメテウスは 取り乱している</v>
      </c>
      <c r="F28" s="47">
        <v>112141501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>
      <c r="A29" s="39" t="str">
        <f t="shared" ref="A29:A30" si="24">B29&amp;"_"&amp;C29</f>
        <v>112141501_112141501</v>
      </c>
      <c r="B29" s="47">
        <v>112141501</v>
      </c>
      <c r="C29" s="47">
        <v>112141501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華麗に スルーされてるし！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見えないが ハートパネルが 無効になった！</v>
      </c>
      <c r="F29" s="47">
        <v>112141500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9" s="47"/>
      <c r="Q29" s="47"/>
      <c r="R29" s="47"/>
    </row>
    <row r="30" spans="1:18" ht="21" customHeight="1">
      <c r="A30" s="39" t="str">
        <f t="shared" si="24"/>
        <v>112141501_112141508</v>
      </c>
      <c r="B30" s="47">
        <v>112141501</v>
      </c>
      <c r="C30" s="47">
        <v>112141508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なんでだぁぁぁあ！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プロメテウスは 取り乱している</v>
      </c>
      <c r="F30" s="47">
        <v>112141501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>
      <c r="A31" s="39" t="str">
        <f t="shared" ref="A31" si="25">B31&amp;"_"&amp;C31</f>
        <v>112141502_112141502</v>
      </c>
      <c r="B31" s="47">
        <v>112141502</v>
      </c>
      <c r="C31" s="47">
        <v>112141502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全然 相手にされてねーし！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見えないが ハートパネルが ボムになった！</v>
      </c>
      <c r="F31" s="47">
        <v>112141500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1" s="47"/>
      <c r="Q31" s="47"/>
      <c r="R31" s="47"/>
    </row>
    <row r="32" spans="1:18" ht="21" customHeight="1">
      <c r="A32" s="39" t="str">
        <f t="shared" ref="A32" si="26">B32&amp;"_"&amp;C32</f>
        <v>112141502_112141509</v>
      </c>
      <c r="B32" s="47">
        <v>112141502</v>
      </c>
      <c r="C32" s="47">
        <v>112141509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もう ダメだぁぁぁぁあ！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つづく</v>
      </c>
      <c r="F32" s="47">
        <v>112141509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s="96" customFormat="1" ht="21" customHeight="1">
      <c r="A33" s="94" t="str">
        <f t="shared" ref="A33" si="27">B33&amp;"_"&amp;C33</f>
        <v>112142100_112142100</v>
      </c>
      <c r="B33" s="92">
        <v>112142100</v>
      </c>
      <c r="C33" s="92">
        <v>112142100</v>
      </c>
      <c r="D33" s="9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翌日の【カフェ・マリア】クヮ</v>
      </c>
      <c r="E33" s="9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「プロメテウスの恋」_x000D_　　〜恋の奥義〜</v>
      </c>
      <c r="F33" s="92">
        <v>112142100</v>
      </c>
      <c r="G33" s="92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92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92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3" s="92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92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92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92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92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92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3" s="92"/>
      <c r="Q33" s="92"/>
      <c r="R33" s="92"/>
    </row>
    <row r="34" spans="1:18" s="96" customFormat="1" ht="21" customHeight="1">
      <c r="A34" s="94" t="str">
        <f t="shared" ref="A34" si="28">B34&amp;"_"&amp;C34</f>
        <v>112142200_112142200</v>
      </c>
      <c r="B34" s="92">
        <v>112142200</v>
      </c>
      <c r="C34" s="92">
        <v>112142200</v>
      </c>
      <c r="D34" s="9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おかえりなさいま…せっ？！</v>
      </c>
      <c r="E34" s="9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招かれざる客の 気配がする…！</v>
      </c>
      <c r="F34" s="92">
        <v>112142100</v>
      </c>
      <c r="G34" s="92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92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92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4" s="92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92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92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92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92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92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4" s="92"/>
      <c r="Q34" s="92"/>
      <c r="R34" s="92"/>
    </row>
    <row r="35" spans="1:18" s="96" customFormat="1" ht="21" customHeight="1">
      <c r="A35" s="94" t="str">
        <f t="shared" ref="A35" si="29">B35&amp;"_"&amp;C35</f>
        <v>112142201_112142201</v>
      </c>
      <c r="B35" s="92">
        <v>112142201</v>
      </c>
      <c r="C35" s="92">
        <v>112142201</v>
      </c>
      <c r="D35" s="9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お…お客さま？…ちょっ？！</v>
      </c>
      <c r="E35" s="9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店員の二人は 吹き飛ばされた！</v>
      </c>
      <c r="F35" s="92">
        <v>112142100</v>
      </c>
      <c r="G35" s="92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92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92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5" s="92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92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92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92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92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92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5" s="92"/>
      <c r="Q35" s="92"/>
      <c r="R35" s="92"/>
    </row>
    <row r="36" spans="1:18" s="96" customFormat="1" ht="21" customHeight="1">
      <c r="A36" s="94" t="str">
        <f t="shared" ref="A36" si="30">B36&amp;"_"&amp;C36</f>
        <v>112142300_112142300</v>
      </c>
      <c r="B36" s="92">
        <v>112142300</v>
      </c>
      <c r="C36" s="92">
        <v>112142300</v>
      </c>
      <c r="D36" s="9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浮かれるな…家畜ども！</v>
      </c>
      <c r="E36" s="9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オセの兄 アザゼルがあらわれた！</v>
      </c>
      <c r="F36" s="92">
        <v>112142300</v>
      </c>
      <c r="G36" s="92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92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6" s="92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6" s="92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92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92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92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92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92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6" s="92"/>
      <c r="Q36" s="92"/>
      <c r="R36" s="92"/>
    </row>
    <row r="37" spans="1:18" s="96" customFormat="1" ht="21" customHeight="1">
      <c r="A37" s="94" t="str">
        <f t="shared" ref="A37:A38" si="31">B37&amp;"_"&amp;C37</f>
        <v>112142300_112142301</v>
      </c>
      <c r="B37" s="92">
        <v>112142300</v>
      </c>
      <c r="C37" s="92">
        <v>112142301</v>
      </c>
      <c r="D37" s="9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我が妹に告ったのは どいつだ？</v>
      </c>
      <c r="E37" s="9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ハッキングで あらゆる機能が狂わされている！</v>
      </c>
      <c r="F37" s="92">
        <v>112142301</v>
      </c>
      <c r="G37" s="92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92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7" s="92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92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92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92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92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92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92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92"/>
      <c r="Q37" s="92"/>
      <c r="R37" s="92"/>
    </row>
    <row r="38" spans="1:18" s="96" customFormat="1" ht="21" customHeight="1">
      <c r="A38" s="94" t="str">
        <f t="shared" si="31"/>
        <v>112142300_112142302</v>
      </c>
      <c r="B38" s="92">
        <v>112142300</v>
      </c>
      <c r="C38" s="92">
        <v>112142302</v>
      </c>
      <c r="D38" s="9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滅びよ メリクリ</v>
      </c>
      <c r="E38" s="9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時限式ダメージパネルが カウントダウン！</v>
      </c>
      <c r="F38" s="92">
        <v>112142302</v>
      </c>
      <c r="G38" s="92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92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8" s="92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92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92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92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92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92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92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92"/>
      <c r="Q38" s="92"/>
      <c r="R38" s="92"/>
    </row>
    <row r="39" spans="1:18" s="96" customFormat="1" ht="21" customHeight="1">
      <c r="A39" s="94" t="str">
        <f t="shared" ref="A39" si="32">B39&amp;"_"&amp;C39</f>
        <v>112142300_112142303</v>
      </c>
      <c r="B39" s="92">
        <v>112142300</v>
      </c>
      <c r="C39" s="92">
        <v>112142303</v>
      </c>
      <c r="D39" s="9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引導を渡してやろう…</v>
      </c>
      <c r="E39" s="9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アザゼルの翼が開いてゆく…</v>
      </c>
      <c r="F39" s="92">
        <v>112142303</v>
      </c>
      <c r="G39" s="92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92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9" s="92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92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92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92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92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92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92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92"/>
      <c r="Q39" s="92"/>
      <c r="R39" s="92"/>
    </row>
    <row r="40" spans="1:18" s="96" customFormat="1" ht="21" customHeight="1">
      <c r="A40" s="94" t="str">
        <f t="shared" ref="A40:A41" si="33">B40&amp;"_"&amp;C40</f>
        <v>112142309_112142309</v>
      </c>
      <c r="B40" s="92">
        <v>112142309</v>
      </c>
      <c r="C40" s="92">
        <v>112142309</v>
      </c>
      <c r="D40" s="9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くっ…ここは奴の店だったのか…！</v>
      </c>
      <c r="E40" s="9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アザゼルは 飛び去っていった…</v>
      </c>
      <c r="F40" s="92">
        <v>112141100</v>
      </c>
      <c r="G40" s="92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92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0" s="92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0" s="92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92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92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92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92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92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0" s="92"/>
      <c r="Q40" s="92"/>
      <c r="R40" s="92"/>
    </row>
    <row r="41" spans="1:18" s="96" customFormat="1" ht="21" customHeight="1">
      <c r="A41" s="94" t="str">
        <f t="shared" si="33"/>
        <v>112142410_112142410</v>
      </c>
      <c r="B41" s="92">
        <v>112142410</v>
      </c>
      <c r="C41" s="92">
        <v>112142410</v>
      </c>
      <c r="D41" s="9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もぅ アザゼルさんったらー</v>
      </c>
      <c r="E41" s="9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店長の マリアが助けに来た！</v>
      </c>
      <c r="F41" s="92">
        <v>112142410</v>
      </c>
      <c r="G41" s="92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92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1" s="92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1" s="92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92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92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92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92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92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1" s="92"/>
      <c r="Q41" s="92"/>
      <c r="R41" s="92"/>
    </row>
    <row r="42" spans="1:18" s="96" customFormat="1" ht="21" customHeight="1">
      <c r="A42" s="94" t="str">
        <f t="shared" ref="A42:A43" si="34">B42&amp;"_"&amp;C42</f>
        <v>112142410_112142419</v>
      </c>
      <c r="B42" s="92">
        <v>112142410</v>
      </c>
      <c r="C42" s="92">
        <v>112142419</v>
      </c>
      <c r="D42" s="9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プさんのことも 助けてあげてー</v>
      </c>
      <c r="E42" s="9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副店長の ダックに託した</v>
      </c>
      <c r="F42" s="92">
        <v>112142411</v>
      </c>
      <c r="G42" s="92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92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2" s="92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92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92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92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92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92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92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92"/>
      <c r="Q42" s="92"/>
      <c r="R42" s="92"/>
    </row>
    <row r="43" spans="1:18" s="96" customFormat="1" ht="21" customHeight="1">
      <c r="A43" s="94" t="str">
        <f t="shared" si="34"/>
        <v>112142420_112142420</v>
      </c>
      <c r="B43" s="92">
        <v>112142420</v>
      </c>
      <c r="C43" s="92">
        <v>112142420</v>
      </c>
      <c r="D43" s="9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プさん…_x000D_ふんだりけったりだクヮ</v>
      </c>
      <c r="E43" s="9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プロメテウスに 同情している</v>
      </c>
      <c r="F43" s="92">
        <v>112142420</v>
      </c>
      <c r="G43" s="92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92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3" s="92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3" s="92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92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92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92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92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92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3" s="92"/>
      <c r="Q43" s="92"/>
      <c r="R43" s="92"/>
    </row>
    <row r="44" spans="1:18" s="96" customFormat="1" ht="21" customHeight="1">
      <c r="A44" s="94" t="str">
        <f t="shared" ref="A44" si="35">B44&amp;"_"&amp;C44</f>
        <v>112142420_112142428</v>
      </c>
      <c r="B44" s="92">
        <v>112142420</v>
      </c>
      <c r="C44" s="92">
        <v>112142428</v>
      </c>
      <c r="D44" s="9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おまかせクヮッ！</v>
      </c>
      <c r="E44" s="9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ゴソゴソ 衣装に着替えている！</v>
      </c>
      <c r="F44" s="92">
        <v>112142428</v>
      </c>
      <c r="G44" s="92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92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4" s="92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92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92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92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92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92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92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92"/>
      <c r="Q44" s="92"/>
      <c r="R44" s="92"/>
    </row>
    <row r="45" spans="1:18" s="96" customFormat="1" ht="21" customHeight="1">
      <c r="A45" s="94" t="str">
        <f t="shared" ref="A45:A46" si="36">B45&amp;"_"&amp;C45</f>
        <v>112142429_112142429</v>
      </c>
      <c r="B45" s="92">
        <v>112142429</v>
      </c>
      <c r="C45" s="92">
        <v>112142429</v>
      </c>
      <c r="D45" s="9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恋の奥義…_x000D_プレゼントしてくるクヮ！</v>
      </c>
      <c r="E45" s="9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つづく</v>
      </c>
      <c r="F45" s="92">
        <v>112142429</v>
      </c>
      <c r="G45" s="92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92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92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5" s="92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92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92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92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92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92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5" s="92"/>
      <c r="Q45" s="92"/>
      <c r="R45" s="92"/>
    </row>
    <row r="46" spans="1:18" ht="21" customHeight="1">
      <c r="A46" s="39" t="str">
        <f t="shared" si="36"/>
        <v>112143100_112143100</v>
      </c>
      <c r="B46" s="47">
        <v>112143100</v>
      </c>
      <c r="C46" s="47">
        <v>112143100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【小さな恋の フィナーレ】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「プロメテウスの恋」_x000D_ 〜フィーバーの力〜</v>
      </c>
      <c r="F46" s="47">
        <v>112141100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6" s="47"/>
      <c r="Q46" s="47"/>
      <c r="R46" s="47"/>
    </row>
    <row r="47" spans="1:18" ht="21" customHeight="1">
      <c r="A47" s="39" t="str">
        <f t="shared" ref="A47" si="37">B47&amp;"_"&amp;C47</f>
        <v>112143100_112141101</v>
      </c>
      <c r="B47" s="47">
        <v>112143100</v>
      </c>
      <c r="C47" s="47">
        <v>112141101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（早く 先に進むクヮ…）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ユニットを倒して ストーリーを進めよう！</v>
      </c>
      <c r="F47" s="47">
        <v>112141101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>
      <c r="A48" s="39" t="str">
        <f t="shared" ref="A48" si="38">B48&amp;"_"&amp;C48</f>
        <v>112143200_112143200</v>
      </c>
      <c r="B48" s="47">
        <v>112143200</v>
      </c>
      <c r="C48" s="47">
        <v>112143200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オレ また やってみるぜ！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ヤル気に 満ちあふれている！</v>
      </c>
      <c r="F48" s="47">
        <v>112141100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8" s="47"/>
      <c r="Q48" s="47"/>
      <c r="R48" s="47"/>
    </row>
    <row r="49" spans="1:18" ht="21" customHeight="1">
      <c r="A49" s="39" t="str">
        <f t="shared" ref="A49:A50" si="39">B49&amp;"_"&amp;C49</f>
        <v>112143200_112143201</v>
      </c>
      <c r="B49" s="47">
        <v>112143200</v>
      </c>
      <c r="C49" s="47">
        <v>112143201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これが 恋の奥義か…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心底 感心している</v>
      </c>
      <c r="F49" s="47">
        <v>112141101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>
      <c r="A50" s="39" t="str">
        <f t="shared" si="39"/>
        <v>112143220_112143220</v>
      </c>
      <c r="B50" s="47">
        <v>112143220</v>
      </c>
      <c r="C50" s="47">
        <v>112143220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オレ やってみるぜ！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ヤル気に 満ちあふれている！</v>
      </c>
      <c r="F50" s="47">
        <v>112141100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50" s="47"/>
      <c r="Q50" s="47"/>
      <c r="R50" s="47"/>
    </row>
    <row r="51" spans="1:18" ht="21" customHeight="1">
      <c r="A51" s="39" t="str">
        <f t="shared" ref="A51" si="40">B51&amp;"_"&amp;C51</f>
        <v>112143220_112143221</v>
      </c>
      <c r="B51" s="47">
        <v>112143220</v>
      </c>
      <c r="C51" s="47">
        <v>112143221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（やっぱ 恋の奥義だよな）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ヤル気に 満ちあふれている！</v>
      </c>
      <c r="F51" s="47">
        <v>112141101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>
      <c r="A52" s="39" t="str">
        <f t="shared" ref="A52" si="41">B52&amp;"_"&amp;C52</f>
        <v>112143210_112143210</v>
      </c>
      <c r="B52" s="47">
        <v>112143210</v>
      </c>
      <c r="C52" s="47">
        <v>112143210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恋の奥義…_x000D_プレゼントしたクヮ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なにやら 入れ知恵をしたようだ</v>
      </c>
      <c r="F52" s="47">
        <v>112141100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52" s="47"/>
      <c r="Q52" s="47"/>
      <c r="R52" s="47"/>
    </row>
    <row r="53" spans="1:18" ht="21" customHeight="1">
      <c r="A53" s="39" t="str">
        <f t="shared" ref="A53" si="42">B53&amp;"_"&amp;C53</f>
        <v>112143210_112143211</v>
      </c>
      <c r="B53" s="47">
        <v>112143210</v>
      </c>
      <c r="C53" s="47">
        <v>112143211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後は うまくやるクヮ！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プロメテウスを 応援している</v>
      </c>
      <c r="F53" s="47">
        <v>112141101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>
      <c r="A54" s="39" t="str">
        <f t="shared" ref="A54" si="43">B54&amp;"_"&amp;C54</f>
        <v>112143300_112143300</v>
      </c>
      <c r="B54" s="47">
        <v>112143300</v>
      </c>
      <c r="C54" s="47">
        <v>112143300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オセ！お前のことが…_x000D_好きだクヮ！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恋の奥義が 炸裂した！</v>
      </c>
      <c r="F54" s="47">
        <v>112143300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54" s="47"/>
      <c r="Q54" s="47"/>
      <c r="R54" s="47"/>
    </row>
    <row r="55" spans="1:18" ht="21" customHeight="1">
      <c r="A55" s="39" t="str">
        <f t="shared" ref="A55" si="44">B55&amp;"_"&amp;C55</f>
        <v>112143300_112143301</v>
      </c>
      <c r="B55" s="47">
        <v>112143300</v>
      </c>
      <c r="C55" s="47">
        <v>112143301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え…あれ…オセ…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立ち去るオセを 追えないでいる…</v>
      </c>
      <c r="F55" s="47">
        <v>112143301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>
      <c r="A56" s="39" t="str">
        <f t="shared" ref="A56" si="45">B56&amp;"_"&amp;C56</f>
        <v>112143300_112143302</v>
      </c>
      <c r="B56" s="47">
        <v>112143300</v>
      </c>
      <c r="C56" s="47">
        <v>112143302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（はやく とどめを…）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心の声が 聞こえてきた</v>
      </c>
      <c r="F56" s="47">
        <v>112143302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>
      <c r="A57" s="39" t="str">
        <f t="shared" ref="A57" si="46">B57&amp;"_"&amp;C57</f>
        <v>112143300_112143303</v>
      </c>
      <c r="B57" s="47">
        <v>112143300</v>
      </c>
      <c r="C57" s="47">
        <v>112143303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あまりのショックに ぼーぜんとしている…</v>
      </c>
      <c r="F57" s="47">
        <v>112143303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>
      <c r="A58" s="39" t="str">
        <f t="shared" ref="A58" si="47">B58&amp;"_"&amp;C58</f>
        <v>112143309_112143309</v>
      </c>
      <c r="B58" s="47">
        <v>112143309</v>
      </c>
      <c r="C58" s="47">
        <v>112143309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…終わったぜ…何もかも…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プロメテウスは 力なく倒れた…</v>
      </c>
      <c r="F58" s="47">
        <v>112143309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58" s="47"/>
      <c r="Q58" s="47"/>
      <c r="R58" s="47"/>
    </row>
    <row r="59" spans="1:18" ht="21" customHeight="1">
      <c r="A59" s="39" t="str">
        <f t="shared" ref="A59" si="48">B59&amp;"_"&amp;C59</f>
        <v>112143310_112143310</v>
      </c>
      <c r="B59" s="47">
        <v>112143310</v>
      </c>
      <c r="C59" s="47">
        <v>112143310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ご注文は おきまりですか？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オセは 仕事中のようだ</v>
      </c>
      <c r="F59" s="47">
        <v>112143310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59" s="47"/>
      <c r="Q59" s="47"/>
      <c r="R59" s="47"/>
    </row>
    <row r="60" spans="1:18" ht="21" customHeight="1">
      <c r="A60" s="39" t="str">
        <f t="shared" ref="A60" si="49">B60&amp;"_"&amp;C60</f>
        <v>112143310_112143311</v>
      </c>
      <c r="B60" s="47">
        <v>112143310</v>
      </c>
      <c r="C60" s="47">
        <v>112143311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ちょ…お仕事中に なんなのよっ！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だが、拒絶されてしまった！</v>
      </c>
      <c r="F60" s="47">
        <v>112143319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>
      <c r="A61" s="39" t="str">
        <f t="shared" ref="A61" si="50">B61&amp;"_"&amp;C61</f>
        <v>112143400_112143400</v>
      </c>
      <c r="B61" s="47">
        <v>112143400</v>
      </c>
      <c r="C61" s="47">
        <v>112143400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もう…_x000D_プロメテウスったら…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オセは 頬をふくらませている</v>
      </c>
      <c r="F61" s="47">
        <v>112143400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1" s="47"/>
      <c r="Q61" s="47"/>
      <c r="R61" s="47"/>
    </row>
    <row r="62" spans="1:18" ht="21" customHeight="1">
      <c r="A62" s="39" t="str">
        <f t="shared" ref="A62" si="51">B62&amp;"_"&amp;C62</f>
        <v>112143400_112143401</v>
      </c>
      <c r="B62" s="47">
        <v>112143400</v>
      </c>
      <c r="C62" s="47">
        <v>112143401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お仕事中に 告白なんて…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顔も 赤らめている</v>
      </c>
      <c r="F62" s="47">
        <v>112143401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>
      <c r="A63" s="39" t="str">
        <f t="shared" ref="A63" si="52">B63&amp;"_"&amp;C63</f>
        <v>112143400_112143407</v>
      </c>
      <c r="B63" s="47">
        <v>112143400</v>
      </c>
      <c r="C63" s="47">
        <v>112143407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でも お仕事が終わったら…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フィーバーゲージが MAX になった！</v>
      </c>
      <c r="F63" s="47">
        <v>112143407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>
      <c r="A64" s="39" t="str">
        <f t="shared" ref="A64" si="53">B64&amp;"_"&amp;C64</f>
        <v>112143400_112143408</v>
      </c>
      <c r="B64" s="47">
        <v>112143400</v>
      </c>
      <c r="C64" s="47">
        <v>112143408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って…この意気地なし！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次はフィーバーで オセの心を射止めよう！</v>
      </c>
      <c r="F64" s="47">
        <v>112143408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>
      <c r="A65" s="39" t="str">
        <f t="shared" ref="A65:A66" si="54">B65&amp;"_"&amp;C65</f>
        <v>112143409_112143409</v>
      </c>
      <c r="B65" s="47">
        <v>112143409</v>
      </c>
      <c r="C65" s="47">
        <v>112143409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考えたげても いいんだからね…！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全てのクラファーに メリークリスマス！</v>
      </c>
      <c r="F65" s="47">
        <v>112143409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5" s="47"/>
      <c r="Q65" s="47"/>
      <c r="R65" s="47"/>
    </row>
    <row r="66" spans="1:18" ht="21" customHeight="1">
      <c r="A66" s="39" t="str">
        <f t="shared" si="54"/>
        <v>112143000_112143000</v>
      </c>
      <c r="B66" s="47">
        <v>112143000</v>
      </c>
      <c r="C66" s="47">
        <v>112143000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ピョッ！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ピヨピヨは チックに成長した！</v>
      </c>
      <c r="F66" s="47">
        <v>112141100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6" s="47"/>
      <c r="Q66" s="47"/>
      <c r="R66" s="47"/>
    </row>
    <row r="67" spans="1:18" ht="21" customHeight="1">
      <c r="A67" s="39" t="str">
        <f t="shared" ref="A67" si="55">B67&amp;"_"&amp;C67</f>
        <v>112143001_112143001</v>
      </c>
      <c r="B67" s="47">
        <v>112143001</v>
      </c>
      <c r="C67" s="47">
        <v>112143001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メリークリスマス クヮッ！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なんと！ピヨピヨは サンタダックに成長した！</v>
      </c>
      <c r="F67" s="47">
        <v>112141100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7" s="47"/>
      <c r="Q67" s="47"/>
      <c r="R6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7"/>
  <sheetViews>
    <sheetView showGridLines="0" zoomScale="75" zoomScaleNormal="75" zoomScalePageLayoutView="75" workbookViewId="0">
      <pane ySplit="1" topLeftCell="A43" activePane="bottomLeft" state="frozenSplit"/>
      <selection pane="bottomLeft" activeCell="E67" sqref="E67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9.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112141100</v>
      </c>
      <c r="B2" s="47" t="s">
        <v>283</v>
      </c>
      <c r="C2" s="50">
        <v>3</v>
      </c>
      <c r="D2" s="50" t="s">
        <v>127</v>
      </c>
      <c r="E2" s="51" t="s">
        <v>328</v>
      </c>
      <c r="F2" s="51" t="s">
        <v>274</v>
      </c>
      <c r="G2" s="63" t="str">
        <f t="shared" ref="G2:G31" si="0">IFERROR(LEFT(B2,FIND("],",B2)),B2)</f>
        <v>[effect:hungup, target:unit_all, turn:-1, rate:1]</v>
      </c>
      <c r="H2" s="63">
        <f t="shared" ref="H2:H31" si="1">FIND("effect:",G2)+7</f>
        <v>9</v>
      </c>
      <c r="I2" s="63">
        <f t="shared" ref="I2:I31" si="2">IFERROR(FIND(",",G2),LEN(G2))</f>
        <v>15</v>
      </c>
      <c r="J2" s="63">
        <f t="shared" ref="J2:J31" si="3">FIND("target:",G2)+7</f>
        <v>24</v>
      </c>
      <c r="K2" s="63">
        <f t="shared" ref="K2:K31" si="4">FIND(",",G2,I2+1)</f>
        <v>32</v>
      </c>
      <c r="L2" s="63" t="str">
        <f>IFERROR(VLOOKUP(MID(G2,J2,K2-J2),[5]skilldef!$C:$D,2,FALSE),"-") &amp; " / " &amp; IFERROR(VLOOKUP(MID(G2,H2,I2-H2),[5]skilldef!$A:$B,2,FALSE),"-")</f>
        <v>味方全体に / ハングアップ</v>
      </c>
      <c r="M2" s="63" t="str">
        <f t="shared" ref="M2:M31" si="5">IFERROR(RIGHT(B2,LEN(B2)-FIND("],",B2)-1),"none")</f>
        <v>none</v>
      </c>
      <c r="N2" s="48" t="str">
        <f>IFERROR(LEFT(M2,FIND("],",M2)+S74),M2)</f>
        <v>none</v>
      </c>
      <c r="O2" s="63" t="e">
        <f t="shared" ref="O2:O31" si="6">FIND("effect:",N2)+7</f>
        <v>#VALUE!</v>
      </c>
      <c r="P2" s="63">
        <f t="shared" ref="P2:P31" si="7">IFERROR(FIND(",",N2),LEN(N2))</f>
        <v>4</v>
      </c>
      <c r="Q2" s="63" t="e">
        <f t="shared" ref="Q2:Q31" si="8">FIND("target:",N2)+7</f>
        <v>#VALUE!</v>
      </c>
      <c r="R2" s="63" t="e">
        <f t="shared" ref="R2:R31" si="9"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 t="shared" ref="T2:T31" si="10">IFERROR(RIGHT(M2,LEN(M2)-FIND("],",M2)-1),"none")</f>
        <v>none</v>
      </c>
      <c r="U2" s="63" t="e">
        <f t="shared" ref="U2:U31" si="11">FIND("effect:",T2)+7</f>
        <v>#VALUE!</v>
      </c>
      <c r="V2" s="63">
        <f t="shared" ref="V2:V31" si="12">IFERROR(FIND(",",T2),LEN(T2))</f>
        <v>4</v>
      </c>
      <c r="W2" s="63" t="e">
        <f t="shared" ref="W2:W31" si="13">FIND("target:",T2)+7</f>
        <v>#VALUE!</v>
      </c>
      <c r="X2" s="63" t="e">
        <f t="shared" ref="X2:X31" si="14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>
      <c r="A3" s="47">
        <v>112141101</v>
      </c>
      <c r="B3" s="47" t="s">
        <v>181</v>
      </c>
      <c r="C3" s="50">
        <v>3</v>
      </c>
      <c r="D3" s="50" t="s">
        <v>127</v>
      </c>
      <c r="E3" s="51" t="s">
        <v>294</v>
      </c>
      <c r="F3" s="51" t="s">
        <v>296</v>
      </c>
      <c r="G3" s="63" t="str">
        <f t="shared" ref="G3" si="15">IFERROR(LEFT(B3,FIND("],",B3)),B3)</f>
        <v>[effect:nothing]</v>
      </c>
      <c r="H3" s="63">
        <f t="shared" ref="H3" si="16">FIND("effect:",G3)+7</f>
        <v>9</v>
      </c>
      <c r="I3" s="63">
        <f t="shared" ref="I3" si="17">IFERROR(FIND(",",G3),LEN(G3))</f>
        <v>16</v>
      </c>
      <c r="J3" s="63" t="e">
        <f t="shared" ref="J3" si="18">FIND("target:",G3)+7</f>
        <v>#VALUE!</v>
      </c>
      <c r="K3" s="63" t="e">
        <f t="shared" ref="K3" si="19">FIND(",",G3,I3+1)</f>
        <v>#VALUE!</v>
      </c>
      <c r="L3" s="63" t="str">
        <f>IFERROR(VLOOKUP(MID(G3,J3,K3-J3),[5]skilldef!$C:$D,2,FALSE),"-") &amp; " / " &amp; IFERROR(VLOOKUP(MID(G3,H3,I3-H3),[5]skilldef!$A:$B,2,FALSE),"-")</f>
        <v>- / 何もしない</v>
      </c>
      <c r="M3" s="63" t="str">
        <f t="shared" ref="M3" si="20">IFERROR(RIGHT(B3,LEN(B3)-FIND("],",B3)-1),"none")</f>
        <v>none</v>
      </c>
      <c r="N3" s="48" t="str">
        <f>IFERROR(LEFT(M3,FIND("],",M3)+S75),M3)</f>
        <v>none</v>
      </c>
      <c r="O3" s="63" t="e">
        <f t="shared" ref="O3" si="21">FIND("effect:",N3)+7</f>
        <v>#VALUE!</v>
      </c>
      <c r="P3" s="63">
        <f t="shared" ref="P3" si="22">IFERROR(FIND(",",N3),LEN(N3))</f>
        <v>4</v>
      </c>
      <c r="Q3" s="63" t="e">
        <f t="shared" ref="Q3" si="23">FIND("target:",N3)+7</f>
        <v>#VALUE!</v>
      </c>
      <c r="R3" s="63" t="e">
        <f t="shared" ref="R3" si="24">FIND(",",N3,P3+1)</f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" si="25">IFERROR(RIGHT(M3,LEN(M3)-FIND("],",M3)-1),"none")</f>
        <v>none</v>
      </c>
      <c r="U3" s="63" t="e">
        <f t="shared" ref="U3" si="26">FIND("effect:",T3)+7</f>
        <v>#VALUE!</v>
      </c>
      <c r="V3" s="63">
        <f t="shared" ref="V3" si="27">IFERROR(FIND(",",T3),LEN(T3))</f>
        <v>4</v>
      </c>
      <c r="W3" s="63" t="e">
        <f t="shared" ref="W3" si="28">FIND("target:",T3)+7</f>
        <v>#VALUE!</v>
      </c>
      <c r="X3" s="63" t="e">
        <f t="shared" ref="X3" si="29">FIND(",",T3,V3+1)</f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>
      <c r="A4" s="47">
        <v>112141200</v>
      </c>
      <c r="B4" s="47" t="s">
        <v>178</v>
      </c>
      <c r="C4" s="50">
        <v>3</v>
      </c>
      <c r="D4" s="50" t="s">
        <v>127</v>
      </c>
      <c r="E4" s="51" t="s">
        <v>180</v>
      </c>
      <c r="F4" s="51" t="s">
        <v>169</v>
      </c>
      <c r="G4" s="63" t="str">
        <f t="shared" si="0"/>
        <v>[effect:fix_speed, target:myself, turn:1]</v>
      </c>
      <c r="H4" s="63">
        <f t="shared" si="1"/>
        <v>9</v>
      </c>
      <c r="I4" s="63">
        <f t="shared" si="2"/>
        <v>18</v>
      </c>
      <c r="J4" s="63">
        <f t="shared" si="3"/>
        <v>27</v>
      </c>
      <c r="K4" s="63">
        <f t="shared" si="4"/>
        <v>33</v>
      </c>
      <c r="L4" s="63" t="str">
        <f>IFERROR(VLOOKUP(MID(G4,J4,K4-J4),[5]skilldef!$C:$D,2,FALSE),"-") &amp; " / " &amp; IFERROR(VLOOKUP(MID(G4,H4,I4-H4),[5]skilldef!$A:$B,2,FALSE),"-")</f>
        <v>自分自身に / 行動値設定</v>
      </c>
      <c r="M4" s="63" t="str">
        <f t="shared" si="5"/>
        <v>none</v>
      </c>
      <c r="N4" s="48" t="str">
        <f>IFERROR(LEFT(M4,FIND("],",M4)+S75),M4)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>
      <c r="A5" s="47">
        <v>112141201</v>
      </c>
      <c r="B5" s="47" t="s">
        <v>181</v>
      </c>
      <c r="C5" s="50">
        <v>3</v>
      </c>
      <c r="D5" s="50" t="s">
        <v>127</v>
      </c>
      <c r="E5" s="51" t="s">
        <v>194</v>
      </c>
      <c r="F5" s="51" t="s">
        <v>186</v>
      </c>
      <c r="G5" s="63" t="str">
        <f t="shared" ref="G5" si="30">IFERROR(LEFT(B5,FIND("],",B5)),B5)</f>
        <v>[effect:nothing]</v>
      </c>
      <c r="H5" s="63">
        <f t="shared" si="1"/>
        <v>9</v>
      </c>
      <c r="I5" s="63">
        <f t="shared" ref="I5" si="31">IFERROR(FIND(",",G5),LEN(G5))</f>
        <v>16</v>
      </c>
      <c r="J5" s="63" t="e">
        <f t="shared" ref="J5" si="32">FIND("target:",G5)+7</f>
        <v>#VALUE!</v>
      </c>
      <c r="K5" s="63" t="e">
        <f t="shared" ref="K5" si="33">FIND(",",G5,I5+1)</f>
        <v>#VALUE!</v>
      </c>
      <c r="L5" s="63" t="str">
        <f>IFERROR(VLOOKUP(MID(G5,J5,K5-J5),[5]skilldef!$C:$D,2,FALSE),"-") &amp; " / " &amp; IFERROR(VLOOKUP(MID(G5,H5,I5-H5),[5]skilldef!$A:$B,2,FALSE),"-")</f>
        <v>- / 何もしない</v>
      </c>
      <c r="M5" s="63" t="str">
        <f t="shared" ref="M5" si="34">IFERROR(RIGHT(B5,LEN(B5)-FIND("],",B5)-1),"none")</f>
        <v>none</v>
      </c>
      <c r="N5" s="48" t="str">
        <f>IFERROR(LEFT(M5,FIND("],",M5)+S76),M5)</f>
        <v>none</v>
      </c>
      <c r="O5" s="63" t="e">
        <f t="shared" si="6"/>
        <v>#VALUE!</v>
      </c>
      <c r="P5" s="63">
        <f t="shared" ref="P5" si="35">IFERROR(FIND(",",N5),LEN(N5))</f>
        <v>4</v>
      </c>
      <c r="Q5" s="63" t="e">
        <f t="shared" ref="Q5" si="36">FIND("target:",N5)+7</f>
        <v>#VALUE!</v>
      </c>
      <c r="R5" s="63" t="e">
        <f t="shared" ref="R5" si="37">FIND(",",N5,P5+1)</f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ref="T5" si="38">IFERROR(RIGHT(M5,LEN(M5)-FIND("],",M5)-1),"none")</f>
        <v>none</v>
      </c>
      <c r="U5" s="63" t="e">
        <f t="shared" si="11"/>
        <v>#VALUE!</v>
      </c>
      <c r="V5" s="63">
        <f t="shared" ref="V5" si="39">IFERROR(FIND(",",T5),LEN(T5))</f>
        <v>4</v>
      </c>
      <c r="W5" s="63" t="e">
        <f t="shared" ref="W5" si="40">FIND("target:",T5)+7</f>
        <v>#VALUE!</v>
      </c>
      <c r="X5" s="63" t="e">
        <f t="shared" ref="X5" si="41">FIND(",",T5,V5+1)</f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>
      <c r="A6" s="47">
        <v>112141202</v>
      </c>
      <c r="B6" s="47" t="s">
        <v>181</v>
      </c>
      <c r="C6" s="50">
        <v>3</v>
      </c>
      <c r="D6" s="50" t="s">
        <v>127</v>
      </c>
      <c r="E6" s="51" t="s">
        <v>188</v>
      </c>
      <c r="F6" s="51" t="s">
        <v>186</v>
      </c>
      <c r="G6" s="63" t="str">
        <f t="shared" ref="G6" si="42">IFERROR(LEFT(B6,FIND("],",B6)),B6)</f>
        <v>[effect:nothing]</v>
      </c>
      <c r="H6" s="63">
        <f t="shared" si="1"/>
        <v>9</v>
      </c>
      <c r="I6" s="63">
        <f t="shared" ref="I6" si="43">IFERROR(FIND(",",G6),LEN(G6))</f>
        <v>16</v>
      </c>
      <c r="J6" s="63" t="e">
        <f t="shared" ref="J6" si="44">FIND("target:",G6)+7</f>
        <v>#VALUE!</v>
      </c>
      <c r="K6" s="63" t="e">
        <f t="shared" ref="K6" si="45">FIND(",",G6,I6+1)</f>
        <v>#VALUE!</v>
      </c>
      <c r="L6" s="63" t="str">
        <f>IFERROR(VLOOKUP(MID(G6,J6,K6-J6),[5]skilldef!$C:$D,2,FALSE),"-") &amp; " / " &amp; IFERROR(VLOOKUP(MID(G6,H6,I6-H6),[5]skilldef!$A:$B,2,FALSE),"-")</f>
        <v>- / 何もしない</v>
      </c>
      <c r="M6" s="63" t="str">
        <f t="shared" ref="M6" si="46">IFERROR(RIGHT(B6,LEN(B6)-FIND("],",B6)-1),"none")</f>
        <v>none</v>
      </c>
      <c r="N6" s="48" t="str">
        <f>IFERROR(LEFT(M6,FIND("],",M6)+S77),M6)</f>
        <v>none</v>
      </c>
      <c r="O6" s="63" t="e">
        <f t="shared" si="6"/>
        <v>#VALUE!</v>
      </c>
      <c r="P6" s="63">
        <f t="shared" ref="P6" si="47">IFERROR(FIND(",",N6),LEN(N6))</f>
        <v>4</v>
      </c>
      <c r="Q6" s="63" t="e">
        <f t="shared" ref="Q6" si="48">FIND("target:",N6)+7</f>
        <v>#VALUE!</v>
      </c>
      <c r="R6" s="63" t="e">
        <f t="shared" ref="R6" si="49">FIND(",",N6,P6+1)</f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ref="T6" si="50">IFERROR(RIGHT(M6,LEN(M6)-FIND("],",M6)-1),"none")</f>
        <v>none</v>
      </c>
      <c r="U6" s="63" t="e">
        <f t="shared" si="11"/>
        <v>#VALUE!</v>
      </c>
      <c r="V6" s="63">
        <f t="shared" ref="V6" si="51">IFERROR(FIND(",",T6),LEN(T6))</f>
        <v>4</v>
      </c>
      <c r="W6" s="63" t="e">
        <f t="shared" ref="W6" si="52">FIND("target:",T6)+7</f>
        <v>#VALUE!</v>
      </c>
      <c r="X6" s="63" t="e">
        <f t="shared" ref="X6" si="53">FIND(",",T6,V6+1)</f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>
      <c r="A7" s="47">
        <v>112141203</v>
      </c>
      <c r="B7" s="47" t="s">
        <v>181</v>
      </c>
      <c r="C7" s="50">
        <v>3</v>
      </c>
      <c r="D7" s="50" t="s">
        <v>127</v>
      </c>
      <c r="E7" s="51" t="s">
        <v>189</v>
      </c>
      <c r="F7" s="51" t="s">
        <v>186</v>
      </c>
      <c r="G7" s="63" t="str">
        <f t="shared" ref="G7" si="54">IFERROR(LEFT(B7,FIND("],",B7)),B7)</f>
        <v>[effect:nothing]</v>
      </c>
      <c r="H7" s="63">
        <f t="shared" si="1"/>
        <v>9</v>
      </c>
      <c r="I7" s="63">
        <f t="shared" ref="I7" si="55">IFERROR(FIND(",",G7),LEN(G7))</f>
        <v>16</v>
      </c>
      <c r="J7" s="63" t="e">
        <f t="shared" ref="J7" si="56">FIND("target:",G7)+7</f>
        <v>#VALUE!</v>
      </c>
      <c r="K7" s="63" t="e">
        <f t="shared" ref="K7" si="57">FIND(",",G7,I7+1)</f>
        <v>#VALUE!</v>
      </c>
      <c r="L7" s="63" t="str">
        <f>IFERROR(VLOOKUP(MID(G7,J7,K7-J7),[5]skilldef!$C:$D,2,FALSE),"-") &amp; " / " &amp; IFERROR(VLOOKUP(MID(G7,H7,I7-H7),[5]skilldef!$A:$B,2,FALSE),"-")</f>
        <v>- / 何もしない</v>
      </c>
      <c r="M7" s="63" t="str">
        <f t="shared" ref="M7" si="58">IFERROR(RIGHT(B7,LEN(B7)-FIND("],",B7)-1),"none")</f>
        <v>none</v>
      </c>
      <c r="N7" s="48" t="str">
        <f>IFERROR(LEFT(M7,FIND("],",M7)+S78),M7)</f>
        <v>none</v>
      </c>
      <c r="O7" s="63" t="e">
        <f t="shared" si="6"/>
        <v>#VALUE!</v>
      </c>
      <c r="P7" s="63">
        <f t="shared" ref="P7" si="59">IFERROR(FIND(",",N7),LEN(N7))</f>
        <v>4</v>
      </c>
      <c r="Q7" s="63" t="e">
        <f t="shared" ref="Q7" si="60">FIND("target:",N7)+7</f>
        <v>#VALUE!</v>
      </c>
      <c r="R7" s="63" t="e">
        <f t="shared" ref="R7" si="61">FIND(",",N7,P7+1)</f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ref="T7" si="62">IFERROR(RIGHT(M7,LEN(M7)-FIND("],",M7)-1),"none")</f>
        <v>none</v>
      </c>
      <c r="U7" s="63" t="e">
        <f t="shared" si="11"/>
        <v>#VALUE!</v>
      </c>
      <c r="V7" s="63">
        <f t="shared" ref="V7" si="63">IFERROR(FIND(",",T7),LEN(T7))</f>
        <v>4</v>
      </c>
      <c r="W7" s="63" t="e">
        <f t="shared" ref="W7" si="64">FIND("target:",T7)+7</f>
        <v>#VALUE!</v>
      </c>
      <c r="X7" s="63" t="e">
        <f t="shared" ref="X7" si="65">FIND(",",T7,V7+1)</f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>
      <c r="A8" s="47">
        <v>112141210</v>
      </c>
      <c r="B8" s="47" t="s">
        <v>278</v>
      </c>
      <c r="C8" s="50">
        <v>3</v>
      </c>
      <c r="D8" s="50" t="s">
        <v>127</v>
      </c>
      <c r="E8" s="51" t="s">
        <v>170</v>
      </c>
      <c r="F8" s="51" t="s">
        <v>307</v>
      </c>
      <c r="G8" s="63" t="str">
        <f t="shared" si="0"/>
        <v>[effect:kamikaze, val:0]</v>
      </c>
      <c r="H8" s="63">
        <f t="shared" si="1"/>
        <v>9</v>
      </c>
      <c r="I8" s="63">
        <f t="shared" si="2"/>
        <v>17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IFERROR(VLOOKUP(MID(G8,J8,K8-J8),[5]skilldef!$C:$D,2,FALSE),"-") &amp; " / " &amp; IFERROR(VLOOKUP(MID(G8,H8,I8-H8),[5]skilldef!$A:$B,2,FALSE),"-")</f>
        <v>- / 自爆</v>
      </c>
      <c r="M8" s="63" t="str">
        <f t="shared" si="5"/>
        <v>none</v>
      </c>
      <c r="N8" s="48" t="str">
        <f>IFERROR(LEFT(M8,FIND("],",M8)+S76),M8)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>
      <c r="A9" s="47">
        <v>112141211</v>
      </c>
      <c r="B9" s="47" t="s">
        <v>181</v>
      </c>
      <c r="C9" s="50">
        <v>3</v>
      </c>
      <c r="D9" s="50" t="s">
        <v>127</v>
      </c>
      <c r="E9" s="51" t="s">
        <v>289</v>
      </c>
      <c r="F9" s="51" t="s">
        <v>175</v>
      </c>
      <c r="G9" s="63" t="str">
        <f t="shared" ref="G9" si="66">IFERROR(LEFT(B9,FIND("],",B9)),B9)</f>
        <v>[effect:nothing]</v>
      </c>
      <c r="H9" s="63">
        <f t="shared" ref="H9" si="67">FIND("effect:",G9)+7</f>
        <v>9</v>
      </c>
      <c r="I9" s="63">
        <f t="shared" ref="I9" si="68">IFERROR(FIND(",",G9),LEN(G9))</f>
        <v>16</v>
      </c>
      <c r="J9" s="63" t="e">
        <f t="shared" ref="J9" si="69">FIND("target:",G9)+7</f>
        <v>#VALUE!</v>
      </c>
      <c r="K9" s="63" t="e">
        <f t="shared" ref="K9" si="70">FIND(",",G9,I9+1)</f>
        <v>#VALUE!</v>
      </c>
      <c r="L9" s="63" t="str">
        <f>IFERROR(VLOOKUP(MID(G9,J9,K9-J9),[5]skilldef!$C:$D,2,FALSE),"-") &amp; " / " &amp; IFERROR(VLOOKUP(MID(G9,H9,I9-H9),[5]skilldef!$A:$B,2,FALSE),"-")</f>
        <v>- / 何もしない</v>
      </c>
      <c r="M9" s="63" t="str">
        <f t="shared" ref="M9" si="71">IFERROR(RIGHT(B9,LEN(B9)-FIND("],",B9)-1),"none")</f>
        <v>none</v>
      </c>
      <c r="N9" s="48" t="str">
        <f>IFERROR(LEFT(M9,FIND("],",M9)+S77),M9)</f>
        <v>none</v>
      </c>
      <c r="O9" s="63" t="e">
        <f t="shared" ref="O9" si="72">FIND("effect:",N9)+7</f>
        <v>#VALUE!</v>
      </c>
      <c r="P9" s="63">
        <f t="shared" ref="P9" si="73">IFERROR(FIND(",",N9),LEN(N9))</f>
        <v>4</v>
      </c>
      <c r="Q9" s="63" t="e">
        <f t="shared" ref="Q9" si="74">FIND("target:",N9)+7</f>
        <v>#VALUE!</v>
      </c>
      <c r="R9" s="63" t="e">
        <f t="shared" ref="R9" si="75">FIND(",",N9,P9+1)</f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ref="T9" si="76">IFERROR(RIGHT(M9,LEN(M9)-FIND("],",M9)-1),"none")</f>
        <v>none</v>
      </c>
      <c r="U9" s="63" t="e">
        <f t="shared" ref="U9" si="77">FIND("effect:",T9)+7</f>
        <v>#VALUE!</v>
      </c>
      <c r="V9" s="63">
        <f t="shared" ref="V9" si="78">IFERROR(FIND(",",T9),LEN(T9))</f>
        <v>4</v>
      </c>
      <c r="W9" s="63" t="e">
        <f t="shared" ref="W9" si="79">FIND("target:",T9)+7</f>
        <v>#VALUE!</v>
      </c>
      <c r="X9" s="63" t="e">
        <f t="shared" ref="X9" si="80">FIND(",",T9,V9+1)</f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>
      <c r="A10" s="47">
        <v>112141300</v>
      </c>
      <c r="B10" s="47" t="s">
        <v>313</v>
      </c>
      <c r="C10" s="50">
        <v>3</v>
      </c>
      <c r="D10" s="50" t="s">
        <v>127</v>
      </c>
      <c r="E10" s="51" t="s">
        <v>257</v>
      </c>
      <c r="F10" s="51" t="s">
        <v>171</v>
      </c>
      <c r="G10" s="63" t="str">
        <f t="shared" si="0"/>
        <v>[effect:fix_speed, target:myself, turn:1][effect:enhance_enemy, target:myself, turn:-1, status:defense, val:65335, calc:add]</v>
      </c>
      <c r="H10" s="63">
        <f t="shared" si="1"/>
        <v>9</v>
      </c>
      <c r="I10" s="63">
        <f t="shared" si="2"/>
        <v>18</v>
      </c>
      <c r="J10" s="63">
        <f t="shared" si="3"/>
        <v>27</v>
      </c>
      <c r="K10" s="63">
        <f t="shared" si="4"/>
        <v>33</v>
      </c>
      <c r="L10" s="63" t="str">
        <f>IFERROR(VLOOKUP(MID(G10,J10,K10-J10),[5]skilldef!$C:$D,2,FALSE),"-") &amp; " / " &amp; IFERROR(VLOOKUP(MID(G10,H10,I10-H10),[5]skilldef!$A:$B,2,FALSE),"-")</f>
        <v>自分自身に / 行動値設定</v>
      </c>
      <c r="M10" s="63" t="str">
        <f t="shared" si="5"/>
        <v>none</v>
      </c>
      <c r="N10" s="48" t="str">
        <f>IFERROR(LEFT(M10,FIND("],",M10)+S75),M10)</f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>
      <c r="A11" s="47">
        <v>112141301</v>
      </c>
      <c r="B11" s="47" t="s">
        <v>181</v>
      </c>
      <c r="C11" s="50">
        <v>3</v>
      </c>
      <c r="D11" s="50" t="s">
        <v>127</v>
      </c>
      <c r="E11" s="51" t="s">
        <v>321</v>
      </c>
      <c r="F11" s="51" t="s">
        <v>322</v>
      </c>
      <c r="G11" s="63" t="str">
        <f t="shared" ref="G11:G12" si="81">IFERROR(LEFT(B11,FIND("],",B11)),B11)</f>
        <v>[effect:nothing]</v>
      </c>
      <c r="H11" s="63">
        <f t="shared" si="1"/>
        <v>9</v>
      </c>
      <c r="I11" s="63">
        <f t="shared" ref="I11:I12" si="82">IFERROR(FIND(",",G11),LEN(G11))</f>
        <v>16</v>
      </c>
      <c r="J11" s="63" t="e">
        <f t="shared" ref="J11:J12" si="83">FIND("target:",G11)+7</f>
        <v>#VALUE!</v>
      </c>
      <c r="K11" s="63" t="e">
        <f t="shared" ref="K11:K12" si="84">FIND(",",G11,I11+1)</f>
        <v>#VALUE!</v>
      </c>
      <c r="L11" s="63" t="str">
        <f>IFERROR(VLOOKUP(MID(G11,J11,K11-J11),[5]skilldef!$C:$D,2,FALSE),"-") &amp; " / " &amp; IFERROR(VLOOKUP(MID(G11,H11,I11-H11),[5]skilldef!$A:$B,2,FALSE),"-")</f>
        <v>- / 何もしない</v>
      </c>
      <c r="M11" s="63" t="str">
        <f t="shared" ref="M11:M12" si="85">IFERROR(RIGHT(B11,LEN(B11)-FIND("],",B11)-1),"none")</f>
        <v>none</v>
      </c>
      <c r="N11" s="48" t="str">
        <f>IFERROR(LEFT(M11,FIND("],",M11)+S76),M11)</f>
        <v>none</v>
      </c>
      <c r="O11" s="63" t="e">
        <f t="shared" si="6"/>
        <v>#VALUE!</v>
      </c>
      <c r="P11" s="63">
        <f t="shared" ref="P11:P12" si="86">IFERROR(FIND(",",N11),LEN(N11))</f>
        <v>4</v>
      </c>
      <c r="Q11" s="63" t="e">
        <f t="shared" ref="Q11:Q12" si="87">FIND("target:",N11)+7</f>
        <v>#VALUE!</v>
      </c>
      <c r="R11" s="63" t="e">
        <f t="shared" ref="R11:R12" si="88">FIND(",",N11,P11+1)</f>
        <v>#VALUE!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ref="T11:T12" si="89">IFERROR(RIGHT(M11,LEN(M11)-FIND("],",M11)-1),"none")</f>
        <v>none</v>
      </c>
      <c r="U11" s="63" t="e">
        <f t="shared" si="11"/>
        <v>#VALUE!</v>
      </c>
      <c r="V11" s="63">
        <f t="shared" ref="V11:V12" si="90">IFERROR(FIND(",",T11),LEN(T11))</f>
        <v>4</v>
      </c>
      <c r="W11" s="63" t="e">
        <f t="shared" ref="W11:W12" si="91">FIND("target:",T11)+7</f>
        <v>#VALUE!</v>
      </c>
      <c r="X11" s="63" t="e">
        <f t="shared" ref="X11:X12" si="92">FIND(",",T11,V11+1)</f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7">
      <c r="A12" s="47">
        <v>112141308</v>
      </c>
      <c r="B12" s="47" t="s">
        <v>278</v>
      </c>
      <c r="C12" s="50">
        <v>3</v>
      </c>
      <c r="D12" s="50" t="s">
        <v>127</v>
      </c>
      <c r="E12" s="51" t="s">
        <v>258</v>
      </c>
      <c r="F12" s="51" t="s">
        <v>307</v>
      </c>
      <c r="G12" s="63" t="str">
        <f t="shared" si="81"/>
        <v>[effect:kamikaze, val:0]</v>
      </c>
      <c r="H12" s="63">
        <f t="shared" si="1"/>
        <v>9</v>
      </c>
      <c r="I12" s="63">
        <f t="shared" si="82"/>
        <v>17</v>
      </c>
      <c r="J12" s="63" t="e">
        <f t="shared" si="83"/>
        <v>#VALUE!</v>
      </c>
      <c r="K12" s="63" t="e">
        <f t="shared" si="84"/>
        <v>#VALUE!</v>
      </c>
      <c r="L12" s="63" t="str">
        <f>IFERROR(VLOOKUP(MID(G12,J12,K12-J12),[5]skilldef!$C:$D,2,FALSE),"-") &amp; " / " &amp; IFERROR(VLOOKUP(MID(G12,H12,I12-H12),[5]skilldef!$A:$B,2,FALSE),"-")</f>
        <v>- / 自爆</v>
      </c>
      <c r="M12" s="63" t="str">
        <f t="shared" si="85"/>
        <v>none</v>
      </c>
      <c r="N12" s="48" t="str">
        <f>IFERROR(LEFT(M12,FIND("],",M12)+S74),M12)</f>
        <v>none</v>
      </c>
      <c r="O12" s="63" t="e">
        <f t="shared" si="6"/>
        <v>#VALUE!</v>
      </c>
      <c r="P12" s="63">
        <f t="shared" si="86"/>
        <v>4</v>
      </c>
      <c r="Q12" s="63" t="e">
        <f t="shared" si="87"/>
        <v>#VALUE!</v>
      </c>
      <c r="R12" s="63" t="e">
        <f t="shared" si="88"/>
        <v>#VALUE!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89"/>
        <v>none</v>
      </c>
      <c r="U12" s="63" t="e">
        <f t="shared" si="11"/>
        <v>#VALUE!</v>
      </c>
      <c r="V12" s="63">
        <f t="shared" si="90"/>
        <v>4</v>
      </c>
      <c r="W12" s="63" t="e">
        <f t="shared" si="91"/>
        <v>#VALUE!</v>
      </c>
      <c r="X12" s="63" t="e">
        <f t="shared" si="92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7">
      <c r="A13" s="47">
        <v>112141309</v>
      </c>
      <c r="B13" s="47" t="s">
        <v>278</v>
      </c>
      <c r="C13" s="50">
        <v>3</v>
      </c>
      <c r="D13" s="50" t="s">
        <v>127</v>
      </c>
      <c r="E13" s="51" t="s">
        <v>258</v>
      </c>
      <c r="F13" s="51" t="s">
        <v>307</v>
      </c>
      <c r="G13" s="63" t="str">
        <f t="shared" ref="G13" si="93">IFERROR(LEFT(B13,FIND("],",B13)),B13)</f>
        <v>[effect:kamikaze, val:0]</v>
      </c>
      <c r="H13" s="63">
        <f t="shared" ref="H13" si="94">FIND("effect:",G13)+7</f>
        <v>9</v>
      </c>
      <c r="I13" s="63">
        <f t="shared" ref="I13" si="95">IFERROR(FIND(",",G13),LEN(G13))</f>
        <v>17</v>
      </c>
      <c r="J13" s="63" t="e">
        <f t="shared" ref="J13" si="96">FIND("target:",G13)+7</f>
        <v>#VALUE!</v>
      </c>
      <c r="K13" s="63" t="e">
        <f t="shared" ref="K13" si="97">FIND(",",G13,I13+1)</f>
        <v>#VALUE!</v>
      </c>
      <c r="L13" s="63" t="str">
        <f>IFERROR(VLOOKUP(MID(G13,J13,K13-J13),[5]skilldef!$C:$D,2,FALSE),"-") &amp; " / " &amp; IFERROR(VLOOKUP(MID(G13,H13,I13-H13),[5]skilldef!$A:$B,2,FALSE),"-")</f>
        <v>- / 自爆</v>
      </c>
      <c r="M13" s="63" t="str">
        <f t="shared" ref="M13" si="98">IFERROR(RIGHT(B13,LEN(B13)-FIND("],",B13)-1),"none")</f>
        <v>none</v>
      </c>
      <c r="N13" s="48" t="str">
        <f>IFERROR(LEFT(M13,FIND("],",M13)+S75),M13)</f>
        <v>none</v>
      </c>
      <c r="O13" s="63" t="e">
        <f t="shared" ref="O13" si="99">FIND("effect:",N13)+7</f>
        <v>#VALUE!</v>
      </c>
      <c r="P13" s="63">
        <f t="shared" ref="P13" si="100">IFERROR(FIND(",",N13),LEN(N13))</f>
        <v>4</v>
      </c>
      <c r="Q13" s="63" t="e">
        <f t="shared" ref="Q13" si="101">FIND("target:",N13)+7</f>
        <v>#VALUE!</v>
      </c>
      <c r="R13" s="63" t="e">
        <f t="shared" ref="R13" si="102">FIND(",",N13,P13+1)</f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ref="T13" si="103">IFERROR(RIGHT(M13,LEN(M13)-FIND("],",M13)-1),"none")</f>
        <v>none</v>
      </c>
      <c r="U13" s="63" t="e">
        <f t="shared" ref="U13" si="104">FIND("effect:",T13)+7</f>
        <v>#VALUE!</v>
      </c>
      <c r="V13" s="63">
        <f t="shared" ref="V13" si="105">IFERROR(FIND(",",T13),LEN(T13))</f>
        <v>4</v>
      </c>
      <c r="W13" s="63" t="e">
        <f t="shared" ref="W13" si="106">FIND("target:",T13)+7</f>
        <v>#VALUE!</v>
      </c>
      <c r="X13" s="63" t="e">
        <f t="shared" ref="X13" si="107">FIND(",",T13,V13+1)</f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>
      <c r="A14" s="47">
        <v>112141321</v>
      </c>
      <c r="B14" s="47" t="s">
        <v>181</v>
      </c>
      <c r="C14" s="50">
        <v>3</v>
      </c>
      <c r="D14" s="50" t="s">
        <v>127</v>
      </c>
      <c r="E14" s="51" t="s">
        <v>293</v>
      </c>
      <c r="F14" s="51" t="s">
        <v>290</v>
      </c>
      <c r="G14" s="63" t="str">
        <f t="shared" si="0"/>
        <v>[effect:nothing]</v>
      </c>
      <c r="H14" s="63">
        <f t="shared" si="1"/>
        <v>9</v>
      </c>
      <c r="I14" s="63">
        <f t="shared" si="2"/>
        <v>16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IFERROR(VLOOKUP(MID(G14,J14,K14-J14),[5]skilldef!$C:$D,2,FALSE),"-") &amp; " / " &amp; IFERROR(VLOOKUP(MID(G14,H14,I14-H14),[5]skilldef!$A:$B,2,FALSE),"-")</f>
        <v>- / 何もしない</v>
      </c>
      <c r="M14" s="63" t="str">
        <f t="shared" si="5"/>
        <v>none</v>
      </c>
      <c r="N14" s="48" t="str">
        <f>IFERROR(LEFT(M14,FIND("],",M14)+S76),M14)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>
      <c r="A15" s="47">
        <v>112141310</v>
      </c>
      <c r="B15" s="47" t="s">
        <v>178</v>
      </c>
      <c r="C15" s="50">
        <v>3</v>
      </c>
      <c r="D15" s="50" t="s">
        <v>127</v>
      </c>
      <c r="E15" s="51" t="s">
        <v>172</v>
      </c>
      <c r="F15" s="51" t="s">
        <v>315</v>
      </c>
      <c r="G15" s="63" t="str">
        <f t="shared" si="0"/>
        <v>[effect:fix_speed, target:myself, turn:1]</v>
      </c>
      <c r="H15" s="63">
        <f t="shared" si="1"/>
        <v>9</v>
      </c>
      <c r="I15" s="63">
        <f t="shared" si="2"/>
        <v>18</v>
      </c>
      <c r="J15" s="63">
        <f t="shared" si="3"/>
        <v>27</v>
      </c>
      <c r="K15" s="63">
        <f t="shared" si="4"/>
        <v>33</v>
      </c>
      <c r="L15" s="63" t="str">
        <f>IFERROR(VLOOKUP(MID(G15,J15,K15-J15),[5]skilldef!$C:$D,2,FALSE),"-") &amp; " / " &amp; IFERROR(VLOOKUP(MID(G15,H15,I15-H15),[5]skilldef!$A:$B,2,FALSE),"-")</f>
        <v>自分自身に / 行動値設定</v>
      </c>
      <c r="M15" s="63" t="str">
        <f t="shared" si="5"/>
        <v>none</v>
      </c>
      <c r="N15" s="48" t="str">
        <f>IFERROR(LEFT(M15,FIND("],",M15)+S76),M15)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>
      <c r="A16" s="47">
        <v>112141311</v>
      </c>
      <c r="B16" s="47" t="s">
        <v>181</v>
      </c>
      <c r="C16" s="50">
        <v>3</v>
      </c>
      <c r="D16" s="50" t="s">
        <v>127</v>
      </c>
      <c r="E16" s="51" t="s">
        <v>264</v>
      </c>
      <c r="F16" s="51" t="s">
        <v>192</v>
      </c>
      <c r="G16" s="63" t="str">
        <f t="shared" ref="G16:G17" si="108">IFERROR(LEFT(B16,FIND("],",B16)),B16)</f>
        <v>[effect:nothing]</v>
      </c>
      <c r="H16" s="63">
        <f t="shared" si="1"/>
        <v>9</v>
      </c>
      <c r="I16" s="63">
        <f t="shared" ref="I16:I17" si="109">IFERROR(FIND(",",G16),LEN(G16))</f>
        <v>16</v>
      </c>
      <c r="J16" s="63" t="e">
        <f t="shared" ref="J16:J17" si="110">FIND("target:",G16)+7</f>
        <v>#VALUE!</v>
      </c>
      <c r="K16" s="63" t="e">
        <f t="shared" ref="K16:K17" si="111">FIND(",",G16,I16+1)</f>
        <v>#VALUE!</v>
      </c>
      <c r="L16" s="63" t="str">
        <f>IFERROR(VLOOKUP(MID(G16,J16,K16-J16),[5]skilldef!$C:$D,2,FALSE),"-") &amp; " / " &amp; IFERROR(VLOOKUP(MID(G16,H16,I16-H16),[5]skilldef!$A:$B,2,FALSE),"-")</f>
        <v>- / 何もしない</v>
      </c>
      <c r="M16" s="63" t="str">
        <f t="shared" ref="M16:M17" si="112">IFERROR(RIGHT(B16,LEN(B16)-FIND("],",B16)-1),"none")</f>
        <v>none</v>
      </c>
      <c r="N16" s="48" t="str">
        <f>IFERROR(LEFT(M16,FIND("],",M16)+S77),M16)</f>
        <v>none</v>
      </c>
      <c r="O16" s="63" t="e">
        <f t="shared" si="6"/>
        <v>#VALUE!</v>
      </c>
      <c r="P16" s="63">
        <f t="shared" ref="P16:P17" si="113">IFERROR(FIND(",",N16),LEN(N16))</f>
        <v>4</v>
      </c>
      <c r="Q16" s="63" t="e">
        <f t="shared" ref="Q16:Q17" si="114">FIND("target:",N16)+7</f>
        <v>#VALUE!</v>
      </c>
      <c r="R16" s="63" t="e">
        <f t="shared" ref="R16:R17" si="115">FIND(",",N16,P16+1)</f>
        <v>#VALUE!</v>
      </c>
      <c r="S16" s="63" t="str">
        <f>IFERROR(VLOOKUP(MID(N16,Q16,R16-Q16),[5]skilldef!$C:$D,2,FALSE),"-") &amp; " / " &amp; IFERROR(VLOOKUP(MID(N16,O16,P16-O16),[5]skilldef!$A:$B,2,FALSE),"-")</f>
        <v>- / -</v>
      </c>
      <c r="T16" s="48" t="str">
        <f t="shared" ref="T16:T17" si="116">IFERROR(RIGHT(M16,LEN(M16)-FIND("],",M16)-1),"none")</f>
        <v>none</v>
      </c>
      <c r="U16" s="63" t="e">
        <f t="shared" si="11"/>
        <v>#VALUE!</v>
      </c>
      <c r="V16" s="63">
        <f t="shared" ref="V16:V17" si="117">IFERROR(FIND(",",T16),LEN(T16))</f>
        <v>4</v>
      </c>
      <c r="W16" s="63" t="e">
        <f t="shared" ref="W16:W17" si="118">FIND("target:",T16)+7</f>
        <v>#VALUE!</v>
      </c>
      <c r="X16" s="63" t="e">
        <f t="shared" ref="X16:X17" si="119">FIND(",",T16,V16+1)</f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>
      <c r="A17" s="47">
        <v>112141318</v>
      </c>
      <c r="B17" s="47" t="s">
        <v>278</v>
      </c>
      <c r="C17" s="50">
        <v>3</v>
      </c>
      <c r="D17" s="50" t="s">
        <v>127</v>
      </c>
      <c r="E17" s="51" t="s">
        <v>316</v>
      </c>
      <c r="F17" s="51" t="s">
        <v>317</v>
      </c>
      <c r="G17" s="63" t="str">
        <f t="shared" si="108"/>
        <v>[effect:kamikaze, val:0]</v>
      </c>
      <c r="H17" s="63">
        <f t="shared" ref="H17" si="120">FIND("effect:",G17)+7</f>
        <v>9</v>
      </c>
      <c r="I17" s="63">
        <f t="shared" si="109"/>
        <v>17</v>
      </c>
      <c r="J17" s="63" t="e">
        <f t="shared" si="110"/>
        <v>#VALUE!</v>
      </c>
      <c r="K17" s="63" t="e">
        <f t="shared" si="111"/>
        <v>#VALUE!</v>
      </c>
      <c r="L17" s="63" t="str">
        <f>IFERROR(VLOOKUP(MID(G17,J17,K17-J17),[5]skilldef!$C:$D,2,FALSE),"-") &amp; " / " &amp; IFERROR(VLOOKUP(MID(G17,H17,I17-H17),[5]skilldef!$A:$B,2,FALSE),"-")</f>
        <v>- / 自爆</v>
      </c>
      <c r="M17" s="63" t="str">
        <f t="shared" si="112"/>
        <v>none</v>
      </c>
      <c r="N17" s="48" t="str">
        <f>IFERROR(LEFT(M17,FIND("],",M17)+S76),M17)</f>
        <v>none</v>
      </c>
      <c r="O17" s="63" t="e">
        <f t="shared" ref="O17" si="121">FIND("effect:",N17)+7</f>
        <v>#VALUE!</v>
      </c>
      <c r="P17" s="63">
        <f t="shared" si="113"/>
        <v>4</v>
      </c>
      <c r="Q17" s="63" t="e">
        <f t="shared" si="114"/>
        <v>#VALUE!</v>
      </c>
      <c r="R17" s="63" t="e">
        <f t="shared" si="115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116"/>
        <v>none</v>
      </c>
      <c r="U17" s="63" t="e">
        <f t="shared" ref="U17" si="122">FIND("effect:",T17)+7</f>
        <v>#VALUE!</v>
      </c>
      <c r="V17" s="63">
        <f t="shared" si="117"/>
        <v>4</v>
      </c>
      <c r="W17" s="63" t="e">
        <f t="shared" si="118"/>
        <v>#VALUE!</v>
      </c>
      <c r="X17" s="63" t="e">
        <f t="shared" si="119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>
      <c r="A18" s="47">
        <v>112141319</v>
      </c>
      <c r="B18" s="47" t="s">
        <v>312</v>
      </c>
      <c r="C18" s="50">
        <v>3</v>
      </c>
      <c r="D18" s="50" t="s">
        <v>127</v>
      </c>
      <c r="E18" s="51" t="s">
        <v>207</v>
      </c>
      <c r="F18" s="51" t="s">
        <v>193</v>
      </c>
      <c r="G18" s="63" t="str">
        <f t="shared" si="0"/>
        <v>[effect:kamikaze, val:0][effect:sleep, target:unit_all, turn:1, rate:1]</v>
      </c>
      <c r="H18" s="63">
        <f t="shared" si="1"/>
        <v>9</v>
      </c>
      <c r="I18" s="63">
        <f t="shared" si="2"/>
        <v>17</v>
      </c>
      <c r="J18" s="63">
        <f t="shared" si="3"/>
        <v>47</v>
      </c>
      <c r="K18" s="63">
        <f t="shared" si="4"/>
        <v>38</v>
      </c>
      <c r="L18" s="63" t="str">
        <f>IFERROR(VLOOKUP(MID(G18,J18,K18-J18),[5]skilldef!$C:$D,2,FALSE),"-") &amp; " / " &amp; IFERROR(VLOOKUP(MID(G18,H18,I18-H18),[5]skilldef!$A:$B,2,FALSE),"-")</f>
        <v>- / 自爆</v>
      </c>
      <c r="M18" s="63" t="str">
        <f t="shared" si="5"/>
        <v>none</v>
      </c>
      <c r="N18" s="48" t="str">
        <f>IFERROR(LEFT(M18,FIND("],",M18)+S77),M18)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7">
      <c r="A19" s="47">
        <v>112141400</v>
      </c>
      <c r="B19" s="47" t="s">
        <v>309</v>
      </c>
      <c r="C19" s="50">
        <v>3</v>
      </c>
      <c r="D19" s="50" t="s">
        <v>127</v>
      </c>
      <c r="E19" s="51" t="s">
        <v>259</v>
      </c>
      <c r="F19" s="51" t="s">
        <v>265</v>
      </c>
      <c r="G19" s="63" t="str">
        <f t="shared" si="0"/>
        <v>[effect:fix_speed, target:myself, turn:1][effect:enhance_enemy, target:myself, turn:-1, status:defense, val:65335, calc:add]</v>
      </c>
      <c r="H19" s="63">
        <f t="shared" si="1"/>
        <v>9</v>
      </c>
      <c r="I19" s="63">
        <f t="shared" si="2"/>
        <v>18</v>
      </c>
      <c r="J19" s="63">
        <f t="shared" si="3"/>
        <v>27</v>
      </c>
      <c r="K19" s="63">
        <f t="shared" si="4"/>
        <v>33</v>
      </c>
      <c r="L19" s="63" t="str">
        <f>IFERROR(VLOOKUP(MID(G19,J19,K19-J19),[5]skilldef!$C:$D,2,FALSE),"-") &amp; " / " &amp; IFERROR(VLOOKUP(MID(G19,H19,I19-H19),[5]skilldef!$A:$B,2,FALSE),"-")</f>
        <v>自分自身に / 行動値設定</v>
      </c>
      <c r="M19" s="63" t="str">
        <f t="shared" si="5"/>
        <v>none</v>
      </c>
      <c r="N19" s="48" t="str">
        <f>IFERROR(LEFT(M19,FIND("],",M19)+S78),M19)</f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7">
      <c r="A20" s="47">
        <v>112141401</v>
      </c>
      <c r="B20" s="47" t="s">
        <v>181</v>
      </c>
      <c r="C20" s="50">
        <v>3</v>
      </c>
      <c r="D20" s="50" t="s">
        <v>127</v>
      </c>
      <c r="E20" s="51" t="s">
        <v>255</v>
      </c>
      <c r="F20" s="51" t="s">
        <v>185</v>
      </c>
      <c r="G20" s="63" t="str">
        <f t="shared" ref="G20:G21" si="123">IFERROR(LEFT(B20,FIND("],",B20)),B20)</f>
        <v>[effect:nothing]</v>
      </c>
      <c r="H20" s="63">
        <f t="shared" si="1"/>
        <v>9</v>
      </c>
      <c r="I20" s="63">
        <f t="shared" ref="I20:I21" si="124">IFERROR(FIND(",",G20),LEN(G20))</f>
        <v>16</v>
      </c>
      <c r="J20" s="63" t="e">
        <f t="shared" ref="J20:J21" si="125">FIND("target:",G20)+7</f>
        <v>#VALUE!</v>
      </c>
      <c r="K20" s="63" t="e">
        <f t="shared" ref="K20:K21" si="126">FIND(",",G20,I20+1)</f>
        <v>#VALUE!</v>
      </c>
      <c r="L20" s="63" t="str">
        <f>IFERROR(VLOOKUP(MID(G20,J20,K20-J20),[5]skilldef!$C:$D,2,FALSE),"-") &amp; " / " &amp; IFERROR(VLOOKUP(MID(G20,H20,I20-H20),[5]skilldef!$A:$B,2,FALSE),"-")</f>
        <v>- / 何もしない</v>
      </c>
      <c r="M20" s="63" t="str">
        <f t="shared" ref="M20:M21" si="127">IFERROR(RIGHT(B20,LEN(B20)-FIND("],",B20)-1),"none")</f>
        <v>none</v>
      </c>
      <c r="N20" s="48" t="str">
        <f>IFERROR(LEFT(M20,FIND("],",M20)+S78),M20)</f>
        <v>none</v>
      </c>
      <c r="O20" s="63" t="e">
        <f t="shared" si="6"/>
        <v>#VALUE!</v>
      </c>
      <c r="P20" s="63">
        <f t="shared" ref="P20:P21" si="128">IFERROR(FIND(",",N20),LEN(N20))</f>
        <v>4</v>
      </c>
      <c r="Q20" s="63" t="e">
        <f t="shared" ref="Q20:Q21" si="129">FIND("target:",N20)+7</f>
        <v>#VALUE!</v>
      </c>
      <c r="R20" s="63" t="e">
        <f t="shared" ref="R20:R21" si="130">FIND(",",N20,P20+1)</f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ref="T20:T21" si="131">IFERROR(RIGHT(M20,LEN(M20)-FIND("],",M20)-1),"none")</f>
        <v>none</v>
      </c>
      <c r="U20" s="63" t="e">
        <f t="shared" si="11"/>
        <v>#VALUE!</v>
      </c>
      <c r="V20" s="63">
        <f t="shared" ref="V20:V21" si="132">IFERROR(FIND(",",T20),LEN(T20))</f>
        <v>4</v>
      </c>
      <c r="W20" s="63" t="e">
        <f t="shared" ref="W20:W21" si="133">FIND("target:",T20)+7</f>
        <v>#VALUE!</v>
      </c>
      <c r="X20" s="63" t="e">
        <f t="shared" ref="X20:X21" si="134">FIND(",",T20,V20+1)</f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>
      <c r="A21" s="47">
        <v>112141408</v>
      </c>
      <c r="B21" s="47" t="s">
        <v>177</v>
      </c>
      <c r="C21" s="50">
        <v>3</v>
      </c>
      <c r="D21" s="50" t="s">
        <v>127</v>
      </c>
      <c r="E21" s="51" t="s">
        <v>210</v>
      </c>
      <c r="F21" s="51" t="s">
        <v>190</v>
      </c>
      <c r="G21" s="63" t="str">
        <f t="shared" si="123"/>
        <v>[effect:kamikaze, val:0]</v>
      </c>
      <c r="H21" s="63">
        <f t="shared" ref="H21" si="135">FIND("effect:",G21)+7</f>
        <v>9</v>
      </c>
      <c r="I21" s="63">
        <f t="shared" si="124"/>
        <v>17</v>
      </c>
      <c r="J21" s="63" t="e">
        <f t="shared" si="125"/>
        <v>#VALUE!</v>
      </c>
      <c r="K21" s="63" t="e">
        <f t="shared" si="126"/>
        <v>#VALUE!</v>
      </c>
      <c r="L21" s="63" t="str">
        <f>IFERROR(VLOOKUP(MID(G21,J21,K21-J21),[5]skilldef!$C:$D,2,FALSE),"-") &amp; " / " &amp; IFERROR(VLOOKUP(MID(G21,H21,I21-H21),[5]skilldef!$A:$B,2,FALSE),"-")</f>
        <v>- / 自爆</v>
      </c>
      <c r="M21" s="63" t="str">
        <f t="shared" si="127"/>
        <v>none</v>
      </c>
      <c r="N21" s="48" t="str">
        <f>IFERROR(LEFT(M21,FIND("],",M21)+S78),M21)</f>
        <v>none</v>
      </c>
      <c r="O21" s="63" t="e">
        <f t="shared" ref="O21" si="136">FIND("effect:",N21)+7</f>
        <v>#VALUE!</v>
      </c>
      <c r="P21" s="63">
        <f t="shared" si="128"/>
        <v>4</v>
      </c>
      <c r="Q21" s="63" t="e">
        <f t="shared" si="129"/>
        <v>#VALUE!</v>
      </c>
      <c r="R21" s="63" t="e">
        <f t="shared" si="130"/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si="131"/>
        <v>none</v>
      </c>
      <c r="U21" s="63" t="e">
        <f t="shared" ref="U21" si="137">FIND("effect:",T21)+7</f>
        <v>#VALUE!</v>
      </c>
      <c r="V21" s="63">
        <f t="shared" si="132"/>
        <v>4</v>
      </c>
      <c r="W21" s="63" t="e">
        <f t="shared" si="133"/>
        <v>#VALUE!</v>
      </c>
      <c r="X21" s="63" t="e">
        <f t="shared" si="13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>
      <c r="A22" s="47">
        <v>112141409</v>
      </c>
      <c r="B22" s="47" t="s">
        <v>177</v>
      </c>
      <c r="C22" s="50">
        <v>3</v>
      </c>
      <c r="D22" s="50" t="s">
        <v>127</v>
      </c>
      <c r="E22" s="51" t="s">
        <v>210</v>
      </c>
      <c r="F22" s="51" t="s">
        <v>190</v>
      </c>
      <c r="G22" s="63" t="str">
        <f t="shared" si="0"/>
        <v>[effect:kamikaze, val:0]</v>
      </c>
      <c r="H22" s="63">
        <f t="shared" si="1"/>
        <v>9</v>
      </c>
      <c r="I22" s="63">
        <f t="shared" si="2"/>
        <v>17</v>
      </c>
      <c r="J22" s="63" t="e">
        <f t="shared" si="3"/>
        <v>#VALUE!</v>
      </c>
      <c r="K22" s="63" t="e">
        <f t="shared" si="4"/>
        <v>#VALUE!</v>
      </c>
      <c r="L22" s="63" t="str">
        <f>IFERROR(VLOOKUP(MID(G22,J22,K22-J22),[5]skilldef!$C:$D,2,FALSE),"-") &amp; " / " &amp; IFERROR(VLOOKUP(MID(G22,H22,I22-H22),[5]skilldef!$A:$B,2,FALSE),"-")</f>
        <v>- / 自爆</v>
      </c>
      <c r="M22" s="63" t="str">
        <f t="shared" si="5"/>
        <v>none</v>
      </c>
      <c r="N22" s="48" t="str">
        <f>IFERROR(LEFT(M22,FIND("],",M22)+S79),M22)</f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14">
      <c r="A23" s="47">
        <v>112141410</v>
      </c>
      <c r="B23" s="47" t="s">
        <v>178</v>
      </c>
      <c r="C23" s="50">
        <v>3</v>
      </c>
      <c r="D23" s="50" t="s">
        <v>127</v>
      </c>
      <c r="E23" s="51" t="s">
        <v>323</v>
      </c>
      <c r="F23" s="51" t="s">
        <v>311</v>
      </c>
      <c r="G23" s="63" t="str">
        <f t="shared" si="0"/>
        <v>[effect:fix_speed, target:myself, turn:1]</v>
      </c>
      <c r="H23" s="63">
        <f t="shared" si="1"/>
        <v>9</v>
      </c>
      <c r="I23" s="63">
        <f t="shared" si="2"/>
        <v>18</v>
      </c>
      <c r="J23" s="63">
        <f t="shared" si="3"/>
        <v>27</v>
      </c>
      <c r="K23" s="63">
        <f t="shared" si="4"/>
        <v>33</v>
      </c>
      <c r="L23" s="63" t="str">
        <f>IFERROR(VLOOKUP(MID(G23,J23,K23-J23),[5]skilldef!$C:$D,2,FALSE),"-") &amp; " / " &amp; IFERROR(VLOOKUP(MID(G23,H23,I23-H23),[5]skilldef!$A:$B,2,FALSE),"-")</f>
        <v>自分自身に / 行動値設定</v>
      </c>
      <c r="M23" s="63" t="str">
        <f t="shared" si="5"/>
        <v>none</v>
      </c>
      <c r="N23" s="48" t="str">
        <f>IFERROR(LEFT(M23,FIND("],",M23)+S79),M23)</f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>
      <c r="A24" s="47">
        <v>112141411</v>
      </c>
      <c r="B24" s="47" t="s">
        <v>181</v>
      </c>
      <c r="C24" s="50">
        <v>3</v>
      </c>
      <c r="D24" s="50" t="s">
        <v>127</v>
      </c>
      <c r="E24" s="51" t="s">
        <v>310</v>
      </c>
      <c r="F24" s="51" t="s">
        <v>191</v>
      </c>
      <c r="G24" s="63" t="str">
        <f t="shared" ref="G24" si="138">IFERROR(LEFT(B24,FIND("],",B24)),B24)</f>
        <v>[effect:nothing]</v>
      </c>
      <c r="H24" s="63">
        <f t="shared" si="1"/>
        <v>9</v>
      </c>
      <c r="I24" s="63">
        <f t="shared" ref="I24" si="139">IFERROR(FIND(",",G24),LEN(G24))</f>
        <v>16</v>
      </c>
      <c r="J24" s="63" t="e">
        <f t="shared" ref="J24" si="140">FIND("target:",G24)+7</f>
        <v>#VALUE!</v>
      </c>
      <c r="K24" s="63" t="e">
        <f t="shared" ref="K24" si="141">FIND(",",G24,I24+1)</f>
        <v>#VALUE!</v>
      </c>
      <c r="L24" s="63" t="str">
        <f>IFERROR(VLOOKUP(MID(G24,J24,K24-J24),[5]skilldef!$C:$D,2,FALSE),"-") &amp; " / " &amp; IFERROR(VLOOKUP(MID(G24,H24,I24-H24),[5]skilldef!$A:$B,2,FALSE),"-")</f>
        <v>- / 何もしない</v>
      </c>
      <c r="M24" s="63" t="str">
        <f t="shared" ref="M24" si="142">IFERROR(RIGHT(B24,LEN(B24)-FIND("],",B24)-1),"none")</f>
        <v>none</v>
      </c>
      <c r="N24" s="48" t="str">
        <f>IFERROR(LEFT(M24,FIND("],",M24)+S80),M24)</f>
        <v>none</v>
      </c>
      <c r="O24" s="63" t="e">
        <f t="shared" si="6"/>
        <v>#VALUE!</v>
      </c>
      <c r="P24" s="63">
        <f t="shared" ref="P24" si="143">IFERROR(FIND(",",N24),LEN(N24))</f>
        <v>4</v>
      </c>
      <c r="Q24" s="63" t="e">
        <f t="shared" ref="Q24" si="144">FIND("target:",N24)+7</f>
        <v>#VALUE!</v>
      </c>
      <c r="R24" s="63" t="e">
        <f t="shared" ref="R24" si="145">FIND(",",N24,P24+1)</f>
        <v>#VALUE!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ref="T24" si="146">IFERROR(RIGHT(M24,LEN(M24)-FIND("],",M24)-1),"none")</f>
        <v>none</v>
      </c>
      <c r="U24" s="63" t="e">
        <f t="shared" si="11"/>
        <v>#VALUE!</v>
      </c>
      <c r="V24" s="63">
        <f t="shared" ref="V24" si="147">IFERROR(FIND(",",T24),LEN(T24))</f>
        <v>4</v>
      </c>
      <c r="W24" s="63" t="e">
        <f t="shared" ref="W24" si="148">FIND("target:",T24)+7</f>
        <v>#VALUE!</v>
      </c>
      <c r="X24" s="63" t="e">
        <f t="shared" ref="X24" si="149">FIND(",",T24,V24+1)</f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>
      <c r="A25" s="47">
        <v>112141418</v>
      </c>
      <c r="B25" s="47" t="s">
        <v>278</v>
      </c>
      <c r="C25" s="50">
        <v>3</v>
      </c>
      <c r="D25" s="50" t="s">
        <v>127</v>
      </c>
      <c r="E25" s="51" t="s">
        <v>319</v>
      </c>
      <c r="F25" s="51" t="s">
        <v>320</v>
      </c>
      <c r="G25" s="63" t="str">
        <f t="shared" ref="G25" si="150">IFERROR(LEFT(B25,FIND("],",B25)),B25)</f>
        <v>[effect:kamikaze, val:0]</v>
      </c>
      <c r="H25" s="63">
        <f t="shared" ref="H25" si="151">FIND("effect:",G25)+7</f>
        <v>9</v>
      </c>
      <c r="I25" s="63">
        <f t="shared" ref="I25" si="152">IFERROR(FIND(",",G25),LEN(G25))</f>
        <v>17</v>
      </c>
      <c r="J25" s="63" t="e">
        <f t="shared" ref="J25" si="153">FIND("target:",G25)+7</f>
        <v>#VALUE!</v>
      </c>
      <c r="K25" s="63" t="e">
        <f t="shared" ref="K25" si="154">FIND(",",G25,I25+1)</f>
        <v>#VALUE!</v>
      </c>
      <c r="L25" s="63" t="str">
        <f>IFERROR(VLOOKUP(MID(G25,J25,K25-J25),[5]skilldef!$C:$D,2,FALSE),"-") &amp; " / " &amp; IFERROR(VLOOKUP(MID(G25,H25,I25-H25),[5]skilldef!$A:$B,2,FALSE),"-")</f>
        <v>- / 自爆</v>
      </c>
      <c r="M25" s="63" t="str">
        <f t="shared" ref="M25" si="155">IFERROR(RIGHT(B25,LEN(B25)-FIND("],",B25)-1),"none")</f>
        <v>none</v>
      </c>
      <c r="N25" s="48" t="str">
        <f>IFERROR(LEFT(M25,FIND("],",M25)+S81),M25)</f>
        <v>none</v>
      </c>
      <c r="O25" s="63" t="e">
        <f t="shared" ref="O25" si="156">FIND("effect:",N25)+7</f>
        <v>#VALUE!</v>
      </c>
      <c r="P25" s="63">
        <f t="shared" ref="P25" si="157">IFERROR(FIND(",",N25),LEN(N25))</f>
        <v>4</v>
      </c>
      <c r="Q25" s="63" t="e">
        <f t="shared" ref="Q25" si="158">FIND("target:",N25)+7</f>
        <v>#VALUE!</v>
      </c>
      <c r="R25" s="63" t="e">
        <f t="shared" ref="R25" si="159">FIND(",",N25,P25+1)</f>
        <v>#VALUE!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ref="T25" si="160">IFERROR(RIGHT(M25,LEN(M25)-FIND("],",M25)-1),"none")</f>
        <v>none</v>
      </c>
      <c r="U25" s="63" t="e">
        <f t="shared" ref="U25" si="161">FIND("effect:",T25)+7</f>
        <v>#VALUE!</v>
      </c>
      <c r="V25" s="63">
        <f t="shared" ref="V25" si="162">IFERROR(FIND(",",T25),LEN(T25))</f>
        <v>4</v>
      </c>
      <c r="W25" s="63" t="e">
        <f t="shared" ref="W25" si="163">FIND("target:",T25)+7</f>
        <v>#VALUE!</v>
      </c>
      <c r="X25" s="63" t="e">
        <f t="shared" ref="X25" si="164">FIND(",",T25,V25+1)</f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>
      <c r="A26" s="47">
        <v>112141419</v>
      </c>
      <c r="B26" s="47" t="s">
        <v>312</v>
      </c>
      <c r="C26" s="50">
        <v>3</v>
      </c>
      <c r="D26" s="50" t="s">
        <v>127</v>
      </c>
      <c r="E26" s="51" t="s">
        <v>256</v>
      </c>
      <c r="F26" s="51" t="s">
        <v>184</v>
      </c>
      <c r="G26" s="63" t="str">
        <f t="shared" si="0"/>
        <v>[effect:kamikaze, val:0][effect:sleep, target:unit_all, turn:1, rate:1]</v>
      </c>
      <c r="H26" s="63">
        <f t="shared" si="1"/>
        <v>9</v>
      </c>
      <c r="I26" s="63">
        <f t="shared" si="2"/>
        <v>17</v>
      </c>
      <c r="J26" s="63">
        <f t="shared" si="3"/>
        <v>47</v>
      </c>
      <c r="K26" s="63">
        <f t="shared" si="4"/>
        <v>38</v>
      </c>
      <c r="L26" s="63" t="str">
        <f>IFERROR(VLOOKUP(MID(G26,J26,K26-J26),[5]skilldef!$C:$D,2,FALSE),"-") &amp; " / " &amp; IFERROR(VLOOKUP(MID(G26,H26,I26-H26),[5]skilldef!$A:$B,2,FALSE),"-")</f>
        <v>- / 自爆</v>
      </c>
      <c r="M26" s="63" t="str">
        <f t="shared" si="5"/>
        <v>none</v>
      </c>
      <c r="N26" s="48" t="str">
        <f>IFERROR(LEFT(M26,FIND("],",M26)+S80),M26)</f>
        <v>none</v>
      </c>
      <c r="O26" s="63" t="e">
        <f t="shared" si="6"/>
        <v>#VALUE!</v>
      </c>
      <c r="P26" s="63">
        <f t="shared" si="7"/>
        <v>4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>
      <c r="A27" s="47">
        <v>112141500</v>
      </c>
      <c r="B27" s="47" t="s">
        <v>281</v>
      </c>
      <c r="C27" s="50">
        <v>3</v>
      </c>
      <c r="D27" s="50" t="s">
        <v>127</v>
      </c>
      <c r="E27" s="51" t="s">
        <v>183</v>
      </c>
      <c r="F27" s="51" t="s">
        <v>174</v>
      </c>
      <c r="G27" s="63" t="str">
        <f t="shared" si="0"/>
        <v>[effect:fix_speed, target:myself, turn:1][effect:dark, target:unit_all, turn:-1]</v>
      </c>
      <c r="H27" s="63">
        <f t="shared" si="1"/>
        <v>9</v>
      </c>
      <c r="I27" s="63">
        <f t="shared" si="2"/>
        <v>18</v>
      </c>
      <c r="J27" s="63">
        <f t="shared" si="3"/>
        <v>27</v>
      </c>
      <c r="K27" s="63">
        <f t="shared" si="4"/>
        <v>33</v>
      </c>
      <c r="L27" s="63" t="str">
        <f>IFERROR(VLOOKUP(MID(G27,J27,K27-J27),[5]skilldef!$C:$D,2,FALSE),"-") &amp; " / " &amp; IFERROR(VLOOKUP(MID(G27,H27,I27-H27),[5]skilldef!$A:$B,2,FALSE),"-")</f>
        <v>自分自身に / 行動値設定</v>
      </c>
      <c r="M27" s="63" t="str">
        <f t="shared" si="5"/>
        <v>none</v>
      </c>
      <c r="N27" s="48" t="str">
        <f>IFERROR(LEFT(M27,FIND("],",M27)+S80),M27)</f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>
      <c r="A28" s="47">
        <v>112141501</v>
      </c>
      <c r="B28" s="47" t="s">
        <v>234</v>
      </c>
      <c r="C28" s="50">
        <v>3</v>
      </c>
      <c r="D28" s="50" t="s">
        <v>127</v>
      </c>
      <c r="E28" s="51" t="s">
        <v>308</v>
      </c>
      <c r="F28" s="51" t="s">
        <v>233</v>
      </c>
      <c r="G28" s="63" t="str">
        <f t="shared" si="0"/>
        <v>[effect:dis_panel, target:block_heart, turn:-1, animation:enemy_dis_heart]</v>
      </c>
      <c r="H28" s="63">
        <f t="shared" si="1"/>
        <v>9</v>
      </c>
      <c r="I28" s="63">
        <f t="shared" si="2"/>
        <v>18</v>
      </c>
      <c r="J28" s="63">
        <f t="shared" si="3"/>
        <v>27</v>
      </c>
      <c r="K28" s="63">
        <f t="shared" si="4"/>
        <v>38</v>
      </c>
      <c r="L28" s="63" t="str">
        <f>IFERROR(VLOOKUP(MID(G28,J28,K28-J28),[5]skilldef!$C:$D,2,FALSE),"-") &amp; " / " &amp; IFERROR(VLOOKUP(MID(G28,H28,I28-H28),[5]skilldef!$A:$B,2,FALSE),"-")</f>
        <v>ハートパネルを / ディスパネル</v>
      </c>
      <c r="M28" s="63" t="str">
        <f t="shared" si="5"/>
        <v>none</v>
      </c>
      <c r="N28" s="48" t="str">
        <f>IFERROR(LEFT(M28,FIND("],",M28)+S80),M28)</f>
        <v>none</v>
      </c>
      <c r="O28" s="63" t="e">
        <f t="shared" si="6"/>
        <v>#VALUE!</v>
      </c>
      <c r="P28" s="63">
        <f t="shared" si="7"/>
        <v>4</v>
      </c>
      <c r="Q28" s="63" t="e">
        <f t="shared" si="8"/>
        <v>#VALUE!</v>
      </c>
      <c r="R28" s="63" t="e">
        <f t="shared" si="9"/>
        <v>#VALUE!</v>
      </c>
      <c r="S28" s="63" t="str">
        <f>IFERROR(VLOOKUP(MID(N28,Q28,R28-Q28),[5]skilldef!$C:$D,2,FALSE),"-") &amp; " / " &amp; IFERROR(VLOOKUP(MID(N28,O28,P28-O28),[5]skilldef!$A:$B,2,FALSE),"-")</f>
        <v>- / -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>
      <c r="A29" s="47">
        <v>112141502</v>
      </c>
      <c r="B29" s="47" t="s">
        <v>292</v>
      </c>
      <c r="C29" s="50">
        <v>3</v>
      </c>
      <c r="D29" s="50" t="s">
        <v>127</v>
      </c>
      <c r="E29" s="51" t="s">
        <v>291</v>
      </c>
      <c r="F29" s="51" t="s">
        <v>282</v>
      </c>
      <c r="G29" s="63" t="str">
        <f t="shared" si="0"/>
        <v>[effect:fix_speed, target:myself, turn:1][effect:force_change_block, new_block:crack_bomb, target:block_heart, color:block_red, count:0, val:0]</v>
      </c>
      <c r="H29" s="63">
        <f t="shared" si="1"/>
        <v>9</v>
      </c>
      <c r="I29" s="63">
        <f t="shared" si="2"/>
        <v>18</v>
      </c>
      <c r="J29" s="63">
        <f t="shared" si="3"/>
        <v>27</v>
      </c>
      <c r="K29" s="63">
        <f t="shared" si="4"/>
        <v>33</v>
      </c>
      <c r="L29" s="63" t="str">
        <f>IFERROR(VLOOKUP(MID(G29,J29,K29-J29),[5]skilldef!$C:$D,2,FALSE),"-") &amp; " / " &amp; IFERROR(VLOOKUP(MID(G29,H29,I29-H29),[5]skilldef!$A:$B,2,FALSE),"-")</f>
        <v>自分自身に / 行動値設定</v>
      </c>
      <c r="M29" s="63" t="str">
        <f t="shared" si="5"/>
        <v>none</v>
      </c>
      <c r="N29" s="48" t="str">
        <f>IFERROR(LEFT(M29,FIND("],",M29)+S81),M29)</f>
        <v>none</v>
      </c>
      <c r="O29" s="63" t="e">
        <f t="shared" si="6"/>
        <v>#VALUE!</v>
      </c>
      <c r="P29" s="63">
        <f t="shared" si="7"/>
        <v>4</v>
      </c>
      <c r="Q29" s="63" t="e">
        <f t="shared" si="8"/>
        <v>#VALUE!</v>
      </c>
      <c r="R29" s="63" t="e">
        <f t="shared" si="9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14">
      <c r="A30" s="47">
        <v>112141508</v>
      </c>
      <c r="B30" s="47" t="s">
        <v>284</v>
      </c>
      <c r="C30" s="50">
        <v>3</v>
      </c>
      <c r="D30" s="50" t="s">
        <v>127</v>
      </c>
      <c r="E30" s="51" t="s">
        <v>324</v>
      </c>
      <c r="F30" s="51" t="s">
        <v>285</v>
      </c>
      <c r="G30" s="63" t="str">
        <f t="shared" ref="G30" si="165">IFERROR(LEFT(B30,FIND("],",B30)),B30)</f>
        <v>[effect:nothing]</v>
      </c>
      <c r="H30" s="63">
        <f t="shared" ref="H30" si="166">FIND("effect:",G30)+7</f>
        <v>9</v>
      </c>
      <c r="I30" s="63">
        <f t="shared" ref="I30" si="167">IFERROR(FIND(",",G30),LEN(G30))</f>
        <v>16</v>
      </c>
      <c r="J30" s="63" t="e">
        <f t="shared" ref="J30" si="168">FIND("target:",G30)+7</f>
        <v>#VALUE!</v>
      </c>
      <c r="K30" s="63" t="e">
        <f t="shared" ref="K30" si="169">FIND(",",G30,I30+1)</f>
        <v>#VALUE!</v>
      </c>
      <c r="L30" s="63" t="str">
        <f>IFERROR(VLOOKUP(MID(G30,J30,K30-J30),[5]skilldef!$C:$D,2,FALSE),"-") &amp; " / " &amp; IFERROR(VLOOKUP(MID(G30,H30,I30-H30),[5]skilldef!$A:$B,2,FALSE),"-")</f>
        <v>- / 何もしない</v>
      </c>
      <c r="M30" s="63" t="str">
        <f t="shared" ref="M30" si="170">IFERROR(RIGHT(B30,LEN(B30)-FIND("],",B30)-1),"none")</f>
        <v>none</v>
      </c>
      <c r="N30" s="48" t="str">
        <f>IFERROR(LEFT(M30,FIND("],",M30)+S80),M30)</f>
        <v>none</v>
      </c>
      <c r="O30" s="63" t="e">
        <f t="shared" ref="O30" si="171">FIND("effect:",N30)+7</f>
        <v>#VALUE!</v>
      </c>
      <c r="P30" s="63">
        <f t="shared" ref="P30" si="172">IFERROR(FIND(",",N30),LEN(N30))</f>
        <v>4</v>
      </c>
      <c r="Q30" s="63" t="e">
        <f t="shared" ref="Q30" si="173">FIND("target:",N30)+7</f>
        <v>#VALUE!</v>
      </c>
      <c r="R30" s="63" t="e">
        <f t="shared" ref="R30" si="174">FIND(",",N30,P30+1)</f>
        <v>#VALUE!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ref="T30" si="175">IFERROR(RIGHT(M30,LEN(M30)-FIND("],",M30)-1),"none")</f>
        <v>none</v>
      </c>
      <c r="U30" s="63" t="e">
        <f t="shared" ref="U30" si="176">FIND("effect:",T30)+7</f>
        <v>#VALUE!</v>
      </c>
      <c r="V30" s="63">
        <f t="shared" ref="V30" si="177">IFERROR(FIND(",",T30),LEN(T30))</f>
        <v>4</v>
      </c>
      <c r="W30" s="63" t="e">
        <f t="shared" ref="W30" si="178">FIND("target:",T30)+7</f>
        <v>#VALUE!</v>
      </c>
      <c r="X30" s="63" t="e">
        <f t="shared" ref="X30" si="179">FIND(",",T30,V30+1)</f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14">
      <c r="A31" s="47">
        <v>112141509</v>
      </c>
      <c r="B31" s="47" t="s">
        <v>177</v>
      </c>
      <c r="C31" s="50">
        <v>3</v>
      </c>
      <c r="D31" s="50" t="s">
        <v>127</v>
      </c>
      <c r="E31" s="51" t="s">
        <v>205</v>
      </c>
      <c r="F31" s="51" t="s">
        <v>173</v>
      </c>
      <c r="G31" s="63" t="str">
        <f t="shared" si="0"/>
        <v>[effect:kamikaze, val:0]</v>
      </c>
      <c r="H31" s="63">
        <f t="shared" si="1"/>
        <v>9</v>
      </c>
      <c r="I31" s="63">
        <f t="shared" si="2"/>
        <v>17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IFERROR(VLOOKUP(MID(G31,J31,K31-J31),[5]skilldef!$C:$D,2,FALSE),"-") &amp; " / " &amp; IFERROR(VLOOKUP(MID(G31,H31,I31-H31),[5]skilldef!$A:$B,2,FALSE),"-")</f>
        <v>- / 自爆</v>
      </c>
      <c r="M31" s="63" t="str">
        <f t="shared" si="5"/>
        <v>none</v>
      </c>
      <c r="N31" s="48" t="str">
        <f>IFERROR(LEFT(M31,FIND("],",M31)+S81),M31)</f>
        <v>none</v>
      </c>
      <c r="O31" s="63" t="e">
        <f t="shared" si="6"/>
        <v>#VALUE!</v>
      </c>
      <c r="P31" s="63">
        <f t="shared" si="7"/>
        <v>4</v>
      </c>
      <c r="Q31" s="63" t="e">
        <f t="shared" si="8"/>
        <v>#VALUE!</v>
      </c>
      <c r="R31" s="63" t="e">
        <f t="shared" si="9"/>
        <v>#VALUE!</v>
      </c>
      <c r="S31" s="63" t="str">
        <f>IFERROR(VLOOKUP(MID(N31,Q31,R31-Q31),[5]skilldef!$C:$D,2,FALSE),"-") &amp; " / " &amp; IFERROR(VLOOKUP(MID(N31,O31,P31-O31),[5]skilldef!$A:$B,2,FALSE),"-")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s="96" customFormat="1" ht="21" customHeight="1">
      <c r="A32" s="92">
        <v>112142100</v>
      </c>
      <c r="B32" s="92" t="s">
        <v>179</v>
      </c>
      <c r="C32" s="95">
        <v>3</v>
      </c>
      <c r="D32" s="95" t="s">
        <v>127</v>
      </c>
      <c r="E32" s="97" t="s">
        <v>253</v>
      </c>
      <c r="F32" s="97" t="s">
        <v>206</v>
      </c>
      <c r="G32" s="97" t="str">
        <f t="shared" ref="G32" si="180">IFERROR(LEFT(B32,FIND("],",B32)),B32)</f>
        <v>[effect:kamikaze, val:0][effect:sleep, target:unit_all, turn:1, rate:1][effect:hungup, target:unit_all, turn:-1, rate:1]</v>
      </c>
      <c r="H32" s="97">
        <f t="shared" ref="H32" si="181">FIND("effect:",G32)+7</f>
        <v>9</v>
      </c>
      <c r="I32" s="97">
        <f t="shared" ref="I32" si="182">IFERROR(FIND(",",G32),LEN(G32))</f>
        <v>17</v>
      </c>
      <c r="J32" s="97">
        <f t="shared" ref="J32" si="183">FIND("target:",G32)+7</f>
        <v>47</v>
      </c>
      <c r="K32" s="97">
        <f t="shared" ref="K32" si="184">FIND(",",G32,I32+1)</f>
        <v>38</v>
      </c>
      <c r="L32" s="97" t="str">
        <f>IFERROR(VLOOKUP(MID(G32,J32,K32-J32),[5]skilldef!$C:$D,2,FALSE),"-") &amp; " / " &amp; IFERROR(VLOOKUP(MID(G32,H32,I32-H32),[5]skilldef!$A:$B,2,FALSE),"-")</f>
        <v>- / 自爆</v>
      </c>
      <c r="M32" s="97" t="str">
        <f t="shared" ref="M32" si="185">IFERROR(RIGHT(B32,LEN(B32)-FIND("],",B32)-1),"none")</f>
        <v>none</v>
      </c>
      <c r="N32" s="92" t="str">
        <f>IFERROR(LEFT(M32,FIND("],",M32)+S97),M32)</f>
        <v>none</v>
      </c>
      <c r="O32" s="97" t="e">
        <f t="shared" ref="O32" si="186">FIND("effect:",N32)+7</f>
        <v>#VALUE!</v>
      </c>
      <c r="P32" s="97">
        <f t="shared" ref="P32" si="187">IFERROR(FIND(",",N32),LEN(N32))</f>
        <v>4</v>
      </c>
      <c r="Q32" s="97" t="e">
        <f t="shared" ref="Q32" si="188">FIND("target:",N32)+7</f>
        <v>#VALUE!</v>
      </c>
      <c r="R32" s="97" t="e">
        <f t="shared" ref="R32" si="189">FIND(",",N32,P32+1)</f>
        <v>#VALUE!</v>
      </c>
      <c r="S32" s="97" t="str">
        <f>IFERROR(VLOOKUP(MID(N32,Q32,R32-Q32),[5]skilldef!$C:$D,2,FALSE),"-") &amp; " / " &amp; IFERROR(VLOOKUP(MID(N32,O32,P32-O32),[5]skilldef!$A:$B,2,FALSE),"-")</f>
        <v>- / -</v>
      </c>
      <c r="T32" s="92" t="str">
        <f t="shared" ref="T32" si="190">IFERROR(RIGHT(M32,LEN(M32)-FIND("],",M32)-1),"none")</f>
        <v>none</v>
      </c>
      <c r="U32" s="97" t="e">
        <f t="shared" ref="U32" si="191">FIND("effect:",T32)+7</f>
        <v>#VALUE!</v>
      </c>
      <c r="V32" s="97">
        <f t="shared" ref="V32" si="192">IFERROR(FIND(",",T32),LEN(T32))</f>
        <v>4</v>
      </c>
      <c r="W32" s="97" t="e">
        <f t="shared" ref="W32" si="193">FIND("target:",T32)+7</f>
        <v>#VALUE!</v>
      </c>
      <c r="X32" s="97" t="e">
        <f t="shared" ref="X32" si="194">FIND(",",T32,V32+1)</f>
        <v>#VALUE!</v>
      </c>
      <c r="Y32" s="97" t="str">
        <f>IFERROR(VLOOKUP(MID(T32,W32,X32-W32),[5]skilldef!$C:$D,2,FALSE),"-") &amp; " / " &amp; IFERROR(VLOOKUP(MID(T32,U32,V32-U32),[5]skilldef!$A:$B,2,FALSE),"-")</f>
        <v>- / -</v>
      </c>
      <c r="Z32" s="95"/>
      <c r="AA32" s="98"/>
      <c r="AB32" s="95"/>
    </row>
    <row r="33" spans="1:28" s="96" customFormat="1" ht="21" customHeight="1">
      <c r="A33" s="92">
        <v>112142200</v>
      </c>
      <c r="B33" s="92" t="s">
        <v>249</v>
      </c>
      <c r="C33" s="95">
        <v>3</v>
      </c>
      <c r="D33" s="95" t="s">
        <v>127</v>
      </c>
      <c r="E33" s="97" t="s">
        <v>248</v>
      </c>
      <c r="F33" s="97" t="s">
        <v>235</v>
      </c>
      <c r="G33" s="97" t="str">
        <f t="shared" ref="G33" si="195">IFERROR(LEFT(B33,FIND("],",B33)),B33)</f>
        <v>[effect:kamikaze, val:0]</v>
      </c>
      <c r="H33" s="97">
        <f t="shared" ref="H33" si="196">FIND("effect:",G33)+7</f>
        <v>9</v>
      </c>
      <c r="I33" s="97">
        <f t="shared" ref="I33" si="197">IFERROR(FIND(",",G33),LEN(G33))</f>
        <v>17</v>
      </c>
      <c r="J33" s="97" t="e">
        <f t="shared" ref="J33" si="198">FIND("target:",G33)+7</f>
        <v>#VALUE!</v>
      </c>
      <c r="K33" s="97" t="e">
        <f t="shared" ref="K33" si="199">FIND(",",G33,I33+1)</f>
        <v>#VALUE!</v>
      </c>
      <c r="L33" s="97" t="str">
        <f>IFERROR(VLOOKUP(MID(G33,J33,K33-J33),[5]skilldef!$C:$D,2,FALSE),"-") &amp; " / " &amp; IFERROR(VLOOKUP(MID(G33,H33,I33-H33),[5]skilldef!$A:$B,2,FALSE),"-")</f>
        <v>- / 自爆</v>
      </c>
      <c r="M33" s="97" t="str">
        <f t="shared" ref="M33" si="200">IFERROR(RIGHT(B33,LEN(B33)-FIND("],",B33)-1),"none")</f>
        <v>none</v>
      </c>
      <c r="N33" s="92" t="str">
        <f>IFERROR(LEFT(M33,FIND("],",M33)+S98),M33)</f>
        <v>none</v>
      </c>
      <c r="O33" s="97" t="e">
        <f t="shared" ref="O33" si="201">FIND("effect:",N33)+7</f>
        <v>#VALUE!</v>
      </c>
      <c r="P33" s="97">
        <f t="shared" ref="P33" si="202">IFERROR(FIND(",",N33),LEN(N33))</f>
        <v>4</v>
      </c>
      <c r="Q33" s="97" t="e">
        <f t="shared" ref="Q33" si="203">FIND("target:",N33)+7</f>
        <v>#VALUE!</v>
      </c>
      <c r="R33" s="97" t="e">
        <f t="shared" ref="R33" si="204">FIND(",",N33,P33+1)</f>
        <v>#VALUE!</v>
      </c>
      <c r="S33" s="97" t="str">
        <f>IFERROR(VLOOKUP(MID(N33,Q33,R33-Q33),[5]skilldef!$C:$D,2,FALSE),"-") &amp; " / " &amp; IFERROR(VLOOKUP(MID(N33,O33,P33-O33),[5]skilldef!$A:$B,2,FALSE),"-")</f>
        <v>- / -</v>
      </c>
      <c r="T33" s="92" t="str">
        <f t="shared" ref="T33" si="205">IFERROR(RIGHT(M33,LEN(M33)-FIND("],",M33)-1),"none")</f>
        <v>none</v>
      </c>
      <c r="U33" s="97" t="e">
        <f t="shared" ref="U33" si="206">FIND("effect:",T33)+7</f>
        <v>#VALUE!</v>
      </c>
      <c r="V33" s="97">
        <f t="shared" ref="V33" si="207">IFERROR(FIND(",",T33),LEN(T33))</f>
        <v>4</v>
      </c>
      <c r="W33" s="97" t="e">
        <f t="shared" ref="W33" si="208">FIND("target:",T33)+7</f>
        <v>#VALUE!</v>
      </c>
      <c r="X33" s="97" t="e">
        <f t="shared" ref="X33" si="209">FIND(",",T33,V33+1)</f>
        <v>#VALUE!</v>
      </c>
      <c r="Y33" s="97" t="str">
        <f>IFERROR(VLOOKUP(MID(T33,W33,X33-W33),[5]skilldef!$C:$D,2,FALSE),"-") &amp; " / " &amp; IFERROR(VLOOKUP(MID(T33,U33,V33-U33),[5]skilldef!$A:$B,2,FALSE),"-")</f>
        <v>- / -</v>
      </c>
      <c r="Z33" s="95"/>
      <c r="AA33" s="98"/>
      <c r="AB33" s="95"/>
    </row>
    <row r="34" spans="1:28" s="96" customFormat="1" ht="21" customHeight="1">
      <c r="A34" s="92">
        <v>112142201</v>
      </c>
      <c r="B34" s="92" t="s">
        <v>195</v>
      </c>
      <c r="C34" s="95">
        <v>3</v>
      </c>
      <c r="D34" s="95" t="s">
        <v>127</v>
      </c>
      <c r="E34" s="97" t="s">
        <v>254</v>
      </c>
      <c r="F34" s="97" t="s">
        <v>267</v>
      </c>
      <c r="G34" s="97" t="str">
        <f t="shared" ref="G34" si="210">IFERROR(LEFT(B34,FIND("],",B34)),B34)</f>
        <v>[effect:kamikaze, val:0][effect:sleep, target:unit_all, turn:1, rate:1]</v>
      </c>
      <c r="H34" s="97">
        <f t="shared" ref="H34" si="211">FIND("effect:",G34)+7</f>
        <v>9</v>
      </c>
      <c r="I34" s="97">
        <f t="shared" ref="I34" si="212">IFERROR(FIND(",",G34),LEN(G34))</f>
        <v>17</v>
      </c>
      <c r="J34" s="97">
        <f t="shared" ref="J34" si="213">FIND("target:",G34)+7</f>
        <v>47</v>
      </c>
      <c r="K34" s="97">
        <f t="shared" ref="K34" si="214">FIND(",",G34,I34+1)</f>
        <v>38</v>
      </c>
      <c r="L34" s="97" t="str">
        <f>IFERROR(VLOOKUP(MID(G34,J34,K34-J34),[5]skilldef!$C:$D,2,FALSE),"-") &amp; " / " &amp; IFERROR(VLOOKUP(MID(G34,H34,I34-H34),[5]skilldef!$A:$B,2,FALSE),"-")</f>
        <v>- / 自爆</v>
      </c>
      <c r="M34" s="97" t="str">
        <f t="shared" ref="M34" si="215">IFERROR(RIGHT(B34,LEN(B34)-FIND("],",B34)-1),"none")</f>
        <v>none</v>
      </c>
      <c r="N34" s="92" t="str">
        <f>IFERROR(LEFT(M34,FIND("],",M34)+S99),M34)</f>
        <v>none</v>
      </c>
      <c r="O34" s="97" t="e">
        <f t="shared" ref="O34" si="216">FIND("effect:",N34)+7</f>
        <v>#VALUE!</v>
      </c>
      <c r="P34" s="97">
        <f t="shared" ref="P34" si="217">IFERROR(FIND(",",N34),LEN(N34))</f>
        <v>4</v>
      </c>
      <c r="Q34" s="97" t="e">
        <f t="shared" ref="Q34" si="218">FIND("target:",N34)+7</f>
        <v>#VALUE!</v>
      </c>
      <c r="R34" s="97" t="e">
        <f t="shared" ref="R34" si="219">FIND(",",N34,P34+1)</f>
        <v>#VALUE!</v>
      </c>
      <c r="S34" s="97" t="str">
        <f>IFERROR(VLOOKUP(MID(N34,Q34,R34-Q34),[5]skilldef!$C:$D,2,FALSE),"-") &amp; " / " &amp; IFERROR(VLOOKUP(MID(N34,O34,P34-O34),[5]skilldef!$A:$B,2,FALSE),"-")</f>
        <v>- / -</v>
      </c>
      <c r="T34" s="92" t="str">
        <f t="shared" ref="T34" si="220">IFERROR(RIGHT(M34,LEN(M34)-FIND("],",M34)-1),"none")</f>
        <v>none</v>
      </c>
      <c r="U34" s="97" t="e">
        <f t="shared" ref="U34" si="221">FIND("effect:",T34)+7</f>
        <v>#VALUE!</v>
      </c>
      <c r="V34" s="97">
        <f t="shared" ref="V34" si="222">IFERROR(FIND(",",T34),LEN(T34))</f>
        <v>4</v>
      </c>
      <c r="W34" s="97" t="e">
        <f t="shared" ref="W34" si="223">FIND("target:",T34)+7</f>
        <v>#VALUE!</v>
      </c>
      <c r="X34" s="97" t="e">
        <f t="shared" ref="X34" si="224">FIND(",",T34,V34+1)</f>
        <v>#VALUE!</v>
      </c>
      <c r="Y34" s="97" t="str">
        <f>IFERROR(VLOOKUP(MID(T34,W34,X34-W34),[5]skilldef!$C:$D,2,FALSE),"-") &amp; " / " &amp; IFERROR(VLOOKUP(MID(T34,U34,V34-U34),[5]skilldef!$A:$B,2,FALSE),"-")</f>
        <v>- / -</v>
      </c>
      <c r="Z34" s="95"/>
      <c r="AA34" s="98"/>
      <c r="AB34" s="95"/>
    </row>
    <row r="35" spans="1:28" s="96" customFormat="1" ht="118">
      <c r="A35" s="92">
        <v>112142300</v>
      </c>
      <c r="B35" s="99" t="s">
        <v>275</v>
      </c>
      <c r="C35" s="95">
        <v>3</v>
      </c>
      <c r="D35" s="95" t="s">
        <v>127</v>
      </c>
      <c r="E35" s="97" t="s">
        <v>196</v>
      </c>
      <c r="F35" s="97" t="s">
        <v>199</v>
      </c>
      <c r="G35" s="97" t="str">
        <f t="shared" ref="G35" si="225">IFERROR(LEFT(B35,FIND("],",B35)),B35)</f>
        <v>[effect:fix_speed, target:myself, turn:1][effect:degrade_crash, count:50, special:50, turn:-1, animation:enemy_crash_extend][effect:hungup, target:unit_all, turn:-1, rate:1.0][effect:force_change_block, new_block:block_blue, target:block_all, color:block_blue, count:0, val:0.0][effect:dis_panel, target:block_heart, turn:3][effect:change_block, new_block:time_bomb, target:block_all, color:block_green, count:3, val:0.30][effect:change_panel_ratio, block_type:green, turn:3, val:0.0][effect:degrade_fever, val:1000.0][effect:enhance_enemy, target:myself, turn:-1, status:defense, val:0]</v>
      </c>
      <c r="H35" s="97">
        <f t="shared" ref="H35" si="226">FIND("effect:",G35)+7</f>
        <v>9</v>
      </c>
      <c r="I35" s="97">
        <f t="shared" ref="I35" si="227">IFERROR(FIND(",",G35),LEN(G35))</f>
        <v>18</v>
      </c>
      <c r="J35" s="97">
        <f t="shared" ref="J35" si="228">FIND("target:",G35)+7</f>
        <v>27</v>
      </c>
      <c r="K35" s="97">
        <f t="shared" ref="K35" si="229">FIND(",",G35,I35+1)</f>
        <v>33</v>
      </c>
      <c r="L35" s="97" t="str">
        <f>IFERROR(VLOOKUP(MID(G35,J35,K35-J35),[5]skilldef!$C:$D,2,FALSE),"-") &amp; " / " &amp; IFERROR(VLOOKUP(MID(G35,H35,I35-H35),[5]skilldef!$A:$B,2,FALSE),"-")</f>
        <v>自分自身に / 行動値設定</v>
      </c>
      <c r="M35" s="97" t="str">
        <f t="shared" ref="M35" si="230">IFERROR(RIGHT(B35,LEN(B35)-FIND("],",B35)-1),"none")</f>
        <v>none</v>
      </c>
      <c r="N35" s="92" t="str">
        <f>IFERROR(LEFT(M35,FIND("],",M35)+S99),M35)</f>
        <v>none</v>
      </c>
      <c r="O35" s="97" t="e">
        <f t="shared" ref="O35" si="231">FIND("effect:",N35)+7</f>
        <v>#VALUE!</v>
      </c>
      <c r="P35" s="97">
        <f t="shared" ref="P35" si="232">IFERROR(FIND(",",N35),LEN(N35))</f>
        <v>4</v>
      </c>
      <c r="Q35" s="97" t="e">
        <f t="shared" ref="Q35" si="233">FIND("target:",N35)+7</f>
        <v>#VALUE!</v>
      </c>
      <c r="R35" s="97" t="e">
        <f t="shared" ref="R35" si="234">FIND(",",N35,P35+1)</f>
        <v>#VALUE!</v>
      </c>
      <c r="S35" s="97" t="str">
        <f>IFERROR(VLOOKUP(MID(N35,Q35,R35-Q35),[5]skilldef!$C:$D,2,FALSE),"-") &amp; " / " &amp; IFERROR(VLOOKUP(MID(N35,O35,P35-O35),[5]skilldef!$A:$B,2,FALSE),"-")</f>
        <v>- / -</v>
      </c>
      <c r="T35" s="92" t="str">
        <f t="shared" ref="T35" si="235">IFERROR(RIGHT(M35,LEN(M35)-FIND("],",M35)-1),"none")</f>
        <v>none</v>
      </c>
      <c r="U35" s="97" t="e">
        <f t="shared" ref="U35" si="236">FIND("effect:",T35)+7</f>
        <v>#VALUE!</v>
      </c>
      <c r="V35" s="97">
        <f t="shared" ref="V35" si="237">IFERROR(FIND(",",T35),LEN(T35))</f>
        <v>4</v>
      </c>
      <c r="W35" s="97" t="e">
        <f t="shared" ref="W35" si="238">FIND("target:",T35)+7</f>
        <v>#VALUE!</v>
      </c>
      <c r="X35" s="97" t="e">
        <f t="shared" ref="X35" si="239">FIND(",",T35,V35+1)</f>
        <v>#VALUE!</v>
      </c>
      <c r="Y35" s="97" t="str">
        <f>IFERROR(VLOOKUP(MID(T35,W35,X35-W35),[5]skilldef!$C:$D,2,FALSE),"-") &amp; " / " &amp; IFERROR(VLOOKUP(MID(T35,U35,V35-U35),[5]skilldef!$A:$B,2,FALSE),"-")</f>
        <v>- / -</v>
      </c>
      <c r="Z35" s="95"/>
      <c r="AA35" s="98"/>
      <c r="AB35" s="95"/>
    </row>
    <row r="36" spans="1:28" s="96" customFormat="1" ht="21" customHeight="1">
      <c r="A36" s="92">
        <v>112142301</v>
      </c>
      <c r="B36" s="92" t="s">
        <v>181</v>
      </c>
      <c r="C36" s="95">
        <v>3</v>
      </c>
      <c r="D36" s="95" t="s">
        <v>127</v>
      </c>
      <c r="E36" s="97" t="s">
        <v>197</v>
      </c>
      <c r="F36" s="97" t="s">
        <v>232</v>
      </c>
      <c r="G36" s="97" t="str">
        <f t="shared" ref="G36:G37" si="240">IFERROR(LEFT(B36,FIND("],",B36)),B36)</f>
        <v>[effect:nothing]</v>
      </c>
      <c r="H36" s="97">
        <f t="shared" ref="H36:H37" si="241">FIND("effect:",G36)+7</f>
        <v>9</v>
      </c>
      <c r="I36" s="97">
        <f t="shared" ref="I36:I37" si="242">IFERROR(FIND(",",G36),LEN(G36))</f>
        <v>16</v>
      </c>
      <c r="J36" s="97" t="e">
        <f t="shared" ref="J36:J37" si="243">FIND("target:",G36)+7</f>
        <v>#VALUE!</v>
      </c>
      <c r="K36" s="97" t="e">
        <f t="shared" ref="K36:K37" si="244">FIND(",",G36,I36+1)</f>
        <v>#VALUE!</v>
      </c>
      <c r="L36" s="97" t="str">
        <f>IFERROR(VLOOKUP(MID(G36,J36,K36-J36),[5]skilldef!$C:$D,2,FALSE),"-") &amp; " / " &amp; IFERROR(VLOOKUP(MID(G36,H36,I36-H36),[5]skilldef!$A:$B,2,FALSE),"-")</f>
        <v>- / 何もしない</v>
      </c>
      <c r="M36" s="97" t="str">
        <f t="shared" ref="M36:M37" si="245">IFERROR(RIGHT(B36,LEN(B36)-FIND("],",B36)-1),"none")</f>
        <v>none</v>
      </c>
      <c r="N36" s="92" t="str">
        <f>IFERROR(LEFT(M36,FIND("],",M36)+S100),M36)</f>
        <v>none</v>
      </c>
      <c r="O36" s="97" t="e">
        <f t="shared" ref="O36:O37" si="246">FIND("effect:",N36)+7</f>
        <v>#VALUE!</v>
      </c>
      <c r="P36" s="97">
        <f t="shared" ref="P36:P37" si="247">IFERROR(FIND(",",N36),LEN(N36))</f>
        <v>4</v>
      </c>
      <c r="Q36" s="97" t="e">
        <f t="shared" ref="Q36:Q37" si="248">FIND("target:",N36)+7</f>
        <v>#VALUE!</v>
      </c>
      <c r="R36" s="97" t="e">
        <f t="shared" ref="R36:R37" si="249">FIND(",",N36,P36+1)</f>
        <v>#VALUE!</v>
      </c>
      <c r="S36" s="97" t="str">
        <f>IFERROR(VLOOKUP(MID(N36,Q36,R36-Q36),[5]skilldef!$C:$D,2,FALSE),"-") &amp; " / " &amp; IFERROR(VLOOKUP(MID(N36,O36,P36-O36),[5]skilldef!$A:$B,2,FALSE),"-")</f>
        <v>- / -</v>
      </c>
      <c r="T36" s="92" t="str">
        <f t="shared" ref="T36:T37" si="250">IFERROR(RIGHT(M36,LEN(M36)-FIND("],",M36)-1),"none")</f>
        <v>none</v>
      </c>
      <c r="U36" s="97" t="e">
        <f t="shared" ref="U36:U37" si="251">FIND("effect:",T36)+7</f>
        <v>#VALUE!</v>
      </c>
      <c r="V36" s="97">
        <f t="shared" ref="V36:V37" si="252">IFERROR(FIND(",",T36),LEN(T36))</f>
        <v>4</v>
      </c>
      <c r="W36" s="97" t="e">
        <f t="shared" ref="W36:W37" si="253">FIND("target:",T36)+7</f>
        <v>#VALUE!</v>
      </c>
      <c r="X36" s="97" t="e">
        <f t="shared" ref="X36:X37" si="254">FIND(",",T36,V36+1)</f>
        <v>#VALUE!</v>
      </c>
      <c r="Y36" s="97" t="str">
        <f>IFERROR(VLOOKUP(MID(T36,W36,X36-W36),[5]skilldef!$C:$D,2,FALSE),"-") &amp; " / " &amp; IFERROR(VLOOKUP(MID(T36,U36,V36-U36),[5]skilldef!$A:$B,2,FALSE),"-")</f>
        <v>- / -</v>
      </c>
      <c r="Z36" s="95"/>
      <c r="AA36" s="98"/>
      <c r="AB36" s="95"/>
    </row>
    <row r="37" spans="1:28" s="96" customFormat="1" ht="21" customHeight="1">
      <c r="A37" s="92">
        <v>112142302</v>
      </c>
      <c r="B37" s="92" t="s">
        <v>181</v>
      </c>
      <c r="C37" s="95">
        <v>3</v>
      </c>
      <c r="D37" s="95" t="s">
        <v>127</v>
      </c>
      <c r="E37" s="97" t="s">
        <v>198</v>
      </c>
      <c r="F37" s="97" t="s">
        <v>200</v>
      </c>
      <c r="G37" s="97" t="str">
        <f t="shared" si="240"/>
        <v>[effect:nothing]</v>
      </c>
      <c r="H37" s="97">
        <f t="shared" si="241"/>
        <v>9</v>
      </c>
      <c r="I37" s="97">
        <f t="shared" si="242"/>
        <v>16</v>
      </c>
      <c r="J37" s="97" t="e">
        <f t="shared" si="243"/>
        <v>#VALUE!</v>
      </c>
      <c r="K37" s="97" t="e">
        <f t="shared" si="244"/>
        <v>#VALUE!</v>
      </c>
      <c r="L37" s="97" t="str">
        <f>IFERROR(VLOOKUP(MID(G37,J37,K37-J37),[5]skilldef!$C:$D,2,FALSE),"-") &amp; " / " &amp; IFERROR(VLOOKUP(MID(G37,H37,I37-H37),[5]skilldef!$A:$B,2,FALSE),"-")</f>
        <v>- / 何もしない</v>
      </c>
      <c r="M37" s="97" t="str">
        <f t="shared" si="245"/>
        <v>none</v>
      </c>
      <c r="N37" s="92" t="str">
        <f>IFERROR(LEFT(M37,FIND("],",M37)+S101),M37)</f>
        <v>none</v>
      </c>
      <c r="O37" s="97" t="e">
        <f t="shared" si="246"/>
        <v>#VALUE!</v>
      </c>
      <c r="P37" s="97">
        <f t="shared" si="247"/>
        <v>4</v>
      </c>
      <c r="Q37" s="97" t="e">
        <f t="shared" si="248"/>
        <v>#VALUE!</v>
      </c>
      <c r="R37" s="97" t="e">
        <f t="shared" si="249"/>
        <v>#VALUE!</v>
      </c>
      <c r="S37" s="97" t="str">
        <f>IFERROR(VLOOKUP(MID(N37,Q37,R37-Q37),[5]skilldef!$C:$D,2,FALSE),"-") &amp; " / " &amp; IFERROR(VLOOKUP(MID(N37,O37,P37-O37),[5]skilldef!$A:$B,2,FALSE),"-")</f>
        <v>- / -</v>
      </c>
      <c r="T37" s="92" t="str">
        <f t="shared" si="250"/>
        <v>none</v>
      </c>
      <c r="U37" s="97" t="e">
        <f t="shared" si="251"/>
        <v>#VALUE!</v>
      </c>
      <c r="V37" s="97">
        <f t="shared" si="252"/>
        <v>4</v>
      </c>
      <c r="W37" s="97" t="e">
        <f t="shared" si="253"/>
        <v>#VALUE!</v>
      </c>
      <c r="X37" s="97" t="e">
        <f t="shared" si="254"/>
        <v>#VALUE!</v>
      </c>
      <c r="Y37" s="97" t="str">
        <f>IFERROR(VLOOKUP(MID(T37,W37,X37-W37),[5]skilldef!$C:$D,2,FALSE),"-") &amp; " / " &amp; IFERROR(VLOOKUP(MID(T37,U37,V37-U37),[5]skilldef!$A:$B,2,FALSE),"-")</f>
        <v>- / -</v>
      </c>
      <c r="Z37" s="95"/>
      <c r="AA37" s="98"/>
      <c r="AB37" s="95"/>
    </row>
    <row r="38" spans="1:28" s="96" customFormat="1" ht="21" customHeight="1">
      <c r="A38" s="92">
        <v>112142303</v>
      </c>
      <c r="B38" s="92" t="s">
        <v>177</v>
      </c>
      <c r="C38" s="95">
        <v>3</v>
      </c>
      <c r="D38" s="95" t="s">
        <v>127</v>
      </c>
      <c r="E38" s="97" t="s">
        <v>280</v>
      </c>
      <c r="F38" s="97" t="s">
        <v>279</v>
      </c>
      <c r="G38" s="97" t="str">
        <f t="shared" ref="G38" si="255">IFERROR(LEFT(B38,FIND("],",B38)),B38)</f>
        <v>[effect:kamikaze, val:0]</v>
      </c>
      <c r="H38" s="97">
        <f t="shared" ref="H38" si="256">FIND("effect:",G38)+7</f>
        <v>9</v>
      </c>
      <c r="I38" s="97">
        <f t="shared" ref="I38" si="257">IFERROR(FIND(",",G38),LEN(G38))</f>
        <v>17</v>
      </c>
      <c r="J38" s="97" t="e">
        <f t="shared" ref="J38" si="258">FIND("target:",G38)+7</f>
        <v>#VALUE!</v>
      </c>
      <c r="K38" s="97" t="e">
        <f t="shared" ref="K38" si="259">FIND(",",G38,I38+1)</f>
        <v>#VALUE!</v>
      </c>
      <c r="L38" s="97" t="str">
        <f>IFERROR(VLOOKUP(MID(G38,J38,K38-J38),[5]skilldef!$C:$D,2,FALSE),"-") &amp; " / " &amp; IFERROR(VLOOKUP(MID(G38,H38,I38-H38),[5]skilldef!$A:$B,2,FALSE),"-")</f>
        <v>- / 自爆</v>
      </c>
      <c r="M38" s="97" t="str">
        <f t="shared" ref="M38" si="260">IFERROR(RIGHT(B38,LEN(B38)-FIND("],",B38)-1),"none")</f>
        <v>none</v>
      </c>
      <c r="N38" s="92" t="str">
        <f>IFERROR(LEFT(M38,FIND("],",M38)+S102),M38)</f>
        <v>none</v>
      </c>
      <c r="O38" s="97" t="e">
        <f t="shared" ref="O38" si="261">FIND("effect:",N38)+7</f>
        <v>#VALUE!</v>
      </c>
      <c r="P38" s="97">
        <f t="shared" ref="P38" si="262">IFERROR(FIND(",",N38),LEN(N38))</f>
        <v>4</v>
      </c>
      <c r="Q38" s="97" t="e">
        <f t="shared" ref="Q38" si="263">FIND("target:",N38)+7</f>
        <v>#VALUE!</v>
      </c>
      <c r="R38" s="97" t="e">
        <f t="shared" ref="R38" si="264">FIND(",",N38,P38+1)</f>
        <v>#VALUE!</v>
      </c>
      <c r="S38" s="97" t="str">
        <f>IFERROR(VLOOKUP(MID(N38,Q38,R38-Q38),[5]skilldef!$C:$D,2,FALSE),"-") &amp; " / " &amp; IFERROR(VLOOKUP(MID(N38,O38,P38-O38),[5]skilldef!$A:$B,2,FALSE),"-")</f>
        <v>- / -</v>
      </c>
      <c r="T38" s="92" t="str">
        <f t="shared" ref="T38" si="265">IFERROR(RIGHT(M38,LEN(M38)-FIND("],",M38)-1),"none")</f>
        <v>none</v>
      </c>
      <c r="U38" s="97" t="e">
        <f t="shared" ref="U38" si="266">FIND("effect:",T38)+7</f>
        <v>#VALUE!</v>
      </c>
      <c r="V38" s="97">
        <f t="shared" ref="V38" si="267">IFERROR(FIND(",",T38),LEN(T38))</f>
        <v>4</v>
      </c>
      <c r="W38" s="97" t="e">
        <f t="shared" ref="W38" si="268">FIND("target:",T38)+7</f>
        <v>#VALUE!</v>
      </c>
      <c r="X38" s="97" t="e">
        <f t="shared" ref="X38" si="269">FIND(",",T38,V38+1)</f>
        <v>#VALUE!</v>
      </c>
      <c r="Y38" s="97" t="str">
        <f>IFERROR(VLOOKUP(MID(T38,W38,X38-W38),[5]skilldef!$C:$D,2,FALSE),"-") &amp; " / " &amp; IFERROR(VLOOKUP(MID(T38,U38,V38-U38),[5]skilldef!$A:$B,2,FALSE),"-")</f>
        <v>- / -</v>
      </c>
      <c r="Z38" s="95"/>
      <c r="AA38" s="98"/>
      <c r="AB38" s="95"/>
    </row>
    <row r="39" spans="1:28" s="96" customFormat="1" ht="21" customHeight="1">
      <c r="A39" s="92">
        <v>112142309</v>
      </c>
      <c r="B39" s="92" t="s">
        <v>224</v>
      </c>
      <c r="C39" s="95">
        <v>3</v>
      </c>
      <c r="D39" s="95" t="s">
        <v>127</v>
      </c>
      <c r="E39" s="97" t="s">
        <v>227</v>
      </c>
      <c r="F39" s="97" t="s">
        <v>201</v>
      </c>
      <c r="G39" s="97" t="str">
        <f t="shared" ref="G39:G40" si="270">IFERROR(LEFT(B39,FIND("],",B39)),B39)</f>
        <v>[effect:kamikaze, val:0][effect:degrade_fever, val:1000, animation:fevergage_down]</v>
      </c>
      <c r="H39" s="97">
        <f t="shared" ref="H39:H40" si="271">FIND("effect:",G39)+7</f>
        <v>9</v>
      </c>
      <c r="I39" s="97">
        <f t="shared" ref="I39:I40" si="272">IFERROR(FIND(",",G39),LEN(G39))</f>
        <v>17</v>
      </c>
      <c r="J39" s="97" t="e">
        <f t="shared" ref="J39:J40" si="273">FIND("target:",G39)+7</f>
        <v>#VALUE!</v>
      </c>
      <c r="K39" s="97">
        <f t="shared" ref="K39:K40" si="274">FIND(",",G39,I39+1)</f>
        <v>46</v>
      </c>
      <c r="L39" s="97" t="str">
        <f>IFERROR(VLOOKUP(MID(G39,J39,K39-J39),[5]skilldef!$C:$D,2,FALSE),"-") &amp; " / " &amp; IFERROR(VLOOKUP(MID(G39,H39,I39-H39),[5]skilldef!$A:$B,2,FALSE),"-")</f>
        <v>- / 自爆</v>
      </c>
      <c r="M39" s="97" t="str">
        <f t="shared" ref="M39:M40" si="275">IFERROR(RIGHT(B39,LEN(B39)-FIND("],",B39)-1),"none")</f>
        <v>none</v>
      </c>
      <c r="N39" s="92" t="str">
        <f>IFERROR(LEFT(M39,FIND("],",M39)+S102),M39)</f>
        <v>none</v>
      </c>
      <c r="O39" s="97" t="e">
        <f t="shared" ref="O39:O40" si="276">FIND("effect:",N39)+7</f>
        <v>#VALUE!</v>
      </c>
      <c r="P39" s="97">
        <f t="shared" ref="P39:P40" si="277">IFERROR(FIND(",",N39),LEN(N39))</f>
        <v>4</v>
      </c>
      <c r="Q39" s="97" t="e">
        <f t="shared" ref="Q39:Q40" si="278">FIND("target:",N39)+7</f>
        <v>#VALUE!</v>
      </c>
      <c r="R39" s="97" t="e">
        <f t="shared" ref="R39:R40" si="279">FIND(",",N39,P39+1)</f>
        <v>#VALUE!</v>
      </c>
      <c r="S39" s="97" t="str">
        <f>IFERROR(VLOOKUP(MID(N39,Q39,R39-Q39),[5]skilldef!$C:$D,2,FALSE),"-") &amp; " / " &amp; IFERROR(VLOOKUP(MID(N39,O39,P39-O39),[5]skilldef!$A:$B,2,FALSE),"-")</f>
        <v>- / -</v>
      </c>
      <c r="T39" s="92" t="str">
        <f t="shared" ref="T39:T40" si="280">IFERROR(RIGHT(M39,LEN(M39)-FIND("],",M39)-1),"none")</f>
        <v>none</v>
      </c>
      <c r="U39" s="97" t="e">
        <f t="shared" ref="U39:U40" si="281">FIND("effect:",T39)+7</f>
        <v>#VALUE!</v>
      </c>
      <c r="V39" s="97">
        <f t="shared" ref="V39:V40" si="282">IFERROR(FIND(",",T39),LEN(T39))</f>
        <v>4</v>
      </c>
      <c r="W39" s="97" t="e">
        <f t="shared" ref="W39:W40" si="283">FIND("target:",T39)+7</f>
        <v>#VALUE!</v>
      </c>
      <c r="X39" s="97" t="e">
        <f t="shared" ref="X39:X40" si="284">FIND(",",T39,V39+1)</f>
        <v>#VALUE!</v>
      </c>
      <c r="Y39" s="97" t="str">
        <f>IFERROR(VLOOKUP(MID(T39,W39,X39-W39),[5]skilldef!$C:$D,2,FALSE),"-") &amp; " / " &amp; IFERROR(VLOOKUP(MID(T39,U39,V39-U39),[5]skilldef!$A:$B,2,FALSE),"-")</f>
        <v>- / -</v>
      </c>
      <c r="Z39" s="95"/>
      <c r="AA39" s="98"/>
      <c r="AB39" s="95"/>
    </row>
    <row r="40" spans="1:28" s="96" customFormat="1" ht="92">
      <c r="A40" s="92">
        <v>112142410</v>
      </c>
      <c r="B40" s="99" t="s">
        <v>236</v>
      </c>
      <c r="C40" s="95">
        <v>3</v>
      </c>
      <c r="D40" s="95" t="s">
        <v>127</v>
      </c>
      <c r="E40" s="97" t="s">
        <v>202</v>
      </c>
      <c r="F40" s="97" t="s">
        <v>203</v>
      </c>
      <c r="G40" s="97" t="str">
        <f t="shared" si="270"/>
        <v>[effect:fix_speed, target:myself, turn:1][effect:force_change_block, new_block:block_heart, target:block_all, color:block_heart, count:0, val:0.0][effect:change_panel_ratio, turn:-1, block_type:red, val:0][effect:change_panel_ratio, turn:-1, block_type:green, val:0][effect:change_panel_ratio, turn:-1, block_type:blue, val:0][effect:change_panel_ratio, turn:-1, block_type:yellow, val:0][effect:change_panel_ratio, turn:-1, block_type:heal, val:100]</v>
      </c>
      <c r="H40" s="97">
        <f t="shared" si="271"/>
        <v>9</v>
      </c>
      <c r="I40" s="97">
        <f t="shared" si="272"/>
        <v>18</v>
      </c>
      <c r="J40" s="97">
        <f t="shared" si="273"/>
        <v>27</v>
      </c>
      <c r="K40" s="97">
        <f t="shared" si="274"/>
        <v>33</v>
      </c>
      <c r="L40" s="97" t="str">
        <f>IFERROR(VLOOKUP(MID(G40,J40,K40-J40),[5]skilldef!$C:$D,2,FALSE),"-") &amp; " / " &amp; IFERROR(VLOOKUP(MID(G40,H40,I40-H40),[5]skilldef!$A:$B,2,FALSE),"-")</f>
        <v>自分自身に / 行動値設定</v>
      </c>
      <c r="M40" s="97" t="str">
        <f t="shared" si="275"/>
        <v>none</v>
      </c>
      <c r="N40" s="92" t="str">
        <f>IFERROR(LEFT(M40,FIND("],",M40)+S103),M40)</f>
        <v>none</v>
      </c>
      <c r="O40" s="97" t="e">
        <f t="shared" si="276"/>
        <v>#VALUE!</v>
      </c>
      <c r="P40" s="97">
        <f t="shared" si="277"/>
        <v>4</v>
      </c>
      <c r="Q40" s="97" t="e">
        <f t="shared" si="278"/>
        <v>#VALUE!</v>
      </c>
      <c r="R40" s="97" t="e">
        <f t="shared" si="279"/>
        <v>#VALUE!</v>
      </c>
      <c r="S40" s="97" t="str">
        <f>IFERROR(VLOOKUP(MID(N40,Q40,R40-Q40),[5]skilldef!$C:$D,2,FALSE),"-") &amp; " / " &amp; IFERROR(VLOOKUP(MID(N40,O40,P40-O40),[5]skilldef!$A:$B,2,FALSE),"-")</f>
        <v>- / -</v>
      </c>
      <c r="T40" s="92" t="str">
        <f t="shared" si="280"/>
        <v>none</v>
      </c>
      <c r="U40" s="97" t="e">
        <f t="shared" si="281"/>
        <v>#VALUE!</v>
      </c>
      <c r="V40" s="97">
        <f t="shared" si="282"/>
        <v>4</v>
      </c>
      <c r="W40" s="97" t="e">
        <f t="shared" si="283"/>
        <v>#VALUE!</v>
      </c>
      <c r="X40" s="97" t="e">
        <f t="shared" si="284"/>
        <v>#VALUE!</v>
      </c>
      <c r="Y40" s="97" t="str">
        <f>IFERROR(VLOOKUP(MID(T40,W40,X40-W40),[5]skilldef!$C:$D,2,FALSE),"-") &amp; " / " &amp; IFERROR(VLOOKUP(MID(T40,U40,V40-U40),[5]skilldef!$A:$B,2,FALSE),"-")</f>
        <v>- / -</v>
      </c>
      <c r="Z40" s="95"/>
      <c r="AA40" s="98"/>
      <c r="AB40" s="95"/>
    </row>
    <row r="41" spans="1:28" s="96" customFormat="1" ht="21" customHeight="1">
      <c r="A41" s="92">
        <v>112142419</v>
      </c>
      <c r="B41" s="92" t="s">
        <v>239</v>
      </c>
      <c r="C41" s="95">
        <v>3</v>
      </c>
      <c r="D41" s="95" t="s">
        <v>127</v>
      </c>
      <c r="E41" s="97" t="s">
        <v>266</v>
      </c>
      <c r="F41" s="97" t="s">
        <v>238</v>
      </c>
      <c r="G41" s="97" t="str">
        <f t="shared" ref="G41" si="285">IFERROR(LEFT(B41,FIND("],",B41)),B41)</f>
        <v>[effect:kamikaze, val:0]</v>
      </c>
      <c r="H41" s="97">
        <f t="shared" ref="H41" si="286">FIND("effect:",G41)+7</f>
        <v>9</v>
      </c>
      <c r="I41" s="97">
        <f t="shared" ref="I41" si="287">IFERROR(FIND(",",G41),LEN(G41))</f>
        <v>17</v>
      </c>
      <c r="J41" s="97" t="e">
        <f t="shared" ref="J41" si="288">FIND("target:",G41)+7</f>
        <v>#VALUE!</v>
      </c>
      <c r="K41" s="97" t="e">
        <f t="shared" ref="K41" si="289">FIND(",",G41,I41+1)</f>
        <v>#VALUE!</v>
      </c>
      <c r="L41" s="97" t="str">
        <f>IFERROR(VLOOKUP(MID(G41,J41,K41-J41),[5]skilldef!$C:$D,2,FALSE),"-") &amp; " / " &amp; IFERROR(VLOOKUP(MID(G41,H41,I41-H41),[5]skilldef!$A:$B,2,FALSE),"-")</f>
        <v>- / 自爆</v>
      </c>
      <c r="M41" s="97" t="str">
        <f t="shared" ref="M41" si="290">IFERROR(RIGHT(B41,LEN(B41)-FIND("],",B41)-1),"none")</f>
        <v>none</v>
      </c>
      <c r="N41" s="92" t="str">
        <f>IFERROR(LEFT(M41,FIND("],",M41)+S105),M41)</f>
        <v>none</v>
      </c>
      <c r="O41" s="97" t="e">
        <f t="shared" ref="O41" si="291">FIND("effect:",N41)+7</f>
        <v>#VALUE!</v>
      </c>
      <c r="P41" s="97">
        <f t="shared" ref="P41" si="292">IFERROR(FIND(",",N41),LEN(N41))</f>
        <v>4</v>
      </c>
      <c r="Q41" s="97" t="e">
        <f t="shared" ref="Q41" si="293">FIND("target:",N41)+7</f>
        <v>#VALUE!</v>
      </c>
      <c r="R41" s="97" t="e">
        <f t="shared" ref="R41" si="294">FIND(",",N41,P41+1)</f>
        <v>#VALUE!</v>
      </c>
      <c r="S41" s="97" t="str">
        <f>IFERROR(VLOOKUP(MID(N41,Q41,R41-Q41),[5]skilldef!$C:$D,2,FALSE),"-") &amp; " / " &amp; IFERROR(VLOOKUP(MID(N41,O41,P41-O41),[5]skilldef!$A:$B,2,FALSE),"-")</f>
        <v>- / -</v>
      </c>
      <c r="T41" s="92" t="str">
        <f t="shared" ref="T41" si="295">IFERROR(RIGHT(M41,LEN(M41)-FIND("],",M41)-1),"none")</f>
        <v>none</v>
      </c>
      <c r="U41" s="97" t="e">
        <f t="shared" ref="U41" si="296">FIND("effect:",T41)+7</f>
        <v>#VALUE!</v>
      </c>
      <c r="V41" s="97">
        <f t="shared" ref="V41" si="297">IFERROR(FIND(",",T41),LEN(T41))</f>
        <v>4</v>
      </c>
      <c r="W41" s="97" t="e">
        <f t="shared" ref="W41" si="298">FIND("target:",T41)+7</f>
        <v>#VALUE!</v>
      </c>
      <c r="X41" s="97" t="e">
        <f t="shared" ref="X41" si="299">FIND(",",T41,V41+1)</f>
        <v>#VALUE!</v>
      </c>
      <c r="Y41" s="97" t="str">
        <f>IFERROR(VLOOKUP(MID(T41,W41,X41-W41),[5]skilldef!$C:$D,2,FALSE),"-") &amp; " / " &amp; IFERROR(VLOOKUP(MID(T41,U41,V41-U41),[5]skilldef!$A:$B,2,FALSE),"-")</f>
        <v>- / -</v>
      </c>
      <c r="Z41" s="95"/>
      <c r="AA41" s="98"/>
      <c r="AB41" s="95"/>
    </row>
    <row r="42" spans="1:28" s="96" customFormat="1" ht="27">
      <c r="A42" s="92">
        <v>112142420</v>
      </c>
      <c r="B42" s="92" t="s">
        <v>237</v>
      </c>
      <c r="C42" s="95">
        <v>3</v>
      </c>
      <c r="D42" s="95" t="s">
        <v>127</v>
      </c>
      <c r="E42" s="97" t="s">
        <v>260</v>
      </c>
      <c r="F42" s="97" t="s">
        <v>204</v>
      </c>
      <c r="G42" s="97" t="str">
        <f t="shared" ref="G42" si="300">IFERROR(LEFT(B42,FIND("],",B42)),B42)</f>
        <v>[effect:fix_speed, target:myself, turn:1]</v>
      </c>
      <c r="H42" s="97">
        <f t="shared" ref="H42" si="301">FIND("effect:",G42)+7</f>
        <v>9</v>
      </c>
      <c r="I42" s="97">
        <f t="shared" ref="I42" si="302">IFERROR(FIND(",",G42),LEN(G42))</f>
        <v>18</v>
      </c>
      <c r="J42" s="97">
        <f t="shared" ref="J42" si="303">FIND("target:",G42)+7</f>
        <v>27</v>
      </c>
      <c r="K42" s="97">
        <f t="shared" ref="K42" si="304">FIND(",",G42,I42+1)</f>
        <v>33</v>
      </c>
      <c r="L42" s="97" t="str">
        <f>IFERROR(VLOOKUP(MID(G42,J42,K42-J42),[5]skilldef!$C:$D,2,FALSE),"-") &amp; " / " &amp; IFERROR(VLOOKUP(MID(G42,H42,I42-H42),[5]skilldef!$A:$B,2,FALSE),"-")</f>
        <v>自分自身に / 行動値設定</v>
      </c>
      <c r="M42" s="97" t="str">
        <f t="shared" ref="M42" si="305">IFERROR(RIGHT(B42,LEN(B42)-FIND("],",B42)-1),"none")</f>
        <v>none</v>
      </c>
      <c r="N42" s="92" t="str">
        <f>IFERROR(LEFT(M42,FIND("],",M42)+S104),M42)</f>
        <v>none</v>
      </c>
      <c r="O42" s="97" t="e">
        <f t="shared" ref="O42" si="306">FIND("effect:",N42)+7</f>
        <v>#VALUE!</v>
      </c>
      <c r="P42" s="97">
        <f t="shared" ref="P42" si="307">IFERROR(FIND(",",N42),LEN(N42))</f>
        <v>4</v>
      </c>
      <c r="Q42" s="97" t="e">
        <f t="shared" ref="Q42" si="308">FIND("target:",N42)+7</f>
        <v>#VALUE!</v>
      </c>
      <c r="R42" s="97" t="e">
        <f t="shared" ref="R42" si="309">FIND(",",N42,P42+1)</f>
        <v>#VALUE!</v>
      </c>
      <c r="S42" s="97" t="str">
        <f>IFERROR(VLOOKUP(MID(N42,Q42,R42-Q42),[5]skilldef!$C:$D,2,FALSE),"-") &amp; " / " &amp; IFERROR(VLOOKUP(MID(N42,O42,P42-O42),[5]skilldef!$A:$B,2,FALSE),"-")</f>
        <v>- / -</v>
      </c>
      <c r="T42" s="92" t="str">
        <f t="shared" ref="T42" si="310">IFERROR(RIGHT(M42,LEN(M42)-FIND("],",M42)-1),"none")</f>
        <v>none</v>
      </c>
      <c r="U42" s="97" t="e">
        <f t="shared" ref="U42" si="311">FIND("effect:",T42)+7</f>
        <v>#VALUE!</v>
      </c>
      <c r="V42" s="97">
        <f t="shared" ref="V42" si="312">IFERROR(FIND(",",T42),LEN(T42))</f>
        <v>4</v>
      </c>
      <c r="W42" s="97" t="e">
        <f t="shared" ref="W42" si="313">FIND("target:",T42)+7</f>
        <v>#VALUE!</v>
      </c>
      <c r="X42" s="97" t="e">
        <f t="shared" ref="X42" si="314">FIND(",",T42,V42+1)</f>
        <v>#VALUE!</v>
      </c>
      <c r="Y42" s="97" t="str">
        <f>IFERROR(VLOOKUP(MID(T42,W42,X42-W42),[5]skilldef!$C:$D,2,FALSE),"-") &amp; " / " &amp; IFERROR(VLOOKUP(MID(T42,U42,V42-U42),[5]skilldef!$A:$B,2,FALSE),"-")</f>
        <v>- / -</v>
      </c>
      <c r="Z42" s="95"/>
      <c r="AA42" s="98"/>
      <c r="AB42" s="95"/>
    </row>
    <row r="43" spans="1:28" s="96" customFormat="1" ht="21" customHeight="1">
      <c r="A43" s="92">
        <v>112142428</v>
      </c>
      <c r="B43" s="92" t="s">
        <v>225</v>
      </c>
      <c r="C43" s="95">
        <v>3</v>
      </c>
      <c r="D43" s="95" t="s">
        <v>127</v>
      </c>
      <c r="E43" s="97" t="s">
        <v>209</v>
      </c>
      <c r="F43" s="97" t="s">
        <v>211</v>
      </c>
      <c r="G43" s="97" t="str">
        <f t="shared" ref="G43" si="315">IFERROR(LEFT(B43,FIND("],",B43)),B43)</f>
        <v>[effect:kamikaze, val:0][effect:sleep, target:unit_all, turn:1, rate:1]</v>
      </c>
      <c r="H43" s="97">
        <f t="shared" ref="H43" si="316">FIND("effect:",G43)+7</f>
        <v>9</v>
      </c>
      <c r="I43" s="97">
        <f t="shared" ref="I43" si="317">IFERROR(FIND(",",G43),LEN(G43))</f>
        <v>17</v>
      </c>
      <c r="J43" s="97">
        <f t="shared" ref="J43" si="318">FIND("target:",G43)+7</f>
        <v>47</v>
      </c>
      <c r="K43" s="97">
        <f t="shared" ref="K43" si="319">FIND(",",G43,I43+1)</f>
        <v>38</v>
      </c>
      <c r="L43" s="97" t="str">
        <f>IFERROR(VLOOKUP(MID(G43,J43,K43-J43),[5]skilldef!$C:$D,2,FALSE),"-") &amp; " / " &amp; IFERROR(VLOOKUP(MID(G43,H43,I43-H43),[5]skilldef!$A:$B,2,FALSE),"-")</f>
        <v>- / 自爆</v>
      </c>
      <c r="M43" s="97" t="str">
        <f t="shared" ref="M43" si="320">IFERROR(RIGHT(B43,LEN(B43)-FIND("],",B43)-1),"none")</f>
        <v>none</v>
      </c>
      <c r="N43" s="92" t="str">
        <f>IFERROR(LEFT(M43,FIND("],",M43)+S105),M43)</f>
        <v>none</v>
      </c>
      <c r="O43" s="97" t="e">
        <f t="shared" ref="O43" si="321">FIND("effect:",N43)+7</f>
        <v>#VALUE!</v>
      </c>
      <c r="P43" s="97">
        <f t="shared" ref="P43" si="322">IFERROR(FIND(",",N43),LEN(N43))</f>
        <v>4</v>
      </c>
      <c r="Q43" s="97" t="e">
        <f t="shared" ref="Q43" si="323">FIND("target:",N43)+7</f>
        <v>#VALUE!</v>
      </c>
      <c r="R43" s="97" t="e">
        <f t="shared" ref="R43" si="324">FIND(",",N43,P43+1)</f>
        <v>#VALUE!</v>
      </c>
      <c r="S43" s="97" t="str">
        <f>IFERROR(VLOOKUP(MID(N43,Q43,R43-Q43),[5]skilldef!$C:$D,2,FALSE),"-") &amp; " / " &amp; IFERROR(VLOOKUP(MID(N43,O43,P43-O43),[5]skilldef!$A:$B,2,FALSE),"-")</f>
        <v>- / -</v>
      </c>
      <c r="T43" s="92" t="str">
        <f t="shared" ref="T43" si="325">IFERROR(RIGHT(M43,LEN(M43)-FIND("],",M43)-1),"none")</f>
        <v>none</v>
      </c>
      <c r="U43" s="97" t="e">
        <f t="shared" ref="U43" si="326">FIND("effect:",T43)+7</f>
        <v>#VALUE!</v>
      </c>
      <c r="V43" s="97">
        <f t="shared" ref="V43" si="327">IFERROR(FIND(",",T43),LEN(T43))</f>
        <v>4</v>
      </c>
      <c r="W43" s="97" t="e">
        <f t="shared" ref="W43" si="328">FIND("target:",T43)+7</f>
        <v>#VALUE!</v>
      </c>
      <c r="X43" s="97" t="e">
        <f t="shared" ref="X43" si="329">FIND(",",T43,V43+1)</f>
        <v>#VALUE!</v>
      </c>
      <c r="Y43" s="97" t="str">
        <f>IFERROR(VLOOKUP(MID(T43,W43,X43-W43),[5]skilldef!$C:$D,2,FALSE),"-") &amp; " / " &amp; IFERROR(VLOOKUP(MID(T43,U43,V43-U43),[5]skilldef!$A:$B,2,FALSE),"-")</f>
        <v>- / -</v>
      </c>
      <c r="Z43" s="95"/>
      <c r="AA43" s="98"/>
      <c r="AB43" s="95"/>
    </row>
    <row r="44" spans="1:28" s="96" customFormat="1" ht="27">
      <c r="A44" s="92">
        <v>112142429</v>
      </c>
      <c r="B44" s="92" t="s">
        <v>208</v>
      </c>
      <c r="C44" s="95">
        <v>3</v>
      </c>
      <c r="D44" s="95" t="s">
        <v>127</v>
      </c>
      <c r="E44" s="97" t="s">
        <v>261</v>
      </c>
      <c r="F44" s="97" t="s">
        <v>173</v>
      </c>
      <c r="G44" s="97" t="str">
        <f t="shared" ref="G44:G46" si="330">IFERROR(LEFT(B44,FIND("],",B44)),B44)</f>
        <v>[effect:kamikaze, val:0]</v>
      </c>
      <c r="H44" s="97">
        <f t="shared" ref="H44:H46" si="331">FIND("effect:",G44)+7</f>
        <v>9</v>
      </c>
      <c r="I44" s="97">
        <f t="shared" ref="I44:I46" si="332">IFERROR(FIND(",",G44),LEN(G44))</f>
        <v>17</v>
      </c>
      <c r="J44" s="97" t="e">
        <f t="shared" ref="J44:J46" si="333">FIND("target:",G44)+7</f>
        <v>#VALUE!</v>
      </c>
      <c r="K44" s="97" t="e">
        <f t="shared" ref="K44:K46" si="334">FIND(",",G44,I44+1)</f>
        <v>#VALUE!</v>
      </c>
      <c r="L44" s="97" t="str">
        <f>IFERROR(VLOOKUP(MID(G44,J44,K44-J44),[5]skilldef!$C:$D,2,FALSE),"-") &amp; " / " &amp; IFERROR(VLOOKUP(MID(G44,H44,I44-H44),[5]skilldef!$A:$B,2,FALSE),"-")</f>
        <v>- / 自爆</v>
      </c>
      <c r="M44" s="97" t="str">
        <f t="shared" ref="M44:M46" si="335">IFERROR(RIGHT(B44,LEN(B44)-FIND("],",B44)-1),"none")</f>
        <v>none</v>
      </c>
      <c r="N44" s="92" t="str">
        <f>IFERROR(LEFT(M44,FIND("],",M44)+S106),M44)</f>
        <v>none</v>
      </c>
      <c r="O44" s="97" t="e">
        <f t="shared" ref="O44:O46" si="336">FIND("effect:",N44)+7</f>
        <v>#VALUE!</v>
      </c>
      <c r="P44" s="97">
        <f t="shared" ref="P44:P46" si="337">IFERROR(FIND(",",N44),LEN(N44))</f>
        <v>4</v>
      </c>
      <c r="Q44" s="97" t="e">
        <f t="shared" ref="Q44:Q46" si="338">FIND("target:",N44)+7</f>
        <v>#VALUE!</v>
      </c>
      <c r="R44" s="97" t="e">
        <f t="shared" ref="R44:R46" si="339">FIND(",",N44,P44+1)</f>
        <v>#VALUE!</v>
      </c>
      <c r="S44" s="97" t="str">
        <f>IFERROR(VLOOKUP(MID(N44,Q44,R44-Q44),[5]skilldef!$C:$D,2,FALSE),"-") &amp; " / " &amp; IFERROR(VLOOKUP(MID(N44,O44,P44-O44),[5]skilldef!$A:$B,2,FALSE),"-")</f>
        <v>- / -</v>
      </c>
      <c r="T44" s="92" t="str">
        <f t="shared" ref="T44:T46" si="340">IFERROR(RIGHT(M44,LEN(M44)-FIND("],",M44)-1),"none")</f>
        <v>none</v>
      </c>
      <c r="U44" s="97" t="e">
        <f t="shared" ref="U44:U46" si="341">FIND("effect:",T44)+7</f>
        <v>#VALUE!</v>
      </c>
      <c r="V44" s="97">
        <f t="shared" ref="V44:V46" si="342">IFERROR(FIND(",",T44),LEN(T44))</f>
        <v>4</v>
      </c>
      <c r="W44" s="97" t="e">
        <f t="shared" ref="W44:W46" si="343">FIND("target:",T44)+7</f>
        <v>#VALUE!</v>
      </c>
      <c r="X44" s="97" t="e">
        <f t="shared" ref="X44:X46" si="344">FIND(",",T44,V44+1)</f>
        <v>#VALUE!</v>
      </c>
      <c r="Y44" s="97" t="str">
        <f>IFERROR(VLOOKUP(MID(T44,W44,X44-W44),[5]skilldef!$C:$D,2,FALSE),"-") &amp; " / " &amp; IFERROR(VLOOKUP(MID(T44,U44,V44-U44),[5]skilldef!$A:$B,2,FALSE),"-")</f>
        <v>- / -</v>
      </c>
      <c r="Z44" s="95"/>
      <c r="AA44" s="98"/>
      <c r="AB44" s="95"/>
    </row>
    <row r="45" spans="1:28" ht="21" customHeight="1">
      <c r="A45" s="47">
        <v>112143100</v>
      </c>
      <c r="B45" s="47" t="s">
        <v>283</v>
      </c>
      <c r="C45" s="50">
        <v>3</v>
      </c>
      <c r="D45" s="50" t="s">
        <v>127</v>
      </c>
      <c r="E45" s="51" t="s">
        <v>329</v>
      </c>
      <c r="F45" s="51" t="s">
        <v>243</v>
      </c>
      <c r="G45" s="63" t="str">
        <f t="shared" si="330"/>
        <v>[effect:hungup, target:unit_all, turn:-1, rate:1]</v>
      </c>
      <c r="H45" s="63">
        <f t="shared" si="331"/>
        <v>9</v>
      </c>
      <c r="I45" s="63">
        <f t="shared" si="332"/>
        <v>15</v>
      </c>
      <c r="J45" s="63">
        <f t="shared" si="333"/>
        <v>24</v>
      </c>
      <c r="K45" s="63">
        <f t="shared" si="334"/>
        <v>32</v>
      </c>
      <c r="L45" s="63" t="str">
        <f>IFERROR(VLOOKUP(MID(G45,J45,K45-J45),[5]skilldef!$C:$D,2,FALSE),"-") &amp; " / " &amp; IFERROR(VLOOKUP(MID(G45,H45,I45-H45),[5]skilldef!$A:$B,2,FALSE),"-")</f>
        <v>味方全体に / ハングアップ</v>
      </c>
      <c r="M45" s="63" t="str">
        <f t="shared" si="335"/>
        <v>none</v>
      </c>
      <c r="N45" s="48" t="str">
        <f>IFERROR(LEFT(M45,FIND("],",M45)+S108),M45)</f>
        <v>none</v>
      </c>
      <c r="O45" s="63" t="e">
        <f t="shared" si="336"/>
        <v>#VALUE!</v>
      </c>
      <c r="P45" s="63">
        <f t="shared" si="337"/>
        <v>4</v>
      </c>
      <c r="Q45" s="63" t="e">
        <f t="shared" si="338"/>
        <v>#VALUE!</v>
      </c>
      <c r="R45" s="63" t="e">
        <f t="shared" si="339"/>
        <v>#VALUE!</v>
      </c>
      <c r="S45" s="63" t="str">
        <f>IFERROR(VLOOKUP(MID(N45,Q45,R45-Q45),[5]skilldef!$C:$D,2,FALSE),"-") &amp; " / " &amp; IFERROR(VLOOKUP(MID(N45,O45,P45-O45),[5]skilldef!$A:$B,2,FALSE),"-")</f>
        <v>- / -</v>
      </c>
      <c r="T45" s="48" t="str">
        <f t="shared" si="340"/>
        <v>none</v>
      </c>
      <c r="U45" s="63" t="e">
        <f t="shared" si="341"/>
        <v>#VALUE!</v>
      </c>
      <c r="V45" s="63">
        <f t="shared" si="342"/>
        <v>4</v>
      </c>
      <c r="W45" s="63" t="e">
        <f t="shared" si="343"/>
        <v>#VALUE!</v>
      </c>
      <c r="X45" s="63" t="e">
        <f t="shared" si="344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>
      <c r="A46" s="47">
        <v>112143200</v>
      </c>
      <c r="B46" s="47" t="s">
        <v>223</v>
      </c>
      <c r="C46" s="50">
        <v>3</v>
      </c>
      <c r="D46" s="50" t="s">
        <v>127</v>
      </c>
      <c r="E46" s="51" t="s">
        <v>305</v>
      </c>
      <c r="F46" s="51" t="s">
        <v>290</v>
      </c>
      <c r="G46" s="63" t="str">
        <f t="shared" si="330"/>
        <v>[effect:fix_speed, target:myself, turn:1]</v>
      </c>
      <c r="H46" s="63">
        <f t="shared" si="331"/>
        <v>9</v>
      </c>
      <c r="I46" s="63">
        <f t="shared" si="332"/>
        <v>18</v>
      </c>
      <c r="J46" s="63">
        <f t="shared" si="333"/>
        <v>27</v>
      </c>
      <c r="K46" s="63">
        <f t="shared" si="334"/>
        <v>33</v>
      </c>
      <c r="L46" s="63" t="str">
        <f>IFERROR(VLOOKUP(MID(G46,J46,K46-J46),[5]skilldef!$C:$D,2,FALSE),"-") &amp; " / " &amp; IFERROR(VLOOKUP(MID(G46,H46,I46-H46),[5]skilldef!$A:$B,2,FALSE),"-")</f>
        <v>自分自身に / 行動値設定</v>
      </c>
      <c r="M46" s="63" t="str">
        <f t="shared" si="335"/>
        <v>none</v>
      </c>
      <c r="N46" s="48" t="str">
        <f>IFERROR(LEFT(M46,FIND("],",M46)+S109),M46)</f>
        <v>none</v>
      </c>
      <c r="O46" s="63" t="e">
        <f t="shared" si="336"/>
        <v>#VALUE!</v>
      </c>
      <c r="P46" s="63">
        <f t="shared" si="337"/>
        <v>4</v>
      </c>
      <c r="Q46" s="63" t="e">
        <f t="shared" si="338"/>
        <v>#VALUE!</v>
      </c>
      <c r="R46" s="63" t="e">
        <f t="shared" si="339"/>
        <v>#VALUE!</v>
      </c>
      <c r="S46" s="63" t="str">
        <f>IFERROR(VLOOKUP(MID(N46,Q46,R46-Q46),[5]skilldef!$C:$D,2,FALSE),"-") &amp; " / " &amp; IFERROR(VLOOKUP(MID(N46,O46,P46-O46),[5]skilldef!$A:$B,2,FALSE),"-")</f>
        <v>- / -</v>
      </c>
      <c r="T46" s="48" t="str">
        <f t="shared" si="340"/>
        <v>none</v>
      </c>
      <c r="U46" s="63" t="e">
        <f t="shared" si="341"/>
        <v>#VALUE!</v>
      </c>
      <c r="V46" s="63">
        <f t="shared" si="342"/>
        <v>4</v>
      </c>
      <c r="W46" s="63" t="e">
        <f t="shared" si="343"/>
        <v>#VALUE!</v>
      </c>
      <c r="X46" s="63" t="e">
        <f t="shared" si="344"/>
        <v>#VALUE!</v>
      </c>
      <c r="Y46" s="63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21" customHeight="1">
      <c r="A47" s="47">
        <v>112143201</v>
      </c>
      <c r="B47" s="47" t="s">
        <v>181</v>
      </c>
      <c r="C47" s="50">
        <v>3</v>
      </c>
      <c r="D47" s="50" t="s">
        <v>127</v>
      </c>
      <c r="E47" s="51" t="s">
        <v>299</v>
      </c>
      <c r="F47" s="51" t="s">
        <v>300</v>
      </c>
      <c r="G47" s="63" t="str">
        <f t="shared" ref="G47" si="345">IFERROR(LEFT(B47,FIND("],",B47)),B47)</f>
        <v>[effect:nothing]</v>
      </c>
      <c r="H47" s="63">
        <f t="shared" ref="H47" si="346">FIND("effect:",G47)+7</f>
        <v>9</v>
      </c>
      <c r="I47" s="63">
        <f t="shared" ref="I47" si="347">IFERROR(FIND(",",G47),LEN(G47))</f>
        <v>16</v>
      </c>
      <c r="J47" s="63" t="e">
        <f t="shared" ref="J47" si="348">FIND("target:",G47)+7</f>
        <v>#VALUE!</v>
      </c>
      <c r="K47" s="63" t="e">
        <f t="shared" ref="K47" si="349">FIND(",",G47,I47+1)</f>
        <v>#VALUE!</v>
      </c>
      <c r="L47" s="63" t="str">
        <f>IFERROR(VLOOKUP(MID(G47,J47,K47-J47),[5]skilldef!$C:$D,2,FALSE),"-") &amp; " / " &amp; IFERROR(VLOOKUP(MID(G47,H47,I47-H47),[5]skilldef!$A:$B,2,FALSE),"-")</f>
        <v>- / 何もしない</v>
      </c>
      <c r="M47" s="63" t="str">
        <f t="shared" ref="M47" si="350">IFERROR(RIGHT(B47,LEN(B47)-FIND("],",B47)-1),"none")</f>
        <v>none</v>
      </c>
      <c r="N47" s="48" t="str">
        <f>IFERROR(LEFT(M47,FIND("],",M47)+S110),M47)</f>
        <v>none</v>
      </c>
      <c r="O47" s="63" t="e">
        <f t="shared" ref="O47" si="351">FIND("effect:",N47)+7</f>
        <v>#VALUE!</v>
      </c>
      <c r="P47" s="63">
        <f t="shared" ref="P47" si="352">IFERROR(FIND(",",N47),LEN(N47))</f>
        <v>4</v>
      </c>
      <c r="Q47" s="63" t="e">
        <f t="shared" ref="Q47" si="353">FIND("target:",N47)+7</f>
        <v>#VALUE!</v>
      </c>
      <c r="R47" s="63" t="e">
        <f t="shared" ref="R47" si="354">FIND(",",N47,P47+1)</f>
        <v>#VALUE!</v>
      </c>
      <c r="S47" s="63" t="str">
        <f>IFERROR(VLOOKUP(MID(N47,Q47,R47-Q47),[5]skilldef!$C:$D,2,FALSE),"-") &amp; " / " &amp; IFERROR(VLOOKUP(MID(N47,O47,P47-O47),[5]skilldef!$A:$B,2,FALSE),"-")</f>
        <v>- / -</v>
      </c>
      <c r="T47" s="48" t="str">
        <f t="shared" ref="T47" si="355">IFERROR(RIGHT(M47,LEN(M47)-FIND("],",M47)-1),"none")</f>
        <v>none</v>
      </c>
      <c r="U47" s="63" t="e">
        <f t="shared" ref="U47" si="356">FIND("effect:",T47)+7</f>
        <v>#VALUE!</v>
      </c>
      <c r="V47" s="63">
        <f t="shared" ref="V47" si="357">IFERROR(FIND(",",T47),LEN(T47))</f>
        <v>4</v>
      </c>
      <c r="W47" s="63" t="e">
        <f t="shared" ref="W47" si="358">FIND("target:",T47)+7</f>
        <v>#VALUE!</v>
      </c>
      <c r="X47" s="63" t="e">
        <f t="shared" ref="X47" si="359">FIND(",",T47,V47+1)</f>
        <v>#VALUE!</v>
      </c>
      <c r="Y47" s="63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>
      <c r="A48" s="47">
        <v>112143220</v>
      </c>
      <c r="B48" s="47" t="s">
        <v>223</v>
      </c>
      <c r="C48" s="50">
        <v>3</v>
      </c>
      <c r="D48" s="50" t="s">
        <v>127</v>
      </c>
      <c r="E48" s="51" t="s">
        <v>214</v>
      </c>
      <c r="F48" s="51" t="s">
        <v>290</v>
      </c>
      <c r="G48" s="63" t="str">
        <f t="shared" ref="G48:G50" si="360">IFERROR(LEFT(B48,FIND("],",B48)),B48)</f>
        <v>[effect:fix_speed, target:myself, turn:1]</v>
      </c>
      <c r="H48" s="63">
        <f t="shared" ref="H48:H50" si="361">FIND("effect:",G48)+7</f>
        <v>9</v>
      </c>
      <c r="I48" s="63">
        <f t="shared" ref="I48:I50" si="362">IFERROR(FIND(",",G48),LEN(G48))</f>
        <v>18</v>
      </c>
      <c r="J48" s="63">
        <f t="shared" ref="J48:J50" si="363">FIND("target:",G48)+7</f>
        <v>27</v>
      </c>
      <c r="K48" s="63">
        <f t="shared" ref="K48:K50" si="364">FIND(",",G48,I48+1)</f>
        <v>33</v>
      </c>
      <c r="L48" s="63" t="str">
        <f>IFERROR(VLOOKUP(MID(G48,J48,K48-J48),[5]skilldef!$C:$D,2,FALSE),"-") &amp; " / " &amp; IFERROR(VLOOKUP(MID(G48,H48,I48-H48),[5]skilldef!$A:$B,2,FALSE),"-")</f>
        <v>自分自身に / 行動値設定</v>
      </c>
      <c r="M48" s="63" t="str">
        <f t="shared" ref="M48:M50" si="365">IFERROR(RIGHT(B48,LEN(B48)-FIND("],",B48)-1),"none")</f>
        <v>none</v>
      </c>
      <c r="N48" s="48" t="str">
        <f>IFERROR(LEFT(M48,FIND("],",M48)+S110),M48)</f>
        <v>none</v>
      </c>
      <c r="O48" s="63" t="e">
        <f t="shared" ref="O48:O50" si="366">FIND("effect:",N48)+7</f>
        <v>#VALUE!</v>
      </c>
      <c r="P48" s="63">
        <f t="shared" ref="P48:P50" si="367">IFERROR(FIND(",",N48),LEN(N48))</f>
        <v>4</v>
      </c>
      <c r="Q48" s="63" t="e">
        <f t="shared" ref="Q48:Q50" si="368">FIND("target:",N48)+7</f>
        <v>#VALUE!</v>
      </c>
      <c r="R48" s="63" t="e">
        <f t="shared" ref="R48:R50" si="369">FIND(",",N48,P48+1)</f>
        <v>#VALUE!</v>
      </c>
      <c r="S48" s="63" t="str">
        <f>IFERROR(VLOOKUP(MID(N48,Q48,R48-Q48),[5]skilldef!$C:$D,2,FALSE),"-") &amp; " / " &amp; IFERROR(VLOOKUP(MID(N48,O48,P48-O48),[5]skilldef!$A:$B,2,FALSE),"-")</f>
        <v>- / -</v>
      </c>
      <c r="T48" s="48" t="str">
        <f t="shared" ref="T48:T50" si="370">IFERROR(RIGHT(M48,LEN(M48)-FIND("],",M48)-1),"none")</f>
        <v>none</v>
      </c>
      <c r="U48" s="63" t="e">
        <f t="shared" ref="U48:U50" si="371">FIND("effect:",T48)+7</f>
        <v>#VALUE!</v>
      </c>
      <c r="V48" s="63">
        <f t="shared" ref="V48:V50" si="372">IFERROR(FIND(",",T48),LEN(T48))</f>
        <v>4</v>
      </c>
      <c r="W48" s="63" t="e">
        <f t="shared" ref="W48:W50" si="373">FIND("target:",T48)+7</f>
        <v>#VALUE!</v>
      </c>
      <c r="X48" s="63" t="e">
        <f t="shared" ref="X48:X50" si="374">FIND(",",T48,V48+1)</f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>
      <c r="A49" s="47">
        <v>112143221</v>
      </c>
      <c r="B49" s="47" t="s">
        <v>181</v>
      </c>
      <c r="C49" s="50">
        <v>3</v>
      </c>
      <c r="D49" s="50" t="s">
        <v>127</v>
      </c>
      <c r="E49" s="51" t="s">
        <v>301</v>
      </c>
      <c r="F49" s="51" t="s">
        <v>290</v>
      </c>
      <c r="G49" s="63" t="str">
        <f t="shared" ref="G49" si="375">IFERROR(LEFT(B49,FIND("],",B49)),B49)</f>
        <v>[effect:nothing]</v>
      </c>
      <c r="H49" s="63">
        <f t="shared" ref="H49" si="376">FIND("effect:",G49)+7</f>
        <v>9</v>
      </c>
      <c r="I49" s="63">
        <f t="shared" ref="I49" si="377">IFERROR(FIND(",",G49),LEN(G49))</f>
        <v>16</v>
      </c>
      <c r="J49" s="63" t="e">
        <f t="shared" ref="J49" si="378">FIND("target:",G49)+7</f>
        <v>#VALUE!</v>
      </c>
      <c r="K49" s="63" t="e">
        <f t="shared" ref="K49" si="379">FIND(",",G49,I49+1)</f>
        <v>#VALUE!</v>
      </c>
      <c r="L49" s="63" t="str">
        <f>IFERROR(VLOOKUP(MID(G49,J49,K49-J49),[5]skilldef!$C:$D,2,FALSE),"-") &amp; " / " &amp; IFERROR(VLOOKUP(MID(G49,H49,I49-H49),[5]skilldef!$A:$B,2,FALSE),"-")</f>
        <v>- / 何もしない</v>
      </c>
      <c r="M49" s="63" t="str">
        <f t="shared" ref="M49" si="380">IFERROR(RIGHT(B49,LEN(B49)-FIND("],",B49)-1),"none")</f>
        <v>none</v>
      </c>
      <c r="N49" s="48" t="str">
        <f>IFERROR(LEFT(M49,FIND("],",M49)+S111),M49)</f>
        <v>none</v>
      </c>
      <c r="O49" s="63" t="e">
        <f t="shared" ref="O49" si="381">FIND("effect:",N49)+7</f>
        <v>#VALUE!</v>
      </c>
      <c r="P49" s="63">
        <f t="shared" ref="P49" si="382">IFERROR(FIND(",",N49),LEN(N49))</f>
        <v>4</v>
      </c>
      <c r="Q49" s="63" t="e">
        <f t="shared" ref="Q49" si="383">FIND("target:",N49)+7</f>
        <v>#VALUE!</v>
      </c>
      <c r="R49" s="63" t="e">
        <f t="shared" ref="R49" si="384">FIND(",",N49,P49+1)</f>
        <v>#VALUE!</v>
      </c>
      <c r="S49" s="63" t="str">
        <f>IFERROR(VLOOKUP(MID(N49,Q49,R49-Q49),[5]skilldef!$C:$D,2,FALSE),"-") &amp; " / " &amp; IFERROR(VLOOKUP(MID(N49,O49,P49-O49),[5]skilldef!$A:$B,2,FALSE),"-")</f>
        <v>- / -</v>
      </c>
      <c r="T49" s="48" t="str">
        <f t="shared" ref="T49" si="385">IFERROR(RIGHT(M49,LEN(M49)-FIND("],",M49)-1),"none")</f>
        <v>none</v>
      </c>
      <c r="U49" s="63" t="e">
        <f t="shared" ref="U49" si="386">FIND("effect:",T49)+7</f>
        <v>#VALUE!</v>
      </c>
      <c r="V49" s="63">
        <f t="shared" ref="V49" si="387">IFERROR(FIND(",",T49),LEN(T49))</f>
        <v>4</v>
      </c>
      <c r="W49" s="63" t="e">
        <f t="shared" ref="W49" si="388">FIND("target:",T49)+7</f>
        <v>#VALUE!</v>
      </c>
      <c r="X49" s="63" t="e">
        <f t="shared" ref="X49" si="389">FIND(",",T49,V49+1)</f>
        <v>#VALUE!</v>
      </c>
      <c r="Y49" s="63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7">
      <c r="A50" s="47">
        <v>112143210</v>
      </c>
      <c r="B50" s="47" t="s">
        <v>223</v>
      </c>
      <c r="C50" s="50">
        <v>3</v>
      </c>
      <c r="D50" s="50" t="s">
        <v>127</v>
      </c>
      <c r="E50" s="51" t="s">
        <v>373</v>
      </c>
      <c r="F50" s="51" t="s">
        <v>304</v>
      </c>
      <c r="G50" s="63" t="str">
        <f t="shared" si="360"/>
        <v>[effect:fix_speed, target:myself, turn:1]</v>
      </c>
      <c r="H50" s="63">
        <f t="shared" si="361"/>
        <v>9</v>
      </c>
      <c r="I50" s="63">
        <f t="shared" si="362"/>
        <v>18</v>
      </c>
      <c r="J50" s="63">
        <f t="shared" si="363"/>
        <v>27</v>
      </c>
      <c r="K50" s="63">
        <f t="shared" si="364"/>
        <v>33</v>
      </c>
      <c r="L50" s="63" t="str">
        <f>IFERROR(VLOOKUP(MID(G50,J50,K50-J50),[5]skilldef!$C:$D,2,FALSE),"-") &amp; " / " &amp; IFERROR(VLOOKUP(MID(G50,H50,I50-H50),[5]skilldef!$A:$B,2,FALSE),"-")</f>
        <v>自分自身に / 行動値設定</v>
      </c>
      <c r="M50" s="63" t="str">
        <f t="shared" si="365"/>
        <v>none</v>
      </c>
      <c r="N50" s="48" t="str">
        <f>IFERROR(LEFT(M50,FIND("],",M50)+S111),M50)</f>
        <v>none</v>
      </c>
      <c r="O50" s="63" t="e">
        <f t="shared" si="366"/>
        <v>#VALUE!</v>
      </c>
      <c r="P50" s="63">
        <f t="shared" si="367"/>
        <v>4</v>
      </c>
      <c r="Q50" s="63" t="e">
        <f t="shared" si="368"/>
        <v>#VALUE!</v>
      </c>
      <c r="R50" s="63" t="e">
        <f t="shared" si="369"/>
        <v>#VALUE!</v>
      </c>
      <c r="S50" s="63" t="str">
        <f>IFERROR(VLOOKUP(MID(N50,Q50,R50-Q50),[5]skilldef!$C:$D,2,FALSE),"-") &amp; " / " &amp; IFERROR(VLOOKUP(MID(N50,O50,P50-O50),[5]skilldef!$A:$B,2,FALSE),"-")</f>
        <v>- / -</v>
      </c>
      <c r="T50" s="48" t="str">
        <f t="shared" si="370"/>
        <v>none</v>
      </c>
      <c r="U50" s="63" t="e">
        <f t="shared" si="371"/>
        <v>#VALUE!</v>
      </c>
      <c r="V50" s="63">
        <f t="shared" si="372"/>
        <v>4</v>
      </c>
      <c r="W50" s="63" t="e">
        <f t="shared" si="373"/>
        <v>#VALUE!</v>
      </c>
      <c r="X50" s="63" t="e">
        <f t="shared" si="374"/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14">
      <c r="A51" s="47">
        <v>112143211</v>
      </c>
      <c r="B51" s="47" t="s">
        <v>181</v>
      </c>
      <c r="C51" s="50">
        <v>3</v>
      </c>
      <c r="D51" s="50" t="s">
        <v>127</v>
      </c>
      <c r="E51" s="51" t="s">
        <v>297</v>
      </c>
      <c r="F51" s="51" t="s">
        <v>298</v>
      </c>
      <c r="G51" s="63" t="str">
        <f t="shared" ref="G51" si="390">IFERROR(LEFT(B51,FIND("],",B51)),B51)</f>
        <v>[effect:nothing]</v>
      </c>
      <c r="H51" s="63">
        <f t="shared" ref="H51" si="391">FIND("effect:",G51)+7</f>
        <v>9</v>
      </c>
      <c r="I51" s="63">
        <f t="shared" ref="I51" si="392">IFERROR(FIND(",",G51),LEN(G51))</f>
        <v>16</v>
      </c>
      <c r="J51" s="63" t="e">
        <f t="shared" ref="J51" si="393">FIND("target:",G51)+7</f>
        <v>#VALUE!</v>
      </c>
      <c r="K51" s="63" t="e">
        <f t="shared" ref="K51" si="394">FIND(",",G51,I51+1)</f>
        <v>#VALUE!</v>
      </c>
      <c r="L51" s="63" t="str">
        <f>IFERROR(VLOOKUP(MID(G51,J51,K51-J51),[5]skilldef!$C:$D,2,FALSE),"-") &amp; " / " &amp; IFERROR(VLOOKUP(MID(G51,H51,I51-H51),[5]skilldef!$A:$B,2,FALSE),"-")</f>
        <v>- / 何もしない</v>
      </c>
      <c r="M51" s="63" t="str">
        <f t="shared" ref="M51" si="395">IFERROR(RIGHT(B51,LEN(B51)-FIND("],",B51)-1),"none")</f>
        <v>none</v>
      </c>
      <c r="N51" s="48" t="str">
        <f>IFERROR(LEFT(M51,FIND("],",M51)+S112),M51)</f>
        <v>none</v>
      </c>
      <c r="O51" s="63" t="e">
        <f t="shared" ref="O51" si="396">FIND("effect:",N51)+7</f>
        <v>#VALUE!</v>
      </c>
      <c r="P51" s="63">
        <f t="shared" ref="P51" si="397">IFERROR(FIND(",",N51),LEN(N51))</f>
        <v>4</v>
      </c>
      <c r="Q51" s="63" t="e">
        <f t="shared" ref="Q51" si="398">FIND("target:",N51)+7</f>
        <v>#VALUE!</v>
      </c>
      <c r="R51" s="63" t="e">
        <f t="shared" ref="R51" si="399">FIND(",",N51,P51+1)</f>
        <v>#VALUE!</v>
      </c>
      <c r="S51" s="63" t="str">
        <f>IFERROR(VLOOKUP(MID(N51,Q51,R51-Q51),[5]skilldef!$C:$D,2,FALSE),"-") &amp; " / " &amp; IFERROR(VLOOKUP(MID(N51,O51,P51-O51),[5]skilldef!$A:$B,2,FALSE),"-")</f>
        <v>- / -</v>
      </c>
      <c r="T51" s="48" t="str">
        <f t="shared" ref="T51" si="400">IFERROR(RIGHT(M51,LEN(M51)-FIND("],",M51)-1),"none")</f>
        <v>none</v>
      </c>
      <c r="U51" s="63" t="e">
        <f t="shared" ref="U51" si="401">FIND("effect:",T51)+7</f>
        <v>#VALUE!</v>
      </c>
      <c r="V51" s="63">
        <f t="shared" ref="V51" si="402">IFERROR(FIND(",",T51),LEN(T51))</f>
        <v>4</v>
      </c>
      <c r="W51" s="63" t="e">
        <f t="shared" ref="W51" si="403">FIND("target:",T51)+7</f>
        <v>#VALUE!</v>
      </c>
      <c r="X51" s="63" t="e">
        <f t="shared" ref="X51" si="404">FIND(",",T51,V51+1)</f>
        <v>#VALUE!</v>
      </c>
      <c r="Y51" s="63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40">
      <c r="A52" s="47">
        <v>112143300</v>
      </c>
      <c r="B52" s="47" t="s">
        <v>303</v>
      </c>
      <c r="C52" s="50">
        <v>3</v>
      </c>
      <c r="D52" s="50" t="s">
        <v>127</v>
      </c>
      <c r="E52" s="51" t="s">
        <v>263</v>
      </c>
      <c r="F52" s="51" t="s">
        <v>212</v>
      </c>
      <c r="G52" s="63" t="str">
        <f t="shared" ref="G52:G55" si="405">IFERROR(LEFT(B52,FIND("],",B52)),B52)</f>
        <v>[effect:fix_speed, target:myself, turn:1][effect:force_change_block, new_block:block_heart, target:block_all, color:block_heart, count:0, val:0.0][effect:sleep, target:unit_all, turn:2, rate:1]</v>
      </c>
      <c r="H52" s="63">
        <f t="shared" ref="H52:H55" si="406">FIND("effect:",G52)+7</f>
        <v>9</v>
      </c>
      <c r="I52" s="63">
        <f t="shared" ref="I52:I55" si="407">IFERROR(FIND(",",G52),LEN(G52))</f>
        <v>18</v>
      </c>
      <c r="J52" s="63">
        <f t="shared" ref="J52:J55" si="408">FIND("target:",G52)+7</f>
        <v>27</v>
      </c>
      <c r="K52" s="63">
        <f t="shared" ref="K52:K55" si="409">FIND(",",G52,I52+1)</f>
        <v>33</v>
      </c>
      <c r="L52" s="63" t="str">
        <f>IFERROR(VLOOKUP(MID(G52,J52,K52-J52),[5]skilldef!$C:$D,2,FALSE),"-") &amp; " / " &amp; IFERROR(VLOOKUP(MID(G52,H52,I52-H52),[5]skilldef!$A:$B,2,FALSE),"-")</f>
        <v>自分自身に / 行動値設定</v>
      </c>
      <c r="M52" s="63" t="str">
        <f t="shared" ref="M52:M55" si="410">IFERROR(RIGHT(B52,LEN(B52)-FIND("],",B52)-1),"none")</f>
        <v>none</v>
      </c>
      <c r="N52" s="48" t="str">
        <f>IFERROR(LEFT(M52,FIND("],",M52)+S112),M52)</f>
        <v>none</v>
      </c>
      <c r="O52" s="63" t="e">
        <f t="shared" ref="O52:O55" si="411">FIND("effect:",N52)+7</f>
        <v>#VALUE!</v>
      </c>
      <c r="P52" s="63">
        <f t="shared" ref="P52:P55" si="412">IFERROR(FIND(",",N52),LEN(N52))</f>
        <v>4</v>
      </c>
      <c r="Q52" s="63" t="e">
        <f t="shared" ref="Q52:Q55" si="413">FIND("target:",N52)+7</f>
        <v>#VALUE!</v>
      </c>
      <c r="R52" s="63" t="e">
        <f t="shared" ref="R52:R55" si="414">FIND(",",N52,P52+1)</f>
        <v>#VALUE!</v>
      </c>
      <c r="S52" s="63" t="str">
        <f>IFERROR(VLOOKUP(MID(N52,Q52,R52-Q52),[5]skilldef!$C:$D,2,FALSE),"-") &amp; " / " &amp; IFERROR(VLOOKUP(MID(N52,O52,P52-O52),[5]skilldef!$A:$B,2,FALSE),"-")</f>
        <v>- / -</v>
      </c>
      <c r="T52" s="48" t="str">
        <f t="shared" ref="T52:T55" si="415">IFERROR(RIGHT(M52,LEN(M52)-FIND("],",M52)-1),"none")</f>
        <v>none</v>
      </c>
      <c r="U52" s="63" t="e">
        <f t="shared" ref="U52:U55" si="416">FIND("effect:",T52)+7</f>
        <v>#VALUE!</v>
      </c>
      <c r="V52" s="63">
        <f t="shared" ref="V52:V55" si="417">IFERROR(FIND(",",T52),LEN(T52))</f>
        <v>4</v>
      </c>
      <c r="W52" s="63" t="e">
        <f t="shared" ref="W52:W55" si="418">FIND("target:",T52)+7</f>
        <v>#VALUE!</v>
      </c>
      <c r="X52" s="63" t="e">
        <f t="shared" ref="X52:X55" si="419">FIND(",",T52,V52+1)</f>
        <v>#VALUE!</v>
      </c>
      <c r="Y52" s="63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>
      <c r="A53" s="47">
        <v>112143301</v>
      </c>
      <c r="B53" s="47" t="s">
        <v>181</v>
      </c>
      <c r="C53" s="50">
        <v>3</v>
      </c>
      <c r="D53" s="50" t="s">
        <v>127</v>
      </c>
      <c r="E53" s="51" t="s">
        <v>269</v>
      </c>
      <c r="F53" s="51" t="s">
        <v>270</v>
      </c>
      <c r="G53" s="63" t="str">
        <f>IFERROR(LEFT(B53,FIND("],",B53)),B53)</f>
        <v>[effect:nothing]</v>
      </c>
      <c r="H53" s="63">
        <f>FIND("effect:",G53)+7</f>
        <v>9</v>
      </c>
      <c r="I53" s="63">
        <f>IFERROR(FIND(",",G53),LEN(G53))</f>
        <v>16</v>
      </c>
      <c r="J53" s="63" t="e">
        <f>FIND("target:",G53)+7</f>
        <v>#VALUE!</v>
      </c>
      <c r="K53" s="63" t="e">
        <f>FIND(",",G53,I53+1)</f>
        <v>#VALUE!</v>
      </c>
      <c r="L53" s="63" t="str">
        <f>IFERROR(VLOOKUP(MID(G53,J53,K53-J53),[5]skilldef!$C:$D,2,FALSE),"-") &amp; " / " &amp; IFERROR(VLOOKUP(MID(G53,H53,I53-H53),[5]skilldef!$A:$B,2,FALSE),"-")</f>
        <v>- / 何もしない</v>
      </c>
      <c r="M53" s="63" t="str">
        <f>IFERROR(RIGHT(B53,LEN(B53)-FIND("],",B53)-1),"none")</f>
        <v>none</v>
      </c>
      <c r="N53" s="48" t="str">
        <f>IFERROR(LEFT(M53,FIND("],",M53)+S112),M53)</f>
        <v>none</v>
      </c>
      <c r="O53" s="63" t="e">
        <f>FIND("effect:",N53)+7</f>
        <v>#VALUE!</v>
      </c>
      <c r="P53" s="63">
        <f>IFERROR(FIND(",",N53),LEN(N53))</f>
        <v>4</v>
      </c>
      <c r="Q53" s="63" t="e">
        <f>FIND("target:",N53)+7</f>
        <v>#VALUE!</v>
      </c>
      <c r="R53" s="63" t="e">
        <f>FIND(",",N53,P53+1)</f>
        <v>#VALUE!</v>
      </c>
      <c r="S53" s="63" t="str">
        <f>IFERROR(VLOOKUP(MID(N53,Q53,R53-Q53),[5]skilldef!$C:$D,2,FALSE),"-") &amp; " / " &amp; IFERROR(VLOOKUP(MID(N53,O53,P53-O53),[5]skilldef!$A:$B,2,FALSE),"-")</f>
        <v>- / -</v>
      </c>
      <c r="T53" s="48" t="str">
        <f>IFERROR(RIGHT(M53,LEN(M53)-FIND("],",M53)-1),"none")</f>
        <v>none</v>
      </c>
      <c r="U53" s="63" t="e">
        <f>FIND("effect:",T53)+7</f>
        <v>#VALUE!</v>
      </c>
      <c r="V53" s="63">
        <f>IFERROR(FIND(",",T53),LEN(T53))</f>
        <v>4</v>
      </c>
      <c r="W53" s="63" t="e">
        <f>FIND("target:",T53)+7</f>
        <v>#VALUE!</v>
      </c>
      <c r="X53" s="63" t="e">
        <f>FIND(",",T53,V53+1)</f>
        <v>#VALUE!</v>
      </c>
      <c r="Y53" s="63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>
      <c r="A54" s="47">
        <v>112143302</v>
      </c>
      <c r="B54" s="47" t="s">
        <v>181</v>
      </c>
      <c r="C54" s="50">
        <v>3</v>
      </c>
      <c r="D54" s="50" t="s">
        <v>127</v>
      </c>
      <c r="E54" s="51" t="s">
        <v>271</v>
      </c>
      <c r="F54" s="51" t="s">
        <v>240</v>
      </c>
      <c r="G54" s="63" t="str">
        <f t="shared" ref="G54" si="420">IFERROR(LEFT(B54,FIND("],",B54)),B54)</f>
        <v>[effect:nothing]</v>
      </c>
      <c r="H54" s="63">
        <f t="shared" ref="H54" si="421">FIND("effect:",G54)+7</f>
        <v>9</v>
      </c>
      <c r="I54" s="63">
        <f t="shared" ref="I54" si="422">IFERROR(FIND(",",G54),LEN(G54))</f>
        <v>16</v>
      </c>
      <c r="J54" s="63" t="e">
        <f t="shared" ref="J54" si="423">FIND("target:",G54)+7</f>
        <v>#VALUE!</v>
      </c>
      <c r="K54" s="63" t="e">
        <f t="shared" ref="K54" si="424">FIND(",",G54,I54+1)</f>
        <v>#VALUE!</v>
      </c>
      <c r="L54" s="63" t="str">
        <f>IFERROR(VLOOKUP(MID(G54,J54,K54-J54),[5]skilldef!$C:$D,2,FALSE),"-") &amp; " / " &amp; IFERROR(VLOOKUP(MID(G54,H54,I54-H54),[5]skilldef!$A:$B,2,FALSE),"-")</f>
        <v>- / 何もしない</v>
      </c>
      <c r="M54" s="63" t="str">
        <f t="shared" ref="M54" si="425">IFERROR(RIGHT(B54,LEN(B54)-FIND("],",B54)-1),"none")</f>
        <v>none</v>
      </c>
      <c r="N54" s="48" t="str">
        <f>IFERROR(LEFT(M54,FIND("],",M54)+S114),M54)</f>
        <v>none</v>
      </c>
      <c r="O54" s="63" t="e">
        <f t="shared" ref="O54" si="426">FIND("effect:",N54)+7</f>
        <v>#VALUE!</v>
      </c>
      <c r="P54" s="63">
        <f t="shared" ref="P54" si="427">IFERROR(FIND(",",N54),LEN(N54))</f>
        <v>4</v>
      </c>
      <c r="Q54" s="63" t="e">
        <f t="shared" ref="Q54" si="428">FIND("target:",N54)+7</f>
        <v>#VALUE!</v>
      </c>
      <c r="R54" s="63" t="e">
        <f t="shared" ref="R54" si="429">FIND(",",N54,P54+1)</f>
        <v>#VALUE!</v>
      </c>
      <c r="S54" s="63" t="str">
        <f>IFERROR(VLOOKUP(MID(N54,Q54,R54-Q54),[5]skilldef!$C:$D,2,FALSE),"-") &amp; " / " &amp; IFERROR(VLOOKUP(MID(N54,O54,P54-O54),[5]skilldef!$A:$B,2,FALSE),"-")</f>
        <v>- / -</v>
      </c>
      <c r="T54" s="48" t="str">
        <f t="shared" ref="T54" si="430">IFERROR(RIGHT(M54,LEN(M54)-FIND("],",M54)-1),"none")</f>
        <v>none</v>
      </c>
      <c r="U54" s="63" t="e">
        <f t="shared" ref="U54" si="431">FIND("effect:",T54)+7</f>
        <v>#VALUE!</v>
      </c>
      <c r="V54" s="63">
        <f t="shared" ref="V54" si="432">IFERROR(FIND(",",T54),LEN(T54))</f>
        <v>4</v>
      </c>
      <c r="W54" s="63" t="e">
        <f t="shared" ref="W54" si="433">FIND("target:",T54)+7</f>
        <v>#VALUE!</v>
      </c>
      <c r="X54" s="63" t="e">
        <f t="shared" ref="X54" si="434">FIND(",",T54,V54+1)</f>
        <v>#VALUE!</v>
      </c>
      <c r="Y54" s="63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>
      <c r="A55" s="47">
        <v>112143303</v>
      </c>
      <c r="B55" s="47" t="s">
        <v>181</v>
      </c>
      <c r="C55" s="50">
        <v>3</v>
      </c>
      <c r="D55" s="50" t="s">
        <v>127</v>
      </c>
      <c r="E55" s="51" t="s">
        <v>230</v>
      </c>
      <c r="F55" s="51" t="s">
        <v>374</v>
      </c>
      <c r="G55" s="63" t="str">
        <f t="shared" si="405"/>
        <v>[effect:nothing]</v>
      </c>
      <c r="H55" s="63">
        <f t="shared" si="406"/>
        <v>9</v>
      </c>
      <c r="I55" s="63">
        <f t="shared" si="407"/>
        <v>16</v>
      </c>
      <c r="J55" s="63" t="e">
        <f t="shared" si="408"/>
        <v>#VALUE!</v>
      </c>
      <c r="K55" s="63" t="e">
        <f t="shared" si="409"/>
        <v>#VALUE!</v>
      </c>
      <c r="L55" s="63" t="str">
        <f>IFERROR(VLOOKUP(MID(G55,J55,K55-J55),[5]skilldef!$C:$D,2,FALSE),"-") &amp; " / " &amp; IFERROR(VLOOKUP(MID(G55,H55,I55-H55),[5]skilldef!$A:$B,2,FALSE),"-")</f>
        <v>- / 何もしない</v>
      </c>
      <c r="M55" s="63" t="str">
        <f t="shared" si="410"/>
        <v>none</v>
      </c>
      <c r="N55" s="48" t="str">
        <f>IFERROR(LEFT(M55,FIND("],",M55)+S113),M55)</f>
        <v>none</v>
      </c>
      <c r="O55" s="63" t="e">
        <f t="shared" si="411"/>
        <v>#VALUE!</v>
      </c>
      <c r="P55" s="63">
        <f t="shared" si="412"/>
        <v>4</v>
      </c>
      <c r="Q55" s="63" t="e">
        <f t="shared" si="413"/>
        <v>#VALUE!</v>
      </c>
      <c r="R55" s="63" t="e">
        <f t="shared" si="414"/>
        <v>#VALUE!</v>
      </c>
      <c r="S55" s="63" t="str">
        <f>IFERROR(VLOOKUP(MID(N55,Q55,R55-Q55),[5]skilldef!$C:$D,2,FALSE),"-") &amp; " / " &amp; IFERROR(VLOOKUP(MID(N55,O55,P55-O55),[5]skilldef!$A:$B,2,FALSE),"-")</f>
        <v>- / -</v>
      </c>
      <c r="T55" s="48" t="str">
        <f t="shared" si="415"/>
        <v>none</v>
      </c>
      <c r="U55" s="63" t="e">
        <f t="shared" si="416"/>
        <v>#VALUE!</v>
      </c>
      <c r="V55" s="63">
        <f t="shared" si="417"/>
        <v>4</v>
      </c>
      <c r="W55" s="63" t="e">
        <f t="shared" si="418"/>
        <v>#VALUE!</v>
      </c>
      <c r="X55" s="63" t="e">
        <f t="shared" si="419"/>
        <v>#VALUE!</v>
      </c>
      <c r="Y55" s="63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>
      <c r="A56" s="47">
        <v>112143309</v>
      </c>
      <c r="B56" s="47" t="s">
        <v>272</v>
      </c>
      <c r="C56" s="50">
        <v>3</v>
      </c>
      <c r="D56" s="50" t="s">
        <v>127</v>
      </c>
      <c r="E56" s="51" t="s">
        <v>244</v>
      </c>
      <c r="F56" s="51" t="s">
        <v>245</v>
      </c>
      <c r="G56" s="63" t="str">
        <f t="shared" ref="G56:G57" si="435">IFERROR(LEFT(B56,FIND("],",B56)),B56)</f>
        <v>[effect:kamikaze, val:0][effect:degrade_fever, val:1000, animation:fevergage_down][effect:force_change_block, new_block:jammer, target:block_all, count:0, val:0.0][effect:sleep, target:unit_all, turn:2, rate:1]</v>
      </c>
      <c r="H56" s="63">
        <f t="shared" ref="H56:H57" si="436">FIND("effect:",G56)+7</f>
        <v>9</v>
      </c>
      <c r="I56" s="63">
        <f t="shared" ref="I56:I57" si="437">IFERROR(FIND(",",G56),LEN(G56))</f>
        <v>17</v>
      </c>
      <c r="J56" s="63">
        <f t="shared" ref="J56:J57" si="438">FIND("target:",G56)+7</f>
        <v>136</v>
      </c>
      <c r="K56" s="63">
        <f t="shared" ref="K56:K57" si="439">FIND(",",G56,I56+1)</f>
        <v>46</v>
      </c>
      <c r="L56" s="63" t="str">
        <f>IFERROR(VLOOKUP(MID(G56,J56,K56-J56),[5]skilldef!$C:$D,2,FALSE),"-") &amp; " / " &amp; IFERROR(VLOOKUP(MID(G56,H56,I56-H56),[5]skilldef!$A:$B,2,FALSE),"-")</f>
        <v>- / 自爆</v>
      </c>
      <c r="M56" s="63" t="str">
        <f t="shared" ref="M56:M57" si="440">IFERROR(RIGHT(B56,LEN(B56)-FIND("],",B56)-1),"none")</f>
        <v>none</v>
      </c>
      <c r="N56" s="48" t="str">
        <f>IFERROR(LEFT(M56,FIND("],",M56)+S113),M56)</f>
        <v>none</v>
      </c>
      <c r="O56" s="63" t="e">
        <f t="shared" ref="O56:O57" si="441">FIND("effect:",N56)+7</f>
        <v>#VALUE!</v>
      </c>
      <c r="P56" s="63">
        <f t="shared" ref="P56:P57" si="442">IFERROR(FIND(",",N56),LEN(N56))</f>
        <v>4</v>
      </c>
      <c r="Q56" s="63" t="e">
        <f t="shared" ref="Q56:Q57" si="443">FIND("target:",N56)+7</f>
        <v>#VALUE!</v>
      </c>
      <c r="R56" s="63" t="e">
        <f t="shared" ref="R56:R57" si="444">FIND(",",N56,P56+1)</f>
        <v>#VALUE!</v>
      </c>
      <c r="S56" s="63" t="str">
        <f>IFERROR(VLOOKUP(MID(N56,Q56,R56-Q56),[5]skilldef!$C:$D,2,FALSE),"-") &amp; " / " &amp; IFERROR(VLOOKUP(MID(N56,O56,P56-O56),[5]skilldef!$A:$B,2,FALSE),"-")</f>
        <v>- / -</v>
      </c>
      <c r="T56" s="48" t="str">
        <f t="shared" ref="T56:T57" si="445">IFERROR(RIGHT(M56,LEN(M56)-FIND("],",M56)-1),"none")</f>
        <v>none</v>
      </c>
      <c r="U56" s="63" t="e">
        <f t="shared" ref="U56:U57" si="446">FIND("effect:",T56)+7</f>
        <v>#VALUE!</v>
      </c>
      <c r="V56" s="63">
        <f t="shared" ref="V56:V57" si="447">IFERROR(FIND(",",T56),LEN(T56))</f>
        <v>4</v>
      </c>
      <c r="W56" s="63" t="e">
        <f t="shared" ref="W56:W57" si="448">FIND("target:",T56)+7</f>
        <v>#VALUE!</v>
      </c>
      <c r="X56" s="63" t="e">
        <f t="shared" ref="X56:X57" si="449">FIND(",",T56,V56+1)</f>
        <v>#VALUE!</v>
      </c>
      <c r="Y56" s="63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" customHeight="1">
      <c r="A57" s="47">
        <v>112143310</v>
      </c>
      <c r="B57" s="47" t="s">
        <v>178</v>
      </c>
      <c r="C57" s="50">
        <v>3</v>
      </c>
      <c r="D57" s="50" t="s">
        <v>127</v>
      </c>
      <c r="E57" s="51" t="s">
        <v>268</v>
      </c>
      <c r="F57" s="51" t="s">
        <v>302</v>
      </c>
      <c r="G57" s="63" t="str">
        <f t="shared" si="435"/>
        <v>[effect:fix_speed, target:myself, turn:1]</v>
      </c>
      <c r="H57" s="63">
        <f t="shared" si="436"/>
        <v>9</v>
      </c>
      <c r="I57" s="63">
        <f t="shared" si="437"/>
        <v>18</v>
      </c>
      <c r="J57" s="63">
        <f t="shared" si="438"/>
        <v>27</v>
      </c>
      <c r="K57" s="63">
        <f t="shared" si="439"/>
        <v>33</v>
      </c>
      <c r="L57" s="63" t="str">
        <f>IFERROR(VLOOKUP(MID(G57,J57,K57-J57),[5]skilldef!$C:$D,2,FALSE),"-") &amp; " / " &amp; IFERROR(VLOOKUP(MID(G57,H57,I57-H57),[5]skilldef!$A:$B,2,FALSE),"-")</f>
        <v>自分自身に / 行動値設定</v>
      </c>
      <c r="M57" s="63" t="str">
        <f t="shared" si="440"/>
        <v>none</v>
      </c>
      <c r="N57" s="48" t="str">
        <f>IFERROR(LEFT(M57,FIND("],",M57)+S112),M57)</f>
        <v>none</v>
      </c>
      <c r="O57" s="63" t="e">
        <f t="shared" si="441"/>
        <v>#VALUE!</v>
      </c>
      <c r="P57" s="63">
        <f t="shared" si="442"/>
        <v>4</v>
      </c>
      <c r="Q57" s="63" t="e">
        <f t="shared" si="443"/>
        <v>#VALUE!</v>
      </c>
      <c r="R57" s="63" t="e">
        <f t="shared" si="444"/>
        <v>#VALUE!</v>
      </c>
      <c r="S57" s="63" t="str">
        <f>IFERROR(VLOOKUP(MID(N57,Q57,R57-Q57),[5]skilldef!$C:$D,2,FALSE),"-") &amp; " / " &amp; IFERROR(VLOOKUP(MID(N57,O57,P57-O57),[5]skilldef!$A:$B,2,FALSE),"-")</f>
        <v>- / -</v>
      </c>
      <c r="T57" s="48" t="str">
        <f t="shared" si="445"/>
        <v>none</v>
      </c>
      <c r="U57" s="63" t="e">
        <f t="shared" si="446"/>
        <v>#VALUE!</v>
      </c>
      <c r="V57" s="63">
        <f t="shared" si="447"/>
        <v>4</v>
      </c>
      <c r="W57" s="63" t="e">
        <f t="shared" si="448"/>
        <v>#VALUE!</v>
      </c>
      <c r="X57" s="63" t="e">
        <f t="shared" si="449"/>
        <v>#VALUE!</v>
      </c>
      <c r="Y57" s="63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>
      <c r="A58" s="47">
        <v>112143311</v>
      </c>
      <c r="B58" s="47" t="s">
        <v>325</v>
      </c>
      <c r="C58" s="50">
        <v>3</v>
      </c>
      <c r="D58" s="50" t="s">
        <v>127</v>
      </c>
      <c r="E58" s="51" t="s">
        <v>213</v>
      </c>
      <c r="F58" s="51" t="s">
        <v>246</v>
      </c>
      <c r="G58" s="63" t="str">
        <f t="shared" ref="G58" si="450">IFERROR(LEFT(B58,FIND("],",B58)),B58)</f>
        <v>[effect:fix_speed, target:myself, turn:1][effect:dis_heart, turn:-1, animation:enemy_dis_heart][effect:force_change_block, new_block:time_bomb, target:block_all, min_time_count:1, max_time_count:1, count:5, val:0.19][effect:kamikaze, val:0]</v>
      </c>
      <c r="H58" s="63">
        <f t="shared" ref="H58" si="451">FIND("effect:",G58)+7</f>
        <v>9</v>
      </c>
      <c r="I58" s="63">
        <f t="shared" ref="I58" si="452">IFERROR(FIND(",",G58),LEN(G58))</f>
        <v>18</v>
      </c>
      <c r="J58" s="63">
        <f t="shared" ref="J58" si="453">FIND("target:",G58)+7</f>
        <v>27</v>
      </c>
      <c r="K58" s="63">
        <f t="shared" ref="K58" si="454">FIND(",",G58,I58+1)</f>
        <v>33</v>
      </c>
      <c r="L58" s="63" t="str">
        <f>IFERROR(VLOOKUP(MID(G58,J58,K58-J58),[5]skilldef!$C:$D,2,FALSE),"-") &amp; " / " &amp; IFERROR(VLOOKUP(MID(G58,H58,I58-H58),[5]skilldef!$A:$B,2,FALSE),"-")</f>
        <v>自分自身に / 行動値設定</v>
      </c>
      <c r="M58" s="63" t="str">
        <f t="shared" ref="M58" si="455">IFERROR(RIGHT(B58,LEN(B58)-FIND("],",B58)-1),"none")</f>
        <v>none</v>
      </c>
      <c r="N58" s="48" t="str">
        <f>IFERROR(LEFT(M58,FIND("],",M58)+S113),M58)</f>
        <v>none</v>
      </c>
      <c r="O58" s="63" t="e">
        <f t="shared" ref="O58" si="456">FIND("effect:",N58)+7</f>
        <v>#VALUE!</v>
      </c>
      <c r="P58" s="63">
        <f t="shared" ref="P58" si="457">IFERROR(FIND(",",N58),LEN(N58))</f>
        <v>4</v>
      </c>
      <c r="Q58" s="63" t="e">
        <f t="shared" ref="Q58" si="458">FIND("target:",N58)+7</f>
        <v>#VALUE!</v>
      </c>
      <c r="R58" s="63" t="e">
        <f t="shared" ref="R58" si="459">FIND(",",N58,P58+1)</f>
        <v>#VALUE!</v>
      </c>
      <c r="S58" s="63" t="str">
        <f>IFERROR(VLOOKUP(MID(N58,Q58,R58-Q58),[5]skilldef!$C:$D,2,FALSE),"-") &amp; " / " &amp; IFERROR(VLOOKUP(MID(N58,O58,P58-O58),[5]skilldef!$A:$B,2,FALSE),"-")</f>
        <v>- / -</v>
      </c>
      <c r="T58" s="48" t="str">
        <f t="shared" ref="T58" si="460">IFERROR(RIGHT(M58,LEN(M58)-FIND("],",M58)-1),"none")</f>
        <v>none</v>
      </c>
      <c r="U58" s="63" t="e">
        <f t="shared" ref="U58" si="461">FIND("effect:",T58)+7</f>
        <v>#VALUE!</v>
      </c>
      <c r="V58" s="63">
        <f t="shared" ref="V58" si="462">IFERROR(FIND(",",T58),LEN(T58))</f>
        <v>4</v>
      </c>
      <c r="W58" s="63" t="e">
        <f t="shared" ref="W58" si="463">FIND("target:",T58)+7</f>
        <v>#VALUE!</v>
      </c>
      <c r="X58" s="63" t="e">
        <f t="shared" ref="X58" si="464">FIND(",",T58,V58+1)</f>
        <v>#VALUE!</v>
      </c>
      <c r="Y58" s="63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>
      <c r="A59" s="47">
        <v>112143319</v>
      </c>
      <c r="B59" s="47" t="s">
        <v>222</v>
      </c>
      <c r="C59" s="50">
        <v>3</v>
      </c>
      <c r="D59" s="50" t="s">
        <v>127</v>
      </c>
      <c r="E59" s="51" t="s">
        <v>215</v>
      </c>
      <c r="F59" s="51" t="s">
        <v>228</v>
      </c>
      <c r="G59" s="63" t="str">
        <f t="shared" ref="G59:G61" si="465">IFERROR(LEFT(B59,FIND("],",B59)),B59)</f>
        <v>[effect:kamikaze, val:0][effect:sleep, target:unit_all, turn:1, rate:1]</v>
      </c>
      <c r="H59" s="63">
        <f t="shared" ref="H59:H61" si="466">FIND("effect:",G59)+7</f>
        <v>9</v>
      </c>
      <c r="I59" s="63">
        <f t="shared" ref="I59:I61" si="467">IFERROR(FIND(",",G59),LEN(G59))</f>
        <v>17</v>
      </c>
      <c r="J59" s="63">
        <f t="shared" ref="J59:J61" si="468">FIND("target:",G59)+7</f>
        <v>47</v>
      </c>
      <c r="K59" s="63">
        <f t="shared" ref="K59:K61" si="469">FIND(",",G59,I59+1)</f>
        <v>38</v>
      </c>
      <c r="L59" s="63" t="str">
        <f>IFERROR(VLOOKUP(MID(G59,J59,K59-J59),[5]skilldef!$C:$D,2,FALSE),"-") &amp; " / " &amp; IFERROR(VLOOKUP(MID(G59,H59,I59-H59),[5]skilldef!$A:$B,2,FALSE),"-")</f>
        <v>- / 自爆</v>
      </c>
      <c r="M59" s="63" t="str">
        <f t="shared" ref="M59:M61" si="470">IFERROR(RIGHT(B59,LEN(B59)-FIND("],",B59)-1),"none")</f>
        <v>none</v>
      </c>
      <c r="N59" s="48" t="str">
        <f>IFERROR(LEFT(M59,FIND("],",M59)+S114),M59)</f>
        <v>none</v>
      </c>
      <c r="O59" s="63" t="e">
        <f t="shared" ref="O59:O61" si="471">FIND("effect:",N59)+7</f>
        <v>#VALUE!</v>
      </c>
      <c r="P59" s="63">
        <f t="shared" ref="P59:P61" si="472">IFERROR(FIND(",",N59),LEN(N59))</f>
        <v>4</v>
      </c>
      <c r="Q59" s="63" t="e">
        <f t="shared" ref="Q59:Q61" si="473">FIND("target:",N59)+7</f>
        <v>#VALUE!</v>
      </c>
      <c r="R59" s="63" t="e">
        <f t="shared" ref="R59:R61" si="474">FIND(",",N59,P59+1)</f>
        <v>#VALUE!</v>
      </c>
      <c r="S59" s="63" t="str">
        <f>IFERROR(VLOOKUP(MID(N59,Q59,R59-Q59),[5]skilldef!$C:$D,2,FALSE),"-") &amp; " / " &amp; IFERROR(VLOOKUP(MID(N59,O59,P59-O59),[5]skilldef!$A:$B,2,FALSE),"-")</f>
        <v>- / -</v>
      </c>
      <c r="T59" s="48" t="str">
        <f t="shared" ref="T59:T61" si="475">IFERROR(RIGHT(M59,LEN(M59)-FIND("],",M59)-1),"none")</f>
        <v>none</v>
      </c>
      <c r="U59" s="63" t="e">
        <f t="shared" ref="U59:U61" si="476">FIND("effect:",T59)+7</f>
        <v>#VALUE!</v>
      </c>
      <c r="V59" s="63">
        <f t="shared" ref="V59:V61" si="477">IFERROR(FIND(",",T59),LEN(T59))</f>
        <v>4</v>
      </c>
      <c r="W59" s="63" t="e">
        <f t="shared" ref="W59:W61" si="478">FIND("target:",T59)+7</f>
        <v>#VALUE!</v>
      </c>
      <c r="X59" s="63" t="e">
        <f t="shared" ref="X59:X61" si="479">FIND(",",T59,V59+1)</f>
        <v>#VALUE!</v>
      </c>
      <c r="Y59" s="63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>
      <c r="A60" s="47">
        <v>112143400</v>
      </c>
      <c r="B60" s="47" t="s">
        <v>327</v>
      </c>
      <c r="C60" s="50">
        <v>3</v>
      </c>
      <c r="D60" s="50" t="s">
        <v>127</v>
      </c>
      <c r="E60" s="51" t="s">
        <v>287</v>
      </c>
      <c r="F60" s="51" t="s">
        <v>217</v>
      </c>
      <c r="G60" s="63" t="str">
        <f t="shared" si="465"/>
        <v>[effect:fix_speed, target:myself, turn:1][effect:cure, bad_status:dis_heart]</v>
      </c>
      <c r="H60" s="63">
        <f t="shared" si="466"/>
        <v>9</v>
      </c>
      <c r="I60" s="63">
        <f t="shared" si="467"/>
        <v>18</v>
      </c>
      <c r="J60" s="63">
        <f t="shared" si="468"/>
        <v>27</v>
      </c>
      <c r="K60" s="63">
        <f t="shared" si="469"/>
        <v>33</v>
      </c>
      <c r="L60" s="63" t="str">
        <f>IFERROR(VLOOKUP(MID(G60,J60,K60-J60),[5]skilldef!$C:$D,2,FALSE),"-") &amp; " / " &amp; IFERROR(VLOOKUP(MID(G60,H60,I60-H60),[5]skilldef!$A:$B,2,FALSE),"-")</f>
        <v>自分自身に / 行動値設定</v>
      </c>
      <c r="M60" s="63" t="str">
        <f t="shared" si="470"/>
        <v>none</v>
      </c>
      <c r="N60" s="48" t="str">
        <f>IFERROR(LEFT(M60,FIND("],",M60)+S115),M60)</f>
        <v>none</v>
      </c>
      <c r="O60" s="63" t="e">
        <f t="shared" si="471"/>
        <v>#VALUE!</v>
      </c>
      <c r="P60" s="63">
        <f t="shared" si="472"/>
        <v>4</v>
      </c>
      <c r="Q60" s="63" t="e">
        <f t="shared" si="473"/>
        <v>#VALUE!</v>
      </c>
      <c r="R60" s="63" t="e">
        <f t="shared" si="474"/>
        <v>#VALUE!</v>
      </c>
      <c r="S60" s="63" t="str">
        <f>IFERROR(VLOOKUP(MID(N60,Q60,R60-Q60),[5]skilldef!$C:$D,2,FALSE),"-") &amp; " / " &amp; IFERROR(VLOOKUP(MID(N60,O60,P60-O60),[5]skilldef!$A:$B,2,FALSE),"-")</f>
        <v>- / -</v>
      </c>
      <c r="T60" s="48" t="str">
        <f t="shared" si="475"/>
        <v>none</v>
      </c>
      <c r="U60" s="63" t="e">
        <f t="shared" si="476"/>
        <v>#VALUE!</v>
      </c>
      <c r="V60" s="63">
        <f t="shared" si="477"/>
        <v>4</v>
      </c>
      <c r="W60" s="63" t="e">
        <f t="shared" si="478"/>
        <v>#VALUE!</v>
      </c>
      <c r="X60" s="63" t="e">
        <f t="shared" si="479"/>
        <v>#VALUE!</v>
      </c>
      <c r="Y60" s="63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21" customHeight="1">
      <c r="A61" s="47">
        <v>112143401</v>
      </c>
      <c r="B61" s="47" t="s">
        <v>247</v>
      </c>
      <c r="C61" s="50">
        <v>3</v>
      </c>
      <c r="D61" s="50" t="s">
        <v>127</v>
      </c>
      <c r="E61" s="51" t="s">
        <v>219</v>
      </c>
      <c r="F61" s="51" t="s">
        <v>273</v>
      </c>
      <c r="G61" s="63" t="str">
        <f t="shared" si="465"/>
        <v>[effect:nothing]</v>
      </c>
      <c r="H61" s="63">
        <f t="shared" si="466"/>
        <v>9</v>
      </c>
      <c r="I61" s="63">
        <f t="shared" si="467"/>
        <v>16</v>
      </c>
      <c r="J61" s="63" t="e">
        <f t="shared" si="468"/>
        <v>#VALUE!</v>
      </c>
      <c r="K61" s="63" t="e">
        <f t="shared" si="469"/>
        <v>#VALUE!</v>
      </c>
      <c r="L61" s="63" t="str">
        <f>IFERROR(VLOOKUP(MID(G61,J61,K61-J61),[5]skilldef!$C:$D,2,FALSE),"-") &amp; " / " &amp; IFERROR(VLOOKUP(MID(G61,H61,I61-H61),[5]skilldef!$A:$B,2,FALSE),"-")</f>
        <v>- / 何もしない</v>
      </c>
      <c r="M61" s="63" t="str">
        <f t="shared" si="470"/>
        <v>none</v>
      </c>
      <c r="N61" s="48" t="str">
        <f>IFERROR(LEFT(M61,FIND("],",M61)+S115),M61)</f>
        <v>none</v>
      </c>
      <c r="O61" s="63" t="e">
        <f t="shared" si="471"/>
        <v>#VALUE!</v>
      </c>
      <c r="P61" s="63">
        <f t="shared" si="472"/>
        <v>4</v>
      </c>
      <c r="Q61" s="63" t="e">
        <f t="shared" si="473"/>
        <v>#VALUE!</v>
      </c>
      <c r="R61" s="63" t="e">
        <f t="shared" si="474"/>
        <v>#VALUE!</v>
      </c>
      <c r="S61" s="63" t="str">
        <f>IFERROR(VLOOKUP(MID(N61,Q61,R61-Q61),[5]skilldef!$C:$D,2,FALSE),"-") &amp; " / " &amp; IFERROR(VLOOKUP(MID(N61,O61,P61-O61),[5]skilldef!$A:$B,2,FALSE),"-")</f>
        <v>- / -</v>
      </c>
      <c r="T61" s="48" t="str">
        <f t="shared" si="475"/>
        <v>none</v>
      </c>
      <c r="U61" s="63" t="e">
        <f t="shared" si="476"/>
        <v>#VALUE!</v>
      </c>
      <c r="V61" s="63">
        <f t="shared" si="477"/>
        <v>4</v>
      </c>
      <c r="W61" s="63" t="e">
        <f t="shared" si="478"/>
        <v>#VALUE!</v>
      </c>
      <c r="X61" s="63" t="e">
        <f t="shared" si="479"/>
        <v>#VALUE!</v>
      </c>
      <c r="Y61" s="63" t="str">
        <f>IFERROR(VLOOKUP(MID(T61,W61,X61-W61),[5]skilldef!$C:$D,2,FALSE),"-") &amp; " / " &amp; IFERROR(VLOOKUP(MID(T61,U61,V61-U61),[5]skilldef!$A:$B,2,FALSE),"-")</f>
        <v>- / -</v>
      </c>
      <c r="Z61" s="50"/>
      <c r="AA61" s="52"/>
      <c r="AB61" s="50"/>
    </row>
    <row r="62" spans="1:28" ht="21" customHeight="1">
      <c r="A62" s="47">
        <v>112143407</v>
      </c>
      <c r="B62" s="47" t="s">
        <v>372</v>
      </c>
      <c r="C62" s="50">
        <v>3</v>
      </c>
      <c r="D62" s="50" t="s">
        <v>127</v>
      </c>
      <c r="E62" s="51" t="s">
        <v>218</v>
      </c>
      <c r="F62" s="51" t="s">
        <v>220</v>
      </c>
      <c r="G62" s="63" t="str">
        <f t="shared" ref="G62" si="480">IFERROR(LEFT(B62,FIND("],",B62)),B62)</f>
        <v>[effect:fix_speed, target:myself, turn:1][effect:enhance_fever, val:1000.0][effect:enhance_unit, target:unit_all, turn:-1, status:heal, val:20, calc:mul]</v>
      </c>
      <c r="H62" s="63">
        <f t="shared" ref="H62" si="481">FIND("effect:",G62)+7</f>
        <v>9</v>
      </c>
      <c r="I62" s="63">
        <f t="shared" ref="I62" si="482">IFERROR(FIND(",",G62),LEN(G62))</f>
        <v>18</v>
      </c>
      <c r="J62" s="63">
        <f t="shared" ref="J62" si="483">FIND("target:",G62)+7</f>
        <v>27</v>
      </c>
      <c r="K62" s="63">
        <f t="shared" ref="K62" si="484">FIND(",",G62,I62+1)</f>
        <v>33</v>
      </c>
      <c r="L62" s="63" t="str">
        <f>IFERROR(VLOOKUP(MID(G62,J62,K62-J62),[5]skilldef!$C:$D,2,FALSE),"-") &amp; " / " &amp; IFERROR(VLOOKUP(MID(G62,H62,I62-H62),[5]skilldef!$A:$B,2,FALSE),"-")</f>
        <v>自分自身に / 行動値設定</v>
      </c>
      <c r="M62" s="63" t="str">
        <f t="shared" ref="M62" si="485">IFERROR(RIGHT(B62,LEN(B62)-FIND("],",B62)-1),"none")</f>
        <v>none</v>
      </c>
      <c r="N62" s="48" t="str">
        <f>IFERROR(LEFT(M62,FIND("],",M62)+S116),M62)</f>
        <v>none</v>
      </c>
      <c r="O62" s="63" t="e">
        <f t="shared" ref="O62" si="486">FIND("effect:",N62)+7</f>
        <v>#VALUE!</v>
      </c>
      <c r="P62" s="63">
        <f t="shared" ref="P62" si="487">IFERROR(FIND(",",N62),LEN(N62))</f>
        <v>4</v>
      </c>
      <c r="Q62" s="63" t="e">
        <f t="shared" ref="Q62" si="488">FIND("target:",N62)+7</f>
        <v>#VALUE!</v>
      </c>
      <c r="R62" s="63" t="e">
        <f t="shared" ref="R62" si="489">FIND(",",N62,P62+1)</f>
        <v>#VALUE!</v>
      </c>
      <c r="S62" s="63" t="str">
        <f>IFERROR(VLOOKUP(MID(N62,Q62,R62-Q62),[5]skilldef!$C:$D,2,FALSE),"-") &amp; " / " &amp; IFERROR(VLOOKUP(MID(N62,O62,P62-O62),[5]skilldef!$A:$B,2,FALSE),"-")</f>
        <v>- / -</v>
      </c>
      <c r="T62" s="48" t="str">
        <f t="shared" ref="T62" si="490">IFERROR(RIGHT(M62,LEN(M62)-FIND("],",M62)-1),"none")</f>
        <v>none</v>
      </c>
      <c r="U62" s="63" t="e">
        <f t="shared" ref="U62" si="491">FIND("effect:",T62)+7</f>
        <v>#VALUE!</v>
      </c>
      <c r="V62" s="63">
        <f t="shared" ref="V62" si="492">IFERROR(FIND(",",T62),LEN(T62))</f>
        <v>4</v>
      </c>
      <c r="W62" s="63" t="e">
        <f t="shared" ref="W62" si="493">FIND("target:",T62)+7</f>
        <v>#VALUE!</v>
      </c>
      <c r="X62" s="63" t="e">
        <f t="shared" ref="X62" si="494">FIND(",",T62,V62+1)</f>
        <v>#VALUE!</v>
      </c>
      <c r="Y62" s="63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21" customHeight="1">
      <c r="A63" s="47">
        <v>112143408</v>
      </c>
      <c r="B63" s="47" t="s">
        <v>231</v>
      </c>
      <c r="C63" s="50">
        <v>3</v>
      </c>
      <c r="D63" s="50" t="s">
        <v>127</v>
      </c>
      <c r="E63" s="51" t="s">
        <v>229</v>
      </c>
      <c r="F63" s="51" t="s">
        <v>226</v>
      </c>
      <c r="G63" s="63" t="str">
        <f t="shared" ref="G63" si="495">IFERROR(LEFT(B63,FIND("],",B63)),B63)</f>
        <v>[effect:damage_fix_pierce, target:unit_all, color:yellow, val:25000]</v>
      </c>
      <c r="H63" s="63">
        <f t="shared" ref="H63" si="496">FIND("effect:",G63)+7</f>
        <v>9</v>
      </c>
      <c r="I63" s="63">
        <f t="shared" ref="I63" si="497">IFERROR(FIND(",",G63),LEN(G63))</f>
        <v>26</v>
      </c>
      <c r="J63" s="63">
        <f t="shared" ref="J63" si="498">FIND("target:",G63)+7</f>
        <v>35</v>
      </c>
      <c r="K63" s="63">
        <f t="shared" ref="K63" si="499">FIND(",",G63,I63+1)</f>
        <v>43</v>
      </c>
      <c r="L63" s="63" t="str">
        <f>IFERROR(VLOOKUP(MID(G63,J63,K63-J63),[5]skilldef!$C:$D,2,FALSE),"-") &amp; " / " &amp; IFERROR(VLOOKUP(MID(G63,H63,I63-H63),[5]skilldef!$A:$B,2,FALSE),"-")</f>
        <v>味方全体に / -</v>
      </c>
      <c r="M63" s="63" t="str">
        <f t="shared" ref="M63" si="500">IFERROR(RIGHT(B63,LEN(B63)-FIND("],",B63)-1),"none")</f>
        <v>none</v>
      </c>
      <c r="N63" s="48" t="str">
        <f>IFERROR(LEFT(M63,FIND("],",M63)+S117),M63)</f>
        <v>none</v>
      </c>
      <c r="O63" s="63" t="e">
        <f t="shared" ref="O63" si="501">FIND("effect:",N63)+7</f>
        <v>#VALUE!</v>
      </c>
      <c r="P63" s="63">
        <f t="shared" ref="P63" si="502">IFERROR(FIND(",",N63),LEN(N63))</f>
        <v>4</v>
      </c>
      <c r="Q63" s="63" t="e">
        <f t="shared" ref="Q63" si="503">FIND("target:",N63)+7</f>
        <v>#VALUE!</v>
      </c>
      <c r="R63" s="63" t="e">
        <f t="shared" ref="R63" si="504">FIND(",",N63,P63+1)</f>
        <v>#VALUE!</v>
      </c>
      <c r="S63" s="63" t="str">
        <f>IFERROR(VLOOKUP(MID(N63,Q63,R63-Q63),[5]skilldef!$C:$D,2,FALSE),"-") &amp; " / " &amp; IFERROR(VLOOKUP(MID(N63,O63,P63-O63),[5]skilldef!$A:$B,2,FALSE),"-")</f>
        <v>- / -</v>
      </c>
      <c r="T63" s="48" t="str">
        <f t="shared" ref="T63" si="505">IFERROR(RIGHT(M63,LEN(M63)-FIND("],",M63)-1),"none")</f>
        <v>none</v>
      </c>
      <c r="U63" s="63" t="e">
        <f t="shared" ref="U63" si="506">FIND("effect:",T63)+7</f>
        <v>#VALUE!</v>
      </c>
      <c r="V63" s="63">
        <f t="shared" ref="V63" si="507">IFERROR(FIND(",",T63),LEN(T63))</f>
        <v>4</v>
      </c>
      <c r="W63" s="63" t="e">
        <f t="shared" ref="W63" si="508">FIND("target:",T63)+7</f>
        <v>#VALUE!</v>
      </c>
      <c r="X63" s="63" t="e">
        <f t="shared" ref="X63" si="509">FIND(",",T63,V63+1)</f>
        <v>#VALUE!</v>
      </c>
      <c r="Y63" s="63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21" customHeight="1">
      <c r="A64" s="47">
        <v>112143409</v>
      </c>
      <c r="B64" s="73" t="s">
        <v>326</v>
      </c>
      <c r="C64" s="50">
        <v>3</v>
      </c>
      <c r="D64" s="50" t="s">
        <v>127</v>
      </c>
      <c r="E64" s="51" t="s">
        <v>262</v>
      </c>
      <c r="F64" s="51" t="s">
        <v>216</v>
      </c>
      <c r="G64" s="63" t="str">
        <f t="shared" ref="G64:G67" si="510">IFERROR(LEFT(B64,FIND("],",B64)),B64)</f>
        <v>[effect:force_change_block, new_block:block_heart, target:block_all, color:block_heart, count:0, val:0.0][effect:kamikaze, val:0]</v>
      </c>
      <c r="H64" s="63">
        <f t="shared" ref="H64:H67" si="511">FIND("effect:",G64)+7</f>
        <v>9</v>
      </c>
      <c r="I64" s="63">
        <f t="shared" ref="I64:I67" si="512">IFERROR(FIND(",",G64),LEN(G64))</f>
        <v>27</v>
      </c>
      <c r="J64" s="63">
        <f t="shared" ref="J64:J67" si="513">FIND("target:",G64)+7</f>
        <v>59</v>
      </c>
      <c r="K64" s="63">
        <f t="shared" ref="K64:K67" si="514">FIND(",",G64,I64+1)</f>
        <v>50</v>
      </c>
      <c r="L64" s="63" t="str">
        <f>IFERROR(VLOOKUP(MID(G64,J64,K64-J64),[5]skilldef!$C:$D,2,FALSE),"-") &amp; " / " &amp; IFERROR(VLOOKUP(MID(G64,H64,I64-H64),[5]skilldef!$A:$B,2,FALSE),"-")</f>
        <v>- / -</v>
      </c>
      <c r="M64" s="63" t="str">
        <f t="shared" ref="M64:M67" si="515">IFERROR(RIGHT(B64,LEN(B64)-FIND("],",B64)-1),"none")</f>
        <v>none</v>
      </c>
      <c r="N64" s="48" t="str">
        <f>IFERROR(LEFT(M64,FIND("],",M64)+S117),M64)</f>
        <v>none</v>
      </c>
      <c r="O64" s="63" t="e">
        <f t="shared" ref="O64:O65" si="516">FIND("effect:",N64)+7</f>
        <v>#VALUE!</v>
      </c>
      <c r="P64" s="63">
        <f t="shared" ref="P64:P65" si="517">IFERROR(FIND(",",N64),LEN(N64))</f>
        <v>4</v>
      </c>
      <c r="Q64" s="63" t="e">
        <f t="shared" ref="Q64:Q65" si="518">FIND("target:",N64)+7</f>
        <v>#VALUE!</v>
      </c>
      <c r="R64" s="63" t="e">
        <f t="shared" ref="R64:R65" si="519">FIND(",",N64,P64+1)</f>
        <v>#VALUE!</v>
      </c>
      <c r="S64" s="63" t="str">
        <f>IFERROR(VLOOKUP(MID(N64,Q64,R64-Q64),[5]skilldef!$C:$D,2,FALSE),"-") &amp; " / " &amp; IFERROR(VLOOKUP(MID(N64,O64,P64-O64),[5]skilldef!$A:$B,2,FALSE),"-")</f>
        <v>- / -</v>
      </c>
      <c r="T64" s="48" t="str">
        <f t="shared" ref="T64:T67" si="520">IFERROR(RIGHT(M64,LEN(M64)-FIND("],",M64)-1),"none")</f>
        <v>none</v>
      </c>
      <c r="U64" s="63" t="e">
        <f t="shared" ref="U64:U67" si="521">FIND("effect:",T64)+7</f>
        <v>#VALUE!</v>
      </c>
      <c r="V64" s="63">
        <f t="shared" ref="V64:V67" si="522">IFERROR(FIND(",",T64),LEN(T64))</f>
        <v>4</v>
      </c>
      <c r="W64" s="63" t="e">
        <f t="shared" ref="W64:W67" si="523">FIND("target:",T64)+7</f>
        <v>#VALUE!</v>
      </c>
      <c r="X64" s="63" t="e">
        <f t="shared" ref="X64:X67" si="524">FIND(",",T64,V64+1)</f>
        <v>#VALUE!</v>
      </c>
      <c r="Y64" s="63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</row>
    <row r="65" spans="1:28" ht="21" customHeight="1">
      <c r="A65" s="47">
        <v>112143000</v>
      </c>
      <c r="B65" s="47" t="s">
        <v>250</v>
      </c>
      <c r="C65" s="50">
        <v>3</v>
      </c>
      <c r="D65" s="50" t="s">
        <v>127</v>
      </c>
      <c r="E65" s="51" t="s">
        <v>251</v>
      </c>
      <c r="F65" s="51" t="s">
        <v>376</v>
      </c>
      <c r="G65" s="63" t="str">
        <f t="shared" si="510"/>
        <v>[effect:nothing]</v>
      </c>
      <c r="H65" s="63">
        <f t="shared" si="511"/>
        <v>9</v>
      </c>
      <c r="I65" s="63">
        <f t="shared" si="512"/>
        <v>16</v>
      </c>
      <c r="J65" s="63" t="e">
        <f t="shared" si="513"/>
        <v>#VALUE!</v>
      </c>
      <c r="K65" s="63" t="e">
        <f t="shared" si="514"/>
        <v>#VALUE!</v>
      </c>
      <c r="L65" s="63" t="str">
        <f>IFERROR(VLOOKUP(MID(G65,J65,K65-J65),[5]skilldef!$C:$D,2,FALSE),"-") &amp; " / " &amp; IFERROR(VLOOKUP(MID(G65,H65,I65-H65),[5]skilldef!$A:$B,2,FALSE),"-")</f>
        <v>- / 何もしない</v>
      </c>
      <c r="M65" s="63" t="str">
        <f t="shared" si="515"/>
        <v>none</v>
      </c>
      <c r="N65" s="48" t="str">
        <f>IFERROR(LEFT(M65,FIND("],",M65)+S124),M65)</f>
        <v>none</v>
      </c>
      <c r="O65" s="63" t="e">
        <f t="shared" si="516"/>
        <v>#VALUE!</v>
      </c>
      <c r="P65" s="63">
        <f t="shared" si="517"/>
        <v>4</v>
      </c>
      <c r="Q65" s="63" t="e">
        <f t="shared" si="518"/>
        <v>#VALUE!</v>
      </c>
      <c r="R65" s="63" t="e">
        <f t="shared" si="519"/>
        <v>#VALUE!</v>
      </c>
      <c r="S65" s="63" t="str">
        <f>IFERROR(VLOOKUP(MID(N65,Q65,R65-Q65),[5]skilldef!$C:$D,2,FALSE),"-") &amp; " / " &amp; IFERROR(VLOOKUP(MID(N65,O65,P65-O65),[5]skilldef!$A:$B,2,FALSE),"-")</f>
        <v>- / -</v>
      </c>
      <c r="T65" s="48" t="str">
        <f t="shared" si="520"/>
        <v>none</v>
      </c>
      <c r="U65" s="63" t="e">
        <f t="shared" si="521"/>
        <v>#VALUE!</v>
      </c>
      <c r="V65" s="63">
        <f t="shared" si="522"/>
        <v>4</v>
      </c>
      <c r="W65" s="63" t="e">
        <f t="shared" si="523"/>
        <v>#VALUE!</v>
      </c>
      <c r="X65" s="63" t="e">
        <f t="shared" si="524"/>
        <v>#VALUE!</v>
      </c>
      <c r="Y65" s="63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</row>
    <row r="66" spans="1:28" ht="21" customHeight="1">
      <c r="A66" s="47">
        <v>112143001</v>
      </c>
      <c r="B66" s="47" t="s">
        <v>250</v>
      </c>
      <c r="C66" s="50">
        <v>3</v>
      </c>
      <c r="D66" s="50" t="s">
        <v>127</v>
      </c>
      <c r="E66" s="51" t="s">
        <v>377</v>
      </c>
      <c r="F66" s="51" t="s">
        <v>252</v>
      </c>
      <c r="G66" s="63" t="str">
        <f t="shared" ref="G66" si="525">IFERROR(LEFT(B66,FIND("],",B66)),B66)</f>
        <v>[effect:nothing]</v>
      </c>
      <c r="H66" s="63">
        <f t="shared" ref="H66" si="526">FIND("effect:",G66)+7</f>
        <v>9</v>
      </c>
      <c r="I66" s="63">
        <f t="shared" ref="I66" si="527">IFERROR(FIND(",",G66),LEN(G66))</f>
        <v>16</v>
      </c>
      <c r="J66" s="63" t="e">
        <f t="shared" ref="J66" si="528">FIND("target:",G66)+7</f>
        <v>#VALUE!</v>
      </c>
      <c r="K66" s="63" t="e">
        <f t="shared" ref="K66" si="529">FIND(",",G66,I66+1)</f>
        <v>#VALUE!</v>
      </c>
      <c r="L66" s="63" t="str">
        <f>IFERROR(VLOOKUP(MID(G66,J66,K66-J66),[5]skilldef!$C:$D,2,FALSE),"-") &amp; " / " &amp; IFERROR(VLOOKUP(MID(G66,H66,I66-H66),[5]skilldef!$A:$B,2,FALSE),"-")</f>
        <v>- / 何もしない</v>
      </c>
      <c r="M66" s="63" t="str">
        <f t="shared" ref="M66" si="530">IFERROR(RIGHT(B66,LEN(B66)-FIND("],",B66)-1),"none")</f>
        <v>none</v>
      </c>
      <c r="N66" s="48" t="str">
        <f>IFERROR(LEFT(M66,FIND("],",M66)+S125),M66)</f>
        <v>none</v>
      </c>
      <c r="O66" s="63" t="e">
        <f t="shared" ref="O66" si="531">FIND("effect:",N66)+7</f>
        <v>#VALUE!</v>
      </c>
      <c r="P66" s="63">
        <f t="shared" ref="P66" si="532">IFERROR(FIND(",",N66),LEN(N66))</f>
        <v>4</v>
      </c>
      <c r="Q66" s="63" t="e">
        <f t="shared" ref="Q66" si="533">FIND("target:",N66)+7</f>
        <v>#VALUE!</v>
      </c>
      <c r="R66" s="63" t="e">
        <f t="shared" ref="R66" si="534">FIND(",",N66,P66+1)</f>
        <v>#VALUE!</v>
      </c>
      <c r="S66" s="63" t="str">
        <f>IFERROR(VLOOKUP(MID(N66,Q66,R66-Q66),[5]skilldef!$C:$D,2,FALSE),"-") &amp; " / " &amp; IFERROR(VLOOKUP(MID(N66,O66,P66-O66),[5]skilldef!$A:$B,2,FALSE),"-")</f>
        <v>- / -</v>
      </c>
      <c r="T66" s="48" t="str">
        <f t="shared" ref="T66" si="535">IFERROR(RIGHT(M66,LEN(M66)-FIND("],",M66)-1),"none")</f>
        <v>none</v>
      </c>
      <c r="U66" s="63" t="e">
        <f t="shared" ref="U66" si="536">FIND("effect:",T66)+7</f>
        <v>#VALUE!</v>
      </c>
      <c r="V66" s="63">
        <f t="shared" ref="V66" si="537">IFERROR(FIND(",",T66),LEN(T66))</f>
        <v>4</v>
      </c>
      <c r="W66" s="63" t="e">
        <f t="shared" ref="W66" si="538">FIND("target:",T66)+7</f>
        <v>#VALUE!</v>
      </c>
      <c r="X66" s="63" t="e">
        <f t="shared" ref="X66" si="539">FIND(",",T66,V66+1)</f>
        <v>#VALUE!</v>
      </c>
      <c r="Y66" s="63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  <row r="67" spans="1:28" ht="21" customHeight="1">
      <c r="G67" s="49">
        <f t="shared" si="510"/>
        <v>0</v>
      </c>
      <c r="H67" s="49" t="e">
        <f t="shared" si="511"/>
        <v>#VALUE!</v>
      </c>
      <c r="I67" s="49">
        <f t="shared" si="512"/>
        <v>1</v>
      </c>
      <c r="J67" s="49" t="e">
        <f t="shared" si="513"/>
        <v>#VALUE!</v>
      </c>
      <c r="K67" s="49" t="e">
        <f t="shared" si="514"/>
        <v>#VALUE!</v>
      </c>
      <c r="M67" s="49" t="str">
        <f t="shared" si="515"/>
        <v>none</v>
      </c>
      <c r="T67" s="49" t="str">
        <f t="shared" si="520"/>
        <v>none</v>
      </c>
      <c r="U67" s="49" t="e">
        <f t="shared" si="521"/>
        <v>#VALUE!</v>
      </c>
      <c r="V67" s="49">
        <f t="shared" si="522"/>
        <v>4</v>
      </c>
      <c r="W67" s="49" t="e">
        <f t="shared" si="523"/>
        <v>#VALUE!</v>
      </c>
      <c r="X67" s="49" t="e">
        <f t="shared" si="524"/>
        <v>#VALUE!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6"/>
  <sheetViews>
    <sheetView showGridLines="0" zoomScale="75" zoomScaleNormal="75" zoomScalePageLayoutView="75" workbookViewId="0">
      <pane ySplit="1" topLeftCell="A2" activePane="bottomLeft" state="frozenSplit"/>
      <selection pane="bottomLeft" activeCell="C9" sqref="C9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112141100</v>
      </c>
      <c r="B2" s="47">
        <v>1</v>
      </c>
      <c r="C2" s="47">
        <v>2</v>
      </c>
      <c r="D2" s="47">
        <v>0</v>
      </c>
      <c r="E2" s="47" t="s">
        <v>168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0</v>
      </c>
    </row>
    <row r="3" spans="1:11" ht="21" customHeight="1">
      <c r="A3" s="47">
        <v>112141101</v>
      </c>
      <c r="B3" s="47">
        <v>0</v>
      </c>
      <c r="C3" s="47">
        <v>1</v>
      </c>
      <c r="D3" s="47">
        <v>100</v>
      </c>
      <c r="E3" s="47" t="s">
        <v>53</v>
      </c>
      <c r="F3" s="47" t="s">
        <v>53</v>
      </c>
      <c r="G3" s="47" t="s">
        <v>295</v>
      </c>
      <c r="H3" s="47" t="s">
        <v>53</v>
      </c>
      <c r="I3" s="47" t="s">
        <v>53</v>
      </c>
      <c r="J3" s="48">
        <f t="shared" ref="J3" si="1">D3</f>
        <v>100</v>
      </c>
    </row>
    <row r="4" spans="1:11" ht="21" customHeight="1">
      <c r="A4" s="47">
        <v>112141200</v>
      </c>
      <c r="B4" s="47">
        <v>1</v>
      </c>
      <c r="C4" s="47">
        <v>2</v>
      </c>
      <c r="D4" s="47">
        <v>0</v>
      </c>
      <c r="E4" s="47" t="s">
        <v>53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ref="J4" si="2">D4</f>
        <v>0</v>
      </c>
    </row>
    <row r="5" spans="1:11" ht="21" customHeight="1">
      <c r="A5" s="47">
        <v>112141201</v>
      </c>
      <c r="B5" s="47">
        <v>0</v>
      </c>
      <c r="C5" s="47">
        <v>1</v>
      </c>
      <c r="D5" s="47">
        <v>100</v>
      </c>
      <c r="E5" s="47" t="s">
        <v>53</v>
      </c>
      <c r="F5" s="47" t="s">
        <v>89</v>
      </c>
      <c r="G5" s="47" t="s">
        <v>187</v>
      </c>
      <c r="H5" s="47" t="s">
        <v>89</v>
      </c>
      <c r="I5" s="47" t="s">
        <v>89</v>
      </c>
      <c r="J5" s="48">
        <f t="shared" ref="J5" si="3">D5</f>
        <v>100</v>
      </c>
    </row>
    <row r="6" spans="1:11" ht="21" customHeight="1">
      <c r="A6" s="47">
        <v>112141300</v>
      </c>
      <c r="B6" s="47">
        <v>1</v>
      </c>
      <c r="C6" s="47">
        <v>4</v>
      </c>
      <c r="D6" s="47">
        <v>0</v>
      </c>
      <c r="E6" s="47" t="s">
        <v>53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ref="J6" si="4">D6</f>
        <v>0</v>
      </c>
    </row>
    <row r="7" spans="1:11" ht="21" customHeight="1">
      <c r="A7" s="47">
        <v>112141301</v>
      </c>
      <c r="B7" s="47">
        <v>0</v>
      </c>
      <c r="C7" s="47">
        <v>1</v>
      </c>
      <c r="D7" s="47">
        <v>100</v>
      </c>
      <c r="E7" s="47" t="s">
        <v>53</v>
      </c>
      <c r="F7" s="47" t="s">
        <v>89</v>
      </c>
      <c r="G7" s="47" t="s">
        <v>182</v>
      </c>
      <c r="H7" s="47" t="s">
        <v>89</v>
      </c>
      <c r="I7" s="47" t="s">
        <v>89</v>
      </c>
      <c r="J7" s="48">
        <f t="shared" ref="J7" si="5">D7</f>
        <v>100</v>
      </c>
    </row>
    <row r="8" spans="1:11" ht="21" customHeight="1">
      <c r="A8" s="47">
        <v>112141302</v>
      </c>
      <c r="B8" s="47">
        <v>0</v>
      </c>
      <c r="C8" s="47">
        <v>2</v>
      </c>
      <c r="D8" s="47">
        <v>100</v>
      </c>
      <c r="E8" s="47" t="s">
        <v>53</v>
      </c>
      <c r="F8" s="47" t="s">
        <v>89</v>
      </c>
      <c r="G8" s="47">
        <v>1</v>
      </c>
      <c r="H8" s="47">
        <v>2</v>
      </c>
      <c r="I8" s="47" t="s">
        <v>89</v>
      </c>
      <c r="J8" s="48">
        <f t="shared" ref="J8:J9" si="6">D8</f>
        <v>100</v>
      </c>
    </row>
    <row r="9" spans="1:11" ht="21" customHeight="1">
      <c r="A9" s="47">
        <v>112141308</v>
      </c>
      <c r="B9" s="47">
        <v>0</v>
      </c>
      <c r="C9" s="47">
        <v>3</v>
      </c>
      <c r="D9" s="47">
        <v>100</v>
      </c>
      <c r="E9" s="47" t="s">
        <v>53</v>
      </c>
      <c r="F9" s="47" t="s">
        <v>53</v>
      </c>
      <c r="G9" s="47">
        <v>1</v>
      </c>
      <c r="H9" s="47">
        <v>3</v>
      </c>
      <c r="I9" s="47" t="s">
        <v>286</v>
      </c>
      <c r="J9" s="48">
        <f t="shared" si="6"/>
        <v>100</v>
      </c>
    </row>
    <row r="10" spans="1:11" ht="21" customHeight="1">
      <c r="A10" s="47">
        <v>112141309</v>
      </c>
      <c r="B10" s="47">
        <v>0</v>
      </c>
      <c r="C10" s="47">
        <v>3</v>
      </c>
      <c r="D10" s="47">
        <v>100</v>
      </c>
      <c r="E10" s="47" t="s">
        <v>53</v>
      </c>
      <c r="F10" s="47" t="s">
        <v>89</v>
      </c>
      <c r="G10" s="47">
        <v>1</v>
      </c>
      <c r="H10" s="47" t="s">
        <v>89</v>
      </c>
      <c r="I10" s="47">
        <v>512</v>
      </c>
      <c r="J10" s="48">
        <f t="shared" ref="J10:J15" si="7">D10</f>
        <v>100</v>
      </c>
    </row>
    <row r="11" spans="1:11" ht="21" customHeight="1">
      <c r="A11" s="47">
        <v>112141310</v>
      </c>
      <c r="B11" s="47">
        <v>1</v>
      </c>
      <c r="C11" s="47">
        <v>4</v>
      </c>
      <c r="D11" s="47">
        <v>0</v>
      </c>
      <c r="E11" s="47" t="s">
        <v>53</v>
      </c>
      <c r="F11" s="47" t="s">
        <v>89</v>
      </c>
      <c r="G11" s="47">
        <v>1</v>
      </c>
      <c r="H11" s="47" t="s">
        <v>89</v>
      </c>
      <c r="I11" s="47" t="s">
        <v>277</v>
      </c>
      <c r="J11" s="48">
        <f t="shared" ref="J11" si="8">D11</f>
        <v>0</v>
      </c>
    </row>
    <row r="12" spans="1:11" ht="21" customHeight="1">
      <c r="A12" s="47">
        <v>112141311</v>
      </c>
      <c r="B12" s="47">
        <v>0</v>
      </c>
      <c r="C12" s="47">
        <v>2</v>
      </c>
      <c r="D12" s="47">
        <v>100</v>
      </c>
      <c r="E12" s="47" t="s">
        <v>53</v>
      </c>
      <c r="F12" s="47" t="s">
        <v>89</v>
      </c>
      <c r="G12" s="47" t="s">
        <v>276</v>
      </c>
      <c r="H12" s="47" t="s">
        <v>89</v>
      </c>
      <c r="I12" s="47" t="s">
        <v>277</v>
      </c>
      <c r="J12" s="48">
        <f t="shared" si="7"/>
        <v>100</v>
      </c>
    </row>
    <row r="13" spans="1:11" ht="21" customHeight="1">
      <c r="A13" s="47">
        <v>112141318</v>
      </c>
      <c r="B13" s="47">
        <v>0</v>
      </c>
      <c r="C13" s="47">
        <v>3</v>
      </c>
      <c r="D13" s="47">
        <v>100</v>
      </c>
      <c r="E13" s="47" t="s">
        <v>53</v>
      </c>
      <c r="F13" s="47" t="s">
        <v>89</v>
      </c>
      <c r="G13" s="47">
        <v>1</v>
      </c>
      <c r="H13" s="47">
        <v>2</v>
      </c>
      <c r="I13" s="47" t="s">
        <v>318</v>
      </c>
      <c r="J13" s="48">
        <f t="shared" si="7"/>
        <v>100</v>
      </c>
    </row>
    <row r="14" spans="1:11" ht="21" customHeight="1">
      <c r="A14" s="47">
        <v>112141400</v>
      </c>
      <c r="B14" s="47">
        <v>1</v>
      </c>
      <c r="C14" s="47">
        <v>3</v>
      </c>
      <c r="D14" s="47">
        <v>0</v>
      </c>
      <c r="E14" s="47" t="s">
        <v>53</v>
      </c>
      <c r="F14" s="47" t="s">
        <v>89</v>
      </c>
      <c r="G14" s="47">
        <v>1</v>
      </c>
      <c r="H14" s="47" t="s">
        <v>89</v>
      </c>
      <c r="I14" s="47" t="s">
        <v>89</v>
      </c>
      <c r="J14" s="48">
        <f t="shared" si="7"/>
        <v>0</v>
      </c>
    </row>
    <row r="15" spans="1:11" ht="21" customHeight="1">
      <c r="A15" s="47">
        <v>112141401</v>
      </c>
      <c r="B15" s="47">
        <v>0</v>
      </c>
      <c r="C15" s="47">
        <v>1</v>
      </c>
      <c r="D15" s="47">
        <v>100</v>
      </c>
      <c r="E15" s="47" t="s">
        <v>53</v>
      </c>
      <c r="F15" s="47" t="s">
        <v>89</v>
      </c>
      <c r="G15" s="47" t="s">
        <v>182</v>
      </c>
      <c r="H15" s="47" t="s">
        <v>89</v>
      </c>
      <c r="I15" s="47" t="s">
        <v>89</v>
      </c>
      <c r="J15" s="48">
        <f t="shared" si="7"/>
        <v>100</v>
      </c>
    </row>
    <row r="16" spans="1:11" ht="21" customHeight="1">
      <c r="A16" s="47">
        <v>112141409</v>
      </c>
      <c r="B16" s="47">
        <v>0</v>
      </c>
      <c r="C16" s="47">
        <v>3</v>
      </c>
      <c r="D16" s="47">
        <v>100</v>
      </c>
      <c r="E16" s="47" t="s">
        <v>53</v>
      </c>
      <c r="F16" s="47" t="s">
        <v>89</v>
      </c>
      <c r="G16" s="47">
        <v>1</v>
      </c>
      <c r="H16" s="47" t="s">
        <v>89</v>
      </c>
      <c r="I16" s="47">
        <v>514</v>
      </c>
      <c r="J16" s="48">
        <f t="shared" ref="J16" si="9">D16</f>
        <v>100</v>
      </c>
    </row>
    <row r="17" spans="1:11" ht="21" customHeight="1">
      <c r="A17" s="47">
        <v>112141500</v>
      </c>
      <c r="B17" s="47">
        <v>1</v>
      </c>
      <c r="C17" s="47">
        <v>4</v>
      </c>
      <c r="D17" s="47">
        <v>0</v>
      </c>
      <c r="E17" s="47" t="s">
        <v>53</v>
      </c>
      <c r="F17" s="47" t="s">
        <v>89</v>
      </c>
      <c r="G17" s="47">
        <v>1</v>
      </c>
      <c r="H17" s="47" t="s">
        <v>89</v>
      </c>
      <c r="I17" s="47" t="s">
        <v>89</v>
      </c>
      <c r="J17" s="48">
        <f t="shared" ref="J17" si="10">D17</f>
        <v>0</v>
      </c>
    </row>
    <row r="18" spans="1:11" ht="21" customHeight="1">
      <c r="A18" s="47">
        <v>112141501</v>
      </c>
      <c r="B18" s="47">
        <v>0</v>
      </c>
      <c r="C18" s="47">
        <v>3</v>
      </c>
      <c r="D18" s="47">
        <v>100</v>
      </c>
      <c r="E18" s="47" t="s">
        <v>53</v>
      </c>
      <c r="F18" s="47" t="s">
        <v>89</v>
      </c>
      <c r="G18" s="47" t="s">
        <v>286</v>
      </c>
      <c r="H18" s="47" t="s">
        <v>89</v>
      </c>
      <c r="I18" s="47" t="s">
        <v>89</v>
      </c>
      <c r="J18" s="48">
        <f t="shared" ref="J18" si="11">D18</f>
        <v>100</v>
      </c>
    </row>
    <row r="19" spans="1:11" ht="21" customHeight="1">
      <c r="A19" s="47">
        <v>112141502</v>
      </c>
      <c r="B19" s="47">
        <v>0</v>
      </c>
      <c r="C19" s="47">
        <v>2</v>
      </c>
      <c r="D19" s="47">
        <v>100</v>
      </c>
      <c r="E19" s="47" t="s">
        <v>53</v>
      </c>
      <c r="F19" s="47" t="s">
        <v>89</v>
      </c>
      <c r="G19" s="47">
        <v>1</v>
      </c>
      <c r="H19" s="47" t="s">
        <v>89</v>
      </c>
      <c r="I19" s="47" t="s">
        <v>89</v>
      </c>
      <c r="J19" s="48">
        <f t="shared" ref="J19" si="12">D19</f>
        <v>100</v>
      </c>
    </row>
    <row r="20" spans="1:11" ht="21" customHeight="1">
      <c r="A20" s="47">
        <v>112141509</v>
      </c>
      <c r="B20" s="47">
        <v>0</v>
      </c>
      <c r="C20" s="47">
        <v>1</v>
      </c>
      <c r="D20" s="47">
        <v>100</v>
      </c>
      <c r="E20" s="47" t="s">
        <v>53</v>
      </c>
      <c r="F20" s="47" t="s">
        <v>89</v>
      </c>
      <c r="G20" s="47">
        <v>1</v>
      </c>
      <c r="H20" s="47" t="s">
        <v>89</v>
      </c>
      <c r="I20" s="47" t="s">
        <v>89</v>
      </c>
      <c r="J20" s="48">
        <f t="shared" ref="J20:J21" si="13">D20</f>
        <v>100</v>
      </c>
    </row>
    <row r="21" spans="1:11" s="96" customFormat="1" ht="21" customHeight="1">
      <c r="A21" s="92">
        <v>112142100</v>
      </c>
      <c r="B21" s="92">
        <v>1</v>
      </c>
      <c r="C21" s="92" t="s">
        <v>53</v>
      </c>
      <c r="D21" s="92">
        <v>0</v>
      </c>
      <c r="E21" s="92" t="s">
        <v>53</v>
      </c>
      <c r="F21" s="92" t="s">
        <v>89</v>
      </c>
      <c r="G21" s="92">
        <v>1</v>
      </c>
      <c r="H21" s="92" t="s">
        <v>89</v>
      </c>
      <c r="I21" s="92" t="s">
        <v>89</v>
      </c>
      <c r="J21" s="92">
        <f t="shared" si="13"/>
        <v>0</v>
      </c>
      <c r="K21" s="94"/>
    </row>
    <row r="22" spans="1:11" s="96" customFormat="1" ht="21" customHeight="1">
      <c r="A22" s="92">
        <v>112142300</v>
      </c>
      <c r="B22" s="92">
        <v>1</v>
      </c>
      <c r="C22" s="92">
        <v>4</v>
      </c>
      <c r="D22" s="92">
        <v>0</v>
      </c>
      <c r="E22" s="92" t="s">
        <v>53</v>
      </c>
      <c r="F22" s="92" t="s">
        <v>89</v>
      </c>
      <c r="G22" s="92">
        <v>1</v>
      </c>
      <c r="H22" s="92" t="s">
        <v>89</v>
      </c>
      <c r="I22" s="92" t="s">
        <v>89</v>
      </c>
      <c r="J22" s="92">
        <f t="shared" ref="J22:J23" si="14">D22</f>
        <v>0</v>
      </c>
      <c r="K22" s="94"/>
    </row>
    <row r="23" spans="1:11" s="96" customFormat="1" ht="21" customHeight="1">
      <c r="A23" s="92">
        <v>112142301</v>
      </c>
      <c r="B23" s="92">
        <v>0</v>
      </c>
      <c r="C23" s="92">
        <v>3</v>
      </c>
      <c r="D23" s="92">
        <v>100</v>
      </c>
      <c r="E23" s="92" t="s">
        <v>53</v>
      </c>
      <c r="F23" s="92" t="s">
        <v>89</v>
      </c>
      <c r="G23" s="92">
        <v>1</v>
      </c>
      <c r="H23" s="92" t="s">
        <v>89</v>
      </c>
      <c r="I23" s="92" t="s">
        <v>89</v>
      </c>
      <c r="J23" s="92">
        <f t="shared" si="14"/>
        <v>100</v>
      </c>
      <c r="K23" s="94"/>
    </row>
    <row r="24" spans="1:11" s="96" customFormat="1" ht="21" customHeight="1">
      <c r="A24" s="92">
        <v>112142302</v>
      </c>
      <c r="B24" s="92">
        <v>0</v>
      </c>
      <c r="C24" s="92">
        <v>2</v>
      </c>
      <c r="D24" s="92">
        <v>100</v>
      </c>
      <c r="E24" s="92" t="s">
        <v>53</v>
      </c>
      <c r="F24" s="92" t="s">
        <v>89</v>
      </c>
      <c r="G24" s="92">
        <v>1</v>
      </c>
      <c r="H24" s="92" t="s">
        <v>89</v>
      </c>
      <c r="I24" s="92" t="s">
        <v>89</v>
      </c>
      <c r="J24" s="92">
        <f t="shared" ref="J24:J27" si="15">D24</f>
        <v>100</v>
      </c>
      <c r="K24" s="94"/>
    </row>
    <row r="25" spans="1:11" s="96" customFormat="1" ht="21" customHeight="1">
      <c r="A25" s="92">
        <v>112142303</v>
      </c>
      <c r="B25" s="92">
        <v>0</v>
      </c>
      <c r="C25" s="92">
        <v>1</v>
      </c>
      <c r="D25" s="92">
        <v>100</v>
      </c>
      <c r="E25" s="92" t="s">
        <v>53</v>
      </c>
      <c r="F25" s="92" t="s">
        <v>89</v>
      </c>
      <c r="G25" s="92">
        <v>1</v>
      </c>
      <c r="H25" s="92" t="s">
        <v>89</v>
      </c>
      <c r="I25" s="92" t="s">
        <v>89</v>
      </c>
      <c r="J25" s="92">
        <f t="shared" si="15"/>
        <v>100</v>
      </c>
      <c r="K25" s="94"/>
    </row>
    <row r="26" spans="1:11" s="96" customFormat="1" ht="21" customHeight="1">
      <c r="A26" s="92">
        <v>112142410</v>
      </c>
      <c r="B26" s="92">
        <v>1</v>
      </c>
      <c r="C26" s="92">
        <v>2</v>
      </c>
      <c r="D26" s="92">
        <v>0</v>
      </c>
      <c r="E26" s="92" t="s">
        <v>53</v>
      </c>
      <c r="F26" s="92" t="s">
        <v>89</v>
      </c>
      <c r="G26" s="92">
        <v>1</v>
      </c>
      <c r="H26" s="92" t="s">
        <v>89</v>
      </c>
      <c r="I26" s="92" t="s">
        <v>89</v>
      </c>
      <c r="J26" s="92">
        <f t="shared" si="15"/>
        <v>0</v>
      </c>
      <c r="K26" s="94"/>
    </row>
    <row r="27" spans="1:11" s="96" customFormat="1" ht="21" customHeight="1">
      <c r="A27" s="92">
        <v>112142411</v>
      </c>
      <c r="B27" s="92">
        <v>0</v>
      </c>
      <c r="C27" s="92">
        <v>1</v>
      </c>
      <c r="D27" s="92">
        <v>100</v>
      </c>
      <c r="E27" s="92" t="s">
        <v>53</v>
      </c>
      <c r="F27" s="92" t="s">
        <v>89</v>
      </c>
      <c r="G27" s="92">
        <v>1</v>
      </c>
      <c r="H27" s="92" t="s">
        <v>89</v>
      </c>
      <c r="I27" s="92" t="s">
        <v>89</v>
      </c>
      <c r="J27" s="92">
        <f t="shared" si="15"/>
        <v>100</v>
      </c>
      <c r="K27" s="94"/>
    </row>
    <row r="28" spans="1:11" s="96" customFormat="1" ht="21" customHeight="1">
      <c r="A28" s="92">
        <v>112142420</v>
      </c>
      <c r="B28" s="92">
        <v>1</v>
      </c>
      <c r="C28" s="92">
        <v>2</v>
      </c>
      <c r="D28" s="92">
        <v>0</v>
      </c>
      <c r="E28" s="92" t="s">
        <v>53</v>
      </c>
      <c r="F28" s="92" t="s">
        <v>89</v>
      </c>
      <c r="G28" s="92">
        <v>1</v>
      </c>
      <c r="H28" s="92" t="s">
        <v>89</v>
      </c>
      <c r="I28" s="92" t="s">
        <v>89</v>
      </c>
      <c r="J28" s="92">
        <f t="shared" ref="J28" si="16">D28</f>
        <v>0</v>
      </c>
      <c r="K28" s="94"/>
    </row>
    <row r="29" spans="1:11" s="96" customFormat="1" ht="21" customHeight="1">
      <c r="A29" s="92">
        <v>112142428</v>
      </c>
      <c r="B29" s="92">
        <v>0</v>
      </c>
      <c r="C29" s="92">
        <v>1</v>
      </c>
      <c r="D29" s="92">
        <v>100</v>
      </c>
      <c r="E29" s="92" t="s">
        <v>53</v>
      </c>
      <c r="F29" s="92" t="s">
        <v>89</v>
      </c>
      <c r="G29" s="92">
        <v>1</v>
      </c>
      <c r="H29" s="92" t="s">
        <v>89</v>
      </c>
      <c r="I29" s="92" t="s">
        <v>89</v>
      </c>
      <c r="J29" s="92">
        <f t="shared" ref="J29" si="17">D29</f>
        <v>100</v>
      </c>
      <c r="K29" s="94"/>
    </row>
    <row r="30" spans="1:11" s="96" customFormat="1" ht="21" customHeight="1">
      <c r="A30" s="92">
        <v>112142429</v>
      </c>
      <c r="B30" s="92">
        <v>1</v>
      </c>
      <c r="C30" s="92" t="s">
        <v>53</v>
      </c>
      <c r="D30" s="92">
        <v>0</v>
      </c>
      <c r="E30" s="92" t="s">
        <v>53</v>
      </c>
      <c r="F30" s="92" t="s">
        <v>89</v>
      </c>
      <c r="G30" s="92">
        <v>1</v>
      </c>
      <c r="H30" s="92" t="s">
        <v>89</v>
      </c>
      <c r="I30" s="92" t="s">
        <v>89</v>
      </c>
      <c r="J30" s="92">
        <f t="shared" ref="J30:J31" si="18">D30</f>
        <v>0</v>
      </c>
      <c r="K30" s="94"/>
    </row>
    <row r="31" spans="1:11" ht="21" customHeight="1">
      <c r="A31" s="47">
        <v>112143100</v>
      </c>
      <c r="B31" s="47">
        <v>1</v>
      </c>
      <c r="C31" s="47" t="s">
        <v>53</v>
      </c>
      <c r="D31" s="47">
        <v>0</v>
      </c>
      <c r="E31" s="47" t="s">
        <v>53</v>
      </c>
      <c r="F31" s="47" t="s">
        <v>89</v>
      </c>
      <c r="G31" s="47">
        <v>1</v>
      </c>
      <c r="H31" s="47" t="s">
        <v>89</v>
      </c>
      <c r="I31" s="47" t="s">
        <v>89</v>
      </c>
      <c r="J31" s="48">
        <f t="shared" si="18"/>
        <v>0</v>
      </c>
    </row>
    <row r="32" spans="1:11" ht="21" customHeight="1">
      <c r="A32" s="47">
        <v>112143200</v>
      </c>
      <c r="B32" s="47">
        <v>1</v>
      </c>
      <c r="C32" s="47">
        <v>2</v>
      </c>
      <c r="D32" s="47">
        <v>0</v>
      </c>
      <c r="E32" s="47" t="s">
        <v>53</v>
      </c>
      <c r="F32" s="47" t="s">
        <v>89</v>
      </c>
      <c r="G32" s="47">
        <v>1</v>
      </c>
      <c r="H32" s="47" t="s">
        <v>89</v>
      </c>
      <c r="I32" s="47" t="s">
        <v>89</v>
      </c>
      <c r="J32" s="48">
        <f t="shared" ref="J32:J33" si="19">D32</f>
        <v>0</v>
      </c>
    </row>
    <row r="33" spans="1:10" ht="21" customHeight="1">
      <c r="A33" s="47">
        <v>112143209</v>
      </c>
      <c r="B33" s="47">
        <v>0</v>
      </c>
      <c r="C33" s="47">
        <v>1</v>
      </c>
      <c r="D33" s="47">
        <v>100</v>
      </c>
      <c r="E33" s="47" t="s">
        <v>53</v>
      </c>
      <c r="F33" s="47" t="s">
        <v>89</v>
      </c>
      <c r="G33" s="47">
        <v>1</v>
      </c>
      <c r="H33" s="47" t="s">
        <v>89</v>
      </c>
      <c r="I33" s="47" t="s">
        <v>89</v>
      </c>
      <c r="J33" s="48">
        <f t="shared" si="19"/>
        <v>100</v>
      </c>
    </row>
    <row r="34" spans="1:10" ht="21" customHeight="1">
      <c r="A34" s="47">
        <v>112143210</v>
      </c>
      <c r="B34" s="47">
        <v>1</v>
      </c>
      <c r="C34" s="47" t="s">
        <v>53</v>
      </c>
      <c r="D34" s="47">
        <v>0</v>
      </c>
      <c r="E34" s="47" t="s">
        <v>53</v>
      </c>
      <c r="F34" s="47" t="s">
        <v>89</v>
      </c>
      <c r="G34" s="47">
        <v>1</v>
      </c>
      <c r="H34" s="47" t="s">
        <v>89</v>
      </c>
      <c r="I34" s="47" t="s">
        <v>89</v>
      </c>
      <c r="J34" s="48">
        <f t="shared" ref="J34:J40" si="20">D34</f>
        <v>0</v>
      </c>
    </row>
    <row r="35" spans="1:10" ht="21" customHeight="1">
      <c r="A35" s="47">
        <v>112143300</v>
      </c>
      <c r="B35" s="47">
        <v>1</v>
      </c>
      <c r="C35" s="47">
        <v>4</v>
      </c>
      <c r="D35" s="47">
        <v>0</v>
      </c>
      <c r="E35" s="47" t="s">
        <v>53</v>
      </c>
      <c r="F35" s="47" t="s">
        <v>89</v>
      </c>
      <c r="G35" s="47">
        <v>1</v>
      </c>
      <c r="H35" s="47" t="s">
        <v>89</v>
      </c>
      <c r="I35" s="47" t="s">
        <v>89</v>
      </c>
      <c r="J35" s="48">
        <f t="shared" si="20"/>
        <v>0</v>
      </c>
    </row>
    <row r="36" spans="1:10" ht="21" customHeight="1">
      <c r="A36" s="47">
        <v>112143301</v>
      </c>
      <c r="B36" s="47">
        <v>0</v>
      </c>
      <c r="C36" s="47">
        <v>3</v>
      </c>
      <c r="D36" s="47">
        <v>100</v>
      </c>
      <c r="E36" s="47" t="s">
        <v>53</v>
      </c>
      <c r="F36" s="47" t="s">
        <v>89</v>
      </c>
      <c r="G36" s="47">
        <v>1</v>
      </c>
      <c r="H36" s="47" t="s">
        <v>89</v>
      </c>
      <c r="I36" s="47" t="s">
        <v>89</v>
      </c>
      <c r="J36" s="48">
        <f t="shared" ref="J36" si="21">D36</f>
        <v>100</v>
      </c>
    </row>
    <row r="37" spans="1:10" ht="21" customHeight="1">
      <c r="A37" s="47">
        <v>112143302</v>
      </c>
      <c r="B37" s="47">
        <v>0</v>
      </c>
      <c r="C37" s="47">
        <v>2</v>
      </c>
      <c r="D37" s="47">
        <v>100</v>
      </c>
      <c r="E37" s="47" t="s">
        <v>53</v>
      </c>
      <c r="F37" s="47" t="s">
        <v>89</v>
      </c>
      <c r="G37" s="47" t="s">
        <v>241</v>
      </c>
      <c r="H37" s="47">
        <v>3</v>
      </c>
      <c r="I37" s="47" t="s">
        <v>89</v>
      </c>
      <c r="J37" s="48">
        <f t="shared" ref="J37" si="22">D37</f>
        <v>100</v>
      </c>
    </row>
    <row r="38" spans="1:10" ht="21" customHeight="1">
      <c r="A38" s="47">
        <v>112143303</v>
      </c>
      <c r="B38" s="47">
        <v>0</v>
      </c>
      <c r="C38" s="47">
        <v>1</v>
      </c>
      <c r="D38" s="47">
        <v>100</v>
      </c>
      <c r="E38" s="47" t="s">
        <v>53</v>
      </c>
      <c r="F38" s="47" t="s">
        <v>89</v>
      </c>
      <c r="G38" s="47" t="s">
        <v>168</v>
      </c>
      <c r="H38" s="47" t="s">
        <v>89</v>
      </c>
      <c r="I38" s="47" t="s">
        <v>89</v>
      </c>
      <c r="J38" s="48">
        <f t="shared" ref="J38" si="23">D38</f>
        <v>100</v>
      </c>
    </row>
    <row r="39" spans="1:10" ht="21" customHeight="1">
      <c r="A39" s="47">
        <v>112143309</v>
      </c>
      <c r="B39" s="47">
        <v>1</v>
      </c>
      <c r="C39" s="47" t="s">
        <v>242</v>
      </c>
      <c r="D39" s="47">
        <v>0</v>
      </c>
      <c r="E39" s="47" t="s">
        <v>53</v>
      </c>
      <c r="F39" s="47" t="s">
        <v>89</v>
      </c>
      <c r="G39" s="47">
        <v>1</v>
      </c>
      <c r="H39" s="47" t="s">
        <v>89</v>
      </c>
      <c r="I39" s="47" t="s">
        <v>89</v>
      </c>
      <c r="J39" s="48">
        <f t="shared" si="20"/>
        <v>0</v>
      </c>
    </row>
    <row r="40" spans="1:10" ht="21" customHeight="1">
      <c r="A40" s="47">
        <v>112143310</v>
      </c>
      <c r="B40" s="47">
        <v>1</v>
      </c>
      <c r="C40" s="47">
        <v>2</v>
      </c>
      <c r="D40" s="47">
        <v>0</v>
      </c>
      <c r="E40" s="47" t="s">
        <v>53</v>
      </c>
      <c r="F40" s="47" t="s">
        <v>89</v>
      </c>
      <c r="G40" s="47">
        <v>1</v>
      </c>
      <c r="H40" s="47" t="s">
        <v>89</v>
      </c>
      <c r="I40" s="47" t="s">
        <v>89</v>
      </c>
      <c r="J40" s="48">
        <f t="shared" si="20"/>
        <v>0</v>
      </c>
    </row>
    <row r="41" spans="1:10" ht="21" customHeight="1">
      <c r="A41" s="47">
        <v>112143319</v>
      </c>
      <c r="B41" s="47">
        <v>0</v>
      </c>
      <c r="C41" s="47">
        <v>1</v>
      </c>
      <c r="D41" s="47">
        <v>100</v>
      </c>
      <c r="E41" s="47" t="s">
        <v>53</v>
      </c>
      <c r="F41" s="47" t="s">
        <v>89</v>
      </c>
      <c r="G41" s="47">
        <v>1</v>
      </c>
      <c r="H41" s="47" t="s">
        <v>89</v>
      </c>
      <c r="I41" s="47" t="s">
        <v>89</v>
      </c>
      <c r="J41" s="48">
        <f t="shared" ref="J41:J43" si="24">D41</f>
        <v>100</v>
      </c>
    </row>
    <row r="42" spans="1:10" ht="21" customHeight="1">
      <c r="A42" s="47">
        <v>112143400</v>
      </c>
      <c r="B42" s="47">
        <v>1</v>
      </c>
      <c r="C42" s="47">
        <v>4</v>
      </c>
      <c r="D42" s="47">
        <v>0</v>
      </c>
      <c r="E42" s="47" t="s">
        <v>53</v>
      </c>
      <c r="F42" s="47" t="s">
        <v>89</v>
      </c>
      <c r="G42" s="47">
        <v>1</v>
      </c>
      <c r="H42" s="47" t="s">
        <v>89</v>
      </c>
      <c r="I42" s="47" t="s">
        <v>89</v>
      </c>
      <c r="J42" s="48">
        <f t="shared" si="24"/>
        <v>0</v>
      </c>
    </row>
    <row r="43" spans="1:10" ht="21" customHeight="1">
      <c r="A43" s="47">
        <v>112143401</v>
      </c>
      <c r="B43" s="47">
        <v>0</v>
      </c>
      <c r="C43" s="47">
        <v>3</v>
      </c>
      <c r="D43" s="47">
        <v>100</v>
      </c>
      <c r="E43" s="47" t="s">
        <v>53</v>
      </c>
      <c r="F43" s="47" t="s">
        <v>89</v>
      </c>
      <c r="G43" s="47">
        <v>1</v>
      </c>
      <c r="H43" s="47" t="s">
        <v>89</v>
      </c>
      <c r="I43" s="47" t="s">
        <v>89</v>
      </c>
      <c r="J43" s="48">
        <f t="shared" si="24"/>
        <v>100</v>
      </c>
    </row>
    <row r="44" spans="1:10" ht="21" customHeight="1">
      <c r="A44" s="47">
        <v>112143407</v>
      </c>
      <c r="B44" s="47">
        <v>0</v>
      </c>
      <c r="C44" s="47">
        <v>2</v>
      </c>
      <c r="D44" s="47">
        <v>100</v>
      </c>
      <c r="E44" s="47" t="s">
        <v>53</v>
      </c>
      <c r="F44" s="47" t="s">
        <v>89</v>
      </c>
      <c r="G44" s="47">
        <v>1</v>
      </c>
      <c r="H44" s="47" t="s">
        <v>89</v>
      </c>
      <c r="I44" s="47" t="s">
        <v>89</v>
      </c>
      <c r="J44" s="48">
        <f t="shared" ref="J44" si="25">D44</f>
        <v>100</v>
      </c>
    </row>
    <row r="45" spans="1:10" ht="21" customHeight="1">
      <c r="A45" s="47">
        <v>112143408</v>
      </c>
      <c r="B45" s="47">
        <v>0</v>
      </c>
      <c r="C45" s="47">
        <v>1</v>
      </c>
      <c r="D45" s="47">
        <v>100</v>
      </c>
      <c r="E45" s="47" t="s">
        <v>53</v>
      </c>
      <c r="F45" s="47" t="s">
        <v>89</v>
      </c>
      <c r="G45" s="47">
        <v>1</v>
      </c>
      <c r="H45" s="47" t="s">
        <v>89</v>
      </c>
      <c r="I45" s="47" t="s">
        <v>89</v>
      </c>
      <c r="J45" s="48">
        <f>D45</f>
        <v>100</v>
      </c>
    </row>
    <row r="46" spans="1:10" ht="21" customHeight="1">
      <c r="A46" s="47">
        <v>112143409</v>
      </c>
      <c r="B46" s="47">
        <v>1</v>
      </c>
      <c r="C46" s="47" t="s">
        <v>221</v>
      </c>
      <c r="D46" s="47">
        <v>0</v>
      </c>
      <c r="E46" s="47" t="s">
        <v>53</v>
      </c>
      <c r="F46" s="47" t="s">
        <v>89</v>
      </c>
      <c r="G46" s="47">
        <v>1</v>
      </c>
      <c r="H46" s="47" t="s">
        <v>89</v>
      </c>
      <c r="I46" s="47" t="s">
        <v>89</v>
      </c>
      <c r="J46" s="48">
        <f t="shared" ref="J46" si="26">D46</f>
        <v>0</v>
      </c>
    </row>
  </sheetData>
  <autoFilter ref="A1:G1"/>
  <phoneticPr fontId="5"/>
  <conditionalFormatting sqref="K47:K1048576 K1:K2">
    <cfRule type="duplicateValues" dxfId="44" priority="46"/>
  </conditionalFormatting>
  <conditionalFormatting sqref="K10">
    <cfRule type="duplicateValues" dxfId="43" priority="45"/>
  </conditionalFormatting>
  <conditionalFormatting sqref="K16">
    <cfRule type="duplicateValues" dxfId="42" priority="44"/>
  </conditionalFormatting>
  <conditionalFormatting sqref="K17">
    <cfRule type="duplicateValues" dxfId="41" priority="43"/>
  </conditionalFormatting>
  <conditionalFormatting sqref="K18">
    <cfRule type="duplicateValues" dxfId="40" priority="42"/>
  </conditionalFormatting>
  <conditionalFormatting sqref="K19">
    <cfRule type="duplicateValues" dxfId="39" priority="41"/>
  </conditionalFormatting>
  <conditionalFormatting sqref="K20">
    <cfRule type="duplicateValues" dxfId="38" priority="40"/>
  </conditionalFormatting>
  <conditionalFormatting sqref="K6">
    <cfRule type="duplicateValues" dxfId="37" priority="39"/>
  </conditionalFormatting>
  <conditionalFormatting sqref="K7">
    <cfRule type="duplicateValues" dxfId="36" priority="38"/>
  </conditionalFormatting>
  <conditionalFormatting sqref="K15">
    <cfRule type="duplicateValues" dxfId="35" priority="37"/>
  </conditionalFormatting>
  <conditionalFormatting sqref="K14">
    <cfRule type="duplicateValues" dxfId="34" priority="36"/>
  </conditionalFormatting>
  <conditionalFormatting sqref="K4">
    <cfRule type="duplicateValues" dxfId="33" priority="35"/>
  </conditionalFormatting>
  <conditionalFormatting sqref="K5">
    <cfRule type="duplicateValues" dxfId="32" priority="34"/>
  </conditionalFormatting>
  <conditionalFormatting sqref="K21">
    <cfRule type="duplicateValues" dxfId="31" priority="33"/>
  </conditionalFormatting>
  <conditionalFormatting sqref="K22">
    <cfRule type="duplicateValues" dxfId="30" priority="32"/>
  </conditionalFormatting>
  <conditionalFormatting sqref="K23">
    <cfRule type="duplicateValues" dxfId="29" priority="31"/>
  </conditionalFormatting>
  <conditionalFormatting sqref="K24">
    <cfRule type="duplicateValues" dxfId="28" priority="30"/>
  </conditionalFormatting>
  <conditionalFormatting sqref="K25">
    <cfRule type="duplicateValues" dxfId="27" priority="29"/>
  </conditionalFormatting>
  <conditionalFormatting sqref="K26">
    <cfRule type="duplicateValues" dxfId="26" priority="28"/>
  </conditionalFormatting>
  <conditionalFormatting sqref="K27">
    <cfRule type="duplicateValues" dxfId="25" priority="27"/>
  </conditionalFormatting>
  <conditionalFormatting sqref="K28">
    <cfRule type="duplicateValues" dxfId="24" priority="26"/>
  </conditionalFormatting>
  <conditionalFormatting sqref="K29">
    <cfRule type="duplicateValues" dxfId="23" priority="25"/>
  </conditionalFormatting>
  <conditionalFormatting sqref="K30">
    <cfRule type="duplicateValues" dxfId="22" priority="24"/>
  </conditionalFormatting>
  <conditionalFormatting sqref="K31">
    <cfRule type="duplicateValues" dxfId="21" priority="23"/>
  </conditionalFormatting>
  <conditionalFormatting sqref="K32">
    <cfRule type="duplicateValues" dxfId="20" priority="22"/>
  </conditionalFormatting>
  <conditionalFormatting sqref="K33">
    <cfRule type="duplicateValues" dxfId="19" priority="21"/>
  </conditionalFormatting>
  <conditionalFormatting sqref="K34">
    <cfRule type="duplicateValues" dxfId="18" priority="20"/>
  </conditionalFormatting>
  <conditionalFormatting sqref="K35">
    <cfRule type="duplicateValues" dxfId="17" priority="19"/>
  </conditionalFormatting>
  <conditionalFormatting sqref="K39">
    <cfRule type="duplicateValues" dxfId="16" priority="18"/>
  </conditionalFormatting>
  <conditionalFormatting sqref="K40">
    <cfRule type="duplicateValues" dxfId="15" priority="17"/>
  </conditionalFormatting>
  <conditionalFormatting sqref="K41">
    <cfRule type="duplicateValues" dxfId="14" priority="16"/>
  </conditionalFormatting>
  <conditionalFormatting sqref="K42">
    <cfRule type="duplicateValues" dxfId="13" priority="15"/>
  </conditionalFormatting>
  <conditionalFormatting sqref="K43">
    <cfRule type="duplicateValues" dxfId="12" priority="14"/>
  </conditionalFormatting>
  <conditionalFormatting sqref="K45">
    <cfRule type="duplicateValues" dxfId="11" priority="13"/>
  </conditionalFormatting>
  <conditionalFormatting sqref="K46">
    <cfRule type="duplicateValues" dxfId="10" priority="12"/>
  </conditionalFormatting>
  <conditionalFormatting sqref="K44">
    <cfRule type="duplicateValues" dxfId="9" priority="11"/>
  </conditionalFormatting>
  <conditionalFormatting sqref="K36">
    <cfRule type="duplicateValues" dxfId="8" priority="10"/>
  </conditionalFormatting>
  <conditionalFormatting sqref="K37">
    <cfRule type="duplicateValues" dxfId="7" priority="9"/>
  </conditionalFormatting>
  <conditionalFormatting sqref="K38">
    <cfRule type="duplicateValues" dxfId="6" priority="8"/>
  </conditionalFormatting>
  <conditionalFormatting sqref="K8">
    <cfRule type="duplicateValues" dxfId="5" priority="7"/>
  </conditionalFormatting>
  <conditionalFormatting sqref="K12">
    <cfRule type="duplicateValues" dxfId="4" priority="5"/>
  </conditionalFormatting>
  <conditionalFormatting sqref="K11">
    <cfRule type="duplicateValues" dxfId="3" priority="4"/>
  </conditionalFormatting>
  <conditionalFormatting sqref="K13">
    <cfRule type="duplicateValues" dxfId="2" priority="3"/>
  </conditionalFormatting>
  <conditionalFormatting sqref="K3">
    <cfRule type="duplicateValues" dxfId="1" priority="2"/>
  </conditionalFormatting>
  <conditionalFormatting sqref="K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tabSelected="1" zoomScale="75" zoomScaleNormal="75" zoomScalePageLayoutView="75" workbookViewId="0">
      <selection activeCell="G4" sqref="G4:G11"/>
    </sheetView>
  </sheetViews>
  <sheetFormatPr baseColWidth="12" defaultRowHeight="18" x14ac:dyDescent="0"/>
  <cols>
    <col min="17" max="18" width="19" bestFit="1" customWidth="1"/>
  </cols>
  <sheetData>
    <row r="1" spans="1:18">
      <c r="A1" s="100" t="s">
        <v>153</v>
      </c>
      <c r="B1" s="100" t="s">
        <v>332</v>
      </c>
      <c r="C1" s="101" t="s">
        <v>333</v>
      </c>
      <c r="D1" s="100" t="s">
        <v>334</v>
      </c>
      <c r="E1" s="64" t="s">
        <v>335</v>
      </c>
      <c r="F1" s="100" t="s">
        <v>336</v>
      </c>
      <c r="G1" s="100" t="s">
        <v>158</v>
      </c>
      <c r="H1" s="100" t="s">
        <v>156</v>
      </c>
      <c r="I1" s="100" t="s">
        <v>337</v>
      </c>
      <c r="J1" s="100" t="s">
        <v>157</v>
      </c>
      <c r="K1" s="100" t="s">
        <v>166</v>
      </c>
      <c r="L1" s="100" t="s">
        <v>338</v>
      </c>
      <c r="M1" s="100" t="s">
        <v>40</v>
      </c>
      <c r="N1" s="100" t="s">
        <v>42</v>
      </c>
      <c r="O1" s="100" t="s">
        <v>44</v>
      </c>
      <c r="P1" s="100" t="s">
        <v>46</v>
      </c>
      <c r="Q1" s="100" t="s">
        <v>159</v>
      </c>
      <c r="R1" s="100" t="s">
        <v>339</v>
      </c>
    </row>
    <row r="2" spans="1:18">
      <c r="A2" s="120">
        <v>11214</v>
      </c>
      <c r="B2" s="120">
        <v>1</v>
      </c>
      <c r="C2" s="120" t="str">
        <f t="shared" ref="C2" si="0">A2&amp; "_"&amp;B2</f>
        <v>11214_1</v>
      </c>
      <c r="D2" s="102" t="str">
        <f>VLOOKUP(C2,[2]stages!$A:$AE,31,FALSE)</f>
        <v>singleonly</v>
      </c>
      <c r="E2" s="120">
        <v>1</v>
      </c>
      <c r="F2" s="120">
        <v>200</v>
      </c>
      <c r="G2" s="120">
        <v>100</v>
      </c>
      <c r="H2" s="120" t="s">
        <v>160</v>
      </c>
      <c r="I2" s="120">
        <v>1</v>
      </c>
      <c r="J2" s="120">
        <v>1</v>
      </c>
      <c r="K2" s="120">
        <v>1</v>
      </c>
      <c r="L2" s="120">
        <v>0</v>
      </c>
      <c r="M2" s="120">
        <v>0</v>
      </c>
      <c r="N2" s="120">
        <v>0</v>
      </c>
      <c r="O2" s="120">
        <v>0</v>
      </c>
      <c r="P2" s="120">
        <v>1</v>
      </c>
      <c r="Q2" s="120" t="s">
        <v>161</v>
      </c>
      <c r="R2" s="120" t="s">
        <v>162</v>
      </c>
    </row>
    <row r="3" spans="1:18">
      <c r="A3" s="120">
        <v>11214</v>
      </c>
      <c r="B3" s="120">
        <v>3</v>
      </c>
      <c r="C3" s="120" t="str">
        <f t="shared" ref="C3:C5" si="1">A3&amp; "_"&amp;B3</f>
        <v>11214_3</v>
      </c>
      <c r="D3" s="102" t="str">
        <f>VLOOKUP(C3,[2]stages!$A:$AE,31,FALSE)</f>
        <v>singleonly</v>
      </c>
      <c r="E3" s="120">
        <v>2</v>
      </c>
      <c r="F3" s="120">
        <v>200</v>
      </c>
      <c r="G3" s="120">
        <v>100</v>
      </c>
      <c r="H3" s="120" t="s">
        <v>160</v>
      </c>
      <c r="I3" s="120">
        <v>1</v>
      </c>
      <c r="J3" s="120">
        <v>1</v>
      </c>
      <c r="K3" s="120">
        <v>1</v>
      </c>
      <c r="L3" s="120">
        <v>0</v>
      </c>
      <c r="M3" s="120">
        <v>0</v>
      </c>
      <c r="N3" s="120">
        <v>0</v>
      </c>
      <c r="O3" s="120">
        <v>0</v>
      </c>
      <c r="P3" s="120">
        <v>1</v>
      </c>
      <c r="Q3" s="120" t="s">
        <v>161</v>
      </c>
      <c r="R3" s="120" t="s">
        <v>162</v>
      </c>
    </row>
    <row r="4" spans="1:18">
      <c r="A4" s="120">
        <v>11215</v>
      </c>
      <c r="B4" s="120">
        <v>1</v>
      </c>
      <c r="C4" s="120" t="str">
        <f t="shared" si="1"/>
        <v>11215_1</v>
      </c>
      <c r="D4" s="102" t="str">
        <f>VLOOKUP(C4,[2]stages!$A:$AE,31,FALSE)</f>
        <v>everyone</v>
      </c>
      <c r="E4" s="120">
        <v>1</v>
      </c>
      <c r="F4" s="120">
        <v>333</v>
      </c>
      <c r="G4" s="120">
        <v>875</v>
      </c>
      <c r="H4" s="120" t="s">
        <v>330</v>
      </c>
      <c r="I4" s="120">
        <v>1</v>
      </c>
      <c r="J4" s="120">
        <v>1</v>
      </c>
      <c r="K4" s="120">
        <v>1</v>
      </c>
      <c r="L4" s="120">
        <v>0</v>
      </c>
      <c r="M4" s="120">
        <v>0</v>
      </c>
      <c r="N4" s="120">
        <v>0</v>
      </c>
      <c r="O4" s="120">
        <v>0</v>
      </c>
      <c r="P4" s="120">
        <v>1</v>
      </c>
      <c r="Q4" s="120" t="s">
        <v>161</v>
      </c>
      <c r="R4" s="120" t="s">
        <v>162</v>
      </c>
    </row>
    <row r="5" spans="1:18">
      <c r="A5" s="120">
        <v>11215</v>
      </c>
      <c r="B5" s="120">
        <v>1</v>
      </c>
      <c r="C5" s="121" t="str">
        <f t="shared" si="1"/>
        <v>11215_1</v>
      </c>
      <c r="D5" s="69" t="str">
        <f>VLOOKUP(C5,[2]stages!$A:$AE,31,FALSE)</f>
        <v>everyone</v>
      </c>
      <c r="E5" s="120">
        <v>2</v>
      </c>
      <c r="F5" s="121">
        <v>337</v>
      </c>
      <c r="G5" s="120">
        <v>875</v>
      </c>
      <c r="H5" s="121" t="s">
        <v>330</v>
      </c>
      <c r="I5" s="121">
        <v>1</v>
      </c>
      <c r="J5" s="121">
        <v>1</v>
      </c>
      <c r="K5" s="121">
        <v>1</v>
      </c>
      <c r="L5" s="121">
        <v>0</v>
      </c>
      <c r="M5" s="121">
        <v>0</v>
      </c>
      <c r="N5" s="121">
        <v>0</v>
      </c>
      <c r="O5" s="121">
        <v>0</v>
      </c>
      <c r="P5" s="121">
        <v>1</v>
      </c>
      <c r="Q5" s="121" t="s">
        <v>161</v>
      </c>
      <c r="R5" s="121" t="s">
        <v>162</v>
      </c>
    </row>
    <row r="6" spans="1:18">
      <c r="A6" s="120">
        <v>11215</v>
      </c>
      <c r="B6" s="120">
        <v>1</v>
      </c>
      <c r="C6" s="120" t="str">
        <f>A6&amp; "_"&amp;B6</f>
        <v>11215_1</v>
      </c>
      <c r="D6" s="102" t="str">
        <f>VLOOKUP(C6,[2]stages!$A:$AE,31,FALSE)</f>
        <v>everyone</v>
      </c>
      <c r="E6" s="120">
        <v>3</v>
      </c>
      <c r="F6" s="120">
        <v>341</v>
      </c>
      <c r="G6" s="120">
        <v>875</v>
      </c>
      <c r="H6" s="120" t="s">
        <v>330</v>
      </c>
      <c r="I6" s="120">
        <v>1</v>
      </c>
      <c r="J6" s="120">
        <v>1</v>
      </c>
      <c r="K6" s="120">
        <v>1</v>
      </c>
      <c r="L6" s="120">
        <v>0</v>
      </c>
      <c r="M6" s="120">
        <v>0</v>
      </c>
      <c r="N6" s="120">
        <v>0</v>
      </c>
      <c r="O6" s="120">
        <v>0</v>
      </c>
      <c r="P6" s="120">
        <v>1</v>
      </c>
      <c r="Q6" s="120" t="s">
        <v>161</v>
      </c>
      <c r="R6" s="120" t="s">
        <v>162</v>
      </c>
    </row>
    <row r="7" spans="1:18">
      <c r="A7" s="121">
        <v>11215</v>
      </c>
      <c r="B7" s="121">
        <v>1</v>
      </c>
      <c r="C7" s="121" t="str">
        <f t="shared" ref="C7:C9" si="2">A7&amp; "_"&amp;B7</f>
        <v>11215_1</v>
      </c>
      <c r="D7" s="69" t="str">
        <f>VLOOKUP(C7,[2]stages!$A:$AE,31,FALSE)</f>
        <v>everyone</v>
      </c>
      <c r="E7" s="120">
        <v>4</v>
      </c>
      <c r="F7" s="121">
        <v>345</v>
      </c>
      <c r="G7" s="120">
        <v>875</v>
      </c>
      <c r="H7" s="121" t="s">
        <v>330</v>
      </c>
      <c r="I7" s="121">
        <v>1</v>
      </c>
      <c r="J7" s="121">
        <v>1</v>
      </c>
      <c r="K7" s="121">
        <v>1</v>
      </c>
      <c r="L7" s="121">
        <v>0</v>
      </c>
      <c r="M7" s="121">
        <v>0</v>
      </c>
      <c r="N7" s="121">
        <v>0</v>
      </c>
      <c r="O7" s="121">
        <v>0</v>
      </c>
      <c r="P7" s="121">
        <v>1</v>
      </c>
      <c r="Q7" s="121" t="s">
        <v>161</v>
      </c>
      <c r="R7" s="121" t="s">
        <v>162</v>
      </c>
    </row>
    <row r="8" spans="1:18">
      <c r="A8" s="120">
        <v>11215</v>
      </c>
      <c r="B8" s="120">
        <v>1</v>
      </c>
      <c r="C8" s="120" t="str">
        <f t="shared" si="2"/>
        <v>11215_1</v>
      </c>
      <c r="D8" s="102" t="str">
        <f>VLOOKUP(C8,[2]stages!$A:$AE,31,FALSE)</f>
        <v>everyone</v>
      </c>
      <c r="E8" s="120">
        <v>5</v>
      </c>
      <c r="F8" s="120">
        <v>520</v>
      </c>
      <c r="G8" s="120">
        <v>1625</v>
      </c>
      <c r="H8" s="120" t="s">
        <v>330</v>
      </c>
      <c r="I8" s="120">
        <v>1</v>
      </c>
      <c r="J8" s="120">
        <v>1</v>
      </c>
      <c r="K8" s="120">
        <v>1</v>
      </c>
      <c r="L8" s="120">
        <v>0</v>
      </c>
      <c r="M8" s="120">
        <v>0</v>
      </c>
      <c r="N8" s="120">
        <v>0</v>
      </c>
      <c r="O8" s="120">
        <v>0</v>
      </c>
      <c r="P8" s="120">
        <v>1</v>
      </c>
      <c r="Q8" s="120" t="s">
        <v>161</v>
      </c>
      <c r="R8" s="120" t="s">
        <v>162</v>
      </c>
    </row>
    <row r="9" spans="1:18">
      <c r="A9" s="120">
        <v>11215</v>
      </c>
      <c r="B9" s="120">
        <v>1</v>
      </c>
      <c r="C9" s="121" t="str">
        <f t="shared" si="2"/>
        <v>11215_1</v>
      </c>
      <c r="D9" s="69" t="str">
        <f>VLOOKUP(C9,[2]stages!$A:$AE,31,FALSE)</f>
        <v>everyone</v>
      </c>
      <c r="E9" s="120">
        <v>6</v>
      </c>
      <c r="F9" s="121">
        <v>521</v>
      </c>
      <c r="G9" s="120">
        <v>1625</v>
      </c>
      <c r="H9" s="121" t="s">
        <v>330</v>
      </c>
      <c r="I9" s="121">
        <v>1</v>
      </c>
      <c r="J9" s="121">
        <v>1</v>
      </c>
      <c r="K9" s="121">
        <v>1</v>
      </c>
      <c r="L9" s="121">
        <v>0</v>
      </c>
      <c r="M9" s="121">
        <v>0</v>
      </c>
      <c r="N9" s="121">
        <v>0</v>
      </c>
      <c r="O9" s="121">
        <v>0</v>
      </c>
      <c r="P9" s="121">
        <v>1</v>
      </c>
      <c r="Q9" s="121" t="s">
        <v>161</v>
      </c>
      <c r="R9" s="121" t="s">
        <v>162</v>
      </c>
    </row>
    <row r="10" spans="1:18">
      <c r="A10" s="120">
        <v>11215</v>
      </c>
      <c r="B10" s="120">
        <v>1</v>
      </c>
      <c r="C10" s="120" t="str">
        <f>A10&amp; "_"&amp;B10</f>
        <v>11215_1</v>
      </c>
      <c r="D10" s="102" t="str">
        <f>VLOOKUP(C10,[2]stages!$A:$AE,31,FALSE)</f>
        <v>everyone</v>
      </c>
      <c r="E10" s="120">
        <v>7</v>
      </c>
      <c r="F10" s="120">
        <v>522</v>
      </c>
      <c r="G10" s="120">
        <v>1625</v>
      </c>
      <c r="H10" s="120" t="s">
        <v>330</v>
      </c>
      <c r="I10" s="120">
        <v>1</v>
      </c>
      <c r="J10" s="120">
        <v>1</v>
      </c>
      <c r="K10" s="120">
        <v>1</v>
      </c>
      <c r="L10" s="120">
        <v>0</v>
      </c>
      <c r="M10" s="120">
        <v>0</v>
      </c>
      <c r="N10" s="120">
        <v>0</v>
      </c>
      <c r="O10" s="120">
        <v>0</v>
      </c>
      <c r="P10" s="120">
        <v>1</v>
      </c>
      <c r="Q10" s="120" t="s">
        <v>161</v>
      </c>
      <c r="R10" s="120" t="s">
        <v>162</v>
      </c>
    </row>
    <row r="11" spans="1:18">
      <c r="A11" s="121">
        <v>11215</v>
      </c>
      <c r="B11" s="121">
        <v>1</v>
      </c>
      <c r="C11" s="121" t="str">
        <f t="shared" ref="C11" si="3">A11&amp; "_"&amp;B11</f>
        <v>11215_1</v>
      </c>
      <c r="D11" s="69" t="str">
        <f>VLOOKUP(C11,[2]stages!$A:$AE,31,FALSE)</f>
        <v>everyone</v>
      </c>
      <c r="E11" s="121">
        <v>8</v>
      </c>
      <c r="F11" s="121">
        <v>523</v>
      </c>
      <c r="G11" s="121">
        <v>1625</v>
      </c>
      <c r="H11" s="121" t="s">
        <v>330</v>
      </c>
      <c r="I11" s="121">
        <v>1</v>
      </c>
      <c r="J11" s="121">
        <v>1</v>
      </c>
      <c r="K11" s="121">
        <v>1</v>
      </c>
      <c r="L11" s="121">
        <v>0</v>
      </c>
      <c r="M11" s="121">
        <v>0</v>
      </c>
      <c r="N11" s="121">
        <v>0</v>
      </c>
      <c r="O11" s="121">
        <v>0</v>
      </c>
      <c r="P11" s="121">
        <v>1</v>
      </c>
      <c r="Q11" s="121" t="s">
        <v>161</v>
      </c>
      <c r="R11" s="121" t="s">
        <v>162</v>
      </c>
    </row>
  </sheetData>
  <phoneticPr fontId="5"/>
  <dataValidations count="1">
    <dataValidation type="list" allowBlank="1" showInputMessage="1" showErrorMessage="1" sqref="H2:H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P4"/>
  <sheetViews>
    <sheetView showGridLines="0" workbookViewId="0">
      <pane ySplit="1" topLeftCell="A2" activePane="bottomLeft" state="frozen"/>
      <selection pane="bottomLeft" activeCell="N4" sqref="N4"/>
    </sheetView>
  </sheetViews>
  <sheetFormatPr baseColWidth="12" defaultColWidth="13" defaultRowHeight="18" outlineLevelCol="1" x14ac:dyDescent="0"/>
  <cols>
    <col min="2" max="2" width="13" style="115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2" width="11.1640625" customWidth="1"/>
    <col min="13" max="13" width="22.6640625" bestFit="1" customWidth="1"/>
    <col min="14" max="14" width="39.6640625" customWidth="1"/>
  </cols>
  <sheetData>
    <row r="1" spans="1:16">
      <c r="A1" s="103" t="s">
        <v>341</v>
      </c>
      <c r="B1" s="104" t="s">
        <v>342</v>
      </c>
      <c r="C1" s="105" t="s">
        <v>343</v>
      </c>
      <c r="D1" s="106" t="s">
        <v>344</v>
      </c>
      <c r="E1" s="106" t="s">
        <v>33</v>
      </c>
      <c r="F1" s="105" t="s">
        <v>332</v>
      </c>
      <c r="G1" s="106" t="s">
        <v>16</v>
      </c>
      <c r="H1" s="106" t="s">
        <v>33</v>
      </c>
      <c r="I1" s="105" t="s">
        <v>345</v>
      </c>
      <c r="J1" s="106" t="s">
        <v>346</v>
      </c>
      <c r="K1" s="105" t="s">
        <v>347</v>
      </c>
      <c r="L1" s="122" t="s">
        <v>348</v>
      </c>
      <c r="M1" s="122" t="s">
        <v>349</v>
      </c>
      <c r="N1" s="123" t="s">
        <v>350</v>
      </c>
      <c r="O1" s="124" t="s">
        <v>351</v>
      </c>
      <c r="P1" t="s">
        <v>352</v>
      </c>
    </row>
    <row r="2" spans="1:16" ht="29">
      <c r="A2" s="107" t="str">
        <f t="shared" ref="A2" si="0">C2&amp;"_"&amp;F2&amp;"_"&amp;J2</f>
        <v>11214_1_1</v>
      </c>
      <c r="B2" s="108" t="s">
        <v>353</v>
      </c>
      <c r="C2" s="121">
        <v>11214</v>
      </c>
      <c r="D2" s="120">
        <v>1</v>
      </c>
      <c r="E2" s="109" t="str">
        <f ca="1">VLOOKUP($C2,OFFSET([2]quests!$A$1,0,0,COUNTA([2]quests!$A:$A),MATCH(E$1,[2]quests!$1:$1,0)-MATCH($C$1,[2]quests!$1:$1,0)+1),MATCH(E$1,[2]quests!$1:$1,0)-MATCH($C$1,[2]quests!$1:$1,0)+1,FALSE)</f>
        <v>2015年クリスマスクエスト</v>
      </c>
      <c r="F2" s="110">
        <v>1</v>
      </c>
      <c r="G2" s="109" t="str">
        <f ca="1">VLOOKUP($C2&amp;"_"&amp;$F2,OFFSET([2]stages!$A$1,0,0,COUNTA([2]stages!$A:$A),MATCH(G$1,[2]stages!$2:$2,0)-MATCH("temp_stage",[2]stages!$2:$2,0)+1),MATCH(G$1,[2]stages!$2:$2,0)-MATCH("temp_stage",[2]stages!$2:$2,0)+1,FALSE)</f>
        <v>【ストーリー前編】勢いまかせ</v>
      </c>
      <c r="H2" s="109" t="str">
        <f ca="1">VLOOKUP($C2&amp;"_"&amp;$F2,OFFSET([2]stages!$A$1,0,0,COUNTA([2]stages!$A:$A),MATCH(H$1,[2]stages!$2:$2,0)-MATCH("temp_stage",[2]stages!$2:$2,0)+1),MATCH(H$1,[2]stages!$2:$2,0)-MATCH("temp_stage",[2]stages!$2:$2,0)+1,FALSE)</f>
        <v>2015年クリスマスクエスト</v>
      </c>
      <c r="I2" s="111">
        <v>0</v>
      </c>
      <c r="J2" s="110">
        <v>1</v>
      </c>
      <c r="K2" s="112" t="str">
        <f t="shared" ref="K2" si="1">C2&amp;TEXT(J2,"00")</f>
        <v>1121401</v>
      </c>
      <c r="L2" s="110" t="s">
        <v>127</v>
      </c>
      <c r="M2" s="113" t="s">
        <v>366</v>
      </c>
      <c r="N2" s="114" t="s">
        <v>369</v>
      </c>
      <c r="O2" s="57" t="s">
        <v>354</v>
      </c>
      <c r="P2" t="str">
        <f t="shared" ref="P2" si="2">IF(LEN(N2)&gt;64,"◉", "")</f>
        <v/>
      </c>
    </row>
    <row r="3" spans="1:16" ht="55">
      <c r="A3" s="107" t="str">
        <f t="shared" ref="A3" si="3">C3&amp;"_"&amp;F3&amp;"_"&amp;J3</f>
        <v>11214_3_2</v>
      </c>
      <c r="B3" s="108" t="s">
        <v>353</v>
      </c>
      <c r="C3" s="121">
        <v>11214</v>
      </c>
      <c r="D3" s="120">
        <v>1</v>
      </c>
      <c r="E3" s="109" t="str">
        <f ca="1">VLOOKUP($C3,OFFSET([2]quests!$A$1,0,0,COUNTA([2]quests!$A:$A),MATCH(E$1,[2]quests!$1:$1,0)-MATCH($C$1,[2]quests!$1:$1,0)+1),MATCH(E$1,[2]quests!$1:$1,0)-MATCH($C$1,[2]quests!$1:$1,0)+1,FALSE)</f>
        <v>2015年クリスマスクエスト</v>
      </c>
      <c r="F3" s="110">
        <v>3</v>
      </c>
      <c r="G3" s="109" t="str">
        <f ca="1">VLOOKUP($C3&amp;"_"&amp;$F3,OFFSET([2]stages!$A$1,0,0,COUNTA([2]stages!$A:$A),MATCH(G$1,[2]stages!$2:$2,0)-MATCH("temp_stage",[2]stages!$2:$2,0)+1),MATCH(G$1,[2]stages!$2:$2,0)-MATCH("temp_stage",[2]stages!$2:$2,0)+1,FALSE)</f>
        <v>【ストーリー後編】フィーバーの力</v>
      </c>
      <c r="H3" s="109" t="str">
        <f ca="1">VLOOKUP($C3&amp;"_"&amp;$F3,OFFSET([2]stages!$A$1,0,0,COUNTA([2]stages!$A:$A),MATCH(H$1,[2]stages!$2:$2,0)-MATCH("temp_stage",[2]stages!$2:$2,0)+1),MATCH(H$1,[2]stages!$2:$2,0)-MATCH("temp_stage",[2]stages!$2:$2,0)+1,FALSE)</f>
        <v>2015年クリスマスクエスト</v>
      </c>
      <c r="I3" s="111">
        <v>0</v>
      </c>
      <c r="J3" s="110">
        <v>2</v>
      </c>
      <c r="K3" s="112" t="str">
        <f t="shared" ref="K3" si="4">C3&amp;TEXT(J3,"00")</f>
        <v>1121402</v>
      </c>
      <c r="L3" s="110" t="s">
        <v>127</v>
      </c>
      <c r="M3" s="113" t="s">
        <v>368</v>
      </c>
      <c r="N3" s="114" t="s">
        <v>375</v>
      </c>
      <c r="O3" s="57" t="s">
        <v>354</v>
      </c>
      <c r="P3" t="str">
        <f t="shared" ref="P3" si="5">IF(LEN(N3)&gt;64,"◉", "")</f>
        <v/>
      </c>
    </row>
    <row r="4" spans="1:16" ht="29">
      <c r="A4" s="107" t="str">
        <f t="shared" ref="A4" si="6">C4&amp;"_"&amp;F4&amp;"_"&amp;J4</f>
        <v>11214_3_3</v>
      </c>
      <c r="B4" s="108" t="s">
        <v>367</v>
      </c>
      <c r="C4" s="121">
        <v>11214</v>
      </c>
      <c r="D4" s="120">
        <v>1</v>
      </c>
      <c r="E4" s="109" t="str">
        <f ca="1">VLOOKUP($C4,OFFSET([2]quests!$A$1,0,0,COUNTA([2]quests!$A:$A),MATCH(E$1,[2]quests!$1:$1,0)-MATCH($C$1,[2]quests!$1:$1,0)+1),MATCH(E$1,[2]quests!$1:$1,0)-MATCH($C$1,[2]quests!$1:$1,0)+1,FALSE)</f>
        <v>2015年クリスマスクエスト</v>
      </c>
      <c r="F4" s="110">
        <v>3</v>
      </c>
      <c r="G4" s="109" t="str">
        <f ca="1">VLOOKUP($C4&amp;"_"&amp;$F4,OFFSET([2]stages!$A$1,0,0,COUNTA([2]stages!$A:$A),MATCH(G$1,[2]stages!$2:$2,0)-MATCH("temp_stage",[2]stages!$2:$2,0)+1),MATCH(G$1,[2]stages!$2:$2,0)-MATCH("temp_stage",[2]stages!$2:$2,0)+1,FALSE)</f>
        <v>【ストーリー後編】フィーバーの力</v>
      </c>
      <c r="H4" s="109" t="str">
        <f ca="1">VLOOKUP($C4&amp;"_"&amp;$F4,OFFSET([2]stages!$A$1,0,0,COUNTA([2]stages!$A:$A),MATCH(H$1,[2]stages!$2:$2,0)-MATCH("temp_stage",[2]stages!$2:$2,0)+1),MATCH(H$1,[2]stages!$2:$2,0)-MATCH("temp_stage",[2]stages!$2:$2,0)+1,FALSE)</f>
        <v>2015年クリスマスクエスト</v>
      </c>
      <c r="I4" s="111">
        <v>0</v>
      </c>
      <c r="J4" s="110">
        <v>3</v>
      </c>
      <c r="K4" s="112" t="str">
        <f t="shared" ref="K4" si="7">C4&amp;TEXT(J4,"00")</f>
        <v>1121403</v>
      </c>
      <c r="L4" s="110" t="s">
        <v>127</v>
      </c>
      <c r="M4" s="113" t="s">
        <v>370</v>
      </c>
      <c r="N4" s="114" t="s">
        <v>371</v>
      </c>
      <c r="O4" s="57" t="s">
        <v>354</v>
      </c>
      <c r="P4" t="str">
        <f t="shared" ref="P4" si="8">IF(LEN(N4)&gt;64,"◉", "")</f>
        <v/>
      </c>
    </row>
  </sheetData>
  <phoneticPr fontId="5"/>
  <dataValidations count="1">
    <dataValidation type="list" allowBlank="1" showInputMessage="1" showErrorMessage="1" sqref="B2:B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2015-12-11T10:48:30Z</dcterms:modified>
</cp:coreProperties>
</file>