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3320" yWindow="120" windowWidth="25040" windowHeight="15440" tabRatio="943" activeTab="5"/>
  </bookViews>
  <sheets>
    <sheet name="output" sheetId="103" r:id="rId1"/>
    <sheet name="gacha_conf" sheetId="107" r:id="rId2"/>
    <sheet name="レアガチャ出現率(新ユニット追加）" sheetId="106" r:id="rId3"/>
    <sheet name="gacha_select_tables" sheetId="82" r:id="rId4"/>
    <sheet name="gacha_settle_tables" sheetId="96" r:id="rId5"/>
    <sheet name="gacha_bonus_tables" sheetId="98" r:id="rId6"/>
    <sheet name="bug_conf_sheet" sheetId="104" r:id="rId7"/>
    <sheet name="check_sheet" sheetId="105" r:id="rId8"/>
  </sheets>
  <externalReferences>
    <externalReference r:id="rId9"/>
  </externalReferences>
  <definedNames>
    <definedName name="_xlnm._FilterDatabase" localSheetId="5" hidden="1">gacha_bonus_tables!$B$1:$G$1</definedName>
    <definedName name="_xlnm._FilterDatabase" localSheetId="3" hidden="1">gacha_select_tables!$A$1:$S$399</definedName>
    <definedName name="_xlnm._FilterDatabase" localSheetId="4" hidden="1">gacha_settle_tables!$A$1:$R$58</definedName>
    <definedName name="COLORS">[1]属性!$A$2:$A$6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82" l="1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381" i="82"/>
  <c r="B382" i="82"/>
  <c r="B383" i="82"/>
  <c r="B384" i="82"/>
  <c r="B385" i="82"/>
  <c r="B386" i="82"/>
  <c r="B387" i="82"/>
  <c r="B388" i="82"/>
  <c r="B389" i="82"/>
  <c r="B390" i="82"/>
  <c r="B391" i="82"/>
  <c r="B392" i="82"/>
  <c r="B393" i="82"/>
  <c r="B394" i="82"/>
  <c r="B395" i="82"/>
  <c r="B396" i="82"/>
  <c r="B397" i="82"/>
  <c r="B398" i="82"/>
  <c r="B399" i="82"/>
  <c r="D16" i="105"/>
  <c r="J27" i="107"/>
  <c r="A16" i="105"/>
  <c r="J26" i="107"/>
  <c r="H2" i="82"/>
  <c r="I2" i="82"/>
  <c r="H3" i="82"/>
  <c r="I3" i="82"/>
  <c r="H4" i="82"/>
  <c r="H5" i="82"/>
  <c r="H6" i="82"/>
  <c r="H7" i="82"/>
  <c r="H8" i="82"/>
  <c r="H9" i="82"/>
  <c r="H10" i="82"/>
  <c r="H11" i="82"/>
  <c r="H12" i="82"/>
  <c r="H13" i="82"/>
  <c r="H14" i="82"/>
  <c r="H15" i="82"/>
  <c r="H16" i="82"/>
  <c r="H17" i="82"/>
  <c r="H18" i="82"/>
  <c r="H19" i="82"/>
  <c r="H20" i="82"/>
  <c r="H21" i="82"/>
  <c r="H22" i="82"/>
  <c r="H23" i="82"/>
  <c r="H24" i="82"/>
  <c r="H25" i="82"/>
  <c r="H26" i="82"/>
  <c r="H27" i="82"/>
  <c r="H28" i="82"/>
  <c r="H29" i="82"/>
  <c r="H30" i="82"/>
  <c r="H31" i="82"/>
  <c r="H32" i="82"/>
  <c r="H33" i="82"/>
  <c r="H34" i="82"/>
  <c r="H35" i="82"/>
  <c r="H36" i="82"/>
  <c r="H37" i="82"/>
  <c r="H38" i="82"/>
  <c r="H39" i="82"/>
  <c r="H40" i="82"/>
  <c r="H41" i="82"/>
  <c r="H42" i="82"/>
  <c r="H43" i="82"/>
  <c r="H44" i="82"/>
  <c r="H45" i="82"/>
  <c r="H46" i="82"/>
  <c r="H47" i="82"/>
  <c r="H48" i="82"/>
  <c r="H49" i="82"/>
  <c r="H50" i="82"/>
  <c r="H51" i="82"/>
  <c r="H52" i="82"/>
  <c r="H53" i="82"/>
  <c r="H54" i="82"/>
  <c r="H55" i="82"/>
  <c r="H56" i="82"/>
  <c r="H57" i="82"/>
  <c r="H58" i="82"/>
  <c r="H59" i="82"/>
  <c r="H60" i="82"/>
  <c r="H61" i="82"/>
  <c r="H62" i="82"/>
  <c r="H63" i="82"/>
  <c r="H64" i="82"/>
  <c r="H65" i="82"/>
  <c r="H66" i="82"/>
  <c r="H67" i="82"/>
  <c r="H68" i="82"/>
  <c r="H69" i="82"/>
  <c r="H70" i="82"/>
  <c r="H71" i="82"/>
  <c r="H72" i="82"/>
  <c r="H73" i="82"/>
  <c r="H74" i="82"/>
  <c r="H75" i="82"/>
  <c r="H76" i="82"/>
  <c r="H77" i="82"/>
  <c r="H78" i="82"/>
  <c r="H79" i="82"/>
  <c r="H80" i="82"/>
  <c r="H81" i="82"/>
  <c r="H82" i="82"/>
  <c r="H83" i="82"/>
  <c r="H84" i="82"/>
  <c r="H85" i="82"/>
  <c r="H86" i="82"/>
  <c r="H87" i="82"/>
  <c r="H88" i="82"/>
  <c r="H89" i="82"/>
  <c r="H90" i="82"/>
  <c r="H91" i="82"/>
  <c r="H92" i="82"/>
  <c r="H93" i="82"/>
  <c r="H94" i="82"/>
  <c r="H95" i="82"/>
  <c r="H96" i="82"/>
  <c r="H97" i="82"/>
  <c r="H98" i="82"/>
  <c r="H99" i="82"/>
  <c r="H100" i="82"/>
  <c r="H101" i="82"/>
  <c r="H102" i="82"/>
  <c r="H103" i="82"/>
  <c r="H104" i="82"/>
  <c r="H105" i="82"/>
  <c r="H106" i="82"/>
  <c r="H107" i="82"/>
  <c r="H108" i="82"/>
  <c r="H109" i="82"/>
  <c r="H110" i="82"/>
  <c r="H111" i="82"/>
  <c r="H112" i="82"/>
  <c r="H113" i="82"/>
  <c r="H114" i="82"/>
  <c r="H115" i="82"/>
  <c r="H116" i="82"/>
  <c r="H117" i="82"/>
  <c r="H118" i="82"/>
  <c r="H119" i="82"/>
  <c r="H120" i="82"/>
  <c r="H121" i="82"/>
  <c r="H122" i="82"/>
  <c r="H123" i="82"/>
  <c r="H124" i="82"/>
  <c r="H125" i="82"/>
  <c r="H126" i="82"/>
  <c r="H127" i="82"/>
  <c r="H128" i="82"/>
  <c r="H129" i="82"/>
  <c r="H130" i="82"/>
  <c r="H131" i="82"/>
  <c r="H132" i="82"/>
  <c r="H133" i="82"/>
  <c r="H134" i="82"/>
  <c r="H135" i="82"/>
  <c r="H136" i="82"/>
  <c r="H137" i="82"/>
  <c r="H138" i="82"/>
  <c r="H139" i="82"/>
  <c r="H140" i="82"/>
  <c r="H141" i="82"/>
  <c r="H142" i="82"/>
  <c r="H143" i="82"/>
  <c r="H144" i="82"/>
  <c r="H145" i="82"/>
  <c r="H146" i="82"/>
  <c r="H147" i="82"/>
  <c r="H148" i="82"/>
  <c r="H149" i="82"/>
  <c r="H150" i="82"/>
  <c r="H151" i="82"/>
  <c r="H152" i="82"/>
  <c r="H153" i="82"/>
  <c r="H154" i="82"/>
  <c r="H155" i="82"/>
  <c r="H156" i="82"/>
  <c r="H157" i="82"/>
  <c r="H158" i="82"/>
  <c r="H159" i="82"/>
  <c r="H160" i="82"/>
  <c r="H161" i="82"/>
  <c r="H162" i="82"/>
  <c r="H163" i="82"/>
  <c r="H164" i="82"/>
  <c r="H165" i="82"/>
  <c r="H166" i="82"/>
  <c r="H167" i="82"/>
  <c r="H168" i="82"/>
  <c r="H169" i="82"/>
  <c r="H170" i="82"/>
  <c r="H171" i="82"/>
  <c r="H172" i="82"/>
  <c r="H173" i="82"/>
  <c r="H174" i="82"/>
  <c r="H175" i="82"/>
  <c r="H176" i="82"/>
  <c r="H177" i="82"/>
  <c r="H178" i="82"/>
  <c r="H179" i="82"/>
  <c r="H180" i="82"/>
  <c r="H181" i="82"/>
  <c r="H182" i="82"/>
  <c r="H183" i="82"/>
  <c r="H184" i="82"/>
  <c r="H185" i="82"/>
  <c r="H186" i="82"/>
  <c r="H187" i="82"/>
  <c r="H188" i="82"/>
  <c r="H189" i="82"/>
  <c r="H190" i="82"/>
  <c r="H191" i="82"/>
  <c r="H192" i="82"/>
  <c r="H193" i="82"/>
  <c r="H194" i="82"/>
  <c r="H195" i="82"/>
  <c r="H196" i="82"/>
  <c r="H197" i="82"/>
  <c r="H198" i="82"/>
  <c r="H199" i="82"/>
  <c r="H200" i="82"/>
  <c r="H201" i="82"/>
  <c r="H202" i="82"/>
  <c r="H203" i="82"/>
  <c r="H204" i="82"/>
  <c r="H205" i="82"/>
  <c r="H206" i="82"/>
  <c r="H207" i="82"/>
  <c r="H208" i="82"/>
  <c r="H209" i="82"/>
  <c r="H210" i="82"/>
  <c r="H211" i="82"/>
  <c r="H212" i="82"/>
  <c r="H213" i="82"/>
  <c r="H214" i="82"/>
  <c r="H215" i="82"/>
  <c r="H216" i="82"/>
  <c r="H217" i="82"/>
  <c r="H218" i="82"/>
  <c r="H219" i="82"/>
  <c r="H220" i="82"/>
  <c r="H221" i="82"/>
  <c r="H222" i="82"/>
  <c r="H223" i="82"/>
  <c r="H224" i="82"/>
  <c r="H225" i="82"/>
  <c r="H226" i="82"/>
  <c r="H227" i="82"/>
  <c r="H228" i="82"/>
  <c r="H229" i="82"/>
  <c r="H230" i="82"/>
  <c r="H231" i="82"/>
  <c r="H232" i="82"/>
  <c r="H233" i="82"/>
  <c r="H234" i="82"/>
  <c r="H235" i="82"/>
  <c r="H236" i="82"/>
  <c r="H237" i="82"/>
  <c r="H238" i="82"/>
  <c r="H239" i="82"/>
  <c r="H240" i="82"/>
  <c r="H241" i="82"/>
  <c r="H242" i="82"/>
  <c r="H243" i="82"/>
  <c r="H244" i="82"/>
  <c r="H245" i="82"/>
  <c r="H246" i="82"/>
  <c r="H247" i="82"/>
  <c r="H248" i="82"/>
  <c r="H249" i="82"/>
  <c r="H250" i="82"/>
  <c r="H251" i="82"/>
  <c r="H252" i="82"/>
  <c r="H253" i="82"/>
  <c r="H254" i="82"/>
  <c r="H255" i="82"/>
  <c r="H256" i="82"/>
  <c r="H257" i="82"/>
  <c r="H258" i="82"/>
  <c r="H259" i="82"/>
  <c r="H260" i="82"/>
  <c r="H261" i="82"/>
  <c r="H262" i="82"/>
  <c r="H263" i="82"/>
  <c r="H264" i="82"/>
  <c r="H265" i="82"/>
  <c r="H266" i="82"/>
  <c r="H267" i="82"/>
  <c r="H268" i="82"/>
  <c r="H269" i="82"/>
  <c r="H270" i="82"/>
  <c r="H271" i="82"/>
  <c r="H272" i="82"/>
  <c r="H273" i="82"/>
  <c r="H274" i="82"/>
  <c r="H275" i="82"/>
  <c r="H276" i="82"/>
  <c r="H277" i="82"/>
  <c r="H278" i="82"/>
  <c r="H279" i="82"/>
  <c r="H280" i="82"/>
  <c r="H281" i="82"/>
  <c r="H282" i="82"/>
  <c r="H283" i="82"/>
  <c r="H284" i="82"/>
  <c r="H285" i="82"/>
  <c r="H286" i="82"/>
  <c r="H287" i="82"/>
  <c r="H288" i="82"/>
  <c r="H289" i="82"/>
  <c r="H290" i="82"/>
  <c r="H291" i="82"/>
  <c r="H292" i="82"/>
  <c r="H293" i="82"/>
  <c r="H294" i="82"/>
  <c r="H295" i="82"/>
  <c r="H296" i="82"/>
  <c r="H297" i="82"/>
  <c r="H298" i="82"/>
  <c r="H299" i="82"/>
  <c r="H300" i="82"/>
  <c r="H301" i="82"/>
  <c r="H302" i="82"/>
  <c r="H303" i="82"/>
  <c r="H304" i="82"/>
  <c r="H305" i="82"/>
  <c r="H306" i="82"/>
  <c r="H307" i="82"/>
  <c r="H308" i="82"/>
  <c r="H309" i="82"/>
  <c r="H310" i="82"/>
  <c r="H311" i="82"/>
  <c r="H312" i="82"/>
  <c r="H313" i="82"/>
  <c r="H314" i="82"/>
  <c r="H315" i="82"/>
  <c r="H316" i="82"/>
  <c r="H317" i="82"/>
  <c r="H318" i="82"/>
  <c r="H319" i="82"/>
  <c r="H320" i="82"/>
  <c r="H321" i="82"/>
  <c r="H322" i="82"/>
  <c r="H323" i="82"/>
  <c r="H324" i="82"/>
  <c r="H325" i="82"/>
  <c r="H326" i="82"/>
  <c r="H327" i="82"/>
  <c r="H328" i="82"/>
  <c r="H329" i="82"/>
  <c r="H330" i="82"/>
  <c r="H331" i="82"/>
  <c r="H332" i="82"/>
  <c r="H333" i="82"/>
  <c r="H334" i="82"/>
  <c r="H335" i="82"/>
  <c r="H336" i="82"/>
  <c r="H337" i="82"/>
  <c r="H338" i="82"/>
  <c r="H339" i="82"/>
  <c r="H340" i="82"/>
  <c r="H341" i="82"/>
  <c r="H342" i="82"/>
  <c r="H343" i="82"/>
  <c r="H344" i="82"/>
  <c r="H345" i="82"/>
  <c r="H346" i="82"/>
  <c r="H347" i="82"/>
  <c r="H348" i="82"/>
  <c r="H349" i="82"/>
  <c r="H350" i="82"/>
  <c r="H351" i="82"/>
  <c r="H352" i="82"/>
  <c r="H353" i="82"/>
  <c r="H354" i="82"/>
  <c r="H355" i="82"/>
  <c r="H356" i="82"/>
  <c r="H357" i="82"/>
  <c r="H358" i="82"/>
  <c r="H359" i="82"/>
  <c r="H360" i="82"/>
  <c r="H361" i="82"/>
  <c r="H362" i="82"/>
  <c r="H363" i="82"/>
  <c r="H364" i="82"/>
  <c r="H365" i="82"/>
  <c r="H366" i="82"/>
  <c r="H367" i="82"/>
  <c r="H368" i="82"/>
  <c r="H369" i="82"/>
  <c r="H370" i="82"/>
  <c r="H371" i="82"/>
  <c r="H372" i="82"/>
  <c r="H373" i="82"/>
  <c r="H374" i="82"/>
  <c r="H375" i="82"/>
  <c r="H376" i="82"/>
  <c r="H377" i="82"/>
  <c r="H378" i="82"/>
  <c r="H379" i="82"/>
  <c r="H380" i="82"/>
  <c r="H381" i="82"/>
  <c r="H382" i="82"/>
  <c r="H383" i="82"/>
  <c r="H384" i="82"/>
  <c r="H385" i="82"/>
  <c r="H386" i="82"/>
  <c r="H387" i="82"/>
  <c r="H388" i="82"/>
  <c r="H389" i="82"/>
  <c r="H390" i="82"/>
  <c r="H391" i="82"/>
  <c r="H392" i="82"/>
  <c r="H393" i="82"/>
  <c r="H394" i="82"/>
  <c r="H395" i="82"/>
  <c r="H396" i="82"/>
  <c r="H397" i="82"/>
  <c r="H398" i="82"/>
  <c r="H399" i="82"/>
  <c r="I4" i="82"/>
  <c r="I5" i="82"/>
  <c r="I6" i="82"/>
  <c r="I7" i="82"/>
  <c r="I8" i="82"/>
  <c r="I9" i="82"/>
  <c r="I10" i="82"/>
  <c r="I11" i="82"/>
  <c r="I12" i="82"/>
  <c r="I13" i="82"/>
  <c r="I14" i="82"/>
  <c r="I15" i="82"/>
  <c r="I16" i="82"/>
  <c r="I17" i="82"/>
  <c r="I18" i="82"/>
  <c r="I19" i="82"/>
  <c r="I20" i="82"/>
  <c r="I21" i="82"/>
  <c r="I22" i="82"/>
  <c r="I23" i="82"/>
  <c r="I24" i="82"/>
  <c r="I25" i="82"/>
  <c r="I26" i="82"/>
  <c r="I27" i="82"/>
  <c r="I28" i="82"/>
  <c r="I29" i="82"/>
  <c r="I30" i="82"/>
  <c r="I31" i="82"/>
  <c r="I32" i="82"/>
  <c r="I33" i="82"/>
  <c r="I34" i="82"/>
  <c r="I35" i="82"/>
  <c r="I36" i="82"/>
  <c r="I37" i="82"/>
  <c r="I38" i="82"/>
  <c r="I39" i="82"/>
  <c r="I40" i="82"/>
  <c r="I41" i="82"/>
  <c r="I42" i="82"/>
  <c r="I43" i="82"/>
  <c r="I44" i="82"/>
  <c r="I45" i="82"/>
  <c r="I46" i="82"/>
  <c r="I47" i="82"/>
  <c r="I48" i="82"/>
  <c r="I49" i="82"/>
  <c r="I50" i="82"/>
  <c r="I51" i="82"/>
  <c r="I52" i="82"/>
  <c r="I53" i="82"/>
  <c r="I54" i="82"/>
  <c r="I55" i="82"/>
  <c r="I56" i="82"/>
  <c r="I57" i="82"/>
  <c r="I58" i="82"/>
  <c r="I59" i="82"/>
  <c r="I60" i="82"/>
  <c r="I61" i="82"/>
  <c r="I62" i="82"/>
  <c r="I63" i="82"/>
  <c r="I64" i="82"/>
  <c r="I65" i="82"/>
  <c r="I66" i="82"/>
  <c r="I67" i="82"/>
  <c r="I68" i="82"/>
  <c r="I69" i="82"/>
  <c r="I70" i="82"/>
  <c r="I71" i="82"/>
  <c r="I72" i="82"/>
  <c r="I73" i="82"/>
  <c r="I74" i="82"/>
  <c r="I75" i="82"/>
  <c r="I76" i="82"/>
  <c r="I77" i="82"/>
  <c r="I78" i="82"/>
  <c r="I79" i="82"/>
  <c r="I80" i="82"/>
  <c r="I81" i="82"/>
  <c r="I82" i="82"/>
  <c r="I83" i="82"/>
  <c r="I84" i="82"/>
  <c r="I85" i="82"/>
  <c r="I86" i="82"/>
  <c r="I87" i="82"/>
  <c r="I88" i="82"/>
  <c r="I89" i="82"/>
  <c r="I90" i="82"/>
  <c r="I91" i="82"/>
  <c r="I92" i="82"/>
  <c r="I93" i="82"/>
  <c r="I94" i="82"/>
  <c r="I95" i="82"/>
  <c r="I96" i="82"/>
  <c r="I97" i="82"/>
  <c r="I98" i="82"/>
  <c r="I99" i="82"/>
  <c r="I100" i="82"/>
  <c r="I101" i="82"/>
  <c r="I102" i="82"/>
  <c r="I103" i="82"/>
  <c r="I104" i="82"/>
  <c r="I105" i="82"/>
  <c r="I106" i="82"/>
  <c r="I107" i="82"/>
  <c r="I108" i="82"/>
  <c r="I109" i="82"/>
  <c r="I110" i="82"/>
  <c r="I111" i="82"/>
  <c r="I112" i="82"/>
  <c r="I113" i="82"/>
  <c r="I114" i="82"/>
  <c r="I115" i="82"/>
  <c r="I116" i="82"/>
  <c r="I117" i="82"/>
  <c r="I118" i="82"/>
  <c r="I119" i="82"/>
  <c r="I120" i="82"/>
  <c r="I121" i="82"/>
  <c r="I122" i="82"/>
  <c r="I123" i="82"/>
  <c r="I124" i="82"/>
  <c r="I125" i="82"/>
  <c r="I126" i="82"/>
  <c r="I127" i="82"/>
  <c r="I128" i="82"/>
  <c r="I129" i="82"/>
  <c r="I130" i="82"/>
  <c r="I131" i="82"/>
  <c r="I132" i="82"/>
  <c r="I133" i="82"/>
  <c r="I134" i="82"/>
  <c r="I135" i="82"/>
  <c r="I136" i="82"/>
  <c r="I137" i="82"/>
  <c r="I138" i="82"/>
  <c r="I139" i="82"/>
  <c r="I140" i="82"/>
  <c r="I141" i="82"/>
  <c r="I142" i="82"/>
  <c r="I143" i="82"/>
  <c r="I144" i="82"/>
  <c r="I145" i="82"/>
  <c r="I146" i="82"/>
  <c r="I147" i="82"/>
  <c r="I148" i="82"/>
  <c r="I149" i="82"/>
  <c r="I150" i="82"/>
  <c r="I151" i="82"/>
  <c r="I152" i="82"/>
  <c r="I153" i="82"/>
  <c r="I154" i="82"/>
  <c r="I155" i="82"/>
  <c r="I156" i="82"/>
  <c r="I157" i="82"/>
  <c r="I158" i="82"/>
  <c r="I159" i="82"/>
  <c r="I160" i="82"/>
  <c r="I161" i="82"/>
  <c r="I162" i="82"/>
  <c r="I163" i="82"/>
  <c r="I164" i="82"/>
  <c r="I165" i="82"/>
  <c r="I166" i="82"/>
  <c r="I167" i="82"/>
  <c r="I168" i="82"/>
  <c r="I169" i="82"/>
  <c r="I170" i="82"/>
  <c r="I171" i="82"/>
  <c r="I172" i="82"/>
  <c r="I173" i="82"/>
  <c r="I174" i="82"/>
  <c r="I175" i="82"/>
  <c r="I176" i="82"/>
  <c r="I177" i="82"/>
  <c r="I178" i="82"/>
  <c r="I179" i="82"/>
  <c r="I180" i="82"/>
  <c r="I181" i="82"/>
  <c r="I182" i="82"/>
  <c r="I183" i="82"/>
  <c r="I184" i="82"/>
  <c r="I185" i="82"/>
  <c r="I186" i="82"/>
  <c r="I187" i="82"/>
  <c r="I188" i="82"/>
  <c r="I189" i="82"/>
  <c r="I190" i="82"/>
  <c r="I191" i="82"/>
  <c r="I192" i="82"/>
  <c r="I193" i="82"/>
  <c r="I194" i="82"/>
  <c r="I195" i="82"/>
  <c r="I196" i="82"/>
  <c r="I197" i="82"/>
  <c r="I198" i="82"/>
  <c r="I199" i="82"/>
  <c r="I200" i="82"/>
  <c r="I201" i="82"/>
  <c r="I202" i="82"/>
  <c r="I203" i="82"/>
  <c r="I204" i="82"/>
  <c r="I205" i="82"/>
  <c r="I206" i="82"/>
  <c r="I207" i="82"/>
  <c r="I208" i="82"/>
  <c r="I209" i="82"/>
  <c r="I210" i="82"/>
  <c r="I211" i="82"/>
  <c r="I212" i="82"/>
  <c r="I213" i="82"/>
  <c r="I214" i="82"/>
  <c r="I215" i="82"/>
  <c r="I216" i="82"/>
  <c r="I217" i="82"/>
  <c r="I218" i="82"/>
  <c r="I219" i="82"/>
  <c r="I220" i="82"/>
  <c r="I221" i="82"/>
  <c r="I222" i="82"/>
  <c r="I223" i="82"/>
  <c r="I224" i="82"/>
  <c r="I225" i="82"/>
  <c r="I226" i="82"/>
  <c r="I227" i="82"/>
  <c r="I228" i="82"/>
  <c r="I229" i="82"/>
  <c r="I230" i="82"/>
  <c r="I231" i="82"/>
  <c r="I232" i="82"/>
  <c r="I233" i="82"/>
  <c r="I234" i="82"/>
  <c r="I235" i="82"/>
  <c r="I236" i="82"/>
  <c r="I237" i="82"/>
  <c r="I238" i="82"/>
  <c r="I239" i="82"/>
  <c r="I240" i="82"/>
  <c r="I241" i="82"/>
  <c r="I242" i="82"/>
  <c r="I243" i="82"/>
  <c r="I244" i="82"/>
  <c r="I245" i="82"/>
  <c r="I246" i="82"/>
  <c r="I247" i="82"/>
  <c r="I248" i="82"/>
  <c r="I249" i="82"/>
  <c r="I250" i="82"/>
  <c r="I251" i="82"/>
  <c r="I252" i="82"/>
  <c r="I253" i="82"/>
  <c r="I254" i="82"/>
  <c r="I255" i="82"/>
  <c r="I256" i="82"/>
  <c r="I257" i="82"/>
  <c r="I258" i="82"/>
  <c r="I259" i="82"/>
  <c r="I260" i="82"/>
  <c r="I261" i="82"/>
  <c r="I262" i="82"/>
  <c r="I263" i="82"/>
  <c r="I264" i="82"/>
  <c r="I265" i="82"/>
  <c r="I266" i="82"/>
  <c r="I267" i="82"/>
  <c r="I268" i="82"/>
  <c r="I269" i="82"/>
  <c r="I270" i="82"/>
  <c r="I271" i="82"/>
  <c r="I272" i="82"/>
  <c r="I273" i="82"/>
  <c r="I274" i="82"/>
  <c r="I275" i="82"/>
  <c r="I276" i="82"/>
  <c r="I277" i="82"/>
  <c r="I278" i="82"/>
  <c r="I279" i="82"/>
  <c r="I280" i="82"/>
  <c r="I281" i="82"/>
  <c r="I282" i="82"/>
  <c r="I283" i="82"/>
  <c r="I284" i="82"/>
  <c r="I285" i="82"/>
  <c r="I286" i="82"/>
  <c r="I287" i="82"/>
  <c r="I288" i="82"/>
  <c r="I289" i="82"/>
  <c r="I290" i="82"/>
  <c r="I291" i="82"/>
  <c r="I292" i="82"/>
  <c r="I293" i="82"/>
  <c r="I294" i="82"/>
  <c r="I295" i="82"/>
  <c r="I296" i="82"/>
  <c r="I297" i="82"/>
  <c r="I298" i="82"/>
  <c r="I299" i="82"/>
  <c r="I300" i="82"/>
  <c r="I301" i="82"/>
  <c r="I302" i="82"/>
  <c r="I303" i="82"/>
  <c r="I304" i="82"/>
  <c r="I305" i="82"/>
  <c r="I306" i="82"/>
  <c r="I307" i="82"/>
  <c r="I308" i="82"/>
  <c r="I309" i="82"/>
  <c r="I310" i="82"/>
  <c r="I311" i="82"/>
  <c r="I312" i="82"/>
  <c r="I313" i="82"/>
  <c r="I314" i="82"/>
  <c r="I315" i="82"/>
  <c r="I316" i="82"/>
  <c r="I317" i="82"/>
  <c r="I318" i="82"/>
  <c r="I319" i="82"/>
  <c r="I320" i="82"/>
  <c r="I321" i="82"/>
  <c r="I322" i="82"/>
  <c r="I323" i="82"/>
  <c r="I324" i="82"/>
  <c r="I325" i="82"/>
  <c r="I326" i="82"/>
  <c r="I327" i="82"/>
  <c r="I328" i="82"/>
  <c r="I329" i="82"/>
  <c r="I330" i="82"/>
  <c r="I331" i="82"/>
  <c r="I332" i="82"/>
  <c r="I333" i="82"/>
  <c r="I334" i="82"/>
  <c r="I335" i="82"/>
  <c r="I336" i="82"/>
  <c r="I337" i="82"/>
  <c r="I338" i="82"/>
  <c r="I339" i="82"/>
  <c r="I340" i="82"/>
  <c r="I341" i="82"/>
  <c r="I342" i="82"/>
  <c r="I343" i="82"/>
  <c r="I344" i="82"/>
  <c r="I345" i="82"/>
  <c r="I346" i="82"/>
  <c r="I347" i="82"/>
  <c r="I348" i="82"/>
  <c r="I349" i="82"/>
  <c r="I350" i="82"/>
  <c r="I351" i="82"/>
  <c r="I352" i="82"/>
  <c r="I353" i="82"/>
  <c r="I354" i="82"/>
  <c r="I355" i="82"/>
  <c r="I356" i="82"/>
  <c r="I357" i="82"/>
  <c r="I358" i="82"/>
  <c r="I359" i="82"/>
  <c r="I360" i="82"/>
  <c r="I361" i="82"/>
  <c r="I362" i="82"/>
  <c r="I363" i="82"/>
  <c r="I364" i="82"/>
  <c r="I365" i="82"/>
  <c r="I366" i="82"/>
  <c r="I367" i="82"/>
  <c r="I368" i="82"/>
  <c r="I369" i="82"/>
  <c r="I370" i="82"/>
  <c r="I371" i="82"/>
  <c r="I372" i="82"/>
  <c r="I373" i="82"/>
  <c r="I374" i="82"/>
  <c r="I375" i="82"/>
  <c r="I376" i="82"/>
  <c r="I377" i="82"/>
  <c r="I378" i="82"/>
  <c r="I379" i="82"/>
  <c r="I380" i="82"/>
  <c r="I381" i="82"/>
  <c r="I382" i="82"/>
  <c r="I383" i="82"/>
  <c r="I384" i="82"/>
  <c r="I385" i="82"/>
  <c r="I386" i="82"/>
  <c r="I387" i="82"/>
  <c r="I388" i="82"/>
  <c r="I389" i="82"/>
  <c r="I390" i="82"/>
  <c r="I391" i="82"/>
  <c r="I392" i="82"/>
  <c r="I393" i="82"/>
  <c r="I394" i="82"/>
  <c r="I395" i="82"/>
  <c r="I396" i="82"/>
  <c r="I397" i="82"/>
  <c r="I398" i="82"/>
  <c r="I399" i="82"/>
  <c r="G101" i="106"/>
  <c r="G102" i="106"/>
  <c r="D2" i="107"/>
  <c r="D3" i="107"/>
  <c r="D4" i="107"/>
  <c r="D5" i="107"/>
  <c r="D6" i="107"/>
  <c r="D7" i="107"/>
  <c r="D8" i="107"/>
  <c r="D9" i="107"/>
  <c r="D10" i="107"/>
  <c r="D11" i="107"/>
  <c r="D12" i="107"/>
  <c r="D13" i="107"/>
  <c r="D14" i="107"/>
  <c r="C2" i="107"/>
  <c r="C3" i="107"/>
  <c r="C4" i="107"/>
  <c r="C5" i="107"/>
  <c r="C6" i="107"/>
  <c r="C7" i="107"/>
  <c r="C8" i="107"/>
  <c r="C9" i="107"/>
  <c r="C10" i="107"/>
  <c r="C11" i="107"/>
  <c r="C12" i="107"/>
  <c r="C13" i="107"/>
  <c r="C14" i="107"/>
  <c r="G104" i="106"/>
  <c r="G103" i="106"/>
  <c r="G106" i="106"/>
  <c r="G105" i="106"/>
  <c r="G107" i="106"/>
  <c r="G109" i="106"/>
  <c r="G108" i="106"/>
  <c r="G111" i="106"/>
  <c r="G110" i="106"/>
  <c r="G112" i="106"/>
  <c r="I27" i="107"/>
  <c r="G57" i="106"/>
  <c r="G58" i="106"/>
  <c r="G60" i="106"/>
  <c r="G59" i="106"/>
  <c r="G61" i="106"/>
  <c r="G62" i="106"/>
  <c r="G64" i="106"/>
  <c r="G63" i="106"/>
  <c r="G66" i="106"/>
  <c r="G65" i="106"/>
  <c r="G67" i="106"/>
  <c r="G69" i="106"/>
  <c r="G68" i="106"/>
  <c r="G71" i="106"/>
  <c r="G70" i="106"/>
  <c r="G72" i="106"/>
  <c r="I26" i="107"/>
  <c r="F93" i="106"/>
  <c r="H111" i="106"/>
  <c r="I111" i="106"/>
  <c r="J111" i="106"/>
  <c r="F91" i="106"/>
  <c r="H109" i="106"/>
  <c r="I109" i="106"/>
  <c r="J109" i="106"/>
  <c r="H106" i="106"/>
  <c r="I106" i="106"/>
  <c r="J106" i="106"/>
  <c r="H104" i="106"/>
  <c r="I104" i="106"/>
  <c r="J104" i="106"/>
  <c r="F47" i="106"/>
  <c r="F49" i="106"/>
  <c r="F48" i="106"/>
  <c r="E44" i="106"/>
  <c r="E45" i="106"/>
  <c r="E47" i="106"/>
  <c r="E46" i="106"/>
  <c r="F44" i="106"/>
  <c r="H57" i="106"/>
  <c r="H71" i="106"/>
  <c r="I71" i="106"/>
  <c r="J71" i="106"/>
  <c r="H69" i="106"/>
  <c r="I69" i="106"/>
  <c r="J69" i="106"/>
  <c r="H66" i="106"/>
  <c r="I66" i="106"/>
  <c r="J66" i="106"/>
  <c r="H64" i="106"/>
  <c r="I64" i="106"/>
  <c r="J64" i="106"/>
  <c r="H60" i="106"/>
  <c r="I60" i="106"/>
  <c r="J60" i="106"/>
  <c r="E68" i="106"/>
  <c r="E69" i="106"/>
  <c r="E70" i="106"/>
  <c r="E71" i="106"/>
  <c r="E67" i="106"/>
  <c r="M3" i="96"/>
  <c r="N3" i="96"/>
  <c r="O3" i="96"/>
  <c r="P3" i="96"/>
  <c r="Q3" i="96"/>
  <c r="R3" i="96"/>
  <c r="M4" i="96"/>
  <c r="N4" i="96"/>
  <c r="O4" i="96"/>
  <c r="P4" i="96"/>
  <c r="Q4" i="96"/>
  <c r="R4" i="96"/>
  <c r="M5" i="96"/>
  <c r="N5" i="96"/>
  <c r="O5" i="96"/>
  <c r="P5" i="96"/>
  <c r="Q5" i="96"/>
  <c r="R5" i="96"/>
  <c r="M6" i="96"/>
  <c r="N6" i="96"/>
  <c r="O6" i="96"/>
  <c r="P6" i="96"/>
  <c r="Q6" i="96"/>
  <c r="R6" i="96"/>
  <c r="M7" i="96"/>
  <c r="N7" i="96"/>
  <c r="O7" i="96"/>
  <c r="P7" i="96"/>
  <c r="Q7" i="96"/>
  <c r="R7" i="96"/>
  <c r="M8" i="96"/>
  <c r="N8" i="96"/>
  <c r="O8" i="96"/>
  <c r="P8" i="96"/>
  <c r="Q8" i="96"/>
  <c r="R8" i="96"/>
  <c r="M9" i="96"/>
  <c r="N9" i="96"/>
  <c r="O9" i="96"/>
  <c r="P9" i="96"/>
  <c r="Q9" i="96"/>
  <c r="R9" i="96"/>
  <c r="R2" i="96"/>
  <c r="Q2" i="96"/>
  <c r="P2" i="96"/>
  <c r="O2" i="96"/>
  <c r="N2" i="96"/>
  <c r="M2" i="96"/>
  <c r="J3" i="96"/>
  <c r="K3" i="96"/>
  <c r="J4" i="96"/>
  <c r="K4" i="96"/>
  <c r="J5" i="96"/>
  <c r="K5" i="96"/>
  <c r="J6" i="96"/>
  <c r="K6" i="96"/>
  <c r="J7" i="96"/>
  <c r="K7" i="96"/>
  <c r="J8" i="96"/>
  <c r="K8" i="96"/>
  <c r="J9" i="96"/>
  <c r="K9" i="96"/>
  <c r="K2" i="96"/>
  <c r="J2" i="96"/>
  <c r="I3" i="96"/>
  <c r="I4" i="96"/>
  <c r="I5" i="96"/>
  <c r="I6" i="96"/>
  <c r="I7" i="96"/>
  <c r="I8" i="96"/>
  <c r="I9" i="96"/>
  <c r="I2" i="96"/>
  <c r="H3" i="96"/>
  <c r="H4" i="96"/>
  <c r="H5" i="96"/>
  <c r="H6" i="96"/>
  <c r="H7" i="96"/>
  <c r="H8" i="96"/>
  <c r="H9" i="96"/>
  <c r="H2" i="96"/>
  <c r="G3" i="96"/>
  <c r="G4" i="96"/>
  <c r="G5" i="96"/>
  <c r="G6" i="96"/>
  <c r="G7" i="96"/>
  <c r="G8" i="96"/>
  <c r="G9" i="96"/>
  <c r="G2" i="96"/>
  <c r="F3" i="96"/>
  <c r="F4" i="96"/>
  <c r="F5" i="96"/>
  <c r="F6" i="96"/>
  <c r="F7" i="96"/>
  <c r="F8" i="96"/>
  <c r="F9" i="96"/>
  <c r="F2" i="96"/>
  <c r="C3" i="96"/>
  <c r="C4" i="96"/>
  <c r="C5" i="96"/>
  <c r="C6" i="96"/>
  <c r="C7" i="96"/>
  <c r="C8" i="96"/>
  <c r="C9" i="96"/>
  <c r="C2" i="96"/>
  <c r="D3" i="82"/>
  <c r="D4" i="82"/>
  <c r="D5" i="82"/>
  <c r="D6" i="82"/>
  <c r="D7" i="82"/>
  <c r="D8" i="82"/>
  <c r="D9" i="82"/>
  <c r="D10" i="82"/>
  <c r="D11" i="82"/>
  <c r="D12" i="82"/>
  <c r="D13" i="82"/>
  <c r="D14" i="82"/>
  <c r="D15" i="82"/>
  <c r="D16" i="82"/>
  <c r="D17" i="82"/>
  <c r="D18" i="82"/>
  <c r="D19" i="82"/>
  <c r="D20" i="82"/>
  <c r="D21" i="82"/>
  <c r="D22" i="82"/>
  <c r="D23" i="82"/>
  <c r="D24" i="82"/>
  <c r="D25" i="82"/>
  <c r="D26" i="82"/>
  <c r="D27" i="82"/>
  <c r="D28" i="82"/>
  <c r="D29" i="82"/>
  <c r="D30" i="82"/>
  <c r="D31" i="82"/>
  <c r="D32" i="82"/>
  <c r="D33" i="82"/>
  <c r="D34" i="82"/>
  <c r="D35" i="82"/>
  <c r="D36" i="82"/>
  <c r="D37" i="82"/>
  <c r="D38" i="82"/>
  <c r="D39" i="82"/>
  <c r="D40" i="82"/>
  <c r="D41" i="82"/>
  <c r="D42" i="82"/>
  <c r="D43" i="82"/>
  <c r="D44" i="82"/>
  <c r="D45" i="82"/>
  <c r="D46" i="82"/>
  <c r="D47" i="82"/>
  <c r="D48" i="82"/>
  <c r="D49" i="82"/>
  <c r="D50" i="82"/>
  <c r="D51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64" i="82"/>
  <c r="D65" i="82"/>
  <c r="D66" i="82"/>
  <c r="D67" i="82"/>
  <c r="D68" i="82"/>
  <c r="D69" i="82"/>
  <c r="D70" i="82"/>
  <c r="D71" i="82"/>
  <c r="D72" i="82"/>
  <c r="D73" i="82"/>
  <c r="D74" i="82"/>
  <c r="D75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96" i="82"/>
  <c r="D97" i="82"/>
  <c r="D98" i="82"/>
  <c r="D99" i="82"/>
  <c r="D100" i="82"/>
  <c r="D101" i="82"/>
  <c r="D102" i="82"/>
  <c r="D103" i="82"/>
  <c r="D104" i="82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22" i="82"/>
  <c r="D123" i="82"/>
  <c r="D124" i="82"/>
  <c r="D125" i="82"/>
  <c r="D126" i="82"/>
  <c r="D127" i="82"/>
  <c r="D128" i="82"/>
  <c r="D129" i="82"/>
  <c r="D130" i="82"/>
  <c r="D131" i="82"/>
  <c r="D132" i="82"/>
  <c r="D133" i="82"/>
  <c r="D134" i="82"/>
  <c r="D135" i="82"/>
  <c r="D136" i="82"/>
  <c r="D137" i="82"/>
  <c r="D138" i="82"/>
  <c r="D139" i="82"/>
  <c r="D140" i="82"/>
  <c r="D141" i="82"/>
  <c r="D142" i="82"/>
  <c r="D143" i="82"/>
  <c r="D144" i="82"/>
  <c r="D145" i="82"/>
  <c r="D146" i="82"/>
  <c r="D147" i="82"/>
  <c r="D148" i="82"/>
  <c r="D149" i="82"/>
  <c r="D150" i="82"/>
  <c r="D151" i="82"/>
  <c r="D152" i="82"/>
  <c r="D153" i="82"/>
  <c r="D154" i="82"/>
  <c r="D155" i="82"/>
  <c r="D156" i="82"/>
  <c r="D157" i="82"/>
  <c r="D158" i="82"/>
  <c r="D159" i="82"/>
  <c r="D160" i="82"/>
  <c r="D161" i="82"/>
  <c r="D162" i="82"/>
  <c r="D163" i="82"/>
  <c r="D164" i="82"/>
  <c r="D165" i="82"/>
  <c r="D166" i="82"/>
  <c r="D167" i="82"/>
  <c r="D168" i="82"/>
  <c r="D169" i="82"/>
  <c r="D170" i="82"/>
  <c r="D171" i="82"/>
  <c r="D172" i="82"/>
  <c r="D173" i="82"/>
  <c r="D174" i="82"/>
  <c r="D175" i="82"/>
  <c r="D176" i="82"/>
  <c r="D177" i="82"/>
  <c r="D178" i="82"/>
  <c r="D179" i="82"/>
  <c r="D180" i="82"/>
  <c r="D181" i="82"/>
  <c r="D182" i="82"/>
  <c r="D183" i="82"/>
  <c r="D184" i="82"/>
  <c r="D185" i="82"/>
  <c r="D186" i="82"/>
  <c r="D187" i="82"/>
  <c r="D188" i="82"/>
  <c r="D189" i="82"/>
  <c r="D190" i="82"/>
  <c r="D191" i="82"/>
  <c r="D192" i="82"/>
  <c r="D193" i="82"/>
  <c r="D194" i="82"/>
  <c r="D195" i="82"/>
  <c r="D196" i="82"/>
  <c r="D197" i="82"/>
  <c r="D198" i="82"/>
  <c r="D199" i="82"/>
  <c r="D200" i="82"/>
  <c r="D201" i="82"/>
  <c r="D202" i="82"/>
  <c r="D203" i="82"/>
  <c r="D204" i="82"/>
  <c r="D205" i="82"/>
  <c r="D206" i="82"/>
  <c r="D207" i="82"/>
  <c r="D208" i="82"/>
  <c r="D209" i="82"/>
  <c r="D210" i="82"/>
  <c r="D211" i="82"/>
  <c r="D212" i="82"/>
  <c r="D213" i="82"/>
  <c r="D214" i="82"/>
  <c r="D215" i="82"/>
  <c r="D216" i="82"/>
  <c r="D217" i="82"/>
  <c r="D218" i="82"/>
  <c r="D219" i="82"/>
  <c r="D220" i="82"/>
  <c r="D221" i="82"/>
  <c r="D222" i="82"/>
  <c r="D223" i="82"/>
  <c r="D224" i="82"/>
  <c r="D225" i="82"/>
  <c r="D226" i="82"/>
  <c r="D227" i="82"/>
  <c r="D228" i="82"/>
  <c r="D229" i="82"/>
  <c r="D230" i="82"/>
  <c r="D231" i="82"/>
  <c r="D232" i="82"/>
  <c r="D233" i="82"/>
  <c r="D234" i="82"/>
  <c r="D235" i="82"/>
  <c r="D236" i="82"/>
  <c r="D237" i="82"/>
  <c r="D238" i="82"/>
  <c r="D239" i="82"/>
  <c r="D240" i="82"/>
  <c r="D241" i="82"/>
  <c r="D242" i="82"/>
  <c r="D243" i="82"/>
  <c r="D244" i="82"/>
  <c r="D245" i="82"/>
  <c r="D246" i="82"/>
  <c r="D247" i="82"/>
  <c r="D248" i="82"/>
  <c r="D249" i="82"/>
  <c r="D250" i="82"/>
  <c r="D251" i="82"/>
  <c r="D252" i="82"/>
  <c r="D253" i="82"/>
  <c r="D254" i="82"/>
  <c r="D255" i="82"/>
  <c r="D256" i="82"/>
  <c r="D257" i="82"/>
  <c r="D258" i="82"/>
  <c r="D259" i="82"/>
  <c r="D260" i="82"/>
  <c r="D261" i="82"/>
  <c r="D262" i="82"/>
  <c r="D263" i="82"/>
  <c r="D264" i="82"/>
  <c r="D265" i="82"/>
  <c r="D266" i="82"/>
  <c r="D267" i="82"/>
  <c r="D268" i="82"/>
  <c r="D269" i="82"/>
  <c r="D270" i="82"/>
  <c r="D271" i="82"/>
  <c r="D272" i="82"/>
  <c r="D273" i="82"/>
  <c r="D274" i="82"/>
  <c r="D275" i="82"/>
  <c r="D276" i="82"/>
  <c r="D277" i="82"/>
  <c r="D278" i="82"/>
  <c r="D279" i="82"/>
  <c r="D280" i="82"/>
  <c r="D281" i="82"/>
  <c r="D282" i="82"/>
  <c r="D283" i="82"/>
  <c r="D284" i="82"/>
  <c r="D285" i="82"/>
  <c r="D286" i="82"/>
  <c r="D287" i="82"/>
  <c r="D288" i="82"/>
  <c r="D289" i="82"/>
  <c r="D290" i="82"/>
  <c r="D291" i="82"/>
  <c r="D292" i="82"/>
  <c r="D293" i="82"/>
  <c r="D294" i="82"/>
  <c r="D295" i="82"/>
  <c r="D296" i="82"/>
  <c r="D297" i="82"/>
  <c r="D298" i="82"/>
  <c r="D299" i="82"/>
  <c r="D300" i="82"/>
  <c r="D301" i="82"/>
  <c r="D302" i="82"/>
  <c r="D303" i="82"/>
  <c r="D304" i="82"/>
  <c r="D305" i="82"/>
  <c r="D306" i="82"/>
  <c r="D307" i="82"/>
  <c r="D308" i="82"/>
  <c r="D309" i="82"/>
  <c r="D310" i="82"/>
  <c r="D311" i="82"/>
  <c r="D312" i="82"/>
  <c r="D313" i="82"/>
  <c r="D314" i="82"/>
  <c r="D315" i="82"/>
  <c r="D316" i="82"/>
  <c r="D317" i="82"/>
  <c r="D318" i="82"/>
  <c r="D319" i="82"/>
  <c r="D320" i="82"/>
  <c r="D321" i="82"/>
  <c r="D322" i="82"/>
  <c r="D323" i="82"/>
  <c r="D324" i="82"/>
  <c r="D325" i="82"/>
  <c r="D326" i="82"/>
  <c r="D327" i="82"/>
  <c r="D328" i="82"/>
  <c r="D329" i="82"/>
  <c r="D330" i="82"/>
  <c r="D331" i="82"/>
  <c r="D332" i="82"/>
  <c r="D333" i="82"/>
  <c r="D334" i="82"/>
  <c r="D335" i="82"/>
  <c r="D336" i="82"/>
  <c r="D337" i="82"/>
  <c r="D338" i="82"/>
  <c r="D339" i="82"/>
  <c r="D340" i="82"/>
  <c r="D341" i="82"/>
  <c r="D342" i="82"/>
  <c r="D343" i="82"/>
  <c r="D344" i="82"/>
  <c r="D345" i="82"/>
  <c r="D346" i="82"/>
  <c r="D347" i="82"/>
  <c r="D348" i="82"/>
  <c r="D349" i="82"/>
  <c r="D350" i="82"/>
  <c r="D351" i="82"/>
  <c r="D352" i="82"/>
  <c r="D353" i="82"/>
  <c r="D354" i="82"/>
  <c r="D355" i="82"/>
  <c r="D356" i="82"/>
  <c r="D357" i="82"/>
  <c r="D358" i="82"/>
  <c r="D359" i="82"/>
  <c r="D360" i="82"/>
  <c r="D361" i="82"/>
  <c r="D362" i="82"/>
  <c r="D363" i="82"/>
  <c r="D364" i="82"/>
  <c r="D365" i="82"/>
  <c r="D366" i="82"/>
  <c r="D367" i="82"/>
  <c r="D368" i="82"/>
  <c r="D369" i="82"/>
  <c r="D370" i="82"/>
  <c r="D371" i="82"/>
  <c r="D372" i="82"/>
  <c r="D373" i="82"/>
  <c r="D374" i="82"/>
  <c r="D375" i="82"/>
  <c r="D376" i="82"/>
  <c r="D377" i="82"/>
  <c r="D378" i="82"/>
  <c r="D379" i="82"/>
  <c r="D380" i="82"/>
  <c r="D381" i="82"/>
  <c r="D382" i="82"/>
  <c r="D383" i="82"/>
  <c r="D384" i="82"/>
  <c r="D385" i="82"/>
  <c r="D386" i="82"/>
  <c r="D387" i="82"/>
  <c r="D388" i="82"/>
  <c r="D389" i="82"/>
  <c r="D390" i="82"/>
  <c r="D391" i="82"/>
  <c r="D392" i="82"/>
  <c r="D393" i="82"/>
  <c r="D394" i="82"/>
  <c r="D395" i="82"/>
  <c r="D396" i="82"/>
  <c r="D397" i="82"/>
  <c r="D398" i="82"/>
  <c r="D399" i="82"/>
  <c r="M57" i="106"/>
  <c r="F45" i="106"/>
  <c r="H58" i="106"/>
  <c r="M58" i="106"/>
  <c r="F46" i="106"/>
  <c r="H59" i="106"/>
  <c r="M59" i="106"/>
  <c r="M60" i="106"/>
  <c r="H61" i="106"/>
  <c r="M61" i="106"/>
  <c r="E62" i="106"/>
  <c r="H62" i="106"/>
  <c r="M62" i="106"/>
  <c r="E63" i="106"/>
  <c r="H63" i="106"/>
  <c r="M63" i="106"/>
  <c r="E64" i="106"/>
  <c r="M64" i="106"/>
  <c r="E65" i="106"/>
  <c r="H65" i="106"/>
  <c r="M65" i="106"/>
  <c r="E66" i="106"/>
  <c r="M66" i="106"/>
  <c r="H67" i="106"/>
  <c r="M67" i="106"/>
  <c r="H68" i="106"/>
  <c r="M68" i="106"/>
  <c r="M69" i="106"/>
  <c r="H70" i="106"/>
  <c r="M70" i="106"/>
  <c r="M71" i="106"/>
  <c r="M72" i="106"/>
  <c r="O72" i="106"/>
  <c r="H72" i="106"/>
  <c r="I72" i="106"/>
  <c r="I57" i="106"/>
  <c r="J57" i="106"/>
  <c r="Q57" i="106"/>
  <c r="I58" i="106"/>
  <c r="J58" i="106"/>
  <c r="Q58" i="106"/>
  <c r="I59" i="106"/>
  <c r="J59" i="106"/>
  <c r="Q59" i="106"/>
  <c r="Q60" i="106"/>
  <c r="I61" i="106"/>
  <c r="J61" i="106"/>
  <c r="Q61" i="106"/>
  <c r="I62" i="106"/>
  <c r="J62" i="106"/>
  <c r="Q62" i="106"/>
  <c r="I63" i="106"/>
  <c r="J63" i="106"/>
  <c r="Q63" i="106"/>
  <c r="Q64" i="106"/>
  <c r="I65" i="106"/>
  <c r="J65" i="106"/>
  <c r="Q65" i="106"/>
  <c r="Q66" i="106"/>
  <c r="I67" i="106"/>
  <c r="J67" i="106"/>
  <c r="Q67" i="106"/>
  <c r="I68" i="106"/>
  <c r="J68" i="106"/>
  <c r="Q68" i="106"/>
  <c r="Q69" i="106"/>
  <c r="I70" i="106"/>
  <c r="J70" i="106"/>
  <c r="Q70" i="106"/>
  <c r="Q71" i="106"/>
  <c r="G13" i="105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355" i="82"/>
  <c r="N356" i="82"/>
  <c r="N357" i="82"/>
  <c r="N358" i="82"/>
  <c r="N359" i="82"/>
  <c r="N360" i="82"/>
  <c r="N361" i="82"/>
  <c r="N362" i="82"/>
  <c r="N363" i="82"/>
  <c r="N364" i="82"/>
  <c r="N365" i="82"/>
  <c r="N366" i="82"/>
  <c r="N367" i="82"/>
  <c r="N368" i="82"/>
  <c r="N369" i="82"/>
  <c r="N370" i="82"/>
  <c r="N371" i="82"/>
  <c r="N372" i="82"/>
  <c r="N373" i="82"/>
  <c r="N374" i="82"/>
  <c r="N375" i="82"/>
  <c r="N376" i="82"/>
  <c r="N377" i="82"/>
  <c r="N378" i="82"/>
  <c r="N379" i="82"/>
  <c r="N380" i="82"/>
  <c r="N381" i="82"/>
  <c r="N382" i="82"/>
  <c r="N383" i="82"/>
  <c r="N384" i="82"/>
  <c r="N385" i="82"/>
  <c r="N386" i="82"/>
  <c r="N387" i="82"/>
  <c r="N388" i="82"/>
  <c r="N389" i="82"/>
  <c r="N390" i="82"/>
  <c r="N391" i="82"/>
  <c r="N392" i="82"/>
  <c r="N393" i="82"/>
  <c r="N394" i="82"/>
  <c r="N395" i="82"/>
  <c r="N396" i="82"/>
  <c r="N397" i="82"/>
  <c r="N398" i="82"/>
  <c r="N399" i="82"/>
  <c r="E5" i="105"/>
  <c r="D13" i="105"/>
  <c r="B5" i="105"/>
  <c r="A13" i="105"/>
  <c r="E49" i="106"/>
  <c r="E48" i="106"/>
  <c r="E50" i="106"/>
  <c r="E35" i="106"/>
  <c r="E36" i="106"/>
  <c r="E37" i="106"/>
  <c r="E38" i="106"/>
  <c r="Q111" i="106"/>
  <c r="E46" i="107"/>
  <c r="A392" i="82"/>
  <c r="C392" i="82"/>
  <c r="G392" i="82"/>
  <c r="J392" i="82"/>
  <c r="K392" i="82"/>
  <c r="L392" i="82"/>
  <c r="Q104" i="106"/>
  <c r="E39" i="107"/>
  <c r="A50" i="107"/>
  <c r="A51" i="107"/>
  <c r="E91" i="106"/>
  <c r="E90" i="106"/>
  <c r="E88" i="106"/>
  <c r="E89" i="106"/>
  <c r="F92" i="106"/>
  <c r="F90" i="106"/>
  <c r="H103" i="106"/>
  <c r="I103" i="106"/>
  <c r="J103" i="106"/>
  <c r="Q103" i="106"/>
  <c r="E38" i="107"/>
  <c r="A52" i="107"/>
  <c r="A53" i="107"/>
  <c r="A54" i="107"/>
  <c r="A55" i="107"/>
  <c r="B50" i="107"/>
  <c r="C50" i="107"/>
  <c r="D50" i="107"/>
  <c r="C51" i="107"/>
  <c r="D51" i="107"/>
  <c r="C52" i="107"/>
  <c r="D52" i="107"/>
  <c r="C53" i="107"/>
  <c r="C54" i="107"/>
  <c r="C55" i="107"/>
  <c r="A56" i="107"/>
  <c r="C56" i="107"/>
  <c r="A57" i="107"/>
  <c r="C57" i="107"/>
  <c r="A58" i="107"/>
  <c r="C58" i="107"/>
  <c r="A59" i="107"/>
  <c r="C59" i="107"/>
  <c r="D53" i="107"/>
  <c r="D54" i="107"/>
  <c r="D55" i="107"/>
  <c r="D56" i="107"/>
  <c r="D57" i="107"/>
  <c r="D58" i="107"/>
  <c r="D59" i="107"/>
  <c r="G50" i="107"/>
  <c r="C60" i="107"/>
  <c r="D60" i="107"/>
  <c r="C61" i="107"/>
  <c r="D61" i="107"/>
  <c r="C62" i="107"/>
  <c r="D62" i="107"/>
  <c r="E50" i="107"/>
  <c r="F50" i="107"/>
  <c r="B51" i="107"/>
  <c r="G51" i="107"/>
  <c r="E51" i="107"/>
  <c r="F51" i="107"/>
  <c r="B52" i="107"/>
  <c r="G52" i="107"/>
  <c r="E52" i="107"/>
  <c r="F52" i="107"/>
  <c r="B53" i="107"/>
  <c r="G53" i="107"/>
  <c r="E53" i="107"/>
  <c r="F53" i="107"/>
  <c r="B54" i="107"/>
  <c r="G54" i="107"/>
  <c r="E54" i="107"/>
  <c r="F54" i="107"/>
  <c r="B55" i="107"/>
  <c r="G55" i="107"/>
  <c r="E55" i="107"/>
  <c r="F55" i="107"/>
  <c r="B56" i="107"/>
  <c r="G56" i="107"/>
  <c r="E56" i="107"/>
  <c r="F56" i="107"/>
  <c r="B57" i="107"/>
  <c r="G57" i="107"/>
  <c r="E57" i="107"/>
  <c r="F57" i="107"/>
  <c r="B58" i="107"/>
  <c r="G58" i="107"/>
  <c r="E58" i="107"/>
  <c r="F58" i="107"/>
  <c r="B59" i="107"/>
  <c r="G59" i="107"/>
  <c r="E59" i="107"/>
  <c r="F59" i="107"/>
  <c r="G60" i="107"/>
  <c r="E60" i="107"/>
  <c r="F60" i="107"/>
  <c r="G61" i="107"/>
  <c r="E61" i="107"/>
  <c r="F61" i="107"/>
  <c r="G62" i="107"/>
  <c r="E62" i="107"/>
  <c r="F62" i="107"/>
  <c r="M392" i="82"/>
  <c r="O392" i="82"/>
  <c r="P392" i="82"/>
  <c r="Q392" i="82"/>
  <c r="R392" i="82"/>
  <c r="S392" i="82"/>
  <c r="A393" i="82"/>
  <c r="C393" i="82"/>
  <c r="G393" i="82"/>
  <c r="J393" i="82"/>
  <c r="K393" i="82"/>
  <c r="L393" i="82"/>
  <c r="Q109" i="106"/>
  <c r="E44" i="107"/>
  <c r="H108" i="106"/>
  <c r="I108" i="106"/>
  <c r="J108" i="106"/>
  <c r="Q108" i="106"/>
  <c r="E43" i="107"/>
  <c r="M393" i="82"/>
  <c r="O393" i="82"/>
  <c r="P393" i="82"/>
  <c r="Q393" i="82"/>
  <c r="R393" i="82"/>
  <c r="S393" i="82"/>
  <c r="A394" i="82"/>
  <c r="C394" i="82"/>
  <c r="G394" i="82"/>
  <c r="J394" i="82"/>
  <c r="K394" i="82"/>
  <c r="L394" i="82"/>
  <c r="M394" i="82"/>
  <c r="O394" i="82"/>
  <c r="P394" i="82"/>
  <c r="Q394" i="82"/>
  <c r="R394" i="82"/>
  <c r="S394" i="82"/>
  <c r="A395" i="82"/>
  <c r="C395" i="82"/>
  <c r="G395" i="82"/>
  <c r="J395" i="82"/>
  <c r="K395" i="82"/>
  <c r="L395" i="82"/>
  <c r="M395" i="82"/>
  <c r="O395" i="82"/>
  <c r="P395" i="82"/>
  <c r="Q395" i="82"/>
  <c r="R395" i="82"/>
  <c r="S395" i="82"/>
  <c r="A396" i="82"/>
  <c r="C396" i="82"/>
  <c r="G396" i="82"/>
  <c r="J396" i="82"/>
  <c r="K396" i="82"/>
  <c r="L396" i="82"/>
  <c r="Q106" i="106"/>
  <c r="E41" i="107"/>
  <c r="H105" i="106"/>
  <c r="I105" i="106"/>
  <c r="J105" i="106"/>
  <c r="Q105" i="106"/>
  <c r="E40" i="107"/>
  <c r="M396" i="82"/>
  <c r="O396" i="82"/>
  <c r="P396" i="82"/>
  <c r="Q396" i="82"/>
  <c r="R396" i="82"/>
  <c r="S396" i="82"/>
  <c r="A397" i="82"/>
  <c r="C397" i="82"/>
  <c r="G397" i="82"/>
  <c r="J397" i="82"/>
  <c r="K397" i="82"/>
  <c r="L397" i="82"/>
  <c r="H110" i="106"/>
  <c r="I110" i="106"/>
  <c r="J110" i="106"/>
  <c r="Q110" i="106"/>
  <c r="E45" i="107"/>
  <c r="M397" i="82"/>
  <c r="O397" i="82"/>
  <c r="P397" i="82"/>
  <c r="Q397" i="82"/>
  <c r="R397" i="82"/>
  <c r="S397" i="82"/>
  <c r="A398" i="82"/>
  <c r="C398" i="82"/>
  <c r="G398" i="82"/>
  <c r="J398" i="82"/>
  <c r="K398" i="82"/>
  <c r="L398" i="82"/>
  <c r="M398" i="82"/>
  <c r="O398" i="82"/>
  <c r="P398" i="82"/>
  <c r="Q398" i="82"/>
  <c r="R398" i="82"/>
  <c r="S398" i="82"/>
  <c r="A399" i="82"/>
  <c r="C399" i="82"/>
  <c r="G399" i="82"/>
  <c r="J399" i="82"/>
  <c r="K399" i="82"/>
  <c r="L399" i="82"/>
  <c r="M399" i="82"/>
  <c r="O399" i="82"/>
  <c r="P399" i="82"/>
  <c r="Q399" i="82"/>
  <c r="R399" i="82"/>
  <c r="S399" i="82"/>
  <c r="S234" i="82"/>
  <c r="R234" i="82"/>
  <c r="Q234" i="82"/>
  <c r="P234" i="82"/>
  <c r="O234" i="82"/>
  <c r="E25" i="107"/>
  <c r="E24" i="107"/>
  <c r="M234" i="82"/>
  <c r="L234" i="82"/>
  <c r="K234" i="82"/>
  <c r="J234" i="82"/>
  <c r="G234" i="82"/>
  <c r="C234" i="82"/>
  <c r="A234" i="82"/>
  <c r="A225" i="82"/>
  <c r="A226" i="82"/>
  <c r="A227" i="82"/>
  <c r="A228" i="82"/>
  <c r="A229" i="82"/>
  <c r="A230" i="82"/>
  <c r="A231" i="82"/>
  <c r="A232" i="82"/>
  <c r="A233" i="82"/>
  <c r="A235" i="82"/>
  <c r="C225" i="82"/>
  <c r="G225" i="82"/>
  <c r="J225" i="82"/>
  <c r="K225" i="82"/>
  <c r="L225" i="82"/>
  <c r="E32" i="107"/>
  <c r="E21" i="107"/>
  <c r="E20" i="107"/>
  <c r="M225" i="82"/>
  <c r="O225" i="82"/>
  <c r="P225" i="82"/>
  <c r="Q225" i="82"/>
  <c r="R225" i="82"/>
  <c r="S225" i="82"/>
  <c r="C226" i="82"/>
  <c r="G226" i="82"/>
  <c r="J226" i="82"/>
  <c r="K226" i="82"/>
  <c r="L226" i="82"/>
  <c r="M226" i="82"/>
  <c r="O226" i="82"/>
  <c r="P226" i="82"/>
  <c r="Q226" i="82"/>
  <c r="R226" i="82"/>
  <c r="S226" i="82"/>
  <c r="C227" i="82"/>
  <c r="G227" i="82"/>
  <c r="J227" i="82"/>
  <c r="K227" i="82"/>
  <c r="L227" i="82"/>
  <c r="E30" i="107"/>
  <c r="E29" i="107"/>
  <c r="M227" i="82"/>
  <c r="O227" i="82"/>
  <c r="P227" i="82"/>
  <c r="Q227" i="82"/>
  <c r="R227" i="82"/>
  <c r="S227" i="82"/>
  <c r="C228" i="82"/>
  <c r="G228" i="82"/>
  <c r="J228" i="82"/>
  <c r="K228" i="82"/>
  <c r="L228" i="82"/>
  <c r="M228" i="82"/>
  <c r="O228" i="82"/>
  <c r="P228" i="82"/>
  <c r="Q228" i="82"/>
  <c r="R228" i="82"/>
  <c r="S228" i="82"/>
  <c r="C229" i="82"/>
  <c r="G229" i="82"/>
  <c r="J229" i="82"/>
  <c r="K229" i="82"/>
  <c r="L229" i="82"/>
  <c r="M229" i="82"/>
  <c r="O229" i="82"/>
  <c r="P229" i="82"/>
  <c r="Q229" i="82"/>
  <c r="R229" i="82"/>
  <c r="S229" i="82"/>
  <c r="C230" i="82"/>
  <c r="G230" i="82"/>
  <c r="J230" i="82"/>
  <c r="K230" i="82"/>
  <c r="L230" i="82"/>
  <c r="M230" i="82"/>
  <c r="O230" i="82"/>
  <c r="P230" i="82"/>
  <c r="Q230" i="82"/>
  <c r="R230" i="82"/>
  <c r="S230" i="82"/>
  <c r="C231" i="82"/>
  <c r="G231" i="82"/>
  <c r="J231" i="82"/>
  <c r="K231" i="82"/>
  <c r="L231" i="82"/>
  <c r="E27" i="107"/>
  <c r="E26" i="107"/>
  <c r="M231" i="82"/>
  <c r="O231" i="82"/>
  <c r="P231" i="82"/>
  <c r="Q231" i="82"/>
  <c r="R231" i="82"/>
  <c r="S231" i="82"/>
  <c r="C232" i="82"/>
  <c r="G232" i="82"/>
  <c r="J232" i="82"/>
  <c r="K232" i="82"/>
  <c r="L232" i="82"/>
  <c r="E31" i="107"/>
  <c r="M232" i="82"/>
  <c r="O232" i="82"/>
  <c r="P232" i="82"/>
  <c r="Q232" i="82"/>
  <c r="R232" i="82"/>
  <c r="S232" i="82"/>
  <c r="C233" i="82"/>
  <c r="G233" i="82"/>
  <c r="J233" i="82"/>
  <c r="K233" i="82"/>
  <c r="L233" i="82"/>
  <c r="M233" i="82"/>
  <c r="O233" i="82"/>
  <c r="P233" i="82"/>
  <c r="Q233" i="82"/>
  <c r="R233" i="82"/>
  <c r="S233" i="82"/>
  <c r="C235" i="82"/>
  <c r="G235" i="82"/>
  <c r="J235" i="82"/>
  <c r="K235" i="82"/>
  <c r="L235" i="82"/>
  <c r="M235" i="82"/>
  <c r="O235" i="82"/>
  <c r="P235" i="82"/>
  <c r="Q235" i="82"/>
  <c r="R235" i="82"/>
  <c r="S235" i="82"/>
  <c r="E18" i="107"/>
  <c r="M8" i="82"/>
  <c r="E22" i="107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E19" i="107"/>
  <c r="M42" i="82"/>
  <c r="E23" i="107"/>
  <c r="M43" i="82"/>
  <c r="E28" i="107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M138" i="82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58" i="82"/>
  <c r="M159" i="82"/>
  <c r="M160" i="82"/>
  <c r="M161" i="82"/>
  <c r="M162" i="82"/>
  <c r="M163" i="82"/>
  <c r="M164" i="82"/>
  <c r="M165" i="82"/>
  <c r="M166" i="82"/>
  <c r="M167" i="82"/>
  <c r="M168" i="82"/>
  <c r="M169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F88" i="106"/>
  <c r="H101" i="106"/>
  <c r="I101" i="106"/>
  <c r="J101" i="106"/>
  <c r="Q101" i="106"/>
  <c r="E36" i="107"/>
  <c r="M236" i="82"/>
  <c r="M237" i="82"/>
  <c r="M238" i="82"/>
  <c r="M239" i="82"/>
  <c r="M240" i="82"/>
  <c r="M241" i="82"/>
  <c r="M242" i="82"/>
  <c r="M243" i="82"/>
  <c r="M244" i="82"/>
  <c r="M245" i="82"/>
  <c r="M246" i="82"/>
  <c r="M247" i="82"/>
  <c r="M248" i="82"/>
  <c r="M249" i="82"/>
  <c r="M250" i="82"/>
  <c r="M251" i="82"/>
  <c r="M252" i="82"/>
  <c r="M253" i="82"/>
  <c r="M254" i="82"/>
  <c r="M255" i="82"/>
  <c r="F89" i="106"/>
  <c r="H102" i="106"/>
  <c r="I102" i="106"/>
  <c r="J102" i="106"/>
  <c r="Q102" i="106"/>
  <c r="E37" i="107"/>
  <c r="M256" i="82"/>
  <c r="H107" i="106"/>
  <c r="I107" i="106"/>
  <c r="J107" i="106"/>
  <c r="Q107" i="106"/>
  <c r="E42" i="107"/>
  <c r="M257" i="82"/>
  <c r="M258" i="82"/>
  <c r="M259" i="82"/>
  <c r="M260" i="82"/>
  <c r="M261" i="82"/>
  <c r="M262" i="82"/>
  <c r="M263" i="82"/>
  <c r="M264" i="82"/>
  <c r="M265" i="82"/>
  <c r="M266" i="82"/>
  <c r="M267" i="82"/>
  <c r="M268" i="82"/>
  <c r="M269" i="82"/>
  <c r="M270" i="82"/>
  <c r="M271" i="82"/>
  <c r="M272" i="82"/>
  <c r="M273" i="82"/>
  <c r="M274" i="82"/>
  <c r="M275" i="82"/>
  <c r="M276" i="82"/>
  <c r="M277" i="82"/>
  <c r="M278" i="82"/>
  <c r="M279" i="82"/>
  <c r="M280" i="82"/>
  <c r="M281" i="82"/>
  <c r="M282" i="82"/>
  <c r="M283" i="82"/>
  <c r="M284" i="82"/>
  <c r="M285" i="82"/>
  <c r="M286" i="82"/>
  <c r="M287" i="82"/>
  <c r="M288" i="82"/>
  <c r="M289" i="82"/>
  <c r="M290" i="82"/>
  <c r="M291" i="82"/>
  <c r="M292" i="82"/>
  <c r="M293" i="82"/>
  <c r="M294" i="82"/>
  <c r="M295" i="82"/>
  <c r="M296" i="82"/>
  <c r="M297" i="82"/>
  <c r="M298" i="82"/>
  <c r="M299" i="82"/>
  <c r="M300" i="82"/>
  <c r="M301" i="82"/>
  <c r="M302" i="82"/>
  <c r="M303" i="82"/>
  <c r="M304" i="82"/>
  <c r="M305" i="82"/>
  <c r="M306" i="82"/>
  <c r="M307" i="82"/>
  <c r="M308" i="82"/>
  <c r="M309" i="82"/>
  <c r="M310" i="82"/>
  <c r="M311" i="82"/>
  <c r="M312" i="82"/>
  <c r="M313" i="82"/>
  <c r="M314" i="82"/>
  <c r="M315" i="82"/>
  <c r="M316" i="82"/>
  <c r="M317" i="82"/>
  <c r="M318" i="82"/>
  <c r="M319" i="82"/>
  <c r="M320" i="82"/>
  <c r="M321" i="82"/>
  <c r="M322" i="82"/>
  <c r="M323" i="82"/>
  <c r="M324" i="82"/>
  <c r="M325" i="82"/>
  <c r="M326" i="82"/>
  <c r="M327" i="82"/>
  <c r="M328" i="82"/>
  <c r="M329" i="82"/>
  <c r="M330" i="82"/>
  <c r="M331" i="82"/>
  <c r="M332" i="82"/>
  <c r="M333" i="82"/>
  <c r="M334" i="82"/>
  <c r="M335" i="82"/>
  <c r="M336" i="82"/>
  <c r="M337" i="82"/>
  <c r="M338" i="82"/>
  <c r="M339" i="82"/>
  <c r="M340" i="82"/>
  <c r="M341" i="82"/>
  <c r="M342" i="82"/>
  <c r="M343" i="82"/>
  <c r="M344" i="82"/>
  <c r="M345" i="82"/>
  <c r="M346" i="82"/>
  <c r="M347" i="82"/>
  <c r="M348" i="82"/>
  <c r="M349" i="82"/>
  <c r="M350" i="82"/>
  <c r="M351" i="82"/>
  <c r="M352" i="82"/>
  <c r="M353" i="82"/>
  <c r="M354" i="82"/>
  <c r="M355" i="82"/>
  <c r="M356" i="82"/>
  <c r="M357" i="82"/>
  <c r="M358" i="82"/>
  <c r="M359" i="82"/>
  <c r="M360" i="82"/>
  <c r="M361" i="82"/>
  <c r="M362" i="82"/>
  <c r="M363" i="82"/>
  <c r="M364" i="82"/>
  <c r="M365" i="82"/>
  <c r="M366" i="82"/>
  <c r="M367" i="82"/>
  <c r="M368" i="82"/>
  <c r="M369" i="82"/>
  <c r="M370" i="82"/>
  <c r="M371" i="82"/>
  <c r="M372" i="82"/>
  <c r="M373" i="82"/>
  <c r="M374" i="82"/>
  <c r="M375" i="82"/>
  <c r="M376" i="82"/>
  <c r="M377" i="82"/>
  <c r="M378" i="82"/>
  <c r="M379" i="82"/>
  <c r="M380" i="82"/>
  <c r="M381" i="82"/>
  <c r="M382" i="82"/>
  <c r="M383" i="82"/>
  <c r="M384" i="82"/>
  <c r="M385" i="82"/>
  <c r="M386" i="82"/>
  <c r="M387" i="82"/>
  <c r="M388" i="82"/>
  <c r="M389" i="82"/>
  <c r="M390" i="82"/>
  <c r="M391" i="82"/>
  <c r="M3" i="82"/>
  <c r="M4" i="82"/>
  <c r="M5" i="82"/>
  <c r="M6" i="82"/>
  <c r="M7" i="82"/>
  <c r="D2" i="82"/>
  <c r="M2" i="82"/>
  <c r="A60" i="107"/>
  <c r="A61" i="107"/>
  <c r="A62" i="107"/>
  <c r="B61" i="107"/>
  <c r="B62" i="107"/>
  <c r="B60" i="107"/>
  <c r="E81" i="106"/>
  <c r="E80" i="106"/>
  <c r="H5" i="105"/>
  <c r="G16" i="105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66" i="82"/>
  <c r="S167" i="82"/>
  <c r="S168" i="82"/>
  <c r="S169" i="82"/>
  <c r="S170" i="82"/>
  <c r="S171" i="82"/>
  <c r="S172" i="82"/>
  <c r="S173" i="82"/>
  <c r="S174" i="82"/>
  <c r="S175" i="82"/>
  <c r="S176" i="82"/>
  <c r="S177" i="82"/>
  <c r="S178" i="82"/>
  <c r="S179" i="82"/>
  <c r="S180" i="82"/>
  <c r="S181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14" i="82"/>
  <c r="S215" i="82"/>
  <c r="S216" i="82"/>
  <c r="S217" i="82"/>
  <c r="S218" i="82"/>
  <c r="S219" i="82"/>
  <c r="S220" i="82"/>
  <c r="S221" i="82"/>
  <c r="S222" i="82"/>
  <c r="S223" i="82"/>
  <c r="S224" i="82"/>
  <c r="S236" i="82"/>
  <c r="S237" i="82"/>
  <c r="S238" i="82"/>
  <c r="S239" i="82"/>
  <c r="S240" i="82"/>
  <c r="S241" i="82"/>
  <c r="S242" i="82"/>
  <c r="S243" i="82"/>
  <c r="S244" i="82"/>
  <c r="S245" i="82"/>
  <c r="S246" i="82"/>
  <c r="S247" i="82"/>
  <c r="S248" i="82"/>
  <c r="S249" i="82"/>
  <c r="S250" i="82"/>
  <c r="S251" i="82"/>
  <c r="S252" i="82"/>
  <c r="S253" i="82"/>
  <c r="S254" i="82"/>
  <c r="S255" i="82"/>
  <c r="S256" i="82"/>
  <c r="S257" i="82"/>
  <c r="S258" i="82"/>
  <c r="S259" i="82"/>
  <c r="S260" i="82"/>
  <c r="S261" i="82"/>
  <c r="S262" i="82"/>
  <c r="S263" i="82"/>
  <c r="S264" i="82"/>
  <c r="S265" i="82"/>
  <c r="S266" i="82"/>
  <c r="S267" i="82"/>
  <c r="S268" i="82"/>
  <c r="S269" i="82"/>
  <c r="S270" i="82"/>
  <c r="S271" i="82"/>
  <c r="S272" i="82"/>
  <c r="S273" i="82"/>
  <c r="S274" i="82"/>
  <c r="S275" i="82"/>
  <c r="S276" i="82"/>
  <c r="S277" i="82"/>
  <c r="S278" i="82"/>
  <c r="S279" i="82"/>
  <c r="S280" i="82"/>
  <c r="S281" i="82"/>
  <c r="S282" i="82"/>
  <c r="S283" i="82"/>
  <c r="S284" i="82"/>
  <c r="S285" i="82"/>
  <c r="S286" i="82"/>
  <c r="S287" i="82"/>
  <c r="S288" i="82"/>
  <c r="S289" i="82"/>
  <c r="S290" i="82"/>
  <c r="S291" i="82"/>
  <c r="S292" i="82"/>
  <c r="S293" i="82"/>
  <c r="S294" i="82"/>
  <c r="S295" i="82"/>
  <c r="S296" i="82"/>
  <c r="S297" i="82"/>
  <c r="S298" i="82"/>
  <c r="S299" i="82"/>
  <c r="S300" i="82"/>
  <c r="S301" i="82"/>
  <c r="S302" i="82"/>
  <c r="S303" i="82"/>
  <c r="S304" i="82"/>
  <c r="S305" i="82"/>
  <c r="S306" i="82"/>
  <c r="S307" i="82"/>
  <c r="S308" i="82"/>
  <c r="S309" i="82"/>
  <c r="S310" i="82"/>
  <c r="S311" i="82"/>
  <c r="S312" i="82"/>
  <c r="S313" i="82"/>
  <c r="S314" i="82"/>
  <c r="S315" i="82"/>
  <c r="S316" i="82"/>
  <c r="S317" i="82"/>
  <c r="S318" i="82"/>
  <c r="S319" i="82"/>
  <c r="S320" i="82"/>
  <c r="S321" i="82"/>
  <c r="S322" i="82"/>
  <c r="S323" i="82"/>
  <c r="S324" i="82"/>
  <c r="S325" i="82"/>
  <c r="S326" i="82"/>
  <c r="S327" i="82"/>
  <c r="S328" i="82"/>
  <c r="S329" i="82"/>
  <c r="S330" i="82"/>
  <c r="S331" i="82"/>
  <c r="S332" i="82"/>
  <c r="S333" i="82"/>
  <c r="S334" i="82"/>
  <c r="S335" i="82"/>
  <c r="S336" i="82"/>
  <c r="S337" i="82"/>
  <c r="S338" i="82"/>
  <c r="S339" i="82"/>
  <c r="S340" i="82"/>
  <c r="S341" i="82"/>
  <c r="S342" i="82"/>
  <c r="S343" i="82"/>
  <c r="S344" i="82"/>
  <c r="S345" i="82"/>
  <c r="S346" i="82"/>
  <c r="S347" i="82"/>
  <c r="S348" i="82"/>
  <c r="S349" i="82"/>
  <c r="S350" i="82"/>
  <c r="S351" i="82"/>
  <c r="S352" i="82"/>
  <c r="S353" i="82"/>
  <c r="S354" i="82"/>
  <c r="S355" i="82"/>
  <c r="S356" i="82"/>
  <c r="S357" i="82"/>
  <c r="S358" i="82"/>
  <c r="S359" i="82"/>
  <c r="S360" i="82"/>
  <c r="S361" i="82"/>
  <c r="S362" i="82"/>
  <c r="S363" i="82"/>
  <c r="S364" i="82"/>
  <c r="S365" i="82"/>
  <c r="S366" i="82"/>
  <c r="S367" i="82"/>
  <c r="S368" i="82"/>
  <c r="S369" i="82"/>
  <c r="S370" i="82"/>
  <c r="S371" i="82"/>
  <c r="S372" i="82"/>
  <c r="S373" i="82"/>
  <c r="S374" i="82"/>
  <c r="S375" i="82"/>
  <c r="S376" i="82"/>
  <c r="S377" i="82"/>
  <c r="S378" i="82"/>
  <c r="S379" i="82"/>
  <c r="S380" i="82"/>
  <c r="S381" i="82"/>
  <c r="S382" i="82"/>
  <c r="S383" i="82"/>
  <c r="S384" i="82"/>
  <c r="S385" i="82"/>
  <c r="S386" i="82"/>
  <c r="S387" i="82"/>
  <c r="S388" i="82"/>
  <c r="S389" i="82"/>
  <c r="S390" i="82"/>
  <c r="S391" i="82"/>
  <c r="F81" i="106"/>
  <c r="F80" i="106"/>
  <c r="E101" i="106"/>
  <c r="M101" i="106"/>
  <c r="E107" i="106"/>
  <c r="E102" i="106"/>
  <c r="M102" i="106"/>
  <c r="N102" i="106"/>
  <c r="E108" i="106"/>
  <c r="E103" i="106"/>
  <c r="M103" i="106"/>
  <c r="N103" i="106"/>
  <c r="E109" i="106"/>
  <c r="E104" i="106"/>
  <c r="M104" i="106"/>
  <c r="N104" i="106"/>
  <c r="E110" i="106"/>
  <c r="E105" i="106"/>
  <c r="M105" i="106"/>
  <c r="N105" i="106"/>
  <c r="E111" i="106"/>
  <c r="E106" i="106"/>
  <c r="M106" i="106"/>
  <c r="N106" i="106"/>
  <c r="M107" i="106"/>
  <c r="N107" i="106"/>
  <c r="M108" i="106"/>
  <c r="N108" i="106"/>
  <c r="M109" i="106"/>
  <c r="N109" i="106"/>
  <c r="M110" i="106"/>
  <c r="N110" i="106"/>
  <c r="M111" i="106"/>
  <c r="N111" i="106"/>
  <c r="N101" i="106"/>
  <c r="F37" i="106"/>
  <c r="F36" i="106"/>
  <c r="F35" i="106"/>
  <c r="E57" i="106"/>
  <c r="N57" i="106"/>
  <c r="E58" i="106"/>
  <c r="E59" i="106"/>
  <c r="E60" i="106"/>
  <c r="E61" i="106"/>
  <c r="D37" i="107"/>
  <c r="D38" i="107"/>
  <c r="D39" i="107"/>
  <c r="D40" i="107"/>
  <c r="D41" i="107"/>
  <c r="D42" i="107"/>
  <c r="D43" i="107"/>
  <c r="D44" i="107"/>
  <c r="D45" i="107"/>
  <c r="D46" i="107"/>
  <c r="D36" i="107"/>
  <c r="D19" i="107"/>
  <c r="D20" i="107"/>
  <c r="D21" i="107"/>
  <c r="D22" i="107"/>
  <c r="D23" i="107"/>
  <c r="D24" i="107"/>
  <c r="D25" i="107"/>
  <c r="D26" i="107"/>
  <c r="D27" i="107"/>
  <c r="D28" i="107"/>
  <c r="D29" i="107"/>
  <c r="D30" i="107"/>
  <c r="D31" i="107"/>
  <c r="D32" i="107"/>
  <c r="D18" i="107"/>
  <c r="E93" i="106"/>
  <c r="E92" i="106"/>
  <c r="K4" i="107"/>
  <c r="K3" i="107"/>
  <c r="B14" i="107"/>
  <c r="B13" i="107"/>
  <c r="B12" i="107"/>
  <c r="B11" i="107"/>
  <c r="B10" i="107"/>
  <c r="B9" i="107"/>
  <c r="B8" i="107"/>
  <c r="B7" i="107"/>
  <c r="B6" i="107"/>
  <c r="B5" i="107"/>
  <c r="B4" i="107"/>
  <c r="B3" i="107"/>
  <c r="B2" i="107"/>
  <c r="M112" i="106"/>
  <c r="O112" i="106"/>
  <c r="P112" i="106"/>
  <c r="H112" i="106"/>
  <c r="I112" i="106"/>
  <c r="J112" i="106"/>
  <c r="E112" i="106"/>
  <c r="S111" i="106"/>
  <c r="R111" i="106"/>
  <c r="O111" i="106"/>
  <c r="P111" i="106"/>
  <c r="L111" i="106"/>
  <c r="K111" i="106"/>
  <c r="S110" i="106"/>
  <c r="R110" i="106"/>
  <c r="O110" i="106"/>
  <c r="P110" i="106"/>
  <c r="L110" i="106"/>
  <c r="K110" i="106"/>
  <c r="S109" i="106"/>
  <c r="R109" i="106"/>
  <c r="O109" i="106"/>
  <c r="P109" i="106"/>
  <c r="L109" i="106"/>
  <c r="K109" i="106"/>
  <c r="S108" i="106"/>
  <c r="R108" i="106"/>
  <c r="O108" i="106"/>
  <c r="P108" i="106"/>
  <c r="L108" i="106"/>
  <c r="K108" i="106"/>
  <c r="S107" i="106"/>
  <c r="R107" i="106"/>
  <c r="O107" i="106"/>
  <c r="P107" i="106"/>
  <c r="L107" i="106"/>
  <c r="K107" i="106"/>
  <c r="S106" i="106"/>
  <c r="R106" i="106"/>
  <c r="O106" i="106"/>
  <c r="P106" i="106"/>
  <c r="L106" i="106"/>
  <c r="K106" i="106"/>
  <c r="S105" i="106"/>
  <c r="R105" i="106"/>
  <c r="O105" i="106"/>
  <c r="P105" i="106"/>
  <c r="L105" i="106"/>
  <c r="K105" i="106"/>
  <c r="S104" i="106"/>
  <c r="R104" i="106"/>
  <c r="O104" i="106"/>
  <c r="P104" i="106"/>
  <c r="L104" i="106"/>
  <c r="K104" i="106"/>
  <c r="S103" i="106"/>
  <c r="R103" i="106"/>
  <c r="O103" i="106"/>
  <c r="P103" i="106"/>
  <c r="L103" i="106"/>
  <c r="K103" i="106"/>
  <c r="S102" i="106"/>
  <c r="R102" i="106"/>
  <c r="O102" i="106"/>
  <c r="P102" i="106"/>
  <c r="L102" i="106"/>
  <c r="K102" i="106"/>
  <c r="S101" i="106"/>
  <c r="R101" i="106"/>
  <c r="O101" i="106"/>
  <c r="P101" i="106"/>
  <c r="L101" i="106"/>
  <c r="K101" i="106"/>
  <c r="E94" i="106"/>
  <c r="F94" i="106"/>
  <c r="G94" i="106"/>
  <c r="H94" i="106"/>
  <c r="I93" i="106"/>
  <c r="G93" i="106"/>
  <c r="H93" i="106"/>
  <c r="I92" i="106"/>
  <c r="G92" i="106"/>
  <c r="H92" i="106"/>
  <c r="I91" i="106"/>
  <c r="G91" i="106"/>
  <c r="H91" i="106"/>
  <c r="I90" i="106"/>
  <c r="G90" i="106"/>
  <c r="H90" i="106"/>
  <c r="I89" i="106"/>
  <c r="G89" i="106"/>
  <c r="H89" i="106"/>
  <c r="I88" i="106"/>
  <c r="G88" i="106"/>
  <c r="H88" i="106"/>
  <c r="E82" i="106"/>
  <c r="F82" i="106"/>
  <c r="G82" i="106"/>
  <c r="H82" i="106"/>
  <c r="I81" i="106"/>
  <c r="G81" i="106"/>
  <c r="H81" i="106"/>
  <c r="I80" i="106"/>
  <c r="G80" i="106"/>
  <c r="H80" i="106"/>
  <c r="P72" i="106"/>
  <c r="J72" i="106"/>
  <c r="E72" i="106"/>
  <c r="S71" i="106"/>
  <c r="R71" i="106"/>
  <c r="O71" i="106"/>
  <c r="P71" i="106"/>
  <c r="N71" i="106"/>
  <c r="L71" i="106"/>
  <c r="K71" i="106"/>
  <c r="S70" i="106"/>
  <c r="R70" i="106"/>
  <c r="O70" i="106"/>
  <c r="P70" i="106"/>
  <c r="N70" i="106"/>
  <c r="L70" i="106"/>
  <c r="K70" i="106"/>
  <c r="S69" i="106"/>
  <c r="R69" i="106"/>
  <c r="O69" i="106"/>
  <c r="P69" i="106"/>
  <c r="N69" i="106"/>
  <c r="L69" i="106"/>
  <c r="K69" i="106"/>
  <c r="S68" i="106"/>
  <c r="R68" i="106"/>
  <c r="O68" i="106"/>
  <c r="P68" i="106"/>
  <c r="N68" i="106"/>
  <c r="L68" i="106"/>
  <c r="K68" i="106"/>
  <c r="S67" i="106"/>
  <c r="R67" i="106"/>
  <c r="O67" i="106"/>
  <c r="P67" i="106"/>
  <c r="N67" i="106"/>
  <c r="L67" i="106"/>
  <c r="K67" i="106"/>
  <c r="S66" i="106"/>
  <c r="R66" i="106"/>
  <c r="O66" i="106"/>
  <c r="P66" i="106"/>
  <c r="N66" i="106"/>
  <c r="L66" i="106"/>
  <c r="K66" i="106"/>
  <c r="S65" i="106"/>
  <c r="R65" i="106"/>
  <c r="O65" i="106"/>
  <c r="P65" i="106"/>
  <c r="N65" i="106"/>
  <c r="L65" i="106"/>
  <c r="K65" i="106"/>
  <c r="S64" i="106"/>
  <c r="R64" i="106"/>
  <c r="O64" i="106"/>
  <c r="P64" i="106"/>
  <c r="N64" i="106"/>
  <c r="L64" i="106"/>
  <c r="K64" i="106"/>
  <c r="S63" i="106"/>
  <c r="R63" i="106"/>
  <c r="O63" i="106"/>
  <c r="P63" i="106"/>
  <c r="N63" i="106"/>
  <c r="L63" i="106"/>
  <c r="K63" i="106"/>
  <c r="S62" i="106"/>
  <c r="R62" i="106"/>
  <c r="O62" i="106"/>
  <c r="P62" i="106"/>
  <c r="N62" i="106"/>
  <c r="L62" i="106"/>
  <c r="K62" i="106"/>
  <c r="S61" i="106"/>
  <c r="R61" i="106"/>
  <c r="O61" i="106"/>
  <c r="P61" i="106"/>
  <c r="N61" i="106"/>
  <c r="L61" i="106"/>
  <c r="K61" i="106"/>
  <c r="S60" i="106"/>
  <c r="R60" i="106"/>
  <c r="O60" i="106"/>
  <c r="P60" i="106"/>
  <c r="N60" i="106"/>
  <c r="L60" i="106"/>
  <c r="K60" i="106"/>
  <c r="S59" i="106"/>
  <c r="R59" i="106"/>
  <c r="O59" i="106"/>
  <c r="P59" i="106"/>
  <c r="N59" i="106"/>
  <c r="L59" i="106"/>
  <c r="K59" i="106"/>
  <c r="S58" i="106"/>
  <c r="R58" i="106"/>
  <c r="O58" i="106"/>
  <c r="P58" i="106"/>
  <c r="N58" i="106"/>
  <c r="L58" i="106"/>
  <c r="K58" i="106"/>
  <c r="S57" i="106"/>
  <c r="R57" i="106"/>
  <c r="O57" i="106"/>
  <c r="P57" i="106"/>
  <c r="L57" i="106"/>
  <c r="K57" i="106"/>
  <c r="H54" i="106"/>
  <c r="H53" i="106"/>
  <c r="F50" i="106"/>
  <c r="G50" i="106"/>
  <c r="H50" i="106"/>
  <c r="I49" i="106"/>
  <c r="G49" i="106"/>
  <c r="H49" i="106"/>
  <c r="I48" i="106"/>
  <c r="G48" i="106"/>
  <c r="H48" i="106"/>
  <c r="I47" i="106"/>
  <c r="G47" i="106"/>
  <c r="H47" i="106"/>
  <c r="I46" i="106"/>
  <c r="G46" i="106"/>
  <c r="H46" i="106"/>
  <c r="I45" i="106"/>
  <c r="G45" i="106"/>
  <c r="H45" i="106"/>
  <c r="I44" i="106"/>
  <c r="G44" i="106"/>
  <c r="H44" i="106"/>
  <c r="F38" i="106"/>
  <c r="G38" i="106"/>
  <c r="H38" i="106"/>
  <c r="I37" i="106"/>
  <c r="G37" i="106"/>
  <c r="H37" i="106"/>
  <c r="I36" i="106"/>
  <c r="G36" i="106"/>
  <c r="H36" i="106"/>
  <c r="I35" i="106"/>
  <c r="G35" i="106"/>
  <c r="H35" i="106"/>
  <c r="F11" i="106"/>
  <c r="E16" i="106"/>
  <c r="F6" i="106"/>
  <c r="E15" i="106"/>
  <c r="F12" i="106"/>
  <c r="F10" i="106"/>
  <c r="F9" i="106"/>
  <c r="F8" i="106"/>
  <c r="F7" i="106"/>
  <c r="D10" i="105"/>
  <c r="D7" i="105"/>
  <c r="A10" i="105"/>
  <c r="A7" i="105"/>
  <c r="B11" i="104"/>
  <c r="R391" i="82"/>
  <c r="Q391" i="82"/>
  <c r="P391" i="82"/>
  <c r="O391" i="82"/>
  <c r="L391" i="82"/>
  <c r="K391" i="82"/>
  <c r="J391" i="82"/>
  <c r="G391" i="82"/>
  <c r="C391" i="82"/>
  <c r="A391" i="82"/>
  <c r="R390" i="82"/>
  <c r="Q390" i="82"/>
  <c r="P390" i="82"/>
  <c r="O390" i="82"/>
  <c r="L390" i="82"/>
  <c r="K390" i="82"/>
  <c r="J390" i="82"/>
  <c r="G390" i="82"/>
  <c r="C390" i="82"/>
  <c r="A390" i="82"/>
  <c r="R389" i="82"/>
  <c r="Q389" i="82"/>
  <c r="P389" i="82"/>
  <c r="O389" i="82"/>
  <c r="L389" i="82"/>
  <c r="K389" i="82"/>
  <c r="J389" i="82"/>
  <c r="G389" i="82"/>
  <c r="C389" i="82"/>
  <c r="A389" i="82"/>
  <c r="R388" i="82"/>
  <c r="Q388" i="82"/>
  <c r="P388" i="82"/>
  <c r="O388" i="82"/>
  <c r="L388" i="82"/>
  <c r="K388" i="82"/>
  <c r="J388" i="82"/>
  <c r="G388" i="82"/>
  <c r="C388" i="82"/>
  <c r="A388" i="82"/>
  <c r="R387" i="82"/>
  <c r="Q387" i="82"/>
  <c r="P387" i="82"/>
  <c r="O387" i="82"/>
  <c r="L387" i="82"/>
  <c r="K387" i="82"/>
  <c r="J387" i="82"/>
  <c r="G387" i="82"/>
  <c r="C387" i="82"/>
  <c r="A387" i="82"/>
  <c r="R386" i="82"/>
  <c r="Q386" i="82"/>
  <c r="P386" i="82"/>
  <c r="O386" i="82"/>
  <c r="L386" i="82"/>
  <c r="K386" i="82"/>
  <c r="J386" i="82"/>
  <c r="G386" i="82"/>
  <c r="C386" i="82"/>
  <c r="A386" i="82"/>
  <c r="R385" i="82"/>
  <c r="Q385" i="82"/>
  <c r="P385" i="82"/>
  <c r="O385" i="82"/>
  <c r="L385" i="82"/>
  <c r="K385" i="82"/>
  <c r="J385" i="82"/>
  <c r="G385" i="82"/>
  <c r="C385" i="82"/>
  <c r="A385" i="82"/>
  <c r="R384" i="82"/>
  <c r="Q384" i="82"/>
  <c r="P384" i="82"/>
  <c r="O384" i="82"/>
  <c r="L384" i="82"/>
  <c r="K384" i="82"/>
  <c r="J384" i="82"/>
  <c r="G384" i="82"/>
  <c r="C384" i="82"/>
  <c r="A384" i="82"/>
  <c r="R224" i="82"/>
  <c r="Q224" i="82"/>
  <c r="P224" i="82"/>
  <c r="O224" i="82"/>
  <c r="L224" i="82"/>
  <c r="K224" i="82"/>
  <c r="J224" i="82"/>
  <c r="G224" i="82"/>
  <c r="C224" i="82"/>
  <c r="A224" i="82"/>
  <c r="R223" i="82"/>
  <c r="Q223" i="82"/>
  <c r="P223" i="82"/>
  <c r="O223" i="82"/>
  <c r="L223" i="82"/>
  <c r="K223" i="82"/>
  <c r="J223" i="82"/>
  <c r="G223" i="82"/>
  <c r="C223" i="82"/>
  <c r="A223" i="82"/>
  <c r="R222" i="82"/>
  <c r="Q222" i="82"/>
  <c r="P222" i="82"/>
  <c r="O222" i="82"/>
  <c r="L222" i="82"/>
  <c r="K222" i="82"/>
  <c r="J222" i="82"/>
  <c r="G222" i="82"/>
  <c r="C222" i="82"/>
  <c r="A222" i="82"/>
  <c r="R221" i="82"/>
  <c r="Q221" i="82"/>
  <c r="P221" i="82"/>
  <c r="O221" i="82"/>
  <c r="L221" i="82"/>
  <c r="K221" i="82"/>
  <c r="J221" i="82"/>
  <c r="G221" i="82"/>
  <c r="C221" i="82"/>
  <c r="A221" i="82"/>
  <c r="R220" i="82"/>
  <c r="Q220" i="82"/>
  <c r="P220" i="82"/>
  <c r="O220" i="82"/>
  <c r="L220" i="82"/>
  <c r="K220" i="82"/>
  <c r="J220" i="82"/>
  <c r="G220" i="82"/>
  <c r="C220" i="82"/>
  <c r="A220" i="82"/>
  <c r="R219" i="82"/>
  <c r="Q219" i="82"/>
  <c r="P219" i="82"/>
  <c r="O219" i="82"/>
  <c r="L219" i="82"/>
  <c r="K219" i="82"/>
  <c r="J219" i="82"/>
  <c r="G219" i="82"/>
  <c r="C219" i="82"/>
  <c r="A219" i="82"/>
  <c r="R218" i="82"/>
  <c r="Q218" i="82"/>
  <c r="P218" i="82"/>
  <c r="O218" i="82"/>
  <c r="L218" i="82"/>
  <c r="K218" i="82"/>
  <c r="J218" i="82"/>
  <c r="G218" i="82"/>
  <c r="C218" i="82"/>
  <c r="A218" i="82"/>
  <c r="R217" i="82"/>
  <c r="Q217" i="82"/>
  <c r="P217" i="82"/>
  <c r="O217" i="82"/>
  <c r="L217" i="82"/>
  <c r="K217" i="82"/>
  <c r="J217" i="82"/>
  <c r="G217" i="82"/>
  <c r="C217" i="82"/>
  <c r="A217" i="82"/>
  <c r="R216" i="82"/>
  <c r="Q216" i="82"/>
  <c r="P216" i="82"/>
  <c r="O216" i="82"/>
  <c r="L216" i="82"/>
  <c r="K216" i="82"/>
  <c r="J216" i="82"/>
  <c r="G216" i="82"/>
  <c r="C216" i="82"/>
  <c r="A216" i="82"/>
  <c r="R215" i="82"/>
  <c r="Q215" i="82"/>
  <c r="P215" i="82"/>
  <c r="O215" i="82"/>
  <c r="L215" i="82"/>
  <c r="K215" i="82"/>
  <c r="J215" i="82"/>
  <c r="G215" i="82"/>
  <c r="C215" i="82"/>
  <c r="A215" i="82"/>
  <c r="B10" i="104"/>
  <c r="G382" i="82"/>
  <c r="B9" i="104"/>
  <c r="B8" i="104"/>
  <c r="B7" i="104"/>
  <c r="B6" i="104"/>
  <c r="B5" i="104"/>
  <c r="R210" i="82"/>
  <c r="Q210" i="82"/>
  <c r="P210" i="82"/>
  <c r="O210" i="82"/>
  <c r="L210" i="82"/>
  <c r="K210" i="82"/>
  <c r="J210" i="82"/>
  <c r="G210" i="82"/>
  <c r="C210" i="82"/>
  <c r="A210" i="82"/>
  <c r="R214" i="82"/>
  <c r="Q214" i="82"/>
  <c r="P214" i="82"/>
  <c r="O214" i="82"/>
  <c r="L214" i="82"/>
  <c r="K214" i="82"/>
  <c r="J214" i="82"/>
  <c r="G214" i="82"/>
  <c r="C214" i="82"/>
  <c r="A214" i="82"/>
  <c r="R213" i="82"/>
  <c r="Q213" i="82"/>
  <c r="P213" i="82"/>
  <c r="O213" i="82"/>
  <c r="L213" i="82"/>
  <c r="K213" i="82"/>
  <c r="J213" i="82"/>
  <c r="G213" i="82"/>
  <c r="C213" i="82"/>
  <c r="A213" i="82"/>
  <c r="R212" i="82"/>
  <c r="Q212" i="82"/>
  <c r="P212" i="82"/>
  <c r="O212" i="82"/>
  <c r="L212" i="82"/>
  <c r="K212" i="82"/>
  <c r="J212" i="82"/>
  <c r="G212" i="82"/>
  <c r="C212" i="82"/>
  <c r="A212" i="82"/>
  <c r="R211" i="82"/>
  <c r="Q211" i="82"/>
  <c r="P211" i="82"/>
  <c r="O211" i="82"/>
  <c r="L211" i="82"/>
  <c r="K211" i="82"/>
  <c r="J211" i="82"/>
  <c r="G211" i="82"/>
  <c r="C211" i="82"/>
  <c r="A211" i="82"/>
  <c r="R209" i="82"/>
  <c r="Q209" i="82"/>
  <c r="P209" i="82"/>
  <c r="O209" i="82"/>
  <c r="L209" i="82"/>
  <c r="K209" i="82"/>
  <c r="J209" i="82"/>
  <c r="G209" i="82"/>
  <c r="C209" i="82"/>
  <c r="A209" i="82"/>
  <c r="R208" i="82"/>
  <c r="Q208" i="82"/>
  <c r="P208" i="82"/>
  <c r="O208" i="82"/>
  <c r="L208" i="82"/>
  <c r="K208" i="82"/>
  <c r="J208" i="82"/>
  <c r="G208" i="82"/>
  <c r="C208" i="82"/>
  <c r="A208" i="82"/>
  <c r="R207" i="82"/>
  <c r="Q207" i="82"/>
  <c r="P207" i="82"/>
  <c r="O207" i="82"/>
  <c r="L207" i="82"/>
  <c r="K207" i="82"/>
  <c r="J207" i="82"/>
  <c r="G207" i="82"/>
  <c r="C207" i="82"/>
  <c r="A207" i="82"/>
  <c r="R206" i="82"/>
  <c r="Q206" i="82"/>
  <c r="P206" i="82"/>
  <c r="O206" i="82"/>
  <c r="L206" i="82"/>
  <c r="K206" i="82"/>
  <c r="J206" i="82"/>
  <c r="G206" i="82"/>
  <c r="C206" i="82"/>
  <c r="A206" i="82"/>
  <c r="A376" i="82"/>
  <c r="C376" i="82"/>
  <c r="G376" i="82"/>
  <c r="J376" i="82"/>
  <c r="K376" i="82"/>
  <c r="L376" i="82"/>
  <c r="O376" i="82"/>
  <c r="P376" i="82"/>
  <c r="Q376" i="82"/>
  <c r="R376" i="82"/>
  <c r="A377" i="82"/>
  <c r="C377" i="82"/>
  <c r="G377" i="82"/>
  <c r="J377" i="82"/>
  <c r="K377" i="82"/>
  <c r="L377" i="82"/>
  <c r="O377" i="82"/>
  <c r="P377" i="82"/>
  <c r="Q377" i="82"/>
  <c r="R377" i="82"/>
  <c r="A378" i="82"/>
  <c r="C378" i="82"/>
  <c r="G378" i="82"/>
  <c r="J378" i="82"/>
  <c r="K378" i="82"/>
  <c r="L378" i="82"/>
  <c r="O378" i="82"/>
  <c r="P378" i="82"/>
  <c r="Q378" i="82"/>
  <c r="R378" i="82"/>
  <c r="A379" i="82"/>
  <c r="C379" i="82"/>
  <c r="G379" i="82"/>
  <c r="J379" i="82"/>
  <c r="K379" i="82"/>
  <c r="L379" i="82"/>
  <c r="O379" i="82"/>
  <c r="P379" i="82"/>
  <c r="Q379" i="82"/>
  <c r="R379" i="82"/>
  <c r="A380" i="82"/>
  <c r="C380" i="82"/>
  <c r="G380" i="82"/>
  <c r="J380" i="82"/>
  <c r="K380" i="82"/>
  <c r="L380" i="82"/>
  <c r="O380" i="82"/>
  <c r="P380" i="82"/>
  <c r="Q380" i="82"/>
  <c r="R380" i="82"/>
  <c r="A381" i="82"/>
  <c r="C381" i="82"/>
  <c r="G381" i="82"/>
  <c r="J381" i="82"/>
  <c r="K381" i="82"/>
  <c r="L381" i="82"/>
  <c r="O381" i="82"/>
  <c r="P381" i="82"/>
  <c r="Q381" i="82"/>
  <c r="R381" i="82"/>
  <c r="A382" i="82"/>
  <c r="C382" i="82"/>
  <c r="J382" i="82"/>
  <c r="K382" i="82"/>
  <c r="L382" i="82"/>
  <c r="O382" i="82"/>
  <c r="P382" i="82"/>
  <c r="Q382" i="82"/>
  <c r="R382" i="82"/>
  <c r="A383" i="82"/>
  <c r="C383" i="82"/>
  <c r="G383" i="82"/>
  <c r="J383" i="82"/>
  <c r="K383" i="82"/>
  <c r="L383" i="82"/>
  <c r="O383" i="82"/>
  <c r="P383" i="82"/>
  <c r="Q383" i="82"/>
  <c r="R383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O142" i="82"/>
  <c r="P142" i="82"/>
  <c r="Q142" i="82"/>
  <c r="R142" i="82"/>
  <c r="O143" i="82"/>
  <c r="P143" i="82"/>
  <c r="Q143" i="82"/>
  <c r="R143" i="82"/>
  <c r="O144" i="82"/>
  <c r="P144" i="82"/>
  <c r="Q144" i="82"/>
  <c r="R144" i="82"/>
  <c r="O145" i="82"/>
  <c r="P145" i="82"/>
  <c r="Q145" i="82"/>
  <c r="R145" i="82"/>
  <c r="O146" i="82"/>
  <c r="P146" i="82"/>
  <c r="Q146" i="82"/>
  <c r="R146" i="82"/>
  <c r="O147" i="82"/>
  <c r="P147" i="82"/>
  <c r="Q147" i="82"/>
  <c r="R147" i="82"/>
  <c r="O148" i="82"/>
  <c r="P148" i="82"/>
  <c r="Q148" i="82"/>
  <c r="R148" i="82"/>
  <c r="O149" i="82"/>
  <c r="P149" i="82"/>
  <c r="Q149" i="82"/>
  <c r="R149" i="82"/>
  <c r="O150" i="82"/>
  <c r="P150" i="82"/>
  <c r="Q150" i="82"/>
  <c r="R150" i="82"/>
  <c r="O151" i="82"/>
  <c r="P151" i="82"/>
  <c r="Q151" i="82"/>
  <c r="R151" i="82"/>
  <c r="O152" i="82"/>
  <c r="P152" i="82"/>
  <c r="Q152" i="82"/>
  <c r="R152" i="82"/>
  <c r="O153" i="82"/>
  <c r="P153" i="82"/>
  <c r="Q153" i="82"/>
  <c r="R153" i="82"/>
  <c r="O154" i="82"/>
  <c r="P154" i="82"/>
  <c r="Q154" i="82"/>
  <c r="R154" i="82"/>
  <c r="O155" i="82"/>
  <c r="P155" i="82"/>
  <c r="Q155" i="82"/>
  <c r="R155" i="82"/>
  <c r="O156" i="82"/>
  <c r="P156" i="82"/>
  <c r="Q156" i="82"/>
  <c r="R156" i="82"/>
  <c r="O157" i="82"/>
  <c r="P157" i="82"/>
  <c r="Q157" i="82"/>
  <c r="R157" i="82"/>
  <c r="O158" i="82"/>
  <c r="P158" i="82"/>
  <c r="Q158" i="82"/>
  <c r="R158" i="82"/>
  <c r="O159" i="82"/>
  <c r="P159" i="82"/>
  <c r="Q159" i="82"/>
  <c r="R159" i="82"/>
  <c r="O160" i="82"/>
  <c r="P160" i="82"/>
  <c r="Q160" i="82"/>
  <c r="R160" i="82"/>
  <c r="O161" i="82"/>
  <c r="P161" i="82"/>
  <c r="Q161" i="82"/>
  <c r="R161" i="82"/>
  <c r="O162" i="82"/>
  <c r="P162" i="82"/>
  <c r="Q162" i="82"/>
  <c r="R162" i="82"/>
  <c r="O163" i="82"/>
  <c r="P163" i="82"/>
  <c r="Q163" i="82"/>
  <c r="R163" i="82"/>
  <c r="O164" i="82"/>
  <c r="P164" i="82"/>
  <c r="Q164" i="82"/>
  <c r="R164" i="82"/>
  <c r="O165" i="82"/>
  <c r="P165" i="82"/>
  <c r="Q165" i="82"/>
  <c r="R165" i="82"/>
  <c r="O166" i="82"/>
  <c r="P166" i="82"/>
  <c r="Q166" i="82"/>
  <c r="R166" i="82"/>
  <c r="O167" i="82"/>
  <c r="P167" i="82"/>
  <c r="Q167" i="82"/>
  <c r="R167" i="82"/>
  <c r="O168" i="82"/>
  <c r="P168" i="82"/>
  <c r="Q168" i="82"/>
  <c r="R168" i="82"/>
  <c r="O169" i="82"/>
  <c r="P169" i="82"/>
  <c r="Q169" i="82"/>
  <c r="R169" i="82"/>
  <c r="O170" i="82"/>
  <c r="P170" i="82"/>
  <c r="Q170" i="82"/>
  <c r="R170" i="82"/>
  <c r="O171" i="82"/>
  <c r="P171" i="82"/>
  <c r="Q171" i="82"/>
  <c r="R171" i="82"/>
  <c r="O172" i="82"/>
  <c r="P172" i="82"/>
  <c r="Q172" i="82"/>
  <c r="R172" i="82"/>
  <c r="O173" i="82"/>
  <c r="P173" i="82"/>
  <c r="Q173" i="82"/>
  <c r="R173" i="82"/>
  <c r="O174" i="82"/>
  <c r="P174" i="82"/>
  <c r="Q174" i="82"/>
  <c r="R174" i="82"/>
  <c r="O175" i="82"/>
  <c r="P175" i="82"/>
  <c r="Q175" i="82"/>
  <c r="R175" i="82"/>
  <c r="O176" i="82"/>
  <c r="P176" i="82"/>
  <c r="Q176" i="82"/>
  <c r="R176" i="82"/>
  <c r="O177" i="82"/>
  <c r="P177" i="82"/>
  <c r="Q177" i="82"/>
  <c r="R177" i="82"/>
  <c r="O178" i="82"/>
  <c r="P178" i="82"/>
  <c r="Q178" i="82"/>
  <c r="R178" i="82"/>
  <c r="O179" i="82"/>
  <c r="P179" i="82"/>
  <c r="Q179" i="82"/>
  <c r="R179" i="82"/>
  <c r="O180" i="82"/>
  <c r="P180" i="82"/>
  <c r="Q180" i="82"/>
  <c r="R180" i="82"/>
  <c r="O181" i="82"/>
  <c r="P181" i="82"/>
  <c r="Q181" i="82"/>
  <c r="R181" i="82"/>
  <c r="O182" i="82"/>
  <c r="P182" i="82"/>
  <c r="Q182" i="82"/>
  <c r="R182" i="82"/>
  <c r="O183" i="82"/>
  <c r="P183" i="82"/>
  <c r="Q183" i="82"/>
  <c r="R183" i="82"/>
  <c r="O184" i="82"/>
  <c r="P184" i="82"/>
  <c r="Q184" i="82"/>
  <c r="R184" i="82"/>
  <c r="O185" i="82"/>
  <c r="P185" i="82"/>
  <c r="Q185" i="82"/>
  <c r="R185" i="82"/>
  <c r="O186" i="82"/>
  <c r="P186" i="82"/>
  <c r="Q186" i="82"/>
  <c r="R186" i="82"/>
  <c r="O187" i="82"/>
  <c r="P187" i="82"/>
  <c r="Q187" i="82"/>
  <c r="R187" i="82"/>
  <c r="O188" i="82"/>
  <c r="P188" i="82"/>
  <c r="Q188" i="82"/>
  <c r="R188" i="82"/>
  <c r="O189" i="82"/>
  <c r="P189" i="82"/>
  <c r="Q189" i="82"/>
  <c r="R189" i="82"/>
  <c r="O190" i="82"/>
  <c r="P190" i="82"/>
  <c r="Q190" i="82"/>
  <c r="R190" i="82"/>
  <c r="O191" i="82"/>
  <c r="P191" i="82"/>
  <c r="Q191" i="82"/>
  <c r="R191" i="82"/>
  <c r="O192" i="82"/>
  <c r="P192" i="82"/>
  <c r="Q192" i="82"/>
  <c r="R192" i="82"/>
  <c r="O193" i="82"/>
  <c r="P193" i="82"/>
  <c r="Q193" i="82"/>
  <c r="R193" i="82"/>
  <c r="O194" i="82"/>
  <c r="P194" i="82"/>
  <c r="Q194" i="82"/>
  <c r="R194" i="82"/>
  <c r="O195" i="82"/>
  <c r="P195" i="82"/>
  <c r="Q195" i="82"/>
  <c r="R195" i="82"/>
  <c r="O196" i="82"/>
  <c r="P196" i="82"/>
  <c r="Q196" i="82"/>
  <c r="R196" i="82"/>
  <c r="O197" i="82"/>
  <c r="P197" i="82"/>
  <c r="Q197" i="82"/>
  <c r="R197" i="82"/>
  <c r="O198" i="82"/>
  <c r="P198" i="82"/>
  <c r="Q198" i="82"/>
  <c r="R198" i="82"/>
  <c r="O199" i="82"/>
  <c r="P199" i="82"/>
  <c r="Q199" i="82"/>
  <c r="R199" i="82"/>
  <c r="O200" i="82"/>
  <c r="P200" i="82"/>
  <c r="Q200" i="82"/>
  <c r="R200" i="82"/>
  <c r="O201" i="82"/>
  <c r="P201" i="82"/>
  <c r="Q201" i="82"/>
  <c r="R201" i="82"/>
  <c r="O202" i="82"/>
  <c r="P202" i="82"/>
  <c r="Q202" i="82"/>
  <c r="R202" i="82"/>
  <c r="O203" i="82"/>
  <c r="P203" i="82"/>
  <c r="Q203" i="82"/>
  <c r="R203" i="82"/>
  <c r="O204" i="82"/>
  <c r="P204" i="82"/>
  <c r="Q204" i="82"/>
  <c r="R204" i="82"/>
  <c r="O205" i="82"/>
  <c r="P205" i="82"/>
  <c r="Q205" i="82"/>
  <c r="R205" i="82"/>
  <c r="O236" i="82"/>
  <c r="P236" i="82"/>
  <c r="Q236" i="82"/>
  <c r="R236" i="82"/>
  <c r="O237" i="82"/>
  <c r="P237" i="82"/>
  <c r="Q237" i="82"/>
  <c r="R237" i="82"/>
  <c r="O238" i="82"/>
  <c r="P238" i="82"/>
  <c r="Q238" i="82"/>
  <c r="R238" i="82"/>
  <c r="O239" i="82"/>
  <c r="P239" i="82"/>
  <c r="Q239" i="82"/>
  <c r="R239" i="82"/>
  <c r="O240" i="82"/>
  <c r="P240" i="82"/>
  <c r="Q240" i="82"/>
  <c r="R240" i="82"/>
  <c r="O241" i="82"/>
  <c r="P241" i="82"/>
  <c r="Q241" i="82"/>
  <c r="R241" i="82"/>
  <c r="O242" i="82"/>
  <c r="P242" i="82"/>
  <c r="Q242" i="82"/>
  <c r="R242" i="82"/>
  <c r="O243" i="82"/>
  <c r="P243" i="82"/>
  <c r="Q243" i="82"/>
  <c r="R243" i="82"/>
  <c r="O244" i="82"/>
  <c r="P244" i="82"/>
  <c r="Q244" i="82"/>
  <c r="R244" i="82"/>
  <c r="O245" i="82"/>
  <c r="P245" i="82"/>
  <c r="Q245" i="82"/>
  <c r="R245" i="82"/>
  <c r="O246" i="82"/>
  <c r="P246" i="82"/>
  <c r="Q246" i="82"/>
  <c r="R246" i="82"/>
  <c r="O247" i="82"/>
  <c r="P247" i="82"/>
  <c r="Q247" i="82"/>
  <c r="R247" i="82"/>
  <c r="O248" i="82"/>
  <c r="P248" i="82"/>
  <c r="Q248" i="82"/>
  <c r="R248" i="82"/>
  <c r="O249" i="82"/>
  <c r="P249" i="82"/>
  <c r="Q249" i="82"/>
  <c r="R249" i="82"/>
  <c r="O250" i="82"/>
  <c r="P250" i="82"/>
  <c r="Q250" i="82"/>
  <c r="R250" i="82"/>
  <c r="O251" i="82"/>
  <c r="P251" i="82"/>
  <c r="Q251" i="82"/>
  <c r="R251" i="82"/>
  <c r="O252" i="82"/>
  <c r="P252" i="82"/>
  <c r="Q252" i="82"/>
  <c r="R252" i="82"/>
  <c r="O253" i="82"/>
  <c r="P253" i="82"/>
  <c r="Q253" i="82"/>
  <c r="R253" i="82"/>
  <c r="O254" i="82"/>
  <c r="P254" i="82"/>
  <c r="Q254" i="82"/>
  <c r="R254" i="82"/>
  <c r="O255" i="82"/>
  <c r="P255" i="82"/>
  <c r="Q255" i="82"/>
  <c r="R255" i="82"/>
  <c r="O256" i="82"/>
  <c r="P256" i="82"/>
  <c r="Q256" i="82"/>
  <c r="R256" i="82"/>
  <c r="O257" i="82"/>
  <c r="P257" i="82"/>
  <c r="Q257" i="82"/>
  <c r="R257" i="82"/>
  <c r="O258" i="82"/>
  <c r="P258" i="82"/>
  <c r="Q258" i="82"/>
  <c r="R258" i="82"/>
  <c r="O259" i="82"/>
  <c r="P259" i="82"/>
  <c r="Q259" i="82"/>
  <c r="R259" i="82"/>
  <c r="O260" i="82"/>
  <c r="P260" i="82"/>
  <c r="Q260" i="82"/>
  <c r="R260" i="82"/>
  <c r="O261" i="82"/>
  <c r="P261" i="82"/>
  <c r="Q261" i="82"/>
  <c r="R261" i="82"/>
  <c r="O262" i="82"/>
  <c r="P262" i="82"/>
  <c r="Q262" i="82"/>
  <c r="R262" i="82"/>
  <c r="O263" i="82"/>
  <c r="P263" i="82"/>
  <c r="Q263" i="82"/>
  <c r="R263" i="82"/>
  <c r="O264" i="82"/>
  <c r="P264" i="82"/>
  <c r="Q264" i="82"/>
  <c r="R264" i="82"/>
  <c r="O265" i="82"/>
  <c r="P265" i="82"/>
  <c r="Q265" i="82"/>
  <c r="R265" i="82"/>
  <c r="O266" i="82"/>
  <c r="P266" i="82"/>
  <c r="Q266" i="82"/>
  <c r="R266" i="82"/>
  <c r="O267" i="82"/>
  <c r="P267" i="82"/>
  <c r="Q267" i="82"/>
  <c r="R267" i="82"/>
  <c r="O268" i="82"/>
  <c r="P268" i="82"/>
  <c r="Q268" i="82"/>
  <c r="R268" i="82"/>
  <c r="O269" i="82"/>
  <c r="P269" i="82"/>
  <c r="Q269" i="82"/>
  <c r="R269" i="82"/>
  <c r="O270" i="82"/>
  <c r="P270" i="82"/>
  <c r="Q270" i="82"/>
  <c r="R270" i="82"/>
  <c r="O271" i="82"/>
  <c r="P271" i="82"/>
  <c r="Q271" i="82"/>
  <c r="R271" i="82"/>
  <c r="O272" i="82"/>
  <c r="P272" i="82"/>
  <c r="Q272" i="82"/>
  <c r="R272" i="82"/>
  <c r="O273" i="82"/>
  <c r="P273" i="82"/>
  <c r="Q273" i="82"/>
  <c r="R273" i="82"/>
  <c r="O274" i="82"/>
  <c r="P274" i="82"/>
  <c r="Q274" i="82"/>
  <c r="R274" i="82"/>
  <c r="O275" i="82"/>
  <c r="P275" i="82"/>
  <c r="Q275" i="82"/>
  <c r="R275" i="82"/>
  <c r="O276" i="82"/>
  <c r="P276" i="82"/>
  <c r="Q276" i="82"/>
  <c r="R276" i="82"/>
  <c r="O277" i="82"/>
  <c r="P277" i="82"/>
  <c r="Q277" i="82"/>
  <c r="R277" i="82"/>
  <c r="O278" i="82"/>
  <c r="P278" i="82"/>
  <c r="Q278" i="82"/>
  <c r="R278" i="82"/>
  <c r="O279" i="82"/>
  <c r="P279" i="82"/>
  <c r="Q279" i="82"/>
  <c r="R279" i="82"/>
  <c r="O280" i="82"/>
  <c r="P280" i="82"/>
  <c r="Q280" i="82"/>
  <c r="R280" i="82"/>
  <c r="O281" i="82"/>
  <c r="P281" i="82"/>
  <c r="Q281" i="82"/>
  <c r="R281" i="82"/>
  <c r="O282" i="82"/>
  <c r="P282" i="82"/>
  <c r="Q282" i="82"/>
  <c r="R282" i="82"/>
  <c r="O283" i="82"/>
  <c r="P283" i="82"/>
  <c r="Q283" i="82"/>
  <c r="R283" i="82"/>
  <c r="O284" i="82"/>
  <c r="P284" i="82"/>
  <c r="Q284" i="82"/>
  <c r="R284" i="82"/>
  <c r="O285" i="82"/>
  <c r="P285" i="82"/>
  <c r="Q285" i="82"/>
  <c r="R285" i="82"/>
  <c r="O286" i="82"/>
  <c r="P286" i="82"/>
  <c r="Q286" i="82"/>
  <c r="R286" i="82"/>
  <c r="O287" i="82"/>
  <c r="P287" i="82"/>
  <c r="Q287" i="82"/>
  <c r="R287" i="82"/>
  <c r="O288" i="82"/>
  <c r="P288" i="82"/>
  <c r="Q288" i="82"/>
  <c r="R288" i="82"/>
  <c r="O289" i="82"/>
  <c r="P289" i="82"/>
  <c r="Q289" i="82"/>
  <c r="R289" i="82"/>
  <c r="O290" i="82"/>
  <c r="P290" i="82"/>
  <c r="Q290" i="82"/>
  <c r="R290" i="82"/>
  <c r="O291" i="82"/>
  <c r="P291" i="82"/>
  <c r="Q291" i="82"/>
  <c r="R291" i="82"/>
  <c r="O292" i="82"/>
  <c r="P292" i="82"/>
  <c r="Q292" i="82"/>
  <c r="R292" i="82"/>
  <c r="O293" i="82"/>
  <c r="P293" i="82"/>
  <c r="Q293" i="82"/>
  <c r="R293" i="82"/>
  <c r="O294" i="82"/>
  <c r="P294" i="82"/>
  <c r="Q294" i="82"/>
  <c r="R294" i="82"/>
  <c r="O295" i="82"/>
  <c r="P295" i="82"/>
  <c r="Q295" i="82"/>
  <c r="R295" i="82"/>
  <c r="O296" i="82"/>
  <c r="P296" i="82"/>
  <c r="Q296" i="82"/>
  <c r="R296" i="82"/>
  <c r="O297" i="82"/>
  <c r="P297" i="82"/>
  <c r="Q297" i="82"/>
  <c r="R297" i="82"/>
  <c r="O298" i="82"/>
  <c r="P298" i="82"/>
  <c r="Q298" i="82"/>
  <c r="R298" i="82"/>
  <c r="O299" i="82"/>
  <c r="P299" i="82"/>
  <c r="Q299" i="82"/>
  <c r="R299" i="82"/>
  <c r="O300" i="82"/>
  <c r="P300" i="82"/>
  <c r="Q300" i="82"/>
  <c r="R300" i="82"/>
  <c r="O301" i="82"/>
  <c r="P301" i="82"/>
  <c r="Q301" i="82"/>
  <c r="R301" i="82"/>
  <c r="O302" i="82"/>
  <c r="P302" i="82"/>
  <c r="Q302" i="82"/>
  <c r="R302" i="82"/>
  <c r="O303" i="82"/>
  <c r="P303" i="82"/>
  <c r="Q303" i="82"/>
  <c r="R303" i="82"/>
  <c r="O304" i="82"/>
  <c r="P304" i="82"/>
  <c r="Q304" i="82"/>
  <c r="R304" i="82"/>
  <c r="O305" i="82"/>
  <c r="P305" i="82"/>
  <c r="Q305" i="82"/>
  <c r="R305" i="82"/>
  <c r="O306" i="82"/>
  <c r="P306" i="82"/>
  <c r="Q306" i="82"/>
  <c r="R306" i="82"/>
  <c r="O307" i="82"/>
  <c r="P307" i="82"/>
  <c r="Q307" i="82"/>
  <c r="R307" i="82"/>
  <c r="O308" i="82"/>
  <c r="P308" i="82"/>
  <c r="Q308" i="82"/>
  <c r="R308" i="82"/>
  <c r="O309" i="82"/>
  <c r="P309" i="82"/>
  <c r="Q309" i="82"/>
  <c r="R309" i="82"/>
  <c r="O310" i="82"/>
  <c r="P310" i="82"/>
  <c r="Q310" i="82"/>
  <c r="R310" i="82"/>
  <c r="O311" i="82"/>
  <c r="P311" i="82"/>
  <c r="Q311" i="82"/>
  <c r="R311" i="82"/>
  <c r="O312" i="82"/>
  <c r="P312" i="82"/>
  <c r="Q312" i="82"/>
  <c r="R312" i="82"/>
  <c r="O313" i="82"/>
  <c r="P313" i="82"/>
  <c r="Q313" i="82"/>
  <c r="R313" i="82"/>
  <c r="O314" i="82"/>
  <c r="P314" i="82"/>
  <c r="Q314" i="82"/>
  <c r="R314" i="82"/>
  <c r="O315" i="82"/>
  <c r="P315" i="82"/>
  <c r="Q315" i="82"/>
  <c r="R315" i="82"/>
  <c r="O316" i="82"/>
  <c r="P316" i="82"/>
  <c r="Q316" i="82"/>
  <c r="R316" i="82"/>
  <c r="O317" i="82"/>
  <c r="P317" i="82"/>
  <c r="Q317" i="82"/>
  <c r="R317" i="82"/>
  <c r="O318" i="82"/>
  <c r="P318" i="82"/>
  <c r="Q318" i="82"/>
  <c r="R318" i="82"/>
  <c r="O319" i="82"/>
  <c r="P319" i="82"/>
  <c r="Q319" i="82"/>
  <c r="R319" i="82"/>
  <c r="O320" i="82"/>
  <c r="P320" i="82"/>
  <c r="Q320" i="82"/>
  <c r="R320" i="82"/>
  <c r="O321" i="82"/>
  <c r="P321" i="82"/>
  <c r="Q321" i="82"/>
  <c r="R321" i="82"/>
  <c r="O322" i="82"/>
  <c r="P322" i="82"/>
  <c r="Q322" i="82"/>
  <c r="R322" i="82"/>
  <c r="O323" i="82"/>
  <c r="P323" i="82"/>
  <c r="Q323" i="82"/>
  <c r="R323" i="82"/>
  <c r="O324" i="82"/>
  <c r="P324" i="82"/>
  <c r="Q324" i="82"/>
  <c r="R324" i="82"/>
  <c r="O325" i="82"/>
  <c r="P325" i="82"/>
  <c r="Q325" i="82"/>
  <c r="R325" i="82"/>
  <c r="O326" i="82"/>
  <c r="P326" i="82"/>
  <c r="Q326" i="82"/>
  <c r="R326" i="82"/>
  <c r="O327" i="82"/>
  <c r="P327" i="82"/>
  <c r="Q327" i="82"/>
  <c r="R327" i="82"/>
  <c r="O328" i="82"/>
  <c r="P328" i="82"/>
  <c r="Q328" i="82"/>
  <c r="R328" i="82"/>
  <c r="O329" i="82"/>
  <c r="P329" i="82"/>
  <c r="Q329" i="82"/>
  <c r="R329" i="82"/>
  <c r="O330" i="82"/>
  <c r="P330" i="82"/>
  <c r="Q330" i="82"/>
  <c r="R330" i="82"/>
  <c r="O331" i="82"/>
  <c r="P331" i="82"/>
  <c r="Q331" i="82"/>
  <c r="R331" i="82"/>
  <c r="O332" i="82"/>
  <c r="P332" i="82"/>
  <c r="Q332" i="82"/>
  <c r="R332" i="82"/>
  <c r="O333" i="82"/>
  <c r="P333" i="82"/>
  <c r="Q333" i="82"/>
  <c r="R333" i="82"/>
  <c r="O334" i="82"/>
  <c r="P334" i="82"/>
  <c r="Q334" i="82"/>
  <c r="R334" i="82"/>
  <c r="O335" i="82"/>
  <c r="P335" i="82"/>
  <c r="Q335" i="82"/>
  <c r="R335" i="82"/>
  <c r="O336" i="82"/>
  <c r="P336" i="82"/>
  <c r="Q336" i="82"/>
  <c r="R336" i="82"/>
  <c r="O337" i="82"/>
  <c r="P337" i="82"/>
  <c r="Q337" i="82"/>
  <c r="R337" i="82"/>
  <c r="O338" i="82"/>
  <c r="P338" i="82"/>
  <c r="Q338" i="82"/>
  <c r="R338" i="82"/>
  <c r="O339" i="82"/>
  <c r="P339" i="82"/>
  <c r="Q339" i="82"/>
  <c r="R339" i="82"/>
  <c r="O340" i="82"/>
  <c r="P340" i="82"/>
  <c r="Q340" i="82"/>
  <c r="R340" i="82"/>
  <c r="O341" i="82"/>
  <c r="P341" i="82"/>
  <c r="Q341" i="82"/>
  <c r="R341" i="82"/>
  <c r="O342" i="82"/>
  <c r="P342" i="82"/>
  <c r="Q342" i="82"/>
  <c r="R342" i="82"/>
  <c r="O343" i="82"/>
  <c r="P343" i="82"/>
  <c r="Q343" i="82"/>
  <c r="R343" i="82"/>
  <c r="O344" i="82"/>
  <c r="P344" i="82"/>
  <c r="Q344" i="82"/>
  <c r="R344" i="82"/>
  <c r="O345" i="82"/>
  <c r="P345" i="82"/>
  <c r="Q345" i="82"/>
  <c r="R345" i="82"/>
  <c r="O346" i="82"/>
  <c r="P346" i="82"/>
  <c r="Q346" i="82"/>
  <c r="R346" i="82"/>
  <c r="O347" i="82"/>
  <c r="P347" i="82"/>
  <c r="Q347" i="82"/>
  <c r="R347" i="82"/>
  <c r="O348" i="82"/>
  <c r="P348" i="82"/>
  <c r="Q348" i="82"/>
  <c r="R348" i="82"/>
  <c r="O349" i="82"/>
  <c r="P349" i="82"/>
  <c r="Q349" i="82"/>
  <c r="R349" i="82"/>
  <c r="O350" i="82"/>
  <c r="P350" i="82"/>
  <c r="Q350" i="82"/>
  <c r="R350" i="82"/>
  <c r="O351" i="82"/>
  <c r="P351" i="82"/>
  <c r="Q351" i="82"/>
  <c r="R351" i="82"/>
  <c r="O352" i="82"/>
  <c r="P352" i="82"/>
  <c r="Q352" i="82"/>
  <c r="R352" i="82"/>
  <c r="O353" i="82"/>
  <c r="P353" i="82"/>
  <c r="Q353" i="82"/>
  <c r="R353" i="82"/>
  <c r="O354" i="82"/>
  <c r="P354" i="82"/>
  <c r="Q354" i="82"/>
  <c r="R354" i="82"/>
  <c r="O355" i="82"/>
  <c r="P355" i="82"/>
  <c r="Q355" i="82"/>
  <c r="R355" i="82"/>
  <c r="O356" i="82"/>
  <c r="P356" i="82"/>
  <c r="Q356" i="82"/>
  <c r="R356" i="82"/>
  <c r="O357" i="82"/>
  <c r="P357" i="82"/>
  <c r="Q357" i="82"/>
  <c r="R357" i="82"/>
  <c r="O358" i="82"/>
  <c r="P358" i="82"/>
  <c r="Q358" i="82"/>
  <c r="R358" i="82"/>
  <c r="O359" i="82"/>
  <c r="P359" i="82"/>
  <c r="Q359" i="82"/>
  <c r="R359" i="82"/>
  <c r="O360" i="82"/>
  <c r="P360" i="82"/>
  <c r="Q360" i="82"/>
  <c r="R360" i="82"/>
  <c r="O361" i="82"/>
  <c r="P361" i="82"/>
  <c r="Q361" i="82"/>
  <c r="R361" i="82"/>
  <c r="O362" i="82"/>
  <c r="P362" i="82"/>
  <c r="Q362" i="82"/>
  <c r="R362" i="82"/>
  <c r="O363" i="82"/>
  <c r="P363" i="82"/>
  <c r="Q363" i="82"/>
  <c r="R363" i="82"/>
  <c r="O364" i="82"/>
  <c r="P364" i="82"/>
  <c r="Q364" i="82"/>
  <c r="R364" i="82"/>
  <c r="O365" i="82"/>
  <c r="P365" i="82"/>
  <c r="Q365" i="82"/>
  <c r="R365" i="82"/>
  <c r="O366" i="82"/>
  <c r="P366" i="82"/>
  <c r="Q366" i="82"/>
  <c r="R366" i="82"/>
  <c r="O367" i="82"/>
  <c r="P367" i="82"/>
  <c r="Q367" i="82"/>
  <c r="R367" i="82"/>
  <c r="O368" i="82"/>
  <c r="P368" i="82"/>
  <c r="Q368" i="82"/>
  <c r="R368" i="82"/>
  <c r="O369" i="82"/>
  <c r="P369" i="82"/>
  <c r="Q369" i="82"/>
  <c r="R369" i="82"/>
  <c r="O370" i="82"/>
  <c r="P370" i="82"/>
  <c r="Q370" i="82"/>
  <c r="R370" i="82"/>
  <c r="O371" i="82"/>
  <c r="P371" i="82"/>
  <c r="Q371" i="82"/>
  <c r="R371" i="82"/>
  <c r="O372" i="82"/>
  <c r="P372" i="82"/>
  <c r="Q372" i="82"/>
  <c r="R372" i="82"/>
  <c r="O373" i="82"/>
  <c r="P373" i="82"/>
  <c r="Q373" i="82"/>
  <c r="R373" i="82"/>
  <c r="O374" i="82"/>
  <c r="P374" i="82"/>
  <c r="Q374" i="82"/>
  <c r="R374" i="82"/>
  <c r="O375" i="82"/>
  <c r="P375" i="82"/>
  <c r="Q375" i="82"/>
  <c r="R375" i="82"/>
  <c r="O2" i="82"/>
  <c r="P2" i="82"/>
  <c r="Q2" i="82"/>
  <c r="R2" i="82"/>
  <c r="B12" i="104"/>
  <c r="A204" i="82"/>
  <c r="C204" i="82"/>
  <c r="L204" i="82"/>
  <c r="G204" i="82"/>
  <c r="J204" i="82"/>
  <c r="K204" i="82"/>
  <c r="A205" i="82"/>
  <c r="C205" i="82"/>
  <c r="L205" i="82"/>
  <c r="G205" i="82"/>
  <c r="J205" i="82"/>
  <c r="K205" i="82"/>
  <c r="B2" i="104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36" i="82"/>
  <c r="L237" i="82"/>
  <c r="L238" i="82"/>
  <c r="L239" i="82"/>
  <c r="L240" i="82"/>
  <c r="L241" i="82"/>
  <c r="L242" i="82"/>
  <c r="L243" i="82"/>
  <c r="L244" i="82"/>
  <c r="L245" i="82"/>
  <c r="L246" i="82"/>
  <c r="L247" i="82"/>
  <c r="L248" i="82"/>
  <c r="L249" i="82"/>
  <c r="L250" i="82"/>
  <c r="L251" i="82"/>
  <c r="L252" i="82"/>
  <c r="L253" i="82"/>
  <c r="L254" i="82"/>
  <c r="L255" i="82"/>
  <c r="L256" i="82"/>
  <c r="L257" i="82"/>
  <c r="L258" i="82"/>
  <c r="L259" i="82"/>
  <c r="L260" i="82"/>
  <c r="L261" i="82"/>
  <c r="L262" i="82"/>
  <c r="L263" i="82"/>
  <c r="L264" i="82"/>
  <c r="L265" i="82"/>
  <c r="L266" i="82"/>
  <c r="L267" i="82"/>
  <c r="L268" i="82"/>
  <c r="L269" i="82"/>
  <c r="L270" i="82"/>
  <c r="L271" i="82"/>
  <c r="L272" i="82"/>
  <c r="L273" i="82"/>
  <c r="L274" i="82"/>
  <c r="L275" i="82"/>
  <c r="L276" i="82"/>
  <c r="L277" i="82"/>
  <c r="L278" i="82"/>
  <c r="L279" i="82"/>
  <c r="L280" i="82"/>
  <c r="L281" i="82"/>
  <c r="L282" i="82"/>
  <c r="L283" i="82"/>
  <c r="L284" i="82"/>
  <c r="L285" i="82"/>
  <c r="L286" i="82"/>
  <c r="L287" i="82"/>
  <c r="L288" i="82"/>
  <c r="L289" i="82"/>
  <c r="L290" i="82"/>
  <c r="L291" i="82"/>
  <c r="L292" i="82"/>
  <c r="L293" i="82"/>
  <c r="L294" i="82"/>
  <c r="L295" i="82"/>
  <c r="L296" i="82"/>
  <c r="L297" i="82"/>
  <c r="L298" i="82"/>
  <c r="L299" i="82"/>
  <c r="L300" i="82"/>
  <c r="L301" i="82"/>
  <c r="L302" i="82"/>
  <c r="L303" i="82"/>
  <c r="L304" i="82"/>
  <c r="L305" i="82"/>
  <c r="L306" i="82"/>
  <c r="L307" i="82"/>
  <c r="L308" i="82"/>
  <c r="L309" i="82"/>
  <c r="L310" i="82"/>
  <c r="L311" i="82"/>
  <c r="L312" i="82"/>
  <c r="L313" i="82"/>
  <c r="L314" i="82"/>
  <c r="L315" i="82"/>
  <c r="L316" i="82"/>
  <c r="L317" i="82"/>
  <c r="L318" i="82"/>
  <c r="L319" i="82"/>
  <c r="L320" i="82"/>
  <c r="L321" i="82"/>
  <c r="L322" i="82"/>
  <c r="L323" i="82"/>
  <c r="L324" i="82"/>
  <c r="L325" i="82"/>
  <c r="L326" i="82"/>
  <c r="L327" i="82"/>
  <c r="L328" i="82"/>
  <c r="L329" i="82"/>
  <c r="L330" i="82"/>
  <c r="L331" i="82"/>
  <c r="L332" i="82"/>
  <c r="L333" i="82"/>
  <c r="L334" i="82"/>
  <c r="L335" i="82"/>
  <c r="L336" i="82"/>
  <c r="L337" i="82"/>
  <c r="L338" i="82"/>
  <c r="L339" i="82"/>
  <c r="L340" i="82"/>
  <c r="L341" i="82"/>
  <c r="L342" i="82"/>
  <c r="L343" i="82"/>
  <c r="L344" i="82"/>
  <c r="L345" i="82"/>
  <c r="L346" i="82"/>
  <c r="L347" i="82"/>
  <c r="L348" i="82"/>
  <c r="L349" i="82"/>
  <c r="L350" i="82"/>
  <c r="L351" i="82"/>
  <c r="L352" i="82"/>
  <c r="L353" i="82"/>
  <c r="L354" i="82"/>
  <c r="L355" i="82"/>
  <c r="L356" i="82"/>
  <c r="L357" i="82"/>
  <c r="L358" i="82"/>
  <c r="L359" i="82"/>
  <c r="L360" i="82"/>
  <c r="L361" i="82"/>
  <c r="L362" i="82"/>
  <c r="L363" i="82"/>
  <c r="L364" i="82"/>
  <c r="L365" i="82"/>
  <c r="L366" i="82"/>
  <c r="L367" i="82"/>
  <c r="L368" i="82"/>
  <c r="L369" i="82"/>
  <c r="L370" i="82"/>
  <c r="L371" i="82"/>
  <c r="L372" i="82"/>
  <c r="L373" i="82"/>
  <c r="L374" i="82"/>
  <c r="L375" i="82"/>
  <c r="L2" i="82"/>
  <c r="G10" i="105"/>
  <c r="G7" i="105"/>
  <c r="B3" i="104"/>
  <c r="B4" i="104"/>
  <c r="K203" i="82"/>
  <c r="J203" i="82"/>
  <c r="G203" i="82"/>
  <c r="C203" i="82"/>
  <c r="A203" i="82"/>
  <c r="K202" i="82"/>
  <c r="J202" i="82"/>
  <c r="G202" i="82"/>
  <c r="C202" i="82"/>
  <c r="A202" i="82"/>
  <c r="K201" i="82"/>
  <c r="J201" i="82"/>
  <c r="G201" i="82"/>
  <c r="C201" i="82"/>
  <c r="A201" i="82"/>
  <c r="K200" i="82"/>
  <c r="J200" i="82"/>
  <c r="G200" i="82"/>
  <c r="C200" i="82"/>
  <c r="A200" i="82"/>
  <c r="K199" i="82"/>
  <c r="J199" i="82"/>
  <c r="G199" i="82"/>
  <c r="C199" i="82"/>
  <c r="A199" i="82"/>
  <c r="K198" i="82"/>
  <c r="J198" i="82"/>
  <c r="G198" i="82"/>
  <c r="C198" i="82"/>
  <c r="A198" i="82"/>
  <c r="K197" i="82"/>
  <c r="J197" i="82"/>
  <c r="G197" i="82"/>
  <c r="C197" i="82"/>
  <c r="A197" i="82"/>
  <c r="K196" i="82"/>
  <c r="J196" i="82"/>
  <c r="G196" i="82"/>
  <c r="C196" i="82"/>
  <c r="A196" i="82"/>
  <c r="A368" i="82"/>
  <c r="C368" i="82"/>
  <c r="G368" i="82"/>
  <c r="J368" i="82"/>
  <c r="K368" i="82"/>
  <c r="A369" i="82"/>
  <c r="C369" i="82"/>
  <c r="G369" i="82"/>
  <c r="J369" i="82"/>
  <c r="K369" i="82"/>
  <c r="A370" i="82"/>
  <c r="C370" i="82"/>
  <c r="G370" i="82"/>
  <c r="J370" i="82"/>
  <c r="K370" i="82"/>
  <c r="A371" i="82"/>
  <c r="C371" i="82"/>
  <c r="G371" i="82"/>
  <c r="J371" i="82"/>
  <c r="K371" i="82"/>
  <c r="A372" i="82"/>
  <c r="C372" i="82"/>
  <c r="G372" i="82"/>
  <c r="J372" i="82"/>
  <c r="K372" i="82"/>
  <c r="A373" i="82"/>
  <c r="C373" i="82"/>
  <c r="G373" i="82"/>
  <c r="J373" i="82"/>
  <c r="K373" i="82"/>
  <c r="A374" i="82"/>
  <c r="C374" i="82"/>
  <c r="G374" i="82"/>
  <c r="J374" i="82"/>
  <c r="K374" i="82"/>
  <c r="A375" i="82"/>
  <c r="C375" i="82"/>
  <c r="G375" i="82"/>
  <c r="J375" i="82"/>
  <c r="K375" i="82"/>
  <c r="K195" i="82"/>
  <c r="J195" i="82"/>
  <c r="G195" i="82"/>
  <c r="C195" i="82"/>
  <c r="A195" i="82"/>
  <c r="A367" i="82"/>
  <c r="A366" i="82"/>
  <c r="A365" i="82"/>
  <c r="A364" i="82"/>
  <c r="A363" i="82"/>
  <c r="A362" i="82"/>
  <c r="A361" i="82"/>
  <c r="A360" i="82"/>
  <c r="A359" i="82"/>
  <c r="A358" i="82"/>
  <c r="A357" i="82"/>
  <c r="A356" i="82"/>
  <c r="A355" i="82"/>
  <c r="A354" i="82"/>
  <c r="A353" i="82"/>
  <c r="A352" i="82"/>
  <c r="A351" i="82"/>
  <c r="A350" i="82"/>
  <c r="A349" i="82"/>
  <c r="A348" i="82"/>
  <c r="A347" i="82"/>
  <c r="A346" i="82"/>
  <c r="A345" i="82"/>
  <c r="A344" i="82"/>
  <c r="A343" i="82"/>
  <c r="A342" i="82"/>
  <c r="A341" i="82"/>
  <c r="A340" i="82"/>
  <c r="A339" i="82"/>
  <c r="A338" i="82"/>
  <c r="A337" i="82"/>
  <c r="A336" i="82"/>
  <c r="A335" i="82"/>
  <c r="A334" i="82"/>
  <c r="A333" i="82"/>
  <c r="A332" i="82"/>
  <c r="A331" i="82"/>
  <c r="A330" i="82"/>
  <c r="A329" i="82"/>
  <c r="A328" i="82"/>
  <c r="A327" i="82"/>
  <c r="A326" i="82"/>
  <c r="A325" i="82"/>
  <c r="A324" i="82"/>
  <c r="A323" i="82"/>
  <c r="A322" i="82"/>
  <c r="A321" i="82"/>
  <c r="A320" i="82"/>
  <c r="A319" i="82"/>
  <c r="A318" i="82"/>
  <c r="A317" i="82"/>
  <c r="A316" i="82"/>
  <c r="A315" i="82"/>
  <c r="A314" i="82"/>
  <c r="A313" i="82"/>
  <c r="A312" i="82"/>
  <c r="A311" i="82"/>
  <c r="A310" i="82"/>
  <c r="A309" i="82"/>
  <c r="A308" i="82"/>
  <c r="A307" i="82"/>
  <c r="A306" i="82"/>
  <c r="A305" i="82"/>
  <c r="A304" i="82"/>
  <c r="A303" i="82"/>
  <c r="A302" i="82"/>
  <c r="A301" i="82"/>
  <c r="A300" i="82"/>
  <c r="A299" i="82"/>
  <c r="A298" i="82"/>
  <c r="A297" i="82"/>
  <c r="A296" i="82"/>
  <c r="A295" i="82"/>
  <c r="A294" i="82"/>
  <c r="A293" i="82"/>
  <c r="A292" i="82"/>
  <c r="A291" i="82"/>
  <c r="A290" i="82"/>
  <c r="A289" i="82"/>
  <c r="A288" i="82"/>
  <c r="A287" i="82"/>
  <c r="A286" i="82"/>
  <c r="A285" i="82"/>
  <c r="A284" i="82"/>
  <c r="A283" i="82"/>
  <c r="A282" i="82"/>
  <c r="A281" i="82"/>
  <c r="A280" i="82"/>
  <c r="A279" i="82"/>
  <c r="A278" i="82"/>
  <c r="A277" i="82"/>
  <c r="A276" i="82"/>
  <c r="A275" i="82"/>
  <c r="A274" i="82"/>
  <c r="A273" i="82"/>
  <c r="A272" i="82"/>
  <c r="A271" i="82"/>
  <c r="A270" i="82"/>
  <c r="A269" i="82"/>
  <c r="A268" i="82"/>
  <c r="A267" i="82"/>
  <c r="A266" i="82"/>
  <c r="A265" i="82"/>
  <c r="A264" i="82"/>
  <c r="A263" i="82"/>
  <c r="A262" i="82"/>
  <c r="A261" i="82"/>
  <c r="A260" i="82"/>
  <c r="A259" i="82"/>
  <c r="A258" i="82"/>
  <c r="A257" i="82"/>
  <c r="A256" i="82"/>
  <c r="A255" i="82"/>
  <c r="A254" i="82"/>
  <c r="A253" i="82"/>
  <c r="A252" i="82"/>
  <c r="A251" i="82"/>
  <c r="A250" i="82"/>
  <c r="A249" i="82"/>
  <c r="A248" i="82"/>
  <c r="A247" i="82"/>
  <c r="A246" i="82"/>
  <c r="A245" i="82"/>
  <c r="A244" i="82"/>
  <c r="A243" i="82"/>
  <c r="A242" i="82"/>
  <c r="A241" i="82"/>
  <c r="A240" i="82"/>
  <c r="A239" i="82"/>
  <c r="A238" i="82"/>
  <c r="A237" i="82"/>
  <c r="A236" i="82"/>
  <c r="A194" i="82"/>
  <c r="A193" i="82"/>
  <c r="A192" i="82"/>
  <c r="A191" i="82"/>
  <c r="A190" i="82"/>
  <c r="A189" i="82"/>
  <c r="A188" i="82"/>
  <c r="A187" i="82"/>
  <c r="A186" i="82"/>
  <c r="A185" i="82"/>
  <c r="A184" i="82"/>
  <c r="A183" i="82"/>
  <c r="A182" i="82"/>
  <c r="A181" i="82"/>
  <c r="A180" i="82"/>
  <c r="A179" i="82"/>
  <c r="A178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G117" i="82"/>
  <c r="K367" i="82"/>
  <c r="J367" i="82"/>
  <c r="G367" i="82"/>
  <c r="C367" i="82"/>
  <c r="K366" i="82"/>
  <c r="J366" i="82"/>
  <c r="G366" i="82"/>
  <c r="C366" i="82"/>
  <c r="K365" i="82"/>
  <c r="J365" i="82"/>
  <c r="G365" i="82"/>
  <c r="C365" i="82"/>
  <c r="K364" i="82"/>
  <c r="J364" i="82"/>
  <c r="G364" i="82"/>
  <c r="C364" i="82"/>
  <c r="K363" i="82"/>
  <c r="J363" i="82"/>
  <c r="G363" i="82"/>
  <c r="C363" i="82"/>
  <c r="K362" i="82"/>
  <c r="J362" i="82"/>
  <c r="G362" i="82"/>
  <c r="C362" i="82"/>
  <c r="K361" i="82"/>
  <c r="J361" i="82"/>
  <c r="G361" i="82"/>
  <c r="C361" i="82"/>
  <c r="K360" i="82"/>
  <c r="J360" i="82"/>
  <c r="G360" i="82"/>
  <c r="C360" i="82"/>
  <c r="K359" i="82"/>
  <c r="J359" i="82"/>
  <c r="G359" i="82"/>
  <c r="C359" i="82"/>
  <c r="K358" i="82"/>
  <c r="J358" i="82"/>
  <c r="G358" i="82"/>
  <c r="C358" i="82"/>
  <c r="K357" i="82"/>
  <c r="J357" i="82"/>
  <c r="G357" i="82"/>
  <c r="C357" i="82"/>
  <c r="K356" i="82"/>
  <c r="J356" i="82"/>
  <c r="G356" i="82"/>
  <c r="C356" i="82"/>
  <c r="K355" i="82"/>
  <c r="J355" i="82"/>
  <c r="G355" i="82"/>
  <c r="C355" i="82"/>
  <c r="K354" i="82"/>
  <c r="J354" i="82"/>
  <c r="G354" i="82"/>
  <c r="C354" i="82"/>
  <c r="K353" i="82"/>
  <c r="J353" i="82"/>
  <c r="G353" i="82"/>
  <c r="C353" i="82"/>
  <c r="K352" i="82"/>
  <c r="J352" i="82"/>
  <c r="G352" i="82"/>
  <c r="C352" i="82"/>
  <c r="K351" i="82"/>
  <c r="J351" i="82"/>
  <c r="G351" i="82"/>
  <c r="C351" i="82"/>
  <c r="K350" i="82"/>
  <c r="J350" i="82"/>
  <c r="G350" i="82"/>
  <c r="C350" i="82"/>
  <c r="K349" i="82"/>
  <c r="J349" i="82"/>
  <c r="G349" i="82"/>
  <c r="C349" i="82"/>
  <c r="K348" i="82"/>
  <c r="J348" i="82"/>
  <c r="G348" i="82"/>
  <c r="C348" i="82"/>
  <c r="K347" i="82"/>
  <c r="J347" i="82"/>
  <c r="G347" i="82"/>
  <c r="C347" i="82"/>
  <c r="K346" i="82"/>
  <c r="J346" i="82"/>
  <c r="G346" i="82"/>
  <c r="C346" i="82"/>
  <c r="K345" i="82"/>
  <c r="J345" i="82"/>
  <c r="G345" i="82"/>
  <c r="C345" i="82"/>
  <c r="K344" i="82"/>
  <c r="J344" i="82"/>
  <c r="G344" i="82"/>
  <c r="C344" i="82"/>
  <c r="K343" i="82"/>
  <c r="J343" i="82"/>
  <c r="G343" i="82"/>
  <c r="C343" i="82"/>
  <c r="K342" i="82"/>
  <c r="J342" i="82"/>
  <c r="G342" i="82"/>
  <c r="C342" i="82"/>
  <c r="K341" i="82"/>
  <c r="J341" i="82"/>
  <c r="G341" i="82"/>
  <c r="C341" i="82"/>
  <c r="K340" i="82"/>
  <c r="J340" i="82"/>
  <c r="G340" i="82"/>
  <c r="C340" i="82"/>
  <c r="K339" i="82"/>
  <c r="J339" i="82"/>
  <c r="G339" i="82"/>
  <c r="C339" i="82"/>
  <c r="K338" i="82"/>
  <c r="J338" i="82"/>
  <c r="G338" i="82"/>
  <c r="C338" i="82"/>
  <c r="K337" i="82"/>
  <c r="J337" i="82"/>
  <c r="G337" i="82"/>
  <c r="C337" i="82"/>
  <c r="K336" i="82"/>
  <c r="J336" i="82"/>
  <c r="G336" i="82"/>
  <c r="C336" i="82"/>
  <c r="K335" i="82"/>
  <c r="J335" i="82"/>
  <c r="G335" i="82"/>
  <c r="C335" i="82"/>
  <c r="K334" i="82"/>
  <c r="J334" i="82"/>
  <c r="G334" i="82"/>
  <c r="C334" i="82"/>
  <c r="K333" i="82"/>
  <c r="J333" i="82"/>
  <c r="G333" i="82"/>
  <c r="C333" i="82"/>
  <c r="K332" i="82"/>
  <c r="J332" i="82"/>
  <c r="G332" i="82"/>
  <c r="C332" i="82"/>
  <c r="K331" i="82"/>
  <c r="J331" i="82"/>
  <c r="G331" i="82"/>
  <c r="C331" i="82"/>
  <c r="K330" i="82"/>
  <c r="J330" i="82"/>
  <c r="G330" i="82"/>
  <c r="C330" i="82"/>
  <c r="K329" i="82"/>
  <c r="J329" i="82"/>
  <c r="G329" i="82"/>
  <c r="C329" i="82"/>
  <c r="K328" i="82"/>
  <c r="J328" i="82"/>
  <c r="G328" i="82"/>
  <c r="C328" i="82"/>
  <c r="K327" i="82"/>
  <c r="J327" i="82"/>
  <c r="G327" i="82"/>
  <c r="C327" i="82"/>
  <c r="K326" i="82"/>
  <c r="J326" i="82"/>
  <c r="G326" i="82"/>
  <c r="C326" i="82"/>
  <c r="K325" i="82"/>
  <c r="J325" i="82"/>
  <c r="G325" i="82"/>
  <c r="C325" i="82"/>
  <c r="K324" i="82"/>
  <c r="J324" i="82"/>
  <c r="G324" i="82"/>
  <c r="C324" i="82"/>
  <c r="K323" i="82"/>
  <c r="J323" i="82"/>
  <c r="G323" i="82"/>
  <c r="C323" i="82"/>
  <c r="K322" i="82"/>
  <c r="J322" i="82"/>
  <c r="G322" i="82"/>
  <c r="C322" i="82"/>
  <c r="K321" i="82"/>
  <c r="J321" i="82"/>
  <c r="G321" i="82"/>
  <c r="C321" i="82"/>
  <c r="K320" i="82"/>
  <c r="J320" i="82"/>
  <c r="G320" i="82"/>
  <c r="C320" i="82"/>
  <c r="K319" i="82"/>
  <c r="J319" i="82"/>
  <c r="G319" i="82"/>
  <c r="C319" i="82"/>
  <c r="K318" i="82"/>
  <c r="J318" i="82"/>
  <c r="G318" i="82"/>
  <c r="C318" i="82"/>
  <c r="K317" i="82"/>
  <c r="J317" i="82"/>
  <c r="G317" i="82"/>
  <c r="C317" i="82"/>
  <c r="K316" i="82"/>
  <c r="J316" i="82"/>
  <c r="G316" i="82"/>
  <c r="C316" i="82"/>
  <c r="K315" i="82"/>
  <c r="J315" i="82"/>
  <c r="G315" i="82"/>
  <c r="C315" i="82"/>
  <c r="K314" i="82"/>
  <c r="J314" i="82"/>
  <c r="G314" i="82"/>
  <c r="C314" i="82"/>
  <c r="K313" i="82"/>
  <c r="J313" i="82"/>
  <c r="G313" i="82"/>
  <c r="C313" i="82"/>
  <c r="K312" i="82"/>
  <c r="J312" i="82"/>
  <c r="G312" i="82"/>
  <c r="C312" i="82"/>
  <c r="K311" i="82"/>
  <c r="J311" i="82"/>
  <c r="G311" i="82"/>
  <c r="C311" i="82"/>
  <c r="K310" i="82"/>
  <c r="J310" i="82"/>
  <c r="G310" i="82"/>
  <c r="C310" i="82"/>
  <c r="K309" i="82"/>
  <c r="J309" i="82"/>
  <c r="G309" i="82"/>
  <c r="C309" i="82"/>
  <c r="K308" i="82"/>
  <c r="J308" i="82"/>
  <c r="G308" i="82"/>
  <c r="C308" i="82"/>
  <c r="K307" i="82"/>
  <c r="J307" i="82"/>
  <c r="G307" i="82"/>
  <c r="C307" i="82"/>
  <c r="K306" i="82"/>
  <c r="J306" i="82"/>
  <c r="G306" i="82"/>
  <c r="C306" i="82"/>
  <c r="K305" i="82"/>
  <c r="J305" i="82"/>
  <c r="G305" i="82"/>
  <c r="C305" i="82"/>
  <c r="K304" i="82"/>
  <c r="J304" i="82"/>
  <c r="G304" i="82"/>
  <c r="C304" i="82"/>
  <c r="K303" i="82"/>
  <c r="J303" i="82"/>
  <c r="G303" i="82"/>
  <c r="C303" i="82"/>
  <c r="K302" i="82"/>
  <c r="J302" i="82"/>
  <c r="G302" i="82"/>
  <c r="C302" i="82"/>
  <c r="K301" i="82"/>
  <c r="J301" i="82"/>
  <c r="G301" i="82"/>
  <c r="C301" i="82"/>
  <c r="K300" i="82"/>
  <c r="J300" i="82"/>
  <c r="G300" i="82"/>
  <c r="C300" i="82"/>
  <c r="K299" i="82"/>
  <c r="J299" i="82"/>
  <c r="G299" i="82"/>
  <c r="C299" i="82"/>
  <c r="K298" i="82"/>
  <c r="J298" i="82"/>
  <c r="G298" i="82"/>
  <c r="C298" i="82"/>
  <c r="K297" i="82"/>
  <c r="J297" i="82"/>
  <c r="G297" i="82"/>
  <c r="C297" i="82"/>
  <c r="K296" i="82"/>
  <c r="J296" i="82"/>
  <c r="G296" i="82"/>
  <c r="C296" i="82"/>
  <c r="K295" i="82"/>
  <c r="J295" i="82"/>
  <c r="G295" i="82"/>
  <c r="C295" i="82"/>
  <c r="K294" i="82"/>
  <c r="J294" i="82"/>
  <c r="G294" i="82"/>
  <c r="C294" i="82"/>
  <c r="K293" i="82"/>
  <c r="J293" i="82"/>
  <c r="G293" i="82"/>
  <c r="C293" i="82"/>
  <c r="K292" i="82"/>
  <c r="J292" i="82"/>
  <c r="G292" i="82"/>
  <c r="C292" i="82"/>
  <c r="K291" i="82"/>
  <c r="J291" i="82"/>
  <c r="G291" i="82"/>
  <c r="C291" i="82"/>
  <c r="K290" i="82"/>
  <c r="J290" i="82"/>
  <c r="G290" i="82"/>
  <c r="C290" i="82"/>
  <c r="K289" i="82"/>
  <c r="J289" i="82"/>
  <c r="G289" i="82"/>
  <c r="C289" i="82"/>
  <c r="K288" i="82"/>
  <c r="J288" i="82"/>
  <c r="G288" i="82"/>
  <c r="C288" i="82"/>
  <c r="K287" i="82"/>
  <c r="J287" i="82"/>
  <c r="G287" i="82"/>
  <c r="C287" i="82"/>
  <c r="K286" i="82"/>
  <c r="J286" i="82"/>
  <c r="G286" i="82"/>
  <c r="C286" i="82"/>
  <c r="K285" i="82"/>
  <c r="J285" i="82"/>
  <c r="G285" i="82"/>
  <c r="C285" i="82"/>
  <c r="K284" i="82"/>
  <c r="J284" i="82"/>
  <c r="G284" i="82"/>
  <c r="C284" i="82"/>
  <c r="K283" i="82"/>
  <c r="J283" i="82"/>
  <c r="G283" i="82"/>
  <c r="C283" i="82"/>
  <c r="K282" i="82"/>
  <c r="J282" i="82"/>
  <c r="G282" i="82"/>
  <c r="C282" i="82"/>
  <c r="K281" i="82"/>
  <c r="J281" i="82"/>
  <c r="G281" i="82"/>
  <c r="C281" i="82"/>
  <c r="K280" i="82"/>
  <c r="J280" i="82"/>
  <c r="G280" i="82"/>
  <c r="C280" i="82"/>
  <c r="K279" i="82"/>
  <c r="J279" i="82"/>
  <c r="G279" i="82"/>
  <c r="C279" i="82"/>
  <c r="K278" i="82"/>
  <c r="J278" i="82"/>
  <c r="G278" i="82"/>
  <c r="C278" i="82"/>
  <c r="K277" i="82"/>
  <c r="J277" i="82"/>
  <c r="G277" i="82"/>
  <c r="C277" i="82"/>
  <c r="K276" i="82"/>
  <c r="J276" i="82"/>
  <c r="G276" i="82"/>
  <c r="C276" i="82"/>
  <c r="K275" i="82"/>
  <c r="J275" i="82"/>
  <c r="G275" i="82"/>
  <c r="C275" i="82"/>
  <c r="K274" i="82"/>
  <c r="J274" i="82"/>
  <c r="G274" i="82"/>
  <c r="C274" i="82"/>
  <c r="K273" i="82"/>
  <c r="J273" i="82"/>
  <c r="G273" i="82"/>
  <c r="C273" i="82"/>
  <c r="K272" i="82"/>
  <c r="J272" i="82"/>
  <c r="G272" i="82"/>
  <c r="C272" i="82"/>
  <c r="K271" i="82"/>
  <c r="J271" i="82"/>
  <c r="G271" i="82"/>
  <c r="C271" i="82"/>
  <c r="K270" i="82"/>
  <c r="J270" i="82"/>
  <c r="G270" i="82"/>
  <c r="C270" i="82"/>
  <c r="K269" i="82"/>
  <c r="J269" i="82"/>
  <c r="G269" i="82"/>
  <c r="C269" i="82"/>
  <c r="K268" i="82"/>
  <c r="J268" i="82"/>
  <c r="G268" i="82"/>
  <c r="C268" i="82"/>
  <c r="K267" i="82"/>
  <c r="J267" i="82"/>
  <c r="G267" i="82"/>
  <c r="C267" i="82"/>
  <c r="K266" i="82"/>
  <c r="J266" i="82"/>
  <c r="G266" i="82"/>
  <c r="C266" i="82"/>
  <c r="K265" i="82"/>
  <c r="J265" i="82"/>
  <c r="G265" i="82"/>
  <c r="C265" i="82"/>
  <c r="K264" i="82"/>
  <c r="J264" i="82"/>
  <c r="G264" i="82"/>
  <c r="C264" i="82"/>
  <c r="K263" i="82"/>
  <c r="J263" i="82"/>
  <c r="G263" i="82"/>
  <c r="C263" i="82"/>
  <c r="K262" i="82"/>
  <c r="J262" i="82"/>
  <c r="G262" i="82"/>
  <c r="C262" i="82"/>
  <c r="K261" i="82"/>
  <c r="J261" i="82"/>
  <c r="G261" i="82"/>
  <c r="C261" i="82"/>
  <c r="K260" i="82"/>
  <c r="J260" i="82"/>
  <c r="G260" i="82"/>
  <c r="C260" i="82"/>
  <c r="K259" i="82"/>
  <c r="J259" i="82"/>
  <c r="G259" i="82"/>
  <c r="C259" i="82"/>
  <c r="K258" i="82"/>
  <c r="J258" i="82"/>
  <c r="G258" i="82"/>
  <c r="C258" i="82"/>
  <c r="K257" i="82"/>
  <c r="J257" i="82"/>
  <c r="G257" i="82"/>
  <c r="C257" i="82"/>
  <c r="K256" i="82"/>
  <c r="J256" i="82"/>
  <c r="G256" i="82"/>
  <c r="C256" i="82"/>
  <c r="K255" i="82"/>
  <c r="J255" i="82"/>
  <c r="G255" i="82"/>
  <c r="C255" i="82"/>
  <c r="K254" i="82"/>
  <c r="J254" i="82"/>
  <c r="G254" i="82"/>
  <c r="C254" i="82"/>
  <c r="K253" i="82"/>
  <c r="J253" i="82"/>
  <c r="G253" i="82"/>
  <c r="C253" i="82"/>
  <c r="K252" i="82"/>
  <c r="J252" i="82"/>
  <c r="G252" i="82"/>
  <c r="C252" i="82"/>
  <c r="K251" i="82"/>
  <c r="J251" i="82"/>
  <c r="G251" i="82"/>
  <c r="C251" i="82"/>
  <c r="K250" i="82"/>
  <c r="J250" i="82"/>
  <c r="G250" i="82"/>
  <c r="C250" i="82"/>
  <c r="K249" i="82"/>
  <c r="J249" i="82"/>
  <c r="G249" i="82"/>
  <c r="C249" i="82"/>
  <c r="K248" i="82"/>
  <c r="J248" i="82"/>
  <c r="G248" i="82"/>
  <c r="C248" i="82"/>
  <c r="K247" i="82"/>
  <c r="J247" i="82"/>
  <c r="G247" i="82"/>
  <c r="C247" i="82"/>
  <c r="K246" i="82"/>
  <c r="J246" i="82"/>
  <c r="G246" i="82"/>
  <c r="C246" i="82"/>
  <c r="K245" i="82"/>
  <c r="J245" i="82"/>
  <c r="G245" i="82"/>
  <c r="C245" i="82"/>
  <c r="K244" i="82"/>
  <c r="J244" i="82"/>
  <c r="G244" i="82"/>
  <c r="C244" i="82"/>
  <c r="K243" i="82"/>
  <c r="J243" i="82"/>
  <c r="G243" i="82"/>
  <c r="C243" i="82"/>
  <c r="K242" i="82"/>
  <c r="J242" i="82"/>
  <c r="G242" i="82"/>
  <c r="C242" i="82"/>
  <c r="K241" i="82"/>
  <c r="J241" i="82"/>
  <c r="G241" i="82"/>
  <c r="C241" i="82"/>
  <c r="K240" i="82"/>
  <c r="J240" i="82"/>
  <c r="G240" i="82"/>
  <c r="C240" i="82"/>
  <c r="K239" i="82"/>
  <c r="J239" i="82"/>
  <c r="G239" i="82"/>
  <c r="C239" i="82"/>
  <c r="K238" i="82"/>
  <c r="J238" i="82"/>
  <c r="G238" i="82"/>
  <c r="C238" i="82"/>
  <c r="K237" i="82"/>
  <c r="J237" i="82"/>
  <c r="G237" i="82"/>
  <c r="C237" i="82"/>
  <c r="K236" i="82"/>
  <c r="J236" i="82"/>
  <c r="G236" i="82"/>
  <c r="C236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K194" i="82"/>
  <c r="J194" i="82"/>
  <c r="G194" i="82"/>
  <c r="K193" i="82"/>
  <c r="J193" i="82"/>
  <c r="G193" i="82"/>
  <c r="K192" i="82"/>
  <c r="J192" i="82"/>
  <c r="G192" i="82"/>
  <c r="K191" i="82"/>
  <c r="J191" i="82"/>
  <c r="G191" i="82"/>
  <c r="K190" i="82"/>
  <c r="J190" i="82"/>
  <c r="G190" i="82"/>
  <c r="K189" i="82"/>
  <c r="J189" i="82"/>
  <c r="G189" i="82"/>
  <c r="K188" i="82"/>
  <c r="J188" i="82"/>
  <c r="G188" i="82"/>
  <c r="K187" i="82"/>
  <c r="J187" i="82"/>
  <c r="G187" i="82"/>
  <c r="K186" i="82"/>
  <c r="J186" i="82"/>
  <c r="G186" i="82"/>
  <c r="K185" i="82"/>
  <c r="J185" i="82"/>
  <c r="G185" i="82"/>
  <c r="K184" i="82"/>
  <c r="J184" i="82"/>
  <c r="G184" i="82"/>
  <c r="K183" i="82"/>
  <c r="J183" i="82"/>
  <c r="G183" i="82"/>
  <c r="K182" i="82"/>
  <c r="J182" i="82"/>
  <c r="G182" i="82"/>
  <c r="K181" i="82"/>
  <c r="J181" i="82"/>
  <c r="G181" i="82"/>
  <c r="K180" i="82"/>
  <c r="J180" i="82"/>
  <c r="G180" i="82"/>
  <c r="K179" i="82"/>
  <c r="J179" i="82"/>
  <c r="G179" i="82"/>
  <c r="K178" i="82"/>
  <c r="J178" i="82"/>
  <c r="G178" i="82"/>
  <c r="K177" i="82"/>
  <c r="J177" i="82"/>
  <c r="G177" i="82"/>
  <c r="K176" i="82"/>
  <c r="J176" i="82"/>
  <c r="G176" i="82"/>
  <c r="K175" i="82"/>
  <c r="J175" i="82"/>
  <c r="G175" i="82"/>
  <c r="K174" i="82"/>
  <c r="J174" i="82"/>
  <c r="G174" i="82"/>
  <c r="K173" i="82"/>
  <c r="J173" i="82"/>
  <c r="G173" i="82"/>
  <c r="K172" i="82"/>
  <c r="J172" i="82"/>
  <c r="G172" i="82"/>
  <c r="K171" i="82"/>
  <c r="J171" i="82"/>
  <c r="G171" i="82"/>
  <c r="K170" i="82"/>
  <c r="J170" i="82"/>
  <c r="G170" i="82"/>
  <c r="K169" i="82"/>
  <c r="J169" i="82"/>
  <c r="G169" i="82"/>
  <c r="K168" i="82"/>
  <c r="J168" i="82"/>
  <c r="G168" i="82"/>
  <c r="K167" i="82"/>
  <c r="J167" i="82"/>
  <c r="G167" i="82"/>
  <c r="K166" i="82"/>
  <c r="J166" i="82"/>
  <c r="G166" i="82"/>
  <c r="K165" i="82"/>
  <c r="J165" i="82"/>
  <c r="G165" i="82"/>
  <c r="K164" i="82"/>
  <c r="J164" i="82"/>
  <c r="G164" i="82"/>
  <c r="K163" i="82"/>
  <c r="J163" i="82"/>
  <c r="G163" i="82"/>
  <c r="K162" i="82"/>
  <c r="J162" i="82"/>
  <c r="G162" i="82"/>
  <c r="K161" i="82"/>
  <c r="J161" i="82"/>
  <c r="G161" i="82"/>
  <c r="K160" i="82"/>
  <c r="J160" i="82"/>
  <c r="G160" i="82"/>
  <c r="K159" i="82"/>
  <c r="J159" i="82"/>
  <c r="G159" i="82"/>
  <c r="K158" i="82"/>
  <c r="J158" i="82"/>
  <c r="G158" i="82"/>
  <c r="K157" i="82"/>
  <c r="J157" i="82"/>
  <c r="G157" i="82"/>
  <c r="K156" i="82"/>
  <c r="J156" i="82"/>
  <c r="G156" i="82"/>
  <c r="K155" i="82"/>
  <c r="J155" i="82"/>
  <c r="G155" i="82"/>
  <c r="K154" i="82"/>
  <c r="J154" i="82"/>
  <c r="G154" i="82"/>
  <c r="K153" i="82"/>
  <c r="J153" i="82"/>
  <c r="G153" i="82"/>
  <c r="K152" i="82"/>
  <c r="J152" i="82"/>
  <c r="G152" i="82"/>
  <c r="K151" i="82"/>
  <c r="J151" i="82"/>
  <c r="G151" i="82"/>
  <c r="K150" i="82"/>
  <c r="J150" i="82"/>
  <c r="G150" i="82"/>
  <c r="K149" i="82"/>
  <c r="J149" i="82"/>
  <c r="G149" i="82"/>
  <c r="K148" i="82"/>
  <c r="J148" i="82"/>
  <c r="G148" i="82"/>
  <c r="K147" i="82"/>
  <c r="J147" i="82"/>
  <c r="G147" i="82"/>
  <c r="K146" i="82"/>
  <c r="J146" i="82"/>
  <c r="G146" i="82"/>
  <c r="K145" i="82"/>
  <c r="J145" i="82"/>
  <c r="G145" i="82"/>
  <c r="K144" i="82"/>
  <c r="J144" i="82"/>
  <c r="G144" i="82"/>
  <c r="K143" i="82"/>
  <c r="J143" i="82"/>
  <c r="G143" i="82"/>
  <c r="K142" i="82"/>
  <c r="J142" i="82"/>
  <c r="G142" i="82"/>
  <c r="K141" i="82"/>
  <c r="J141" i="82"/>
  <c r="G141" i="82"/>
  <c r="K140" i="82"/>
  <c r="J140" i="82"/>
  <c r="G140" i="82"/>
  <c r="K139" i="82"/>
  <c r="J139" i="82"/>
  <c r="G139" i="82"/>
  <c r="K138" i="82"/>
  <c r="J138" i="82"/>
  <c r="G138" i="82"/>
  <c r="K137" i="82"/>
  <c r="J137" i="82"/>
  <c r="G137" i="82"/>
  <c r="K136" i="82"/>
  <c r="J136" i="82"/>
  <c r="G136" i="82"/>
  <c r="K135" i="82"/>
  <c r="J135" i="82"/>
  <c r="G135" i="82"/>
  <c r="K134" i="82"/>
  <c r="J134" i="82"/>
  <c r="G134" i="82"/>
  <c r="K133" i="82"/>
  <c r="J133" i="82"/>
  <c r="G133" i="82"/>
  <c r="K132" i="82"/>
  <c r="J132" i="82"/>
  <c r="G132" i="82"/>
  <c r="K131" i="82"/>
  <c r="J131" i="82"/>
  <c r="G131" i="82"/>
  <c r="K130" i="82"/>
  <c r="J130" i="82"/>
  <c r="G130" i="82"/>
  <c r="K129" i="82"/>
  <c r="J129" i="82"/>
  <c r="G129" i="82"/>
  <c r="K128" i="82"/>
  <c r="J128" i="82"/>
  <c r="G128" i="82"/>
  <c r="K127" i="82"/>
  <c r="J127" i="82"/>
  <c r="G127" i="82"/>
  <c r="K126" i="82"/>
  <c r="J126" i="82"/>
  <c r="G126" i="82"/>
  <c r="K125" i="82"/>
  <c r="J125" i="82"/>
  <c r="G125" i="82"/>
  <c r="K124" i="82"/>
  <c r="J124" i="82"/>
  <c r="G124" i="82"/>
  <c r="K123" i="82"/>
  <c r="J123" i="82"/>
  <c r="G123" i="82"/>
  <c r="K122" i="82"/>
  <c r="J122" i="82"/>
  <c r="G122" i="82"/>
  <c r="K121" i="82"/>
  <c r="J121" i="82"/>
  <c r="G121" i="82"/>
  <c r="K120" i="82"/>
  <c r="J120" i="82"/>
  <c r="G120" i="82"/>
  <c r="K119" i="82"/>
  <c r="J119" i="82"/>
  <c r="G119" i="82"/>
  <c r="K118" i="82"/>
  <c r="J118" i="82"/>
  <c r="G118" i="82"/>
  <c r="K117" i="82"/>
  <c r="J117" i="82"/>
  <c r="K116" i="82"/>
  <c r="J116" i="82"/>
  <c r="G116" i="82"/>
  <c r="K115" i="82"/>
  <c r="J115" i="82"/>
  <c r="G115" i="82"/>
  <c r="K114" i="82"/>
  <c r="J114" i="82"/>
  <c r="G114" i="82"/>
  <c r="K113" i="82"/>
  <c r="J113" i="82"/>
  <c r="G113" i="82"/>
  <c r="K112" i="82"/>
  <c r="J112" i="82"/>
  <c r="G112" i="82"/>
  <c r="K111" i="82"/>
  <c r="J111" i="82"/>
  <c r="G111" i="82"/>
  <c r="K110" i="82"/>
  <c r="J110" i="82"/>
  <c r="G110" i="82"/>
  <c r="K109" i="82"/>
  <c r="J109" i="82"/>
  <c r="G109" i="82"/>
  <c r="K108" i="82"/>
  <c r="J108" i="82"/>
  <c r="G108" i="82"/>
  <c r="K107" i="82"/>
  <c r="J107" i="82"/>
  <c r="G107" i="82"/>
  <c r="K106" i="82"/>
  <c r="J106" i="82"/>
  <c r="G106" i="82"/>
  <c r="K105" i="82"/>
  <c r="J105" i="82"/>
  <c r="G105" i="82"/>
  <c r="K104" i="82"/>
  <c r="J104" i="82"/>
  <c r="G104" i="82"/>
  <c r="K103" i="82"/>
  <c r="J103" i="82"/>
  <c r="G103" i="82"/>
  <c r="K102" i="82"/>
  <c r="J102" i="82"/>
  <c r="G102" i="82"/>
  <c r="K101" i="82"/>
  <c r="J101" i="82"/>
  <c r="G101" i="82"/>
  <c r="K100" i="82"/>
  <c r="J100" i="82"/>
  <c r="G100" i="82"/>
  <c r="K99" i="82"/>
  <c r="J99" i="82"/>
  <c r="G99" i="82"/>
  <c r="K98" i="82"/>
  <c r="J98" i="82"/>
  <c r="G98" i="82"/>
  <c r="K97" i="82"/>
  <c r="J97" i="82"/>
  <c r="G97" i="82"/>
  <c r="K96" i="82"/>
  <c r="J96" i="82"/>
  <c r="G96" i="82"/>
  <c r="K95" i="82"/>
  <c r="J95" i="82"/>
  <c r="G95" i="82"/>
  <c r="K94" i="82"/>
  <c r="J94" i="82"/>
  <c r="G94" i="82"/>
  <c r="K93" i="82"/>
  <c r="J93" i="82"/>
  <c r="G93" i="82"/>
  <c r="K92" i="82"/>
  <c r="J92" i="82"/>
  <c r="G92" i="82"/>
  <c r="K91" i="82"/>
  <c r="J91" i="82"/>
  <c r="G91" i="82"/>
  <c r="K90" i="82"/>
  <c r="J90" i="82"/>
  <c r="G90" i="82"/>
  <c r="K89" i="82"/>
  <c r="J89" i="82"/>
  <c r="G89" i="82"/>
  <c r="K88" i="82"/>
  <c r="J88" i="82"/>
  <c r="G88" i="82"/>
  <c r="K87" i="82"/>
  <c r="J87" i="82"/>
  <c r="G87" i="82"/>
  <c r="K86" i="82"/>
  <c r="J86" i="82"/>
  <c r="G86" i="82"/>
  <c r="K85" i="82"/>
  <c r="J85" i="82"/>
  <c r="G85" i="82"/>
  <c r="K84" i="82"/>
  <c r="J84" i="82"/>
  <c r="G84" i="82"/>
  <c r="K83" i="82"/>
  <c r="J83" i="82"/>
  <c r="G83" i="82"/>
  <c r="K82" i="82"/>
  <c r="J82" i="82"/>
  <c r="G82" i="82"/>
  <c r="K81" i="82"/>
  <c r="J81" i="82"/>
  <c r="G81" i="82"/>
  <c r="K80" i="82"/>
  <c r="J80" i="82"/>
  <c r="G80" i="82"/>
  <c r="K79" i="82"/>
  <c r="J79" i="82"/>
  <c r="G79" i="82"/>
  <c r="K78" i="82"/>
  <c r="J78" i="82"/>
  <c r="G78" i="82"/>
  <c r="K77" i="82"/>
  <c r="J77" i="82"/>
  <c r="G77" i="82"/>
  <c r="K76" i="82"/>
  <c r="J76" i="82"/>
  <c r="G76" i="82"/>
  <c r="K75" i="82"/>
  <c r="J75" i="82"/>
  <c r="G75" i="82"/>
  <c r="K74" i="82"/>
  <c r="J74" i="82"/>
  <c r="G74" i="82"/>
  <c r="K73" i="82"/>
  <c r="J73" i="82"/>
  <c r="G73" i="82"/>
  <c r="K72" i="82"/>
  <c r="J72" i="82"/>
  <c r="G72" i="82"/>
  <c r="K71" i="82"/>
  <c r="J71" i="82"/>
  <c r="G71" i="82"/>
  <c r="K70" i="82"/>
  <c r="J70" i="82"/>
  <c r="G70" i="82"/>
  <c r="K69" i="82"/>
  <c r="J69" i="82"/>
  <c r="G69" i="82"/>
  <c r="K68" i="82"/>
  <c r="J68" i="82"/>
  <c r="G68" i="82"/>
  <c r="K67" i="82"/>
  <c r="J67" i="82"/>
  <c r="G67" i="82"/>
  <c r="K66" i="82"/>
  <c r="J66" i="82"/>
  <c r="G66" i="82"/>
  <c r="K65" i="82"/>
  <c r="J65" i="82"/>
  <c r="G65" i="82"/>
  <c r="K64" i="82"/>
  <c r="J64" i="82"/>
  <c r="G64" i="82"/>
  <c r="K63" i="82"/>
  <c r="J63" i="82"/>
  <c r="G63" i="82"/>
  <c r="K62" i="82"/>
  <c r="J62" i="82"/>
  <c r="G62" i="82"/>
  <c r="K61" i="82"/>
  <c r="J61" i="82"/>
  <c r="G61" i="82"/>
  <c r="K60" i="82"/>
  <c r="J60" i="82"/>
  <c r="G60" i="82"/>
  <c r="K59" i="82"/>
  <c r="J59" i="82"/>
  <c r="G59" i="82"/>
  <c r="K58" i="82"/>
  <c r="J58" i="82"/>
  <c r="G58" i="82"/>
  <c r="K57" i="82"/>
  <c r="J57" i="82"/>
  <c r="G57" i="82"/>
  <c r="K56" i="82"/>
  <c r="J56" i="82"/>
  <c r="G56" i="82"/>
  <c r="K55" i="82"/>
  <c r="J55" i="82"/>
  <c r="G55" i="82"/>
  <c r="K54" i="82"/>
  <c r="J54" i="82"/>
  <c r="G54" i="82"/>
  <c r="K53" i="82"/>
  <c r="J53" i="82"/>
  <c r="G53" i="82"/>
  <c r="K52" i="82"/>
  <c r="J52" i="82"/>
  <c r="G52" i="82"/>
  <c r="K51" i="82"/>
  <c r="J51" i="82"/>
  <c r="G51" i="82"/>
  <c r="K50" i="82"/>
  <c r="J50" i="82"/>
  <c r="G50" i="82"/>
  <c r="K49" i="82"/>
  <c r="J49" i="82"/>
  <c r="G49" i="82"/>
  <c r="K48" i="82"/>
  <c r="J48" i="82"/>
  <c r="G48" i="82"/>
  <c r="K47" i="82"/>
  <c r="J47" i="82"/>
  <c r="G47" i="82"/>
  <c r="K46" i="82"/>
  <c r="J46" i="82"/>
  <c r="G46" i="82"/>
  <c r="K45" i="82"/>
  <c r="J45" i="82"/>
  <c r="G45" i="82"/>
  <c r="K44" i="82"/>
  <c r="J44" i="82"/>
  <c r="G44" i="82"/>
  <c r="K43" i="82"/>
  <c r="J43" i="82"/>
  <c r="G43" i="82"/>
  <c r="K42" i="82"/>
  <c r="J42" i="82"/>
  <c r="G42" i="82"/>
  <c r="K41" i="82"/>
  <c r="J41" i="82"/>
  <c r="G41" i="82"/>
  <c r="K40" i="82"/>
  <c r="J40" i="82"/>
  <c r="G40" i="82"/>
  <c r="K39" i="82"/>
  <c r="J39" i="82"/>
  <c r="G39" i="82"/>
  <c r="K38" i="82"/>
  <c r="J38" i="82"/>
  <c r="G38" i="82"/>
  <c r="K37" i="82"/>
  <c r="J37" i="82"/>
  <c r="G37" i="82"/>
  <c r="K36" i="82"/>
  <c r="J36" i="82"/>
  <c r="G36" i="82"/>
  <c r="K35" i="82"/>
  <c r="J35" i="82"/>
  <c r="G35" i="82"/>
  <c r="K34" i="82"/>
  <c r="J34" i="82"/>
  <c r="G34" i="82"/>
  <c r="K33" i="82"/>
  <c r="J33" i="82"/>
  <c r="G33" i="82"/>
  <c r="K32" i="82"/>
  <c r="J32" i="82"/>
  <c r="G32" i="82"/>
  <c r="K31" i="82"/>
  <c r="J31" i="82"/>
  <c r="G31" i="82"/>
  <c r="K30" i="82"/>
  <c r="J30" i="82"/>
  <c r="G30" i="82"/>
  <c r="K29" i="82"/>
  <c r="J29" i="82"/>
  <c r="G29" i="82"/>
  <c r="K28" i="82"/>
  <c r="J28" i="82"/>
  <c r="G28" i="82"/>
  <c r="K27" i="82"/>
  <c r="J27" i="82"/>
  <c r="G27" i="82"/>
  <c r="K26" i="82"/>
  <c r="J26" i="82"/>
  <c r="G26" i="82"/>
  <c r="K25" i="82"/>
  <c r="J25" i="82"/>
  <c r="G25" i="82"/>
  <c r="K24" i="82"/>
  <c r="J24" i="82"/>
  <c r="G24" i="82"/>
  <c r="K23" i="82"/>
  <c r="J23" i="82"/>
  <c r="G23" i="82"/>
  <c r="K22" i="82"/>
  <c r="J22" i="82"/>
  <c r="G22" i="82"/>
  <c r="K21" i="82"/>
  <c r="J21" i="82"/>
  <c r="G21" i="82"/>
  <c r="K20" i="82"/>
  <c r="J20" i="82"/>
  <c r="G20" i="82"/>
  <c r="K19" i="82"/>
  <c r="J19" i="82"/>
  <c r="G19" i="82"/>
  <c r="K18" i="82"/>
  <c r="J18" i="82"/>
  <c r="G18" i="82"/>
  <c r="K17" i="82"/>
  <c r="J17" i="82"/>
  <c r="G17" i="82"/>
  <c r="K16" i="82"/>
  <c r="J16" i="82"/>
  <c r="G16" i="82"/>
  <c r="K15" i="82"/>
  <c r="J15" i="82"/>
  <c r="G15" i="82"/>
  <c r="K14" i="82"/>
  <c r="J14" i="82"/>
  <c r="G14" i="82"/>
  <c r="K13" i="82"/>
  <c r="J13" i="82"/>
  <c r="G13" i="82"/>
  <c r="K12" i="82"/>
  <c r="J12" i="82"/>
  <c r="G12" i="82"/>
  <c r="K11" i="82"/>
  <c r="J11" i="82"/>
  <c r="G11" i="82"/>
  <c r="K10" i="82"/>
  <c r="J10" i="82"/>
  <c r="G10" i="82"/>
  <c r="K9" i="82"/>
  <c r="J9" i="82"/>
  <c r="G9" i="82"/>
  <c r="K8" i="82"/>
  <c r="J8" i="82"/>
  <c r="G8" i="82"/>
  <c r="K7" i="82"/>
  <c r="J7" i="82"/>
  <c r="G7" i="82"/>
  <c r="K6" i="82"/>
  <c r="J6" i="82"/>
  <c r="G6" i="82"/>
  <c r="K5" i="82"/>
  <c r="J5" i="82"/>
  <c r="G5" i="82"/>
  <c r="K4" i="82"/>
  <c r="J4" i="82"/>
  <c r="G4" i="82"/>
  <c r="K3" i="82"/>
  <c r="J3" i="82"/>
  <c r="G3" i="82"/>
  <c r="C2" i="82"/>
  <c r="K2" i="82"/>
  <c r="J2" i="82"/>
  <c r="G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<sst xmlns="http://schemas.openxmlformats.org/spreadsheetml/2006/main" count="396" uniqueCount="234">
  <si>
    <t>character_id</t>
  </si>
  <si>
    <t>character_id</t>
    <phoneticPr fontId="13"/>
  </si>
  <si>
    <t>unit_level</t>
    <phoneticPr fontId="13"/>
  </si>
  <si>
    <t>weight</t>
    <phoneticPr fontId="13"/>
  </si>
  <si>
    <t>rare</t>
    <phoneticPr fontId="13"/>
  </si>
  <si>
    <t>name</t>
    <phoneticPr fontId="13"/>
  </si>
  <si>
    <t>drop_label</t>
    <phoneticPr fontId="13"/>
  </si>
  <si>
    <t>color</t>
    <phoneticPr fontId="13"/>
  </si>
  <si>
    <t>character_type_id</t>
    <phoneticPr fontId="13"/>
  </si>
  <si>
    <t>character_tribe_id</t>
    <phoneticPr fontId="13"/>
  </si>
  <si>
    <t>temp_gacha</t>
    <phoneticPr fontId="13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</si>
  <si>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</si>
  <si>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</si>
  <si>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</si>
  <si>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</si>
  <si>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</si>
  <si>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</si>
  <si>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</si>
  <si>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3"/>
  </si>
  <si>
    <t>pickup_flg</t>
    <phoneticPr fontId="13"/>
  </si>
  <si>
    <t>select_table_no</t>
    <phoneticPr fontId="13"/>
  </si>
  <si>
    <t>select_table_no</t>
    <phoneticPr fontId="13"/>
  </si>
  <si>
    <t>bonus_table_no</t>
    <phoneticPr fontId="13"/>
  </si>
  <si>
    <t>bonus_table_no</t>
    <phoneticPr fontId="13"/>
  </si>
  <si>
    <t>weight</t>
    <phoneticPr fontId="13"/>
  </si>
  <si>
    <t>gift_id</t>
    <phoneticPr fontId="13"/>
  </si>
  <si>
    <t>gift_id</t>
    <phoneticPr fontId="13"/>
  </si>
  <si>
    <t>gift_type</t>
    <phoneticPr fontId="13"/>
  </si>
  <si>
    <t>gift_value</t>
    <phoneticPr fontId="13"/>
  </si>
  <si>
    <t>gift_count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</si>
  <si>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</si>
  <si>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</si>
  <si>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</si>
  <si>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</si>
  <si>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gift_id</t>
    <phoneticPr fontId="13"/>
  </si>
  <si>
    <t>gift_value</t>
    <phoneticPr fontId="13"/>
  </si>
  <si>
    <t>gift_value</t>
    <phoneticPr fontId="13"/>
  </si>
  <si>
    <t>gift_count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</si>
  <si>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</si>
  <si>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</si>
  <si>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</si>
  <si>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</si>
  <si>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gift_type</t>
    <phoneticPr fontId="13"/>
  </si>
  <si>
    <t>備考</t>
    <rPh sb="0" eb="2">
      <t>ビコウ</t>
    </rPh>
    <phoneticPr fontId="13"/>
  </si>
  <si>
    <t>label</t>
    <phoneticPr fontId="13"/>
  </si>
  <si>
    <t>table_no</t>
    <phoneticPr fontId="13"/>
  </si>
  <si>
    <t>character_id</t>
    <phoneticPr fontId="13"/>
  </si>
  <si>
    <t>name</t>
    <phoneticPr fontId="13"/>
  </si>
  <si>
    <t>drop_label</t>
    <phoneticPr fontId="13"/>
  </si>
  <si>
    <t>rare</t>
    <phoneticPr fontId="13"/>
  </si>
  <si>
    <t>character_type_id</t>
    <phoneticPr fontId="13"/>
  </si>
  <si>
    <t>character_tribe_id</t>
    <phoneticPr fontId="13"/>
  </si>
  <si>
    <t>unit_level</t>
    <phoneticPr fontId="13"/>
  </si>
  <si>
    <t>weight</t>
    <phoneticPr fontId="13"/>
  </si>
  <si>
    <t>接頭語</t>
    <rPh sb="0" eb="3">
      <t>セットウゴ</t>
    </rPh>
    <phoneticPr fontId="47"/>
  </si>
  <si>
    <t>識別子</t>
    <rPh sb="0" eb="3">
      <t>シキベツシ</t>
    </rPh>
    <phoneticPr fontId="47"/>
  </si>
  <si>
    <t>形式</t>
    <rPh sb="0" eb="2">
      <t>ケイシキ</t>
    </rPh>
    <phoneticPr fontId="47"/>
  </si>
  <si>
    <t>出力ファイル名</t>
    <rPh sb="0" eb="2">
      <t>シュツリョク</t>
    </rPh>
    <rPh sb="6" eb="7">
      <t>メイ</t>
    </rPh>
    <phoneticPr fontId="47"/>
  </si>
  <si>
    <t>入力シート名</t>
    <rPh sb="0" eb="2">
      <t>ニュウリョク</t>
    </rPh>
    <rPh sb="5" eb="6">
      <t>メイ</t>
    </rPh>
    <phoneticPr fontId="47"/>
  </si>
  <si>
    <t>出力データ</t>
    <rPh sb="0" eb="2">
      <t>シュツリョク</t>
    </rPh>
    <phoneticPr fontId="47"/>
  </si>
  <si>
    <t>.tmp</t>
    <phoneticPr fontId="47"/>
  </si>
  <si>
    <t>.tmp</t>
    <phoneticPr fontId="47"/>
  </si>
  <si>
    <t>gacha_select_tables</t>
    <phoneticPr fontId="47"/>
  </si>
  <si>
    <t>gacha_settle_tables</t>
    <phoneticPr fontId="47"/>
  </si>
  <si>
    <t>gacha_bonus_tables</t>
    <phoneticPr fontId="47"/>
  </si>
  <si>
    <t>gifts_tmp_</t>
    <phoneticPr fontId="13"/>
  </si>
  <si>
    <t>gifts_i18n_</t>
    <phoneticPr fontId="13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</si>
  <si>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</si>
  <si>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3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</si>
  <si>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3"/>
  </si>
  <si>
    <t>出力flg</t>
    <rPh sb="0" eb="2">
      <t>シュツリョク</t>
    </rPh>
    <phoneticPr fontId="47"/>
  </si>
  <si>
    <t>PremiumSS</t>
  </si>
  <si>
    <t>color</t>
    <phoneticPr fontId="13"/>
  </si>
  <si>
    <t>name</t>
    <phoneticPr fontId="13"/>
  </si>
  <si>
    <t>バグ設定ユニット数</t>
    <rPh sb="2" eb="9">
      <t>セッテイy</t>
    </rPh>
    <phoneticPr fontId="13"/>
  </si>
  <si>
    <t>単発ガチャ</t>
    <rPh sb="0" eb="5">
      <t>タンパt</t>
    </rPh>
    <phoneticPr fontId="13"/>
  </si>
  <si>
    <t>unit_level</t>
    <phoneticPr fontId="13"/>
  </si>
  <si>
    <t>フェス限定キャラ数</t>
    <rPh sb="3" eb="8">
      <t>ゲン</t>
    </rPh>
    <rPh sb="8" eb="9">
      <t>シュt</t>
    </rPh>
    <phoneticPr fontId="13"/>
  </si>
  <si>
    <t>１０連ガチャ</t>
    <rPh sb="2" eb="6">
      <t>レン</t>
    </rPh>
    <phoneticPr fontId="13"/>
  </si>
  <si>
    <t>確定枠</t>
    <rPh sb="0" eb="3">
      <t>カクテ</t>
    </rPh>
    <phoneticPr fontId="13"/>
  </si>
  <si>
    <t>今回のガチャID</t>
    <rPh sb="0" eb="3">
      <t>コンカ</t>
    </rPh>
    <phoneticPr fontId="13"/>
  </si>
  <si>
    <t>other</t>
    <phoneticPr fontId="13"/>
  </si>
  <si>
    <t>PremiumS</t>
    <phoneticPr fontId="13"/>
  </si>
  <si>
    <t>PremiumSS</t>
    <phoneticPr fontId="13"/>
  </si>
  <si>
    <t>▼レアガチャ</t>
    <phoneticPr fontId="13"/>
  </si>
  <si>
    <t>■金額設定</t>
    <rPh sb="1" eb="3">
      <t>キンガク</t>
    </rPh>
    <rPh sb="3" eb="5">
      <t>セッテイ</t>
    </rPh>
    <phoneticPr fontId="13"/>
  </si>
  <si>
    <t>§ショップ金額設定</t>
    <rPh sb="5" eb="9">
      <t>キンガクセッテイ</t>
    </rPh>
    <phoneticPr fontId="13"/>
  </si>
  <si>
    <t>ショップの金額を以下のように定める</t>
    <rPh sb="5" eb="7">
      <t>キンガク</t>
    </rPh>
    <rPh sb="8" eb="10">
      <t>イカ</t>
    </rPh>
    <rPh sb="14" eb="15">
      <t>サダ</t>
    </rPh>
    <phoneticPr fontId="13"/>
  </si>
  <si>
    <t>HC個数</t>
    <rPh sb="2" eb="4">
      <t>コスウ</t>
    </rPh>
    <phoneticPr fontId="13"/>
  </si>
  <si>
    <t>金額</t>
    <rPh sb="0" eb="2">
      <t>キンガク</t>
    </rPh>
    <phoneticPr fontId="13"/>
  </si>
  <si>
    <t>1個当たり金額</t>
    <rPh sb="1" eb="3">
      <t>コア</t>
    </rPh>
    <rPh sb="5" eb="7">
      <t>キンガク</t>
    </rPh>
    <phoneticPr fontId="13"/>
  </si>
  <si>
    <t>初回3日間限定割引</t>
    <rPh sb="0" eb="2">
      <t>ショカイ</t>
    </rPh>
    <rPh sb="3" eb="7">
      <t>ニチカンゲンテイ</t>
    </rPh>
    <rPh sb="7" eb="9">
      <t>ワリビキ</t>
    </rPh>
    <phoneticPr fontId="13"/>
  </si>
  <si>
    <t>§ガチャ金額設定</t>
    <rPh sb="4" eb="8">
      <t>キンガクセッテイ</t>
    </rPh>
    <phoneticPr fontId="13"/>
  </si>
  <si>
    <t>ガチャ1回最高値</t>
    <phoneticPr fontId="13"/>
  </si>
  <si>
    <t>円</t>
    <rPh sb="0" eb="1">
      <t>エン</t>
    </rPh>
    <phoneticPr fontId="13"/>
  </si>
  <si>
    <t>ガチャ1回最安値</t>
    <phoneticPr fontId="13"/>
  </si>
  <si>
    <t>円</t>
    <rPh sb="0" eb="1">
      <t>¥</t>
    </rPh>
    <phoneticPr fontId="13"/>
  </si>
  <si>
    <t>1回のガチャ単価</t>
    <rPh sb="1" eb="2">
      <t>カイ</t>
    </rPh>
    <rPh sb="6" eb="8">
      <t>タンカ</t>
    </rPh>
    <phoneticPr fontId="13"/>
  </si>
  <si>
    <t>円と定める</t>
    <rPh sb="0" eb="1">
      <t>エン</t>
    </rPh>
    <rPh sb="2" eb="3">
      <t>サダ</t>
    </rPh>
    <phoneticPr fontId="13"/>
  </si>
  <si>
    <t>■出現確率</t>
    <rPh sb="1" eb="5">
      <t>シュツゲンカクリツ</t>
    </rPh>
    <phoneticPr fontId="13"/>
  </si>
  <si>
    <t>§出現確率方針</t>
    <rPh sb="1" eb="5">
      <t>シュツゲンカクリツ</t>
    </rPh>
    <rPh sb="5" eb="7">
      <t>ホウシン</t>
    </rPh>
    <phoneticPr fontId="13"/>
  </si>
  <si>
    <t>レアリティが高ければ高いほどユニットの出現率を下げる。</t>
    <rPh sb="6" eb="7">
      <t>タカ</t>
    </rPh>
    <rPh sb="10" eb="11">
      <t>タカ</t>
    </rPh>
    <rPh sb="19" eb="22">
      <t>シュツゲンリツ</t>
    </rPh>
    <rPh sb="23" eb="24">
      <t>サ</t>
    </rPh>
    <phoneticPr fontId="13"/>
  </si>
  <si>
    <t>R5は</t>
    <phoneticPr fontId="13"/>
  </si>
  <si>
    <t>円とする。</t>
    <rPh sb="0" eb="1">
      <t>エン</t>
    </rPh>
    <phoneticPr fontId="13"/>
  </si>
  <si>
    <t>ラベルがよいものほど出現率を下げる。</t>
    <rPh sb="10" eb="13">
      <t>シュツゲンリツ</t>
    </rPh>
    <rPh sb="14" eb="15">
      <t>サ</t>
    </rPh>
    <phoneticPr fontId="13"/>
  </si>
  <si>
    <t>　PremiumW &lt; PremiumN &lt; PremiumS</t>
    <phoneticPr fontId="13"/>
  </si>
  <si>
    <t>PremiumSは明確な当たりとする。</t>
    <rPh sb="9" eb="11">
      <t>メイカク</t>
    </rPh>
    <rPh sb="12" eb="13">
      <t>ア</t>
    </rPh>
    <phoneticPr fontId="13"/>
  </si>
  <si>
    <t>PremiumSは</t>
    <phoneticPr fontId="13"/>
  </si>
  <si>
    <t>PremiumSSは</t>
    <phoneticPr fontId="13"/>
  </si>
  <si>
    <t>§レアリティごと出現確率</t>
    <rPh sb="8" eb="12">
      <t>シュツゲンカクリツ</t>
    </rPh>
    <phoneticPr fontId="13"/>
  </si>
  <si>
    <t>レアリティごとの出現確率を以下に定める</t>
    <rPh sb="8" eb="10">
      <t>シュツゲン</t>
    </rPh>
    <rPh sb="10" eb="12">
      <t>カクリツ</t>
    </rPh>
    <rPh sb="13" eb="15">
      <t>イカ</t>
    </rPh>
    <rPh sb="16" eb="17">
      <t>サダ</t>
    </rPh>
    <phoneticPr fontId="13"/>
  </si>
  <si>
    <t>初期ローンチ</t>
    <rPh sb="0" eb="2">
      <t>ショキ</t>
    </rPh>
    <phoneticPr fontId="13"/>
  </si>
  <si>
    <t>出現枚数</t>
  </si>
  <si>
    <t>出現率</t>
  </si>
  <si>
    <t>全体比率</t>
  </si>
  <si>
    <t>個別比率</t>
  </si>
  <si>
    <t>合計</t>
  </si>
  <si>
    <t>§ラベルごと出現確率</t>
    <rPh sb="6" eb="10">
      <t>シュツゲンカクリツ</t>
    </rPh>
    <phoneticPr fontId="13"/>
  </si>
  <si>
    <t>ラベルごとの出現確率を以下に定める（R3のみ）</t>
    <rPh sb="6" eb="10">
      <t>シュツゲンカクリツ</t>
    </rPh>
    <rPh sb="11" eb="13">
      <t>イカ</t>
    </rPh>
    <rPh sb="14" eb="15">
      <t>サダ</t>
    </rPh>
    <phoneticPr fontId="13"/>
  </si>
  <si>
    <t>PremiumW</t>
    <phoneticPr fontId="13"/>
  </si>
  <si>
    <t>PremiumN</t>
    <phoneticPr fontId="13"/>
  </si>
  <si>
    <t>PremiumSnew</t>
    <phoneticPr fontId="13"/>
  </si>
  <si>
    <t>PremiumSS</t>
    <phoneticPr fontId="13"/>
  </si>
  <si>
    <t>PremiumSSnew</t>
    <phoneticPr fontId="13"/>
  </si>
  <si>
    <t>§レアリティごとラベルごと出現確率</t>
    <rPh sb="13" eb="17">
      <t>シュツゲンカクリツ</t>
    </rPh>
    <phoneticPr fontId="13"/>
  </si>
  <si>
    <t>レアリティごと、ラベルごとの出現確率を以下に定める</t>
    <rPh sb="14" eb="16">
      <t>シュツゲン</t>
    </rPh>
    <rPh sb="16" eb="18">
      <t>カクリツ</t>
    </rPh>
    <rPh sb="19" eb="21">
      <t>イカ</t>
    </rPh>
    <rPh sb="22" eb="23">
      <t>サダ</t>
    </rPh>
    <phoneticPr fontId="13"/>
  </si>
  <si>
    <t>レアリティ</t>
    <phoneticPr fontId="13"/>
  </si>
  <si>
    <t>ラベル</t>
    <phoneticPr fontId="13"/>
  </si>
  <si>
    <t>ラベル別出現率</t>
    <rPh sb="3" eb="4">
      <t>ベツ</t>
    </rPh>
    <rPh sb="4" eb="7">
      <t>シュツゲンリツ</t>
    </rPh>
    <phoneticPr fontId="13"/>
  </si>
  <si>
    <t>ラベル金額</t>
    <rPh sb="3" eb="5">
      <t>キンガク</t>
    </rPh>
    <phoneticPr fontId="13"/>
  </si>
  <si>
    <t>全体出現率</t>
    <rPh sb="0" eb="2">
      <t>ゼンタイ</t>
    </rPh>
    <rPh sb="2" eb="5">
      <t>シュツゲンリツ</t>
    </rPh>
    <phoneticPr fontId="13"/>
  </si>
  <si>
    <t>レアごとラベルごと金額</t>
    <rPh sb="9" eb="11">
      <t>キンガク</t>
    </rPh>
    <phoneticPr fontId="13"/>
  </si>
  <si>
    <t>レアリティ</t>
    <phoneticPr fontId="13"/>
  </si>
  <si>
    <t>出現確率</t>
    <rPh sb="0" eb="4">
      <t>シュツゲンカクリツ</t>
    </rPh>
    <phoneticPr fontId="13"/>
  </si>
  <si>
    <t>ラベル</t>
    <phoneticPr fontId="13"/>
  </si>
  <si>
    <t>期待金額</t>
    <rPh sb="0" eb="2">
      <t>キタイ</t>
    </rPh>
    <rPh sb="2" eb="4">
      <t>キンガク</t>
    </rPh>
    <phoneticPr fontId="13"/>
  </si>
  <si>
    <t>特定の1体出現</t>
    <rPh sb="0" eb="2">
      <t>トクテイ</t>
    </rPh>
    <rPh sb="4" eb="5">
      <t>タイ</t>
    </rPh>
    <rPh sb="5" eb="7">
      <t>シュツゲン</t>
    </rPh>
    <phoneticPr fontId="13"/>
  </si>
  <si>
    <t>一体確率</t>
    <rPh sb="0" eb="2">
      <t>イッタイ</t>
    </rPh>
    <rPh sb="2" eb="4">
      <t>カクリツ</t>
    </rPh>
    <phoneticPr fontId="13"/>
  </si>
  <si>
    <t>個別比率×5000</t>
    <rPh sb="0" eb="2">
      <t>コベツ</t>
    </rPh>
    <rPh sb="2" eb="4">
      <t>ヒリツ</t>
    </rPh>
    <phoneticPr fontId="13"/>
  </si>
  <si>
    <t>PremiumW</t>
    <phoneticPr fontId="13"/>
  </si>
  <si>
    <t>PremiumN</t>
    <phoneticPr fontId="13"/>
  </si>
  <si>
    <t>PremiumS</t>
    <phoneticPr fontId="13"/>
  </si>
  <si>
    <t>PremiumSnew</t>
    <phoneticPr fontId="13"/>
  </si>
  <si>
    <t>PremiumSnew</t>
    <phoneticPr fontId="13"/>
  </si>
  <si>
    <t>PremiumSSnew</t>
    <phoneticPr fontId="13"/>
  </si>
  <si>
    <t>PremiumSSnew</t>
    <phoneticPr fontId="13"/>
  </si>
  <si>
    <t>ユーザーにガチャでの成功体験をさせるため、初回のガチャはR4以上確定とする。</t>
    <rPh sb="10" eb="14">
      <t>セイコウタイケン</t>
    </rPh>
    <rPh sb="21" eb="23">
      <t>ショカイ</t>
    </rPh>
    <rPh sb="30" eb="32">
      <t>イジョウ</t>
    </rPh>
    <rPh sb="32" eb="34">
      <t>カクテイ</t>
    </rPh>
    <phoneticPr fontId="13"/>
  </si>
  <si>
    <t>ラベルごとの出現確率を以下に定める（R4のみ）</t>
    <rPh sb="6" eb="10">
      <t>シュツゲンカクリツ</t>
    </rPh>
    <rPh sb="11" eb="13">
      <t>イカ</t>
    </rPh>
    <rPh sb="14" eb="15">
      <t>サダ</t>
    </rPh>
    <phoneticPr fontId="13"/>
  </si>
  <si>
    <t>PremiumW</t>
    <phoneticPr fontId="13"/>
  </si>
  <si>
    <t>PremiumSnew</t>
    <phoneticPr fontId="13"/>
  </si>
  <si>
    <t>PremiumSS</t>
    <phoneticPr fontId="13"/>
  </si>
  <si>
    <t>PremiumSSnew</t>
    <phoneticPr fontId="13"/>
  </si>
  <si>
    <t>レアリティ</t>
    <phoneticPr fontId="13"/>
  </si>
  <si>
    <t>ラベル</t>
    <phoneticPr fontId="13"/>
  </si>
  <si>
    <t>ラベル</t>
    <phoneticPr fontId="13"/>
  </si>
  <si>
    <t>PremiumW</t>
    <phoneticPr fontId="13"/>
  </si>
  <si>
    <t>PremiumN</t>
    <phoneticPr fontId="13"/>
  </si>
  <si>
    <t>PremiumN</t>
    <phoneticPr fontId="13"/>
  </si>
  <si>
    <t>合計</t>
    <phoneticPr fontId="13"/>
  </si>
  <si>
    <t>character_id</t>
    <phoneticPr fontId="13"/>
  </si>
  <si>
    <t>ユニット名</t>
    <rPh sb="4" eb="5">
      <t>メ</t>
    </rPh>
    <phoneticPr fontId="13"/>
  </si>
  <si>
    <t>レアリティ</t>
    <phoneticPr fontId="13"/>
  </si>
  <si>
    <t>ラベル</t>
    <phoneticPr fontId="13"/>
  </si>
  <si>
    <t>出現確率</t>
    <rPh sb="0" eb="4">
      <t>sh</t>
    </rPh>
    <phoneticPr fontId="13"/>
  </si>
  <si>
    <t>SS確率</t>
    <rPh sb="2" eb="4">
      <t>カクリt</t>
    </rPh>
    <phoneticPr fontId="13"/>
  </si>
  <si>
    <t>R5確率（基本）</t>
    <rPh sb="2" eb="5">
      <t>カクリt</t>
    </rPh>
    <rPh sb="5" eb="8">
      <t>キホン</t>
    </rPh>
    <phoneticPr fontId="13"/>
  </si>
  <si>
    <t>R5確率(単発）</t>
    <rPh sb="2" eb="4">
      <t>カクリt</t>
    </rPh>
    <rPh sb="5" eb="7">
      <t>タンパt</t>
    </rPh>
    <rPh sb="7" eb="8">
      <t>レン</t>
    </rPh>
    <phoneticPr fontId="13"/>
  </si>
  <si>
    <t>R5確率(10連）</t>
    <rPh sb="2" eb="4">
      <t>カクリt</t>
    </rPh>
    <rPh sb="7" eb="9">
      <t>レン</t>
    </rPh>
    <phoneticPr fontId="13"/>
  </si>
  <si>
    <t>単発</t>
    <rPh sb="0" eb="2">
      <t>タンパt</t>
    </rPh>
    <phoneticPr fontId="13"/>
  </si>
  <si>
    <t>10連</t>
    <rPh sb="2" eb="3">
      <t>レン</t>
    </rPh>
    <phoneticPr fontId="13"/>
  </si>
  <si>
    <t>レアリティ</t>
    <phoneticPr fontId="13"/>
  </si>
  <si>
    <t>ラベル</t>
    <phoneticPr fontId="13"/>
  </si>
  <si>
    <t>weight</t>
    <phoneticPr fontId="13"/>
  </si>
  <si>
    <t>レアリティ</t>
    <phoneticPr fontId="13"/>
  </si>
  <si>
    <t>ラベル</t>
    <phoneticPr fontId="13"/>
  </si>
  <si>
    <t>ガチャ</t>
    <phoneticPr fontId="13"/>
  </si>
  <si>
    <t>実際のR5出現率</t>
    <rPh sb="0" eb="5">
      <t>ジッサイノ</t>
    </rPh>
    <rPh sb="5" eb="8">
      <t>シュツゲンリt</t>
    </rPh>
    <phoneticPr fontId="13"/>
  </si>
  <si>
    <t>PremiumW</t>
    <phoneticPr fontId="13"/>
  </si>
  <si>
    <t>PremiumW</t>
    <phoneticPr fontId="13"/>
  </si>
  <si>
    <t>PremiumN</t>
    <phoneticPr fontId="13"/>
  </si>
  <si>
    <t>PremiumN</t>
    <phoneticPr fontId="13"/>
  </si>
  <si>
    <t>PremiumS</t>
    <phoneticPr fontId="13"/>
  </si>
  <si>
    <t>PremiumS</t>
    <phoneticPr fontId="13"/>
  </si>
  <si>
    <t>PremiumN</t>
    <phoneticPr fontId="13"/>
  </si>
  <si>
    <t>PremiumS</t>
    <phoneticPr fontId="13"/>
  </si>
  <si>
    <t>PremiumSS</t>
    <phoneticPr fontId="13"/>
  </si>
  <si>
    <t>pick or new</t>
    <phoneticPr fontId="13"/>
  </si>
  <si>
    <t>new</t>
    <phoneticPr fontId="13"/>
  </si>
  <si>
    <t>new</t>
    <phoneticPr fontId="13"/>
  </si>
  <si>
    <t>PremiumSS</t>
    <phoneticPr fontId="13"/>
  </si>
  <si>
    <t>PremiumS</t>
    <phoneticPr fontId="13"/>
  </si>
  <si>
    <t>検索用ラベル</t>
    <rPh sb="0" eb="3">
      <t>ケン</t>
    </rPh>
    <phoneticPr fontId="13"/>
  </si>
  <si>
    <t>pick or new</t>
    <phoneticPr fontId="13"/>
  </si>
  <si>
    <t>検索用ラベル</t>
    <rPh sb="0" eb="6">
      <t>ケンs</t>
    </rPh>
    <phoneticPr fontId="13"/>
  </si>
  <si>
    <t>new</t>
    <phoneticPr fontId="13"/>
  </si>
  <si>
    <t>new</t>
    <phoneticPr fontId="13"/>
  </si>
  <si>
    <t>個別比率×2500</t>
    <rPh sb="0" eb="2">
      <t>コベツ</t>
    </rPh>
    <rPh sb="2" eb="4">
      <t>ヒリツ</t>
    </rPh>
    <phoneticPr fontId="13"/>
  </si>
  <si>
    <t>■10連ガチャ出現確率</t>
    <rPh sb="3" eb="4">
      <t>レン</t>
    </rPh>
    <rPh sb="7" eb="11">
      <t>シュツゲンカクリツ</t>
    </rPh>
    <phoneticPr fontId="13"/>
  </si>
  <si>
    <t>出現ユニット数</t>
    <rPh sb="0" eb="7">
      <t>sh</t>
    </rPh>
    <phoneticPr fontId="13"/>
  </si>
  <si>
    <t>↓</t>
    <phoneticPr fontId="13"/>
  </si>
  <si>
    <t>↑これらの値が"R5確率（基本）"に近づくように</t>
    <rPh sb="5" eb="7">
      <t>アタ</t>
    </rPh>
    <rPh sb="10" eb="12">
      <t>カクリt</t>
    </rPh>
    <rPh sb="13" eb="16">
      <t>キホン</t>
    </rPh>
    <rPh sb="18" eb="23">
      <t>チカヅk</t>
    </rPh>
    <phoneticPr fontId="13"/>
  </si>
  <si>
    <t>　 R5確率を調整する</t>
    <rPh sb="4" eb="7">
      <t>カクリt</t>
    </rPh>
    <rPh sb="7" eb="11">
      <t>チョ</t>
    </rPh>
    <phoneticPr fontId="13"/>
  </si>
  <si>
    <t>個別確率</t>
    <rPh sb="0" eb="4">
      <t>コベt</t>
    </rPh>
    <phoneticPr fontId="13"/>
  </si>
  <si>
    <t>character_id</t>
    <phoneticPr fontId="13"/>
  </si>
  <si>
    <t>ユニット名</t>
    <rPh sb="4" eb="5">
      <t>m</t>
    </rPh>
    <phoneticPr fontId="13"/>
  </si>
  <si>
    <t>ラベル</t>
    <phoneticPr fontId="13"/>
  </si>
  <si>
    <t>レアリティ</t>
    <phoneticPr fontId="13"/>
  </si>
  <si>
    <t>１０連のweight</t>
    <rPh sb="2" eb="4">
      <t>レンン</t>
    </rPh>
    <phoneticPr fontId="13"/>
  </si>
  <si>
    <t>単発のweight</t>
    <rPh sb="0" eb="3">
      <t>タンパt</t>
    </rPh>
    <phoneticPr fontId="13"/>
  </si>
  <si>
    <t>同ラベル、レアリティ内での比率</t>
    <rPh sb="0" eb="1">
      <t>ドウ</t>
    </rPh>
    <rPh sb="10" eb="11">
      <t>ナイ</t>
    </rPh>
    <rPh sb="13" eb="15">
      <t>ヒリt</t>
    </rPh>
    <phoneticPr fontId="13"/>
  </si>
  <si>
    <t>old</t>
    <phoneticPr fontId="13"/>
  </si>
  <si>
    <t>レベル設定ユニット数</t>
    <rPh sb="3" eb="10">
      <t>セッテイy</t>
    </rPh>
    <phoneticPr fontId="13"/>
  </si>
  <si>
    <t>unit</t>
    <phoneticPr fontId="13"/>
  </si>
  <si>
    <t>ja</t>
    <phoneticPr fontId="13"/>
  </si>
  <si>
    <t>ja</t>
    <phoneticPr fontId="13"/>
  </si>
  <si>
    <t>攻めの果実 × 2</t>
    <rPh sb="0" eb="5">
      <t>セm</t>
    </rPh>
    <phoneticPr fontId="13"/>
  </si>
  <si>
    <t>生命の果実 × 2</t>
    <rPh sb="0" eb="5">
      <t>セイメ</t>
    </rPh>
    <phoneticPr fontId="13"/>
  </si>
  <si>
    <t>癒しの果実 × 2</t>
    <rPh sb="0" eb="5">
      <t>イヤsh</t>
    </rPh>
    <phoneticPr fontId="13"/>
  </si>
  <si>
    <t>攻めの果実 × 20</t>
    <rPh sb="0" eb="5">
      <t>セm</t>
    </rPh>
    <phoneticPr fontId="13"/>
  </si>
  <si>
    <t>生命の果実 × 20</t>
    <rPh sb="0" eb="5">
      <t>セイメ</t>
    </rPh>
    <phoneticPr fontId="13"/>
  </si>
  <si>
    <t>癒しの果実 × 20</t>
    <rPh sb="0" eb="5">
      <t>イヤsh</t>
    </rPh>
    <phoneticPr fontId="13"/>
  </si>
  <si>
    <t>総ユニット数</t>
    <rPh sb="0" eb="6">
      <t>ソウユニッt</t>
    </rPh>
    <phoneticPr fontId="13"/>
  </si>
  <si>
    <t>単発</t>
    <rPh sb="0" eb="2">
      <t>タンパt</t>
    </rPh>
    <phoneticPr fontId="13"/>
  </si>
  <si>
    <t>10連</t>
    <rPh sb="2" eb="3">
      <t>レン</t>
    </rPh>
    <phoneticPr fontId="13"/>
  </si>
  <si>
    <t>出現率シートの値</t>
    <rPh sb="0" eb="3">
      <t>シュツゲンリt</t>
    </rPh>
    <rPh sb="7" eb="8">
      <t>アタ</t>
    </rPh>
    <phoneticPr fontId="13"/>
  </si>
  <si>
    <t>check_sheetの値</t>
    <rPh sb="12" eb="13">
      <t>アタ</t>
    </rPh>
    <phoneticPr fontId="13"/>
  </si>
  <si>
    <t>ギフトフィーバーの特典</t>
    <rPh sb="9" eb="11">
      <t>トk</t>
    </rPh>
    <phoneticPr fontId="13"/>
  </si>
  <si>
    <t>ギフトフィーバーの特典として
攻めの果実をプレゼント！</t>
    <rPh sb="9" eb="14">
      <t>トクテン</t>
    </rPh>
    <rPh sb="15" eb="20">
      <t>セm</t>
    </rPh>
    <phoneticPr fontId="13"/>
  </si>
  <si>
    <t>ギフトフィーバーの特典として
生命の果実をプレゼント！</t>
    <rPh sb="9" eb="14">
      <t>トクテン</t>
    </rPh>
    <rPh sb="15" eb="20">
      <t>セ</t>
    </rPh>
    <phoneticPr fontId="13"/>
  </si>
  <si>
    <t>ギフトフィーバーの特典として
癒しの果実をプレゼント！</t>
    <rPh sb="9" eb="14">
      <t>トクテン</t>
    </rPh>
    <rPh sb="15" eb="20">
      <t>イヤsh</t>
    </rPh>
    <phoneticPr fontId="13"/>
  </si>
  <si>
    <t>ギフトフィーバー（10連）の特典</t>
    <rPh sb="11" eb="13">
      <t>レン</t>
    </rPh>
    <rPh sb="14" eb="16">
      <t>トk</t>
    </rPh>
    <phoneticPr fontId="13"/>
  </si>
  <si>
    <t>ギフトフィーバー（10連）の特典として
攻めの果実をプレゼント！</t>
    <rPh sb="11" eb="13">
      <t>レン</t>
    </rPh>
    <rPh sb="14" eb="19">
      <t>トクテン</t>
    </rPh>
    <rPh sb="20" eb="25">
      <t>セm</t>
    </rPh>
    <phoneticPr fontId="13"/>
  </si>
  <si>
    <t>ギフトフィーバー（10連）の特典として
生命の果実をプレゼント！</t>
    <rPh sb="14" eb="19">
      <t>トクテン</t>
    </rPh>
    <rPh sb="20" eb="25">
      <t>セ</t>
    </rPh>
    <phoneticPr fontId="13"/>
  </si>
  <si>
    <t>ギフトフィーバー（10連）の特典として
癒しの果実をプレゼント！</t>
    <rPh sb="14" eb="19">
      <t>トクテン</t>
    </rPh>
    <rPh sb="20" eb="23">
      <t>イy</t>
    </rPh>
    <rPh sb="23" eb="25">
      <t>カジt</t>
    </rPh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</si>
</sst>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 * #,##0_ ;_ * \-#,##0_ ;_ * &quot;-&quot;_ ;_ @_ "/>
    <numFmt numFmtId="176" formatCode="0.00000%"/>
    <numFmt numFmtId="177" formatCode="0.0000%"/>
    <numFmt numFmtId="178" formatCode="0.0%"/>
    <numFmt numFmtId="179" formatCode="0.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2"/>
      <name val="ＭＳ Ｐゴシック"/>
      <charset val="128"/>
      <scheme val="minor"/>
    </font>
    <font>
      <b/>
      <sz val="1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b/>
      <sz val="10"/>
      <color rgb="FF000000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0"/>
      <name val="Arial"/>
    </font>
    <font>
      <sz val="10"/>
      <color rgb="FF0000FF"/>
      <name val="ＭＳ Ｐゴシック"/>
      <charset val="128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4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3601">
    <xf numFmtId="0" fontId="0" fillId="0" borderId="0"/>
    <xf numFmtId="0" fontId="12" fillId="0" borderId="0"/>
    <xf numFmtId="0" fontId="16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1" fillId="0" borderId="0"/>
    <xf numFmtId="0" fontId="24" fillId="6" borderId="2" applyNumberFormat="0" applyAlignment="0" applyProtection="0"/>
    <xf numFmtId="0" fontId="25" fillId="7" borderId="0" applyNumberFormat="0" applyBorder="0" applyAlignment="0" applyProtection="0"/>
    <xf numFmtId="0" fontId="26" fillId="8" borderId="3" applyNumberFormat="0" applyAlignment="0" applyProtection="0"/>
    <xf numFmtId="0" fontId="27" fillId="0" borderId="0" applyNumberFormat="0" applyFill="0" applyBorder="0" applyAlignment="0" applyProtection="0"/>
    <xf numFmtId="0" fontId="28" fillId="9" borderId="0" applyNumberFormat="0" applyBorder="0" applyAlignment="0" applyProtection="0"/>
    <xf numFmtId="0" fontId="29" fillId="10" borderId="4" applyNumberFormat="0" applyAlignment="0" applyProtection="0"/>
    <xf numFmtId="0" fontId="30" fillId="0" borderId="0" applyNumberFormat="0" applyFill="0" applyBorder="0" applyAlignment="0" applyProtection="0"/>
    <xf numFmtId="0" fontId="31" fillId="0" borderId="5" applyNumberFormat="0" applyFill="0" applyAlignment="0" applyProtection="0"/>
    <xf numFmtId="0" fontId="32" fillId="0" borderId="6" applyNumberFormat="0" applyFill="0" applyAlignment="0" applyProtection="0"/>
    <xf numFmtId="0" fontId="33" fillId="0" borderId="7" applyNumberFormat="0" applyFill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4" fillId="7" borderId="0" applyNumberFormat="0" applyBorder="0" applyAlignment="0" applyProtection="0"/>
    <xf numFmtId="0" fontId="34" fillId="11" borderId="0" applyNumberFormat="0" applyBorder="0" applyAlignment="0" applyProtection="0"/>
    <xf numFmtId="0" fontId="34" fillId="8" borderId="0" applyNumberFormat="0" applyBorder="0" applyAlignment="0" applyProtection="0"/>
    <xf numFmtId="0" fontId="34" fillId="12" borderId="0" applyNumberFormat="0" applyBorder="0" applyAlignment="0" applyProtection="0"/>
    <xf numFmtId="0" fontId="34" fillId="6" borderId="0" applyNumberFormat="0" applyBorder="0" applyAlignment="0" applyProtection="0"/>
    <xf numFmtId="0" fontId="34" fillId="8" borderId="0" applyNumberFormat="0" applyBorder="0" applyAlignment="0" applyProtection="0"/>
    <xf numFmtId="0" fontId="34" fillId="13" borderId="0" applyNumberFormat="0" applyBorder="0" applyAlignment="0" applyProtection="0"/>
    <xf numFmtId="0" fontId="34" fillId="11" borderId="0" applyNumberFormat="0" applyBorder="0" applyAlignment="0" applyProtection="0"/>
    <xf numFmtId="0" fontId="34" fillId="8" borderId="0" applyNumberFormat="0" applyBorder="0" applyAlignment="0" applyProtection="0"/>
    <xf numFmtId="0" fontId="34" fillId="14" borderId="0" applyNumberFormat="0" applyBorder="0" applyAlignment="0" applyProtection="0"/>
    <xf numFmtId="0" fontId="34" fillId="7" borderId="0" applyNumberFormat="0" applyBorder="0" applyAlignment="0" applyProtection="0"/>
    <xf numFmtId="0" fontId="35" fillId="15" borderId="0" applyNumberFormat="0" applyBorder="0" applyAlignment="0" applyProtection="0"/>
    <xf numFmtId="0" fontId="35" fillId="13" borderId="0" applyNumberFormat="0" applyBorder="0" applyAlignment="0" applyProtection="0"/>
    <xf numFmtId="0" fontId="35" fillId="11" borderId="0" applyNumberFormat="0" applyBorder="0" applyAlignment="0" applyProtection="0"/>
    <xf numFmtId="0" fontId="35" fillId="8" borderId="0" applyNumberFormat="0" applyBorder="0" applyAlignment="0" applyProtection="0"/>
    <xf numFmtId="0" fontId="35" fillId="15" borderId="0" applyNumberFormat="0" applyBorder="0" applyAlignment="0" applyProtection="0"/>
    <xf numFmtId="0" fontId="35" fillId="7" borderId="0" applyNumberFormat="0" applyBorder="0" applyAlignment="0" applyProtection="0"/>
    <xf numFmtId="0" fontId="27" fillId="0" borderId="0" applyNumberFormat="0" applyFill="0" applyBorder="0" applyAlignment="0" applyProtection="0"/>
    <xf numFmtId="0" fontId="35" fillId="15" borderId="0" applyNumberFormat="0" applyBorder="0" applyAlignment="0" applyProtection="0"/>
    <xf numFmtId="0" fontId="35" fillId="16" borderId="0" applyNumberFormat="0" applyBorder="0" applyAlignment="0" applyProtection="0"/>
    <xf numFmtId="0" fontId="35" fillId="11" borderId="0" applyNumberFormat="0" applyBorder="0" applyAlignment="0" applyProtection="0"/>
    <xf numFmtId="0" fontId="35" fillId="17" borderId="0" applyNumberFormat="0" applyBorder="0" applyAlignment="0" applyProtection="0"/>
    <xf numFmtId="0" fontId="35" fillId="15" borderId="0" applyNumberFormat="0" applyBorder="0" applyAlignment="0" applyProtection="0"/>
    <xf numFmtId="0" fontId="35" fillId="13" borderId="0" applyNumberFormat="0" applyBorder="0" applyAlignment="0" applyProtection="0"/>
    <xf numFmtId="0" fontId="36" fillId="18" borderId="0" applyNumberFormat="0" applyBorder="0" applyAlignment="0" applyProtection="0"/>
    <xf numFmtId="0" fontId="25" fillId="7" borderId="0" applyNumberFormat="0" applyBorder="0" applyAlignment="0" applyProtection="0"/>
    <xf numFmtId="0" fontId="37" fillId="0" borderId="8" applyNumberFormat="0" applyFill="0" applyAlignment="0" applyProtection="0"/>
    <xf numFmtId="0" fontId="38" fillId="8" borderId="9" applyNumberFormat="0" applyAlignment="0" applyProtection="0"/>
    <xf numFmtId="0" fontId="38" fillId="19" borderId="9" applyNumberFormat="0" applyAlignment="0" applyProtection="0"/>
    <xf numFmtId="0" fontId="26" fillId="7" borderId="3" applyNumberFormat="0" applyAlignment="0" applyProtection="0"/>
    <xf numFmtId="0" fontId="39" fillId="0" borderId="10" applyNumberFormat="0" applyFill="0" applyAlignment="0" applyProtection="0"/>
    <xf numFmtId="0" fontId="40" fillId="19" borderId="3" applyNumberFormat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1" applyNumberFormat="0" applyFill="0" applyAlignment="0" applyProtection="0"/>
    <xf numFmtId="38" fontId="11" fillId="0" borderId="0" applyFont="0" applyFill="0" applyBorder="0" applyAlignment="0" applyProtection="0">
      <alignment vertical="center"/>
    </xf>
    <xf numFmtId="0" fontId="43" fillId="20" borderId="0" applyNumberFormat="0" applyBorder="0" applyAlignment="0" applyProtection="0"/>
    <xf numFmtId="0" fontId="44" fillId="21" borderId="0" applyNumberFormat="0" applyBorder="0" applyAlignment="0" applyProtection="0"/>
    <xf numFmtId="0" fontId="11" fillId="0" borderId="0"/>
    <xf numFmtId="0" fontId="45" fillId="21" borderId="0" applyNumberFormat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6" fillId="0" borderId="0"/>
    <xf numFmtId="0" fontId="48" fillId="0" borderId="0">
      <alignment vertical="center"/>
    </xf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4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9" fontId="49" fillId="0" borderId="0" applyFont="0" applyFill="0" applyBorder="0" applyAlignment="0" applyProtection="0"/>
    <xf numFmtId="0" fontId="20" fillId="27" borderId="0" applyNumberFormat="0" applyBorder="0" applyAlignment="0" applyProtection="0"/>
    <xf numFmtId="41" fontId="55" fillId="0" borderId="0" applyFill="0" applyBorder="0" applyAlignment="0" applyProtection="0"/>
    <xf numFmtId="0" fontId="3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169">
    <xf numFmtId="0" fontId="0" fillId="0" borderId="0" xfId="0"/>
    <xf numFmtId="0" fontId="18" fillId="0" borderId="0" xfId="2" applyFont="1" applyAlignment="1">
      <alignment vertical="center"/>
    </xf>
    <xf numFmtId="0" fontId="18" fillId="0" borderId="1" xfId="2" applyFont="1" applyBorder="1" applyAlignment="1">
      <alignment vertical="center"/>
    </xf>
    <xf numFmtId="0" fontId="18" fillId="3" borderId="1" xfId="2" applyFont="1" applyFill="1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18" fillId="4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horizontal="right" vertical="center"/>
    </xf>
    <xf numFmtId="0" fontId="23" fillId="5" borderId="0" xfId="2" applyFont="1" applyFill="1" applyAlignment="1">
      <alignment vertical="center"/>
    </xf>
    <xf numFmtId="0" fontId="18" fillId="3" borderId="1" xfId="2" applyFont="1" applyFill="1" applyBorder="1" applyAlignment="1">
      <alignment vertical="center"/>
    </xf>
    <xf numFmtId="0" fontId="19" fillId="4" borderId="1" xfId="0" applyFont="1" applyFill="1" applyBorder="1" applyAlignment="1">
      <alignment vertical="center"/>
    </xf>
    <xf numFmtId="0" fontId="18" fillId="4" borderId="12" xfId="2" applyFont="1" applyFill="1" applyBorder="1" applyAlignment="1">
      <alignment vertical="center"/>
    </xf>
    <xf numFmtId="0" fontId="18" fillId="0" borderId="13" xfId="2" applyFont="1" applyBorder="1" applyAlignment="1">
      <alignment vertical="center"/>
    </xf>
    <xf numFmtId="0" fontId="17" fillId="4" borderId="12" xfId="0" applyFont="1" applyFill="1" applyBorder="1" applyAlignment="1">
      <alignment horizontal="right" vertical="center"/>
    </xf>
    <xf numFmtId="0" fontId="17" fillId="4" borderId="14" xfId="0" applyFont="1" applyFill="1" applyBorder="1" applyAlignment="1">
      <alignment horizontal="right" vertical="center"/>
    </xf>
    <xf numFmtId="0" fontId="18" fillId="0" borderId="15" xfId="2" applyFont="1" applyBorder="1" applyAlignment="1">
      <alignment vertical="center"/>
    </xf>
    <xf numFmtId="0" fontId="19" fillId="3" borderId="1" xfId="0" applyFont="1" applyFill="1" applyBorder="1" applyAlignment="1">
      <alignment vertical="center"/>
    </xf>
    <xf numFmtId="0" fontId="0" fillId="4" borderId="1" xfId="0" applyFill="1" applyBorder="1"/>
    <xf numFmtId="0" fontId="18" fillId="2" borderId="1" xfId="2" applyFont="1" applyFill="1" applyBorder="1" applyAlignment="1">
      <alignment horizontal="left" vertical="center"/>
    </xf>
    <xf numFmtId="0" fontId="18" fillId="3" borderId="1" xfId="2" applyFont="1" applyFill="1" applyBorder="1" applyAlignment="1">
      <alignment horizontal="left" vertical="center"/>
    </xf>
    <xf numFmtId="0" fontId="18" fillId="5" borderId="0" xfId="2" applyFont="1" applyFill="1" applyAlignment="1">
      <alignment vertical="center"/>
    </xf>
    <xf numFmtId="0" fontId="46" fillId="22" borderId="1" xfId="0" applyFont="1" applyFill="1" applyBorder="1" applyAlignment="1">
      <alignment horizontal="left" vertical="center"/>
    </xf>
    <xf numFmtId="0" fontId="18" fillId="2" borderId="1" xfId="2" applyFont="1" applyFill="1" applyBorder="1" applyAlignment="1">
      <alignment horizontal="center" vertical="center"/>
    </xf>
    <xf numFmtId="0" fontId="20" fillId="23" borderId="1" xfId="2978" applyFont="1" applyFill="1" applyBorder="1"/>
    <xf numFmtId="0" fontId="6" fillId="23" borderId="1" xfId="2978" applyFill="1" applyBorder="1"/>
    <xf numFmtId="0" fontId="6" fillId="0" borderId="0" xfId="2978"/>
    <xf numFmtId="0" fontId="6" fillId="0" borderId="1" xfId="2978" applyBorder="1"/>
    <xf numFmtId="0" fontId="6" fillId="2" borderId="1" xfId="2978" applyFill="1" applyBorder="1"/>
    <xf numFmtId="0" fontId="10" fillId="2" borderId="1" xfId="19" applyFont="1" applyFill="1" applyBorder="1"/>
    <xf numFmtId="0" fontId="11" fillId="2" borderId="1" xfId="19" applyFill="1" applyBorder="1"/>
    <xf numFmtId="0" fontId="9" fillId="2" borderId="1" xfId="19" applyFont="1" applyFill="1" applyBorder="1"/>
    <xf numFmtId="0" fontId="7" fillId="2" borderId="1" xfId="19" applyFont="1" applyFill="1" applyBorder="1"/>
    <xf numFmtId="0" fontId="8" fillId="2" borderId="1" xfId="19" applyFont="1" applyFill="1" applyBorder="1"/>
    <xf numFmtId="0" fontId="6" fillId="2" borderId="1" xfId="19" applyFont="1" applyFill="1" applyBorder="1"/>
    <xf numFmtId="0" fontId="5" fillId="0" borderId="1" xfId="2978" applyFont="1" applyBorder="1"/>
    <xf numFmtId="0" fontId="20" fillId="23" borderId="1" xfId="0" applyFont="1" applyFill="1" applyBorder="1"/>
    <xf numFmtId="0" fontId="18" fillId="0" borderId="0" xfId="2" applyFont="1" applyBorder="1" applyAlignment="1">
      <alignment vertical="center"/>
    </xf>
    <xf numFmtId="0" fontId="46" fillId="24" borderId="1" xfId="0" applyFont="1" applyFill="1" applyBorder="1" applyAlignment="1">
      <alignment horizontal="center" vertical="center"/>
    </xf>
    <xf numFmtId="0" fontId="46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6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4" xfId="0" applyBorder="1"/>
    <xf numFmtId="0" fontId="0" fillId="26" borderId="21" xfId="0" applyFill="1" applyBorder="1"/>
    <xf numFmtId="0" fontId="0" fillId="3" borderId="1" xfId="0" applyFill="1" applyBorder="1" applyAlignment="1">
      <alignment horizontal="center" vertical="top"/>
    </xf>
    <xf numFmtId="0" fontId="50" fillId="0" borderId="0" xfId="0" applyFont="1" applyBorder="1" applyAlignment="1">
      <alignment vertical="center"/>
    </xf>
    <xf numFmtId="0" fontId="51" fillId="0" borderId="0" xfId="0" applyFont="1" applyBorder="1" applyAlignment="1">
      <alignment vertical="center"/>
    </xf>
    <xf numFmtId="0" fontId="19" fillId="0" borderId="0" xfId="0" applyFont="1" applyAlignment="1">
      <alignment vertical="center"/>
    </xf>
    <xf numFmtId="10" fontId="19" fillId="0" borderId="0" xfId="0" applyNumberFormat="1" applyFont="1" applyBorder="1" applyAlignment="1">
      <alignment vertical="center"/>
    </xf>
    <xf numFmtId="4" fontId="19" fillId="0" borderId="0" xfId="0" applyNumberFormat="1" applyFont="1" applyBorder="1" applyAlignment="1">
      <alignment vertical="center"/>
    </xf>
    <xf numFmtId="0" fontId="51" fillId="0" borderId="0" xfId="0" applyFont="1" applyAlignment="1">
      <alignment vertical="center"/>
    </xf>
    <xf numFmtId="0" fontId="19" fillId="3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vertical="center"/>
    </xf>
    <xf numFmtId="0" fontId="19" fillId="0" borderId="1" xfId="0" applyFont="1" applyBorder="1" applyAlignment="1">
      <alignment vertical="center"/>
    </xf>
    <xf numFmtId="0" fontId="19" fillId="0" borderId="25" xfId="0" applyFont="1" applyBorder="1" applyAlignment="1">
      <alignment vertical="center"/>
    </xf>
    <xf numFmtId="0" fontId="19" fillId="0" borderId="26" xfId="0" applyFont="1" applyBorder="1" applyAlignment="1">
      <alignment vertical="center"/>
    </xf>
    <xf numFmtId="0" fontId="52" fillId="0" borderId="1" xfId="0" applyFont="1" applyFill="1" applyBorder="1" applyAlignment="1">
      <alignment vertical="center"/>
    </xf>
    <xf numFmtId="0" fontId="19" fillId="0" borderId="1" xfId="0" applyFont="1" applyFill="1" applyBorder="1" applyAlignment="1">
      <alignment vertical="center"/>
    </xf>
    <xf numFmtId="0" fontId="19" fillId="0" borderId="25" xfId="0" applyFont="1" applyFill="1" applyBorder="1" applyAlignment="1">
      <alignment vertical="center"/>
    </xf>
    <xf numFmtId="0" fontId="52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4" fillId="0" borderId="0" xfId="0" applyFont="1" applyBorder="1" applyAlignment="1">
      <alignment vertical="center"/>
    </xf>
    <xf numFmtId="3" fontId="54" fillId="0" borderId="1" xfId="0" applyNumberFormat="1" applyFont="1" applyBorder="1" applyAlignment="1">
      <alignment vertical="center"/>
    </xf>
    <xf numFmtId="0" fontId="51" fillId="3" borderId="27" xfId="0" applyFont="1" applyFill="1" applyBorder="1" applyAlignment="1">
      <alignment vertical="center"/>
    </xf>
    <xf numFmtId="0" fontId="19" fillId="3" borderId="27" xfId="0" applyFont="1" applyFill="1" applyBorder="1" applyAlignment="1">
      <alignment horizontal="center" vertical="center"/>
    </xf>
    <xf numFmtId="10" fontId="19" fillId="3" borderId="28" xfId="0" applyNumberFormat="1" applyFont="1" applyFill="1" applyBorder="1" applyAlignment="1">
      <alignment horizontal="center" vertical="center"/>
    </xf>
    <xf numFmtId="0" fontId="19" fillId="3" borderId="27" xfId="0" applyFont="1" applyFill="1" applyBorder="1" applyAlignment="1">
      <alignment vertical="center"/>
    </xf>
    <xf numFmtId="0" fontId="19" fillId="0" borderId="27" xfId="0" applyFont="1" applyFill="1" applyBorder="1" applyAlignment="1">
      <alignment vertical="center"/>
    </xf>
    <xf numFmtId="10" fontId="54" fillId="0" borderId="27" xfId="0" applyNumberFormat="1" applyFont="1" applyFill="1" applyBorder="1" applyAlignment="1">
      <alignment vertical="center"/>
    </xf>
    <xf numFmtId="41" fontId="19" fillId="0" borderId="28" xfId="3513" applyFont="1" applyBorder="1" applyAlignment="1">
      <alignment vertical="center"/>
    </xf>
    <xf numFmtId="10" fontId="19" fillId="0" borderId="27" xfId="0" applyNumberFormat="1" applyFont="1" applyFill="1" applyBorder="1" applyAlignment="1">
      <alignment vertical="center"/>
    </xf>
    <xf numFmtId="10" fontId="19" fillId="0" borderId="28" xfId="0" applyNumberFormat="1" applyFont="1" applyBorder="1" applyAlignment="1">
      <alignment vertical="center"/>
    </xf>
    <xf numFmtId="0" fontId="19" fillId="4" borderId="27" xfId="0" applyFont="1" applyFill="1" applyBorder="1" applyAlignment="1">
      <alignment vertical="center"/>
    </xf>
    <xf numFmtId="0" fontId="49" fillId="24" borderId="1" xfId="0" applyFont="1" applyFill="1" applyBorder="1" applyAlignment="1">
      <alignment vertical="center"/>
    </xf>
    <xf numFmtId="176" fontId="19" fillId="0" borderId="0" xfId="0" applyNumberFormat="1" applyFont="1" applyBorder="1" applyAlignment="1">
      <alignment vertical="center"/>
    </xf>
    <xf numFmtId="177" fontId="19" fillId="0" borderId="0" xfId="0" applyNumberFormat="1" applyFont="1" applyAlignment="1">
      <alignment vertical="center"/>
    </xf>
    <xf numFmtId="10" fontId="19" fillId="0" borderId="0" xfId="0" applyNumberFormat="1" applyFont="1" applyAlignment="1">
      <alignment vertical="center"/>
    </xf>
    <xf numFmtId="0" fontId="19" fillId="3" borderId="16" xfId="0" applyFont="1" applyFill="1" applyBorder="1" applyAlignment="1">
      <alignment horizontal="center" vertical="center"/>
    </xf>
    <xf numFmtId="0" fontId="51" fillId="3" borderId="34" xfId="0" applyFont="1" applyFill="1" applyBorder="1" applyAlignment="1">
      <alignment horizontal="center" vertical="center"/>
    </xf>
    <xf numFmtId="0" fontId="19" fillId="3" borderId="34" xfId="0" applyFont="1" applyFill="1" applyBorder="1" applyAlignment="1">
      <alignment horizontal="center" vertical="center"/>
    </xf>
    <xf numFmtId="176" fontId="19" fillId="3" borderId="34" xfId="0" applyNumberFormat="1" applyFont="1" applyFill="1" applyBorder="1" applyAlignment="1">
      <alignment horizontal="center" vertical="center"/>
    </xf>
    <xf numFmtId="10" fontId="19" fillId="3" borderId="35" xfId="0" applyNumberFormat="1" applyFont="1" applyFill="1" applyBorder="1" applyAlignment="1">
      <alignment horizontal="center" vertical="center"/>
    </xf>
    <xf numFmtId="10" fontId="19" fillId="3" borderId="14" xfId="0" applyNumberFormat="1" applyFont="1" applyFill="1" applyBorder="1" applyAlignment="1">
      <alignment horizontal="center" vertical="center"/>
    </xf>
    <xf numFmtId="0" fontId="19" fillId="3" borderId="14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vertical="center"/>
    </xf>
    <xf numFmtId="0" fontId="19" fillId="3" borderId="14" xfId="0" applyFont="1" applyFill="1" applyBorder="1" applyAlignment="1">
      <alignment vertical="center"/>
    </xf>
    <xf numFmtId="10" fontId="54" fillId="0" borderId="1" xfId="0" applyNumberFormat="1" applyFont="1" applyFill="1" applyBorder="1" applyAlignment="1">
      <alignment vertical="center"/>
    </xf>
    <xf numFmtId="176" fontId="54" fillId="0" borderId="27" xfId="0" applyNumberFormat="1" applyFont="1" applyFill="1" applyBorder="1" applyAlignment="1">
      <alignment vertical="center"/>
    </xf>
    <xf numFmtId="41" fontId="19" fillId="0" borderId="1" xfId="3513" applyFont="1" applyBorder="1" applyAlignment="1">
      <alignment vertical="center"/>
    </xf>
    <xf numFmtId="176" fontId="54" fillId="0" borderId="1" xfId="0" applyNumberFormat="1" applyFont="1" applyFill="1" applyBorder="1" applyAlignment="1">
      <alignment vertical="center"/>
    </xf>
    <xf numFmtId="177" fontId="54" fillId="0" borderId="1" xfId="0" applyNumberFormat="1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19" fillId="3" borderId="36" xfId="0" applyFont="1" applyFill="1" applyBorder="1" applyAlignment="1">
      <alignment vertical="center"/>
    </xf>
    <xf numFmtId="0" fontId="19" fillId="3" borderId="12" xfId="0" applyFont="1" applyFill="1" applyBorder="1" applyAlignment="1">
      <alignment vertical="center"/>
    </xf>
    <xf numFmtId="178" fontId="54" fillId="0" borderId="1" xfId="0" applyNumberFormat="1" applyFont="1" applyFill="1" applyBorder="1" applyAlignment="1">
      <alignment vertical="center"/>
    </xf>
    <xf numFmtId="0" fontId="19" fillId="3" borderId="25" xfId="0" applyFont="1" applyFill="1" applyBorder="1" applyAlignment="1">
      <alignment vertical="center"/>
    </xf>
    <xf numFmtId="10" fontId="19" fillId="0" borderId="1" xfId="0" applyNumberFormat="1" applyFont="1" applyBorder="1" applyAlignment="1">
      <alignment vertical="center"/>
    </xf>
    <xf numFmtId="176" fontId="19" fillId="0" borderId="1" xfId="0" applyNumberFormat="1" applyFont="1" applyFill="1" applyBorder="1" applyAlignment="1">
      <alignment vertical="center"/>
    </xf>
    <xf numFmtId="10" fontId="19" fillId="0" borderId="1" xfId="0" applyNumberFormat="1" applyFont="1" applyFill="1" applyBorder="1" applyAlignment="1">
      <alignment vertical="center"/>
    </xf>
    <xf numFmtId="176" fontId="19" fillId="0" borderId="0" xfId="0" applyNumberFormat="1" applyFont="1" applyAlignment="1">
      <alignment vertical="center"/>
    </xf>
    <xf numFmtId="0" fontId="54" fillId="0" borderId="0" xfId="0" applyFont="1" applyAlignment="1">
      <alignment vertical="center"/>
    </xf>
    <xf numFmtId="0" fontId="56" fillId="28" borderId="1" xfId="0" applyFont="1" applyFill="1" applyBorder="1" applyAlignment="1">
      <alignment vertical="center"/>
    </xf>
    <xf numFmtId="0" fontId="49" fillId="3" borderId="1" xfId="0" applyFont="1" applyFill="1" applyBorder="1" applyAlignment="1">
      <alignment vertical="center"/>
    </xf>
    <xf numFmtId="0" fontId="19" fillId="3" borderId="33" xfId="0" applyFont="1" applyFill="1" applyBorder="1" applyAlignment="1">
      <alignment horizontal="center" vertical="center"/>
    </xf>
    <xf numFmtId="0" fontId="51" fillId="3" borderId="27" xfId="0" applyFont="1" applyFill="1" applyBorder="1" applyAlignment="1">
      <alignment horizontal="center" vertical="center"/>
    </xf>
    <xf numFmtId="10" fontId="19" fillId="3" borderId="1" xfId="0" applyNumberFormat="1" applyFont="1" applyFill="1" applyBorder="1" applyAlignment="1">
      <alignment horizontal="center" vertical="center"/>
    </xf>
    <xf numFmtId="0" fontId="19" fillId="3" borderId="33" xfId="0" applyFont="1" applyFill="1" applyBorder="1" applyAlignment="1">
      <alignment vertical="center"/>
    </xf>
    <xf numFmtId="10" fontId="54" fillId="0" borderId="38" xfId="0" applyNumberFormat="1" applyFont="1" applyFill="1" applyBorder="1" applyAlignment="1">
      <alignment vertical="center"/>
    </xf>
    <xf numFmtId="177" fontId="54" fillId="0" borderId="27" xfId="0" applyNumberFormat="1" applyFont="1" applyFill="1" applyBorder="1" applyAlignment="1">
      <alignment vertical="center"/>
    </xf>
    <xf numFmtId="0" fontId="19" fillId="3" borderId="17" xfId="0" applyFont="1" applyFill="1" applyBorder="1" applyAlignment="1">
      <alignment vertical="center"/>
    </xf>
    <xf numFmtId="0" fontId="19" fillId="3" borderId="18" xfId="0" applyFont="1" applyFill="1" applyBorder="1" applyAlignment="1">
      <alignment vertical="center"/>
    </xf>
    <xf numFmtId="10" fontId="19" fillId="0" borderId="33" xfId="0" applyNumberFormat="1" applyFont="1" applyBorder="1" applyAlignment="1">
      <alignment vertical="center"/>
    </xf>
    <xf numFmtId="177" fontId="19" fillId="0" borderId="27" xfId="0" applyNumberFormat="1" applyFont="1" applyFill="1" applyBorder="1" applyAlignment="1">
      <alignment vertical="center"/>
    </xf>
    <xf numFmtId="0" fontId="19" fillId="2" borderId="33" xfId="0" applyFont="1" applyFill="1" applyBorder="1" applyAlignment="1">
      <alignment vertical="center"/>
    </xf>
    <xf numFmtId="177" fontId="19" fillId="0" borderId="0" xfId="0" applyNumberFormat="1" applyFont="1" applyBorder="1" applyAlignment="1">
      <alignment vertical="center"/>
    </xf>
    <xf numFmtId="0" fontId="0" fillId="29" borderId="1" xfId="0" applyFont="1" applyFill="1" applyBorder="1"/>
    <xf numFmtId="0" fontId="0" fillId="29" borderId="1" xfId="0" applyFill="1" applyBorder="1"/>
    <xf numFmtId="0" fontId="0" fillId="29" borderId="0" xfId="0" applyFill="1"/>
    <xf numFmtId="0" fontId="18" fillId="0" borderId="1" xfId="3514" applyFont="1" applyFill="1" applyBorder="1" applyAlignment="1">
      <alignment vertical="center"/>
    </xf>
    <xf numFmtId="10" fontId="0" fillId="4" borderId="1" xfId="3511" applyNumberFormat="1" applyFont="1" applyFill="1" applyBorder="1"/>
    <xf numFmtId="10" fontId="0" fillId="4" borderId="0" xfId="3511" applyNumberFormat="1" applyFont="1" applyFill="1"/>
    <xf numFmtId="0" fontId="0" fillId="0" borderId="0" xfId="0" applyBorder="1"/>
    <xf numFmtId="0" fontId="19" fillId="0" borderId="16" xfId="0" applyFont="1" applyFill="1" applyBorder="1" applyAlignment="1">
      <alignment vertical="center"/>
    </xf>
    <xf numFmtId="0" fontId="0" fillId="0" borderId="1" xfId="0" applyBorder="1"/>
    <xf numFmtId="179" fontId="20" fillId="27" borderId="1" xfId="3512" applyNumberFormat="1" applyBorder="1"/>
    <xf numFmtId="0" fontId="19" fillId="0" borderId="17" xfId="0" applyFont="1" applyFill="1" applyBorder="1" applyAlignment="1">
      <alignment vertical="center"/>
    </xf>
    <xf numFmtId="0" fontId="19" fillId="0" borderId="18" xfId="0" applyFont="1" applyFill="1" applyBorder="1" applyAlignment="1">
      <alignment vertical="center"/>
    </xf>
    <xf numFmtId="0" fontId="0" fillId="26" borderId="1" xfId="0" applyFill="1" applyBorder="1"/>
    <xf numFmtId="0" fontId="19" fillId="0" borderId="30" xfId="0" applyFont="1" applyFill="1" applyBorder="1" applyAlignment="1">
      <alignment vertical="center"/>
    </xf>
    <xf numFmtId="0" fontId="56" fillId="0" borderId="25" xfId="0" applyFont="1" applyFill="1" applyBorder="1" applyAlignment="1">
      <alignment vertical="center"/>
    </xf>
    <xf numFmtId="0" fontId="19" fillId="0" borderId="39" xfId="0" applyFont="1" applyFill="1" applyBorder="1" applyAlignment="1">
      <alignment vertical="center"/>
    </xf>
    <xf numFmtId="0" fontId="0" fillId="0" borderId="12" xfId="0" applyBorder="1"/>
    <xf numFmtId="0" fontId="0" fillId="26" borderId="12" xfId="0" applyFill="1" applyBorder="1"/>
    <xf numFmtId="0" fontId="0" fillId="26" borderId="40" xfId="0" applyFill="1" applyBorder="1" applyAlignment="1">
      <alignment vertical="center"/>
    </xf>
    <xf numFmtId="0" fontId="0" fillId="26" borderId="31" xfId="0" applyFill="1" applyBorder="1" applyAlignment="1">
      <alignment vertical="center"/>
    </xf>
    <xf numFmtId="0" fontId="0" fillId="0" borderId="23" xfId="0" applyBorder="1"/>
    <xf numFmtId="0" fontId="0" fillId="0" borderId="0" xfId="0" applyFont="1"/>
    <xf numFmtId="0" fontId="19" fillId="0" borderId="26" xfId="0" applyFont="1" applyFill="1" applyBorder="1" applyAlignment="1">
      <alignment vertical="center"/>
    </xf>
    <xf numFmtId="0" fontId="56" fillId="0" borderId="26" xfId="0" applyFont="1" applyFill="1" applyBorder="1" applyAlignment="1">
      <alignment vertical="center"/>
    </xf>
    <xf numFmtId="0" fontId="0" fillId="29" borderId="14" xfId="0" applyFill="1" applyBorder="1"/>
    <xf numFmtId="0" fontId="19" fillId="0" borderId="12" xfId="0" applyFont="1" applyFill="1" applyBorder="1" applyAlignment="1">
      <alignment vertical="center"/>
    </xf>
    <xf numFmtId="0" fontId="19" fillId="0" borderId="14" xfId="0" applyFont="1" applyFill="1" applyBorder="1" applyAlignment="1">
      <alignment vertical="center"/>
    </xf>
    <xf numFmtId="0" fontId="19" fillId="0" borderId="36" xfId="0" applyFont="1" applyFill="1" applyBorder="1" applyAlignment="1">
      <alignment vertical="center"/>
    </xf>
    <xf numFmtId="0" fontId="0" fillId="29" borderId="36" xfId="0" applyFill="1" applyBorder="1"/>
    <xf numFmtId="179" fontId="0" fillId="4" borderId="1" xfId="3511" applyNumberFormat="1" applyFont="1" applyFill="1" applyBorder="1"/>
    <xf numFmtId="0" fontId="46" fillId="25" borderId="12" xfId="0" applyFont="1" applyFill="1" applyBorder="1" applyAlignment="1">
      <alignment horizontal="right" vertical="center"/>
    </xf>
    <xf numFmtId="0" fontId="2" fillId="0" borderId="1" xfId="3036" applyFont="1" applyBorder="1"/>
    <xf numFmtId="0" fontId="18" fillId="0" borderId="0" xfId="2" applyFont="1" applyAlignment="1">
      <alignment vertical="center" wrapText="1"/>
    </xf>
    <xf numFmtId="10" fontId="19" fillId="3" borderId="28" xfId="0" applyNumberFormat="1" applyFont="1" applyFill="1" applyBorder="1" applyAlignment="1">
      <alignment horizontal="center" vertical="center"/>
    </xf>
    <xf numFmtId="10" fontId="19" fillId="3" borderId="1" xfId="0" applyNumberFormat="1" applyFont="1" applyFill="1" applyBorder="1" applyAlignment="1">
      <alignment horizontal="center" vertical="center"/>
    </xf>
    <xf numFmtId="0" fontId="19" fillId="3" borderId="25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51" fillId="3" borderId="30" xfId="0" applyFont="1" applyFill="1" applyBorder="1" applyAlignment="1">
      <alignment horizontal="center" vertical="center"/>
    </xf>
    <xf numFmtId="0" fontId="51" fillId="3" borderId="31" xfId="0" applyFont="1" applyFill="1" applyBorder="1" applyAlignment="1">
      <alignment horizontal="center" vertical="center"/>
    </xf>
    <xf numFmtId="0" fontId="19" fillId="3" borderId="30" xfId="0" applyFont="1" applyFill="1" applyBorder="1" applyAlignment="1">
      <alignment horizontal="center" vertical="center"/>
    </xf>
    <xf numFmtId="0" fontId="19" fillId="3" borderId="32" xfId="0" applyFont="1" applyFill="1" applyBorder="1" applyAlignment="1">
      <alignment horizontal="center" vertical="center"/>
    </xf>
    <xf numFmtId="0" fontId="19" fillId="3" borderId="31" xfId="0" applyFont="1" applyFill="1" applyBorder="1" applyAlignment="1">
      <alignment horizontal="center" vertical="center"/>
    </xf>
    <xf numFmtId="0" fontId="19" fillId="3" borderId="37" xfId="0" applyFont="1" applyFill="1" applyBorder="1" applyAlignment="1">
      <alignment horizontal="center" vertical="center"/>
    </xf>
    <xf numFmtId="0" fontId="19" fillId="3" borderId="26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/>
    </xf>
    <xf numFmtId="0" fontId="19" fillId="3" borderId="33" xfId="0" applyFont="1" applyFill="1" applyBorder="1" applyAlignment="1">
      <alignment horizontal="center" vertical="center"/>
    </xf>
    <xf numFmtId="0" fontId="19" fillId="3" borderId="14" xfId="0" applyFont="1" applyFill="1" applyBorder="1" applyAlignment="1">
      <alignment horizontal="center" vertical="center"/>
    </xf>
    <xf numFmtId="176" fontId="19" fillId="3" borderId="30" xfId="0" applyNumberFormat="1" applyFont="1" applyFill="1" applyBorder="1" applyAlignment="1">
      <alignment horizontal="center" vertical="center"/>
    </xf>
  </cellXfs>
  <cellStyles count="3601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アクセント 6" xfId="3512" builtinId="49"/>
    <cellStyle name="パーセント" xfId="3511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桁区切り 2" xfId="67"/>
    <cellStyle name="桁区切り 2 2" xfId="3513"/>
    <cellStyle name="青字強調" xfId="68"/>
    <cellStyle name="赤字強調" xfId="69"/>
    <cellStyle name="標準" xfId="0" builtinId="0"/>
    <cellStyle name="標準 2" xfId="2"/>
    <cellStyle name="標準 2 2" xfId="2979"/>
    <cellStyle name="標準 2 2 2" xfId="3514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8</xdr:row>
      <xdr:rowOff>0</xdr:rowOff>
    </xdr:from>
    <xdr:ext cx="6197600" cy="1107996"/>
    <xdr:sp macro="" textlink="">
      <xdr:nvSpPr>
        <xdr:cNvPr id="2" name="テキスト ボックス 1"/>
        <xdr:cNvSpPr txBox="1"/>
      </xdr:nvSpPr>
      <xdr:spPr>
        <a:xfrm>
          <a:off x="6692900" y="1625600"/>
          <a:ext cx="6197600" cy="1107996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1100"/>
            <a:t>黄色部分に値を入力する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設定すると、</a:t>
          </a:r>
          <a:r>
            <a:rPr kumimoji="1" lang="en-US" altLang="ja-JP" sz="1100"/>
            <a:t>"</a:t>
          </a:r>
          <a:r>
            <a:rPr kumimoji="1" lang="ja-JP" altLang="en-US" sz="1100"/>
            <a:t>レアガチャ出現率（新ユニット追加）</a:t>
          </a:r>
          <a:r>
            <a:rPr kumimoji="1" lang="en-US" altLang="ja-JP" sz="1100"/>
            <a:t>"</a:t>
          </a:r>
          <a:r>
            <a:rPr kumimoji="1" lang="ja-JP" altLang="en-US" sz="1100"/>
            <a:t>のシートが更新される。</a:t>
          </a:r>
          <a:endParaRPr kumimoji="1" lang="en-US" altLang="ja-JP" sz="1100"/>
        </a:p>
        <a:p>
          <a:r>
            <a:rPr kumimoji="1" lang="ja-JP" altLang="en-US" sz="1100"/>
            <a:t>それと同時にこのシートのウェイトも更新される。</a:t>
          </a:r>
          <a:endParaRPr kumimoji="1" lang="en-US" altLang="ja-JP" sz="1100"/>
        </a:p>
        <a:p>
          <a:endParaRPr kumimoji="1" lang="en-US" altLang="ja-JP" sz="1100"/>
        </a:p>
        <a:p>
          <a:endParaRPr kumimoji="1" lang="en-US" altLang="ja-JP" sz="1100"/>
        </a:p>
      </xdr:txBody>
    </xdr:sp>
    <xdr:clientData/>
  </xdr:oneCellAnchor>
  <xdr:oneCellAnchor>
    <xdr:from>
      <xdr:col>5</xdr:col>
      <xdr:colOff>901700</xdr:colOff>
      <xdr:row>17</xdr:row>
      <xdr:rowOff>25400</xdr:rowOff>
    </xdr:from>
    <xdr:ext cx="6362700" cy="938719"/>
    <xdr:sp macro="" textlink="">
      <xdr:nvSpPr>
        <xdr:cNvPr id="3" name="テキスト ボックス 2"/>
        <xdr:cNvSpPr txBox="1"/>
      </xdr:nvSpPr>
      <xdr:spPr>
        <a:xfrm>
          <a:off x="6616700" y="3479800"/>
          <a:ext cx="6362700" cy="938719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1100"/>
            <a:t>現在、このシートを更新しても</a:t>
          </a:r>
          <a:r>
            <a:rPr kumimoji="1" lang="en-US" altLang="ja-JP" sz="1100"/>
            <a:t>"</a:t>
          </a:r>
          <a:r>
            <a:rPr kumimoji="1" lang="ja-JP" altLang="en-US" sz="1100"/>
            <a:t>レアガチャ出現率（新ユニット追加）</a:t>
          </a:r>
          <a:r>
            <a:rPr kumimoji="1" lang="en-US" altLang="ja-JP" sz="1100"/>
            <a:t>"</a:t>
          </a:r>
          <a:r>
            <a:rPr kumimoji="1" lang="ja-JP" altLang="en-US" sz="1100"/>
            <a:t>の一部が更新されないことがある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このシート更新後、</a:t>
          </a:r>
          <a:r>
            <a:rPr kumimoji="1" lang="en-US" altLang="ja-JP" sz="1100"/>
            <a:t>"</a:t>
          </a:r>
          <a:r>
            <a:rPr kumimoji="1" lang="ja-JP" altLang="en-US" sz="1100"/>
            <a:t>レアガチャ出現率（新ユニット追加）</a:t>
          </a:r>
          <a:r>
            <a:rPr kumimoji="1" lang="en-US" altLang="ja-JP" sz="1100"/>
            <a:t>"</a:t>
          </a:r>
          <a:r>
            <a:rPr kumimoji="1" lang="ja-JP" altLang="en-US" sz="1100"/>
            <a:t>の総ユニット数が正しいかの確認が必要</a:t>
          </a:r>
          <a:endParaRPr kumimoji="1" lang="en-US" altLang="ja-JP" sz="1100"/>
        </a:p>
        <a:p>
          <a:r>
            <a:rPr kumimoji="1" lang="en-US" altLang="ja-JP" sz="1100"/>
            <a:t>gacha_select_tables</a:t>
          </a:r>
          <a:r>
            <a:rPr kumimoji="1" lang="ja-JP" altLang="en-US" sz="1100"/>
            <a:t>をフィルターで絞った後に、そのフィルターを解除すると正しい総数が出る</a:t>
          </a:r>
          <a:endParaRPr kumimoji="1" lang="en-US" altLang="ja-JP" sz="1100"/>
        </a:p>
        <a:p>
          <a:endParaRPr kumimoji="1" lang="en-US" altLang="ja-JP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>
        <row r="2">
          <cell r="A2" t="str">
            <v>red</v>
          </cell>
        </row>
        <row r="3">
          <cell r="A3" t="str">
            <v>green</v>
          </cell>
        </row>
        <row r="4">
          <cell r="A4" t="str">
            <v>blue</v>
          </cell>
        </row>
        <row r="5">
          <cell r="A5" t="str">
            <v>yellow</v>
          </cell>
        </row>
        <row r="6">
          <cell r="A6" t="str">
            <v>colorless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H332" t="str">
            <v>blue</v>
          </cell>
          <cell r="I332">
            <v>5</v>
          </cell>
          <cell r="J332" t="str">
            <v>PremiumSSS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blue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technical</v>
          </cell>
          <cell r="L488" t="str">
            <v>テクニカルタイプ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PremiumS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PremiumW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PremiumW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PremiumW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スキル進化素材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PremiumSS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PremiumSS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PremiumS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PremiumS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PremiumS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PremiumS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PremiumN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PremiumN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PremiumN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PremiumN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green</v>
          </cell>
          <cell r="I626">
            <v>4</v>
          </cell>
          <cell r="J626" t="str">
            <v>PremiumN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green</v>
          </cell>
          <cell r="I627">
            <v>5</v>
          </cell>
          <cell r="J627" t="str">
            <v>PremiumN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PremiumS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PremiumS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PremiumSS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PremiumSS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human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human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human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human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human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human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human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human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human</v>
          </cell>
        </row>
        <row r="643">
          <cell r="A643">
            <v>642</v>
          </cell>
          <cell r="B643" t="str">
            <v>ja</v>
          </cell>
          <cell r="C643" t="str">
            <v>マーラ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PremiumS</v>
          </cell>
          <cell r="K643" t="str">
            <v>attack</v>
          </cell>
          <cell r="L643" t="str">
            <v>攻撃タイプ</v>
          </cell>
          <cell r="M643" t="str">
            <v>human</v>
          </cell>
        </row>
        <row r="644">
          <cell r="A644">
            <v>643</v>
          </cell>
          <cell r="B644" t="str">
            <v>ja</v>
          </cell>
          <cell r="C644" t="str">
            <v>マーラ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PremiumS</v>
          </cell>
          <cell r="K644" t="str">
            <v>attack</v>
          </cell>
          <cell r="L644" t="str">
            <v>攻撃タイプ</v>
          </cell>
          <cell r="M644" t="str">
            <v>human</v>
          </cell>
        </row>
        <row r="645">
          <cell r="A645">
            <v>644</v>
          </cell>
          <cell r="B645" t="str">
            <v>ja</v>
          </cell>
          <cell r="C645" t="str">
            <v>ぬらりひょん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PremiumS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ぬらりひょん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PremiumS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PremiumS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PremiumS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yellow</v>
          </cell>
          <cell r="I655">
            <v>4</v>
          </cell>
          <cell r="J655" t="str">
            <v>PremiumS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yellow</v>
          </cell>
          <cell r="I656">
            <v>5</v>
          </cell>
          <cell r="J656" t="str">
            <v>PremiumS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PremiumS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PremiumS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カラス天狗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カラス天狗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デイダラボッチ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各属性相性良3・黄・R292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各属性相性良3・黄・R293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各属性相性良3・黄・R294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各属性相性良3・黄・R295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抜け</v>
          </cell>
          <cell r="D679" t="str">
            <v>各属性相性良3・黄・R296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yellow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抜け</v>
          </cell>
          <cell r="D680" t="str">
            <v>各属性相性良3・黄・R297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yellow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各属性相性良3・黄・R298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yellow</v>
          </cell>
          <cell r="I681">
            <v>5</v>
          </cell>
          <cell r="J681" t="str">
            <v>PremiumS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各属性相性良3・黄・R299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6</v>
          </cell>
          <cell r="J682" t="str">
            <v>PremiumS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各属性相性良3・黄・R300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5</v>
          </cell>
          <cell r="J683" t="str">
            <v>PremiumS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各属性相性良3・黄・R301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PremiumS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各属性相性良3・黄・R302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5</v>
          </cell>
          <cell r="J685" t="str">
            <v>PremiumS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各属性相性良3・黄・R303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PremiumS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各属性相性良3・黄・R304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5</v>
          </cell>
          <cell r="J687" t="str">
            <v>PremiumS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  <row r="688">
          <cell r="A688">
            <v>687</v>
          </cell>
          <cell r="B688" t="str">
            <v>ja</v>
          </cell>
          <cell r="C688" t="str">
            <v>プレゼントケロケロ</v>
          </cell>
          <cell r="D688" t="str">
            <v>各属性相性良3・黄・R305</v>
          </cell>
          <cell r="E688" t="str">
            <v>執行者</v>
          </cell>
          <cell r="F688" t="str">
            <v>格好いい</v>
          </cell>
          <cell r="G688" t="str">
            <v>男性</v>
          </cell>
          <cell r="H688" t="str">
            <v>blue</v>
          </cell>
          <cell r="I688">
            <v>5</v>
          </cell>
          <cell r="J688" t="str">
            <v>PremiumS</v>
          </cell>
          <cell r="K688" t="str">
            <v>attack</v>
          </cell>
          <cell r="L688" t="str">
            <v>攻撃タイプ</v>
          </cell>
          <cell r="M688" t="str">
            <v>human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各属性相性良3・黄・R306</v>
          </cell>
          <cell r="E689" t="str">
            <v>執行者</v>
          </cell>
          <cell r="F689" t="str">
            <v>格好いい</v>
          </cell>
          <cell r="G689" t="str">
            <v>男性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各属性相性良3・黄・R307</v>
          </cell>
          <cell r="E690" t="str">
            <v>執行者</v>
          </cell>
          <cell r="F690" t="str">
            <v>格好いい</v>
          </cell>
          <cell r="G690" t="str">
            <v>男性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各属性相性良3・黄・R308</v>
          </cell>
          <cell r="E691" t="str">
            <v>執行者</v>
          </cell>
          <cell r="F691" t="str">
            <v>格好いい</v>
          </cell>
          <cell r="G691" t="str">
            <v>男性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各属性相性良3・黄・R309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5</v>
          </cell>
          <cell r="J692" t="str">
            <v>PremiumS</v>
          </cell>
          <cell r="K692" t="str">
            <v>attack</v>
          </cell>
          <cell r="L692" t="str">
            <v>攻撃タイプ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黒沼青葉</v>
          </cell>
          <cell r="D693" t="str">
            <v>各属性相性良3・黄・R310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PremiumS</v>
          </cell>
          <cell r="K693" t="str">
            <v>attack</v>
          </cell>
          <cell r="L693" t="str">
            <v>攻撃タイプ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各属性相性良3・黄・R311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blue</v>
          </cell>
          <cell r="I694">
            <v>5</v>
          </cell>
          <cell r="J694" t="str">
            <v>PremiumS</v>
          </cell>
          <cell r="K694" t="str">
            <v>attack</v>
          </cell>
          <cell r="L694" t="str">
            <v>攻撃タイプ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紀田正臣</v>
          </cell>
          <cell r="D695" t="str">
            <v>各属性相性良3・黄・R312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blue</v>
          </cell>
          <cell r="I695">
            <v>5</v>
          </cell>
          <cell r="J695" t="str">
            <v>PremiumS</v>
          </cell>
          <cell r="K695" t="str">
            <v>attack</v>
          </cell>
          <cell r="L695" t="str">
            <v>攻撃タイプ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各属性相性良3・黄・R313</v>
          </cell>
          <cell r="E696" t="str">
            <v>執行者</v>
          </cell>
          <cell r="F696" t="str">
            <v>格好いい</v>
          </cell>
          <cell r="G696" t="str">
            <v>男性</v>
          </cell>
          <cell r="H696" t="str">
            <v>blue</v>
          </cell>
          <cell r="I696">
            <v>5</v>
          </cell>
          <cell r="J696" t="str">
            <v>PremiumS</v>
          </cell>
          <cell r="K696" t="str">
            <v>attack</v>
          </cell>
          <cell r="L696" t="str">
            <v>攻撃タイプ</v>
          </cell>
          <cell r="M696" t="str">
            <v>human</v>
          </cell>
        </row>
        <row r="697">
          <cell r="A697">
            <v>696</v>
          </cell>
          <cell r="B697" t="str">
            <v>ja</v>
          </cell>
          <cell r="C697" t="str">
            <v>セルティ</v>
          </cell>
          <cell r="D697" t="str">
            <v>各属性相性良3・黄・R314</v>
          </cell>
          <cell r="E697" t="str">
            <v>執行者</v>
          </cell>
          <cell r="F697" t="str">
            <v>格好いい</v>
          </cell>
          <cell r="G697" t="str">
            <v>男性</v>
          </cell>
          <cell r="H697" t="str">
            <v>blue</v>
          </cell>
          <cell r="I697">
            <v>5</v>
          </cell>
          <cell r="J697" t="str">
            <v>PremiumS</v>
          </cell>
          <cell r="K697" t="str">
            <v>attack</v>
          </cell>
          <cell r="L697" t="str">
            <v>攻撃タイプ</v>
          </cell>
          <cell r="M697" t="str">
            <v>human</v>
          </cell>
        </row>
        <row r="698">
          <cell r="A698">
            <v>697</v>
          </cell>
          <cell r="B698" t="str">
            <v>ja</v>
          </cell>
          <cell r="C698" t="str">
            <v>セルティ</v>
          </cell>
          <cell r="D698" t="str">
            <v>各属性相性良3・黄・R315</v>
          </cell>
          <cell r="E698" t="str">
            <v>執行者</v>
          </cell>
          <cell r="F698" t="str">
            <v>格好いい</v>
          </cell>
          <cell r="G698" t="str">
            <v>男性</v>
          </cell>
          <cell r="H698" t="str">
            <v>blue</v>
          </cell>
          <cell r="I698">
            <v>5</v>
          </cell>
          <cell r="J698" t="str">
            <v>PremiumS</v>
          </cell>
          <cell r="K698" t="str">
            <v>attack</v>
          </cell>
          <cell r="L698" t="str">
            <v>攻撃タイプ</v>
          </cell>
          <cell r="M698" t="str">
            <v>human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各属性相性良3・黄・R316</v>
          </cell>
          <cell r="E699" t="str">
            <v>執行者</v>
          </cell>
          <cell r="F699" t="str">
            <v>格好いい</v>
          </cell>
          <cell r="G699" t="str">
            <v>男性</v>
          </cell>
          <cell r="H699" t="str">
            <v>blue</v>
          </cell>
          <cell r="I699">
            <v>5</v>
          </cell>
          <cell r="J699" t="str">
            <v>PremiumS</v>
          </cell>
          <cell r="K699" t="str">
            <v>attack</v>
          </cell>
          <cell r="L699" t="str">
            <v>攻撃タイプ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園原杏里</v>
          </cell>
          <cell r="D700" t="str">
            <v>各属性相性良3・黄・R317</v>
          </cell>
          <cell r="E700" t="str">
            <v>執行者</v>
          </cell>
          <cell r="F700" t="str">
            <v>格好いい</v>
          </cell>
          <cell r="G700" t="str">
            <v>男性</v>
          </cell>
          <cell r="H700" t="str">
            <v>blue</v>
          </cell>
          <cell r="I700">
            <v>5</v>
          </cell>
          <cell r="J700" t="str">
            <v>PremiumS</v>
          </cell>
          <cell r="K700" t="str">
            <v>attack</v>
          </cell>
          <cell r="L700" t="str">
            <v>攻撃タイプ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各属性相性良3・黄・R318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PremiumS</v>
          </cell>
          <cell r="K701" t="str">
            <v>attack</v>
          </cell>
          <cell r="L701" t="str">
            <v>攻撃タイプ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折原臨也</v>
          </cell>
          <cell r="D702" t="str">
            <v>各属性相性良3・黄・R319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5</v>
          </cell>
          <cell r="J702" t="str">
            <v>PremiumS</v>
          </cell>
          <cell r="K702" t="str">
            <v>attack</v>
          </cell>
          <cell r="L702" t="str">
            <v>攻撃タイプ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各属性相性良3・黄・R320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blue</v>
          </cell>
          <cell r="I703">
            <v>5</v>
          </cell>
          <cell r="J703" t="str">
            <v>PremiumS</v>
          </cell>
          <cell r="K703" t="str">
            <v>attack</v>
          </cell>
          <cell r="L703" t="str">
            <v>攻撃タイプ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サイモン</v>
          </cell>
          <cell r="D704" t="str">
            <v>各属性相性良3・黄・R321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blue</v>
          </cell>
          <cell r="I704">
            <v>5</v>
          </cell>
          <cell r="J704" t="str">
            <v>PremiumS</v>
          </cell>
          <cell r="K704" t="str">
            <v>attack</v>
          </cell>
          <cell r="L704" t="str">
            <v>攻撃タイプ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各属性相性良3・黄・R322</v>
          </cell>
          <cell r="E705" t="str">
            <v>執行者</v>
          </cell>
          <cell r="F705" t="str">
            <v>格好いい</v>
          </cell>
          <cell r="G705" t="str">
            <v>男性</v>
          </cell>
          <cell r="H705" t="str">
            <v>blue</v>
          </cell>
          <cell r="I705">
            <v>5</v>
          </cell>
          <cell r="J705" t="str">
            <v>PremiumS</v>
          </cell>
          <cell r="K705" t="str">
            <v>attack</v>
          </cell>
          <cell r="L705" t="str">
            <v>攻撃タイプ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贄川春奈</v>
          </cell>
          <cell r="D706" t="str">
            <v>各属性相性良3・黄・R323</v>
          </cell>
          <cell r="E706" t="str">
            <v>執行者</v>
          </cell>
          <cell r="F706" t="str">
            <v>格好いい</v>
          </cell>
          <cell r="G706" t="str">
            <v>男性</v>
          </cell>
          <cell r="H706" t="str">
            <v>blue</v>
          </cell>
          <cell r="I706">
            <v>5</v>
          </cell>
          <cell r="J706" t="str">
            <v>PremiumS</v>
          </cell>
          <cell r="K706" t="str">
            <v>attack</v>
          </cell>
          <cell r="L706" t="str">
            <v>攻撃タイプ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各属性相性良3・黄・R324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blue</v>
          </cell>
          <cell r="I707">
            <v>5</v>
          </cell>
          <cell r="J707" t="str">
            <v>PremiumS</v>
          </cell>
          <cell r="K707" t="str">
            <v>attack</v>
          </cell>
          <cell r="L707" t="str">
            <v>攻撃タイプ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岸谷新羅</v>
          </cell>
          <cell r="D708" t="str">
            <v>各属性相性良3・黄・R325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blue</v>
          </cell>
          <cell r="I708">
            <v>5</v>
          </cell>
          <cell r="J708" t="str">
            <v>PremiumS</v>
          </cell>
          <cell r="K708" t="str">
            <v>attack</v>
          </cell>
          <cell r="L708" t="str">
            <v>攻撃タイプ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門田京介</v>
          </cell>
          <cell r="D709" t="str">
            <v>各属性相性良3・黄・R326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blue</v>
          </cell>
          <cell r="I709">
            <v>5</v>
          </cell>
          <cell r="J709" t="str">
            <v>PremiumS</v>
          </cell>
          <cell r="K709" t="str">
            <v>attack</v>
          </cell>
          <cell r="L709" t="str">
            <v>攻撃タイプ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門田京介</v>
          </cell>
          <cell r="D710" t="str">
            <v>各属性相性良3・黄・R327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blue</v>
          </cell>
          <cell r="I710">
            <v>5</v>
          </cell>
          <cell r="J710" t="str">
            <v>PremiumS</v>
          </cell>
          <cell r="K710" t="str">
            <v>attack</v>
          </cell>
          <cell r="L710" t="str">
            <v>攻撃タイプ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各属性相性良3・黄・R328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</v>
          </cell>
          <cell r="K711" t="str">
            <v>attack</v>
          </cell>
          <cell r="L711" t="str">
            <v>攻撃タイプ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田中トム</v>
          </cell>
          <cell r="D712" t="str">
            <v>各属性相性良3・黄・R329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5</v>
          </cell>
          <cell r="J712" t="str">
            <v>PremiumS</v>
          </cell>
          <cell r="K712" t="str">
            <v>attack</v>
          </cell>
          <cell r="L712" t="str">
            <v>攻撃タイプ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各属性相性良3・黄・R330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</v>
          </cell>
          <cell r="K713" t="str">
            <v>attack</v>
          </cell>
          <cell r="L713" t="str">
            <v>攻撃タイプ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竜ヶ峰帝人</v>
          </cell>
          <cell r="D714" t="str">
            <v>各属性相性良3・黄・R331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5</v>
          </cell>
          <cell r="J714" t="str">
            <v>PremiumS</v>
          </cell>
          <cell r="K714" t="str">
            <v>attack</v>
          </cell>
          <cell r="L714" t="str">
            <v>攻撃タイプ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各属性相性良3・黄・R332</v>
          </cell>
          <cell r="E715" t="str">
            <v>執行者</v>
          </cell>
          <cell r="F715" t="str">
            <v>格好いい</v>
          </cell>
          <cell r="G715" t="str">
            <v>男性</v>
          </cell>
          <cell r="H715" t="str">
            <v>blue</v>
          </cell>
          <cell r="I715">
            <v>5</v>
          </cell>
          <cell r="J715" t="str">
            <v>PremiumS</v>
          </cell>
          <cell r="K715" t="str">
            <v>attack</v>
          </cell>
          <cell r="L715" t="str">
            <v>攻撃タイプ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粟楠茜</v>
          </cell>
          <cell r="D716" t="str">
            <v>各属性相性良3・黄・R333</v>
          </cell>
          <cell r="E716" t="str">
            <v>執行者</v>
          </cell>
          <cell r="F716" t="str">
            <v>格好いい</v>
          </cell>
          <cell r="G716" t="str">
            <v>男性</v>
          </cell>
          <cell r="H716" t="str">
            <v>blue</v>
          </cell>
          <cell r="I716">
            <v>5</v>
          </cell>
          <cell r="J716" t="str">
            <v>PremiumS</v>
          </cell>
          <cell r="K716" t="str">
            <v>attack</v>
          </cell>
          <cell r="L716" t="str">
            <v>攻撃タイプ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各属性相性良3・黄・R334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blue</v>
          </cell>
          <cell r="I717">
            <v>5</v>
          </cell>
          <cell r="J717" t="str">
            <v>PremiumS</v>
          </cell>
          <cell r="K717" t="str">
            <v>attack</v>
          </cell>
          <cell r="L717" t="str">
            <v>攻撃タイプ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平和島静雄</v>
          </cell>
          <cell r="D718" t="str">
            <v>各属性相性良3・黄・R335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blue</v>
          </cell>
          <cell r="I718">
            <v>5</v>
          </cell>
          <cell r="J718" t="str">
            <v>PremiumS</v>
          </cell>
          <cell r="K718" t="str">
            <v>attack</v>
          </cell>
          <cell r="L718" t="str">
            <v>攻撃タイプ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各属性相性良3・黄・R336</v>
          </cell>
          <cell r="E719" t="str">
            <v>執行者</v>
          </cell>
          <cell r="F719" t="str">
            <v>格好いい</v>
          </cell>
          <cell r="G719" t="str">
            <v>男性</v>
          </cell>
          <cell r="H719" t="str">
            <v>blue</v>
          </cell>
          <cell r="I719">
            <v>5</v>
          </cell>
          <cell r="J719" t="str">
            <v>PremiumS</v>
          </cell>
          <cell r="K719" t="str">
            <v>attack</v>
          </cell>
          <cell r="L719" t="str">
            <v>攻撃タイプ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ヴァローナ</v>
          </cell>
          <cell r="D720" t="str">
            <v>各属性相性良3・黄・R337</v>
          </cell>
          <cell r="E720" t="str">
            <v>執行者</v>
          </cell>
          <cell r="F720" t="str">
            <v>格好いい</v>
          </cell>
          <cell r="G720" t="str">
            <v>男性</v>
          </cell>
          <cell r="H720" t="str">
            <v>blue</v>
          </cell>
          <cell r="I720">
            <v>5</v>
          </cell>
          <cell r="J720" t="str">
            <v>PremiumS</v>
          </cell>
          <cell r="K720" t="str">
            <v>attack</v>
          </cell>
          <cell r="L720" t="str">
            <v>攻撃タイプ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各属性相性良3・黄・R338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5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各属性相性良3・黄・R339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各属性相性良3・黄・R340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5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各属性相性良3・黄・R341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上杉謙信</v>
          </cell>
          <cell r="D725" t="str">
            <v>各属性相性良3・黄・R342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上杉謙信</v>
          </cell>
          <cell r="D726" t="str">
            <v>各属性相性良3・黄・R343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各属性相性良3・黄・R344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各属性相性良3・黄・R345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各属性相性良3・黄・R346</v>
          </cell>
          <cell r="E729" t="str">
            <v>執行者</v>
          </cell>
          <cell r="F729" t="str">
            <v>格好いい</v>
          </cell>
          <cell r="G729" t="str">
            <v>男性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各属性相性良3・黄・R347</v>
          </cell>
          <cell r="E730" t="str">
            <v>執行者</v>
          </cell>
          <cell r="F730" t="str">
            <v>格好いい</v>
          </cell>
          <cell r="G730" t="str">
            <v>男性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各属性相性良3・黄・R348</v>
          </cell>
          <cell r="E731" t="str">
            <v>執行者</v>
          </cell>
          <cell r="F731" t="str">
            <v>格好いい</v>
          </cell>
          <cell r="G731" t="str">
            <v>男性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各属性相性良3・黄・R349</v>
          </cell>
          <cell r="E732" t="str">
            <v>執行者</v>
          </cell>
          <cell r="F732" t="str">
            <v>格好いい</v>
          </cell>
          <cell r="G732" t="str">
            <v>男性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各属性相性良3・黄・R350</v>
          </cell>
          <cell r="E733" t="str">
            <v>執行者</v>
          </cell>
          <cell r="F733" t="str">
            <v>格好いい</v>
          </cell>
          <cell r="G733" t="str">
            <v>男性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各属性相性良3・黄・R351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各属性相性良3・黄・R352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信玄</v>
          </cell>
          <cell r="D736" t="str">
            <v>各属性相性良3・黄・R353</v>
          </cell>
          <cell r="E736" t="str">
            <v>執行者</v>
          </cell>
          <cell r="F736" t="str">
            <v>格好いい</v>
          </cell>
          <cell r="G736" t="str">
            <v>男性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信玄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男性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5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5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PremiumS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blue</v>
          </cell>
          <cell r="I759">
            <v>5</v>
          </cell>
          <cell r="J759" t="str">
            <v>PremiumS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blue</v>
          </cell>
          <cell r="I760">
            <v>5</v>
          </cell>
          <cell r="J760" t="str">
            <v>PremiumS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blue</v>
          </cell>
          <cell r="I761">
            <v>5</v>
          </cell>
          <cell r="J761" t="str">
            <v>PremiumS</v>
          </cell>
          <cell r="K761" t="str">
            <v>attack</v>
          </cell>
          <cell r="L761" t="str">
            <v>攻撃タイプ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blue</v>
          </cell>
          <cell r="I762">
            <v>5</v>
          </cell>
          <cell r="J762" t="str">
            <v>PremiumS</v>
          </cell>
          <cell r="K762" t="str">
            <v>attack</v>
          </cell>
          <cell r="L762" t="str">
            <v>攻撃タイプ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5</v>
          </cell>
          <cell r="J764" t="str">
            <v>PremiumS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  <cell r="D765" t="str">
            <v>各属性相性良3・黄・R382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blue</v>
          </cell>
          <cell r="I765">
            <v>5</v>
          </cell>
          <cell r="J765" t="str">
            <v>PremiumS</v>
          </cell>
          <cell r="K765" t="str">
            <v>attack</v>
          </cell>
          <cell r="L765" t="str">
            <v>攻撃タイプ</v>
          </cell>
          <cell r="M765" t="str">
            <v>human</v>
          </cell>
        </row>
        <row r="766">
          <cell r="A766">
            <v>765</v>
          </cell>
          <cell r="B766" t="str">
            <v>ja</v>
          </cell>
          <cell r="C766" t="str">
            <v>バジリスク</v>
          </cell>
          <cell r="D766" t="str">
            <v>各属性相性良3・黄・R383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blue</v>
          </cell>
          <cell r="I766">
            <v>5</v>
          </cell>
          <cell r="J766" t="str">
            <v>PremiumS</v>
          </cell>
          <cell r="K766" t="str">
            <v>attack</v>
          </cell>
          <cell r="L766" t="str">
            <v>攻撃タイプ</v>
          </cell>
          <cell r="M766" t="str">
            <v>human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  <cell r="D767" t="str">
            <v>各属性相性良3・黄・R384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blue</v>
          </cell>
          <cell r="I767">
            <v>5</v>
          </cell>
          <cell r="J767" t="str">
            <v>PremiumS</v>
          </cell>
          <cell r="K767" t="str">
            <v>attack</v>
          </cell>
          <cell r="L767" t="str">
            <v>攻撃タイプ</v>
          </cell>
          <cell r="M767" t="str">
            <v>human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  <cell r="D768" t="str">
            <v>各属性相性良3・黄・R385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blue</v>
          </cell>
          <cell r="I768">
            <v>5</v>
          </cell>
          <cell r="J768" t="str">
            <v>PremiumS</v>
          </cell>
          <cell r="K768" t="str">
            <v>attack</v>
          </cell>
          <cell r="L768" t="str">
            <v>攻撃タイプ</v>
          </cell>
          <cell r="M768" t="str">
            <v>human</v>
          </cell>
        </row>
        <row r="769">
          <cell r="A769">
            <v>768</v>
          </cell>
          <cell r="B769" t="str">
            <v>ja</v>
          </cell>
          <cell r="C769" t="str">
            <v>イナバ</v>
          </cell>
          <cell r="D769" t="str">
            <v>各属性相性良3・黄・R386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blue</v>
          </cell>
          <cell r="I769">
            <v>5</v>
          </cell>
          <cell r="J769" t="str">
            <v>PremiumS</v>
          </cell>
          <cell r="K769" t="str">
            <v>attack</v>
          </cell>
          <cell r="L769" t="str">
            <v>攻撃タイプ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ミケランジェロ</v>
          </cell>
          <cell r="D770" t="str">
            <v>各属性相性良3・黄・R387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blue</v>
          </cell>
          <cell r="I770">
            <v>5</v>
          </cell>
          <cell r="J770" t="str">
            <v>PremiumS</v>
          </cell>
          <cell r="K770" t="str">
            <v>attack</v>
          </cell>
          <cell r="L770" t="str">
            <v>攻撃タイプ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blue</v>
          </cell>
          <cell r="I771">
            <v>5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human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blue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human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blue</v>
          </cell>
          <cell r="I773">
            <v>5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ガラハッド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blue</v>
          </cell>
          <cell r="I774">
            <v>5</v>
          </cell>
          <cell r="J774" t="str">
            <v>PremiumS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ガラハッド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blue</v>
          </cell>
          <cell r="I775">
            <v>5</v>
          </cell>
          <cell r="J775" t="str">
            <v>PremiumS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5</v>
          </cell>
          <cell r="J776" t="str">
            <v>PremiumS</v>
          </cell>
          <cell r="K776" t="str">
            <v>attack</v>
          </cell>
          <cell r="L776" t="str">
            <v>攻撃タイプ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attack</v>
          </cell>
          <cell r="L777" t="str">
            <v>攻撃タイプ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5</v>
          </cell>
          <cell r="J778" t="str">
            <v>PremiumS</v>
          </cell>
          <cell r="K778" t="str">
            <v>attack</v>
          </cell>
          <cell r="L778" t="str">
            <v>攻撃タイプ</v>
          </cell>
          <cell r="M778" t="str">
            <v>human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5</v>
          </cell>
          <cell r="J779" t="str">
            <v>PremiumS</v>
          </cell>
          <cell r="K779" t="str">
            <v>attack</v>
          </cell>
          <cell r="L779" t="str">
            <v>攻撃タイプ</v>
          </cell>
          <cell r="M779" t="str">
            <v>human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attack</v>
          </cell>
          <cell r="L780" t="str">
            <v>攻撃タイプ</v>
          </cell>
          <cell r="M780" t="str">
            <v>human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5</v>
          </cell>
          <cell r="J781" t="str">
            <v>PremiumS</v>
          </cell>
          <cell r="K781" t="str">
            <v>attack</v>
          </cell>
          <cell r="L781" t="str">
            <v>攻撃タイプ</v>
          </cell>
          <cell r="M781" t="str">
            <v>human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5</v>
          </cell>
          <cell r="J782" t="str">
            <v>PremiumS</v>
          </cell>
          <cell r="K782" t="str">
            <v>attack</v>
          </cell>
          <cell r="L782" t="str">
            <v>攻撃タイプ</v>
          </cell>
          <cell r="M782" t="str">
            <v>human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human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5</v>
          </cell>
          <cell r="J784" t="str">
            <v>PremiumS</v>
          </cell>
          <cell r="K784" t="str">
            <v>attack</v>
          </cell>
          <cell r="L784" t="str">
            <v>攻撃タイプ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5</v>
          </cell>
          <cell r="J785" t="str">
            <v>PremiumS</v>
          </cell>
          <cell r="K785" t="str">
            <v>attack</v>
          </cell>
          <cell r="L785" t="str">
            <v>攻撃タイプ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attack</v>
          </cell>
          <cell r="L786" t="str">
            <v>攻撃タイプ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blue</v>
          </cell>
          <cell r="I787">
            <v>5</v>
          </cell>
          <cell r="J787" t="str">
            <v>PremiumS</v>
          </cell>
          <cell r="K787" t="str">
            <v>attack</v>
          </cell>
          <cell r="L787" t="str">
            <v>攻撃タイプ</v>
          </cell>
          <cell r="M787" t="str">
            <v>human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blue</v>
          </cell>
          <cell r="I788">
            <v>5</v>
          </cell>
          <cell r="J788" t="str">
            <v>PremiumS</v>
          </cell>
          <cell r="K788" t="str">
            <v>attack</v>
          </cell>
          <cell r="L788" t="str">
            <v>攻撃タイプ</v>
          </cell>
          <cell r="M788" t="str">
            <v>human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blue</v>
          </cell>
          <cell r="I789">
            <v>5</v>
          </cell>
          <cell r="J789" t="str">
            <v>PremiumS</v>
          </cell>
          <cell r="K789" t="str">
            <v>attack</v>
          </cell>
          <cell r="L789" t="str">
            <v>攻撃タイプ</v>
          </cell>
          <cell r="M789" t="str">
            <v>human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blue</v>
          </cell>
          <cell r="I790">
            <v>5</v>
          </cell>
          <cell r="J790" t="str">
            <v>PremiumS</v>
          </cell>
          <cell r="K790" t="str">
            <v>attack</v>
          </cell>
          <cell r="L790" t="str">
            <v>攻撃タイプ</v>
          </cell>
          <cell r="M790" t="str">
            <v>human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</v>
          </cell>
          <cell r="K791" t="str">
            <v>attack</v>
          </cell>
          <cell r="L791" t="str">
            <v>攻撃タイプ</v>
          </cell>
          <cell r="M791" t="str">
            <v>human</v>
          </cell>
        </row>
        <row r="792">
          <cell r="A792">
            <v>791</v>
          </cell>
          <cell r="B792" t="str">
            <v>ja</v>
          </cell>
          <cell r="C792" t="str">
            <v>ノイマン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5</v>
          </cell>
          <cell r="J792" t="str">
            <v>PremiumS</v>
          </cell>
          <cell r="K792" t="str">
            <v>attack</v>
          </cell>
          <cell r="L792" t="str">
            <v>攻撃タイプ</v>
          </cell>
          <cell r="M792" t="str">
            <v>human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blue</v>
          </cell>
          <cell r="I793">
            <v>5</v>
          </cell>
          <cell r="J793" t="str">
            <v>PremiumS</v>
          </cell>
          <cell r="K793" t="str">
            <v>attack</v>
          </cell>
          <cell r="L793" t="str">
            <v>攻撃タイプ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blue</v>
          </cell>
          <cell r="I794">
            <v>5</v>
          </cell>
          <cell r="J794" t="str">
            <v>PremiumS</v>
          </cell>
          <cell r="K794" t="str">
            <v>attack</v>
          </cell>
          <cell r="L794" t="str">
            <v>攻撃タイプ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制服ハッピー</v>
          </cell>
          <cell r="D795" t="str">
            <v>各属性相性良3・黄・R412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blue</v>
          </cell>
          <cell r="I795">
            <v>5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桜りんご</v>
          </cell>
          <cell r="D796" t="str">
            <v>各属性相性良3・黄・R413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5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</v>
          </cell>
          <cell r="K801" t="str">
            <v>attack</v>
          </cell>
          <cell r="L801" t="str">
            <v>攻撃タイプ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blue</v>
          </cell>
          <cell r="I838">
            <v>6</v>
          </cell>
          <cell r="J838" t="str">
            <v>PremiumSS</v>
          </cell>
          <cell r="K838" t="str">
            <v>attack</v>
          </cell>
          <cell r="L838" t="str">
            <v>攻撃タイプ</v>
          </cell>
          <cell r="M838" t="str">
            <v>human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F27" sqref="F27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24.832031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152" t="s">
        <v>210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194</v>
      </c>
      <c r="D2" s="25" t="s">
        <v>60</v>
      </c>
      <c r="E2" s="23" t="str">
        <f ca="1">B2&amp;C2&amp;D2</f>
        <v>gacha_select_tables_194.tmp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152" t="s">
        <v>210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194</v>
      </c>
      <c r="D3" s="25" t="s">
        <v>61</v>
      </c>
      <c r="E3" s="23" t="str">
        <f ca="1">B3&amp;C3&amp;D3</f>
        <v>gacha_settle_tables_194.tmp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152" t="s">
        <v>210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194</v>
      </c>
      <c r="D4" s="25" t="s">
        <v>61</v>
      </c>
      <c r="E4" s="23" t="str">
        <f ca="1">B4&amp;C4&amp;D4</f>
        <v>gacha_bonus_tables_194.tmp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152" t="s">
        <v>210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194</v>
      </c>
      <c r="D5" s="25" t="s">
        <v>61</v>
      </c>
      <c r="E5" s="23" t="str">
        <f ca="1">B5&amp;C5&amp;D5</f>
        <v>gifts_tmp_194.tmp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152" t="s">
        <v>210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194</v>
      </c>
      <c r="D6" s="25" t="s">
        <v>61</v>
      </c>
      <c r="E6" s="23" t="str">
        <f ca="1">B6&amp;C6&amp;D6</f>
        <v>gifts_i18n_194.tmp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K62"/>
  <sheetViews>
    <sheetView workbookViewId="0">
      <selection activeCell="F16" sqref="F16"/>
    </sheetView>
  </sheetViews>
  <sheetFormatPr baseColWidth="12" defaultRowHeight="14" x14ac:dyDescent="0"/>
  <cols>
    <col min="2" max="2" width="23.6640625" customWidth="1"/>
  </cols>
  <sheetData>
    <row r="1" spans="1:11" ht="16" customHeight="1">
      <c r="A1" s="121" t="s">
        <v>159</v>
      </c>
      <c r="B1" s="122" t="s">
        <v>160</v>
      </c>
      <c r="C1" s="123" t="s">
        <v>161</v>
      </c>
      <c r="D1" s="122" t="s">
        <v>162</v>
      </c>
      <c r="E1" s="122" t="s">
        <v>163</v>
      </c>
    </row>
    <row r="2" spans="1:11" ht="16" customHeight="1">
      <c r="A2" s="16"/>
      <c r="B2" s="124" t="str">
        <f>IFERROR(VLOOKUP(A2,[1]characters!$A:$C,3,FALSE),"")</f>
        <v/>
      </c>
      <c r="C2" s="124" t="str">
        <f>IFERROR(VLOOKUP(A2,[1]characters!$A:$I,9,FALSE),"")</f>
        <v/>
      </c>
      <c r="D2" s="124" t="str">
        <f>IFERROR(VLOOKUP(A2,[1]characters!$A:$J,10,FALSE),"")&amp;"new"</f>
        <v>new</v>
      </c>
      <c r="E2" s="150"/>
      <c r="G2" t="s">
        <v>164</v>
      </c>
      <c r="H2" s="126">
        <v>0.04</v>
      </c>
      <c r="J2" s="122" t="s">
        <v>175</v>
      </c>
      <c r="K2" s="122" t="s">
        <v>176</v>
      </c>
    </row>
    <row r="3" spans="1:11" ht="16" customHeight="1">
      <c r="A3" s="16"/>
      <c r="B3" s="124" t="str">
        <f>IFERROR(VLOOKUP(A3,[1]characters!$A:$C,3,FALSE),"")</f>
        <v/>
      </c>
      <c r="C3" s="124" t="str">
        <f>IFERROR(VLOOKUP(A3,[1]characters!$A:$I,9,FALSE),"")</f>
        <v/>
      </c>
      <c r="D3" s="124" t="str">
        <f>IFERROR(VLOOKUP(A3,[1]characters!$A:$J,10,FALSE),"")&amp;"new"</f>
        <v>new</v>
      </c>
      <c r="E3" s="150"/>
      <c r="G3" t="s">
        <v>165</v>
      </c>
      <c r="H3" s="126">
        <v>0.05</v>
      </c>
      <c r="J3" s="129" t="s">
        <v>168</v>
      </c>
      <c r="K3" s="130">
        <f>SUM('レアガチャ出現率(新ユニット追加）'!H67:H71)</f>
        <v>4.9868421052631576E-2</v>
      </c>
    </row>
    <row r="4" spans="1:11" ht="16" customHeight="1">
      <c r="A4" s="16"/>
      <c r="B4" s="124" t="str">
        <f>IFERROR(VLOOKUP(A4,[1]characters!$A:$C,3,FALSE),"")</f>
        <v/>
      </c>
      <c r="C4" s="124" t="str">
        <f>IFERROR(VLOOKUP(A4,[1]characters!$A:$I,9,FALSE),"")</f>
        <v/>
      </c>
      <c r="D4" s="124" t="str">
        <f>IFERROR(VLOOKUP(A4,[1]characters!$A:$J,10,FALSE),"")&amp;"new"</f>
        <v>new</v>
      </c>
      <c r="E4" s="150"/>
      <c r="G4" t="s">
        <v>199</v>
      </c>
      <c r="J4" s="129" t="s">
        <v>169</v>
      </c>
      <c r="K4" s="130">
        <f>SUM('レアガチャ出現率(新ユニット追加）'!H107:H111)</f>
        <v>5.0399999999999993E-2</v>
      </c>
    </row>
    <row r="5" spans="1:11" ht="16" customHeight="1">
      <c r="A5" s="16"/>
      <c r="B5" s="124" t="str">
        <f>IFERROR(VLOOKUP(A5,[1]characters!$A:$C,3,FALSE),"")</f>
        <v/>
      </c>
      <c r="C5" s="124" t="str">
        <f>IFERROR(VLOOKUP(A5,[1]characters!$A:$I,9,FALSE),"")</f>
        <v/>
      </c>
      <c r="D5" s="124" t="str">
        <f>IFERROR(VLOOKUP(A5,[1]characters!$A:$J,10,FALSE),"")&amp;"new"</f>
        <v>new</v>
      </c>
      <c r="E5" s="150"/>
      <c r="G5" t="s">
        <v>166</v>
      </c>
      <c r="H5" s="126">
        <v>6.25E-2</v>
      </c>
      <c r="K5" s="142" t="s">
        <v>200</v>
      </c>
    </row>
    <row r="6" spans="1:11" ht="16" customHeight="1">
      <c r="A6" s="16"/>
      <c r="B6" s="124" t="str">
        <f>IFERROR(VLOOKUP(A6,[1]characters!$A:$C,3,FALSE),"")</f>
        <v/>
      </c>
      <c r="C6" s="124" t="str">
        <f>IFERROR(VLOOKUP(A6,[1]characters!$A:$I,9,FALSE),"")</f>
        <v/>
      </c>
      <c r="D6" s="124" t="str">
        <f>IFERROR(VLOOKUP(A6,[1]characters!$A:$J,10,FALSE),"")&amp;"new"</f>
        <v>new</v>
      </c>
      <c r="E6" s="150"/>
      <c r="G6" t="s">
        <v>167</v>
      </c>
      <c r="H6" s="126">
        <v>0.06</v>
      </c>
      <c r="K6" t="s">
        <v>201</v>
      </c>
    </row>
    <row r="7" spans="1:11" ht="16" customHeight="1">
      <c r="A7" s="16"/>
      <c r="B7" s="124" t="str">
        <f>IFERROR(VLOOKUP(A7,[1]characters!$A:$C,3,FALSE),"")</f>
        <v/>
      </c>
      <c r="C7" s="124" t="str">
        <f>IFERROR(VLOOKUP(A7,[1]characters!$A:$I,9,FALSE),"")</f>
        <v/>
      </c>
      <c r="D7" s="124" t="str">
        <f>IFERROR(VLOOKUP(A7,[1]characters!$A:$J,10,FALSE),"")&amp;"new"</f>
        <v>new</v>
      </c>
      <c r="E7" s="150"/>
    </row>
    <row r="8" spans="1:11" ht="16" customHeight="1">
      <c r="A8" s="16"/>
      <c r="B8" s="124" t="str">
        <f>IFERROR(VLOOKUP(A8,[1]characters!$A:$C,3,FALSE),"")</f>
        <v/>
      </c>
      <c r="C8" s="124" t="str">
        <f>IFERROR(VLOOKUP(A8,[1]characters!$A:$I,9,FALSE),"")</f>
        <v/>
      </c>
      <c r="D8" s="124" t="str">
        <f>IFERROR(VLOOKUP(A8,[1]characters!$A:$J,10,FALSE),"")&amp;"new"</f>
        <v>new</v>
      </c>
      <c r="E8" s="150"/>
    </row>
    <row r="9" spans="1:11" ht="16" customHeight="1">
      <c r="A9" s="16"/>
      <c r="B9" s="124" t="str">
        <f>IFERROR(VLOOKUP(A9,[1]characters!$A:$C,3,FALSE),"")</f>
        <v/>
      </c>
      <c r="C9" s="124" t="str">
        <f>IFERROR(VLOOKUP(A9,[1]characters!$A:$I,9,FALSE),"")</f>
        <v/>
      </c>
      <c r="D9" s="124" t="str">
        <f>IFERROR(VLOOKUP(A9,[1]characters!$A:$J,10,FALSE),"")&amp;"new"</f>
        <v>new</v>
      </c>
      <c r="E9" s="150"/>
    </row>
    <row r="10" spans="1:11" ht="16" customHeight="1">
      <c r="A10" s="16"/>
      <c r="B10" s="124" t="str">
        <f>IFERROR(VLOOKUP(A10,[1]characters!$A:$C,3,FALSE),"")</f>
        <v/>
      </c>
      <c r="C10" s="124" t="str">
        <f>IFERROR(VLOOKUP(A10,[1]characters!$A:$I,9,FALSE),"")</f>
        <v/>
      </c>
      <c r="D10" s="124" t="str">
        <f>IFERROR(VLOOKUP(A10,[1]characters!$A:$J,10,FALSE),"")&amp;"new"</f>
        <v>new</v>
      </c>
      <c r="E10" s="150"/>
    </row>
    <row r="11" spans="1:11" ht="16" customHeight="1">
      <c r="A11" s="16"/>
      <c r="B11" s="124" t="str">
        <f>IFERROR(VLOOKUP(A11,[1]characters!$A:$C,3,FALSE),"")</f>
        <v/>
      </c>
      <c r="C11" s="124" t="str">
        <f>IFERROR(VLOOKUP(A11,[1]characters!$A:$I,9,FALSE),"")</f>
        <v/>
      </c>
      <c r="D11" s="124" t="str">
        <f>IFERROR(VLOOKUP(A11,[1]characters!$A:$J,10,FALSE),"")&amp;"new"</f>
        <v>new</v>
      </c>
      <c r="E11" s="150"/>
    </row>
    <row r="12" spans="1:11" ht="16" customHeight="1">
      <c r="A12" s="16"/>
      <c r="B12" s="124" t="str">
        <f>IFERROR(VLOOKUP(A12,[1]characters!$A:$C,3,FALSE),"")</f>
        <v/>
      </c>
      <c r="C12" s="124" t="str">
        <f>IFERROR(VLOOKUP(A12,[1]characters!$A:$I,9,FALSE),"")</f>
        <v/>
      </c>
      <c r="D12" s="124" t="str">
        <f>IFERROR(VLOOKUP(A12,[1]characters!$A:$J,10,FALSE),"")</f>
        <v/>
      </c>
      <c r="E12" s="125"/>
    </row>
    <row r="13" spans="1:11" ht="16" customHeight="1">
      <c r="A13" s="16"/>
      <c r="B13" s="124" t="str">
        <f>IFERROR(VLOOKUP(A13,[1]characters!$A:$C,3,FALSE),"")</f>
        <v/>
      </c>
      <c r="C13" s="124" t="str">
        <f>IFERROR(VLOOKUP(A13,[1]characters!$A:$I,9,FALSE),"")</f>
        <v/>
      </c>
      <c r="D13" s="124" t="str">
        <f>IFERROR(VLOOKUP(A13,[1]characters!$A:$J,10,FALSE),"")</f>
        <v/>
      </c>
      <c r="E13" s="125"/>
    </row>
    <row r="14" spans="1:11" ht="16" customHeight="1">
      <c r="A14" s="16"/>
      <c r="B14" s="124" t="str">
        <f>IFERROR(VLOOKUP(A14,[1]characters!$A:$C,3,FALSE),"")</f>
        <v/>
      </c>
      <c r="C14" s="124" t="str">
        <f>IFERROR(VLOOKUP(A14,[1]characters!$A:$I,9,FALSE),"")</f>
        <v/>
      </c>
      <c r="D14" s="124" t="str">
        <f>IFERROR(VLOOKUP(A14,[1]characters!$A:$J,10,FALSE),"")</f>
        <v/>
      </c>
      <c r="E14" s="125"/>
    </row>
    <row r="15" spans="1:11" ht="16" customHeight="1">
      <c r="A15" s="127"/>
      <c r="B15" s="127"/>
      <c r="C15" s="127"/>
    </row>
    <row r="16" spans="1:11" ht="16" customHeight="1">
      <c r="A16" t="s">
        <v>168</v>
      </c>
    </row>
    <row r="17" spans="1:10" ht="16" customHeight="1">
      <c r="A17" s="145" t="s">
        <v>170</v>
      </c>
      <c r="B17" s="122" t="s">
        <v>171</v>
      </c>
      <c r="C17" s="122" t="s">
        <v>186</v>
      </c>
      <c r="D17" s="122" t="s">
        <v>191</v>
      </c>
      <c r="E17" s="122" t="s">
        <v>172</v>
      </c>
    </row>
    <row r="18" spans="1:10" ht="16" customHeight="1">
      <c r="A18" s="147">
        <v>3</v>
      </c>
      <c r="B18" s="143" t="s">
        <v>177</v>
      </c>
      <c r="C18" s="129"/>
      <c r="D18" s="133" t="str">
        <f>"1"&amp;B18&amp;A18&amp;C18</f>
        <v>1PremiumW3</v>
      </c>
      <c r="E18" s="133">
        <f>'レアガチャ出現率(新ユニット追加）'!Q57</f>
        <v>4493</v>
      </c>
    </row>
    <row r="19" spans="1:10" ht="16" customHeight="1">
      <c r="A19" s="148">
        <v>3</v>
      </c>
      <c r="B19" s="143" t="s">
        <v>179</v>
      </c>
      <c r="C19" s="129"/>
      <c r="D19" s="133" t="str">
        <f t="shared" ref="D19:D32" si="0">"1"&amp;B19&amp;A19&amp;C19</f>
        <v>1PremiumN3</v>
      </c>
      <c r="E19" s="133">
        <f>'レアガチャ出現率(新ユニット追加）'!Q58</f>
        <v>6739</v>
      </c>
    </row>
    <row r="20" spans="1:10" ht="16" customHeight="1">
      <c r="A20" s="148">
        <v>3</v>
      </c>
      <c r="B20" s="143" t="s">
        <v>181</v>
      </c>
      <c r="C20" s="129"/>
      <c r="D20" s="133" t="str">
        <f t="shared" si="0"/>
        <v>1PremiumS3</v>
      </c>
      <c r="E20" s="133">
        <f>'レアガチャ出現率(新ユニット追加）'!Q59</f>
        <v>6739</v>
      </c>
    </row>
    <row r="21" spans="1:10" ht="16" customHeight="1">
      <c r="A21" s="148">
        <v>3</v>
      </c>
      <c r="B21" s="144" t="s">
        <v>190</v>
      </c>
      <c r="C21" s="129" t="s">
        <v>187</v>
      </c>
      <c r="D21" s="133" t="str">
        <f t="shared" si="0"/>
        <v>1PremiumS3new</v>
      </c>
      <c r="E21" s="133">
        <f>'レアガチャ出現率(新ユニット追加）'!Q60</f>
        <v>0</v>
      </c>
    </row>
    <row r="22" spans="1:10" ht="16" customHeight="1">
      <c r="A22" s="147">
        <v>4</v>
      </c>
      <c r="B22" s="143" t="s">
        <v>155</v>
      </c>
      <c r="C22" s="129"/>
      <c r="D22" s="133" t="str">
        <f t="shared" si="0"/>
        <v>1PremiumW4</v>
      </c>
      <c r="E22" s="133">
        <f>'レアガチャ出現率(新ユニット追加）'!Q61</f>
        <v>1419</v>
      </c>
    </row>
    <row r="23" spans="1:10" ht="16" customHeight="1">
      <c r="A23" s="148">
        <v>4</v>
      </c>
      <c r="B23" s="143" t="s">
        <v>183</v>
      </c>
      <c r="C23" s="129"/>
      <c r="D23" s="133" t="str">
        <f t="shared" si="0"/>
        <v>1PremiumN4</v>
      </c>
      <c r="E23" s="133">
        <f>'レアガチャ出現率(新ユニット追加）'!Q62</f>
        <v>1574</v>
      </c>
    </row>
    <row r="24" spans="1:10" ht="16" customHeight="1">
      <c r="A24" s="148">
        <v>4</v>
      </c>
      <c r="B24" s="143" t="s">
        <v>184</v>
      </c>
      <c r="C24" s="129"/>
      <c r="D24" s="133" t="str">
        <f t="shared" si="0"/>
        <v>1PremiumS4</v>
      </c>
      <c r="E24" s="133">
        <f>'レアガチャ出現率(新ユニット追加）'!Q63</f>
        <v>1574</v>
      </c>
    </row>
    <row r="25" spans="1:10" ht="16" customHeight="1">
      <c r="A25" s="148">
        <v>4</v>
      </c>
      <c r="B25" s="144" t="s">
        <v>190</v>
      </c>
      <c r="C25" s="129" t="s">
        <v>188</v>
      </c>
      <c r="D25" s="133" t="str">
        <f t="shared" si="0"/>
        <v>1PremiumS4new</v>
      </c>
      <c r="E25" s="133">
        <f>'レアガチャ出現率(新ユニット追加）'!Q64</f>
        <v>0</v>
      </c>
      <c r="H25" t="s">
        <v>221</v>
      </c>
      <c r="I25" t="s">
        <v>224</v>
      </c>
      <c r="J25" t="s">
        <v>225</v>
      </c>
    </row>
    <row r="26" spans="1:10" ht="16" customHeight="1">
      <c r="A26" s="148">
        <v>4</v>
      </c>
      <c r="B26" s="143" t="s">
        <v>185</v>
      </c>
      <c r="C26" s="129"/>
      <c r="D26" s="133" t="str">
        <f t="shared" si="0"/>
        <v>1PremiumSS4</v>
      </c>
      <c r="E26" s="133">
        <f>'レアガチャ出現率(新ユニット追加）'!Q65</f>
        <v>997</v>
      </c>
      <c r="H26" t="s">
        <v>222</v>
      </c>
      <c r="I26">
        <f>'レアガチャ出現率(新ユニット追加）'!G72</f>
        <v>234</v>
      </c>
      <c r="J26">
        <f>check_sheet!A16</f>
        <v>234</v>
      </c>
    </row>
    <row r="27" spans="1:10" ht="16" customHeight="1">
      <c r="A27" s="148">
        <v>4</v>
      </c>
      <c r="B27" s="144" t="s">
        <v>189</v>
      </c>
      <c r="C27" s="129" t="s">
        <v>187</v>
      </c>
      <c r="D27" s="133" t="str">
        <f t="shared" si="0"/>
        <v>1PremiumSS4new</v>
      </c>
      <c r="E27" s="133">
        <f>'レアガチャ出現率(新ユニット追加）'!Q66</f>
        <v>0</v>
      </c>
      <c r="H27" t="s">
        <v>223</v>
      </c>
      <c r="I27">
        <f>'レアガチャ出現率(新ユニット追加）'!G112</f>
        <v>164</v>
      </c>
      <c r="J27">
        <f>check_sheet!D16</f>
        <v>164</v>
      </c>
    </row>
    <row r="28" spans="1:10" ht="16" customHeight="1">
      <c r="A28" s="147">
        <v>5</v>
      </c>
      <c r="B28" s="143" t="s">
        <v>157</v>
      </c>
      <c r="C28" s="129"/>
      <c r="D28" s="133" t="str">
        <f t="shared" si="0"/>
        <v>1PremiumN5</v>
      </c>
      <c r="E28" s="133">
        <f>'レアガチャ出現率(新ユニット追加）'!Q67</f>
        <v>554</v>
      </c>
    </row>
    <row r="29" spans="1:10" ht="16" customHeight="1">
      <c r="A29" s="148">
        <v>5</v>
      </c>
      <c r="B29" s="143" t="s">
        <v>184</v>
      </c>
      <c r="C29" s="129"/>
      <c r="D29" s="133" t="str">
        <f t="shared" si="0"/>
        <v>1PremiumS5</v>
      </c>
      <c r="E29" s="133">
        <f>'レアガチャ出現率(新ユニット追加）'!Q68</f>
        <v>554</v>
      </c>
    </row>
    <row r="30" spans="1:10" ht="16" customHeight="1">
      <c r="A30" s="148">
        <v>5</v>
      </c>
      <c r="B30" s="144" t="s">
        <v>190</v>
      </c>
      <c r="C30" s="129" t="s">
        <v>187</v>
      </c>
      <c r="D30" s="133" t="str">
        <f t="shared" si="0"/>
        <v>1PremiumS5new</v>
      </c>
      <c r="E30" s="133">
        <f>'レアガチャ出現率(新ユニット追加）'!Q69</f>
        <v>0</v>
      </c>
    </row>
    <row r="31" spans="1:10" ht="16" customHeight="1">
      <c r="A31" s="148">
        <v>5</v>
      </c>
      <c r="B31" s="143" t="s">
        <v>185</v>
      </c>
      <c r="C31" s="129"/>
      <c r="D31" s="133" t="str">
        <f t="shared" si="0"/>
        <v>1PremiumSS5</v>
      </c>
      <c r="E31" s="133">
        <f>'レアガチャ出現率(新ユニット追加）'!Q70</f>
        <v>66</v>
      </c>
    </row>
    <row r="32" spans="1:10" ht="16" customHeight="1">
      <c r="A32" s="146">
        <v>5</v>
      </c>
      <c r="B32" s="144" t="s">
        <v>189</v>
      </c>
      <c r="C32" s="129" t="s">
        <v>187</v>
      </c>
      <c r="D32" s="133" t="str">
        <f t="shared" si="0"/>
        <v>1PremiumSS5new</v>
      </c>
      <c r="E32" s="133">
        <f>'レアガチャ出現率(新ユニット追加）'!Q71</f>
        <v>0</v>
      </c>
    </row>
    <row r="34" spans="1:5">
      <c r="A34" t="s">
        <v>169</v>
      </c>
    </row>
    <row r="35" spans="1:5">
      <c r="A35" s="122" t="s">
        <v>173</v>
      </c>
      <c r="B35" s="122" t="s">
        <v>174</v>
      </c>
      <c r="C35" s="122" t="s">
        <v>192</v>
      </c>
      <c r="D35" s="122" t="s">
        <v>193</v>
      </c>
      <c r="E35" s="122" t="s">
        <v>172</v>
      </c>
    </row>
    <row r="36" spans="1:5">
      <c r="A36" s="131">
        <v>4</v>
      </c>
      <c r="B36" s="136" t="s">
        <v>178</v>
      </c>
      <c r="C36" s="137"/>
      <c r="D36" s="138" t="str">
        <f>"0"&amp;B36&amp;A36&amp;C36</f>
        <v>0PremiumW4</v>
      </c>
      <c r="E36" s="139">
        <f>'レアガチャ出現率(新ユニット追加）'!Q101</f>
        <v>3280</v>
      </c>
    </row>
    <row r="37" spans="1:5">
      <c r="A37" s="131">
        <v>4</v>
      </c>
      <c r="B37" s="134" t="s">
        <v>180</v>
      </c>
      <c r="C37" s="129"/>
      <c r="D37" s="138" t="str">
        <f t="shared" ref="D37:D46" si="1">"0"&amp;B37&amp;A37&amp;C37</f>
        <v>0PremiumN4</v>
      </c>
      <c r="E37" s="140">
        <f>'レアガチャ出現率(新ユニット追加）'!Q102</f>
        <v>6166</v>
      </c>
    </row>
    <row r="38" spans="1:5">
      <c r="A38" s="131">
        <v>4</v>
      </c>
      <c r="B38" s="134" t="s">
        <v>182</v>
      </c>
      <c r="C38" s="129"/>
      <c r="D38" s="138" t="str">
        <f t="shared" si="1"/>
        <v>0PremiumS4</v>
      </c>
      <c r="E38" s="140">
        <f>'レアガチャ出現率(新ユニット追加）'!Q103</f>
        <v>6166</v>
      </c>
    </row>
    <row r="39" spans="1:5">
      <c r="A39" s="131">
        <v>4</v>
      </c>
      <c r="B39" s="135" t="s">
        <v>190</v>
      </c>
      <c r="C39" s="129" t="s">
        <v>194</v>
      </c>
      <c r="D39" s="138" t="str">
        <f t="shared" si="1"/>
        <v>0PremiumS4new</v>
      </c>
      <c r="E39" s="140">
        <f>'レアガチャ出現率(新ユニット追加）'!Q104</f>
        <v>0</v>
      </c>
    </row>
    <row r="40" spans="1:5">
      <c r="A40" s="131">
        <v>4</v>
      </c>
      <c r="B40" s="61" t="s">
        <v>71</v>
      </c>
      <c r="C40" s="129"/>
      <c r="D40" s="138" t="str">
        <f t="shared" si="1"/>
        <v>0PremiumSS4</v>
      </c>
      <c r="E40" s="140">
        <f>'レアガチャ出現率(新ユニット追加）'!Q105</f>
        <v>701</v>
      </c>
    </row>
    <row r="41" spans="1:5">
      <c r="A41" s="132">
        <v>4</v>
      </c>
      <c r="B41" s="135" t="s">
        <v>189</v>
      </c>
      <c r="C41" s="129" t="s">
        <v>195</v>
      </c>
      <c r="D41" s="138" t="str">
        <f t="shared" si="1"/>
        <v>0PremiumSS4new</v>
      </c>
      <c r="E41" s="140">
        <f>'レアガチャ出現率(新ユニット追加）'!Q106</f>
        <v>0</v>
      </c>
    </row>
    <row r="42" spans="1:5">
      <c r="A42" s="128">
        <v>5</v>
      </c>
      <c r="B42" s="134" t="s">
        <v>157</v>
      </c>
      <c r="C42" s="129"/>
      <c r="D42" s="138" t="str">
        <f t="shared" si="1"/>
        <v>0PremiumN5</v>
      </c>
      <c r="E42" s="140">
        <f>'レアガチャ出現率(新ユニット追加）'!Q107</f>
        <v>394</v>
      </c>
    </row>
    <row r="43" spans="1:5">
      <c r="A43" s="131">
        <v>5</v>
      </c>
      <c r="B43" s="134" t="s">
        <v>184</v>
      </c>
      <c r="C43" s="129"/>
      <c r="D43" s="138" t="str">
        <f t="shared" si="1"/>
        <v>0PremiumS5</v>
      </c>
      <c r="E43" s="140">
        <f>'レアガチャ出現率(新ユニット追加）'!Q108</f>
        <v>394</v>
      </c>
    </row>
    <row r="44" spans="1:5">
      <c r="A44" s="131">
        <v>5</v>
      </c>
      <c r="B44" s="135" t="s">
        <v>190</v>
      </c>
      <c r="C44" s="129" t="s">
        <v>195</v>
      </c>
      <c r="D44" s="138" t="str">
        <f t="shared" si="1"/>
        <v>0PremiumS5new</v>
      </c>
      <c r="E44" s="140">
        <f>'レアガチャ出現率(新ユニット追加）'!Q109</f>
        <v>0</v>
      </c>
    </row>
    <row r="45" spans="1:5">
      <c r="A45" s="131">
        <v>5</v>
      </c>
      <c r="B45" s="61" t="s">
        <v>71</v>
      </c>
      <c r="C45" s="129"/>
      <c r="D45" s="138" t="str">
        <f t="shared" si="1"/>
        <v>0PremiumSS5</v>
      </c>
      <c r="E45" s="140">
        <f>'レアガチャ出現率(新ユニット追加）'!Q110</f>
        <v>45</v>
      </c>
    </row>
    <row r="46" spans="1:5">
      <c r="A46" s="132">
        <v>5</v>
      </c>
      <c r="B46" s="135" t="s">
        <v>189</v>
      </c>
      <c r="C46" s="129" t="s">
        <v>195</v>
      </c>
      <c r="D46" s="138" t="str">
        <f t="shared" si="1"/>
        <v>0PremiumSS5new</v>
      </c>
      <c r="E46" s="140">
        <f>'レアガチャ出現率(新ユニット追加）'!Q111</f>
        <v>0</v>
      </c>
    </row>
    <row r="48" spans="1:5">
      <c r="A48" t="s">
        <v>202</v>
      </c>
    </row>
    <row r="49" spans="1:7">
      <c r="A49" s="122" t="s">
        <v>203</v>
      </c>
      <c r="B49" s="122" t="s">
        <v>204</v>
      </c>
      <c r="C49" s="122" t="s">
        <v>206</v>
      </c>
      <c r="D49" s="122" t="s">
        <v>205</v>
      </c>
      <c r="E49" s="122" t="s">
        <v>207</v>
      </c>
      <c r="F49" s="122" t="s">
        <v>208</v>
      </c>
      <c r="G49" s="149" t="s">
        <v>209</v>
      </c>
    </row>
    <row r="50" spans="1:7">
      <c r="A50" s="129" t="str">
        <f>IF(ISBLANK(A2),"",A2)</f>
        <v/>
      </c>
      <c r="B50" s="124" t="str">
        <f>IFERROR(VLOOKUP(A50,[1]characters!$A:$C,3,FALSE),"")</f>
        <v/>
      </c>
      <c r="C50" s="124" t="str">
        <f>IFERROR(VLOOKUP(A50,[1]characters!$A:$I,9,FALSE),"")</f>
        <v/>
      </c>
      <c r="D50" s="124" t="str">
        <f>IFERROR(VLOOKUP(A50,[1]characters!$A:$J,10,FALSE),"")</f>
        <v/>
      </c>
      <c r="E50" s="129" t="str">
        <f>IFERROR(ROUND(VLOOKUP(CONCATENATE("0",D50,C50,"new"),D$36:E$46,2,FALSE)*COUNTIFS(C$50:C$62,C50,D$50:D$62,D50)*G50,0),"-")</f>
        <v>-</v>
      </c>
      <c r="F50" s="129" t="str">
        <f>IFERROR(ROUND(VLOOKUP(CONCATENATE("1",D50,C50,"new"),D$18:E$32,2,FALSE)*COUNTIFS(C$50:C$62,C50,D$50:D$62,D50)*G50,0),"-")</f>
        <v>-</v>
      </c>
      <c r="G50" t="str">
        <f>IFERROR(VLOOKUP(A50,A2:E14,5,FALSE)/SUMIFS(E$2:E$14,C$2:C$14,C50,D$2:D$14,CONCATENATE(D50,"new")),"-")</f>
        <v>-</v>
      </c>
    </row>
    <row r="51" spans="1:7">
      <c r="A51" s="129" t="str">
        <f t="shared" ref="A51:A62" si="2">IF(ISBLANK(A3),"",A3)</f>
        <v/>
      </c>
      <c r="B51" s="124" t="str">
        <f>IFERROR(VLOOKUP(A51,[1]characters!$A:$C,3,FALSE),"")</f>
        <v/>
      </c>
      <c r="C51" s="124" t="str">
        <f>IFERROR(VLOOKUP(A51,[1]characters!$A:$I,9,FALSE),"")</f>
        <v/>
      </c>
      <c r="D51" s="124" t="str">
        <f>IFERROR(VLOOKUP(A51,[1]characters!$A:$J,10,FALSE),"")</f>
        <v/>
      </c>
      <c r="E51" s="129" t="str">
        <f t="shared" ref="E51:E62" si="3">IFERROR(ROUND(VLOOKUP(CONCATENATE("0",D51,C51,"new"),D$36:E$46,2,FALSE)*COUNTIFS(C$50:C$62,C51,D$50:D$62,D51)*G51,0),"-")</f>
        <v>-</v>
      </c>
      <c r="F51" s="129" t="str">
        <f t="shared" ref="F51:F62" si="4">IFERROR(ROUND(VLOOKUP(CONCATENATE("1",D51,C51,"new"),D$18:E$32,2,FALSE)*COUNTIFS(C$50:C$62,C51,D$50:D$62,D51)*G51,0),"-")</f>
        <v>-</v>
      </c>
      <c r="G51" t="str">
        <f t="shared" ref="G51:G62" si="5">IFERROR(VLOOKUP(A51,A3:E15,5,FALSE)/SUMIFS(E$2:E$14,C$2:C$14,C51,D$2:D$14,CONCATENATE(D51,"new")),"-")</f>
        <v>-</v>
      </c>
    </row>
    <row r="52" spans="1:7">
      <c r="A52" s="129" t="str">
        <f t="shared" si="2"/>
        <v/>
      </c>
      <c r="B52" s="124" t="str">
        <f>IFERROR(VLOOKUP(A52,[1]characters!$A:$C,3,FALSE),"")</f>
        <v/>
      </c>
      <c r="C52" s="124" t="str">
        <f>IFERROR(VLOOKUP(A52,[1]characters!$A:$I,9,FALSE),"")</f>
        <v/>
      </c>
      <c r="D52" s="124" t="str">
        <f>IFERROR(VLOOKUP(A52,[1]characters!$A:$J,10,FALSE),"")</f>
        <v/>
      </c>
      <c r="E52" s="129" t="str">
        <f t="shared" si="3"/>
        <v>-</v>
      </c>
      <c r="F52" s="129" t="str">
        <f t="shared" si="4"/>
        <v>-</v>
      </c>
      <c r="G52" t="str">
        <f t="shared" si="5"/>
        <v>-</v>
      </c>
    </row>
    <row r="53" spans="1:7">
      <c r="A53" s="129" t="str">
        <f t="shared" si="2"/>
        <v/>
      </c>
      <c r="B53" s="124" t="str">
        <f>IFERROR(VLOOKUP(A53,[1]characters!$A:$C,3,FALSE),"")</f>
        <v/>
      </c>
      <c r="C53" s="124" t="str">
        <f>IFERROR(VLOOKUP(A53,[1]characters!$A:$I,9,FALSE),"")</f>
        <v/>
      </c>
      <c r="D53" s="124" t="str">
        <f>IFERROR(VLOOKUP(A53,[1]characters!$A:$J,10,FALSE),"")</f>
        <v/>
      </c>
      <c r="E53" s="129" t="str">
        <f t="shared" si="3"/>
        <v>-</v>
      </c>
      <c r="F53" s="129" t="str">
        <f t="shared" si="4"/>
        <v>-</v>
      </c>
      <c r="G53" t="str">
        <f t="shared" si="5"/>
        <v>-</v>
      </c>
    </row>
    <row r="54" spans="1:7">
      <c r="A54" s="129" t="str">
        <f t="shared" si="2"/>
        <v/>
      </c>
      <c r="B54" s="124" t="str">
        <f>IFERROR(VLOOKUP(A54,[1]characters!$A:$C,3,FALSE),"")</f>
        <v/>
      </c>
      <c r="C54" s="124" t="str">
        <f>IFERROR(VLOOKUP(A54,[1]characters!$A:$I,9,FALSE),"")</f>
        <v/>
      </c>
      <c r="D54" s="124" t="str">
        <f>IFERROR(VLOOKUP(A54,[1]characters!$A:$J,10,FALSE),"")</f>
        <v/>
      </c>
      <c r="E54" s="129" t="str">
        <f t="shared" si="3"/>
        <v>-</v>
      </c>
      <c r="F54" s="129" t="str">
        <f t="shared" si="4"/>
        <v>-</v>
      </c>
      <c r="G54" t="str">
        <f t="shared" si="5"/>
        <v>-</v>
      </c>
    </row>
    <row r="55" spans="1:7">
      <c r="A55" s="129" t="str">
        <f t="shared" si="2"/>
        <v/>
      </c>
      <c r="B55" s="124" t="str">
        <f>IFERROR(VLOOKUP(A55,[1]characters!$A:$C,3,FALSE),"")</f>
        <v/>
      </c>
      <c r="C55" s="124" t="str">
        <f>IFERROR(VLOOKUP(A55,[1]characters!$A:$I,9,FALSE),"")</f>
        <v/>
      </c>
      <c r="D55" s="124" t="str">
        <f>IFERROR(VLOOKUP(A55,[1]characters!$A:$J,10,FALSE),"")</f>
        <v/>
      </c>
      <c r="E55" s="129" t="str">
        <f t="shared" si="3"/>
        <v>-</v>
      </c>
      <c r="F55" s="129" t="str">
        <f t="shared" si="4"/>
        <v>-</v>
      </c>
      <c r="G55" t="str">
        <f t="shared" si="5"/>
        <v>-</v>
      </c>
    </row>
    <row r="56" spans="1:7">
      <c r="A56" s="129" t="str">
        <f t="shared" si="2"/>
        <v/>
      </c>
      <c r="B56" s="124" t="str">
        <f>IFERROR(VLOOKUP(A56,[1]characters!$A:$C,3,FALSE),"")</f>
        <v/>
      </c>
      <c r="C56" s="124" t="str">
        <f>IFERROR(VLOOKUP(A56,[1]characters!$A:$I,9,FALSE),"")</f>
        <v/>
      </c>
      <c r="D56" s="124" t="str">
        <f>IFERROR(VLOOKUP(A56,[1]characters!$A:$J,10,FALSE),"")</f>
        <v/>
      </c>
      <c r="E56" s="129" t="str">
        <f t="shared" si="3"/>
        <v>-</v>
      </c>
      <c r="F56" s="129" t="str">
        <f t="shared" si="4"/>
        <v>-</v>
      </c>
      <c r="G56" t="str">
        <f t="shared" si="5"/>
        <v>-</v>
      </c>
    </row>
    <row r="57" spans="1:7">
      <c r="A57" s="129" t="str">
        <f t="shared" si="2"/>
        <v/>
      </c>
      <c r="B57" s="124" t="str">
        <f>IFERROR(VLOOKUP(A57,[1]characters!$A:$C,3,FALSE),"")</f>
        <v/>
      </c>
      <c r="C57" s="124" t="str">
        <f>IFERROR(VLOOKUP(A57,[1]characters!$A:$I,9,FALSE),"")</f>
        <v/>
      </c>
      <c r="D57" s="124" t="str">
        <f>IFERROR(VLOOKUP(A57,[1]characters!$A:$J,10,FALSE),"")</f>
        <v/>
      </c>
      <c r="E57" s="129" t="str">
        <f t="shared" si="3"/>
        <v>-</v>
      </c>
      <c r="F57" s="129" t="str">
        <f t="shared" si="4"/>
        <v>-</v>
      </c>
      <c r="G57" t="str">
        <f t="shared" si="5"/>
        <v>-</v>
      </c>
    </row>
    <row r="58" spans="1:7">
      <c r="A58" s="129" t="str">
        <f t="shared" si="2"/>
        <v/>
      </c>
      <c r="B58" s="124" t="str">
        <f>IFERROR(VLOOKUP(A58,[1]characters!$A:$C,3,FALSE),"")</f>
        <v/>
      </c>
      <c r="C58" s="124" t="str">
        <f>IFERROR(VLOOKUP(A58,[1]characters!$A:$I,9,FALSE),"")</f>
        <v/>
      </c>
      <c r="D58" s="124" t="str">
        <f>IFERROR(VLOOKUP(A58,[1]characters!$A:$J,10,FALSE),"")</f>
        <v/>
      </c>
      <c r="E58" s="129" t="str">
        <f t="shared" si="3"/>
        <v>-</v>
      </c>
      <c r="F58" s="129" t="str">
        <f t="shared" si="4"/>
        <v>-</v>
      </c>
      <c r="G58" t="str">
        <f t="shared" si="5"/>
        <v>-</v>
      </c>
    </row>
    <row r="59" spans="1:7">
      <c r="A59" s="129" t="str">
        <f t="shared" si="2"/>
        <v/>
      </c>
      <c r="B59" s="124" t="str">
        <f>IFERROR(VLOOKUP(A59,[1]characters!$A:$C,3,FALSE),"")</f>
        <v/>
      </c>
      <c r="C59" s="124" t="str">
        <f>IFERROR(VLOOKUP(A59,[1]characters!$A:$I,9,FALSE),"")</f>
        <v/>
      </c>
      <c r="D59" s="124" t="str">
        <f>IFERROR(VLOOKUP(A59,[1]characters!$A:$J,10,FALSE),"")</f>
        <v/>
      </c>
      <c r="E59" s="129" t="str">
        <f t="shared" si="3"/>
        <v>-</v>
      </c>
      <c r="F59" s="129" t="str">
        <f t="shared" si="4"/>
        <v>-</v>
      </c>
      <c r="G59" t="str">
        <f t="shared" si="5"/>
        <v>-</v>
      </c>
    </row>
    <row r="60" spans="1:7">
      <c r="A60" s="129" t="str">
        <f t="shared" si="2"/>
        <v/>
      </c>
      <c r="B60" s="124" t="str">
        <f>IFERROR(VLOOKUP(A60,[1]characters!$A:$C,3,FALSE),"")</f>
        <v/>
      </c>
      <c r="C60" s="124" t="str">
        <f>IFERROR(VLOOKUP(A60,[1]characters!$A:$I,9,FALSE),"")</f>
        <v/>
      </c>
      <c r="D60" s="124" t="str">
        <f>IFERROR(VLOOKUP(A60,[1]characters!$A:$J,10,FALSE),"")</f>
        <v/>
      </c>
      <c r="E60" s="129" t="str">
        <f t="shared" si="3"/>
        <v>-</v>
      </c>
      <c r="F60" s="129" t="str">
        <f t="shared" si="4"/>
        <v>-</v>
      </c>
      <c r="G60" t="str">
        <f t="shared" si="5"/>
        <v>-</v>
      </c>
    </row>
    <row r="61" spans="1:7">
      <c r="A61" s="129" t="str">
        <f t="shared" si="2"/>
        <v/>
      </c>
      <c r="B61" s="124" t="str">
        <f>IFERROR(VLOOKUP(A61,[1]characters!$A:$C,3,FALSE),"")</f>
        <v/>
      </c>
      <c r="C61" s="124" t="str">
        <f>IFERROR(VLOOKUP(A61,[1]characters!$A:$I,9,FALSE),"")</f>
        <v/>
      </c>
      <c r="D61" s="124" t="str">
        <f>IFERROR(VLOOKUP(A61,[1]characters!$A:$J,10,FALSE),"")</f>
        <v/>
      </c>
      <c r="E61" s="129" t="str">
        <f t="shared" si="3"/>
        <v>-</v>
      </c>
      <c r="F61" s="129" t="str">
        <f t="shared" si="4"/>
        <v>-</v>
      </c>
      <c r="G61" t="str">
        <f t="shared" si="5"/>
        <v>-</v>
      </c>
    </row>
    <row r="62" spans="1:7">
      <c r="A62" s="129" t="str">
        <f t="shared" si="2"/>
        <v/>
      </c>
      <c r="B62" s="124" t="str">
        <f>IFERROR(VLOOKUP(A62,[1]characters!$A:$C,3,FALSE),"")</f>
        <v/>
      </c>
      <c r="C62" s="124" t="str">
        <f>IFERROR(VLOOKUP(A62,[1]characters!$A:$I,9,FALSE),"")</f>
        <v/>
      </c>
      <c r="D62" s="124" t="str">
        <f>IFERROR(VLOOKUP(A62,[1]characters!$A:$J,10,FALSE),"")</f>
        <v/>
      </c>
      <c r="E62" s="129" t="str">
        <f t="shared" si="3"/>
        <v>-</v>
      </c>
      <c r="F62" s="129" t="str">
        <f t="shared" si="4"/>
        <v>-</v>
      </c>
      <c r="G62" t="str">
        <f t="shared" si="5"/>
        <v>-</v>
      </c>
    </row>
  </sheetData>
  <phoneticPr fontId="13"/>
  <pageMargins left="0.7" right="0.7" top="0.75" bottom="0.75" header="0.3" footer="0.3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847"/>
  <sheetViews>
    <sheetView showGridLines="0" topLeftCell="B80" workbookViewId="0">
      <pane xSplit="8" topLeftCell="J1" activePane="topRight" state="frozen"/>
      <selection activeCell="B57" sqref="B57"/>
      <selection pane="topRight" activeCell="R104" sqref="R104"/>
    </sheetView>
  </sheetViews>
  <sheetFormatPr baseColWidth="12" defaultColWidth="11.83203125" defaultRowHeight="21" customHeight="1" x14ac:dyDescent="0"/>
  <cols>
    <col min="1" max="1" width="2.1640625" style="50" customWidth="1"/>
    <col min="2" max="3" width="3" style="50" customWidth="1"/>
    <col min="4" max="4" width="12.5" style="50" customWidth="1"/>
    <col min="5" max="5" width="8.83203125" style="50" customWidth="1"/>
    <col min="6" max="6" width="9.6640625" style="50" customWidth="1"/>
    <col min="7" max="16" width="11.83203125" style="50"/>
    <col min="17" max="17" width="7.5" style="50" customWidth="1"/>
    <col min="18" max="16384" width="11.83203125" style="50"/>
  </cols>
  <sheetData>
    <row r="1" spans="1:16" ht="15.75" customHeight="1">
      <c r="A1" s="48" t="s">
        <v>84</v>
      </c>
      <c r="B1" s="49"/>
      <c r="H1" s="51"/>
      <c r="I1" s="51"/>
      <c r="P1" s="52"/>
    </row>
    <row r="2" spans="1:16" ht="15.75" customHeight="1">
      <c r="B2" s="49" t="s">
        <v>85</v>
      </c>
      <c r="H2" s="51"/>
      <c r="I2" s="51"/>
      <c r="P2" s="52"/>
    </row>
    <row r="3" spans="1:16" ht="15.75" customHeight="1">
      <c r="C3" s="53" t="s">
        <v>86</v>
      </c>
      <c r="H3" s="51"/>
      <c r="I3" s="51"/>
      <c r="P3" s="52"/>
    </row>
    <row r="4" spans="1:16" ht="15.75" customHeight="1">
      <c r="B4" s="49"/>
      <c r="D4" s="50" t="s">
        <v>87</v>
      </c>
      <c r="I4" s="51"/>
    </row>
    <row r="5" spans="1:16" ht="15.75" customHeight="1">
      <c r="B5" s="49"/>
      <c r="D5" s="54" t="s">
        <v>88</v>
      </c>
      <c r="E5" s="54" t="s">
        <v>89</v>
      </c>
      <c r="F5" s="54" t="s">
        <v>90</v>
      </c>
      <c r="G5" s="167" t="s">
        <v>43</v>
      </c>
      <c r="H5" s="167"/>
      <c r="I5" s="51"/>
    </row>
    <row r="6" spans="1:16" ht="15.75" customHeight="1">
      <c r="B6" s="49"/>
      <c r="D6" s="55">
        <v>1</v>
      </c>
      <c r="E6" s="56">
        <v>120</v>
      </c>
      <c r="F6" s="57">
        <f t="shared" ref="F6:F12" si="0">ROUND(E6/D6,1)</f>
        <v>120</v>
      </c>
      <c r="G6" s="57"/>
      <c r="H6" s="58"/>
      <c r="I6" s="51"/>
    </row>
    <row r="7" spans="1:16" ht="15.75" customHeight="1">
      <c r="B7" s="49"/>
      <c r="D7" s="55">
        <v>6</v>
      </c>
      <c r="E7" s="56">
        <v>480</v>
      </c>
      <c r="F7" s="57">
        <f t="shared" si="0"/>
        <v>80</v>
      </c>
      <c r="G7" s="57"/>
      <c r="H7" s="58"/>
      <c r="I7" s="51"/>
    </row>
    <row r="8" spans="1:16" ht="15.75" customHeight="1">
      <c r="B8" s="49"/>
      <c r="D8" s="55">
        <v>12</v>
      </c>
      <c r="E8" s="56">
        <v>840</v>
      </c>
      <c r="F8" s="57">
        <f t="shared" si="0"/>
        <v>70</v>
      </c>
      <c r="G8" s="57"/>
      <c r="H8" s="58"/>
      <c r="I8" s="51"/>
    </row>
    <row r="9" spans="1:16" ht="15.75" customHeight="1">
      <c r="B9" s="49"/>
      <c r="D9" s="55">
        <v>30</v>
      </c>
      <c r="E9" s="56">
        <v>2000</v>
      </c>
      <c r="F9" s="57">
        <f t="shared" si="0"/>
        <v>66.7</v>
      </c>
      <c r="G9" s="57"/>
      <c r="H9" s="58"/>
      <c r="I9" s="51"/>
    </row>
    <row r="10" spans="1:16" ht="15.75" customHeight="1">
      <c r="B10" s="49"/>
      <c r="D10" s="55">
        <v>60</v>
      </c>
      <c r="E10" s="56">
        <v>3800</v>
      </c>
      <c r="F10" s="57">
        <f t="shared" si="0"/>
        <v>63.3</v>
      </c>
      <c r="G10" s="57"/>
      <c r="H10" s="58"/>
      <c r="I10" s="51"/>
    </row>
    <row r="11" spans="1:16" ht="15.75" customHeight="1">
      <c r="B11" s="49"/>
      <c r="D11" s="55">
        <v>85</v>
      </c>
      <c r="E11" s="56">
        <v>5000</v>
      </c>
      <c r="F11" s="57">
        <f t="shared" si="0"/>
        <v>58.8</v>
      </c>
      <c r="G11" s="57"/>
      <c r="H11" s="58"/>
      <c r="I11" s="51"/>
    </row>
    <row r="12" spans="1:16" ht="15.75" customHeight="1">
      <c r="B12" s="49"/>
      <c r="D12" s="59">
        <v>6</v>
      </c>
      <c r="E12" s="60">
        <v>120</v>
      </c>
      <c r="F12" s="61">
        <f t="shared" si="0"/>
        <v>20</v>
      </c>
      <c r="G12" s="57" t="s">
        <v>91</v>
      </c>
      <c r="H12" s="58"/>
      <c r="I12" s="51"/>
    </row>
    <row r="13" spans="1:16" ht="15.75" customHeight="1">
      <c r="B13" s="49"/>
      <c r="D13" s="62"/>
      <c r="E13" s="63"/>
      <c r="F13" s="63"/>
      <c r="I13" s="51"/>
    </row>
    <row r="14" spans="1:16" ht="15.75" customHeight="1">
      <c r="B14" s="64"/>
      <c r="C14" s="49" t="s">
        <v>92</v>
      </c>
      <c r="I14" s="51"/>
    </row>
    <row r="15" spans="1:16" ht="15.75" customHeight="1">
      <c r="B15" s="49"/>
      <c r="D15" s="65" t="s">
        <v>93</v>
      </c>
      <c r="E15" s="60">
        <f>F6*5</f>
        <v>600</v>
      </c>
      <c r="F15" s="50" t="s">
        <v>94</v>
      </c>
      <c r="I15" s="51"/>
    </row>
    <row r="16" spans="1:16" ht="15.75" customHeight="1">
      <c r="B16" s="49"/>
      <c r="D16" s="65" t="s">
        <v>95</v>
      </c>
      <c r="E16" s="60">
        <f>F11*5</f>
        <v>294</v>
      </c>
      <c r="F16" s="50" t="s">
        <v>96</v>
      </c>
      <c r="I16" s="51"/>
    </row>
    <row r="17" spans="2:16" ht="15.75" customHeight="1">
      <c r="B17" s="49"/>
      <c r="D17" s="65" t="s">
        <v>97</v>
      </c>
      <c r="E17" s="56">
        <v>300</v>
      </c>
      <c r="F17" s="50" t="s">
        <v>98</v>
      </c>
      <c r="I17" s="51"/>
    </row>
    <row r="18" spans="2:16" ht="15.75" customHeight="1">
      <c r="B18" s="49"/>
      <c r="C18" s="65"/>
      <c r="H18" s="51"/>
      <c r="I18" s="51"/>
      <c r="P18" s="52"/>
    </row>
    <row r="19" spans="2:16" ht="15.75" customHeight="1">
      <c r="B19" s="49" t="s">
        <v>99</v>
      </c>
      <c r="C19" s="65"/>
      <c r="H19" s="51"/>
      <c r="I19" s="51"/>
      <c r="P19" s="52"/>
    </row>
    <row r="20" spans="2:16" ht="15.75" customHeight="1">
      <c r="B20" s="49"/>
      <c r="C20" s="66" t="s">
        <v>100</v>
      </c>
      <c r="H20" s="51"/>
      <c r="I20" s="51"/>
      <c r="P20" s="52"/>
    </row>
    <row r="21" spans="2:16" ht="15.75" customHeight="1">
      <c r="B21" s="49"/>
      <c r="C21" s="66"/>
      <c r="D21" s="50" t="s">
        <v>101</v>
      </c>
      <c r="H21" s="51"/>
      <c r="I21" s="51"/>
      <c r="P21" s="52"/>
    </row>
    <row r="22" spans="2:16" ht="15.75" customHeight="1">
      <c r="B22" s="49"/>
      <c r="C22" s="66"/>
      <c r="D22" s="50" t="s">
        <v>102</v>
      </c>
      <c r="E22" s="56">
        <v>5000</v>
      </c>
      <c r="F22" s="50" t="s">
        <v>103</v>
      </c>
      <c r="H22" s="51"/>
      <c r="I22" s="51"/>
      <c r="P22" s="52"/>
    </row>
    <row r="23" spans="2:16" ht="15.75" customHeight="1">
      <c r="B23" s="49"/>
      <c r="C23" s="66"/>
      <c r="H23" s="51"/>
      <c r="I23" s="51"/>
      <c r="P23" s="52"/>
    </row>
    <row r="24" spans="2:16" ht="15.75" customHeight="1">
      <c r="B24" s="49"/>
      <c r="C24" s="66"/>
      <c r="D24" s="50" t="s">
        <v>104</v>
      </c>
      <c r="H24" s="51"/>
      <c r="I24" s="51"/>
      <c r="P24" s="52"/>
    </row>
    <row r="25" spans="2:16" ht="15.75" customHeight="1">
      <c r="B25" s="49"/>
      <c r="C25" s="66"/>
      <c r="D25" s="50" t="s">
        <v>105</v>
      </c>
      <c r="H25" s="51"/>
      <c r="I25" s="51"/>
      <c r="P25" s="52"/>
    </row>
    <row r="26" spans="2:16" ht="15.75" customHeight="1">
      <c r="B26" s="49"/>
      <c r="C26" s="66"/>
      <c r="D26" s="50" t="s">
        <v>106</v>
      </c>
      <c r="H26" s="51"/>
      <c r="I26" s="51"/>
      <c r="P26" s="52"/>
    </row>
    <row r="27" spans="2:16" ht="15.75" customHeight="1">
      <c r="B27" s="49"/>
      <c r="C27" s="66"/>
      <c r="D27" s="50" t="s">
        <v>107</v>
      </c>
      <c r="E27" s="56">
        <v>5000</v>
      </c>
      <c r="F27" s="50" t="s">
        <v>103</v>
      </c>
      <c r="H27" s="51"/>
      <c r="I27" s="51"/>
      <c r="P27" s="52"/>
    </row>
    <row r="28" spans="2:16" ht="15.75" customHeight="1">
      <c r="B28" s="49"/>
      <c r="C28" s="66"/>
      <c r="E28" s="67"/>
      <c r="H28" s="51"/>
      <c r="I28" s="51"/>
      <c r="P28" s="52"/>
    </row>
    <row r="29" spans="2:16" ht="15.75" customHeight="1">
      <c r="B29" s="49"/>
      <c r="C29" s="66"/>
      <c r="D29" s="50" t="s">
        <v>108</v>
      </c>
      <c r="E29" s="68">
        <v>15000</v>
      </c>
      <c r="F29" s="50" t="s">
        <v>103</v>
      </c>
      <c r="H29" s="51"/>
      <c r="I29" s="51"/>
      <c r="P29" s="52"/>
    </row>
    <row r="30" spans="2:16" ht="15.75" customHeight="1">
      <c r="B30" s="49"/>
      <c r="C30" s="65"/>
      <c r="H30" s="51"/>
      <c r="I30" s="51"/>
      <c r="P30" s="52"/>
    </row>
    <row r="31" spans="2:16" ht="15.75" customHeight="1">
      <c r="B31" s="49"/>
      <c r="C31" s="66" t="s">
        <v>109</v>
      </c>
      <c r="H31" s="51"/>
      <c r="I31" s="51"/>
      <c r="P31" s="52"/>
    </row>
    <row r="32" spans="2:16" ht="15.75" customHeight="1">
      <c r="B32" s="49"/>
      <c r="C32" s="65"/>
      <c r="D32" s="50" t="s">
        <v>110</v>
      </c>
      <c r="H32" s="51"/>
      <c r="I32" s="51"/>
      <c r="P32" s="52"/>
    </row>
    <row r="33" spans="2:16" ht="15.75" customHeight="1">
      <c r="B33" s="49"/>
      <c r="C33" s="65"/>
      <c r="D33" s="50" t="s">
        <v>111</v>
      </c>
      <c r="H33" s="51"/>
      <c r="I33" s="51"/>
      <c r="P33" s="52"/>
    </row>
    <row r="34" spans="2:16" ht="15.75" customHeight="1">
      <c r="B34" s="49"/>
      <c r="C34" s="65"/>
      <c r="D34" s="69"/>
      <c r="E34" s="70" t="s">
        <v>112</v>
      </c>
      <c r="F34" s="70" t="s">
        <v>113</v>
      </c>
      <c r="G34" s="70" t="s">
        <v>114</v>
      </c>
      <c r="H34" s="70" t="s">
        <v>115</v>
      </c>
      <c r="I34" s="71" t="s">
        <v>89</v>
      </c>
      <c r="P34" s="52"/>
    </row>
    <row r="35" spans="2:16" ht="15.75" customHeight="1">
      <c r="B35" s="49"/>
      <c r="C35" s="65"/>
      <c r="D35" s="72">
        <v>3</v>
      </c>
      <c r="E35" s="73">
        <f>COUNTIFS(gacha_select_tables!E:E,1,gacha_select_tables!I:I,D35)</f>
        <v>70</v>
      </c>
      <c r="F35" s="74">
        <f>1-SUM(F36:F37)</f>
        <v>0.76</v>
      </c>
      <c r="G35" s="73">
        <f>E$38*F35</f>
        <v>177.84</v>
      </c>
      <c r="H35" s="73">
        <f>G35/E35</f>
        <v>2.5405714285714285</v>
      </c>
      <c r="I35" s="75">
        <f>100/((F35+F36+F37)*100)*E$17</f>
        <v>300</v>
      </c>
      <c r="P35" s="52"/>
    </row>
    <row r="36" spans="2:16" ht="15.75" customHeight="1">
      <c r="B36" s="49"/>
      <c r="C36" s="65"/>
      <c r="D36" s="72">
        <v>4</v>
      </c>
      <c r="E36" s="73">
        <f>COUNTIFS(gacha_select_tables!E:E,1,gacha_select_tables!I:I,D36)</f>
        <v>92</v>
      </c>
      <c r="F36" s="74">
        <f>(1-F37)*1/5</f>
        <v>0.19</v>
      </c>
      <c r="G36" s="73">
        <f>E$38*F36</f>
        <v>44.46</v>
      </c>
      <c r="H36" s="73">
        <f>G36/E36</f>
        <v>0.48326086956521741</v>
      </c>
      <c r="I36" s="75">
        <f>100/((F36+F37)*100)*E$17</f>
        <v>1250</v>
      </c>
      <c r="P36" s="52"/>
    </row>
    <row r="37" spans="2:16" ht="15.75" customHeight="1">
      <c r="B37" s="49"/>
      <c r="C37" s="65"/>
      <c r="D37" s="72">
        <v>5</v>
      </c>
      <c r="E37" s="73">
        <f>COUNTIFS(gacha_select_tables!E:E,1,gacha_select_tables!I:I,D37)</f>
        <v>72</v>
      </c>
      <c r="F37" s="74">
        <f>gacha_conf!H3</f>
        <v>0.05</v>
      </c>
      <c r="G37" s="73">
        <f>E$38*F37</f>
        <v>11.700000000000001</v>
      </c>
      <c r="H37" s="73">
        <f>G37/E37</f>
        <v>0.16250000000000001</v>
      </c>
      <c r="I37" s="75">
        <f>100/(F37*100)*E$17</f>
        <v>6000</v>
      </c>
      <c r="P37" s="52"/>
    </row>
    <row r="38" spans="2:16" ht="15.75" customHeight="1">
      <c r="B38" s="49"/>
      <c r="C38" s="65"/>
      <c r="D38" s="72" t="s">
        <v>116</v>
      </c>
      <c r="E38" s="73">
        <f>SUM(E35:E37)</f>
        <v>234</v>
      </c>
      <c r="F38" s="76">
        <f>SUM(F35:F37)</f>
        <v>1</v>
      </c>
      <c r="G38" s="73">
        <f>E$38*F38</f>
        <v>234</v>
      </c>
      <c r="H38" s="73">
        <f>G38/E38</f>
        <v>1</v>
      </c>
      <c r="I38" s="77"/>
      <c r="P38" s="52"/>
    </row>
    <row r="39" spans="2:16" ht="15.75" customHeight="1">
      <c r="B39" s="49"/>
      <c r="C39" s="65"/>
      <c r="H39" s="51"/>
      <c r="I39" s="51"/>
      <c r="P39" s="52"/>
    </row>
    <row r="40" spans="2:16" ht="15.75" customHeight="1">
      <c r="B40" s="49"/>
      <c r="C40" s="66" t="s">
        <v>117</v>
      </c>
      <c r="H40" s="51"/>
      <c r="I40" s="51"/>
      <c r="P40" s="52"/>
    </row>
    <row r="41" spans="2:16" ht="15.75" customHeight="1">
      <c r="B41" s="49"/>
      <c r="C41" s="66"/>
      <c r="D41" s="50" t="s">
        <v>118</v>
      </c>
      <c r="H41" s="51"/>
      <c r="I41" s="51"/>
      <c r="P41" s="52"/>
    </row>
    <row r="42" spans="2:16" ht="15.75" customHeight="1">
      <c r="B42" s="49"/>
      <c r="C42" s="66"/>
      <c r="D42" s="50" t="s">
        <v>111</v>
      </c>
      <c r="H42" s="51"/>
      <c r="I42" s="51"/>
      <c r="P42" s="52"/>
    </row>
    <row r="43" spans="2:16" ht="15.75" customHeight="1">
      <c r="B43" s="49"/>
      <c r="C43" s="66"/>
      <c r="D43" s="69"/>
      <c r="E43" s="70" t="s">
        <v>112</v>
      </c>
      <c r="F43" s="70" t="s">
        <v>113</v>
      </c>
      <c r="G43" s="70" t="s">
        <v>114</v>
      </c>
      <c r="H43" s="70" t="s">
        <v>115</v>
      </c>
      <c r="I43" s="71" t="s">
        <v>89</v>
      </c>
      <c r="P43" s="52"/>
    </row>
    <row r="44" spans="2:16" ht="15.75" customHeight="1">
      <c r="B44" s="49"/>
      <c r="C44" s="66"/>
      <c r="D44" s="72" t="s">
        <v>119</v>
      </c>
      <c r="E44" s="73">
        <f>COUNTIFS(gacha_select_tables!E:E,1,gacha_select_tables!H:H,D44)</f>
        <v>40</v>
      </c>
      <c r="F44" s="74">
        <f>(1-SUM(F$47:F$49))*E44/SUM(E$44:E$46)</f>
        <v>0.20210526315789473</v>
      </c>
      <c r="G44" s="73">
        <f t="shared" ref="G44:G50" si="1">E$50*F44</f>
        <v>47.292631578947365</v>
      </c>
      <c r="H44" s="73">
        <f t="shared" ref="H44:H50" si="2">G44/E44</f>
        <v>1.1823157894736842</v>
      </c>
      <c r="I44" s="75">
        <f t="shared" ref="I44:I49" si="3">100/(F44*100)*E$17</f>
        <v>1484.375</v>
      </c>
      <c r="P44" s="52"/>
    </row>
    <row r="45" spans="2:16" ht="15.75" customHeight="1">
      <c r="B45" s="49"/>
      <c r="C45" s="66"/>
      <c r="D45" s="72" t="s">
        <v>120</v>
      </c>
      <c r="E45" s="73">
        <f>COUNTIFS(gacha_select_tables!E:E,1,gacha_select_tables!H:H,D45)</f>
        <v>60</v>
      </c>
      <c r="F45" s="74">
        <f>(1-SUM(F$47:F$49))*E45/SUM(E$44:E$46)</f>
        <v>0.30315789473684207</v>
      </c>
      <c r="G45" s="73">
        <f t="shared" si="1"/>
        <v>70.93894736842104</v>
      </c>
      <c r="H45" s="73">
        <f t="shared" si="2"/>
        <v>1.182315789473684</v>
      </c>
      <c r="I45" s="75">
        <f t="shared" si="3"/>
        <v>989.58333333333348</v>
      </c>
      <c r="P45" s="52"/>
    </row>
    <row r="46" spans="2:16" ht="15.75" customHeight="1">
      <c r="B46" s="49"/>
      <c r="C46" s="66"/>
      <c r="D46" s="72" t="s">
        <v>82</v>
      </c>
      <c r="E46" s="73">
        <f>COUNTIFS(gacha_select_tables!E:E,1,gacha_select_tables!H:H,D46)-E47</f>
        <v>90</v>
      </c>
      <c r="F46" s="74">
        <f>(1-SUM(F$47:F$49))*E46/SUM(E$44:E$46)</f>
        <v>0.45473684210526311</v>
      </c>
      <c r="G46" s="73">
        <f t="shared" si="1"/>
        <v>106.40842105263157</v>
      </c>
      <c r="H46" s="73">
        <f t="shared" si="2"/>
        <v>1.182315789473684</v>
      </c>
      <c r="I46" s="75">
        <f t="shared" si="3"/>
        <v>659.72222222222229</v>
      </c>
      <c r="P46" s="52"/>
    </row>
    <row r="47" spans="2:16" ht="15.75" customHeight="1">
      <c r="B47" s="49"/>
      <c r="C47" s="66"/>
      <c r="D47" s="78" t="s">
        <v>121</v>
      </c>
      <c r="E47" s="73">
        <f>COUNTIF(gacha_conf!D$2:D$14,D47)</f>
        <v>0</v>
      </c>
      <c r="F47" s="74">
        <f>SUMIF(gacha_conf!D$2:D$14,D47,gacha_conf!E$2:E$14)</f>
        <v>0</v>
      </c>
      <c r="G47" s="73">
        <f t="shared" si="1"/>
        <v>0</v>
      </c>
      <c r="H47" s="73" t="e">
        <f t="shared" si="2"/>
        <v>#DIV/0!</v>
      </c>
      <c r="I47" s="75" t="e">
        <f t="shared" si="3"/>
        <v>#DIV/0!</v>
      </c>
      <c r="P47" s="52"/>
    </row>
    <row r="48" spans="2:16" ht="15.75" customHeight="1">
      <c r="B48" s="49"/>
      <c r="C48" s="66"/>
      <c r="D48" s="79" t="s">
        <v>122</v>
      </c>
      <c r="E48" s="73">
        <f>COUNTIFS(gacha_select_tables!E:E,1,gacha_select_tables!H:H,D48)-E49</f>
        <v>44</v>
      </c>
      <c r="F48" s="74">
        <f>gacha_conf!H2-F49</f>
        <v>0.04</v>
      </c>
      <c r="G48" s="73">
        <f t="shared" si="1"/>
        <v>9.36</v>
      </c>
      <c r="H48" s="73">
        <f t="shared" si="2"/>
        <v>0.21272727272727271</v>
      </c>
      <c r="I48" s="75">
        <f t="shared" si="3"/>
        <v>7500</v>
      </c>
      <c r="P48" s="52"/>
    </row>
    <row r="49" spans="2:19" ht="14">
      <c r="B49" s="49"/>
      <c r="C49" s="66"/>
      <c r="D49" s="78" t="s">
        <v>123</v>
      </c>
      <c r="E49" s="73">
        <f>COUNTIF(gacha_conf!D$2:D$14,D49)</f>
        <v>0</v>
      </c>
      <c r="F49" s="74">
        <f>SUMIF(gacha_conf!D$2:D$11,D49,gacha_conf!E$2:E$11)</f>
        <v>0</v>
      </c>
      <c r="G49" s="73">
        <f t="shared" si="1"/>
        <v>0</v>
      </c>
      <c r="H49" s="73" t="e">
        <f t="shared" si="2"/>
        <v>#DIV/0!</v>
      </c>
      <c r="I49" s="75" t="e">
        <f t="shared" si="3"/>
        <v>#DIV/0!</v>
      </c>
      <c r="P49" s="52"/>
    </row>
    <row r="50" spans="2:19" ht="14">
      <c r="B50" s="49"/>
      <c r="C50" s="66"/>
      <c r="D50" s="72" t="s">
        <v>116</v>
      </c>
      <c r="E50" s="73">
        <f>SUM(E44:E49)</f>
        <v>234</v>
      </c>
      <c r="F50" s="76">
        <f>SUM(F44:F49)</f>
        <v>1</v>
      </c>
      <c r="G50" s="73">
        <f t="shared" si="1"/>
        <v>234</v>
      </c>
      <c r="H50" s="73">
        <f t="shared" si="2"/>
        <v>1</v>
      </c>
      <c r="I50" s="77"/>
      <c r="P50" s="52"/>
    </row>
    <row r="51" spans="2:19" ht="15.75" customHeight="1">
      <c r="B51" s="49"/>
      <c r="C51" s="66"/>
      <c r="H51" s="51"/>
      <c r="I51" s="51"/>
      <c r="P51" s="52"/>
    </row>
    <row r="52" spans="2:19" ht="15.75" customHeight="1">
      <c r="B52" s="49"/>
      <c r="C52" s="66" t="s">
        <v>124</v>
      </c>
      <c r="H52" s="51"/>
      <c r="I52" s="51"/>
      <c r="P52" s="52"/>
    </row>
    <row r="53" spans="2:19" ht="15.75" customHeight="1">
      <c r="B53" s="49"/>
      <c r="C53" s="65"/>
      <c r="D53" s="50" t="s">
        <v>125</v>
      </c>
      <c r="H53" s="80">
        <f>SUM(H61:H66)</f>
        <v>0.22053157894736838</v>
      </c>
      <c r="I53" s="51"/>
      <c r="M53" s="81"/>
      <c r="P53" s="52"/>
    </row>
    <row r="54" spans="2:19" ht="15.75" customHeight="1">
      <c r="B54" s="49"/>
      <c r="C54" s="65"/>
      <c r="D54" s="50" t="s">
        <v>111</v>
      </c>
      <c r="H54" s="80">
        <f>SUM(H57:H60)</f>
        <v>0.72959999999999992</v>
      </c>
      <c r="I54" s="51"/>
      <c r="M54" s="82"/>
      <c r="P54" s="52"/>
    </row>
    <row r="55" spans="2:19" ht="15.75" customHeight="1">
      <c r="B55" s="49"/>
      <c r="C55" s="66"/>
      <c r="D55" s="156" t="s">
        <v>126</v>
      </c>
      <c r="E55" s="157"/>
      <c r="F55" s="158" t="s">
        <v>127</v>
      </c>
      <c r="G55" s="159"/>
      <c r="H55" s="168" t="s">
        <v>128</v>
      </c>
      <c r="I55" s="161"/>
      <c r="J55" s="162"/>
      <c r="K55" s="154" t="s">
        <v>129</v>
      </c>
      <c r="L55" s="155"/>
      <c r="M55" s="165" t="s">
        <v>130</v>
      </c>
      <c r="N55" s="165"/>
      <c r="O55" s="165"/>
      <c r="P55" s="165"/>
      <c r="Q55" s="166"/>
      <c r="R55" s="154" t="s">
        <v>131</v>
      </c>
      <c r="S55" s="155"/>
    </row>
    <row r="56" spans="2:19" ht="15.75" customHeight="1">
      <c r="B56" s="49"/>
      <c r="C56" s="66"/>
      <c r="D56" s="83" t="s">
        <v>132</v>
      </c>
      <c r="E56" s="83" t="s">
        <v>133</v>
      </c>
      <c r="F56" s="84" t="s">
        <v>134</v>
      </c>
      <c r="G56" s="85" t="s">
        <v>112</v>
      </c>
      <c r="H56" s="86" t="s">
        <v>113</v>
      </c>
      <c r="I56" s="85" t="s">
        <v>114</v>
      </c>
      <c r="J56" s="85" t="s">
        <v>115</v>
      </c>
      <c r="K56" s="87" t="s">
        <v>135</v>
      </c>
      <c r="L56" s="88" t="s">
        <v>136</v>
      </c>
      <c r="M56" s="89" t="s">
        <v>113</v>
      </c>
      <c r="N56" s="89" t="s">
        <v>137</v>
      </c>
      <c r="O56" s="89" t="s">
        <v>114</v>
      </c>
      <c r="P56" s="89" t="s">
        <v>115</v>
      </c>
      <c r="Q56" s="90" t="s">
        <v>196</v>
      </c>
      <c r="R56" s="87" t="s">
        <v>135</v>
      </c>
      <c r="S56" s="88" t="s">
        <v>136</v>
      </c>
    </row>
    <row r="57" spans="2:19" ht="15.75" customHeight="1">
      <c r="B57" s="49"/>
      <c r="C57" s="66"/>
      <c r="D57" s="91">
        <v>3</v>
      </c>
      <c r="E57" s="92">
        <f>F$35</f>
        <v>0.76</v>
      </c>
      <c r="F57" s="15" t="s">
        <v>139</v>
      </c>
      <c r="G57" s="60">
        <f>COUNTIFS(gacha_select_tables!H:H,F57,gacha_select_tables!I:I,D57,gacha_select_tables!E:E,1)</f>
        <v>20</v>
      </c>
      <c r="H57" s="93">
        <f>VLOOKUP(F57,D$44:F$49,3,FALSE)*E57</f>
        <v>0.15359999999999999</v>
      </c>
      <c r="I57" s="60">
        <f>G$72*H57</f>
        <v>35.942399999999999</v>
      </c>
      <c r="J57" s="60">
        <f>I57/G57</f>
        <v>1.7971200000000001</v>
      </c>
      <c r="K57" s="94">
        <f t="shared" ref="K57:K71" si="4">100/(H57*100)*E$17</f>
        <v>1953.125</v>
      </c>
      <c r="L57" s="94">
        <f t="shared" ref="L57:L71" si="5">100/(H57*100)*E$17 * G57</f>
        <v>39062.5</v>
      </c>
      <c r="M57" s="95">
        <f t="shared" ref="M57:M69" si="6">E57*H57</f>
        <v>0.11673599999999999</v>
      </c>
      <c r="N57" s="96">
        <f>M57/G57</f>
        <v>5.8367999999999996E-3</v>
      </c>
      <c r="O57" s="60">
        <f t="shared" ref="O57:O71" si="7">G$72*M57</f>
        <v>27.316223999999998</v>
      </c>
      <c r="P57" s="60">
        <f t="shared" ref="P57:P69" si="8">O57/G57</f>
        <v>1.3658112</v>
      </c>
      <c r="Q57" s="97">
        <f>ROUND(J57*2500,0)</f>
        <v>4493</v>
      </c>
      <c r="R57" s="94">
        <f t="shared" ref="R57:R71" si="9">100/(H57*E57*100)*E$17</f>
        <v>2569.9013157894742</v>
      </c>
      <c r="S57" s="94">
        <f t="shared" ref="S57:S71" si="10">100/(H57*E57*100)*E$17 * G57</f>
        <v>51398.026315789481</v>
      </c>
    </row>
    <row r="58" spans="2:19" ht="15.75" customHeight="1">
      <c r="B58" s="49"/>
      <c r="C58" s="66"/>
      <c r="D58" s="98">
        <v>3</v>
      </c>
      <c r="E58" s="92">
        <f>F$35</f>
        <v>0.76</v>
      </c>
      <c r="F58" s="15" t="s">
        <v>140</v>
      </c>
      <c r="G58" s="60">
        <f>COUNTIFS(gacha_select_tables!H:H,F58,gacha_select_tables!I:I,D58,gacha_select_tables!E:E,1)</f>
        <v>20</v>
      </c>
      <c r="H58" s="93">
        <f t="shared" ref="H58:H69" si="11">VLOOKUP(F58,D$44:F$49,3,FALSE)*E58</f>
        <v>0.23039999999999997</v>
      </c>
      <c r="I58" s="60">
        <f t="shared" ref="I58:I69" si="12">G$72*H58</f>
        <v>53.913599999999995</v>
      </c>
      <c r="J58" s="60">
        <f t="shared" ref="J58:J68" si="13">I58/G58</f>
        <v>2.6956799999999999</v>
      </c>
      <c r="K58" s="94">
        <f t="shared" si="4"/>
        <v>1302.0833333333335</v>
      </c>
      <c r="L58" s="94">
        <f t="shared" si="5"/>
        <v>26041.666666666672</v>
      </c>
      <c r="M58" s="95">
        <f t="shared" si="6"/>
        <v>0.17510399999999998</v>
      </c>
      <c r="N58" s="96">
        <f t="shared" ref="N58:N71" si="14">M58/G58</f>
        <v>8.7551999999999994E-3</v>
      </c>
      <c r="O58" s="60">
        <f t="shared" si="7"/>
        <v>40.974335999999994</v>
      </c>
      <c r="P58" s="60">
        <f t="shared" si="8"/>
        <v>2.0487167999999998</v>
      </c>
      <c r="Q58" s="97">
        <f t="shared" ref="Q58:Q70" si="15">ROUND(J58*2500,0)</f>
        <v>6739</v>
      </c>
      <c r="R58" s="94">
        <f t="shared" si="9"/>
        <v>1713.2675438596493</v>
      </c>
      <c r="S58" s="94">
        <f t="shared" si="10"/>
        <v>34265.350877192985</v>
      </c>
    </row>
    <row r="59" spans="2:19" ht="15.75" customHeight="1">
      <c r="B59" s="49"/>
      <c r="C59" s="66"/>
      <c r="D59" s="98">
        <v>3</v>
      </c>
      <c r="E59" s="92">
        <f>F$35</f>
        <v>0.76</v>
      </c>
      <c r="F59" s="15" t="s">
        <v>141</v>
      </c>
      <c r="G59" s="60">
        <f>COUNTIFS(gacha_select_tables!H:H,F59,gacha_select_tables!I:I,D59,gacha_select_tables!E:E,1)-G60</f>
        <v>30</v>
      </c>
      <c r="H59" s="93">
        <f t="shared" si="11"/>
        <v>0.34559999999999996</v>
      </c>
      <c r="I59" s="60">
        <f t="shared" si="12"/>
        <v>80.870399999999989</v>
      </c>
      <c r="J59" s="60">
        <f t="shared" si="13"/>
        <v>2.6956799999999999</v>
      </c>
      <c r="K59" s="94">
        <f t="shared" si="4"/>
        <v>868.05555555555566</v>
      </c>
      <c r="L59" s="94">
        <f t="shared" si="5"/>
        <v>26041.666666666672</v>
      </c>
      <c r="M59" s="95">
        <f t="shared" si="6"/>
        <v>0.262656</v>
      </c>
      <c r="N59" s="96">
        <f t="shared" si="14"/>
        <v>8.7551999999999994E-3</v>
      </c>
      <c r="O59" s="60">
        <f t="shared" si="7"/>
        <v>61.461503999999998</v>
      </c>
      <c r="P59" s="60">
        <f t="shared" si="8"/>
        <v>2.0487167999999998</v>
      </c>
      <c r="Q59" s="97">
        <f t="shared" si="15"/>
        <v>6739</v>
      </c>
      <c r="R59" s="94">
        <f t="shared" si="9"/>
        <v>1142.1783625730995</v>
      </c>
      <c r="S59" s="94">
        <f t="shared" si="10"/>
        <v>34265.350877192985</v>
      </c>
    </row>
    <row r="60" spans="2:19" ht="15.75" customHeight="1">
      <c r="B60" s="49"/>
      <c r="C60" s="66"/>
      <c r="D60" s="99">
        <v>3</v>
      </c>
      <c r="E60" s="92">
        <f>F$35</f>
        <v>0.76</v>
      </c>
      <c r="F60" s="9" t="s">
        <v>142</v>
      </c>
      <c r="G60" s="60">
        <f>COUNTIFS(gacha_conf!D$2:D$14,F60,gacha_conf!C$2:C$14,D60)</f>
        <v>0</v>
      </c>
      <c r="H60" s="93">
        <f>VLOOKUP(F60,D$44:F$49,3,FALSE)*E60</f>
        <v>0</v>
      </c>
      <c r="I60" s="60">
        <f t="shared" si="12"/>
        <v>0</v>
      </c>
      <c r="J60" s="60">
        <f>IFERROR(I60/G60,0)</f>
        <v>0</v>
      </c>
      <c r="K60" s="94" t="e">
        <f t="shared" si="4"/>
        <v>#DIV/0!</v>
      </c>
      <c r="L60" s="94" t="e">
        <f t="shared" si="5"/>
        <v>#DIV/0!</v>
      </c>
      <c r="M60" s="95">
        <f t="shared" si="6"/>
        <v>0</v>
      </c>
      <c r="N60" s="96" t="e">
        <f t="shared" si="14"/>
        <v>#DIV/0!</v>
      </c>
      <c r="O60" s="60">
        <f t="shared" si="7"/>
        <v>0</v>
      </c>
      <c r="P60" s="60" t="e">
        <f t="shared" si="8"/>
        <v>#DIV/0!</v>
      </c>
      <c r="Q60" s="97">
        <f t="shared" si="15"/>
        <v>0</v>
      </c>
      <c r="R60" s="94" t="e">
        <f t="shared" si="9"/>
        <v>#DIV/0!</v>
      </c>
      <c r="S60" s="94" t="e">
        <f t="shared" si="10"/>
        <v>#DIV/0!</v>
      </c>
    </row>
    <row r="61" spans="2:19" ht="15.75" customHeight="1">
      <c r="B61" s="49"/>
      <c r="C61" s="66"/>
      <c r="D61" s="91">
        <v>4</v>
      </c>
      <c r="E61" s="92">
        <f>1-E57</f>
        <v>0.24</v>
      </c>
      <c r="F61" s="15" t="s">
        <v>139</v>
      </c>
      <c r="G61" s="60">
        <f>COUNTIFS(gacha_select_tables!H:H,F61,gacha_select_tables!I:I,D61,gacha_select_tables!E:E,1)</f>
        <v>20</v>
      </c>
      <c r="H61" s="93">
        <f t="shared" si="11"/>
        <v>4.8505263157894732E-2</v>
      </c>
      <c r="I61" s="60">
        <f t="shared" si="12"/>
        <v>11.350231578947367</v>
      </c>
      <c r="J61" s="60">
        <f t="shared" si="13"/>
        <v>0.56751157894736837</v>
      </c>
      <c r="K61" s="94">
        <f t="shared" si="4"/>
        <v>6184.8958333333339</v>
      </c>
      <c r="L61" s="94">
        <f t="shared" si="5"/>
        <v>123697.91666666669</v>
      </c>
      <c r="M61" s="95">
        <f t="shared" si="6"/>
        <v>1.1641263157894734E-2</v>
      </c>
      <c r="N61" s="96">
        <f t="shared" si="14"/>
        <v>5.8206315789473674E-4</v>
      </c>
      <c r="O61" s="60">
        <f t="shared" si="7"/>
        <v>2.7240555789473677</v>
      </c>
      <c r="P61" s="60">
        <f t="shared" si="8"/>
        <v>0.13620277894736837</v>
      </c>
      <c r="Q61" s="97">
        <f t="shared" si="15"/>
        <v>1419</v>
      </c>
      <c r="R61" s="94">
        <f t="shared" si="9"/>
        <v>25770.399305555558</v>
      </c>
      <c r="S61" s="94">
        <f t="shared" si="10"/>
        <v>515407.98611111118</v>
      </c>
    </row>
    <row r="62" spans="2:19" ht="15.75" customHeight="1">
      <c r="B62" s="49"/>
      <c r="C62" s="66"/>
      <c r="D62" s="98">
        <v>4</v>
      </c>
      <c r="E62" s="92">
        <f>1-E58-E67</f>
        <v>0.17749999999999999</v>
      </c>
      <c r="F62" s="15" t="s">
        <v>140</v>
      </c>
      <c r="G62" s="60">
        <f>COUNTIFS(gacha_select_tables!H:H,F62,gacha_select_tables!I:I,D62,gacha_select_tables!E:E,1)</f>
        <v>20</v>
      </c>
      <c r="H62" s="93">
        <f t="shared" si="11"/>
        <v>5.3810526315789461E-2</v>
      </c>
      <c r="I62" s="60">
        <f t="shared" si="12"/>
        <v>12.591663157894734</v>
      </c>
      <c r="J62" s="60">
        <f t="shared" si="13"/>
        <v>0.62958315789473673</v>
      </c>
      <c r="K62" s="94">
        <f t="shared" si="4"/>
        <v>5575.1173708920205</v>
      </c>
      <c r="L62" s="94">
        <f t="shared" si="5"/>
        <v>111502.34741784041</v>
      </c>
      <c r="M62" s="95">
        <f t="shared" si="6"/>
        <v>9.5513684210526296E-3</v>
      </c>
      <c r="N62" s="96">
        <f t="shared" si="14"/>
        <v>4.775684210526315E-4</v>
      </c>
      <c r="O62" s="60">
        <f t="shared" si="7"/>
        <v>2.2350202105263155</v>
      </c>
      <c r="P62" s="60">
        <f t="shared" si="8"/>
        <v>0.11175101052631578</v>
      </c>
      <c r="Q62" s="97">
        <f t="shared" si="15"/>
        <v>1574</v>
      </c>
      <c r="R62" s="94">
        <f t="shared" si="9"/>
        <v>31409.111948687438</v>
      </c>
      <c r="S62" s="94">
        <f t="shared" si="10"/>
        <v>628182.23897374875</v>
      </c>
    </row>
    <row r="63" spans="2:19" ht="14">
      <c r="B63" s="49"/>
      <c r="C63" s="66"/>
      <c r="D63" s="98">
        <v>4</v>
      </c>
      <c r="E63" s="92">
        <f>1-E59-E68</f>
        <v>0.17749999999999999</v>
      </c>
      <c r="F63" s="15" t="s">
        <v>82</v>
      </c>
      <c r="G63" s="60">
        <f>COUNTIFS(gacha_select_tables!H:H,F63,gacha_select_tables!I:I,D63,gacha_select_tables!E:E,1)-G64</f>
        <v>30</v>
      </c>
      <c r="H63" s="93">
        <f t="shared" si="11"/>
        <v>8.0715789473684199E-2</v>
      </c>
      <c r="I63" s="60">
        <f t="shared" si="12"/>
        <v>18.887494736842104</v>
      </c>
      <c r="J63" s="60">
        <f t="shared" si="13"/>
        <v>0.62958315789473684</v>
      </c>
      <c r="K63" s="94">
        <f t="shared" si="4"/>
        <v>3716.7449139280129</v>
      </c>
      <c r="L63" s="94">
        <f t="shared" si="5"/>
        <v>111502.34741784038</v>
      </c>
      <c r="M63" s="95">
        <f t="shared" si="6"/>
        <v>1.4327052631578945E-2</v>
      </c>
      <c r="N63" s="96">
        <f t="shared" si="14"/>
        <v>4.775684210526315E-4</v>
      </c>
      <c r="O63" s="60">
        <f t="shared" si="7"/>
        <v>3.352530315789473</v>
      </c>
      <c r="P63" s="60">
        <f t="shared" si="8"/>
        <v>0.11175101052631577</v>
      </c>
      <c r="Q63" s="97">
        <f t="shared" si="15"/>
        <v>1574</v>
      </c>
      <c r="R63" s="94">
        <f t="shared" si="9"/>
        <v>20939.407965791623</v>
      </c>
      <c r="S63" s="94">
        <f t="shared" si="10"/>
        <v>628182.23897374864</v>
      </c>
    </row>
    <row r="64" spans="2:19" ht="15.75" customHeight="1">
      <c r="B64" s="49"/>
      <c r="C64" s="66"/>
      <c r="D64" s="98">
        <v>4</v>
      </c>
      <c r="E64" s="92">
        <f>1-E60-E69</f>
        <v>0.17749999999999999</v>
      </c>
      <c r="F64" s="9" t="s">
        <v>143</v>
      </c>
      <c r="G64" s="60">
        <f>COUNTIFS(gacha_conf!D$2:D$14,F64,gacha_conf!C$2:C$14,D64)</f>
        <v>0</v>
      </c>
      <c r="H64" s="93">
        <f>VLOOKUP(F64,D$44:F$49,3,FALSE)*E64</f>
        <v>0</v>
      </c>
      <c r="I64" s="60">
        <f t="shared" si="12"/>
        <v>0</v>
      </c>
      <c r="J64" s="60">
        <f>IFERROR(I64/G64,0)</f>
        <v>0</v>
      </c>
      <c r="K64" s="94" t="e">
        <f t="shared" si="4"/>
        <v>#DIV/0!</v>
      </c>
      <c r="L64" s="94" t="e">
        <f t="shared" si="5"/>
        <v>#DIV/0!</v>
      </c>
      <c r="M64" s="95">
        <f t="shared" si="6"/>
        <v>0</v>
      </c>
      <c r="N64" s="96" t="e">
        <f t="shared" si="14"/>
        <v>#DIV/0!</v>
      </c>
      <c r="O64" s="60">
        <f t="shared" si="7"/>
        <v>0</v>
      </c>
      <c r="P64" s="60" t="e">
        <f t="shared" si="8"/>
        <v>#DIV/0!</v>
      </c>
      <c r="Q64" s="97">
        <f t="shared" si="15"/>
        <v>0</v>
      </c>
      <c r="R64" s="94" t="e">
        <f t="shared" si="9"/>
        <v>#DIV/0!</v>
      </c>
      <c r="S64" s="94" t="e">
        <f t="shared" si="10"/>
        <v>#DIV/0!</v>
      </c>
    </row>
    <row r="65" spans="2:19" ht="15.75" customHeight="1">
      <c r="B65" s="49"/>
      <c r="C65" s="66"/>
      <c r="D65" s="98">
        <v>4</v>
      </c>
      <c r="E65" s="100">
        <f>1-E70</f>
        <v>0.9375</v>
      </c>
      <c r="F65" s="15" t="s">
        <v>83</v>
      </c>
      <c r="G65" s="60">
        <f>COUNTIFS(gacha_select_tables!H:H,F65,gacha_select_tables!I:I,D65,gacha_select_tables!E:E,1)-G66</f>
        <v>22</v>
      </c>
      <c r="H65" s="93">
        <f>VLOOKUP(F65,D$44:F$49,3,FALSE)*E65</f>
        <v>3.7499999999999999E-2</v>
      </c>
      <c r="I65" s="60">
        <f>G$72*H65</f>
        <v>8.7750000000000004</v>
      </c>
      <c r="J65" s="60">
        <f>I65/G65</f>
        <v>0.39886363636363636</v>
      </c>
      <c r="K65" s="94">
        <f t="shared" si="4"/>
        <v>8000</v>
      </c>
      <c r="L65" s="94">
        <f t="shared" si="5"/>
        <v>176000</v>
      </c>
      <c r="M65" s="96">
        <f>E65*H65</f>
        <v>3.515625E-2</v>
      </c>
      <c r="N65" s="96">
        <f>M65/G65</f>
        <v>1.5980113636363637E-3</v>
      </c>
      <c r="O65" s="60">
        <f>G$72*M65</f>
        <v>8.2265625</v>
      </c>
      <c r="P65" s="60">
        <f>O65/G65</f>
        <v>0.37393465909090912</v>
      </c>
      <c r="Q65" s="97">
        <f t="shared" si="15"/>
        <v>997</v>
      </c>
      <c r="R65" s="94">
        <f t="shared" si="9"/>
        <v>8533.3333333333321</v>
      </c>
      <c r="S65" s="94">
        <f t="shared" si="10"/>
        <v>187733.33333333331</v>
      </c>
    </row>
    <row r="66" spans="2:19" ht="15.75" customHeight="1">
      <c r="B66" s="49"/>
      <c r="C66" s="66"/>
      <c r="D66" s="99">
        <v>4</v>
      </c>
      <c r="E66" s="100">
        <f>1-E71</f>
        <v>0.9375</v>
      </c>
      <c r="F66" s="9" t="s">
        <v>144</v>
      </c>
      <c r="G66" s="60">
        <f>COUNTIFS(gacha_conf!D$2:D$14,F66,gacha_conf!C$2:C$14,D66)</f>
        <v>0</v>
      </c>
      <c r="H66" s="93">
        <f t="shared" si="11"/>
        <v>0</v>
      </c>
      <c r="I66" s="60">
        <f t="shared" si="12"/>
        <v>0</v>
      </c>
      <c r="J66" s="60">
        <f>IFERROR(I66/G66,0)</f>
        <v>0</v>
      </c>
      <c r="K66" s="94" t="e">
        <f t="shared" si="4"/>
        <v>#DIV/0!</v>
      </c>
      <c r="L66" s="94" t="e">
        <f t="shared" si="5"/>
        <v>#DIV/0!</v>
      </c>
      <c r="M66" s="95">
        <f>E66*H66</f>
        <v>0</v>
      </c>
      <c r="N66" s="96" t="e">
        <f t="shared" si="14"/>
        <v>#DIV/0!</v>
      </c>
      <c r="O66" s="60">
        <f t="shared" si="7"/>
        <v>0</v>
      </c>
      <c r="P66" s="60" t="e">
        <f>O66/G66</f>
        <v>#DIV/0!</v>
      </c>
      <c r="Q66" s="97">
        <f t="shared" si="15"/>
        <v>0</v>
      </c>
      <c r="R66" s="94" t="e">
        <f t="shared" si="9"/>
        <v>#DIV/0!</v>
      </c>
      <c r="S66" s="94" t="e">
        <f t="shared" si="10"/>
        <v>#DIV/0!</v>
      </c>
    </row>
    <row r="67" spans="2:19" ht="15.75" customHeight="1">
      <c r="B67" s="49"/>
      <c r="C67" s="66"/>
      <c r="D67" s="91">
        <v>5</v>
      </c>
      <c r="E67" s="92">
        <f>gacha_conf!H$5</f>
        <v>6.25E-2</v>
      </c>
      <c r="F67" s="15" t="s">
        <v>140</v>
      </c>
      <c r="G67" s="60">
        <f>COUNTIFS(gacha_select_tables!H:H,F67,gacha_select_tables!I:I,D67,gacha_select_tables!E:E,1)</f>
        <v>20</v>
      </c>
      <c r="H67" s="93">
        <f t="shared" si="11"/>
        <v>1.8947368421052629E-2</v>
      </c>
      <c r="I67" s="60">
        <f t="shared" si="12"/>
        <v>4.433684210526315</v>
      </c>
      <c r="J67" s="60">
        <f t="shared" si="13"/>
        <v>0.22168421052631576</v>
      </c>
      <c r="K67" s="94">
        <f t="shared" si="4"/>
        <v>15833.333333333336</v>
      </c>
      <c r="L67" s="94">
        <f t="shared" si="5"/>
        <v>316666.66666666674</v>
      </c>
      <c r="M67" s="95">
        <f t="shared" si="6"/>
        <v>1.1842105263157893E-3</v>
      </c>
      <c r="N67" s="96">
        <f t="shared" si="14"/>
        <v>5.9210526315789464E-5</v>
      </c>
      <c r="O67" s="60">
        <f t="shared" si="7"/>
        <v>0.27710526315789469</v>
      </c>
      <c r="P67" s="60">
        <f t="shared" si="8"/>
        <v>1.3855263157894735E-2</v>
      </c>
      <c r="Q67" s="97">
        <f t="shared" si="15"/>
        <v>554</v>
      </c>
      <c r="R67" s="94">
        <f t="shared" si="9"/>
        <v>253333.33333333337</v>
      </c>
      <c r="S67" s="94">
        <f t="shared" si="10"/>
        <v>5066666.6666666679</v>
      </c>
    </row>
    <row r="68" spans="2:19" ht="15.75" customHeight="1">
      <c r="B68" s="49"/>
      <c r="C68" s="66"/>
      <c r="D68" s="98">
        <v>5</v>
      </c>
      <c r="E68" s="92">
        <f>gacha_conf!H$5</f>
        <v>6.25E-2</v>
      </c>
      <c r="F68" s="15" t="s">
        <v>82</v>
      </c>
      <c r="G68" s="60">
        <f>COUNTIFS(gacha_select_tables!H:H,F68,gacha_select_tables!I:I,D68,gacha_select_tables!E:E,1)-G69</f>
        <v>30</v>
      </c>
      <c r="H68" s="93">
        <f t="shared" si="11"/>
        <v>2.8421052631578944E-2</v>
      </c>
      <c r="I68" s="60">
        <f t="shared" si="12"/>
        <v>6.650526315789473</v>
      </c>
      <c r="J68" s="60">
        <f t="shared" si="13"/>
        <v>0.22168421052631576</v>
      </c>
      <c r="K68" s="94">
        <f t="shared" si="4"/>
        <v>10555.555555555557</v>
      </c>
      <c r="L68" s="94">
        <f t="shared" si="5"/>
        <v>316666.66666666669</v>
      </c>
      <c r="M68" s="95">
        <f t="shared" si="6"/>
        <v>1.776315789473684E-3</v>
      </c>
      <c r="N68" s="96">
        <f t="shared" si="14"/>
        <v>5.9210526315789464E-5</v>
      </c>
      <c r="O68" s="60">
        <f t="shared" si="7"/>
        <v>0.41565789473684206</v>
      </c>
      <c r="P68" s="60">
        <f t="shared" si="8"/>
        <v>1.3855263157894735E-2</v>
      </c>
      <c r="Q68" s="97">
        <f t="shared" si="15"/>
        <v>554</v>
      </c>
      <c r="R68" s="94">
        <f t="shared" si="9"/>
        <v>168888.88888888891</v>
      </c>
      <c r="S68" s="94">
        <f t="shared" si="10"/>
        <v>5066666.666666667</v>
      </c>
    </row>
    <row r="69" spans="2:19" ht="15.75" customHeight="1">
      <c r="B69" s="49"/>
      <c r="C69" s="66"/>
      <c r="D69" s="98">
        <v>5</v>
      </c>
      <c r="E69" s="92">
        <f>gacha_conf!H$5</f>
        <v>6.25E-2</v>
      </c>
      <c r="F69" s="9" t="s">
        <v>142</v>
      </c>
      <c r="G69" s="60">
        <f>COUNTIFS(gacha_conf!D$2:D$14,F69,gacha_conf!C$2:C$14,D69)</f>
        <v>0</v>
      </c>
      <c r="H69" s="93">
        <f t="shared" si="11"/>
        <v>0</v>
      </c>
      <c r="I69" s="60">
        <f t="shared" si="12"/>
        <v>0</v>
      </c>
      <c r="J69" s="60">
        <f>IFERROR(I69/G69,0)</f>
        <v>0</v>
      </c>
      <c r="K69" s="94" t="e">
        <f t="shared" si="4"/>
        <v>#DIV/0!</v>
      </c>
      <c r="L69" s="94" t="e">
        <f t="shared" si="5"/>
        <v>#DIV/0!</v>
      </c>
      <c r="M69" s="95">
        <f t="shared" si="6"/>
        <v>0</v>
      </c>
      <c r="N69" s="96" t="e">
        <f t="shared" si="14"/>
        <v>#DIV/0!</v>
      </c>
      <c r="O69" s="60">
        <f t="shared" si="7"/>
        <v>0</v>
      </c>
      <c r="P69" s="60" t="e">
        <f t="shared" si="8"/>
        <v>#DIV/0!</v>
      </c>
      <c r="Q69" s="97">
        <f t="shared" si="15"/>
        <v>0</v>
      </c>
      <c r="R69" s="94" t="e">
        <f t="shared" si="9"/>
        <v>#DIV/0!</v>
      </c>
      <c r="S69" s="94" t="e">
        <f t="shared" si="10"/>
        <v>#DIV/0!</v>
      </c>
    </row>
    <row r="70" spans="2:19" ht="15.75" customHeight="1">
      <c r="B70" s="49"/>
      <c r="C70" s="66"/>
      <c r="D70" s="98">
        <v>5</v>
      </c>
      <c r="E70" s="92">
        <f>gacha_conf!H$5</f>
        <v>6.25E-2</v>
      </c>
      <c r="F70" s="15" t="s">
        <v>83</v>
      </c>
      <c r="G70" s="60">
        <f>COUNTIFS(gacha_select_tables!H:H,F70,gacha_select_tables!I:I,D70,gacha_select_tables!E:E,1)-G71</f>
        <v>22</v>
      </c>
      <c r="H70" s="93">
        <f>VLOOKUP(F70,D$44:F$49,3,FALSE)*E70</f>
        <v>2.5000000000000001E-3</v>
      </c>
      <c r="I70" s="60">
        <f>G$72*H70</f>
        <v>0.58499999999999996</v>
      </c>
      <c r="J70" s="60">
        <f>I70/G70</f>
        <v>2.6590909090909089E-2</v>
      </c>
      <c r="K70" s="94">
        <f t="shared" si="4"/>
        <v>120000</v>
      </c>
      <c r="L70" s="94">
        <f t="shared" si="5"/>
        <v>2640000</v>
      </c>
      <c r="M70" s="96">
        <f>E70*H70</f>
        <v>1.5625E-4</v>
      </c>
      <c r="N70" s="96">
        <f>M70/G70</f>
        <v>7.1022727272727273E-6</v>
      </c>
      <c r="O70" s="60">
        <f>G$72*M70</f>
        <v>3.6562499999999998E-2</v>
      </c>
      <c r="P70" s="60">
        <f>O70/G70</f>
        <v>1.661931818181818E-3</v>
      </c>
      <c r="Q70" s="97">
        <f t="shared" si="15"/>
        <v>66</v>
      </c>
      <c r="R70" s="94">
        <f t="shared" si="9"/>
        <v>1920000</v>
      </c>
      <c r="S70" s="94">
        <f t="shared" si="10"/>
        <v>42240000</v>
      </c>
    </row>
    <row r="71" spans="2:19" ht="15.75" customHeight="1">
      <c r="B71" s="49"/>
      <c r="C71" s="66"/>
      <c r="D71" s="99">
        <v>5</v>
      </c>
      <c r="E71" s="92">
        <f>gacha_conf!H$5</f>
        <v>6.25E-2</v>
      </c>
      <c r="F71" s="9" t="s">
        <v>145</v>
      </c>
      <c r="G71" s="60">
        <f>COUNTIFS(gacha_conf!D$2:D$14,F71,gacha_conf!C$2:C$14,D71)</f>
        <v>0</v>
      </c>
      <c r="H71" s="93">
        <f>VLOOKUP(F71,D$44:F$49,3,FALSE)*E71</f>
        <v>0</v>
      </c>
      <c r="I71" s="60">
        <f>G$72*H71</f>
        <v>0</v>
      </c>
      <c r="J71" s="60">
        <f>IFERROR(I71/G71,0)</f>
        <v>0</v>
      </c>
      <c r="K71" s="94" t="e">
        <f t="shared" si="4"/>
        <v>#DIV/0!</v>
      </c>
      <c r="L71" s="94" t="e">
        <f t="shared" si="5"/>
        <v>#DIV/0!</v>
      </c>
      <c r="M71" s="95">
        <f>E71*H71</f>
        <v>0</v>
      </c>
      <c r="N71" s="96" t="e">
        <f t="shared" si="14"/>
        <v>#DIV/0!</v>
      </c>
      <c r="O71" s="60">
        <f t="shared" si="7"/>
        <v>0</v>
      </c>
      <c r="P71" s="60" t="e">
        <f>O71/G71</f>
        <v>#DIV/0!</v>
      </c>
      <c r="Q71" s="97">
        <f>ROUND(J71*2500,0)</f>
        <v>0</v>
      </c>
      <c r="R71" s="94" t="e">
        <f t="shared" si="9"/>
        <v>#DIV/0!</v>
      </c>
      <c r="S71" s="94" t="e">
        <f t="shared" si="10"/>
        <v>#DIV/0!</v>
      </c>
    </row>
    <row r="72" spans="2:19" ht="15.75" customHeight="1">
      <c r="B72" s="49"/>
      <c r="C72" s="66"/>
      <c r="D72" s="101"/>
      <c r="E72" s="102">
        <f>SUM(E60,E64,E69)</f>
        <v>1</v>
      </c>
      <c r="F72" s="15" t="s">
        <v>116</v>
      </c>
      <c r="G72" s="60">
        <f>SUM(G57:G71)</f>
        <v>234</v>
      </c>
      <c r="H72" s="103">
        <f>SUM(H57:H71)</f>
        <v>0.99999999999999967</v>
      </c>
      <c r="I72" s="60">
        <f>G$72*H72</f>
        <v>233.99999999999991</v>
      </c>
      <c r="J72" s="60">
        <f>I72/G72</f>
        <v>0.99999999999999967</v>
      </c>
      <c r="K72" s="102"/>
      <c r="L72" s="102"/>
      <c r="M72" s="103">
        <f>SUM(M57:M71)</f>
        <v>0.62828871052631574</v>
      </c>
      <c r="N72" s="104"/>
      <c r="O72" s="60">
        <f>G$72*M72</f>
        <v>147.01955826315788</v>
      </c>
      <c r="P72" s="60">
        <f>O72/G72</f>
        <v>0.62828871052631574</v>
      </c>
      <c r="Q72" s="97"/>
      <c r="R72" s="102"/>
      <c r="S72" s="102"/>
    </row>
    <row r="73" spans="2:19" ht="15.75" customHeight="1">
      <c r="B73" s="49"/>
      <c r="C73" s="66"/>
      <c r="H73" s="80"/>
      <c r="I73" s="51"/>
      <c r="M73" s="105"/>
      <c r="N73" s="81"/>
      <c r="P73" s="52"/>
    </row>
    <row r="74" spans="2:19" ht="15.75" customHeight="1">
      <c r="B74" s="49" t="s">
        <v>197</v>
      </c>
      <c r="C74" s="66"/>
      <c r="H74" s="51"/>
      <c r="I74" s="51"/>
      <c r="M74" s="105"/>
      <c r="N74" s="81"/>
      <c r="P74" s="52"/>
    </row>
    <row r="75" spans="2:19" ht="15.75" customHeight="1">
      <c r="B75" s="49"/>
      <c r="C75" s="106" t="s">
        <v>146</v>
      </c>
      <c r="H75" s="51"/>
      <c r="I75" s="51"/>
      <c r="M75" s="105"/>
      <c r="P75" s="52"/>
    </row>
    <row r="76" spans="2:19" ht="15.75" customHeight="1">
      <c r="B76" s="49"/>
      <c r="C76" s="66" t="s">
        <v>109</v>
      </c>
      <c r="H76" s="51"/>
      <c r="I76" s="51"/>
      <c r="M76" s="105"/>
      <c r="P76" s="52"/>
    </row>
    <row r="77" spans="2:19" ht="15.75" customHeight="1">
      <c r="B77" s="49"/>
      <c r="C77" s="65"/>
      <c r="D77" s="50" t="s">
        <v>110</v>
      </c>
      <c r="H77" s="51"/>
      <c r="I77" s="51"/>
      <c r="M77" s="105"/>
      <c r="P77" s="52"/>
    </row>
    <row r="78" spans="2:19" ht="15.75" customHeight="1">
      <c r="B78" s="49"/>
      <c r="C78" s="65"/>
      <c r="D78" s="50" t="s">
        <v>111</v>
      </c>
      <c r="H78" s="51"/>
      <c r="I78" s="51"/>
      <c r="M78" s="105"/>
      <c r="P78" s="52"/>
    </row>
    <row r="79" spans="2:19" ht="15.75" customHeight="1">
      <c r="B79" s="49"/>
      <c r="C79" s="65"/>
      <c r="D79" s="69"/>
      <c r="E79" s="70" t="s">
        <v>112</v>
      </c>
      <c r="F79" s="70" t="s">
        <v>113</v>
      </c>
      <c r="G79" s="70" t="s">
        <v>114</v>
      </c>
      <c r="H79" s="70" t="s">
        <v>115</v>
      </c>
      <c r="I79" s="71" t="s">
        <v>89</v>
      </c>
      <c r="P79" s="52"/>
    </row>
    <row r="80" spans="2:19" ht="15.75" customHeight="1">
      <c r="B80" s="49"/>
      <c r="C80" s="65"/>
      <c r="D80" s="72">
        <v>4</v>
      </c>
      <c r="E80" s="73">
        <f>COUNTIFS(gacha_select_tables!E:E,1,gacha_select_tables!I:I,D80)</f>
        <v>92</v>
      </c>
      <c r="F80" s="74">
        <f>1-F81</f>
        <v>0.95</v>
      </c>
      <c r="G80" s="73">
        <f>E$82*F80</f>
        <v>155.79999999999998</v>
      </c>
      <c r="H80" s="73">
        <f>G80/E80</f>
        <v>1.6934782608695651</v>
      </c>
      <c r="I80" s="75">
        <f>100/((F80+F81)*100)*E$17</f>
        <v>300</v>
      </c>
      <c r="P80" s="52"/>
    </row>
    <row r="81" spans="2:16" ht="15.75" customHeight="1">
      <c r="B81" s="49"/>
      <c r="C81" s="65"/>
      <c r="D81" s="72">
        <v>5</v>
      </c>
      <c r="E81" s="73">
        <f>COUNTIFS(gacha_select_tables!E:E,1,gacha_select_tables!I:I,D81)</f>
        <v>72</v>
      </c>
      <c r="F81" s="74">
        <f>gacha_conf!H3</f>
        <v>0.05</v>
      </c>
      <c r="G81" s="73">
        <f>E$82*F81</f>
        <v>8.2000000000000011</v>
      </c>
      <c r="H81" s="73">
        <f>G81/E81</f>
        <v>0.1138888888888889</v>
      </c>
      <c r="I81" s="75">
        <f>100/(F81*100)*E$17</f>
        <v>6000</v>
      </c>
      <c r="P81" s="52"/>
    </row>
    <row r="82" spans="2:16" ht="15.75" customHeight="1">
      <c r="B82" s="49"/>
      <c r="C82" s="65"/>
      <c r="D82" s="72" t="s">
        <v>116</v>
      </c>
      <c r="E82" s="73">
        <f>SUM(E80:E81)</f>
        <v>164</v>
      </c>
      <c r="F82" s="76">
        <f>SUM(F80:F81)</f>
        <v>1</v>
      </c>
      <c r="G82" s="73">
        <f>E$82*F82</f>
        <v>164</v>
      </c>
      <c r="H82" s="73">
        <f>G82/E82</f>
        <v>1</v>
      </c>
      <c r="I82" s="77"/>
      <c r="P82" s="52"/>
    </row>
    <row r="83" spans="2:16" ht="15.75" customHeight="1">
      <c r="B83" s="49"/>
      <c r="C83" s="65"/>
      <c r="H83" s="51"/>
      <c r="I83" s="51"/>
      <c r="P83" s="52"/>
    </row>
    <row r="84" spans="2:16" ht="15.75" customHeight="1">
      <c r="B84" s="49"/>
      <c r="C84" s="66" t="s">
        <v>117</v>
      </c>
      <c r="H84" s="51"/>
      <c r="I84" s="51"/>
      <c r="P84" s="52"/>
    </row>
    <row r="85" spans="2:16" ht="15.75" customHeight="1">
      <c r="B85" s="49"/>
      <c r="C85" s="66"/>
      <c r="D85" s="50" t="s">
        <v>147</v>
      </c>
      <c r="H85" s="51"/>
      <c r="I85" s="51"/>
      <c r="P85" s="52"/>
    </row>
    <row r="86" spans="2:16" ht="15.75" customHeight="1">
      <c r="B86" s="49"/>
      <c r="C86" s="66"/>
      <c r="D86" s="50" t="s">
        <v>111</v>
      </c>
      <c r="H86" s="51"/>
      <c r="I86" s="51"/>
      <c r="P86" s="52"/>
    </row>
    <row r="87" spans="2:16" ht="15.75" customHeight="1">
      <c r="B87" s="49"/>
      <c r="C87" s="66"/>
      <c r="D87" s="69"/>
      <c r="E87" s="70" t="s">
        <v>112</v>
      </c>
      <c r="F87" s="70" t="s">
        <v>113</v>
      </c>
      <c r="G87" s="70" t="s">
        <v>114</v>
      </c>
      <c r="H87" s="70" t="s">
        <v>115</v>
      </c>
      <c r="I87" s="71" t="s">
        <v>89</v>
      </c>
      <c r="P87" s="52"/>
    </row>
    <row r="88" spans="2:16" ht="15.75" customHeight="1">
      <c r="B88" s="49"/>
      <c r="C88" s="66"/>
      <c r="D88" s="72" t="s">
        <v>148</v>
      </c>
      <c r="E88" s="73">
        <f>COUNTIFS(gacha_select_tables!E:E,0,gacha_select_tables!H:H,D88)</f>
        <v>20</v>
      </c>
      <c r="F88" s="74">
        <f>(1-SUM(F$91:F$93))*E88/SUM(E$88:E$90)</f>
        <v>0.16</v>
      </c>
      <c r="G88" s="73">
        <f t="shared" ref="G88:G94" si="16">E$94*F88</f>
        <v>26.240000000000002</v>
      </c>
      <c r="H88" s="73">
        <f>G88/E88</f>
        <v>1.3120000000000001</v>
      </c>
      <c r="I88" s="75">
        <f t="shared" ref="I88:I93" si="17">100/(F88*100)*E$17</f>
        <v>1875</v>
      </c>
      <c r="P88" s="52"/>
    </row>
    <row r="89" spans="2:16" ht="15.75" customHeight="1">
      <c r="B89" s="49"/>
      <c r="C89" s="66"/>
      <c r="D89" s="72" t="s">
        <v>140</v>
      </c>
      <c r="E89" s="73">
        <f>COUNTIFS(gacha_select_tables!E:E,0,gacha_select_tables!H:H,D89)</f>
        <v>40</v>
      </c>
      <c r="F89" s="74">
        <f>(1-SUM(F$91:F$93))*E89/SUM(E$88:E$90)</f>
        <v>0.32</v>
      </c>
      <c r="G89" s="73">
        <f t="shared" si="16"/>
        <v>52.480000000000004</v>
      </c>
      <c r="H89" s="73">
        <f>G89/E89</f>
        <v>1.3120000000000001</v>
      </c>
      <c r="I89" s="75">
        <f t="shared" si="17"/>
        <v>937.5</v>
      </c>
      <c r="P89" s="52"/>
    </row>
    <row r="90" spans="2:16" ht="15.75" customHeight="1">
      <c r="B90" s="49"/>
      <c r="C90" s="66"/>
      <c r="D90" s="72" t="s">
        <v>82</v>
      </c>
      <c r="E90" s="73">
        <f>COUNTIFS(gacha_select_tables!E:E,0,gacha_select_tables!H:H,D90)-E91</f>
        <v>60</v>
      </c>
      <c r="F90" s="74">
        <f>(1-SUM(F$91:F$93))*E90/SUM(E$88:E$90)</f>
        <v>0.47999999999999993</v>
      </c>
      <c r="G90" s="73">
        <f t="shared" si="16"/>
        <v>78.719999999999985</v>
      </c>
      <c r="H90" s="73">
        <f t="shared" ref="H90:H94" si="18">G90/E90</f>
        <v>1.3119999999999998</v>
      </c>
      <c r="I90" s="75">
        <f t="shared" si="17"/>
        <v>625</v>
      </c>
      <c r="P90" s="52"/>
    </row>
    <row r="91" spans="2:16" ht="15.75" customHeight="1">
      <c r="B91" s="49"/>
      <c r="C91" s="66"/>
      <c r="D91" s="107" t="s">
        <v>149</v>
      </c>
      <c r="E91" s="73">
        <f>COUNTIFS(gacha_conf!D$2:D$14,D91,gacha_conf!C$2:C$14,"&gt;3")</f>
        <v>0</v>
      </c>
      <c r="F91" s="74">
        <f>SUMIF(gacha_conf!D$2:D$14,D91,gacha_conf!E$2:E$14)</f>
        <v>0</v>
      </c>
      <c r="G91" s="73">
        <f t="shared" si="16"/>
        <v>0</v>
      </c>
      <c r="H91" s="73" t="e">
        <f t="shared" si="18"/>
        <v>#DIV/0!</v>
      </c>
      <c r="I91" s="75" t="e">
        <f t="shared" si="17"/>
        <v>#DIV/0!</v>
      </c>
      <c r="P91" s="52"/>
    </row>
    <row r="92" spans="2:16" ht="15.75" customHeight="1">
      <c r="B92" s="49"/>
      <c r="C92" s="66"/>
      <c r="D92" s="108" t="s">
        <v>150</v>
      </c>
      <c r="E92" s="73">
        <f>COUNTIFS(gacha_select_tables!E:E,0,gacha_select_tables!H:H,D92)-E93</f>
        <v>44</v>
      </c>
      <c r="F92" s="74">
        <f>gacha_conf!H2-F93</f>
        <v>0.04</v>
      </c>
      <c r="G92" s="73">
        <f t="shared" si="16"/>
        <v>6.5600000000000005</v>
      </c>
      <c r="H92" s="73">
        <f t="shared" si="18"/>
        <v>0.14909090909090911</v>
      </c>
      <c r="I92" s="75">
        <f t="shared" si="17"/>
        <v>7500</v>
      </c>
      <c r="P92" s="52"/>
    </row>
    <row r="93" spans="2:16" ht="15.75" customHeight="1">
      <c r="B93" s="49"/>
      <c r="C93" s="66"/>
      <c r="D93" s="107" t="s">
        <v>151</v>
      </c>
      <c r="E93" s="73">
        <f>COUNTIFS(gacha_conf!D$2:D$14,D93,gacha_conf!C$2:C$14,"&gt;3")</f>
        <v>0</v>
      </c>
      <c r="F93" s="74">
        <f>SUMIF(gacha_conf!D$2:D$14,D93,gacha_conf!E$2:E$14)</f>
        <v>0</v>
      </c>
      <c r="G93" s="73">
        <f t="shared" si="16"/>
        <v>0</v>
      </c>
      <c r="H93" s="73" t="e">
        <f t="shared" si="18"/>
        <v>#DIV/0!</v>
      </c>
      <c r="I93" s="75" t="e">
        <f t="shared" si="17"/>
        <v>#DIV/0!</v>
      </c>
      <c r="P93" s="52"/>
    </row>
    <row r="94" spans="2:16" ht="15.75" customHeight="1">
      <c r="B94" s="49"/>
      <c r="C94" s="66"/>
      <c r="D94" s="72" t="s">
        <v>116</v>
      </c>
      <c r="E94" s="73">
        <f>SUM(E88:E93)</f>
        <v>164</v>
      </c>
      <c r="F94" s="76">
        <f>SUM(F88:F93)</f>
        <v>1</v>
      </c>
      <c r="G94" s="73">
        <f t="shared" si="16"/>
        <v>164</v>
      </c>
      <c r="H94" s="73">
        <f t="shared" si="18"/>
        <v>1</v>
      </c>
      <c r="I94" s="77"/>
      <c r="P94" s="52"/>
    </row>
    <row r="95" spans="2:16" ht="15.75" customHeight="1">
      <c r="B95" s="49"/>
      <c r="C95" s="65"/>
      <c r="H95" s="51"/>
      <c r="I95" s="51"/>
      <c r="P95" s="52"/>
    </row>
    <row r="96" spans="2:16" ht="15.75" customHeight="1">
      <c r="B96" s="49"/>
      <c r="C96" s="66" t="s">
        <v>124</v>
      </c>
      <c r="H96" s="51"/>
      <c r="I96" s="51"/>
      <c r="P96" s="52"/>
    </row>
    <row r="97" spans="2:19" ht="15.75" customHeight="1">
      <c r="B97" s="49"/>
      <c r="C97" s="65"/>
      <c r="D97" s="50" t="s">
        <v>125</v>
      </c>
      <c r="H97" s="51"/>
      <c r="I97" s="51"/>
      <c r="P97" s="52"/>
    </row>
    <row r="98" spans="2:19" ht="15.75" customHeight="1">
      <c r="B98" s="49"/>
      <c r="C98" s="65"/>
      <c r="D98" s="50" t="s">
        <v>111</v>
      </c>
      <c r="H98" s="51"/>
      <c r="I98" s="51"/>
      <c r="P98" s="52"/>
    </row>
    <row r="99" spans="2:19" ht="14">
      <c r="D99" s="156" t="s">
        <v>152</v>
      </c>
      <c r="E99" s="157"/>
      <c r="F99" s="158" t="s">
        <v>153</v>
      </c>
      <c r="G99" s="159"/>
      <c r="H99" s="160" t="s">
        <v>128</v>
      </c>
      <c r="I99" s="161"/>
      <c r="J99" s="162"/>
      <c r="K99" s="154" t="s">
        <v>129</v>
      </c>
      <c r="L99" s="155"/>
      <c r="M99" s="156" t="s">
        <v>130</v>
      </c>
      <c r="N99" s="163"/>
      <c r="O99" s="163"/>
      <c r="P99" s="163"/>
      <c r="Q99" s="164"/>
      <c r="R99" s="154" t="s">
        <v>131</v>
      </c>
      <c r="S99" s="155"/>
    </row>
    <row r="100" spans="2:19" ht="14">
      <c r="D100" s="83" t="s">
        <v>132</v>
      </c>
      <c r="E100" s="109" t="s">
        <v>133</v>
      </c>
      <c r="F100" s="110" t="s">
        <v>154</v>
      </c>
      <c r="G100" s="70" t="s">
        <v>112</v>
      </c>
      <c r="H100" s="70" t="s">
        <v>113</v>
      </c>
      <c r="I100" s="70" t="s">
        <v>114</v>
      </c>
      <c r="J100" s="70" t="s">
        <v>115</v>
      </c>
      <c r="K100" s="71" t="s">
        <v>135</v>
      </c>
      <c r="L100" s="111" t="s">
        <v>136</v>
      </c>
      <c r="M100" s="70" t="s">
        <v>113</v>
      </c>
      <c r="N100" s="89" t="s">
        <v>137</v>
      </c>
      <c r="O100" s="70" t="s">
        <v>114</v>
      </c>
      <c r="P100" s="70" t="s">
        <v>115</v>
      </c>
      <c r="Q100" s="112" t="s">
        <v>138</v>
      </c>
      <c r="R100" s="71" t="s">
        <v>135</v>
      </c>
      <c r="S100" s="111" t="s">
        <v>136</v>
      </c>
    </row>
    <row r="101" spans="2:19" ht="14">
      <c r="D101" s="90">
        <v>4</v>
      </c>
      <c r="E101" s="113">
        <f>F$80+F$81</f>
        <v>1</v>
      </c>
      <c r="F101" s="72" t="s">
        <v>155</v>
      </c>
      <c r="G101" s="60">
        <f>COUNTIFS(gacha_select_tables!H:H,F101,gacha_select_tables!I:I,D101,gacha_select_tables!E:E,0)</f>
        <v>20</v>
      </c>
      <c r="H101" s="114">
        <f>VLOOKUP(F101,D$88:F$93,3,FALSE)*E101</f>
        <v>0.16</v>
      </c>
      <c r="I101" s="73">
        <f>G$112*H101</f>
        <v>26.240000000000002</v>
      </c>
      <c r="J101" s="73">
        <f>I101/G101</f>
        <v>1.3120000000000001</v>
      </c>
      <c r="K101" s="75">
        <f t="shared" ref="K101:K111" si="19">100/(H101*100)*E$17</f>
        <v>1875</v>
      </c>
      <c r="L101" s="75">
        <f t="shared" ref="L101:L111" si="20">100/(H101*100)*E$17 * G101</f>
        <v>37500</v>
      </c>
      <c r="M101" s="114">
        <f t="shared" ref="M101:M108" si="21">E101*H101</f>
        <v>0.16</v>
      </c>
      <c r="N101" s="96">
        <f>M101/G101</f>
        <v>8.0000000000000002E-3</v>
      </c>
      <c r="O101" s="73">
        <f t="shared" ref="O101:O112" si="22">G$112*M101</f>
        <v>26.240000000000002</v>
      </c>
      <c r="P101" s="73">
        <f t="shared" ref="P101:P112" si="23">O101/G101</f>
        <v>1.3120000000000001</v>
      </c>
      <c r="Q101" s="97">
        <f>ROUND(J101*2500,0)</f>
        <v>3280</v>
      </c>
      <c r="R101" s="75">
        <f t="shared" ref="R101:R110" si="24">100/(H101*E58*100)*E$17</f>
        <v>2467.1052631578946</v>
      </c>
      <c r="S101" s="75">
        <f t="shared" ref="S101:S106" si="25">100/(H101*E$61*100)*E$17 * G101</f>
        <v>156250</v>
      </c>
    </row>
    <row r="102" spans="2:19" ht="14">
      <c r="D102" s="115">
        <v>4</v>
      </c>
      <c r="E102" s="113">
        <f>1-E107</f>
        <v>0.94</v>
      </c>
      <c r="F102" s="72" t="s">
        <v>156</v>
      </c>
      <c r="G102" s="60">
        <f>COUNTIFS(gacha_select_tables!H:H,F102,gacha_select_tables!I:I,D102,gacha_select_tables!E:E,0)</f>
        <v>20</v>
      </c>
      <c r="H102" s="114">
        <f t="shared" ref="H102:H110" si="26">VLOOKUP(F102,D$88:F$93,3,FALSE)*E102</f>
        <v>0.30080000000000001</v>
      </c>
      <c r="I102" s="73">
        <f t="shared" ref="I102:I112" si="27">G$112*H102</f>
        <v>49.331200000000003</v>
      </c>
      <c r="J102" s="73">
        <f>I102/G102</f>
        <v>2.4665600000000003</v>
      </c>
      <c r="K102" s="75">
        <f t="shared" si="19"/>
        <v>997.34042553191489</v>
      </c>
      <c r="L102" s="75">
        <f t="shared" si="20"/>
        <v>19946.808510638297</v>
      </c>
      <c r="M102" s="114">
        <f t="shared" si="21"/>
        <v>0.282752</v>
      </c>
      <c r="N102" s="96">
        <f t="shared" ref="N102:N111" si="28">M102/G102</f>
        <v>1.41376E-2</v>
      </c>
      <c r="O102" s="73">
        <f t="shared" si="22"/>
        <v>46.371327999999998</v>
      </c>
      <c r="P102" s="73">
        <f t="shared" si="23"/>
        <v>2.3185663999999999</v>
      </c>
      <c r="Q102" s="97">
        <f t="shared" ref="Q102:Q111" si="29">ROUND(J102*2500,0)</f>
        <v>6166</v>
      </c>
      <c r="R102" s="75">
        <f t="shared" si="24"/>
        <v>1312.2900335946249</v>
      </c>
      <c r="S102" s="75">
        <f t="shared" si="25"/>
        <v>83111.702127659577</v>
      </c>
    </row>
    <row r="103" spans="2:19" ht="14">
      <c r="D103" s="115">
        <v>4</v>
      </c>
      <c r="E103" s="113">
        <f t="shared" ref="E103:E106" si="30">1-E108</f>
        <v>0.94</v>
      </c>
      <c r="F103" s="72" t="s">
        <v>82</v>
      </c>
      <c r="G103" s="60">
        <f>COUNTIFS(gacha_select_tables!H:H,F103,gacha_select_tables!I:I,D103,gacha_select_tables!E:E,0)-G104</f>
        <v>30</v>
      </c>
      <c r="H103" s="114">
        <f t="shared" si="26"/>
        <v>0.45119999999999988</v>
      </c>
      <c r="I103" s="73">
        <f t="shared" si="27"/>
        <v>73.996799999999979</v>
      </c>
      <c r="J103" s="73">
        <f t="shared" ref="J103:J110" si="31">I103/G103</f>
        <v>2.4665599999999994</v>
      </c>
      <c r="K103" s="75">
        <f t="shared" si="19"/>
        <v>664.89361702127678</v>
      </c>
      <c r="L103" s="75">
        <f t="shared" si="20"/>
        <v>19946.808510638304</v>
      </c>
      <c r="M103" s="114">
        <f t="shared" si="21"/>
        <v>0.42412799999999984</v>
      </c>
      <c r="N103" s="96">
        <f t="shared" si="28"/>
        <v>1.4137599999999995E-2</v>
      </c>
      <c r="O103" s="73">
        <f t="shared" si="22"/>
        <v>69.55699199999998</v>
      </c>
      <c r="P103" s="73">
        <f t="shared" si="23"/>
        <v>2.3185663999999995</v>
      </c>
      <c r="Q103" s="97">
        <f t="shared" si="29"/>
        <v>6166</v>
      </c>
      <c r="R103" s="75">
        <f t="shared" si="24"/>
        <v>874.86002239641664</v>
      </c>
      <c r="S103" s="75">
        <f t="shared" si="25"/>
        <v>83111.702127659591</v>
      </c>
    </row>
    <row r="104" spans="2:19" ht="14">
      <c r="D104" s="115">
        <v>4</v>
      </c>
      <c r="E104" s="113">
        <f t="shared" si="30"/>
        <v>0.94</v>
      </c>
      <c r="F104" s="107" t="s">
        <v>149</v>
      </c>
      <c r="G104" s="60">
        <f>COUNTIFS(gacha_conf!D$2:D$14,F104,gacha_conf!C$2:C$14,D104)</f>
        <v>0</v>
      </c>
      <c r="H104" s="114">
        <f t="shared" si="26"/>
        <v>0</v>
      </c>
      <c r="I104" s="73">
        <f t="shared" si="27"/>
        <v>0</v>
      </c>
      <c r="J104" s="73">
        <f>IFERROR(I104/G104,0)</f>
        <v>0</v>
      </c>
      <c r="K104" s="75" t="e">
        <f t="shared" si="19"/>
        <v>#DIV/0!</v>
      </c>
      <c r="L104" s="75" t="e">
        <f t="shared" si="20"/>
        <v>#DIV/0!</v>
      </c>
      <c r="M104" s="114">
        <f>E104*H104</f>
        <v>0</v>
      </c>
      <c r="N104" s="96" t="e">
        <f t="shared" si="28"/>
        <v>#DIV/0!</v>
      </c>
      <c r="O104" s="73">
        <f t="shared" si="22"/>
        <v>0</v>
      </c>
      <c r="P104" s="73" t="e">
        <f t="shared" si="23"/>
        <v>#DIV/0!</v>
      </c>
      <c r="Q104" s="97">
        <f t="shared" si="29"/>
        <v>0</v>
      </c>
      <c r="R104" s="75" t="e">
        <f t="shared" si="24"/>
        <v>#DIV/0!</v>
      </c>
      <c r="S104" s="75" t="e">
        <f t="shared" si="25"/>
        <v>#DIV/0!</v>
      </c>
    </row>
    <row r="105" spans="2:19" ht="14">
      <c r="D105" s="115">
        <v>4</v>
      </c>
      <c r="E105" s="113">
        <f t="shared" si="30"/>
        <v>0.94</v>
      </c>
      <c r="F105" s="15" t="s">
        <v>71</v>
      </c>
      <c r="G105" s="60">
        <f>COUNTIFS(gacha_select_tables!H:H,F105,gacha_select_tables!I:I,D105,gacha_select_tables!E:E,0)-G106</f>
        <v>22</v>
      </c>
      <c r="H105" s="114">
        <f t="shared" si="26"/>
        <v>3.7600000000000001E-2</v>
      </c>
      <c r="I105" s="73">
        <f t="shared" si="27"/>
        <v>6.1664000000000003</v>
      </c>
      <c r="J105" s="73">
        <f t="shared" si="31"/>
        <v>0.28029090909090909</v>
      </c>
      <c r="K105" s="75">
        <f t="shared" si="19"/>
        <v>7978.7234042553191</v>
      </c>
      <c r="L105" s="75">
        <f t="shared" si="20"/>
        <v>175531.91489361701</v>
      </c>
      <c r="M105" s="114">
        <f>E105*H105</f>
        <v>3.5344E-2</v>
      </c>
      <c r="N105" s="96">
        <f t="shared" si="28"/>
        <v>1.6065454545454545E-3</v>
      </c>
      <c r="O105" s="73">
        <f t="shared" si="22"/>
        <v>5.7964159999999998</v>
      </c>
      <c r="P105" s="73">
        <f t="shared" si="23"/>
        <v>0.26347345454545451</v>
      </c>
      <c r="Q105" s="97">
        <f t="shared" si="29"/>
        <v>701</v>
      </c>
      <c r="R105" s="75">
        <f t="shared" si="24"/>
        <v>44950.554390170815</v>
      </c>
      <c r="S105" s="75">
        <f t="shared" si="25"/>
        <v>731382.97872340423</v>
      </c>
    </row>
    <row r="106" spans="2:19" ht="14">
      <c r="D106" s="116">
        <v>4</v>
      </c>
      <c r="E106" s="113">
        <f t="shared" si="30"/>
        <v>0.94</v>
      </c>
      <c r="F106" s="107" t="s">
        <v>151</v>
      </c>
      <c r="G106" s="60">
        <f>COUNTIFS(gacha_conf!D$2:D$14,F106,gacha_conf!C$2:C$14,D106)</f>
        <v>0</v>
      </c>
      <c r="H106" s="114">
        <f t="shared" si="26"/>
        <v>0</v>
      </c>
      <c r="I106" s="73">
        <f t="shared" si="27"/>
        <v>0</v>
      </c>
      <c r="J106" s="73">
        <f>IFERROR(I106/G106,0)</f>
        <v>0</v>
      </c>
      <c r="K106" s="75" t="e">
        <f t="shared" si="19"/>
        <v>#DIV/0!</v>
      </c>
      <c r="L106" s="75" t="e">
        <f t="shared" si="20"/>
        <v>#DIV/0!</v>
      </c>
      <c r="M106" s="114">
        <f>E106*H106</f>
        <v>0</v>
      </c>
      <c r="N106" s="96" t="e">
        <f t="shared" si="28"/>
        <v>#DIV/0!</v>
      </c>
      <c r="O106" s="73">
        <f t="shared" si="22"/>
        <v>0</v>
      </c>
      <c r="P106" s="73" t="e">
        <f t="shared" si="23"/>
        <v>#DIV/0!</v>
      </c>
      <c r="Q106" s="97">
        <f t="shared" si="29"/>
        <v>0</v>
      </c>
      <c r="R106" s="75" t="e">
        <f t="shared" si="24"/>
        <v>#DIV/0!</v>
      </c>
      <c r="S106" s="75" t="e">
        <f t="shared" si="25"/>
        <v>#DIV/0!</v>
      </c>
    </row>
    <row r="107" spans="2:19" ht="14">
      <c r="D107" s="90">
        <v>5</v>
      </c>
      <c r="E107" s="113">
        <f>gacha_conf!H$6</f>
        <v>0.06</v>
      </c>
      <c r="F107" s="72" t="s">
        <v>157</v>
      </c>
      <c r="G107" s="60">
        <f>COUNTIFS(gacha_select_tables!H:H,F107,gacha_select_tables!I:I,D107,gacha_select_tables!E:E,0)</f>
        <v>20</v>
      </c>
      <c r="H107" s="114">
        <f t="shared" si="26"/>
        <v>1.9199999999999998E-2</v>
      </c>
      <c r="I107" s="73">
        <f t="shared" si="27"/>
        <v>3.1487999999999996</v>
      </c>
      <c r="J107" s="73">
        <f t="shared" si="31"/>
        <v>0.15743999999999997</v>
      </c>
      <c r="K107" s="75">
        <f t="shared" si="19"/>
        <v>15625</v>
      </c>
      <c r="L107" s="75">
        <f t="shared" si="20"/>
        <v>312500</v>
      </c>
      <c r="M107" s="114">
        <f t="shared" si="21"/>
        <v>1.1519999999999998E-3</v>
      </c>
      <c r="N107" s="96">
        <f t="shared" si="28"/>
        <v>5.7599999999999991E-5</v>
      </c>
      <c r="O107" s="73">
        <f t="shared" si="22"/>
        <v>0.18892799999999996</v>
      </c>
      <c r="P107" s="73">
        <f t="shared" si="23"/>
        <v>9.4463999999999972E-3</v>
      </c>
      <c r="Q107" s="97">
        <f t="shared" si="29"/>
        <v>394</v>
      </c>
      <c r="R107" s="75">
        <f t="shared" si="24"/>
        <v>88028.169014084517</v>
      </c>
      <c r="S107" s="75">
        <f>100/(H107*E$67*100)*E$17 * G107</f>
        <v>5000000</v>
      </c>
    </row>
    <row r="108" spans="2:19" ht="14">
      <c r="D108" s="115">
        <v>5</v>
      </c>
      <c r="E108" s="113">
        <f>gacha_conf!H$6</f>
        <v>0.06</v>
      </c>
      <c r="F108" s="72" t="s">
        <v>82</v>
      </c>
      <c r="G108" s="60">
        <f>COUNTIFS(gacha_select_tables!H:H,F108,gacha_select_tables!I:I,D108,gacha_select_tables!E:E,0)-G109</f>
        <v>30</v>
      </c>
      <c r="H108" s="114">
        <f t="shared" si="26"/>
        <v>2.8799999999999996E-2</v>
      </c>
      <c r="I108" s="73">
        <f t="shared" si="27"/>
        <v>4.7231999999999994</v>
      </c>
      <c r="J108" s="73">
        <f t="shared" si="31"/>
        <v>0.15743999999999997</v>
      </c>
      <c r="K108" s="75">
        <f t="shared" si="19"/>
        <v>10416.666666666668</v>
      </c>
      <c r="L108" s="75">
        <f t="shared" si="20"/>
        <v>312500.00000000006</v>
      </c>
      <c r="M108" s="114">
        <f t="shared" si="21"/>
        <v>1.7279999999999997E-3</v>
      </c>
      <c r="N108" s="96">
        <f t="shared" si="28"/>
        <v>5.7599999999999991E-5</v>
      </c>
      <c r="O108" s="73">
        <f t="shared" si="22"/>
        <v>0.28339199999999998</v>
      </c>
      <c r="P108" s="73">
        <f t="shared" si="23"/>
        <v>9.4463999999999989E-3</v>
      </c>
      <c r="Q108" s="97">
        <f t="shared" si="29"/>
        <v>394</v>
      </c>
      <c r="R108" s="75">
        <f t="shared" si="24"/>
        <v>11111.111111111111</v>
      </c>
      <c r="S108" s="75">
        <f>100/(H108*E$67*100)*E$17 * G108</f>
        <v>5000000.0000000009</v>
      </c>
    </row>
    <row r="109" spans="2:19" ht="14">
      <c r="D109" s="115">
        <v>5</v>
      </c>
      <c r="E109" s="113">
        <f>gacha_conf!H$6</f>
        <v>0.06</v>
      </c>
      <c r="F109" s="107" t="s">
        <v>149</v>
      </c>
      <c r="G109" s="60">
        <f>COUNTIFS(gacha_conf!D$2:D$14,F109,gacha_conf!C$2:C$14,D109)</f>
        <v>0</v>
      </c>
      <c r="H109" s="114">
        <f t="shared" si="26"/>
        <v>0</v>
      </c>
      <c r="I109" s="73">
        <f t="shared" si="27"/>
        <v>0</v>
      </c>
      <c r="J109" s="73">
        <f>IFERROR(I109/G109,0)</f>
        <v>0</v>
      </c>
      <c r="K109" s="75" t="e">
        <f t="shared" si="19"/>
        <v>#DIV/0!</v>
      </c>
      <c r="L109" s="75" t="e">
        <f t="shared" si="20"/>
        <v>#DIV/0!</v>
      </c>
      <c r="M109" s="114">
        <f>E109*H109</f>
        <v>0</v>
      </c>
      <c r="N109" s="96" t="e">
        <f t="shared" si="28"/>
        <v>#DIV/0!</v>
      </c>
      <c r="O109" s="73">
        <f t="shared" si="22"/>
        <v>0</v>
      </c>
      <c r="P109" s="73" t="e">
        <f t="shared" si="23"/>
        <v>#DIV/0!</v>
      </c>
      <c r="Q109" s="97">
        <f t="shared" si="29"/>
        <v>0</v>
      </c>
      <c r="R109" s="75" t="e">
        <f t="shared" si="24"/>
        <v>#DIV/0!</v>
      </c>
      <c r="S109" s="75" t="e">
        <f>100/(H109*E$67*100)*E$17 * G109</f>
        <v>#DIV/0!</v>
      </c>
    </row>
    <row r="110" spans="2:19" ht="14">
      <c r="D110" s="115">
        <v>5</v>
      </c>
      <c r="E110" s="113">
        <f>gacha_conf!H$6</f>
        <v>0.06</v>
      </c>
      <c r="F110" s="15" t="s">
        <v>71</v>
      </c>
      <c r="G110" s="60">
        <f>COUNTIFS(gacha_select_tables!H:H,F110,gacha_select_tables!I:I,D110,gacha_select_tables!E:E,0)-G111</f>
        <v>22</v>
      </c>
      <c r="H110" s="114">
        <f t="shared" si="26"/>
        <v>2.3999999999999998E-3</v>
      </c>
      <c r="I110" s="73">
        <f t="shared" si="27"/>
        <v>0.39359999999999995</v>
      </c>
      <c r="J110" s="73">
        <f t="shared" si="31"/>
        <v>1.7890909090909089E-2</v>
      </c>
      <c r="K110" s="75">
        <f t="shared" si="19"/>
        <v>125000</v>
      </c>
      <c r="L110" s="75">
        <f t="shared" si="20"/>
        <v>2750000</v>
      </c>
      <c r="M110" s="114">
        <f>E110*H110</f>
        <v>1.4399999999999998E-4</v>
      </c>
      <c r="N110" s="96">
        <f t="shared" si="28"/>
        <v>6.5454545454545442E-6</v>
      </c>
      <c r="O110" s="73">
        <f t="shared" si="22"/>
        <v>2.3615999999999995E-2</v>
      </c>
      <c r="P110" s="73">
        <f t="shared" si="23"/>
        <v>1.0734545454545452E-3</v>
      </c>
      <c r="Q110" s="97">
        <f t="shared" si="29"/>
        <v>45</v>
      </c>
      <c r="R110" s="75">
        <f t="shared" si="24"/>
        <v>2000000</v>
      </c>
      <c r="S110" s="75">
        <f>100/(H110*E$67*100)*E$17 * G110</f>
        <v>44000000</v>
      </c>
    </row>
    <row r="111" spans="2:19" ht="14">
      <c r="D111" s="116">
        <v>5</v>
      </c>
      <c r="E111" s="113">
        <f>gacha_conf!H$6</f>
        <v>0.06</v>
      </c>
      <c r="F111" s="107" t="s">
        <v>151</v>
      </c>
      <c r="G111" s="60">
        <f>COUNTIFS(gacha_conf!D$2:D$14,F111,gacha_conf!C$2:C$14,D111)</f>
        <v>0</v>
      </c>
      <c r="H111" s="114">
        <f>VLOOKUP(F111,D$88:F$93,3,FALSE)*E111</f>
        <v>0</v>
      </c>
      <c r="I111" s="73">
        <f t="shared" si="27"/>
        <v>0</v>
      </c>
      <c r="J111" s="73">
        <f>IFERROR(I111/G111,0)</f>
        <v>0</v>
      </c>
      <c r="K111" s="75" t="e">
        <f t="shared" si="19"/>
        <v>#DIV/0!</v>
      </c>
      <c r="L111" s="75" t="e">
        <f t="shared" si="20"/>
        <v>#DIV/0!</v>
      </c>
      <c r="M111" s="114">
        <f>E111*H111</f>
        <v>0</v>
      </c>
      <c r="N111" s="96" t="e">
        <f t="shared" si="28"/>
        <v>#DIV/0!</v>
      </c>
      <c r="O111" s="73">
        <f t="shared" si="22"/>
        <v>0</v>
      </c>
      <c r="P111" s="73" t="e">
        <f t="shared" si="23"/>
        <v>#DIV/0!</v>
      </c>
      <c r="Q111" s="97">
        <f t="shared" si="29"/>
        <v>0</v>
      </c>
      <c r="R111" s="75" t="e">
        <f>100/(H111*E67*100)*E$17</f>
        <v>#DIV/0!</v>
      </c>
      <c r="S111" s="75" t="e">
        <f>100/(H111*E$67*100)*E$17 * G111</f>
        <v>#DIV/0!</v>
      </c>
    </row>
    <row r="112" spans="2:19" ht="14">
      <c r="D112" s="15"/>
      <c r="E112" s="117">
        <f>E102+E107</f>
        <v>1</v>
      </c>
      <c r="F112" s="72" t="s">
        <v>158</v>
      </c>
      <c r="G112" s="73">
        <f>SUM(G101:G111)</f>
        <v>164</v>
      </c>
      <c r="H112" s="118">
        <f>SUM(H101:H111)</f>
        <v>0.99999999999999989</v>
      </c>
      <c r="I112" s="73">
        <f t="shared" si="27"/>
        <v>163.99999999999997</v>
      </c>
      <c r="J112" s="73">
        <f>I112/G112</f>
        <v>0.99999999999999978</v>
      </c>
      <c r="K112" s="77"/>
      <c r="L112" s="77"/>
      <c r="M112" s="118">
        <f>SUM(M101:M111)</f>
        <v>0.90524799999999994</v>
      </c>
      <c r="N112" s="76"/>
      <c r="O112" s="73">
        <f t="shared" si="22"/>
        <v>148.46067199999999</v>
      </c>
      <c r="P112" s="73">
        <f t="shared" si="23"/>
        <v>0.90524799999999994</v>
      </c>
      <c r="Q112" s="119"/>
      <c r="R112" s="77"/>
      <c r="S112" s="77"/>
    </row>
    <row r="113" spans="8:16" ht="14">
      <c r="H113" s="120"/>
      <c r="I113" s="51"/>
      <c r="M113" s="81"/>
      <c r="N113" s="81"/>
      <c r="P113" s="52"/>
    </row>
    <row r="114" spans="8:16" ht="14">
      <c r="H114" s="120"/>
      <c r="I114" s="51"/>
      <c r="M114" s="81"/>
      <c r="P114" s="52"/>
    </row>
    <row r="115" spans="8:16" ht="14">
      <c r="H115" s="51"/>
      <c r="I115" s="51"/>
      <c r="M115" s="81"/>
      <c r="P115" s="52"/>
    </row>
    <row r="116" spans="8:16" ht="14">
      <c r="H116" s="51"/>
      <c r="I116" s="51"/>
      <c r="M116" s="81"/>
      <c r="P116" s="52"/>
    </row>
    <row r="117" spans="8:16" ht="14">
      <c r="H117" s="51"/>
      <c r="I117" s="51"/>
      <c r="M117" s="81"/>
      <c r="P117" s="52"/>
    </row>
    <row r="118" spans="8:16" ht="14">
      <c r="H118" s="51"/>
      <c r="I118" s="51"/>
      <c r="M118" s="81"/>
      <c r="P118" s="52"/>
    </row>
    <row r="119" spans="8:16" ht="14">
      <c r="H119" s="51"/>
      <c r="I119" s="51"/>
      <c r="M119" s="81"/>
      <c r="P119" s="52"/>
    </row>
    <row r="120" spans="8:16" ht="14">
      <c r="H120" s="51"/>
      <c r="I120" s="51"/>
      <c r="P120" s="52"/>
    </row>
    <row r="121" spans="8:16" ht="14">
      <c r="H121" s="51"/>
      <c r="I121" s="51"/>
      <c r="P121" s="52"/>
    </row>
    <row r="122" spans="8:16" ht="14">
      <c r="H122" s="51"/>
      <c r="I122" s="51"/>
      <c r="P122" s="52"/>
    </row>
    <row r="123" spans="8:16" ht="14">
      <c r="H123" s="51"/>
      <c r="I123" s="51"/>
      <c r="P123" s="52"/>
    </row>
    <row r="124" spans="8:16" ht="14">
      <c r="H124" s="51"/>
      <c r="I124" s="51"/>
      <c r="P124" s="52"/>
    </row>
    <row r="125" spans="8:16" ht="14">
      <c r="H125" s="51"/>
      <c r="I125" s="51"/>
      <c r="P125" s="52"/>
    </row>
    <row r="126" spans="8:16" ht="14">
      <c r="H126" s="51"/>
      <c r="I126" s="51"/>
      <c r="P126" s="52"/>
    </row>
    <row r="127" spans="8:16" ht="14">
      <c r="H127" s="51"/>
      <c r="I127" s="51"/>
      <c r="P127" s="52"/>
    </row>
    <row r="128" spans="8:16" ht="14">
      <c r="H128" s="51"/>
      <c r="I128" s="51"/>
      <c r="P128" s="52"/>
    </row>
    <row r="129" spans="8:16" ht="14">
      <c r="H129" s="51"/>
      <c r="I129" s="51"/>
      <c r="P129" s="52"/>
    </row>
    <row r="130" spans="8:16" ht="14">
      <c r="H130" s="51"/>
      <c r="I130" s="51"/>
      <c r="P130" s="52"/>
    </row>
    <row r="131" spans="8:16" ht="14">
      <c r="H131" s="51"/>
      <c r="I131" s="51"/>
      <c r="P131" s="52"/>
    </row>
    <row r="132" spans="8:16" ht="14">
      <c r="H132" s="51"/>
      <c r="I132" s="51"/>
      <c r="P132" s="52"/>
    </row>
    <row r="133" spans="8:16" ht="14">
      <c r="H133" s="51"/>
      <c r="I133" s="51"/>
      <c r="P133" s="52"/>
    </row>
    <row r="134" spans="8:16" ht="14">
      <c r="H134" s="51"/>
      <c r="I134" s="51"/>
      <c r="P134" s="52"/>
    </row>
    <row r="135" spans="8:16" ht="14">
      <c r="H135" s="51"/>
      <c r="I135" s="51"/>
      <c r="P135" s="52"/>
    </row>
    <row r="136" spans="8:16" ht="14">
      <c r="H136" s="51"/>
      <c r="I136" s="51"/>
      <c r="P136" s="52"/>
    </row>
    <row r="137" spans="8:16" ht="14">
      <c r="H137" s="51"/>
      <c r="I137" s="51"/>
      <c r="P137" s="52"/>
    </row>
    <row r="138" spans="8:16" ht="14">
      <c r="H138" s="51"/>
      <c r="I138" s="51"/>
      <c r="P138" s="52"/>
    </row>
    <row r="139" spans="8:16" ht="14">
      <c r="H139" s="51"/>
      <c r="I139" s="51"/>
      <c r="P139" s="52"/>
    </row>
    <row r="140" spans="8:16" ht="14">
      <c r="H140" s="51"/>
      <c r="I140" s="51"/>
      <c r="P140" s="52"/>
    </row>
    <row r="141" spans="8:16" ht="14">
      <c r="H141" s="51"/>
      <c r="I141" s="51"/>
      <c r="P141" s="52"/>
    </row>
    <row r="142" spans="8:16" ht="15.75" customHeight="1">
      <c r="H142" s="51"/>
      <c r="I142" s="51"/>
      <c r="P142" s="52"/>
    </row>
    <row r="143" spans="8:16" ht="15.75" customHeight="1">
      <c r="H143" s="51"/>
      <c r="I143" s="51"/>
      <c r="P143" s="52"/>
    </row>
    <row r="144" spans="8:16" ht="15.75" customHeight="1">
      <c r="H144" s="51"/>
      <c r="I144" s="51"/>
      <c r="P144" s="52"/>
    </row>
    <row r="145" spans="8:16" ht="15.75" customHeight="1">
      <c r="H145" s="51"/>
      <c r="I145" s="51"/>
      <c r="P145" s="52"/>
    </row>
    <row r="146" spans="8:16" ht="15.75" customHeight="1">
      <c r="H146" s="51"/>
      <c r="I146" s="51"/>
      <c r="P146" s="52"/>
    </row>
    <row r="147" spans="8:16" ht="15.75" customHeight="1">
      <c r="H147" s="51"/>
      <c r="I147" s="51"/>
      <c r="P147" s="52"/>
    </row>
    <row r="148" spans="8:16" ht="15.75" customHeight="1">
      <c r="H148" s="51"/>
      <c r="I148" s="51"/>
      <c r="P148" s="52"/>
    </row>
    <row r="149" spans="8:16" ht="15.75" customHeight="1">
      <c r="H149" s="51"/>
      <c r="I149" s="51"/>
      <c r="P149" s="52"/>
    </row>
    <row r="150" spans="8:16" ht="15.75" customHeight="1">
      <c r="H150" s="51"/>
      <c r="I150" s="51"/>
      <c r="P150" s="52"/>
    </row>
    <row r="151" spans="8:16" ht="15.75" customHeight="1">
      <c r="H151" s="51"/>
      <c r="I151" s="51"/>
      <c r="P151" s="52"/>
    </row>
    <row r="152" spans="8:16" ht="15.75" customHeight="1">
      <c r="H152" s="51"/>
      <c r="I152" s="51"/>
      <c r="P152" s="52"/>
    </row>
    <row r="153" spans="8:16" ht="14">
      <c r="H153" s="51"/>
      <c r="I153" s="51"/>
      <c r="P153" s="52"/>
    </row>
    <row r="154" spans="8:16" ht="15.75" customHeight="1">
      <c r="H154" s="51"/>
      <c r="I154" s="51"/>
      <c r="P154" s="52"/>
    </row>
    <row r="155" spans="8:16" ht="15.75" customHeight="1">
      <c r="H155" s="51"/>
      <c r="I155" s="51"/>
      <c r="P155" s="52"/>
    </row>
    <row r="156" spans="8:16" ht="15.75" customHeight="1">
      <c r="H156" s="51"/>
      <c r="I156" s="51"/>
      <c r="P156" s="52"/>
    </row>
    <row r="157" spans="8:16" ht="15.75" customHeight="1">
      <c r="H157" s="51"/>
      <c r="I157" s="51"/>
      <c r="P157" s="52"/>
    </row>
    <row r="158" spans="8:16" ht="15.75" customHeight="1">
      <c r="H158" s="51"/>
      <c r="I158" s="51"/>
      <c r="P158" s="52"/>
    </row>
    <row r="159" spans="8:16" ht="15.75" customHeight="1">
      <c r="H159" s="51"/>
      <c r="I159" s="51"/>
      <c r="P159" s="52"/>
    </row>
    <row r="160" spans="8:16" ht="15.75" customHeight="1">
      <c r="H160" s="51"/>
      <c r="I160" s="51"/>
      <c r="P160" s="52"/>
    </row>
    <row r="161" spans="8:16" ht="15.75" customHeight="1">
      <c r="H161" s="51"/>
      <c r="I161" s="51"/>
      <c r="P161" s="52"/>
    </row>
    <row r="162" spans="8:16" ht="15.75" customHeight="1">
      <c r="H162" s="51"/>
      <c r="I162" s="51"/>
      <c r="P162" s="52"/>
    </row>
    <row r="163" spans="8:16" ht="15.75" customHeight="1">
      <c r="H163" s="51"/>
      <c r="I163" s="51"/>
      <c r="P163" s="52"/>
    </row>
    <row r="164" spans="8:16" ht="15.75" customHeight="1">
      <c r="H164" s="51"/>
      <c r="I164" s="51"/>
      <c r="P164" s="52"/>
    </row>
    <row r="165" spans="8:16" ht="15.75" customHeight="1">
      <c r="H165" s="51"/>
      <c r="I165" s="51"/>
      <c r="P165" s="52"/>
    </row>
    <row r="166" spans="8:16" ht="15.75" customHeight="1">
      <c r="H166" s="51"/>
      <c r="I166" s="51"/>
      <c r="P166" s="52"/>
    </row>
    <row r="167" spans="8:16" ht="15.75" customHeight="1">
      <c r="H167" s="51"/>
      <c r="I167" s="51"/>
      <c r="P167" s="52"/>
    </row>
    <row r="168" spans="8:16" ht="15.75" customHeight="1">
      <c r="H168" s="51"/>
      <c r="I168" s="51"/>
      <c r="P168" s="52"/>
    </row>
    <row r="169" spans="8:16" ht="15.75" customHeight="1">
      <c r="H169" s="51"/>
      <c r="I169" s="51"/>
      <c r="P169" s="52"/>
    </row>
    <row r="170" spans="8:16" ht="15.75" customHeight="1">
      <c r="H170" s="51"/>
      <c r="I170" s="51"/>
      <c r="P170" s="52"/>
    </row>
    <row r="171" spans="8:16" ht="15.75" customHeight="1">
      <c r="H171" s="51"/>
      <c r="I171" s="51"/>
      <c r="P171" s="52"/>
    </row>
    <row r="172" spans="8:16" ht="15.75" customHeight="1">
      <c r="H172" s="51"/>
      <c r="I172" s="51"/>
      <c r="P172" s="52"/>
    </row>
    <row r="173" spans="8:16" ht="15.75" customHeight="1">
      <c r="H173" s="51"/>
      <c r="I173" s="51"/>
      <c r="P173" s="52"/>
    </row>
    <row r="174" spans="8:16" ht="15.75" customHeight="1">
      <c r="H174" s="51"/>
      <c r="I174" s="51"/>
      <c r="P174" s="52"/>
    </row>
    <row r="175" spans="8:16" ht="15.75" customHeight="1">
      <c r="H175" s="51"/>
      <c r="I175" s="51"/>
      <c r="P175" s="52"/>
    </row>
    <row r="176" spans="8:16" ht="15.75" customHeight="1">
      <c r="H176" s="51"/>
      <c r="I176" s="51"/>
      <c r="P176" s="52"/>
    </row>
    <row r="177" spans="8:16" ht="15.75" customHeight="1">
      <c r="H177" s="51"/>
      <c r="I177" s="51"/>
      <c r="P177" s="52"/>
    </row>
    <row r="178" spans="8:16" ht="15.75" customHeight="1">
      <c r="H178" s="51"/>
      <c r="I178" s="51"/>
      <c r="P178" s="52"/>
    </row>
    <row r="179" spans="8:16" ht="15.75" customHeight="1">
      <c r="H179" s="51"/>
      <c r="I179" s="51"/>
      <c r="P179" s="52"/>
    </row>
    <row r="180" spans="8:16" ht="15.75" customHeight="1">
      <c r="H180" s="51"/>
      <c r="I180" s="51"/>
      <c r="P180" s="52"/>
    </row>
    <row r="181" spans="8:16" ht="15.75" customHeight="1">
      <c r="H181" s="51"/>
      <c r="I181" s="51"/>
      <c r="P181" s="52"/>
    </row>
    <row r="182" spans="8:16" ht="15.75" customHeight="1">
      <c r="H182" s="51"/>
      <c r="I182" s="51"/>
      <c r="P182" s="52"/>
    </row>
    <row r="183" spans="8:16" ht="14">
      <c r="H183" s="51"/>
      <c r="I183" s="51"/>
      <c r="P183" s="52"/>
    </row>
    <row r="184" spans="8:16" ht="14">
      <c r="H184" s="51"/>
      <c r="I184" s="51"/>
      <c r="P184" s="52"/>
    </row>
    <row r="185" spans="8:16" ht="14">
      <c r="H185" s="51"/>
      <c r="I185" s="51"/>
      <c r="P185" s="52"/>
    </row>
    <row r="186" spans="8:16" ht="14">
      <c r="H186" s="51"/>
      <c r="I186" s="51"/>
      <c r="P186" s="52"/>
    </row>
    <row r="187" spans="8:16" ht="14">
      <c r="H187" s="51"/>
      <c r="I187" s="51"/>
      <c r="P187" s="52"/>
    </row>
    <row r="188" spans="8:16" ht="14">
      <c r="H188" s="51"/>
      <c r="I188" s="51"/>
      <c r="P188" s="52"/>
    </row>
    <row r="189" spans="8:16" ht="14">
      <c r="H189" s="51"/>
      <c r="I189" s="51"/>
      <c r="P189" s="52"/>
    </row>
    <row r="190" spans="8:16" ht="14">
      <c r="H190" s="51"/>
      <c r="I190" s="51"/>
      <c r="P190" s="52"/>
    </row>
    <row r="191" spans="8:16" ht="14">
      <c r="H191" s="51"/>
      <c r="I191" s="51"/>
      <c r="P191" s="52"/>
    </row>
    <row r="192" spans="8:16" ht="14">
      <c r="H192" s="51"/>
      <c r="I192" s="51"/>
      <c r="P192" s="52"/>
    </row>
    <row r="193" spans="8:16" ht="14">
      <c r="H193" s="51"/>
      <c r="I193" s="51"/>
      <c r="P193" s="52"/>
    </row>
    <row r="194" spans="8:16" ht="14">
      <c r="H194" s="51"/>
      <c r="I194" s="51"/>
      <c r="P194" s="52"/>
    </row>
    <row r="195" spans="8:16" ht="14">
      <c r="H195" s="51"/>
      <c r="I195" s="51"/>
      <c r="P195" s="52"/>
    </row>
    <row r="196" spans="8:16" ht="14">
      <c r="H196" s="51"/>
      <c r="I196" s="51"/>
      <c r="P196" s="52"/>
    </row>
    <row r="197" spans="8:16" ht="14">
      <c r="H197" s="51"/>
      <c r="I197" s="51"/>
      <c r="P197" s="52"/>
    </row>
    <row r="198" spans="8:16" ht="14">
      <c r="H198" s="51"/>
      <c r="I198" s="51"/>
      <c r="P198" s="52"/>
    </row>
    <row r="199" spans="8:16" ht="14">
      <c r="H199" s="51"/>
      <c r="I199" s="51"/>
      <c r="P199" s="52"/>
    </row>
    <row r="200" spans="8:16" ht="14">
      <c r="H200" s="51"/>
      <c r="I200" s="51"/>
      <c r="P200" s="52"/>
    </row>
    <row r="201" spans="8:16" ht="14">
      <c r="H201" s="51"/>
      <c r="I201" s="51"/>
      <c r="P201" s="52"/>
    </row>
    <row r="202" spans="8:16" ht="14">
      <c r="H202" s="51"/>
      <c r="I202" s="51"/>
      <c r="P202" s="52"/>
    </row>
    <row r="203" spans="8:16" ht="14">
      <c r="H203" s="51"/>
      <c r="I203" s="51"/>
      <c r="P203" s="52"/>
    </row>
    <row r="204" spans="8:16" ht="14">
      <c r="H204" s="51"/>
      <c r="I204" s="51"/>
      <c r="P204" s="52"/>
    </row>
    <row r="205" spans="8:16" ht="14">
      <c r="H205" s="51"/>
      <c r="I205" s="51"/>
      <c r="P205" s="52"/>
    </row>
    <row r="206" spans="8:16" ht="14">
      <c r="H206" s="51"/>
      <c r="I206" s="51"/>
      <c r="P206" s="52"/>
    </row>
    <row r="207" spans="8:16" ht="14">
      <c r="H207" s="51"/>
      <c r="I207" s="51"/>
      <c r="P207" s="52"/>
    </row>
    <row r="208" spans="8:16" ht="14">
      <c r="H208" s="51"/>
      <c r="I208" s="51"/>
      <c r="P208" s="52"/>
    </row>
    <row r="209" spans="8:16" ht="14">
      <c r="H209" s="51"/>
      <c r="I209" s="51"/>
      <c r="P209" s="52"/>
    </row>
    <row r="210" spans="8:16" ht="14">
      <c r="H210" s="51"/>
      <c r="I210" s="51"/>
      <c r="P210" s="52"/>
    </row>
    <row r="211" spans="8:16" ht="14">
      <c r="H211" s="51"/>
      <c r="I211" s="51"/>
      <c r="P211" s="52"/>
    </row>
    <row r="212" spans="8:16" ht="14">
      <c r="H212" s="51"/>
      <c r="I212" s="51"/>
      <c r="P212" s="52"/>
    </row>
    <row r="213" spans="8:16" ht="14">
      <c r="H213" s="51"/>
      <c r="I213" s="51"/>
      <c r="P213" s="52"/>
    </row>
    <row r="214" spans="8:16" ht="14">
      <c r="H214" s="51"/>
      <c r="I214" s="51"/>
      <c r="P214" s="52"/>
    </row>
    <row r="215" spans="8:16" ht="14">
      <c r="H215" s="51"/>
      <c r="I215" s="51"/>
      <c r="P215" s="52"/>
    </row>
    <row r="216" spans="8:16" ht="14">
      <c r="H216" s="51"/>
      <c r="I216" s="51"/>
      <c r="P216" s="52"/>
    </row>
    <row r="217" spans="8:16" ht="14">
      <c r="H217" s="51"/>
      <c r="I217" s="51"/>
      <c r="P217" s="52"/>
    </row>
    <row r="218" spans="8:16" ht="14">
      <c r="H218" s="51"/>
      <c r="I218" s="51"/>
      <c r="P218" s="52"/>
    </row>
    <row r="219" spans="8:16" ht="14">
      <c r="H219" s="51"/>
      <c r="I219" s="51"/>
      <c r="P219" s="52"/>
    </row>
    <row r="220" spans="8:16" ht="14">
      <c r="H220" s="51"/>
      <c r="I220" s="51"/>
      <c r="P220" s="52"/>
    </row>
    <row r="221" spans="8:16" ht="14">
      <c r="H221" s="51"/>
      <c r="I221" s="51"/>
      <c r="P221" s="52"/>
    </row>
    <row r="222" spans="8:16" ht="14">
      <c r="H222" s="51"/>
      <c r="I222" s="51"/>
      <c r="P222" s="52"/>
    </row>
    <row r="223" spans="8:16" ht="14">
      <c r="H223" s="51"/>
      <c r="I223" s="51"/>
      <c r="P223" s="52"/>
    </row>
    <row r="224" spans="8:16" ht="14">
      <c r="H224" s="51"/>
      <c r="I224" s="51"/>
      <c r="P224" s="52"/>
    </row>
    <row r="225" spans="8:16" ht="14">
      <c r="H225" s="51"/>
      <c r="I225" s="51"/>
      <c r="P225" s="52"/>
    </row>
    <row r="226" spans="8:16" ht="14">
      <c r="H226" s="51"/>
      <c r="I226" s="51"/>
      <c r="P226" s="52"/>
    </row>
    <row r="227" spans="8:16" ht="14">
      <c r="H227" s="51"/>
      <c r="I227" s="51"/>
      <c r="P227" s="52"/>
    </row>
    <row r="228" spans="8:16" ht="14">
      <c r="H228" s="51"/>
      <c r="I228" s="51"/>
      <c r="P228" s="52"/>
    </row>
    <row r="229" spans="8:16" ht="14">
      <c r="H229" s="51"/>
      <c r="I229" s="51"/>
      <c r="P229" s="52"/>
    </row>
    <row r="230" spans="8:16" ht="14">
      <c r="H230" s="51"/>
      <c r="I230" s="51"/>
      <c r="P230" s="52"/>
    </row>
    <row r="231" spans="8:16" ht="14">
      <c r="H231" s="51"/>
      <c r="I231" s="51"/>
      <c r="P231" s="52"/>
    </row>
    <row r="232" spans="8:16" ht="14">
      <c r="H232" s="51"/>
      <c r="I232" s="51"/>
      <c r="P232" s="52"/>
    </row>
    <row r="233" spans="8:16" ht="14">
      <c r="H233" s="51"/>
      <c r="I233" s="51"/>
      <c r="P233" s="52"/>
    </row>
    <row r="234" spans="8:16" ht="14">
      <c r="H234" s="51"/>
      <c r="I234" s="51"/>
      <c r="P234" s="52"/>
    </row>
    <row r="235" spans="8:16" ht="14">
      <c r="H235" s="51"/>
      <c r="I235" s="51"/>
      <c r="P235" s="52"/>
    </row>
    <row r="236" spans="8:16" ht="14">
      <c r="H236" s="51"/>
      <c r="I236" s="51"/>
      <c r="P236" s="52"/>
    </row>
    <row r="237" spans="8:16" ht="14">
      <c r="H237" s="51"/>
      <c r="I237" s="51"/>
      <c r="P237" s="52"/>
    </row>
    <row r="238" spans="8:16" ht="14">
      <c r="H238" s="51"/>
      <c r="I238" s="51"/>
      <c r="P238" s="52"/>
    </row>
    <row r="239" spans="8:16" ht="14">
      <c r="H239" s="51"/>
      <c r="I239" s="51"/>
      <c r="P239" s="52"/>
    </row>
    <row r="240" spans="8:16" ht="14">
      <c r="H240" s="51"/>
      <c r="I240" s="51"/>
      <c r="P240" s="52"/>
    </row>
    <row r="241" spans="8:16" ht="14">
      <c r="H241" s="51"/>
      <c r="I241" s="51"/>
      <c r="P241" s="52"/>
    </row>
    <row r="242" spans="8:16" ht="14">
      <c r="H242" s="51"/>
      <c r="I242" s="51"/>
      <c r="P242" s="52"/>
    </row>
    <row r="243" spans="8:16" ht="14">
      <c r="H243" s="51"/>
      <c r="I243" s="51"/>
      <c r="P243" s="52"/>
    </row>
    <row r="244" spans="8:16" ht="14">
      <c r="H244" s="51"/>
      <c r="I244" s="51"/>
      <c r="P244" s="52"/>
    </row>
    <row r="245" spans="8:16" ht="14">
      <c r="H245" s="51"/>
      <c r="I245" s="51"/>
      <c r="P245" s="52"/>
    </row>
    <row r="246" spans="8:16" ht="14">
      <c r="H246" s="51"/>
      <c r="I246" s="51"/>
      <c r="P246" s="52"/>
    </row>
    <row r="247" spans="8:16" ht="14">
      <c r="H247" s="51"/>
      <c r="I247" s="51"/>
      <c r="P247" s="52"/>
    </row>
    <row r="248" spans="8:16" ht="14">
      <c r="H248" s="51"/>
      <c r="I248" s="51"/>
      <c r="P248" s="52"/>
    </row>
    <row r="249" spans="8:16" ht="14">
      <c r="H249" s="51"/>
      <c r="I249" s="51"/>
      <c r="P249" s="52"/>
    </row>
    <row r="250" spans="8:16" ht="14">
      <c r="H250" s="51"/>
      <c r="I250" s="51"/>
      <c r="P250" s="52"/>
    </row>
    <row r="251" spans="8:16" ht="14">
      <c r="H251" s="51"/>
      <c r="I251" s="51"/>
      <c r="P251" s="52"/>
    </row>
    <row r="252" spans="8:16" ht="14">
      <c r="H252" s="51"/>
      <c r="I252" s="51"/>
      <c r="P252" s="52"/>
    </row>
    <row r="253" spans="8:16" ht="14">
      <c r="H253" s="51"/>
      <c r="I253" s="51"/>
      <c r="P253" s="52"/>
    </row>
    <row r="254" spans="8:16" ht="14">
      <c r="H254" s="51"/>
      <c r="I254" s="51"/>
      <c r="P254" s="52"/>
    </row>
    <row r="255" spans="8:16" ht="14">
      <c r="H255" s="51"/>
      <c r="I255" s="51"/>
      <c r="P255" s="52"/>
    </row>
    <row r="256" spans="8:16" ht="14">
      <c r="H256" s="51"/>
      <c r="I256" s="51"/>
      <c r="P256" s="52"/>
    </row>
    <row r="257" spans="8:16" ht="14">
      <c r="H257" s="51"/>
      <c r="I257" s="51"/>
      <c r="P257" s="52"/>
    </row>
    <row r="258" spans="8:16" ht="14">
      <c r="H258" s="51"/>
      <c r="I258" s="51"/>
      <c r="P258" s="52"/>
    </row>
    <row r="259" spans="8:16" ht="14">
      <c r="H259" s="51"/>
      <c r="I259" s="51"/>
      <c r="P259" s="52"/>
    </row>
    <row r="260" spans="8:16" ht="14">
      <c r="H260" s="51"/>
      <c r="I260" s="51"/>
      <c r="P260" s="52"/>
    </row>
    <row r="261" spans="8:16" ht="14">
      <c r="H261" s="51"/>
      <c r="I261" s="51"/>
      <c r="P261" s="52"/>
    </row>
    <row r="262" spans="8:16" ht="14">
      <c r="H262" s="51"/>
      <c r="I262" s="51"/>
      <c r="P262" s="52"/>
    </row>
    <row r="263" spans="8:16" ht="14">
      <c r="H263" s="51"/>
      <c r="I263" s="51"/>
      <c r="P263" s="52"/>
    </row>
    <row r="264" spans="8:16" ht="14">
      <c r="H264" s="51"/>
      <c r="I264" s="51"/>
      <c r="P264" s="52"/>
    </row>
    <row r="265" spans="8:16" ht="14">
      <c r="H265" s="51"/>
      <c r="I265" s="51"/>
      <c r="P265" s="52"/>
    </row>
    <row r="266" spans="8:16" ht="14">
      <c r="H266" s="51"/>
      <c r="I266" s="51"/>
      <c r="P266" s="52"/>
    </row>
    <row r="267" spans="8:16" ht="14">
      <c r="H267" s="51"/>
      <c r="I267" s="51"/>
      <c r="P267" s="52"/>
    </row>
    <row r="268" spans="8:16" ht="14">
      <c r="H268" s="51"/>
      <c r="I268" s="51"/>
      <c r="P268" s="52"/>
    </row>
    <row r="269" spans="8:16" ht="14">
      <c r="H269" s="51"/>
      <c r="I269" s="51"/>
      <c r="P269" s="52"/>
    </row>
    <row r="270" spans="8:16" ht="14">
      <c r="H270" s="51"/>
      <c r="I270" s="51"/>
      <c r="P270" s="52"/>
    </row>
    <row r="271" spans="8:16" ht="14">
      <c r="H271" s="51"/>
      <c r="I271" s="51"/>
      <c r="P271" s="52"/>
    </row>
    <row r="272" spans="8:16" ht="14">
      <c r="H272" s="51"/>
      <c r="I272" s="51"/>
      <c r="P272" s="52"/>
    </row>
    <row r="273" spans="8:16" ht="14">
      <c r="H273" s="51"/>
      <c r="I273" s="51"/>
      <c r="P273" s="52"/>
    </row>
    <row r="274" spans="8:16" ht="14">
      <c r="H274" s="51"/>
      <c r="I274" s="51"/>
      <c r="P274" s="52"/>
    </row>
    <row r="275" spans="8:16" ht="14">
      <c r="H275" s="51"/>
      <c r="I275" s="51"/>
      <c r="P275" s="52"/>
    </row>
    <row r="276" spans="8:16" ht="14">
      <c r="H276" s="51"/>
      <c r="I276" s="51"/>
      <c r="P276" s="52"/>
    </row>
    <row r="277" spans="8:16" ht="14">
      <c r="H277" s="51"/>
      <c r="I277" s="51"/>
      <c r="P277" s="52"/>
    </row>
    <row r="278" spans="8:16" ht="14">
      <c r="H278" s="51"/>
      <c r="I278" s="51"/>
      <c r="P278" s="52"/>
    </row>
    <row r="279" spans="8:16" ht="14">
      <c r="H279" s="51"/>
      <c r="I279" s="51"/>
      <c r="P279" s="52"/>
    </row>
    <row r="280" spans="8:16" ht="14">
      <c r="H280" s="51"/>
      <c r="I280" s="51"/>
      <c r="P280" s="52"/>
    </row>
    <row r="281" spans="8:16" ht="14">
      <c r="H281" s="51"/>
      <c r="I281" s="51"/>
      <c r="P281" s="52"/>
    </row>
    <row r="282" spans="8:16" ht="14">
      <c r="H282" s="51"/>
      <c r="I282" s="51"/>
      <c r="P282" s="52"/>
    </row>
    <row r="283" spans="8:16" ht="14">
      <c r="H283" s="51"/>
      <c r="I283" s="51"/>
      <c r="P283" s="52"/>
    </row>
    <row r="284" spans="8:16" ht="14">
      <c r="H284" s="51"/>
      <c r="I284" s="51"/>
      <c r="P284" s="52"/>
    </row>
    <row r="285" spans="8:16" ht="14">
      <c r="H285" s="51"/>
      <c r="I285" s="51"/>
      <c r="P285" s="52"/>
    </row>
    <row r="286" spans="8:16" ht="14">
      <c r="H286" s="51"/>
      <c r="I286" s="51"/>
      <c r="P286" s="52"/>
    </row>
    <row r="287" spans="8:16" ht="14">
      <c r="H287" s="51"/>
      <c r="I287" s="51"/>
      <c r="P287" s="52"/>
    </row>
    <row r="288" spans="8:16" ht="14">
      <c r="H288" s="51"/>
      <c r="I288" s="51"/>
      <c r="P288" s="52"/>
    </row>
    <row r="289" spans="8:16" ht="14">
      <c r="H289" s="51"/>
      <c r="I289" s="51"/>
      <c r="P289" s="52"/>
    </row>
    <row r="290" spans="8:16" ht="14">
      <c r="H290" s="51"/>
      <c r="I290" s="51"/>
      <c r="P290" s="52"/>
    </row>
    <row r="291" spans="8:16" ht="14">
      <c r="H291" s="51"/>
      <c r="I291" s="51"/>
      <c r="P291" s="52"/>
    </row>
    <row r="292" spans="8:16" ht="14">
      <c r="H292" s="51"/>
      <c r="I292" s="51"/>
      <c r="P292" s="52"/>
    </row>
    <row r="293" spans="8:16" ht="14">
      <c r="H293" s="51"/>
      <c r="I293" s="51"/>
      <c r="P293" s="52"/>
    </row>
    <row r="294" spans="8:16" ht="14">
      <c r="H294" s="51"/>
      <c r="I294" s="51"/>
      <c r="P294" s="52"/>
    </row>
    <row r="295" spans="8:16" ht="14">
      <c r="H295" s="51"/>
      <c r="I295" s="51"/>
      <c r="P295" s="52"/>
    </row>
    <row r="296" spans="8:16" ht="14">
      <c r="H296" s="51"/>
      <c r="I296" s="51"/>
      <c r="P296" s="52"/>
    </row>
    <row r="297" spans="8:16" ht="14">
      <c r="H297" s="51"/>
      <c r="I297" s="51"/>
      <c r="P297" s="52"/>
    </row>
    <row r="298" spans="8:16" ht="14">
      <c r="H298" s="51"/>
      <c r="I298" s="51"/>
      <c r="P298" s="52"/>
    </row>
    <row r="299" spans="8:16" ht="14">
      <c r="H299" s="51"/>
      <c r="I299" s="51"/>
      <c r="P299" s="52"/>
    </row>
    <row r="300" spans="8:16" ht="14">
      <c r="H300" s="51"/>
      <c r="I300" s="51"/>
      <c r="P300" s="52"/>
    </row>
    <row r="301" spans="8:16" ht="14">
      <c r="H301" s="51"/>
      <c r="I301" s="51"/>
      <c r="P301" s="52"/>
    </row>
    <row r="302" spans="8:16" ht="14">
      <c r="H302" s="51"/>
      <c r="I302" s="51"/>
      <c r="P302" s="52"/>
    </row>
    <row r="303" spans="8:16" ht="14">
      <c r="H303" s="51"/>
      <c r="I303" s="51"/>
      <c r="P303" s="52"/>
    </row>
    <row r="304" spans="8:16" ht="14">
      <c r="H304" s="51"/>
      <c r="I304" s="51"/>
      <c r="P304" s="52"/>
    </row>
    <row r="305" spans="8:16" ht="14">
      <c r="H305" s="51"/>
      <c r="I305" s="51"/>
      <c r="P305" s="52"/>
    </row>
    <row r="306" spans="8:16" ht="14">
      <c r="H306" s="51"/>
      <c r="I306" s="51"/>
      <c r="P306" s="52"/>
    </row>
    <row r="307" spans="8:16" ht="14">
      <c r="H307" s="51"/>
      <c r="I307" s="51"/>
      <c r="P307" s="52"/>
    </row>
    <row r="308" spans="8:16" ht="14">
      <c r="H308" s="51"/>
      <c r="I308" s="51"/>
      <c r="P308" s="52"/>
    </row>
    <row r="309" spans="8:16" ht="14">
      <c r="H309" s="51"/>
      <c r="I309" s="51"/>
      <c r="P309" s="52"/>
    </row>
    <row r="310" spans="8:16" ht="14">
      <c r="H310" s="51"/>
      <c r="I310" s="51"/>
      <c r="P310" s="52"/>
    </row>
    <row r="311" spans="8:16" ht="14">
      <c r="H311" s="51"/>
      <c r="I311" s="51"/>
      <c r="P311" s="52"/>
    </row>
    <row r="312" spans="8:16" ht="14">
      <c r="H312" s="51"/>
      <c r="I312" s="51"/>
      <c r="P312" s="52"/>
    </row>
    <row r="313" spans="8:16" ht="14">
      <c r="H313" s="51"/>
      <c r="I313" s="51"/>
      <c r="P313" s="52"/>
    </row>
    <row r="314" spans="8:16" ht="14">
      <c r="H314" s="51"/>
      <c r="I314" s="51"/>
      <c r="P314" s="52"/>
    </row>
    <row r="315" spans="8:16" ht="14">
      <c r="H315" s="51"/>
      <c r="I315" s="51"/>
      <c r="P315" s="52"/>
    </row>
    <row r="316" spans="8:16" ht="14">
      <c r="H316" s="51"/>
      <c r="I316" s="51"/>
      <c r="P316" s="52"/>
    </row>
    <row r="317" spans="8:16" ht="14">
      <c r="H317" s="51"/>
      <c r="I317" s="51"/>
      <c r="P317" s="52"/>
    </row>
    <row r="318" spans="8:16" ht="14">
      <c r="H318" s="51"/>
      <c r="I318" s="51"/>
      <c r="P318" s="52"/>
    </row>
    <row r="319" spans="8:16" ht="14">
      <c r="H319" s="51"/>
      <c r="I319" s="51"/>
      <c r="P319" s="52"/>
    </row>
    <row r="320" spans="8:16" ht="14">
      <c r="H320" s="51"/>
      <c r="I320" s="51"/>
      <c r="P320" s="52"/>
    </row>
    <row r="321" spans="8:16" ht="14">
      <c r="H321" s="51"/>
      <c r="I321" s="51"/>
      <c r="P321" s="52"/>
    </row>
    <row r="322" spans="8:16" ht="14">
      <c r="H322" s="51"/>
      <c r="I322" s="51"/>
      <c r="P322" s="52"/>
    </row>
    <row r="323" spans="8:16" ht="14">
      <c r="H323" s="51"/>
      <c r="I323" s="51"/>
      <c r="P323" s="52"/>
    </row>
    <row r="324" spans="8:16" ht="14">
      <c r="H324" s="51"/>
      <c r="I324" s="51"/>
      <c r="P324" s="52"/>
    </row>
    <row r="325" spans="8:16" ht="14">
      <c r="H325" s="51"/>
      <c r="I325" s="51"/>
      <c r="P325" s="52"/>
    </row>
    <row r="326" spans="8:16" ht="14">
      <c r="H326" s="51"/>
      <c r="I326" s="51"/>
      <c r="P326" s="52"/>
    </row>
    <row r="327" spans="8:16" ht="14">
      <c r="H327" s="51"/>
      <c r="I327" s="51"/>
      <c r="P327" s="52"/>
    </row>
    <row r="328" spans="8:16" ht="14">
      <c r="H328" s="51"/>
      <c r="I328" s="51"/>
      <c r="P328" s="52"/>
    </row>
    <row r="329" spans="8:16" ht="14">
      <c r="H329" s="51"/>
      <c r="I329" s="51"/>
      <c r="P329" s="52"/>
    </row>
    <row r="330" spans="8:16" ht="14">
      <c r="H330" s="51"/>
      <c r="I330" s="51"/>
      <c r="P330" s="52"/>
    </row>
    <row r="331" spans="8:16" ht="14">
      <c r="H331" s="51"/>
      <c r="I331" s="51"/>
      <c r="P331" s="52"/>
    </row>
    <row r="332" spans="8:16" ht="14">
      <c r="H332" s="51"/>
      <c r="I332" s="51"/>
      <c r="P332" s="52"/>
    </row>
    <row r="333" spans="8:16" ht="14">
      <c r="H333" s="51"/>
      <c r="I333" s="51"/>
      <c r="P333" s="52"/>
    </row>
    <row r="334" spans="8:16" ht="14">
      <c r="H334" s="51"/>
      <c r="I334" s="51"/>
      <c r="P334" s="52"/>
    </row>
    <row r="335" spans="8:16" ht="14">
      <c r="H335" s="51"/>
      <c r="I335" s="51"/>
      <c r="P335" s="52"/>
    </row>
    <row r="336" spans="8:16" ht="14">
      <c r="H336" s="51"/>
      <c r="I336" s="51"/>
      <c r="P336" s="52"/>
    </row>
    <row r="337" spans="8:16" ht="14">
      <c r="H337" s="51"/>
      <c r="I337" s="51"/>
      <c r="P337" s="52"/>
    </row>
    <row r="338" spans="8:16" ht="14">
      <c r="H338" s="51"/>
      <c r="I338" s="51"/>
      <c r="P338" s="52"/>
    </row>
    <row r="339" spans="8:16" ht="14">
      <c r="H339" s="51"/>
      <c r="I339" s="51"/>
      <c r="P339" s="52"/>
    </row>
    <row r="340" spans="8:16" ht="14">
      <c r="H340" s="51"/>
      <c r="I340" s="51"/>
      <c r="P340" s="52"/>
    </row>
    <row r="341" spans="8:16" ht="14">
      <c r="H341" s="51"/>
      <c r="I341" s="51"/>
      <c r="P341" s="52"/>
    </row>
    <row r="342" spans="8:16" ht="14">
      <c r="H342" s="51"/>
      <c r="I342" s="51"/>
      <c r="P342" s="52"/>
    </row>
    <row r="343" spans="8:16" ht="14">
      <c r="H343" s="51"/>
      <c r="I343" s="51"/>
      <c r="P343" s="52"/>
    </row>
    <row r="344" spans="8:16" ht="14">
      <c r="H344" s="51"/>
      <c r="I344" s="51"/>
      <c r="P344" s="52"/>
    </row>
    <row r="345" spans="8:16" ht="14">
      <c r="H345" s="51"/>
      <c r="I345" s="51"/>
      <c r="P345" s="52"/>
    </row>
    <row r="346" spans="8:16" ht="14">
      <c r="H346" s="51"/>
      <c r="I346" s="51"/>
      <c r="P346" s="52"/>
    </row>
    <row r="347" spans="8:16" ht="14">
      <c r="H347" s="51"/>
      <c r="I347" s="51"/>
      <c r="P347" s="52"/>
    </row>
    <row r="348" spans="8:16" ht="14">
      <c r="H348" s="51"/>
      <c r="I348" s="51"/>
      <c r="P348" s="52"/>
    </row>
    <row r="349" spans="8:16" ht="14">
      <c r="H349" s="51"/>
      <c r="I349" s="51"/>
      <c r="P349" s="52"/>
    </row>
    <row r="350" spans="8:16" ht="14">
      <c r="H350" s="51"/>
      <c r="I350" s="51"/>
      <c r="P350" s="52"/>
    </row>
    <row r="351" spans="8:16" ht="14">
      <c r="H351" s="51"/>
      <c r="I351" s="51"/>
      <c r="P351" s="52"/>
    </row>
    <row r="352" spans="8:16" ht="14">
      <c r="H352" s="51"/>
      <c r="I352" s="51"/>
      <c r="P352" s="52"/>
    </row>
    <row r="353" spans="8:16" ht="14">
      <c r="H353" s="51"/>
      <c r="I353" s="51"/>
      <c r="P353" s="52"/>
    </row>
    <row r="354" spans="8:16" ht="14">
      <c r="H354" s="51"/>
      <c r="I354" s="51"/>
      <c r="P354" s="52"/>
    </row>
    <row r="355" spans="8:16" ht="14">
      <c r="H355" s="51"/>
      <c r="I355" s="51"/>
      <c r="P355" s="52"/>
    </row>
    <row r="356" spans="8:16" ht="14">
      <c r="H356" s="51"/>
      <c r="I356" s="51"/>
      <c r="P356" s="52"/>
    </row>
    <row r="357" spans="8:16" ht="14">
      <c r="H357" s="51"/>
      <c r="I357" s="51"/>
      <c r="P357" s="52"/>
    </row>
    <row r="358" spans="8:16" ht="14">
      <c r="H358" s="51"/>
      <c r="I358" s="51"/>
      <c r="P358" s="52"/>
    </row>
    <row r="359" spans="8:16" ht="14">
      <c r="H359" s="51"/>
      <c r="I359" s="51"/>
      <c r="P359" s="52"/>
    </row>
    <row r="360" spans="8:16" ht="14">
      <c r="H360" s="51"/>
      <c r="I360" s="51"/>
      <c r="P360" s="52"/>
    </row>
    <row r="361" spans="8:16" ht="14">
      <c r="H361" s="51"/>
      <c r="I361" s="51"/>
      <c r="P361" s="52"/>
    </row>
    <row r="362" spans="8:16" ht="14">
      <c r="H362" s="51"/>
      <c r="I362" s="51"/>
      <c r="P362" s="52"/>
    </row>
    <row r="363" spans="8:16" ht="14">
      <c r="H363" s="51"/>
      <c r="I363" s="51"/>
      <c r="P363" s="52"/>
    </row>
    <row r="364" spans="8:16" ht="14">
      <c r="H364" s="51"/>
      <c r="I364" s="51"/>
      <c r="P364" s="52"/>
    </row>
    <row r="365" spans="8:16" ht="14">
      <c r="H365" s="51"/>
      <c r="I365" s="51"/>
      <c r="P365" s="52"/>
    </row>
    <row r="366" spans="8:16" ht="14">
      <c r="H366" s="51"/>
      <c r="I366" s="51"/>
      <c r="P366" s="52"/>
    </row>
    <row r="367" spans="8:16" ht="14">
      <c r="H367" s="51"/>
      <c r="I367" s="51"/>
      <c r="P367" s="52"/>
    </row>
    <row r="368" spans="8:16" ht="14">
      <c r="H368" s="51"/>
      <c r="I368" s="51"/>
      <c r="P368" s="52"/>
    </row>
    <row r="369" spans="8:16" ht="14">
      <c r="H369" s="51"/>
      <c r="I369" s="51"/>
      <c r="P369" s="52"/>
    </row>
    <row r="370" spans="8:16" ht="14">
      <c r="H370" s="51"/>
      <c r="I370" s="51"/>
      <c r="P370" s="52"/>
    </row>
    <row r="371" spans="8:16" ht="14">
      <c r="H371" s="51"/>
      <c r="I371" s="51"/>
      <c r="P371" s="52"/>
    </row>
    <row r="372" spans="8:16" ht="14">
      <c r="H372" s="51"/>
      <c r="I372" s="51"/>
      <c r="P372" s="52"/>
    </row>
    <row r="373" spans="8:16" ht="14">
      <c r="H373" s="51"/>
      <c r="I373" s="51"/>
      <c r="P373" s="52"/>
    </row>
    <row r="374" spans="8:16" ht="14">
      <c r="H374" s="51"/>
      <c r="I374" s="51"/>
      <c r="P374" s="52"/>
    </row>
    <row r="375" spans="8:16" ht="14">
      <c r="H375" s="51"/>
      <c r="I375" s="51"/>
      <c r="P375" s="52"/>
    </row>
    <row r="376" spans="8:16" ht="14">
      <c r="H376" s="51"/>
      <c r="I376" s="51"/>
      <c r="P376" s="52"/>
    </row>
    <row r="377" spans="8:16" ht="14">
      <c r="H377" s="51"/>
      <c r="I377" s="51"/>
      <c r="P377" s="52"/>
    </row>
    <row r="378" spans="8:16" ht="14">
      <c r="H378" s="51"/>
      <c r="I378" s="51"/>
      <c r="P378" s="52"/>
    </row>
    <row r="379" spans="8:16" ht="14">
      <c r="H379" s="51"/>
      <c r="I379" s="51"/>
      <c r="P379" s="52"/>
    </row>
    <row r="380" spans="8:16" ht="14">
      <c r="H380" s="51"/>
      <c r="I380" s="51"/>
      <c r="P380" s="52"/>
    </row>
    <row r="381" spans="8:16" ht="14">
      <c r="H381" s="51"/>
      <c r="I381" s="51"/>
      <c r="P381" s="52"/>
    </row>
    <row r="382" spans="8:16" ht="14">
      <c r="H382" s="51"/>
      <c r="I382" s="51"/>
      <c r="P382" s="52"/>
    </row>
    <row r="383" spans="8:16" ht="14">
      <c r="H383" s="51"/>
      <c r="I383" s="51"/>
      <c r="P383" s="52"/>
    </row>
    <row r="384" spans="8:16" ht="14">
      <c r="H384" s="51"/>
      <c r="I384" s="51"/>
      <c r="P384" s="52"/>
    </row>
    <row r="385" spans="8:16" ht="14">
      <c r="H385" s="51"/>
      <c r="I385" s="51"/>
      <c r="P385" s="52"/>
    </row>
    <row r="386" spans="8:16" ht="14">
      <c r="H386" s="51"/>
      <c r="I386" s="51"/>
      <c r="P386" s="52"/>
    </row>
    <row r="387" spans="8:16" ht="14">
      <c r="H387" s="51"/>
      <c r="I387" s="51"/>
      <c r="P387" s="52"/>
    </row>
    <row r="388" spans="8:16" ht="14">
      <c r="H388" s="51"/>
      <c r="I388" s="51"/>
      <c r="P388" s="52"/>
    </row>
    <row r="389" spans="8:16" ht="14">
      <c r="H389" s="51"/>
      <c r="I389" s="51"/>
      <c r="P389" s="52"/>
    </row>
    <row r="390" spans="8:16" ht="14">
      <c r="H390" s="51"/>
      <c r="I390" s="51"/>
      <c r="P390" s="52"/>
    </row>
    <row r="391" spans="8:16" ht="14">
      <c r="H391" s="51"/>
      <c r="I391" s="51"/>
      <c r="P391" s="52"/>
    </row>
    <row r="392" spans="8:16" ht="14">
      <c r="H392" s="51"/>
      <c r="I392" s="51"/>
      <c r="P392" s="52"/>
    </row>
    <row r="393" spans="8:16" ht="14">
      <c r="H393" s="51"/>
      <c r="I393" s="51"/>
      <c r="P393" s="52"/>
    </row>
    <row r="394" spans="8:16" ht="14">
      <c r="H394" s="51"/>
      <c r="I394" s="51"/>
      <c r="P394" s="52"/>
    </row>
    <row r="395" spans="8:16" ht="14">
      <c r="H395" s="51"/>
      <c r="I395" s="51"/>
      <c r="P395" s="52"/>
    </row>
    <row r="396" spans="8:16" ht="14">
      <c r="H396" s="51"/>
      <c r="I396" s="51"/>
      <c r="P396" s="52"/>
    </row>
    <row r="397" spans="8:16" ht="14">
      <c r="H397" s="51"/>
      <c r="I397" s="51"/>
      <c r="P397" s="52"/>
    </row>
    <row r="398" spans="8:16" ht="14">
      <c r="H398" s="51"/>
      <c r="I398" s="51"/>
      <c r="P398" s="52"/>
    </row>
    <row r="399" spans="8:16" ht="14">
      <c r="H399" s="51"/>
      <c r="I399" s="51"/>
      <c r="P399" s="52"/>
    </row>
    <row r="400" spans="8:16" ht="14">
      <c r="H400" s="51"/>
      <c r="I400" s="51"/>
      <c r="P400" s="52"/>
    </row>
    <row r="401" spans="8:16" ht="14">
      <c r="H401" s="51"/>
      <c r="I401" s="51"/>
      <c r="P401" s="52"/>
    </row>
    <row r="402" spans="8:16" ht="14">
      <c r="H402" s="51"/>
      <c r="I402" s="51"/>
      <c r="P402" s="52"/>
    </row>
    <row r="403" spans="8:16" ht="14">
      <c r="H403" s="51"/>
      <c r="I403" s="51"/>
      <c r="P403" s="52"/>
    </row>
    <row r="404" spans="8:16" ht="14">
      <c r="H404" s="51"/>
      <c r="I404" s="51"/>
      <c r="P404" s="52"/>
    </row>
    <row r="405" spans="8:16" ht="14">
      <c r="H405" s="51"/>
      <c r="I405" s="51"/>
      <c r="P405" s="52"/>
    </row>
    <row r="406" spans="8:16" ht="14">
      <c r="H406" s="51"/>
      <c r="I406" s="51"/>
      <c r="P406" s="52"/>
    </row>
    <row r="407" spans="8:16" ht="14">
      <c r="H407" s="51"/>
      <c r="I407" s="51"/>
      <c r="P407" s="52"/>
    </row>
    <row r="408" spans="8:16" ht="14">
      <c r="H408" s="51"/>
      <c r="I408" s="51"/>
      <c r="P408" s="52"/>
    </row>
    <row r="409" spans="8:16" ht="14">
      <c r="H409" s="51"/>
      <c r="I409" s="51"/>
      <c r="P409" s="52"/>
    </row>
    <row r="410" spans="8:16" ht="14">
      <c r="H410" s="51"/>
      <c r="I410" s="51"/>
      <c r="P410" s="52"/>
    </row>
    <row r="411" spans="8:16" ht="14">
      <c r="H411" s="51"/>
      <c r="I411" s="51"/>
      <c r="P411" s="52"/>
    </row>
    <row r="412" spans="8:16" ht="14">
      <c r="H412" s="51"/>
      <c r="I412" s="51"/>
      <c r="P412" s="52"/>
    </row>
    <row r="413" spans="8:16" ht="14">
      <c r="H413" s="51"/>
      <c r="I413" s="51"/>
      <c r="P413" s="52"/>
    </row>
    <row r="414" spans="8:16" ht="14">
      <c r="H414" s="51"/>
      <c r="I414" s="51"/>
      <c r="P414" s="52"/>
    </row>
    <row r="415" spans="8:16" ht="14">
      <c r="H415" s="51"/>
      <c r="I415" s="51"/>
      <c r="P415" s="52"/>
    </row>
    <row r="416" spans="8:16" ht="14">
      <c r="H416" s="51"/>
      <c r="I416" s="51"/>
      <c r="P416" s="52"/>
    </row>
    <row r="417" spans="8:16" ht="14">
      <c r="H417" s="51"/>
      <c r="I417" s="51"/>
      <c r="P417" s="52"/>
    </row>
    <row r="418" spans="8:16" ht="14">
      <c r="H418" s="51"/>
      <c r="I418" s="51"/>
      <c r="P418" s="52"/>
    </row>
    <row r="419" spans="8:16" ht="14">
      <c r="H419" s="51"/>
      <c r="I419" s="51"/>
      <c r="P419" s="52"/>
    </row>
    <row r="420" spans="8:16" ht="14">
      <c r="H420" s="51"/>
      <c r="I420" s="51"/>
      <c r="P420" s="52"/>
    </row>
    <row r="421" spans="8:16" ht="14">
      <c r="H421" s="51"/>
      <c r="I421" s="51"/>
      <c r="P421" s="52"/>
    </row>
    <row r="422" spans="8:16" ht="14">
      <c r="H422" s="51"/>
      <c r="I422" s="51"/>
      <c r="P422" s="52"/>
    </row>
    <row r="423" spans="8:16" ht="14">
      <c r="H423" s="51"/>
      <c r="I423" s="51"/>
      <c r="P423" s="52"/>
    </row>
    <row r="424" spans="8:16" ht="14">
      <c r="H424" s="51"/>
      <c r="I424" s="51"/>
      <c r="P424" s="52"/>
    </row>
    <row r="425" spans="8:16" ht="14">
      <c r="H425" s="51"/>
      <c r="I425" s="51"/>
      <c r="P425" s="52"/>
    </row>
    <row r="426" spans="8:16" ht="14">
      <c r="H426" s="51"/>
      <c r="I426" s="51"/>
      <c r="P426" s="52"/>
    </row>
    <row r="427" spans="8:16" ht="14">
      <c r="H427" s="51"/>
      <c r="I427" s="51"/>
      <c r="P427" s="52"/>
    </row>
    <row r="428" spans="8:16" ht="14">
      <c r="H428" s="51"/>
      <c r="I428" s="51"/>
      <c r="P428" s="52"/>
    </row>
    <row r="429" spans="8:16" ht="14">
      <c r="H429" s="51"/>
      <c r="I429" s="51"/>
      <c r="P429" s="52"/>
    </row>
    <row r="430" spans="8:16" ht="14">
      <c r="H430" s="51"/>
      <c r="I430" s="51"/>
      <c r="P430" s="52"/>
    </row>
    <row r="431" spans="8:16" ht="14">
      <c r="H431" s="51"/>
      <c r="I431" s="51"/>
      <c r="P431" s="52"/>
    </row>
    <row r="432" spans="8:16" ht="14">
      <c r="H432" s="51"/>
      <c r="I432" s="51"/>
      <c r="P432" s="52"/>
    </row>
    <row r="433" spans="8:16" ht="14">
      <c r="H433" s="51"/>
      <c r="I433" s="51"/>
      <c r="P433" s="52"/>
    </row>
    <row r="434" spans="8:16" ht="14">
      <c r="H434" s="51"/>
      <c r="I434" s="51"/>
      <c r="P434" s="52"/>
    </row>
    <row r="435" spans="8:16" ht="14">
      <c r="H435" s="51"/>
      <c r="I435" s="51"/>
      <c r="P435" s="52"/>
    </row>
    <row r="436" spans="8:16" ht="14">
      <c r="H436" s="51"/>
      <c r="I436" s="51"/>
      <c r="P436" s="52"/>
    </row>
    <row r="437" spans="8:16" ht="14">
      <c r="H437" s="51"/>
      <c r="I437" s="51"/>
      <c r="P437" s="52"/>
    </row>
    <row r="438" spans="8:16" ht="14">
      <c r="H438" s="51"/>
      <c r="I438" s="51"/>
      <c r="P438" s="52"/>
    </row>
    <row r="439" spans="8:16" ht="14">
      <c r="H439" s="51"/>
      <c r="I439" s="51"/>
      <c r="P439" s="52"/>
    </row>
    <row r="440" spans="8:16" ht="14">
      <c r="H440" s="51"/>
      <c r="I440" s="51"/>
      <c r="P440" s="52"/>
    </row>
    <row r="441" spans="8:16" ht="14">
      <c r="H441" s="51"/>
      <c r="I441" s="51"/>
      <c r="P441" s="52"/>
    </row>
    <row r="442" spans="8:16" ht="14">
      <c r="H442" s="51"/>
      <c r="I442" s="51"/>
      <c r="P442" s="52"/>
    </row>
    <row r="443" spans="8:16" ht="14">
      <c r="H443" s="51"/>
      <c r="I443" s="51"/>
      <c r="P443" s="52"/>
    </row>
    <row r="444" spans="8:16" ht="14">
      <c r="H444" s="51"/>
      <c r="I444" s="51"/>
      <c r="P444" s="52"/>
    </row>
    <row r="445" spans="8:16" ht="14">
      <c r="H445" s="51"/>
      <c r="I445" s="51"/>
      <c r="P445" s="52"/>
    </row>
    <row r="446" spans="8:16" ht="14">
      <c r="H446" s="51"/>
      <c r="I446" s="51"/>
      <c r="P446" s="52"/>
    </row>
    <row r="447" spans="8:16" ht="14">
      <c r="H447" s="51"/>
      <c r="I447" s="51"/>
      <c r="P447" s="52"/>
    </row>
    <row r="448" spans="8:16" ht="14">
      <c r="H448" s="51"/>
      <c r="I448" s="51"/>
      <c r="P448" s="52"/>
    </row>
    <row r="449" spans="8:16" ht="14">
      <c r="H449" s="51"/>
      <c r="I449" s="51"/>
      <c r="P449" s="52"/>
    </row>
    <row r="450" spans="8:16" ht="14">
      <c r="H450" s="51"/>
      <c r="I450" s="51"/>
      <c r="P450" s="52"/>
    </row>
    <row r="451" spans="8:16" ht="14">
      <c r="H451" s="51"/>
      <c r="I451" s="51"/>
      <c r="P451" s="52"/>
    </row>
    <row r="452" spans="8:16" ht="14">
      <c r="H452" s="51"/>
      <c r="I452" s="51"/>
      <c r="P452" s="52"/>
    </row>
    <row r="453" spans="8:16" ht="14">
      <c r="H453" s="51"/>
      <c r="I453" s="51"/>
      <c r="P453" s="52"/>
    </row>
    <row r="454" spans="8:16" ht="14">
      <c r="H454" s="51"/>
      <c r="I454" s="51"/>
      <c r="P454" s="52"/>
    </row>
    <row r="455" spans="8:16" ht="14">
      <c r="H455" s="51"/>
      <c r="I455" s="51"/>
      <c r="P455" s="52"/>
    </row>
    <row r="456" spans="8:16" ht="14">
      <c r="H456" s="51"/>
      <c r="I456" s="51"/>
      <c r="P456" s="52"/>
    </row>
    <row r="457" spans="8:16" ht="14">
      <c r="H457" s="51"/>
      <c r="I457" s="51"/>
      <c r="P457" s="52"/>
    </row>
    <row r="458" spans="8:16" ht="14">
      <c r="H458" s="51"/>
      <c r="I458" s="51"/>
      <c r="P458" s="52"/>
    </row>
    <row r="459" spans="8:16" ht="14">
      <c r="H459" s="51"/>
      <c r="I459" s="51"/>
      <c r="P459" s="52"/>
    </row>
    <row r="460" spans="8:16" ht="14">
      <c r="H460" s="51"/>
      <c r="I460" s="51"/>
      <c r="P460" s="52"/>
    </row>
    <row r="461" spans="8:16" ht="14">
      <c r="H461" s="51"/>
      <c r="I461" s="51"/>
      <c r="P461" s="52"/>
    </row>
    <row r="462" spans="8:16" ht="14">
      <c r="H462" s="51"/>
      <c r="I462" s="51"/>
      <c r="P462" s="52"/>
    </row>
    <row r="463" spans="8:16" ht="14">
      <c r="H463" s="51"/>
      <c r="I463" s="51"/>
      <c r="P463" s="52"/>
    </row>
    <row r="464" spans="8:16" ht="14">
      <c r="H464" s="51"/>
      <c r="I464" s="51"/>
      <c r="P464" s="52"/>
    </row>
    <row r="465" spans="8:16" ht="14">
      <c r="H465" s="51"/>
      <c r="I465" s="51"/>
      <c r="P465" s="52"/>
    </row>
    <row r="466" spans="8:16" ht="14">
      <c r="H466" s="51"/>
      <c r="I466" s="51"/>
      <c r="P466" s="52"/>
    </row>
    <row r="467" spans="8:16" ht="14">
      <c r="H467" s="51"/>
      <c r="I467" s="51"/>
      <c r="P467" s="52"/>
    </row>
    <row r="468" spans="8:16" ht="14">
      <c r="H468" s="51"/>
      <c r="I468" s="51"/>
      <c r="P468" s="52"/>
    </row>
    <row r="469" spans="8:16" ht="14">
      <c r="H469" s="51"/>
      <c r="I469" s="51"/>
      <c r="P469" s="52"/>
    </row>
    <row r="470" spans="8:16" ht="14">
      <c r="H470" s="51"/>
      <c r="I470" s="51"/>
      <c r="P470" s="52"/>
    </row>
    <row r="471" spans="8:16" ht="14">
      <c r="H471" s="51"/>
      <c r="I471" s="51"/>
      <c r="P471" s="52"/>
    </row>
    <row r="472" spans="8:16" ht="14">
      <c r="H472" s="51"/>
      <c r="I472" s="51"/>
      <c r="P472" s="52"/>
    </row>
    <row r="473" spans="8:16" ht="14">
      <c r="H473" s="51"/>
      <c r="I473" s="51"/>
      <c r="P473" s="52"/>
    </row>
    <row r="474" spans="8:16" ht="14">
      <c r="H474" s="51"/>
      <c r="I474" s="51"/>
      <c r="P474" s="52"/>
    </row>
    <row r="475" spans="8:16" ht="14">
      <c r="H475" s="51"/>
      <c r="I475" s="51"/>
      <c r="P475" s="52"/>
    </row>
    <row r="476" spans="8:16" ht="14">
      <c r="H476" s="51"/>
      <c r="I476" s="51"/>
      <c r="P476" s="52"/>
    </row>
    <row r="477" spans="8:16" ht="14">
      <c r="H477" s="51"/>
      <c r="I477" s="51"/>
      <c r="P477" s="52"/>
    </row>
    <row r="478" spans="8:16" ht="14">
      <c r="H478" s="51"/>
      <c r="I478" s="51"/>
      <c r="P478" s="52"/>
    </row>
    <row r="479" spans="8:16" ht="14">
      <c r="H479" s="51"/>
      <c r="I479" s="51"/>
      <c r="P479" s="52"/>
    </row>
    <row r="480" spans="8:16" ht="14">
      <c r="H480" s="51"/>
      <c r="I480" s="51"/>
      <c r="P480" s="52"/>
    </row>
    <row r="481" spans="8:16" ht="14">
      <c r="H481" s="51"/>
      <c r="I481" s="51"/>
      <c r="P481" s="52"/>
    </row>
    <row r="482" spans="8:16" ht="14">
      <c r="H482" s="51"/>
      <c r="I482" s="51"/>
      <c r="P482" s="52"/>
    </row>
    <row r="483" spans="8:16" ht="14">
      <c r="H483" s="51"/>
      <c r="I483" s="51"/>
      <c r="P483" s="52"/>
    </row>
    <row r="484" spans="8:16" ht="14">
      <c r="H484" s="51"/>
      <c r="I484" s="51"/>
      <c r="P484" s="52"/>
    </row>
    <row r="485" spans="8:16" ht="14">
      <c r="H485" s="51"/>
      <c r="I485" s="51"/>
      <c r="P485" s="52"/>
    </row>
    <row r="486" spans="8:16" ht="14">
      <c r="H486" s="51"/>
      <c r="I486" s="51"/>
      <c r="P486" s="52"/>
    </row>
    <row r="487" spans="8:16" ht="14">
      <c r="H487" s="51"/>
      <c r="I487" s="51"/>
      <c r="P487" s="52"/>
    </row>
    <row r="488" spans="8:16" ht="14">
      <c r="H488" s="51"/>
      <c r="I488" s="51"/>
      <c r="P488" s="52"/>
    </row>
    <row r="489" spans="8:16" ht="14">
      <c r="H489" s="51"/>
      <c r="I489" s="51"/>
      <c r="P489" s="52"/>
    </row>
    <row r="490" spans="8:16" ht="14">
      <c r="H490" s="51"/>
      <c r="I490" s="51"/>
      <c r="P490" s="52"/>
    </row>
    <row r="491" spans="8:16" ht="14">
      <c r="H491" s="51"/>
      <c r="I491" s="51"/>
      <c r="P491" s="52"/>
    </row>
    <row r="492" spans="8:16" ht="14">
      <c r="H492" s="51"/>
      <c r="I492" s="51"/>
      <c r="P492" s="52"/>
    </row>
    <row r="493" spans="8:16" ht="14">
      <c r="H493" s="51"/>
      <c r="I493" s="51"/>
      <c r="P493" s="52"/>
    </row>
    <row r="494" spans="8:16" ht="14">
      <c r="H494" s="51"/>
      <c r="I494" s="51"/>
      <c r="P494" s="52"/>
    </row>
    <row r="495" spans="8:16" ht="14">
      <c r="H495" s="51"/>
      <c r="I495" s="51"/>
      <c r="P495" s="52"/>
    </row>
    <row r="496" spans="8:16" ht="14">
      <c r="H496" s="51"/>
      <c r="I496" s="51"/>
      <c r="P496" s="52"/>
    </row>
    <row r="497" spans="8:16" ht="14">
      <c r="H497" s="51"/>
      <c r="I497" s="51"/>
      <c r="P497" s="52"/>
    </row>
    <row r="498" spans="8:16" ht="14">
      <c r="H498" s="51"/>
      <c r="I498" s="51"/>
      <c r="P498" s="52"/>
    </row>
    <row r="499" spans="8:16" ht="14">
      <c r="H499" s="51"/>
      <c r="I499" s="51"/>
      <c r="P499" s="52"/>
    </row>
    <row r="500" spans="8:16" ht="14">
      <c r="H500" s="51"/>
      <c r="I500" s="51"/>
      <c r="P500" s="52"/>
    </row>
    <row r="501" spans="8:16" ht="14">
      <c r="H501" s="51"/>
      <c r="I501" s="51"/>
      <c r="P501" s="52"/>
    </row>
    <row r="502" spans="8:16" ht="14">
      <c r="H502" s="51"/>
      <c r="I502" s="51"/>
      <c r="P502" s="52"/>
    </row>
    <row r="503" spans="8:16" ht="14">
      <c r="H503" s="51"/>
      <c r="I503" s="51"/>
      <c r="P503" s="52"/>
    </row>
    <row r="504" spans="8:16" ht="14">
      <c r="H504" s="51"/>
      <c r="I504" s="51"/>
      <c r="P504" s="52"/>
    </row>
    <row r="505" spans="8:16" ht="14">
      <c r="H505" s="51"/>
      <c r="I505" s="51"/>
      <c r="P505" s="52"/>
    </row>
    <row r="506" spans="8:16" ht="14">
      <c r="H506" s="51"/>
      <c r="I506" s="51"/>
      <c r="P506" s="52"/>
    </row>
    <row r="507" spans="8:16" ht="14">
      <c r="H507" s="51"/>
      <c r="I507" s="51"/>
      <c r="P507" s="52"/>
    </row>
    <row r="508" spans="8:16" ht="14">
      <c r="H508" s="51"/>
      <c r="I508" s="51"/>
      <c r="P508" s="52"/>
    </row>
    <row r="509" spans="8:16" ht="14">
      <c r="H509" s="51"/>
      <c r="I509" s="51"/>
      <c r="P509" s="52"/>
    </row>
    <row r="510" spans="8:16" ht="14">
      <c r="H510" s="51"/>
      <c r="I510" s="51"/>
      <c r="P510" s="52"/>
    </row>
    <row r="511" spans="8:16" ht="14">
      <c r="H511" s="51"/>
      <c r="I511" s="51"/>
      <c r="P511" s="52"/>
    </row>
    <row r="512" spans="8:16" ht="14">
      <c r="H512" s="51"/>
      <c r="I512" s="51"/>
      <c r="P512" s="52"/>
    </row>
    <row r="513" spans="8:16" ht="14">
      <c r="H513" s="51"/>
      <c r="I513" s="51"/>
      <c r="P513" s="52"/>
    </row>
    <row r="514" spans="8:16" ht="14">
      <c r="H514" s="51"/>
      <c r="I514" s="51"/>
      <c r="P514" s="52"/>
    </row>
    <row r="515" spans="8:16" ht="14">
      <c r="H515" s="51"/>
      <c r="I515" s="51"/>
      <c r="P515" s="52"/>
    </row>
    <row r="516" spans="8:16" ht="14">
      <c r="H516" s="51"/>
      <c r="I516" s="51"/>
      <c r="P516" s="52"/>
    </row>
    <row r="517" spans="8:16" ht="14">
      <c r="H517" s="51"/>
      <c r="I517" s="51"/>
      <c r="P517" s="52"/>
    </row>
    <row r="518" spans="8:16" ht="14">
      <c r="H518" s="51"/>
      <c r="I518" s="51"/>
      <c r="P518" s="52"/>
    </row>
    <row r="519" spans="8:16" ht="14">
      <c r="H519" s="51"/>
      <c r="I519" s="51"/>
      <c r="P519" s="52"/>
    </row>
    <row r="520" spans="8:16" ht="14">
      <c r="H520" s="51"/>
      <c r="I520" s="51"/>
      <c r="P520" s="52"/>
    </row>
    <row r="521" spans="8:16" ht="14">
      <c r="H521" s="51"/>
      <c r="I521" s="51"/>
      <c r="P521" s="52"/>
    </row>
    <row r="522" spans="8:16" ht="14">
      <c r="H522" s="51"/>
      <c r="I522" s="51"/>
      <c r="P522" s="52"/>
    </row>
    <row r="523" spans="8:16" ht="14">
      <c r="H523" s="51"/>
      <c r="I523" s="51"/>
      <c r="P523" s="52"/>
    </row>
    <row r="524" spans="8:16" ht="14">
      <c r="H524" s="51"/>
      <c r="I524" s="51"/>
      <c r="P524" s="52"/>
    </row>
    <row r="525" spans="8:16" ht="14">
      <c r="H525" s="51"/>
      <c r="I525" s="51"/>
      <c r="P525" s="52"/>
    </row>
    <row r="526" spans="8:16" ht="14">
      <c r="H526" s="51"/>
      <c r="I526" s="51"/>
      <c r="P526" s="52"/>
    </row>
    <row r="527" spans="8:16" ht="14">
      <c r="H527" s="51"/>
      <c r="I527" s="51"/>
      <c r="P527" s="52"/>
    </row>
    <row r="528" spans="8:16" ht="14">
      <c r="H528" s="51"/>
      <c r="I528" s="51"/>
      <c r="P528" s="52"/>
    </row>
    <row r="529" spans="8:16" ht="14">
      <c r="H529" s="51"/>
      <c r="I529" s="51"/>
      <c r="P529" s="52"/>
    </row>
    <row r="530" spans="8:16" ht="14">
      <c r="H530" s="51"/>
      <c r="I530" s="51"/>
      <c r="P530" s="52"/>
    </row>
    <row r="531" spans="8:16" ht="14">
      <c r="H531" s="51"/>
      <c r="I531" s="51"/>
      <c r="P531" s="52"/>
    </row>
    <row r="532" spans="8:16" ht="14">
      <c r="H532" s="51"/>
      <c r="I532" s="51"/>
      <c r="P532" s="52"/>
    </row>
    <row r="533" spans="8:16" ht="14">
      <c r="H533" s="51"/>
      <c r="I533" s="51"/>
      <c r="P533" s="52"/>
    </row>
    <row r="534" spans="8:16" ht="14">
      <c r="H534" s="51"/>
      <c r="I534" s="51"/>
      <c r="P534" s="52"/>
    </row>
    <row r="535" spans="8:16" ht="14">
      <c r="H535" s="51"/>
      <c r="I535" s="51"/>
      <c r="P535" s="52"/>
    </row>
    <row r="536" spans="8:16" ht="14">
      <c r="H536" s="51"/>
      <c r="I536" s="51"/>
      <c r="P536" s="52"/>
    </row>
    <row r="537" spans="8:16" ht="14">
      <c r="H537" s="51"/>
      <c r="I537" s="51"/>
      <c r="P537" s="52"/>
    </row>
    <row r="538" spans="8:16" ht="14">
      <c r="H538" s="51"/>
      <c r="I538" s="51"/>
      <c r="P538" s="52"/>
    </row>
    <row r="539" spans="8:16" ht="14">
      <c r="H539" s="51"/>
      <c r="I539" s="51"/>
      <c r="P539" s="52"/>
    </row>
    <row r="540" spans="8:16" ht="14">
      <c r="H540" s="51"/>
      <c r="I540" s="51"/>
      <c r="P540" s="52"/>
    </row>
    <row r="541" spans="8:16" ht="14">
      <c r="H541" s="51"/>
      <c r="I541" s="51"/>
      <c r="P541" s="52"/>
    </row>
    <row r="542" spans="8:16" ht="14">
      <c r="H542" s="51"/>
      <c r="I542" s="51"/>
      <c r="P542" s="52"/>
    </row>
    <row r="543" spans="8:16" ht="14">
      <c r="H543" s="51"/>
      <c r="I543" s="51"/>
      <c r="P543" s="52"/>
    </row>
    <row r="544" spans="8:16" ht="14">
      <c r="H544" s="51"/>
      <c r="I544" s="51"/>
      <c r="P544" s="52"/>
    </row>
    <row r="545" spans="8:16" ht="14">
      <c r="H545" s="51"/>
      <c r="I545" s="51"/>
      <c r="P545" s="52"/>
    </row>
    <row r="546" spans="8:16" ht="14">
      <c r="H546" s="51"/>
      <c r="I546" s="51"/>
      <c r="P546" s="52"/>
    </row>
    <row r="547" spans="8:16" ht="14">
      <c r="H547" s="51"/>
      <c r="I547" s="51"/>
      <c r="P547" s="52"/>
    </row>
    <row r="548" spans="8:16" ht="14">
      <c r="H548" s="51"/>
      <c r="I548" s="51"/>
      <c r="P548" s="52"/>
    </row>
    <row r="549" spans="8:16" ht="14">
      <c r="H549" s="51"/>
      <c r="I549" s="51"/>
      <c r="P549" s="52"/>
    </row>
    <row r="550" spans="8:16" ht="14">
      <c r="H550" s="51"/>
      <c r="I550" s="51"/>
      <c r="P550" s="52"/>
    </row>
    <row r="551" spans="8:16" ht="14">
      <c r="H551" s="51"/>
      <c r="I551" s="51"/>
      <c r="P551" s="52"/>
    </row>
    <row r="552" spans="8:16" ht="14">
      <c r="H552" s="51"/>
      <c r="I552" s="51"/>
      <c r="P552" s="52"/>
    </row>
    <row r="553" spans="8:16" ht="14">
      <c r="H553" s="51"/>
      <c r="I553" s="51"/>
      <c r="P553" s="52"/>
    </row>
    <row r="554" spans="8:16" ht="14">
      <c r="H554" s="51"/>
      <c r="I554" s="51"/>
      <c r="P554" s="52"/>
    </row>
    <row r="555" spans="8:16" ht="14">
      <c r="H555" s="51"/>
      <c r="I555" s="51"/>
      <c r="P555" s="52"/>
    </row>
    <row r="556" spans="8:16" ht="14">
      <c r="H556" s="51"/>
      <c r="I556" s="51"/>
      <c r="P556" s="52"/>
    </row>
    <row r="557" spans="8:16" ht="14">
      <c r="H557" s="51"/>
      <c r="I557" s="51"/>
      <c r="P557" s="52"/>
    </row>
    <row r="558" spans="8:16" ht="14">
      <c r="H558" s="51"/>
      <c r="I558" s="51"/>
      <c r="P558" s="52"/>
    </row>
    <row r="559" spans="8:16" ht="14">
      <c r="H559" s="51"/>
      <c r="I559" s="51"/>
      <c r="P559" s="52"/>
    </row>
    <row r="560" spans="8:16" ht="14">
      <c r="H560" s="51"/>
      <c r="I560" s="51"/>
      <c r="P560" s="52"/>
    </row>
    <row r="561" spans="8:16" ht="14">
      <c r="H561" s="51"/>
      <c r="I561" s="51"/>
      <c r="P561" s="52"/>
    </row>
    <row r="562" spans="8:16" ht="14">
      <c r="H562" s="51"/>
      <c r="I562" s="51"/>
      <c r="P562" s="52"/>
    </row>
    <row r="563" spans="8:16" ht="14">
      <c r="H563" s="51"/>
      <c r="I563" s="51"/>
      <c r="P563" s="52"/>
    </row>
    <row r="564" spans="8:16" ht="14">
      <c r="H564" s="51"/>
      <c r="I564" s="51"/>
      <c r="P564" s="52"/>
    </row>
    <row r="565" spans="8:16" ht="14">
      <c r="H565" s="51"/>
      <c r="I565" s="51"/>
      <c r="P565" s="52"/>
    </row>
    <row r="566" spans="8:16" ht="14">
      <c r="H566" s="51"/>
      <c r="I566" s="51"/>
      <c r="P566" s="52"/>
    </row>
    <row r="567" spans="8:16" ht="14">
      <c r="H567" s="51"/>
      <c r="I567" s="51"/>
      <c r="P567" s="52"/>
    </row>
    <row r="568" spans="8:16" ht="14">
      <c r="H568" s="51"/>
      <c r="I568" s="51"/>
      <c r="P568" s="52"/>
    </row>
    <row r="569" spans="8:16" ht="14">
      <c r="H569" s="51"/>
      <c r="I569" s="51"/>
      <c r="P569" s="52"/>
    </row>
    <row r="570" spans="8:16" ht="14">
      <c r="H570" s="51"/>
      <c r="I570" s="51"/>
      <c r="P570" s="52"/>
    </row>
    <row r="571" spans="8:16" ht="14">
      <c r="H571" s="51"/>
      <c r="I571" s="51"/>
      <c r="P571" s="52"/>
    </row>
    <row r="572" spans="8:16" ht="14">
      <c r="H572" s="51"/>
      <c r="I572" s="51"/>
      <c r="P572" s="52"/>
    </row>
    <row r="573" spans="8:16" ht="14">
      <c r="H573" s="51"/>
      <c r="I573" s="51"/>
      <c r="P573" s="52"/>
    </row>
    <row r="574" spans="8:16" ht="14">
      <c r="H574" s="51"/>
      <c r="I574" s="51"/>
      <c r="P574" s="52"/>
    </row>
    <row r="575" spans="8:16" ht="14">
      <c r="H575" s="51"/>
      <c r="I575" s="51"/>
      <c r="P575" s="52"/>
    </row>
    <row r="576" spans="8:16" ht="14">
      <c r="H576" s="51"/>
      <c r="I576" s="51"/>
      <c r="P576" s="52"/>
    </row>
    <row r="577" spans="8:16" ht="14">
      <c r="H577" s="51"/>
      <c r="I577" s="51"/>
      <c r="P577" s="52"/>
    </row>
    <row r="578" spans="8:16" ht="14">
      <c r="H578" s="51"/>
      <c r="I578" s="51"/>
      <c r="P578" s="52"/>
    </row>
    <row r="579" spans="8:16" ht="14">
      <c r="H579" s="51"/>
      <c r="I579" s="51"/>
      <c r="P579" s="52"/>
    </row>
    <row r="580" spans="8:16" ht="14">
      <c r="H580" s="51"/>
      <c r="I580" s="51"/>
      <c r="P580" s="52"/>
    </row>
    <row r="581" spans="8:16" ht="14">
      <c r="H581" s="51"/>
      <c r="I581" s="51"/>
      <c r="P581" s="52"/>
    </row>
    <row r="582" spans="8:16" ht="14">
      <c r="H582" s="51"/>
      <c r="I582" s="51"/>
      <c r="P582" s="52"/>
    </row>
    <row r="583" spans="8:16" ht="14">
      <c r="H583" s="51"/>
      <c r="I583" s="51"/>
      <c r="P583" s="52"/>
    </row>
    <row r="584" spans="8:16" ht="14">
      <c r="H584" s="51"/>
      <c r="I584" s="51"/>
      <c r="P584" s="52"/>
    </row>
    <row r="585" spans="8:16" ht="14">
      <c r="H585" s="51"/>
      <c r="I585" s="51"/>
      <c r="P585" s="52"/>
    </row>
    <row r="586" spans="8:16" ht="14">
      <c r="H586" s="51"/>
      <c r="I586" s="51"/>
      <c r="P586" s="52"/>
    </row>
    <row r="587" spans="8:16" ht="14">
      <c r="H587" s="51"/>
      <c r="I587" s="51"/>
      <c r="P587" s="52"/>
    </row>
    <row r="588" spans="8:16" ht="14">
      <c r="H588" s="51"/>
      <c r="I588" s="51"/>
      <c r="P588" s="52"/>
    </row>
    <row r="589" spans="8:16" ht="14">
      <c r="H589" s="51"/>
      <c r="I589" s="51"/>
      <c r="P589" s="52"/>
    </row>
    <row r="590" spans="8:16" ht="14">
      <c r="H590" s="51"/>
      <c r="I590" s="51"/>
      <c r="P590" s="52"/>
    </row>
    <row r="591" spans="8:16" ht="14">
      <c r="H591" s="51"/>
      <c r="I591" s="51"/>
      <c r="P591" s="52"/>
    </row>
    <row r="592" spans="8:16" ht="14">
      <c r="H592" s="51"/>
      <c r="I592" s="51"/>
      <c r="P592" s="52"/>
    </row>
    <row r="593" spans="8:16" ht="14">
      <c r="H593" s="51"/>
      <c r="I593" s="51"/>
      <c r="P593" s="52"/>
    </row>
    <row r="594" spans="8:16" ht="14">
      <c r="H594" s="51"/>
      <c r="I594" s="51"/>
      <c r="P594" s="52"/>
    </row>
    <row r="595" spans="8:16" ht="14">
      <c r="H595" s="51"/>
      <c r="I595" s="51"/>
      <c r="P595" s="52"/>
    </row>
    <row r="596" spans="8:16" ht="14">
      <c r="H596" s="51"/>
      <c r="I596" s="51"/>
      <c r="P596" s="52"/>
    </row>
    <row r="597" spans="8:16" ht="14">
      <c r="H597" s="51"/>
      <c r="I597" s="51"/>
      <c r="P597" s="52"/>
    </row>
    <row r="598" spans="8:16" ht="14">
      <c r="H598" s="51"/>
      <c r="I598" s="51"/>
      <c r="P598" s="52"/>
    </row>
    <row r="599" spans="8:16" ht="14">
      <c r="H599" s="51"/>
      <c r="I599" s="51"/>
      <c r="P599" s="52"/>
    </row>
    <row r="600" spans="8:16" ht="14">
      <c r="H600" s="51"/>
      <c r="I600" s="51"/>
      <c r="P600" s="52"/>
    </row>
    <row r="601" spans="8:16" ht="14">
      <c r="H601" s="51"/>
      <c r="I601" s="51"/>
      <c r="P601" s="52"/>
    </row>
    <row r="602" spans="8:16" ht="14">
      <c r="H602" s="51"/>
      <c r="I602" s="51"/>
      <c r="P602" s="52"/>
    </row>
    <row r="603" spans="8:16" ht="14">
      <c r="H603" s="51"/>
      <c r="I603" s="51"/>
      <c r="P603" s="52"/>
    </row>
    <row r="604" spans="8:16" ht="14">
      <c r="H604" s="51"/>
      <c r="I604" s="51"/>
      <c r="P604" s="52"/>
    </row>
    <row r="605" spans="8:16" ht="14">
      <c r="H605" s="51"/>
      <c r="I605" s="51"/>
      <c r="P605" s="52"/>
    </row>
    <row r="606" spans="8:16" ht="14">
      <c r="H606" s="51"/>
      <c r="I606" s="51"/>
      <c r="P606" s="52"/>
    </row>
    <row r="607" spans="8:16" ht="14">
      <c r="H607" s="51"/>
      <c r="I607" s="51"/>
      <c r="P607" s="52"/>
    </row>
    <row r="608" spans="8:16" ht="14">
      <c r="H608" s="51"/>
      <c r="I608" s="51"/>
      <c r="P608" s="52"/>
    </row>
    <row r="609" spans="8:16" ht="14">
      <c r="H609" s="51"/>
      <c r="I609" s="51"/>
      <c r="P609" s="52"/>
    </row>
    <row r="610" spans="8:16" ht="14">
      <c r="H610" s="51"/>
      <c r="I610" s="51"/>
      <c r="P610" s="52"/>
    </row>
    <row r="611" spans="8:16" ht="14">
      <c r="H611" s="51"/>
      <c r="I611" s="51"/>
      <c r="P611" s="52"/>
    </row>
    <row r="612" spans="8:16" ht="14">
      <c r="H612" s="51"/>
      <c r="I612" s="51"/>
      <c r="P612" s="52"/>
    </row>
    <row r="613" spans="8:16" ht="14">
      <c r="H613" s="51"/>
      <c r="I613" s="51"/>
      <c r="P613" s="52"/>
    </row>
    <row r="614" spans="8:16" ht="14">
      <c r="H614" s="51"/>
      <c r="I614" s="51"/>
      <c r="P614" s="52"/>
    </row>
    <row r="615" spans="8:16" ht="14">
      <c r="H615" s="51"/>
      <c r="I615" s="51"/>
      <c r="P615" s="52"/>
    </row>
    <row r="616" spans="8:16" ht="14">
      <c r="H616" s="51"/>
      <c r="I616" s="51"/>
      <c r="P616" s="52"/>
    </row>
    <row r="617" spans="8:16" ht="14">
      <c r="H617" s="51"/>
      <c r="I617" s="51"/>
      <c r="P617" s="52"/>
    </row>
    <row r="618" spans="8:16" ht="14">
      <c r="H618" s="51"/>
      <c r="I618" s="51"/>
      <c r="P618" s="52"/>
    </row>
    <row r="619" spans="8:16" ht="14">
      <c r="H619" s="51"/>
      <c r="I619" s="51"/>
      <c r="P619" s="52"/>
    </row>
    <row r="620" spans="8:16" ht="14">
      <c r="H620" s="51"/>
      <c r="I620" s="51"/>
      <c r="P620" s="52"/>
    </row>
    <row r="621" spans="8:16" ht="14">
      <c r="H621" s="51"/>
      <c r="I621" s="51"/>
      <c r="P621" s="52"/>
    </row>
    <row r="622" spans="8:16" ht="14">
      <c r="H622" s="51"/>
      <c r="I622" s="51"/>
      <c r="P622" s="52"/>
    </row>
    <row r="623" spans="8:16" ht="14">
      <c r="H623" s="51"/>
      <c r="I623" s="51"/>
      <c r="P623" s="52"/>
    </row>
    <row r="624" spans="8:16" ht="14">
      <c r="H624" s="51"/>
      <c r="I624" s="51"/>
      <c r="P624" s="52"/>
    </row>
    <row r="625" spans="8:16" ht="14">
      <c r="H625" s="51"/>
      <c r="I625" s="51"/>
      <c r="P625" s="52"/>
    </row>
    <row r="626" spans="8:16" ht="14">
      <c r="H626" s="51"/>
      <c r="I626" s="51"/>
      <c r="P626" s="52"/>
    </row>
    <row r="627" spans="8:16" ht="14">
      <c r="H627" s="51"/>
      <c r="I627" s="51"/>
      <c r="P627" s="52"/>
    </row>
    <row r="628" spans="8:16" ht="14">
      <c r="H628" s="51"/>
      <c r="I628" s="51"/>
      <c r="P628" s="52"/>
    </row>
    <row r="629" spans="8:16" ht="14">
      <c r="H629" s="51"/>
      <c r="I629" s="51"/>
      <c r="P629" s="52"/>
    </row>
    <row r="630" spans="8:16" ht="14">
      <c r="H630" s="51"/>
      <c r="I630" s="51"/>
      <c r="P630" s="52"/>
    </row>
    <row r="631" spans="8:16" ht="14">
      <c r="H631" s="51"/>
      <c r="I631" s="51"/>
      <c r="P631" s="52"/>
    </row>
    <row r="632" spans="8:16" ht="14">
      <c r="H632" s="51"/>
      <c r="I632" s="51"/>
      <c r="P632" s="52"/>
    </row>
    <row r="633" spans="8:16" ht="14">
      <c r="H633" s="51"/>
      <c r="I633" s="51"/>
      <c r="P633" s="52"/>
    </row>
    <row r="634" spans="8:16" ht="14">
      <c r="H634" s="51"/>
      <c r="I634" s="51"/>
      <c r="P634" s="52"/>
    </row>
    <row r="635" spans="8:16" ht="14">
      <c r="H635" s="51"/>
      <c r="I635" s="51"/>
      <c r="P635" s="52"/>
    </row>
    <row r="636" spans="8:16" ht="14">
      <c r="H636" s="51"/>
      <c r="I636" s="51"/>
      <c r="P636" s="52"/>
    </row>
    <row r="637" spans="8:16" ht="14">
      <c r="H637" s="51"/>
      <c r="I637" s="51"/>
      <c r="P637" s="52"/>
    </row>
    <row r="638" spans="8:16" ht="14">
      <c r="H638" s="51"/>
      <c r="I638" s="51"/>
      <c r="P638" s="52"/>
    </row>
    <row r="639" spans="8:16" ht="14">
      <c r="H639" s="51"/>
      <c r="I639" s="51"/>
      <c r="P639" s="52"/>
    </row>
    <row r="640" spans="8:16" ht="14">
      <c r="H640" s="51"/>
      <c r="I640" s="51"/>
      <c r="P640" s="52"/>
    </row>
    <row r="641" spans="8:16" ht="14">
      <c r="H641" s="51"/>
      <c r="I641" s="51"/>
      <c r="P641" s="52"/>
    </row>
    <row r="642" spans="8:16" ht="14">
      <c r="H642" s="51"/>
      <c r="I642" s="51"/>
      <c r="P642" s="52"/>
    </row>
    <row r="643" spans="8:16" ht="14">
      <c r="H643" s="51"/>
      <c r="I643" s="51"/>
      <c r="P643" s="52"/>
    </row>
    <row r="644" spans="8:16" ht="14">
      <c r="H644" s="51"/>
      <c r="I644" s="51"/>
      <c r="P644" s="52"/>
    </row>
    <row r="645" spans="8:16" ht="14">
      <c r="H645" s="51"/>
      <c r="I645" s="51"/>
      <c r="P645" s="52"/>
    </row>
    <row r="646" spans="8:16" ht="14">
      <c r="H646" s="51"/>
      <c r="I646" s="51"/>
      <c r="P646" s="52"/>
    </row>
    <row r="647" spans="8:16" ht="14">
      <c r="H647" s="51"/>
      <c r="I647" s="51"/>
      <c r="P647" s="52"/>
    </row>
    <row r="648" spans="8:16" ht="14">
      <c r="H648" s="51"/>
      <c r="I648" s="51"/>
      <c r="P648" s="52"/>
    </row>
    <row r="649" spans="8:16" ht="14">
      <c r="H649" s="51"/>
      <c r="I649" s="51"/>
      <c r="P649" s="52"/>
    </row>
    <row r="650" spans="8:16" ht="14">
      <c r="H650" s="51"/>
      <c r="I650" s="51"/>
      <c r="P650" s="52"/>
    </row>
    <row r="651" spans="8:16" ht="14">
      <c r="H651" s="51"/>
      <c r="I651" s="51"/>
      <c r="P651" s="52"/>
    </row>
    <row r="652" spans="8:16" ht="14">
      <c r="H652" s="51"/>
      <c r="I652" s="51"/>
      <c r="P652" s="52"/>
    </row>
    <row r="653" spans="8:16" ht="14">
      <c r="H653" s="51"/>
      <c r="I653" s="51"/>
      <c r="P653" s="52"/>
    </row>
    <row r="654" spans="8:16" ht="14">
      <c r="H654" s="51"/>
      <c r="I654" s="51"/>
      <c r="P654" s="52"/>
    </row>
    <row r="655" spans="8:16" ht="14">
      <c r="H655" s="51"/>
      <c r="I655" s="51"/>
      <c r="P655" s="52"/>
    </row>
    <row r="656" spans="8:16" ht="14">
      <c r="H656" s="51"/>
      <c r="I656" s="51"/>
      <c r="P656" s="52"/>
    </row>
    <row r="657" spans="8:16" ht="14">
      <c r="H657" s="51"/>
      <c r="I657" s="51"/>
      <c r="P657" s="52"/>
    </row>
    <row r="658" spans="8:16" ht="14">
      <c r="H658" s="51"/>
      <c r="I658" s="51"/>
      <c r="P658" s="52"/>
    </row>
    <row r="659" spans="8:16" ht="14">
      <c r="H659" s="51"/>
      <c r="I659" s="51"/>
      <c r="P659" s="52"/>
    </row>
    <row r="660" spans="8:16" ht="14">
      <c r="H660" s="51"/>
      <c r="I660" s="51"/>
      <c r="P660" s="52"/>
    </row>
    <row r="661" spans="8:16" ht="14">
      <c r="H661" s="51"/>
      <c r="I661" s="51"/>
      <c r="P661" s="52"/>
    </row>
    <row r="662" spans="8:16" ht="14">
      <c r="H662" s="51"/>
      <c r="I662" s="51"/>
      <c r="P662" s="52"/>
    </row>
    <row r="663" spans="8:16" ht="14">
      <c r="H663" s="51"/>
      <c r="I663" s="51"/>
      <c r="P663" s="52"/>
    </row>
    <row r="664" spans="8:16" ht="14">
      <c r="H664" s="51"/>
      <c r="I664" s="51"/>
      <c r="P664" s="52"/>
    </row>
    <row r="665" spans="8:16" ht="14">
      <c r="H665" s="51"/>
      <c r="I665" s="51"/>
      <c r="P665" s="52"/>
    </row>
    <row r="666" spans="8:16" ht="14">
      <c r="H666" s="51"/>
      <c r="I666" s="51"/>
      <c r="P666" s="52"/>
    </row>
    <row r="667" spans="8:16" ht="14">
      <c r="H667" s="51"/>
      <c r="I667" s="51"/>
      <c r="P667" s="52"/>
    </row>
    <row r="668" spans="8:16" ht="14">
      <c r="H668" s="51"/>
      <c r="I668" s="51"/>
      <c r="P668" s="52"/>
    </row>
    <row r="669" spans="8:16" ht="14">
      <c r="H669" s="51"/>
      <c r="I669" s="51"/>
      <c r="P669" s="52"/>
    </row>
    <row r="670" spans="8:16" ht="14">
      <c r="H670" s="51"/>
      <c r="I670" s="51"/>
      <c r="P670" s="52"/>
    </row>
    <row r="671" spans="8:16" ht="14">
      <c r="H671" s="51"/>
      <c r="I671" s="51"/>
      <c r="P671" s="52"/>
    </row>
    <row r="672" spans="8:16" ht="14">
      <c r="H672" s="51"/>
      <c r="I672" s="51"/>
      <c r="P672" s="52"/>
    </row>
    <row r="673" spans="8:16" ht="14">
      <c r="H673" s="51"/>
      <c r="I673" s="51"/>
      <c r="P673" s="52"/>
    </row>
    <row r="674" spans="8:16" ht="14">
      <c r="H674" s="51"/>
      <c r="I674" s="51"/>
      <c r="P674" s="52"/>
    </row>
    <row r="675" spans="8:16" ht="14">
      <c r="H675" s="51"/>
      <c r="I675" s="51"/>
      <c r="P675" s="52"/>
    </row>
    <row r="676" spans="8:16" ht="14">
      <c r="H676" s="51"/>
      <c r="I676" s="51"/>
      <c r="P676" s="52"/>
    </row>
    <row r="677" spans="8:16" ht="14">
      <c r="H677" s="51"/>
      <c r="I677" s="51"/>
      <c r="P677" s="52"/>
    </row>
    <row r="678" spans="8:16" ht="14">
      <c r="H678" s="51"/>
      <c r="I678" s="51"/>
      <c r="P678" s="52"/>
    </row>
    <row r="679" spans="8:16" ht="14">
      <c r="H679" s="51"/>
      <c r="I679" s="51"/>
      <c r="P679" s="52"/>
    </row>
    <row r="680" spans="8:16" ht="14">
      <c r="H680" s="51"/>
      <c r="I680" s="51"/>
      <c r="P680" s="52"/>
    </row>
    <row r="681" spans="8:16" ht="14">
      <c r="H681" s="51"/>
      <c r="I681" s="51"/>
      <c r="P681" s="52"/>
    </row>
    <row r="682" spans="8:16" ht="14">
      <c r="H682" s="51"/>
      <c r="I682" s="51"/>
      <c r="P682" s="52"/>
    </row>
    <row r="683" spans="8:16" ht="14">
      <c r="H683" s="51"/>
      <c r="I683" s="51"/>
      <c r="P683" s="52"/>
    </row>
    <row r="684" spans="8:16" ht="14">
      <c r="H684" s="51"/>
      <c r="I684" s="51"/>
      <c r="P684" s="52"/>
    </row>
    <row r="685" spans="8:16" ht="14">
      <c r="H685" s="51"/>
      <c r="I685" s="51"/>
      <c r="P685" s="52"/>
    </row>
    <row r="686" spans="8:16" ht="14">
      <c r="H686" s="51"/>
      <c r="I686" s="51"/>
      <c r="P686" s="52"/>
    </row>
    <row r="687" spans="8:16" ht="14">
      <c r="H687" s="51"/>
      <c r="I687" s="51"/>
      <c r="P687" s="52"/>
    </row>
    <row r="688" spans="8:16" ht="14">
      <c r="H688" s="51"/>
      <c r="I688" s="51"/>
      <c r="P688" s="52"/>
    </row>
    <row r="689" spans="8:16" ht="14">
      <c r="H689" s="51"/>
      <c r="I689" s="51"/>
      <c r="P689" s="52"/>
    </row>
    <row r="690" spans="8:16" ht="14">
      <c r="H690" s="51"/>
      <c r="I690" s="51"/>
      <c r="P690" s="52"/>
    </row>
    <row r="691" spans="8:16" ht="14">
      <c r="H691" s="51"/>
      <c r="I691" s="51"/>
      <c r="P691" s="52"/>
    </row>
    <row r="692" spans="8:16" ht="14">
      <c r="H692" s="51"/>
      <c r="I692" s="51"/>
      <c r="P692" s="52"/>
    </row>
    <row r="693" spans="8:16" ht="14">
      <c r="H693" s="51"/>
      <c r="I693" s="51"/>
      <c r="P693" s="52"/>
    </row>
    <row r="694" spans="8:16" ht="14">
      <c r="H694" s="51"/>
      <c r="I694" s="51"/>
      <c r="P694" s="52"/>
    </row>
    <row r="695" spans="8:16" ht="14">
      <c r="H695" s="51"/>
      <c r="I695" s="51"/>
      <c r="P695" s="52"/>
    </row>
    <row r="696" spans="8:16" ht="14">
      <c r="H696" s="51"/>
      <c r="I696" s="51"/>
      <c r="P696" s="52"/>
    </row>
    <row r="697" spans="8:16" ht="14">
      <c r="H697" s="51"/>
      <c r="I697" s="51"/>
      <c r="P697" s="52"/>
    </row>
    <row r="698" spans="8:16" ht="14">
      <c r="H698" s="51"/>
      <c r="I698" s="51"/>
      <c r="P698" s="52"/>
    </row>
    <row r="699" spans="8:16" ht="14">
      <c r="H699" s="51"/>
      <c r="I699" s="51"/>
      <c r="P699" s="52"/>
    </row>
    <row r="700" spans="8:16" ht="14">
      <c r="H700" s="51"/>
      <c r="I700" s="51"/>
      <c r="P700" s="52"/>
    </row>
    <row r="701" spans="8:16" ht="14">
      <c r="H701" s="51"/>
      <c r="I701" s="51"/>
      <c r="P701" s="52"/>
    </row>
    <row r="702" spans="8:16" ht="14">
      <c r="H702" s="51"/>
      <c r="I702" s="51"/>
      <c r="P702" s="52"/>
    </row>
    <row r="703" spans="8:16" ht="14">
      <c r="H703" s="51"/>
      <c r="I703" s="51"/>
      <c r="P703" s="52"/>
    </row>
    <row r="704" spans="8:16" ht="14">
      <c r="H704" s="51"/>
      <c r="I704" s="51"/>
      <c r="P704" s="52"/>
    </row>
    <row r="705" spans="8:16" ht="14">
      <c r="H705" s="51"/>
      <c r="I705" s="51"/>
      <c r="P705" s="52"/>
    </row>
    <row r="706" spans="8:16" ht="14">
      <c r="H706" s="51"/>
      <c r="I706" s="51"/>
      <c r="P706" s="52"/>
    </row>
    <row r="707" spans="8:16" ht="14">
      <c r="H707" s="51"/>
      <c r="I707" s="51"/>
      <c r="P707" s="52"/>
    </row>
    <row r="708" spans="8:16" ht="14">
      <c r="H708" s="51"/>
      <c r="I708" s="51"/>
      <c r="P708" s="52"/>
    </row>
    <row r="709" spans="8:16" ht="14">
      <c r="H709" s="51"/>
      <c r="I709" s="51"/>
      <c r="P709" s="52"/>
    </row>
    <row r="710" spans="8:16" ht="14">
      <c r="H710" s="51"/>
      <c r="I710" s="51"/>
      <c r="P710" s="52"/>
    </row>
    <row r="711" spans="8:16" ht="14">
      <c r="H711" s="51"/>
      <c r="I711" s="51"/>
      <c r="P711" s="52"/>
    </row>
    <row r="712" spans="8:16" ht="14">
      <c r="H712" s="51"/>
      <c r="I712" s="51"/>
      <c r="P712" s="52"/>
    </row>
    <row r="713" spans="8:16" ht="14">
      <c r="H713" s="51"/>
      <c r="I713" s="51"/>
      <c r="P713" s="52"/>
    </row>
    <row r="714" spans="8:16" ht="14">
      <c r="H714" s="51"/>
      <c r="I714" s="51"/>
      <c r="P714" s="52"/>
    </row>
    <row r="715" spans="8:16" ht="14">
      <c r="H715" s="51"/>
      <c r="I715" s="51"/>
      <c r="P715" s="52"/>
    </row>
    <row r="716" spans="8:16" ht="14">
      <c r="H716" s="51"/>
      <c r="I716" s="51"/>
      <c r="P716" s="52"/>
    </row>
    <row r="717" spans="8:16" ht="14">
      <c r="H717" s="51"/>
      <c r="I717" s="51"/>
      <c r="P717" s="52"/>
    </row>
    <row r="718" spans="8:16" ht="14">
      <c r="H718" s="51"/>
      <c r="I718" s="51"/>
      <c r="P718" s="52"/>
    </row>
    <row r="719" spans="8:16" ht="14">
      <c r="H719" s="51"/>
      <c r="I719" s="51"/>
      <c r="P719" s="52"/>
    </row>
    <row r="720" spans="8:16" ht="14">
      <c r="H720" s="51"/>
      <c r="I720" s="51"/>
      <c r="P720" s="52"/>
    </row>
    <row r="721" spans="8:16" ht="14">
      <c r="H721" s="51"/>
      <c r="I721" s="51"/>
      <c r="P721" s="52"/>
    </row>
    <row r="722" spans="8:16" ht="14">
      <c r="H722" s="51"/>
      <c r="I722" s="51"/>
      <c r="P722" s="52"/>
    </row>
    <row r="723" spans="8:16" ht="14">
      <c r="H723" s="51"/>
      <c r="I723" s="51"/>
      <c r="P723" s="52"/>
    </row>
    <row r="724" spans="8:16" ht="14">
      <c r="H724" s="51"/>
      <c r="I724" s="51"/>
      <c r="P724" s="52"/>
    </row>
    <row r="725" spans="8:16" ht="14">
      <c r="H725" s="51"/>
      <c r="I725" s="51"/>
      <c r="P725" s="52"/>
    </row>
    <row r="726" spans="8:16" ht="14">
      <c r="H726" s="51"/>
      <c r="I726" s="51"/>
      <c r="P726" s="52"/>
    </row>
    <row r="727" spans="8:16" ht="14">
      <c r="H727" s="51"/>
      <c r="I727" s="51"/>
      <c r="P727" s="52"/>
    </row>
    <row r="728" spans="8:16" ht="14">
      <c r="H728" s="51"/>
      <c r="I728" s="51"/>
      <c r="P728" s="52"/>
    </row>
    <row r="729" spans="8:16" ht="14">
      <c r="H729" s="51"/>
      <c r="I729" s="51"/>
      <c r="P729" s="52"/>
    </row>
    <row r="730" spans="8:16" ht="14">
      <c r="H730" s="51"/>
      <c r="I730" s="51"/>
      <c r="P730" s="52"/>
    </row>
    <row r="731" spans="8:16" ht="14">
      <c r="H731" s="51"/>
      <c r="I731" s="51"/>
      <c r="P731" s="52"/>
    </row>
    <row r="732" spans="8:16" ht="14">
      <c r="H732" s="51"/>
      <c r="I732" s="51"/>
      <c r="P732" s="52"/>
    </row>
    <row r="733" spans="8:16" ht="14">
      <c r="H733" s="51"/>
      <c r="I733" s="51"/>
      <c r="P733" s="52"/>
    </row>
    <row r="734" spans="8:16" ht="14">
      <c r="H734" s="51"/>
      <c r="I734" s="51"/>
      <c r="P734" s="52"/>
    </row>
    <row r="735" spans="8:16" ht="14">
      <c r="H735" s="51"/>
      <c r="I735" s="51"/>
      <c r="P735" s="52"/>
    </row>
    <row r="736" spans="8:16" ht="14">
      <c r="H736" s="51"/>
      <c r="I736" s="51"/>
      <c r="P736" s="52"/>
    </row>
    <row r="737" spans="8:16" ht="14">
      <c r="H737" s="51"/>
      <c r="I737" s="51"/>
      <c r="P737" s="52"/>
    </row>
    <row r="738" spans="8:16" ht="14">
      <c r="H738" s="51"/>
      <c r="I738" s="51"/>
      <c r="P738" s="52"/>
    </row>
    <row r="739" spans="8:16" ht="14">
      <c r="H739" s="51"/>
      <c r="I739" s="51"/>
      <c r="P739" s="52"/>
    </row>
    <row r="740" spans="8:16" ht="14">
      <c r="H740" s="51"/>
      <c r="I740" s="51"/>
      <c r="P740" s="52"/>
    </row>
    <row r="741" spans="8:16" ht="14">
      <c r="H741" s="51"/>
      <c r="I741" s="51"/>
      <c r="P741" s="52"/>
    </row>
    <row r="742" spans="8:16" ht="14">
      <c r="H742" s="51"/>
      <c r="I742" s="51"/>
      <c r="P742" s="52"/>
    </row>
    <row r="743" spans="8:16" ht="14">
      <c r="H743" s="51"/>
      <c r="I743" s="51"/>
      <c r="P743" s="52"/>
    </row>
    <row r="744" spans="8:16" ht="14">
      <c r="H744" s="51"/>
      <c r="I744" s="51"/>
      <c r="P744" s="52"/>
    </row>
    <row r="745" spans="8:16" ht="14">
      <c r="H745" s="51"/>
      <c r="I745" s="51"/>
      <c r="P745" s="52"/>
    </row>
    <row r="746" spans="8:16" ht="14">
      <c r="H746" s="51"/>
      <c r="I746" s="51"/>
      <c r="P746" s="52"/>
    </row>
    <row r="747" spans="8:16" ht="14">
      <c r="H747" s="51"/>
      <c r="I747" s="51"/>
      <c r="P747" s="52"/>
    </row>
    <row r="748" spans="8:16" ht="14">
      <c r="H748" s="51"/>
      <c r="I748" s="51"/>
      <c r="P748" s="52"/>
    </row>
    <row r="749" spans="8:16" ht="14">
      <c r="H749" s="51"/>
      <c r="I749" s="51"/>
      <c r="P749" s="52"/>
    </row>
    <row r="750" spans="8:16" ht="14">
      <c r="H750" s="51"/>
      <c r="I750" s="51"/>
      <c r="P750" s="52"/>
    </row>
    <row r="751" spans="8:16" ht="14">
      <c r="H751" s="51"/>
      <c r="I751" s="51"/>
      <c r="P751" s="52"/>
    </row>
    <row r="752" spans="8:16" ht="14">
      <c r="H752" s="51"/>
      <c r="I752" s="51"/>
      <c r="P752" s="52"/>
    </row>
    <row r="753" spans="8:16" ht="14">
      <c r="H753" s="51"/>
      <c r="I753" s="51"/>
      <c r="P753" s="52"/>
    </row>
    <row r="754" spans="8:16" ht="14">
      <c r="H754" s="51"/>
      <c r="I754" s="51"/>
      <c r="P754" s="52"/>
    </row>
    <row r="755" spans="8:16" ht="14">
      <c r="H755" s="51"/>
      <c r="I755" s="51"/>
      <c r="P755" s="52"/>
    </row>
    <row r="756" spans="8:16" ht="14">
      <c r="H756" s="51"/>
      <c r="I756" s="51"/>
      <c r="P756" s="52"/>
    </row>
    <row r="757" spans="8:16" ht="14">
      <c r="H757" s="51"/>
      <c r="I757" s="51"/>
      <c r="P757" s="52"/>
    </row>
    <row r="758" spans="8:16" ht="14">
      <c r="H758" s="51"/>
      <c r="I758" s="51"/>
      <c r="P758" s="52"/>
    </row>
    <row r="759" spans="8:16" ht="14">
      <c r="H759" s="51"/>
      <c r="I759" s="51"/>
      <c r="P759" s="52"/>
    </row>
    <row r="760" spans="8:16" ht="14">
      <c r="H760" s="51"/>
      <c r="I760" s="51"/>
      <c r="P760" s="52"/>
    </row>
    <row r="761" spans="8:16" ht="14">
      <c r="H761" s="51"/>
      <c r="I761" s="51"/>
      <c r="P761" s="52"/>
    </row>
    <row r="762" spans="8:16" ht="14">
      <c r="H762" s="51"/>
      <c r="I762" s="51"/>
      <c r="P762" s="52"/>
    </row>
    <row r="763" spans="8:16" ht="14">
      <c r="H763" s="51"/>
      <c r="I763" s="51"/>
      <c r="P763" s="52"/>
    </row>
    <row r="764" spans="8:16" ht="14">
      <c r="H764" s="51"/>
      <c r="I764" s="51"/>
      <c r="P764" s="52"/>
    </row>
    <row r="765" spans="8:16" ht="14">
      <c r="H765" s="51"/>
      <c r="I765" s="51"/>
      <c r="P765" s="52"/>
    </row>
    <row r="766" spans="8:16" ht="14">
      <c r="H766" s="51"/>
      <c r="I766" s="51"/>
      <c r="P766" s="52"/>
    </row>
    <row r="767" spans="8:16" ht="14">
      <c r="H767" s="51"/>
      <c r="I767" s="51"/>
      <c r="P767" s="52"/>
    </row>
    <row r="768" spans="8:16" ht="14">
      <c r="H768" s="51"/>
      <c r="I768" s="51"/>
      <c r="P768" s="52"/>
    </row>
    <row r="769" spans="8:16" ht="14">
      <c r="H769" s="51"/>
      <c r="I769" s="51"/>
      <c r="P769" s="52"/>
    </row>
    <row r="770" spans="8:16" ht="14">
      <c r="H770" s="51"/>
      <c r="I770" s="51"/>
      <c r="P770" s="52"/>
    </row>
    <row r="771" spans="8:16" ht="14">
      <c r="H771" s="51"/>
      <c r="I771" s="51"/>
      <c r="P771" s="52"/>
    </row>
    <row r="772" spans="8:16" ht="14">
      <c r="H772" s="51"/>
      <c r="I772" s="51"/>
      <c r="P772" s="52"/>
    </row>
    <row r="773" spans="8:16" ht="14">
      <c r="H773" s="51"/>
      <c r="I773" s="51"/>
      <c r="P773" s="52"/>
    </row>
    <row r="774" spans="8:16" ht="14">
      <c r="H774" s="51"/>
      <c r="I774" s="51"/>
      <c r="P774" s="52"/>
    </row>
    <row r="775" spans="8:16" ht="14">
      <c r="H775" s="51"/>
      <c r="I775" s="51"/>
      <c r="P775" s="52"/>
    </row>
    <row r="776" spans="8:16" ht="14">
      <c r="H776" s="51"/>
      <c r="I776" s="51"/>
      <c r="P776" s="52"/>
    </row>
    <row r="777" spans="8:16" ht="14">
      <c r="H777" s="51"/>
      <c r="I777" s="51"/>
      <c r="P777" s="52"/>
    </row>
    <row r="778" spans="8:16" ht="14">
      <c r="H778" s="51"/>
      <c r="I778" s="51"/>
      <c r="P778" s="52"/>
    </row>
    <row r="779" spans="8:16" ht="14">
      <c r="H779" s="51"/>
      <c r="I779" s="51"/>
      <c r="P779" s="52"/>
    </row>
    <row r="780" spans="8:16" ht="14">
      <c r="H780" s="51"/>
      <c r="I780" s="51"/>
      <c r="P780" s="52"/>
    </row>
    <row r="781" spans="8:16" ht="14">
      <c r="H781" s="51"/>
      <c r="I781" s="51"/>
      <c r="P781" s="52"/>
    </row>
    <row r="782" spans="8:16" ht="14">
      <c r="H782" s="51"/>
      <c r="I782" s="51"/>
      <c r="P782" s="52"/>
    </row>
    <row r="783" spans="8:16" ht="14">
      <c r="H783" s="51"/>
      <c r="I783" s="51"/>
      <c r="P783" s="52"/>
    </row>
    <row r="784" spans="8:16" ht="14">
      <c r="H784" s="51"/>
      <c r="I784" s="51"/>
      <c r="P784" s="52"/>
    </row>
    <row r="785" spans="8:16" ht="14">
      <c r="H785" s="51"/>
      <c r="I785" s="51"/>
      <c r="P785" s="52"/>
    </row>
    <row r="786" spans="8:16" ht="14">
      <c r="H786" s="51"/>
      <c r="I786" s="51"/>
      <c r="P786" s="52"/>
    </row>
    <row r="787" spans="8:16" ht="14">
      <c r="H787" s="51"/>
      <c r="I787" s="51"/>
      <c r="P787" s="52"/>
    </row>
    <row r="788" spans="8:16" ht="14">
      <c r="H788" s="51"/>
      <c r="I788" s="51"/>
      <c r="P788" s="52"/>
    </row>
    <row r="789" spans="8:16" ht="14">
      <c r="H789" s="51"/>
      <c r="I789" s="51"/>
      <c r="P789" s="52"/>
    </row>
    <row r="790" spans="8:16" ht="14">
      <c r="H790" s="51"/>
      <c r="I790" s="51"/>
      <c r="P790" s="52"/>
    </row>
    <row r="791" spans="8:16" ht="14">
      <c r="H791" s="51"/>
      <c r="I791" s="51"/>
      <c r="P791" s="52"/>
    </row>
    <row r="792" spans="8:16" ht="14">
      <c r="H792" s="51"/>
      <c r="I792" s="51"/>
      <c r="P792" s="52"/>
    </row>
    <row r="793" spans="8:16" ht="14">
      <c r="H793" s="51"/>
      <c r="I793" s="51"/>
      <c r="P793" s="52"/>
    </row>
    <row r="794" spans="8:16" ht="14">
      <c r="H794" s="51"/>
      <c r="I794" s="51"/>
      <c r="P794" s="52"/>
    </row>
    <row r="795" spans="8:16" ht="14">
      <c r="H795" s="51"/>
      <c r="I795" s="51"/>
      <c r="P795" s="52"/>
    </row>
    <row r="796" spans="8:16" ht="14">
      <c r="H796" s="51"/>
      <c r="I796" s="51"/>
      <c r="P796" s="52"/>
    </row>
    <row r="797" spans="8:16" ht="14">
      <c r="H797" s="51"/>
      <c r="I797" s="51"/>
      <c r="P797" s="52"/>
    </row>
    <row r="798" spans="8:16" ht="14">
      <c r="H798" s="51"/>
      <c r="I798" s="51"/>
      <c r="P798" s="52"/>
    </row>
    <row r="799" spans="8:16" ht="14">
      <c r="H799" s="51"/>
      <c r="I799" s="51"/>
      <c r="P799" s="52"/>
    </row>
    <row r="800" spans="8:16" ht="14">
      <c r="H800" s="51"/>
      <c r="I800" s="51"/>
      <c r="P800" s="52"/>
    </row>
    <row r="801" spans="8:16" ht="14">
      <c r="H801" s="51"/>
      <c r="I801" s="51"/>
      <c r="P801" s="52"/>
    </row>
    <row r="802" spans="8:16" ht="14">
      <c r="H802" s="51"/>
      <c r="I802" s="51"/>
      <c r="P802" s="52"/>
    </row>
    <row r="803" spans="8:16" ht="14">
      <c r="H803" s="51"/>
      <c r="I803" s="51"/>
      <c r="P803" s="52"/>
    </row>
    <row r="804" spans="8:16" ht="14">
      <c r="H804" s="51"/>
      <c r="I804" s="51"/>
      <c r="P804" s="52"/>
    </row>
    <row r="805" spans="8:16" ht="14">
      <c r="H805" s="51"/>
      <c r="I805" s="51"/>
      <c r="P805" s="52"/>
    </row>
    <row r="806" spans="8:16" ht="14">
      <c r="H806" s="51"/>
      <c r="I806" s="51"/>
      <c r="P806" s="52"/>
    </row>
    <row r="807" spans="8:16" ht="14">
      <c r="H807" s="51"/>
      <c r="I807" s="51"/>
      <c r="P807" s="52"/>
    </row>
    <row r="808" spans="8:16" ht="14">
      <c r="H808" s="51"/>
      <c r="I808" s="51"/>
      <c r="P808" s="52"/>
    </row>
    <row r="809" spans="8:16" ht="14">
      <c r="H809" s="51"/>
      <c r="I809" s="51"/>
      <c r="P809" s="52"/>
    </row>
    <row r="810" spans="8:16" ht="14">
      <c r="H810" s="51"/>
      <c r="I810" s="51"/>
      <c r="P810" s="52"/>
    </row>
    <row r="811" spans="8:16" ht="14">
      <c r="H811" s="51"/>
      <c r="I811" s="51"/>
      <c r="P811" s="52"/>
    </row>
    <row r="812" spans="8:16" ht="14">
      <c r="H812" s="51"/>
      <c r="I812" s="51"/>
      <c r="P812" s="52"/>
    </row>
    <row r="813" spans="8:16" ht="14">
      <c r="H813" s="51"/>
      <c r="I813" s="51"/>
      <c r="P813" s="52"/>
    </row>
    <row r="814" spans="8:16" ht="14">
      <c r="H814" s="51"/>
      <c r="I814" s="51"/>
      <c r="P814" s="52"/>
    </row>
    <row r="815" spans="8:16" ht="14">
      <c r="H815" s="51"/>
      <c r="I815" s="51"/>
      <c r="P815" s="52"/>
    </row>
    <row r="816" spans="8:16" ht="14">
      <c r="H816" s="51"/>
      <c r="I816" s="51"/>
      <c r="P816" s="52"/>
    </row>
    <row r="817" spans="8:16" ht="14">
      <c r="H817" s="51"/>
      <c r="I817" s="51"/>
      <c r="P817" s="52"/>
    </row>
    <row r="818" spans="8:16" ht="14">
      <c r="H818" s="51"/>
      <c r="I818" s="51"/>
      <c r="P818" s="52"/>
    </row>
    <row r="819" spans="8:16" ht="14">
      <c r="H819" s="51"/>
      <c r="I819" s="51"/>
      <c r="P819" s="52"/>
    </row>
    <row r="820" spans="8:16" ht="14">
      <c r="H820" s="51"/>
      <c r="I820" s="51"/>
      <c r="P820" s="52"/>
    </row>
    <row r="821" spans="8:16" ht="14">
      <c r="H821" s="51"/>
      <c r="I821" s="51"/>
      <c r="P821" s="52"/>
    </row>
    <row r="822" spans="8:16" ht="14">
      <c r="H822" s="51"/>
      <c r="I822" s="51"/>
      <c r="P822" s="52"/>
    </row>
    <row r="823" spans="8:16" ht="14">
      <c r="H823" s="51"/>
      <c r="I823" s="51"/>
      <c r="P823" s="52"/>
    </row>
    <row r="824" spans="8:16" ht="14">
      <c r="H824" s="51"/>
      <c r="I824" s="51"/>
      <c r="P824" s="52"/>
    </row>
    <row r="825" spans="8:16" ht="14">
      <c r="H825" s="51"/>
      <c r="I825" s="51"/>
      <c r="P825" s="52"/>
    </row>
    <row r="826" spans="8:16" ht="14">
      <c r="H826" s="51"/>
      <c r="I826" s="51"/>
      <c r="P826" s="52"/>
    </row>
    <row r="827" spans="8:16" ht="14">
      <c r="H827" s="51"/>
      <c r="I827" s="51"/>
      <c r="P827" s="52"/>
    </row>
    <row r="828" spans="8:16" ht="14">
      <c r="H828" s="51"/>
      <c r="I828" s="51"/>
      <c r="P828" s="52"/>
    </row>
    <row r="829" spans="8:16" ht="14">
      <c r="H829" s="51"/>
      <c r="I829" s="51"/>
      <c r="P829" s="52"/>
    </row>
    <row r="830" spans="8:16" ht="14">
      <c r="H830" s="51"/>
      <c r="I830" s="51"/>
      <c r="P830" s="52"/>
    </row>
    <row r="831" spans="8:16" ht="14">
      <c r="H831" s="51"/>
      <c r="I831" s="51"/>
      <c r="P831" s="52"/>
    </row>
    <row r="832" spans="8:16" ht="14">
      <c r="H832" s="51"/>
      <c r="I832" s="51"/>
      <c r="P832" s="52"/>
    </row>
    <row r="833" spans="8:16" ht="14">
      <c r="H833" s="51"/>
      <c r="I833" s="51"/>
      <c r="P833" s="52"/>
    </row>
    <row r="834" spans="8:16" ht="14">
      <c r="H834" s="51"/>
      <c r="I834" s="51"/>
      <c r="P834" s="52"/>
    </row>
    <row r="835" spans="8:16" ht="14">
      <c r="H835" s="51"/>
      <c r="I835" s="51"/>
      <c r="P835" s="52"/>
    </row>
    <row r="836" spans="8:16" ht="14">
      <c r="H836" s="51"/>
      <c r="I836" s="51"/>
      <c r="P836" s="52"/>
    </row>
    <row r="837" spans="8:16" ht="14">
      <c r="H837" s="51"/>
      <c r="I837" s="51"/>
      <c r="P837" s="52"/>
    </row>
    <row r="838" spans="8:16" ht="14"/>
    <row r="839" spans="8:16" ht="14"/>
    <row r="840" spans="8:16" ht="14"/>
    <row r="841" spans="8:16" ht="14"/>
    <row r="842" spans="8:16" ht="14"/>
    <row r="843" spans="8:16" ht="14"/>
    <row r="844" spans="8:16" ht="14"/>
    <row r="845" spans="8:16" ht="14"/>
    <row r="846" spans="8:16" ht="14"/>
    <row r="847" spans="8:16" ht="14"/>
  </sheetData>
  <mergeCells count="13">
    <mergeCell ref="G5:H5"/>
    <mergeCell ref="D55:E55"/>
    <mergeCell ref="F55:G55"/>
    <mergeCell ref="H55:J55"/>
    <mergeCell ref="K55:L55"/>
    <mergeCell ref="R55:S55"/>
    <mergeCell ref="D99:E99"/>
    <mergeCell ref="F99:G99"/>
    <mergeCell ref="H99:J99"/>
    <mergeCell ref="K99:L99"/>
    <mergeCell ref="M99:Q99"/>
    <mergeCell ref="R99:S99"/>
    <mergeCell ref="M55:Q55"/>
  </mergeCells>
  <phoneticPr fontId="13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399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D20" sqref="D20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72</v>
      </c>
      <c r="K1" s="3" t="s">
        <v>50</v>
      </c>
      <c r="L1" s="3" t="s">
        <v>51</v>
      </c>
      <c r="M1" s="21" t="s">
        <v>53</v>
      </c>
      <c r="N1" s="21" t="s">
        <v>52</v>
      </c>
      <c r="O1" s="36" t="s">
        <v>13</v>
      </c>
      <c r="P1" s="36" t="s">
        <v>14</v>
      </c>
      <c r="Q1" s="36" t="s">
        <v>15</v>
      </c>
      <c r="R1" s="36" t="s">
        <v>16</v>
      </c>
      <c r="S1" s="36" t="s">
        <v>17</v>
      </c>
    </row>
    <row r="2" spans="1:19" ht="21" customHeight="1">
      <c r="A2" s="7" t="str">
        <f>B2&amp;F2</f>
        <v>1941126</v>
      </c>
      <c r="B2" s="2" t="str">
        <f>194&amp;E2</f>
        <v>1941</v>
      </c>
      <c r="C2" s="8" t="str">
        <f t="shared" ref="C2" si="0">E2&amp;H2&amp;I2</f>
        <v>1PremiumW3</v>
      </c>
      <c r="D2" s="8" t="str">
        <f>E2&amp;H2&amp;I2</f>
        <v>1PremiumW3</v>
      </c>
      <c r="E2" s="10">
        <v>1</v>
      </c>
      <c r="F2" s="6">
        <v>126</v>
      </c>
      <c r="G2" s="8" t="str">
        <f>VLOOKUP(F2,[1]characters!$A:$C,3,FALSE)</f>
        <v>骨器使い ユノ</v>
      </c>
      <c r="H2" s="8" t="str">
        <f>VLOOKUP(F2,[1]characters!$A:$J,10,FALSE)</f>
        <v>PremiumW</v>
      </c>
      <c r="I2" s="8">
        <f>VLOOKUP(F2,[1]characters!$A:$I,9,FALSE)</f>
        <v>3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IFERROR(VLOOKUP(F2,gacha_conf!A$50:F$62,5+E2,FALSE),VLOOKUP(D2,gacha_conf!D$18:E$46,2,FALSE))</f>
        <v>4493</v>
      </c>
      <c r="N2" s="37">
        <f>IFERROR(VLOOKUP($F2,bug_conf_sheet!$A:$H,3,FALSE),VLOOKUP("other",bug_conf_sheet!$A:$H,3,FALSE))</f>
        <v>1</v>
      </c>
      <c r="O2" s="37">
        <f>IFERROR(VLOOKUP($F2,bug_conf_sheet!$A:$H,4,FALSE),VLOOKUP("other",bug_conf_sheet!$A:$H,4,FALSE))</f>
        <v>0</v>
      </c>
      <c r="P2" s="37">
        <f>IFERROR(VLOOKUP($F2,bug_conf_sheet!$A:$H,5,FALSE),VLOOKUP("other",bug_conf_sheet!$A:$H,5,FALSE))</f>
        <v>0</v>
      </c>
      <c r="Q2" s="37">
        <f>IFERROR(VLOOKUP($F2,bug_conf_sheet!$A:$H,6,FALSE),VLOOKUP("other",bug_conf_sheet!$A:$H,6,FALSE))</f>
        <v>0</v>
      </c>
      <c r="R2" s="37">
        <f>IFERROR(VLOOKUP($F2,bug_conf_sheet!$A:$H,7,FALSE),VLOOKUP("other",bug_conf_sheet!$A:$H,7,FALSE))</f>
        <v>0</v>
      </c>
      <c r="S2" s="37">
        <f>IFERROR(VLOOKUP($F2,bug_conf_sheet!$A:$H,8,FALSE),VLOOKUP("other",bug_conf_sheet!$A:$H,8,FALSE))</f>
        <v>1</v>
      </c>
    </row>
    <row r="3" spans="1:19" ht="21" customHeight="1">
      <c r="A3" s="7" t="str">
        <f t="shared" ref="A3:A66" si="1">B3&amp;F3</f>
        <v>1941127</v>
      </c>
      <c r="B3" s="2" t="str">
        <f t="shared" ref="B3:B66" si="2">194&amp;E3</f>
        <v>1941</v>
      </c>
      <c r="C3" s="8" t="str">
        <f t="shared" ref="C3:C66" si="3">E3&amp;H3&amp;I3</f>
        <v>1PremiumW4</v>
      </c>
      <c r="D3" s="8" t="str">
        <f t="shared" ref="D3:D66" si="4">E3&amp;H3&amp;I3</f>
        <v>1PremiumW4</v>
      </c>
      <c r="E3" s="10">
        <v>1</v>
      </c>
      <c r="F3" s="6">
        <v>127</v>
      </c>
      <c r="G3" s="8" t="str">
        <f>VLOOKUP(F3,[1]characters!$A:$C,3,FALSE)</f>
        <v>狂喜の賢者 ユノ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red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IFERROR(VLOOKUP(F3,gacha_conf!A$50:F$62,5+E3,FALSE),VLOOKUP(D3,gacha_conf!D$18:E$46,2,FALSE))</f>
        <v>1419</v>
      </c>
      <c r="N3" s="37">
        <f>IFERROR(VLOOKUP($F3,bug_conf_sheet!$A:$H,3,FALSE),VLOOKUP("other",bug_conf_sheet!$A:$H,3,FALSE))</f>
        <v>1</v>
      </c>
      <c r="O3" s="37">
        <f>IFERROR(VLOOKUP($F3,bug_conf_sheet!$A:$H,4,FALSE),VLOOKUP("other",bug_conf_sheet!$A:$H,4,FALSE))</f>
        <v>0</v>
      </c>
      <c r="P3" s="37">
        <f>IFERROR(VLOOKUP($F3,bug_conf_sheet!$A:$H,5,FALSE),VLOOKUP("other",bug_conf_sheet!$A:$H,5,FALSE))</f>
        <v>0</v>
      </c>
      <c r="Q3" s="37">
        <f>IFERROR(VLOOKUP($F3,bug_conf_sheet!$A:$H,6,FALSE),VLOOKUP("other",bug_conf_sheet!$A:$H,6,FALSE))</f>
        <v>0</v>
      </c>
      <c r="R3" s="37">
        <f>IFERROR(VLOOKUP($F3,bug_conf_sheet!$A:$H,7,FALSE),VLOOKUP("other",bug_conf_sheet!$A:$H,7,FALSE))</f>
        <v>0</v>
      </c>
      <c r="S3" s="37">
        <f>IFERROR(VLOOKUP($F3,bug_conf_sheet!$A:$H,8,FALSE),VLOOKUP("other",bug_conf_sheet!$A:$H,8,FALSE))</f>
        <v>1</v>
      </c>
    </row>
    <row r="4" spans="1:19" ht="21" customHeight="1">
      <c r="A4" s="7" t="str">
        <f t="shared" si="1"/>
        <v>1941128</v>
      </c>
      <c r="B4" s="2" t="str">
        <f t="shared" si="2"/>
        <v>1941</v>
      </c>
      <c r="C4" s="8" t="str">
        <f t="shared" si="3"/>
        <v>1PremiumW3</v>
      </c>
      <c r="D4" s="8" t="str">
        <f t="shared" si="4"/>
        <v>1PremiumW3</v>
      </c>
      <c r="E4" s="10">
        <v>1</v>
      </c>
      <c r="F4" s="6">
        <v>128</v>
      </c>
      <c r="G4" s="8" t="str">
        <f>VLOOKUP(F4,[1]characters!$A:$C,3,FALSE)</f>
        <v>野生児 アマラ</v>
      </c>
      <c r="H4" s="8" t="str">
        <f>VLOOKUP(F4,[1]characters!$A:$J,10,FALSE)</f>
        <v>PremiumW</v>
      </c>
      <c r="I4" s="8">
        <f>VLOOKUP(F4,[1]characters!$A:$I,9,FALSE)</f>
        <v>3</v>
      </c>
      <c r="J4" s="8" t="str">
        <f>VLOOKUP(F4,[1]characters!$A:$H,8,FALSE)</f>
        <v>green</v>
      </c>
      <c r="K4" s="8" t="str">
        <f>VLOOKUP(F4,[1]characters!$A:$K,11,FALSE)</f>
        <v>attack</v>
      </c>
      <c r="L4" s="8" t="str">
        <f>VLOOKUP(F4,[1]characters!$A:$M,13,FALSE)</f>
        <v>human</v>
      </c>
      <c r="M4" s="16">
        <f>IFERROR(VLOOKUP(F4,gacha_conf!A$50:F$62,5+E4,FALSE),VLOOKUP(D4,gacha_conf!D$18:E$46,2,FALSE))</f>
        <v>4493</v>
      </c>
      <c r="N4" s="37">
        <f>IFERROR(VLOOKUP($F4,bug_conf_sheet!$A:$H,3,FALSE),VLOOKUP("other",bug_conf_sheet!$A:$H,3,FALSE))</f>
        <v>1</v>
      </c>
      <c r="O4" s="37">
        <f>IFERROR(VLOOKUP($F4,bug_conf_sheet!$A:$H,4,FALSE),VLOOKUP("other",bug_conf_sheet!$A:$H,4,FALSE))</f>
        <v>0</v>
      </c>
      <c r="P4" s="37">
        <f>IFERROR(VLOOKUP($F4,bug_conf_sheet!$A:$H,5,FALSE),VLOOKUP("other",bug_conf_sheet!$A:$H,5,FALSE))</f>
        <v>0</v>
      </c>
      <c r="Q4" s="37">
        <f>IFERROR(VLOOKUP($F4,bug_conf_sheet!$A:$H,6,FALSE),VLOOKUP("other",bug_conf_sheet!$A:$H,6,FALSE))</f>
        <v>0</v>
      </c>
      <c r="R4" s="37">
        <f>IFERROR(VLOOKUP($F4,bug_conf_sheet!$A:$H,7,FALSE),VLOOKUP("other",bug_conf_sheet!$A:$H,7,FALSE))</f>
        <v>0</v>
      </c>
      <c r="S4" s="37">
        <f>IFERROR(VLOOKUP($F4,bug_conf_sheet!$A:$H,8,FALSE),VLOOKUP("other",bug_conf_sheet!$A:$H,8,FALSE))</f>
        <v>1</v>
      </c>
    </row>
    <row r="5" spans="1:19" ht="21" customHeight="1">
      <c r="A5" s="7" t="str">
        <f t="shared" si="1"/>
        <v>1941129</v>
      </c>
      <c r="B5" s="2" t="str">
        <f t="shared" si="2"/>
        <v>1941</v>
      </c>
      <c r="C5" s="8" t="str">
        <f t="shared" si="3"/>
        <v>1PremiumW4</v>
      </c>
      <c r="D5" s="8" t="str">
        <f t="shared" si="4"/>
        <v>1PremiumW4</v>
      </c>
      <c r="E5" s="10">
        <v>1</v>
      </c>
      <c r="F5" s="6">
        <v>129</v>
      </c>
      <c r="G5" s="8" t="str">
        <f>VLOOKUP(F5,[1]characters!$A:$C,3,FALSE)</f>
        <v>孤高の狼憑き アマラ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IFERROR(VLOOKUP(F5,gacha_conf!A$50:F$62,5+E5,FALSE),VLOOKUP(D5,gacha_conf!D$18:E$46,2,FALSE))</f>
        <v>1419</v>
      </c>
      <c r="N5" s="37">
        <f>IFERROR(VLOOKUP($F5,bug_conf_sheet!$A:$H,3,FALSE),VLOOKUP("other",bug_conf_sheet!$A:$H,3,FALSE))</f>
        <v>1</v>
      </c>
      <c r="O5" s="37">
        <f>IFERROR(VLOOKUP($F5,bug_conf_sheet!$A:$H,4,FALSE),VLOOKUP("other",bug_conf_sheet!$A:$H,4,FALSE))</f>
        <v>0</v>
      </c>
      <c r="P5" s="37">
        <f>IFERROR(VLOOKUP($F5,bug_conf_sheet!$A:$H,5,FALSE),VLOOKUP("other",bug_conf_sheet!$A:$H,5,FALSE))</f>
        <v>0</v>
      </c>
      <c r="Q5" s="37">
        <f>IFERROR(VLOOKUP($F5,bug_conf_sheet!$A:$H,6,FALSE),VLOOKUP("other",bug_conf_sheet!$A:$H,6,FALSE))</f>
        <v>0</v>
      </c>
      <c r="R5" s="37">
        <f>IFERROR(VLOOKUP($F5,bug_conf_sheet!$A:$H,7,FALSE),VLOOKUP("other",bug_conf_sheet!$A:$H,7,FALSE))</f>
        <v>0</v>
      </c>
      <c r="S5" s="37">
        <f>IFERROR(VLOOKUP($F5,bug_conf_sheet!$A:$H,8,FALSE),VLOOKUP("other",bug_conf_sheet!$A:$H,8,FALSE))</f>
        <v>1</v>
      </c>
    </row>
    <row r="6" spans="1:19" ht="21" customHeight="1">
      <c r="A6" s="7" t="str">
        <f t="shared" si="1"/>
        <v>1941130</v>
      </c>
      <c r="B6" s="2" t="str">
        <f t="shared" si="2"/>
        <v>1941</v>
      </c>
      <c r="C6" s="8" t="str">
        <f t="shared" si="3"/>
        <v>1PremiumW3</v>
      </c>
      <c r="D6" s="8" t="str">
        <f t="shared" si="4"/>
        <v>1PremiumW3</v>
      </c>
      <c r="E6" s="10">
        <v>1</v>
      </c>
      <c r="F6" s="6">
        <v>130</v>
      </c>
      <c r="G6" s="8" t="str">
        <f>VLOOKUP(F6,[1]characters!$A:$C,3,FALSE)</f>
        <v>狼男 ローレンス</v>
      </c>
      <c r="H6" s="8" t="str">
        <f>VLOOKUP(F6,[1]characters!$A:$J,10,FALSE)</f>
        <v>PremiumW</v>
      </c>
      <c r="I6" s="8">
        <f>VLOOKUP(F6,[1]characters!$A:$I,9,FALSE)</f>
        <v>3</v>
      </c>
      <c r="J6" s="8" t="str">
        <f>VLOOKUP(F6,[1]characters!$A:$H,8,FALSE)</f>
        <v>blue</v>
      </c>
      <c r="K6" s="8" t="str">
        <f>VLOOKUP(F6,[1]characters!$A:$K,11,FALSE)</f>
        <v>attack</v>
      </c>
      <c r="L6" s="8" t="str">
        <f>VLOOKUP(F6,[1]characters!$A:$M,13,FALSE)</f>
        <v>animal</v>
      </c>
      <c r="M6" s="16">
        <f>IFERROR(VLOOKUP(F6,gacha_conf!A$50:F$62,5+E6,FALSE),VLOOKUP(D6,gacha_conf!D$18:E$46,2,FALSE))</f>
        <v>4493</v>
      </c>
      <c r="N6" s="37">
        <f>IFERROR(VLOOKUP($F6,bug_conf_sheet!$A:$H,3,FALSE),VLOOKUP("other",bug_conf_sheet!$A:$H,3,FALSE))</f>
        <v>1</v>
      </c>
      <c r="O6" s="37">
        <f>IFERROR(VLOOKUP($F6,bug_conf_sheet!$A:$H,4,FALSE),VLOOKUP("other",bug_conf_sheet!$A:$H,4,FALSE))</f>
        <v>0</v>
      </c>
      <c r="P6" s="37">
        <f>IFERROR(VLOOKUP($F6,bug_conf_sheet!$A:$H,5,FALSE),VLOOKUP("other",bug_conf_sheet!$A:$H,5,FALSE))</f>
        <v>0</v>
      </c>
      <c r="Q6" s="37">
        <f>IFERROR(VLOOKUP($F6,bug_conf_sheet!$A:$H,6,FALSE),VLOOKUP("other",bug_conf_sheet!$A:$H,6,FALSE))</f>
        <v>0</v>
      </c>
      <c r="R6" s="37">
        <f>IFERROR(VLOOKUP($F6,bug_conf_sheet!$A:$H,7,FALSE),VLOOKUP("other",bug_conf_sheet!$A:$H,7,FALSE))</f>
        <v>0</v>
      </c>
      <c r="S6" s="37">
        <f>IFERROR(VLOOKUP($F6,bug_conf_sheet!$A:$H,8,FALSE),VLOOKUP("other",bug_conf_sheet!$A:$H,8,FALSE))</f>
        <v>1</v>
      </c>
    </row>
    <row r="7" spans="1:19" ht="21" customHeight="1">
      <c r="A7" s="7" t="str">
        <f t="shared" si="1"/>
        <v>1941131</v>
      </c>
      <c r="B7" s="2" t="str">
        <f t="shared" si="2"/>
        <v>1941</v>
      </c>
      <c r="C7" s="8" t="str">
        <f t="shared" si="3"/>
        <v>1PremiumW4</v>
      </c>
      <c r="D7" s="8" t="str">
        <f t="shared" si="4"/>
        <v>1PremiumW4</v>
      </c>
      <c r="E7" s="10">
        <v>1</v>
      </c>
      <c r="F7" s="6">
        <v>131</v>
      </c>
      <c r="G7" s="8" t="str">
        <f>VLOOKUP(F7,[1]characters!$A:$C,3,FALSE)</f>
        <v>月下の人狼 ローレンス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blue</v>
      </c>
      <c r="K7" s="8" t="str">
        <f>VLOOKUP(F7,[1]characters!$A:$K,11,FALSE)</f>
        <v>attack</v>
      </c>
      <c r="L7" s="8" t="str">
        <f>VLOOKUP(F7,[1]characters!$A:$M,13,FALSE)</f>
        <v>animal</v>
      </c>
      <c r="M7" s="16">
        <f>IFERROR(VLOOKUP(F7,gacha_conf!A$50:F$62,5+E7,FALSE),VLOOKUP(D7,gacha_conf!D$18:E$46,2,FALSE))</f>
        <v>1419</v>
      </c>
      <c r="N7" s="37">
        <f>IFERROR(VLOOKUP($F7,bug_conf_sheet!$A:$H,3,FALSE),VLOOKUP("other",bug_conf_sheet!$A:$H,3,FALSE))</f>
        <v>1</v>
      </c>
      <c r="O7" s="37">
        <f>IFERROR(VLOOKUP($F7,bug_conf_sheet!$A:$H,4,FALSE),VLOOKUP("other",bug_conf_sheet!$A:$H,4,FALSE))</f>
        <v>0</v>
      </c>
      <c r="P7" s="37">
        <f>IFERROR(VLOOKUP($F7,bug_conf_sheet!$A:$H,5,FALSE),VLOOKUP("other",bug_conf_sheet!$A:$H,5,FALSE))</f>
        <v>0</v>
      </c>
      <c r="Q7" s="37">
        <f>IFERROR(VLOOKUP($F7,bug_conf_sheet!$A:$H,6,FALSE),VLOOKUP("other",bug_conf_sheet!$A:$H,6,FALSE))</f>
        <v>0</v>
      </c>
      <c r="R7" s="37">
        <f>IFERROR(VLOOKUP($F7,bug_conf_sheet!$A:$H,7,FALSE),VLOOKUP("other",bug_conf_sheet!$A:$H,7,FALSE))</f>
        <v>0</v>
      </c>
      <c r="S7" s="37">
        <f>IFERROR(VLOOKUP($F7,bug_conf_sheet!$A:$H,8,FALSE),VLOOKUP("other",bug_conf_sheet!$A:$H,8,FALSE))</f>
        <v>1</v>
      </c>
    </row>
    <row r="8" spans="1:19" ht="21" customHeight="1">
      <c r="A8" s="7" t="str">
        <f t="shared" si="1"/>
        <v>1941132</v>
      </c>
      <c r="B8" s="2" t="str">
        <f t="shared" si="2"/>
        <v>1941</v>
      </c>
      <c r="C8" s="8" t="str">
        <f t="shared" si="3"/>
        <v>1PremiumW3</v>
      </c>
      <c r="D8" s="8" t="str">
        <f t="shared" si="4"/>
        <v>1PremiumW3</v>
      </c>
      <c r="E8" s="10">
        <v>1</v>
      </c>
      <c r="F8" s="6">
        <v>132</v>
      </c>
      <c r="G8" s="8" t="str">
        <f>VLOOKUP(F8,[1]characters!$A:$C,3,FALSE)</f>
        <v>鳥人ハヤト</v>
      </c>
      <c r="H8" s="8" t="str">
        <f>VLOOKUP(F8,[1]characters!$A:$J,10,FALSE)</f>
        <v>PremiumW</v>
      </c>
      <c r="I8" s="8">
        <f>VLOOKUP(F8,[1]characters!$A:$I,9,FALSE)</f>
        <v>3</v>
      </c>
      <c r="J8" s="8" t="str">
        <f>VLOOKUP(F8,[1]characters!$A:$H,8,FALSE)</f>
        <v>yellow</v>
      </c>
      <c r="K8" s="8" t="str">
        <f>VLOOKUP(F8,[1]characters!$A:$K,11,FALSE)</f>
        <v>attack</v>
      </c>
      <c r="L8" s="8" t="str">
        <f>VLOOKUP(F8,[1]characters!$A:$M,13,FALSE)</f>
        <v>human</v>
      </c>
      <c r="M8" s="16">
        <f>IFERROR(VLOOKUP(F8,gacha_conf!A$50:F$62,5+E8,FALSE),VLOOKUP(D8,gacha_conf!D$18:E$46,2,FALSE))</f>
        <v>4493</v>
      </c>
      <c r="N8" s="37">
        <f>IFERROR(VLOOKUP($F8,bug_conf_sheet!$A:$H,3,FALSE),VLOOKUP("other",bug_conf_sheet!$A:$H,3,FALSE))</f>
        <v>1</v>
      </c>
      <c r="O8" s="37">
        <f>IFERROR(VLOOKUP($F8,bug_conf_sheet!$A:$H,4,FALSE),VLOOKUP("other",bug_conf_sheet!$A:$H,4,FALSE))</f>
        <v>0</v>
      </c>
      <c r="P8" s="37">
        <f>IFERROR(VLOOKUP($F8,bug_conf_sheet!$A:$H,5,FALSE),VLOOKUP("other",bug_conf_sheet!$A:$H,5,FALSE))</f>
        <v>0</v>
      </c>
      <c r="Q8" s="37">
        <f>IFERROR(VLOOKUP($F8,bug_conf_sheet!$A:$H,6,FALSE),VLOOKUP("other",bug_conf_sheet!$A:$H,6,FALSE))</f>
        <v>0</v>
      </c>
      <c r="R8" s="37">
        <f>IFERROR(VLOOKUP($F8,bug_conf_sheet!$A:$H,7,FALSE),VLOOKUP("other",bug_conf_sheet!$A:$H,7,FALSE))</f>
        <v>0</v>
      </c>
      <c r="S8" s="37">
        <f>IFERROR(VLOOKUP($F8,bug_conf_sheet!$A:$H,8,FALSE),VLOOKUP("other",bug_conf_sheet!$A:$H,8,FALSE))</f>
        <v>1</v>
      </c>
    </row>
    <row r="9" spans="1:19" ht="21" customHeight="1">
      <c r="A9" s="7" t="str">
        <f t="shared" si="1"/>
        <v>1941133</v>
      </c>
      <c r="B9" s="2" t="str">
        <f t="shared" si="2"/>
        <v>1941</v>
      </c>
      <c r="C9" s="8" t="str">
        <f t="shared" si="3"/>
        <v>1PremiumW4</v>
      </c>
      <c r="D9" s="8" t="str">
        <f t="shared" si="4"/>
        <v>1PremiumW4</v>
      </c>
      <c r="E9" s="10">
        <v>1</v>
      </c>
      <c r="F9" s="6">
        <v>133</v>
      </c>
      <c r="G9" s="8" t="str">
        <f>VLOOKUP(F9,[1]characters!$A:$C,3,FALSE)</f>
        <v>迅雷の刀剣 ハヤト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attack</v>
      </c>
      <c r="L9" s="8" t="str">
        <f>VLOOKUP(F9,[1]characters!$A:$M,13,FALSE)</f>
        <v>human</v>
      </c>
      <c r="M9" s="16">
        <f>IFERROR(VLOOKUP(F9,gacha_conf!A$50:F$62,5+E9,FALSE),VLOOKUP(D9,gacha_conf!D$18:E$46,2,FALSE))</f>
        <v>1419</v>
      </c>
      <c r="N9" s="37">
        <f>IFERROR(VLOOKUP($F9,bug_conf_sheet!$A:$H,3,FALSE),VLOOKUP("other",bug_conf_sheet!$A:$H,3,FALSE))</f>
        <v>1</v>
      </c>
      <c r="O9" s="37">
        <f>IFERROR(VLOOKUP($F9,bug_conf_sheet!$A:$H,4,FALSE),VLOOKUP("other",bug_conf_sheet!$A:$H,4,FALSE))</f>
        <v>0</v>
      </c>
      <c r="P9" s="37">
        <f>IFERROR(VLOOKUP($F9,bug_conf_sheet!$A:$H,5,FALSE),VLOOKUP("other",bug_conf_sheet!$A:$H,5,FALSE))</f>
        <v>0</v>
      </c>
      <c r="Q9" s="37">
        <f>IFERROR(VLOOKUP($F9,bug_conf_sheet!$A:$H,6,FALSE),VLOOKUP("other",bug_conf_sheet!$A:$H,6,FALSE))</f>
        <v>0</v>
      </c>
      <c r="R9" s="37">
        <f>IFERROR(VLOOKUP($F9,bug_conf_sheet!$A:$H,7,FALSE),VLOOKUP("other",bug_conf_sheet!$A:$H,7,FALSE))</f>
        <v>0</v>
      </c>
      <c r="S9" s="37">
        <f>IFERROR(VLOOKUP($F9,bug_conf_sheet!$A:$H,8,FALSE),VLOOKUP("other",bug_conf_sheet!$A:$H,8,FALSE))</f>
        <v>1</v>
      </c>
    </row>
    <row r="10" spans="1:19" ht="21" customHeight="1">
      <c r="A10" s="7" t="str">
        <f t="shared" si="1"/>
        <v>1941134</v>
      </c>
      <c r="B10" s="2" t="str">
        <f t="shared" si="2"/>
        <v>1941</v>
      </c>
      <c r="C10" s="8" t="str">
        <f t="shared" si="3"/>
        <v>1PremiumW3</v>
      </c>
      <c r="D10" s="8" t="str">
        <f t="shared" si="4"/>
        <v>1PremiumW3</v>
      </c>
      <c r="E10" s="10">
        <v>1</v>
      </c>
      <c r="F10" s="6">
        <v>134</v>
      </c>
      <c r="G10" s="8" t="str">
        <f>VLOOKUP(F10,[1]characters!$A:$C,3,FALSE)</f>
        <v>妖炎の夕霧</v>
      </c>
      <c r="H10" s="8" t="str">
        <f>VLOOKUP(F10,[1]characters!$A:$J,10,FALSE)</f>
        <v>PremiumW</v>
      </c>
      <c r="I10" s="8">
        <f>VLOOKUP(F10,[1]characters!$A:$I,9,FALSE)</f>
        <v>3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IFERROR(VLOOKUP(F10,gacha_conf!A$50:F$62,5+E10,FALSE),VLOOKUP(D10,gacha_conf!D$18:E$46,2,FALSE))</f>
        <v>4493</v>
      </c>
      <c r="N10" s="37">
        <f>IFERROR(VLOOKUP($F10,bug_conf_sheet!$A:$H,3,FALSE),VLOOKUP("other",bug_conf_sheet!$A:$H,3,FALSE))</f>
        <v>1</v>
      </c>
      <c r="O10" s="37">
        <f>IFERROR(VLOOKUP($F10,bug_conf_sheet!$A:$H,4,FALSE),VLOOKUP("other",bug_conf_sheet!$A:$H,4,FALSE))</f>
        <v>0</v>
      </c>
      <c r="P10" s="37">
        <f>IFERROR(VLOOKUP($F10,bug_conf_sheet!$A:$H,5,FALSE),VLOOKUP("other",bug_conf_sheet!$A:$H,5,FALSE))</f>
        <v>0</v>
      </c>
      <c r="Q10" s="37">
        <f>IFERROR(VLOOKUP($F10,bug_conf_sheet!$A:$H,6,FALSE),VLOOKUP("other",bug_conf_sheet!$A:$H,6,FALSE))</f>
        <v>0</v>
      </c>
      <c r="R10" s="37">
        <f>IFERROR(VLOOKUP($F10,bug_conf_sheet!$A:$H,7,FALSE),VLOOKUP("other",bug_conf_sheet!$A:$H,7,FALSE))</f>
        <v>0</v>
      </c>
      <c r="S10" s="37">
        <f>IFERROR(VLOOKUP($F10,bug_conf_sheet!$A:$H,8,FALSE),VLOOKUP("other",bug_conf_sheet!$A:$H,8,FALSE))</f>
        <v>1</v>
      </c>
    </row>
    <row r="11" spans="1:19" ht="21" customHeight="1">
      <c r="A11" s="7" t="str">
        <f t="shared" si="1"/>
        <v>1941135</v>
      </c>
      <c r="B11" s="2" t="str">
        <f t="shared" si="2"/>
        <v>1941</v>
      </c>
      <c r="C11" s="8" t="str">
        <f t="shared" si="3"/>
        <v>1PremiumW4</v>
      </c>
      <c r="D11" s="8" t="str">
        <f t="shared" si="4"/>
        <v>1PremiumW4</v>
      </c>
      <c r="E11" s="10">
        <v>1</v>
      </c>
      <c r="F11" s="6">
        <v>135</v>
      </c>
      <c r="G11" s="8" t="str">
        <f>VLOOKUP(F11,[1]characters!$A:$C,3,FALSE)</f>
        <v>京の炎華夕霧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16">
        <f>IFERROR(VLOOKUP(F11,gacha_conf!A$50:F$62,5+E11,FALSE),VLOOKUP(D11,gacha_conf!D$18:E$46,2,FALSE))</f>
        <v>1419</v>
      </c>
      <c r="N11" s="37">
        <f>IFERROR(VLOOKUP($F11,bug_conf_sheet!$A:$H,3,FALSE),VLOOKUP("other",bug_conf_sheet!$A:$H,3,FALSE))</f>
        <v>1</v>
      </c>
      <c r="O11" s="37">
        <f>IFERROR(VLOOKUP($F11,bug_conf_sheet!$A:$H,4,FALSE),VLOOKUP("other",bug_conf_sheet!$A:$H,4,FALSE))</f>
        <v>0</v>
      </c>
      <c r="P11" s="37">
        <f>IFERROR(VLOOKUP($F11,bug_conf_sheet!$A:$H,5,FALSE),VLOOKUP("other",bug_conf_sheet!$A:$H,5,FALSE))</f>
        <v>0</v>
      </c>
      <c r="Q11" s="37">
        <f>IFERROR(VLOOKUP($F11,bug_conf_sheet!$A:$H,6,FALSE),VLOOKUP("other",bug_conf_sheet!$A:$H,6,FALSE))</f>
        <v>0</v>
      </c>
      <c r="R11" s="37">
        <f>IFERROR(VLOOKUP($F11,bug_conf_sheet!$A:$H,7,FALSE),VLOOKUP("other",bug_conf_sheet!$A:$H,7,FALSE))</f>
        <v>0</v>
      </c>
      <c r="S11" s="37">
        <f>IFERROR(VLOOKUP($F11,bug_conf_sheet!$A:$H,8,FALSE),VLOOKUP("other",bug_conf_sheet!$A:$H,8,FALSE))</f>
        <v>1</v>
      </c>
    </row>
    <row r="12" spans="1:19" ht="21" customHeight="1">
      <c r="A12" s="7" t="str">
        <f t="shared" si="1"/>
        <v>1941136</v>
      </c>
      <c r="B12" s="2" t="str">
        <f t="shared" si="2"/>
        <v>1941</v>
      </c>
      <c r="C12" s="8" t="str">
        <f t="shared" si="3"/>
        <v>1PremiumW3</v>
      </c>
      <c r="D12" s="8" t="str">
        <f t="shared" si="4"/>
        <v>1PremiumW3</v>
      </c>
      <c r="E12" s="10">
        <v>1</v>
      </c>
      <c r="F12" s="9">
        <v>136</v>
      </c>
      <c r="G12" s="8" t="str">
        <f>VLOOKUP(F12,[1]characters!$A:$C,3,FALSE)</f>
        <v>お針子チハヤ</v>
      </c>
      <c r="H12" s="8" t="str">
        <f>VLOOKUP(F12,[1]characters!$A:$J,10,FALSE)</f>
        <v>PremiumW</v>
      </c>
      <c r="I12" s="8">
        <f>VLOOKUP(F12,[1]characters!$A:$I,9,FALSE)</f>
        <v>3</v>
      </c>
      <c r="J12" s="8" t="str">
        <f>VLOOKUP(F12,[1]characters!$A:$H,8,FALSE)</f>
        <v>green</v>
      </c>
      <c r="K12" s="8" t="str">
        <f>VLOOKUP(F12,[1]characters!$A:$K,11,FALSE)</f>
        <v>balance</v>
      </c>
      <c r="L12" s="8" t="str">
        <f>VLOOKUP(F12,[1]characters!$A:$M,13,FALSE)</f>
        <v>human</v>
      </c>
      <c r="M12" s="16">
        <f>IFERROR(VLOOKUP(F12,gacha_conf!A$50:F$62,5+E12,FALSE),VLOOKUP(D12,gacha_conf!D$18:E$46,2,FALSE))</f>
        <v>4493</v>
      </c>
      <c r="N12" s="37">
        <f>IFERROR(VLOOKUP($F12,bug_conf_sheet!$A:$H,3,FALSE),VLOOKUP("other",bug_conf_sheet!$A:$H,3,FALSE))</f>
        <v>1</v>
      </c>
      <c r="O12" s="37">
        <f>IFERROR(VLOOKUP($F12,bug_conf_sheet!$A:$H,4,FALSE),VLOOKUP("other",bug_conf_sheet!$A:$H,4,FALSE))</f>
        <v>0</v>
      </c>
      <c r="P12" s="37">
        <f>IFERROR(VLOOKUP($F12,bug_conf_sheet!$A:$H,5,FALSE),VLOOKUP("other",bug_conf_sheet!$A:$H,5,FALSE))</f>
        <v>0</v>
      </c>
      <c r="Q12" s="37">
        <f>IFERROR(VLOOKUP($F12,bug_conf_sheet!$A:$H,6,FALSE),VLOOKUP("other",bug_conf_sheet!$A:$H,6,FALSE))</f>
        <v>0</v>
      </c>
      <c r="R12" s="37">
        <f>IFERROR(VLOOKUP($F12,bug_conf_sheet!$A:$H,7,FALSE),VLOOKUP("other",bug_conf_sheet!$A:$H,7,FALSE))</f>
        <v>0</v>
      </c>
      <c r="S12" s="37">
        <f>IFERROR(VLOOKUP($F12,bug_conf_sheet!$A:$H,8,FALSE),VLOOKUP("other",bug_conf_sheet!$A:$H,8,FALSE))</f>
        <v>1</v>
      </c>
    </row>
    <row r="13" spans="1:19" ht="21" customHeight="1">
      <c r="A13" s="7" t="str">
        <f t="shared" si="1"/>
        <v>1941137</v>
      </c>
      <c r="B13" s="2" t="str">
        <f t="shared" si="2"/>
        <v>1941</v>
      </c>
      <c r="C13" s="8" t="str">
        <f t="shared" si="3"/>
        <v>1PremiumW4</v>
      </c>
      <c r="D13" s="8" t="str">
        <f t="shared" si="4"/>
        <v>1PremiumW4</v>
      </c>
      <c r="E13" s="10">
        <v>1</v>
      </c>
      <c r="F13" s="9">
        <v>137</v>
      </c>
      <c r="G13" s="8" t="str">
        <f>VLOOKUP(F13,[1]characters!$A:$C,3,FALSE)</f>
        <v>清福の仕立屋 チハヤ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IFERROR(VLOOKUP(F13,gacha_conf!A$50:F$62,5+E13,FALSE),VLOOKUP(D13,gacha_conf!D$18:E$46,2,FALSE))</f>
        <v>1419</v>
      </c>
      <c r="N13" s="37">
        <f>IFERROR(VLOOKUP($F13,bug_conf_sheet!$A:$H,3,FALSE),VLOOKUP("other",bug_conf_sheet!$A:$H,3,FALSE))</f>
        <v>1</v>
      </c>
      <c r="O13" s="37">
        <f>IFERROR(VLOOKUP($F13,bug_conf_sheet!$A:$H,4,FALSE),VLOOKUP("other",bug_conf_sheet!$A:$H,4,FALSE))</f>
        <v>0</v>
      </c>
      <c r="P13" s="37">
        <f>IFERROR(VLOOKUP($F13,bug_conf_sheet!$A:$H,5,FALSE),VLOOKUP("other",bug_conf_sheet!$A:$H,5,FALSE))</f>
        <v>0</v>
      </c>
      <c r="Q13" s="37">
        <f>IFERROR(VLOOKUP($F13,bug_conf_sheet!$A:$H,6,FALSE),VLOOKUP("other",bug_conf_sheet!$A:$H,6,FALSE))</f>
        <v>0</v>
      </c>
      <c r="R13" s="37">
        <f>IFERROR(VLOOKUP($F13,bug_conf_sheet!$A:$H,7,FALSE),VLOOKUP("other",bug_conf_sheet!$A:$H,7,FALSE))</f>
        <v>0</v>
      </c>
      <c r="S13" s="37">
        <f>IFERROR(VLOOKUP($F13,bug_conf_sheet!$A:$H,8,FALSE),VLOOKUP("other",bug_conf_sheet!$A:$H,8,FALSE))</f>
        <v>1</v>
      </c>
    </row>
    <row r="14" spans="1:19" ht="21" customHeight="1">
      <c r="A14" s="7" t="str">
        <f t="shared" si="1"/>
        <v>1941138</v>
      </c>
      <c r="B14" s="2" t="str">
        <f t="shared" si="2"/>
        <v>1941</v>
      </c>
      <c r="C14" s="8" t="str">
        <f t="shared" si="3"/>
        <v>1PremiumW3</v>
      </c>
      <c r="D14" s="8" t="str">
        <f t="shared" si="4"/>
        <v>1PremiumW3</v>
      </c>
      <c r="E14" s="10">
        <v>1</v>
      </c>
      <c r="F14" s="6">
        <v>138</v>
      </c>
      <c r="G14" s="8" t="str">
        <f>VLOOKUP(F14,[1]characters!$A:$C,3,FALSE)</f>
        <v>蒼薙のトモエ</v>
      </c>
      <c r="H14" s="8" t="str">
        <f>VLOOKUP(F14,[1]characters!$A:$J,10,FALSE)</f>
        <v>PremiumW</v>
      </c>
      <c r="I14" s="8">
        <f>VLOOKUP(F14,[1]characters!$A:$I,9,FALSE)</f>
        <v>3</v>
      </c>
      <c r="J14" s="8" t="str">
        <f>VLOOKUP(F14,[1]characters!$A:$H,8,FALSE)</f>
        <v>blue</v>
      </c>
      <c r="K14" s="8" t="str">
        <f>VLOOKUP(F14,[1]characters!$A:$K,11,FALSE)</f>
        <v>balance</v>
      </c>
      <c r="L14" s="8" t="str">
        <f>VLOOKUP(F14,[1]characters!$A:$M,13,FALSE)</f>
        <v>human</v>
      </c>
      <c r="M14" s="16">
        <f>IFERROR(VLOOKUP(F14,gacha_conf!A$50:F$62,5+E14,FALSE),VLOOKUP(D14,gacha_conf!D$18:E$46,2,FALSE))</f>
        <v>4493</v>
      </c>
      <c r="N14" s="37">
        <f>IFERROR(VLOOKUP($F14,bug_conf_sheet!$A:$H,3,FALSE),VLOOKUP("other",bug_conf_sheet!$A:$H,3,FALSE))</f>
        <v>1</v>
      </c>
      <c r="O14" s="37">
        <f>IFERROR(VLOOKUP($F14,bug_conf_sheet!$A:$H,4,FALSE),VLOOKUP("other",bug_conf_sheet!$A:$H,4,FALSE))</f>
        <v>0</v>
      </c>
      <c r="P14" s="37">
        <f>IFERROR(VLOOKUP($F14,bug_conf_sheet!$A:$H,5,FALSE),VLOOKUP("other",bug_conf_sheet!$A:$H,5,FALSE))</f>
        <v>0</v>
      </c>
      <c r="Q14" s="37">
        <f>IFERROR(VLOOKUP($F14,bug_conf_sheet!$A:$H,6,FALSE),VLOOKUP("other",bug_conf_sheet!$A:$H,6,FALSE))</f>
        <v>0</v>
      </c>
      <c r="R14" s="37">
        <f>IFERROR(VLOOKUP($F14,bug_conf_sheet!$A:$H,7,FALSE),VLOOKUP("other",bug_conf_sheet!$A:$H,7,FALSE))</f>
        <v>0</v>
      </c>
      <c r="S14" s="37">
        <f>IFERROR(VLOOKUP($F14,bug_conf_sheet!$A:$H,8,FALSE),VLOOKUP("other",bug_conf_sheet!$A:$H,8,FALSE))</f>
        <v>1</v>
      </c>
    </row>
    <row r="15" spans="1:19" ht="21" customHeight="1">
      <c r="A15" s="7" t="str">
        <f t="shared" si="1"/>
        <v>1941139</v>
      </c>
      <c r="B15" s="2" t="str">
        <f t="shared" si="2"/>
        <v>1941</v>
      </c>
      <c r="C15" s="8" t="str">
        <f t="shared" si="3"/>
        <v>1PremiumW4</v>
      </c>
      <c r="D15" s="8" t="str">
        <f t="shared" si="4"/>
        <v>1PremiumW4</v>
      </c>
      <c r="E15" s="10">
        <v>1</v>
      </c>
      <c r="F15" s="6">
        <v>139</v>
      </c>
      <c r="G15" s="8" t="str">
        <f>VLOOKUP(F15,[1]characters!$A:$C,3,FALSE)</f>
        <v>蒼昇刃姫 トモエ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blue</v>
      </c>
      <c r="K15" s="8" t="str">
        <f>VLOOKUP(F15,[1]characters!$A:$K,11,FALSE)</f>
        <v>balance</v>
      </c>
      <c r="L15" s="8" t="str">
        <f>VLOOKUP(F15,[1]characters!$A:$M,13,FALSE)</f>
        <v>human</v>
      </c>
      <c r="M15" s="16">
        <f>IFERROR(VLOOKUP(F15,gacha_conf!A$50:F$62,5+E15,FALSE),VLOOKUP(D15,gacha_conf!D$18:E$46,2,FALSE))</f>
        <v>1419</v>
      </c>
      <c r="N15" s="37">
        <f>IFERROR(VLOOKUP($F15,bug_conf_sheet!$A:$H,3,FALSE),VLOOKUP("other",bug_conf_sheet!$A:$H,3,FALSE))</f>
        <v>1</v>
      </c>
      <c r="O15" s="37">
        <f>IFERROR(VLOOKUP($F15,bug_conf_sheet!$A:$H,4,FALSE),VLOOKUP("other",bug_conf_sheet!$A:$H,4,FALSE))</f>
        <v>0</v>
      </c>
      <c r="P15" s="37">
        <f>IFERROR(VLOOKUP($F15,bug_conf_sheet!$A:$H,5,FALSE),VLOOKUP("other",bug_conf_sheet!$A:$H,5,FALSE))</f>
        <v>0</v>
      </c>
      <c r="Q15" s="37">
        <f>IFERROR(VLOOKUP($F15,bug_conf_sheet!$A:$H,6,FALSE),VLOOKUP("other",bug_conf_sheet!$A:$H,6,FALSE))</f>
        <v>0</v>
      </c>
      <c r="R15" s="37">
        <f>IFERROR(VLOOKUP($F15,bug_conf_sheet!$A:$H,7,FALSE),VLOOKUP("other",bug_conf_sheet!$A:$H,7,FALSE))</f>
        <v>0</v>
      </c>
      <c r="S15" s="37">
        <f>IFERROR(VLOOKUP($F15,bug_conf_sheet!$A:$H,8,FALSE),VLOOKUP("other",bug_conf_sheet!$A:$H,8,FALSE))</f>
        <v>1</v>
      </c>
    </row>
    <row r="16" spans="1:19" ht="21" customHeight="1">
      <c r="A16" s="7" t="str">
        <f t="shared" si="1"/>
        <v>1941140</v>
      </c>
      <c r="B16" s="2" t="str">
        <f t="shared" si="2"/>
        <v>1941</v>
      </c>
      <c r="C16" s="8" t="str">
        <f t="shared" si="3"/>
        <v>1PremiumW3</v>
      </c>
      <c r="D16" s="8" t="str">
        <f t="shared" si="4"/>
        <v>1PremiumW3</v>
      </c>
      <c r="E16" s="10">
        <v>1</v>
      </c>
      <c r="F16" s="12">
        <v>140</v>
      </c>
      <c r="G16" s="8" t="str">
        <f>VLOOKUP(F16,[1]characters!$A:$C,3,FALSE)</f>
        <v>秋祭のタマモ</v>
      </c>
      <c r="H16" s="8" t="str">
        <f>VLOOKUP(F16,[1]characters!$A:$J,10,FALSE)</f>
        <v>PremiumW</v>
      </c>
      <c r="I16" s="8">
        <f>VLOOKUP(F16,[1]characters!$A:$I,9,FALSE)</f>
        <v>3</v>
      </c>
      <c r="J16" s="8" t="str">
        <f>VLOOKUP(F16,[1]characters!$A:$H,8,FALSE)</f>
        <v>yellow</v>
      </c>
      <c r="K16" s="8" t="str">
        <f>VLOOKUP(F16,[1]characters!$A:$K,11,FALSE)</f>
        <v>balance</v>
      </c>
      <c r="L16" s="8" t="str">
        <f>VLOOKUP(F16,[1]characters!$A:$M,13,FALSE)</f>
        <v>animal</v>
      </c>
      <c r="M16" s="16">
        <f>IFERROR(VLOOKUP(F16,gacha_conf!A$50:F$62,5+E16,FALSE),VLOOKUP(D16,gacha_conf!D$18:E$46,2,FALSE))</f>
        <v>4493</v>
      </c>
      <c r="N16" s="37">
        <f>IFERROR(VLOOKUP($F16,bug_conf_sheet!$A:$H,3,FALSE),VLOOKUP("other",bug_conf_sheet!$A:$H,3,FALSE))</f>
        <v>1</v>
      </c>
      <c r="O16" s="37">
        <f>IFERROR(VLOOKUP($F16,bug_conf_sheet!$A:$H,4,FALSE),VLOOKUP("other",bug_conf_sheet!$A:$H,4,FALSE))</f>
        <v>0</v>
      </c>
      <c r="P16" s="37">
        <f>IFERROR(VLOOKUP($F16,bug_conf_sheet!$A:$H,5,FALSE),VLOOKUP("other",bug_conf_sheet!$A:$H,5,FALSE))</f>
        <v>0</v>
      </c>
      <c r="Q16" s="37">
        <f>IFERROR(VLOOKUP($F16,bug_conf_sheet!$A:$H,6,FALSE),VLOOKUP("other",bug_conf_sheet!$A:$H,6,FALSE))</f>
        <v>0</v>
      </c>
      <c r="R16" s="37">
        <f>IFERROR(VLOOKUP($F16,bug_conf_sheet!$A:$H,7,FALSE),VLOOKUP("other",bug_conf_sheet!$A:$H,7,FALSE))</f>
        <v>0</v>
      </c>
      <c r="S16" s="37">
        <f>IFERROR(VLOOKUP($F16,bug_conf_sheet!$A:$H,8,FALSE),VLOOKUP("other",bug_conf_sheet!$A:$H,8,FALSE))</f>
        <v>1</v>
      </c>
    </row>
    <row r="17" spans="1:19" ht="21" customHeight="1">
      <c r="A17" s="7" t="str">
        <f t="shared" si="1"/>
        <v>1941141</v>
      </c>
      <c r="B17" s="2" t="str">
        <f t="shared" si="2"/>
        <v>1941</v>
      </c>
      <c r="C17" s="8" t="str">
        <f t="shared" si="3"/>
        <v>1PremiumW4</v>
      </c>
      <c r="D17" s="8" t="str">
        <f t="shared" si="4"/>
        <v>1PremiumW4</v>
      </c>
      <c r="E17" s="10">
        <v>1</v>
      </c>
      <c r="F17" s="13">
        <v>141</v>
      </c>
      <c r="G17" s="8" t="str">
        <f>VLOOKUP(F17,[1]characters!$A:$C,3,FALSE)</f>
        <v>妖狐演舞 タマモ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balance</v>
      </c>
      <c r="L17" s="8" t="str">
        <f>VLOOKUP(F17,[1]characters!$A:$M,13,FALSE)</f>
        <v>animal</v>
      </c>
      <c r="M17" s="16">
        <f>IFERROR(VLOOKUP(F17,gacha_conf!A$50:F$62,5+E17,FALSE),VLOOKUP(D17,gacha_conf!D$18:E$46,2,FALSE))</f>
        <v>1419</v>
      </c>
      <c r="N17" s="37">
        <f>IFERROR(VLOOKUP($F17,bug_conf_sheet!$A:$H,3,FALSE),VLOOKUP("other",bug_conf_sheet!$A:$H,3,FALSE))</f>
        <v>1</v>
      </c>
      <c r="O17" s="37">
        <f>IFERROR(VLOOKUP($F17,bug_conf_sheet!$A:$H,4,FALSE),VLOOKUP("other",bug_conf_sheet!$A:$H,4,FALSE))</f>
        <v>0</v>
      </c>
      <c r="P17" s="37">
        <f>IFERROR(VLOOKUP($F17,bug_conf_sheet!$A:$H,5,FALSE),VLOOKUP("other",bug_conf_sheet!$A:$H,5,FALSE))</f>
        <v>0</v>
      </c>
      <c r="Q17" s="37">
        <f>IFERROR(VLOOKUP($F17,bug_conf_sheet!$A:$H,6,FALSE),VLOOKUP("other",bug_conf_sheet!$A:$H,6,FALSE))</f>
        <v>0</v>
      </c>
      <c r="R17" s="37">
        <f>IFERROR(VLOOKUP($F17,bug_conf_sheet!$A:$H,7,FALSE),VLOOKUP("other",bug_conf_sheet!$A:$H,7,FALSE))</f>
        <v>0</v>
      </c>
      <c r="S17" s="37">
        <f>IFERROR(VLOOKUP($F17,bug_conf_sheet!$A:$H,8,FALSE),VLOOKUP("other",bug_conf_sheet!$A:$H,8,FALSE))</f>
        <v>1</v>
      </c>
    </row>
    <row r="18" spans="1:19" ht="21" customHeight="1">
      <c r="A18" s="7" t="str">
        <f t="shared" si="1"/>
        <v>1941142</v>
      </c>
      <c r="B18" s="2" t="str">
        <f t="shared" si="2"/>
        <v>1941</v>
      </c>
      <c r="C18" s="8" t="str">
        <f t="shared" si="3"/>
        <v>1PremiumW3</v>
      </c>
      <c r="D18" s="8" t="str">
        <f t="shared" si="4"/>
        <v>1PremiumW3</v>
      </c>
      <c r="E18" s="10">
        <v>1</v>
      </c>
      <c r="F18" s="6">
        <v>142</v>
      </c>
      <c r="G18" s="8" t="str">
        <f>VLOOKUP(F18,[1]characters!$A:$C,3,FALSE)</f>
        <v>赤ずきん</v>
      </c>
      <c r="H18" s="8" t="str">
        <f>VLOOKUP(F18,[1]characters!$A:$J,10,FALSE)</f>
        <v>PremiumW</v>
      </c>
      <c r="I18" s="8">
        <f>VLOOKUP(F18,[1]characters!$A:$I,9,FALSE)</f>
        <v>3</v>
      </c>
      <c r="J18" s="8" t="str">
        <f>VLOOKUP(F18,[1]characters!$A:$H,8,FALSE)</f>
        <v>red</v>
      </c>
      <c r="K18" s="8" t="str">
        <f>VLOOKUP(F18,[1]characters!$A:$K,11,FALSE)</f>
        <v>balance</v>
      </c>
      <c r="L18" s="8" t="str">
        <f>VLOOKUP(F18,[1]characters!$A:$M,13,FALSE)</f>
        <v>human</v>
      </c>
      <c r="M18" s="16">
        <f>IFERROR(VLOOKUP(F18,gacha_conf!A$50:F$62,5+E18,FALSE),VLOOKUP(D18,gacha_conf!D$18:E$46,2,FALSE))</f>
        <v>4493</v>
      </c>
      <c r="N18" s="37">
        <f>IFERROR(VLOOKUP($F18,bug_conf_sheet!$A:$H,3,FALSE),VLOOKUP("other",bug_conf_sheet!$A:$H,3,FALSE))</f>
        <v>1</v>
      </c>
      <c r="O18" s="37">
        <f>IFERROR(VLOOKUP($F18,bug_conf_sheet!$A:$H,4,FALSE),VLOOKUP("other",bug_conf_sheet!$A:$H,4,FALSE))</f>
        <v>0</v>
      </c>
      <c r="P18" s="37">
        <f>IFERROR(VLOOKUP($F18,bug_conf_sheet!$A:$H,5,FALSE),VLOOKUP("other",bug_conf_sheet!$A:$H,5,FALSE))</f>
        <v>0</v>
      </c>
      <c r="Q18" s="37">
        <f>IFERROR(VLOOKUP($F18,bug_conf_sheet!$A:$H,6,FALSE),VLOOKUP("other",bug_conf_sheet!$A:$H,6,FALSE))</f>
        <v>0</v>
      </c>
      <c r="R18" s="37">
        <f>IFERROR(VLOOKUP($F18,bug_conf_sheet!$A:$H,7,FALSE),VLOOKUP("other",bug_conf_sheet!$A:$H,7,FALSE))</f>
        <v>0</v>
      </c>
      <c r="S18" s="37">
        <f>IFERROR(VLOOKUP($F18,bug_conf_sheet!$A:$H,8,FALSE),VLOOKUP("other",bug_conf_sheet!$A:$H,8,FALSE))</f>
        <v>1</v>
      </c>
    </row>
    <row r="19" spans="1:19" s="14" customFormat="1" ht="21" customHeight="1" thickBot="1">
      <c r="A19" s="7" t="str">
        <f t="shared" si="1"/>
        <v>1941143</v>
      </c>
      <c r="B19" s="2" t="str">
        <f t="shared" si="2"/>
        <v>1941</v>
      </c>
      <c r="C19" s="8" t="str">
        <f t="shared" si="3"/>
        <v>1PremiumW4</v>
      </c>
      <c r="D19" s="8" t="str">
        <f t="shared" si="4"/>
        <v>1PremiumW4</v>
      </c>
      <c r="E19" s="10">
        <v>1</v>
      </c>
      <c r="F19" s="6">
        <v>143</v>
      </c>
      <c r="G19" s="8" t="str">
        <f>VLOOKUP(F19,[1]characters!$A:$C,3,FALSE)</f>
        <v>深紅の死神 赤ずきん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red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IFERROR(VLOOKUP(F19,gacha_conf!A$50:F$62,5+E19,FALSE),VLOOKUP(D19,gacha_conf!D$18:E$46,2,FALSE))</f>
        <v>1419</v>
      </c>
      <c r="N19" s="37">
        <f>IFERROR(VLOOKUP($F19,bug_conf_sheet!$A:$H,3,FALSE),VLOOKUP("other",bug_conf_sheet!$A:$H,3,FALSE))</f>
        <v>1</v>
      </c>
      <c r="O19" s="37">
        <f>IFERROR(VLOOKUP($F19,bug_conf_sheet!$A:$H,4,FALSE),VLOOKUP("other",bug_conf_sheet!$A:$H,4,FALSE))</f>
        <v>0</v>
      </c>
      <c r="P19" s="37">
        <f>IFERROR(VLOOKUP($F19,bug_conf_sheet!$A:$H,5,FALSE),VLOOKUP("other",bug_conf_sheet!$A:$H,5,FALSE))</f>
        <v>0</v>
      </c>
      <c r="Q19" s="37">
        <f>IFERROR(VLOOKUP($F19,bug_conf_sheet!$A:$H,6,FALSE),VLOOKUP("other",bug_conf_sheet!$A:$H,6,FALSE))</f>
        <v>0</v>
      </c>
      <c r="R19" s="37">
        <f>IFERROR(VLOOKUP($F19,bug_conf_sheet!$A:$H,7,FALSE),VLOOKUP("other",bug_conf_sheet!$A:$H,7,FALSE))</f>
        <v>0</v>
      </c>
      <c r="S19" s="37">
        <f>IFERROR(VLOOKUP($F19,bug_conf_sheet!$A:$H,8,FALSE),VLOOKUP("other",bug_conf_sheet!$A:$H,8,FALSE))</f>
        <v>1</v>
      </c>
    </row>
    <row r="20" spans="1:19" ht="21" customHeight="1">
      <c r="A20" s="7" t="str">
        <f t="shared" si="1"/>
        <v>1941144</v>
      </c>
      <c r="B20" s="2" t="str">
        <f t="shared" si="2"/>
        <v>1941</v>
      </c>
      <c r="C20" s="8" t="str">
        <f t="shared" si="3"/>
        <v>1PremiumW3</v>
      </c>
      <c r="D20" s="8" t="str">
        <f t="shared" si="4"/>
        <v>1PremiumW3</v>
      </c>
      <c r="E20" s="10">
        <v>1</v>
      </c>
      <c r="F20" s="12">
        <v>144</v>
      </c>
      <c r="G20" s="8" t="str">
        <f>VLOOKUP(F20,[1]characters!$A:$C,3,FALSE)</f>
        <v>かぐや</v>
      </c>
      <c r="H20" s="8" t="str">
        <f>VLOOKUP(F20,[1]characters!$A:$J,10,FALSE)</f>
        <v>PremiumW</v>
      </c>
      <c r="I20" s="8">
        <f>VLOOKUP(F20,[1]characters!$A:$I,9,FALSE)</f>
        <v>3</v>
      </c>
      <c r="J20" s="8" t="str">
        <f>VLOOKUP(F20,[1]characters!$A:$H,8,FALSE)</f>
        <v>green</v>
      </c>
      <c r="K20" s="8" t="str">
        <f>VLOOKUP(F20,[1]characters!$A:$K,11,FALSE)</f>
        <v>hp</v>
      </c>
      <c r="L20" s="8" t="str">
        <f>VLOOKUP(F20,[1]characters!$A:$M,13,FALSE)</f>
        <v>human</v>
      </c>
      <c r="M20" s="16">
        <f>IFERROR(VLOOKUP(F20,gacha_conf!A$50:F$62,5+E20,FALSE),VLOOKUP(D20,gacha_conf!D$18:E$46,2,FALSE))</f>
        <v>4493</v>
      </c>
      <c r="N20" s="37">
        <f>IFERROR(VLOOKUP($F20,bug_conf_sheet!$A:$H,3,FALSE),VLOOKUP("other",bug_conf_sheet!$A:$H,3,FALSE))</f>
        <v>1</v>
      </c>
      <c r="O20" s="37">
        <f>IFERROR(VLOOKUP($F20,bug_conf_sheet!$A:$H,4,FALSE),VLOOKUP("other",bug_conf_sheet!$A:$H,4,FALSE))</f>
        <v>0</v>
      </c>
      <c r="P20" s="37">
        <f>IFERROR(VLOOKUP($F20,bug_conf_sheet!$A:$H,5,FALSE),VLOOKUP("other",bug_conf_sheet!$A:$H,5,FALSE))</f>
        <v>0</v>
      </c>
      <c r="Q20" s="37">
        <f>IFERROR(VLOOKUP($F20,bug_conf_sheet!$A:$H,6,FALSE),VLOOKUP("other",bug_conf_sheet!$A:$H,6,FALSE))</f>
        <v>0</v>
      </c>
      <c r="R20" s="37">
        <f>IFERROR(VLOOKUP($F20,bug_conf_sheet!$A:$H,7,FALSE),VLOOKUP("other",bug_conf_sheet!$A:$H,7,FALSE))</f>
        <v>0</v>
      </c>
      <c r="S20" s="37">
        <f>IFERROR(VLOOKUP($F20,bug_conf_sheet!$A:$H,8,FALSE),VLOOKUP("other",bug_conf_sheet!$A:$H,8,FALSE))</f>
        <v>1</v>
      </c>
    </row>
    <row r="21" spans="1:19" ht="21" customHeight="1">
      <c r="A21" s="7" t="str">
        <f t="shared" si="1"/>
        <v>1941145</v>
      </c>
      <c r="B21" s="2" t="str">
        <f t="shared" si="2"/>
        <v>1941</v>
      </c>
      <c r="C21" s="8" t="str">
        <f t="shared" si="3"/>
        <v>1PremiumW4</v>
      </c>
      <c r="D21" s="8" t="str">
        <f t="shared" si="4"/>
        <v>1PremiumW4</v>
      </c>
      <c r="E21" s="10">
        <v>1</v>
      </c>
      <c r="F21" s="6">
        <v>145</v>
      </c>
      <c r="G21" s="8" t="str">
        <f>VLOOKUP(F21,[1]characters!$A:$C,3,FALSE)</f>
        <v>魔性妖艶 かぐや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green</v>
      </c>
      <c r="K21" s="8" t="str">
        <f>VLOOKUP(F21,[1]characters!$A:$K,11,FALSE)</f>
        <v>hp</v>
      </c>
      <c r="L21" s="8" t="str">
        <f>VLOOKUP(F21,[1]characters!$A:$M,13,FALSE)</f>
        <v>human</v>
      </c>
      <c r="M21" s="16">
        <f>IFERROR(VLOOKUP(F21,gacha_conf!A$50:F$62,5+E21,FALSE),VLOOKUP(D21,gacha_conf!D$18:E$46,2,FALSE))</f>
        <v>1419</v>
      </c>
      <c r="N21" s="37">
        <f>IFERROR(VLOOKUP($F21,bug_conf_sheet!$A:$H,3,FALSE),VLOOKUP("other",bug_conf_sheet!$A:$H,3,FALSE))</f>
        <v>1</v>
      </c>
      <c r="O21" s="37">
        <f>IFERROR(VLOOKUP($F21,bug_conf_sheet!$A:$H,4,FALSE),VLOOKUP("other",bug_conf_sheet!$A:$H,4,FALSE))</f>
        <v>0</v>
      </c>
      <c r="P21" s="37">
        <f>IFERROR(VLOOKUP($F21,bug_conf_sheet!$A:$H,5,FALSE),VLOOKUP("other",bug_conf_sheet!$A:$H,5,FALSE))</f>
        <v>0</v>
      </c>
      <c r="Q21" s="37">
        <f>IFERROR(VLOOKUP($F21,bug_conf_sheet!$A:$H,6,FALSE),VLOOKUP("other",bug_conf_sheet!$A:$H,6,FALSE))</f>
        <v>0</v>
      </c>
      <c r="R21" s="37">
        <f>IFERROR(VLOOKUP($F21,bug_conf_sheet!$A:$H,7,FALSE),VLOOKUP("other",bug_conf_sheet!$A:$H,7,FALSE))</f>
        <v>0</v>
      </c>
      <c r="S21" s="37">
        <f>IFERROR(VLOOKUP($F21,bug_conf_sheet!$A:$H,8,FALSE),VLOOKUP("other",bug_conf_sheet!$A:$H,8,FALSE))</f>
        <v>1</v>
      </c>
    </row>
    <row r="22" spans="1:19" ht="21" customHeight="1">
      <c r="A22" s="7" t="str">
        <f t="shared" si="1"/>
        <v>1941146</v>
      </c>
      <c r="B22" s="2" t="str">
        <f t="shared" si="2"/>
        <v>1941</v>
      </c>
      <c r="C22" s="8" t="str">
        <f t="shared" si="3"/>
        <v>1PremiumW3</v>
      </c>
      <c r="D22" s="8" t="str">
        <f t="shared" si="4"/>
        <v>1PremiumW3</v>
      </c>
      <c r="E22" s="10">
        <v>1</v>
      </c>
      <c r="F22" s="6">
        <v>146</v>
      </c>
      <c r="G22" s="8" t="str">
        <f>VLOOKUP(F22,[1]characters!$A:$C,3,FALSE)</f>
        <v>マーメイド</v>
      </c>
      <c r="H22" s="8" t="str">
        <f>VLOOKUP(F22,[1]characters!$A:$J,10,FALSE)</f>
        <v>PremiumW</v>
      </c>
      <c r="I22" s="8">
        <f>VLOOKUP(F22,[1]characters!$A:$I,9,FALSE)</f>
        <v>3</v>
      </c>
      <c r="J22" s="8" t="str">
        <f>VLOOKUP(F22,[1]characters!$A:$H,8,FALSE)</f>
        <v>blue</v>
      </c>
      <c r="K22" s="8" t="str">
        <f>VLOOKUP(F22,[1]characters!$A:$K,11,FALSE)</f>
        <v>hp</v>
      </c>
      <c r="L22" s="8" t="str">
        <f>VLOOKUP(F22,[1]characters!$A:$M,13,FALSE)</f>
        <v>human</v>
      </c>
      <c r="M22" s="16">
        <f>IFERROR(VLOOKUP(F22,gacha_conf!A$50:F$62,5+E22,FALSE),VLOOKUP(D22,gacha_conf!D$18:E$46,2,FALSE))</f>
        <v>4493</v>
      </c>
      <c r="N22" s="37">
        <f>IFERROR(VLOOKUP($F22,bug_conf_sheet!$A:$H,3,FALSE),VLOOKUP("other",bug_conf_sheet!$A:$H,3,FALSE))</f>
        <v>1</v>
      </c>
      <c r="O22" s="37">
        <f>IFERROR(VLOOKUP($F22,bug_conf_sheet!$A:$H,4,FALSE),VLOOKUP("other",bug_conf_sheet!$A:$H,4,FALSE))</f>
        <v>0</v>
      </c>
      <c r="P22" s="37">
        <f>IFERROR(VLOOKUP($F22,bug_conf_sheet!$A:$H,5,FALSE),VLOOKUP("other",bug_conf_sheet!$A:$H,5,FALSE))</f>
        <v>0</v>
      </c>
      <c r="Q22" s="37">
        <f>IFERROR(VLOOKUP($F22,bug_conf_sheet!$A:$H,6,FALSE),VLOOKUP("other",bug_conf_sheet!$A:$H,6,FALSE))</f>
        <v>0</v>
      </c>
      <c r="R22" s="37">
        <f>IFERROR(VLOOKUP($F22,bug_conf_sheet!$A:$H,7,FALSE),VLOOKUP("other",bug_conf_sheet!$A:$H,7,FALSE))</f>
        <v>0</v>
      </c>
      <c r="S22" s="37">
        <f>IFERROR(VLOOKUP($F22,bug_conf_sheet!$A:$H,8,FALSE),VLOOKUP("other",bug_conf_sheet!$A:$H,8,FALSE))</f>
        <v>1</v>
      </c>
    </row>
    <row r="23" spans="1:19" ht="21" customHeight="1">
      <c r="A23" s="7" t="str">
        <f t="shared" si="1"/>
        <v>1941147</v>
      </c>
      <c r="B23" s="2" t="str">
        <f t="shared" si="2"/>
        <v>1941</v>
      </c>
      <c r="C23" s="8" t="str">
        <f t="shared" si="3"/>
        <v>1PremiumW4</v>
      </c>
      <c r="D23" s="8" t="str">
        <f t="shared" si="4"/>
        <v>1PremiumW4</v>
      </c>
      <c r="E23" s="10">
        <v>1</v>
      </c>
      <c r="F23" s="6">
        <v>147</v>
      </c>
      <c r="G23" s="8" t="str">
        <f>VLOOKUP(F23,[1]characters!$A:$C,3,FALSE)</f>
        <v>蒼き閃光 元マーメイド</v>
      </c>
      <c r="H23" s="8" t="str">
        <f>VLOOKUP(F23,[1]characters!$A:$J,10,FALSE)</f>
        <v>PremiumW</v>
      </c>
      <c r="I23" s="8">
        <f>VLOOKUP(F23,[1]characters!$A:$I,9,FALSE)</f>
        <v>4</v>
      </c>
      <c r="J23" s="8" t="str">
        <f>VLOOKUP(F23,[1]characters!$A:$H,8,FALSE)</f>
        <v>blue</v>
      </c>
      <c r="K23" s="8" t="str">
        <f>VLOOKUP(F23,[1]characters!$A:$K,11,FALSE)</f>
        <v>hp</v>
      </c>
      <c r="L23" s="8" t="str">
        <f>VLOOKUP(F23,[1]characters!$A:$M,13,FALSE)</f>
        <v>human</v>
      </c>
      <c r="M23" s="16">
        <f>IFERROR(VLOOKUP(F23,gacha_conf!A$50:F$62,5+E23,FALSE),VLOOKUP(D23,gacha_conf!D$18:E$46,2,FALSE))</f>
        <v>1419</v>
      </c>
      <c r="N23" s="37">
        <f>IFERROR(VLOOKUP($F23,bug_conf_sheet!$A:$H,3,FALSE),VLOOKUP("other",bug_conf_sheet!$A:$H,3,FALSE))</f>
        <v>1</v>
      </c>
      <c r="O23" s="37">
        <f>IFERROR(VLOOKUP($F23,bug_conf_sheet!$A:$H,4,FALSE),VLOOKUP("other",bug_conf_sheet!$A:$H,4,FALSE))</f>
        <v>0</v>
      </c>
      <c r="P23" s="37">
        <f>IFERROR(VLOOKUP($F23,bug_conf_sheet!$A:$H,5,FALSE),VLOOKUP("other",bug_conf_sheet!$A:$H,5,FALSE))</f>
        <v>0</v>
      </c>
      <c r="Q23" s="37">
        <f>IFERROR(VLOOKUP($F23,bug_conf_sheet!$A:$H,6,FALSE),VLOOKUP("other",bug_conf_sheet!$A:$H,6,FALSE))</f>
        <v>0</v>
      </c>
      <c r="R23" s="37">
        <f>IFERROR(VLOOKUP($F23,bug_conf_sheet!$A:$H,7,FALSE),VLOOKUP("other",bug_conf_sheet!$A:$H,7,FALSE))</f>
        <v>0</v>
      </c>
      <c r="S23" s="37">
        <f>IFERROR(VLOOKUP($F23,bug_conf_sheet!$A:$H,8,FALSE),VLOOKUP("other",bug_conf_sheet!$A:$H,8,FALSE))</f>
        <v>1</v>
      </c>
    </row>
    <row r="24" spans="1:19" ht="21" customHeight="1">
      <c r="A24" s="7" t="str">
        <f t="shared" si="1"/>
        <v>1941148</v>
      </c>
      <c r="B24" s="2" t="str">
        <f t="shared" si="2"/>
        <v>1941</v>
      </c>
      <c r="C24" s="8" t="str">
        <f t="shared" si="3"/>
        <v>1PremiumW3</v>
      </c>
      <c r="D24" s="8" t="str">
        <f t="shared" si="4"/>
        <v>1PremiumW3</v>
      </c>
      <c r="E24" s="10">
        <v>1</v>
      </c>
      <c r="F24" s="6">
        <v>148</v>
      </c>
      <c r="G24" s="8" t="str">
        <f>VLOOKUP(F24,[1]characters!$A:$C,3,FALSE)</f>
        <v>シンデレラ</v>
      </c>
      <c r="H24" s="8" t="str">
        <f>VLOOKUP(F24,[1]characters!$A:$J,10,FALSE)</f>
        <v>PremiumW</v>
      </c>
      <c r="I24" s="8">
        <f>VLOOKUP(F24,[1]characters!$A:$I,9,FALSE)</f>
        <v>3</v>
      </c>
      <c r="J24" s="8" t="str">
        <f>VLOOKUP(F24,[1]characters!$A:$H,8,FALSE)</f>
        <v>yellow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16">
        <f>IFERROR(VLOOKUP(F24,gacha_conf!A$50:F$62,5+E24,FALSE),VLOOKUP(D24,gacha_conf!D$18:E$46,2,FALSE))</f>
        <v>4493</v>
      </c>
      <c r="N24" s="37">
        <f>IFERROR(VLOOKUP($F24,bug_conf_sheet!$A:$H,3,FALSE),VLOOKUP("other",bug_conf_sheet!$A:$H,3,FALSE))</f>
        <v>1</v>
      </c>
      <c r="O24" s="37">
        <f>IFERROR(VLOOKUP($F24,bug_conf_sheet!$A:$H,4,FALSE),VLOOKUP("other",bug_conf_sheet!$A:$H,4,FALSE))</f>
        <v>0</v>
      </c>
      <c r="P24" s="37">
        <f>IFERROR(VLOOKUP($F24,bug_conf_sheet!$A:$H,5,FALSE),VLOOKUP("other",bug_conf_sheet!$A:$H,5,FALSE))</f>
        <v>0</v>
      </c>
      <c r="Q24" s="37">
        <f>IFERROR(VLOOKUP($F24,bug_conf_sheet!$A:$H,6,FALSE),VLOOKUP("other",bug_conf_sheet!$A:$H,6,FALSE))</f>
        <v>0</v>
      </c>
      <c r="R24" s="37">
        <f>IFERROR(VLOOKUP($F24,bug_conf_sheet!$A:$H,7,FALSE),VLOOKUP("other",bug_conf_sheet!$A:$H,7,FALSE))</f>
        <v>0</v>
      </c>
      <c r="S24" s="37">
        <f>IFERROR(VLOOKUP($F24,bug_conf_sheet!$A:$H,8,FALSE),VLOOKUP("other",bug_conf_sheet!$A:$H,8,FALSE))</f>
        <v>1</v>
      </c>
    </row>
    <row r="25" spans="1:19" ht="21" customHeight="1">
      <c r="A25" s="7" t="str">
        <f t="shared" si="1"/>
        <v>1941149</v>
      </c>
      <c r="B25" s="2" t="str">
        <f t="shared" si="2"/>
        <v>1941</v>
      </c>
      <c r="C25" s="8" t="str">
        <f t="shared" si="3"/>
        <v>1PremiumW4</v>
      </c>
      <c r="D25" s="8" t="str">
        <f t="shared" si="4"/>
        <v>1PremiumW4</v>
      </c>
      <c r="E25" s="10">
        <v>1</v>
      </c>
      <c r="F25" s="6">
        <v>149</v>
      </c>
      <c r="G25" s="8" t="str">
        <f>VLOOKUP(F25,[1]characters!$A:$C,3,FALSE)</f>
        <v>雷撃蹴技を極めし者 シンデレラ</v>
      </c>
      <c r="H25" s="8" t="str">
        <f>VLOOKUP(F25,[1]characters!$A:$J,10,FALSE)</f>
        <v>PremiumW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balance</v>
      </c>
      <c r="L25" s="8" t="str">
        <f>VLOOKUP(F25,[1]characters!$A:$M,13,FALSE)</f>
        <v>human</v>
      </c>
      <c r="M25" s="16">
        <f>IFERROR(VLOOKUP(F25,gacha_conf!A$50:F$62,5+E25,FALSE),VLOOKUP(D25,gacha_conf!D$18:E$46,2,FALSE))</f>
        <v>1419</v>
      </c>
      <c r="N25" s="37">
        <f>IFERROR(VLOOKUP($F25,bug_conf_sheet!$A:$H,3,FALSE),VLOOKUP("other",bug_conf_sheet!$A:$H,3,FALSE))</f>
        <v>1</v>
      </c>
      <c r="O25" s="37">
        <f>IFERROR(VLOOKUP($F25,bug_conf_sheet!$A:$H,4,FALSE),VLOOKUP("other",bug_conf_sheet!$A:$H,4,FALSE))</f>
        <v>0</v>
      </c>
      <c r="P25" s="37">
        <f>IFERROR(VLOOKUP($F25,bug_conf_sheet!$A:$H,5,FALSE),VLOOKUP("other",bug_conf_sheet!$A:$H,5,FALSE))</f>
        <v>0</v>
      </c>
      <c r="Q25" s="37">
        <f>IFERROR(VLOOKUP($F25,bug_conf_sheet!$A:$H,6,FALSE),VLOOKUP("other",bug_conf_sheet!$A:$H,6,FALSE))</f>
        <v>0</v>
      </c>
      <c r="R25" s="37">
        <f>IFERROR(VLOOKUP($F25,bug_conf_sheet!$A:$H,7,FALSE),VLOOKUP("other",bug_conf_sheet!$A:$H,7,FALSE))</f>
        <v>0</v>
      </c>
      <c r="S25" s="37">
        <f>IFERROR(VLOOKUP($F25,bug_conf_sheet!$A:$H,8,FALSE),VLOOKUP("other",bug_conf_sheet!$A:$H,8,FALSE))</f>
        <v>1</v>
      </c>
    </row>
    <row r="26" spans="1:19" ht="21" customHeight="1">
      <c r="A26" s="7" t="str">
        <f t="shared" si="1"/>
        <v>1941150</v>
      </c>
      <c r="B26" s="2" t="str">
        <f t="shared" si="2"/>
        <v>1941</v>
      </c>
      <c r="C26" s="8" t="str">
        <f t="shared" si="3"/>
        <v>1PremiumW3</v>
      </c>
      <c r="D26" s="8" t="str">
        <f t="shared" si="4"/>
        <v>1PremiumW3</v>
      </c>
      <c r="E26" s="10">
        <v>1</v>
      </c>
      <c r="F26" s="6">
        <v>150</v>
      </c>
      <c r="G26" s="8" t="str">
        <f>VLOOKUP(F26,[1]characters!$A:$C,3,FALSE)</f>
        <v>ポイズンマスターサキ</v>
      </c>
      <c r="H26" s="8" t="str">
        <f>VLOOKUP(F26,[1]characters!$A:$J,10,FALSE)</f>
        <v>PremiumW</v>
      </c>
      <c r="I26" s="8">
        <f>VLOOKUP(F26,[1]characters!$A:$I,9,FALSE)</f>
        <v>3</v>
      </c>
      <c r="J26" s="8" t="str">
        <f>VLOOKUP(F26,[1]characters!$A:$H,8,FALSE)</f>
        <v>red</v>
      </c>
      <c r="K26" s="8" t="str">
        <f>VLOOKUP(F26,[1]characters!$A:$K,11,FALSE)</f>
        <v>technical</v>
      </c>
      <c r="L26" s="8" t="str">
        <f>VLOOKUP(F26,[1]characters!$A:$M,13,FALSE)</f>
        <v>human</v>
      </c>
      <c r="M26" s="16">
        <f>IFERROR(VLOOKUP(F26,gacha_conf!A$50:F$62,5+E26,FALSE),VLOOKUP(D26,gacha_conf!D$18:E$46,2,FALSE))</f>
        <v>4493</v>
      </c>
      <c r="N26" s="37">
        <f>IFERROR(VLOOKUP($F26,bug_conf_sheet!$A:$H,3,FALSE),VLOOKUP("other",bug_conf_sheet!$A:$H,3,FALSE))</f>
        <v>1</v>
      </c>
      <c r="O26" s="37">
        <f>IFERROR(VLOOKUP($F26,bug_conf_sheet!$A:$H,4,FALSE),VLOOKUP("other",bug_conf_sheet!$A:$H,4,FALSE))</f>
        <v>0</v>
      </c>
      <c r="P26" s="37">
        <f>IFERROR(VLOOKUP($F26,bug_conf_sheet!$A:$H,5,FALSE),VLOOKUP("other",bug_conf_sheet!$A:$H,5,FALSE))</f>
        <v>0</v>
      </c>
      <c r="Q26" s="37">
        <f>IFERROR(VLOOKUP($F26,bug_conf_sheet!$A:$H,6,FALSE),VLOOKUP("other",bug_conf_sheet!$A:$H,6,FALSE))</f>
        <v>0</v>
      </c>
      <c r="R26" s="37">
        <f>IFERROR(VLOOKUP($F26,bug_conf_sheet!$A:$H,7,FALSE),VLOOKUP("other",bug_conf_sheet!$A:$H,7,FALSE))</f>
        <v>0</v>
      </c>
      <c r="S26" s="37">
        <f>IFERROR(VLOOKUP($F26,bug_conf_sheet!$A:$H,8,FALSE),VLOOKUP("other",bug_conf_sheet!$A:$H,8,FALSE))</f>
        <v>1</v>
      </c>
    </row>
    <row r="27" spans="1:19" ht="21" customHeight="1">
      <c r="A27" s="7" t="str">
        <f t="shared" si="1"/>
        <v>1941151</v>
      </c>
      <c r="B27" s="2" t="str">
        <f t="shared" si="2"/>
        <v>1941</v>
      </c>
      <c r="C27" s="8" t="str">
        <f t="shared" si="3"/>
        <v>1PremiumW4</v>
      </c>
      <c r="D27" s="8" t="str">
        <f t="shared" si="4"/>
        <v>1PremiumW4</v>
      </c>
      <c r="E27" s="10">
        <v>1</v>
      </c>
      <c r="F27" s="6">
        <v>151</v>
      </c>
      <c r="G27" s="8" t="str">
        <f>VLOOKUP(F27,[1]characters!$A:$C,3,FALSE)</f>
        <v>毒煙の処刑人サキ</v>
      </c>
      <c r="H27" s="8" t="str">
        <f>VLOOKUP(F27,[1]characters!$A:$J,10,FALSE)</f>
        <v>PremiumW</v>
      </c>
      <c r="I27" s="8">
        <f>VLOOKUP(F27,[1]characters!$A:$I,9,FALSE)</f>
        <v>4</v>
      </c>
      <c r="J27" s="8" t="str">
        <f>VLOOKUP(F27,[1]characters!$A:$H,8,FALSE)</f>
        <v>red</v>
      </c>
      <c r="K27" s="8" t="str">
        <f>VLOOKUP(F27,[1]characters!$A:$K,11,FALSE)</f>
        <v>technical</v>
      </c>
      <c r="L27" s="8" t="str">
        <f>VLOOKUP(F27,[1]characters!$A:$M,13,FALSE)</f>
        <v>human</v>
      </c>
      <c r="M27" s="16">
        <f>IFERROR(VLOOKUP(F27,gacha_conf!A$50:F$62,5+E27,FALSE),VLOOKUP(D27,gacha_conf!D$18:E$46,2,FALSE))</f>
        <v>1419</v>
      </c>
      <c r="N27" s="37">
        <f>IFERROR(VLOOKUP($F27,bug_conf_sheet!$A:$H,3,FALSE),VLOOKUP("other",bug_conf_sheet!$A:$H,3,FALSE))</f>
        <v>1</v>
      </c>
      <c r="O27" s="37">
        <f>IFERROR(VLOOKUP($F27,bug_conf_sheet!$A:$H,4,FALSE),VLOOKUP("other",bug_conf_sheet!$A:$H,4,FALSE))</f>
        <v>0</v>
      </c>
      <c r="P27" s="37">
        <f>IFERROR(VLOOKUP($F27,bug_conf_sheet!$A:$H,5,FALSE),VLOOKUP("other",bug_conf_sheet!$A:$H,5,FALSE))</f>
        <v>0</v>
      </c>
      <c r="Q27" s="37">
        <f>IFERROR(VLOOKUP($F27,bug_conf_sheet!$A:$H,6,FALSE),VLOOKUP("other",bug_conf_sheet!$A:$H,6,FALSE))</f>
        <v>0</v>
      </c>
      <c r="R27" s="37">
        <f>IFERROR(VLOOKUP($F27,bug_conf_sheet!$A:$H,7,FALSE),VLOOKUP("other",bug_conf_sheet!$A:$H,7,FALSE))</f>
        <v>0</v>
      </c>
      <c r="S27" s="37">
        <f>IFERROR(VLOOKUP($F27,bug_conf_sheet!$A:$H,8,FALSE),VLOOKUP("other",bug_conf_sheet!$A:$H,8,FALSE))</f>
        <v>1</v>
      </c>
    </row>
    <row r="28" spans="1:19" ht="21" customHeight="1">
      <c r="A28" s="7" t="str">
        <f t="shared" si="1"/>
        <v>1941152</v>
      </c>
      <c r="B28" s="2" t="str">
        <f t="shared" si="2"/>
        <v>1941</v>
      </c>
      <c r="C28" s="8" t="str">
        <f t="shared" si="3"/>
        <v>1PremiumW3</v>
      </c>
      <c r="D28" s="8" t="str">
        <f t="shared" si="4"/>
        <v>1PremiumW3</v>
      </c>
      <c r="E28" s="10">
        <v>1</v>
      </c>
      <c r="F28" s="6">
        <v>152</v>
      </c>
      <c r="G28" s="8" t="str">
        <f>VLOOKUP(F28,[1]characters!$A:$C,3,FALSE)</f>
        <v>功夫少女ランラン</v>
      </c>
      <c r="H28" s="8" t="str">
        <f>VLOOKUP(F28,[1]characters!$A:$J,10,FALSE)</f>
        <v>PremiumW</v>
      </c>
      <c r="I28" s="8">
        <f>VLOOKUP(F28,[1]characters!$A:$I,9,FALSE)</f>
        <v>3</v>
      </c>
      <c r="J28" s="8" t="str">
        <f>VLOOKUP(F28,[1]characters!$A:$H,8,FALSE)</f>
        <v>green</v>
      </c>
      <c r="K28" s="8" t="str">
        <f>VLOOKUP(F28,[1]characters!$A:$K,11,FALSE)</f>
        <v>heal</v>
      </c>
      <c r="L28" s="8" t="str">
        <f>VLOOKUP(F28,[1]characters!$A:$M,13,FALSE)</f>
        <v>human</v>
      </c>
      <c r="M28" s="16">
        <f>IFERROR(VLOOKUP(F28,gacha_conf!A$50:F$62,5+E28,FALSE),VLOOKUP(D28,gacha_conf!D$18:E$46,2,FALSE))</f>
        <v>4493</v>
      </c>
      <c r="N28" s="37">
        <f>IFERROR(VLOOKUP($F28,bug_conf_sheet!$A:$H,3,FALSE),VLOOKUP("other",bug_conf_sheet!$A:$H,3,FALSE))</f>
        <v>1</v>
      </c>
      <c r="O28" s="37">
        <f>IFERROR(VLOOKUP($F28,bug_conf_sheet!$A:$H,4,FALSE),VLOOKUP("other",bug_conf_sheet!$A:$H,4,FALSE))</f>
        <v>0</v>
      </c>
      <c r="P28" s="37">
        <f>IFERROR(VLOOKUP($F28,bug_conf_sheet!$A:$H,5,FALSE),VLOOKUP("other",bug_conf_sheet!$A:$H,5,FALSE))</f>
        <v>0</v>
      </c>
      <c r="Q28" s="37">
        <f>IFERROR(VLOOKUP($F28,bug_conf_sheet!$A:$H,6,FALSE),VLOOKUP("other",bug_conf_sheet!$A:$H,6,FALSE))</f>
        <v>0</v>
      </c>
      <c r="R28" s="37">
        <f>IFERROR(VLOOKUP($F28,bug_conf_sheet!$A:$H,7,FALSE),VLOOKUP("other",bug_conf_sheet!$A:$H,7,FALSE))</f>
        <v>0</v>
      </c>
      <c r="S28" s="37">
        <f>IFERROR(VLOOKUP($F28,bug_conf_sheet!$A:$H,8,FALSE),VLOOKUP("other",bug_conf_sheet!$A:$H,8,FALSE))</f>
        <v>1</v>
      </c>
    </row>
    <row r="29" spans="1:19" ht="21" customHeight="1">
      <c r="A29" s="7" t="str">
        <f t="shared" si="1"/>
        <v>1941153</v>
      </c>
      <c r="B29" s="2" t="str">
        <f t="shared" si="2"/>
        <v>1941</v>
      </c>
      <c r="C29" s="8" t="str">
        <f t="shared" si="3"/>
        <v>1PremiumW4</v>
      </c>
      <c r="D29" s="8" t="str">
        <f t="shared" si="4"/>
        <v>1PremiumW4</v>
      </c>
      <c r="E29" s="10">
        <v>1</v>
      </c>
      <c r="F29" s="6">
        <v>153</v>
      </c>
      <c r="G29" s="8" t="str">
        <f>VLOOKUP(F29,[1]characters!$A:$C,3,FALSE)</f>
        <v>拳聖ランラン</v>
      </c>
      <c r="H29" s="8" t="str">
        <f>VLOOKUP(F29,[1]characters!$A:$J,10,FALSE)</f>
        <v>PremiumW</v>
      </c>
      <c r="I29" s="8">
        <f>VLOOKUP(F29,[1]characters!$A:$I,9,FALSE)</f>
        <v>4</v>
      </c>
      <c r="J29" s="8" t="str">
        <f>VLOOKUP(F29,[1]characters!$A:$H,8,FALSE)</f>
        <v>green</v>
      </c>
      <c r="K29" s="8" t="str">
        <f>VLOOKUP(F29,[1]characters!$A:$K,11,FALSE)</f>
        <v>heal</v>
      </c>
      <c r="L29" s="8" t="str">
        <f>VLOOKUP(F29,[1]characters!$A:$M,13,FALSE)</f>
        <v>human</v>
      </c>
      <c r="M29" s="16">
        <f>IFERROR(VLOOKUP(F29,gacha_conf!A$50:F$62,5+E29,FALSE),VLOOKUP(D29,gacha_conf!D$18:E$46,2,FALSE))</f>
        <v>1419</v>
      </c>
      <c r="N29" s="37">
        <f>IFERROR(VLOOKUP($F29,bug_conf_sheet!$A:$H,3,FALSE),VLOOKUP("other",bug_conf_sheet!$A:$H,3,FALSE))</f>
        <v>1</v>
      </c>
      <c r="O29" s="37">
        <f>IFERROR(VLOOKUP($F29,bug_conf_sheet!$A:$H,4,FALSE),VLOOKUP("other",bug_conf_sheet!$A:$H,4,FALSE))</f>
        <v>0</v>
      </c>
      <c r="P29" s="37">
        <f>IFERROR(VLOOKUP($F29,bug_conf_sheet!$A:$H,5,FALSE),VLOOKUP("other",bug_conf_sheet!$A:$H,5,FALSE))</f>
        <v>0</v>
      </c>
      <c r="Q29" s="37">
        <f>IFERROR(VLOOKUP($F29,bug_conf_sheet!$A:$H,6,FALSE),VLOOKUP("other",bug_conf_sheet!$A:$H,6,FALSE))</f>
        <v>0</v>
      </c>
      <c r="R29" s="37">
        <f>IFERROR(VLOOKUP($F29,bug_conf_sheet!$A:$H,7,FALSE),VLOOKUP("other",bug_conf_sheet!$A:$H,7,FALSE))</f>
        <v>0</v>
      </c>
      <c r="S29" s="37">
        <f>IFERROR(VLOOKUP($F29,bug_conf_sheet!$A:$H,8,FALSE),VLOOKUP("other",bug_conf_sheet!$A:$H,8,FALSE))</f>
        <v>1</v>
      </c>
    </row>
    <row r="30" spans="1:19" ht="21" customHeight="1">
      <c r="A30" s="7" t="str">
        <f t="shared" si="1"/>
        <v>1941154</v>
      </c>
      <c r="B30" s="2" t="str">
        <f t="shared" si="2"/>
        <v>1941</v>
      </c>
      <c r="C30" s="8" t="str">
        <f t="shared" si="3"/>
        <v>1PremiumW3</v>
      </c>
      <c r="D30" s="8" t="str">
        <f t="shared" si="4"/>
        <v>1PremiumW3</v>
      </c>
      <c r="E30" s="10">
        <v>1</v>
      </c>
      <c r="F30" s="6">
        <v>154</v>
      </c>
      <c r="G30" s="8" t="str">
        <f>VLOOKUP(F30,[1]characters!$A:$C,3,FALSE)</f>
        <v>始末屋 ハンナ</v>
      </c>
      <c r="H30" s="8" t="str">
        <f>VLOOKUP(F30,[1]characters!$A:$J,10,FALSE)</f>
        <v>PremiumW</v>
      </c>
      <c r="I30" s="8">
        <f>VLOOKUP(F30,[1]characters!$A:$I,9,FALSE)</f>
        <v>3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human</v>
      </c>
      <c r="M30" s="16">
        <f>IFERROR(VLOOKUP(F30,gacha_conf!A$50:F$62,5+E30,FALSE),VLOOKUP(D30,gacha_conf!D$18:E$46,2,FALSE))</f>
        <v>4493</v>
      </c>
      <c r="N30" s="37">
        <f>IFERROR(VLOOKUP($F30,bug_conf_sheet!$A:$H,3,FALSE),VLOOKUP("other",bug_conf_sheet!$A:$H,3,FALSE))</f>
        <v>1</v>
      </c>
      <c r="O30" s="37">
        <f>IFERROR(VLOOKUP($F30,bug_conf_sheet!$A:$H,4,FALSE),VLOOKUP("other",bug_conf_sheet!$A:$H,4,FALSE))</f>
        <v>0</v>
      </c>
      <c r="P30" s="37">
        <f>IFERROR(VLOOKUP($F30,bug_conf_sheet!$A:$H,5,FALSE),VLOOKUP("other",bug_conf_sheet!$A:$H,5,FALSE))</f>
        <v>0</v>
      </c>
      <c r="Q30" s="37">
        <f>IFERROR(VLOOKUP($F30,bug_conf_sheet!$A:$H,6,FALSE),VLOOKUP("other",bug_conf_sheet!$A:$H,6,FALSE))</f>
        <v>0</v>
      </c>
      <c r="R30" s="37">
        <f>IFERROR(VLOOKUP($F30,bug_conf_sheet!$A:$H,7,FALSE),VLOOKUP("other",bug_conf_sheet!$A:$H,7,FALSE))</f>
        <v>0</v>
      </c>
      <c r="S30" s="37">
        <f>IFERROR(VLOOKUP($F30,bug_conf_sheet!$A:$H,8,FALSE),VLOOKUP("other",bug_conf_sheet!$A:$H,8,FALSE))</f>
        <v>1</v>
      </c>
    </row>
    <row r="31" spans="1:19" ht="21" customHeight="1">
      <c r="A31" s="7" t="str">
        <f t="shared" si="1"/>
        <v>1941155</v>
      </c>
      <c r="B31" s="2" t="str">
        <f t="shared" si="2"/>
        <v>1941</v>
      </c>
      <c r="C31" s="8" t="str">
        <f t="shared" si="3"/>
        <v>1PremiumW4</v>
      </c>
      <c r="D31" s="8" t="str">
        <f t="shared" si="4"/>
        <v>1PremiumW4</v>
      </c>
      <c r="E31" s="10">
        <v>1</v>
      </c>
      <c r="F31" s="6">
        <v>155</v>
      </c>
      <c r="G31" s="8" t="str">
        <f>VLOOKUP(F31,[1]characters!$A:$C,3,FALSE)</f>
        <v>隻眼の掃除屋 ハンナ</v>
      </c>
      <c r="H31" s="8" t="str">
        <f>VLOOKUP(F31,[1]characters!$A:$J,10,FALSE)</f>
        <v>PremiumW</v>
      </c>
      <c r="I31" s="8">
        <f>VLOOKUP(F31,[1]characters!$A:$I,9,FALSE)</f>
        <v>4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human</v>
      </c>
      <c r="M31" s="16">
        <f>IFERROR(VLOOKUP(F31,gacha_conf!A$50:F$62,5+E31,FALSE),VLOOKUP(D31,gacha_conf!D$18:E$46,2,FALSE))</f>
        <v>1419</v>
      </c>
      <c r="N31" s="37">
        <f>IFERROR(VLOOKUP($F31,bug_conf_sheet!$A:$H,3,FALSE),VLOOKUP("other",bug_conf_sheet!$A:$H,3,FALSE))</f>
        <v>1</v>
      </c>
      <c r="O31" s="37">
        <f>IFERROR(VLOOKUP($F31,bug_conf_sheet!$A:$H,4,FALSE),VLOOKUP("other",bug_conf_sheet!$A:$H,4,FALSE))</f>
        <v>0</v>
      </c>
      <c r="P31" s="37">
        <f>IFERROR(VLOOKUP($F31,bug_conf_sheet!$A:$H,5,FALSE),VLOOKUP("other",bug_conf_sheet!$A:$H,5,FALSE))</f>
        <v>0</v>
      </c>
      <c r="Q31" s="37">
        <f>IFERROR(VLOOKUP($F31,bug_conf_sheet!$A:$H,6,FALSE),VLOOKUP("other",bug_conf_sheet!$A:$H,6,FALSE))</f>
        <v>0</v>
      </c>
      <c r="R31" s="37">
        <f>IFERROR(VLOOKUP($F31,bug_conf_sheet!$A:$H,7,FALSE),VLOOKUP("other",bug_conf_sheet!$A:$H,7,FALSE))</f>
        <v>0</v>
      </c>
      <c r="S31" s="37">
        <f>IFERROR(VLOOKUP($F31,bug_conf_sheet!$A:$H,8,FALSE),VLOOKUP("other",bug_conf_sheet!$A:$H,8,FALSE))</f>
        <v>1</v>
      </c>
    </row>
    <row r="32" spans="1:19" ht="21" customHeight="1">
      <c r="A32" s="7" t="str">
        <f t="shared" si="1"/>
        <v>1941156</v>
      </c>
      <c r="B32" s="2" t="str">
        <f t="shared" si="2"/>
        <v>1941</v>
      </c>
      <c r="C32" s="8" t="str">
        <f t="shared" si="3"/>
        <v>1PremiumW3</v>
      </c>
      <c r="D32" s="8" t="str">
        <f t="shared" si="4"/>
        <v>1PremiumW3</v>
      </c>
      <c r="E32" s="10">
        <v>1</v>
      </c>
      <c r="F32" s="6">
        <v>156</v>
      </c>
      <c r="G32" s="8" t="str">
        <f>VLOOKUP(F32,[1]characters!$A:$C,3,FALSE)</f>
        <v>踊り子 エレナ</v>
      </c>
      <c r="H32" s="8" t="str">
        <f>VLOOKUP(F32,[1]characters!$A:$J,10,FALSE)</f>
        <v>PremiumW</v>
      </c>
      <c r="I32" s="8">
        <f>VLOOKUP(F32,[1]characters!$A:$I,9,FALSE)</f>
        <v>3</v>
      </c>
      <c r="J32" s="8" t="str">
        <f>VLOOKUP(F32,[1]characters!$A:$H,8,FALSE)</f>
        <v>yellow</v>
      </c>
      <c r="K32" s="8" t="str">
        <f>VLOOKUP(F32,[1]characters!$A:$K,11,FALSE)</f>
        <v>heal</v>
      </c>
      <c r="L32" s="8" t="str">
        <f>VLOOKUP(F32,[1]characters!$A:$M,13,FALSE)</f>
        <v>human</v>
      </c>
      <c r="M32" s="16">
        <f>IFERROR(VLOOKUP(F32,gacha_conf!A$50:F$62,5+E32,FALSE),VLOOKUP(D32,gacha_conf!D$18:E$46,2,FALSE))</f>
        <v>4493</v>
      </c>
      <c r="N32" s="37">
        <f>IFERROR(VLOOKUP($F32,bug_conf_sheet!$A:$H,3,FALSE),VLOOKUP("other",bug_conf_sheet!$A:$H,3,FALSE))</f>
        <v>1</v>
      </c>
      <c r="O32" s="37">
        <f>IFERROR(VLOOKUP($F32,bug_conf_sheet!$A:$H,4,FALSE),VLOOKUP("other",bug_conf_sheet!$A:$H,4,FALSE))</f>
        <v>0</v>
      </c>
      <c r="P32" s="37">
        <f>IFERROR(VLOOKUP($F32,bug_conf_sheet!$A:$H,5,FALSE),VLOOKUP("other",bug_conf_sheet!$A:$H,5,FALSE))</f>
        <v>0</v>
      </c>
      <c r="Q32" s="37">
        <f>IFERROR(VLOOKUP($F32,bug_conf_sheet!$A:$H,6,FALSE),VLOOKUP("other",bug_conf_sheet!$A:$H,6,FALSE))</f>
        <v>0</v>
      </c>
      <c r="R32" s="37">
        <f>IFERROR(VLOOKUP($F32,bug_conf_sheet!$A:$H,7,FALSE),VLOOKUP("other",bug_conf_sheet!$A:$H,7,FALSE))</f>
        <v>0</v>
      </c>
      <c r="S32" s="37">
        <f>IFERROR(VLOOKUP($F32,bug_conf_sheet!$A:$H,8,FALSE),VLOOKUP("other",bug_conf_sheet!$A:$H,8,FALSE))</f>
        <v>1</v>
      </c>
    </row>
    <row r="33" spans="1:19" ht="21" customHeight="1">
      <c r="A33" s="7" t="str">
        <f t="shared" si="1"/>
        <v>1941157</v>
      </c>
      <c r="B33" s="2" t="str">
        <f t="shared" si="2"/>
        <v>1941</v>
      </c>
      <c r="C33" s="8" t="str">
        <f t="shared" si="3"/>
        <v>1PremiumW4</v>
      </c>
      <c r="D33" s="8" t="str">
        <f t="shared" si="4"/>
        <v>1PremiumW4</v>
      </c>
      <c r="E33" s="10">
        <v>1</v>
      </c>
      <c r="F33" s="6">
        <v>157</v>
      </c>
      <c r="G33" s="8" t="str">
        <f>VLOOKUP(F33,[1]characters!$A:$C,3,FALSE)</f>
        <v>雷光舞姫 エレナ</v>
      </c>
      <c r="H33" s="8" t="str">
        <f>VLOOKUP(F33,[1]characters!$A:$J,10,FALSE)</f>
        <v>PremiumW</v>
      </c>
      <c r="I33" s="8">
        <f>VLOOKUP(F33,[1]characters!$A:$I,9,FALSE)</f>
        <v>4</v>
      </c>
      <c r="J33" s="8" t="str">
        <f>VLOOKUP(F33,[1]characters!$A:$H,8,FALSE)</f>
        <v>yellow</v>
      </c>
      <c r="K33" s="8" t="str">
        <f>VLOOKUP(F33,[1]characters!$A:$K,11,FALSE)</f>
        <v>heal</v>
      </c>
      <c r="L33" s="8" t="str">
        <f>VLOOKUP(F33,[1]characters!$A:$M,13,FALSE)</f>
        <v>human</v>
      </c>
      <c r="M33" s="16">
        <f>IFERROR(VLOOKUP(F33,gacha_conf!A$50:F$62,5+E33,FALSE),VLOOKUP(D33,gacha_conf!D$18:E$46,2,FALSE))</f>
        <v>1419</v>
      </c>
      <c r="N33" s="37">
        <f>IFERROR(VLOOKUP($F33,bug_conf_sheet!$A:$H,3,FALSE),VLOOKUP("other",bug_conf_sheet!$A:$H,3,FALSE))</f>
        <v>1</v>
      </c>
      <c r="O33" s="37">
        <f>IFERROR(VLOOKUP($F33,bug_conf_sheet!$A:$H,4,FALSE),VLOOKUP("other",bug_conf_sheet!$A:$H,4,FALSE))</f>
        <v>0</v>
      </c>
      <c r="P33" s="37">
        <f>IFERROR(VLOOKUP($F33,bug_conf_sheet!$A:$H,5,FALSE),VLOOKUP("other",bug_conf_sheet!$A:$H,5,FALSE))</f>
        <v>0</v>
      </c>
      <c r="Q33" s="37">
        <f>IFERROR(VLOOKUP($F33,bug_conf_sheet!$A:$H,6,FALSE),VLOOKUP("other",bug_conf_sheet!$A:$H,6,FALSE))</f>
        <v>0</v>
      </c>
      <c r="R33" s="37">
        <f>IFERROR(VLOOKUP($F33,bug_conf_sheet!$A:$H,7,FALSE),VLOOKUP("other",bug_conf_sheet!$A:$H,7,FALSE))</f>
        <v>0</v>
      </c>
      <c r="S33" s="37">
        <f>IFERROR(VLOOKUP($F33,bug_conf_sheet!$A:$H,8,FALSE),VLOOKUP("other",bug_conf_sheet!$A:$H,8,FALSE))</f>
        <v>1</v>
      </c>
    </row>
    <row r="34" spans="1:19" ht="21" customHeight="1">
      <c r="A34" s="7" t="str">
        <f t="shared" si="1"/>
        <v>1941158</v>
      </c>
      <c r="B34" s="2" t="str">
        <f t="shared" si="2"/>
        <v>1941</v>
      </c>
      <c r="C34" s="8" t="str">
        <f t="shared" si="3"/>
        <v>1PremiumW3</v>
      </c>
      <c r="D34" s="8" t="str">
        <f t="shared" si="4"/>
        <v>1PremiumW3</v>
      </c>
      <c r="E34" s="10">
        <v>1</v>
      </c>
      <c r="F34" s="6">
        <v>158</v>
      </c>
      <c r="G34" s="8" t="str">
        <f>VLOOKUP(F34,[1]characters!$A:$C,3,FALSE)</f>
        <v>シスター シャルロッテ</v>
      </c>
      <c r="H34" s="8" t="str">
        <f>VLOOKUP(F34,[1]characters!$A:$J,10,FALSE)</f>
        <v>PremiumW</v>
      </c>
      <c r="I34" s="8">
        <f>VLOOKUP(F34,[1]characters!$A:$I,9,FALSE)</f>
        <v>3</v>
      </c>
      <c r="J34" s="8" t="str">
        <f>VLOOKUP(F34,[1]characters!$A:$H,8,FALSE)</f>
        <v>red</v>
      </c>
      <c r="K34" s="8" t="str">
        <f>VLOOKUP(F34,[1]characters!$A:$K,11,FALSE)</f>
        <v>heal</v>
      </c>
      <c r="L34" s="8" t="str">
        <f>VLOOKUP(F34,[1]characters!$A:$M,13,FALSE)</f>
        <v>human</v>
      </c>
      <c r="M34" s="16">
        <f>IFERROR(VLOOKUP(F34,gacha_conf!A$50:F$62,5+E34,FALSE),VLOOKUP(D34,gacha_conf!D$18:E$46,2,FALSE))</f>
        <v>4493</v>
      </c>
      <c r="N34" s="37">
        <f>IFERROR(VLOOKUP($F34,bug_conf_sheet!$A:$H,3,FALSE),VLOOKUP("other",bug_conf_sheet!$A:$H,3,FALSE))</f>
        <v>1</v>
      </c>
      <c r="O34" s="37">
        <f>IFERROR(VLOOKUP($F34,bug_conf_sheet!$A:$H,4,FALSE),VLOOKUP("other",bug_conf_sheet!$A:$H,4,FALSE))</f>
        <v>0</v>
      </c>
      <c r="P34" s="37">
        <f>IFERROR(VLOOKUP($F34,bug_conf_sheet!$A:$H,5,FALSE),VLOOKUP("other",bug_conf_sheet!$A:$H,5,FALSE))</f>
        <v>0</v>
      </c>
      <c r="Q34" s="37">
        <f>IFERROR(VLOOKUP($F34,bug_conf_sheet!$A:$H,6,FALSE),VLOOKUP("other",bug_conf_sheet!$A:$H,6,FALSE))</f>
        <v>0</v>
      </c>
      <c r="R34" s="37">
        <f>IFERROR(VLOOKUP($F34,bug_conf_sheet!$A:$H,7,FALSE),VLOOKUP("other",bug_conf_sheet!$A:$H,7,FALSE))</f>
        <v>0</v>
      </c>
      <c r="S34" s="37">
        <f>IFERROR(VLOOKUP($F34,bug_conf_sheet!$A:$H,8,FALSE),VLOOKUP("other",bug_conf_sheet!$A:$H,8,FALSE))</f>
        <v>1</v>
      </c>
    </row>
    <row r="35" spans="1:19" ht="21" customHeight="1">
      <c r="A35" s="7" t="str">
        <f t="shared" si="1"/>
        <v>1941159</v>
      </c>
      <c r="B35" s="2" t="str">
        <f t="shared" si="2"/>
        <v>1941</v>
      </c>
      <c r="C35" s="8" t="str">
        <f t="shared" si="3"/>
        <v>1PremiumW4</v>
      </c>
      <c r="D35" s="8" t="str">
        <f t="shared" si="4"/>
        <v>1PremiumW4</v>
      </c>
      <c r="E35" s="10">
        <v>1</v>
      </c>
      <c r="F35" s="6">
        <v>159</v>
      </c>
      <c r="G35" s="8" t="str">
        <f>VLOOKUP(F35,[1]characters!$A:$C,3,FALSE)</f>
        <v>邪を狩りし者 シャルロッテ</v>
      </c>
      <c r="H35" s="8" t="str">
        <f>VLOOKUP(F35,[1]characters!$A:$J,10,FALSE)</f>
        <v>PremiumW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heal</v>
      </c>
      <c r="L35" s="8" t="str">
        <f>VLOOKUP(F35,[1]characters!$A:$M,13,FALSE)</f>
        <v>human</v>
      </c>
      <c r="M35" s="16">
        <f>IFERROR(VLOOKUP(F35,gacha_conf!A$50:F$62,5+E35,FALSE),VLOOKUP(D35,gacha_conf!D$18:E$46,2,FALSE))</f>
        <v>1419</v>
      </c>
      <c r="N35" s="37">
        <f>IFERROR(VLOOKUP($F35,bug_conf_sheet!$A:$H,3,FALSE),VLOOKUP("other",bug_conf_sheet!$A:$H,3,FALSE))</f>
        <v>1</v>
      </c>
      <c r="O35" s="37">
        <f>IFERROR(VLOOKUP($F35,bug_conf_sheet!$A:$H,4,FALSE),VLOOKUP("other",bug_conf_sheet!$A:$H,4,FALSE))</f>
        <v>0</v>
      </c>
      <c r="P35" s="37">
        <f>IFERROR(VLOOKUP($F35,bug_conf_sheet!$A:$H,5,FALSE),VLOOKUP("other",bug_conf_sheet!$A:$H,5,FALSE))</f>
        <v>0</v>
      </c>
      <c r="Q35" s="37">
        <f>IFERROR(VLOOKUP($F35,bug_conf_sheet!$A:$H,6,FALSE),VLOOKUP("other",bug_conf_sheet!$A:$H,6,FALSE))</f>
        <v>0</v>
      </c>
      <c r="R35" s="37">
        <f>IFERROR(VLOOKUP($F35,bug_conf_sheet!$A:$H,7,FALSE),VLOOKUP("other",bug_conf_sheet!$A:$H,7,FALSE))</f>
        <v>0</v>
      </c>
      <c r="S35" s="37">
        <f>IFERROR(VLOOKUP($F35,bug_conf_sheet!$A:$H,8,FALSE),VLOOKUP("other",bug_conf_sheet!$A:$H,8,FALSE))</f>
        <v>1</v>
      </c>
    </row>
    <row r="36" spans="1:19" ht="21" customHeight="1">
      <c r="A36" s="7" t="str">
        <f t="shared" si="1"/>
        <v>1941160</v>
      </c>
      <c r="B36" s="2" t="str">
        <f t="shared" si="2"/>
        <v>1941</v>
      </c>
      <c r="C36" s="8" t="str">
        <f t="shared" si="3"/>
        <v>1PremiumW3</v>
      </c>
      <c r="D36" s="8" t="str">
        <f t="shared" si="4"/>
        <v>1PremiumW3</v>
      </c>
      <c r="E36" s="10">
        <v>1</v>
      </c>
      <c r="F36" s="6">
        <v>160</v>
      </c>
      <c r="G36" s="8" t="str">
        <f>VLOOKUP(F36,[1]characters!$A:$C,3,FALSE)</f>
        <v>反逆者 クリエ</v>
      </c>
      <c r="H36" s="8" t="str">
        <f>VLOOKUP(F36,[1]characters!$A:$J,10,FALSE)</f>
        <v>PremiumW</v>
      </c>
      <c r="I36" s="8">
        <f>VLOOKUP(F36,[1]characters!$A:$I,9,FALSE)</f>
        <v>3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16">
        <f>IFERROR(VLOOKUP(F36,gacha_conf!A$50:F$62,5+E36,FALSE),VLOOKUP(D36,gacha_conf!D$18:E$46,2,FALSE))</f>
        <v>4493</v>
      </c>
      <c r="N36" s="37">
        <f>IFERROR(VLOOKUP($F36,bug_conf_sheet!$A:$H,3,FALSE),VLOOKUP("other",bug_conf_sheet!$A:$H,3,FALSE))</f>
        <v>1</v>
      </c>
      <c r="O36" s="37">
        <f>IFERROR(VLOOKUP($F36,bug_conf_sheet!$A:$H,4,FALSE),VLOOKUP("other",bug_conf_sheet!$A:$H,4,FALSE))</f>
        <v>0</v>
      </c>
      <c r="P36" s="37">
        <f>IFERROR(VLOOKUP($F36,bug_conf_sheet!$A:$H,5,FALSE),VLOOKUP("other",bug_conf_sheet!$A:$H,5,FALSE))</f>
        <v>0</v>
      </c>
      <c r="Q36" s="37">
        <f>IFERROR(VLOOKUP($F36,bug_conf_sheet!$A:$H,6,FALSE),VLOOKUP("other",bug_conf_sheet!$A:$H,6,FALSE))</f>
        <v>0</v>
      </c>
      <c r="R36" s="37">
        <f>IFERROR(VLOOKUP($F36,bug_conf_sheet!$A:$H,7,FALSE),VLOOKUP("other",bug_conf_sheet!$A:$H,7,FALSE))</f>
        <v>0</v>
      </c>
      <c r="S36" s="37">
        <f>IFERROR(VLOOKUP($F36,bug_conf_sheet!$A:$H,8,FALSE),VLOOKUP("other",bug_conf_sheet!$A:$H,8,FALSE))</f>
        <v>1</v>
      </c>
    </row>
    <row r="37" spans="1:19" ht="21" customHeight="1">
      <c r="A37" s="7" t="str">
        <f t="shared" si="1"/>
        <v>1941161</v>
      </c>
      <c r="B37" s="2" t="str">
        <f t="shared" si="2"/>
        <v>1941</v>
      </c>
      <c r="C37" s="8" t="str">
        <f t="shared" si="3"/>
        <v>1PremiumW4</v>
      </c>
      <c r="D37" s="8" t="str">
        <f t="shared" si="4"/>
        <v>1PremiumW4</v>
      </c>
      <c r="E37" s="10">
        <v>1</v>
      </c>
      <c r="F37" s="6">
        <v>161</v>
      </c>
      <c r="G37" s="8" t="str">
        <f>VLOOKUP(F37,[1]characters!$A:$C,3,FALSE)</f>
        <v>咆哮の先導者 クリエ</v>
      </c>
      <c r="H37" s="8" t="str">
        <f>VLOOKUP(F37,[1]characters!$A:$J,10,FALSE)</f>
        <v>PremiumW</v>
      </c>
      <c r="I37" s="8">
        <f>VLOOKUP(F37,[1]characters!$A:$I,9,FALSE)</f>
        <v>4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16">
        <f>IFERROR(VLOOKUP(F37,gacha_conf!A$50:F$62,5+E37,FALSE),VLOOKUP(D37,gacha_conf!D$18:E$46,2,FALSE))</f>
        <v>1419</v>
      </c>
      <c r="N37" s="37">
        <f>IFERROR(VLOOKUP($F37,bug_conf_sheet!$A:$H,3,FALSE),VLOOKUP("other",bug_conf_sheet!$A:$H,3,FALSE))</f>
        <v>1</v>
      </c>
      <c r="O37" s="37">
        <f>IFERROR(VLOOKUP($F37,bug_conf_sheet!$A:$H,4,FALSE),VLOOKUP("other",bug_conf_sheet!$A:$H,4,FALSE))</f>
        <v>0</v>
      </c>
      <c r="P37" s="37">
        <f>IFERROR(VLOOKUP($F37,bug_conf_sheet!$A:$H,5,FALSE),VLOOKUP("other",bug_conf_sheet!$A:$H,5,FALSE))</f>
        <v>0</v>
      </c>
      <c r="Q37" s="37">
        <f>IFERROR(VLOOKUP($F37,bug_conf_sheet!$A:$H,6,FALSE),VLOOKUP("other",bug_conf_sheet!$A:$H,6,FALSE))</f>
        <v>0</v>
      </c>
      <c r="R37" s="37">
        <f>IFERROR(VLOOKUP($F37,bug_conf_sheet!$A:$H,7,FALSE),VLOOKUP("other",bug_conf_sheet!$A:$H,7,FALSE))</f>
        <v>0</v>
      </c>
      <c r="S37" s="37">
        <f>IFERROR(VLOOKUP($F37,bug_conf_sheet!$A:$H,8,FALSE),VLOOKUP("other",bug_conf_sheet!$A:$H,8,FALSE))</f>
        <v>1</v>
      </c>
    </row>
    <row r="38" spans="1:19" ht="21" customHeight="1">
      <c r="A38" s="7" t="str">
        <f t="shared" si="1"/>
        <v>1941162</v>
      </c>
      <c r="B38" s="2" t="str">
        <f t="shared" si="2"/>
        <v>1941</v>
      </c>
      <c r="C38" s="8" t="str">
        <f t="shared" si="3"/>
        <v>1PremiumW3</v>
      </c>
      <c r="D38" s="8" t="str">
        <f t="shared" si="4"/>
        <v>1PremiumW3</v>
      </c>
      <c r="E38" s="10">
        <v>1</v>
      </c>
      <c r="F38" s="6">
        <v>162</v>
      </c>
      <c r="G38" s="8" t="str">
        <f>VLOOKUP(F38,[1]characters!$A:$C,3,FALSE)</f>
        <v>狂女 クララ</v>
      </c>
      <c r="H38" s="8" t="str">
        <f>VLOOKUP(F38,[1]characters!$A:$J,10,FALSE)</f>
        <v>PremiumW</v>
      </c>
      <c r="I38" s="8">
        <f>VLOOKUP(F38,[1]characters!$A:$I,9,FALSE)</f>
        <v>3</v>
      </c>
      <c r="J38" s="8" t="str">
        <f>VLOOKUP(F38,[1]characters!$A:$H,8,FALSE)</f>
        <v>blue</v>
      </c>
      <c r="K38" s="8" t="str">
        <f>VLOOKUP(F38,[1]characters!$A:$K,11,FALSE)</f>
        <v>attack</v>
      </c>
      <c r="L38" s="8" t="str">
        <f>VLOOKUP(F38,[1]characters!$A:$M,13,FALSE)</f>
        <v>human</v>
      </c>
      <c r="M38" s="16">
        <f>IFERROR(VLOOKUP(F38,gacha_conf!A$50:F$62,5+E38,FALSE),VLOOKUP(D38,gacha_conf!D$18:E$46,2,FALSE))</f>
        <v>4493</v>
      </c>
      <c r="N38" s="37">
        <f>IFERROR(VLOOKUP($F38,bug_conf_sheet!$A:$H,3,FALSE),VLOOKUP("other",bug_conf_sheet!$A:$H,3,FALSE))</f>
        <v>1</v>
      </c>
      <c r="O38" s="37">
        <f>IFERROR(VLOOKUP($F38,bug_conf_sheet!$A:$H,4,FALSE),VLOOKUP("other",bug_conf_sheet!$A:$H,4,FALSE))</f>
        <v>0</v>
      </c>
      <c r="P38" s="37">
        <f>IFERROR(VLOOKUP($F38,bug_conf_sheet!$A:$H,5,FALSE),VLOOKUP("other",bug_conf_sheet!$A:$H,5,FALSE))</f>
        <v>0</v>
      </c>
      <c r="Q38" s="37">
        <f>IFERROR(VLOOKUP($F38,bug_conf_sheet!$A:$H,6,FALSE),VLOOKUP("other",bug_conf_sheet!$A:$H,6,FALSE))</f>
        <v>0</v>
      </c>
      <c r="R38" s="37">
        <f>IFERROR(VLOOKUP($F38,bug_conf_sheet!$A:$H,7,FALSE),VLOOKUP("other",bug_conf_sheet!$A:$H,7,FALSE))</f>
        <v>0</v>
      </c>
      <c r="S38" s="37">
        <f>IFERROR(VLOOKUP($F38,bug_conf_sheet!$A:$H,8,FALSE),VLOOKUP("other",bug_conf_sheet!$A:$H,8,FALSE))</f>
        <v>1</v>
      </c>
    </row>
    <row r="39" spans="1:19" ht="21" customHeight="1">
      <c r="A39" s="7" t="str">
        <f t="shared" si="1"/>
        <v>1941163</v>
      </c>
      <c r="B39" s="2" t="str">
        <f t="shared" si="2"/>
        <v>1941</v>
      </c>
      <c r="C39" s="8" t="str">
        <f t="shared" si="3"/>
        <v>1PremiumW4</v>
      </c>
      <c r="D39" s="8" t="str">
        <f t="shared" si="4"/>
        <v>1PremiumW4</v>
      </c>
      <c r="E39" s="10">
        <v>1</v>
      </c>
      <c r="F39" s="6">
        <v>163</v>
      </c>
      <c r="G39" s="8" t="str">
        <f>VLOOKUP(F39,[1]characters!$A:$C,3,FALSE)</f>
        <v>冷酷な狂嬢 クララ</v>
      </c>
      <c r="H39" s="8" t="str">
        <f>VLOOKUP(F39,[1]characters!$A:$J,10,FALSE)</f>
        <v>PremiumW</v>
      </c>
      <c r="I39" s="8">
        <f>VLOOKUP(F39,[1]characters!$A:$I,9,FALSE)</f>
        <v>4</v>
      </c>
      <c r="J39" s="8" t="str">
        <f>VLOOKUP(F39,[1]characters!$A:$H,8,FALSE)</f>
        <v>blue</v>
      </c>
      <c r="K39" s="8" t="str">
        <f>VLOOKUP(F39,[1]characters!$A:$K,11,FALSE)</f>
        <v>attack</v>
      </c>
      <c r="L39" s="8" t="str">
        <f>VLOOKUP(F39,[1]characters!$A:$M,13,FALSE)</f>
        <v>human</v>
      </c>
      <c r="M39" s="16">
        <f>IFERROR(VLOOKUP(F39,gacha_conf!A$50:F$62,5+E39,FALSE),VLOOKUP(D39,gacha_conf!D$18:E$46,2,FALSE))</f>
        <v>1419</v>
      </c>
      <c r="N39" s="37">
        <f>IFERROR(VLOOKUP($F39,bug_conf_sheet!$A:$H,3,FALSE),VLOOKUP("other",bug_conf_sheet!$A:$H,3,FALSE))</f>
        <v>1</v>
      </c>
      <c r="O39" s="37">
        <f>IFERROR(VLOOKUP($F39,bug_conf_sheet!$A:$H,4,FALSE),VLOOKUP("other",bug_conf_sheet!$A:$H,4,FALSE))</f>
        <v>0</v>
      </c>
      <c r="P39" s="37">
        <f>IFERROR(VLOOKUP($F39,bug_conf_sheet!$A:$H,5,FALSE),VLOOKUP("other",bug_conf_sheet!$A:$H,5,FALSE))</f>
        <v>0</v>
      </c>
      <c r="Q39" s="37">
        <f>IFERROR(VLOOKUP($F39,bug_conf_sheet!$A:$H,6,FALSE),VLOOKUP("other",bug_conf_sheet!$A:$H,6,FALSE))</f>
        <v>0</v>
      </c>
      <c r="R39" s="37">
        <f>IFERROR(VLOOKUP($F39,bug_conf_sheet!$A:$H,7,FALSE),VLOOKUP("other",bug_conf_sheet!$A:$H,7,FALSE))</f>
        <v>0</v>
      </c>
      <c r="S39" s="37">
        <f>IFERROR(VLOOKUP($F39,bug_conf_sheet!$A:$H,8,FALSE),VLOOKUP("other",bug_conf_sheet!$A:$H,8,FALSE))</f>
        <v>1</v>
      </c>
    </row>
    <row r="40" spans="1:19" ht="21" customHeight="1">
      <c r="A40" s="7" t="str">
        <f t="shared" si="1"/>
        <v>1941164</v>
      </c>
      <c r="B40" s="2" t="str">
        <f t="shared" si="2"/>
        <v>1941</v>
      </c>
      <c r="C40" s="8" t="str">
        <f t="shared" si="3"/>
        <v>1PremiumW3</v>
      </c>
      <c r="D40" s="8" t="str">
        <f t="shared" si="4"/>
        <v>1PremiumW3</v>
      </c>
      <c r="E40" s="10">
        <v>1</v>
      </c>
      <c r="F40" s="6">
        <v>164</v>
      </c>
      <c r="G40" s="8" t="str">
        <f>VLOOKUP(F40,[1]characters!$A:$C,3,FALSE)</f>
        <v>イブとトモダチ</v>
      </c>
      <c r="H40" s="8" t="str">
        <f>VLOOKUP(F40,[1]characters!$A:$J,10,FALSE)</f>
        <v>PremiumW</v>
      </c>
      <c r="I40" s="8">
        <f>VLOOKUP(F40,[1]characters!$A:$I,9,FALSE)</f>
        <v>3</v>
      </c>
      <c r="J40" s="8" t="str">
        <f>VLOOKUP(F40,[1]characters!$A:$H,8,FALSE)</f>
        <v>yellow</v>
      </c>
      <c r="K40" s="8" t="str">
        <f>VLOOKUP(F40,[1]characters!$A:$K,11,FALSE)</f>
        <v>technical</v>
      </c>
      <c r="L40" s="8" t="str">
        <f>VLOOKUP(F40,[1]characters!$A:$M,13,FALSE)</f>
        <v>human</v>
      </c>
      <c r="M40" s="16">
        <f>IFERROR(VLOOKUP(F40,gacha_conf!A$50:F$62,5+E40,FALSE),VLOOKUP(D40,gacha_conf!D$18:E$46,2,FALSE))</f>
        <v>4493</v>
      </c>
      <c r="N40" s="37">
        <f>IFERROR(VLOOKUP($F40,bug_conf_sheet!$A:$H,3,FALSE),VLOOKUP("other",bug_conf_sheet!$A:$H,3,FALSE))</f>
        <v>1</v>
      </c>
      <c r="O40" s="37">
        <f>IFERROR(VLOOKUP($F40,bug_conf_sheet!$A:$H,4,FALSE),VLOOKUP("other",bug_conf_sheet!$A:$H,4,FALSE))</f>
        <v>0</v>
      </c>
      <c r="P40" s="37">
        <f>IFERROR(VLOOKUP($F40,bug_conf_sheet!$A:$H,5,FALSE),VLOOKUP("other",bug_conf_sheet!$A:$H,5,FALSE))</f>
        <v>0</v>
      </c>
      <c r="Q40" s="37">
        <f>IFERROR(VLOOKUP($F40,bug_conf_sheet!$A:$H,6,FALSE),VLOOKUP("other",bug_conf_sheet!$A:$H,6,FALSE))</f>
        <v>0</v>
      </c>
      <c r="R40" s="37">
        <f>IFERROR(VLOOKUP($F40,bug_conf_sheet!$A:$H,7,FALSE),VLOOKUP("other",bug_conf_sheet!$A:$H,7,FALSE))</f>
        <v>0</v>
      </c>
      <c r="S40" s="37">
        <f>IFERROR(VLOOKUP($F40,bug_conf_sheet!$A:$H,8,FALSE),VLOOKUP("other",bug_conf_sheet!$A:$H,8,FALSE))</f>
        <v>1</v>
      </c>
    </row>
    <row r="41" spans="1:19" ht="21" customHeight="1">
      <c r="A41" s="7" t="str">
        <f t="shared" si="1"/>
        <v>1941165</v>
      </c>
      <c r="B41" s="2" t="str">
        <f t="shared" si="2"/>
        <v>1941</v>
      </c>
      <c r="C41" s="8" t="str">
        <f t="shared" si="3"/>
        <v>1PremiumW4</v>
      </c>
      <c r="D41" s="8" t="str">
        <f t="shared" si="4"/>
        <v>1PremiumW4</v>
      </c>
      <c r="E41" s="10">
        <v>1</v>
      </c>
      <c r="F41" s="6">
        <v>165</v>
      </c>
      <c r="G41" s="8" t="str">
        <f>VLOOKUP(F41,[1]characters!$A:$C,3,FALSE)</f>
        <v>イブとたったひとりのトモダチ</v>
      </c>
      <c r="H41" s="8" t="str">
        <f>VLOOKUP(F41,[1]characters!$A:$J,10,FALSE)</f>
        <v>PremiumW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technical</v>
      </c>
      <c r="L41" s="8" t="str">
        <f>VLOOKUP(F41,[1]characters!$A:$M,13,FALSE)</f>
        <v>human</v>
      </c>
      <c r="M41" s="16">
        <f>IFERROR(VLOOKUP(F41,gacha_conf!A$50:F$62,5+E41,FALSE),VLOOKUP(D41,gacha_conf!D$18:E$46,2,FALSE))</f>
        <v>1419</v>
      </c>
      <c r="N41" s="37">
        <f>IFERROR(VLOOKUP($F41,bug_conf_sheet!$A:$H,3,FALSE),VLOOKUP("other",bug_conf_sheet!$A:$H,3,FALSE))</f>
        <v>1</v>
      </c>
      <c r="O41" s="37">
        <f>IFERROR(VLOOKUP($F41,bug_conf_sheet!$A:$H,4,FALSE),VLOOKUP("other",bug_conf_sheet!$A:$H,4,FALSE))</f>
        <v>0</v>
      </c>
      <c r="P41" s="37">
        <f>IFERROR(VLOOKUP($F41,bug_conf_sheet!$A:$H,5,FALSE),VLOOKUP("other",bug_conf_sheet!$A:$H,5,FALSE))</f>
        <v>0</v>
      </c>
      <c r="Q41" s="37">
        <f>IFERROR(VLOOKUP($F41,bug_conf_sheet!$A:$H,6,FALSE),VLOOKUP("other",bug_conf_sheet!$A:$H,6,FALSE))</f>
        <v>0</v>
      </c>
      <c r="R41" s="37">
        <f>IFERROR(VLOOKUP($F41,bug_conf_sheet!$A:$H,7,FALSE),VLOOKUP("other",bug_conf_sheet!$A:$H,7,FALSE))</f>
        <v>0</v>
      </c>
      <c r="S41" s="37">
        <f>IFERROR(VLOOKUP($F41,bug_conf_sheet!$A:$H,8,FALSE),VLOOKUP("other",bug_conf_sheet!$A:$H,8,FALSE))</f>
        <v>1</v>
      </c>
    </row>
    <row r="42" spans="1:19" ht="21" customHeight="1">
      <c r="A42" s="7" t="str">
        <f t="shared" si="1"/>
        <v>1941166</v>
      </c>
      <c r="B42" s="2" t="str">
        <f t="shared" si="2"/>
        <v>1941</v>
      </c>
      <c r="C42" s="8" t="str">
        <f t="shared" si="3"/>
        <v>1PremiumN3</v>
      </c>
      <c r="D42" s="8" t="str">
        <f t="shared" si="4"/>
        <v>1PremiumN3</v>
      </c>
      <c r="E42" s="10">
        <v>1</v>
      </c>
      <c r="F42" s="6">
        <v>166</v>
      </c>
      <c r="G42" s="8" t="str">
        <f>VLOOKUP(F42,[1]characters!$A:$C,3,FALSE)</f>
        <v>ベリアル</v>
      </c>
      <c r="H42" s="8" t="str">
        <f>VLOOKUP(F42,[1]characters!$A:$J,10,FALSE)</f>
        <v>PremiumN</v>
      </c>
      <c r="I42" s="8">
        <f>VLOOKUP(F42,[1]characters!$A:$I,9,FALSE)</f>
        <v>3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16">
        <f>IFERROR(VLOOKUP(F42,gacha_conf!A$50:F$62,5+E42,FALSE),VLOOKUP(D42,gacha_conf!D$18:E$46,2,FALSE))</f>
        <v>6739</v>
      </c>
      <c r="N42" s="37">
        <f>IFERROR(VLOOKUP($F42,bug_conf_sheet!$A:$H,3,FALSE),VLOOKUP("other",bug_conf_sheet!$A:$H,3,FALSE))</f>
        <v>1</v>
      </c>
      <c r="O42" s="37">
        <f>IFERROR(VLOOKUP($F42,bug_conf_sheet!$A:$H,4,FALSE),VLOOKUP("other",bug_conf_sheet!$A:$H,4,FALSE))</f>
        <v>0</v>
      </c>
      <c r="P42" s="37">
        <f>IFERROR(VLOOKUP($F42,bug_conf_sheet!$A:$H,5,FALSE),VLOOKUP("other",bug_conf_sheet!$A:$H,5,FALSE))</f>
        <v>0</v>
      </c>
      <c r="Q42" s="37">
        <f>IFERROR(VLOOKUP($F42,bug_conf_sheet!$A:$H,6,FALSE),VLOOKUP("other",bug_conf_sheet!$A:$H,6,FALSE))</f>
        <v>0</v>
      </c>
      <c r="R42" s="37">
        <f>IFERROR(VLOOKUP($F42,bug_conf_sheet!$A:$H,7,FALSE),VLOOKUP("other",bug_conf_sheet!$A:$H,7,FALSE))</f>
        <v>0</v>
      </c>
      <c r="S42" s="37">
        <f>IFERROR(VLOOKUP($F42,bug_conf_sheet!$A:$H,8,FALSE),VLOOKUP("other",bug_conf_sheet!$A:$H,8,FALSE))</f>
        <v>1</v>
      </c>
    </row>
    <row r="43" spans="1:19" ht="21" customHeight="1">
      <c r="A43" s="7" t="str">
        <f t="shared" si="1"/>
        <v>1941167</v>
      </c>
      <c r="B43" s="2" t="str">
        <f t="shared" si="2"/>
        <v>1941</v>
      </c>
      <c r="C43" s="8" t="str">
        <f t="shared" si="3"/>
        <v>1PremiumN4</v>
      </c>
      <c r="D43" s="8" t="str">
        <f t="shared" si="4"/>
        <v>1PremiumN4</v>
      </c>
      <c r="E43" s="10">
        <v>1</v>
      </c>
      <c r="F43" s="6">
        <v>167</v>
      </c>
      <c r="G43" s="8" t="str">
        <f>VLOOKUP(F43,[1]characters!$A:$C,3,FALSE)</f>
        <v>逆徒 ベリアル</v>
      </c>
      <c r="H43" s="8" t="str">
        <f>VLOOKUP(F43,[1]characters!$A:$J,10,FALSE)</f>
        <v>PremiumN</v>
      </c>
      <c r="I43" s="8">
        <f>VLOOKUP(F43,[1]characters!$A:$I,9,FALSE)</f>
        <v>4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16">
        <f>IFERROR(VLOOKUP(F43,gacha_conf!A$50:F$62,5+E43,FALSE),VLOOKUP(D43,gacha_conf!D$18:E$46,2,FALSE))</f>
        <v>1574</v>
      </c>
      <c r="N43" s="37">
        <f>IFERROR(VLOOKUP($F43,bug_conf_sheet!$A:$H,3,FALSE),VLOOKUP("other",bug_conf_sheet!$A:$H,3,FALSE))</f>
        <v>1</v>
      </c>
      <c r="O43" s="37">
        <f>IFERROR(VLOOKUP($F43,bug_conf_sheet!$A:$H,4,FALSE),VLOOKUP("other",bug_conf_sheet!$A:$H,4,FALSE))</f>
        <v>0</v>
      </c>
      <c r="P43" s="37">
        <f>IFERROR(VLOOKUP($F43,bug_conf_sheet!$A:$H,5,FALSE),VLOOKUP("other",bug_conf_sheet!$A:$H,5,FALSE))</f>
        <v>0</v>
      </c>
      <c r="Q43" s="37">
        <f>IFERROR(VLOOKUP($F43,bug_conf_sheet!$A:$H,6,FALSE),VLOOKUP("other",bug_conf_sheet!$A:$H,6,FALSE))</f>
        <v>0</v>
      </c>
      <c r="R43" s="37">
        <f>IFERROR(VLOOKUP($F43,bug_conf_sheet!$A:$H,7,FALSE),VLOOKUP("other",bug_conf_sheet!$A:$H,7,FALSE))</f>
        <v>0</v>
      </c>
      <c r="S43" s="37">
        <f>IFERROR(VLOOKUP($F43,bug_conf_sheet!$A:$H,8,FALSE),VLOOKUP("other",bug_conf_sheet!$A:$H,8,FALSE))</f>
        <v>1</v>
      </c>
    </row>
    <row r="44" spans="1:19" ht="21" customHeight="1">
      <c r="A44" s="7" t="str">
        <f t="shared" si="1"/>
        <v>1941168</v>
      </c>
      <c r="B44" s="2" t="str">
        <f t="shared" si="2"/>
        <v>1941</v>
      </c>
      <c r="C44" s="8" t="str">
        <f t="shared" si="3"/>
        <v>1PremiumN5</v>
      </c>
      <c r="D44" s="8" t="str">
        <f t="shared" si="4"/>
        <v>1PremiumN5</v>
      </c>
      <c r="E44" s="10">
        <v>1</v>
      </c>
      <c r="F44" s="6">
        <v>168</v>
      </c>
      <c r="G44" s="8" t="str">
        <f>VLOOKUP(F44,[1]characters!$A:$C,3,FALSE)</f>
        <v>猛進の大逆者 ベリアル</v>
      </c>
      <c r="H44" s="8" t="str">
        <f>VLOOKUP(F44,[1]characters!$A:$J,10,FALSE)</f>
        <v>PremiumN</v>
      </c>
      <c r="I44" s="8">
        <f>VLOOKUP(F44,[1]characters!$A:$I,9,FALSE)</f>
        <v>5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16">
        <f>IFERROR(VLOOKUP(F44,gacha_conf!A$50:F$62,5+E44,FALSE),VLOOKUP(D44,gacha_conf!D$18:E$46,2,FALSE))</f>
        <v>554</v>
      </c>
      <c r="N44" s="37">
        <f>IFERROR(VLOOKUP($F44,bug_conf_sheet!$A:$H,3,FALSE),VLOOKUP("other",bug_conf_sheet!$A:$H,3,FALSE))</f>
        <v>1</v>
      </c>
      <c r="O44" s="37">
        <f>IFERROR(VLOOKUP($F44,bug_conf_sheet!$A:$H,4,FALSE),VLOOKUP("other",bug_conf_sheet!$A:$H,4,FALSE))</f>
        <v>0</v>
      </c>
      <c r="P44" s="37">
        <f>IFERROR(VLOOKUP($F44,bug_conf_sheet!$A:$H,5,FALSE),VLOOKUP("other",bug_conf_sheet!$A:$H,5,FALSE))</f>
        <v>0</v>
      </c>
      <c r="Q44" s="37">
        <f>IFERROR(VLOOKUP($F44,bug_conf_sheet!$A:$H,6,FALSE),VLOOKUP("other",bug_conf_sheet!$A:$H,6,FALSE))</f>
        <v>0</v>
      </c>
      <c r="R44" s="37">
        <f>IFERROR(VLOOKUP($F44,bug_conf_sheet!$A:$H,7,FALSE),VLOOKUP("other",bug_conf_sheet!$A:$H,7,FALSE))</f>
        <v>0</v>
      </c>
      <c r="S44" s="37">
        <f>IFERROR(VLOOKUP($F44,bug_conf_sheet!$A:$H,8,FALSE),VLOOKUP("other",bug_conf_sheet!$A:$H,8,FALSE))</f>
        <v>1</v>
      </c>
    </row>
    <row r="45" spans="1:19" ht="21" customHeight="1">
      <c r="A45" s="7" t="str">
        <f t="shared" si="1"/>
        <v>1941169</v>
      </c>
      <c r="B45" s="2" t="str">
        <f t="shared" si="2"/>
        <v>1941</v>
      </c>
      <c r="C45" s="8" t="str">
        <f t="shared" si="3"/>
        <v>1PremiumN3</v>
      </c>
      <c r="D45" s="8" t="str">
        <f t="shared" si="4"/>
        <v>1PremiumN3</v>
      </c>
      <c r="E45" s="10">
        <v>1</v>
      </c>
      <c r="F45" s="6">
        <v>169</v>
      </c>
      <c r="G45" s="8" t="str">
        <f>VLOOKUP(F45,[1]characters!$A:$C,3,FALSE)</f>
        <v>オセ</v>
      </c>
      <c r="H45" s="8" t="str">
        <f>VLOOKUP(F45,[1]characters!$A:$J,10,FALSE)</f>
        <v>PremiumN</v>
      </c>
      <c r="I45" s="8">
        <f>VLOOKUP(F45,[1]characters!$A:$I,9,FALSE)</f>
        <v>3</v>
      </c>
      <c r="J45" s="8" t="str">
        <f>VLOOKUP(F45,[1]characters!$A:$H,8,FALSE)</f>
        <v>green</v>
      </c>
      <c r="K45" s="8" t="str">
        <f>VLOOKUP(F45,[1]characters!$A:$K,11,FALSE)</f>
        <v>attack</v>
      </c>
      <c r="L45" s="8" t="str">
        <f>VLOOKUP(F45,[1]characters!$A:$M,13,FALSE)</f>
        <v>god</v>
      </c>
      <c r="M45" s="16">
        <f>IFERROR(VLOOKUP(F45,gacha_conf!A$50:F$62,5+E45,FALSE),VLOOKUP(D45,gacha_conf!D$18:E$46,2,FALSE))</f>
        <v>6739</v>
      </c>
      <c r="N45" s="37">
        <f>IFERROR(VLOOKUP($F45,bug_conf_sheet!$A:$H,3,FALSE),VLOOKUP("other",bug_conf_sheet!$A:$H,3,FALSE))</f>
        <v>1</v>
      </c>
      <c r="O45" s="37">
        <f>IFERROR(VLOOKUP($F45,bug_conf_sheet!$A:$H,4,FALSE),VLOOKUP("other",bug_conf_sheet!$A:$H,4,FALSE))</f>
        <v>0</v>
      </c>
      <c r="P45" s="37">
        <f>IFERROR(VLOOKUP($F45,bug_conf_sheet!$A:$H,5,FALSE),VLOOKUP("other",bug_conf_sheet!$A:$H,5,FALSE))</f>
        <v>0</v>
      </c>
      <c r="Q45" s="37">
        <f>IFERROR(VLOOKUP($F45,bug_conf_sheet!$A:$H,6,FALSE),VLOOKUP("other",bug_conf_sheet!$A:$H,6,FALSE))</f>
        <v>0</v>
      </c>
      <c r="R45" s="37">
        <f>IFERROR(VLOOKUP($F45,bug_conf_sheet!$A:$H,7,FALSE),VLOOKUP("other",bug_conf_sheet!$A:$H,7,FALSE))</f>
        <v>0</v>
      </c>
      <c r="S45" s="37">
        <f>IFERROR(VLOOKUP($F45,bug_conf_sheet!$A:$H,8,FALSE),VLOOKUP("other",bug_conf_sheet!$A:$H,8,FALSE))</f>
        <v>1</v>
      </c>
    </row>
    <row r="46" spans="1:19" ht="21" customHeight="1">
      <c r="A46" s="7" t="str">
        <f t="shared" si="1"/>
        <v>1941170</v>
      </c>
      <c r="B46" s="2" t="str">
        <f t="shared" si="2"/>
        <v>1941</v>
      </c>
      <c r="C46" s="8" t="str">
        <f t="shared" si="3"/>
        <v>1PremiumN4</v>
      </c>
      <c r="D46" s="8" t="str">
        <f t="shared" si="4"/>
        <v>1PremiumN4</v>
      </c>
      <c r="E46" s="10">
        <v>1</v>
      </c>
      <c r="F46" s="6">
        <v>170</v>
      </c>
      <c r="G46" s="8" t="str">
        <f>VLOOKUP(F46,[1]characters!$A:$C,3,FALSE)</f>
        <v>識徒 オセ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green</v>
      </c>
      <c r="K46" s="8" t="str">
        <f>VLOOKUP(F46,[1]characters!$A:$K,11,FALSE)</f>
        <v>attack</v>
      </c>
      <c r="L46" s="8" t="str">
        <f>VLOOKUP(F46,[1]characters!$A:$M,13,FALSE)</f>
        <v>god</v>
      </c>
      <c r="M46" s="16">
        <f>IFERROR(VLOOKUP(F46,gacha_conf!A$50:F$62,5+E46,FALSE),VLOOKUP(D46,gacha_conf!D$18:E$46,2,FALSE))</f>
        <v>1574</v>
      </c>
      <c r="N46" s="37">
        <f>IFERROR(VLOOKUP($F46,bug_conf_sheet!$A:$H,3,FALSE),VLOOKUP("other",bug_conf_sheet!$A:$H,3,FALSE))</f>
        <v>1</v>
      </c>
      <c r="O46" s="37">
        <f>IFERROR(VLOOKUP($F46,bug_conf_sheet!$A:$H,4,FALSE),VLOOKUP("other",bug_conf_sheet!$A:$H,4,FALSE))</f>
        <v>0</v>
      </c>
      <c r="P46" s="37">
        <f>IFERROR(VLOOKUP($F46,bug_conf_sheet!$A:$H,5,FALSE),VLOOKUP("other",bug_conf_sheet!$A:$H,5,FALSE))</f>
        <v>0</v>
      </c>
      <c r="Q46" s="37">
        <f>IFERROR(VLOOKUP($F46,bug_conf_sheet!$A:$H,6,FALSE),VLOOKUP("other",bug_conf_sheet!$A:$H,6,FALSE))</f>
        <v>0</v>
      </c>
      <c r="R46" s="37">
        <f>IFERROR(VLOOKUP($F46,bug_conf_sheet!$A:$H,7,FALSE),VLOOKUP("other",bug_conf_sheet!$A:$H,7,FALSE))</f>
        <v>0</v>
      </c>
      <c r="S46" s="37">
        <f>IFERROR(VLOOKUP($F46,bug_conf_sheet!$A:$H,8,FALSE),VLOOKUP("other",bug_conf_sheet!$A:$H,8,FALSE))</f>
        <v>1</v>
      </c>
    </row>
    <row r="47" spans="1:19" ht="21" customHeight="1">
      <c r="A47" s="7" t="str">
        <f t="shared" si="1"/>
        <v>1941171</v>
      </c>
      <c r="B47" s="2" t="str">
        <f t="shared" si="2"/>
        <v>1941</v>
      </c>
      <c r="C47" s="8" t="str">
        <f t="shared" si="3"/>
        <v>1PremiumN5</v>
      </c>
      <c r="D47" s="8" t="str">
        <f t="shared" si="4"/>
        <v>1PremiumN5</v>
      </c>
      <c r="E47" s="10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16">
        <f>IFERROR(VLOOKUP(F47,gacha_conf!A$50:F$62,5+E47,FALSE),VLOOKUP(D47,gacha_conf!D$18:E$46,2,FALSE))</f>
        <v>554</v>
      </c>
      <c r="N47" s="37">
        <f>IFERROR(VLOOKUP($F47,bug_conf_sheet!$A:$H,3,FALSE),VLOOKUP("other",bug_conf_sheet!$A:$H,3,FALSE))</f>
        <v>1</v>
      </c>
      <c r="O47" s="37">
        <f>IFERROR(VLOOKUP($F47,bug_conf_sheet!$A:$H,4,FALSE),VLOOKUP("other",bug_conf_sheet!$A:$H,4,FALSE))</f>
        <v>0</v>
      </c>
      <c r="P47" s="37">
        <f>IFERROR(VLOOKUP($F47,bug_conf_sheet!$A:$H,5,FALSE),VLOOKUP("other",bug_conf_sheet!$A:$H,5,FALSE))</f>
        <v>0</v>
      </c>
      <c r="Q47" s="37">
        <f>IFERROR(VLOOKUP($F47,bug_conf_sheet!$A:$H,6,FALSE),VLOOKUP("other",bug_conf_sheet!$A:$H,6,FALSE))</f>
        <v>0</v>
      </c>
      <c r="R47" s="37">
        <f>IFERROR(VLOOKUP($F47,bug_conf_sheet!$A:$H,7,FALSE),VLOOKUP("other",bug_conf_sheet!$A:$H,7,FALSE))</f>
        <v>0</v>
      </c>
      <c r="S47" s="37">
        <f>IFERROR(VLOOKUP($F47,bug_conf_sheet!$A:$H,8,FALSE),VLOOKUP("other",bug_conf_sheet!$A:$H,8,FALSE))</f>
        <v>1</v>
      </c>
    </row>
    <row r="48" spans="1:19" ht="21" customHeight="1">
      <c r="A48" s="7" t="str">
        <f t="shared" si="1"/>
        <v>1941172</v>
      </c>
      <c r="B48" s="2" t="str">
        <f t="shared" si="2"/>
        <v>1941</v>
      </c>
      <c r="C48" s="8" t="str">
        <f t="shared" si="3"/>
        <v>1PremiumN3</v>
      </c>
      <c r="D48" s="8" t="str">
        <f t="shared" si="4"/>
        <v>1PremiumN3</v>
      </c>
      <c r="E48" s="10">
        <v>1</v>
      </c>
      <c r="F48" s="6">
        <v>172</v>
      </c>
      <c r="G48" s="8" t="str">
        <f>VLOOKUP(F48,[1]characters!$A:$C,3,FALSE)</f>
        <v>フォルネウス</v>
      </c>
      <c r="H48" s="8" t="str">
        <f>VLOOKUP(F48,[1]characters!$A:$J,10,FALSE)</f>
        <v>PremiumN</v>
      </c>
      <c r="I48" s="8">
        <f>VLOOKUP(F48,[1]characters!$A:$I,9,FALSE)</f>
        <v>3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16">
        <f>IFERROR(VLOOKUP(F48,gacha_conf!A$50:F$62,5+E48,FALSE),VLOOKUP(D48,gacha_conf!D$18:E$46,2,FALSE))</f>
        <v>6739</v>
      </c>
      <c r="N48" s="37">
        <f>IFERROR(VLOOKUP($F48,bug_conf_sheet!$A:$H,3,FALSE),VLOOKUP("other",bug_conf_sheet!$A:$H,3,FALSE))</f>
        <v>1</v>
      </c>
      <c r="O48" s="37">
        <f>IFERROR(VLOOKUP($F48,bug_conf_sheet!$A:$H,4,FALSE),VLOOKUP("other",bug_conf_sheet!$A:$H,4,FALSE))</f>
        <v>0</v>
      </c>
      <c r="P48" s="37">
        <f>IFERROR(VLOOKUP($F48,bug_conf_sheet!$A:$H,5,FALSE),VLOOKUP("other",bug_conf_sheet!$A:$H,5,FALSE))</f>
        <v>0</v>
      </c>
      <c r="Q48" s="37">
        <f>IFERROR(VLOOKUP($F48,bug_conf_sheet!$A:$H,6,FALSE),VLOOKUP("other",bug_conf_sheet!$A:$H,6,FALSE))</f>
        <v>0</v>
      </c>
      <c r="R48" s="37">
        <f>IFERROR(VLOOKUP($F48,bug_conf_sheet!$A:$H,7,FALSE),VLOOKUP("other",bug_conf_sheet!$A:$H,7,FALSE))</f>
        <v>0</v>
      </c>
      <c r="S48" s="37">
        <f>IFERROR(VLOOKUP($F48,bug_conf_sheet!$A:$H,8,FALSE),VLOOKUP("other",bug_conf_sheet!$A:$H,8,FALSE))</f>
        <v>1</v>
      </c>
    </row>
    <row r="49" spans="1:19" ht="21" customHeight="1">
      <c r="A49" s="7" t="str">
        <f t="shared" si="1"/>
        <v>1941173</v>
      </c>
      <c r="B49" s="2" t="str">
        <f t="shared" si="2"/>
        <v>1941</v>
      </c>
      <c r="C49" s="8" t="str">
        <f t="shared" si="3"/>
        <v>1PremiumN4</v>
      </c>
      <c r="D49" s="8" t="str">
        <f t="shared" si="4"/>
        <v>1PremiumN4</v>
      </c>
      <c r="E49" s="10">
        <v>1</v>
      </c>
      <c r="F49" s="6">
        <v>173</v>
      </c>
      <c r="G49" s="8" t="str">
        <f>VLOOKUP(F49,[1]characters!$A:$C,3,FALSE)</f>
        <v>公爵 フォルネウス</v>
      </c>
      <c r="H49" s="8" t="str">
        <f>VLOOKUP(F49,[1]characters!$A:$J,10,FALSE)</f>
        <v>PremiumN</v>
      </c>
      <c r="I49" s="8">
        <f>VLOOKUP(F49,[1]characters!$A:$I,9,FALSE)</f>
        <v>4</v>
      </c>
      <c r="J49" s="8" t="str">
        <f>VLOOKUP(F49,[1]characters!$A:$H,8,FALSE)</f>
        <v>blue</v>
      </c>
      <c r="K49" s="8" t="str">
        <f>VLOOKUP(F49,[1]characters!$A:$K,11,FALSE)</f>
        <v>attack</v>
      </c>
      <c r="L49" s="8" t="str">
        <f>VLOOKUP(F49,[1]characters!$A:$M,13,FALSE)</f>
        <v>god</v>
      </c>
      <c r="M49" s="16">
        <f>IFERROR(VLOOKUP(F49,gacha_conf!A$50:F$62,5+E49,FALSE),VLOOKUP(D49,gacha_conf!D$18:E$46,2,FALSE))</f>
        <v>1574</v>
      </c>
      <c r="N49" s="37">
        <f>IFERROR(VLOOKUP($F49,bug_conf_sheet!$A:$H,3,FALSE),VLOOKUP("other",bug_conf_sheet!$A:$H,3,FALSE))</f>
        <v>1</v>
      </c>
      <c r="O49" s="37">
        <f>IFERROR(VLOOKUP($F49,bug_conf_sheet!$A:$H,4,FALSE),VLOOKUP("other",bug_conf_sheet!$A:$H,4,FALSE))</f>
        <v>0</v>
      </c>
      <c r="P49" s="37">
        <f>IFERROR(VLOOKUP($F49,bug_conf_sheet!$A:$H,5,FALSE),VLOOKUP("other",bug_conf_sheet!$A:$H,5,FALSE))</f>
        <v>0</v>
      </c>
      <c r="Q49" s="37">
        <f>IFERROR(VLOOKUP($F49,bug_conf_sheet!$A:$H,6,FALSE),VLOOKUP("other",bug_conf_sheet!$A:$H,6,FALSE))</f>
        <v>0</v>
      </c>
      <c r="R49" s="37">
        <f>IFERROR(VLOOKUP($F49,bug_conf_sheet!$A:$H,7,FALSE),VLOOKUP("other",bug_conf_sheet!$A:$H,7,FALSE))</f>
        <v>0</v>
      </c>
      <c r="S49" s="37">
        <f>IFERROR(VLOOKUP($F49,bug_conf_sheet!$A:$H,8,FALSE),VLOOKUP("other",bug_conf_sheet!$A:$H,8,FALSE))</f>
        <v>1</v>
      </c>
    </row>
    <row r="50" spans="1:19" ht="21" customHeight="1">
      <c r="A50" s="7" t="str">
        <f t="shared" si="1"/>
        <v>1941174</v>
      </c>
      <c r="B50" s="2" t="str">
        <f t="shared" si="2"/>
        <v>1941</v>
      </c>
      <c r="C50" s="8" t="str">
        <f t="shared" si="3"/>
        <v>1PremiumN5</v>
      </c>
      <c r="D50" s="8" t="str">
        <f t="shared" si="4"/>
        <v>1PremiumN5</v>
      </c>
      <c r="E50" s="10">
        <v>1</v>
      </c>
      <c r="F50" s="6">
        <v>174</v>
      </c>
      <c r="G50" s="8" t="str">
        <f>VLOOKUP(F50,[1]characters!$A:$C,3,FALSE)</f>
        <v>偽愛の大公爵 フォルネウス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blue</v>
      </c>
      <c r="K50" s="8" t="str">
        <f>VLOOKUP(F50,[1]characters!$A:$K,11,FALSE)</f>
        <v>attack</v>
      </c>
      <c r="L50" s="8" t="str">
        <f>VLOOKUP(F50,[1]characters!$A:$M,13,FALSE)</f>
        <v>god</v>
      </c>
      <c r="M50" s="16">
        <f>IFERROR(VLOOKUP(F50,gacha_conf!A$50:F$62,5+E50,FALSE),VLOOKUP(D50,gacha_conf!D$18:E$46,2,FALSE))</f>
        <v>554</v>
      </c>
      <c r="N50" s="37">
        <f>IFERROR(VLOOKUP($F50,bug_conf_sheet!$A:$H,3,FALSE),VLOOKUP("other",bug_conf_sheet!$A:$H,3,FALSE))</f>
        <v>1</v>
      </c>
      <c r="O50" s="37">
        <f>IFERROR(VLOOKUP($F50,bug_conf_sheet!$A:$H,4,FALSE),VLOOKUP("other",bug_conf_sheet!$A:$H,4,FALSE))</f>
        <v>0</v>
      </c>
      <c r="P50" s="37">
        <f>IFERROR(VLOOKUP($F50,bug_conf_sheet!$A:$H,5,FALSE),VLOOKUP("other",bug_conf_sheet!$A:$H,5,FALSE))</f>
        <v>0</v>
      </c>
      <c r="Q50" s="37">
        <f>IFERROR(VLOOKUP($F50,bug_conf_sheet!$A:$H,6,FALSE),VLOOKUP("other",bug_conf_sheet!$A:$H,6,FALSE))</f>
        <v>0</v>
      </c>
      <c r="R50" s="37">
        <f>IFERROR(VLOOKUP($F50,bug_conf_sheet!$A:$H,7,FALSE),VLOOKUP("other",bug_conf_sheet!$A:$H,7,FALSE))</f>
        <v>0</v>
      </c>
      <c r="S50" s="37">
        <f>IFERROR(VLOOKUP($F50,bug_conf_sheet!$A:$H,8,FALSE),VLOOKUP("other",bug_conf_sheet!$A:$H,8,FALSE))</f>
        <v>1</v>
      </c>
    </row>
    <row r="51" spans="1:19" ht="21" customHeight="1">
      <c r="A51" s="7" t="str">
        <f t="shared" si="1"/>
        <v>1941175</v>
      </c>
      <c r="B51" s="2" t="str">
        <f t="shared" si="2"/>
        <v>1941</v>
      </c>
      <c r="C51" s="8" t="str">
        <f t="shared" si="3"/>
        <v>1PremiumN3</v>
      </c>
      <c r="D51" s="8" t="str">
        <f t="shared" si="4"/>
        <v>1PremiumN3</v>
      </c>
      <c r="E51" s="10">
        <v>1</v>
      </c>
      <c r="F51" s="6">
        <v>175</v>
      </c>
      <c r="G51" s="8" t="str">
        <f>VLOOKUP(F51,[1]characters!$A:$C,3,FALSE)</f>
        <v>バフォメット</v>
      </c>
      <c r="H51" s="8" t="str">
        <f>VLOOKUP(F51,[1]characters!$A:$J,10,FALSE)</f>
        <v>PremiumN</v>
      </c>
      <c r="I51" s="8">
        <f>VLOOKUP(F51,[1]characters!$A:$I,9,FALSE)</f>
        <v>3</v>
      </c>
      <c r="J51" s="8" t="str">
        <f>VLOOKUP(F51,[1]characters!$A:$H,8,FALSE)</f>
        <v>yellow</v>
      </c>
      <c r="K51" s="8" t="str">
        <f>VLOOKUP(F51,[1]characters!$A:$K,11,FALSE)</f>
        <v>attack</v>
      </c>
      <c r="L51" s="8" t="str">
        <f>VLOOKUP(F51,[1]characters!$A:$M,13,FALSE)</f>
        <v>god</v>
      </c>
      <c r="M51" s="16">
        <f>IFERROR(VLOOKUP(F51,gacha_conf!A$50:F$62,5+E51,FALSE),VLOOKUP(D51,gacha_conf!D$18:E$46,2,FALSE))</f>
        <v>6739</v>
      </c>
      <c r="N51" s="37">
        <f>IFERROR(VLOOKUP($F51,bug_conf_sheet!$A:$H,3,FALSE),VLOOKUP("other",bug_conf_sheet!$A:$H,3,FALSE))</f>
        <v>1</v>
      </c>
      <c r="O51" s="37">
        <f>IFERROR(VLOOKUP($F51,bug_conf_sheet!$A:$H,4,FALSE),VLOOKUP("other",bug_conf_sheet!$A:$H,4,FALSE))</f>
        <v>0</v>
      </c>
      <c r="P51" s="37">
        <f>IFERROR(VLOOKUP($F51,bug_conf_sheet!$A:$H,5,FALSE),VLOOKUP("other",bug_conf_sheet!$A:$H,5,FALSE))</f>
        <v>0</v>
      </c>
      <c r="Q51" s="37">
        <f>IFERROR(VLOOKUP($F51,bug_conf_sheet!$A:$H,6,FALSE),VLOOKUP("other",bug_conf_sheet!$A:$H,6,FALSE))</f>
        <v>0</v>
      </c>
      <c r="R51" s="37">
        <f>IFERROR(VLOOKUP($F51,bug_conf_sheet!$A:$H,7,FALSE),VLOOKUP("other",bug_conf_sheet!$A:$H,7,FALSE))</f>
        <v>0</v>
      </c>
      <c r="S51" s="37">
        <f>IFERROR(VLOOKUP($F51,bug_conf_sheet!$A:$H,8,FALSE),VLOOKUP("other",bug_conf_sheet!$A:$H,8,FALSE))</f>
        <v>1</v>
      </c>
    </row>
    <row r="52" spans="1:19" ht="21" customHeight="1">
      <c r="A52" s="7" t="str">
        <f t="shared" si="1"/>
        <v>1941176</v>
      </c>
      <c r="B52" s="2" t="str">
        <f t="shared" si="2"/>
        <v>1941</v>
      </c>
      <c r="C52" s="8" t="str">
        <f t="shared" si="3"/>
        <v>1PremiumN4</v>
      </c>
      <c r="D52" s="8" t="str">
        <f t="shared" si="4"/>
        <v>1PremiumN4</v>
      </c>
      <c r="E52" s="10">
        <v>1</v>
      </c>
      <c r="F52" s="6">
        <v>176</v>
      </c>
      <c r="G52" s="8" t="str">
        <f>VLOOKUP(F52,[1]characters!$A:$C,3,FALSE)</f>
        <v>異教徒 バフォメット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attack</v>
      </c>
      <c r="L52" s="8" t="str">
        <f>VLOOKUP(F52,[1]characters!$A:$M,13,FALSE)</f>
        <v>god</v>
      </c>
      <c r="M52" s="16">
        <f>IFERROR(VLOOKUP(F52,gacha_conf!A$50:F$62,5+E52,FALSE),VLOOKUP(D52,gacha_conf!D$18:E$46,2,FALSE))</f>
        <v>1574</v>
      </c>
      <c r="N52" s="37">
        <f>IFERROR(VLOOKUP($F52,bug_conf_sheet!$A:$H,3,FALSE),VLOOKUP("other",bug_conf_sheet!$A:$H,3,FALSE))</f>
        <v>1</v>
      </c>
      <c r="O52" s="37">
        <f>IFERROR(VLOOKUP($F52,bug_conf_sheet!$A:$H,4,FALSE),VLOOKUP("other",bug_conf_sheet!$A:$H,4,FALSE))</f>
        <v>0</v>
      </c>
      <c r="P52" s="37">
        <f>IFERROR(VLOOKUP($F52,bug_conf_sheet!$A:$H,5,FALSE),VLOOKUP("other",bug_conf_sheet!$A:$H,5,FALSE))</f>
        <v>0</v>
      </c>
      <c r="Q52" s="37">
        <f>IFERROR(VLOOKUP($F52,bug_conf_sheet!$A:$H,6,FALSE),VLOOKUP("other",bug_conf_sheet!$A:$H,6,FALSE))</f>
        <v>0</v>
      </c>
      <c r="R52" s="37">
        <f>IFERROR(VLOOKUP($F52,bug_conf_sheet!$A:$H,7,FALSE),VLOOKUP("other",bug_conf_sheet!$A:$H,7,FALSE))</f>
        <v>0</v>
      </c>
      <c r="S52" s="37">
        <f>IFERROR(VLOOKUP($F52,bug_conf_sheet!$A:$H,8,FALSE),VLOOKUP("other",bug_conf_sheet!$A:$H,8,FALSE))</f>
        <v>1</v>
      </c>
    </row>
    <row r="53" spans="1:19" ht="21" customHeight="1">
      <c r="A53" s="7" t="str">
        <f t="shared" si="1"/>
        <v>1941177</v>
      </c>
      <c r="B53" s="2" t="str">
        <f t="shared" si="2"/>
        <v>1941</v>
      </c>
      <c r="C53" s="8" t="str">
        <f t="shared" si="3"/>
        <v>1PremiumN5</v>
      </c>
      <c r="D53" s="8" t="str">
        <f t="shared" si="4"/>
        <v>1PremiumN5</v>
      </c>
      <c r="E53" s="10">
        <v>1</v>
      </c>
      <c r="F53" s="6">
        <v>177</v>
      </c>
      <c r="G53" s="8" t="str">
        <f>VLOOKUP(F53,[1]characters!$A:$C,3,FALSE)</f>
        <v>黒魔の異端師 バフォメット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god</v>
      </c>
      <c r="M53" s="16">
        <f>IFERROR(VLOOKUP(F53,gacha_conf!A$50:F$62,5+E53,FALSE),VLOOKUP(D53,gacha_conf!D$18:E$46,2,FALSE))</f>
        <v>554</v>
      </c>
      <c r="N53" s="37">
        <f>IFERROR(VLOOKUP($F53,bug_conf_sheet!$A:$H,3,FALSE),VLOOKUP("other",bug_conf_sheet!$A:$H,3,FALSE))</f>
        <v>1</v>
      </c>
      <c r="O53" s="37">
        <f>IFERROR(VLOOKUP($F53,bug_conf_sheet!$A:$H,4,FALSE),VLOOKUP("other",bug_conf_sheet!$A:$H,4,FALSE))</f>
        <v>0</v>
      </c>
      <c r="P53" s="37">
        <f>IFERROR(VLOOKUP($F53,bug_conf_sheet!$A:$H,5,FALSE),VLOOKUP("other",bug_conf_sheet!$A:$H,5,FALSE))</f>
        <v>0</v>
      </c>
      <c r="Q53" s="37">
        <f>IFERROR(VLOOKUP($F53,bug_conf_sheet!$A:$H,6,FALSE),VLOOKUP("other",bug_conf_sheet!$A:$H,6,FALSE))</f>
        <v>0</v>
      </c>
      <c r="R53" s="37">
        <f>IFERROR(VLOOKUP($F53,bug_conf_sheet!$A:$H,7,FALSE),VLOOKUP("other",bug_conf_sheet!$A:$H,7,FALSE))</f>
        <v>0</v>
      </c>
      <c r="S53" s="37">
        <f>IFERROR(VLOOKUP($F53,bug_conf_sheet!$A:$H,8,FALSE),VLOOKUP("other",bug_conf_sheet!$A:$H,8,FALSE))</f>
        <v>1</v>
      </c>
    </row>
    <row r="54" spans="1:19" ht="21" customHeight="1">
      <c r="A54" s="7" t="str">
        <f t="shared" si="1"/>
        <v>1941178</v>
      </c>
      <c r="B54" s="2" t="str">
        <f t="shared" si="2"/>
        <v>1941</v>
      </c>
      <c r="C54" s="8" t="str">
        <f t="shared" si="3"/>
        <v>1PremiumN3</v>
      </c>
      <c r="D54" s="8" t="str">
        <f t="shared" si="4"/>
        <v>1PremiumN3</v>
      </c>
      <c r="E54" s="10">
        <v>1</v>
      </c>
      <c r="F54" s="6">
        <v>178</v>
      </c>
      <c r="G54" s="8" t="str">
        <f>VLOOKUP(F54,[1]characters!$A:$C,3,FALSE)</f>
        <v>ケルベロス</v>
      </c>
      <c r="H54" s="8" t="str">
        <f>VLOOKUP(F54,[1]characters!$A:$J,10,FALSE)</f>
        <v>PremiumN</v>
      </c>
      <c r="I54" s="8">
        <f>VLOOKUP(F54,[1]characters!$A:$I,9,FALSE)</f>
        <v>3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animal</v>
      </c>
      <c r="M54" s="16">
        <f>IFERROR(VLOOKUP(F54,gacha_conf!A$50:F$62,5+E54,FALSE),VLOOKUP(D54,gacha_conf!D$18:E$46,2,FALSE))</f>
        <v>6739</v>
      </c>
      <c r="N54" s="37">
        <f>IFERROR(VLOOKUP($F54,bug_conf_sheet!$A:$H,3,FALSE),VLOOKUP("other",bug_conf_sheet!$A:$H,3,FALSE))</f>
        <v>1</v>
      </c>
      <c r="O54" s="37">
        <f>IFERROR(VLOOKUP($F54,bug_conf_sheet!$A:$H,4,FALSE),VLOOKUP("other",bug_conf_sheet!$A:$H,4,FALSE))</f>
        <v>0</v>
      </c>
      <c r="P54" s="37">
        <f>IFERROR(VLOOKUP($F54,bug_conf_sheet!$A:$H,5,FALSE),VLOOKUP("other",bug_conf_sheet!$A:$H,5,FALSE))</f>
        <v>0</v>
      </c>
      <c r="Q54" s="37">
        <f>IFERROR(VLOOKUP($F54,bug_conf_sheet!$A:$H,6,FALSE),VLOOKUP("other",bug_conf_sheet!$A:$H,6,FALSE))</f>
        <v>0</v>
      </c>
      <c r="R54" s="37">
        <f>IFERROR(VLOOKUP($F54,bug_conf_sheet!$A:$H,7,FALSE),VLOOKUP("other",bug_conf_sheet!$A:$H,7,FALSE))</f>
        <v>0</v>
      </c>
      <c r="S54" s="37">
        <f>IFERROR(VLOOKUP($F54,bug_conf_sheet!$A:$H,8,FALSE),VLOOKUP("other",bug_conf_sheet!$A:$H,8,FALSE))</f>
        <v>1</v>
      </c>
    </row>
    <row r="55" spans="1:19" ht="21" customHeight="1">
      <c r="A55" s="7" t="str">
        <f t="shared" si="1"/>
        <v>1941179</v>
      </c>
      <c r="B55" s="2" t="str">
        <f t="shared" si="2"/>
        <v>1941</v>
      </c>
      <c r="C55" s="8" t="str">
        <f t="shared" si="3"/>
        <v>1PremiumN4</v>
      </c>
      <c r="D55" s="8" t="str">
        <f t="shared" si="4"/>
        <v>1PremiumN4</v>
      </c>
      <c r="E55" s="10">
        <v>1</v>
      </c>
      <c r="F55" s="6">
        <v>179</v>
      </c>
      <c r="G55" s="8" t="str">
        <f>VLOOKUP(F55,[1]characters!$A:$C,3,FALSE)</f>
        <v>番犬 ケルベロス</v>
      </c>
      <c r="H55" s="8" t="str">
        <f>VLOOKUP(F55,[1]characters!$A:$J,10,FALSE)</f>
        <v>PremiumN</v>
      </c>
      <c r="I55" s="8">
        <f>VLOOKUP(F55,[1]characters!$A:$I,9,FALSE)</f>
        <v>4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animal</v>
      </c>
      <c r="M55" s="16">
        <f>IFERROR(VLOOKUP(F55,gacha_conf!A$50:F$62,5+E55,FALSE),VLOOKUP(D55,gacha_conf!D$18:E$46,2,FALSE))</f>
        <v>1574</v>
      </c>
      <c r="N55" s="37">
        <f>IFERROR(VLOOKUP($F55,bug_conf_sheet!$A:$H,3,FALSE),VLOOKUP("other",bug_conf_sheet!$A:$H,3,FALSE))</f>
        <v>1</v>
      </c>
      <c r="O55" s="37">
        <f>IFERROR(VLOOKUP($F55,bug_conf_sheet!$A:$H,4,FALSE),VLOOKUP("other",bug_conf_sheet!$A:$H,4,FALSE))</f>
        <v>0</v>
      </c>
      <c r="P55" s="37">
        <f>IFERROR(VLOOKUP($F55,bug_conf_sheet!$A:$H,5,FALSE),VLOOKUP("other",bug_conf_sheet!$A:$H,5,FALSE))</f>
        <v>0</v>
      </c>
      <c r="Q55" s="37">
        <f>IFERROR(VLOOKUP($F55,bug_conf_sheet!$A:$H,6,FALSE),VLOOKUP("other",bug_conf_sheet!$A:$H,6,FALSE))</f>
        <v>0</v>
      </c>
      <c r="R55" s="37">
        <f>IFERROR(VLOOKUP($F55,bug_conf_sheet!$A:$H,7,FALSE),VLOOKUP("other",bug_conf_sheet!$A:$H,7,FALSE))</f>
        <v>0</v>
      </c>
      <c r="S55" s="37">
        <f>IFERROR(VLOOKUP($F55,bug_conf_sheet!$A:$H,8,FALSE),VLOOKUP("other",bug_conf_sheet!$A:$H,8,FALSE))</f>
        <v>1</v>
      </c>
    </row>
    <row r="56" spans="1:19" ht="21" customHeight="1">
      <c r="A56" s="7" t="str">
        <f t="shared" si="1"/>
        <v>1941180</v>
      </c>
      <c r="B56" s="2" t="str">
        <f t="shared" si="2"/>
        <v>1941</v>
      </c>
      <c r="C56" s="8" t="str">
        <f t="shared" si="3"/>
        <v>1PremiumN5</v>
      </c>
      <c r="D56" s="8" t="str">
        <f t="shared" si="4"/>
        <v>1PremiumN5</v>
      </c>
      <c r="E56" s="10">
        <v>1</v>
      </c>
      <c r="F56" s="6">
        <v>180</v>
      </c>
      <c r="G56" s="8" t="str">
        <f>VLOOKUP(F56,[1]characters!$A:$C,3,FALSE)</f>
        <v>地獄の大門番 ケルベロス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red</v>
      </c>
      <c r="K56" s="8" t="str">
        <f>VLOOKUP(F56,[1]characters!$A:$K,11,FALSE)</f>
        <v>balance</v>
      </c>
      <c r="L56" s="8" t="str">
        <f>VLOOKUP(F56,[1]characters!$A:$M,13,FALSE)</f>
        <v>animal</v>
      </c>
      <c r="M56" s="16">
        <f>IFERROR(VLOOKUP(F56,gacha_conf!A$50:F$62,5+E56,FALSE),VLOOKUP(D56,gacha_conf!D$18:E$46,2,FALSE))</f>
        <v>554</v>
      </c>
      <c r="N56" s="37">
        <f>IFERROR(VLOOKUP($F56,bug_conf_sheet!$A:$H,3,FALSE),VLOOKUP("other",bug_conf_sheet!$A:$H,3,FALSE))</f>
        <v>1</v>
      </c>
      <c r="O56" s="37">
        <f>IFERROR(VLOOKUP($F56,bug_conf_sheet!$A:$H,4,FALSE),VLOOKUP("other",bug_conf_sheet!$A:$H,4,FALSE))</f>
        <v>0</v>
      </c>
      <c r="P56" s="37">
        <f>IFERROR(VLOOKUP($F56,bug_conf_sheet!$A:$H,5,FALSE),VLOOKUP("other",bug_conf_sheet!$A:$H,5,FALSE))</f>
        <v>0</v>
      </c>
      <c r="Q56" s="37">
        <f>IFERROR(VLOOKUP($F56,bug_conf_sheet!$A:$H,6,FALSE),VLOOKUP("other",bug_conf_sheet!$A:$H,6,FALSE))</f>
        <v>0</v>
      </c>
      <c r="R56" s="37">
        <f>IFERROR(VLOOKUP($F56,bug_conf_sheet!$A:$H,7,FALSE),VLOOKUP("other",bug_conf_sheet!$A:$H,7,FALSE))</f>
        <v>0</v>
      </c>
      <c r="S56" s="37">
        <f>IFERROR(VLOOKUP($F56,bug_conf_sheet!$A:$H,8,FALSE),VLOOKUP("other",bug_conf_sheet!$A:$H,8,FALSE))</f>
        <v>1</v>
      </c>
    </row>
    <row r="57" spans="1:19" ht="21" customHeight="1">
      <c r="A57" s="7" t="str">
        <f t="shared" si="1"/>
        <v>1941181</v>
      </c>
      <c r="B57" s="2" t="str">
        <f t="shared" si="2"/>
        <v>1941</v>
      </c>
      <c r="C57" s="8" t="str">
        <f t="shared" si="3"/>
        <v>1PremiumN3</v>
      </c>
      <c r="D57" s="8" t="str">
        <f t="shared" si="4"/>
        <v>1PremiumN3</v>
      </c>
      <c r="E57" s="10">
        <v>1</v>
      </c>
      <c r="F57" s="6">
        <v>181</v>
      </c>
      <c r="G57" s="8" t="str">
        <f>VLOOKUP(F57,[1]characters!$A:$C,3,FALSE)</f>
        <v>ベヒモス</v>
      </c>
      <c r="H57" s="8" t="str">
        <f>VLOOKUP(F57,[1]characters!$A:$J,10,FALSE)</f>
        <v>PremiumN</v>
      </c>
      <c r="I57" s="8">
        <f>VLOOKUP(F57,[1]characters!$A:$I,9,FALSE)</f>
        <v>3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animal</v>
      </c>
      <c r="M57" s="16">
        <f>IFERROR(VLOOKUP(F57,gacha_conf!A$50:F$62,5+E57,FALSE),VLOOKUP(D57,gacha_conf!D$18:E$46,2,FALSE))</f>
        <v>6739</v>
      </c>
      <c r="N57" s="37">
        <f>IFERROR(VLOOKUP($F57,bug_conf_sheet!$A:$H,3,FALSE),VLOOKUP("other",bug_conf_sheet!$A:$H,3,FALSE))</f>
        <v>1</v>
      </c>
      <c r="O57" s="37">
        <f>IFERROR(VLOOKUP($F57,bug_conf_sheet!$A:$H,4,FALSE),VLOOKUP("other",bug_conf_sheet!$A:$H,4,FALSE))</f>
        <v>0</v>
      </c>
      <c r="P57" s="37">
        <f>IFERROR(VLOOKUP($F57,bug_conf_sheet!$A:$H,5,FALSE),VLOOKUP("other",bug_conf_sheet!$A:$H,5,FALSE))</f>
        <v>0</v>
      </c>
      <c r="Q57" s="37">
        <f>IFERROR(VLOOKUP($F57,bug_conf_sheet!$A:$H,6,FALSE),VLOOKUP("other",bug_conf_sheet!$A:$H,6,FALSE))</f>
        <v>0</v>
      </c>
      <c r="R57" s="37">
        <f>IFERROR(VLOOKUP($F57,bug_conf_sheet!$A:$H,7,FALSE),VLOOKUP("other",bug_conf_sheet!$A:$H,7,FALSE))</f>
        <v>0</v>
      </c>
      <c r="S57" s="37">
        <f>IFERROR(VLOOKUP($F57,bug_conf_sheet!$A:$H,8,FALSE),VLOOKUP("other",bug_conf_sheet!$A:$H,8,FALSE))</f>
        <v>1</v>
      </c>
    </row>
    <row r="58" spans="1:19" ht="21" customHeight="1">
      <c r="A58" s="7" t="str">
        <f t="shared" si="1"/>
        <v>1941182</v>
      </c>
      <c r="B58" s="2" t="str">
        <f t="shared" si="2"/>
        <v>1941</v>
      </c>
      <c r="C58" s="8" t="str">
        <f t="shared" si="3"/>
        <v>1PremiumN4</v>
      </c>
      <c r="D58" s="8" t="str">
        <f t="shared" si="4"/>
        <v>1PremiumN4</v>
      </c>
      <c r="E58" s="10">
        <v>1</v>
      </c>
      <c r="F58" s="6">
        <v>182</v>
      </c>
      <c r="G58" s="8" t="str">
        <f>VLOOKUP(F58,[1]characters!$A:$C,3,FALSE)</f>
        <v>放蕩者 ベヒモス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green</v>
      </c>
      <c r="K58" s="8" t="str">
        <f>VLOOKUP(F58,[1]characters!$A:$K,11,FALSE)</f>
        <v>hp</v>
      </c>
      <c r="L58" s="8" t="str">
        <f>VLOOKUP(F58,[1]characters!$A:$M,13,FALSE)</f>
        <v>animal</v>
      </c>
      <c r="M58" s="16">
        <f>IFERROR(VLOOKUP(F58,gacha_conf!A$50:F$62,5+E58,FALSE),VLOOKUP(D58,gacha_conf!D$18:E$46,2,FALSE))</f>
        <v>1574</v>
      </c>
      <c r="N58" s="37">
        <f>IFERROR(VLOOKUP($F58,bug_conf_sheet!$A:$H,3,FALSE),VLOOKUP("other",bug_conf_sheet!$A:$H,3,FALSE))</f>
        <v>1</v>
      </c>
      <c r="O58" s="37">
        <f>IFERROR(VLOOKUP($F58,bug_conf_sheet!$A:$H,4,FALSE),VLOOKUP("other",bug_conf_sheet!$A:$H,4,FALSE))</f>
        <v>0</v>
      </c>
      <c r="P58" s="37">
        <f>IFERROR(VLOOKUP($F58,bug_conf_sheet!$A:$H,5,FALSE),VLOOKUP("other",bug_conf_sheet!$A:$H,5,FALSE))</f>
        <v>0</v>
      </c>
      <c r="Q58" s="37">
        <f>IFERROR(VLOOKUP($F58,bug_conf_sheet!$A:$H,6,FALSE),VLOOKUP("other",bug_conf_sheet!$A:$H,6,FALSE))</f>
        <v>0</v>
      </c>
      <c r="R58" s="37">
        <f>IFERROR(VLOOKUP($F58,bug_conf_sheet!$A:$H,7,FALSE),VLOOKUP("other",bug_conf_sheet!$A:$H,7,FALSE))</f>
        <v>0</v>
      </c>
      <c r="S58" s="37">
        <f>IFERROR(VLOOKUP($F58,bug_conf_sheet!$A:$H,8,FALSE),VLOOKUP("other",bug_conf_sheet!$A:$H,8,FALSE))</f>
        <v>1</v>
      </c>
    </row>
    <row r="59" spans="1:19" ht="21" customHeight="1">
      <c r="A59" s="7" t="str">
        <f t="shared" si="1"/>
        <v>1941183</v>
      </c>
      <c r="B59" s="2" t="str">
        <f t="shared" si="2"/>
        <v>1941</v>
      </c>
      <c r="C59" s="8" t="str">
        <f t="shared" si="3"/>
        <v>1PremiumN5</v>
      </c>
      <c r="D59" s="8" t="str">
        <f t="shared" si="4"/>
        <v>1PremiumN5</v>
      </c>
      <c r="E59" s="10">
        <v>1</v>
      </c>
      <c r="F59" s="6">
        <v>183</v>
      </c>
      <c r="G59" s="8" t="str">
        <f>VLOOKUP(F59,[1]characters!$A:$C,3,FALSE)</f>
        <v>鈍重な彷徨者 ベヒモス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animal</v>
      </c>
      <c r="M59" s="16">
        <f>IFERROR(VLOOKUP(F59,gacha_conf!A$50:F$62,5+E59,FALSE),VLOOKUP(D59,gacha_conf!D$18:E$46,2,FALSE))</f>
        <v>554</v>
      </c>
      <c r="N59" s="37">
        <f>IFERROR(VLOOKUP($F59,bug_conf_sheet!$A:$H,3,FALSE),VLOOKUP("other",bug_conf_sheet!$A:$H,3,FALSE))</f>
        <v>1</v>
      </c>
      <c r="O59" s="37">
        <f>IFERROR(VLOOKUP($F59,bug_conf_sheet!$A:$H,4,FALSE),VLOOKUP("other",bug_conf_sheet!$A:$H,4,FALSE))</f>
        <v>0</v>
      </c>
      <c r="P59" s="37">
        <f>IFERROR(VLOOKUP($F59,bug_conf_sheet!$A:$H,5,FALSE),VLOOKUP("other",bug_conf_sheet!$A:$H,5,FALSE))</f>
        <v>0</v>
      </c>
      <c r="Q59" s="37">
        <f>IFERROR(VLOOKUP($F59,bug_conf_sheet!$A:$H,6,FALSE),VLOOKUP("other",bug_conf_sheet!$A:$H,6,FALSE))</f>
        <v>0</v>
      </c>
      <c r="R59" s="37">
        <f>IFERROR(VLOOKUP($F59,bug_conf_sheet!$A:$H,7,FALSE),VLOOKUP("other",bug_conf_sheet!$A:$H,7,FALSE))</f>
        <v>0</v>
      </c>
      <c r="S59" s="37">
        <f>IFERROR(VLOOKUP($F59,bug_conf_sheet!$A:$H,8,FALSE),VLOOKUP("other",bug_conf_sheet!$A:$H,8,FALSE))</f>
        <v>1</v>
      </c>
    </row>
    <row r="60" spans="1:19" ht="21" customHeight="1">
      <c r="A60" s="7" t="str">
        <f t="shared" si="1"/>
        <v>1941184</v>
      </c>
      <c r="B60" s="2" t="str">
        <f t="shared" si="2"/>
        <v>1941</v>
      </c>
      <c r="C60" s="8" t="str">
        <f t="shared" si="3"/>
        <v>1PremiumN3</v>
      </c>
      <c r="D60" s="8" t="str">
        <f t="shared" si="4"/>
        <v>1PremiumN3</v>
      </c>
      <c r="E60" s="10">
        <v>1</v>
      </c>
      <c r="F60" s="6">
        <v>184</v>
      </c>
      <c r="G60" s="8" t="str">
        <f>VLOOKUP(F60,[1]characters!$A:$C,3,FALSE)</f>
        <v>クラーケン</v>
      </c>
      <c r="H60" s="8" t="str">
        <f>VLOOKUP(F60,[1]characters!$A:$J,10,FALSE)</f>
        <v>PremiumN</v>
      </c>
      <c r="I60" s="8">
        <f>VLOOKUP(F60,[1]characters!$A:$I,9,FALSE)</f>
        <v>3</v>
      </c>
      <c r="J60" s="8" t="str">
        <f>VLOOKUP(F60,[1]characters!$A:$H,8,FALSE)</f>
        <v>blue</v>
      </c>
      <c r="K60" s="8" t="str">
        <f>VLOOKUP(F60,[1]characters!$A:$K,11,FALSE)</f>
        <v>heal</v>
      </c>
      <c r="L60" s="8" t="str">
        <f>VLOOKUP(F60,[1]characters!$A:$M,13,FALSE)</f>
        <v>animal</v>
      </c>
      <c r="M60" s="16">
        <f>IFERROR(VLOOKUP(F60,gacha_conf!A$50:F$62,5+E60,FALSE),VLOOKUP(D60,gacha_conf!D$18:E$46,2,FALSE))</f>
        <v>6739</v>
      </c>
      <c r="N60" s="37">
        <f>IFERROR(VLOOKUP($F60,bug_conf_sheet!$A:$H,3,FALSE),VLOOKUP("other",bug_conf_sheet!$A:$H,3,FALSE))</f>
        <v>1</v>
      </c>
      <c r="O60" s="37">
        <f>IFERROR(VLOOKUP($F60,bug_conf_sheet!$A:$H,4,FALSE),VLOOKUP("other",bug_conf_sheet!$A:$H,4,FALSE))</f>
        <v>0</v>
      </c>
      <c r="P60" s="37">
        <f>IFERROR(VLOOKUP($F60,bug_conf_sheet!$A:$H,5,FALSE),VLOOKUP("other",bug_conf_sheet!$A:$H,5,FALSE))</f>
        <v>0</v>
      </c>
      <c r="Q60" s="37">
        <f>IFERROR(VLOOKUP($F60,bug_conf_sheet!$A:$H,6,FALSE),VLOOKUP("other",bug_conf_sheet!$A:$H,6,FALSE))</f>
        <v>0</v>
      </c>
      <c r="R60" s="37">
        <f>IFERROR(VLOOKUP($F60,bug_conf_sheet!$A:$H,7,FALSE),VLOOKUP("other",bug_conf_sheet!$A:$H,7,FALSE))</f>
        <v>0</v>
      </c>
      <c r="S60" s="37">
        <f>IFERROR(VLOOKUP($F60,bug_conf_sheet!$A:$H,8,FALSE),VLOOKUP("other",bug_conf_sheet!$A:$H,8,FALSE))</f>
        <v>1</v>
      </c>
    </row>
    <row r="61" spans="1:19" ht="21" customHeight="1">
      <c r="A61" s="7" t="str">
        <f t="shared" si="1"/>
        <v>1941185</v>
      </c>
      <c r="B61" s="2" t="str">
        <f t="shared" si="2"/>
        <v>1941</v>
      </c>
      <c r="C61" s="8" t="str">
        <f t="shared" si="3"/>
        <v>1PremiumN4</v>
      </c>
      <c r="D61" s="8" t="str">
        <f t="shared" si="4"/>
        <v>1PremiumN4</v>
      </c>
      <c r="E61" s="10">
        <v>1</v>
      </c>
      <c r="F61" s="6">
        <v>185</v>
      </c>
      <c r="G61" s="8" t="str">
        <f>VLOOKUP(F61,[1]characters!$A:$C,3,FALSE)</f>
        <v>海姫 クラーケン</v>
      </c>
      <c r="H61" s="8" t="str">
        <f>VLOOKUP(F61,[1]characters!$A:$J,10,FALSE)</f>
        <v>PremiumN</v>
      </c>
      <c r="I61" s="8">
        <f>VLOOKUP(F61,[1]characters!$A:$I,9,FALSE)</f>
        <v>4</v>
      </c>
      <c r="J61" s="8" t="str">
        <f>VLOOKUP(F61,[1]characters!$A:$H,8,FALSE)</f>
        <v>blue</v>
      </c>
      <c r="K61" s="8" t="str">
        <f>VLOOKUP(F61,[1]characters!$A:$K,11,FALSE)</f>
        <v>heal</v>
      </c>
      <c r="L61" s="8" t="str">
        <f>VLOOKUP(F61,[1]characters!$A:$M,13,FALSE)</f>
        <v>animal</v>
      </c>
      <c r="M61" s="16">
        <f>IFERROR(VLOOKUP(F61,gacha_conf!A$50:F$62,5+E61,FALSE),VLOOKUP(D61,gacha_conf!D$18:E$46,2,FALSE))</f>
        <v>1574</v>
      </c>
      <c r="N61" s="37">
        <f>IFERROR(VLOOKUP($F61,bug_conf_sheet!$A:$H,3,FALSE),VLOOKUP("other",bug_conf_sheet!$A:$H,3,FALSE))</f>
        <v>1</v>
      </c>
      <c r="O61" s="37">
        <f>IFERROR(VLOOKUP($F61,bug_conf_sheet!$A:$H,4,FALSE),VLOOKUP("other",bug_conf_sheet!$A:$H,4,FALSE))</f>
        <v>0</v>
      </c>
      <c r="P61" s="37">
        <f>IFERROR(VLOOKUP($F61,bug_conf_sheet!$A:$H,5,FALSE),VLOOKUP("other",bug_conf_sheet!$A:$H,5,FALSE))</f>
        <v>0</v>
      </c>
      <c r="Q61" s="37">
        <f>IFERROR(VLOOKUP($F61,bug_conf_sheet!$A:$H,6,FALSE),VLOOKUP("other",bug_conf_sheet!$A:$H,6,FALSE))</f>
        <v>0</v>
      </c>
      <c r="R61" s="37">
        <f>IFERROR(VLOOKUP($F61,bug_conf_sheet!$A:$H,7,FALSE),VLOOKUP("other",bug_conf_sheet!$A:$H,7,FALSE))</f>
        <v>0</v>
      </c>
      <c r="S61" s="37">
        <f>IFERROR(VLOOKUP($F61,bug_conf_sheet!$A:$H,8,FALSE),VLOOKUP("other",bug_conf_sheet!$A:$H,8,FALSE))</f>
        <v>1</v>
      </c>
    </row>
    <row r="62" spans="1:19" ht="21" customHeight="1">
      <c r="A62" s="7" t="str">
        <f t="shared" si="1"/>
        <v>1941186</v>
      </c>
      <c r="B62" s="2" t="str">
        <f t="shared" si="2"/>
        <v>1941</v>
      </c>
      <c r="C62" s="8" t="str">
        <f t="shared" si="3"/>
        <v>1PremiumN5</v>
      </c>
      <c r="D62" s="8" t="str">
        <f t="shared" si="4"/>
        <v>1PremiumN5</v>
      </c>
      <c r="E62" s="10">
        <v>1</v>
      </c>
      <c r="F62" s="9">
        <v>186</v>
      </c>
      <c r="G62" s="8" t="str">
        <f>VLOOKUP(F62,[1]characters!$A:$C,3,FALSE)</f>
        <v>誇り高き多触姫・クラーケン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blue</v>
      </c>
      <c r="K62" s="8" t="str">
        <f>VLOOKUP(F62,[1]characters!$A:$K,11,FALSE)</f>
        <v>heal</v>
      </c>
      <c r="L62" s="8" t="str">
        <f>VLOOKUP(F62,[1]characters!$A:$M,13,FALSE)</f>
        <v>animal</v>
      </c>
      <c r="M62" s="16">
        <f>IFERROR(VLOOKUP(F62,gacha_conf!A$50:F$62,5+E62,FALSE),VLOOKUP(D62,gacha_conf!D$18:E$46,2,FALSE))</f>
        <v>554</v>
      </c>
      <c r="N62" s="37">
        <f>IFERROR(VLOOKUP($F62,bug_conf_sheet!$A:$H,3,FALSE),VLOOKUP("other",bug_conf_sheet!$A:$H,3,FALSE))</f>
        <v>1</v>
      </c>
      <c r="O62" s="37">
        <f>IFERROR(VLOOKUP($F62,bug_conf_sheet!$A:$H,4,FALSE),VLOOKUP("other",bug_conf_sheet!$A:$H,4,FALSE))</f>
        <v>0</v>
      </c>
      <c r="P62" s="37">
        <f>IFERROR(VLOOKUP($F62,bug_conf_sheet!$A:$H,5,FALSE),VLOOKUP("other",bug_conf_sheet!$A:$H,5,FALSE))</f>
        <v>0</v>
      </c>
      <c r="Q62" s="37">
        <f>IFERROR(VLOOKUP($F62,bug_conf_sheet!$A:$H,6,FALSE),VLOOKUP("other",bug_conf_sheet!$A:$H,6,FALSE))</f>
        <v>0</v>
      </c>
      <c r="R62" s="37">
        <f>IFERROR(VLOOKUP($F62,bug_conf_sheet!$A:$H,7,FALSE),VLOOKUP("other",bug_conf_sheet!$A:$H,7,FALSE))</f>
        <v>0</v>
      </c>
      <c r="S62" s="37">
        <f>IFERROR(VLOOKUP($F62,bug_conf_sheet!$A:$H,8,FALSE),VLOOKUP("other",bug_conf_sheet!$A:$H,8,FALSE))</f>
        <v>1</v>
      </c>
    </row>
    <row r="63" spans="1:19" ht="21" customHeight="1">
      <c r="A63" s="7" t="str">
        <f t="shared" si="1"/>
        <v>1941187</v>
      </c>
      <c r="B63" s="2" t="str">
        <f t="shared" si="2"/>
        <v>1941</v>
      </c>
      <c r="C63" s="8" t="str">
        <f t="shared" si="3"/>
        <v>1PremiumN3</v>
      </c>
      <c r="D63" s="8" t="str">
        <f t="shared" si="4"/>
        <v>1PremiumN3</v>
      </c>
      <c r="E63" s="10">
        <v>1</v>
      </c>
      <c r="F63" s="9">
        <v>187</v>
      </c>
      <c r="G63" s="8" t="str">
        <f>VLOOKUP(F63,[1]characters!$A:$C,3,FALSE)</f>
        <v>ホルス</v>
      </c>
      <c r="H63" s="8" t="str">
        <f>VLOOKUP(F63,[1]characters!$A:$J,10,FALSE)</f>
        <v>PremiumN</v>
      </c>
      <c r="I63" s="8">
        <f>VLOOKUP(F63,[1]characters!$A:$I,9,FALSE)</f>
        <v>3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animal</v>
      </c>
      <c r="M63" s="16">
        <f>IFERROR(VLOOKUP(F63,gacha_conf!A$50:F$62,5+E63,FALSE),VLOOKUP(D63,gacha_conf!D$18:E$46,2,FALSE))</f>
        <v>6739</v>
      </c>
      <c r="N63" s="37">
        <f>IFERROR(VLOOKUP($F63,bug_conf_sheet!$A:$H,3,FALSE),VLOOKUP("other",bug_conf_sheet!$A:$H,3,FALSE))</f>
        <v>1</v>
      </c>
      <c r="O63" s="37">
        <f>IFERROR(VLOOKUP($F63,bug_conf_sheet!$A:$H,4,FALSE),VLOOKUP("other",bug_conf_sheet!$A:$H,4,FALSE))</f>
        <v>0</v>
      </c>
      <c r="P63" s="37">
        <f>IFERROR(VLOOKUP($F63,bug_conf_sheet!$A:$H,5,FALSE),VLOOKUP("other",bug_conf_sheet!$A:$H,5,FALSE))</f>
        <v>0</v>
      </c>
      <c r="Q63" s="37">
        <f>IFERROR(VLOOKUP($F63,bug_conf_sheet!$A:$H,6,FALSE),VLOOKUP("other",bug_conf_sheet!$A:$H,6,FALSE))</f>
        <v>0</v>
      </c>
      <c r="R63" s="37">
        <f>IFERROR(VLOOKUP($F63,bug_conf_sheet!$A:$H,7,FALSE),VLOOKUP("other",bug_conf_sheet!$A:$H,7,FALSE))</f>
        <v>0</v>
      </c>
      <c r="S63" s="37">
        <f>IFERROR(VLOOKUP($F63,bug_conf_sheet!$A:$H,8,FALSE),VLOOKUP("other",bug_conf_sheet!$A:$H,8,FALSE))</f>
        <v>1</v>
      </c>
    </row>
    <row r="64" spans="1:19" ht="21" customHeight="1">
      <c r="A64" s="7" t="str">
        <f t="shared" si="1"/>
        <v>1941188</v>
      </c>
      <c r="B64" s="2" t="str">
        <f t="shared" si="2"/>
        <v>1941</v>
      </c>
      <c r="C64" s="8" t="str">
        <f t="shared" si="3"/>
        <v>1PremiumN4</v>
      </c>
      <c r="D64" s="8" t="str">
        <f t="shared" si="4"/>
        <v>1PremiumN4</v>
      </c>
      <c r="E64" s="10">
        <v>1</v>
      </c>
      <c r="F64" s="9">
        <v>188</v>
      </c>
      <c r="G64" s="8" t="str">
        <f>VLOOKUP(F64,[1]characters!$A:$C,3,FALSE)</f>
        <v>猛禽 ホルス</v>
      </c>
      <c r="H64" s="8" t="str">
        <f>VLOOKUP(F64,[1]characters!$A:$J,10,FALSE)</f>
        <v>PremiumN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animal</v>
      </c>
      <c r="M64" s="16">
        <f>IFERROR(VLOOKUP(F64,gacha_conf!A$50:F$62,5+E64,FALSE),VLOOKUP(D64,gacha_conf!D$18:E$46,2,FALSE))</f>
        <v>1574</v>
      </c>
      <c r="N64" s="37">
        <f>IFERROR(VLOOKUP($F64,bug_conf_sheet!$A:$H,3,FALSE),VLOOKUP("other",bug_conf_sheet!$A:$H,3,FALSE))</f>
        <v>1</v>
      </c>
      <c r="O64" s="37">
        <f>IFERROR(VLOOKUP($F64,bug_conf_sheet!$A:$H,4,FALSE),VLOOKUP("other",bug_conf_sheet!$A:$H,4,FALSE))</f>
        <v>0</v>
      </c>
      <c r="P64" s="37">
        <f>IFERROR(VLOOKUP($F64,bug_conf_sheet!$A:$H,5,FALSE),VLOOKUP("other",bug_conf_sheet!$A:$H,5,FALSE))</f>
        <v>0</v>
      </c>
      <c r="Q64" s="37">
        <f>IFERROR(VLOOKUP($F64,bug_conf_sheet!$A:$H,6,FALSE),VLOOKUP("other",bug_conf_sheet!$A:$H,6,FALSE))</f>
        <v>0</v>
      </c>
      <c r="R64" s="37">
        <f>IFERROR(VLOOKUP($F64,bug_conf_sheet!$A:$H,7,FALSE),VLOOKUP("other",bug_conf_sheet!$A:$H,7,FALSE))</f>
        <v>0</v>
      </c>
      <c r="S64" s="37">
        <f>IFERROR(VLOOKUP($F64,bug_conf_sheet!$A:$H,8,FALSE),VLOOKUP("other",bug_conf_sheet!$A:$H,8,FALSE))</f>
        <v>1</v>
      </c>
    </row>
    <row r="65" spans="1:19" ht="21" customHeight="1">
      <c r="A65" s="7" t="str">
        <f t="shared" si="1"/>
        <v>1941189</v>
      </c>
      <c r="B65" s="2" t="str">
        <f t="shared" si="2"/>
        <v>1941</v>
      </c>
      <c r="C65" s="8" t="str">
        <f t="shared" si="3"/>
        <v>1PremiumN5</v>
      </c>
      <c r="D65" s="8" t="str">
        <f t="shared" si="4"/>
        <v>1PremiumN5</v>
      </c>
      <c r="E65" s="10">
        <v>1</v>
      </c>
      <c r="F65" s="9">
        <v>189</v>
      </c>
      <c r="G65" s="8" t="str">
        <f>VLOOKUP(F65,[1]characters!$A:$C,3,FALSE)</f>
        <v>迅雷の王禽 ホルス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animal</v>
      </c>
      <c r="M65" s="16">
        <f>IFERROR(VLOOKUP(F65,gacha_conf!A$50:F$62,5+E65,FALSE),VLOOKUP(D65,gacha_conf!D$18:E$46,2,FALSE))</f>
        <v>554</v>
      </c>
      <c r="N65" s="37">
        <f>IFERROR(VLOOKUP($F65,bug_conf_sheet!$A:$H,3,FALSE),VLOOKUP("other",bug_conf_sheet!$A:$H,3,FALSE))</f>
        <v>1</v>
      </c>
      <c r="O65" s="37">
        <f>IFERROR(VLOOKUP($F65,bug_conf_sheet!$A:$H,4,FALSE),VLOOKUP("other",bug_conf_sheet!$A:$H,4,FALSE))</f>
        <v>0</v>
      </c>
      <c r="P65" s="37">
        <f>IFERROR(VLOOKUP($F65,bug_conf_sheet!$A:$H,5,FALSE),VLOOKUP("other",bug_conf_sheet!$A:$H,5,FALSE))</f>
        <v>0</v>
      </c>
      <c r="Q65" s="37">
        <f>IFERROR(VLOOKUP($F65,bug_conf_sheet!$A:$H,6,FALSE),VLOOKUP("other",bug_conf_sheet!$A:$H,6,FALSE))</f>
        <v>0</v>
      </c>
      <c r="R65" s="37">
        <f>IFERROR(VLOOKUP($F65,bug_conf_sheet!$A:$H,7,FALSE),VLOOKUP("other",bug_conf_sheet!$A:$H,7,FALSE))</f>
        <v>0</v>
      </c>
      <c r="S65" s="37">
        <f>IFERROR(VLOOKUP($F65,bug_conf_sheet!$A:$H,8,FALSE),VLOOKUP("other",bug_conf_sheet!$A:$H,8,FALSE))</f>
        <v>1</v>
      </c>
    </row>
    <row r="66" spans="1:19" s="11" customFormat="1" ht="21" customHeight="1" thickBot="1">
      <c r="A66" s="7" t="str">
        <f t="shared" si="1"/>
        <v>1941190</v>
      </c>
      <c r="B66" s="2" t="str">
        <f t="shared" si="2"/>
        <v>1941</v>
      </c>
      <c r="C66" s="8" t="str">
        <f t="shared" si="3"/>
        <v>1PremiumN3</v>
      </c>
      <c r="D66" s="8" t="str">
        <f t="shared" si="4"/>
        <v>1PremiumN3</v>
      </c>
      <c r="E66" s="10">
        <v>1</v>
      </c>
      <c r="F66" s="6">
        <v>190</v>
      </c>
      <c r="G66" s="8" t="str">
        <f>VLOOKUP(F66,[1]characters!$A:$C,3,FALSE)</f>
        <v>卑弥呼</v>
      </c>
      <c r="H66" s="8" t="str">
        <f>VLOOKUP(F66,[1]characters!$A:$J,10,FALSE)</f>
        <v>PremiumN</v>
      </c>
      <c r="I66" s="8">
        <f>VLOOKUP(F66,[1]characters!$A:$I,9,FALSE)</f>
        <v>3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human</v>
      </c>
      <c r="M66" s="16">
        <f>IFERROR(VLOOKUP(F66,gacha_conf!A$50:F$62,5+E66,FALSE),VLOOKUP(D66,gacha_conf!D$18:E$46,2,FALSE))</f>
        <v>6739</v>
      </c>
      <c r="N66" s="37">
        <f>IFERROR(VLOOKUP($F66,bug_conf_sheet!$A:$H,3,FALSE),VLOOKUP("other",bug_conf_sheet!$A:$H,3,FALSE))</f>
        <v>1</v>
      </c>
      <c r="O66" s="37">
        <f>IFERROR(VLOOKUP($F66,bug_conf_sheet!$A:$H,4,FALSE),VLOOKUP("other",bug_conf_sheet!$A:$H,4,FALSE))</f>
        <v>0</v>
      </c>
      <c r="P66" s="37">
        <f>IFERROR(VLOOKUP($F66,bug_conf_sheet!$A:$H,5,FALSE),VLOOKUP("other",bug_conf_sheet!$A:$H,5,FALSE))</f>
        <v>0</v>
      </c>
      <c r="Q66" s="37">
        <f>IFERROR(VLOOKUP($F66,bug_conf_sheet!$A:$H,6,FALSE),VLOOKUP("other",bug_conf_sheet!$A:$H,6,FALSE))</f>
        <v>0</v>
      </c>
      <c r="R66" s="37">
        <f>IFERROR(VLOOKUP($F66,bug_conf_sheet!$A:$H,7,FALSE),VLOOKUP("other",bug_conf_sheet!$A:$H,7,FALSE))</f>
        <v>0</v>
      </c>
      <c r="S66" s="37">
        <f>IFERROR(VLOOKUP($F66,bug_conf_sheet!$A:$H,8,FALSE),VLOOKUP("other",bug_conf_sheet!$A:$H,8,FALSE))</f>
        <v>1</v>
      </c>
    </row>
    <row r="67" spans="1:19" ht="21" customHeight="1">
      <c r="A67" s="7" t="str">
        <f t="shared" ref="A67:A130" si="5">B67&amp;F67</f>
        <v>1941191</v>
      </c>
      <c r="B67" s="2" t="str">
        <f t="shared" ref="B67:B130" si="6">194&amp;E67</f>
        <v>1941</v>
      </c>
      <c r="C67" s="8" t="str">
        <f t="shared" ref="C67:C130" si="7">E67&amp;H67&amp;I67</f>
        <v>1PremiumN4</v>
      </c>
      <c r="D67" s="8" t="str">
        <f t="shared" ref="D67:D130" si="8">E67&amp;H67&amp;I67</f>
        <v>1PremiumN4</v>
      </c>
      <c r="E67" s="10">
        <v>1</v>
      </c>
      <c r="F67" s="6">
        <v>191</v>
      </c>
      <c r="G67" s="8" t="str">
        <f>VLOOKUP(F67,[1]characters!$A:$C,3,FALSE)</f>
        <v>始祖 卑弥呼</v>
      </c>
      <c r="H67" s="8" t="str">
        <f>VLOOKUP(F67,[1]characters!$A:$J,10,FALSE)</f>
        <v>PremiumN</v>
      </c>
      <c r="I67" s="8">
        <f>VLOOKUP(F67,[1]characters!$A:$I,9,FALSE)</f>
        <v>4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human</v>
      </c>
      <c r="M67" s="16">
        <f>IFERROR(VLOOKUP(F67,gacha_conf!A$50:F$62,5+E67,FALSE),VLOOKUP(D67,gacha_conf!D$18:E$46,2,FALSE))</f>
        <v>1574</v>
      </c>
      <c r="N67" s="37">
        <f>IFERROR(VLOOKUP($F67,bug_conf_sheet!$A:$H,3,FALSE),VLOOKUP("other",bug_conf_sheet!$A:$H,3,FALSE))</f>
        <v>1</v>
      </c>
      <c r="O67" s="37">
        <f>IFERROR(VLOOKUP($F67,bug_conf_sheet!$A:$H,4,FALSE),VLOOKUP("other",bug_conf_sheet!$A:$H,4,FALSE))</f>
        <v>0</v>
      </c>
      <c r="P67" s="37">
        <f>IFERROR(VLOOKUP($F67,bug_conf_sheet!$A:$H,5,FALSE),VLOOKUP("other",bug_conf_sheet!$A:$H,5,FALSE))</f>
        <v>0</v>
      </c>
      <c r="Q67" s="37">
        <f>IFERROR(VLOOKUP($F67,bug_conf_sheet!$A:$H,6,FALSE),VLOOKUP("other",bug_conf_sheet!$A:$H,6,FALSE))</f>
        <v>0</v>
      </c>
      <c r="R67" s="37">
        <f>IFERROR(VLOOKUP($F67,bug_conf_sheet!$A:$H,7,FALSE),VLOOKUP("other",bug_conf_sheet!$A:$H,7,FALSE))</f>
        <v>0</v>
      </c>
      <c r="S67" s="37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1941192</v>
      </c>
      <c r="B68" s="2" t="str">
        <f t="shared" si="6"/>
        <v>1941</v>
      </c>
      <c r="C68" s="8" t="str">
        <f t="shared" si="7"/>
        <v>1PremiumN5</v>
      </c>
      <c r="D68" s="8" t="str">
        <f t="shared" si="8"/>
        <v>1PremiumN5</v>
      </c>
      <c r="E68" s="10">
        <v>1</v>
      </c>
      <c r="F68" s="6">
        <v>192</v>
      </c>
      <c r="G68" s="8" t="str">
        <f>VLOOKUP(F68,[1]characters!$A:$C,3,FALSE)</f>
        <v>荘厳なる始祖帝 卑弥呼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red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16">
        <f>IFERROR(VLOOKUP(F68,gacha_conf!A$50:F$62,5+E68,FALSE),VLOOKUP(D68,gacha_conf!D$18:E$46,2,FALSE))</f>
        <v>554</v>
      </c>
      <c r="N68" s="37">
        <f>IFERROR(VLOOKUP($F68,bug_conf_sheet!$A:$H,3,FALSE),VLOOKUP("other",bug_conf_sheet!$A:$H,3,FALSE))</f>
        <v>1</v>
      </c>
      <c r="O68" s="37">
        <f>IFERROR(VLOOKUP($F68,bug_conf_sheet!$A:$H,4,FALSE),VLOOKUP("other",bug_conf_sheet!$A:$H,4,FALSE))</f>
        <v>0</v>
      </c>
      <c r="P68" s="37">
        <f>IFERROR(VLOOKUP($F68,bug_conf_sheet!$A:$H,5,FALSE),VLOOKUP("other",bug_conf_sheet!$A:$H,5,FALSE))</f>
        <v>0</v>
      </c>
      <c r="Q68" s="37">
        <f>IFERROR(VLOOKUP($F68,bug_conf_sheet!$A:$H,6,FALSE),VLOOKUP("other",bug_conf_sheet!$A:$H,6,FALSE))</f>
        <v>0</v>
      </c>
      <c r="R68" s="37">
        <f>IFERROR(VLOOKUP($F68,bug_conf_sheet!$A:$H,7,FALSE),VLOOKUP("other",bug_conf_sheet!$A:$H,7,FALSE))</f>
        <v>0</v>
      </c>
      <c r="S68" s="37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1941193</v>
      </c>
      <c r="B69" s="2" t="str">
        <f t="shared" si="6"/>
        <v>1941</v>
      </c>
      <c r="C69" s="8" t="str">
        <f t="shared" si="7"/>
        <v>1PremiumN3</v>
      </c>
      <c r="D69" s="8" t="str">
        <f t="shared" si="8"/>
        <v>1PremiumN3</v>
      </c>
      <c r="E69" s="10">
        <v>1</v>
      </c>
      <c r="F69" s="6">
        <v>193</v>
      </c>
      <c r="G69" s="8" t="str">
        <f>VLOOKUP(F69,[1]characters!$A:$C,3,FALSE)</f>
        <v>ロビンフッド</v>
      </c>
      <c r="H69" s="8" t="str">
        <f>VLOOKUP(F69,[1]characters!$A:$J,10,FALSE)</f>
        <v>PremiumN</v>
      </c>
      <c r="I69" s="8">
        <f>VLOOKUP(F69,[1]characters!$A:$I,9,FALSE)</f>
        <v>3</v>
      </c>
      <c r="J69" s="8" t="str">
        <f>VLOOKUP(F69,[1]characters!$A:$H,8,FALSE)</f>
        <v>green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16">
        <f>IFERROR(VLOOKUP(F69,gacha_conf!A$50:F$62,5+E69,FALSE),VLOOKUP(D69,gacha_conf!D$18:E$46,2,FALSE))</f>
        <v>6739</v>
      </c>
      <c r="N69" s="37">
        <f>IFERROR(VLOOKUP($F69,bug_conf_sheet!$A:$H,3,FALSE),VLOOKUP("other",bug_conf_sheet!$A:$H,3,FALSE))</f>
        <v>1</v>
      </c>
      <c r="O69" s="37">
        <f>IFERROR(VLOOKUP($F69,bug_conf_sheet!$A:$H,4,FALSE),VLOOKUP("other",bug_conf_sheet!$A:$H,4,FALSE))</f>
        <v>0</v>
      </c>
      <c r="P69" s="37">
        <f>IFERROR(VLOOKUP($F69,bug_conf_sheet!$A:$H,5,FALSE),VLOOKUP("other",bug_conf_sheet!$A:$H,5,FALSE))</f>
        <v>0</v>
      </c>
      <c r="Q69" s="37">
        <f>IFERROR(VLOOKUP($F69,bug_conf_sheet!$A:$H,6,FALSE),VLOOKUP("other",bug_conf_sheet!$A:$H,6,FALSE))</f>
        <v>0</v>
      </c>
      <c r="R69" s="37">
        <f>IFERROR(VLOOKUP($F69,bug_conf_sheet!$A:$H,7,FALSE),VLOOKUP("other",bug_conf_sheet!$A:$H,7,FALSE))</f>
        <v>0</v>
      </c>
      <c r="S69" s="37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1941194</v>
      </c>
      <c r="B70" s="2" t="str">
        <f t="shared" si="6"/>
        <v>1941</v>
      </c>
      <c r="C70" s="8" t="str">
        <f t="shared" si="7"/>
        <v>1PremiumN4</v>
      </c>
      <c r="D70" s="8" t="str">
        <f t="shared" si="8"/>
        <v>1PremiumN4</v>
      </c>
      <c r="E70" s="10">
        <v>1</v>
      </c>
      <c r="F70" s="12">
        <v>194</v>
      </c>
      <c r="G70" s="8" t="str">
        <f>VLOOKUP(F70,[1]characters!$A:$C,3,FALSE)</f>
        <v>スナイパー ロビンフッド</v>
      </c>
      <c r="H70" s="8" t="str">
        <f>VLOOKUP(F70,[1]characters!$A:$J,10,FALSE)</f>
        <v>PremiumN</v>
      </c>
      <c r="I70" s="8">
        <f>VLOOKUP(F70,[1]characters!$A:$I,9,FALSE)</f>
        <v>4</v>
      </c>
      <c r="J70" s="8" t="str">
        <f>VLOOKUP(F70,[1]characters!$A:$H,8,FALSE)</f>
        <v>green</v>
      </c>
      <c r="K70" s="8" t="str">
        <f>VLOOKUP(F70,[1]characters!$A:$K,11,FALSE)</f>
        <v>balance</v>
      </c>
      <c r="L70" s="8" t="str">
        <f>VLOOKUP(F70,[1]characters!$A:$M,13,FALSE)</f>
        <v>human</v>
      </c>
      <c r="M70" s="16">
        <f>IFERROR(VLOOKUP(F70,gacha_conf!A$50:F$62,5+E70,FALSE),VLOOKUP(D70,gacha_conf!D$18:E$46,2,FALSE))</f>
        <v>1574</v>
      </c>
      <c r="N70" s="37">
        <f>IFERROR(VLOOKUP($F70,bug_conf_sheet!$A:$H,3,FALSE),VLOOKUP("other",bug_conf_sheet!$A:$H,3,FALSE))</f>
        <v>1</v>
      </c>
      <c r="O70" s="37">
        <f>IFERROR(VLOOKUP($F70,bug_conf_sheet!$A:$H,4,FALSE),VLOOKUP("other",bug_conf_sheet!$A:$H,4,FALSE))</f>
        <v>0</v>
      </c>
      <c r="P70" s="37">
        <f>IFERROR(VLOOKUP($F70,bug_conf_sheet!$A:$H,5,FALSE),VLOOKUP("other",bug_conf_sheet!$A:$H,5,FALSE))</f>
        <v>0</v>
      </c>
      <c r="Q70" s="37">
        <f>IFERROR(VLOOKUP($F70,bug_conf_sheet!$A:$H,6,FALSE),VLOOKUP("other",bug_conf_sheet!$A:$H,6,FALSE))</f>
        <v>0</v>
      </c>
      <c r="R70" s="37">
        <f>IFERROR(VLOOKUP($F70,bug_conf_sheet!$A:$H,7,FALSE),VLOOKUP("other",bug_conf_sheet!$A:$H,7,FALSE))</f>
        <v>0</v>
      </c>
      <c r="S70" s="37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1941195</v>
      </c>
      <c r="B71" s="2" t="str">
        <f t="shared" si="6"/>
        <v>1941</v>
      </c>
      <c r="C71" s="8" t="str">
        <f t="shared" si="7"/>
        <v>1PremiumN5</v>
      </c>
      <c r="D71" s="8" t="str">
        <f t="shared" si="8"/>
        <v>1PremiumN5</v>
      </c>
      <c r="E71" s="10">
        <v>1</v>
      </c>
      <c r="F71" s="6">
        <v>195</v>
      </c>
      <c r="G71" s="8" t="str">
        <f>VLOOKUP(F71,[1]characters!$A:$C,3,FALSE)</f>
        <v>グランドハンター ロビンフッド</v>
      </c>
      <c r="H71" s="8" t="str">
        <f>VLOOKUP(F71,[1]characters!$A:$J,10,FALSE)</f>
        <v>PremiumN</v>
      </c>
      <c r="I71" s="8">
        <f>VLOOKUP(F71,[1]characters!$A:$I,9,FALSE)</f>
        <v>5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16">
        <f>IFERROR(VLOOKUP(F71,gacha_conf!A$50:F$62,5+E71,FALSE),VLOOKUP(D71,gacha_conf!D$18:E$46,2,FALSE))</f>
        <v>554</v>
      </c>
      <c r="N71" s="37">
        <f>IFERROR(VLOOKUP($F71,bug_conf_sheet!$A:$H,3,FALSE),VLOOKUP("other",bug_conf_sheet!$A:$H,3,FALSE))</f>
        <v>1</v>
      </c>
      <c r="O71" s="37">
        <f>IFERROR(VLOOKUP($F71,bug_conf_sheet!$A:$H,4,FALSE),VLOOKUP("other",bug_conf_sheet!$A:$H,4,FALSE))</f>
        <v>0</v>
      </c>
      <c r="P71" s="37">
        <f>IFERROR(VLOOKUP($F71,bug_conf_sheet!$A:$H,5,FALSE),VLOOKUP("other",bug_conf_sheet!$A:$H,5,FALSE))</f>
        <v>0</v>
      </c>
      <c r="Q71" s="37">
        <f>IFERROR(VLOOKUP($F71,bug_conf_sheet!$A:$H,6,FALSE),VLOOKUP("other",bug_conf_sheet!$A:$H,6,FALSE))</f>
        <v>0</v>
      </c>
      <c r="R71" s="37">
        <f>IFERROR(VLOOKUP($F71,bug_conf_sheet!$A:$H,7,FALSE),VLOOKUP("other",bug_conf_sheet!$A:$H,7,FALSE))</f>
        <v>0</v>
      </c>
      <c r="S71" s="37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1941196</v>
      </c>
      <c r="B72" s="2" t="str">
        <f t="shared" si="6"/>
        <v>1941</v>
      </c>
      <c r="C72" s="8" t="str">
        <f t="shared" si="7"/>
        <v>1PremiumN3</v>
      </c>
      <c r="D72" s="8" t="str">
        <f t="shared" si="8"/>
        <v>1PremiumN3</v>
      </c>
      <c r="E72" s="10">
        <v>1</v>
      </c>
      <c r="F72" s="12">
        <v>196</v>
      </c>
      <c r="G72" s="8" t="str">
        <f>VLOOKUP(F72,[1]characters!$A:$C,3,FALSE)</f>
        <v>アキレス</v>
      </c>
      <c r="H72" s="8" t="str">
        <f>VLOOKUP(F72,[1]characters!$A:$J,10,FALSE)</f>
        <v>PremiumN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16">
        <f>IFERROR(VLOOKUP(F72,gacha_conf!A$50:F$62,5+E72,FALSE),VLOOKUP(D72,gacha_conf!D$18:E$46,2,FALSE))</f>
        <v>6739</v>
      </c>
      <c r="N72" s="37">
        <f>IFERROR(VLOOKUP($F72,bug_conf_sheet!$A:$H,3,FALSE),VLOOKUP("other",bug_conf_sheet!$A:$H,3,FALSE))</f>
        <v>1</v>
      </c>
      <c r="O72" s="37">
        <f>IFERROR(VLOOKUP($F72,bug_conf_sheet!$A:$H,4,FALSE),VLOOKUP("other",bug_conf_sheet!$A:$H,4,FALSE))</f>
        <v>0</v>
      </c>
      <c r="P72" s="37">
        <f>IFERROR(VLOOKUP($F72,bug_conf_sheet!$A:$H,5,FALSE),VLOOKUP("other",bug_conf_sheet!$A:$H,5,FALSE))</f>
        <v>0</v>
      </c>
      <c r="Q72" s="37">
        <f>IFERROR(VLOOKUP($F72,bug_conf_sheet!$A:$H,6,FALSE),VLOOKUP("other",bug_conf_sheet!$A:$H,6,FALSE))</f>
        <v>0</v>
      </c>
      <c r="R72" s="37">
        <f>IFERROR(VLOOKUP($F72,bug_conf_sheet!$A:$H,7,FALSE),VLOOKUP("other",bug_conf_sheet!$A:$H,7,FALSE))</f>
        <v>0</v>
      </c>
      <c r="S72" s="37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1941197</v>
      </c>
      <c r="B73" s="2" t="str">
        <f t="shared" si="6"/>
        <v>1941</v>
      </c>
      <c r="C73" s="8" t="str">
        <f t="shared" si="7"/>
        <v>1PremiumN4</v>
      </c>
      <c r="D73" s="8" t="str">
        <f t="shared" si="8"/>
        <v>1PremiumN4</v>
      </c>
      <c r="E73" s="10">
        <v>1</v>
      </c>
      <c r="F73" s="13">
        <v>197</v>
      </c>
      <c r="G73" s="8" t="str">
        <f>VLOOKUP(F73,[1]characters!$A:$C,3,FALSE)</f>
        <v>鉄腕 アキレス</v>
      </c>
      <c r="H73" s="8" t="str">
        <f>VLOOKUP(F73,[1]characters!$A:$J,10,FALSE)</f>
        <v>PremiumN</v>
      </c>
      <c r="I73" s="8">
        <f>VLOOKUP(F73,[1]characters!$A:$I,9,FALSE)</f>
        <v>4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16">
        <f>IFERROR(VLOOKUP(F73,gacha_conf!A$50:F$62,5+E73,FALSE),VLOOKUP(D73,gacha_conf!D$18:E$46,2,FALSE))</f>
        <v>1574</v>
      </c>
      <c r="N73" s="37">
        <f>IFERROR(VLOOKUP($F73,bug_conf_sheet!$A:$H,3,FALSE),VLOOKUP("other",bug_conf_sheet!$A:$H,3,FALSE))</f>
        <v>1</v>
      </c>
      <c r="O73" s="37">
        <f>IFERROR(VLOOKUP($F73,bug_conf_sheet!$A:$H,4,FALSE),VLOOKUP("other",bug_conf_sheet!$A:$H,4,FALSE))</f>
        <v>0</v>
      </c>
      <c r="P73" s="37">
        <f>IFERROR(VLOOKUP($F73,bug_conf_sheet!$A:$H,5,FALSE),VLOOKUP("other",bug_conf_sheet!$A:$H,5,FALSE))</f>
        <v>0</v>
      </c>
      <c r="Q73" s="37">
        <f>IFERROR(VLOOKUP($F73,bug_conf_sheet!$A:$H,6,FALSE),VLOOKUP("other",bug_conf_sheet!$A:$H,6,FALSE))</f>
        <v>0</v>
      </c>
      <c r="R73" s="37">
        <f>IFERROR(VLOOKUP($F73,bug_conf_sheet!$A:$H,7,FALSE),VLOOKUP("other",bug_conf_sheet!$A:$H,7,FALSE))</f>
        <v>0</v>
      </c>
      <c r="S73" s="37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1941198</v>
      </c>
      <c r="B74" s="2" t="str">
        <f t="shared" si="6"/>
        <v>1941</v>
      </c>
      <c r="C74" s="8" t="str">
        <f t="shared" si="7"/>
        <v>1PremiumN5</v>
      </c>
      <c r="D74" s="8" t="str">
        <f t="shared" si="8"/>
        <v>1PremiumN5</v>
      </c>
      <c r="E74" s="10">
        <v>1</v>
      </c>
      <c r="F74" s="6">
        <v>198</v>
      </c>
      <c r="G74" s="8" t="str">
        <f>VLOOKUP(F74,[1]characters!$A:$C,3,FALSE)</f>
        <v>砕骨の剛腕 アキレス</v>
      </c>
      <c r="H74" s="8" t="str">
        <f>VLOOKUP(F74,[1]characters!$A:$J,10,FALSE)</f>
        <v>PremiumN</v>
      </c>
      <c r="I74" s="8">
        <f>VLOOKUP(F74,[1]characters!$A:$I,9,FALSE)</f>
        <v>5</v>
      </c>
      <c r="J74" s="8" t="str">
        <f>VLOOKUP(F74,[1]characters!$A:$H,8,FALSE)</f>
        <v>yellow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16">
        <f>IFERROR(VLOOKUP(F74,gacha_conf!A$50:F$62,5+E74,FALSE),VLOOKUP(D74,gacha_conf!D$18:E$46,2,FALSE))</f>
        <v>554</v>
      </c>
      <c r="N74" s="37">
        <f>IFERROR(VLOOKUP($F74,bug_conf_sheet!$A:$H,3,FALSE),VLOOKUP("other",bug_conf_sheet!$A:$H,3,FALSE))</f>
        <v>1</v>
      </c>
      <c r="O74" s="37">
        <f>IFERROR(VLOOKUP($F74,bug_conf_sheet!$A:$H,4,FALSE),VLOOKUP("other",bug_conf_sheet!$A:$H,4,FALSE))</f>
        <v>0</v>
      </c>
      <c r="P74" s="37">
        <f>IFERROR(VLOOKUP($F74,bug_conf_sheet!$A:$H,5,FALSE),VLOOKUP("other",bug_conf_sheet!$A:$H,5,FALSE))</f>
        <v>0</v>
      </c>
      <c r="Q74" s="37">
        <f>IFERROR(VLOOKUP($F74,bug_conf_sheet!$A:$H,6,FALSE),VLOOKUP("other",bug_conf_sheet!$A:$H,6,FALSE))</f>
        <v>0</v>
      </c>
      <c r="R74" s="37">
        <f>IFERROR(VLOOKUP($F74,bug_conf_sheet!$A:$H,7,FALSE),VLOOKUP("other",bug_conf_sheet!$A:$H,7,FALSE))</f>
        <v>0</v>
      </c>
      <c r="S74" s="37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1941199</v>
      </c>
      <c r="B75" s="2" t="str">
        <f t="shared" si="6"/>
        <v>1941</v>
      </c>
      <c r="C75" s="8" t="str">
        <f t="shared" si="7"/>
        <v>1PremiumN3</v>
      </c>
      <c r="D75" s="8" t="str">
        <f t="shared" si="8"/>
        <v>1PremiumN3</v>
      </c>
      <c r="E75" s="10">
        <v>1</v>
      </c>
      <c r="F75" s="6">
        <v>199</v>
      </c>
      <c r="G75" s="8" t="str">
        <f>VLOOKUP(F75,[1]characters!$A:$C,3,FALSE)</f>
        <v>ジークフリート</v>
      </c>
      <c r="H75" s="8" t="str">
        <f>VLOOKUP(F75,[1]characters!$A:$J,10,FALSE)</f>
        <v>PremiumN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16">
        <f>IFERROR(VLOOKUP(F75,gacha_conf!A$50:F$62,5+E75,FALSE),VLOOKUP(D75,gacha_conf!D$18:E$46,2,FALSE))</f>
        <v>6739</v>
      </c>
      <c r="N75" s="37">
        <f>IFERROR(VLOOKUP($F75,bug_conf_sheet!$A:$H,3,FALSE),VLOOKUP("other",bug_conf_sheet!$A:$H,3,FALSE))</f>
        <v>1</v>
      </c>
      <c r="O75" s="37">
        <f>IFERROR(VLOOKUP($F75,bug_conf_sheet!$A:$H,4,FALSE),VLOOKUP("other",bug_conf_sheet!$A:$H,4,FALSE))</f>
        <v>0</v>
      </c>
      <c r="P75" s="37">
        <f>IFERROR(VLOOKUP($F75,bug_conf_sheet!$A:$H,5,FALSE),VLOOKUP("other",bug_conf_sheet!$A:$H,5,FALSE))</f>
        <v>0</v>
      </c>
      <c r="Q75" s="37">
        <f>IFERROR(VLOOKUP($F75,bug_conf_sheet!$A:$H,6,FALSE),VLOOKUP("other",bug_conf_sheet!$A:$H,6,FALSE))</f>
        <v>0</v>
      </c>
      <c r="R75" s="37">
        <f>IFERROR(VLOOKUP($F75,bug_conf_sheet!$A:$H,7,FALSE),VLOOKUP("other",bug_conf_sheet!$A:$H,7,FALSE))</f>
        <v>0</v>
      </c>
      <c r="S75" s="37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1941200</v>
      </c>
      <c r="B76" s="2" t="str">
        <f t="shared" si="6"/>
        <v>1941</v>
      </c>
      <c r="C76" s="8" t="str">
        <f t="shared" si="7"/>
        <v>1PremiumN4</v>
      </c>
      <c r="D76" s="8" t="str">
        <f t="shared" si="8"/>
        <v>1PremiumN4</v>
      </c>
      <c r="E76" s="10">
        <v>1</v>
      </c>
      <c r="F76" s="6">
        <v>200</v>
      </c>
      <c r="G76" s="8" t="str">
        <f>VLOOKUP(F76,[1]characters!$A:$C,3,FALSE)</f>
        <v>大剣士 ジークフリート</v>
      </c>
      <c r="H76" s="8" t="str">
        <f>VLOOKUP(F76,[1]characters!$A:$J,10,FALSE)</f>
        <v>PremiumN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16">
        <f>IFERROR(VLOOKUP(F76,gacha_conf!A$50:F$62,5+E76,FALSE),VLOOKUP(D76,gacha_conf!D$18:E$46,2,FALSE))</f>
        <v>1574</v>
      </c>
      <c r="N76" s="37">
        <f>IFERROR(VLOOKUP($F76,bug_conf_sheet!$A:$H,3,FALSE),VLOOKUP("other",bug_conf_sheet!$A:$H,3,FALSE))</f>
        <v>1</v>
      </c>
      <c r="O76" s="37">
        <f>IFERROR(VLOOKUP($F76,bug_conf_sheet!$A:$H,4,FALSE),VLOOKUP("other",bug_conf_sheet!$A:$H,4,FALSE))</f>
        <v>0</v>
      </c>
      <c r="P76" s="37">
        <f>IFERROR(VLOOKUP($F76,bug_conf_sheet!$A:$H,5,FALSE),VLOOKUP("other",bug_conf_sheet!$A:$H,5,FALSE))</f>
        <v>0</v>
      </c>
      <c r="Q76" s="37">
        <f>IFERROR(VLOOKUP($F76,bug_conf_sheet!$A:$H,6,FALSE),VLOOKUP("other",bug_conf_sheet!$A:$H,6,FALSE))</f>
        <v>0</v>
      </c>
      <c r="R76" s="37">
        <f>IFERROR(VLOOKUP($F76,bug_conf_sheet!$A:$H,7,FALSE),VLOOKUP("other",bug_conf_sheet!$A:$H,7,FALSE))</f>
        <v>0</v>
      </c>
      <c r="S76" s="37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1941201</v>
      </c>
      <c r="B77" s="2" t="str">
        <f t="shared" si="6"/>
        <v>1941</v>
      </c>
      <c r="C77" s="8" t="str">
        <f t="shared" si="7"/>
        <v>1PremiumN5</v>
      </c>
      <c r="D77" s="8" t="str">
        <f t="shared" si="8"/>
        <v>1PremiumN5</v>
      </c>
      <c r="E77" s="10">
        <v>1</v>
      </c>
      <c r="F77" s="5">
        <v>201</v>
      </c>
      <c r="G77" s="8" t="str">
        <f>VLOOKUP(F77,[1]characters!$A:$C,3,FALSE)</f>
        <v>斬空の大破剣 ジークフリート</v>
      </c>
      <c r="H77" s="8" t="str">
        <f>VLOOKUP(F77,[1]characters!$A:$J,10,FALSE)</f>
        <v>PremiumN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16">
        <f>IFERROR(VLOOKUP(F77,gacha_conf!A$50:F$62,5+E77,FALSE),VLOOKUP(D77,gacha_conf!D$18:E$46,2,FALSE))</f>
        <v>554</v>
      </c>
      <c r="N77" s="37">
        <f>IFERROR(VLOOKUP($F77,bug_conf_sheet!$A:$H,3,FALSE),VLOOKUP("other",bug_conf_sheet!$A:$H,3,FALSE))</f>
        <v>1</v>
      </c>
      <c r="O77" s="37">
        <f>IFERROR(VLOOKUP($F77,bug_conf_sheet!$A:$H,4,FALSE),VLOOKUP("other",bug_conf_sheet!$A:$H,4,FALSE))</f>
        <v>0</v>
      </c>
      <c r="P77" s="37">
        <f>IFERROR(VLOOKUP($F77,bug_conf_sheet!$A:$H,5,FALSE),VLOOKUP("other",bug_conf_sheet!$A:$H,5,FALSE))</f>
        <v>0</v>
      </c>
      <c r="Q77" s="37">
        <f>IFERROR(VLOOKUP($F77,bug_conf_sheet!$A:$H,6,FALSE),VLOOKUP("other",bug_conf_sheet!$A:$H,6,FALSE))</f>
        <v>0</v>
      </c>
      <c r="R77" s="37">
        <f>IFERROR(VLOOKUP($F77,bug_conf_sheet!$A:$H,7,FALSE),VLOOKUP("other",bug_conf_sheet!$A:$H,7,FALSE))</f>
        <v>0</v>
      </c>
      <c r="S77" s="37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1941202</v>
      </c>
      <c r="B78" s="2" t="str">
        <f t="shared" si="6"/>
        <v>1941</v>
      </c>
      <c r="C78" s="8" t="str">
        <f t="shared" si="7"/>
        <v>1PremiumN3</v>
      </c>
      <c r="D78" s="8" t="str">
        <f t="shared" si="8"/>
        <v>1PremiumN3</v>
      </c>
      <c r="E78" s="10">
        <v>1</v>
      </c>
      <c r="F78" s="5">
        <v>202</v>
      </c>
      <c r="G78" s="8" t="str">
        <f>VLOOKUP(F78,[1]characters!$A:$C,3,FALSE)</f>
        <v>プロメテウス</v>
      </c>
      <c r="H78" s="8" t="str">
        <f>VLOOKUP(F78,[1]characters!$A:$J,10,FALSE)</f>
        <v>PremiumN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hp</v>
      </c>
      <c r="L78" s="8" t="str">
        <f>VLOOKUP(F78,[1]characters!$A:$M,13,FALSE)</f>
        <v>god</v>
      </c>
      <c r="M78" s="16">
        <f>IFERROR(VLOOKUP(F78,gacha_conf!A$50:F$62,5+E78,FALSE),VLOOKUP(D78,gacha_conf!D$18:E$46,2,FALSE))</f>
        <v>6739</v>
      </c>
      <c r="N78" s="37">
        <f>IFERROR(VLOOKUP($F78,bug_conf_sheet!$A:$H,3,FALSE),VLOOKUP("other",bug_conf_sheet!$A:$H,3,FALSE))</f>
        <v>1</v>
      </c>
      <c r="O78" s="37">
        <f>IFERROR(VLOOKUP($F78,bug_conf_sheet!$A:$H,4,FALSE),VLOOKUP("other",bug_conf_sheet!$A:$H,4,FALSE))</f>
        <v>0</v>
      </c>
      <c r="P78" s="37">
        <f>IFERROR(VLOOKUP($F78,bug_conf_sheet!$A:$H,5,FALSE),VLOOKUP("other",bug_conf_sheet!$A:$H,5,FALSE))</f>
        <v>0</v>
      </c>
      <c r="Q78" s="37">
        <f>IFERROR(VLOOKUP($F78,bug_conf_sheet!$A:$H,6,FALSE),VLOOKUP("other",bug_conf_sheet!$A:$H,6,FALSE))</f>
        <v>0</v>
      </c>
      <c r="R78" s="37">
        <f>IFERROR(VLOOKUP($F78,bug_conf_sheet!$A:$H,7,FALSE),VLOOKUP("other",bug_conf_sheet!$A:$H,7,FALSE))</f>
        <v>0</v>
      </c>
      <c r="S78" s="37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1941203</v>
      </c>
      <c r="B79" s="2" t="str">
        <f t="shared" si="6"/>
        <v>1941</v>
      </c>
      <c r="C79" s="8" t="str">
        <f t="shared" si="7"/>
        <v>1PremiumN4</v>
      </c>
      <c r="D79" s="8" t="str">
        <f t="shared" si="8"/>
        <v>1PremiumN4</v>
      </c>
      <c r="E79" s="10">
        <v>1</v>
      </c>
      <c r="F79" s="5">
        <v>203</v>
      </c>
      <c r="G79" s="8" t="str">
        <f>VLOOKUP(F79,[1]characters!$A:$C,3,FALSE)</f>
        <v>焔神 プロメテウス</v>
      </c>
      <c r="H79" s="8" t="str">
        <f>VLOOKUP(F79,[1]characters!$A:$J,10,FALSE)</f>
        <v>PremiumN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hp</v>
      </c>
      <c r="L79" s="8" t="str">
        <f>VLOOKUP(F79,[1]characters!$A:$M,13,FALSE)</f>
        <v>god</v>
      </c>
      <c r="M79" s="16">
        <f>IFERROR(VLOOKUP(F79,gacha_conf!A$50:F$62,5+E79,FALSE),VLOOKUP(D79,gacha_conf!D$18:E$46,2,FALSE))</f>
        <v>1574</v>
      </c>
      <c r="N79" s="37">
        <f>IFERROR(VLOOKUP($F79,bug_conf_sheet!$A:$H,3,FALSE),VLOOKUP("other",bug_conf_sheet!$A:$H,3,FALSE))</f>
        <v>1</v>
      </c>
      <c r="O79" s="37">
        <f>IFERROR(VLOOKUP($F79,bug_conf_sheet!$A:$H,4,FALSE),VLOOKUP("other",bug_conf_sheet!$A:$H,4,FALSE))</f>
        <v>0</v>
      </c>
      <c r="P79" s="37">
        <f>IFERROR(VLOOKUP($F79,bug_conf_sheet!$A:$H,5,FALSE),VLOOKUP("other",bug_conf_sheet!$A:$H,5,FALSE))</f>
        <v>0</v>
      </c>
      <c r="Q79" s="37">
        <f>IFERROR(VLOOKUP($F79,bug_conf_sheet!$A:$H,6,FALSE),VLOOKUP("other",bug_conf_sheet!$A:$H,6,FALSE))</f>
        <v>0</v>
      </c>
      <c r="R79" s="37">
        <f>IFERROR(VLOOKUP($F79,bug_conf_sheet!$A:$H,7,FALSE),VLOOKUP("other",bug_conf_sheet!$A:$H,7,FALSE))</f>
        <v>0</v>
      </c>
      <c r="S79" s="37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1941204</v>
      </c>
      <c r="B80" s="2" t="str">
        <f t="shared" si="6"/>
        <v>1941</v>
      </c>
      <c r="C80" s="8" t="str">
        <f t="shared" si="7"/>
        <v>1PremiumN5</v>
      </c>
      <c r="D80" s="8" t="str">
        <f t="shared" si="8"/>
        <v>1PremiumN5</v>
      </c>
      <c r="E80" s="10">
        <v>1</v>
      </c>
      <c r="F80" s="5">
        <v>204</v>
      </c>
      <c r="G80" s="8" t="str">
        <f>VLOOKUP(F80,[1]characters!$A:$C,3,FALSE)</f>
        <v>慟哭の巨焔 プロメテウス</v>
      </c>
      <c r="H80" s="8" t="str">
        <f>VLOOKUP(F80,[1]characters!$A:$J,10,FALSE)</f>
        <v>PremiumN</v>
      </c>
      <c r="I80" s="8">
        <f>VLOOKUP(F80,[1]characters!$A:$I,9,FALSE)</f>
        <v>5</v>
      </c>
      <c r="J80" s="8" t="str">
        <f>VLOOKUP(F80,[1]characters!$A:$H,8,FALSE)</f>
        <v>red</v>
      </c>
      <c r="K80" s="8" t="str">
        <f>VLOOKUP(F80,[1]characters!$A:$K,11,FALSE)</f>
        <v>hp</v>
      </c>
      <c r="L80" s="8" t="str">
        <f>VLOOKUP(F80,[1]characters!$A:$M,13,FALSE)</f>
        <v>god</v>
      </c>
      <c r="M80" s="16">
        <f>IFERROR(VLOOKUP(F80,gacha_conf!A$50:F$62,5+E80,FALSE),VLOOKUP(D80,gacha_conf!D$18:E$46,2,FALSE))</f>
        <v>554</v>
      </c>
      <c r="N80" s="37">
        <f>IFERROR(VLOOKUP($F80,bug_conf_sheet!$A:$H,3,FALSE),VLOOKUP("other",bug_conf_sheet!$A:$H,3,FALSE))</f>
        <v>1</v>
      </c>
      <c r="O80" s="37">
        <f>IFERROR(VLOOKUP($F80,bug_conf_sheet!$A:$H,4,FALSE),VLOOKUP("other",bug_conf_sheet!$A:$H,4,FALSE))</f>
        <v>0</v>
      </c>
      <c r="P80" s="37">
        <f>IFERROR(VLOOKUP($F80,bug_conf_sheet!$A:$H,5,FALSE),VLOOKUP("other",bug_conf_sheet!$A:$H,5,FALSE))</f>
        <v>0</v>
      </c>
      <c r="Q80" s="37">
        <f>IFERROR(VLOOKUP($F80,bug_conf_sheet!$A:$H,6,FALSE),VLOOKUP("other",bug_conf_sheet!$A:$H,6,FALSE))</f>
        <v>0</v>
      </c>
      <c r="R80" s="37">
        <f>IFERROR(VLOOKUP($F80,bug_conf_sheet!$A:$H,7,FALSE),VLOOKUP("other",bug_conf_sheet!$A:$H,7,FALSE))</f>
        <v>0</v>
      </c>
      <c r="S80" s="37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1941205</v>
      </c>
      <c r="B81" s="2" t="str">
        <f t="shared" si="6"/>
        <v>1941</v>
      </c>
      <c r="C81" s="8" t="str">
        <f t="shared" si="7"/>
        <v>1PremiumN3</v>
      </c>
      <c r="D81" s="8" t="str">
        <f t="shared" si="8"/>
        <v>1PremiumN3</v>
      </c>
      <c r="E81" s="10">
        <v>1</v>
      </c>
      <c r="F81" s="5">
        <v>205</v>
      </c>
      <c r="G81" s="8" t="str">
        <f>VLOOKUP(F81,[1]characters!$A:$C,3,FALSE)</f>
        <v>アフロディーテ</v>
      </c>
      <c r="H81" s="8" t="str">
        <f>VLOOKUP(F81,[1]characters!$A:$J,10,FALSE)</f>
        <v>PremiumN</v>
      </c>
      <c r="I81" s="8">
        <f>VLOOKUP(F81,[1]characters!$A:$I,9,FALSE)</f>
        <v>3</v>
      </c>
      <c r="J81" s="8" t="str">
        <f>VLOOKUP(F81,[1]characters!$A:$H,8,FALSE)</f>
        <v>green</v>
      </c>
      <c r="K81" s="8" t="str">
        <f>VLOOKUP(F81,[1]characters!$A:$K,11,FALSE)</f>
        <v>hp</v>
      </c>
      <c r="L81" s="8" t="str">
        <f>VLOOKUP(F81,[1]characters!$A:$M,13,FALSE)</f>
        <v>god</v>
      </c>
      <c r="M81" s="16">
        <f>IFERROR(VLOOKUP(F81,gacha_conf!A$50:F$62,5+E81,FALSE),VLOOKUP(D81,gacha_conf!D$18:E$46,2,FALSE))</f>
        <v>6739</v>
      </c>
      <c r="N81" s="37">
        <f>IFERROR(VLOOKUP($F81,bug_conf_sheet!$A:$H,3,FALSE),VLOOKUP("other",bug_conf_sheet!$A:$H,3,FALSE))</f>
        <v>1</v>
      </c>
      <c r="O81" s="37">
        <f>IFERROR(VLOOKUP($F81,bug_conf_sheet!$A:$H,4,FALSE),VLOOKUP("other",bug_conf_sheet!$A:$H,4,FALSE))</f>
        <v>0</v>
      </c>
      <c r="P81" s="37">
        <f>IFERROR(VLOOKUP($F81,bug_conf_sheet!$A:$H,5,FALSE),VLOOKUP("other",bug_conf_sheet!$A:$H,5,FALSE))</f>
        <v>0</v>
      </c>
      <c r="Q81" s="37">
        <f>IFERROR(VLOOKUP($F81,bug_conf_sheet!$A:$H,6,FALSE),VLOOKUP("other",bug_conf_sheet!$A:$H,6,FALSE))</f>
        <v>0</v>
      </c>
      <c r="R81" s="37">
        <f>IFERROR(VLOOKUP($F81,bug_conf_sheet!$A:$H,7,FALSE),VLOOKUP("other",bug_conf_sheet!$A:$H,7,FALSE))</f>
        <v>0</v>
      </c>
      <c r="S81" s="37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1941206</v>
      </c>
      <c r="B82" s="2" t="str">
        <f t="shared" si="6"/>
        <v>1941</v>
      </c>
      <c r="C82" s="8" t="str">
        <f t="shared" si="7"/>
        <v>1PremiumN4</v>
      </c>
      <c r="D82" s="8" t="str">
        <f t="shared" si="8"/>
        <v>1PremiumN4</v>
      </c>
      <c r="E82" s="10">
        <v>1</v>
      </c>
      <c r="F82" s="5">
        <v>206</v>
      </c>
      <c r="G82" s="8" t="str">
        <f>VLOOKUP(F82,[1]characters!$A:$C,3,FALSE)</f>
        <v>美神 アフロディーテ</v>
      </c>
      <c r="H82" s="8" t="str">
        <f>VLOOKUP(F82,[1]characters!$A:$J,10,FALSE)</f>
        <v>PremiumN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god</v>
      </c>
      <c r="M82" s="16">
        <f>IFERROR(VLOOKUP(F82,gacha_conf!A$50:F$62,5+E82,FALSE),VLOOKUP(D82,gacha_conf!D$18:E$46,2,FALSE))</f>
        <v>1574</v>
      </c>
      <c r="N82" s="37">
        <f>IFERROR(VLOOKUP($F82,bug_conf_sheet!$A:$H,3,FALSE),VLOOKUP("other",bug_conf_sheet!$A:$H,3,FALSE))</f>
        <v>1</v>
      </c>
      <c r="O82" s="37">
        <f>IFERROR(VLOOKUP($F82,bug_conf_sheet!$A:$H,4,FALSE),VLOOKUP("other",bug_conf_sheet!$A:$H,4,FALSE))</f>
        <v>0</v>
      </c>
      <c r="P82" s="37">
        <f>IFERROR(VLOOKUP($F82,bug_conf_sheet!$A:$H,5,FALSE),VLOOKUP("other",bug_conf_sheet!$A:$H,5,FALSE))</f>
        <v>0</v>
      </c>
      <c r="Q82" s="37">
        <f>IFERROR(VLOOKUP($F82,bug_conf_sheet!$A:$H,6,FALSE),VLOOKUP("other",bug_conf_sheet!$A:$H,6,FALSE))</f>
        <v>0</v>
      </c>
      <c r="R82" s="37">
        <f>IFERROR(VLOOKUP($F82,bug_conf_sheet!$A:$H,7,FALSE),VLOOKUP("other",bug_conf_sheet!$A:$H,7,FALSE))</f>
        <v>0</v>
      </c>
      <c r="S82" s="37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1941207</v>
      </c>
      <c r="B83" s="2" t="str">
        <f t="shared" si="6"/>
        <v>1941</v>
      </c>
      <c r="C83" s="8" t="str">
        <f t="shared" si="7"/>
        <v>1PremiumN5</v>
      </c>
      <c r="D83" s="8" t="str">
        <f t="shared" si="8"/>
        <v>1PremiumN5</v>
      </c>
      <c r="E83" s="10">
        <v>1</v>
      </c>
      <c r="F83" s="5">
        <v>207</v>
      </c>
      <c r="G83" s="8" t="str">
        <f>VLOOKUP(F83,[1]characters!$A:$C,3,FALSE)</f>
        <v>豊穣の麗神・アフロディーテ</v>
      </c>
      <c r="H83" s="8" t="str">
        <f>VLOOKUP(F83,[1]characters!$A:$J,10,FALSE)</f>
        <v>PremiumN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god</v>
      </c>
      <c r="M83" s="16">
        <f>IFERROR(VLOOKUP(F83,gacha_conf!A$50:F$62,5+E83,FALSE),VLOOKUP(D83,gacha_conf!D$18:E$46,2,FALSE))</f>
        <v>554</v>
      </c>
      <c r="N83" s="37">
        <f>IFERROR(VLOOKUP($F83,bug_conf_sheet!$A:$H,3,FALSE),VLOOKUP("other",bug_conf_sheet!$A:$H,3,FALSE))</f>
        <v>1</v>
      </c>
      <c r="O83" s="37">
        <f>IFERROR(VLOOKUP($F83,bug_conf_sheet!$A:$H,4,FALSE),VLOOKUP("other",bug_conf_sheet!$A:$H,4,FALSE))</f>
        <v>0</v>
      </c>
      <c r="P83" s="37">
        <f>IFERROR(VLOOKUP($F83,bug_conf_sheet!$A:$H,5,FALSE),VLOOKUP("other",bug_conf_sheet!$A:$H,5,FALSE))</f>
        <v>0</v>
      </c>
      <c r="Q83" s="37">
        <f>IFERROR(VLOOKUP($F83,bug_conf_sheet!$A:$H,6,FALSE),VLOOKUP("other",bug_conf_sheet!$A:$H,6,FALSE))</f>
        <v>0</v>
      </c>
      <c r="R83" s="37">
        <f>IFERROR(VLOOKUP($F83,bug_conf_sheet!$A:$H,7,FALSE),VLOOKUP("other",bug_conf_sheet!$A:$H,7,FALSE))</f>
        <v>0</v>
      </c>
      <c r="S83" s="37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1941208</v>
      </c>
      <c r="B84" s="2" t="str">
        <f t="shared" si="6"/>
        <v>1941</v>
      </c>
      <c r="C84" s="8" t="str">
        <f t="shared" si="7"/>
        <v>1PremiumN3</v>
      </c>
      <c r="D84" s="8" t="str">
        <f t="shared" si="8"/>
        <v>1PremiumN3</v>
      </c>
      <c r="E84" s="10">
        <v>1</v>
      </c>
      <c r="F84" s="5">
        <v>208</v>
      </c>
      <c r="G84" s="8" t="str">
        <f>VLOOKUP(F84,[1]characters!$A:$C,3,FALSE)</f>
        <v>テティス</v>
      </c>
      <c r="H84" s="8" t="str">
        <f>VLOOKUP(F84,[1]characters!$A:$J,10,FALSE)</f>
        <v>PremiumN</v>
      </c>
      <c r="I84" s="8">
        <f>VLOOKUP(F84,[1]characters!$A:$I,9,FALSE)</f>
        <v>3</v>
      </c>
      <c r="J84" s="8" t="str">
        <f>VLOOKUP(F84,[1]characters!$A:$H,8,FALSE)</f>
        <v>blue</v>
      </c>
      <c r="K84" s="8" t="str">
        <f>VLOOKUP(F84,[1]characters!$A:$K,11,FALSE)</f>
        <v>hp</v>
      </c>
      <c r="L84" s="8" t="str">
        <f>VLOOKUP(F84,[1]characters!$A:$M,13,FALSE)</f>
        <v>god</v>
      </c>
      <c r="M84" s="16">
        <f>IFERROR(VLOOKUP(F84,gacha_conf!A$50:F$62,5+E84,FALSE),VLOOKUP(D84,gacha_conf!D$18:E$46,2,FALSE))</f>
        <v>6739</v>
      </c>
      <c r="N84" s="37">
        <f>IFERROR(VLOOKUP($F84,bug_conf_sheet!$A:$H,3,FALSE),VLOOKUP("other",bug_conf_sheet!$A:$H,3,FALSE))</f>
        <v>1</v>
      </c>
      <c r="O84" s="37">
        <f>IFERROR(VLOOKUP($F84,bug_conf_sheet!$A:$H,4,FALSE),VLOOKUP("other",bug_conf_sheet!$A:$H,4,FALSE))</f>
        <v>0</v>
      </c>
      <c r="P84" s="37">
        <f>IFERROR(VLOOKUP($F84,bug_conf_sheet!$A:$H,5,FALSE),VLOOKUP("other",bug_conf_sheet!$A:$H,5,FALSE))</f>
        <v>0</v>
      </c>
      <c r="Q84" s="37">
        <f>IFERROR(VLOOKUP($F84,bug_conf_sheet!$A:$H,6,FALSE),VLOOKUP("other",bug_conf_sheet!$A:$H,6,FALSE))</f>
        <v>0</v>
      </c>
      <c r="R84" s="37">
        <f>IFERROR(VLOOKUP($F84,bug_conf_sheet!$A:$H,7,FALSE),VLOOKUP("other",bug_conf_sheet!$A:$H,7,FALSE))</f>
        <v>0</v>
      </c>
      <c r="S84" s="37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1941209</v>
      </c>
      <c r="B85" s="2" t="str">
        <f t="shared" si="6"/>
        <v>1941</v>
      </c>
      <c r="C85" s="8" t="str">
        <f t="shared" si="7"/>
        <v>1PremiumN4</v>
      </c>
      <c r="D85" s="8" t="str">
        <f t="shared" si="8"/>
        <v>1PremiumN4</v>
      </c>
      <c r="E85" s="10">
        <v>1</v>
      </c>
      <c r="F85" s="5">
        <v>209</v>
      </c>
      <c r="G85" s="8" t="str">
        <f>VLOOKUP(F85,[1]characters!$A:$C,3,FALSE)</f>
        <v>孤神 テティス</v>
      </c>
      <c r="H85" s="8" t="str">
        <f>VLOOKUP(F85,[1]characters!$A:$J,10,FALSE)</f>
        <v>PremiumN</v>
      </c>
      <c r="I85" s="8">
        <f>VLOOKUP(F85,[1]characters!$A:$I,9,FALSE)</f>
        <v>4</v>
      </c>
      <c r="J85" s="8" t="str">
        <f>VLOOKUP(F85,[1]characters!$A:$H,8,FALSE)</f>
        <v>blue</v>
      </c>
      <c r="K85" s="8" t="str">
        <f>VLOOKUP(F85,[1]characters!$A:$K,11,FALSE)</f>
        <v>hp</v>
      </c>
      <c r="L85" s="8" t="str">
        <f>VLOOKUP(F85,[1]characters!$A:$M,13,FALSE)</f>
        <v>god</v>
      </c>
      <c r="M85" s="16">
        <f>IFERROR(VLOOKUP(F85,gacha_conf!A$50:F$62,5+E85,FALSE),VLOOKUP(D85,gacha_conf!D$18:E$46,2,FALSE))</f>
        <v>1574</v>
      </c>
      <c r="N85" s="37">
        <f>IFERROR(VLOOKUP($F85,bug_conf_sheet!$A:$H,3,FALSE),VLOOKUP("other",bug_conf_sheet!$A:$H,3,FALSE))</f>
        <v>1</v>
      </c>
      <c r="O85" s="37">
        <f>IFERROR(VLOOKUP($F85,bug_conf_sheet!$A:$H,4,FALSE),VLOOKUP("other",bug_conf_sheet!$A:$H,4,FALSE))</f>
        <v>0</v>
      </c>
      <c r="P85" s="37">
        <f>IFERROR(VLOOKUP($F85,bug_conf_sheet!$A:$H,5,FALSE),VLOOKUP("other",bug_conf_sheet!$A:$H,5,FALSE))</f>
        <v>0</v>
      </c>
      <c r="Q85" s="37">
        <f>IFERROR(VLOOKUP($F85,bug_conf_sheet!$A:$H,6,FALSE),VLOOKUP("other",bug_conf_sheet!$A:$H,6,FALSE))</f>
        <v>0</v>
      </c>
      <c r="R85" s="37">
        <f>IFERROR(VLOOKUP($F85,bug_conf_sheet!$A:$H,7,FALSE),VLOOKUP("other",bug_conf_sheet!$A:$H,7,FALSE))</f>
        <v>0</v>
      </c>
      <c r="S85" s="37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1941210</v>
      </c>
      <c r="B86" s="2" t="str">
        <f t="shared" si="6"/>
        <v>1941</v>
      </c>
      <c r="C86" s="8" t="str">
        <f t="shared" si="7"/>
        <v>1PremiumN5</v>
      </c>
      <c r="D86" s="8" t="str">
        <f t="shared" si="8"/>
        <v>1PremiumN5</v>
      </c>
      <c r="E86" s="10">
        <v>1</v>
      </c>
      <c r="F86" s="5">
        <v>210</v>
      </c>
      <c r="G86" s="8" t="str">
        <f>VLOOKUP(F86,[1]characters!$A:$C,3,FALSE)</f>
        <v>海底の孤高神 テティス</v>
      </c>
      <c r="H86" s="8" t="str">
        <f>VLOOKUP(F86,[1]characters!$A:$J,10,FALSE)</f>
        <v>PremiumN</v>
      </c>
      <c r="I86" s="8">
        <f>VLOOKUP(F86,[1]characters!$A:$I,9,FALSE)</f>
        <v>5</v>
      </c>
      <c r="J86" s="8" t="str">
        <f>VLOOKUP(F86,[1]characters!$A:$H,8,FALSE)</f>
        <v>blue</v>
      </c>
      <c r="K86" s="8" t="str">
        <f>VLOOKUP(F86,[1]characters!$A:$K,11,FALSE)</f>
        <v>hp</v>
      </c>
      <c r="L86" s="8" t="str">
        <f>VLOOKUP(F86,[1]characters!$A:$M,13,FALSE)</f>
        <v>god</v>
      </c>
      <c r="M86" s="16">
        <f>IFERROR(VLOOKUP(F86,gacha_conf!A$50:F$62,5+E86,FALSE),VLOOKUP(D86,gacha_conf!D$18:E$46,2,FALSE))</f>
        <v>554</v>
      </c>
      <c r="N86" s="37">
        <f>IFERROR(VLOOKUP($F86,bug_conf_sheet!$A:$H,3,FALSE),VLOOKUP("other",bug_conf_sheet!$A:$H,3,FALSE))</f>
        <v>1</v>
      </c>
      <c r="O86" s="37">
        <f>IFERROR(VLOOKUP($F86,bug_conf_sheet!$A:$H,4,FALSE),VLOOKUP("other",bug_conf_sheet!$A:$H,4,FALSE))</f>
        <v>0</v>
      </c>
      <c r="P86" s="37">
        <f>IFERROR(VLOOKUP($F86,bug_conf_sheet!$A:$H,5,FALSE),VLOOKUP("other",bug_conf_sheet!$A:$H,5,FALSE))</f>
        <v>0</v>
      </c>
      <c r="Q86" s="37">
        <f>IFERROR(VLOOKUP($F86,bug_conf_sheet!$A:$H,6,FALSE),VLOOKUP("other",bug_conf_sheet!$A:$H,6,FALSE))</f>
        <v>0</v>
      </c>
      <c r="R86" s="37">
        <f>IFERROR(VLOOKUP($F86,bug_conf_sheet!$A:$H,7,FALSE),VLOOKUP("other",bug_conf_sheet!$A:$H,7,FALSE))</f>
        <v>0</v>
      </c>
      <c r="S86" s="37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1941211</v>
      </c>
      <c r="B87" s="2" t="str">
        <f t="shared" si="6"/>
        <v>1941</v>
      </c>
      <c r="C87" s="8" t="str">
        <f t="shared" si="7"/>
        <v>1PremiumN3</v>
      </c>
      <c r="D87" s="8" t="str">
        <f t="shared" si="8"/>
        <v>1PremiumN3</v>
      </c>
      <c r="E87" s="10">
        <v>1</v>
      </c>
      <c r="F87" s="5">
        <v>211</v>
      </c>
      <c r="G87" s="8" t="str">
        <f>VLOOKUP(F87,[1]characters!$A:$C,3,FALSE)</f>
        <v>アストライアー</v>
      </c>
      <c r="H87" s="8" t="str">
        <f>VLOOKUP(F87,[1]characters!$A:$J,10,FALSE)</f>
        <v>PremiumN</v>
      </c>
      <c r="I87" s="8">
        <f>VLOOKUP(F87,[1]characters!$A:$I,9,FALSE)</f>
        <v>3</v>
      </c>
      <c r="J87" s="8" t="str">
        <f>VLOOKUP(F87,[1]characters!$A:$H,8,FALSE)</f>
        <v>yellow</v>
      </c>
      <c r="K87" s="8" t="str">
        <f>VLOOKUP(F87,[1]characters!$A:$K,11,FALSE)</f>
        <v>balance</v>
      </c>
      <c r="L87" s="8" t="str">
        <f>VLOOKUP(F87,[1]characters!$A:$M,13,FALSE)</f>
        <v>god</v>
      </c>
      <c r="M87" s="16">
        <f>IFERROR(VLOOKUP(F87,gacha_conf!A$50:F$62,5+E87,FALSE),VLOOKUP(D87,gacha_conf!D$18:E$46,2,FALSE))</f>
        <v>6739</v>
      </c>
      <c r="N87" s="37">
        <f>IFERROR(VLOOKUP($F87,bug_conf_sheet!$A:$H,3,FALSE),VLOOKUP("other",bug_conf_sheet!$A:$H,3,FALSE))</f>
        <v>1</v>
      </c>
      <c r="O87" s="37">
        <f>IFERROR(VLOOKUP($F87,bug_conf_sheet!$A:$H,4,FALSE),VLOOKUP("other",bug_conf_sheet!$A:$H,4,FALSE))</f>
        <v>0</v>
      </c>
      <c r="P87" s="37">
        <f>IFERROR(VLOOKUP($F87,bug_conf_sheet!$A:$H,5,FALSE),VLOOKUP("other",bug_conf_sheet!$A:$H,5,FALSE))</f>
        <v>0</v>
      </c>
      <c r="Q87" s="37">
        <f>IFERROR(VLOOKUP($F87,bug_conf_sheet!$A:$H,6,FALSE),VLOOKUP("other",bug_conf_sheet!$A:$H,6,FALSE))</f>
        <v>0</v>
      </c>
      <c r="R87" s="37">
        <f>IFERROR(VLOOKUP($F87,bug_conf_sheet!$A:$H,7,FALSE),VLOOKUP("other",bug_conf_sheet!$A:$H,7,FALSE))</f>
        <v>0</v>
      </c>
      <c r="S87" s="37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1941212</v>
      </c>
      <c r="B88" s="2" t="str">
        <f t="shared" si="6"/>
        <v>1941</v>
      </c>
      <c r="C88" s="8" t="str">
        <f t="shared" si="7"/>
        <v>1PremiumN4</v>
      </c>
      <c r="D88" s="8" t="str">
        <f t="shared" si="8"/>
        <v>1PremiumN4</v>
      </c>
      <c r="E88" s="10">
        <v>1</v>
      </c>
      <c r="F88" s="5">
        <v>212</v>
      </c>
      <c r="G88" s="8" t="str">
        <f>VLOOKUP(F88,[1]characters!$A:$C,3,FALSE)</f>
        <v>星神 アストライアー</v>
      </c>
      <c r="H88" s="8" t="str">
        <f>VLOOKUP(F88,[1]characters!$A:$J,10,FALSE)</f>
        <v>PremiumN</v>
      </c>
      <c r="I88" s="8">
        <f>VLOOKUP(F88,[1]characters!$A:$I,9,FALSE)</f>
        <v>4</v>
      </c>
      <c r="J88" s="8" t="str">
        <f>VLOOKUP(F88,[1]characters!$A:$H,8,FALSE)</f>
        <v>yellow</v>
      </c>
      <c r="K88" s="8" t="str">
        <f>VLOOKUP(F88,[1]characters!$A:$K,11,FALSE)</f>
        <v>balance</v>
      </c>
      <c r="L88" s="8" t="str">
        <f>VLOOKUP(F88,[1]characters!$A:$M,13,FALSE)</f>
        <v>god</v>
      </c>
      <c r="M88" s="16">
        <f>IFERROR(VLOOKUP(F88,gacha_conf!A$50:F$62,5+E88,FALSE),VLOOKUP(D88,gacha_conf!D$18:E$46,2,FALSE))</f>
        <v>1574</v>
      </c>
      <c r="N88" s="37">
        <f>IFERROR(VLOOKUP($F88,bug_conf_sheet!$A:$H,3,FALSE),VLOOKUP("other",bug_conf_sheet!$A:$H,3,FALSE))</f>
        <v>1</v>
      </c>
      <c r="O88" s="37">
        <f>IFERROR(VLOOKUP($F88,bug_conf_sheet!$A:$H,4,FALSE),VLOOKUP("other",bug_conf_sheet!$A:$H,4,FALSE))</f>
        <v>0</v>
      </c>
      <c r="P88" s="37">
        <f>IFERROR(VLOOKUP($F88,bug_conf_sheet!$A:$H,5,FALSE),VLOOKUP("other",bug_conf_sheet!$A:$H,5,FALSE))</f>
        <v>0</v>
      </c>
      <c r="Q88" s="37">
        <f>IFERROR(VLOOKUP($F88,bug_conf_sheet!$A:$H,6,FALSE),VLOOKUP("other",bug_conf_sheet!$A:$H,6,FALSE))</f>
        <v>0</v>
      </c>
      <c r="R88" s="37">
        <f>IFERROR(VLOOKUP($F88,bug_conf_sheet!$A:$H,7,FALSE),VLOOKUP("other",bug_conf_sheet!$A:$H,7,FALSE))</f>
        <v>0</v>
      </c>
      <c r="S88" s="37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1941213</v>
      </c>
      <c r="B89" s="2" t="str">
        <f t="shared" si="6"/>
        <v>1941</v>
      </c>
      <c r="C89" s="8" t="str">
        <f t="shared" si="7"/>
        <v>1PremiumN5</v>
      </c>
      <c r="D89" s="8" t="str">
        <f t="shared" si="8"/>
        <v>1PremiumN5</v>
      </c>
      <c r="E89" s="10">
        <v>1</v>
      </c>
      <c r="F89" s="5">
        <v>213</v>
      </c>
      <c r="G89" s="8" t="str">
        <f>VLOOKUP(F89,[1]characters!$A:$C,3,FALSE)</f>
        <v>満天の星降神 アストライアー</v>
      </c>
      <c r="H89" s="8" t="str">
        <f>VLOOKUP(F89,[1]characters!$A:$J,10,FALSE)</f>
        <v>PremiumN</v>
      </c>
      <c r="I89" s="8">
        <f>VLOOKUP(F89,[1]characters!$A:$I,9,FALSE)</f>
        <v>5</v>
      </c>
      <c r="J89" s="8" t="str">
        <f>VLOOKUP(F89,[1]characters!$A:$H,8,FALSE)</f>
        <v>yellow</v>
      </c>
      <c r="K89" s="8" t="str">
        <f>VLOOKUP(F89,[1]characters!$A:$K,11,FALSE)</f>
        <v>balance</v>
      </c>
      <c r="L89" s="8" t="str">
        <f>VLOOKUP(F89,[1]characters!$A:$M,13,FALSE)</f>
        <v>god</v>
      </c>
      <c r="M89" s="16">
        <f>IFERROR(VLOOKUP(F89,gacha_conf!A$50:F$62,5+E89,FALSE),VLOOKUP(D89,gacha_conf!D$18:E$46,2,FALSE))</f>
        <v>554</v>
      </c>
      <c r="N89" s="37">
        <f>IFERROR(VLOOKUP($F89,bug_conf_sheet!$A:$H,3,FALSE),VLOOKUP("other",bug_conf_sheet!$A:$H,3,FALSE))</f>
        <v>1</v>
      </c>
      <c r="O89" s="37">
        <f>IFERROR(VLOOKUP($F89,bug_conf_sheet!$A:$H,4,FALSE),VLOOKUP("other",bug_conf_sheet!$A:$H,4,FALSE))</f>
        <v>0</v>
      </c>
      <c r="P89" s="37">
        <f>IFERROR(VLOOKUP($F89,bug_conf_sheet!$A:$H,5,FALSE),VLOOKUP("other",bug_conf_sheet!$A:$H,5,FALSE))</f>
        <v>0</v>
      </c>
      <c r="Q89" s="37">
        <f>IFERROR(VLOOKUP($F89,bug_conf_sheet!$A:$H,6,FALSE),VLOOKUP("other",bug_conf_sheet!$A:$H,6,FALSE))</f>
        <v>0</v>
      </c>
      <c r="R89" s="37">
        <f>IFERROR(VLOOKUP($F89,bug_conf_sheet!$A:$H,7,FALSE),VLOOKUP("other",bug_conf_sheet!$A:$H,7,FALSE))</f>
        <v>0</v>
      </c>
      <c r="S89" s="37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1941214</v>
      </c>
      <c r="B90" s="2" t="str">
        <f t="shared" si="6"/>
        <v>1941</v>
      </c>
      <c r="C90" s="8" t="str">
        <f t="shared" si="7"/>
        <v>1PremiumN3</v>
      </c>
      <c r="D90" s="8" t="str">
        <f t="shared" si="8"/>
        <v>1PremiumN3</v>
      </c>
      <c r="E90" s="10">
        <v>1</v>
      </c>
      <c r="F90" s="5">
        <v>214</v>
      </c>
      <c r="G90" s="8" t="str">
        <f>VLOOKUP(F90,[1]characters!$A:$C,3,FALSE)</f>
        <v>アズラエル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red</v>
      </c>
      <c r="K90" s="8" t="str">
        <f>VLOOKUP(F90,[1]characters!$A:$K,11,FALSE)</f>
        <v>balance</v>
      </c>
      <c r="L90" s="8" t="str">
        <f>VLOOKUP(F90,[1]characters!$A:$M,13,FALSE)</f>
        <v>god</v>
      </c>
      <c r="M90" s="16">
        <f>IFERROR(VLOOKUP(F90,gacha_conf!A$50:F$62,5+E90,FALSE),VLOOKUP(D90,gacha_conf!D$18:E$46,2,FALSE))</f>
        <v>6739</v>
      </c>
      <c r="N90" s="37">
        <f>IFERROR(VLOOKUP($F90,bug_conf_sheet!$A:$H,3,FALSE),VLOOKUP("other",bug_conf_sheet!$A:$H,3,FALSE))</f>
        <v>1</v>
      </c>
      <c r="O90" s="37">
        <f>IFERROR(VLOOKUP($F90,bug_conf_sheet!$A:$H,4,FALSE),VLOOKUP("other",bug_conf_sheet!$A:$H,4,FALSE))</f>
        <v>0</v>
      </c>
      <c r="P90" s="37">
        <f>IFERROR(VLOOKUP($F90,bug_conf_sheet!$A:$H,5,FALSE),VLOOKUP("other",bug_conf_sheet!$A:$H,5,FALSE))</f>
        <v>0</v>
      </c>
      <c r="Q90" s="37">
        <f>IFERROR(VLOOKUP($F90,bug_conf_sheet!$A:$H,6,FALSE),VLOOKUP("other",bug_conf_sheet!$A:$H,6,FALSE))</f>
        <v>0</v>
      </c>
      <c r="R90" s="37">
        <f>IFERROR(VLOOKUP($F90,bug_conf_sheet!$A:$H,7,FALSE),VLOOKUP("other",bug_conf_sheet!$A:$H,7,FALSE))</f>
        <v>0</v>
      </c>
      <c r="S90" s="37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1941215</v>
      </c>
      <c r="B91" s="2" t="str">
        <f t="shared" si="6"/>
        <v>1941</v>
      </c>
      <c r="C91" s="8" t="str">
        <f t="shared" si="7"/>
        <v>1PremiumN4</v>
      </c>
      <c r="D91" s="8" t="str">
        <f t="shared" si="8"/>
        <v>1PremiumN4</v>
      </c>
      <c r="E91" s="10">
        <v>1</v>
      </c>
      <c r="F91" s="5">
        <v>215</v>
      </c>
      <c r="G91" s="8" t="str">
        <f>VLOOKUP(F91,[1]characters!$A:$C,3,FALSE)</f>
        <v>死導者 アズラエル</v>
      </c>
      <c r="H91" s="8" t="str">
        <f>VLOOKUP(F91,[1]characters!$A:$J,10,FALSE)</f>
        <v>PremiumN</v>
      </c>
      <c r="I91" s="8">
        <f>VLOOKUP(F91,[1]characters!$A:$I,9,FALSE)</f>
        <v>4</v>
      </c>
      <c r="J91" s="8" t="str">
        <f>VLOOKUP(F91,[1]characters!$A:$H,8,FALSE)</f>
        <v>red</v>
      </c>
      <c r="K91" s="8" t="str">
        <f>VLOOKUP(F91,[1]characters!$A:$K,11,FALSE)</f>
        <v>balance</v>
      </c>
      <c r="L91" s="8" t="str">
        <f>VLOOKUP(F91,[1]characters!$A:$M,13,FALSE)</f>
        <v>god</v>
      </c>
      <c r="M91" s="16">
        <f>IFERROR(VLOOKUP(F91,gacha_conf!A$50:F$62,5+E91,FALSE),VLOOKUP(D91,gacha_conf!D$18:E$46,2,FALSE))</f>
        <v>1574</v>
      </c>
      <c r="N91" s="37">
        <f>IFERROR(VLOOKUP($F91,bug_conf_sheet!$A:$H,3,FALSE),VLOOKUP("other",bug_conf_sheet!$A:$H,3,FALSE))</f>
        <v>1</v>
      </c>
      <c r="O91" s="37">
        <f>IFERROR(VLOOKUP($F91,bug_conf_sheet!$A:$H,4,FALSE),VLOOKUP("other",bug_conf_sheet!$A:$H,4,FALSE))</f>
        <v>0</v>
      </c>
      <c r="P91" s="37">
        <f>IFERROR(VLOOKUP($F91,bug_conf_sheet!$A:$H,5,FALSE),VLOOKUP("other",bug_conf_sheet!$A:$H,5,FALSE))</f>
        <v>0</v>
      </c>
      <c r="Q91" s="37">
        <f>IFERROR(VLOOKUP($F91,bug_conf_sheet!$A:$H,6,FALSE),VLOOKUP("other",bug_conf_sheet!$A:$H,6,FALSE))</f>
        <v>0</v>
      </c>
      <c r="R91" s="37">
        <f>IFERROR(VLOOKUP($F91,bug_conf_sheet!$A:$H,7,FALSE),VLOOKUP("other",bug_conf_sheet!$A:$H,7,FALSE))</f>
        <v>0</v>
      </c>
      <c r="S91" s="37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1941216</v>
      </c>
      <c r="B92" s="2" t="str">
        <f t="shared" si="6"/>
        <v>1941</v>
      </c>
      <c r="C92" s="8" t="str">
        <f t="shared" si="7"/>
        <v>1PremiumN5</v>
      </c>
      <c r="D92" s="8" t="str">
        <f t="shared" si="8"/>
        <v>1PremiumN5</v>
      </c>
      <c r="E92" s="10">
        <v>1</v>
      </c>
      <c r="F92" s="5">
        <v>216</v>
      </c>
      <c r="G92" s="8" t="str">
        <f>VLOOKUP(F92,[1]characters!$A:$C,3,FALSE)</f>
        <v>百読の死導司書 アズラエル</v>
      </c>
      <c r="H92" s="8" t="str">
        <f>VLOOKUP(F92,[1]characters!$A:$J,10,FALSE)</f>
        <v>PremiumN</v>
      </c>
      <c r="I92" s="8">
        <f>VLOOKUP(F92,[1]characters!$A:$I,9,FALSE)</f>
        <v>5</v>
      </c>
      <c r="J92" s="8" t="str">
        <f>VLOOKUP(F92,[1]characters!$A:$H,8,FALSE)</f>
        <v>red</v>
      </c>
      <c r="K92" s="8" t="str">
        <f>VLOOKUP(F92,[1]characters!$A:$K,11,FALSE)</f>
        <v>balance</v>
      </c>
      <c r="L92" s="8" t="str">
        <f>VLOOKUP(F92,[1]characters!$A:$M,13,FALSE)</f>
        <v>god</v>
      </c>
      <c r="M92" s="16">
        <f>IFERROR(VLOOKUP(F92,gacha_conf!A$50:F$62,5+E92,FALSE),VLOOKUP(D92,gacha_conf!D$18:E$46,2,FALSE))</f>
        <v>554</v>
      </c>
      <c r="N92" s="37">
        <f>IFERROR(VLOOKUP($F92,bug_conf_sheet!$A:$H,3,FALSE),VLOOKUP("other",bug_conf_sheet!$A:$H,3,FALSE))</f>
        <v>1</v>
      </c>
      <c r="O92" s="37">
        <f>IFERROR(VLOOKUP($F92,bug_conf_sheet!$A:$H,4,FALSE),VLOOKUP("other",bug_conf_sheet!$A:$H,4,FALSE))</f>
        <v>0</v>
      </c>
      <c r="P92" s="37">
        <f>IFERROR(VLOOKUP($F92,bug_conf_sheet!$A:$H,5,FALSE),VLOOKUP("other",bug_conf_sheet!$A:$H,5,FALSE))</f>
        <v>0</v>
      </c>
      <c r="Q92" s="37">
        <f>IFERROR(VLOOKUP($F92,bug_conf_sheet!$A:$H,6,FALSE),VLOOKUP("other",bug_conf_sheet!$A:$H,6,FALSE))</f>
        <v>0</v>
      </c>
      <c r="R92" s="37">
        <f>IFERROR(VLOOKUP($F92,bug_conf_sheet!$A:$H,7,FALSE),VLOOKUP("other",bug_conf_sheet!$A:$H,7,FALSE))</f>
        <v>0</v>
      </c>
      <c r="S92" s="37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1941217</v>
      </c>
      <c r="B93" s="2" t="str">
        <f t="shared" si="6"/>
        <v>1941</v>
      </c>
      <c r="C93" s="8" t="str">
        <f t="shared" si="7"/>
        <v>1PremiumN3</v>
      </c>
      <c r="D93" s="8" t="str">
        <f t="shared" si="8"/>
        <v>1PremiumN3</v>
      </c>
      <c r="E93" s="10">
        <v>1</v>
      </c>
      <c r="F93" s="5">
        <v>217</v>
      </c>
      <c r="G93" s="8" t="str">
        <f>VLOOKUP(F93,[1]characters!$A:$C,3,FALSE)</f>
        <v>ケツァクアトル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green</v>
      </c>
      <c r="K93" s="8" t="str">
        <f>VLOOKUP(F93,[1]characters!$A:$K,11,FALSE)</f>
        <v>hp</v>
      </c>
      <c r="L93" s="8" t="str">
        <f>VLOOKUP(F93,[1]characters!$A:$M,13,FALSE)</f>
        <v>dragon</v>
      </c>
      <c r="M93" s="16">
        <f>IFERROR(VLOOKUP(F93,gacha_conf!A$50:F$62,5+E93,FALSE),VLOOKUP(D93,gacha_conf!D$18:E$46,2,FALSE))</f>
        <v>6739</v>
      </c>
      <c r="N93" s="37">
        <f>IFERROR(VLOOKUP($F93,bug_conf_sheet!$A:$H,3,FALSE),VLOOKUP("other",bug_conf_sheet!$A:$H,3,FALSE))</f>
        <v>1</v>
      </c>
      <c r="O93" s="37">
        <f>IFERROR(VLOOKUP($F93,bug_conf_sheet!$A:$H,4,FALSE),VLOOKUP("other",bug_conf_sheet!$A:$H,4,FALSE))</f>
        <v>0</v>
      </c>
      <c r="P93" s="37">
        <f>IFERROR(VLOOKUP($F93,bug_conf_sheet!$A:$H,5,FALSE),VLOOKUP("other",bug_conf_sheet!$A:$H,5,FALSE))</f>
        <v>0</v>
      </c>
      <c r="Q93" s="37">
        <f>IFERROR(VLOOKUP($F93,bug_conf_sheet!$A:$H,6,FALSE),VLOOKUP("other",bug_conf_sheet!$A:$H,6,FALSE))</f>
        <v>0</v>
      </c>
      <c r="R93" s="37">
        <f>IFERROR(VLOOKUP($F93,bug_conf_sheet!$A:$H,7,FALSE),VLOOKUP("other",bug_conf_sheet!$A:$H,7,FALSE))</f>
        <v>0</v>
      </c>
      <c r="S93" s="37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1941218</v>
      </c>
      <c r="B94" s="2" t="str">
        <f t="shared" si="6"/>
        <v>1941</v>
      </c>
      <c r="C94" s="8" t="str">
        <f t="shared" si="7"/>
        <v>1PremiumN4</v>
      </c>
      <c r="D94" s="8" t="str">
        <f t="shared" si="8"/>
        <v>1PremiumN4</v>
      </c>
      <c r="E94" s="10">
        <v>1</v>
      </c>
      <c r="F94" s="5">
        <v>218</v>
      </c>
      <c r="G94" s="8" t="str">
        <f>VLOOKUP(F94,[1]characters!$A:$C,3,FALSE)</f>
        <v>聖蛇 ケツァクアトル</v>
      </c>
      <c r="H94" s="8" t="str">
        <f>VLOOKUP(F94,[1]characters!$A:$J,10,FALSE)</f>
        <v>PremiumN</v>
      </c>
      <c r="I94" s="8">
        <f>VLOOKUP(F94,[1]characters!$A:$I,9,FALSE)</f>
        <v>4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dragon</v>
      </c>
      <c r="M94" s="16">
        <f>IFERROR(VLOOKUP(F94,gacha_conf!A$50:F$62,5+E94,FALSE),VLOOKUP(D94,gacha_conf!D$18:E$46,2,FALSE))</f>
        <v>1574</v>
      </c>
      <c r="N94" s="37">
        <f>IFERROR(VLOOKUP($F94,bug_conf_sheet!$A:$H,3,FALSE),VLOOKUP("other",bug_conf_sheet!$A:$H,3,FALSE))</f>
        <v>1</v>
      </c>
      <c r="O94" s="37">
        <f>IFERROR(VLOOKUP($F94,bug_conf_sheet!$A:$H,4,FALSE),VLOOKUP("other",bug_conf_sheet!$A:$H,4,FALSE))</f>
        <v>0</v>
      </c>
      <c r="P94" s="37">
        <f>IFERROR(VLOOKUP($F94,bug_conf_sheet!$A:$H,5,FALSE),VLOOKUP("other",bug_conf_sheet!$A:$H,5,FALSE))</f>
        <v>0</v>
      </c>
      <c r="Q94" s="37">
        <f>IFERROR(VLOOKUP($F94,bug_conf_sheet!$A:$H,6,FALSE),VLOOKUP("other",bug_conf_sheet!$A:$H,6,FALSE))</f>
        <v>0</v>
      </c>
      <c r="R94" s="37">
        <f>IFERROR(VLOOKUP($F94,bug_conf_sheet!$A:$H,7,FALSE),VLOOKUP("other",bug_conf_sheet!$A:$H,7,FALSE))</f>
        <v>0</v>
      </c>
      <c r="S94" s="37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1941219</v>
      </c>
      <c r="B95" s="2" t="str">
        <f t="shared" si="6"/>
        <v>1941</v>
      </c>
      <c r="C95" s="8" t="str">
        <f t="shared" si="7"/>
        <v>1PremiumN5</v>
      </c>
      <c r="D95" s="8" t="str">
        <f t="shared" si="8"/>
        <v>1PremiumN5</v>
      </c>
      <c r="E95" s="10">
        <v>1</v>
      </c>
      <c r="F95" s="5">
        <v>219</v>
      </c>
      <c r="G95" s="8" t="str">
        <f>VLOOKUP(F95,[1]characters!$A:$C,3,FALSE)</f>
        <v>覇翼の聖蛇竜 ケツァクアトル</v>
      </c>
      <c r="H95" s="8" t="str">
        <f>VLOOKUP(F95,[1]characters!$A:$J,10,FALSE)</f>
        <v>PremiumN</v>
      </c>
      <c r="I95" s="8">
        <f>VLOOKUP(F95,[1]characters!$A:$I,9,FALSE)</f>
        <v>5</v>
      </c>
      <c r="J95" s="8" t="str">
        <f>VLOOKUP(F95,[1]characters!$A:$H,8,FALSE)</f>
        <v>green</v>
      </c>
      <c r="K95" s="8" t="str">
        <f>VLOOKUP(F95,[1]characters!$A:$K,11,FALSE)</f>
        <v>hp</v>
      </c>
      <c r="L95" s="8" t="str">
        <f>VLOOKUP(F95,[1]characters!$A:$M,13,FALSE)</f>
        <v>dragon</v>
      </c>
      <c r="M95" s="16">
        <f>IFERROR(VLOOKUP(F95,gacha_conf!A$50:F$62,5+E95,FALSE),VLOOKUP(D95,gacha_conf!D$18:E$46,2,FALSE))</f>
        <v>554</v>
      </c>
      <c r="N95" s="37">
        <f>IFERROR(VLOOKUP($F95,bug_conf_sheet!$A:$H,3,FALSE),VLOOKUP("other",bug_conf_sheet!$A:$H,3,FALSE))</f>
        <v>1</v>
      </c>
      <c r="O95" s="37">
        <f>IFERROR(VLOOKUP($F95,bug_conf_sheet!$A:$H,4,FALSE),VLOOKUP("other",bug_conf_sheet!$A:$H,4,FALSE))</f>
        <v>0</v>
      </c>
      <c r="P95" s="37">
        <f>IFERROR(VLOOKUP($F95,bug_conf_sheet!$A:$H,5,FALSE),VLOOKUP("other",bug_conf_sheet!$A:$H,5,FALSE))</f>
        <v>0</v>
      </c>
      <c r="Q95" s="37">
        <f>IFERROR(VLOOKUP($F95,bug_conf_sheet!$A:$H,6,FALSE),VLOOKUP("other",bug_conf_sheet!$A:$H,6,FALSE))</f>
        <v>0</v>
      </c>
      <c r="R95" s="37">
        <f>IFERROR(VLOOKUP($F95,bug_conf_sheet!$A:$H,7,FALSE),VLOOKUP("other",bug_conf_sheet!$A:$H,7,FALSE))</f>
        <v>0</v>
      </c>
      <c r="S95" s="37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1941220</v>
      </c>
      <c r="B96" s="2" t="str">
        <f t="shared" si="6"/>
        <v>1941</v>
      </c>
      <c r="C96" s="8" t="str">
        <f t="shared" si="7"/>
        <v>1PremiumN3</v>
      </c>
      <c r="D96" s="8" t="str">
        <f t="shared" si="8"/>
        <v>1PremiumN3</v>
      </c>
      <c r="E96" s="10">
        <v>1</v>
      </c>
      <c r="F96" s="5">
        <v>220</v>
      </c>
      <c r="G96" s="8" t="str">
        <f>VLOOKUP(F96,[1]characters!$A:$C,3,FALSE)</f>
        <v>ルキフグス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blue</v>
      </c>
      <c r="K96" s="8" t="str">
        <f>VLOOKUP(F96,[1]characters!$A:$K,11,FALSE)</f>
        <v>balance</v>
      </c>
      <c r="L96" s="8" t="str">
        <f>VLOOKUP(F96,[1]characters!$A:$M,13,FALSE)</f>
        <v>god</v>
      </c>
      <c r="M96" s="16">
        <f>IFERROR(VLOOKUP(F96,gacha_conf!A$50:F$62,5+E96,FALSE),VLOOKUP(D96,gacha_conf!D$18:E$46,2,FALSE))</f>
        <v>6739</v>
      </c>
      <c r="N96" s="37">
        <f>IFERROR(VLOOKUP($F96,bug_conf_sheet!$A:$H,3,FALSE),VLOOKUP("other",bug_conf_sheet!$A:$H,3,FALSE))</f>
        <v>1</v>
      </c>
      <c r="O96" s="37">
        <f>IFERROR(VLOOKUP($F96,bug_conf_sheet!$A:$H,4,FALSE),VLOOKUP("other",bug_conf_sheet!$A:$H,4,FALSE))</f>
        <v>0</v>
      </c>
      <c r="P96" s="37">
        <f>IFERROR(VLOOKUP($F96,bug_conf_sheet!$A:$H,5,FALSE),VLOOKUP("other",bug_conf_sheet!$A:$H,5,FALSE))</f>
        <v>0</v>
      </c>
      <c r="Q96" s="37">
        <f>IFERROR(VLOOKUP($F96,bug_conf_sheet!$A:$H,6,FALSE),VLOOKUP("other",bug_conf_sheet!$A:$H,6,FALSE))</f>
        <v>0</v>
      </c>
      <c r="R96" s="37">
        <f>IFERROR(VLOOKUP($F96,bug_conf_sheet!$A:$H,7,FALSE),VLOOKUP("other",bug_conf_sheet!$A:$H,7,FALSE))</f>
        <v>0</v>
      </c>
      <c r="S96" s="37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1941221</v>
      </c>
      <c r="B97" s="2" t="str">
        <f t="shared" si="6"/>
        <v>1941</v>
      </c>
      <c r="C97" s="8" t="str">
        <f t="shared" si="7"/>
        <v>1PremiumN4</v>
      </c>
      <c r="D97" s="8" t="str">
        <f t="shared" si="8"/>
        <v>1PremiumN4</v>
      </c>
      <c r="E97" s="10">
        <v>1</v>
      </c>
      <c r="F97" s="5">
        <v>221</v>
      </c>
      <c r="G97" s="8" t="str">
        <f>VLOOKUP(F97,[1]characters!$A:$C,3,FALSE)</f>
        <v>宰相 ルキフグス</v>
      </c>
      <c r="H97" s="8" t="str">
        <f>VLOOKUP(F97,[1]characters!$A:$J,10,FALSE)</f>
        <v>PremiumN</v>
      </c>
      <c r="I97" s="8">
        <f>VLOOKUP(F97,[1]characters!$A:$I,9,FALSE)</f>
        <v>4</v>
      </c>
      <c r="J97" s="8" t="str">
        <f>VLOOKUP(F97,[1]characters!$A:$H,8,FALSE)</f>
        <v>blue</v>
      </c>
      <c r="K97" s="8" t="str">
        <f>VLOOKUP(F97,[1]characters!$A:$K,11,FALSE)</f>
        <v>balance</v>
      </c>
      <c r="L97" s="8" t="str">
        <f>VLOOKUP(F97,[1]characters!$A:$M,13,FALSE)</f>
        <v>god</v>
      </c>
      <c r="M97" s="16">
        <f>IFERROR(VLOOKUP(F97,gacha_conf!A$50:F$62,5+E97,FALSE),VLOOKUP(D97,gacha_conf!D$18:E$46,2,FALSE))</f>
        <v>1574</v>
      </c>
      <c r="N97" s="37">
        <f>IFERROR(VLOOKUP($F97,bug_conf_sheet!$A:$H,3,FALSE),VLOOKUP("other",bug_conf_sheet!$A:$H,3,FALSE))</f>
        <v>1</v>
      </c>
      <c r="O97" s="37">
        <f>IFERROR(VLOOKUP($F97,bug_conf_sheet!$A:$H,4,FALSE),VLOOKUP("other",bug_conf_sheet!$A:$H,4,FALSE))</f>
        <v>0</v>
      </c>
      <c r="P97" s="37">
        <f>IFERROR(VLOOKUP($F97,bug_conf_sheet!$A:$H,5,FALSE),VLOOKUP("other",bug_conf_sheet!$A:$H,5,FALSE))</f>
        <v>0</v>
      </c>
      <c r="Q97" s="37">
        <f>IFERROR(VLOOKUP($F97,bug_conf_sheet!$A:$H,6,FALSE),VLOOKUP("other",bug_conf_sheet!$A:$H,6,FALSE))</f>
        <v>0</v>
      </c>
      <c r="R97" s="37">
        <f>IFERROR(VLOOKUP($F97,bug_conf_sheet!$A:$H,7,FALSE),VLOOKUP("other",bug_conf_sheet!$A:$H,7,FALSE))</f>
        <v>0</v>
      </c>
      <c r="S97" s="37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1941222</v>
      </c>
      <c r="B98" s="2" t="str">
        <f t="shared" si="6"/>
        <v>1941</v>
      </c>
      <c r="C98" s="8" t="str">
        <f t="shared" si="7"/>
        <v>1PremiumN5</v>
      </c>
      <c r="D98" s="8" t="str">
        <f t="shared" si="8"/>
        <v>1PremiumN5</v>
      </c>
      <c r="E98" s="10">
        <v>1</v>
      </c>
      <c r="F98" s="5">
        <v>222</v>
      </c>
      <c r="G98" s="8" t="str">
        <f>VLOOKUP(F98,[1]characters!$A:$C,3,FALSE)</f>
        <v>避光の鉄鎖宰相 ルキフグス</v>
      </c>
      <c r="H98" s="8" t="str">
        <f>VLOOKUP(F98,[1]characters!$A:$J,10,FALSE)</f>
        <v>PremiumN</v>
      </c>
      <c r="I98" s="8">
        <f>VLOOKUP(F98,[1]characters!$A:$I,9,FALSE)</f>
        <v>5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god</v>
      </c>
      <c r="M98" s="16">
        <f>IFERROR(VLOOKUP(F98,gacha_conf!A$50:F$62,5+E98,FALSE),VLOOKUP(D98,gacha_conf!D$18:E$46,2,FALSE))</f>
        <v>554</v>
      </c>
      <c r="N98" s="37">
        <f>IFERROR(VLOOKUP($F98,bug_conf_sheet!$A:$H,3,FALSE),VLOOKUP("other",bug_conf_sheet!$A:$H,3,FALSE))</f>
        <v>1</v>
      </c>
      <c r="O98" s="37">
        <f>IFERROR(VLOOKUP($F98,bug_conf_sheet!$A:$H,4,FALSE),VLOOKUP("other",bug_conf_sheet!$A:$H,4,FALSE))</f>
        <v>0</v>
      </c>
      <c r="P98" s="37">
        <f>IFERROR(VLOOKUP($F98,bug_conf_sheet!$A:$H,5,FALSE),VLOOKUP("other",bug_conf_sheet!$A:$H,5,FALSE))</f>
        <v>0</v>
      </c>
      <c r="Q98" s="37">
        <f>IFERROR(VLOOKUP($F98,bug_conf_sheet!$A:$H,6,FALSE),VLOOKUP("other",bug_conf_sheet!$A:$H,6,FALSE))</f>
        <v>0</v>
      </c>
      <c r="R98" s="37">
        <f>IFERROR(VLOOKUP($F98,bug_conf_sheet!$A:$H,7,FALSE),VLOOKUP("other",bug_conf_sheet!$A:$H,7,FALSE))</f>
        <v>0</v>
      </c>
      <c r="S98" s="37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1941223</v>
      </c>
      <c r="B99" s="2" t="str">
        <f t="shared" si="6"/>
        <v>1941</v>
      </c>
      <c r="C99" s="8" t="str">
        <f t="shared" si="7"/>
        <v>1PremiumN3</v>
      </c>
      <c r="D99" s="8" t="str">
        <f t="shared" si="8"/>
        <v>1PremiumN3</v>
      </c>
      <c r="E99" s="10">
        <v>1</v>
      </c>
      <c r="F99" s="5">
        <v>223</v>
      </c>
      <c r="G99" s="8" t="str">
        <f>VLOOKUP(F99,[1]characters!$A:$C,3,FALSE)</f>
        <v>ヘラクレス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16">
        <f>IFERROR(VLOOKUP(F99,gacha_conf!A$50:F$62,5+E99,FALSE),VLOOKUP(D99,gacha_conf!D$18:E$46,2,FALSE))</f>
        <v>6739</v>
      </c>
      <c r="N99" s="37">
        <f>IFERROR(VLOOKUP($F99,bug_conf_sheet!$A:$H,3,FALSE),VLOOKUP("other",bug_conf_sheet!$A:$H,3,FALSE))</f>
        <v>1</v>
      </c>
      <c r="O99" s="37">
        <f>IFERROR(VLOOKUP($F99,bug_conf_sheet!$A:$H,4,FALSE),VLOOKUP("other",bug_conf_sheet!$A:$H,4,FALSE))</f>
        <v>0</v>
      </c>
      <c r="P99" s="37">
        <f>IFERROR(VLOOKUP($F99,bug_conf_sheet!$A:$H,5,FALSE),VLOOKUP("other",bug_conf_sheet!$A:$H,5,FALSE))</f>
        <v>0</v>
      </c>
      <c r="Q99" s="37">
        <f>IFERROR(VLOOKUP($F99,bug_conf_sheet!$A:$H,6,FALSE),VLOOKUP("other",bug_conf_sheet!$A:$H,6,FALSE))</f>
        <v>0</v>
      </c>
      <c r="R99" s="37">
        <f>IFERROR(VLOOKUP($F99,bug_conf_sheet!$A:$H,7,FALSE),VLOOKUP("other",bug_conf_sheet!$A:$H,7,FALSE))</f>
        <v>0</v>
      </c>
      <c r="S99" s="37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1941224</v>
      </c>
      <c r="B100" s="2" t="str">
        <f t="shared" si="6"/>
        <v>1941</v>
      </c>
      <c r="C100" s="8" t="str">
        <f t="shared" si="7"/>
        <v>1PremiumN4</v>
      </c>
      <c r="D100" s="8" t="str">
        <f t="shared" si="8"/>
        <v>1PremiumN4</v>
      </c>
      <c r="E100" s="10">
        <v>1</v>
      </c>
      <c r="F100" s="5">
        <v>224</v>
      </c>
      <c r="G100" s="8" t="str">
        <f>VLOOKUP(F100,[1]characters!$A:$C,3,FALSE)</f>
        <v>巨腕 ヘラクレス</v>
      </c>
      <c r="H100" s="8" t="str">
        <f>VLOOKUP(F100,[1]characters!$A:$J,10,FALSE)</f>
        <v>PremiumN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16">
        <f>IFERROR(VLOOKUP(F100,gacha_conf!A$50:F$62,5+E100,FALSE),VLOOKUP(D100,gacha_conf!D$18:E$46,2,FALSE))</f>
        <v>1574</v>
      </c>
      <c r="N100" s="37">
        <f>IFERROR(VLOOKUP($F100,bug_conf_sheet!$A:$H,3,FALSE),VLOOKUP("other",bug_conf_sheet!$A:$H,3,FALSE))</f>
        <v>1</v>
      </c>
      <c r="O100" s="37">
        <f>IFERROR(VLOOKUP($F100,bug_conf_sheet!$A:$H,4,FALSE),VLOOKUP("other",bug_conf_sheet!$A:$H,4,FALSE))</f>
        <v>0</v>
      </c>
      <c r="P100" s="37">
        <f>IFERROR(VLOOKUP($F100,bug_conf_sheet!$A:$H,5,FALSE),VLOOKUP("other",bug_conf_sheet!$A:$H,5,FALSE))</f>
        <v>0</v>
      </c>
      <c r="Q100" s="37">
        <f>IFERROR(VLOOKUP($F100,bug_conf_sheet!$A:$H,6,FALSE),VLOOKUP("other",bug_conf_sheet!$A:$H,6,FALSE))</f>
        <v>0</v>
      </c>
      <c r="R100" s="37">
        <f>IFERROR(VLOOKUP($F100,bug_conf_sheet!$A:$H,7,FALSE),VLOOKUP("other",bug_conf_sheet!$A:$H,7,FALSE))</f>
        <v>0</v>
      </c>
      <c r="S100" s="37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1941225</v>
      </c>
      <c r="B101" s="2" t="str">
        <f t="shared" si="6"/>
        <v>1941</v>
      </c>
      <c r="C101" s="8" t="str">
        <f t="shared" si="7"/>
        <v>1PremiumN5</v>
      </c>
      <c r="D101" s="8" t="str">
        <f t="shared" si="8"/>
        <v>1PremiumN5</v>
      </c>
      <c r="E101" s="10">
        <v>1</v>
      </c>
      <c r="F101" s="5">
        <v>225</v>
      </c>
      <c r="G101" s="8" t="str">
        <f>VLOOKUP(F101,[1]characters!$A:$C,3,FALSE)</f>
        <v>咆哮の巨獅腕 ヘラクレス</v>
      </c>
      <c r="H101" s="8" t="str">
        <f>VLOOKUP(F101,[1]characters!$A:$J,10,FALSE)</f>
        <v>PremiumN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16">
        <f>IFERROR(VLOOKUP(F101,gacha_conf!A$50:F$62,5+E101,FALSE),VLOOKUP(D101,gacha_conf!D$18:E$46,2,FALSE))</f>
        <v>554</v>
      </c>
      <c r="N101" s="37">
        <f>IFERROR(VLOOKUP($F101,bug_conf_sheet!$A:$H,3,FALSE),VLOOKUP("other",bug_conf_sheet!$A:$H,3,FALSE))</f>
        <v>1</v>
      </c>
      <c r="O101" s="37">
        <f>IFERROR(VLOOKUP($F101,bug_conf_sheet!$A:$H,4,FALSE),VLOOKUP("other",bug_conf_sheet!$A:$H,4,FALSE))</f>
        <v>0</v>
      </c>
      <c r="P101" s="37">
        <f>IFERROR(VLOOKUP($F101,bug_conf_sheet!$A:$H,5,FALSE),VLOOKUP("other",bug_conf_sheet!$A:$H,5,FALSE))</f>
        <v>0</v>
      </c>
      <c r="Q101" s="37">
        <f>IFERROR(VLOOKUP($F101,bug_conf_sheet!$A:$H,6,FALSE),VLOOKUP("other",bug_conf_sheet!$A:$H,6,FALSE))</f>
        <v>0</v>
      </c>
      <c r="R101" s="37">
        <f>IFERROR(VLOOKUP($F101,bug_conf_sheet!$A:$H,7,FALSE),VLOOKUP("other",bug_conf_sheet!$A:$H,7,FALSE))</f>
        <v>0</v>
      </c>
      <c r="S101" s="37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1941226</v>
      </c>
      <c r="B102" s="2" t="str">
        <f t="shared" si="6"/>
        <v>1941</v>
      </c>
      <c r="C102" s="8" t="str">
        <f t="shared" si="7"/>
        <v>1PremiumS3</v>
      </c>
      <c r="D102" s="8" t="str">
        <f t="shared" si="8"/>
        <v>1PremiumS3</v>
      </c>
      <c r="E102" s="10">
        <v>1</v>
      </c>
      <c r="F102" s="5">
        <v>226</v>
      </c>
      <c r="G102" s="8" t="str">
        <f>VLOOKUP(F102,[1]characters!$A:$C,3,FALSE)</f>
        <v>アレス</v>
      </c>
      <c r="H102" s="8" t="str">
        <f>VLOOKUP(F102,[1]characters!$A:$J,10,FALSE)</f>
        <v>PremiumS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attack</v>
      </c>
      <c r="L102" s="8" t="str">
        <f>VLOOKUP(F102,[1]characters!$A:$M,13,FALSE)</f>
        <v>god</v>
      </c>
      <c r="M102" s="16">
        <f>IFERROR(VLOOKUP(F102,gacha_conf!A$50:F$62,5+E102,FALSE),VLOOKUP(D102,gacha_conf!D$18:E$46,2,FALSE))</f>
        <v>6739</v>
      </c>
      <c r="N102" s="37">
        <f>IFERROR(VLOOKUP($F102,bug_conf_sheet!$A:$H,3,FALSE),VLOOKUP("other",bug_conf_sheet!$A:$H,3,FALSE))</f>
        <v>1</v>
      </c>
      <c r="O102" s="37">
        <f>IFERROR(VLOOKUP($F102,bug_conf_sheet!$A:$H,4,FALSE),VLOOKUP("other",bug_conf_sheet!$A:$H,4,FALSE))</f>
        <v>0</v>
      </c>
      <c r="P102" s="37">
        <f>IFERROR(VLOOKUP($F102,bug_conf_sheet!$A:$H,5,FALSE),VLOOKUP("other",bug_conf_sheet!$A:$H,5,FALSE))</f>
        <v>0</v>
      </c>
      <c r="Q102" s="37">
        <f>IFERROR(VLOOKUP($F102,bug_conf_sheet!$A:$H,6,FALSE),VLOOKUP("other",bug_conf_sheet!$A:$H,6,FALSE))</f>
        <v>0</v>
      </c>
      <c r="R102" s="37">
        <f>IFERROR(VLOOKUP($F102,bug_conf_sheet!$A:$H,7,FALSE),VLOOKUP("other",bug_conf_sheet!$A:$H,7,FALSE))</f>
        <v>0</v>
      </c>
      <c r="S102" s="37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1941227</v>
      </c>
      <c r="B103" s="2" t="str">
        <f t="shared" si="6"/>
        <v>1941</v>
      </c>
      <c r="C103" s="8" t="str">
        <f t="shared" si="7"/>
        <v>1PremiumS4</v>
      </c>
      <c r="D103" s="8" t="str">
        <f t="shared" si="8"/>
        <v>1PremiumS4</v>
      </c>
      <c r="E103" s="10">
        <v>1</v>
      </c>
      <c r="F103" s="5">
        <v>227</v>
      </c>
      <c r="G103" s="8" t="str">
        <f>VLOOKUP(F103,[1]characters!$A:$C,3,FALSE)</f>
        <v>滅弾 アレス</v>
      </c>
      <c r="H103" s="8" t="str">
        <f>VLOOKUP(F103,[1]characters!$A:$J,10,FALSE)</f>
        <v>PremiumS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attack</v>
      </c>
      <c r="L103" s="8" t="str">
        <f>VLOOKUP(F103,[1]characters!$A:$M,13,FALSE)</f>
        <v>god</v>
      </c>
      <c r="M103" s="16">
        <f>IFERROR(VLOOKUP(F103,gacha_conf!A$50:F$62,5+E103,FALSE),VLOOKUP(D103,gacha_conf!D$18:E$46,2,FALSE))</f>
        <v>1574</v>
      </c>
      <c r="N103" s="37">
        <f>IFERROR(VLOOKUP($F103,bug_conf_sheet!$A:$H,3,FALSE),VLOOKUP("other",bug_conf_sheet!$A:$H,3,FALSE))</f>
        <v>1</v>
      </c>
      <c r="O103" s="37">
        <f>IFERROR(VLOOKUP($F103,bug_conf_sheet!$A:$H,4,FALSE),VLOOKUP("other",bug_conf_sheet!$A:$H,4,FALSE))</f>
        <v>0</v>
      </c>
      <c r="P103" s="37">
        <f>IFERROR(VLOOKUP($F103,bug_conf_sheet!$A:$H,5,FALSE),VLOOKUP("other",bug_conf_sheet!$A:$H,5,FALSE))</f>
        <v>0</v>
      </c>
      <c r="Q103" s="37">
        <f>IFERROR(VLOOKUP($F103,bug_conf_sheet!$A:$H,6,FALSE),VLOOKUP("other",bug_conf_sheet!$A:$H,6,FALSE))</f>
        <v>0</v>
      </c>
      <c r="R103" s="37">
        <f>IFERROR(VLOOKUP($F103,bug_conf_sheet!$A:$H,7,FALSE),VLOOKUP("other",bug_conf_sheet!$A:$H,7,FALSE))</f>
        <v>0</v>
      </c>
      <c r="S103" s="37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1941228</v>
      </c>
      <c r="B104" s="2" t="str">
        <f t="shared" si="6"/>
        <v>1941</v>
      </c>
      <c r="C104" s="8" t="str">
        <f t="shared" si="7"/>
        <v>1PremiumS5</v>
      </c>
      <c r="D104" s="8" t="str">
        <f t="shared" si="8"/>
        <v>1PremiumS5</v>
      </c>
      <c r="E104" s="10">
        <v>1</v>
      </c>
      <c r="F104" s="5">
        <v>228</v>
      </c>
      <c r="G104" s="8" t="str">
        <f>VLOOKUP(F104,[1]characters!$A:$C,3,FALSE)</f>
        <v>殲滅の掃射砲 アレス</v>
      </c>
      <c r="H104" s="8" t="str">
        <f>VLOOKUP(F104,[1]characters!$A:$J,10,FALSE)</f>
        <v>PremiumS</v>
      </c>
      <c r="I104" s="8">
        <f>VLOOKUP(F104,[1]characters!$A:$I,9,FALSE)</f>
        <v>5</v>
      </c>
      <c r="J104" s="8" t="str">
        <f>VLOOKUP(F104,[1]characters!$A:$H,8,FALSE)</f>
        <v>red</v>
      </c>
      <c r="K104" s="8" t="str">
        <f>VLOOKUP(F104,[1]characters!$A:$K,11,FALSE)</f>
        <v>attack</v>
      </c>
      <c r="L104" s="8" t="str">
        <f>VLOOKUP(F104,[1]characters!$A:$M,13,FALSE)</f>
        <v>god</v>
      </c>
      <c r="M104" s="16">
        <f>IFERROR(VLOOKUP(F104,gacha_conf!A$50:F$62,5+E104,FALSE),VLOOKUP(D104,gacha_conf!D$18:E$46,2,FALSE))</f>
        <v>554</v>
      </c>
      <c r="N104" s="37">
        <f>IFERROR(VLOOKUP($F104,bug_conf_sheet!$A:$H,3,FALSE),VLOOKUP("other",bug_conf_sheet!$A:$H,3,FALSE))</f>
        <v>1</v>
      </c>
      <c r="O104" s="37">
        <f>IFERROR(VLOOKUP($F104,bug_conf_sheet!$A:$H,4,FALSE),VLOOKUP("other",bug_conf_sheet!$A:$H,4,FALSE))</f>
        <v>0</v>
      </c>
      <c r="P104" s="37">
        <f>IFERROR(VLOOKUP($F104,bug_conf_sheet!$A:$H,5,FALSE),VLOOKUP("other",bug_conf_sheet!$A:$H,5,FALSE))</f>
        <v>0</v>
      </c>
      <c r="Q104" s="37">
        <f>IFERROR(VLOOKUP($F104,bug_conf_sheet!$A:$H,6,FALSE),VLOOKUP("other",bug_conf_sheet!$A:$H,6,FALSE))</f>
        <v>0</v>
      </c>
      <c r="R104" s="37">
        <f>IFERROR(VLOOKUP($F104,bug_conf_sheet!$A:$H,7,FALSE),VLOOKUP("other",bug_conf_sheet!$A:$H,7,FALSE))</f>
        <v>0</v>
      </c>
      <c r="S104" s="37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1941229</v>
      </c>
      <c r="B105" s="2" t="str">
        <f t="shared" si="6"/>
        <v>1941</v>
      </c>
      <c r="C105" s="8" t="str">
        <f t="shared" si="7"/>
        <v>1PremiumS3</v>
      </c>
      <c r="D105" s="8" t="str">
        <f t="shared" si="8"/>
        <v>1PremiumS3</v>
      </c>
      <c r="E105" s="10">
        <v>1</v>
      </c>
      <c r="F105" s="5">
        <v>229</v>
      </c>
      <c r="G105" s="8" t="str">
        <f>VLOOKUP(F105,[1]characters!$A:$C,3,FALSE)</f>
        <v>ヨルムンガンド</v>
      </c>
      <c r="H105" s="8" t="str">
        <f>VLOOKUP(F105,[1]characters!$A:$J,10,FALSE)</f>
        <v>PremiumS</v>
      </c>
      <c r="I105" s="8">
        <f>VLOOKUP(F105,[1]characters!$A:$I,9,FALSE)</f>
        <v>3</v>
      </c>
      <c r="J105" s="8" t="str">
        <f>VLOOKUP(F105,[1]characters!$A:$H,8,FALSE)</f>
        <v>green</v>
      </c>
      <c r="K105" s="8" t="str">
        <f>VLOOKUP(F105,[1]characters!$A:$K,11,FALSE)</f>
        <v>technical</v>
      </c>
      <c r="L105" s="8" t="str">
        <f>VLOOKUP(F105,[1]characters!$A:$M,13,FALSE)</f>
        <v>dragon</v>
      </c>
      <c r="M105" s="16">
        <f>IFERROR(VLOOKUP(F105,gacha_conf!A$50:F$62,5+E105,FALSE),VLOOKUP(D105,gacha_conf!D$18:E$46,2,FALSE))</f>
        <v>6739</v>
      </c>
      <c r="N105" s="37">
        <f>IFERROR(VLOOKUP($F105,bug_conf_sheet!$A:$H,3,FALSE),VLOOKUP("other",bug_conf_sheet!$A:$H,3,FALSE))</f>
        <v>1</v>
      </c>
      <c r="O105" s="37">
        <f>IFERROR(VLOOKUP($F105,bug_conf_sheet!$A:$H,4,FALSE),VLOOKUP("other",bug_conf_sheet!$A:$H,4,FALSE))</f>
        <v>0</v>
      </c>
      <c r="P105" s="37">
        <f>IFERROR(VLOOKUP($F105,bug_conf_sheet!$A:$H,5,FALSE),VLOOKUP("other",bug_conf_sheet!$A:$H,5,FALSE))</f>
        <v>0</v>
      </c>
      <c r="Q105" s="37">
        <f>IFERROR(VLOOKUP($F105,bug_conf_sheet!$A:$H,6,FALSE),VLOOKUP("other",bug_conf_sheet!$A:$H,6,FALSE))</f>
        <v>0</v>
      </c>
      <c r="R105" s="37">
        <f>IFERROR(VLOOKUP($F105,bug_conf_sheet!$A:$H,7,FALSE),VLOOKUP("other",bug_conf_sheet!$A:$H,7,FALSE))</f>
        <v>0</v>
      </c>
      <c r="S105" s="37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1941230</v>
      </c>
      <c r="B106" s="2" t="str">
        <f t="shared" si="6"/>
        <v>1941</v>
      </c>
      <c r="C106" s="8" t="str">
        <f t="shared" si="7"/>
        <v>1PremiumS4</v>
      </c>
      <c r="D106" s="8" t="str">
        <f t="shared" si="8"/>
        <v>1PremiumS4</v>
      </c>
      <c r="E106" s="10">
        <v>1</v>
      </c>
      <c r="F106" s="5">
        <v>230</v>
      </c>
      <c r="G106" s="8" t="str">
        <f>VLOOKUP(F106,[1]characters!$A:$C,3,FALSE)</f>
        <v>毒銃 ヨルムンガンド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green</v>
      </c>
      <c r="K106" s="8" t="str">
        <f>VLOOKUP(F106,[1]characters!$A:$K,11,FALSE)</f>
        <v>technical</v>
      </c>
      <c r="L106" s="8" t="str">
        <f>VLOOKUP(F106,[1]characters!$A:$M,13,FALSE)</f>
        <v>dragon</v>
      </c>
      <c r="M106" s="16">
        <f>IFERROR(VLOOKUP(F106,gacha_conf!A$50:F$62,5+E106,FALSE),VLOOKUP(D106,gacha_conf!D$18:E$46,2,FALSE))</f>
        <v>1574</v>
      </c>
      <c r="N106" s="37">
        <f>IFERROR(VLOOKUP($F106,bug_conf_sheet!$A:$H,3,FALSE),VLOOKUP("other",bug_conf_sheet!$A:$H,3,FALSE))</f>
        <v>1</v>
      </c>
      <c r="O106" s="37">
        <f>IFERROR(VLOOKUP($F106,bug_conf_sheet!$A:$H,4,FALSE),VLOOKUP("other",bug_conf_sheet!$A:$H,4,FALSE))</f>
        <v>0</v>
      </c>
      <c r="P106" s="37">
        <f>IFERROR(VLOOKUP($F106,bug_conf_sheet!$A:$H,5,FALSE),VLOOKUP("other",bug_conf_sheet!$A:$H,5,FALSE))</f>
        <v>0</v>
      </c>
      <c r="Q106" s="37">
        <f>IFERROR(VLOOKUP($F106,bug_conf_sheet!$A:$H,6,FALSE),VLOOKUP("other",bug_conf_sheet!$A:$H,6,FALSE))</f>
        <v>0</v>
      </c>
      <c r="R106" s="37">
        <f>IFERROR(VLOOKUP($F106,bug_conf_sheet!$A:$H,7,FALSE),VLOOKUP("other",bug_conf_sheet!$A:$H,7,FALSE))</f>
        <v>0</v>
      </c>
      <c r="S106" s="37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1941231</v>
      </c>
      <c r="B107" s="2" t="str">
        <f t="shared" si="6"/>
        <v>1941</v>
      </c>
      <c r="C107" s="8" t="str">
        <f t="shared" si="7"/>
        <v>1PremiumS5</v>
      </c>
      <c r="D107" s="8" t="str">
        <f t="shared" si="8"/>
        <v>1PremiumS5</v>
      </c>
      <c r="E107" s="10">
        <v>1</v>
      </c>
      <c r="F107" s="5">
        <v>231</v>
      </c>
      <c r="G107" s="8" t="str">
        <f>VLOOKUP(F107,[1]characters!$A:$C,3,FALSE)</f>
        <v>必中の咬銃 ヨルムンガンド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green</v>
      </c>
      <c r="K107" s="8" t="str">
        <f>VLOOKUP(F107,[1]characters!$A:$K,11,FALSE)</f>
        <v>technical</v>
      </c>
      <c r="L107" s="8" t="str">
        <f>VLOOKUP(F107,[1]characters!$A:$M,13,FALSE)</f>
        <v>dragon</v>
      </c>
      <c r="M107" s="16">
        <f>IFERROR(VLOOKUP(F107,gacha_conf!A$50:F$62,5+E107,FALSE),VLOOKUP(D107,gacha_conf!D$18:E$46,2,FALSE))</f>
        <v>554</v>
      </c>
      <c r="N107" s="37">
        <f>IFERROR(VLOOKUP($F107,bug_conf_sheet!$A:$H,3,FALSE),VLOOKUP("other",bug_conf_sheet!$A:$H,3,FALSE))</f>
        <v>1</v>
      </c>
      <c r="O107" s="37">
        <f>IFERROR(VLOOKUP($F107,bug_conf_sheet!$A:$H,4,FALSE),VLOOKUP("other",bug_conf_sheet!$A:$H,4,FALSE))</f>
        <v>0</v>
      </c>
      <c r="P107" s="37">
        <f>IFERROR(VLOOKUP($F107,bug_conf_sheet!$A:$H,5,FALSE),VLOOKUP("other",bug_conf_sheet!$A:$H,5,FALSE))</f>
        <v>0</v>
      </c>
      <c r="Q107" s="37">
        <f>IFERROR(VLOOKUP($F107,bug_conf_sheet!$A:$H,6,FALSE),VLOOKUP("other",bug_conf_sheet!$A:$H,6,FALSE))</f>
        <v>0</v>
      </c>
      <c r="R107" s="37">
        <f>IFERROR(VLOOKUP($F107,bug_conf_sheet!$A:$H,7,FALSE),VLOOKUP("other",bug_conf_sheet!$A:$H,7,FALSE))</f>
        <v>0</v>
      </c>
      <c r="S107" s="37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1941232</v>
      </c>
      <c r="B108" s="2" t="str">
        <f t="shared" si="6"/>
        <v>1941</v>
      </c>
      <c r="C108" s="8" t="str">
        <f t="shared" si="7"/>
        <v>1PremiumS3</v>
      </c>
      <c r="D108" s="8" t="str">
        <f t="shared" si="8"/>
        <v>1PremiumS3</v>
      </c>
      <c r="E108" s="10">
        <v>1</v>
      </c>
      <c r="F108" s="5">
        <v>232</v>
      </c>
      <c r="G108" s="8" t="str">
        <f>VLOOKUP(F108,[1]characters!$A:$C,3,FALSE)</f>
        <v>パーシヴァル</v>
      </c>
      <c r="H108" s="8" t="str">
        <f>VLOOKUP(F108,[1]characters!$A:$J,10,FALSE)</f>
        <v>PremiumS</v>
      </c>
      <c r="I108" s="8">
        <f>VLOOKUP(F108,[1]characters!$A:$I,9,FALSE)</f>
        <v>3</v>
      </c>
      <c r="J108" s="8" t="str">
        <f>VLOOKUP(F108,[1]characters!$A:$H,8,FALSE)</f>
        <v>blue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16">
        <f>IFERROR(VLOOKUP(F108,gacha_conf!A$50:F$62,5+E108,FALSE),VLOOKUP(D108,gacha_conf!D$18:E$46,2,FALSE))</f>
        <v>6739</v>
      </c>
      <c r="N108" s="37">
        <f>IFERROR(VLOOKUP($F108,bug_conf_sheet!$A:$H,3,FALSE),VLOOKUP("other",bug_conf_sheet!$A:$H,3,FALSE))</f>
        <v>1</v>
      </c>
      <c r="O108" s="37">
        <f>IFERROR(VLOOKUP($F108,bug_conf_sheet!$A:$H,4,FALSE),VLOOKUP("other",bug_conf_sheet!$A:$H,4,FALSE))</f>
        <v>0</v>
      </c>
      <c r="P108" s="37">
        <f>IFERROR(VLOOKUP($F108,bug_conf_sheet!$A:$H,5,FALSE),VLOOKUP("other",bug_conf_sheet!$A:$H,5,FALSE))</f>
        <v>0</v>
      </c>
      <c r="Q108" s="37">
        <f>IFERROR(VLOOKUP($F108,bug_conf_sheet!$A:$H,6,FALSE),VLOOKUP("other",bug_conf_sheet!$A:$H,6,FALSE))</f>
        <v>0</v>
      </c>
      <c r="R108" s="37">
        <f>IFERROR(VLOOKUP($F108,bug_conf_sheet!$A:$H,7,FALSE),VLOOKUP("other",bug_conf_sheet!$A:$H,7,FALSE))</f>
        <v>0</v>
      </c>
      <c r="S108" s="37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1941233</v>
      </c>
      <c r="B109" s="2" t="str">
        <f t="shared" si="6"/>
        <v>1941</v>
      </c>
      <c r="C109" s="8" t="str">
        <f t="shared" si="7"/>
        <v>1PremiumS4</v>
      </c>
      <c r="D109" s="8" t="str">
        <f t="shared" si="8"/>
        <v>1PremiumS4</v>
      </c>
      <c r="E109" s="10">
        <v>1</v>
      </c>
      <c r="F109" s="5">
        <v>233</v>
      </c>
      <c r="G109" s="8" t="str">
        <f>VLOOKUP(F109,[1]characters!$A:$C,3,FALSE)</f>
        <v>遂行 パーシヴァル</v>
      </c>
      <c r="H109" s="8" t="str">
        <f>VLOOKUP(F109,[1]characters!$A:$J,10,FALSE)</f>
        <v>PremiumS</v>
      </c>
      <c r="I109" s="8">
        <f>VLOOKUP(F109,[1]characters!$A:$I,9,FALSE)</f>
        <v>4</v>
      </c>
      <c r="J109" s="8" t="str">
        <f>VLOOKUP(F109,[1]characters!$A:$H,8,FALSE)</f>
        <v>blue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16">
        <f>IFERROR(VLOOKUP(F109,gacha_conf!A$50:F$62,5+E109,FALSE),VLOOKUP(D109,gacha_conf!D$18:E$46,2,FALSE))</f>
        <v>1574</v>
      </c>
      <c r="N109" s="37">
        <f>IFERROR(VLOOKUP($F109,bug_conf_sheet!$A:$H,3,FALSE),VLOOKUP("other",bug_conf_sheet!$A:$H,3,FALSE))</f>
        <v>1</v>
      </c>
      <c r="O109" s="37">
        <f>IFERROR(VLOOKUP($F109,bug_conf_sheet!$A:$H,4,FALSE),VLOOKUP("other",bug_conf_sheet!$A:$H,4,FALSE))</f>
        <v>0</v>
      </c>
      <c r="P109" s="37">
        <f>IFERROR(VLOOKUP($F109,bug_conf_sheet!$A:$H,5,FALSE),VLOOKUP("other",bug_conf_sheet!$A:$H,5,FALSE))</f>
        <v>0</v>
      </c>
      <c r="Q109" s="37">
        <f>IFERROR(VLOOKUP($F109,bug_conf_sheet!$A:$H,6,FALSE),VLOOKUP("other",bug_conf_sheet!$A:$H,6,FALSE))</f>
        <v>0</v>
      </c>
      <c r="R109" s="37">
        <f>IFERROR(VLOOKUP($F109,bug_conf_sheet!$A:$H,7,FALSE),VLOOKUP("other",bug_conf_sheet!$A:$H,7,FALSE))</f>
        <v>0</v>
      </c>
      <c r="S109" s="37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1941234</v>
      </c>
      <c r="B110" s="2" t="str">
        <f t="shared" si="6"/>
        <v>1941</v>
      </c>
      <c r="C110" s="8" t="str">
        <f t="shared" si="7"/>
        <v>1PremiumS5</v>
      </c>
      <c r="D110" s="8" t="str">
        <f t="shared" si="8"/>
        <v>1PremiumS5</v>
      </c>
      <c r="E110" s="10">
        <v>1</v>
      </c>
      <c r="F110" s="5">
        <v>234</v>
      </c>
      <c r="G110" s="8" t="str">
        <f>VLOOKUP(F110,[1]characters!$A:$C,3,FALSE)</f>
        <v>精密なる照準 パーシヴァル</v>
      </c>
      <c r="H110" s="8" t="str">
        <f>VLOOKUP(F110,[1]characters!$A:$J,10,FALSE)</f>
        <v>PremiumS</v>
      </c>
      <c r="I110" s="8">
        <f>VLOOKUP(F110,[1]characters!$A:$I,9,FALSE)</f>
        <v>5</v>
      </c>
      <c r="J110" s="8" t="str">
        <f>VLOOKUP(F110,[1]characters!$A:$H,8,FALSE)</f>
        <v>blue</v>
      </c>
      <c r="K110" s="8" t="str">
        <f>VLOOKUP(F110,[1]characters!$A:$K,11,FALSE)</f>
        <v>technical</v>
      </c>
      <c r="L110" s="8" t="str">
        <f>VLOOKUP(F110,[1]characters!$A:$M,13,FALSE)</f>
        <v>human</v>
      </c>
      <c r="M110" s="16">
        <f>IFERROR(VLOOKUP(F110,gacha_conf!A$50:F$62,5+E110,FALSE),VLOOKUP(D110,gacha_conf!D$18:E$46,2,FALSE))</f>
        <v>554</v>
      </c>
      <c r="N110" s="37">
        <f>IFERROR(VLOOKUP($F110,bug_conf_sheet!$A:$H,3,FALSE),VLOOKUP("other",bug_conf_sheet!$A:$H,3,FALSE))</f>
        <v>1</v>
      </c>
      <c r="O110" s="37">
        <f>IFERROR(VLOOKUP($F110,bug_conf_sheet!$A:$H,4,FALSE),VLOOKUP("other",bug_conf_sheet!$A:$H,4,FALSE))</f>
        <v>0</v>
      </c>
      <c r="P110" s="37">
        <f>IFERROR(VLOOKUP($F110,bug_conf_sheet!$A:$H,5,FALSE),VLOOKUP("other",bug_conf_sheet!$A:$H,5,FALSE))</f>
        <v>0</v>
      </c>
      <c r="Q110" s="37">
        <f>IFERROR(VLOOKUP($F110,bug_conf_sheet!$A:$H,6,FALSE),VLOOKUP("other",bug_conf_sheet!$A:$H,6,FALSE))</f>
        <v>0</v>
      </c>
      <c r="R110" s="37">
        <f>IFERROR(VLOOKUP($F110,bug_conf_sheet!$A:$H,7,FALSE),VLOOKUP("other",bug_conf_sheet!$A:$H,7,FALSE))</f>
        <v>0</v>
      </c>
      <c r="S110" s="37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1941235</v>
      </c>
      <c r="B111" s="2" t="str">
        <f t="shared" si="6"/>
        <v>1941</v>
      </c>
      <c r="C111" s="8" t="str">
        <f t="shared" si="7"/>
        <v>1PremiumS3</v>
      </c>
      <c r="D111" s="8" t="str">
        <f t="shared" si="8"/>
        <v>1PremiumS3</v>
      </c>
      <c r="E111" s="10">
        <v>1</v>
      </c>
      <c r="F111" s="5">
        <v>235</v>
      </c>
      <c r="G111" s="8" t="str">
        <f>VLOOKUP(F111,[1]characters!$A:$C,3,FALSE)</f>
        <v>イザナミ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yellow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16">
        <f>IFERROR(VLOOKUP(F111,gacha_conf!A$50:F$62,5+E111,FALSE),VLOOKUP(D111,gacha_conf!D$18:E$46,2,FALSE))</f>
        <v>6739</v>
      </c>
      <c r="N111" s="37">
        <f>IFERROR(VLOOKUP($F111,bug_conf_sheet!$A:$H,3,FALSE),VLOOKUP("other",bug_conf_sheet!$A:$H,3,FALSE))</f>
        <v>1</v>
      </c>
      <c r="O111" s="37">
        <f>IFERROR(VLOOKUP($F111,bug_conf_sheet!$A:$H,4,FALSE),VLOOKUP("other",bug_conf_sheet!$A:$H,4,FALSE))</f>
        <v>0</v>
      </c>
      <c r="P111" s="37">
        <f>IFERROR(VLOOKUP($F111,bug_conf_sheet!$A:$H,5,FALSE),VLOOKUP("other",bug_conf_sheet!$A:$H,5,FALSE))</f>
        <v>0</v>
      </c>
      <c r="Q111" s="37">
        <f>IFERROR(VLOOKUP($F111,bug_conf_sheet!$A:$H,6,FALSE),VLOOKUP("other",bug_conf_sheet!$A:$H,6,FALSE))</f>
        <v>0</v>
      </c>
      <c r="R111" s="37">
        <f>IFERROR(VLOOKUP($F111,bug_conf_sheet!$A:$H,7,FALSE),VLOOKUP("other",bug_conf_sheet!$A:$H,7,FALSE))</f>
        <v>0</v>
      </c>
      <c r="S111" s="37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1941236</v>
      </c>
      <c r="B112" s="2" t="str">
        <f t="shared" si="6"/>
        <v>1941</v>
      </c>
      <c r="C112" s="8" t="str">
        <f t="shared" si="7"/>
        <v>1PremiumS4</v>
      </c>
      <c r="D112" s="8" t="str">
        <f t="shared" si="8"/>
        <v>1PremiumS4</v>
      </c>
      <c r="E112" s="10">
        <v>1</v>
      </c>
      <c r="F112" s="5">
        <v>236</v>
      </c>
      <c r="G112" s="8" t="str">
        <f>VLOOKUP(F112,[1]characters!$A:$C,3,FALSE)</f>
        <v>神産 イザナミ</v>
      </c>
      <c r="H112" s="8" t="str">
        <f>VLOOKUP(F112,[1]characters!$A:$J,10,FALSE)</f>
        <v>PremiumS</v>
      </c>
      <c r="I112" s="8">
        <f>VLOOKUP(F112,[1]characters!$A:$I,9,FALSE)</f>
        <v>4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16">
        <f>IFERROR(VLOOKUP(F112,gacha_conf!A$50:F$62,5+E112,FALSE),VLOOKUP(D112,gacha_conf!D$18:E$46,2,FALSE))</f>
        <v>1574</v>
      </c>
      <c r="N112" s="37">
        <f>IFERROR(VLOOKUP($F112,bug_conf_sheet!$A:$H,3,FALSE),VLOOKUP("other",bug_conf_sheet!$A:$H,3,FALSE))</f>
        <v>1</v>
      </c>
      <c r="O112" s="37">
        <f>IFERROR(VLOOKUP($F112,bug_conf_sheet!$A:$H,4,FALSE),VLOOKUP("other",bug_conf_sheet!$A:$H,4,FALSE))</f>
        <v>0</v>
      </c>
      <c r="P112" s="37">
        <f>IFERROR(VLOOKUP($F112,bug_conf_sheet!$A:$H,5,FALSE),VLOOKUP("other",bug_conf_sheet!$A:$H,5,FALSE))</f>
        <v>0</v>
      </c>
      <c r="Q112" s="37">
        <f>IFERROR(VLOOKUP($F112,bug_conf_sheet!$A:$H,6,FALSE),VLOOKUP("other",bug_conf_sheet!$A:$H,6,FALSE))</f>
        <v>0</v>
      </c>
      <c r="R112" s="37">
        <f>IFERROR(VLOOKUP($F112,bug_conf_sheet!$A:$H,7,FALSE),VLOOKUP("other",bug_conf_sheet!$A:$H,7,FALSE))</f>
        <v>0</v>
      </c>
      <c r="S112" s="37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1941237</v>
      </c>
      <c r="B113" s="2" t="str">
        <f t="shared" si="6"/>
        <v>1941</v>
      </c>
      <c r="C113" s="8" t="str">
        <f t="shared" si="7"/>
        <v>1PremiumS5</v>
      </c>
      <c r="D113" s="8" t="str">
        <f t="shared" si="8"/>
        <v>1PremiumS5</v>
      </c>
      <c r="E113" s="10">
        <v>1</v>
      </c>
      <c r="F113" s="5">
        <v>237</v>
      </c>
      <c r="G113" s="8" t="str">
        <f>VLOOKUP(F113,[1]characters!$A:$C,3,FALSE)</f>
        <v>森羅万象の神母 イザナミ</v>
      </c>
      <c r="H113" s="8" t="str">
        <f>VLOOKUP(F113,[1]characters!$A:$J,10,FALSE)</f>
        <v>PremiumS</v>
      </c>
      <c r="I113" s="8">
        <f>VLOOKUP(F113,[1]characters!$A:$I,9,FALSE)</f>
        <v>5</v>
      </c>
      <c r="J113" s="8" t="str">
        <f>VLOOKUP(F113,[1]characters!$A:$H,8,FALSE)</f>
        <v>yellow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16">
        <f>IFERROR(VLOOKUP(F113,gacha_conf!A$50:F$62,5+E113,FALSE),VLOOKUP(D113,gacha_conf!D$18:E$46,2,FALSE))</f>
        <v>554</v>
      </c>
      <c r="N113" s="37">
        <f>IFERROR(VLOOKUP($F113,bug_conf_sheet!$A:$H,3,FALSE),VLOOKUP("other",bug_conf_sheet!$A:$H,3,FALSE))</f>
        <v>1</v>
      </c>
      <c r="O113" s="37">
        <f>IFERROR(VLOOKUP($F113,bug_conf_sheet!$A:$H,4,FALSE),VLOOKUP("other",bug_conf_sheet!$A:$H,4,FALSE))</f>
        <v>0</v>
      </c>
      <c r="P113" s="37">
        <f>IFERROR(VLOOKUP($F113,bug_conf_sheet!$A:$H,5,FALSE),VLOOKUP("other",bug_conf_sheet!$A:$H,5,FALSE))</f>
        <v>0</v>
      </c>
      <c r="Q113" s="37">
        <f>IFERROR(VLOOKUP($F113,bug_conf_sheet!$A:$H,6,FALSE),VLOOKUP("other",bug_conf_sheet!$A:$H,6,FALSE))</f>
        <v>0</v>
      </c>
      <c r="R113" s="37">
        <f>IFERROR(VLOOKUP($F113,bug_conf_sheet!$A:$H,7,FALSE),VLOOKUP("other",bug_conf_sheet!$A:$H,7,FALSE))</f>
        <v>0</v>
      </c>
      <c r="S113" s="37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1941238</v>
      </c>
      <c r="B114" s="2" t="str">
        <f t="shared" si="6"/>
        <v>1941</v>
      </c>
      <c r="C114" s="8" t="str">
        <f t="shared" si="7"/>
        <v>1PremiumS3</v>
      </c>
      <c r="D114" s="8" t="str">
        <f t="shared" si="8"/>
        <v>1PremiumS3</v>
      </c>
      <c r="E114" s="10">
        <v>1</v>
      </c>
      <c r="F114" s="5">
        <v>238</v>
      </c>
      <c r="G114" s="8" t="str">
        <f>VLOOKUP(F114,[1]characters!$A:$C,3,FALSE)</f>
        <v>ウリエル</v>
      </c>
      <c r="H114" s="8" t="str">
        <f>VLOOKUP(F114,[1]characters!$A:$J,10,FALSE)</f>
        <v>PremiumS</v>
      </c>
      <c r="I114" s="8">
        <f>VLOOKUP(F114,[1]characters!$A:$I,9,FALSE)</f>
        <v>3</v>
      </c>
      <c r="J114" s="8" t="str">
        <f>VLOOKUP(F114,[1]characters!$A:$H,8,FALSE)</f>
        <v>red</v>
      </c>
      <c r="K114" s="8" t="str">
        <f>VLOOKUP(F114,[1]characters!$A:$K,11,FALSE)</f>
        <v>hp</v>
      </c>
      <c r="L114" s="8" t="str">
        <f>VLOOKUP(F114,[1]characters!$A:$M,13,FALSE)</f>
        <v>machine</v>
      </c>
      <c r="M114" s="16">
        <f>IFERROR(VLOOKUP(F114,gacha_conf!A$50:F$62,5+E114,FALSE),VLOOKUP(D114,gacha_conf!D$18:E$46,2,FALSE))</f>
        <v>6739</v>
      </c>
      <c r="N114" s="37">
        <f>IFERROR(VLOOKUP($F114,bug_conf_sheet!$A:$H,3,FALSE),VLOOKUP("other",bug_conf_sheet!$A:$H,3,FALSE))</f>
        <v>1</v>
      </c>
      <c r="O114" s="37">
        <f>IFERROR(VLOOKUP($F114,bug_conf_sheet!$A:$H,4,FALSE),VLOOKUP("other",bug_conf_sheet!$A:$H,4,FALSE))</f>
        <v>0</v>
      </c>
      <c r="P114" s="37">
        <f>IFERROR(VLOOKUP($F114,bug_conf_sheet!$A:$H,5,FALSE),VLOOKUP("other",bug_conf_sheet!$A:$H,5,FALSE))</f>
        <v>0</v>
      </c>
      <c r="Q114" s="37">
        <f>IFERROR(VLOOKUP($F114,bug_conf_sheet!$A:$H,6,FALSE),VLOOKUP("other",bug_conf_sheet!$A:$H,6,FALSE))</f>
        <v>0</v>
      </c>
      <c r="R114" s="37">
        <f>IFERROR(VLOOKUP($F114,bug_conf_sheet!$A:$H,7,FALSE),VLOOKUP("other",bug_conf_sheet!$A:$H,7,FALSE))</f>
        <v>0</v>
      </c>
      <c r="S114" s="37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1941239</v>
      </c>
      <c r="B115" s="2" t="str">
        <f t="shared" si="6"/>
        <v>1941</v>
      </c>
      <c r="C115" s="8" t="str">
        <f t="shared" si="7"/>
        <v>1PremiumS4</v>
      </c>
      <c r="D115" s="8" t="str">
        <f t="shared" si="8"/>
        <v>1PremiumS4</v>
      </c>
      <c r="E115" s="10">
        <v>1</v>
      </c>
      <c r="F115" s="5">
        <v>239</v>
      </c>
      <c r="G115" s="8" t="str">
        <f>VLOOKUP(F115,[1]characters!$A:$C,3,FALSE)</f>
        <v>豪炎の天使 ウリエル</v>
      </c>
      <c r="H115" s="8" t="str">
        <f>VLOOKUP(F115,[1]characters!$A:$J,10,FALSE)</f>
        <v>PremiumS</v>
      </c>
      <c r="I115" s="8">
        <f>VLOOKUP(F115,[1]characters!$A:$I,9,FALSE)</f>
        <v>4</v>
      </c>
      <c r="J115" s="8" t="str">
        <f>VLOOKUP(F115,[1]characters!$A:$H,8,FALSE)</f>
        <v>red</v>
      </c>
      <c r="K115" s="8" t="str">
        <f>VLOOKUP(F115,[1]characters!$A:$K,11,FALSE)</f>
        <v>hp</v>
      </c>
      <c r="L115" s="8" t="str">
        <f>VLOOKUP(F115,[1]characters!$A:$M,13,FALSE)</f>
        <v>machine</v>
      </c>
      <c r="M115" s="16">
        <f>IFERROR(VLOOKUP(F115,gacha_conf!A$50:F$62,5+E115,FALSE),VLOOKUP(D115,gacha_conf!D$18:E$46,2,FALSE))</f>
        <v>1574</v>
      </c>
      <c r="N115" s="37">
        <f>IFERROR(VLOOKUP($F115,bug_conf_sheet!$A:$H,3,FALSE),VLOOKUP("other",bug_conf_sheet!$A:$H,3,FALSE))</f>
        <v>1</v>
      </c>
      <c r="O115" s="37">
        <f>IFERROR(VLOOKUP($F115,bug_conf_sheet!$A:$H,4,FALSE),VLOOKUP("other",bug_conf_sheet!$A:$H,4,FALSE))</f>
        <v>0</v>
      </c>
      <c r="P115" s="37">
        <f>IFERROR(VLOOKUP($F115,bug_conf_sheet!$A:$H,5,FALSE),VLOOKUP("other",bug_conf_sheet!$A:$H,5,FALSE))</f>
        <v>0</v>
      </c>
      <c r="Q115" s="37">
        <f>IFERROR(VLOOKUP($F115,bug_conf_sheet!$A:$H,6,FALSE),VLOOKUP("other",bug_conf_sheet!$A:$H,6,FALSE))</f>
        <v>0</v>
      </c>
      <c r="R115" s="37">
        <f>IFERROR(VLOOKUP($F115,bug_conf_sheet!$A:$H,7,FALSE),VLOOKUP("other",bug_conf_sheet!$A:$H,7,FALSE))</f>
        <v>0</v>
      </c>
      <c r="S115" s="37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1941240</v>
      </c>
      <c r="B116" s="2" t="str">
        <f t="shared" si="6"/>
        <v>1941</v>
      </c>
      <c r="C116" s="8" t="str">
        <f t="shared" si="7"/>
        <v>1PremiumS5</v>
      </c>
      <c r="D116" s="8" t="str">
        <f t="shared" si="8"/>
        <v>1PremiumS5</v>
      </c>
      <c r="E116" s="10">
        <v>1</v>
      </c>
      <c r="F116" s="5">
        <v>240</v>
      </c>
      <c r="G116" s="8" t="str">
        <f>VLOOKUP(F116,[1]characters!$A:$C,3,FALSE)</f>
        <v>轟炎の天使 ウリエル・スレイヤー</v>
      </c>
      <c r="H116" s="8" t="str">
        <f>VLOOKUP(F116,[1]characters!$A:$J,10,FALSE)</f>
        <v>PremiumS</v>
      </c>
      <c r="I116" s="8">
        <f>VLOOKUP(F116,[1]characters!$A:$I,9,FALSE)</f>
        <v>5</v>
      </c>
      <c r="J116" s="8" t="str">
        <f>VLOOKUP(F116,[1]characters!$A:$H,8,FALSE)</f>
        <v>red</v>
      </c>
      <c r="K116" s="8" t="str">
        <f>VLOOKUP(F116,[1]characters!$A:$K,11,FALSE)</f>
        <v>hp</v>
      </c>
      <c r="L116" s="8" t="str">
        <f>VLOOKUP(F116,[1]characters!$A:$M,13,FALSE)</f>
        <v>machine</v>
      </c>
      <c r="M116" s="16">
        <f>IFERROR(VLOOKUP(F116,gacha_conf!A$50:F$62,5+E116,FALSE),VLOOKUP(D116,gacha_conf!D$18:E$46,2,FALSE))</f>
        <v>554</v>
      </c>
      <c r="N116" s="37">
        <f>IFERROR(VLOOKUP($F116,bug_conf_sheet!$A:$H,3,FALSE),VLOOKUP("other",bug_conf_sheet!$A:$H,3,FALSE))</f>
        <v>1</v>
      </c>
      <c r="O116" s="37">
        <f>IFERROR(VLOOKUP($F116,bug_conf_sheet!$A:$H,4,FALSE),VLOOKUP("other",bug_conf_sheet!$A:$H,4,FALSE))</f>
        <v>0</v>
      </c>
      <c r="P116" s="37">
        <f>IFERROR(VLOOKUP($F116,bug_conf_sheet!$A:$H,5,FALSE),VLOOKUP("other",bug_conf_sheet!$A:$H,5,FALSE))</f>
        <v>0</v>
      </c>
      <c r="Q116" s="37">
        <f>IFERROR(VLOOKUP($F116,bug_conf_sheet!$A:$H,6,FALSE),VLOOKUP("other",bug_conf_sheet!$A:$H,6,FALSE))</f>
        <v>0</v>
      </c>
      <c r="R116" s="37">
        <f>IFERROR(VLOOKUP($F116,bug_conf_sheet!$A:$H,7,FALSE),VLOOKUP("other",bug_conf_sheet!$A:$H,7,FALSE))</f>
        <v>0</v>
      </c>
      <c r="S116" s="37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1941241</v>
      </c>
      <c r="B117" s="2" t="str">
        <f t="shared" si="6"/>
        <v>1941</v>
      </c>
      <c r="C117" s="8" t="str">
        <f t="shared" si="7"/>
        <v>1PremiumS3</v>
      </c>
      <c r="D117" s="8" t="str">
        <f t="shared" si="8"/>
        <v>1PremiumS3</v>
      </c>
      <c r="E117" s="10">
        <v>1</v>
      </c>
      <c r="F117" s="5">
        <v>241</v>
      </c>
      <c r="G117" s="8" t="str">
        <f>VLOOKUP(F117,[1]characters!$A:$C,3,FALSE)</f>
        <v>ガブリエル</v>
      </c>
      <c r="H117" s="8" t="str">
        <f>VLOOKUP(F117,[1]characters!$A:$J,10,FALSE)</f>
        <v>PremiumS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machine</v>
      </c>
      <c r="M117" s="16">
        <f>IFERROR(VLOOKUP(F117,gacha_conf!A$50:F$62,5+E117,FALSE),VLOOKUP(D117,gacha_conf!D$18:E$46,2,FALSE))</f>
        <v>6739</v>
      </c>
      <c r="N117" s="37">
        <f>IFERROR(VLOOKUP($F117,bug_conf_sheet!$A:$H,3,FALSE),VLOOKUP("other",bug_conf_sheet!$A:$H,3,FALSE))</f>
        <v>1</v>
      </c>
      <c r="O117" s="37">
        <f>IFERROR(VLOOKUP($F117,bug_conf_sheet!$A:$H,4,FALSE),VLOOKUP("other",bug_conf_sheet!$A:$H,4,FALSE))</f>
        <v>0</v>
      </c>
      <c r="P117" s="37">
        <f>IFERROR(VLOOKUP($F117,bug_conf_sheet!$A:$H,5,FALSE),VLOOKUP("other",bug_conf_sheet!$A:$H,5,FALSE))</f>
        <v>0</v>
      </c>
      <c r="Q117" s="37">
        <f>IFERROR(VLOOKUP($F117,bug_conf_sheet!$A:$H,6,FALSE),VLOOKUP("other",bug_conf_sheet!$A:$H,6,FALSE))</f>
        <v>0</v>
      </c>
      <c r="R117" s="37">
        <f>IFERROR(VLOOKUP($F117,bug_conf_sheet!$A:$H,7,FALSE),VLOOKUP("other",bug_conf_sheet!$A:$H,7,FALSE))</f>
        <v>0</v>
      </c>
      <c r="S117" s="37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1941242</v>
      </c>
      <c r="B118" s="2" t="str">
        <f t="shared" si="6"/>
        <v>1941</v>
      </c>
      <c r="C118" s="8" t="str">
        <f t="shared" si="7"/>
        <v>1PremiumS4</v>
      </c>
      <c r="D118" s="8" t="str">
        <f t="shared" si="8"/>
        <v>1PremiumS4</v>
      </c>
      <c r="E118" s="10">
        <v>1</v>
      </c>
      <c r="F118" s="5">
        <v>242</v>
      </c>
      <c r="G118" s="8" t="str">
        <f>VLOOKUP(F118,[1]characters!$A:$C,3,FALSE)</f>
        <v>百花の天使 ガブリエル</v>
      </c>
      <c r="H118" s="8" t="str">
        <f>VLOOKUP(F118,[1]characters!$A:$J,10,FALSE)</f>
        <v>PremiumS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machine</v>
      </c>
      <c r="M118" s="16">
        <f>IFERROR(VLOOKUP(F118,gacha_conf!A$50:F$62,5+E118,FALSE),VLOOKUP(D118,gacha_conf!D$18:E$46,2,FALSE))</f>
        <v>1574</v>
      </c>
      <c r="N118" s="37">
        <f>IFERROR(VLOOKUP($F118,bug_conf_sheet!$A:$H,3,FALSE),VLOOKUP("other",bug_conf_sheet!$A:$H,3,FALSE))</f>
        <v>1</v>
      </c>
      <c r="O118" s="37">
        <f>IFERROR(VLOOKUP($F118,bug_conf_sheet!$A:$H,4,FALSE),VLOOKUP("other",bug_conf_sheet!$A:$H,4,FALSE))</f>
        <v>0</v>
      </c>
      <c r="P118" s="37">
        <f>IFERROR(VLOOKUP($F118,bug_conf_sheet!$A:$H,5,FALSE),VLOOKUP("other",bug_conf_sheet!$A:$H,5,FALSE))</f>
        <v>0</v>
      </c>
      <c r="Q118" s="37">
        <f>IFERROR(VLOOKUP($F118,bug_conf_sheet!$A:$H,6,FALSE),VLOOKUP("other",bug_conf_sheet!$A:$H,6,FALSE))</f>
        <v>0</v>
      </c>
      <c r="R118" s="37">
        <f>IFERROR(VLOOKUP($F118,bug_conf_sheet!$A:$H,7,FALSE),VLOOKUP("other",bug_conf_sheet!$A:$H,7,FALSE))</f>
        <v>0</v>
      </c>
      <c r="S118" s="37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1941243</v>
      </c>
      <c r="B119" s="2" t="str">
        <f t="shared" si="6"/>
        <v>1941</v>
      </c>
      <c r="C119" s="8" t="str">
        <f t="shared" si="7"/>
        <v>1PremiumS5</v>
      </c>
      <c r="D119" s="8" t="str">
        <f t="shared" si="8"/>
        <v>1PremiumS5</v>
      </c>
      <c r="E119" s="10">
        <v>1</v>
      </c>
      <c r="F119" s="5">
        <v>243</v>
      </c>
      <c r="G119" s="8" t="str">
        <f>VLOOKUP(F119,[1]characters!$A:$C,3,FALSE)</f>
        <v>万花の天使 ガブリエル・ブルーム</v>
      </c>
      <c r="H119" s="8" t="str">
        <f>VLOOKUP(F119,[1]characters!$A:$J,10,FALSE)</f>
        <v>PremiumS</v>
      </c>
      <c r="I119" s="8">
        <f>VLOOKUP(F119,[1]characters!$A:$I,9,FALSE)</f>
        <v>5</v>
      </c>
      <c r="J119" s="8" t="str">
        <f>VLOOKUP(F119,[1]characters!$A:$H,8,FALSE)</f>
        <v>green</v>
      </c>
      <c r="K119" s="8" t="str">
        <f>VLOOKUP(F119,[1]characters!$A:$K,11,FALSE)</f>
        <v>balance</v>
      </c>
      <c r="L119" s="8" t="str">
        <f>VLOOKUP(F119,[1]characters!$A:$M,13,FALSE)</f>
        <v>machine</v>
      </c>
      <c r="M119" s="16">
        <f>IFERROR(VLOOKUP(F119,gacha_conf!A$50:F$62,5+E119,FALSE),VLOOKUP(D119,gacha_conf!D$18:E$46,2,FALSE))</f>
        <v>554</v>
      </c>
      <c r="N119" s="37">
        <f>IFERROR(VLOOKUP($F119,bug_conf_sheet!$A:$H,3,FALSE),VLOOKUP("other",bug_conf_sheet!$A:$H,3,FALSE))</f>
        <v>1</v>
      </c>
      <c r="O119" s="37">
        <f>IFERROR(VLOOKUP($F119,bug_conf_sheet!$A:$H,4,FALSE),VLOOKUP("other",bug_conf_sheet!$A:$H,4,FALSE))</f>
        <v>0</v>
      </c>
      <c r="P119" s="37">
        <f>IFERROR(VLOOKUP($F119,bug_conf_sheet!$A:$H,5,FALSE),VLOOKUP("other",bug_conf_sheet!$A:$H,5,FALSE))</f>
        <v>0</v>
      </c>
      <c r="Q119" s="37">
        <f>IFERROR(VLOOKUP($F119,bug_conf_sheet!$A:$H,6,FALSE),VLOOKUP("other",bug_conf_sheet!$A:$H,6,FALSE))</f>
        <v>0</v>
      </c>
      <c r="R119" s="37">
        <f>IFERROR(VLOOKUP($F119,bug_conf_sheet!$A:$H,7,FALSE),VLOOKUP("other",bug_conf_sheet!$A:$H,7,FALSE))</f>
        <v>0</v>
      </c>
      <c r="S119" s="37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1941244</v>
      </c>
      <c r="B120" s="2" t="str">
        <f t="shared" si="6"/>
        <v>1941</v>
      </c>
      <c r="C120" s="8" t="str">
        <f t="shared" si="7"/>
        <v>1PremiumS3</v>
      </c>
      <c r="D120" s="8" t="str">
        <f t="shared" si="8"/>
        <v>1PremiumS3</v>
      </c>
      <c r="E120" s="10">
        <v>1</v>
      </c>
      <c r="F120" s="5">
        <v>244</v>
      </c>
      <c r="G120" s="8" t="str">
        <f>VLOOKUP(F120,[1]characters!$A:$C,3,FALSE)</f>
        <v>ラファエル</v>
      </c>
      <c r="H120" s="8" t="str">
        <f>VLOOKUP(F120,[1]characters!$A:$J,10,FALSE)</f>
        <v>PremiumS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balance</v>
      </c>
      <c r="L120" s="8" t="str">
        <f>VLOOKUP(F120,[1]characters!$A:$M,13,FALSE)</f>
        <v>machine</v>
      </c>
      <c r="M120" s="16">
        <f>IFERROR(VLOOKUP(F120,gacha_conf!A$50:F$62,5+E120,FALSE),VLOOKUP(D120,gacha_conf!D$18:E$46,2,FALSE))</f>
        <v>6739</v>
      </c>
      <c r="N120" s="37">
        <f>IFERROR(VLOOKUP($F120,bug_conf_sheet!$A:$H,3,FALSE),VLOOKUP("other",bug_conf_sheet!$A:$H,3,FALSE))</f>
        <v>1</v>
      </c>
      <c r="O120" s="37">
        <f>IFERROR(VLOOKUP($F120,bug_conf_sheet!$A:$H,4,FALSE),VLOOKUP("other",bug_conf_sheet!$A:$H,4,FALSE))</f>
        <v>0</v>
      </c>
      <c r="P120" s="37">
        <f>IFERROR(VLOOKUP($F120,bug_conf_sheet!$A:$H,5,FALSE),VLOOKUP("other",bug_conf_sheet!$A:$H,5,FALSE))</f>
        <v>0</v>
      </c>
      <c r="Q120" s="37">
        <f>IFERROR(VLOOKUP($F120,bug_conf_sheet!$A:$H,6,FALSE),VLOOKUP("other",bug_conf_sheet!$A:$H,6,FALSE))</f>
        <v>0</v>
      </c>
      <c r="R120" s="37">
        <f>IFERROR(VLOOKUP($F120,bug_conf_sheet!$A:$H,7,FALSE),VLOOKUP("other",bug_conf_sheet!$A:$H,7,FALSE))</f>
        <v>0</v>
      </c>
      <c r="S120" s="37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1941245</v>
      </c>
      <c r="B121" s="2" t="str">
        <f t="shared" si="6"/>
        <v>1941</v>
      </c>
      <c r="C121" s="8" t="str">
        <f t="shared" si="7"/>
        <v>1PremiumS4</v>
      </c>
      <c r="D121" s="8" t="str">
        <f t="shared" si="8"/>
        <v>1PremiumS4</v>
      </c>
      <c r="E121" s="10">
        <v>1</v>
      </c>
      <c r="F121" s="5">
        <v>245</v>
      </c>
      <c r="G121" s="8" t="str">
        <f>VLOOKUP(F121,[1]characters!$A:$C,3,FALSE)</f>
        <v>鎮癒の天使 ラファエル</v>
      </c>
      <c r="H121" s="8" t="str">
        <f>VLOOKUP(F121,[1]characters!$A:$J,10,FALSE)</f>
        <v>PremiumS</v>
      </c>
      <c r="I121" s="8">
        <f>VLOOKUP(F121,[1]characters!$A:$I,9,FALSE)</f>
        <v>4</v>
      </c>
      <c r="J121" s="8" t="str">
        <f>VLOOKUP(F121,[1]characters!$A:$H,8,FALSE)</f>
        <v>blue</v>
      </c>
      <c r="K121" s="8" t="str">
        <f>VLOOKUP(F121,[1]characters!$A:$K,11,FALSE)</f>
        <v>balance</v>
      </c>
      <c r="L121" s="8" t="str">
        <f>VLOOKUP(F121,[1]characters!$A:$M,13,FALSE)</f>
        <v>machine</v>
      </c>
      <c r="M121" s="16">
        <f>IFERROR(VLOOKUP(F121,gacha_conf!A$50:F$62,5+E121,FALSE),VLOOKUP(D121,gacha_conf!D$18:E$46,2,FALSE))</f>
        <v>1574</v>
      </c>
      <c r="N121" s="37">
        <f>IFERROR(VLOOKUP($F121,bug_conf_sheet!$A:$H,3,FALSE),VLOOKUP("other",bug_conf_sheet!$A:$H,3,FALSE))</f>
        <v>1</v>
      </c>
      <c r="O121" s="37">
        <f>IFERROR(VLOOKUP($F121,bug_conf_sheet!$A:$H,4,FALSE),VLOOKUP("other",bug_conf_sheet!$A:$H,4,FALSE))</f>
        <v>0</v>
      </c>
      <c r="P121" s="37">
        <f>IFERROR(VLOOKUP($F121,bug_conf_sheet!$A:$H,5,FALSE),VLOOKUP("other",bug_conf_sheet!$A:$H,5,FALSE))</f>
        <v>0</v>
      </c>
      <c r="Q121" s="37">
        <f>IFERROR(VLOOKUP($F121,bug_conf_sheet!$A:$H,6,FALSE),VLOOKUP("other",bug_conf_sheet!$A:$H,6,FALSE))</f>
        <v>0</v>
      </c>
      <c r="R121" s="37">
        <f>IFERROR(VLOOKUP($F121,bug_conf_sheet!$A:$H,7,FALSE),VLOOKUP("other",bug_conf_sheet!$A:$H,7,FALSE))</f>
        <v>0</v>
      </c>
      <c r="S121" s="37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1941246</v>
      </c>
      <c r="B122" s="2" t="str">
        <f t="shared" si="6"/>
        <v>1941</v>
      </c>
      <c r="C122" s="8" t="str">
        <f t="shared" si="7"/>
        <v>1PremiumS5</v>
      </c>
      <c r="D122" s="8" t="str">
        <f t="shared" si="8"/>
        <v>1PremiumS5</v>
      </c>
      <c r="E122" s="10">
        <v>1</v>
      </c>
      <c r="F122" s="5">
        <v>246</v>
      </c>
      <c r="G122" s="8" t="str">
        <f>VLOOKUP(F122,[1]characters!$A:$C,3,FALSE)</f>
        <v>真癒の天使 ラファエル・メディカ</v>
      </c>
      <c r="H122" s="8" t="str">
        <f>VLOOKUP(F122,[1]characters!$A:$J,10,FALSE)</f>
        <v>PremiumS</v>
      </c>
      <c r="I122" s="8">
        <f>VLOOKUP(F122,[1]characters!$A:$I,9,FALSE)</f>
        <v>5</v>
      </c>
      <c r="J122" s="8" t="str">
        <f>VLOOKUP(F122,[1]characters!$A:$H,8,FALSE)</f>
        <v>blue</v>
      </c>
      <c r="K122" s="8" t="str">
        <f>VLOOKUP(F122,[1]characters!$A:$K,11,FALSE)</f>
        <v>balance</v>
      </c>
      <c r="L122" s="8" t="str">
        <f>VLOOKUP(F122,[1]characters!$A:$M,13,FALSE)</f>
        <v>machine</v>
      </c>
      <c r="M122" s="16">
        <f>IFERROR(VLOOKUP(F122,gacha_conf!A$50:F$62,5+E122,FALSE),VLOOKUP(D122,gacha_conf!D$18:E$46,2,FALSE))</f>
        <v>554</v>
      </c>
      <c r="N122" s="37">
        <f>IFERROR(VLOOKUP($F122,bug_conf_sheet!$A:$H,3,FALSE),VLOOKUP("other",bug_conf_sheet!$A:$H,3,FALSE))</f>
        <v>1</v>
      </c>
      <c r="O122" s="37">
        <f>IFERROR(VLOOKUP($F122,bug_conf_sheet!$A:$H,4,FALSE),VLOOKUP("other",bug_conf_sheet!$A:$H,4,FALSE))</f>
        <v>0</v>
      </c>
      <c r="P122" s="37">
        <f>IFERROR(VLOOKUP($F122,bug_conf_sheet!$A:$H,5,FALSE),VLOOKUP("other",bug_conf_sheet!$A:$H,5,FALSE))</f>
        <v>0</v>
      </c>
      <c r="Q122" s="37">
        <f>IFERROR(VLOOKUP($F122,bug_conf_sheet!$A:$H,6,FALSE),VLOOKUP("other",bug_conf_sheet!$A:$H,6,FALSE))</f>
        <v>0</v>
      </c>
      <c r="R122" s="37">
        <f>IFERROR(VLOOKUP($F122,bug_conf_sheet!$A:$H,7,FALSE),VLOOKUP("other",bug_conf_sheet!$A:$H,7,FALSE))</f>
        <v>0</v>
      </c>
      <c r="S122" s="37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1941247</v>
      </c>
      <c r="B123" s="2" t="str">
        <f t="shared" si="6"/>
        <v>1941</v>
      </c>
      <c r="C123" s="8" t="str">
        <f t="shared" si="7"/>
        <v>1PremiumS3</v>
      </c>
      <c r="D123" s="8" t="str">
        <f t="shared" si="8"/>
        <v>1PremiumS3</v>
      </c>
      <c r="E123" s="10">
        <v>1</v>
      </c>
      <c r="F123" s="5">
        <v>247</v>
      </c>
      <c r="G123" s="8" t="str">
        <f>VLOOKUP(F123,[1]characters!$A:$C,3,FALSE)</f>
        <v>ミカエル</v>
      </c>
      <c r="H123" s="8" t="str">
        <f>VLOOKUP(F123,[1]characters!$A:$J,10,FALSE)</f>
        <v>PremiumS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IFERROR(VLOOKUP(F123,gacha_conf!A$50:F$62,5+E123,FALSE),VLOOKUP(D123,gacha_conf!D$18:E$46,2,FALSE))</f>
        <v>6739</v>
      </c>
      <c r="N123" s="37">
        <f>IFERROR(VLOOKUP($F123,bug_conf_sheet!$A:$H,3,FALSE),VLOOKUP("other",bug_conf_sheet!$A:$H,3,FALSE))</f>
        <v>1</v>
      </c>
      <c r="O123" s="37">
        <f>IFERROR(VLOOKUP($F123,bug_conf_sheet!$A:$H,4,FALSE),VLOOKUP("other",bug_conf_sheet!$A:$H,4,FALSE))</f>
        <v>0</v>
      </c>
      <c r="P123" s="37">
        <f>IFERROR(VLOOKUP($F123,bug_conf_sheet!$A:$H,5,FALSE),VLOOKUP("other",bug_conf_sheet!$A:$H,5,FALSE))</f>
        <v>0</v>
      </c>
      <c r="Q123" s="37">
        <f>IFERROR(VLOOKUP($F123,bug_conf_sheet!$A:$H,6,FALSE),VLOOKUP("other",bug_conf_sheet!$A:$H,6,FALSE))</f>
        <v>0</v>
      </c>
      <c r="R123" s="37">
        <f>IFERROR(VLOOKUP($F123,bug_conf_sheet!$A:$H,7,FALSE),VLOOKUP("other",bug_conf_sheet!$A:$H,7,FALSE))</f>
        <v>0</v>
      </c>
      <c r="S123" s="37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1941248</v>
      </c>
      <c r="B124" s="2" t="str">
        <f t="shared" si="6"/>
        <v>1941</v>
      </c>
      <c r="C124" s="8" t="str">
        <f t="shared" si="7"/>
        <v>1PremiumS4</v>
      </c>
      <c r="D124" s="8" t="str">
        <f t="shared" si="8"/>
        <v>1PremiumS4</v>
      </c>
      <c r="E124" s="10">
        <v>1</v>
      </c>
      <c r="F124" s="5">
        <v>248</v>
      </c>
      <c r="G124" s="8" t="str">
        <f>VLOOKUP(F124,[1]characters!$A:$C,3,FALSE)</f>
        <v>彩電の天使 ミカエル</v>
      </c>
      <c r="H124" s="8" t="str">
        <f>VLOOKUP(F124,[1]characters!$A:$J,10,FALSE)</f>
        <v>PremiumS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machine</v>
      </c>
      <c r="M124" s="16">
        <f>IFERROR(VLOOKUP(F124,gacha_conf!A$50:F$62,5+E124,FALSE),VLOOKUP(D124,gacha_conf!D$18:E$46,2,FALSE))</f>
        <v>1574</v>
      </c>
      <c r="N124" s="37">
        <f>IFERROR(VLOOKUP($F124,bug_conf_sheet!$A:$H,3,FALSE),VLOOKUP("other",bug_conf_sheet!$A:$H,3,FALSE))</f>
        <v>1</v>
      </c>
      <c r="O124" s="37">
        <f>IFERROR(VLOOKUP($F124,bug_conf_sheet!$A:$H,4,FALSE),VLOOKUP("other",bug_conf_sheet!$A:$H,4,FALSE))</f>
        <v>0</v>
      </c>
      <c r="P124" s="37">
        <f>IFERROR(VLOOKUP($F124,bug_conf_sheet!$A:$H,5,FALSE),VLOOKUP("other",bug_conf_sheet!$A:$H,5,FALSE))</f>
        <v>0</v>
      </c>
      <c r="Q124" s="37">
        <f>IFERROR(VLOOKUP($F124,bug_conf_sheet!$A:$H,6,FALSE),VLOOKUP("other",bug_conf_sheet!$A:$H,6,FALSE))</f>
        <v>0</v>
      </c>
      <c r="R124" s="37">
        <f>IFERROR(VLOOKUP($F124,bug_conf_sheet!$A:$H,7,FALSE),VLOOKUP("other",bug_conf_sheet!$A:$H,7,FALSE))</f>
        <v>0</v>
      </c>
      <c r="S124" s="37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1941249</v>
      </c>
      <c r="B125" s="2" t="str">
        <f t="shared" si="6"/>
        <v>1941</v>
      </c>
      <c r="C125" s="8" t="str">
        <f t="shared" si="7"/>
        <v>1PremiumS5</v>
      </c>
      <c r="D125" s="8" t="str">
        <f t="shared" si="8"/>
        <v>1PremiumS5</v>
      </c>
      <c r="E125" s="10">
        <v>1</v>
      </c>
      <c r="F125" s="6">
        <v>249</v>
      </c>
      <c r="G125" s="8" t="str">
        <f>VLOOKUP(F125,[1]characters!$A:$C,3,FALSE)</f>
        <v>雷電の天使 ミカエル・ゲイナー</v>
      </c>
      <c r="H125" s="8" t="str">
        <f>VLOOKUP(F125,[1]characters!$A:$J,10,FALSE)</f>
        <v>PremiumS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machine</v>
      </c>
      <c r="M125" s="16">
        <f>IFERROR(VLOOKUP(F125,gacha_conf!A$50:F$62,5+E125,FALSE),VLOOKUP(D125,gacha_conf!D$18:E$46,2,FALSE))</f>
        <v>554</v>
      </c>
      <c r="N125" s="37">
        <f>IFERROR(VLOOKUP($F125,bug_conf_sheet!$A:$H,3,FALSE),VLOOKUP("other",bug_conf_sheet!$A:$H,3,FALSE))</f>
        <v>1</v>
      </c>
      <c r="O125" s="37">
        <f>IFERROR(VLOOKUP($F125,bug_conf_sheet!$A:$H,4,FALSE),VLOOKUP("other",bug_conf_sheet!$A:$H,4,FALSE))</f>
        <v>0</v>
      </c>
      <c r="P125" s="37">
        <f>IFERROR(VLOOKUP($F125,bug_conf_sheet!$A:$H,5,FALSE),VLOOKUP("other",bug_conf_sheet!$A:$H,5,FALSE))</f>
        <v>0</v>
      </c>
      <c r="Q125" s="37">
        <f>IFERROR(VLOOKUP($F125,bug_conf_sheet!$A:$H,6,FALSE),VLOOKUP("other",bug_conf_sheet!$A:$H,6,FALSE))</f>
        <v>0</v>
      </c>
      <c r="R125" s="37">
        <f>IFERROR(VLOOKUP($F125,bug_conf_sheet!$A:$H,7,FALSE),VLOOKUP("other",bug_conf_sheet!$A:$H,7,FALSE))</f>
        <v>0</v>
      </c>
      <c r="S125" s="37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1941250</v>
      </c>
      <c r="B126" s="2" t="str">
        <f t="shared" si="6"/>
        <v>1941</v>
      </c>
      <c r="C126" s="8" t="str">
        <f t="shared" si="7"/>
        <v>1PremiumS3</v>
      </c>
      <c r="D126" s="8" t="str">
        <f t="shared" si="8"/>
        <v>1PremiumS3</v>
      </c>
      <c r="E126" s="10">
        <v>1</v>
      </c>
      <c r="F126" s="6">
        <v>250</v>
      </c>
      <c r="G126" s="8" t="str">
        <f>VLOOKUP(F126,[1]characters!$A:$C,3,FALSE)</f>
        <v>マンモン</v>
      </c>
      <c r="H126" s="8" t="str">
        <f>VLOOKUP(F126,[1]characters!$A:$J,10,FALSE)</f>
        <v>PremiumS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god</v>
      </c>
      <c r="M126" s="16">
        <f>IFERROR(VLOOKUP(F126,gacha_conf!A$50:F$62,5+E126,FALSE),VLOOKUP(D126,gacha_conf!D$18:E$46,2,FALSE))</f>
        <v>6739</v>
      </c>
      <c r="N126" s="37">
        <f>IFERROR(VLOOKUP($F126,bug_conf_sheet!$A:$H,3,FALSE),VLOOKUP("other",bug_conf_sheet!$A:$H,3,FALSE))</f>
        <v>1</v>
      </c>
      <c r="O126" s="37">
        <f>IFERROR(VLOOKUP($F126,bug_conf_sheet!$A:$H,4,FALSE),VLOOKUP("other",bug_conf_sheet!$A:$H,4,FALSE))</f>
        <v>0</v>
      </c>
      <c r="P126" s="37">
        <f>IFERROR(VLOOKUP($F126,bug_conf_sheet!$A:$H,5,FALSE),VLOOKUP("other",bug_conf_sheet!$A:$H,5,FALSE))</f>
        <v>0</v>
      </c>
      <c r="Q126" s="37">
        <f>IFERROR(VLOOKUP($F126,bug_conf_sheet!$A:$H,6,FALSE),VLOOKUP("other",bug_conf_sheet!$A:$H,6,FALSE))</f>
        <v>0</v>
      </c>
      <c r="R126" s="37">
        <f>IFERROR(VLOOKUP($F126,bug_conf_sheet!$A:$H,7,FALSE),VLOOKUP("other",bug_conf_sheet!$A:$H,7,FALSE))</f>
        <v>0</v>
      </c>
      <c r="S126" s="37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1941251</v>
      </c>
      <c r="B127" s="2" t="str">
        <f t="shared" si="6"/>
        <v>1941</v>
      </c>
      <c r="C127" s="8" t="str">
        <f t="shared" si="7"/>
        <v>1PremiumS4</v>
      </c>
      <c r="D127" s="8" t="str">
        <f t="shared" si="8"/>
        <v>1PremiumS4</v>
      </c>
      <c r="E127" s="10">
        <v>1</v>
      </c>
      <c r="F127" s="6">
        <v>251</v>
      </c>
      <c r="G127" s="8" t="str">
        <f>VLOOKUP(F127,[1]characters!$A:$C,3,FALSE)</f>
        <v>強欲 マンモン</v>
      </c>
      <c r="H127" s="8" t="str">
        <f>VLOOKUP(F127,[1]characters!$A:$J,10,FALSE)</f>
        <v>PremiumS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god</v>
      </c>
      <c r="M127" s="16">
        <f>IFERROR(VLOOKUP(F127,gacha_conf!A$50:F$62,5+E127,FALSE),VLOOKUP(D127,gacha_conf!D$18:E$46,2,FALSE))</f>
        <v>1574</v>
      </c>
      <c r="N127" s="37">
        <f>IFERROR(VLOOKUP($F127,bug_conf_sheet!$A:$H,3,FALSE),VLOOKUP("other",bug_conf_sheet!$A:$H,3,FALSE))</f>
        <v>1</v>
      </c>
      <c r="O127" s="37">
        <f>IFERROR(VLOOKUP($F127,bug_conf_sheet!$A:$H,4,FALSE),VLOOKUP("other",bug_conf_sheet!$A:$H,4,FALSE))</f>
        <v>0</v>
      </c>
      <c r="P127" s="37">
        <f>IFERROR(VLOOKUP($F127,bug_conf_sheet!$A:$H,5,FALSE),VLOOKUP("other",bug_conf_sheet!$A:$H,5,FALSE))</f>
        <v>0</v>
      </c>
      <c r="Q127" s="37">
        <f>IFERROR(VLOOKUP($F127,bug_conf_sheet!$A:$H,6,FALSE),VLOOKUP("other",bug_conf_sheet!$A:$H,6,FALSE))</f>
        <v>0</v>
      </c>
      <c r="R127" s="37">
        <f>IFERROR(VLOOKUP($F127,bug_conf_sheet!$A:$H,7,FALSE),VLOOKUP("other",bug_conf_sheet!$A:$H,7,FALSE))</f>
        <v>0</v>
      </c>
      <c r="S127" s="37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1941252</v>
      </c>
      <c r="B128" s="2" t="str">
        <f t="shared" si="6"/>
        <v>1941</v>
      </c>
      <c r="C128" s="8" t="str">
        <f t="shared" si="7"/>
        <v>1PremiumS5</v>
      </c>
      <c r="D128" s="8" t="str">
        <f t="shared" si="8"/>
        <v>1PremiumS5</v>
      </c>
      <c r="E128" s="10">
        <v>1</v>
      </c>
      <c r="F128" s="6">
        <v>252</v>
      </c>
      <c r="G128" s="8" t="str">
        <f>VLOOKUP(F128,[1]characters!$A:$C,3,FALSE)</f>
        <v>強欲の沸騰 マンモン</v>
      </c>
      <c r="H128" s="8" t="str">
        <f>VLOOKUP(F128,[1]characters!$A:$J,10,FALSE)</f>
        <v>PremiumS</v>
      </c>
      <c r="I128" s="8">
        <f>VLOOKUP(F128,[1]characters!$A:$I,9,FALSE)</f>
        <v>5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god</v>
      </c>
      <c r="M128" s="16">
        <f>IFERROR(VLOOKUP(F128,gacha_conf!A$50:F$62,5+E128,FALSE),VLOOKUP(D128,gacha_conf!D$18:E$46,2,FALSE))</f>
        <v>554</v>
      </c>
      <c r="N128" s="37">
        <f>IFERROR(VLOOKUP($F128,bug_conf_sheet!$A:$H,3,FALSE),VLOOKUP("other",bug_conf_sheet!$A:$H,3,FALSE))</f>
        <v>1</v>
      </c>
      <c r="O128" s="37">
        <f>IFERROR(VLOOKUP($F128,bug_conf_sheet!$A:$H,4,FALSE),VLOOKUP("other",bug_conf_sheet!$A:$H,4,FALSE))</f>
        <v>0</v>
      </c>
      <c r="P128" s="37">
        <f>IFERROR(VLOOKUP($F128,bug_conf_sheet!$A:$H,5,FALSE),VLOOKUP("other",bug_conf_sheet!$A:$H,5,FALSE))</f>
        <v>0</v>
      </c>
      <c r="Q128" s="37">
        <f>IFERROR(VLOOKUP($F128,bug_conf_sheet!$A:$H,6,FALSE),VLOOKUP("other",bug_conf_sheet!$A:$H,6,FALSE))</f>
        <v>0</v>
      </c>
      <c r="R128" s="37">
        <f>IFERROR(VLOOKUP($F128,bug_conf_sheet!$A:$H,7,FALSE),VLOOKUP("other",bug_conf_sheet!$A:$H,7,FALSE))</f>
        <v>0</v>
      </c>
      <c r="S128" s="37">
        <f>IFERROR(VLOOKUP($F128,bug_conf_sheet!$A:$H,8,FALSE),VLOOKUP("other",bug_conf_sheet!$A:$H,8,FALSE))</f>
        <v>1</v>
      </c>
    </row>
    <row r="129" spans="1:19" ht="21" customHeight="1">
      <c r="A129" s="7" t="str">
        <f t="shared" si="5"/>
        <v>1941253</v>
      </c>
      <c r="B129" s="2" t="str">
        <f t="shared" si="6"/>
        <v>1941</v>
      </c>
      <c r="C129" s="8" t="str">
        <f t="shared" si="7"/>
        <v>1PremiumS3</v>
      </c>
      <c r="D129" s="8" t="str">
        <f t="shared" si="8"/>
        <v>1PremiumS3</v>
      </c>
      <c r="E129" s="10">
        <v>1</v>
      </c>
      <c r="F129" s="6">
        <v>253</v>
      </c>
      <c r="G129" s="8" t="str">
        <f>VLOOKUP(F129,[1]characters!$A:$C,3,FALSE)</f>
        <v>ベルフェゴール</v>
      </c>
      <c r="H129" s="8" t="str">
        <f>VLOOKUP(F129,[1]characters!$A:$J,10,FALSE)</f>
        <v>PremiumS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technical</v>
      </c>
      <c r="L129" s="8" t="str">
        <f>VLOOKUP(F129,[1]characters!$A:$M,13,FALSE)</f>
        <v>god</v>
      </c>
      <c r="M129" s="16">
        <f>IFERROR(VLOOKUP(F129,gacha_conf!A$50:F$62,5+E129,FALSE),VLOOKUP(D129,gacha_conf!D$18:E$46,2,FALSE))</f>
        <v>6739</v>
      </c>
      <c r="N129" s="37">
        <f>IFERROR(VLOOKUP($F129,bug_conf_sheet!$A:$H,3,FALSE),VLOOKUP("other",bug_conf_sheet!$A:$H,3,FALSE))</f>
        <v>1</v>
      </c>
      <c r="O129" s="37">
        <f>IFERROR(VLOOKUP($F129,bug_conf_sheet!$A:$H,4,FALSE),VLOOKUP("other",bug_conf_sheet!$A:$H,4,FALSE))</f>
        <v>0</v>
      </c>
      <c r="P129" s="37">
        <f>IFERROR(VLOOKUP($F129,bug_conf_sheet!$A:$H,5,FALSE),VLOOKUP("other",bug_conf_sheet!$A:$H,5,FALSE))</f>
        <v>0</v>
      </c>
      <c r="Q129" s="37">
        <f>IFERROR(VLOOKUP($F129,bug_conf_sheet!$A:$H,6,FALSE),VLOOKUP("other",bug_conf_sheet!$A:$H,6,FALSE))</f>
        <v>0</v>
      </c>
      <c r="R129" s="37">
        <f>IFERROR(VLOOKUP($F129,bug_conf_sheet!$A:$H,7,FALSE),VLOOKUP("other",bug_conf_sheet!$A:$H,7,FALSE))</f>
        <v>0</v>
      </c>
      <c r="S129" s="37">
        <f>IFERROR(VLOOKUP($F129,bug_conf_sheet!$A:$H,8,FALSE),VLOOKUP("other",bug_conf_sheet!$A:$H,8,FALSE))</f>
        <v>1</v>
      </c>
    </row>
    <row r="130" spans="1:19" ht="21" customHeight="1">
      <c r="A130" s="7" t="str">
        <f t="shared" si="5"/>
        <v>1941254</v>
      </c>
      <c r="B130" s="2" t="str">
        <f t="shared" si="6"/>
        <v>1941</v>
      </c>
      <c r="C130" s="8" t="str">
        <f t="shared" si="7"/>
        <v>1PremiumS4</v>
      </c>
      <c r="D130" s="8" t="str">
        <f t="shared" si="8"/>
        <v>1PremiumS4</v>
      </c>
      <c r="E130" s="10">
        <v>1</v>
      </c>
      <c r="F130" s="6">
        <v>254</v>
      </c>
      <c r="G130" s="8" t="str">
        <f>VLOOKUP(F130,[1]characters!$A:$C,3,FALSE)</f>
        <v>怠惰 ベルフェゴール</v>
      </c>
      <c r="H130" s="8" t="str">
        <f>VLOOKUP(F130,[1]characters!$A:$J,10,FALSE)</f>
        <v>PremiumS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technical</v>
      </c>
      <c r="L130" s="8" t="str">
        <f>VLOOKUP(F130,[1]characters!$A:$M,13,FALSE)</f>
        <v>god</v>
      </c>
      <c r="M130" s="16">
        <f>IFERROR(VLOOKUP(F130,gacha_conf!A$50:F$62,5+E130,FALSE),VLOOKUP(D130,gacha_conf!D$18:E$46,2,FALSE))</f>
        <v>1574</v>
      </c>
      <c r="N130" s="37">
        <f>IFERROR(VLOOKUP($F130,bug_conf_sheet!$A:$H,3,FALSE),VLOOKUP("other",bug_conf_sheet!$A:$H,3,FALSE))</f>
        <v>1</v>
      </c>
      <c r="O130" s="37">
        <f>IFERROR(VLOOKUP($F130,bug_conf_sheet!$A:$H,4,FALSE),VLOOKUP("other",bug_conf_sheet!$A:$H,4,FALSE))</f>
        <v>0</v>
      </c>
      <c r="P130" s="37">
        <f>IFERROR(VLOOKUP($F130,bug_conf_sheet!$A:$H,5,FALSE),VLOOKUP("other",bug_conf_sheet!$A:$H,5,FALSE))</f>
        <v>0</v>
      </c>
      <c r="Q130" s="37">
        <f>IFERROR(VLOOKUP($F130,bug_conf_sheet!$A:$H,6,FALSE),VLOOKUP("other",bug_conf_sheet!$A:$H,6,FALSE))</f>
        <v>0</v>
      </c>
      <c r="R130" s="37">
        <f>IFERROR(VLOOKUP($F130,bug_conf_sheet!$A:$H,7,FALSE),VLOOKUP("other",bug_conf_sheet!$A:$H,7,FALSE))</f>
        <v>0</v>
      </c>
      <c r="S130" s="37">
        <f>IFERROR(VLOOKUP($F130,bug_conf_sheet!$A:$H,8,FALSE),VLOOKUP("other",bug_conf_sheet!$A:$H,8,FALSE))</f>
        <v>1</v>
      </c>
    </row>
    <row r="131" spans="1:19" ht="21" customHeight="1">
      <c r="A131" s="7" t="str">
        <f t="shared" ref="A131:A194" si="9">B131&amp;F131</f>
        <v>1941255</v>
      </c>
      <c r="B131" s="2" t="str">
        <f t="shared" ref="B131:B194" si="10">194&amp;E131</f>
        <v>1941</v>
      </c>
      <c r="C131" s="8" t="str">
        <f t="shared" ref="C131:C194" si="11">E131&amp;H131&amp;I131</f>
        <v>1PremiumS5</v>
      </c>
      <c r="D131" s="8" t="str">
        <f t="shared" ref="D131:D194" si="12">E131&amp;H131&amp;I131</f>
        <v>1PremiumS5</v>
      </c>
      <c r="E131" s="10">
        <v>1</v>
      </c>
      <c r="F131" s="6">
        <v>255</v>
      </c>
      <c r="G131" s="8" t="str">
        <f>VLOOKUP(F131,[1]characters!$A:$C,3,FALSE)</f>
        <v>怠惰の頂点 ベルフェゴール</v>
      </c>
      <c r="H131" s="8" t="str">
        <f>VLOOKUP(F131,[1]characters!$A:$J,10,FALSE)</f>
        <v>PremiumS</v>
      </c>
      <c r="I131" s="8">
        <f>VLOOKUP(F131,[1]characters!$A:$I,9,FALSE)</f>
        <v>5</v>
      </c>
      <c r="J131" s="8" t="str">
        <f>VLOOKUP(F131,[1]characters!$A:$H,8,FALSE)</f>
        <v>green</v>
      </c>
      <c r="K131" s="8" t="str">
        <f>VLOOKUP(F131,[1]characters!$A:$K,11,FALSE)</f>
        <v>technical</v>
      </c>
      <c r="L131" s="8" t="str">
        <f>VLOOKUP(F131,[1]characters!$A:$M,13,FALSE)</f>
        <v>god</v>
      </c>
      <c r="M131" s="16">
        <f>IFERROR(VLOOKUP(F131,gacha_conf!A$50:F$62,5+E131,FALSE),VLOOKUP(D131,gacha_conf!D$18:E$46,2,FALSE))</f>
        <v>554</v>
      </c>
      <c r="N131" s="37">
        <f>IFERROR(VLOOKUP($F131,bug_conf_sheet!$A:$H,3,FALSE),VLOOKUP("other",bug_conf_sheet!$A:$H,3,FALSE))</f>
        <v>1</v>
      </c>
      <c r="O131" s="37">
        <f>IFERROR(VLOOKUP($F131,bug_conf_sheet!$A:$H,4,FALSE),VLOOKUP("other",bug_conf_sheet!$A:$H,4,FALSE))</f>
        <v>0</v>
      </c>
      <c r="P131" s="37">
        <f>IFERROR(VLOOKUP($F131,bug_conf_sheet!$A:$H,5,FALSE),VLOOKUP("other",bug_conf_sheet!$A:$H,5,FALSE))</f>
        <v>0</v>
      </c>
      <c r="Q131" s="37">
        <f>IFERROR(VLOOKUP($F131,bug_conf_sheet!$A:$H,6,FALSE),VLOOKUP("other",bug_conf_sheet!$A:$H,6,FALSE))</f>
        <v>0</v>
      </c>
      <c r="R131" s="37">
        <f>IFERROR(VLOOKUP($F131,bug_conf_sheet!$A:$H,7,FALSE),VLOOKUP("other",bug_conf_sheet!$A:$H,7,FALSE))</f>
        <v>0</v>
      </c>
      <c r="S131" s="37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1941256</v>
      </c>
      <c r="B132" s="2" t="str">
        <f t="shared" si="10"/>
        <v>1941</v>
      </c>
      <c r="C132" s="8" t="str">
        <f t="shared" si="11"/>
        <v>1PremiumS3</v>
      </c>
      <c r="D132" s="8" t="str">
        <f t="shared" si="12"/>
        <v>1PremiumS3</v>
      </c>
      <c r="E132" s="10">
        <v>1</v>
      </c>
      <c r="F132" s="6">
        <v>256</v>
      </c>
      <c r="G132" s="8" t="str">
        <f>VLOOKUP(F132,[1]characters!$A:$C,3,FALSE)</f>
        <v>アスモデウス</v>
      </c>
      <c r="H132" s="8" t="str">
        <f>VLOOKUP(F132,[1]characters!$A:$J,10,FALSE)</f>
        <v>PremiumS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16">
        <f>IFERROR(VLOOKUP(F132,gacha_conf!A$50:F$62,5+E132,FALSE),VLOOKUP(D132,gacha_conf!D$18:E$46,2,FALSE))</f>
        <v>6739</v>
      </c>
      <c r="N132" s="37">
        <f>IFERROR(VLOOKUP($F132,bug_conf_sheet!$A:$H,3,FALSE),VLOOKUP("other",bug_conf_sheet!$A:$H,3,FALSE))</f>
        <v>1</v>
      </c>
      <c r="O132" s="37">
        <f>IFERROR(VLOOKUP($F132,bug_conf_sheet!$A:$H,4,FALSE),VLOOKUP("other",bug_conf_sheet!$A:$H,4,FALSE))</f>
        <v>0</v>
      </c>
      <c r="P132" s="37">
        <f>IFERROR(VLOOKUP($F132,bug_conf_sheet!$A:$H,5,FALSE),VLOOKUP("other",bug_conf_sheet!$A:$H,5,FALSE))</f>
        <v>0</v>
      </c>
      <c r="Q132" s="37">
        <f>IFERROR(VLOOKUP($F132,bug_conf_sheet!$A:$H,6,FALSE),VLOOKUP("other",bug_conf_sheet!$A:$H,6,FALSE))</f>
        <v>0</v>
      </c>
      <c r="R132" s="37">
        <f>IFERROR(VLOOKUP($F132,bug_conf_sheet!$A:$H,7,FALSE),VLOOKUP("other",bug_conf_sheet!$A:$H,7,FALSE))</f>
        <v>0</v>
      </c>
      <c r="S132" s="37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1941257</v>
      </c>
      <c r="B133" s="2" t="str">
        <f t="shared" si="10"/>
        <v>1941</v>
      </c>
      <c r="C133" s="8" t="str">
        <f t="shared" si="11"/>
        <v>1PremiumS4</v>
      </c>
      <c r="D133" s="8" t="str">
        <f t="shared" si="12"/>
        <v>1PremiumS4</v>
      </c>
      <c r="E133" s="10">
        <v>1</v>
      </c>
      <c r="F133" s="6">
        <v>257</v>
      </c>
      <c r="G133" s="8" t="str">
        <f>VLOOKUP(F133,[1]characters!$A:$C,3,FALSE)</f>
        <v>色欲 アスモデウス</v>
      </c>
      <c r="H133" s="8" t="str">
        <f>VLOOKUP(F133,[1]characters!$A:$J,10,FALSE)</f>
        <v>PremiumS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16">
        <f>IFERROR(VLOOKUP(F133,gacha_conf!A$50:F$62,5+E133,FALSE),VLOOKUP(D133,gacha_conf!D$18:E$46,2,FALSE))</f>
        <v>1574</v>
      </c>
      <c r="N133" s="37">
        <f>IFERROR(VLOOKUP($F133,bug_conf_sheet!$A:$H,3,FALSE),VLOOKUP("other",bug_conf_sheet!$A:$H,3,FALSE))</f>
        <v>1</v>
      </c>
      <c r="O133" s="37">
        <f>IFERROR(VLOOKUP($F133,bug_conf_sheet!$A:$H,4,FALSE),VLOOKUP("other",bug_conf_sheet!$A:$H,4,FALSE))</f>
        <v>0</v>
      </c>
      <c r="P133" s="37">
        <f>IFERROR(VLOOKUP($F133,bug_conf_sheet!$A:$H,5,FALSE),VLOOKUP("other",bug_conf_sheet!$A:$H,5,FALSE))</f>
        <v>0</v>
      </c>
      <c r="Q133" s="37">
        <f>IFERROR(VLOOKUP($F133,bug_conf_sheet!$A:$H,6,FALSE),VLOOKUP("other",bug_conf_sheet!$A:$H,6,FALSE))</f>
        <v>0</v>
      </c>
      <c r="R133" s="37">
        <f>IFERROR(VLOOKUP($F133,bug_conf_sheet!$A:$H,7,FALSE),VLOOKUP("other",bug_conf_sheet!$A:$H,7,FALSE))</f>
        <v>0</v>
      </c>
      <c r="S133" s="37">
        <f>IFERROR(VLOOKUP($F133,bug_conf_sheet!$A:$H,8,FALSE),VLOOKUP("other",bug_conf_sheet!$A:$H,8,FALSE))</f>
        <v>1</v>
      </c>
    </row>
    <row r="134" spans="1:19" ht="21" customHeight="1">
      <c r="A134" s="7" t="str">
        <f t="shared" si="9"/>
        <v>1941258</v>
      </c>
      <c r="B134" s="2" t="str">
        <f t="shared" si="10"/>
        <v>1941</v>
      </c>
      <c r="C134" s="8" t="str">
        <f t="shared" si="11"/>
        <v>1PremiumS5</v>
      </c>
      <c r="D134" s="8" t="str">
        <f t="shared" si="12"/>
        <v>1PremiumS5</v>
      </c>
      <c r="E134" s="10">
        <v>1</v>
      </c>
      <c r="F134" s="6">
        <v>258</v>
      </c>
      <c r="G134" s="8" t="str">
        <f>VLOOKUP(F134,[1]characters!$A:$C,3,FALSE)</f>
        <v>色欲の源流 アスモデウス</v>
      </c>
      <c r="H134" s="8" t="str">
        <f>VLOOKUP(F134,[1]characters!$A:$J,10,FALSE)</f>
        <v>PremiumS</v>
      </c>
      <c r="I134" s="8">
        <f>VLOOKUP(F134,[1]characters!$A:$I,9,FALSE)</f>
        <v>5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16">
        <f>IFERROR(VLOOKUP(F134,gacha_conf!A$50:F$62,5+E134,FALSE),VLOOKUP(D134,gacha_conf!D$18:E$46,2,FALSE))</f>
        <v>554</v>
      </c>
      <c r="N134" s="37">
        <f>IFERROR(VLOOKUP($F134,bug_conf_sheet!$A:$H,3,FALSE),VLOOKUP("other",bug_conf_sheet!$A:$H,3,FALSE))</f>
        <v>1</v>
      </c>
      <c r="O134" s="37">
        <f>IFERROR(VLOOKUP($F134,bug_conf_sheet!$A:$H,4,FALSE),VLOOKUP("other",bug_conf_sheet!$A:$H,4,FALSE))</f>
        <v>0</v>
      </c>
      <c r="P134" s="37">
        <f>IFERROR(VLOOKUP($F134,bug_conf_sheet!$A:$H,5,FALSE),VLOOKUP("other",bug_conf_sheet!$A:$H,5,FALSE))</f>
        <v>0</v>
      </c>
      <c r="Q134" s="37">
        <f>IFERROR(VLOOKUP($F134,bug_conf_sheet!$A:$H,6,FALSE),VLOOKUP("other",bug_conf_sheet!$A:$H,6,FALSE))</f>
        <v>0</v>
      </c>
      <c r="R134" s="37">
        <f>IFERROR(VLOOKUP($F134,bug_conf_sheet!$A:$H,7,FALSE),VLOOKUP("other",bug_conf_sheet!$A:$H,7,FALSE))</f>
        <v>0</v>
      </c>
      <c r="S134" s="37">
        <f>IFERROR(VLOOKUP($F134,bug_conf_sheet!$A:$H,8,FALSE),VLOOKUP("other",bug_conf_sheet!$A:$H,8,FALSE))</f>
        <v>1</v>
      </c>
    </row>
    <row r="135" spans="1:19" ht="21" customHeight="1">
      <c r="A135" s="7" t="str">
        <f t="shared" si="9"/>
        <v>1941259</v>
      </c>
      <c r="B135" s="2" t="str">
        <f t="shared" si="10"/>
        <v>1941</v>
      </c>
      <c r="C135" s="8" t="str">
        <f t="shared" si="11"/>
        <v>1PremiumS3</v>
      </c>
      <c r="D135" s="8" t="str">
        <f t="shared" si="12"/>
        <v>1PremiumS3</v>
      </c>
      <c r="E135" s="10">
        <v>1</v>
      </c>
      <c r="F135" s="6">
        <v>259</v>
      </c>
      <c r="G135" s="8" t="str">
        <f>VLOOKUP(F135,[1]characters!$A:$C,3,FALSE)</f>
        <v>ウロボロス</v>
      </c>
      <c r="H135" s="8" t="str">
        <f>VLOOKUP(F135,[1]characters!$A:$J,10,FALSE)</f>
        <v>PremiumS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dragon</v>
      </c>
      <c r="M135" s="16">
        <f>IFERROR(VLOOKUP(F135,gacha_conf!A$50:F$62,5+E135,FALSE),VLOOKUP(D135,gacha_conf!D$18:E$46,2,FALSE))</f>
        <v>6739</v>
      </c>
      <c r="N135" s="37">
        <f>IFERROR(VLOOKUP($F135,bug_conf_sheet!$A:$H,3,FALSE),VLOOKUP("other",bug_conf_sheet!$A:$H,3,FALSE))</f>
        <v>1</v>
      </c>
      <c r="O135" s="37">
        <f>IFERROR(VLOOKUP($F135,bug_conf_sheet!$A:$H,4,FALSE),VLOOKUP("other",bug_conf_sheet!$A:$H,4,FALSE))</f>
        <v>0</v>
      </c>
      <c r="P135" s="37">
        <f>IFERROR(VLOOKUP($F135,bug_conf_sheet!$A:$H,5,FALSE),VLOOKUP("other",bug_conf_sheet!$A:$H,5,FALSE))</f>
        <v>0</v>
      </c>
      <c r="Q135" s="37">
        <f>IFERROR(VLOOKUP($F135,bug_conf_sheet!$A:$H,6,FALSE),VLOOKUP("other",bug_conf_sheet!$A:$H,6,FALSE))</f>
        <v>0</v>
      </c>
      <c r="R135" s="37">
        <f>IFERROR(VLOOKUP($F135,bug_conf_sheet!$A:$H,7,FALSE),VLOOKUP("other",bug_conf_sheet!$A:$H,7,FALSE))</f>
        <v>0</v>
      </c>
      <c r="S135" s="37">
        <f>IFERROR(VLOOKUP($F135,bug_conf_sheet!$A:$H,8,FALSE),VLOOKUP("other",bug_conf_sheet!$A:$H,8,FALSE))</f>
        <v>1</v>
      </c>
    </row>
    <row r="136" spans="1:19" ht="21" customHeight="1">
      <c r="A136" s="7" t="str">
        <f t="shared" si="9"/>
        <v>1941260</v>
      </c>
      <c r="B136" s="2" t="str">
        <f t="shared" si="10"/>
        <v>1941</v>
      </c>
      <c r="C136" s="8" t="str">
        <f t="shared" si="11"/>
        <v>1PremiumS4</v>
      </c>
      <c r="D136" s="8" t="str">
        <f t="shared" si="12"/>
        <v>1PremiumS4</v>
      </c>
      <c r="E136" s="10">
        <v>1</v>
      </c>
      <c r="F136" s="9">
        <v>260</v>
      </c>
      <c r="G136" s="8" t="str">
        <f>VLOOKUP(F136,[1]characters!$A:$C,3,FALSE)</f>
        <v>輪廻 ウロボロス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balance</v>
      </c>
      <c r="L136" s="8" t="str">
        <f>VLOOKUP(F136,[1]characters!$A:$M,13,FALSE)</f>
        <v>dragon</v>
      </c>
      <c r="M136" s="16">
        <f>IFERROR(VLOOKUP(F136,gacha_conf!A$50:F$62,5+E136,FALSE),VLOOKUP(D136,gacha_conf!D$18:E$46,2,FALSE))</f>
        <v>1574</v>
      </c>
      <c r="N136" s="37">
        <f>IFERROR(VLOOKUP($F136,bug_conf_sheet!$A:$H,3,FALSE),VLOOKUP("other",bug_conf_sheet!$A:$H,3,FALSE))</f>
        <v>1</v>
      </c>
      <c r="O136" s="37">
        <f>IFERROR(VLOOKUP($F136,bug_conf_sheet!$A:$H,4,FALSE),VLOOKUP("other",bug_conf_sheet!$A:$H,4,FALSE))</f>
        <v>0</v>
      </c>
      <c r="P136" s="37">
        <f>IFERROR(VLOOKUP($F136,bug_conf_sheet!$A:$H,5,FALSE),VLOOKUP("other",bug_conf_sheet!$A:$H,5,FALSE))</f>
        <v>0</v>
      </c>
      <c r="Q136" s="37">
        <f>IFERROR(VLOOKUP($F136,bug_conf_sheet!$A:$H,6,FALSE),VLOOKUP("other",bug_conf_sheet!$A:$H,6,FALSE))</f>
        <v>0</v>
      </c>
      <c r="R136" s="37">
        <f>IFERROR(VLOOKUP($F136,bug_conf_sheet!$A:$H,7,FALSE),VLOOKUP("other",bug_conf_sheet!$A:$H,7,FALSE))</f>
        <v>0</v>
      </c>
      <c r="S136" s="37">
        <f>IFERROR(VLOOKUP($F136,bug_conf_sheet!$A:$H,8,FALSE),VLOOKUP("other",bug_conf_sheet!$A:$H,8,FALSE))</f>
        <v>1</v>
      </c>
    </row>
    <row r="137" spans="1:19" ht="21" customHeight="1">
      <c r="A137" s="7" t="str">
        <f t="shared" si="9"/>
        <v>1941261</v>
      </c>
      <c r="B137" s="2" t="str">
        <f t="shared" si="10"/>
        <v>1941</v>
      </c>
      <c r="C137" s="8" t="str">
        <f t="shared" si="11"/>
        <v>1PremiumS5</v>
      </c>
      <c r="D137" s="8" t="str">
        <f t="shared" si="12"/>
        <v>1PremiumS5</v>
      </c>
      <c r="E137" s="10">
        <v>1</v>
      </c>
      <c r="F137" s="9">
        <v>261</v>
      </c>
      <c r="G137" s="8" t="str">
        <f>VLOOKUP(F137,[1]characters!$A:$C,3,FALSE)</f>
        <v>輪廻の蛇龍 ウロボロス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dragon</v>
      </c>
      <c r="M137" s="16">
        <f>IFERROR(VLOOKUP(F137,gacha_conf!A$50:F$62,5+E137,FALSE),VLOOKUP(D137,gacha_conf!D$18:E$46,2,FALSE))</f>
        <v>554</v>
      </c>
      <c r="N137" s="37">
        <f>IFERROR(VLOOKUP($F137,bug_conf_sheet!$A:$H,3,FALSE),VLOOKUP("other",bug_conf_sheet!$A:$H,3,FALSE))</f>
        <v>1</v>
      </c>
      <c r="O137" s="37">
        <f>IFERROR(VLOOKUP($F137,bug_conf_sheet!$A:$H,4,FALSE),VLOOKUP("other",bug_conf_sheet!$A:$H,4,FALSE))</f>
        <v>0</v>
      </c>
      <c r="P137" s="37">
        <f>IFERROR(VLOOKUP($F137,bug_conf_sheet!$A:$H,5,FALSE),VLOOKUP("other",bug_conf_sheet!$A:$H,5,FALSE))</f>
        <v>0</v>
      </c>
      <c r="Q137" s="37">
        <f>IFERROR(VLOOKUP($F137,bug_conf_sheet!$A:$H,6,FALSE),VLOOKUP("other",bug_conf_sheet!$A:$H,6,FALSE))</f>
        <v>0</v>
      </c>
      <c r="R137" s="37">
        <f>IFERROR(VLOOKUP($F137,bug_conf_sheet!$A:$H,7,FALSE),VLOOKUP("other",bug_conf_sheet!$A:$H,7,FALSE))</f>
        <v>0</v>
      </c>
      <c r="S137" s="37">
        <f>IFERROR(VLOOKUP($F137,bug_conf_sheet!$A:$H,8,FALSE),VLOOKUP("other",bug_conf_sheet!$A:$H,8,FALSE))</f>
        <v>1</v>
      </c>
    </row>
    <row r="138" spans="1:19" ht="21" customHeight="1">
      <c r="A138" s="7" t="str">
        <f t="shared" si="9"/>
        <v>1941320</v>
      </c>
      <c r="B138" s="2" t="str">
        <f t="shared" si="10"/>
        <v>1941</v>
      </c>
      <c r="C138" s="8" t="str">
        <f t="shared" si="11"/>
        <v>1PremiumSS4</v>
      </c>
      <c r="D138" s="8" t="str">
        <f t="shared" si="12"/>
        <v>1PremiumSS4</v>
      </c>
      <c r="E138" s="10">
        <v>1</v>
      </c>
      <c r="F138" s="6">
        <v>320</v>
      </c>
      <c r="G138" s="8" t="str">
        <f>VLOOKUP(F138,[1]characters!$A:$C,3,FALSE)</f>
        <v>烈志士 近藤勇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hp</v>
      </c>
      <c r="L138" s="8" t="str">
        <f>VLOOKUP(F138,[1]characters!$A:$M,13,FALSE)</f>
        <v>human</v>
      </c>
      <c r="M138" s="16">
        <f>IFERROR(VLOOKUP(F138,gacha_conf!A$50:F$62,5+E138,FALSE),VLOOKUP(D138,gacha_conf!D$18:E$46,2,FALSE))</f>
        <v>997</v>
      </c>
      <c r="N138" s="37">
        <f>IFERROR(VLOOKUP($F138,bug_conf_sheet!$A:$H,3,FALSE),VLOOKUP("other",bug_conf_sheet!$A:$H,3,FALSE))</f>
        <v>1</v>
      </c>
      <c r="O138" s="37">
        <f>IFERROR(VLOOKUP($F138,bug_conf_sheet!$A:$H,4,FALSE),VLOOKUP("other",bug_conf_sheet!$A:$H,4,FALSE))</f>
        <v>0</v>
      </c>
      <c r="P138" s="37">
        <f>IFERROR(VLOOKUP($F138,bug_conf_sheet!$A:$H,5,FALSE),VLOOKUP("other",bug_conf_sheet!$A:$H,5,FALSE))</f>
        <v>0</v>
      </c>
      <c r="Q138" s="37">
        <f>IFERROR(VLOOKUP($F138,bug_conf_sheet!$A:$H,6,FALSE),VLOOKUP("other",bug_conf_sheet!$A:$H,6,FALSE))</f>
        <v>0</v>
      </c>
      <c r="R138" s="37">
        <f>IFERROR(VLOOKUP($F138,bug_conf_sheet!$A:$H,7,FALSE),VLOOKUP("other",bug_conf_sheet!$A:$H,7,FALSE))</f>
        <v>0</v>
      </c>
      <c r="S138" s="37">
        <f>IFERROR(VLOOKUP($F138,bug_conf_sheet!$A:$H,8,FALSE),VLOOKUP("other",bug_conf_sheet!$A:$H,8,FALSE))</f>
        <v>1</v>
      </c>
    </row>
    <row r="139" spans="1:19" ht="21" customHeight="1">
      <c r="A139" s="7" t="str">
        <f t="shared" si="9"/>
        <v>1941321</v>
      </c>
      <c r="B139" s="2" t="str">
        <f t="shared" si="10"/>
        <v>1941</v>
      </c>
      <c r="C139" s="8" t="str">
        <f t="shared" si="11"/>
        <v>1PremiumSS5</v>
      </c>
      <c r="D139" s="8" t="str">
        <f t="shared" si="12"/>
        <v>1PremiumSS5</v>
      </c>
      <c r="E139" s="10">
        <v>1</v>
      </c>
      <c r="F139" s="6">
        <v>321</v>
      </c>
      <c r="G139" s="8" t="str">
        <f>VLOOKUP(F139,[1]characters!$A:$C,3,FALSE)</f>
        <v>巌鉄の烈志士 近藤勇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hp</v>
      </c>
      <c r="L139" s="8" t="str">
        <f>VLOOKUP(F139,[1]characters!$A:$M,13,FALSE)</f>
        <v>human</v>
      </c>
      <c r="M139" s="16">
        <f>IFERROR(VLOOKUP(F139,gacha_conf!A$50:F$62,5+E139,FALSE),VLOOKUP(D139,gacha_conf!D$18:E$46,2,FALSE))</f>
        <v>66</v>
      </c>
      <c r="N139" s="37">
        <f>IFERROR(VLOOKUP($F139,bug_conf_sheet!$A:$H,3,FALSE),VLOOKUP("other",bug_conf_sheet!$A:$H,3,FALSE))</f>
        <v>1</v>
      </c>
      <c r="O139" s="37">
        <f>IFERROR(VLOOKUP($F139,bug_conf_sheet!$A:$H,4,FALSE),VLOOKUP("other",bug_conf_sheet!$A:$H,4,FALSE))</f>
        <v>0</v>
      </c>
      <c r="P139" s="37">
        <f>IFERROR(VLOOKUP($F139,bug_conf_sheet!$A:$H,5,FALSE),VLOOKUP("other",bug_conf_sheet!$A:$H,5,FALSE))</f>
        <v>0</v>
      </c>
      <c r="Q139" s="37">
        <f>IFERROR(VLOOKUP($F139,bug_conf_sheet!$A:$H,6,FALSE),VLOOKUP("other",bug_conf_sheet!$A:$H,6,FALSE))</f>
        <v>0</v>
      </c>
      <c r="R139" s="37">
        <f>IFERROR(VLOOKUP($F139,bug_conf_sheet!$A:$H,7,FALSE),VLOOKUP("other",bug_conf_sheet!$A:$H,7,FALSE))</f>
        <v>0</v>
      </c>
      <c r="S139" s="37">
        <f>IFERROR(VLOOKUP($F139,bug_conf_sheet!$A:$H,8,FALSE),VLOOKUP("other",bug_conf_sheet!$A:$H,8,FALSE))</f>
        <v>1</v>
      </c>
    </row>
    <row r="140" spans="1:19" ht="21" customHeight="1">
      <c r="A140" s="7" t="str">
        <f t="shared" si="9"/>
        <v>1941322</v>
      </c>
      <c r="B140" s="2" t="str">
        <f t="shared" si="10"/>
        <v>1941</v>
      </c>
      <c r="C140" s="8" t="str">
        <f t="shared" si="11"/>
        <v>1PremiumSS4</v>
      </c>
      <c r="D140" s="8" t="str">
        <f t="shared" si="12"/>
        <v>1PremiumSS4</v>
      </c>
      <c r="E140" s="10">
        <v>1</v>
      </c>
      <c r="F140" s="6">
        <v>322</v>
      </c>
      <c r="G140" s="8" t="str">
        <f>VLOOKUP(F140,[1]characters!$A:$C,3,FALSE)</f>
        <v>愛志士 土方歳三</v>
      </c>
      <c r="H140" s="8" t="str">
        <f>VLOOKUP(F140,[1]characters!$A:$J,10,FALSE)</f>
        <v>PremiumSS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human</v>
      </c>
      <c r="M140" s="16">
        <f>IFERROR(VLOOKUP(F140,gacha_conf!A$50:F$62,5+E140,FALSE),VLOOKUP(D140,gacha_conf!D$18:E$46,2,FALSE))</f>
        <v>997</v>
      </c>
      <c r="N140" s="37">
        <f>IFERROR(VLOOKUP($F140,bug_conf_sheet!$A:$H,3,FALSE),VLOOKUP("other",bug_conf_sheet!$A:$H,3,FALSE))</f>
        <v>1</v>
      </c>
      <c r="O140" s="37">
        <f>IFERROR(VLOOKUP($F140,bug_conf_sheet!$A:$H,4,FALSE),VLOOKUP("other",bug_conf_sheet!$A:$H,4,FALSE))</f>
        <v>0</v>
      </c>
      <c r="P140" s="37">
        <f>IFERROR(VLOOKUP($F140,bug_conf_sheet!$A:$H,5,FALSE),VLOOKUP("other",bug_conf_sheet!$A:$H,5,FALSE))</f>
        <v>0</v>
      </c>
      <c r="Q140" s="37">
        <f>IFERROR(VLOOKUP($F140,bug_conf_sheet!$A:$H,6,FALSE),VLOOKUP("other",bug_conf_sheet!$A:$H,6,FALSE))</f>
        <v>0</v>
      </c>
      <c r="R140" s="37">
        <f>IFERROR(VLOOKUP($F140,bug_conf_sheet!$A:$H,7,FALSE),VLOOKUP("other",bug_conf_sheet!$A:$H,7,FALSE))</f>
        <v>0</v>
      </c>
      <c r="S140" s="37">
        <f>IFERROR(VLOOKUP($F140,bug_conf_sheet!$A:$H,8,FALSE),VLOOKUP("other",bug_conf_sheet!$A:$H,8,FALSE))</f>
        <v>1</v>
      </c>
    </row>
    <row r="141" spans="1:19" ht="21" customHeight="1">
      <c r="A141" s="7" t="str">
        <f t="shared" si="9"/>
        <v>1941323</v>
      </c>
      <c r="B141" s="2" t="str">
        <f t="shared" si="10"/>
        <v>1941</v>
      </c>
      <c r="C141" s="8" t="str">
        <f t="shared" si="11"/>
        <v>1PremiumSS5</v>
      </c>
      <c r="D141" s="8" t="str">
        <f t="shared" si="12"/>
        <v>1PremiumSS5</v>
      </c>
      <c r="E141" s="10">
        <v>1</v>
      </c>
      <c r="F141" s="6">
        <v>323</v>
      </c>
      <c r="G141" s="8" t="str">
        <f>VLOOKUP(F141,[1]characters!$A:$C,3,FALSE)</f>
        <v>流麗の愛志士 土方歳三</v>
      </c>
      <c r="H141" s="8" t="str">
        <f>VLOOKUP(F141,[1]characters!$A:$J,10,FALSE)</f>
        <v>PremiumSS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human</v>
      </c>
      <c r="M141" s="16">
        <f>IFERROR(VLOOKUP(F141,gacha_conf!A$50:F$62,5+E141,FALSE),VLOOKUP(D141,gacha_conf!D$18:E$46,2,FALSE))</f>
        <v>66</v>
      </c>
      <c r="N141" s="37">
        <f>IFERROR(VLOOKUP($F141,bug_conf_sheet!$A:$H,3,FALSE),VLOOKUP("other",bug_conf_sheet!$A:$H,3,FALSE))</f>
        <v>1</v>
      </c>
      <c r="O141" s="37">
        <f>IFERROR(VLOOKUP($F141,bug_conf_sheet!$A:$H,4,FALSE),VLOOKUP("other",bug_conf_sheet!$A:$H,4,FALSE))</f>
        <v>0</v>
      </c>
      <c r="P141" s="37">
        <f>IFERROR(VLOOKUP($F141,bug_conf_sheet!$A:$H,5,FALSE),VLOOKUP("other",bug_conf_sheet!$A:$H,5,FALSE))</f>
        <v>0</v>
      </c>
      <c r="Q141" s="37">
        <f>IFERROR(VLOOKUP($F141,bug_conf_sheet!$A:$H,6,FALSE),VLOOKUP("other",bug_conf_sheet!$A:$H,6,FALSE))</f>
        <v>0</v>
      </c>
      <c r="R141" s="37">
        <f>IFERROR(VLOOKUP($F141,bug_conf_sheet!$A:$H,7,FALSE),VLOOKUP("other",bug_conf_sheet!$A:$H,7,FALSE))</f>
        <v>0</v>
      </c>
      <c r="S141" s="37">
        <f>IFERROR(VLOOKUP($F141,bug_conf_sheet!$A:$H,8,FALSE),VLOOKUP("other",bug_conf_sheet!$A:$H,8,FALSE))</f>
        <v>1</v>
      </c>
    </row>
    <row r="142" spans="1:19" ht="21" customHeight="1">
      <c r="A142" s="7" t="str">
        <f t="shared" si="9"/>
        <v>1941324</v>
      </c>
      <c r="B142" s="2" t="str">
        <f t="shared" si="10"/>
        <v>1941</v>
      </c>
      <c r="C142" s="8" t="str">
        <f t="shared" si="11"/>
        <v>1PremiumSS4</v>
      </c>
      <c r="D142" s="8" t="str">
        <f t="shared" si="12"/>
        <v>1PremiumSS4</v>
      </c>
      <c r="E142" s="10">
        <v>1</v>
      </c>
      <c r="F142" s="6">
        <v>324</v>
      </c>
      <c r="G142" s="8" t="str">
        <f>VLOOKUP(F142,[1]characters!$A:$C,3,FALSE)</f>
        <v>凛志士 沖田総司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16">
        <f>IFERROR(VLOOKUP(F142,gacha_conf!A$50:F$62,5+E142,FALSE),VLOOKUP(D142,gacha_conf!D$18:E$46,2,FALSE))</f>
        <v>997</v>
      </c>
      <c r="N142" s="37">
        <f>IFERROR(VLOOKUP($F142,bug_conf_sheet!$A:$H,3,FALSE),VLOOKUP("other",bug_conf_sheet!$A:$H,3,FALSE))</f>
        <v>1</v>
      </c>
      <c r="O142" s="37">
        <f>IFERROR(VLOOKUP($F142,bug_conf_sheet!$A:$H,4,FALSE),VLOOKUP("other",bug_conf_sheet!$A:$H,4,FALSE))</f>
        <v>0</v>
      </c>
      <c r="P142" s="37">
        <f>IFERROR(VLOOKUP($F142,bug_conf_sheet!$A:$H,5,FALSE),VLOOKUP("other",bug_conf_sheet!$A:$H,5,FALSE))</f>
        <v>0</v>
      </c>
      <c r="Q142" s="37">
        <f>IFERROR(VLOOKUP($F142,bug_conf_sheet!$A:$H,6,FALSE),VLOOKUP("other",bug_conf_sheet!$A:$H,6,FALSE))</f>
        <v>0</v>
      </c>
      <c r="R142" s="37">
        <f>IFERROR(VLOOKUP($F142,bug_conf_sheet!$A:$H,7,FALSE),VLOOKUP("other",bug_conf_sheet!$A:$H,7,FALSE))</f>
        <v>0</v>
      </c>
      <c r="S142" s="37">
        <f>IFERROR(VLOOKUP($F142,bug_conf_sheet!$A:$H,8,FALSE),VLOOKUP("other",bug_conf_sheet!$A:$H,8,FALSE))</f>
        <v>1</v>
      </c>
    </row>
    <row r="143" spans="1:19" s="14" customFormat="1" ht="21" customHeight="1" thickBot="1">
      <c r="A143" s="7" t="str">
        <f t="shared" si="9"/>
        <v>1941325</v>
      </c>
      <c r="B143" s="2" t="str">
        <f t="shared" si="10"/>
        <v>1941</v>
      </c>
      <c r="C143" s="8" t="str">
        <f t="shared" si="11"/>
        <v>1PremiumSS5</v>
      </c>
      <c r="D143" s="8" t="str">
        <f t="shared" si="12"/>
        <v>1PremiumSS5</v>
      </c>
      <c r="E143" s="10">
        <v>1</v>
      </c>
      <c r="F143" s="6">
        <v>325</v>
      </c>
      <c r="G143" s="8" t="str">
        <f>VLOOKUP(F143,[1]characters!$A:$C,3,FALSE)</f>
        <v>天賦の凛志士 沖田総司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16">
        <f>IFERROR(VLOOKUP(F143,gacha_conf!A$50:F$62,5+E143,FALSE),VLOOKUP(D143,gacha_conf!D$18:E$46,2,FALSE))</f>
        <v>66</v>
      </c>
      <c r="N143" s="37">
        <f>IFERROR(VLOOKUP($F143,bug_conf_sheet!$A:$H,3,FALSE),VLOOKUP("other",bug_conf_sheet!$A:$H,3,FALSE))</f>
        <v>1</v>
      </c>
      <c r="O143" s="37">
        <f>IFERROR(VLOOKUP($F143,bug_conf_sheet!$A:$H,4,FALSE),VLOOKUP("other",bug_conf_sheet!$A:$H,4,FALSE))</f>
        <v>0</v>
      </c>
      <c r="P143" s="37">
        <f>IFERROR(VLOOKUP($F143,bug_conf_sheet!$A:$H,5,FALSE),VLOOKUP("other",bug_conf_sheet!$A:$H,5,FALSE))</f>
        <v>0</v>
      </c>
      <c r="Q143" s="37">
        <f>IFERROR(VLOOKUP($F143,bug_conf_sheet!$A:$H,6,FALSE),VLOOKUP("other",bug_conf_sheet!$A:$H,6,FALSE))</f>
        <v>0</v>
      </c>
      <c r="R143" s="37">
        <f>IFERROR(VLOOKUP($F143,bug_conf_sheet!$A:$H,7,FALSE),VLOOKUP("other",bug_conf_sheet!$A:$H,7,FALSE))</f>
        <v>0</v>
      </c>
      <c r="S143" s="37">
        <f>IFERROR(VLOOKUP($F143,bug_conf_sheet!$A:$H,8,FALSE),VLOOKUP("other",bug_conf_sheet!$A:$H,8,FALSE))</f>
        <v>1</v>
      </c>
    </row>
    <row r="144" spans="1:19" ht="21" customHeight="1">
      <c r="A144" s="7" t="str">
        <f t="shared" si="9"/>
        <v>1941326</v>
      </c>
      <c r="B144" s="2" t="str">
        <f t="shared" si="10"/>
        <v>1941</v>
      </c>
      <c r="C144" s="8" t="str">
        <f t="shared" si="11"/>
        <v>1PremiumSS4</v>
      </c>
      <c r="D144" s="8" t="str">
        <f t="shared" si="12"/>
        <v>1PremiumSS4</v>
      </c>
      <c r="E144" s="10">
        <v>1</v>
      </c>
      <c r="F144" s="6">
        <v>326</v>
      </c>
      <c r="G144" s="8" t="str">
        <f>VLOOKUP(F144,[1]characters!$A:$C,3,FALSE)</f>
        <v>妖志士 斎藤一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IFERROR(VLOOKUP(F144,gacha_conf!A$50:F$62,5+E144,FALSE),VLOOKUP(D144,gacha_conf!D$18:E$46,2,FALSE))</f>
        <v>997</v>
      </c>
      <c r="N144" s="37">
        <f>IFERROR(VLOOKUP($F144,bug_conf_sheet!$A:$H,3,FALSE),VLOOKUP("other",bug_conf_sheet!$A:$H,3,FALSE))</f>
        <v>1</v>
      </c>
      <c r="O144" s="37">
        <f>IFERROR(VLOOKUP($F144,bug_conf_sheet!$A:$H,4,FALSE),VLOOKUP("other",bug_conf_sheet!$A:$H,4,FALSE))</f>
        <v>0</v>
      </c>
      <c r="P144" s="37">
        <f>IFERROR(VLOOKUP($F144,bug_conf_sheet!$A:$H,5,FALSE),VLOOKUP("other",bug_conf_sheet!$A:$H,5,FALSE))</f>
        <v>0</v>
      </c>
      <c r="Q144" s="37">
        <f>IFERROR(VLOOKUP($F144,bug_conf_sheet!$A:$H,6,FALSE),VLOOKUP("other",bug_conf_sheet!$A:$H,6,FALSE))</f>
        <v>0</v>
      </c>
      <c r="R144" s="37">
        <f>IFERROR(VLOOKUP($F144,bug_conf_sheet!$A:$H,7,FALSE),VLOOKUP("other",bug_conf_sheet!$A:$H,7,FALSE))</f>
        <v>0</v>
      </c>
      <c r="S144" s="37">
        <f>IFERROR(VLOOKUP($F144,bug_conf_sheet!$A:$H,8,FALSE),VLOOKUP("other",bug_conf_sheet!$A:$H,8,FALSE))</f>
        <v>1</v>
      </c>
    </row>
    <row r="145" spans="1:19" ht="21" customHeight="1">
      <c r="A145" s="7" t="str">
        <f t="shared" si="9"/>
        <v>1941327</v>
      </c>
      <c r="B145" s="2" t="str">
        <f t="shared" si="10"/>
        <v>1941</v>
      </c>
      <c r="C145" s="8" t="str">
        <f t="shared" si="11"/>
        <v>1PremiumSS5</v>
      </c>
      <c r="D145" s="8" t="str">
        <f t="shared" si="12"/>
        <v>1PremiumSS5</v>
      </c>
      <c r="E145" s="10">
        <v>1</v>
      </c>
      <c r="F145" s="6">
        <v>327</v>
      </c>
      <c r="G145" s="8" t="str">
        <f>VLOOKUP(F145,[1]characters!$A:$C,3,FALSE)</f>
        <v>千殺の妖志士 斎藤一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IFERROR(VLOOKUP(F145,gacha_conf!A$50:F$62,5+E145,FALSE),VLOOKUP(D145,gacha_conf!D$18:E$46,2,FALSE))</f>
        <v>66</v>
      </c>
      <c r="N145" s="37">
        <f>IFERROR(VLOOKUP($F145,bug_conf_sheet!$A:$H,3,FALSE),VLOOKUP("other",bug_conf_sheet!$A:$H,3,FALSE))</f>
        <v>1</v>
      </c>
      <c r="O145" s="37">
        <f>IFERROR(VLOOKUP($F145,bug_conf_sheet!$A:$H,4,FALSE),VLOOKUP("other",bug_conf_sheet!$A:$H,4,FALSE))</f>
        <v>0</v>
      </c>
      <c r="P145" s="37">
        <f>IFERROR(VLOOKUP($F145,bug_conf_sheet!$A:$H,5,FALSE),VLOOKUP("other",bug_conf_sheet!$A:$H,5,FALSE))</f>
        <v>0</v>
      </c>
      <c r="Q145" s="37">
        <f>IFERROR(VLOOKUP($F145,bug_conf_sheet!$A:$H,6,FALSE),VLOOKUP("other",bug_conf_sheet!$A:$H,6,FALSE))</f>
        <v>0</v>
      </c>
      <c r="R145" s="37">
        <f>IFERROR(VLOOKUP($F145,bug_conf_sheet!$A:$H,7,FALSE),VLOOKUP("other",bug_conf_sheet!$A:$H,7,FALSE))</f>
        <v>0</v>
      </c>
      <c r="S145" s="37">
        <f>IFERROR(VLOOKUP($F145,bug_conf_sheet!$A:$H,8,FALSE),VLOOKUP("other",bug_conf_sheet!$A:$H,8,FALSE))</f>
        <v>1</v>
      </c>
    </row>
    <row r="146" spans="1:19" ht="21" customHeight="1">
      <c r="A146" s="7" t="str">
        <f t="shared" si="9"/>
        <v>1941380</v>
      </c>
      <c r="B146" s="2" t="str">
        <f t="shared" si="10"/>
        <v>1941</v>
      </c>
      <c r="C146" s="8" t="str">
        <f t="shared" si="11"/>
        <v>1PremiumS3</v>
      </c>
      <c r="D146" s="8" t="str">
        <f t="shared" si="12"/>
        <v>1PremiumS3</v>
      </c>
      <c r="E146" s="10">
        <v>1</v>
      </c>
      <c r="F146" s="6">
        <v>380</v>
      </c>
      <c r="G146" s="8" t="str">
        <f>VLOOKUP(F146,[1]characters!$A:$C,3,FALSE)</f>
        <v>バハムート</v>
      </c>
      <c r="H146" s="8" t="str">
        <f>VLOOKUP(F146,[1]characters!$A:$J,10,FALSE)</f>
        <v>PremiumS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technical</v>
      </c>
      <c r="L146" s="8" t="str">
        <f>VLOOKUP(F146,[1]characters!$A:$M,13,FALSE)</f>
        <v>dragon</v>
      </c>
      <c r="M146" s="16">
        <f>IFERROR(VLOOKUP(F146,gacha_conf!A$50:F$62,5+E146,FALSE),VLOOKUP(D146,gacha_conf!D$18:E$46,2,FALSE))</f>
        <v>6739</v>
      </c>
      <c r="N146" s="37">
        <f>IFERROR(VLOOKUP($F146,bug_conf_sheet!$A:$H,3,FALSE),VLOOKUP("other",bug_conf_sheet!$A:$H,3,FALSE))</f>
        <v>1</v>
      </c>
      <c r="O146" s="37">
        <f>IFERROR(VLOOKUP($F146,bug_conf_sheet!$A:$H,4,FALSE),VLOOKUP("other",bug_conf_sheet!$A:$H,4,FALSE))</f>
        <v>0</v>
      </c>
      <c r="P146" s="37">
        <f>IFERROR(VLOOKUP($F146,bug_conf_sheet!$A:$H,5,FALSE),VLOOKUP("other",bug_conf_sheet!$A:$H,5,FALSE))</f>
        <v>0</v>
      </c>
      <c r="Q146" s="37">
        <f>IFERROR(VLOOKUP($F146,bug_conf_sheet!$A:$H,6,FALSE),VLOOKUP("other",bug_conf_sheet!$A:$H,6,FALSE))</f>
        <v>0</v>
      </c>
      <c r="R146" s="37">
        <f>IFERROR(VLOOKUP($F146,bug_conf_sheet!$A:$H,7,FALSE),VLOOKUP("other",bug_conf_sheet!$A:$H,7,FALSE))</f>
        <v>0</v>
      </c>
      <c r="S146" s="37">
        <f>IFERROR(VLOOKUP($F146,bug_conf_sheet!$A:$H,8,FALSE),VLOOKUP("other",bug_conf_sheet!$A:$H,8,FALSE))</f>
        <v>1</v>
      </c>
    </row>
    <row r="147" spans="1:19" ht="21" customHeight="1">
      <c r="A147" s="7" t="str">
        <f t="shared" si="9"/>
        <v>1941381</v>
      </c>
      <c r="B147" s="2" t="str">
        <f t="shared" si="10"/>
        <v>1941</v>
      </c>
      <c r="C147" s="8" t="str">
        <f t="shared" si="11"/>
        <v>1PremiumS4</v>
      </c>
      <c r="D147" s="8" t="str">
        <f t="shared" si="12"/>
        <v>1PremiumS4</v>
      </c>
      <c r="E147" s="10">
        <v>1</v>
      </c>
      <c r="F147" s="6">
        <v>381</v>
      </c>
      <c r="G147" s="8" t="str">
        <f>VLOOKUP(F147,[1]characters!$A:$C,3,FALSE)</f>
        <v>肉食の恋火 バハムート</v>
      </c>
      <c r="H147" s="8" t="str">
        <f>VLOOKUP(F147,[1]characters!$A:$J,10,FALSE)</f>
        <v>PremiumS</v>
      </c>
      <c r="I147" s="8">
        <f>VLOOKUP(F147,[1]characters!$A:$I,9,FALSE)</f>
        <v>4</v>
      </c>
      <c r="J147" s="8" t="str">
        <f>VLOOKUP(F147,[1]characters!$A:$H,8,FALSE)</f>
        <v>red</v>
      </c>
      <c r="K147" s="8" t="str">
        <f>VLOOKUP(F147,[1]characters!$A:$K,11,FALSE)</f>
        <v>technical</v>
      </c>
      <c r="L147" s="8" t="str">
        <f>VLOOKUP(F147,[1]characters!$A:$M,13,FALSE)</f>
        <v>dragon</v>
      </c>
      <c r="M147" s="16">
        <f>IFERROR(VLOOKUP(F147,gacha_conf!A$50:F$62,5+E147,FALSE),VLOOKUP(D147,gacha_conf!D$18:E$46,2,FALSE))</f>
        <v>1574</v>
      </c>
      <c r="N147" s="37">
        <f>IFERROR(VLOOKUP($F147,bug_conf_sheet!$A:$H,3,FALSE),VLOOKUP("other",bug_conf_sheet!$A:$H,3,FALSE))</f>
        <v>1</v>
      </c>
      <c r="O147" s="37">
        <f>IFERROR(VLOOKUP($F147,bug_conf_sheet!$A:$H,4,FALSE),VLOOKUP("other",bug_conf_sheet!$A:$H,4,FALSE))</f>
        <v>0</v>
      </c>
      <c r="P147" s="37">
        <f>IFERROR(VLOOKUP($F147,bug_conf_sheet!$A:$H,5,FALSE),VLOOKUP("other",bug_conf_sheet!$A:$H,5,FALSE))</f>
        <v>0</v>
      </c>
      <c r="Q147" s="37">
        <f>IFERROR(VLOOKUP($F147,bug_conf_sheet!$A:$H,6,FALSE),VLOOKUP("other",bug_conf_sheet!$A:$H,6,FALSE))</f>
        <v>0</v>
      </c>
      <c r="R147" s="37">
        <f>IFERROR(VLOOKUP($F147,bug_conf_sheet!$A:$H,7,FALSE),VLOOKUP("other",bug_conf_sheet!$A:$H,7,FALSE))</f>
        <v>0</v>
      </c>
      <c r="S147" s="37">
        <f>IFERROR(VLOOKUP($F147,bug_conf_sheet!$A:$H,8,FALSE),VLOOKUP("other",bug_conf_sheet!$A:$H,8,FALSE))</f>
        <v>1</v>
      </c>
    </row>
    <row r="148" spans="1:19" ht="21" customHeight="1">
      <c r="A148" s="7" t="str">
        <f t="shared" si="9"/>
        <v>1941382</v>
      </c>
      <c r="B148" s="2" t="str">
        <f t="shared" si="10"/>
        <v>1941</v>
      </c>
      <c r="C148" s="8" t="str">
        <f t="shared" si="11"/>
        <v>1PremiumS5</v>
      </c>
      <c r="D148" s="8" t="str">
        <f t="shared" si="12"/>
        <v>1PremiumS5</v>
      </c>
      <c r="E148" s="10">
        <v>1</v>
      </c>
      <c r="F148" s="6">
        <v>382</v>
      </c>
      <c r="G148" s="8" t="str">
        <f>VLOOKUP(F148,[1]characters!$A:$C,3,FALSE)</f>
        <v>激情の愛炎 バハムート</v>
      </c>
      <c r="H148" s="8" t="str">
        <f>VLOOKUP(F148,[1]characters!$A:$J,10,FALSE)</f>
        <v>PremiumS</v>
      </c>
      <c r="I148" s="8">
        <f>VLOOKUP(F148,[1]characters!$A:$I,9,FALSE)</f>
        <v>5</v>
      </c>
      <c r="J148" s="8" t="str">
        <f>VLOOKUP(F148,[1]characters!$A:$H,8,FALSE)</f>
        <v>red</v>
      </c>
      <c r="K148" s="8" t="str">
        <f>VLOOKUP(F148,[1]characters!$A:$K,11,FALSE)</f>
        <v>technical</v>
      </c>
      <c r="L148" s="8" t="str">
        <f>VLOOKUP(F148,[1]characters!$A:$M,13,FALSE)</f>
        <v>dragon</v>
      </c>
      <c r="M148" s="16">
        <f>IFERROR(VLOOKUP(F148,gacha_conf!A$50:F$62,5+E148,FALSE),VLOOKUP(D148,gacha_conf!D$18:E$46,2,FALSE))</f>
        <v>554</v>
      </c>
      <c r="N148" s="37">
        <f>IFERROR(VLOOKUP($F148,bug_conf_sheet!$A:$H,3,FALSE),VLOOKUP("other",bug_conf_sheet!$A:$H,3,FALSE))</f>
        <v>1</v>
      </c>
      <c r="O148" s="37">
        <f>IFERROR(VLOOKUP($F148,bug_conf_sheet!$A:$H,4,FALSE),VLOOKUP("other",bug_conf_sheet!$A:$H,4,FALSE))</f>
        <v>0</v>
      </c>
      <c r="P148" s="37">
        <f>IFERROR(VLOOKUP($F148,bug_conf_sheet!$A:$H,5,FALSE),VLOOKUP("other",bug_conf_sheet!$A:$H,5,FALSE))</f>
        <v>0</v>
      </c>
      <c r="Q148" s="37">
        <f>IFERROR(VLOOKUP($F148,bug_conf_sheet!$A:$H,6,FALSE),VLOOKUP("other",bug_conf_sheet!$A:$H,6,FALSE))</f>
        <v>0</v>
      </c>
      <c r="R148" s="37">
        <f>IFERROR(VLOOKUP($F148,bug_conf_sheet!$A:$H,7,FALSE),VLOOKUP("other",bug_conf_sheet!$A:$H,7,FALSE))</f>
        <v>0</v>
      </c>
      <c r="S148" s="37">
        <f>IFERROR(VLOOKUP($F148,bug_conf_sheet!$A:$H,8,FALSE),VLOOKUP("other",bug_conf_sheet!$A:$H,8,FALSE))</f>
        <v>1</v>
      </c>
    </row>
    <row r="149" spans="1:19" ht="21" customHeight="1">
      <c r="A149" s="7" t="str">
        <f t="shared" si="9"/>
        <v>1941383</v>
      </c>
      <c r="B149" s="2" t="str">
        <f t="shared" si="10"/>
        <v>1941</v>
      </c>
      <c r="C149" s="8" t="str">
        <f t="shared" si="11"/>
        <v>1PremiumSS4</v>
      </c>
      <c r="D149" s="8" t="str">
        <f t="shared" si="12"/>
        <v>1PremiumSS4</v>
      </c>
      <c r="E149" s="10">
        <v>1</v>
      </c>
      <c r="F149" s="6">
        <v>383</v>
      </c>
      <c r="G149" s="8" t="str">
        <f>VLOOKUP(F149,[1]characters!$A:$C,3,FALSE)</f>
        <v>酒宴の蟒蛇 ヤマタノオロチ</v>
      </c>
      <c r="H149" s="8" t="str">
        <f>VLOOKUP(F149,[1]characters!$A:$J,10,FALSE)</f>
        <v>PremiumSS</v>
      </c>
      <c r="I149" s="8">
        <f>VLOOKUP(F149,[1]characters!$A:$I,9,FALSE)</f>
        <v>4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16">
        <f>IFERROR(VLOOKUP(F149,gacha_conf!A$50:F$62,5+E149,FALSE),VLOOKUP(D149,gacha_conf!D$18:E$46,2,FALSE))</f>
        <v>997</v>
      </c>
      <c r="N149" s="37">
        <f>IFERROR(VLOOKUP($F149,bug_conf_sheet!$A:$H,3,FALSE),VLOOKUP("other",bug_conf_sheet!$A:$H,3,FALSE))</f>
        <v>1</v>
      </c>
      <c r="O149" s="37">
        <f>IFERROR(VLOOKUP($F149,bug_conf_sheet!$A:$H,4,FALSE),VLOOKUP("other",bug_conf_sheet!$A:$H,4,FALSE))</f>
        <v>0</v>
      </c>
      <c r="P149" s="37">
        <f>IFERROR(VLOOKUP($F149,bug_conf_sheet!$A:$H,5,FALSE),VLOOKUP("other",bug_conf_sheet!$A:$H,5,FALSE))</f>
        <v>0</v>
      </c>
      <c r="Q149" s="37">
        <f>IFERROR(VLOOKUP($F149,bug_conf_sheet!$A:$H,6,FALSE),VLOOKUP("other",bug_conf_sheet!$A:$H,6,FALSE))</f>
        <v>0</v>
      </c>
      <c r="R149" s="37">
        <f>IFERROR(VLOOKUP($F149,bug_conf_sheet!$A:$H,7,FALSE),VLOOKUP("other",bug_conf_sheet!$A:$H,7,FALSE))</f>
        <v>0</v>
      </c>
      <c r="S149" s="37">
        <f>IFERROR(VLOOKUP($F149,bug_conf_sheet!$A:$H,8,FALSE),VLOOKUP("other",bug_conf_sheet!$A:$H,8,FALSE))</f>
        <v>1</v>
      </c>
    </row>
    <row r="150" spans="1:19" ht="21" customHeight="1">
      <c r="A150" s="7" t="str">
        <f t="shared" si="9"/>
        <v>1941384</v>
      </c>
      <c r="B150" s="2" t="str">
        <f t="shared" si="10"/>
        <v>1941</v>
      </c>
      <c r="C150" s="8" t="str">
        <f t="shared" si="11"/>
        <v>1PremiumSS5</v>
      </c>
      <c r="D150" s="8" t="str">
        <f t="shared" si="12"/>
        <v>1PremiumSS5</v>
      </c>
      <c r="E150" s="10">
        <v>1</v>
      </c>
      <c r="F150" s="6">
        <v>384</v>
      </c>
      <c r="G150" s="8" t="str">
        <f>VLOOKUP(F150,[1]characters!$A:$C,3,FALSE)</f>
        <v>破国の呑龍 ヤマタノオロチ</v>
      </c>
      <c r="H150" s="8" t="str">
        <f>VLOOKUP(F150,[1]characters!$A:$J,10,FALSE)</f>
        <v>PremiumSS</v>
      </c>
      <c r="I150" s="8">
        <f>VLOOKUP(F150,[1]characters!$A:$I,9,FALSE)</f>
        <v>5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16">
        <f>IFERROR(VLOOKUP(F150,gacha_conf!A$50:F$62,5+E150,FALSE),VLOOKUP(D150,gacha_conf!D$18:E$46,2,FALSE))</f>
        <v>66</v>
      </c>
      <c r="N150" s="37">
        <f>IFERROR(VLOOKUP($F150,bug_conf_sheet!$A:$H,3,FALSE),VLOOKUP("other",bug_conf_sheet!$A:$H,3,FALSE))</f>
        <v>1</v>
      </c>
      <c r="O150" s="37">
        <f>IFERROR(VLOOKUP($F150,bug_conf_sheet!$A:$H,4,FALSE),VLOOKUP("other",bug_conf_sheet!$A:$H,4,FALSE))</f>
        <v>0</v>
      </c>
      <c r="P150" s="37">
        <f>IFERROR(VLOOKUP($F150,bug_conf_sheet!$A:$H,5,FALSE),VLOOKUP("other",bug_conf_sheet!$A:$H,5,FALSE))</f>
        <v>0</v>
      </c>
      <c r="Q150" s="37">
        <f>IFERROR(VLOOKUP($F150,bug_conf_sheet!$A:$H,6,FALSE),VLOOKUP("other",bug_conf_sheet!$A:$H,6,FALSE))</f>
        <v>0</v>
      </c>
      <c r="R150" s="37">
        <f>IFERROR(VLOOKUP($F150,bug_conf_sheet!$A:$H,7,FALSE),VLOOKUP("other",bug_conf_sheet!$A:$H,7,FALSE))</f>
        <v>0</v>
      </c>
      <c r="S150" s="37">
        <f>IFERROR(VLOOKUP($F150,bug_conf_sheet!$A:$H,8,FALSE),VLOOKUP("other",bug_conf_sheet!$A:$H,8,FALSE))</f>
        <v>1</v>
      </c>
    </row>
    <row r="151" spans="1:19" ht="21" customHeight="1">
      <c r="A151" s="7" t="str">
        <f t="shared" si="9"/>
        <v>1941385</v>
      </c>
      <c r="B151" s="2" t="str">
        <f t="shared" si="10"/>
        <v>1941</v>
      </c>
      <c r="C151" s="8" t="str">
        <f t="shared" si="11"/>
        <v>1PremiumSS4</v>
      </c>
      <c r="D151" s="8" t="str">
        <f t="shared" si="12"/>
        <v>1PremiumSS4</v>
      </c>
      <c r="E151" s="10">
        <v>1</v>
      </c>
      <c r="F151" s="6">
        <v>385</v>
      </c>
      <c r="G151" s="8" t="str">
        <f>VLOOKUP(F151,[1]characters!$A:$C,3,FALSE)</f>
        <v>波烈の出奔 リヴァイアサン</v>
      </c>
      <c r="H151" s="8" t="str">
        <f>VLOOKUP(F151,[1]characters!$A:$J,10,FALSE)</f>
        <v>PremiumSS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dragon</v>
      </c>
      <c r="M151" s="16">
        <f>IFERROR(VLOOKUP(F151,gacha_conf!A$50:F$62,5+E151,FALSE),VLOOKUP(D151,gacha_conf!D$18:E$46,2,FALSE))</f>
        <v>997</v>
      </c>
      <c r="N151" s="37">
        <f>IFERROR(VLOOKUP($F151,bug_conf_sheet!$A:$H,3,FALSE),VLOOKUP("other",bug_conf_sheet!$A:$H,3,FALSE))</f>
        <v>1</v>
      </c>
      <c r="O151" s="37">
        <f>IFERROR(VLOOKUP($F151,bug_conf_sheet!$A:$H,4,FALSE),VLOOKUP("other",bug_conf_sheet!$A:$H,4,FALSE))</f>
        <v>0</v>
      </c>
      <c r="P151" s="37">
        <f>IFERROR(VLOOKUP($F151,bug_conf_sheet!$A:$H,5,FALSE),VLOOKUP("other",bug_conf_sheet!$A:$H,5,FALSE))</f>
        <v>0</v>
      </c>
      <c r="Q151" s="37">
        <f>IFERROR(VLOOKUP($F151,bug_conf_sheet!$A:$H,6,FALSE),VLOOKUP("other",bug_conf_sheet!$A:$H,6,FALSE))</f>
        <v>0</v>
      </c>
      <c r="R151" s="37">
        <f>IFERROR(VLOOKUP($F151,bug_conf_sheet!$A:$H,7,FALSE),VLOOKUP("other",bug_conf_sheet!$A:$H,7,FALSE))</f>
        <v>0</v>
      </c>
      <c r="S151" s="37">
        <f>IFERROR(VLOOKUP($F151,bug_conf_sheet!$A:$H,8,FALSE),VLOOKUP("other",bug_conf_sheet!$A:$H,8,FALSE))</f>
        <v>1</v>
      </c>
    </row>
    <row r="152" spans="1:19" ht="21" customHeight="1">
      <c r="A152" s="7" t="str">
        <f t="shared" si="9"/>
        <v>1941386</v>
      </c>
      <c r="B152" s="2" t="str">
        <f t="shared" si="10"/>
        <v>1941</v>
      </c>
      <c r="C152" s="8" t="str">
        <f t="shared" si="11"/>
        <v>1PremiumSS5</v>
      </c>
      <c r="D152" s="8" t="str">
        <f t="shared" si="12"/>
        <v>1PremiumSS5</v>
      </c>
      <c r="E152" s="10">
        <v>1</v>
      </c>
      <c r="F152" s="6">
        <v>386</v>
      </c>
      <c r="G152" s="8" t="str">
        <f>VLOOKUP(F152,[1]characters!$A:$C,3,FALSE)</f>
        <v>氾乱の海龍 リヴァイアサン</v>
      </c>
      <c r="H152" s="8" t="str">
        <f>VLOOKUP(F152,[1]characters!$A:$J,10,FALSE)</f>
        <v>PremiumSS</v>
      </c>
      <c r="I152" s="8">
        <f>VLOOKUP(F152,[1]characters!$A:$I,9,FALSE)</f>
        <v>5</v>
      </c>
      <c r="J152" s="8" t="str">
        <f>VLOOKUP(F152,[1]characters!$A:$H,8,FALSE)</f>
        <v>blue</v>
      </c>
      <c r="K152" s="8" t="str">
        <f>VLOOKUP(F152,[1]characters!$A:$K,11,FALSE)</f>
        <v>balance</v>
      </c>
      <c r="L152" s="8" t="str">
        <f>VLOOKUP(F152,[1]characters!$A:$M,13,FALSE)</f>
        <v>dragon</v>
      </c>
      <c r="M152" s="16">
        <f>IFERROR(VLOOKUP(F152,gacha_conf!A$50:F$62,5+E152,FALSE),VLOOKUP(D152,gacha_conf!D$18:E$46,2,FALSE))</f>
        <v>66</v>
      </c>
      <c r="N152" s="37">
        <f>IFERROR(VLOOKUP($F152,bug_conf_sheet!$A:$H,3,FALSE),VLOOKUP("other",bug_conf_sheet!$A:$H,3,FALSE))</f>
        <v>1</v>
      </c>
      <c r="O152" s="37">
        <f>IFERROR(VLOOKUP($F152,bug_conf_sheet!$A:$H,4,FALSE),VLOOKUP("other",bug_conf_sheet!$A:$H,4,FALSE))</f>
        <v>0</v>
      </c>
      <c r="P152" s="37">
        <f>IFERROR(VLOOKUP($F152,bug_conf_sheet!$A:$H,5,FALSE),VLOOKUP("other",bug_conf_sheet!$A:$H,5,FALSE))</f>
        <v>0</v>
      </c>
      <c r="Q152" s="37">
        <f>IFERROR(VLOOKUP($F152,bug_conf_sheet!$A:$H,6,FALSE),VLOOKUP("other",bug_conf_sheet!$A:$H,6,FALSE))</f>
        <v>0</v>
      </c>
      <c r="R152" s="37">
        <f>IFERROR(VLOOKUP($F152,bug_conf_sheet!$A:$H,7,FALSE),VLOOKUP("other",bug_conf_sheet!$A:$H,7,FALSE))</f>
        <v>0</v>
      </c>
      <c r="S152" s="37">
        <f>IFERROR(VLOOKUP($F152,bug_conf_sheet!$A:$H,8,FALSE),VLOOKUP("other",bug_conf_sheet!$A:$H,8,FALSE))</f>
        <v>1</v>
      </c>
    </row>
    <row r="153" spans="1:19" ht="21" customHeight="1">
      <c r="A153" s="7" t="str">
        <f t="shared" si="9"/>
        <v>1941387</v>
      </c>
      <c r="B153" s="2" t="str">
        <f t="shared" si="10"/>
        <v>1941</v>
      </c>
      <c r="C153" s="8" t="str">
        <f t="shared" si="11"/>
        <v>1PremiumS3</v>
      </c>
      <c r="D153" s="8" t="str">
        <f t="shared" si="12"/>
        <v>1PremiumS3</v>
      </c>
      <c r="E153" s="10">
        <v>1</v>
      </c>
      <c r="F153" s="6">
        <v>387</v>
      </c>
      <c r="G153" s="8" t="str">
        <f>VLOOKUP(F153,[1]characters!$A:$C,3,FALSE)</f>
        <v>スフィンクス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heal</v>
      </c>
      <c r="L153" s="8" t="str">
        <f>VLOOKUP(F153,[1]characters!$A:$M,13,FALSE)</f>
        <v>animal</v>
      </c>
      <c r="M153" s="16">
        <f>IFERROR(VLOOKUP(F153,gacha_conf!A$50:F$62,5+E153,FALSE),VLOOKUP(D153,gacha_conf!D$18:E$46,2,FALSE))</f>
        <v>6739</v>
      </c>
      <c r="N153" s="37">
        <f>IFERROR(VLOOKUP($F153,bug_conf_sheet!$A:$H,3,FALSE),VLOOKUP("other",bug_conf_sheet!$A:$H,3,FALSE))</f>
        <v>1</v>
      </c>
      <c r="O153" s="37">
        <f>IFERROR(VLOOKUP($F153,bug_conf_sheet!$A:$H,4,FALSE),VLOOKUP("other",bug_conf_sheet!$A:$H,4,FALSE))</f>
        <v>0</v>
      </c>
      <c r="P153" s="37">
        <f>IFERROR(VLOOKUP($F153,bug_conf_sheet!$A:$H,5,FALSE),VLOOKUP("other",bug_conf_sheet!$A:$H,5,FALSE))</f>
        <v>0</v>
      </c>
      <c r="Q153" s="37">
        <f>IFERROR(VLOOKUP($F153,bug_conf_sheet!$A:$H,6,FALSE),VLOOKUP("other",bug_conf_sheet!$A:$H,6,FALSE))</f>
        <v>0</v>
      </c>
      <c r="R153" s="37">
        <f>IFERROR(VLOOKUP($F153,bug_conf_sheet!$A:$H,7,FALSE),VLOOKUP("other",bug_conf_sheet!$A:$H,7,FALSE))</f>
        <v>0</v>
      </c>
      <c r="S153" s="37">
        <f>IFERROR(VLOOKUP($F153,bug_conf_sheet!$A:$H,8,FALSE),VLOOKUP("other",bug_conf_sheet!$A:$H,8,FALSE))</f>
        <v>1</v>
      </c>
    </row>
    <row r="154" spans="1:19" ht="21" customHeight="1">
      <c r="A154" s="7" t="str">
        <f t="shared" si="9"/>
        <v>1941388</v>
      </c>
      <c r="B154" s="2" t="str">
        <f t="shared" si="10"/>
        <v>1941</v>
      </c>
      <c r="C154" s="8" t="str">
        <f t="shared" si="11"/>
        <v>1PremiumS4</v>
      </c>
      <c r="D154" s="8" t="str">
        <f t="shared" si="12"/>
        <v>1PremiumS4</v>
      </c>
      <c r="E154" s="10">
        <v>1</v>
      </c>
      <c r="F154" s="6">
        <v>388</v>
      </c>
      <c r="G154" s="8" t="str">
        <f>VLOOKUP(F154,[1]characters!$A:$C,3,FALSE)</f>
        <v>神円の恋姫 スフィンクス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yellow</v>
      </c>
      <c r="K154" s="8" t="str">
        <f>VLOOKUP(F154,[1]characters!$A:$K,11,FALSE)</f>
        <v>heal</v>
      </c>
      <c r="L154" s="8" t="str">
        <f>VLOOKUP(F154,[1]characters!$A:$M,13,FALSE)</f>
        <v>animal</v>
      </c>
      <c r="M154" s="16">
        <f>IFERROR(VLOOKUP(F154,gacha_conf!A$50:F$62,5+E154,FALSE),VLOOKUP(D154,gacha_conf!D$18:E$46,2,FALSE))</f>
        <v>1574</v>
      </c>
      <c r="N154" s="37">
        <f>IFERROR(VLOOKUP($F154,bug_conf_sheet!$A:$H,3,FALSE),VLOOKUP("other",bug_conf_sheet!$A:$H,3,FALSE))</f>
        <v>1</v>
      </c>
      <c r="O154" s="37">
        <f>IFERROR(VLOOKUP($F154,bug_conf_sheet!$A:$H,4,FALSE),VLOOKUP("other",bug_conf_sheet!$A:$H,4,FALSE))</f>
        <v>0</v>
      </c>
      <c r="P154" s="37">
        <f>IFERROR(VLOOKUP($F154,bug_conf_sheet!$A:$H,5,FALSE),VLOOKUP("other",bug_conf_sheet!$A:$H,5,FALSE))</f>
        <v>0</v>
      </c>
      <c r="Q154" s="37">
        <f>IFERROR(VLOOKUP($F154,bug_conf_sheet!$A:$H,6,FALSE),VLOOKUP("other",bug_conf_sheet!$A:$H,6,FALSE))</f>
        <v>0</v>
      </c>
      <c r="R154" s="37">
        <f>IFERROR(VLOOKUP($F154,bug_conf_sheet!$A:$H,7,FALSE),VLOOKUP("other",bug_conf_sheet!$A:$H,7,FALSE))</f>
        <v>0</v>
      </c>
      <c r="S154" s="37">
        <f>IFERROR(VLOOKUP($F154,bug_conf_sheet!$A:$H,8,FALSE),VLOOKUP("other",bug_conf_sheet!$A:$H,8,FALSE))</f>
        <v>1</v>
      </c>
    </row>
    <row r="155" spans="1:19" ht="21" customHeight="1">
      <c r="A155" s="7" t="str">
        <f t="shared" si="9"/>
        <v>1941389</v>
      </c>
      <c r="B155" s="2" t="str">
        <f t="shared" si="10"/>
        <v>1941</v>
      </c>
      <c r="C155" s="8" t="str">
        <f t="shared" si="11"/>
        <v>1PremiumS5</v>
      </c>
      <c r="D155" s="8" t="str">
        <f t="shared" si="12"/>
        <v>1PremiumS5</v>
      </c>
      <c r="E155" s="10">
        <v>1</v>
      </c>
      <c r="F155" s="6">
        <v>389</v>
      </c>
      <c r="G155" s="8" t="str">
        <f>VLOOKUP(F155,[1]characters!$A:$C,3,FALSE)</f>
        <v>操神の愛姫 スフィンクス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yellow</v>
      </c>
      <c r="K155" s="8" t="str">
        <f>VLOOKUP(F155,[1]characters!$A:$K,11,FALSE)</f>
        <v>heal</v>
      </c>
      <c r="L155" s="8" t="str">
        <f>VLOOKUP(F155,[1]characters!$A:$M,13,FALSE)</f>
        <v>animal</v>
      </c>
      <c r="M155" s="16">
        <f>IFERROR(VLOOKUP(F155,gacha_conf!A$50:F$62,5+E155,FALSE),VLOOKUP(D155,gacha_conf!D$18:E$46,2,FALSE))</f>
        <v>554</v>
      </c>
      <c r="N155" s="37">
        <f>IFERROR(VLOOKUP($F155,bug_conf_sheet!$A:$H,3,FALSE),VLOOKUP("other",bug_conf_sheet!$A:$H,3,FALSE))</f>
        <v>1</v>
      </c>
      <c r="O155" s="37">
        <f>IFERROR(VLOOKUP($F155,bug_conf_sheet!$A:$H,4,FALSE),VLOOKUP("other",bug_conf_sheet!$A:$H,4,FALSE))</f>
        <v>0</v>
      </c>
      <c r="P155" s="37">
        <f>IFERROR(VLOOKUP($F155,bug_conf_sheet!$A:$H,5,FALSE),VLOOKUP("other",bug_conf_sheet!$A:$H,5,FALSE))</f>
        <v>0</v>
      </c>
      <c r="Q155" s="37">
        <f>IFERROR(VLOOKUP($F155,bug_conf_sheet!$A:$H,6,FALSE),VLOOKUP("other",bug_conf_sheet!$A:$H,6,FALSE))</f>
        <v>0</v>
      </c>
      <c r="R155" s="37">
        <f>IFERROR(VLOOKUP($F155,bug_conf_sheet!$A:$H,7,FALSE),VLOOKUP("other",bug_conf_sheet!$A:$H,7,FALSE))</f>
        <v>0</v>
      </c>
      <c r="S155" s="37">
        <f>IFERROR(VLOOKUP($F155,bug_conf_sheet!$A:$H,8,FALSE),VLOOKUP("other",bug_conf_sheet!$A:$H,8,FALSE))</f>
        <v>1</v>
      </c>
    </row>
    <row r="156" spans="1:19" ht="21" customHeight="1">
      <c r="A156" s="7" t="str">
        <f t="shared" si="9"/>
        <v>1941390</v>
      </c>
      <c r="B156" s="2" t="str">
        <f t="shared" si="10"/>
        <v>1941</v>
      </c>
      <c r="C156" s="8" t="str">
        <f t="shared" si="11"/>
        <v>1PremiumSS4</v>
      </c>
      <c r="D156" s="8" t="str">
        <f t="shared" si="12"/>
        <v>1PremiumSS4</v>
      </c>
      <c r="E156" s="10">
        <v>1</v>
      </c>
      <c r="F156" s="6">
        <v>390</v>
      </c>
      <c r="G156" s="8" t="str">
        <f>VLOOKUP(F156,[1]characters!$A:$C,3,FALSE)</f>
        <v>華環の旅客 親指姫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16">
        <f>IFERROR(VLOOKUP(F156,gacha_conf!A$50:F$62,5+E156,FALSE),VLOOKUP(D156,gacha_conf!D$18:E$46,2,FALSE))</f>
        <v>997</v>
      </c>
      <c r="N156" s="37">
        <f>IFERROR(VLOOKUP($F156,bug_conf_sheet!$A:$H,3,FALSE),VLOOKUP("other",bug_conf_sheet!$A:$H,3,FALSE))</f>
        <v>1</v>
      </c>
      <c r="O156" s="37">
        <f>IFERROR(VLOOKUP($F156,bug_conf_sheet!$A:$H,4,FALSE),VLOOKUP("other",bug_conf_sheet!$A:$H,4,FALSE))</f>
        <v>0</v>
      </c>
      <c r="P156" s="37">
        <f>IFERROR(VLOOKUP($F156,bug_conf_sheet!$A:$H,5,FALSE),VLOOKUP("other",bug_conf_sheet!$A:$H,5,FALSE))</f>
        <v>0</v>
      </c>
      <c r="Q156" s="37">
        <f>IFERROR(VLOOKUP($F156,bug_conf_sheet!$A:$H,6,FALSE),VLOOKUP("other",bug_conf_sheet!$A:$H,6,FALSE))</f>
        <v>0</v>
      </c>
      <c r="R156" s="37">
        <f>IFERROR(VLOOKUP($F156,bug_conf_sheet!$A:$H,7,FALSE),VLOOKUP("other",bug_conf_sheet!$A:$H,7,FALSE))</f>
        <v>0</v>
      </c>
      <c r="S156" s="37">
        <f>IFERROR(VLOOKUP($F156,bug_conf_sheet!$A:$H,8,FALSE),VLOOKUP("other",bug_conf_sheet!$A:$H,8,FALSE))</f>
        <v>1</v>
      </c>
    </row>
    <row r="157" spans="1:19" ht="21" customHeight="1">
      <c r="A157" s="7" t="str">
        <f t="shared" si="9"/>
        <v>1941391</v>
      </c>
      <c r="B157" s="2" t="str">
        <f t="shared" si="10"/>
        <v>1941</v>
      </c>
      <c r="C157" s="8" t="str">
        <f t="shared" si="11"/>
        <v>1PremiumSS5</v>
      </c>
      <c r="D157" s="8" t="str">
        <f t="shared" si="12"/>
        <v>1PremiumSS5</v>
      </c>
      <c r="E157" s="10">
        <v>1</v>
      </c>
      <c r="F157" s="6">
        <v>391</v>
      </c>
      <c r="G157" s="8" t="str">
        <f>VLOOKUP(F157,[1]characters!$A:$C,3,FALSE)</f>
        <v>燕翼の旅人 親指姫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red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16">
        <f>IFERROR(VLOOKUP(F157,gacha_conf!A$50:F$62,5+E157,FALSE),VLOOKUP(D157,gacha_conf!D$18:E$46,2,FALSE))</f>
        <v>66</v>
      </c>
      <c r="N157" s="37">
        <f>IFERROR(VLOOKUP($F157,bug_conf_sheet!$A:$H,3,FALSE),VLOOKUP("other",bug_conf_sheet!$A:$H,3,FALSE))</f>
        <v>1</v>
      </c>
      <c r="O157" s="37">
        <f>IFERROR(VLOOKUP($F157,bug_conf_sheet!$A:$H,4,FALSE),VLOOKUP("other",bug_conf_sheet!$A:$H,4,FALSE))</f>
        <v>0</v>
      </c>
      <c r="P157" s="37">
        <f>IFERROR(VLOOKUP($F157,bug_conf_sheet!$A:$H,5,FALSE),VLOOKUP("other",bug_conf_sheet!$A:$H,5,FALSE))</f>
        <v>0</v>
      </c>
      <c r="Q157" s="37">
        <f>IFERROR(VLOOKUP($F157,bug_conf_sheet!$A:$H,6,FALSE),VLOOKUP("other",bug_conf_sheet!$A:$H,6,FALSE))</f>
        <v>0</v>
      </c>
      <c r="R157" s="37">
        <f>IFERROR(VLOOKUP($F157,bug_conf_sheet!$A:$H,7,FALSE),VLOOKUP("other",bug_conf_sheet!$A:$H,7,FALSE))</f>
        <v>0</v>
      </c>
      <c r="S157" s="37">
        <f>IFERROR(VLOOKUP($F157,bug_conf_sheet!$A:$H,8,FALSE),VLOOKUP("other",bug_conf_sheet!$A:$H,8,FALSE))</f>
        <v>1</v>
      </c>
    </row>
    <row r="158" spans="1:19" ht="21" customHeight="1">
      <c r="A158" s="7" t="str">
        <f t="shared" si="9"/>
        <v>1941392</v>
      </c>
      <c r="B158" s="2" t="str">
        <f t="shared" si="10"/>
        <v>1941</v>
      </c>
      <c r="C158" s="8" t="str">
        <f t="shared" si="11"/>
        <v>1PremiumS3</v>
      </c>
      <c r="D158" s="8" t="str">
        <f t="shared" si="12"/>
        <v>1PremiumS3</v>
      </c>
      <c r="E158" s="10">
        <v>1</v>
      </c>
      <c r="F158" s="6">
        <v>392</v>
      </c>
      <c r="G158" s="8" t="str">
        <f>VLOOKUP(F158,[1]characters!$A:$C,3,FALSE)</f>
        <v>ピーターパン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green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16">
        <f>IFERROR(VLOOKUP(F158,gacha_conf!A$50:F$62,5+E158,FALSE),VLOOKUP(D158,gacha_conf!D$18:E$46,2,FALSE))</f>
        <v>6739</v>
      </c>
      <c r="N158" s="37">
        <f>IFERROR(VLOOKUP($F158,bug_conf_sheet!$A:$H,3,FALSE),VLOOKUP("other",bug_conf_sheet!$A:$H,3,FALSE))</f>
        <v>1</v>
      </c>
      <c r="O158" s="37">
        <f>IFERROR(VLOOKUP($F158,bug_conf_sheet!$A:$H,4,FALSE),VLOOKUP("other",bug_conf_sheet!$A:$H,4,FALSE))</f>
        <v>0</v>
      </c>
      <c r="P158" s="37">
        <f>IFERROR(VLOOKUP($F158,bug_conf_sheet!$A:$H,5,FALSE),VLOOKUP("other",bug_conf_sheet!$A:$H,5,FALSE))</f>
        <v>0</v>
      </c>
      <c r="Q158" s="37">
        <f>IFERROR(VLOOKUP($F158,bug_conf_sheet!$A:$H,6,FALSE),VLOOKUP("other",bug_conf_sheet!$A:$H,6,FALSE))</f>
        <v>0</v>
      </c>
      <c r="R158" s="37">
        <f>IFERROR(VLOOKUP($F158,bug_conf_sheet!$A:$H,7,FALSE),VLOOKUP("other",bug_conf_sheet!$A:$H,7,FALSE))</f>
        <v>0</v>
      </c>
      <c r="S158" s="37">
        <f>IFERROR(VLOOKUP($F158,bug_conf_sheet!$A:$H,8,FALSE),VLOOKUP("other",bug_conf_sheet!$A:$H,8,FALSE))</f>
        <v>1</v>
      </c>
    </row>
    <row r="159" spans="1:19" ht="21" customHeight="1">
      <c r="A159" s="7" t="str">
        <f t="shared" si="9"/>
        <v>1941393</v>
      </c>
      <c r="B159" s="2" t="str">
        <f t="shared" si="10"/>
        <v>1941</v>
      </c>
      <c r="C159" s="8" t="str">
        <f t="shared" si="11"/>
        <v>1PremiumS4</v>
      </c>
      <c r="D159" s="8" t="str">
        <f t="shared" si="12"/>
        <v>1PremiumS4</v>
      </c>
      <c r="E159" s="10">
        <v>1</v>
      </c>
      <c r="F159" s="6">
        <v>393</v>
      </c>
      <c r="G159" s="8" t="str">
        <f>VLOOKUP(F159,[1]characters!$A:$C,3,FALSE)</f>
        <v>影縫い ピーターパン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green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16">
        <f>IFERROR(VLOOKUP(F159,gacha_conf!A$50:F$62,5+E159,FALSE),VLOOKUP(D159,gacha_conf!D$18:E$46,2,FALSE))</f>
        <v>1574</v>
      </c>
      <c r="N159" s="37">
        <f>IFERROR(VLOOKUP($F159,bug_conf_sheet!$A:$H,3,FALSE),VLOOKUP("other",bug_conf_sheet!$A:$H,3,FALSE))</f>
        <v>1</v>
      </c>
      <c r="O159" s="37">
        <f>IFERROR(VLOOKUP($F159,bug_conf_sheet!$A:$H,4,FALSE),VLOOKUP("other",bug_conf_sheet!$A:$H,4,FALSE))</f>
        <v>0</v>
      </c>
      <c r="P159" s="37">
        <f>IFERROR(VLOOKUP($F159,bug_conf_sheet!$A:$H,5,FALSE),VLOOKUP("other",bug_conf_sheet!$A:$H,5,FALSE))</f>
        <v>0</v>
      </c>
      <c r="Q159" s="37">
        <f>IFERROR(VLOOKUP($F159,bug_conf_sheet!$A:$H,6,FALSE),VLOOKUP("other",bug_conf_sheet!$A:$H,6,FALSE))</f>
        <v>0</v>
      </c>
      <c r="R159" s="37">
        <f>IFERROR(VLOOKUP($F159,bug_conf_sheet!$A:$H,7,FALSE),VLOOKUP("other",bug_conf_sheet!$A:$H,7,FALSE))</f>
        <v>0</v>
      </c>
      <c r="S159" s="37">
        <f>IFERROR(VLOOKUP($F159,bug_conf_sheet!$A:$H,8,FALSE),VLOOKUP("other",bug_conf_sheet!$A:$H,8,FALSE))</f>
        <v>1</v>
      </c>
    </row>
    <row r="160" spans="1:19" ht="21" customHeight="1">
      <c r="A160" s="7" t="str">
        <f t="shared" si="9"/>
        <v>1941394</v>
      </c>
      <c r="B160" s="2" t="str">
        <f t="shared" si="10"/>
        <v>1941</v>
      </c>
      <c r="C160" s="8" t="str">
        <f t="shared" si="11"/>
        <v>1PremiumS5</v>
      </c>
      <c r="D160" s="8" t="str">
        <f t="shared" si="12"/>
        <v>1PremiumS5</v>
      </c>
      <c r="E160" s="10">
        <v>1</v>
      </c>
      <c r="F160" s="6">
        <v>394</v>
      </c>
      <c r="G160" s="8" t="str">
        <f>VLOOKUP(F160,[1]characters!$A:$C,3,FALSE)</f>
        <v>影求の悪童 ピーターパン</v>
      </c>
      <c r="H160" s="8" t="str">
        <f>VLOOKUP(F160,[1]characters!$A:$J,10,FALSE)</f>
        <v>PremiumS</v>
      </c>
      <c r="I160" s="8">
        <f>VLOOKUP(F160,[1]characters!$A:$I,9,FALSE)</f>
        <v>5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16">
        <f>IFERROR(VLOOKUP(F160,gacha_conf!A$50:F$62,5+E160,FALSE),VLOOKUP(D160,gacha_conf!D$18:E$46,2,FALSE))</f>
        <v>554</v>
      </c>
      <c r="N160" s="37">
        <f>IFERROR(VLOOKUP($F160,bug_conf_sheet!$A:$H,3,FALSE),VLOOKUP("other",bug_conf_sheet!$A:$H,3,FALSE))</f>
        <v>1</v>
      </c>
      <c r="O160" s="37">
        <f>IFERROR(VLOOKUP($F160,bug_conf_sheet!$A:$H,4,FALSE),VLOOKUP("other",bug_conf_sheet!$A:$H,4,FALSE))</f>
        <v>0</v>
      </c>
      <c r="P160" s="37">
        <f>IFERROR(VLOOKUP($F160,bug_conf_sheet!$A:$H,5,FALSE),VLOOKUP("other",bug_conf_sheet!$A:$H,5,FALSE))</f>
        <v>0</v>
      </c>
      <c r="Q160" s="37">
        <f>IFERROR(VLOOKUP($F160,bug_conf_sheet!$A:$H,6,FALSE),VLOOKUP("other",bug_conf_sheet!$A:$H,6,FALSE))</f>
        <v>0</v>
      </c>
      <c r="R160" s="37">
        <f>IFERROR(VLOOKUP($F160,bug_conf_sheet!$A:$H,7,FALSE),VLOOKUP("other",bug_conf_sheet!$A:$H,7,FALSE))</f>
        <v>0</v>
      </c>
      <c r="S160" s="37">
        <f>IFERROR(VLOOKUP($F160,bug_conf_sheet!$A:$H,8,FALSE),VLOOKUP("other",bug_conf_sheet!$A:$H,8,FALSE))</f>
        <v>1</v>
      </c>
    </row>
    <row r="161" spans="1:19" ht="21" customHeight="1">
      <c r="A161" s="7" t="str">
        <f t="shared" si="9"/>
        <v>1941395</v>
      </c>
      <c r="B161" s="2" t="str">
        <f t="shared" si="10"/>
        <v>1941</v>
      </c>
      <c r="C161" s="8" t="str">
        <f t="shared" si="11"/>
        <v>1PremiumS3</v>
      </c>
      <c r="D161" s="8" t="str">
        <f t="shared" si="12"/>
        <v>1PremiumS3</v>
      </c>
      <c r="E161" s="10">
        <v>1</v>
      </c>
      <c r="F161" s="6">
        <v>395</v>
      </c>
      <c r="G161" s="8" t="str">
        <f>VLOOKUP(F161,[1]characters!$A:$C,3,FALSE)</f>
        <v>乙姫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hp</v>
      </c>
      <c r="L161" s="8" t="str">
        <f>VLOOKUP(F161,[1]characters!$A:$M,13,FALSE)</f>
        <v>human</v>
      </c>
      <c r="M161" s="16">
        <f>IFERROR(VLOOKUP(F161,gacha_conf!A$50:F$62,5+E161,FALSE),VLOOKUP(D161,gacha_conf!D$18:E$46,2,FALSE))</f>
        <v>6739</v>
      </c>
      <c r="N161" s="37">
        <f>IFERROR(VLOOKUP($F161,bug_conf_sheet!$A:$H,3,FALSE),VLOOKUP("other",bug_conf_sheet!$A:$H,3,FALSE))</f>
        <v>1</v>
      </c>
      <c r="O161" s="37">
        <f>IFERROR(VLOOKUP($F161,bug_conf_sheet!$A:$H,4,FALSE),VLOOKUP("other",bug_conf_sheet!$A:$H,4,FALSE))</f>
        <v>0</v>
      </c>
      <c r="P161" s="37">
        <f>IFERROR(VLOOKUP($F161,bug_conf_sheet!$A:$H,5,FALSE),VLOOKUP("other",bug_conf_sheet!$A:$H,5,FALSE))</f>
        <v>0</v>
      </c>
      <c r="Q161" s="37">
        <f>IFERROR(VLOOKUP($F161,bug_conf_sheet!$A:$H,6,FALSE),VLOOKUP("other",bug_conf_sheet!$A:$H,6,FALSE))</f>
        <v>0</v>
      </c>
      <c r="R161" s="37">
        <f>IFERROR(VLOOKUP($F161,bug_conf_sheet!$A:$H,7,FALSE),VLOOKUP("other",bug_conf_sheet!$A:$H,7,FALSE))</f>
        <v>0</v>
      </c>
      <c r="S161" s="37">
        <f>IFERROR(VLOOKUP($F161,bug_conf_sheet!$A:$H,8,FALSE),VLOOKUP("other",bug_conf_sheet!$A:$H,8,FALSE))</f>
        <v>1</v>
      </c>
    </row>
    <row r="162" spans="1:19" ht="21" customHeight="1">
      <c r="A162" s="7" t="str">
        <f t="shared" si="9"/>
        <v>1941396</v>
      </c>
      <c r="B162" s="2" t="str">
        <f t="shared" si="10"/>
        <v>1941</v>
      </c>
      <c r="C162" s="8" t="str">
        <f t="shared" si="11"/>
        <v>1PremiumS4</v>
      </c>
      <c r="D162" s="8" t="str">
        <f t="shared" si="12"/>
        <v>1PremiumS4</v>
      </c>
      <c r="E162" s="10">
        <v>1</v>
      </c>
      <c r="F162" s="6">
        <v>396</v>
      </c>
      <c r="G162" s="8" t="str">
        <f>VLOOKUP(F162,[1]characters!$A:$C,3,FALSE)</f>
        <v>竜宮の水雷 乙姫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hp</v>
      </c>
      <c r="L162" s="8" t="str">
        <f>VLOOKUP(F162,[1]characters!$A:$M,13,FALSE)</f>
        <v>human</v>
      </c>
      <c r="M162" s="16">
        <f>IFERROR(VLOOKUP(F162,gacha_conf!A$50:F$62,5+E162,FALSE),VLOOKUP(D162,gacha_conf!D$18:E$46,2,FALSE))</f>
        <v>1574</v>
      </c>
      <c r="N162" s="37">
        <f>IFERROR(VLOOKUP($F162,bug_conf_sheet!$A:$H,3,FALSE),VLOOKUP("other",bug_conf_sheet!$A:$H,3,FALSE))</f>
        <v>1</v>
      </c>
      <c r="O162" s="37">
        <f>IFERROR(VLOOKUP($F162,bug_conf_sheet!$A:$H,4,FALSE),VLOOKUP("other",bug_conf_sheet!$A:$H,4,FALSE))</f>
        <v>0</v>
      </c>
      <c r="P162" s="37">
        <f>IFERROR(VLOOKUP($F162,bug_conf_sheet!$A:$H,5,FALSE),VLOOKUP("other",bug_conf_sheet!$A:$H,5,FALSE))</f>
        <v>0</v>
      </c>
      <c r="Q162" s="37">
        <f>IFERROR(VLOOKUP($F162,bug_conf_sheet!$A:$H,6,FALSE),VLOOKUP("other",bug_conf_sheet!$A:$H,6,FALSE))</f>
        <v>0</v>
      </c>
      <c r="R162" s="37">
        <f>IFERROR(VLOOKUP($F162,bug_conf_sheet!$A:$H,7,FALSE),VLOOKUP("other",bug_conf_sheet!$A:$H,7,FALSE))</f>
        <v>0</v>
      </c>
      <c r="S162" s="37">
        <f>IFERROR(VLOOKUP($F162,bug_conf_sheet!$A:$H,8,FALSE),VLOOKUP("other",bug_conf_sheet!$A:$H,8,FALSE))</f>
        <v>1</v>
      </c>
    </row>
    <row r="163" spans="1:19" ht="21" customHeight="1">
      <c r="A163" s="7" t="str">
        <f t="shared" si="9"/>
        <v>1941397</v>
      </c>
      <c r="B163" s="2" t="str">
        <f t="shared" si="10"/>
        <v>1941</v>
      </c>
      <c r="C163" s="8" t="str">
        <f t="shared" si="11"/>
        <v>1PremiumS5</v>
      </c>
      <c r="D163" s="8" t="str">
        <f t="shared" si="12"/>
        <v>1PremiumS5</v>
      </c>
      <c r="E163" s="10">
        <v>1</v>
      </c>
      <c r="F163" s="6">
        <v>397</v>
      </c>
      <c r="G163" s="8" t="str">
        <f>VLOOKUP(F163,[1]characters!$A:$C,3,FALSE)</f>
        <v>禁断の追箱 乙姫</v>
      </c>
      <c r="H163" s="8" t="str">
        <f>VLOOKUP(F163,[1]characters!$A:$J,10,FALSE)</f>
        <v>PremiumS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hp</v>
      </c>
      <c r="L163" s="8" t="str">
        <f>VLOOKUP(F163,[1]characters!$A:$M,13,FALSE)</f>
        <v>human</v>
      </c>
      <c r="M163" s="16">
        <f>IFERROR(VLOOKUP(F163,gacha_conf!A$50:F$62,5+E163,FALSE),VLOOKUP(D163,gacha_conf!D$18:E$46,2,FALSE))</f>
        <v>554</v>
      </c>
      <c r="N163" s="37">
        <f>IFERROR(VLOOKUP($F163,bug_conf_sheet!$A:$H,3,FALSE),VLOOKUP("other",bug_conf_sheet!$A:$H,3,FALSE))</f>
        <v>1</v>
      </c>
      <c r="O163" s="37">
        <f>IFERROR(VLOOKUP($F163,bug_conf_sheet!$A:$H,4,FALSE),VLOOKUP("other",bug_conf_sheet!$A:$H,4,FALSE))</f>
        <v>0</v>
      </c>
      <c r="P163" s="37">
        <f>IFERROR(VLOOKUP($F163,bug_conf_sheet!$A:$H,5,FALSE),VLOOKUP("other",bug_conf_sheet!$A:$H,5,FALSE))</f>
        <v>0</v>
      </c>
      <c r="Q163" s="37">
        <f>IFERROR(VLOOKUP($F163,bug_conf_sheet!$A:$H,6,FALSE),VLOOKUP("other",bug_conf_sheet!$A:$H,6,FALSE))</f>
        <v>0</v>
      </c>
      <c r="R163" s="37">
        <f>IFERROR(VLOOKUP($F163,bug_conf_sheet!$A:$H,7,FALSE),VLOOKUP("other",bug_conf_sheet!$A:$H,7,FALSE))</f>
        <v>0</v>
      </c>
      <c r="S163" s="37">
        <f>IFERROR(VLOOKUP($F163,bug_conf_sheet!$A:$H,8,FALSE),VLOOKUP("other",bug_conf_sheet!$A:$H,8,FALSE))</f>
        <v>1</v>
      </c>
    </row>
    <row r="164" spans="1:19" ht="21" customHeight="1">
      <c r="A164" s="7" t="str">
        <f t="shared" si="9"/>
        <v>1941398</v>
      </c>
      <c r="B164" s="2" t="str">
        <f t="shared" si="10"/>
        <v>1941</v>
      </c>
      <c r="C164" s="8" t="str">
        <f t="shared" si="11"/>
        <v>1PremiumSS4</v>
      </c>
      <c r="D164" s="8" t="str">
        <f t="shared" si="12"/>
        <v>1PremiumSS4</v>
      </c>
      <c r="E164" s="10">
        <v>1</v>
      </c>
      <c r="F164" s="6">
        <v>398</v>
      </c>
      <c r="G164" s="8" t="str">
        <f>VLOOKUP(F164,[1]characters!$A:$C,3,FALSE)</f>
        <v>ヘンゼル＆グレーテル</v>
      </c>
      <c r="H164" s="8" t="str">
        <f>VLOOKUP(F164,[1]characters!$A:$J,10,FALSE)</f>
        <v>PremiumSS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16">
        <f>IFERROR(VLOOKUP(F164,gacha_conf!A$50:F$62,5+E164,FALSE),VLOOKUP(D164,gacha_conf!D$18:E$46,2,FALSE))</f>
        <v>997</v>
      </c>
      <c r="N164" s="37">
        <f>IFERROR(VLOOKUP($F164,bug_conf_sheet!$A:$H,3,FALSE),VLOOKUP("other",bug_conf_sheet!$A:$H,3,FALSE))</f>
        <v>1</v>
      </c>
      <c r="O164" s="37">
        <f>IFERROR(VLOOKUP($F164,bug_conf_sheet!$A:$H,4,FALSE),VLOOKUP("other",bug_conf_sheet!$A:$H,4,FALSE))</f>
        <v>0</v>
      </c>
      <c r="P164" s="37">
        <f>IFERROR(VLOOKUP($F164,bug_conf_sheet!$A:$H,5,FALSE),VLOOKUP("other",bug_conf_sheet!$A:$H,5,FALSE))</f>
        <v>0</v>
      </c>
      <c r="Q164" s="37">
        <f>IFERROR(VLOOKUP($F164,bug_conf_sheet!$A:$H,6,FALSE),VLOOKUP("other",bug_conf_sheet!$A:$H,6,FALSE))</f>
        <v>0</v>
      </c>
      <c r="R164" s="37">
        <f>IFERROR(VLOOKUP($F164,bug_conf_sheet!$A:$H,7,FALSE),VLOOKUP("other",bug_conf_sheet!$A:$H,7,FALSE))</f>
        <v>0</v>
      </c>
      <c r="S164" s="37">
        <f>IFERROR(VLOOKUP($F164,bug_conf_sheet!$A:$H,8,FALSE),VLOOKUP("other",bug_conf_sheet!$A:$H,8,FALSE))</f>
        <v>1</v>
      </c>
    </row>
    <row r="165" spans="1:19" ht="21" customHeight="1">
      <c r="A165" s="7" t="str">
        <f t="shared" si="9"/>
        <v>1941399</v>
      </c>
      <c r="B165" s="2" t="str">
        <f t="shared" si="10"/>
        <v>1941</v>
      </c>
      <c r="C165" s="8" t="str">
        <f t="shared" si="11"/>
        <v>1PremiumSS5</v>
      </c>
      <c r="D165" s="8" t="str">
        <f t="shared" si="12"/>
        <v>1PremiumSS5</v>
      </c>
      <c r="E165" s="10">
        <v>1</v>
      </c>
      <c r="F165" s="6">
        <v>399</v>
      </c>
      <c r="G165" s="8" t="str">
        <f>VLOOKUP(F165,[1]characters!$A:$C,3,FALSE)</f>
        <v>信愛の兄妹 ヘンゼル＆グレーテル</v>
      </c>
      <c r="H165" s="8" t="str">
        <f>VLOOKUP(F165,[1]characters!$A:$J,10,FALSE)</f>
        <v>PremiumSS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16">
        <f>IFERROR(VLOOKUP(F165,gacha_conf!A$50:F$62,5+E165,FALSE),VLOOKUP(D165,gacha_conf!D$18:E$46,2,FALSE))</f>
        <v>66</v>
      </c>
      <c r="N165" s="37">
        <f>IFERROR(VLOOKUP($F165,bug_conf_sheet!$A:$H,3,FALSE),VLOOKUP("other",bug_conf_sheet!$A:$H,3,FALSE))</f>
        <v>1</v>
      </c>
      <c r="O165" s="37">
        <f>IFERROR(VLOOKUP($F165,bug_conf_sheet!$A:$H,4,FALSE),VLOOKUP("other",bug_conf_sheet!$A:$H,4,FALSE))</f>
        <v>0</v>
      </c>
      <c r="P165" s="37">
        <f>IFERROR(VLOOKUP($F165,bug_conf_sheet!$A:$H,5,FALSE),VLOOKUP("other",bug_conf_sheet!$A:$H,5,FALSE))</f>
        <v>0</v>
      </c>
      <c r="Q165" s="37">
        <f>IFERROR(VLOOKUP($F165,bug_conf_sheet!$A:$H,6,FALSE),VLOOKUP("other",bug_conf_sheet!$A:$H,6,FALSE))</f>
        <v>0</v>
      </c>
      <c r="R165" s="37">
        <f>IFERROR(VLOOKUP($F165,bug_conf_sheet!$A:$H,7,FALSE),VLOOKUP("other",bug_conf_sheet!$A:$H,7,FALSE))</f>
        <v>0</v>
      </c>
      <c r="S165" s="37">
        <f>IFERROR(VLOOKUP($F165,bug_conf_sheet!$A:$H,8,FALSE),VLOOKUP("other",bug_conf_sheet!$A:$H,8,FALSE))</f>
        <v>1</v>
      </c>
    </row>
    <row r="166" spans="1:19" ht="21" customHeight="1">
      <c r="A166" s="7" t="str">
        <f t="shared" si="9"/>
        <v>1941400</v>
      </c>
      <c r="B166" s="2" t="str">
        <f t="shared" si="10"/>
        <v>1941</v>
      </c>
      <c r="C166" s="8" t="str">
        <f t="shared" si="11"/>
        <v>1PremiumS3</v>
      </c>
      <c r="D166" s="8" t="str">
        <f t="shared" si="12"/>
        <v>1PremiumS3</v>
      </c>
      <c r="E166" s="10">
        <v>1</v>
      </c>
      <c r="F166" s="6">
        <v>400</v>
      </c>
      <c r="G166" s="8" t="str">
        <f>VLOOKUP(F166,[1]characters!$A:$C,3,FALSE)</f>
        <v>フェンリル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IFERROR(VLOOKUP(F166,gacha_conf!A$50:F$62,5+E166,FALSE),VLOOKUP(D166,gacha_conf!D$18:E$46,2,FALSE))</f>
        <v>6739</v>
      </c>
      <c r="N166" s="37">
        <f>IFERROR(VLOOKUP($F166,bug_conf_sheet!$A:$H,3,FALSE),VLOOKUP("other",bug_conf_sheet!$A:$H,3,FALSE))</f>
        <v>1</v>
      </c>
      <c r="O166" s="37">
        <f>IFERROR(VLOOKUP($F166,bug_conf_sheet!$A:$H,4,FALSE),VLOOKUP("other",bug_conf_sheet!$A:$H,4,FALSE))</f>
        <v>0</v>
      </c>
      <c r="P166" s="37">
        <f>IFERROR(VLOOKUP($F166,bug_conf_sheet!$A:$H,5,FALSE),VLOOKUP("other",bug_conf_sheet!$A:$H,5,FALSE))</f>
        <v>0</v>
      </c>
      <c r="Q166" s="37">
        <f>IFERROR(VLOOKUP($F166,bug_conf_sheet!$A:$H,6,FALSE),VLOOKUP("other",bug_conf_sheet!$A:$H,6,FALSE))</f>
        <v>0</v>
      </c>
      <c r="R166" s="37">
        <f>IFERROR(VLOOKUP($F166,bug_conf_sheet!$A:$H,7,FALSE),VLOOKUP("other",bug_conf_sheet!$A:$H,7,FALSE))</f>
        <v>0</v>
      </c>
      <c r="S166" s="37">
        <f>IFERROR(VLOOKUP($F166,bug_conf_sheet!$A:$H,8,FALSE),VLOOKUP("other",bug_conf_sheet!$A:$H,8,FALSE))</f>
        <v>1</v>
      </c>
    </row>
    <row r="167" spans="1:19" ht="21" customHeight="1">
      <c r="A167" s="7" t="str">
        <f t="shared" si="9"/>
        <v>1941401</v>
      </c>
      <c r="B167" s="2" t="str">
        <f t="shared" si="10"/>
        <v>1941</v>
      </c>
      <c r="C167" s="8" t="str">
        <f t="shared" si="11"/>
        <v>1PremiumS4</v>
      </c>
      <c r="D167" s="8" t="str">
        <f t="shared" si="12"/>
        <v>1PremiumS4</v>
      </c>
      <c r="E167" s="10">
        <v>1</v>
      </c>
      <c r="F167" s="6">
        <v>401</v>
      </c>
      <c r="G167" s="8" t="str">
        <f>VLOOKUP(F167,[1]characters!$A:$C,3,FALSE)</f>
        <v>紅銀の孤狼 フェンリル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IFERROR(VLOOKUP(F167,gacha_conf!A$50:F$62,5+E167,FALSE),VLOOKUP(D167,gacha_conf!D$18:E$46,2,FALSE))</f>
        <v>1574</v>
      </c>
      <c r="N167" s="37">
        <f>IFERROR(VLOOKUP($F167,bug_conf_sheet!$A:$H,3,FALSE),VLOOKUP("other",bug_conf_sheet!$A:$H,3,FALSE))</f>
        <v>1</v>
      </c>
      <c r="O167" s="37">
        <f>IFERROR(VLOOKUP($F167,bug_conf_sheet!$A:$H,4,FALSE),VLOOKUP("other",bug_conf_sheet!$A:$H,4,FALSE))</f>
        <v>0</v>
      </c>
      <c r="P167" s="37">
        <f>IFERROR(VLOOKUP($F167,bug_conf_sheet!$A:$H,5,FALSE),VLOOKUP("other",bug_conf_sheet!$A:$H,5,FALSE))</f>
        <v>0</v>
      </c>
      <c r="Q167" s="37">
        <f>IFERROR(VLOOKUP($F167,bug_conf_sheet!$A:$H,6,FALSE),VLOOKUP("other",bug_conf_sheet!$A:$H,6,FALSE))</f>
        <v>0</v>
      </c>
      <c r="R167" s="37">
        <f>IFERROR(VLOOKUP($F167,bug_conf_sheet!$A:$H,7,FALSE),VLOOKUP("other",bug_conf_sheet!$A:$H,7,FALSE))</f>
        <v>0</v>
      </c>
      <c r="S167" s="37">
        <f>IFERROR(VLOOKUP($F167,bug_conf_sheet!$A:$H,8,FALSE),VLOOKUP("other",bug_conf_sheet!$A:$H,8,FALSE))</f>
        <v>1</v>
      </c>
    </row>
    <row r="168" spans="1:19" ht="21" customHeight="1">
      <c r="A168" s="7" t="str">
        <f t="shared" si="9"/>
        <v>1941402</v>
      </c>
      <c r="B168" s="2" t="str">
        <f t="shared" si="10"/>
        <v>1941</v>
      </c>
      <c r="C168" s="8" t="str">
        <f t="shared" si="11"/>
        <v>1PremiumS5</v>
      </c>
      <c r="D168" s="8" t="str">
        <f t="shared" si="12"/>
        <v>1PremiumS5</v>
      </c>
      <c r="E168" s="10">
        <v>1</v>
      </c>
      <c r="F168" s="6">
        <v>402</v>
      </c>
      <c r="G168" s="8" t="str">
        <f>VLOOKUP(F168,[1]characters!$A:$C,3,FALSE)</f>
        <v>天災の神狼 フェンリル</v>
      </c>
      <c r="H168" s="8" t="str">
        <f>VLOOKUP(F168,[1]characters!$A:$J,10,FALSE)</f>
        <v>PremiumS</v>
      </c>
      <c r="I168" s="8">
        <f>VLOOKUP(F168,[1]characters!$A:$I,9,FALSE)</f>
        <v>5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animal</v>
      </c>
      <c r="M168" s="16">
        <f>IFERROR(VLOOKUP(F168,gacha_conf!A$50:F$62,5+E168,FALSE),VLOOKUP(D168,gacha_conf!D$18:E$46,2,FALSE))</f>
        <v>554</v>
      </c>
      <c r="N168" s="37">
        <f>IFERROR(VLOOKUP($F168,bug_conf_sheet!$A:$H,3,FALSE),VLOOKUP("other",bug_conf_sheet!$A:$H,3,FALSE))</f>
        <v>1</v>
      </c>
      <c r="O168" s="37">
        <f>IFERROR(VLOOKUP($F168,bug_conf_sheet!$A:$H,4,FALSE),VLOOKUP("other",bug_conf_sheet!$A:$H,4,FALSE))</f>
        <v>0</v>
      </c>
      <c r="P168" s="37">
        <f>IFERROR(VLOOKUP($F168,bug_conf_sheet!$A:$H,5,FALSE),VLOOKUP("other",bug_conf_sheet!$A:$H,5,FALSE))</f>
        <v>0</v>
      </c>
      <c r="Q168" s="37">
        <f>IFERROR(VLOOKUP($F168,bug_conf_sheet!$A:$H,6,FALSE),VLOOKUP("other",bug_conf_sheet!$A:$H,6,FALSE))</f>
        <v>0</v>
      </c>
      <c r="R168" s="37">
        <f>IFERROR(VLOOKUP($F168,bug_conf_sheet!$A:$H,7,FALSE),VLOOKUP("other",bug_conf_sheet!$A:$H,7,FALSE))</f>
        <v>0</v>
      </c>
      <c r="S168" s="37">
        <f>IFERROR(VLOOKUP($F168,bug_conf_sheet!$A:$H,8,FALSE),VLOOKUP("other",bug_conf_sheet!$A:$H,8,FALSE))</f>
        <v>1</v>
      </c>
    </row>
    <row r="169" spans="1:19" ht="21" customHeight="1">
      <c r="A169" s="7" t="str">
        <f t="shared" si="9"/>
        <v>1941403</v>
      </c>
      <c r="B169" s="2" t="str">
        <f t="shared" si="10"/>
        <v>1941</v>
      </c>
      <c r="C169" s="8" t="str">
        <f t="shared" si="11"/>
        <v>1PremiumSS4</v>
      </c>
      <c r="D169" s="8" t="str">
        <f t="shared" si="12"/>
        <v>1PremiumSS4</v>
      </c>
      <c r="E169" s="10">
        <v>1</v>
      </c>
      <c r="F169" s="6">
        <v>403</v>
      </c>
      <c r="G169" s="8" t="str">
        <f>VLOOKUP(F169,[1]characters!$A:$C,3,FALSE)</f>
        <v>静撃の翠眼 八咫烏</v>
      </c>
      <c r="H169" s="8" t="str">
        <f>VLOOKUP(F169,[1]characters!$A:$J,10,FALSE)</f>
        <v>PremiumSS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IFERROR(VLOOKUP(F169,gacha_conf!A$50:F$62,5+E169,FALSE),VLOOKUP(D169,gacha_conf!D$18:E$46,2,FALSE))</f>
        <v>997</v>
      </c>
      <c r="N169" s="37">
        <f>IFERROR(VLOOKUP($F169,bug_conf_sheet!$A:$H,3,FALSE),VLOOKUP("other",bug_conf_sheet!$A:$H,3,FALSE))</f>
        <v>1</v>
      </c>
      <c r="O169" s="37">
        <f>IFERROR(VLOOKUP($F169,bug_conf_sheet!$A:$H,4,FALSE),VLOOKUP("other",bug_conf_sheet!$A:$H,4,FALSE))</f>
        <v>0</v>
      </c>
      <c r="P169" s="37">
        <f>IFERROR(VLOOKUP($F169,bug_conf_sheet!$A:$H,5,FALSE),VLOOKUP("other",bug_conf_sheet!$A:$H,5,FALSE))</f>
        <v>0</v>
      </c>
      <c r="Q169" s="37">
        <f>IFERROR(VLOOKUP($F169,bug_conf_sheet!$A:$H,6,FALSE),VLOOKUP("other",bug_conf_sheet!$A:$H,6,FALSE))</f>
        <v>0</v>
      </c>
      <c r="R169" s="37">
        <f>IFERROR(VLOOKUP($F169,bug_conf_sheet!$A:$H,7,FALSE),VLOOKUP("other",bug_conf_sheet!$A:$H,7,FALSE))</f>
        <v>0</v>
      </c>
      <c r="S169" s="37">
        <f>IFERROR(VLOOKUP($F169,bug_conf_sheet!$A:$H,8,FALSE),VLOOKUP("other",bug_conf_sheet!$A:$H,8,FALSE))</f>
        <v>1</v>
      </c>
    </row>
    <row r="170" spans="1:19" ht="21" customHeight="1">
      <c r="A170" s="7" t="str">
        <f t="shared" si="9"/>
        <v>1941404</v>
      </c>
      <c r="B170" s="2" t="str">
        <f t="shared" si="10"/>
        <v>1941</v>
      </c>
      <c r="C170" s="8" t="str">
        <f t="shared" si="11"/>
        <v>1PremiumSS5</v>
      </c>
      <c r="D170" s="8" t="str">
        <f t="shared" si="12"/>
        <v>1PremiumSS5</v>
      </c>
      <c r="E170" s="10">
        <v>1</v>
      </c>
      <c r="F170" s="6">
        <v>404</v>
      </c>
      <c r="G170" s="8" t="str">
        <f>VLOOKUP(F170,[1]characters!$A:$C,3,FALSE)</f>
        <v>空襲の神眼 八咫烏</v>
      </c>
      <c r="H170" s="8" t="str">
        <f>VLOOKUP(F170,[1]characters!$A:$J,10,FALSE)</f>
        <v>PremiumSS</v>
      </c>
      <c r="I170" s="8">
        <f>VLOOKUP(F170,[1]characters!$A:$I,9,FALSE)</f>
        <v>5</v>
      </c>
      <c r="J170" s="8" t="str">
        <f>VLOOKUP(F170,[1]characters!$A:$H,8,FALSE)</f>
        <v>green</v>
      </c>
      <c r="K170" s="8" t="str">
        <f>VLOOKUP(F170,[1]characters!$A:$K,11,FALSE)</f>
        <v>balance</v>
      </c>
      <c r="L170" s="8" t="str">
        <f>VLOOKUP(F170,[1]characters!$A:$M,13,FALSE)</f>
        <v>animal</v>
      </c>
      <c r="M170" s="16">
        <f>IFERROR(VLOOKUP(F170,gacha_conf!A$50:F$62,5+E170,FALSE),VLOOKUP(D170,gacha_conf!D$18:E$46,2,FALSE))</f>
        <v>66</v>
      </c>
      <c r="N170" s="37">
        <f>IFERROR(VLOOKUP($F170,bug_conf_sheet!$A:$H,3,FALSE),VLOOKUP("other",bug_conf_sheet!$A:$H,3,FALSE))</f>
        <v>1</v>
      </c>
      <c r="O170" s="37">
        <f>IFERROR(VLOOKUP($F170,bug_conf_sheet!$A:$H,4,FALSE),VLOOKUP("other",bug_conf_sheet!$A:$H,4,FALSE))</f>
        <v>0</v>
      </c>
      <c r="P170" s="37">
        <f>IFERROR(VLOOKUP($F170,bug_conf_sheet!$A:$H,5,FALSE),VLOOKUP("other",bug_conf_sheet!$A:$H,5,FALSE))</f>
        <v>0</v>
      </c>
      <c r="Q170" s="37">
        <f>IFERROR(VLOOKUP($F170,bug_conf_sheet!$A:$H,6,FALSE),VLOOKUP("other",bug_conf_sheet!$A:$H,6,FALSE))</f>
        <v>0</v>
      </c>
      <c r="R170" s="37">
        <f>IFERROR(VLOOKUP($F170,bug_conf_sheet!$A:$H,7,FALSE),VLOOKUP("other",bug_conf_sheet!$A:$H,7,FALSE))</f>
        <v>0</v>
      </c>
      <c r="S170" s="37">
        <f>IFERROR(VLOOKUP($F170,bug_conf_sheet!$A:$H,8,FALSE),VLOOKUP("other",bug_conf_sheet!$A:$H,8,FALSE))</f>
        <v>1</v>
      </c>
    </row>
    <row r="171" spans="1:19" ht="21" customHeight="1">
      <c r="A171" s="7" t="str">
        <f t="shared" si="9"/>
        <v>1941405</v>
      </c>
      <c r="B171" s="2" t="str">
        <f t="shared" si="10"/>
        <v>1941</v>
      </c>
      <c r="C171" s="8" t="str">
        <f t="shared" si="11"/>
        <v>1PremiumS3</v>
      </c>
      <c r="D171" s="8" t="str">
        <f t="shared" si="12"/>
        <v>1PremiumS3</v>
      </c>
      <c r="E171" s="10">
        <v>1</v>
      </c>
      <c r="F171" s="6">
        <v>405</v>
      </c>
      <c r="G171" s="8" t="str">
        <f>VLOOKUP(F171,[1]characters!$A:$C,3,FALSE)</f>
        <v>エキドナ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technical</v>
      </c>
      <c r="L171" s="8" t="str">
        <f>VLOOKUP(F171,[1]characters!$A:$M,13,FALSE)</f>
        <v>animal</v>
      </c>
      <c r="M171" s="16">
        <f>IFERROR(VLOOKUP(F171,gacha_conf!A$50:F$62,5+E171,FALSE),VLOOKUP(D171,gacha_conf!D$18:E$46,2,FALSE))</f>
        <v>6739</v>
      </c>
      <c r="N171" s="37">
        <f>IFERROR(VLOOKUP($F171,bug_conf_sheet!$A:$H,3,FALSE),VLOOKUP("other",bug_conf_sheet!$A:$H,3,FALSE))</f>
        <v>1</v>
      </c>
      <c r="O171" s="37">
        <f>IFERROR(VLOOKUP($F171,bug_conf_sheet!$A:$H,4,FALSE),VLOOKUP("other",bug_conf_sheet!$A:$H,4,FALSE))</f>
        <v>0</v>
      </c>
      <c r="P171" s="37">
        <f>IFERROR(VLOOKUP($F171,bug_conf_sheet!$A:$H,5,FALSE),VLOOKUP("other",bug_conf_sheet!$A:$H,5,FALSE))</f>
        <v>0</v>
      </c>
      <c r="Q171" s="37">
        <f>IFERROR(VLOOKUP($F171,bug_conf_sheet!$A:$H,6,FALSE),VLOOKUP("other",bug_conf_sheet!$A:$H,6,FALSE))</f>
        <v>0</v>
      </c>
      <c r="R171" s="37">
        <f>IFERROR(VLOOKUP($F171,bug_conf_sheet!$A:$H,7,FALSE),VLOOKUP("other",bug_conf_sheet!$A:$H,7,FALSE))</f>
        <v>0</v>
      </c>
      <c r="S171" s="37">
        <f>IFERROR(VLOOKUP($F171,bug_conf_sheet!$A:$H,8,FALSE),VLOOKUP("other",bug_conf_sheet!$A:$H,8,FALSE))</f>
        <v>1</v>
      </c>
    </row>
    <row r="172" spans="1:19" ht="21" customHeight="1">
      <c r="A172" s="7" t="str">
        <f t="shared" si="9"/>
        <v>1941406</v>
      </c>
      <c r="B172" s="2" t="str">
        <f t="shared" si="10"/>
        <v>1941</v>
      </c>
      <c r="C172" s="8" t="str">
        <f t="shared" si="11"/>
        <v>1PremiumS4</v>
      </c>
      <c r="D172" s="8" t="str">
        <f t="shared" si="12"/>
        <v>1PremiumS4</v>
      </c>
      <c r="E172" s="10">
        <v>1</v>
      </c>
      <c r="F172" s="6">
        <v>406</v>
      </c>
      <c r="G172" s="8" t="str">
        <f>VLOOKUP(F172,[1]characters!$A:$C,3,FALSE)</f>
        <v>美笑の蒼蛇 エキドナ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technical</v>
      </c>
      <c r="L172" s="8" t="str">
        <f>VLOOKUP(F172,[1]characters!$A:$M,13,FALSE)</f>
        <v>animal</v>
      </c>
      <c r="M172" s="16">
        <f>IFERROR(VLOOKUP(F172,gacha_conf!A$50:F$62,5+E172,FALSE),VLOOKUP(D172,gacha_conf!D$18:E$46,2,FALSE))</f>
        <v>1574</v>
      </c>
      <c r="N172" s="37">
        <f>IFERROR(VLOOKUP($F172,bug_conf_sheet!$A:$H,3,FALSE),VLOOKUP("other",bug_conf_sheet!$A:$H,3,FALSE))</f>
        <v>1</v>
      </c>
      <c r="O172" s="37">
        <f>IFERROR(VLOOKUP($F172,bug_conf_sheet!$A:$H,4,FALSE),VLOOKUP("other",bug_conf_sheet!$A:$H,4,FALSE))</f>
        <v>0</v>
      </c>
      <c r="P172" s="37">
        <f>IFERROR(VLOOKUP($F172,bug_conf_sheet!$A:$H,5,FALSE),VLOOKUP("other",bug_conf_sheet!$A:$H,5,FALSE))</f>
        <v>0</v>
      </c>
      <c r="Q172" s="37">
        <f>IFERROR(VLOOKUP($F172,bug_conf_sheet!$A:$H,6,FALSE),VLOOKUP("other",bug_conf_sheet!$A:$H,6,FALSE))</f>
        <v>0</v>
      </c>
      <c r="R172" s="37">
        <f>IFERROR(VLOOKUP($F172,bug_conf_sheet!$A:$H,7,FALSE),VLOOKUP("other",bug_conf_sheet!$A:$H,7,FALSE))</f>
        <v>0</v>
      </c>
      <c r="S172" s="37">
        <f>IFERROR(VLOOKUP($F172,bug_conf_sheet!$A:$H,8,FALSE),VLOOKUP("other",bug_conf_sheet!$A:$H,8,FALSE))</f>
        <v>1</v>
      </c>
    </row>
    <row r="173" spans="1:19" ht="21" customHeight="1">
      <c r="A173" s="7" t="str">
        <f t="shared" si="9"/>
        <v>1941407</v>
      </c>
      <c r="B173" s="2" t="str">
        <f t="shared" si="10"/>
        <v>1941</v>
      </c>
      <c r="C173" s="8" t="str">
        <f t="shared" si="11"/>
        <v>1PremiumS5</v>
      </c>
      <c r="D173" s="8" t="str">
        <f t="shared" si="12"/>
        <v>1PremiumS5</v>
      </c>
      <c r="E173" s="10">
        <v>1</v>
      </c>
      <c r="F173" s="6">
        <v>407</v>
      </c>
      <c r="G173" s="8" t="str">
        <f>VLOOKUP(F173,[1]characters!$A:$C,3,FALSE)</f>
        <v>蠱惑の飛刀 エキドナ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blue</v>
      </c>
      <c r="K173" s="8" t="str">
        <f>VLOOKUP(F173,[1]characters!$A:$K,11,FALSE)</f>
        <v>technical</v>
      </c>
      <c r="L173" s="8" t="str">
        <f>VLOOKUP(F173,[1]characters!$A:$M,13,FALSE)</f>
        <v>animal</v>
      </c>
      <c r="M173" s="16">
        <f>IFERROR(VLOOKUP(F173,gacha_conf!A$50:F$62,5+E173,FALSE),VLOOKUP(D173,gacha_conf!D$18:E$46,2,FALSE))</f>
        <v>554</v>
      </c>
      <c r="N173" s="37">
        <f>IFERROR(VLOOKUP($F173,bug_conf_sheet!$A:$H,3,FALSE),VLOOKUP("other",bug_conf_sheet!$A:$H,3,FALSE))</f>
        <v>1</v>
      </c>
      <c r="O173" s="37">
        <f>IFERROR(VLOOKUP($F173,bug_conf_sheet!$A:$H,4,FALSE),VLOOKUP("other",bug_conf_sheet!$A:$H,4,FALSE))</f>
        <v>0</v>
      </c>
      <c r="P173" s="37">
        <f>IFERROR(VLOOKUP($F173,bug_conf_sheet!$A:$H,5,FALSE),VLOOKUP("other",bug_conf_sheet!$A:$H,5,FALSE))</f>
        <v>0</v>
      </c>
      <c r="Q173" s="37">
        <f>IFERROR(VLOOKUP($F173,bug_conf_sheet!$A:$H,6,FALSE),VLOOKUP("other",bug_conf_sheet!$A:$H,6,FALSE))</f>
        <v>0</v>
      </c>
      <c r="R173" s="37">
        <f>IFERROR(VLOOKUP($F173,bug_conf_sheet!$A:$H,7,FALSE),VLOOKUP("other",bug_conf_sheet!$A:$H,7,FALSE))</f>
        <v>0</v>
      </c>
      <c r="S173" s="37">
        <f>IFERROR(VLOOKUP($F173,bug_conf_sheet!$A:$H,8,FALSE),VLOOKUP("other",bug_conf_sheet!$A:$H,8,FALSE))</f>
        <v>1</v>
      </c>
    </row>
    <row r="174" spans="1:19" ht="21" customHeight="1">
      <c r="A174" s="7" t="str">
        <f t="shared" si="9"/>
        <v>1941408</v>
      </c>
      <c r="B174" s="2" t="str">
        <f t="shared" si="10"/>
        <v>1941</v>
      </c>
      <c r="C174" s="8" t="str">
        <f t="shared" si="11"/>
        <v>1PremiumSS4</v>
      </c>
      <c r="D174" s="8" t="str">
        <f t="shared" si="12"/>
        <v>1PremiumSS4</v>
      </c>
      <c r="E174" s="10">
        <v>1</v>
      </c>
      <c r="F174" s="6">
        <v>408</v>
      </c>
      <c r="G174" s="8" t="str">
        <f>VLOOKUP(F174,[1]characters!$A:$C,3,FALSE)</f>
        <v>皇魔 アスタロト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16">
        <f>IFERROR(VLOOKUP(F174,gacha_conf!A$50:F$62,5+E174,FALSE),VLOOKUP(D174,gacha_conf!D$18:E$46,2,FALSE))</f>
        <v>997</v>
      </c>
      <c r="N174" s="37">
        <f>IFERROR(VLOOKUP($F174,bug_conf_sheet!$A:$H,3,FALSE),VLOOKUP("other",bug_conf_sheet!$A:$H,3,FALSE))</f>
        <v>1</v>
      </c>
      <c r="O174" s="37">
        <f>IFERROR(VLOOKUP($F174,bug_conf_sheet!$A:$H,4,FALSE),VLOOKUP("other",bug_conf_sheet!$A:$H,4,FALSE))</f>
        <v>0</v>
      </c>
      <c r="P174" s="37">
        <f>IFERROR(VLOOKUP($F174,bug_conf_sheet!$A:$H,5,FALSE),VLOOKUP("other",bug_conf_sheet!$A:$H,5,FALSE))</f>
        <v>0</v>
      </c>
      <c r="Q174" s="37">
        <f>IFERROR(VLOOKUP($F174,bug_conf_sheet!$A:$H,6,FALSE),VLOOKUP("other",bug_conf_sheet!$A:$H,6,FALSE))</f>
        <v>0</v>
      </c>
      <c r="R174" s="37">
        <f>IFERROR(VLOOKUP($F174,bug_conf_sheet!$A:$H,7,FALSE),VLOOKUP("other",bug_conf_sheet!$A:$H,7,FALSE))</f>
        <v>0</v>
      </c>
      <c r="S174" s="37">
        <f>IFERROR(VLOOKUP($F174,bug_conf_sheet!$A:$H,8,FALSE),VLOOKUP("other",bug_conf_sheet!$A:$H,8,FALSE))</f>
        <v>1</v>
      </c>
    </row>
    <row r="175" spans="1:19" ht="21" customHeight="1">
      <c r="A175" s="7" t="str">
        <f t="shared" si="9"/>
        <v>1941409</v>
      </c>
      <c r="B175" s="2" t="str">
        <f t="shared" si="10"/>
        <v>1941</v>
      </c>
      <c r="C175" s="8" t="str">
        <f t="shared" si="11"/>
        <v>1PremiumSS5</v>
      </c>
      <c r="D175" s="8" t="str">
        <f t="shared" si="12"/>
        <v>1PremiumSS5</v>
      </c>
      <c r="E175" s="10">
        <v>1</v>
      </c>
      <c r="F175" s="6">
        <v>409</v>
      </c>
      <c r="G175" s="8" t="str">
        <f>VLOOKUP(F175,[1]characters!$A:$C,3,FALSE)</f>
        <v>天眼の皇貴魔 アスタロト</v>
      </c>
      <c r="H175" s="8" t="str">
        <f>VLOOKUP(F175,[1]characters!$A:$J,10,FALSE)</f>
        <v>PremiumSS</v>
      </c>
      <c r="I175" s="8">
        <f>VLOOKUP(F175,[1]characters!$A:$I,9,FALSE)</f>
        <v>5</v>
      </c>
      <c r="J175" s="8" t="str">
        <f>VLOOKUP(F175,[1]characters!$A:$H,8,FALSE)</f>
        <v>yellow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16">
        <f>IFERROR(VLOOKUP(F175,gacha_conf!A$50:F$62,5+E175,FALSE),VLOOKUP(D175,gacha_conf!D$18:E$46,2,FALSE))</f>
        <v>66</v>
      </c>
      <c r="N175" s="37">
        <f>IFERROR(VLOOKUP($F175,bug_conf_sheet!$A:$H,3,FALSE),VLOOKUP("other",bug_conf_sheet!$A:$H,3,FALSE))</f>
        <v>1</v>
      </c>
      <c r="O175" s="37">
        <f>IFERROR(VLOOKUP($F175,bug_conf_sheet!$A:$H,4,FALSE),VLOOKUP("other",bug_conf_sheet!$A:$H,4,FALSE))</f>
        <v>0</v>
      </c>
      <c r="P175" s="37">
        <f>IFERROR(VLOOKUP($F175,bug_conf_sheet!$A:$H,5,FALSE),VLOOKUP("other",bug_conf_sheet!$A:$H,5,FALSE))</f>
        <v>0</v>
      </c>
      <c r="Q175" s="37">
        <f>IFERROR(VLOOKUP($F175,bug_conf_sheet!$A:$H,6,FALSE),VLOOKUP("other",bug_conf_sheet!$A:$H,6,FALSE))</f>
        <v>0</v>
      </c>
      <c r="R175" s="37">
        <f>IFERROR(VLOOKUP($F175,bug_conf_sheet!$A:$H,7,FALSE),VLOOKUP("other",bug_conf_sheet!$A:$H,7,FALSE))</f>
        <v>0</v>
      </c>
      <c r="S175" s="37">
        <f>IFERROR(VLOOKUP($F175,bug_conf_sheet!$A:$H,8,FALSE),VLOOKUP("other",bug_conf_sheet!$A:$H,8,FALSE))</f>
        <v>1</v>
      </c>
    </row>
    <row r="176" spans="1:19" ht="21" customHeight="1">
      <c r="A176" s="7" t="str">
        <f t="shared" si="9"/>
        <v>1941434</v>
      </c>
      <c r="B176" s="2" t="str">
        <f t="shared" si="10"/>
        <v>1941</v>
      </c>
      <c r="C176" s="8" t="str">
        <f t="shared" si="11"/>
        <v>1PremiumSS4</v>
      </c>
      <c r="D176" s="8" t="str">
        <f t="shared" si="12"/>
        <v>1PremiumSS4</v>
      </c>
      <c r="E176" s="10">
        <v>1</v>
      </c>
      <c r="F176" s="6">
        <v>434</v>
      </c>
      <c r="G176" s="8" t="str">
        <f>VLOOKUP(F176,[1]characters!$A:$C,3,FALSE)</f>
        <v>D.R.T.H.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16">
        <f>IFERROR(VLOOKUP(F176,gacha_conf!A$50:F$62,5+E176,FALSE),VLOOKUP(D176,gacha_conf!D$18:E$46,2,FALSE))</f>
        <v>997</v>
      </c>
      <c r="N176" s="37">
        <f>IFERROR(VLOOKUP($F176,bug_conf_sheet!$A:$H,3,FALSE),VLOOKUP("other",bug_conf_sheet!$A:$H,3,FALSE))</f>
        <v>1</v>
      </c>
      <c r="O176" s="37">
        <f>IFERROR(VLOOKUP($F176,bug_conf_sheet!$A:$H,4,FALSE),VLOOKUP("other",bug_conf_sheet!$A:$H,4,FALSE))</f>
        <v>0</v>
      </c>
      <c r="P176" s="37">
        <f>IFERROR(VLOOKUP($F176,bug_conf_sheet!$A:$H,5,FALSE),VLOOKUP("other",bug_conf_sheet!$A:$H,5,FALSE))</f>
        <v>0</v>
      </c>
      <c r="Q176" s="37">
        <f>IFERROR(VLOOKUP($F176,bug_conf_sheet!$A:$H,6,FALSE),VLOOKUP("other",bug_conf_sheet!$A:$H,6,FALSE))</f>
        <v>0</v>
      </c>
      <c r="R176" s="37">
        <f>IFERROR(VLOOKUP($F176,bug_conf_sheet!$A:$H,7,FALSE),VLOOKUP("other",bug_conf_sheet!$A:$H,7,FALSE))</f>
        <v>0</v>
      </c>
      <c r="S176" s="37">
        <f>IFERROR(VLOOKUP($F176,bug_conf_sheet!$A:$H,8,FALSE),VLOOKUP("other",bug_conf_sheet!$A:$H,8,FALSE))</f>
        <v>1</v>
      </c>
    </row>
    <row r="177" spans="1:19" ht="21" customHeight="1">
      <c r="A177" s="7" t="str">
        <f t="shared" si="9"/>
        <v>1941435</v>
      </c>
      <c r="B177" s="2" t="str">
        <f t="shared" si="10"/>
        <v>1941</v>
      </c>
      <c r="C177" s="8" t="str">
        <f t="shared" si="11"/>
        <v>1PremiumSS5</v>
      </c>
      <c r="D177" s="8" t="str">
        <f t="shared" si="12"/>
        <v>1PremiumSS5</v>
      </c>
      <c r="E177" s="10">
        <v>1</v>
      </c>
      <c r="F177" s="6">
        <v>435</v>
      </c>
      <c r="G177" s="8" t="str">
        <f>VLOOKUP(F177,[1]characters!$A:$C,3,FALSE)</f>
        <v>曝弾の密偵 D.R.T.H.</v>
      </c>
      <c r="H177" s="8" t="str">
        <f>VLOOKUP(F177,[1]characters!$A:$J,10,FALSE)</f>
        <v>PremiumSS</v>
      </c>
      <c r="I177" s="8">
        <f>VLOOKUP(F177,[1]characters!$A:$I,9,FALSE)</f>
        <v>5</v>
      </c>
      <c r="J177" s="8" t="str">
        <f>VLOOKUP(F177,[1]characters!$A:$H,8,FALSE)</f>
        <v>red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16">
        <f>IFERROR(VLOOKUP(F177,gacha_conf!A$50:F$62,5+E177,FALSE),VLOOKUP(D177,gacha_conf!D$18:E$46,2,FALSE))</f>
        <v>66</v>
      </c>
      <c r="N177" s="37">
        <f>IFERROR(VLOOKUP($F177,bug_conf_sheet!$A:$H,3,FALSE),VLOOKUP("other",bug_conf_sheet!$A:$H,3,FALSE))</f>
        <v>1</v>
      </c>
      <c r="O177" s="37">
        <f>IFERROR(VLOOKUP($F177,bug_conf_sheet!$A:$H,4,FALSE),VLOOKUP("other",bug_conf_sheet!$A:$H,4,FALSE))</f>
        <v>0</v>
      </c>
      <c r="P177" s="37">
        <f>IFERROR(VLOOKUP($F177,bug_conf_sheet!$A:$H,5,FALSE),VLOOKUP("other",bug_conf_sheet!$A:$H,5,FALSE))</f>
        <v>0</v>
      </c>
      <c r="Q177" s="37">
        <f>IFERROR(VLOOKUP($F177,bug_conf_sheet!$A:$H,6,FALSE),VLOOKUP("other",bug_conf_sheet!$A:$H,6,FALSE))</f>
        <v>0</v>
      </c>
      <c r="R177" s="37">
        <f>IFERROR(VLOOKUP($F177,bug_conf_sheet!$A:$H,7,FALSE),VLOOKUP("other",bug_conf_sheet!$A:$H,7,FALSE))</f>
        <v>0</v>
      </c>
      <c r="S177" s="37">
        <f>IFERROR(VLOOKUP($F177,bug_conf_sheet!$A:$H,8,FALSE),VLOOKUP("other",bug_conf_sheet!$A:$H,8,FALSE))</f>
        <v>1</v>
      </c>
    </row>
    <row r="178" spans="1:19" ht="21" customHeight="1">
      <c r="A178" s="7" t="str">
        <f t="shared" si="9"/>
        <v>1941436</v>
      </c>
      <c r="B178" s="2" t="str">
        <f t="shared" si="10"/>
        <v>1941</v>
      </c>
      <c r="C178" s="8" t="str">
        <f t="shared" si="11"/>
        <v>1PremiumS3</v>
      </c>
      <c r="D178" s="8" t="str">
        <f t="shared" si="12"/>
        <v>1PremiumS3</v>
      </c>
      <c r="E178" s="10">
        <v>1</v>
      </c>
      <c r="F178" s="6">
        <v>436</v>
      </c>
      <c r="G178" s="8" t="str">
        <f>VLOOKUP(F178,[1]characters!$A:$C,3,FALSE)</f>
        <v>カカシ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green</v>
      </c>
      <c r="K178" s="8" t="str">
        <f>VLOOKUP(F178,[1]characters!$A:$K,11,FALSE)</f>
        <v>technical</v>
      </c>
      <c r="L178" s="8" t="str">
        <f>VLOOKUP(F178,[1]characters!$A:$M,13,FALSE)</f>
        <v>human</v>
      </c>
      <c r="M178" s="16">
        <f>IFERROR(VLOOKUP(F178,gacha_conf!A$50:F$62,5+E178,FALSE),VLOOKUP(D178,gacha_conf!D$18:E$46,2,FALSE))</f>
        <v>6739</v>
      </c>
      <c r="N178" s="37">
        <f>IFERROR(VLOOKUP($F178,bug_conf_sheet!$A:$H,3,FALSE),VLOOKUP("other",bug_conf_sheet!$A:$H,3,FALSE))</f>
        <v>1</v>
      </c>
      <c r="O178" s="37">
        <f>IFERROR(VLOOKUP($F178,bug_conf_sheet!$A:$H,4,FALSE),VLOOKUP("other",bug_conf_sheet!$A:$H,4,FALSE))</f>
        <v>0</v>
      </c>
      <c r="P178" s="37">
        <f>IFERROR(VLOOKUP($F178,bug_conf_sheet!$A:$H,5,FALSE),VLOOKUP("other",bug_conf_sheet!$A:$H,5,FALSE))</f>
        <v>0</v>
      </c>
      <c r="Q178" s="37">
        <f>IFERROR(VLOOKUP($F178,bug_conf_sheet!$A:$H,6,FALSE),VLOOKUP("other",bug_conf_sheet!$A:$H,6,FALSE))</f>
        <v>0</v>
      </c>
      <c r="R178" s="37">
        <f>IFERROR(VLOOKUP($F178,bug_conf_sheet!$A:$H,7,FALSE),VLOOKUP("other",bug_conf_sheet!$A:$H,7,FALSE))</f>
        <v>0</v>
      </c>
      <c r="S178" s="37">
        <f>IFERROR(VLOOKUP($F178,bug_conf_sheet!$A:$H,8,FALSE),VLOOKUP("other",bug_conf_sheet!$A:$H,8,FALSE))</f>
        <v>1</v>
      </c>
    </row>
    <row r="179" spans="1:19" ht="21" customHeight="1">
      <c r="A179" s="7" t="str">
        <f t="shared" si="9"/>
        <v>1941437</v>
      </c>
      <c r="B179" s="2" t="str">
        <f t="shared" si="10"/>
        <v>1941</v>
      </c>
      <c r="C179" s="8" t="str">
        <f t="shared" si="11"/>
        <v>1PremiumS4</v>
      </c>
      <c r="D179" s="8" t="str">
        <f t="shared" si="12"/>
        <v>1PremiumS4</v>
      </c>
      <c r="E179" s="10">
        <v>1</v>
      </c>
      <c r="F179" s="6">
        <v>437</v>
      </c>
      <c r="G179" s="8" t="str">
        <f>VLOOKUP(F179,[1]characters!$A:$C,3,FALSE)</f>
        <v>忘却者 カカシ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technical</v>
      </c>
      <c r="L179" s="8" t="str">
        <f>VLOOKUP(F179,[1]characters!$A:$M,13,FALSE)</f>
        <v>human</v>
      </c>
      <c r="M179" s="16">
        <f>IFERROR(VLOOKUP(F179,gacha_conf!A$50:F$62,5+E179,FALSE),VLOOKUP(D179,gacha_conf!D$18:E$46,2,FALSE))</f>
        <v>1574</v>
      </c>
      <c r="N179" s="37">
        <f>IFERROR(VLOOKUP($F179,bug_conf_sheet!$A:$H,3,FALSE),VLOOKUP("other",bug_conf_sheet!$A:$H,3,FALSE))</f>
        <v>1</v>
      </c>
      <c r="O179" s="37">
        <f>IFERROR(VLOOKUP($F179,bug_conf_sheet!$A:$H,4,FALSE),VLOOKUP("other",bug_conf_sheet!$A:$H,4,FALSE))</f>
        <v>0</v>
      </c>
      <c r="P179" s="37">
        <f>IFERROR(VLOOKUP($F179,bug_conf_sheet!$A:$H,5,FALSE),VLOOKUP("other",bug_conf_sheet!$A:$H,5,FALSE))</f>
        <v>0</v>
      </c>
      <c r="Q179" s="37">
        <f>IFERROR(VLOOKUP($F179,bug_conf_sheet!$A:$H,6,FALSE),VLOOKUP("other",bug_conf_sheet!$A:$H,6,FALSE))</f>
        <v>0</v>
      </c>
      <c r="R179" s="37">
        <f>IFERROR(VLOOKUP($F179,bug_conf_sheet!$A:$H,7,FALSE),VLOOKUP("other",bug_conf_sheet!$A:$H,7,FALSE))</f>
        <v>0</v>
      </c>
      <c r="S179" s="37">
        <f>IFERROR(VLOOKUP($F179,bug_conf_sheet!$A:$H,8,FALSE),VLOOKUP("other",bug_conf_sheet!$A:$H,8,FALSE))</f>
        <v>1</v>
      </c>
    </row>
    <row r="180" spans="1:19" ht="21" customHeight="1">
      <c r="A180" s="7" t="str">
        <f t="shared" si="9"/>
        <v>1941438</v>
      </c>
      <c r="B180" s="2" t="str">
        <f t="shared" si="10"/>
        <v>1941</v>
      </c>
      <c r="C180" s="8" t="str">
        <f t="shared" si="11"/>
        <v>1PremiumS5</v>
      </c>
      <c r="D180" s="8" t="str">
        <f t="shared" si="12"/>
        <v>1PremiumS5</v>
      </c>
      <c r="E180" s="10">
        <v>1</v>
      </c>
      <c r="F180" s="6">
        <v>438</v>
      </c>
      <c r="G180" s="8" t="str">
        <f>VLOOKUP(F180,[1]characters!$A:$C,3,FALSE)</f>
        <v>記憶の奪還 カカシ</v>
      </c>
      <c r="H180" s="8" t="str">
        <f>VLOOKUP(F180,[1]characters!$A:$J,10,FALSE)</f>
        <v>PremiumS</v>
      </c>
      <c r="I180" s="8">
        <f>VLOOKUP(F180,[1]characters!$A:$I,9,FALSE)</f>
        <v>5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human</v>
      </c>
      <c r="M180" s="16">
        <f>IFERROR(VLOOKUP(F180,gacha_conf!A$50:F$62,5+E180,FALSE),VLOOKUP(D180,gacha_conf!D$18:E$46,2,FALSE))</f>
        <v>554</v>
      </c>
      <c r="N180" s="37">
        <f>IFERROR(VLOOKUP($F180,bug_conf_sheet!$A:$H,3,FALSE),VLOOKUP("other",bug_conf_sheet!$A:$H,3,FALSE))</f>
        <v>1</v>
      </c>
      <c r="O180" s="37">
        <f>IFERROR(VLOOKUP($F180,bug_conf_sheet!$A:$H,4,FALSE),VLOOKUP("other",bug_conf_sheet!$A:$H,4,FALSE))</f>
        <v>0</v>
      </c>
      <c r="P180" s="37">
        <f>IFERROR(VLOOKUP($F180,bug_conf_sheet!$A:$H,5,FALSE),VLOOKUP("other",bug_conf_sheet!$A:$H,5,FALSE))</f>
        <v>0</v>
      </c>
      <c r="Q180" s="37">
        <f>IFERROR(VLOOKUP($F180,bug_conf_sheet!$A:$H,6,FALSE),VLOOKUP("other",bug_conf_sheet!$A:$H,6,FALSE))</f>
        <v>0</v>
      </c>
      <c r="R180" s="37">
        <f>IFERROR(VLOOKUP($F180,bug_conf_sheet!$A:$H,7,FALSE),VLOOKUP("other",bug_conf_sheet!$A:$H,7,FALSE))</f>
        <v>0</v>
      </c>
      <c r="S180" s="37">
        <f>IFERROR(VLOOKUP($F180,bug_conf_sheet!$A:$H,8,FALSE),VLOOKUP("other",bug_conf_sheet!$A:$H,8,FALSE))</f>
        <v>1</v>
      </c>
    </row>
    <row r="181" spans="1:19" ht="21" customHeight="1">
      <c r="A181" s="7" t="str">
        <f t="shared" si="9"/>
        <v>1941439</v>
      </c>
      <c r="B181" s="2" t="str">
        <f t="shared" si="10"/>
        <v>1941</v>
      </c>
      <c r="C181" s="8" t="str">
        <f t="shared" si="11"/>
        <v>1PremiumS3</v>
      </c>
      <c r="D181" s="8" t="str">
        <f t="shared" si="12"/>
        <v>1PremiumS3</v>
      </c>
      <c r="E181" s="10">
        <v>1</v>
      </c>
      <c r="F181" s="6">
        <v>439</v>
      </c>
      <c r="G181" s="8" t="str">
        <f>VLOOKUP(F181,[1]characters!$A:$C,3,FALSE)</f>
        <v>ブリキロガー</v>
      </c>
      <c r="H181" s="8" t="str">
        <f>VLOOKUP(F181,[1]characters!$A:$J,10,FALSE)</f>
        <v>PremiumS</v>
      </c>
      <c r="I181" s="8">
        <f>VLOOKUP(F181,[1]characters!$A:$I,9,FALSE)</f>
        <v>3</v>
      </c>
      <c r="J181" s="8" t="str">
        <f>VLOOKUP(F181,[1]characters!$A:$H,8,FALSE)</f>
        <v>blue</v>
      </c>
      <c r="K181" s="8" t="str">
        <f>VLOOKUP(F181,[1]characters!$A:$K,11,FALSE)</f>
        <v>attack</v>
      </c>
      <c r="L181" s="8" t="str">
        <f>VLOOKUP(F181,[1]characters!$A:$M,13,FALSE)</f>
        <v>machine</v>
      </c>
      <c r="M181" s="16">
        <f>IFERROR(VLOOKUP(F181,gacha_conf!A$50:F$62,5+E181,FALSE),VLOOKUP(D181,gacha_conf!D$18:E$46,2,FALSE))</f>
        <v>6739</v>
      </c>
      <c r="N181" s="37">
        <f>IFERROR(VLOOKUP($F181,bug_conf_sheet!$A:$H,3,FALSE),VLOOKUP("other",bug_conf_sheet!$A:$H,3,FALSE))</f>
        <v>1</v>
      </c>
      <c r="O181" s="37">
        <f>IFERROR(VLOOKUP($F181,bug_conf_sheet!$A:$H,4,FALSE),VLOOKUP("other",bug_conf_sheet!$A:$H,4,FALSE))</f>
        <v>0</v>
      </c>
      <c r="P181" s="37">
        <f>IFERROR(VLOOKUP($F181,bug_conf_sheet!$A:$H,5,FALSE),VLOOKUP("other",bug_conf_sheet!$A:$H,5,FALSE))</f>
        <v>0</v>
      </c>
      <c r="Q181" s="37">
        <f>IFERROR(VLOOKUP($F181,bug_conf_sheet!$A:$H,6,FALSE),VLOOKUP("other",bug_conf_sheet!$A:$H,6,FALSE))</f>
        <v>0</v>
      </c>
      <c r="R181" s="37">
        <f>IFERROR(VLOOKUP($F181,bug_conf_sheet!$A:$H,7,FALSE),VLOOKUP("other",bug_conf_sheet!$A:$H,7,FALSE))</f>
        <v>0</v>
      </c>
      <c r="S181" s="37">
        <f>IFERROR(VLOOKUP($F181,bug_conf_sheet!$A:$H,8,FALSE),VLOOKUP("other",bug_conf_sheet!$A:$H,8,FALSE))</f>
        <v>1</v>
      </c>
    </row>
    <row r="182" spans="1:19" ht="21" customHeight="1">
      <c r="A182" s="7" t="str">
        <f t="shared" si="9"/>
        <v>1941440</v>
      </c>
      <c r="B182" s="2" t="str">
        <f t="shared" si="10"/>
        <v>1941</v>
      </c>
      <c r="C182" s="8" t="str">
        <f t="shared" si="11"/>
        <v>1PremiumS4</v>
      </c>
      <c r="D182" s="8" t="str">
        <f t="shared" si="12"/>
        <v>1PremiumS4</v>
      </c>
      <c r="E182" s="10">
        <v>1</v>
      </c>
      <c r="F182" s="6">
        <v>440</v>
      </c>
      <c r="G182" s="8" t="str">
        <f>VLOOKUP(F182,[1]characters!$A:$C,3,FALSE)</f>
        <v>改良型 ブリキロガー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attack</v>
      </c>
      <c r="L182" s="8" t="str">
        <f>VLOOKUP(F182,[1]characters!$A:$M,13,FALSE)</f>
        <v>machine</v>
      </c>
      <c r="M182" s="16">
        <f>IFERROR(VLOOKUP(F182,gacha_conf!A$50:F$62,5+E182,FALSE),VLOOKUP(D182,gacha_conf!D$18:E$46,2,FALSE))</f>
        <v>1574</v>
      </c>
      <c r="N182" s="37">
        <f>IFERROR(VLOOKUP($F182,bug_conf_sheet!$A:$H,3,FALSE),VLOOKUP("other",bug_conf_sheet!$A:$H,3,FALSE))</f>
        <v>1</v>
      </c>
      <c r="O182" s="37">
        <f>IFERROR(VLOOKUP($F182,bug_conf_sheet!$A:$H,4,FALSE),VLOOKUP("other",bug_conf_sheet!$A:$H,4,FALSE))</f>
        <v>0</v>
      </c>
      <c r="P182" s="37">
        <f>IFERROR(VLOOKUP($F182,bug_conf_sheet!$A:$H,5,FALSE),VLOOKUP("other",bug_conf_sheet!$A:$H,5,FALSE))</f>
        <v>0</v>
      </c>
      <c r="Q182" s="37">
        <f>IFERROR(VLOOKUP($F182,bug_conf_sheet!$A:$H,6,FALSE),VLOOKUP("other",bug_conf_sheet!$A:$H,6,FALSE))</f>
        <v>0</v>
      </c>
      <c r="R182" s="37">
        <f>IFERROR(VLOOKUP($F182,bug_conf_sheet!$A:$H,7,FALSE),VLOOKUP("other",bug_conf_sheet!$A:$H,7,FALSE))</f>
        <v>0</v>
      </c>
      <c r="S182" s="37">
        <f>IFERROR(VLOOKUP($F182,bug_conf_sheet!$A:$H,8,FALSE),VLOOKUP("other",bug_conf_sheet!$A:$H,8,FALSE))</f>
        <v>1</v>
      </c>
    </row>
    <row r="183" spans="1:19" ht="21" customHeight="1">
      <c r="A183" s="7" t="str">
        <f t="shared" si="9"/>
        <v>1941441</v>
      </c>
      <c r="B183" s="2" t="str">
        <f t="shared" si="10"/>
        <v>1941</v>
      </c>
      <c r="C183" s="8" t="str">
        <f t="shared" si="11"/>
        <v>1PremiumS5</v>
      </c>
      <c r="D183" s="8" t="str">
        <f t="shared" si="12"/>
        <v>1PremiumS5</v>
      </c>
      <c r="E183" s="10">
        <v>1</v>
      </c>
      <c r="F183" s="6">
        <v>441</v>
      </c>
      <c r="G183" s="8" t="str">
        <f>VLOOKUP(F183,[1]characters!$A:$C,3,FALSE)</f>
        <v>求心の錻装 ブリキロガー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attack</v>
      </c>
      <c r="L183" s="8" t="str">
        <f>VLOOKUP(F183,[1]characters!$A:$M,13,FALSE)</f>
        <v>machine</v>
      </c>
      <c r="M183" s="16">
        <f>IFERROR(VLOOKUP(F183,gacha_conf!A$50:F$62,5+E183,FALSE),VLOOKUP(D183,gacha_conf!D$18:E$46,2,FALSE))</f>
        <v>554</v>
      </c>
      <c r="N183" s="37">
        <f>IFERROR(VLOOKUP($F183,bug_conf_sheet!$A:$H,3,FALSE),VLOOKUP("other",bug_conf_sheet!$A:$H,3,FALSE))</f>
        <v>1</v>
      </c>
      <c r="O183" s="37">
        <f>IFERROR(VLOOKUP($F183,bug_conf_sheet!$A:$H,4,FALSE),VLOOKUP("other",bug_conf_sheet!$A:$H,4,FALSE))</f>
        <v>0</v>
      </c>
      <c r="P183" s="37">
        <f>IFERROR(VLOOKUP($F183,bug_conf_sheet!$A:$H,5,FALSE),VLOOKUP("other",bug_conf_sheet!$A:$H,5,FALSE))</f>
        <v>0</v>
      </c>
      <c r="Q183" s="37">
        <f>IFERROR(VLOOKUP($F183,bug_conf_sheet!$A:$H,6,FALSE),VLOOKUP("other",bug_conf_sheet!$A:$H,6,FALSE))</f>
        <v>0</v>
      </c>
      <c r="R183" s="37">
        <f>IFERROR(VLOOKUP($F183,bug_conf_sheet!$A:$H,7,FALSE),VLOOKUP("other",bug_conf_sheet!$A:$H,7,FALSE))</f>
        <v>0</v>
      </c>
      <c r="S183" s="37">
        <f>IFERROR(VLOOKUP($F183,bug_conf_sheet!$A:$H,8,FALSE),VLOOKUP("other",bug_conf_sheet!$A:$H,8,FALSE))</f>
        <v>1</v>
      </c>
    </row>
    <row r="184" spans="1:19" ht="21" customHeight="1">
      <c r="A184" s="7" t="str">
        <f t="shared" si="9"/>
        <v>1941442</v>
      </c>
      <c r="B184" s="2" t="str">
        <f t="shared" si="10"/>
        <v>1941</v>
      </c>
      <c r="C184" s="8" t="str">
        <f t="shared" si="11"/>
        <v>1PremiumSS4</v>
      </c>
      <c r="D184" s="8" t="str">
        <f t="shared" si="12"/>
        <v>1PremiumSS4</v>
      </c>
      <c r="E184" s="10">
        <v>1</v>
      </c>
      <c r="F184" s="6">
        <v>442</v>
      </c>
      <c r="G184" s="8" t="str">
        <f>VLOOKUP(F184,[1]characters!$A:$C,3,FALSE)</f>
        <v>ブレイブリー・ライオン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16">
        <f>IFERROR(VLOOKUP(F184,gacha_conf!A$50:F$62,5+E184,FALSE),VLOOKUP(D184,gacha_conf!D$18:E$46,2,FALSE))</f>
        <v>997</v>
      </c>
      <c r="N184" s="37">
        <f>IFERROR(VLOOKUP($F184,bug_conf_sheet!$A:$H,3,FALSE),VLOOKUP("other",bug_conf_sheet!$A:$H,3,FALSE))</f>
        <v>1</v>
      </c>
      <c r="O184" s="37">
        <f>IFERROR(VLOOKUP($F184,bug_conf_sheet!$A:$H,4,FALSE),VLOOKUP("other",bug_conf_sheet!$A:$H,4,FALSE))</f>
        <v>0</v>
      </c>
      <c r="P184" s="37">
        <f>IFERROR(VLOOKUP($F184,bug_conf_sheet!$A:$H,5,FALSE),VLOOKUP("other",bug_conf_sheet!$A:$H,5,FALSE))</f>
        <v>0</v>
      </c>
      <c r="Q184" s="37">
        <f>IFERROR(VLOOKUP($F184,bug_conf_sheet!$A:$H,6,FALSE),VLOOKUP("other",bug_conf_sheet!$A:$H,6,FALSE))</f>
        <v>0</v>
      </c>
      <c r="R184" s="37">
        <f>IFERROR(VLOOKUP($F184,bug_conf_sheet!$A:$H,7,FALSE),VLOOKUP("other",bug_conf_sheet!$A:$H,7,FALSE))</f>
        <v>0</v>
      </c>
      <c r="S184" s="37">
        <f>IFERROR(VLOOKUP($F184,bug_conf_sheet!$A:$H,8,FALSE),VLOOKUP("other",bug_conf_sheet!$A:$H,8,FALSE))</f>
        <v>1</v>
      </c>
    </row>
    <row r="185" spans="1:19" ht="21" customHeight="1">
      <c r="A185" s="7" t="str">
        <f t="shared" si="9"/>
        <v>1941443</v>
      </c>
      <c r="B185" s="2" t="str">
        <f t="shared" si="10"/>
        <v>1941</v>
      </c>
      <c r="C185" s="8" t="str">
        <f t="shared" si="11"/>
        <v>1PremiumSS5</v>
      </c>
      <c r="D185" s="8" t="str">
        <f t="shared" si="12"/>
        <v>1PremiumSS5</v>
      </c>
      <c r="E185" s="10">
        <v>1</v>
      </c>
      <c r="F185" s="6">
        <v>443</v>
      </c>
      <c r="G185" s="8" t="str">
        <f>VLOOKUP(F185,[1]characters!$A:$C,3,FALSE)</f>
        <v>勇機結集 ブレイブリー・ライオン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16">
        <f>IFERROR(VLOOKUP(F185,gacha_conf!A$50:F$62,5+E185,FALSE),VLOOKUP(D185,gacha_conf!D$18:E$46,2,FALSE))</f>
        <v>66</v>
      </c>
      <c r="N185" s="37">
        <f>IFERROR(VLOOKUP($F185,bug_conf_sheet!$A:$H,3,FALSE),VLOOKUP("other",bug_conf_sheet!$A:$H,3,FALSE))</f>
        <v>1</v>
      </c>
      <c r="O185" s="37">
        <f>IFERROR(VLOOKUP($F185,bug_conf_sheet!$A:$H,4,FALSE),VLOOKUP("other",bug_conf_sheet!$A:$H,4,FALSE))</f>
        <v>0</v>
      </c>
      <c r="P185" s="37">
        <f>IFERROR(VLOOKUP($F185,bug_conf_sheet!$A:$H,5,FALSE),VLOOKUP("other",bug_conf_sheet!$A:$H,5,FALSE))</f>
        <v>0</v>
      </c>
      <c r="Q185" s="37">
        <f>IFERROR(VLOOKUP($F185,bug_conf_sheet!$A:$H,6,FALSE),VLOOKUP("other",bug_conf_sheet!$A:$H,6,FALSE))</f>
        <v>0</v>
      </c>
      <c r="R185" s="37">
        <f>IFERROR(VLOOKUP($F185,bug_conf_sheet!$A:$H,7,FALSE),VLOOKUP("other",bug_conf_sheet!$A:$H,7,FALSE))</f>
        <v>0</v>
      </c>
      <c r="S185" s="37">
        <f>IFERROR(VLOOKUP($F185,bug_conf_sheet!$A:$H,8,FALSE),VLOOKUP("other",bug_conf_sheet!$A:$H,8,FALSE))</f>
        <v>1</v>
      </c>
    </row>
    <row r="186" spans="1:19" ht="21" customHeight="1">
      <c r="A186" s="7" t="str">
        <f t="shared" si="9"/>
        <v>1941462</v>
      </c>
      <c r="B186" s="2" t="str">
        <f t="shared" si="10"/>
        <v>1941</v>
      </c>
      <c r="C186" s="8" t="str">
        <f t="shared" si="11"/>
        <v>1PremiumS3</v>
      </c>
      <c r="D186" s="8" t="str">
        <f t="shared" si="12"/>
        <v>1PremiumS3</v>
      </c>
      <c r="E186" s="10">
        <v>1</v>
      </c>
      <c r="F186" s="9">
        <v>462</v>
      </c>
      <c r="G186" s="8" t="str">
        <f>VLOOKUP(F186,[1]characters!$A:$C,3,FALSE)</f>
        <v>ガウェイン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16">
        <f>IFERROR(VLOOKUP(F186,gacha_conf!A$50:F$62,5+E186,FALSE),VLOOKUP(D186,gacha_conf!D$18:E$46,2,FALSE))</f>
        <v>6739</v>
      </c>
      <c r="N186" s="37">
        <f>IFERROR(VLOOKUP($F186,bug_conf_sheet!$A:$H,3,FALSE),VLOOKUP("other",bug_conf_sheet!$A:$H,3,FALSE))</f>
        <v>1</v>
      </c>
      <c r="O186" s="37">
        <f>IFERROR(VLOOKUP($F186,bug_conf_sheet!$A:$H,4,FALSE),VLOOKUP("other",bug_conf_sheet!$A:$H,4,FALSE))</f>
        <v>0</v>
      </c>
      <c r="P186" s="37">
        <f>IFERROR(VLOOKUP($F186,bug_conf_sheet!$A:$H,5,FALSE),VLOOKUP("other",bug_conf_sheet!$A:$H,5,FALSE))</f>
        <v>0</v>
      </c>
      <c r="Q186" s="37">
        <f>IFERROR(VLOOKUP($F186,bug_conf_sheet!$A:$H,6,FALSE),VLOOKUP("other",bug_conf_sheet!$A:$H,6,FALSE))</f>
        <v>0</v>
      </c>
      <c r="R186" s="37">
        <f>IFERROR(VLOOKUP($F186,bug_conf_sheet!$A:$H,7,FALSE),VLOOKUP("other",bug_conf_sheet!$A:$H,7,FALSE))</f>
        <v>0</v>
      </c>
      <c r="S186" s="37">
        <f>IFERROR(VLOOKUP($F186,bug_conf_sheet!$A:$H,8,FALSE),VLOOKUP("other",bug_conf_sheet!$A:$H,8,FALSE))</f>
        <v>1</v>
      </c>
    </row>
    <row r="187" spans="1:19" ht="21" customHeight="1">
      <c r="A187" s="7" t="str">
        <f t="shared" si="9"/>
        <v>1941463</v>
      </c>
      <c r="B187" s="2" t="str">
        <f t="shared" si="10"/>
        <v>1941</v>
      </c>
      <c r="C187" s="8" t="str">
        <f t="shared" si="11"/>
        <v>1PremiumS4</v>
      </c>
      <c r="D187" s="8" t="str">
        <f t="shared" si="12"/>
        <v>1PremiumS4</v>
      </c>
      <c r="E187" s="10">
        <v>1</v>
      </c>
      <c r="F187" s="9">
        <v>463</v>
      </c>
      <c r="G187" s="8" t="str">
        <f>VLOOKUP(F187,[1]characters!$A:$C,3,FALSE)</f>
        <v>燻銀 ガウェイン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16">
        <f>IFERROR(VLOOKUP(F187,gacha_conf!A$50:F$62,5+E187,FALSE),VLOOKUP(D187,gacha_conf!D$18:E$46,2,FALSE))</f>
        <v>1574</v>
      </c>
      <c r="N187" s="37">
        <f>IFERROR(VLOOKUP($F187,bug_conf_sheet!$A:$H,3,FALSE),VLOOKUP("other",bug_conf_sheet!$A:$H,3,FALSE))</f>
        <v>1</v>
      </c>
      <c r="O187" s="37">
        <f>IFERROR(VLOOKUP($F187,bug_conf_sheet!$A:$H,4,FALSE),VLOOKUP("other",bug_conf_sheet!$A:$H,4,FALSE))</f>
        <v>0</v>
      </c>
      <c r="P187" s="37">
        <f>IFERROR(VLOOKUP($F187,bug_conf_sheet!$A:$H,5,FALSE),VLOOKUP("other",bug_conf_sheet!$A:$H,5,FALSE))</f>
        <v>0</v>
      </c>
      <c r="Q187" s="37">
        <f>IFERROR(VLOOKUP($F187,bug_conf_sheet!$A:$H,6,FALSE),VLOOKUP("other",bug_conf_sheet!$A:$H,6,FALSE))</f>
        <v>0</v>
      </c>
      <c r="R187" s="37">
        <f>IFERROR(VLOOKUP($F187,bug_conf_sheet!$A:$H,7,FALSE),VLOOKUP("other",bug_conf_sheet!$A:$H,7,FALSE))</f>
        <v>0</v>
      </c>
      <c r="S187" s="37">
        <f>IFERROR(VLOOKUP($F187,bug_conf_sheet!$A:$H,8,FALSE),VLOOKUP("other",bug_conf_sheet!$A:$H,8,FALSE))</f>
        <v>1</v>
      </c>
    </row>
    <row r="188" spans="1:19" ht="21" customHeight="1">
      <c r="A188" s="7" t="str">
        <f t="shared" si="9"/>
        <v>1941464</v>
      </c>
      <c r="B188" s="2" t="str">
        <f t="shared" si="10"/>
        <v>1941</v>
      </c>
      <c r="C188" s="8" t="str">
        <f t="shared" si="11"/>
        <v>1PremiumS5</v>
      </c>
      <c r="D188" s="8" t="str">
        <f t="shared" si="12"/>
        <v>1PremiumS5</v>
      </c>
      <c r="E188" s="10">
        <v>1</v>
      </c>
      <c r="F188" s="9">
        <v>464</v>
      </c>
      <c r="G188" s="8" t="str">
        <f>VLOOKUP(F188,[1]characters!$A:$C,3,FALSE)</f>
        <v>円熟の弾導 ガウェイン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16">
        <f>IFERROR(VLOOKUP(F188,gacha_conf!A$50:F$62,5+E188,FALSE),VLOOKUP(D188,gacha_conf!D$18:E$46,2,FALSE))</f>
        <v>554</v>
      </c>
      <c r="N188" s="37">
        <f>IFERROR(VLOOKUP($F188,bug_conf_sheet!$A:$H,3,FALSE),VLOOKUP("other",bug_conf_sheet!$A:$H,3,FALSE))</f>
        <v>1</v>
      </c>
      <c r="O188" s="37">
        <f>IFERROR(VLOOKUP($F188,bug_conf_sheet!$A:$H,4,FALSE),VLOOKUP("other",bug_conf_sheet!$A:$H,4,FALSE))</f>
        <v>0</v>
      </c>
      <c r="P188" s="37">
        <f>IFERROR(VLOOKUP($F188,bug_conf_sheet!$A:$H,5,FALSE),VLOOKUP("other",bug_conf_sheet!$A:$H,5,FALSE))</f>
        <v>0</v>
      </c>
      <c r="Q188" s="37">
        <f>IFERROR(VLOOKUP($F188,bug_conf_sheet!$A:$H,6,FALSE),VLOOKUP("other",bug_conf_sheet!$A:$H,6,FALSE))</f>
        <v>0</v>
      </c>
      <c r="R188" s="37">
        <f>IFERROR(VLOOKUP($F188,bug_conf_sheet!$A:$H,7,FALSE),VLOOKUP("other",bug_conf_sheet!$A:$H,7,FALSE))</f>
        <v>0</v>
      </c>
      <c r="S188" s="37">
        <f>IFERROR(VLOOKUP($F188,bug_conf_sheet!$A:$H,8,FALSE),VLOOKUP("other",bug_conf_sheet!$A:$H,8,FALSE))</f>
        <v>1</v>
      </c>
    </row>
    <row r="189" spans="1:19" ht="21" customHeight="1">
      <c r="A189" s="7" t="str">
        <f t="shared" si="9"/>
        <v>1941465</v>
      </c>
      <c r="B189" s="2" t="str">
        <f t="shared" si="10"/>
        <v>1941</v>
      </c>
      <c r="C189" s="8" t="str">
        <f t="shared" si="11"/>
        <v>1PremiumSS4</v>
      </c>
      <c r="D189" s="8" t="str">
        <f t="shared" si="12"/>
        <v>1PremiumSS4</v>
      </c>
      <c r="E189" s="10">
        <v>1</v>
      </c>
      <c r="F189" s="9">
        <v>465</v>
      </c>
      <c r="G189" s="8" t="str">
        <f>VLOOKUP(F189,[1]characters!$A:$C,3,FALSE)</f>
        <v>真撃 ランスロット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16">
        <f>IFERROR(VLOOKUP(F189,gacha_conf!A$50:F$62,5+E189,FALSE),VLOOKUP(D189,gacha_conf!D$18:E$46,2,FALSE))</f>
        <v>997</v>
      </c>
      <c r="N189" s="37">
        <f>IFERROR(VLOOKUP($F189,bug_conf_sheet!$A:$H,3,FALSE),VLOOKUP("other",bug_conf_sheet!$A:$H,3,FALSE))</f>
        <v>1</v>
      </c>
      <c r="O189" s="37">
        <f>IFERROR(VLOOKUP($F189,bug_conf_sheet!$A:$H,4,FALSE),VLOOKUP("other",bug_conf_sheet!$A:$H,4,FALSE))</f>
        <v>0</v>
      </c>
      <c r="P189" s="37">
        <f>IFERROR(VLOOKUP($F189,bug_conf_sheet!$A:$H,5,FALSE),VLOOKUP("other",bug_conf_sheet!$A:$H,5,FALSE))</f>
        <v>0</v>
      </c>
      <c r="Q189" s="37">
        <f>IFERROR(VLOOKUP($F189,bug_conf_sheet!$A:$H,6,FALSE),VLOOKUP("other",bug_conf_sheet!$A:$H,6,FALSE))</f>
        <v>0</v>
      </c>
      <c r="R189" s="37">
        <f>IFERROR(VLOOKUP($F189,bug_conf_sheet!$A:$H,7,FALSE),VLOOKUP("other",bug_conf_sheet!$A:$H,7,FALSE))</f>
        <v>0</v>
      </c>
      <c r="S189" s="37">
        <f>IFERROR(VLOOKUP($F189,bug_conf_sheet!$A:$H,8,FALSE),VLOOKUP("other",bug_conf_sheet!$A:$H,8,FALSE))</f>
        <v>1</v>
      </c>
    </row>
    <row r="190" spans="1:19" s="11" customFormat="1" ht="21" customHeight="1" thickBot="1">
      <c r="A190" s="7" t="str">
        <f t="shared" si="9"/>
        <v>1941466</v>
      </c>
      <c r="B190" s="2" t="str">
        <f t="shared" si="10"/>
        <v>1941</v>
      </c>
      <c r="C190" s="8" t="str">
        <f t="shared" si="11"/>
        <v>1PremiumSS5</v>
      </c>
      <c r="D190" s="8" t="str">
        <f t="shared" si="12"/>
        <v>1PremiumSS5</v>
      </c>
      <c r="E190" s="10">
        <v>1</v>
      </c>
      <c r="F190" s="6">
        <v>466</v>
      </c>
      <c r="G190" s="8" t="str">
        <f>VLOOKUP(F190,[1]characters!$A:$C,3,FALSE)</f>
        <v>真断の勇覇 ランスロット</v>
      </c>
      <c r="H190" s="8" t="str">
        <f>VLOOKUP(F190,[1]characters!$A:$J,10,FALSE)</f>
        <v>PremiumSS</v>
      </c>
      <c r="I190" s="8">
        <f>VLOOKUP(F190,[1]characters!$A:$I,9,FALSE)</f>
        <v>5</v>
      </c>
      <c r="J190" s="8" t="str">
        <f>VLOOKUP(F190,[1]characters!$A:$H,8,FALSE)</f>
        <v>green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IFERROR(VLOOKUP(F190,gacha_conf!A$50:F$62,5+E190,FALSE),VLOOKUP(D190,gacha_conf!D$18:E$46,2,FALSE))</f>
        <v>66</v>
      </c>
      <c r="N190" s="37">
        <f>IFERROR(VLOOKUP($F190,bug_conf_sheet!$A:$H,3,FALSE),VLOOKUP("other",bug_conf_sheet!$A:$H,3,FALSE))</f>
        <v>1</v>
      </c>
      <c r="O190" s="37">
        <f>IFERROR(VLOOKUP($F190,bug_conf_sheet!$A:$H,4,FALSE),VLOOKUP("other",bug_conf_sheet!$A:$H,4,FALSE))</f>
        <v>0</v>
      </c>
      <c r="P190" s="37">
        <f>IFERROR(VLOOKUP($F190,bug_conf_sheet!$A:$H,5,FALSE),VLOOKUP("other",bug_conf_sheet!$A:$H,5,FALSE))</f>
        <v>0</v>
      </c>
      <c r="Q190" s="37">
        <f>IFERROR(VLOOKUP($F190,bug_conf_sheet!$A:$H,6,FALSE),VLOOKUP("other",bug_conf_sheet!$A:$H,6,FALSE))</f>
        <v>0</v>
      </c>
      <c r="R190" s="37">
        <f>IFERROR(VLOOKUP($F190,bug_conf_sheet!$A:$H,7,FALSE),VLOOKUP("other",bug_conf_sheet!$A:$H,7,FALSE))</f>
        <v>0</v>
      </c>
      <c r="S190" s="37">
        <f>IFERROR(VLOOKUP($F190,bug_conf_sheet!$A:$H,8,FALSE),VLOOKUP("other",bug_conf_sheet!$A:$H,8,FALSE))</f>
        <v>1</v>
      </c>
    </row>
    <row r="191" spans="1:19" ht="21" customHeight="1">
      <c r="A191" s="7" t="str">
        <f t="shared" si="9"/>
        <v>1941467</v>
      </c>
      <c r="B191" s="2" t="str">
        <f t="shared" si="10"/>
        <v>1941</v>
      </c>
      <c r="C191" s="8" t="str">
        <f t="shared" si="11"/>
        <v>1PremiumSS4</v>
      </c>
      <c r="D191" s="8" t="str">
        <f t="shared" si="12"/>
        <v>1PremiumSS4</v>
      </c>
      <c r="E191" s="10">
        <v>1</v>
      </c>
      <c r="F191" s="6">
        <v>467</v>
      </c>
      <c r="G191" s="8" t="str">
        <f>VLOOKUP(F191,[1]characters!$A:$C,3,FALSE)</f>
        <v>報復 モルドレッド</v>
      </c>
      <c r="H191" s="8" t="str">
        <f>VLOOKUP(F191,[1]characters!$A:$J,10,FALSE)</f>
        <v>PremiumSS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16">
        <f>IFERROR(VLOOKUP(F191,gacha_conf!A$50:F$62,5+E191,FALSE),VLOOKUP(D191,gacha_conf!D$18:E$46,2,FALSE))</f>
        <v>997</v>
      </c>
      <c r="N191" s="37">
        <f>IFERROR(VLOOKUP($F191,bug_conf_sheet!$A:$H,3,FALSE),VLOOKUP("other",bug_conf_sheet!$A:$H,3,FALSE))</f>
        <v>1</v>
      </c>
      <c r="O191" s="37">
        <f>IFERROR(VLOOKUP($F191,bug_conf_sheet!$A:$H,4,FALSE),VLOOKUP("other",bug_conf_sheet!$A:$H,4,FALSE))</f>
        <v>0</v>
      </c>
      <c r="P191" s="37">
        <f>IFERROR(VLOOKUP($F191,bug_conf_sheet!$A:$H,5,FALSE),VLOOKUP("other",bug_conf_sheet!$A:$H,5,FALSE))</f>
        <v>0</v>
      </c>
      <c r="Q191" s="37">
        <f>IFERROR(VLOOKUP($F191,bug_conf_sheet!$A:$H,6,FALSE),VLOOKUP("other",bug_conf_sheet!$A:$H,6,FALSE))</f>
        <v>0</v>
      </c>
      <c r="R191" s="37">
        <f>IFERROR(VLOOKUP($F191,bug_conf_sheet!$A:$H,7,FALSE),VLOOKUP("other",bug_conf_sheet!$A:$H,7,FALSE))</f>
        <v>0</v>
      </c>
      <c r="S191" s="37">
        <f>IFERROR(VLOOKUP($F191,bug_conf_sheet!$A:$H,8,FALSE),VLOOKUP("other",bug_conf_sheet!$A:$H,8,FALSE))</f>
        <v>1</v>
      </c>
    </row>
    <row r="192" spans="1:19" ht="21" customHeight="1">
      <c r="A192" s="7" t="str">
        <f t="shared" si="9"/>
        <v>1941468</v>
      </c>
      <c r="B192" s="2" t="str">
        <f t="shared" si="10"/>
        <v>1941</v>
      </c>
      <c r="C192" s="8" t="str">
        <f t="shared" si="11"/>
        <v>1PremiumSS5</v>
      </c>
      <c r="D192" s="8" t="str">
        <f t="shared" si="12"/>
        <v>1PremiumSS5</v>
      </c>
      <c r="E192" s="10">
        <v>1</v>
      </c>
      <c r="F192" s="6">
        <v>468</v>
      </c>
      <c r="G192" s="8" t="str">
        <f>VLOOKUP(F192,[1]characters!$A:$C,3,FALSE)</f>
        <v>憎愛の尖鋒 モルドレッド</v>
      </c>
      <c r="H192" s="8" t="str">
        <f>VLOOKUP(F192,[1]characters!$A:$J,10,FALSE)</f>
        <v>PremiumSS</v>
      </c>
      <c r="I192" s="8">
        <f>VLOOKUP(F192,[1]characters!$A:$I,9,FALSE)</f>
        <v>5</v>
      </c>
      <c r="J192" s="8" t="str">
        <f>VLOOKUP(F192,[1]characters!$A:$H,8,FALSE)</f>
        <v>blue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16">
        <f>IFERROR(VLOOKUP(F192,gacha_conf!A$50:F$62,5+E192,FALSE),VLOOKUP(D192,gacha_conf!D$18:E$46,2,FALSE))</f>
        <v>66</v>
      </c>
      <c r="N192" s="37">
        <f>IFERROR(VLOOKUP($F192,bug_conf_sheet!$A:$H,3,FALSE),VLOOKUP("other",bug_conf_sheet!$A:$H,3,FALSE))</f>
        <v>1</v>
      </c>
      <c r="O192" s="37">
        <f>IFERROR(VLOOKUP($F192,bug_conf_sheet!$A:$H,4,FALSE),VLOOKUP("other",bug_conf_sheet!$A:$H,4,FALSE))</f>
        <v>0</v>
      </c>
      <c r="P192" s="37">
        <f>IFERROR(VLOOKUP($F192,bug_conf_sheet!$A:$H,5,FALSE),VLOOKUP("other",bug_conf_sheet!$A:$H,5,FALSE))</f>
        <v>0</v>
      </c>
      <c r="Q192" s="37">
        <f>IFERROR(VLOOKUP($F192,bug_conf_sheet!$A:$H,6,FALSE),VLOOKUP("other",bug_conf_sheet!$A:$H,6,FALSE))</f>
        <v>0</v>
      </c>
      <c r="R192" s="37">
        <f>IFERROR(VLOOKUP($F192,bug_conf_sheet!$A:$H,7,FALSE),VLOOKUP("other",bug_conf_sheet!$A:$H,7,FALSE))</f>
        <v>0</v>
      </c>
      <c r="S192" s="37">
        <f>IFERROR(VLOOKUP($F192,bug_conf_sheet!$A:$H,8,FALSE),VLOOKUP("other",bug_conf_sheet!$A:$H,8,FALSE))</f>
        <v>1</v>
      </c>
    </row>
    <row r="193" spans="1:19" ht="21" customHeight="1">
      <c r="A193" s="7" t="str">
        <f t="shared" si="9"/>
        <v>1941469</v>
      </c>
      <c r="B193" s="2" t="str">
        <f t="shared" si="10"/>
        <v>1941</v>
      </c>
      <c r="C193" s="8" t="str">
        <f t="shared" si="11"/>
        <v>1PremiumS3</v>
      </c>
      <c r="D193" s="8" t="str">
        <f t="shared" si="12"/>
        <v>1PremiumS3</v>
      </c>
      <c r="E193" s="10">
        <v>1</v>
      </c>
      <c r="F193" s="6">
        <v>469</v>
      </c>
      <c r="G193" s="8" t="str">
        <f>VLOOKUP(F193,[1]characters!$A:$C,3,FALSE)</f>
        <v>トリスタン</v>
      </c>
      <c r="H193" s="8" t="str">
        <f>VLOOKUP(F193,[1]characters!$A:$J,10,FALSE)</f>
        <v>PremiumS</v>
      </c>
      <c r="I193" s="8">
        <f>VLOOKUP(F193,[1]characters!$A:$I,9,FALSE)</f>
        <v>3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human</v>
      </c>
      <c r="M193" s="16">
        <f>IFERROR(VLOOKUP(F193,gacha_conf!A$50:F$62,5+E193,FALSE),VLOOKUP(D193,gacha_conf!D$18:E$46,2,FALSE))</f>
        <v>6739</v>
      </c>
      <c r="N193" s="37">
        <f>IFERROR(VLOOKUP($F193,bug_conf_sheet!$A:$H,3,FALSE),VLOOKUP("other",bug_conf_sheet!$A:$H,3,FALSE))</f>
        <v>1</v>
      </c>
      <c r="O193" s="37">
        <f>IFERROR(VLOOKUP($F193,bug_conf_sheet!$A:$H,4,FALSE),VLOOKUP("other",bug_conf_sheet!$A:$H,4,FALSE))</f>
        <v>0</v>
      </c>
      <c r="P193" s="37">
        <f>IFERROR(VLOOKUP($F193,bug_conf_sheet!$A:$H,5,FALSE),VLOOKUP("other",bug_conf_sheet!$A:$H,5,FALSE))</f>
        <v>0</v>
      </c>
      <c r="Q193" s="37">
        <f>IFERROR(VLOOKUP($F193,bug_conf_sheet!$A:$H,6,FALSE),VLOOKUP("other",bug_conf_sheet!$A:$H,6,FALSE))</f>
        <v>0</v>
      </c>
      <c r="R193" s="37">
        <f>IFERROR(VLOOKUP($F193,bug_conf_sheet!$A:$H,7,FALSE),VLOOKUP("other",bug_conf_sheet!$A:$H,7,FALSE))</f>
        <v>0</v>
      </c>
      <c r="S193" s="37">
        <f>IFERROR(VLOOKUP($F193,bug_conf_sheet!$A:$H,8,FALSE),VLOOKUP("other",bug_conf_sheet!$A:$H,8,FALSE))</f>
        <v>1</v>
      </c>
    </row>
    <row r="194" spans="1:19" ht="21" customHeight="1">
      <c r="A194" s="7" t="str">
        <f t="shared" si="9"/>
        <v>1941470</v>
      </c>
      <c r="B194" s="2" t="str">
        <f t="shared" si="10"/>
        <v>1941</v>
      </c>
      <c r="C194" s="8" t="str">
        <f t="shared" si="11"/>
        <v>1PremiumS4</v>
      </c>
      <c r="D194" s="8" t="str">
        <f t="shared" si="12"/>
        <v>1PremiumS4</v>
      </c>
      <c r="E194" s="10">
        <v>1</v>
      </c>
      <c r="F194" s="6">
        <v>470</v>
      </c>
      <c r="G194" s="8" t="str">
        <f>VLOOKUP(F194,[1]characters!$A:$C,3,FALSE)</f>
        <v>純心 トリスタン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yellow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16">
        <f>IFERROR(VLOOKUP(F194,gacha_conf!A$50:F$62,5+E194,FALSE),VLOOKUP(D194,gacha_conf!D$18:E$46,2,FALSE))</f>
        <v>1574</v>
      </c>
      <c r="N194" s="37">
        <f>IFERROR(VLOOKUP($F194,bug_conf_sheet!$A:$H,3,FALSE),VLOOKUP("other",bug_conf_sheet!$A:$H,3,FALSE))</f>
        <v>1</v>
      </c>
      <c r="O194" s="37">
        <f>IFERROR(VLOOKUP($F194,bug_conf_sheet!$A:$H,4,FALSE),VLOOKUP("other",bug_conf_sheet!$A:$H,4,FALSE))</f>
        <v>0</v>
      </c>
      <c r="P194" s="37">
        <f>IFERROR(VLOOKUP($F194,bug_conf_sheet!$A:$H,5,FALSE),VLOOKUP("other",bug_conf_sheet!$A:$H,5,FALSE))</f>
        <v>0</v>
      </c>
      <c r="Q194" s="37">
        <f>IFERROR(VLOOKUP($F194,bug_conf_sheet!$A:$H,6,FALSE),VLOOKUP("other",bug_conf_sheet!$A:$H,6,FALSE))</f>
        <v>0</v>
      </c>
      <c r="R194" s="37">
        <f>IFERROR(VLOOKUP($F194,bug_conf_sheet!$A:$H,7,FALSE),VLOOKUP("other",bug_conf_sheet!$A:$H,7,FALSE))</f>
        <v>0</v>
      </c>
      <c r="S194" s="37">
        <f>IFERROR(VLOOKUP($F194,bug_conf_sheet!$A:$H,8,FALSE),VLOOKUP("other",bug_conf_sheet!$A:$H,8,FALSE))</f>
        <v>1</v>
      </c>
    </row>
    <row r="195" spans="1:19" ht="21" customHeight="1">
      <c r="A195" s="7" t="str">
        <f t="shared" ref="A195:A203" si="13">B195&amp;F195</f>
        <v>1941471</v>
      </c>
      <c r="B195" s="2" t="str">
        <f t="shared" ref="B195:B258" si="14">194&amp;E195</f>
        <v>1941</v>
      </c>
      <c r="C195" s="8" t="str">
        <f t="shared" ref="C195:C203" si="15">E195&amp;H195&amp;I195</f>
        <v>1PremiumS5</v>
      </c>
      <c r="D195" s="8" t="str">
        <f t="shared" ref="D195:D258" si="16">E195&amp;H195&amp;I195</f>
        <v>1PremiumS5</v>
      </c>
      <c r="E195" s="10">
        <v>1</v>
      </c>
      <c r="F195" s="6">
        <v>471</v>
      </c>
      <c r="G195" s="8" t="str">
        <f>VLOOKUP(F195,[1]characters!$A:$C,3,FALSE)</f>
        <v>不可避の爆激 トリスタン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yellow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16">
        <f>IFERROR(VLOOKUP(F195,gacha_conf!A$50:F$62,5+E195,FALSE),VLOOKUP(D195,gacha_conf!D$18:E$46,2,FALSE))</f>
        <v>554</v>
      </c>
      <c r="N195" s="37">
        <f>IFERROR(VLOOKUP($F195,bug_conf_sheet!$A:$H,3,FALSE),VLOOKUP("other",bug_conf_sheet!$A:$H,3,FALSE))</f>
        <v>1</v>
      </c>
      <c r="O195" s="37">
        <f>IFERROR(VLOOKUP($F195,bug_conf_sheet!$A:$H,4,FALSE),VLOOKUP("other",bug_conf_sheet!$A:$H,4,FALSE))</f>
        <v>0</v>
      </c>
      <c r="P195" s="37">
        <f>IFERROR(VLOOKUP($F195,bug_conf_sheet!$A:$H,5,FALSE),VLOOKUP("other",bug_conf_sheet!$A:$H,5,FALSE))</f>
        <v>0</v>
      </c>
      <c r="Q195" s="37">
        <f>IFERROR(VLOOKUP($F195,bug_conf_sheet!$A:$H,6,FALSE),VLOOKUP("other",bug_conf_sheet!$A:$H,6,FALSE))</f>
        <v>0</v>
      </c>
      <c r="R195" s="37">
        <f>IFERROR(VLOOKUP($F195,bug_conf_sheet!$A:$H,7,FALSE),VLOOKUP("other",bug_conf_sheet!$A:$H,7,FALSE))</f>
        <v>0</v>
      </c>
      <c r="S195" s="37">
        <f>IFERROR(VLOOKUP($F195,bug_conf_sheet!$A:$H,8,FALSE),VLOOKUP("other",bug_conf_sheet!$A:$H,8,FALSE))</f>
        <v>1</v>
      </c>
    </row>
    <row r="196" spans="1:19" ht="21" customHeight="1">
      <c r="A196" s="7" t="str">
        <f t="shared" si="13"/>
        <v>1941474</v>
      </c>
      <c r="B196" s="2" t="str">
        <f t="shared" si="14"/>
        <v>1941</v>
      </c>
      <c r="C196" s="8" t="str">
        <f t="shared" si="15"/>
        <v>1PremiumSS4</v>
      </c>
      <c r="D196" s="8" t="str">
        <f t="shared" si="16"/>
        <v>1PremiumSS4</v>
      </c>
      <c r="E196" s="10">
        <v>1</v>
      </c>
      <c r="F196" s="6">
        <v>474</v>
      </c>
      <c r="G196" s="8" t="str">
        <f>VLOOKUP(F196,[1]characters!$A:$C,3,FALSE)</f>
        <v>キング・ドライグ</v>
      </c>
      <c r="H196" s="8" t="str">
        <f>VLOOKUP(F196,[1]characters!$A:$J,10,FALSE)</f>
        <v>PremiumSS</v>
      </c>
      <c r="I196" s="8">
        <f>VLOOKUP(F196,[1]characters!$A:$I,9,FALSE)</f>
        <v>4</v>
      </c>
      <c r="J196" s="8" t="str">
        <f>VLOOKUP(F196,[1]characters!$A:$H,8,FALSE)</f>
        <v>red</v>
      </c>
      <c r="K196" s="8" t="str">
        <f>VLOOKUP(F196,[1]characters!$A:$K,11,FALSE)</f>
        <v>attack</v>
      </c>
      <c r="L196" s="8" t="str">
        <f>VLOOKUP(F196,[1]characters!$A:$M,13,FALSE)</f>
        <v>dragon</v>
      </c>
      <c r="M196" s="16">
        <f>IFERROR(VLOOKUP(F196,gacha_conf!A$50:F$62,5+E196,FALSE),VLOOKUP(D196,gacha_conf!D$18:E$46,2,FALSE))</f>
        <v>997</v>
      </c>
      <c r="N196" s="37">
        <f>IFERROR(VLOOKUP($F196,bug_conf_sheet!$A:$H,3,FALSE),VLOOKUP("other",bug_conf_sheet!$A:$H,3,FALSE))</f>
        <v>1</v>
      </c>
      <c r="O196" s="37">
        <f>IFERROR(VLOOKUP($F196,bug_conf_sheet!$A:$H,4,FALSE),VLOOKUP("other",bug_conf_sheet!$A:$H,4,FALSE))</f>
        <v>0</v>
      </c>
      <c r="P196" s="37">
        <f>IFERROR(VLOOKUP($F196,bug_conf_sheet!$A:$H,5,FALSE),VLOOKUP("other",bug_conf_sheet!$A:$H,5,FALSE))</f>
        <v>0</v>
      </c>
      <c r="Q196" s="37">
        <f>IFERROR(VLOOKUP($F196,bug_conf_sheet!$A:$H,6,FALSE),VLOOKUP("other",bug_conf_sheet!$A:$H,6,FALSE))</f>
        <v>0</v>
      </c>
      <c r="R196" s="37">
        <f>IFERROR(VLOOKUP($F196,bug_conf_sheet!$A:$H,7,FALSE),VLOOKUP("other",bug_conf_sheet!$A:$H,7,FALSE))</f>
        <v>0</v>
      </c>
      <c r="S196" s="37">
        <f>IFERROR(VLOOKUP($F196,bug_conf_sheet!$A:$H,8,FALSE),VLOOKUP("other",bug_conf_sheet!$A:$H,8,FALSE))</f>
        <v>1</v>
      </c>
    </row>
    <row r="197" spans="1:19" ht="21" customHeight="1">
      <c r="A197" s="7" t="str">
        <f t="shared" si="13"/>
        <v>1941475</v>
      </c>
      <c r="B197" s="2" t="str">
        <f t="shared" si="14"/>
        <v>1941</v>
      </c>
      <c r="C197" s="8" t="str">
        <f t="shared" si="15"/>
        <v>1PremiumSS5</v>
      </c>
      <c r="D197" s="8" t="str">
        <f t="shared" si="16"/>
        <v>1PremiumSS5</v>
      </c>
      <c r="E197" s="10">
        <v>1</v>
      </c>
      <c r="F197" s="6">
        <v>475</v>
      </c>
      <c r="G197" s="8" t="str">
        <f>VLOOKUP(F197,[1]characters!$A:$C,3,FALSE)</f>
        <v>緋王 キング・ドライグ</v>
      </c>
      <c r="H197" s="8" t="str">
        <f>VLOOKUP(F197,[1]characters!$A:$J,10,FALSE)</f>
        <v>PremiumSS</v>
      </c>
      <c r="I197" s="8">
        <f>VLOOKUP(F197,[1]characters!$A:$I,9,FALSE)</f>
        <v>5</v>
      </c>
      <c r="J197" s="8" t="str">
        <f>VLOOKUP(F197,[1]characters!$A:$H,8,FALSE)</f>
        <v>red</v>
      </c>
      <c r="K197" s="8" t="str">
        <f>VLOOKUP(F197,[1]characters!$A:$K,11,FALSE)</f>
        <v>attack</v>
      </c>
      <c r="L197" s="8" t="str">
        <f>VLOOKUP(F197,[1]characters!$A:$M,13,FALSE)</f>
        <v>dragon</v>
      </c>
      <c r="M197" s="16">
        <f>IFERROR(VLOOKUP(F197,gacha_conf!A$50:F$62,5+E197,FALSE),VLOOKUP(D197,gacha_conf!D$18:E$46,2,FALSE))</f>
        <v>66</v>
      </c>
      <c r="N197" s="37">
        <f>IFERROR(VLOOKUP($F197,bug_conf_sheet!$A:$H,3,FALSE),VLOOKUP("other",bug_conf_sheet!$A:$H,3,FALSE))</f>
        <v>1</v>
      </c>
      <c r="O197" s="37">
        <f>IFERROR(VLOOKUP($F197,bug_conf_sheet!$A:$H,4,FALSE),VLOOKUP("other",bug_conf_sheet!$A:$H,4,FALSE))</f>
        <v>0</v>
      </c>
      <c r="P197" s="37">
        <f>IFERROR(VLOOKUP($F197,bug_conf_sheet!$A:$H,5,FALSE),VLOOKUP("other",bug_conf_sheet!$A:$H,5,FALSE))</f>
        <v>0</v>
      </c>
      <c r="Q197" s="37">
        <f>IFERROR(VLOOKUP($F197,bug_conf_sheet!$A:$H,6,FALSE),VLOOKUP("other",bug_conf_sheet!$A:$H,6,FALSE))</f>
        <v>0</v>
      </c>
      <c r="R197" s="37">
        <f>IFERROR(VLOOKUP($F197,bug_conf_sheet!$A:$H,7,FALSE),VLOOKUP("other",bug_conf_sheet!$A:$H,7,FALSE))</f>
        <v>0</v>
      </c>
      <c r="S197" s="37">
        <f>IFERROR(VLOOKUP($F197,bug_conf_sheet!$A:$H,8,FALSE),VLOOKUP("other",bug_conf_sheet!$A:$H,8,FALSE))</f>
        <v>1</v>
      </c>
    </row>
    <row r="198" spans="1:19" ht="21" customHeight="1">
      <c r="A198" s="7" t="str">
        <f t="shared" si="13"/>
        <v>1941476</v>
      </c>
      <c r="B198" s="2" t="str">
        <f t="shared" si="14"/>
        <v>1941</v>
      </c>
      <c r="C198" s="8" t="str">
        <f t="shared" si="15"/>
        <v>1PremiumS3</v>
      </c>
      <c r="D198" s="8" t="str">
        <f t="shared" si="16"/>
        <v>1PremiumS3</v>
      </c>
      <c r="E198" s="10">
        <v>1</v>
      </c>
      <c r="F198" s="6">
        <v>476</v>
      </c>
      <c r="G198" s="8" t="str">
        <f>VLOOKUP(F198,[1]characters!$A:$C,3,FALSE)</f>
        <v>ファータ</v>
      </c>
      <c r="H198" s="8" t="str">
        <f>VLOOKUP(F198,[1]characters!$A:$J,10,FALSE)</f>
        <v>PremiumS</v>
      </c>
      <c r="I198" s="8">
        <f>VLOOKUP(F198,[1]characters!$A:$I,9,FALSE)</f>
        <v>3</v>
      </c>
      <c r="J198" s="8" t="str">
        <f>VLOOKUP(F198,[1]characters!$A:$H,8,FALSE)</f>
        <v>green</v>
      </c>
      <c r="K198" s="8" t="str">
        <f>VLOOKUP(F198,[1]characters!$A:$K,11,FALSE)</f>
        <v>heal</v>
      </c>
      <c r="L198" s="8" t="str">
        <f>VLOOKUP(F198,[1]characters!$A:$M,13,FALSE)</f>
        <v>unknown</v>
      </c>
      <c r="M198" s="16">
        <f>IFERROR(VLOOKUP(F198,gacha_conf!A$50:F$62,5+E198,FALSE),VLOOKUP(D198,gacha_conf!D$18:E$46,2,FALSE))</f>
        <v>6739</v>
      </c>
      <c r="N198" s="37">
        <f>IFERROR(VLOOKUP($F198,bug_conf_sheet!$A:$H,3,FALSE),VLOOKUP("other",bug_conf_sheet!$A:$H,3,FALSE))</f>
        <v>1</v>
      </c>
      <c r="O198" s="37">
        <f>IFERROR(VLOOKUP($F198,bug_conf_sheet!$A:$H,4,FALSE),VLOOKUP("other",bug_conf_sheet!$A:$H,4,FALSE))</f>
        <v>0</v>
      </c>
      <c r="P198" s="37">
        <f>IFERROR(VLOOKUP($F198,bug_conf_sheet!$A:$H,5,FALSE),VLOOKUP("other",bug_conf_sheet!$A:$H,5,FALSE))</f>
        <v>0</v>
      </c>
      <c r="Q198" s="37">
        <f>IFERROR(VLOOKUP($F198,bug_conf_sheet!$A:$H,6,FALSE),VLOOKUP("other",bug_conf_sheet!$A:$H,6,FALSE))</f>
        <v>0</v>
      </c>
      <c r="R198" s="37">
        <f>IFERROR(VLOOKUP($F198,bug_conf_sheet!$A:$H,7,FALSE),VLOOKUP("other",bug_conf_sheet!$A:$H,7,FALSE))</f>
        <v>0</v>
      </c>
      <c r="S198" s="37">
        <f>IFERROR(VLOOKUP($F198,bug_conf_sheet!$A:$H,8,FALSE),VLOOKUP("other",bug_conf_sheet!$A:$H,8,FALSE))</f>
        <v>1</v>
      </c>
    </row>
    <row r="199" spans="1:19" ht="21" customHeight="1">
      <c r="A199" s="7" t="str">
        <f t="shared" si="13"/>
        <v>1941477</v>
      </c>
      <c r="B199" s="2" t="str">
        <f t="shared" si="14"/>
        <v>1941</v>
      </c>
      <c r="C199" s="8" t="str">
        <f t="shared" si="15"/>
        <v>1PremiumS4</v>
      </c>
      <c r="D199" s="8" t="str">
        <f t="shared" si="16"/>
        <v>1PremiumS4</v>
      </c>
      <c r="E199" s="10">
        <v>1</v>
      </c>
      <c r="F199" s="6">
        <v>477</v>
      </c>
      <c r="G199" s="8" t="str">
        <f>VLOOKUP(F199,[1]characters!$A:$C,3,FALSE)</f>
        <v>愛羽妖精 ファータ</v>
      </c>
      <c r="H199" s="8" t="str">
        <f>VLOOKUP(F199,[1]characters!$A:$J,10,FALSE)</f>
        <v>PremiumS</v>
      </c>
      <c r="I199" s="8">
        <f>VLOOKUP(F199,[1]characters!$A:$I,9,FALSE)</f>
        <v>4</v>
      </c>
      <c r="J199" s="8" t="str">
        <f>VLOOKUP(F199,[1]characters!$A:$H,8,FALSE)</f>
        <v>green</v>
      </c>
      <c r="K199" s="8" t="str">
        <f>VLOOKUP(F199,[1]characters!$A:$K,11,FALSE)</f>
        <v>heal</v>
      </c>
      <c r="L199" s="8" t="str">
        <f>VLOOKUP(F199,[1]characters!$A:$M,13,FALSE)</f>
        <v>unknown</v>
      </c>
      <c r="M199" s="16">
        <f>IFERROR(VLOOKUP(F199,gacha_conf!A$50:F$62,5+E199,FALSE),VLOOKUP(D199,gacha_conf!D$18:E$46,2,FALSE))</f>
        <v>1574</v>
      </c>
      <c r="N199" s="37">
        <f>IFERROR(VLOOKUP($F199,bug_conf_sheet!$A:$H,3,FALSE),VLOOKUP("other",bug_conf_sheet!$A:$H,3,FALSE))</f>
        <v>1</v>
      </c>
      <c r="O199" s="37">
        <f>IFERROR(VLOOKUP($F199,bug_conf_sheet!$A:$H,4,FALSE),VLOOKUP("other",bug_conf_sheet!$A:$H,4,FALSE))</f>
        <v>0</v>
      </c>
      <c r="P199" s="37">
        <f>IFERROR(VLOOKUP($F199,bug_conf_sheet!$A:$H,5,FALSE),VLOOKUP("other",bug_conf_sheet!$A:$H,5,FALSE))</f>
        <v>0</v>
      </c>
      <c r="Q199" s="37">
        <f>IFERROR(VLOOKUP($F199,bug_conf_sheet!$A:$H,6,FALSE),VLOOKUP("other",bug_conf_sheet!$A:$H,6,FALSE))</f>
        <v>0</v>
      </c>
      <c r="R199" s="37">
        <f>IFERROR(VLOOKUP($F199,bug_conf_sheet!$A:$H,7,FALSE),VLOOKUP("other",bug_conf_sheet!$A:$H,7,FALSE))</f>
        <v>0</v>
      </c>
      <c r="S199" s="37">
        <f>IFERROR(VLOOKUP($F199,bug_conf_sheet!$A:$H,8,FALSE),VLOOKUP("other",bug_conf_sheet!$A:$H,8,FALSE))</f>
        <v>1</v>
      </c>
    </row>
    <row r="200" spans="1:19" ht="21" customHeight="1">
      <c r="A200" s="7" t="str">
        <f t="shared" si="13"/>
        <v>1941478</v>
      </c>
      <c r="B200" s="2" t="str">
        <f t="shared" si="14"/>
        <v>1941</v>
      </c>
      <c r="C200" s="8" t="str">
        <f t="shared" si="15"/>
        <v>1PremiumS5</v>
      </c>
      <c r="D200" s="8" t="str">
        <f t="shared" si="16"/>
        <v>1PremiumS5</v>
      </c>
      <c r="E200" s="10">
        <v>1</v>
      </c>
      <c r="F200" s="6">
        <v>478</v>
      </c>
      <c r="G200" s="8" t="str">
        <f>VLOOKUP(F200,[1]characters!$A:$C,3,FALSE)</f>
        <v>時計仕掛けの愛羽妖精 ファータ</v>
      </c>
      <c r="H200" s="8" t="str">
        <f>VLOOKUP(F200,[1]characters!$A:$J,10,FALSE)</f>
        <v>PremiumS</v>
      </c>
      <c r="I200" s="8">
        <f>VLOOKUP(F200,[1]characters!$A:$I,9,FALSE)</f>
        <v>5</v>
      </c>
      <c r="J200" s="8" t="str">
        <f>VLOOKUP(F200,[1]characters!$A:$H,8,FALSE)</f>
        <v>green</v>
      </c>
      <c r="K200" s="8" t="str">
        <f>VLOOKUP(F200,[1]characters!$A:$K,11,FALSE)</f>
        <v>heal</v>
      </c>
      <c r="L200" s="8" t="str">
        <f>VLOOKUP(F200,[1]characters!$A:$M,13,FALSE)</f>
        <v>unknown</v>
      </c>
      <c r="M200" s="16">
        <f>IFERROR(VLOOKUP(F200,gacha_conf!A$50:F$62,5+E200,FALSE),VLOOKUP(D200,gacha_conf!D$18:E$46,2,FALSE))</f>
        <v>554</v>
      </c>
      <c r="N200" s="37">
        <f>IFERROR(VLOOKUP($F200,bug_conf_sheet!$A:$H,3,FALSE),VLOOKUP("other",bug_conf_sheet!$A:$H,3,FALSE))</f>
        <v>1</v>
      </c>
      <c r="O200" s="37">
        <f>IFERROR(VLOOKUP($F200,bug_conf_sheet!$A:$H,4,FALSE),VLOOKUP("other",bug_conf_sheet!$A:$H,4,FALSE))</f>
        <v>0</v>
      </c>
      <c r="P200" s="37">
        <f>IFERROR(VLOOKUP($F200,bug_conf_sheet!$A:$H,5,FALSE),VLOOKUP("other",bug_conf_sheet!$A:$H,5,FALSE))</f>
        <v>0</v>
      </c>
      <c r="Q200" s="37">
        <f>IFERROR(VLOOKUP($F200,bug_conf_sheet!$A:$H,6,FALSE),VLOOKUP("other",bug_conf_sheet!$A:$H,6,FALSE))</f>
        <v>0</v>
      </c>
      <c r="R200" s="37">
        <f>IFERROR(VLOOKUP($F200,bug_conf_sheet!$A:$H,7,FALSE),VLOOKUP("other",bug_conf_sheet!$A:$H,7,FALSE))</f>
        <v>0</v>
      </c>
      <c r="S200" s="37">
        <f>IFERROR(VLOOKUP($F200,bug_conf_sheet!$A:$H,8,FALSE),VLOOKUP("other",bug_conf_sheet!$A:$H,8,FALSE))</f>
        <v>1</v>
      </c>
    </row>
    <row r="201" spans="1:19" ht="21" customHeight="1">
      <c r="A201" s="7" t="str">
        <f t="shared" si="13"/>
        <v>1941479</v>
      </c>
      <c r="B201" s="2" t="str">
        <f t="shared" si="14"/>
        <v>1941</v>
      </c>
      <c r="C201" s="8" t="str">
        <f t="shared" si="15"/>
        <v>1PremiumSS4</v>
      </c>
      <c r="D201" s="8" t="str">
        <f t="shared" si="16"/>
        <v>1PremiumSS4</v>
      </c>
      <c r="E201" s="10">
        <v>1</v>
      </c>
      <c r="F201" s="6">
        <v>479</v>
      </c>
      <c r="G201" s="8" t="str">
        <f>VLOOKUP(F201,[1]characters!$A:$C,3,FALSE)</f>
        <v>フール</v>
      </c>
      <c r="H201" s="8" t="str">
        <f>VLOOKUP(F201,[1]characters!$A:$J,10,FALSE)</f>
        <v>PremiumSS</v>
      </c>
      <c r="I201" s="8">
        <f>VLOOKUP(F201,[1]characters!$A:$I,9,FALSE)</f>
        <v>4</v>
      </c>
      <c r="J201" s="8" t="str">
        <f>VLOOKUP(F201,[1]characters!$A:$H,8,FALSE)</f>
        <v>blue</v>
      </c>
      <c r="K201" s="8" t="str">
        <f>VLOOKUP(F201,[1]characters!$A:$K,11,FALSE)</f>
        <v>technical</v>
      </c>
      <c r="L201" s="8" t="str">
        <f>VLOOKUP(F201,[1]characters!$A:$M,13,FALSE)</f>
        <v>god</v>
      </c>
      <c r="M201" s="16">
        <f>IFERROR(VLOOKUP(F201,gacha_conf!A$50:F$62,5+E201,FALSE),VLOOKUP(D201,gacha_conf!D$18:E$46,2,FALSE))</f>
        <v>997</v>
      </c>
      <c r="N201" s="37">
        <f>IFERROR(VLOOKUP($F201,bug_conf_sheet!$A:$H,3,FALSE),VLOOKUP("other",bug_conf_sheet!$A:$H,3,FALSE))</f>
        <v>1</v>
      </c>
      <c r="O201" s="37">
        <f>IFERROR(VLOOKUP($F201,bug_conf_sheet!$A:$H,4,FALSE),VLOOKUP("other",bug_conf_sheet!$A:$H,4,FALSE))</f>
        <v>0</v>
      </c>
      <c r="P201" s="37">
        <f>IFERROR(VLOOKUP($F201,bug_conf_sheet!$A:$H,5,FALSE),VLOOKUP("other",bug_conf_sheet!$A:$H,5,FALSE))</f>
        <v>0</v>
      </c>
      <c r="Q201" s="37">
        <f>IFERROR(VLOOKUP($F201,bug_conf_sheet!$A:$H,6,FALSE),VLOOKUP("other",bug_conf_sheet!$A:$H,6,FALSE))</f>
        <v>0</v>
      </c>
      <c r="R201" s="37">
        <f>IFERROR(VLOOKUP($F201,bug_conf_sheet!$A:$H,7,FALSE),VLOOKUP("other",bug_conf_sheet!$A:$H,7,FALSE))</f>
        <v>0</v>
      </c>
      <c r="S201" s="37">
        <f>IFERROR(VLOOKUP($F201,bug_conf_sheet!$A:$H,8,FALSE),VLOOKUP("other",bug_conf_sheet!$A:$H,8,FALSE))</f>
        <v>1</v>
      </c>
    </row>
    <row r="202" spans="1:19" ht="21" customHeight="1">
      <c r="A202" s="7" t="str">
        <f t="shared" si="13"/>
        <v>1941480</v>
      </c>
      <c r="B202" s="2" t="str">
        <f t="shared" si="14"/>
        <v>1941</v>
      </c>
      <c r="C202" s="8" t="str">
        <f t="shared" si="15"/>
        <v>1PremiumSS5</v>
      </c>
      <c r="D202" s="8" t="str">
        <f t="shared" si="16"/>
        <v>1PremiumSS5</v>
      </c>
      <c r="E202" s="10">
        <v>1</v>
      </c>
      <c r="F202" s="6">
        <v>480</v>
      </c>
      <c r="G202" s="8" t="str">
        <f>VLOOKUP(F202,[1]characters!$A:$C,3,FALSE)</f>
        <v>夢幻の愚者フール</v>
      </c>
      <c r="H202" s="8" t="str">
        <f>VLOOKUP(F202,[1]characters!$A:$J,10,FALSE)</f>
        <v>PremiumSS</v>
      </c>
      <c r="I202" s="8">
        <f>VLOOKUP(F202,[1]characters!$A:$I,9,FALSE)</f>
        <v>5</v>
      </c>
      <c r="J202" s="8" t="str">
        <f>VLOOKUP(F202,[1]characters!$A:$H,8,FALSE)</f>
        <v>blue</v>
      </c>
      <c r="K202" s="8" t="str">
        <f>VLOOKUP(F202,[1]characters!$A:$K,11,FALSE)</f>
        <v>technical</v>
      </c>
      <c r="L202" s="8" t="str">
        <f>VLOOKUP(F202,[1]characters!$A:$M,13,FALSE)</f>
        <v>god</v>
      </c>
      <c r="M202" s="16">
        <f>IFERROR(VLOOKUP(F202,gacha_conf!A$50:F$62,5+E202,FALSE),VLOOKUP(D202,gacha_conf!D$18:E$46,2,FALSE))</f>
        <v>66</v>
      </c>
      <c r="N202" s="37">
        <f>IFERROR(VLOOKUP($F202,bug_conf_sheet!$A:$H,3,FALSE),VLOOKUP("other",bug_conf_sheet!$A:$H,3,FALSE))</f>
        <v>1</v>
      </c>
      <c r="O202" s="37">
        <f>IFERROR(VLOOKUP($F202,bug_conf_sheet!$A:$H,4,FALSE),VLOOKUP("other",bug_conf_sheet!$A:$H,4,FALSE))</f>
        <v>0</v>
      </c>
      <c r="P202" s="37">
        <f>IFERROR(VLOOKUP($F202,bug_conf_sheet!$A:$H,5,FALSE),VLOOKUP("other",bug_conf_sheet!$A:$H,5,FALSE))</f>
        <v>0</v>
      </c>
      <c r="Q202" s="37">
        <f>IFERROR(VLOOKUP($F202,bug_conf_sheet!$A:$H,6,FALSE),VLOOKUP("other",bug_conf_sheet!$A:$H,6,FALSE))</f>
        <v>0</v>
      </c>
      <c r="R202" s="37">
        <f>IFERROR(VLOOKUP($F202,bug_conf_sheet!$A:$H,7,FALSE),VLOOKUP("other",bug_conf_sheet!$A:$H,7,FALSE))</f>
        <v>0</v>
      </c>
      <c r="S202" s="37">
        <f>IFERROR(VLOOKUP($F202,bug_conf_sheet!$A:$H,8,FALSE),VLOOKUP("other",bug_conf_sheet!$A:$H,8,FALSE))</f>
        <v>1</v>
      </c>
    </row>
    <row r="203" spans="1:19" ht="21" customHeight="1">
      <c r="A203" s="7" t="str">
        <f t="shared" si="13"/>
        <v>1941481</v>
      </c>
      <c r="B203" s="2" t="str">
        <f t="shared" si="14"/>
        <v>1941</v>
      </c>
      <c r="C203" s="8" t="str">
        <f t="shared" si="15"/>
        <v>1PremiumS3</v>
      </c>
      <c r="D203" s="8" t="str">
        <f t="shared" si="16"/>
        <v>1PremiumS3</v>
      </c>
      <c r="E203" s="10">
        <v>1</v>
      </c>
      <c r="F203" s="6">
        <v>481</v>
      </c>
      <c r="G203" s="8" t="str">
        <f>VLOOKUP(F203,[1]characters!$A:$C,3,FALSE)</f>
        <v>沢庵宗彭</v>
      </c>
      <c r="H203" s="8" t="str">
        <f>VLOOKUP(F203,[1]characters!$A:$J,10,FALSE)</f>
        <v>PremiumS</v>
      </c>
      <c r="I203" s="8">
        <f>VLOOKUP(F203,[1]characters!$A:$I,9,FALSE)</f>
        <v>3</v>
      </c>
      <c r="J203" s="8" t="str">
        <f>VLOOKUP(F203,[1]characters!$A:$H,8,FALSE)</f>
        <v>yellow</v>
      </c>
      <c r="K203" s="8" t="str">
        <f>VLOOKUP(F203,[1]characters!$A:$K,11,FALSE)</f>
        <v>hp</v>
      </c>
      <c r="L203" s="8" t="str">
        <f>VLOOKUP(F203,[1]characters!$A:$M,13,FALSE)</f>
        <v>human</v>
      </c>
      <c r="M203" s="16">
        <f>IFERROR(VLOOKUP(F203,gacha_conf!A$50:F$62,5+E203,FALSE),VLOOKUP(D203,gacha_conf!D$18:E$46,2,FALSE))</f>
        <v>6739</v>
      </c>
      <c r="N203" s="37">
        <f>IFERROR(VLOOKUP($F203,bug_conf_sheet!$A:$H,3,FALSE),VLOOKUP("other",bug_conf_sheet!$A:$H,3,FALSE))</f>
        <v>1</v>
      </c>
      <c r="O203" s="37">
        <f>IFERROR(VLOOKUP($F203,bug_conf_sheet!$A:$H,4,FALSE),VLOOKUP("other",bug_conf_sheet!$A:$H,4,FALSE))</f>
        <v>0</v>
      </c>
      <c r="P203" s="37">
        <f>IFERROR(VLOOKUP($F203,bug_conf_sheet!$A:$H,5,FALSE),VLOOKUP("other",bug_conf_sheet!$A:$H,5,FALSE))</f>
        <v>0</v>
      </c>
      <c r="Q203" s="37">
        <f>IFERROR(VLOOKUP($F203,bug_conf_sheet!$A:$H,6,FALSE),VLOOKUP("other",bug_conf_sheet!$A:$H,6,FALSE))</f>
        <v>0</v>
      </c>
      <c r="R203" s="37">
        <f>IFERROR(VLOOKUP($F203,bug_conf_sheet!$A:$H,7,FALSE),VLOOKUP("other",bug_conf_sheet!$A:$H,7,FALSE))</f>
        <v>0</v>
      </c>
      <c r="S203" s="37">
        <f>IFERROR(VLOOKUP($F203,bug_conf_sheet!$A:$H,8,FALSE),VLOOKUP("other",bug_conf_sheet!$A:$H,8,FALSE))</f>
        <v>1</v>
      </c>
    </row>
    <row r="204" spans="1:19" ht="21" customHeight="1">
      <c r="A204" s="7" t="str">
        <f t="shared" ref="A204:A214" si="17">B204&amp;F204</f>
        <v>1941482</v>
      </c>
      <c r="B204" s="2" t="str">
        <f t="shared" si="14"/>
        <v>1941</v>
      </c>
      <c r="C204" s="8" t="str">
        <f t="shared" ref="C204:C214" si="18">E204&amp;H204&amp;I204</f>
        <v>1PremiumS4</v>
      </c>
      <c r="D204" s="8" t="str">
        <f t="shared" si="16"/>
        <v>1PremiumS4</v>
      </c>
      <c r="E204" s="10">
        <v>1</v>
      </c>
      <c r="F204" s="6">
        <v>482</v>
      </c>
      <c r="G204" s="8" t="str">
        <f>VLOOKUP(F204,[1]characters!$A:$C,3,FALSE)</f>
        <v>魁僧 沢庵宗彭</v>
      </c>
      <c r="H204" s="8" t="str">
        <f>VLOOKUP(F204,[1]characters!$A:$J,10,FALSE)</f>
        <v>PremiumS</v>
      </c>
      <c r="I204" s="8">
        <f>VLOOKUP(F204,[1]characters!$A:$I,9,FALSE)</f>
        <v>4</v>
      </c>
      <c r="J204" s="8" t="str">
        <f>VLOOKUP(F204,[1]characters!$A:$H,8,FALSE)</f>
        <v>yellow</v>
      </c>
      <c r="K204" s="8" t="str">
        <f>VLOOKUP(F204,[1]characters!$A:$K,11,FALSE)</f>
        <v>hp</v>
      </c>
      <c r="L204" s="8" t="str">
        <f>VLOOKUP(F204,[1]characters!$A:$M,13,FALSE)</f>
        <v>human</v>
      </c>
      <c r="M204" s="16">
        <f>IFERROR(VLOOKUP(F204,gacha_conf!A$50:F$62,5+E204,FALSE),VLOOKUP(D204,gacha_conf!D$18:E$46,2,FALSE))</f>
        <v>1574</v>
      </c>
      <c r="N204" s="37">
        <f>IFERROR(VLOOKUP($F204,bug_conf_sheet!$A:$H,3,FALSE),VLOOKUP("other",bug_conf_sheet!$A:$H,3,FALSE))</f>
        <v>1</v>
      </c>
      <c r="O204" s="37">
        <f>IFERROR(VLOOKUP($F204,bug_conf_sheet!$A:$H,4,FALSE),VLOOKUP("other",bug_conf_sheet!$A:$H,4,FALSE))</f>
        <v>0</v>
      </c>
      <c r="P204" s="37">
        <f>IFERROR(VLOOKUP($F204,bug_conf_sheet!$A:$H,5,FALSE),VLOOKUP("other",bug_conf_sheet!$A:$H,5,FALSE))</f>
        <v>0</v>
      </c>
      <c r="Q204" s="37">
        <f>IFERROR(VLOOKUP($F204,bug_conf_sheet!$A:$H,6,FALSE),VLOOKUP("other",bug_conf_sheet!$A:$H,6,FALSE))</f>
        <v>0</v>
      </c>
      <c r="R204" s="37">
        <f>IFERROR(VLOOKUP($F204,bug_conf_sheet!$A:$H,7,FALSE),VLOOKUP("other",bug_conf_sheet!$A:$H,7,FALSE))</f>
        <v>0</v>
      </c>
      <c r="S204" s="37">
        <f>IFERROR(VLOOKUP($F204,bug_conf_sheet!$A:$H,8,FALSE),VLOOKUP("other",bug_conf_sheet!$A:$H,8,FALSE))</f>
        <v>1</v>
      </c>
    </row>
    <row r="205" spans="1:19" ht="21" customHeight="1">
      <c r="A205" s="7" t="str">
        <f t="shared" si="17"/>
        <v>1941483</v>
      </c>
      <c r="B205" s="2" t="str">
        <f t="shared" si="14"/>
        <v>1941</v>
      </c>
      <c r="C205" s="8" t="str">
        <f t="shared" si="18"/>
        <v>1PremiumS5</v>
      </c>
      <c r="D205" s="8" t="str">
        <f t="shared" si="16"/>
        <v>1PremiumS5</v>
      </c>
      <c r="E205" s="10">
        <v>1</v>
      </c>
      <c r="F205" s="6">
        <v>483</v>
      </c>
      <c r="G205" s="8" t="str">
        <f>VLOOKUP(F205,[1]characters!$A:$C,3,FALSE)</f>
        <v xml:space="preserve">命経死遂 沢庵宗彭 </v>
      </c>
      <c r="H205" s="8" t="str">
        <f>VLOOKUP(F205,[1]characters!$A:$J,10,FALSE)</f>
        <v>PremiumS</v>
      </c>
      <c r="I205" s="8">
        <f>VLOOKUP(F205,[1]characters!$A:$I,9,FALSE)</f>
        <v>5</v>
      </c>
      <c r="J205" s="8" t="str">
        <f>VLOOKUP(F205,[1]characters!$A:$H,8,FALSE)</f>
        <v>yellow</v>
      </c>
      <c r="K205" s="8" t="str">
        <f>VLOOKUP(F205,[1]characters!$A:$K,11,FALSE)</f>
        <v>hp</v>
      </c>
      <c r="L205" s="8" t="str">
        <f>VLOOKUP(F205,[1]characters!$A:$M,13,FALSE)</f>
        <v>human</v>
      </c>
      <c r="M205" s="16">
        <f>IFERROR(VLOOKUP(F205,gacha_conf!A$50:F$62,5+E205,FALSE),VLOOKUP(D205,gacha_conf!D$18:E$46,2,FALSE))</f>
        <v>554</v>
      </c>
      <c r="N205" s="37">
        <f>IFERROR(VLOOKUP($F205,bug_conf_sheet!$A:$H,3,FALSE),VLOOKUP("other",bug_conf_sheet!$A:$H,3,FALSE))</f>
        <v>1</v>
      </c>
      <c r="O205" s="37">
        <f>IFERROR(VLOOKUP($F205,bug_conf_sheet!$A:$H,4,FALSE),VLOOKUP("other",bug_conf_sheet!$A:$H,4,FALSE))</f>
        <v>0</v>
      </c>
      <c r="P205" s="37">
        <f>IFERROR(VLOOKUP($F205,bug_conf_sheet!$A:$H,5,FALSE),VLOOKUP("other",bug_conf_sheet!$A:$H,5,FALSE))</f>
        <v>0</v>
      </c>
      <c r="Q205" s="37">
        <f>IFERROR(VLOOKUP($F205,bug_conf_sheet!$A:$H,6,FALSE),VLOOKUP("other",bug_conf_sheet!$A:$H,6,FALSE))</f>
        <v>0</v>
      </c>
      <c r="R205" s="37">
        <f>IFERROR(VLOOKUP($F205,bug_conf_sheet!$A:$H,7,FALSE),VLOOKUP("other",bug_conf_sheet!$A:$H,7,FALSE))</f>
        <v>0</v>
      </c>
      <c r="S205" s="37">
        <f>IFERROR(VLOOKUP($F205,bug_conf_sheet!$A:$H,8,FALSE),VLOOKUP("other",bug_conf_sheet!$A:$H,8,FALSE))</f>
        <v>1</v>
      </c>
    </row>
    <row r="206" spans="1:19" ht="21" customHeight="1">
      <c r="A206" s="7" t="str">
        <f t="shared" si="17"/>
        <v>1941492</v>
      </c>
      <c r="B206" s="2" t="str">
        <f t="shared" si="14"/>
        <v>1941</v>
      </c>
      <c r="C206" s="8" t="str">
        <f t="shared" si="18"/>
        <v>1PremiumSS4</v>
      </c>
      <c r="D206" s="8" t="str">
        <f t="shared" si="16"/>
        <v>1PremiumSS4</v>
      </c>
      <c r="E206" s="10">
        <v>1</v>
      </c>
      <c r="F206" s="6">
        <v>492</v>
      </c>
      <c r="G206" s="8" t="str">
        <f>VLOOKUP(F206,[1]characters!$A:$C,3,FALSE)</f>
        <v>ブートレグ・ペロー</v>
      </c>
      <c r="H206" s="8" t="str">
        <f>VLOOKUP(F206,[1]characters!$A:$J,10,FALSE)</f>
        <v>PremiumSS</v>
      </c>
      <c r="I206" s="8">
        <f>VLOOKUP(F206,[1]characters!$A:$I,9,FALSE)</f>
        <v>4</v>
      </c>
      <c r="J206" s="8" t="str">
        <f>VLOOKUP(F206,[1]characters!$A:$H,8,FALSE)</f>
        <v>red</v>
      </c>
      <c r="K206" s="8" t="str">
        <f>VLOOKUP(F206,[1]characters!$A:$K,11,FALSE)</f>
        <v>hp</v>
      </c>
      <c r="L206" s="8" t="str">
        <f>VLOOKUP(F206,[1]characters!$A:$M,13,FALSE)</f>
        <v>animal</v>
      </c>
      <c r="M206" s="16">
        <f>IFERROR(VLOOKUP(F206,gacha_conf!A$50:F$62,5+E206,FALSE),VLOOKUP(D206,gacha_conf!D$18:E$46,2,FALSE))</f>
        <v>997</v>
      </c>
      <c r="N206" s="37">
        <f>IFERROR(VLOOKUP($F206,bug_conf_sheet!$A:$H,3,FALSE),VLOOKUP("other",bug_conf_sheet!$A:$H,3,FALSE))</f>
        <v>1</v>
      </c>
      <c r="O206" s="37">
        <f>IFERROR(VLOOKUP($F206,bug_conf_sheet!$A:$H,4,FALSE),VLOOKUP("other",bug_conf_sheet!$A:$H,4,FALSE))</f>
        <v>0</v>
      </c>
      <c r="P206" s="37">
        <f>IFERROR(VLOOKUP($F206,bug_conf_sheet!$A:$H,5,FALSE),VLOOKUP("other",bug_conf_sheet!$A:$H,5,FALSE))</f>
        <v>0</v>
      </c>
      <c r="Q206" s="37">
        <f>IFERROR(VLOOKUP($F206,bug_conf_sheet!$A:$H,6,FALSE),VLOOKUP("other",bug_conf_sheet!$A:$H,6,FALSE))</f>
        <v>0</v>
      </c>
      <c r="R206" s="37">
        <f>IFERROR(VLOOKUP($F206,bug_conf_sheet!$A:$H,7,FALSE),VLOOKUP("other",bug_conf_sheet!$A:$H,7,FALSE))</f>
        <v>0</v>
      </c>
      <c r="S206" s="37">
        <f>IFERROR(VLOOKUP($F206,bug_conf_sheet!$A:$H,8,FALSE),VLOOKUP("other",bug_conf_sheet!$A:$H,8,FALSE))</f>
        <v>1</v>
      </c>
    </row>
    <row r="207" spans="1:19" ht="21" customHeight="1">
      <c r="A207" s="7" t="str">
        <f t="shared" si="17"/>
        <v>1941493</v>
      </c>
      <c r="B207" s="2" t="str">
        <f t="shared" si="14"/>
        <v>1941</v>
      </c>
      <c r="C207" s="8" t="str">
        <f t="shared" si="18"/>
        <v>1PremiumSS5</v>
      </c>
      <c r="D207" s="8" t="str">
        <f t="shared" si="16"/>
        <v>1PremiumSS5</v>
      </c>
      <c r="E207" s="10">
        <v>1</v>
      </c>
      <c r="F207" s="6">
        <v>493</v>
      </c>
      <c r="G207" s="8" t="str">
        <f>VLOOKUP(F207,[1]characters!$A:$C,3,FALSE)</f>
        <v>跋扈の機脚 ブートレグ・ペロー</v>
      </c>
      <c r="H207" s="8" t="str">
        <f>VLOOKUP(F207,[1]characters!$A:$J,10,FALSE)</f>
        <v>PremiumSS</v>
      </c>
      <c r="I207" s="8">
        <f>VLOOKUP(F207,[1]characters!$A:$I,9,FALSE)</f>
        <v>5</v>
      </c>
      <c r="J207" s="8" t="str">
        <f>VLOOKUP(F207,[1]characters!$A:$H,8,FALSE)</f>
        <v>red</v>
      </c>
      <c r="K207" s="8" t="str">
        <f>VLOOKUP(F207,[1]characters!$A:$K,11,FALSE)</f>
        <v>hp</v>
      </c>
      <c r="L207" s="8" t="str">
        <f>VLOOKUP(F207,[1]characters!$A:$M,13,FALSE)</f>
        <v>animal</v>
      </c>
      <c r="M207" s="16">
        <f>IFERROR(VLOOKUP(F207,gacha_conf!A$50:F$62,5+E207,FALSE),VLOOKUP(D207,gacha_conf!D$18:E$46,2,FALSE))</f>
        <v>66</v>
      </c>
      <c r="N207" s="37">
        <f>IFERROR(VLOOKUP($F207,bug_conf_sheet!$A:$H,3,FALSE),VLOOKUP("other",bug_conf_sheet!$A:$H,3,FALSE))</f>
        <v>1</v>
      </c>
      <c r="O207" s="37">
        <f>IFERROR(VLOOKUP($F207,bug_conf_sheet!$A:$H,4,FALSE),VLOOKUP("other",bug_conf_sheet!$A:$H,4,FALSE))</f>
        <v>0</v>
      </c>
      <c r="P207" s="37">
        <f>IFERROR(VLOOKUP($F207,bug_conf_sheet!$A:$H,5,FALSE),VLOOKUP("other",bug_conf_sheet!$A:$H,5,FALSE))</f>
        <v>0</v>
      </c>
      <c r="Q207" s="37">
        <f>IFERROR(VLOOKUP($F207,bug_conf_sheet!$A:$H,6,FALSE),VLOOKUP("other",bug_conf_sheet!$A:$H,6,FALSE))</f>
        <v>0</v>
      </c>
      <c r="R207" s="37">
        <f>IFERROR(VLOOKUP($F207,bug_conf_sheet!$A:$H,7,FALSE),VLOOKUP("other",bug_conf_sheet!$A:$H,7,FALSE))</f>
        <v>0</v>
      </c>
      <c r="S207" s="37">
        <f>IFERROR(VLOOKUP($F207,bug_conf_sheet!$A:$H,8,FALSE),VLOOKUP("other",bug_conf_sheet!$A:$H,8,FALSE))</f>
        <v>1</v>
      </c>
    </row>
    <row r="208" spans="1:19" ht="21" customHeight="1">
      <c r="A208" s="7" t="str">
        <f t="shared" si="17"/>
        <v>1941494</v>
      </c>
      <c r="B208" s="2" t="str">
        <f t="shared" si="14"/>
        <v>1941</v>
      </c>
      <c r="C208" s="8" t="str">
        <f t="shared" si="18"/>
        <v>1PremiumSS4</v>
      </c>
      <c r="D208" s="8" t="str">
        <f t="shared" si="16"/>
        <v>1PremiumSS4</v>
      </c>
      <c r="E208" s="10">
        <v>1</v>
      </c>
      <c r="F208" s="6">
        <v>494</v>
      </c>
      <c r="G208" s="8" t="str">
        <f>VLOOKUP(F208,[1]characters!$A:$C,3,FALSE)</f>
        <v>ハーメルン</v>
      </c>
      <c r="H208" s="8" t="str">
        <f>VLOOKUP(F208,[1]characters!$A:$J,10,FALSE)</f>
        <v>PremiumSS</v>
      </c>
      <c r="I208" s="8">
        <f>VLOOKUP(F208,[1]characters!$A:$I,9,FALSE)</f>
        <v>4</v>
      </c>
      <c r="J208" s="8" t="str">
        <f>VLOOKUP(F208,[1]characters!$A:$H,8,FALSE)</f>
        <v>green</v>
      </c>
      <c r="K208" s="8" t="str">
        <f>VLOOKUP(F208,[1]characters!$A:$K,11,FALSE)</f>
        <v>technical</v>
      </c>
      <c r="L208" s="8" t="str">
        <f>VLOOKUP(F208,[1]characters!$A:$M,13,FALSE)</f>
        <v>human</v>
      </c>
      <c r="M208" s="16">
        <f>IFERROR(VLOOKUP(F208,gacha_conf!A$50:F$62,5+E208,FALSE),VLOOKUP(D208,gacha_conf!D$18:E$46,2,FALSE))</f>
        <v>997</v>
      </c>
      <c r="N208" s="37">
        <f>IFERROR(VLOOKUP($F208,bug_conf_sheet!$A:$H,3,FALSE),VLOOKUP("other",bug_conf_sheet!$A:$H,3,FALSE))</f>
        <v>1</v>
      </c>
      <c r="O208" s="37">
        <f>IFERROR(VLOOKUP($F208,bug_conf_sheet!$A:$H,4,FALSE),VLOOKUP("other",bug_conf_sheet!$A:$H,4,FALSE))</f>
        <v>0</v>
      </c>
      <c r="P208" s="37">
        <f>IFERROR(VLOOKUP($F208,bug_conf_sheet!$A:$H,5,FALSE),VLOOKUP("other",bug_conf_sheet!$A:$H,5,FALSE))</f>
        <v>0</v>
      </c>
      <c r="Q208" s="37">
        <f>IFERROR(VLOOKUP($F208,bug_conf_sheet!$A:$H,6,FALSE),VLOOKUP("other",bug_conf_sheet!$A:$H,6,FALSE))</f>
        <v>0</v>
      </c>
      <c r="R208" s="37">
        <f>IFERROR(VLOOKUP($F208,bug_conf_sheet!$A:$H,7,FALSE),VLOOKUP("other",bug_conf_sheet!$A:$H,7,FALSE))</f>
        <v>0</v>
      </c>
      <c r="S208" s="37">
        <f>IFERROR(VLOOKUP($F208,bug_conf_sheet!$A:$H,8,FALSE),VLOOKUP("other",bug_conf_sheet!$A:$H,8,FALSE))</f>
        <v>1</v>
      </c>
    </row>
    <row r="209" spans="1:19" ht="21" customHeight="1">
      <c r="A209" s="7" t="str">
        <f t="shared" si="17"/>
        <v>1941495</v>
      </c>
      <c r="B209" s="2" t="str">
        <f t="shared" si="14"/>
        <v>1941</v>
      </c>
      <c r="C209" s="8" t="str">
        <f t="shared" si="18"/>
        <v>1PremiumSS5</v>
      </c>
      <c r="D209" s="8" t="str">
        <f t="shared" si="16"/>
        <v>1PremiumSS5</v>
      </c>
      <c r="E209" s="10">
        <v>1</v>
      </c>
      <c r="F209" s="6">
        <v>495</v>
      </c>
      <c r="G209" s="8" t="str">
        <f>VLOOKUP(F209,[1]characters!$A:$C,3,FALSE)</f>
        <v>鼠災呼ぶ笛音 ハーメルン</v>
      </c>
      <c r="H209" s="8" t="str">
        <f>VLOOKUP(F209,[1]characters!$A:$J,10,FALSE)</f>
        <v>PremiumSS</v>
      </c>
      <c r="I209" s="8">
        <f>VLOOKUP(F209,[1]characters!$A:$I,9,FALSE)</f>
        <v>5</v>
      </c>
      <c r="J209" s="8" t="str">
        <f>VLOOKUP(F209,[1]characters!$A:$H,8,FALSE)</f>
        <v>green</v>
      </c>
      <c r="K209" s="8" t="str">
        <f>VLOOKUP(F209,[1]characters!$A:$K,11,FALSE)</f>
        <v>technical</v>
      </c>
      <c r="L209" s="8" t="str">
        <f>VLOOKUP(F209,[1]characters!$A:$M,13,FALSE)</f>
        <v>human</v>
      </c>
      <c r="M209" s="16">
        <f>IFERROR(VLOOKUP(F209,gacha_conf!A$50:F$62,5+E209,FALSE),VLOOKUP(D209,gacha_conf!D$18:E$46,2,FALSE))</f>
        <v>66</v>
      </c>
      <c r="N209" s="37">
        <f>IFERROR(VLOOKUP($F209,bug_conf_sheet!$A:$H,3,FALSE),VLOOKUP("other",bug_conf_sheet!$A:$H,3,FALSE))</f>
        <v>1</v>
      </c>
      <c r="O209" s="37">
        <f>IFERROR(VLOOKUP($F209,bug_conf_sheet!$A:$H,4,FALSE),VLOOKUP("other",bug_conf_sheet!$A:$H,4,FALSE))</f>
        <v>0</v>
      </c>
      <c r="P209" s="37">
        <f>IFERROR(VLOOKUP($F209,bug_conf_sheet!$A:$H,5,FALSE),VLOOKUP("other",bug_conf_sheet!$A:$H,5,FALSE))</f>
        <v>0</v>
      </c>
      <c r="Q209" s="37">
        <f>IFERROR(VLOOKUP($F209,bug_conf_sheet!$A:$H,6,FALSE),VLOOKUP("other",bug_conf_sheet!$A:$H,6,FALSE))</f>
        <v>0</v>
      </c>
      <c r="R209" s="37">
        <f>IFERROR(VLOOKUP($F209,bug_conf_sheet!$A:$H,7,FALSE),VLOOKUP("other",bug_conf_sheet!$A:$H,7,FALSE))</f>
        <v>0</v>
      </c>
      <c r="S209" s="37">
        <f>IFERROR(VLOOKUP($F209,bug_conf_sheet!$A:$H,8,FALSE),VLOOKUP("other",bug_conf_sheet!$A:$H,8,FALSE))</f>
        <v>1</v>
      </c>
    </row>
    <row r="210" spans="1:19" ht="21" customHeight="1">
      <c r="A210" s="7" t="str">
        <f t="shared" ref="A210" si="19">B210&amp;F210</f>
        <v>1941496</v>
      </c>
      <c r="B210" s="2" t="str">
        <f t="shared" si="14"/>
        <v>1941</v>
      </c>
      <c r="C210" s="8" t="str">
        <f t="shared" ref="C210" si="20">E210&amp;H210&amp;I210</f>
        <v>1PremiumS3</v>
      </c>
      <c r="D210" s="8" t="str">
        <f t="shared" si="16"/>
        <v>1PremiumS3</v>
      </c>
      <c r="E210" s="10">
        <v>1</v>
      </c>
      <c r="F210" s="6">
        <v>496</v>
      </c>
      <c r="G210" s="8" t="str">
        <f>VLOOKUP(F210,[1]characters!$A:$C,3,FALSE)</f>
        <v>エスタブ</v>
      </c>
      <c r="H210" s="8" t="str">
        <f>VLOOKUP(F210,[1]characters!$A:$J,10,FALSE)</f>
        <v>PremiumS</v>
      </c>
      <c r="I210" s="8">
        <f>VLOOKUP(F210,[1]characters!$A:$I,9,FALSE)</f>
        <v>3</v>
      </c>
      <c r="J210" s="8" t="str">
        <f>VLOOKUP(F210,[1]characters!$A:$H,8,FALSE)</f>
        <v>blue</v>
      </c>
      <c r="K210" s="8" t="str">
        <f>VLOOKUP(F210,[1]characters!$A:$K,11,FALSE)</f>
        <v>attack</v>
      </c>
      <c r="L210" s="8" t="str">
        <f>VLOOKUP(F210,[1]characters!$A:$M,13,FALSE)</f>
        <v>human</v>
      </c>
      <c r="M210" s="16">
        <f>IFERROR(VLOOKUP(F210,gacha_conf!A$50:F$62,5+E210,FALSE),VLOOKUP(D210,gacha_conf!D$18:E$46,2,FALSE))</f>
        <v>6739</v>
      </c>
      <c r="N210" s="37">
        <f>IFERROR(VLOOKUP($F210,bug_conf_sheet!$A:$H,3,FALSE),VLOOKUP("other",bug_conf_sheet!$A:$H,3,FALSE))</f>
        <v>1</v>
      </c>
      <c r="O210" s="37">
        <f>IFERROR(VLOOKUP($F210,bug_conf_sheet!$A:$H,4,FALSE),VLOOKUP("other",bug_conf_sheet!$A:$H,4,FALSE))</f>
        <v>0</v>
      </c>
      <c r="P210" s="37">
        <f>IFERROR(VLOOKUP($F210,bug_conf_sheet!$A:$H,5,FALSE),VLOOKUP("other",bug_conf_sheet!$A:$H,5,FALSE))</f>
        <v>0</v>
      </c>
      <c r="Q210" s="37">
        <f>IFERROR(VLOOKUP($F210,bug_conf_sheet!$A:$H,6,FALSE),VLOOKUP("other",bug_conf_sheet!$A:$H,6,FALSE))</f>
        <v>0</v>
      </c>
      <c r="R210" s="37">
        <f>IFERROR(VLOOKUP($F210,bug_conf_sheet!$A:$H,7,FALSE),VLOOKUP("other",bug_conf_sheet!$A:$H,7,FALSE))</f>
        <v>0</v>
      </c>
      <c r="S210" s="37">
        <f>IFERROR(VLOOKUP($F210,bug_conf_sheet!$A:$H,8,FALSE),VLOOKUP("other",bug_conf_sheet!$A:$H,8,FALSE))</f>
        <v>1</v>
      </c>
    </row>
    <row r="211" spans="1:19" ht="21" customHeight="1">
      <c r="A211" s="7" t="str">
        <f t="shared" si="17"/>
        <v>1941497</v>
      </c>
      <c r="B211" s="2" t="str">
        <f t="shared" si="14"/>
        <v>1941</v>
      </c>
      <c r="C211" s="8" t="str">
        <f t="shared" si="18"/>
        <v>1PremiumS4</v>
      </c>
      <c r="D211" s="8" t="str">
        <f t="shared" si="16"/>
        <v>1PremiumS4</v>
      </c>
      <c r="E211" s="10">
        <v>1</v>
      </c>
      <c r="F211" s="6">
        <v>497</v>
      </c>
      <c r="G211" s="8" t="str">
        <f>VLOOKUP(F211,[1]characters!$A:$C,3,FALSE)</f>
        <v>偏愛の野獣 エスタブ</v>
      </c>
      <c r="H211" s="8" t="str">
        <f>VLOOKUP(F211,[1]characters!$A:$J,10,FALSE)</f>
        <v>PremiumS</v>
      </c>
      <c r="I211" s="8">
        <f>VLOOKUP(F211,[1]characters!$A:$I,9,FALSE)</f>
        <v>4</v>
      </c>
      <c r="J211" s="8" t="str">
        <f>VLOOKUP(F211,[1]characters!$A:$H,8,FALSE)</f>
        <v>blue</v>
      </c>
      <c r="K211" s="8" t="str">
        <f>VLOOKUP(F211,[1]characters!$A:$K,11,FALSE)</f>
        <v>attack</v>
      </c>
      <c r="L211" s="8" t="str">
        <f>VLOOKUP(F211,[1]characters!$A:$M,13,FALSE)</f>
        <v>human</v>
      </c>
      <c r="M211" s="16">
        <f>IFERROR(VLOOKUP(F211,gacha_conf!A$50:F$62,5+E211,FALSE),VLOOKUP(D211,gacha_conf!D$18:E$46,2,FALSE))</f>
        <v>1574</v>
      </c>
      <c r="N211" s="37">
        <f>IFERROR(VLOOKUP($F211,bug_conf_sheet!$A:$H,3,FALSE),VLOOKUP("other",bug_conf_sheet!$A:$H,3,FALSE))</f>
        <v>1</v>
      </c>
      <c r="O211" s="37">
        <f>IFERROR(VLOOKUP($F211,bug_conf_sheet!$A:$H,4,FALSE),VLOOKUP("other",bug_conf_sheet!$A:$H,4,FALSE))</f>
        <v>0</v>
      </c>
      <c r="P211" s="37">
        <f>IFERROR(VLOOKUP($F211,bug_conf_sheet!$A:$H,5,FALSE),VLOOKUP("other",bug_conf_sheet!$A:$H,5,FALSE))</f>
        <v>0</v>
      </c>
      <c r="Q211" s="37">
        <f>IFERROR(VLOOKUP($F211,bug_conf_sheet!$A:$H,6,FALSE),VLOOKUP("other",bug_conf_sheet!$A:$H,6,FALSE))</f>
        <v>0</v>
      </c>
      <c r="R211" s="37">
        <f>IFERROR(VLOOKUP($F211,bug_conf_sheet!$A:$H,7,FALSE),VLOOKUP("other",bug_conf_sheet!$A:$H,7,FALSE))</f>
        <v>0</v>
      </c>
      <c r="S211" s="37">
        <f>IFERROR(VLOOKUP($F211,bug_conf_sheet!$A:$H,8,FALSE),VLOOKUP("other",bug_conf_sheet!$A:$H,8,FALSE))</f>
        <v>1</v>
      </c>
    </row>
    <row r="212" spans="1:19" ht="21" customHeight="1">
      <c r="A212" s="7" t="str">
        <f t="shared" si="17"/>
        <v>1941498</v>
      </c>
      <c r="B212" s="2" t="str">
        <f t="shared" si="14"/>
        <v>1941</v>
      </c>
      <c r="C212" s="8" t="str">
        <f t="shared" si="18"/>
        <v>1PremiumS5</v>
      </c>
      <c r="D212" s="8" t="str">
        <f t="shared" si="16"/>
        <v>1PremiumS5</v>
      </c>
      <c r="E212" s="10">
        <v>1</v>
      </c>
      <c r="F212" s="6">
        <v>498</v>
      </c>
      <c r="G212" s="8" t="str">
        <f>VLOOKUP(F212,[1]characters!$A:$C,3,FALSE)</f>
        <v>自愛の高魔 エスタブ</v>
      </c>
      <c r="H212" s="8" t="str">
        <f>VLOOKUP(F212,[1]characters!$A:$J,10,FALSE)</f>
        <v>PremiumS</v>
      </c>
      <c r="I212" s="8">
        <f>VLOOKUP(F212,[1]characters!$A:$I,9,FALSE)</f>
        <v>5</v>
      </c>
      <c r="J212" s="8" t="str">
        <f>VLOOKUP(F212,[1]characters!$A:$H,8,FALSE)</f>
        <v>blue</v>
      </c>
      <c r="K212" s="8" t="str">
        <f>VLOOKUP(F212,[1]characters!$A:$K,11,FALSE)</f>
        <v>attack</v>
      </c>
      <c r="L212" s="8" t="str">
        <f>VLOOKUP(F212,[1]characters!$A:$M,13,FALSE)</f>
        <v>human</v>
      </c>
      <c r="M212" s="16">
        <f>IFERROR(VLOOKUP(F212,gacha_conf!A$50:F$62,5+E212,FALSE),VLOOKUP(D212,gacha_conf!D$18:E$46,2,FALSE))</f>
        <v>554</v>
      </c>
      <c r="N212" s="37">
        <f>IFERROR(VLOOKUP($F212,bug_conf_sheet!$A:$H,3,FALSE),VLOOKUP("other",bug_conf_sheet!$A:$H,3,FALSE))</f>
        <v>1</v>
      </c>
      <c r="O212" s="37">
        <f>IFERROR(VLOOKUP($F212,bug_conf_sheet!$A:$H,4,FALSE),VLOOKUP("other",bug_conf_sheet!$A:$H,4,FALSE))</f>
        <v>0</v>
      </c>
      <c r="P212" s="37">
        <f>IFERROR(VLOOKUP($F212,bug_conf_sheet!$A:$H,5,FALSE),VLOOKUP("other",bug_conf_sheet!$A:$H,5,FALSE))</f>
        <v>0</v>
      </c>
      <c r="Q212" s="37">
        <f>IFERROR(VLOOKUP($F212,bug_conf_sheet!$A:$H,6,FALSE),VLOOKUP("other",bug_conf_sheet!$A:$H,6,FALSE))</f>
        <v>0</v>
      </c>
      <c r="R212" s="37">
        <f>IFERROR(VLOOKUP($F212,bug_conf_sheet!$A:$H,7,FALSE),VLOOKUP("other",bug_conf_sheet!$A:$H,7,FALSE))</f>
        <v>0</v>
      </c>
      <c r="S212" s="37">
        <f>IFERROR(VLOOKUP($F212,bug_conf_sheet!$A:$H,8,FALSE),VLOOKUP("other",bug_conf_sheet!$A:$H,8,FALSE))</f>
        <v>1</v>
      </c>
    </row>
    <row r="213" spans="1:19" ht="21" customHeight="1">
      <c r="A213" s="7" t="str">
        <f t="shared" si="17"/>
        <v>1941499</v>
      </c>
      <c r="B213" s="2" t="str">
        <f t="shared" si="14"/>
        <v>1941</v>
      </c>
      <c r="C213" s="8" t="str">
        <f t="shared" si="18"/>
        <v>1PremiumSS4</v>
      </c>
      <c r="D213" s="8" t="str">
        <f t="shared" si="16"/>
        <v>1PremiumSS4</v>
      </c>
      <c r="E213" s="10">
        <v>1</v>
      </c>
      <c r="F213" s="6">
        <v>499</v>
      </c>
      <c r="G213" s="8" t="str">
        <f>VLOOKUP(F213,[1]characters!$A:$C,3,FALSE)</f>
        <v>ラプンツェル</v>
      </c>
      <c r="H213" s="8" t="str">
        <f>VLOOKUP(F213,[1]characters!$A:$J,10,FALSE)</f>
        <v>PremiumSS</v>
      </c>
      <c r="I213" s="8">
        <f>VLOOKUP(F213,[1]characters!$A:$I,9,FALSE)</f>
        <v>4</v>
      </c>
      <c r="J213" s="8" t="str">
        <f>VLOOKUP(F213,[1]characters!$A:$H,8,FALSE)</f>
        <v>yellow</v>
      </c>
      <c r="K213" s="8" t="str">
        <f>VLOOKUP(F213,[1]characters!$A:$K,11,FALSE)</f>
        <v>balance</v>
      </c>
      <c r="L213" s="8" t="str">
        <f>VLOOKUP(F213,[1]characters!$A:$M,13,FALSE)</f>
        <v>human</v>
      </c>
      <c r="M213" s="16">
        <f>IFERROR(VLOOKUP(F213,gacha_conf!A$50:F$62,5+E213,FALSE),VLOOKUP(D213,gacha_conf!D$18:E$46,2,FALSE))</f>
        <v>997</v>
      </c>
      <c r="N213" s="37">
        <f>IFERROR(VLOOKUP($F213,bug_conf_sheet!$A:$H,3,FALSE),VLOOKUP("other",bug_conf_sheet!$A:$H,3,FALSE))</f>
        <v>1</v>
      </c>
      <c r="O213" s="37">
        <f>IFERROR(VLOOKUP($F213,bug_conf_sheet!$A:$H,4,FALSE),VLOOKUP("other",bug_conf_sheet!$A:$H,4,FALSE))</f>
        <v>0</v>
      </c>
      <c r="P213" s="37">
        <f>IFERROR(VLOOKUP($F213,bug_conf_sheet!$A:$H,5,FALSE),VLOOKUP("other",bug_conf_sheet!$A:$H,5,FALSE))</f>
        <v>0</v>
      </c>
      <c r="Q213" s="37">
        <f>IFERROR(VLOOKUP($F213,bug_conf_sheet!$A:$H,6,FALSE),VLOOKUP("other",bug_conf_sheet!$A:$H,6,FALSE))</f>
        <v>0</v>
      </c>
      <c r="R213" s="37">
        <f>IFERROR(VLOOKUP($F213,bug_conf_sheet!$A:$H,7,FALSE),VLOOKUP("other",bug_conf_sheet!$A:$H,7,FALSE))</f>
        <v>0</v>
      </c>
      <c r="S213" s="37">
        <f>IFERROR(VLOOKUP($F213,bug_conf_sheet!$A:$H,8,FALSE),VLOOKUP("other",bug_conf_sheet!$A:$H,8,FALSE))</f>
        <v>1</v>
      </c>
    </row>
    <row r="214" spans="1:19" ht="21" customHeight="1">
      <c r="A214" s="7" t="str">
        <f t="shared" si="17"/>
        <v>1941500</v>
      </c>
      <c r="B214" s="2" t="str">
        <f t="shared" si="14"/>
        <v>1941</v>
      </c>
      <c r="C214" s="8" t="str">
        <f t="shared" si="18"/>
        <v>1PremiumSS5</v>
      </c>
      <c r="D214" s="8" t="str">
        <f t="shared" si="16"/>
        <v>1PremiumSS5</v>
      </c>
      <c r="E214" s="10">
        <v>1</v>
      </c>
      <c r="F214" s="6">
        <v>500</v>
      </c>
      <c r="G214" s="8" t="str">
        <f>VLOOKUP(F214,[1]characters!$A:$C,3,FALSE)</f>
        <v>脈動の禁髪 ラプンツェル</v>
      </c>
      <c r="H214" s="8" t="str">
        <f>VLOOKUP(F214,[1]characters!$A:$J,10,FALSE)</f>
        <v>PremiumSS</v>
      </c>
      <c r="I214" s="8">
        <f>VLOOKUP(F214,[1]characters!$A:$I,9,FALSE)</f>
        <v>5</v>
      </c>
      <c r="J214" s="8" t="str">
        <f>VLOOKUP(F214,[1]characters!$A:$H,8,FALSE)</f>
        <v>yellow</v>
      </c>
      <c r="K214" s="8" t="str">
        <f>VLOOKUP(F214,[1]characters!$A:$K,11,FALSE)</f>
        <v>balance</v>
      </c>
      <c r="L214" s="8" t="str">
        <f>VLOOKUP(F214,[1]characters!$A:$M,13,FALSE)</f>
        <v>human</v>
      </c>
      <c r="M214" s="16">
        <f>IFERROR(VLOOKUP(F214,gacha_conf!A$50:F$62,5+E214,FALSE),VLOOKUP(D214,gacha_conf!D$18:E$46,2,FALSE))</f>
        <v>66</v>
      </c>
      <c r="N214" s="37">
        <f>IFERROR(VLOOKUP($F214,bug_conf_sheet!$A:$H,3,FALSE),VLOOKUP("other",bug_conf_sheet!$A:$H,3,FALSE))</f>
        <v>1</v>
      </c>
      <c r="O214" s="37">
        <f>IFERROR(VLOOKUP($F214,bug_conf_sheet!$A:$H,4,FALSE),VLOOKUP("other",bug_conf_sheet!$A:$H,4,FALSE))</f>
        <v>0</v>
      </c>
      <c r="P214" s="37">
        <f>IFERROR(VLOOKUP($F214,bug_conf_sheet!$A:$H,5,FALSE),VLOOKUP("other",bug_conf_sheet!$A:$H,5,FALSE))</f>
        <v>0</v>
      </c>
      <c r="Q214" s="37">
        <f>IFERROR(VLOOKUP($F214,bug_conf_sheet!$A:$H,6,FALSE),VLOOKUP("other",bug_conf_sheet!$A:$H,6,FALSE))</f>
        <v>0</v>
      </c>
      <c r="R214" s="37">
        <f>IFERROR(VLOOKUP($F214,bug_conf_sheet!$A:$H,7,FALSE),VLOOKUP("other",bug_conf_sheet!$A:$H,7,FALSE))</f>
        <v>0</v>
      </c>
      <c r="S214" s="37">
        <f>IFERROR(VLOOKUP($F214,bug_conf_sheet!$A:$H,8,FALSE),VLOOKUP("other",bug_conf_sheet!$A:$H,8,FALSE))</f>
        <v>1</v>
      </c>
    </row>
    <row r="215" spans="1:19" ht="21" customHeight="1">
      <c r="A215" s="7" t="str">
        <f t="shared" ref="A215:A224" si="21">B215&amp;F215</f>
        <v>1941586</v>
      </c>
      <c r="B215" s="2" t="str">
        <f t="shared" si="14"/>
        <v>1941</v>
      </c>
      <c r="C215" s="8" t="str">
        <f t="shared" ref="C215:C224" si="22">E215&amp;H215&amp;I215</f>
        <v>1PremiumSS4</v>
      </c>
      <c r="D215" s="8" t="str">
        <f t="shared" si="16"/>
        <v>1PremiumSS4</v>
      </c>
      <c r="E215" s="10">
        <v>1</v>
      </c>
      <c r="F215" s="6">
        <v>586</v>
      </c>
      <c r="G215" s="8" t="str">
        <f>VLOOKUP(F215,[1]characters!$A:$C,3,FALSE)</f>
        <v>ユミル</v>
      </c>
      <c r="H215" s="8" t="str">
        <f>VLOOKUP(F215,[1]characters!$A:$J,10,FALSE)</f>
        <v>PremiumSS</v>
      </c>
      <c r="I215" s="8">
        <f>VLOOKUP(F215,[1]characters!$A:$I,9,FALSE)</f>
        <v>4</v>
      </c>
      <c r="J215" s="8" t="str">
        <f>VLOOKUP(F215,[1]characters!$A:$H,8,FALSE)</f>
        <v>red</v>
      </c>
      <c r="K215" s="8" t="str">
        <f>VLOOKUP(F215,[1]characters!$A:$K,11,FALSE)</f>
        <v>hp</v>
      </c>
      <c r="L215" s="8" t="str">
        <f>VLOOKUP(F215,[1]characters!$A:$M,13,FALSE)</f>
        <v>machine</v>
      </c>
      <c r="M215" s="16">
        <f>IFERROR(VLOOKUP(F215,gacha_conf!A$50:F$62,5+E215,FALSE),VLOOKUP(D215,gacha_conf!D$18:E$46,2,FALSE))</f>
        <v>997</v>
      </c>
      <c r="N215" s="37">
        <f>IFERROR(VLOOKUP($F215,bug_conf_sheet!$A:$H,3,FALSE),VLOOKUP("other",bug_conf_sheet!$A:$H,3,FALSE))</f>
        <v>1</v>
      </c>
      <c r="O215" s="37">
        <f>IFERROR(VLOOKUP($F215,bug_conf_sheet!$A:$H,4,FALSE),VLOOKUP("other",bug_conf_sheet!$A:$H,4,FALSE))</f>
        <v>0</v>
      </c>
      <c r="P215" s="37">
        <f>IFERROR(VLOOKUP($F215,bug_conf_sheet!$A:$H,5,FALSE),VLOOKUP("other",bug_conf_sheet!$A:$H,5,FALSE))</f>
        <v>0</v>
      </c>
      <c r="Q215" s="37">
        <f>IFERROR(VLOOKUP($F215,bug_conf_sheet!$A:$H,6,FALSE),VLOOKUP("other",bug_conf_sheet!$A:$H,6,FALSE))</f>
        <v>0</v>
      </c>
      <c r="R215" s="37">
        <f>IFERROR(VLOOKUP($F215,bug_conf_sheet!$A:$H,7,FALSE),VLOOKUP("other",bug_conf_sheet!$A:$H,7,FALSE))</f>
        <v>0</v>
      </c>
      <c r="S215" s="37">
        <f>IFERROR(VLOOKUP($F215,bug_conf_sheet!$A:$H,8,FALSE),VLOOKUP("other",bug_conf_sheet!$A:$H,8,FALSE))</f>
        <v>1</v>
      </c>
    </row>
    <row r="216" spans="1:19" ht="21" customHeight="1">
      <c r="A216" s="7" t="str">
        <f t="shared" si="21"/>
        <v>1941587</v>
      </c>
      <c r="B216" s="2" t="str">
        <f t="shared" si="14"/>
        <v>1941</v>
      </c>
      <c r="C216" s="8" t="str">
        <f t="shared" si="22"/>
        <v>1PremiumSS5</v>
      </c>
      <c r="D216" s="8" t="str">
        <f t="shared" si="16"/>
        <v>1PremiumSS5</v>
      </c>
      <c r="E216" s="10">
        <v>1</v>
      </c>
      <c r="F216" s="6">
        <v>587</v>
      </c>
      <c r="G216" s="8" t="str">
        <f>VLOOKUP(F216,[1]characters!$A:$C,3,FALSE)</f>
        <v>原初の煉鋼巨刃 ユミル</v>
      </c>
      <c r="H216" s="8" t="str">
        <f>VLOOKUP(F216,[1]characters!$A:$J,10,FALSE)</f>
        <v>PremiumSS</v>
      </c>
      <c r="I216" s="8">
        <f>VLOOKUP(F216,[1]characters!$A:$I,9,FALSE)</f>
        <v>5</v>
      </c>
      <c r="J216" s="8" t="str">
        <f>VLOOKUP(F216,[1]characters!$A:$H,8,FALSE)</f>
        <v>red</v>
      </c>
      <c r="K216" s="8" t="str">
        <f>VLOOKUP(F216,[1]characters!$A:$K,11,FALSE)</f>
        <v>hp</v>
      </c>
      <c r="L216" s="8" t="str">
        <f>VLOOKUP(F216,[1]characters!$A:$M,13,FALSE)</f>
        <v>machine</v>
      </c>
      <c r="M216" s="16">
        <f>IFERROR(VLOOKUP(F216,gacha_conf!A$50:F$62,5+E216,FALSE),VLOOKUP(D216,gacha_conf!D$18:E$46,2,FALSE))</f>
        <v>66</v>
      </c>
      <c r="N216" s="37">
        <f>IFERROR(VLOOKUP($F216,bug_conf_sheet!$A:$H,3,FALSE),VLOOKUP("other",bug_conf_sheet!$A:$H,3,FALSE))</f>
        <v>1</v>
      </c>
      <c r="O216" s="37">
        <f>IFERROR(VLOOKUP($F216,bug_conf_sheet!$A:$H,4,FALSE),VLOOKUP("other",bug_conf_sheet!$A:$H,4,FALSE))</f>
        <v>0</v>
      </c>
      <c r="P216" s="37">
        <f>IFERROR(VLOOKUP($F216,bug_conf_sheet!$A:$H,5,FALSE),VLOOKUP("other",bug_conf_sheet!$A:$H,5,FALSE))</f>
        <v>0</v>
      </c>
      <c r="Q216" s="37">
        <f>IFERROR(VLOOKUP($F216,bug_conf_sheet!$A:$H,6,FALSE),VLOOKUP("other",bug_conf_sheet!$A:$H,6,FALSE))</f>
        <v>0</v>
      </c>
      <c r="R216" s="37">
        <f>IFERROR(VLOOKUP($F216,bug_conf_sheet!$A:$H,7,FALSE),VLOOKUP("other",bug_conf_sheet!$A:$H,7,FALSE))</f>
        <v>0</v>
      </c>
      <c r="S216" s="37">
        <f>IFERROR(VLOOKUP($F216,bug_conf_sheet!$A:$H,8,FALSE),VLOOKUP("other",bug_conf_sheet!$A:$H,8,FALSE))</f>
        <v>1</v>
      </c>
    </row>
    <row r="217" spans="1:19" ht="21" customHeight="1">
      <c r="A217" s="7" t="str">
        <f t="shared" si="21"/>
        <v>1941588</v>
      </c>
      <c r="B217" s="2" t="str">
        <f t="shared" si="14"/>
        <v>1941</v>
      </c>
      <c r="C217" s="8" t="str">
        <f t="shared" si="22"/>
        <v>1PremiumS3</v>
      </c>
      <c r="D217" s="8" t="str">
        <f t="shared" si="16"/>
        <v>1PremiumS3</v>
      </c>
      <c r="E217" s="10">
        <v>1</v>
      </c>
      <c r="F217" s="6">
        <v>588</v>
      </c>
      <c r="G217" s="8" t="str">
        <f>VLOOKUP(F217,[1]characters!$A:$C,3,FALSE)</f>
        <v>ニーベルゲン</v>
      </c>
      <c r="H217" s="8" t="str">
        <f>VLOOKUP(F217,[1]characters!$A:$J,10,FALSE)</f>
        <v>PremiumS</v>
      </c>
      <c r="I217" s="8">
        <f>VLOOKUP(F217,[1]characters!$A:$I,9,FALSE)</f>
        <v>3</v>
      </c>
      <c r="J217" s="8" t="str">
        <f>VLOOKUP(F217,[1]characters!$A:$H,8,FALSE)</f>
        <v>green</v>
      </c>
      <c r="K217" s="8" t="str">
        <f>VLOOKUP(F217,[1]characters!$A:$K,11,FALSE)</f>
        <v>balance</v>
      </c>
      <c r="L217" s="8" t="str">
        <f>VLOOKUP(F217,[1]characters!$A:$M,13,FALSE)</f>
        <v>unknown</v>
      </c>
      <c r="M217" s="16">
        <f>IFERROR(VLOOKUP(F217,gacha_conf!A$50:F$62,5+E217,FALSE),VLOOKUP(D217,gacha_conf!D$18:E$46,2,FALSE))</f>
        <v>6739</v>
      </c>
      <c r="N217" s="37">
        <f>IFERROR(VLOOKUP($F217,bug_conf_sheet!$A:$H,3,FALSE),VLOOKUP("other",bug_conf_sheet!$A:$H,3,FALSE))</f>
        <v>1</v>
      </c>
      <c r="O217" s="37">
        <f>IFERROR(VLOOKUP($F217,bug_conf_sheet!$A:$H,4,FALSE),VLOOKUP("other",bug_conf_sheet!$A:$H,4,FALSE))</f>
        <v>0</v>
      </c>
      <c r="P217" s="37">
        <f>IFERROR(VLOOKUP($F217,bug_conf_sheet!$A:$H,5,FALSE),VLOOKUP("other",bug_conf_sheet!$A:$H,5,FALSE))</f>
        <v>0</v>
      </c>
      <c r="Q217" s="37">
        <f>IFERROR(VLOOKUP($F217,bug_conf_sheet!$A:$H,6,FALSE),VLOOKUP("other",bug_conf_sheet!$A:$H,6,FALSE))</f>
        <v>0</v>
      </c>
      <c r="R217" s="37">
        <f>IFERROR(VLOOKUP($F217,bug_conf_sheet!$A:$H,7,FALSE),VLOOKUP("other",bug_conf_sheet!$A:$H,7,FALSE))</f>
        <v>0</v>
      </c>
      <c r="S217" s="37">
        <f>IFERROR(VLOOKUP($F217,bug_conf_sheet!$A:$H,8,FALSE),VLOOKUP("other",bug_conf_sheet!$A:$H,8,FALSE))</f>
        <v>1</v>
      </c>
    </row>
    <row r="218" spans="1:19" ht="21" customHeight="1">
      <c r="A218" s="7" t="str">
        <f t="shared" si="21"/>
        <v>1941589</v>
      </c>
      <c r="B218" s="2" t="str">
        <f t="shared" si="14"/>
        <v>1941</v>
      </c>
      <c r="C218" s="8" t="str">
        <f t="shared" si="22"/>
        <v>1PremiumS4</v>
      </c>
      <c r="D218" s="8" t="str">
        <f t="shared" si="16"/>
        <v>1PremiumS4</v>
      </c>
      <c r="E218" s="10">
        <v>1</v>
      </c>
      <c r="F218" s="6">
        <v>589</v>
      </c>
      <c r="G218" s="8" t="str">
        <f>VLOOKUP(F218,[1]characters!$A:$C,3,FALSE)</f>
        <v>不幸の円環 ニーベルゲン</v>
      </c>
      <c r="H218" s="8" t="str">
        <f>VLOOKUP(F218,[1]characters!$A:$J,10,FALSE)</f>
        <v>PremiumS</v>
      </c>
      <c r="I218" s="8">
        <f>VLOOKUP(F218,[1]characters!$A:$I,9,FALSE)</f>
        <v>4</v>
      </c>
      <c r="J218" s="8" t="str">
        <f>VLOOKUP(F218,[1]characters!$A:$H,8,FALSE)</f>
        <v>green</v>
      </c>
      <c r="K218" s="8" t="str">
        <f>VLOOKUP(F218,[1]characters!$A:$K,11,FALSE)</f>
        <v>balance</v>
      </c>
      <c r="L218" s="8" t="str">
        <f>VLOOKUP(F218,[1]characters!$A:$M,13,FALSE)</f>
        <v>unknown</v>
      </c>
      <c r="M218" s="16">
        <f>IFERROR(VLOOKUP(F218,gacha_conf!A$50:F$62,5+E218,FALSE),VLOOKUP(D218,gacha_conf!D$18:E$46,2,FALSE))</f>
        <v>1574</v>
      </c>
      <c r="N218" s="37">
        <f>IFERROR(VLOOKUP($F218,bug_conf_sheet!$A:$H,3,FALSE),VLOOKUP("other",bug_conf_sheet!$A:$H,3,FALSE))</f>
        <v>1</v>
      </c>
      <c r="O218" s="37">
        <f>IFERROR(VLOOKUP($F218,bug_conf_sheet!$A:$H,4,FALSE),VLOOKUP("other",bug_conf_sheet!$A:$H,4,FALSE))</f>
        <v>0</v>
      </c>
      <c r="P218" s="37">
        <f>IFERROR(VLOOKUP($F218,bug_conf_sheet!$A:$H,5,FALSE),VLOOKUP("other",bug_conf_sheet!$A:$H,5,FALSE))</f>
        <v>0</v>
      </c>
      <c r="Q218" s="37">
        <f>IFERROR(VLOOKUP($F218,bug_conf_sheet!$A:$H,6,FALSE),VLOOKUP("other",bug_conf_sheet!$A:$H,6,FALSE))</f>
        <v>0</v>
      </c>
      <c r="R218" s="37">
        <f>IFERROR(VLOOKUP($F218,bug_conf_sheet!$A:$H,7,FALSE),VLOOKUP("other",bug_conf_sheet!$A:$H,7,FALSE))</f>
        <v>0</v>
      </c>
      <c r="S218" s="37">
        <f>IFERROR(VLOOKUP($F218,bug_conf_sheet!$A:$H,8,FALSE),VLOOKUP("other",bug_conf_sheet!$A:$H,8,FALSE))</f>
        <v>1</v>
      </c>
    </row>
    <row r="219" spans="1:19" ht="21" customHeight="1">
      <c r="A219" s="7" t="str">
        <f t="shared" si="21"/>
        <v>1941590</v>
      </c>
      <c r="B219" s="2" t="str">
        <f t="shared" si="14"/>
        <v>1941</v>
      </c>
      <c r="C219" s="8" t="str">
        <f t="shared" si="22"/>
        <v>1PremiumS5</v>
      </c>
      <c r="D219" s="8" t="str">
        <f t="shared" si="16"/>
        <v>1PremiumS5</v>
      </c>
      <c r="E219" s="10">
        <v>1</v>
      </c>
      <c r="F219" s="6">
        <v>590</v>
      </c>
      <c r="G219" s="8" t="str">
        <f>VLOOKUP(F219,[1]characters!$A:$C,3,FALSE)</f>
        <v>永遠を廻る呪い ニーベルゲン</v>
      </c>
      <c r="H219" s="8" t="str">
        <f>VLOOKUP(F219,[1]characters!$A:$J,10,FALSE)</f>
        <v>PremiumS</v>
      </c>
      <c r="I219" s="8">
        <f>VLOOKUP(F219,[1]characters!$A:$I,9,FALSE)</f>
        <v>5</v>
      </c>
      <c r="J219" s="8" t="str">
        <f>VLOOKUP(F219,[1]characters!$A:$H,8,FALSE)</f>
        <v>green</v>
      </c>
      <c r="K219" s="8" t="str">
        <f>VLOOKUP(F219,[1]characters!$A:$K,11,FALSE)</f>
        <v>balance</v>
      </c>
      <c r="L219" s="8" t="str">
        <f>VLOOKUP(F219,[1]characters!$A:$M,13,FALSE)</f>
        <v>unknown</v>
      </c>
      <c r="M219" s="16">
        <f>IFERROR(VLOOKUP(F219,gacha_conf!A$50:F$62,5+E219,FALSE),VLOOKUP(D219,gacha_conf!D$18:E$46,2,FALSE))</f>
        <v>554</v>
      </c>
      <c r="N219" s="37">
        <f>IFERROR(VLOOKUP($F219,bug_conf_sheet!$A:$H,3,FALSE),VLOOKUP("other",bug_conf_sheet!$A:$H,3,FALSE))</f>
        <v>1</v>
      </c>
      <c r="O219" s="37">
        <f>IFERROR(VLOOKUP($F219,bug_conf_sheet!$A:$H,4,FALSE),VLOOKUP("other",bug_conf_sheet!$A:$H,4,FALSE))</f>
        <v>0</v>
      </c>
      <c r="P219" s="37">
        <f>IFERROR(VLOOKUP($F219,bug_conf_sheet!$A:$H,5,FALSE),VLOOKUP("other",bug_conf_sheet!$A:$H,5,FALSE))</f>
        <v>0</v>
      </c>
      <c r="Q219" s="37">
        <f>IFERROR(VLOOKUP($F219,bug_conf_sheet!$A:$H,6,FALSE),VLOOKUP("other",bug_conf_sheet!$A:$H,6,FALSE))</f>
        <v>0</v>
      </c>
      <c r="R219" s="37">
        <f>IFERROR(VLOOKUP($F219,bug_conf_sheet!$A:$H,7,FALSE),VLOOKUP("other",bug_conf_sheet!$A:$H,7,FALSE))</f>
        <v>0</v>
      </c>
      <c r="S219" s="37">
        <f>IFERROR(VLOOKUP($F219,bug_conf_sheet!$A:$H,8,FALSE),VLOOKUP("other",bug_conf_sheet!$A:$H,8,FALSE))</f>
        <v>1</v>
      </c>
    </row>
    <row r="220" spans="1:19" ht="21" customHeight="1">
      <c r="A220" s="7" t="str">
        <f t="shared" si="21"/>
        <v>1941591</v>
      </c>
      <c r="B220" s="2" t="str">
        <f t="shared" si="14"/>
        <v>1941</v>
      </c>
      <c r="C220" s="8" t="str">
        <f t="shared" si="22"/>
        <v>1PremiumS3</v>
      </c>
      <c r="D220" s="8" t="str">
        <f t="shared" si="16"/>
        <v>1PremiumS3</v>
      </c>
      <c r="E220" s="10">
        <v>1</v>
      </c>
      <c r="F220" s="6">
        <v>591</v>
      </c>
      <c r="G220" s="8" t="str">
        <f>VLOOKUP(F220,[1]characters!$A:$C,3,FALSE)</f>
        <v>ファフニール</v>
      </c>
      <c r="H220" s="8" t="str">
        <f>VLOOKUP(F220,[1]characters!$A:$J,10,FALSE)</f>
        <v>PremiumS</v>
      </c>
      <c r="I220" s="8">
        <f>VLOOKUP(F220,[1]characters!$A:$I,9,FALSE)</f>
        <v>3</v>
      </c>
      <c r="J220" s="8" t="str">
        <f>VLOOKUP(F220,[1]characters!$A:$H,8,FALSE)</f>
        <v>blue</v>
      </c>
      <c r="K220" s="8" t="str">
        <f>VLOOKUP(F220,[1]characters!$A:$K,11,FALSE)</f>
        <v>technical</v>
      </c>
      <c r="L220" s="8" t="str">
        <f>VLOOKUP(F220,[1]characters!$A:$M,13,FALSE)</f>
        <v>dragon</v>
      </c>
      <c r="M220" s="16">
        <f>IFERROR(VLOOKUP(F220,gacha_conf!A$50:F$62,5+E220,FALSE),VLOOKUP(D220,gacha_conf!D$18:E$46,2,FALSE))</f>
        <v>6739</v>
      </c>
      <c r="N220" s="37">
        <f>IFERROR(VLOOKUP($F220,bug_conf_sheet!$A:$H,3,FALSE),VLOOKUP("other",bug_conf_sheet!$A:$H,3,FALSE))</f>
        <v>1</v>
      </c>
      <c r="O220" s="37">
        <f>IFERROR(VLOOKUP($F220,bug_conf_sheet!$A:$H,4,FALSE),VLOOKUP("other",bug_conf_sheet!$A:$H,4,FALSE))</f>
        <v>0</v>
      </c>
      <c r="P220" s="37">
        <f>IFERROR(VLOOKUP($F220,bug_conf_sheet!$A:$H,5,FALSE),VLOOKUP("other",bug_conf_sheet!$A:$H,5,FALSE))</f>
        <v>0</v>
      </c>
      <c r="Q220" s="37">
        <f>IFERROR(VLOOKUP($F220,bug_conf_sheet!$A:$H,6,FALSE),VLOOKUP("other",bug_conf_sheet!$A:$H,6,FALSE))</f>
        <v>0</v>
      </c>
      <c r="R220" s="37">
        <f>IFERROR(VLOOKUP($F220,bug_conf_sheet!$A:$H,7,FALSE),VLOOKUP("other",bug_conf_sheet!$A:$H,7,FALSE))</f>
        <v>0</v>
      </c>
      <c r="S220" s="37">
        <f>IFERROR(VLOOKUP($F220,bug_conf_sheet!$A:$H,8,FALSE),VLOOKUP("other",bug_conf_sheet!$A:$H,8,FALSE))</f>
        <v>1</v>
      </c>
    </row>
    <row r="221" spans="1:19" ht="21" customHeight="1">
      <c r="A221" s="7" t="str">
        <f t="shared" si="21"/>
        <v>1941592</v>
      </c>
      <c r="B221" s="2" t="str">
        <f t="shared" si="14"/>
        <v>1941</v>
      </c>
      <c r="C221" s="8" t="str">
        <f t="shared" si="22"/>
        <v>1PremiumS4</v>
      </c>
      <c r="D221" s="8" t="str">
        <f t="shared" si="16"/>
        <v>1PremiumS4</v>
      </c>
      <c r="E221" s="10">
        <v>1</v>
      </c>
      <c r="F221" s="6">
        <v>592</v>
      </c>
      <c r="G221" s="8" t="str">
        <f>VLOOKUP(F221,[1]characters!$A:$C,3,FALSE)</f>
        <v>財宝への執着 ファフニール</v>
      </c>
      <c r="H221" s="8" t="str">
        <f>VLOOKUP(F221,[1]characters!$A:$J,10,FALSE)</f>
        <v>PremiumS</v>
      </c>
      <c r="I221" s="8">
        <f>VLOOKUP(F221,[1]characters!$A:$I,9,FALSE)</f>
        <v>4</v>
      </c>
      <c r="J221" s="8" t="str">
        <f>VLOOKUP(F221,[1]characters!$A:$H,8,FALSE)</f>
        <v>blue</v>
      </c>
      <c r="K221" s="8" t="str">
        <f>VLOOKUP(F221,[1]characters!$A:$K,11,FALSE)</f>
        <v>technical</v>
      </c>
      <c r="L221" s="8" t="str">
        <f>VLOOKUP(F221,[1]characters!$A:$M,13,FALSE)</f>
        <v>dragon</v>
      </c>
      <c r="M221" s="16">
        <f>IFERROR(VLOOKUP(F221,gacha_conf!A$50:F$62,5+E221,FALSE),VLOOKUP(D221,gacha_conf!D$18:E$46,2,FALSE))</f>
        <v>1574</v>
      </c>
      <c r="N221" s="37">
        <f>IFERROR(VLOOKUP($F221,bug_conf_sheet!$A:$H,3,FALSE),VLOOKUP("other",bug_conf_sheet!$A:$H,3,FALSE))</f>
        <v>1</v>
      </c>
      <c r="O221" s="37">
        <f>IFERROR(VLOOKUP($F221,bug_conf_sheet!$A:$H,4,FALSE),VLOOKUP("other",bug_conf_sheet!$A:$H,4,FALSE))</f>
        <v>0</v>
      </c>
      <c r="P221" s="37">
        <f>IFERROR(VLOOKUP($F221,bug_conf_sheet!$A:$H,5,FALSE),VLOOKUP("other",bug_conf_sheet!$A:$H,5,FALSE))</f>
        <v>0</v>
      </c>
      <c r="Q221" s="37">
        <f>IFERROR(VLOOKUP($F221,bug_conf_sheet!$A:$H,6,FALSE),VLOOKUP("other",bug_conf_sheet!$A:$H,6,FALSE))</f>
        <v>0</v>
      </c>
      <c r="R221" s="37">
        <f>IFERROR(VLOOKUP($F221,bug_conf_sheet!$A:$H,7,FALSE),VLOOKUP("other",bug_conf_sheet!$A:$H,7,FALSE))</f>
        <v>0</v>
      </c>
      <c r="S221" s="37">
        <f>IFERROR(VLOOKUP($F221,bug_conf_sheet!$A:$H,8,FALSE),VLOOKUP("other",bug_conf_sheet!$A:$H,8,FALSE))</f>
        <v>1</v>
      </c>
    </row>
    <row r="222" spans="1:19" ht="21" customHeight="1">
      <c r="A222" s="7" t="str">
        <f t="shared" si="21"/>
        <v>1941593</v>
      </c>
      <c r="B222" s="2" t="str">
        <f t="shared" si="14"/>
        <v>1941</v>
      </c>
      <c r="C222" s="8" t="str">
        <f t="shared" si="22"/>
        <v>1PremiumS5</v>
      </c>
      <c r="D222" s="8" t="str">
        <f t="shared" si="16"/>
        <v>1PremiumS5</v>
      </c>
      <c r="E222" s="10">
        <v>1</v>
      </c>
      <c r="F222" s="6">
        <v>593</v>
      </c>
      <c r="G222" s="8" t="str">
        <f>VLOOKUP(F222,[1]characters!$A:$C,3,FALSE)</f>
        <v>妄執する邪毒龍 ファフニール</v>
      </c>
      <c r="H222" s="8" t="str">
        <f>VLOOKUP(F222,[1]characters!$A:$J,10,FALSE)</f>
        <v>PremiumS</v>
      </c>
      <c r="I222" s="8">
        <f>VLOOKUP(F222,[1]characters!$A:$I,9,FALSE)</f>
        <v>5</v>
      </c>
      <c r="J222" s="8" t="str">
        <f>VLOOKUP(F222,[1]characters!$A:$H,8,FALSE)</f>
        <v>blue</v>
      </c>
      <c r="K222" s="8" t="str">
        <f>VLOOKUP(F222,[1]characters!$A:$K,11,FALSE)</f>
        <v>technical</v>
      </c>
      <c r="L222" s="8" t="str">
        <f>VLOOKUP(F222,[1]characters!$A:$M,13,FALSE)</f>
        <v>dragon</v>
      </c>
      <c r="M222" s="16">
        <f>IFERROR(VLOOKUP(F222,gacha_conf!A$50:F$62,5+E222,FALSE),VLOOKUP(D222,gacha_conf!D$18:E$46,2,FALSE))</f>
        <v>554</v>
      </c>
      <c r="N222" s="37">
        <f>IFERROR(VLOOKUP($F222,bug_conf_sheet!$A:$H,3,FALSE),VLOOKUP("other",bug_conf_sheet!$A:$H,3,FALSE))</f>
        <v>1</v>
      </c>
      <c r="O222" s="37">
        <f>IFERROR(VLOOKUP($F222,bug_conf_sheet!$A:$H,4,FALSE),VLOOKUP("other",bug_conf_sheet!$A:$H,4,FALSE))</f>
        <v>0</v>
      </c>
      <c r="P222" s="37">
        <f>IFERROR(VLOOKUP($F222,bug_conf_sheet!$A:$H,5,FALSE),VLOOKUP("other",bug_conf_sheet!$A:$H,5,FALSE))</f>
        <v>0</v>
      </c>
      <c r="Q222" s="37">
        <f>IFERROR(VLOOKUP($F222,bug_conf_sheet!$A:$H,6,FALSE),VLOOKUP("other",bug_conf_sheet!$A:$H,6,FALSE))</f>
        <v>0</v>
      </c>
      <c r="R222" s="37">
        <f>IFERROR(VLOOKUP($F222,bug_conf_sheet!$A:$H,7,FALSE),VLOOKUP("other",bug_conf_sheet!$A:$H,7,FALSE))</f>
        <v>0</v>
      </c>
      <c r="S222" s="37">
        <f>IFERROR(VLOOKUP($F222,bug_conf_sheet!$A:$H,8,FALSE),VLOOKUP("other",bug_conf_sheet!$A:$H,8,FALSE))</f>
        <v>1</v>
      </c>
    </row>
    <row r="223" spans="1:19" ht="21" customHeight="1">
      <c r="A223" s="7" t="str">
        <f t="shared" si="21"/>
        <v>1941594</v>
      </c>
      <c r="B223" s="2" t="str">
        <f t="shared" si="14"/>
        <v>1941</v>
      </c>
      <c r="C223" s="8" t="str">
        <f t="shared" si="22"/>
        <v>1PremiumSS4</v>
      </c>
      <c r="D223" s="8" t="str">
        <f t="shared" si="16"/>
        <v>1PremiumSS4</v>
      </c>
      <c r="E223" s="10">
        <v>1</v>
      </c>
      <c r="F223" s="6">
        <v>594</v>
      </c>
      <c r="G223" s="8" t="str">
        <f>VLOOKUP(F223,[1]characters!$A:$C,3,FALSE)</f>
        <v>アルフヘイム</v>
      </c>
      <c r="H223" s="8" t="str">
        <f>VLOOKUP(F223,[1]characters!$A:$J,10,FALSE)</f>
        <v>PremiumSS</v>
      </c>
      <c r="I223" s="8">
        <f>VLOOKUP(F223,[1]characters!$A:$I,9,FALSE)</f>
        <v>4</v>
      </c>
      <c r="J223" s="8" t="str">
        <f>VLOOKUP(F223,[1]characters!$A:$H,8,FALSE)</f>
        <v>yellow</v>
      </c>
      <c r="K223" s="8" t="str">
        <f>VLOOKUP(F223,[1]characters!$A:$K,11,FALSE)</f>
        <v>attack</v>
      </c>
      <c r="L223" s="8" t="str">
        <f>VLOOKUP(F223,[1]characters!$A:$M,13,FALSE)</f>
        <v>dragon</v>
      </c>
      <c r="M223" s="16">
        <f>IFERROR(VLOOKUP(F223,gacha_conf!A$50:F$62,5+E223,FALSE),VLOOKUP(D223,gacha_conf!D$18:E$46,2,FALSE))</f>
        <v>997</v>
      </c>
      <c r="N223" s="37">
        <f>IFERROR(VLOOKUP($F223,bug_conf_sheet!$A:$H,3,FALSE),VLOOKUP("other",bug_conf_sheet!$A:$H,3,FALSE))</f>
        <v>1</v>
      </c>
      <c r="O223" s="37">
        <f>IFERROR(VLOOKUP($F223,bug_conf_sheet!$A:$H,4,FALSE),VLOOKUP("other",bug_conf_sheet!$A:$H,4,FALSE))</f>
        <v>0</v>
      </c>
      <c r="P223" s="37">
        <f>IFERROR(VLOOKUP($F223,bug_conf_sheet!$A:$H,5,FALSE),VLOOKUP("other",bug_conf_sheet!$A:$H,5,FALSE))</f>
        <v>0</v>
      </c>
      <c r="Q223" s="37">
        <f>IFERROR(VLOOKUP($F223,bug_conf_sheet!$A:$H,6,FALSE),VLOOKUP("other",bug_conf_sheet!$A:$H,6,FALSE))</f>
        <v>0</v>
      </c>
      <c r="R223" s="37">
        <f>IFERROR(VLOOKUP($F223,bug_conf_sheet!$A:$H,7,FALSE),VLOOKUP("other",bug_conf_sheet!$A:$H,7,FALSE))</f>
        <v>0</v>
      </c>
      <c r="S223" s="37">
        <f>IFERROR(VLOOKUP($F223,bug_conf_sheet!$A:$H,8,FALSE),VLOOKUP("other",bug_conf_sheet!$A:$H,8,FALSE))</f>
        <v>1</v>
      </c>
    </row>
    <row r="224" spans="1:19" ht="21" customHeight="1">
      <c r="A224" s="7" t="str">
        <f t="shared" si="21"/>
        <v>1941595</v>
      </c>
      <c r="B224" s="2" t="str">
        <f t="shared" si="14"/>
        <v>1941</v>
      </c>
      <c r="C224" s="8" t="str">
        <f t="shared" si="22"/>
        <v>1PremiumSS5</v>
      </c>
      <c r="D224" s="8" t="str">
        <f t="shared" si="16"/>
        <v>1PremiumSS5</v>
      </c>
      <c r="E224" s="10">
        <v>1</v>
      </c>
      <c r="F224" s="6">
        <v>595</v>
      </c>
      <c r="G224" s="8" t="str">
        <f>VLOOKUP(F224,[1]characters!$A:$C,3,FALSE)</f>
        <v>光華なる神域 アルフヘイム</v>
      </c>
      <c r="H224" s="8" t="str">
        <f>VLOOKUP(F224,[1]characters!$A:$J,10,FALSE)</f>
        <v>PremiumSS</v>
      </c>
      <c r="I224" s="8">
        <f>VLOOKUP(F224,[1]characters!$A:$I,9,FALSE)</f>
        <v>5</v>
      </c>
      <c r="J224" s="8" t="str">
        <f>VLOOKUP(F224,[1]characters!$A:$H,8,FALSE)</f>
        <v>yellow</v>
      </c>
      <c r="K224" s="8" t="str">
        <f>VLOOKUP(F224,[1]characters!$A:$K,11,FALSE)</f>
        <v>attack</v>
      </c>
      <c r="L224" s="8" t="str">
        <f>VLOOKUP(F224,[1]characters!$A:$M,13,FALSE)</f>
        <v>dragon</v>
      </c>
      <c r="M224" s="16">
        <f>IFERROR(VLOOKUP(F224,gacha_conf!A$50:F$62,5+E224,FALSE),VLOOKUP(D224,gacha_conf!D$18:E$46,2,FALSE))</f>
        <v>66</v>
      </c>
      <c r="N224" s="37">
        <f>IFERROR(VLOOKUP($F224,bug_conf_sheet!$A:$H,3,FALSE),VLOOKUP("other",bug_conf_sheet!$A:$H,3,FALSE))</f>
        <v>1</v>
      </c>
      <c r="O224" s="37">
        <f>IFERROR(VLOOKUP($F224,bug_conf_sheet!$A:$H,4,FALSE),VLOOKUP("other",bug_conf_sheet!$A:$H,4,FALSE))</f>
        <v>0</v>
      </c>
      <c r="P224" s="37">
        <f>IFERROR(VLOOKUP($F224,bug_conf_sheet!$A:$H,5,FALSE),VLOOKUP("other",bug_conf_sheet!$A:$H,5,FALSE))</f>
        <v>0</v>
      </c>
      <c r="Q224" s="37">
        <f>IFERROR(VLOOKUP($F224,bug_conf_sheet!$A:$H,6,FALSE),VLOOKUP("other",bug_conf_sheet!$A:$H,6,FALSE))</f>
        <v>0</v>
      </c>
      <c r="R224" s="37">
        <f>IFERROR(VLOOKUP($F224,bug_conf_sheet!$A:$H,7,FALSE),VLOOKUP("other",bug_conf_sheet!$A:$H,7,FALSE))</f>
        <v>0</v>
      </c>
      <c r="S224" s="37">
        <f>IFERROR(VLOOKUP($F224,bug_conf_sheet!$A:$H,8,FALSE),VLOOKUP("other",bug_conf_sheet!$A:$H,8,FALSE))</f>
        <v>1</v>
      </c>
    </row>
    <row r="225" spans="1:19" ht="21" customHeight="1">
      <c r="A225" s="7" t="str">
        <f t="shared" ref="A225:A235" si="23">B225&amp;F225</f>
        <v>1941596</v>
      </c>
      <c r="B225" s="2" t="str">
        <f t="shared" si="14"/>
        <v>1941</v>
      </c>
      <c r="C225" s="8" t="str">
        <f t="shared" ref="C225:C235" si="24">E225&amp;H225&amp;I225</f>
        <v>1PremiumS3</v>
      </c>
      <c r="D225" s="8" t="str">
        <f t="shared" si="16"/>
        <v>1PremiumS3</v>
      </c>
      <c r="E225" s="10">
        <v>1</v>
      </c>
      <c r="F225" s="6">
        <v>596</v>
      </c>
      <c r="G225" s="8" t="str">
        <f>VLOOKUP(F225,[1]characters!$A:$C,3,FALSE)</f>
        <v>ムスペルヘイム</v>
      </c>
      <c r="H225" s="8" t="str">
        <f>VLOOKUP(F225,[1]characters!$A:$J,10,FALSE)</f>
        <v>PremiumS</v>
      </c>
      <c r="I225" s="8">
        <f>VLOOKUP(F225,[1]characters!$A:$I,9,FALSE)</f>
        <v>3</v>
      </c>
      <c r="J225" s="8" t="str">
        <f>VLOOKUP(F225,[1]characters!$A:$H,8,FALSE)</f>
        <v>red</v>
      </c>
      <c r="K225" s="8" t="str">
        <f>VLOOKUP(F225,[1]characters!$A:$K,11,FALSE)</f>
        <v>balance</v>
      </c>
      <c r="L225" s="8" t="str">
        <f>VLOOKUP(F225,[1]characters!$A:$M,13,FALSE)</f>
        <v>human</v>
      </c>
      <c r="M225" s="16">
        <f>IFERROR(VLOOKUP(F225,gacha_conf!A$50:F$62,5+E225,FALSE),VLOOKUP(D225,gacha_conf!D$18:E$46,2,FALSE))</f>
        <v>6739</v>
      </c>
      <c r="N225" s="37">
        <f>IFERROR(VLOOKUP($F225,bug_conf_sheet!$A:$H,3,FALSE),VLOOKUP("other",bug_conf_sheet!$A:$H,3,FALSE))</f>
        <v>1</v>
      </c>
      <c r="O225" s="37">
        <f>IFERROR(VLOOKUP($F225,bug_conf_sheet!$A:$H,4,FALSE),VLOOKUP("other",bug_conf_sheet!$A:$H,4,FALSE))</f>
        <v>0</v>
      </c>
      <c r="P225" s="37">
        <f>IFERROR(VLOOKUP($F225,bug_conf_sheet!$A:$H,5,FALSE),VLOOKUP("other",bug_conf_sheet!$A:$H,5,FALSE))</f>
        <v>0</v>
      </c>
      <c r="Q225" s="37">
        <f>IFERROR(VLOOKUP($F225,bug_conf_sheet!$A:$H,6,FALSE),VLOOKUP("other",bug_conf_sheet!$A:$H,6,FALSE))</f>
        <v>0</v>
      </c>
      <c r="R225" s="37">
        <f>IFERROR(VLOOKUP($F225,bug_conf_sheet!$A:$H,7,FALSE),VLOOKUP("other",bug_conf_sheet!$A:$H,7,FALSE))</f>
        <v>0</v>
      </c>
      <c r="S225" s="37">
        <f>IFERROR(VLOOKUP($F225,bug_conf_sheet!$A:$H,8,FALSE),VLOOKUP("other",bug_conf_sheet!$A:$H,8,FALSE))</f>
        <v>1</v>
      </c>
    </row>
    <row r="226" spans="1:19" ht="21" customHeight="1">
      <c r="A226" s="7" t="str">
        <f t="shared" si="23"/>
        <v>1941597</v>
      </c>
      <c r="B226" s="2" t="str">
        <f t="shared" si="14"/>
        <v>1941</v>
      </c>
      <c r="C226" s="8" t="str">
        <f t="shared" si="24"/>
        <v>1PremiumS4</v>
      </c>
      <c r="D226" s="8" t="str">
        <f t="shared" si="16"/>
        <v>1PremiumS4</v>
      </c>
      <c r="E226" s="10">
        <v>1</v>
      </c>
      <c r="F226" s="6">
        <v>597</v>
      </c>
      <c r="G226" s="8" t="str">
        <f>VLOOKUP(F226,[1]characters!$A:$C,3,FALSE)</f>
        <v>灼熱の魂 ムスペルヘイム</v>
      </c>
      <c r="H226" s="8" t="str">
        <f>VLOOKUP(F226,[1]characters!$A:$J,10,FALSE)</f>
        <v>PremiumS</v>
      </c>
      <c r="I226" s="8">
        <f>VLOOKUP(F226,[1]characters!$A:$I,9,FALSE)</f>
        <v>4</v>
      </c>
      <c r="J226" s="8" t="str">
        <f>VLOOKUP(F226,[1]characters!$A:$H,8,FALSE)</f>
        <v>red</v>
      </c>
      <c r="K226" s="8" t="str">
        <f>VLOOKUP(F226,[1]characters!$A:$K,11,FALSE)</f>
        <v>balance</v>
      </c>
      <c r="L226" s="8" t="str">
        <f>VLOOKUP(F226,[1]characters!$A:$M,13,FALSE)</f>
        <v>human</v>
      </c>
      <c r="M226" s="16">
        <f>IFERROR(VLOOKUP(F226,gacha_conf!A$50:F$62,5+E226,FALSE),VLOOKUP(D226,gacha_conf!D$18:E$46,2,FALSE))</f>
        <v>1574</v>
      </c>
      <c r="N226" s="37">
        <f>IFERROR(VLOOKUP($F226,bug_conf_sheet!$A:$H,3,FALSE),VLOOKUP("other",bug_conf_sheet!$A:$H,3,FALSE))</f>
        <v>1</v>
      </c>
      <c r="O226" s="37">
        <f>IFERROR(VLOOKUP($F226,bug_conf_sheet!$A:$H,4,FALSE),VLOOKUP("other",bug_conf_sheet!$A:$H,4,FALSE))</f>
        <v>0</v>
      </c>
      <c r="P226" s="37">
        <f>IFERROR(VLOOKUP($F226,bug_conf_sheet!$A:$H,5,FALSE),VLOOKUP("other",bug_conf_sheet!$A:$H,5,FALSE))</f>
        <v>0</v>
      </c>
      <c r="Q226" s="37">
        <f>IFERROR(VLOOKUP($F226,bug_conf_sheet!$A:$H,6,FALSE),VLOOKUP("other",bug_conf_sheet!$A:$H,6,FALSE))</f>
        <v>0</v>
      </c>
      <c r="R226" s="37">
        <f>IFERROR(VLOOKUP($F226,bug_conf_sheet!$A:$H,7,FALSE),VLOOKUP("other",bug_conf_sheet!$A:$H,7,FALSE))</f>
        <v>0</v>
      </c>
      <c r="S226" s="37">
        <f>IFERROR(VLOOKUP($F226,bug_conf_sheet!$A:$H,8,FALSE),VLOOKUP("other",bug_conf_sheet!$A:$H,8,FALSE))</f>
        <v>1</v>
      </c>
    </row>
    <row r="227" spans="1:19" ht="21" customHeight="1">
      <c r="A227" s="7" t="str">
        <f t="shared" si="23"/>
        <v>1941598</v>
      </c>
      <c r="B227" s="2" t="str">
        <f t="shared" si="14"/>
        <v>1941</v>
      </c>
      <c r="C227" s="8" t="str">
        <f t="shared" si="24"/>
        <v>1PremiumS5</v>
      </c>
      <c r="D227" s="8" t="str">
        <f t="shared" si="16"/>
        <v>1PremiumS5</v>
      </c>
      <c r="E227" s="10">
        <v>1</v>
      </c>
      <c r="F227" s="6">
        <v>598</v>
      </c>
      <c r="G227" s="8" t="str">
        <f>VLOOKUP(F227,[1]characters!$A:$C,3,FALSE)</f>
        <v>焼燃の情熱 ムスペルヘイム</v>
      </c>
      <c r="H227" s="8" t="str">
        <f>VLOOKUP(F227,[1]characters!$A:$J,10,FALSE)</f>
        <v>PremiumS</v>
      </c>
      <c r="I227" s="8">
        <f>VLOOKUP(F227,[1]characters!$A:$I,9,FALSE)</f>
        <v>5</v>
      </c>
      <c r="J227" s="8" t="str">
        <f>VLOOKUP(F227,[1]characters!$A:$H,8,FALSE)</f>
        <v>red</v>
      </c>
      <c r="K227" s="8" t="str">
        <f>VLOOKUP(F227,[1]characters!$A:$K,11,FALSE)</f>
        <v>balance</v>
      </c>
      <c r="L227" s="8" t="str">
        <f>VLOOKUP(F227,[1]characters!$A:$M,13,FALSE)</f>
        <v>human</v>
      </c>
      <c r="M227" s="16">
        <f>IFERROR(VLOOKUP(F227,gacha_conf!A$50:F$62,5+E227,FALSE),VLOOKUP(D227,gacha_conf!D$18:E$46,2,FALSE))</f>
        <v>554</v>
      </c>
      <c r="N227" s="37">
        <f>IFERROR(VLOOKUP($F227,bug_conf_sheet!$A:$H,3,FALSE),VLOOKUP("other",bug_conf_sheet!$A:$H,3,FALSE))</f>
        <v>1</v>
      </c>
      <c r="O227" s="37">
        <f>IFERROR(VLOOKUP($F227,bug_conf_sheet!$A:$H,4,FALSE),VLOOKUP("other",bug_conf_sheet!$A:$H,4,FALSE))</f>
        <v>0</v>
      </c>
      <c r="P227" s="37">
        <f>IFERROR(VLOOKUP($F227,bug_conf_sheet!$A:$H,5,FALSE),VLOOKUP("other",bug_conf_sheet!$A:$H,5,FALSE))</f>
        <v>0</v>
      </c>
      <c r="Q227" s="37">
        <f>IFERROR(VLOOKUP($F227,bug_conf_sheet!$A:$H,6,FALSE),VLOOKUP("other",bug_conf_sheet!$A:$H,6,FALSE))</f>
        <v>0</v>
      </c>
      <c r="R227" s="37">
        <f>IFERROR(VLOOKUP($F227,bug_conf_sheet!$A:$H,7,FALSE),VLOOKUP("other",bug_conf_sheet!$A:$H,7,FALSE))</f>
        <v>0</v>
      </c>
      <c r="S227" s="37">
        <f>IFERROR(VLOOKUP($F227,bug_conf_sheet!$A:$H,8,FALSE),VLOOKUP("other",bug_conf_sheet!$A:$H,8,FALSE))</f>
        <v>1</v>
      </c>
    </row>
    <row r="228" spans="1:19" ht="21" customHeight="1">
      <c r="A228" s="7" t="str">
        <f t="shared" si="23"/>
        <v>1941599</v>
      </c>
      <c r="B228" s="2" t="str">
        <f t="shared" si="14"/>
        <v>1941</v>
      </c>
      <c r="C228" s="8" t="str">
        <f t="shared" si="24"/>
        <v>1PremiumS3</v>
      </c>
      <c r="D228" s="8" t="str">
        <f t="shared" si="16"/>
        <v>1PremiumS3</v>
      </c>
      <c r="E228" s="10">
        <v>1</v>
      </c>
      <c r="F228" s="6">
        <v>599</v>
      </c>
      <c r="G228" s="8" t="str">
        <f>VLOOKUP(F228,[1]characters!$A:$C,3,FALSE)</f>
        <v>ニーズヘッグ</v>
      </c>
      <c r="H228" s="8" t="str">
        <f>VLOOKUP(F228,[1]characters!$A:$J,10,FALSE)</f>
        <v>PremiumS</v>
      </c>
      <c r="I228" s="8">
        <f>VLOOKUP(F228,[1]characters!$A:$I,9,FALSE)</f>
        <v>3</v>
      </c>
      <c r="J228" s="8" t="str">
        <f>VLOOKUP(F228,[1]characters!$A:$H,8,FALSE)</f>
        <v>green</v>
      </c>
      <c r="K228" s="8" t="str">
        <f>VLOOKUP(F228,[1]characters!$A:$K,11,FALSE)</f>
        <v>attack</v>
      </c>
      <c r="L228" s="8" t="str">
        <f>VLOOKUP(F228,[1]characters!$A:$M,13,FALSE)</f>
        <v>dragon</v>
      </c>
      <c r="M228" s="16">
        <f>IFERROR(VLOOKUP(F228,gacha_conf!A$50:F$62,5+E228,FALSE),VLOOKUP(D228,gacha_conf!D$18:E$46,2,FALSE))</f>
        <v>6739</v>
      </c>
      <c r="N228" s="37">
        <f>IFERROR(VLOOKUP($F228,bug_conf_sheet!$A:$H,3,FALSE),VLOOKUP("other",bug_conf_sheet!$A:$H,3,FALSE))</f>
        <v>1</v>
      </c>
      <c r="O228" s="37">
        <f>IFERROR(VLOOKUP($F228,bug_conf_sheet!$A:$H,4,FALSE),VLOOKUP("other",bug_conf_sheet!$A:$H,4,FALSE))</f>
        <v>0</v>
      </c>
      <c r="P228" s="37">
        <f>IFERROR(VLOOKUP($F228,bug_conf_sheet!$A:$H,5,FALSE),VLOOKUP("other",bug_conf_sheet!$A:$H,5,FALSE))</f>
        <v>0</v>
      </c>
      <c r="Q228" s="37">
        <f>IFERROR(VLOOKUP($F228,bug_conf_sheet!$A:$H,6,FALSE),VLOOKUP("other",bug_conf_sheet!$A:$H,6,FALSE))</f>
        <v>0</v>
      </c>
      <c r="R228" s="37">
        <f>IFERROR(VLOOKUP($F228,bug_conf_sheet!$A:$H,7,FALSE),VLOOKUP("other",bug_conf_sheet!$A:$H,7,FALSE))</f>
        <v>0</v>
      </c>
      <c r="S228" s="37">
        <f>IFERROR(VLOOKUP($F228,bug_conf_sheet!$A:$H,8,FALSE),VLOOKUP("other",bug_conf_sheet!$A:$H,8,FALSE))</f>
        <v>1</v>
      </c>
    </row>
    <row r="229" spans="1:19" ht="21" customHeight="1">
      <c r="A229" s="7" t="str">
        <f t="shared" si="23"/>
        <v>1941600</v>
      </c>
      <c r="B229" s="2" t="str">
        <f t="shared" si="14"/>
        <v>1941</v>
      </c>
      <c r="C229" s="8" t="str">
        <f t="shared" si="24"/>
        <v>1PremiumS4</v>
      </c>
      <c r="D229" s="8" t="str">
        <f t="shared" si="16"/>
        <v>1PremiumS4</v>
      </c>
      <c r="E229" s="10">
        <v>1</v>
      </c>
      <c r="F229" s="6">
        <v>600</v>
      </c>
      <c r="G229" s="8" t="str">
        <f>VLOOKUP(F229,[1]characters!$A:$C,3,FALSE)</f>
        <v>界下に潜む蛇 ニーズヘッグ</v>
      </c>
      <c r="H229" s="8" t="str">
        <f>VLOOKUP(F229,[1]characters!$A:$J,10,FALSE)</f>
        <v>PremiumS</v>
      </c>
      <c r="I229" s="8">
        <f>VLOOKUP(F229,[1]characters!$A:$I,9,FALSE)</f>
        <v>4</v>
      </c>
      <c r="J229" s="8" t="str">
        <f>VLOOKUP(F229,[1]characters!$A:$H,8,FALSE)</f>
        <v>green</v>
      </c>
      <c r="K229" s="8" t="str">
        <f>VLOOKUP(F229,[1]characters!$A:$K,11,FALSE)</f>
        <v>attack</v>
      </c>
      <c r="L229" s="8" t="str">
        <f>VLOOKUP(F229,[1]characters!$A:$M,13,FALSE)</f>
        <v>dragon</v>
      </c>
      <c r="M229" s="16">
        <f>IFERROR(VLOOKUP(F229,gacha_conf!A$50:F$62,5+E229,FALSE),VLOOKUP(D229,gacha_conf!D$18:E$46,2,FALSE))</f>
        <v>1574</v>
      </c>
      <c r="N229" s="37">
        <f>IFERROR(VLOOKUP($F229,bug_conf_sheet!$A:$H,3,FALSE),VLOOKUP("other",bug_conf_sheet!$A:$H,3,FALSE))</f>
        <v>1</v>
      </c>
      <c r="O229" s="37">
        <f>IFERROR(VLOOKUP($F229,bug_conf_sheet!$A:$H,4,FALSE),VLOOKUP("other",bug_conf_sheet!$A:$H,4,FALSE))</f>
        <v>0</v>
      </c>
      <c r="P229" s="37">
        <f>IFERROR(VLOOKUP($F229,bug_conf_sheet!$A:$H,5,FALSE),VLOOKUP("other",bug_conf_sheet!$A:$H,5,FALSE))</f>
        <v>0</v>
      </c>
      <c r="Q229" s="37">
        <f>IFERROR(VLOOKUP($F229,bug_conf_sheet!$A:$H,6,FALSE),VLOOKUP("other",bug_conf_sheet!$A:$H,6,FALSE))</f>
        <v>0</v>
      </c>
      <c r="R229" s="37">
        <f>IFERROR(VLOOKUP($F229,bug_conf_sheet!$A:$H,7,FALSE),VLOOKUP("other",bug_conf_sheet!$A:$H,7,FALSE))</f>
        <v>0</v>
      </c>
      <c r="S229" s="37">
        <f>IFERROR(VLOOKUP($F229,bug_conf_sheet!$A:$H,8,FALSE),VLOOKUP("other",bug_conf_sheet!$A:$H,8,FALSE))</f>
        <v>1</v>
      </c>
    </row>
    <row r="230" spans="1:19" ht="21" customHeight="1">
      <c r="A230" s="7" t="str">
        <f t="shared" si="23"/>
        <v>1941601</v>
      </c>
      <c r="B230" s="2" t="str">
        <f t="shared" si="14"/>
        <v>1941</v>
      </c>
      <c r="C230" s="8" t="str">
        <f t="shared" si="24"/>
        <v>1PremiumS5</v>
      </c>
      <c r="D230" s="8" t="str">
        <f t="shared" si="16"/>
        <v>1PremiumS5</v>
      </c>
      <c r="E230" s="10">
        <v>1</v>
      </c>
      <c r="F230" s="6">
        <v>601</v>
      </c>
      <c r="G230" s="8" t="str">
        <f>VLOOKUP(F230,[1]characters!$A:$C,3,FALSE)</f>
        <v>界根蝕む悪食 ニーズヘッグ</v>
      </c>
      <c r="H230" s="8" t="str">
        <f>VLOOKUP(F230,[1]characters!$A:$J,10,FALSE)</f>
        <v>PremiumS</v>
      </c>
      <c r="I230" s="8">
        <f>VLOOKUP(F230,[1]characters!$A:$I,9,FALSE)</f>
        <v>5</v>
      </c>
      <c r="J230" s="8" t="str">
        <f>VLOOKUP(F230,[1]characters!$A:$H,8,FALSE)</f>
        <v>green</v>
      </c>
      <c r="K230" s="8" t="str">
        <f>VLOOKUP(F230,[1]characters!$A:$K,11,FALSE)</f>
        <v>attack</v>
      </c>
      <c r="L230" s="8" t="str">
        <f>VLOOKUP(F230,[1]characters!$A:$M,13,FALSE)</f>
        <v>dragon</v>
      </c>
      <c r="M230" s="16">
        <f>IFERROR(VLOOKUP(F230,gacha_conf!A$50:F$62,5+E230,FALSE),VLOOKUP(D230,gacha_conf!D$18:E$46,2,FALSE))</f>
        <v>554</v>
      </c>
      <c r="N230" s="37">
        <f>IFERROR(VLOOKUP($F230,bug_conf_sheet!$A:$H,3,FALSE),VLOOKUP("other",bug_conf_sheet!$A:$H,3,FALSE))</f>
        <v>1</v>
      </c>
      <c r="O230" s="37">
        <f>IFERROR(VLOOKUP($F230,bug_conf_sheet!$A:$H,4,FALSE),VLOOKUP("other",bug_conf_sheet!$A:$H,4,FALSE))</f>
        <v>0</v>
      </c>
      <c r="P230" s="37">
        <f>IFERROR(VLOOKUP($F230,bug_conf_sheet!$A:$H,5,FALSE),VLOOKUP("other",bug_conf_sheet!$A:$H,5,FALSE))</f>
        <v>0</v>
      </c>
      <c r="Q230" s="37">
        <f>IFERROR(VLOOKUP($F230,bug_conf_sheet!$A:$H,6,FALSE),VLOOKUP("other",bug_conf_sheet!$A:$H,6,FALSE))</f>
        <v>0</v>
      </c>
      <c r="R230" s="37">
        <f>IFERROR(VLOOKUP($F230,bug_conf_sheet!$A:$H,7,FALSE),VLOOKUP("other",bug_conf_sheet!$A:$H,7,FALSE))</f>
        <v>0</v>
      </c>
      <c r="S230" s="37">
        <f>IFERROR(VLOOKUP($F230,bug_conf_sheet!$A:$H,8,FALSE),VLOOKUP("other",bug_conf_sheet!$A:$H,8,FALSE))</f>
        <v>1</v>
      </c>
    </row>
    <row r="231" spans="1:19" ht="21" customHeight="1">
      <c r="A231" s="7" t="str">
        <f t="shared" si="23"/>
        <v>1941602</v>
      </c>
      <c r="B231" s="2" t="str">
        <f t="shared" si="14"/>
        <v>1941</v>
      </c>
      <c r="C231" s="8" t="str">
        <f t="shared" si="24"/>
        <v>1PremiumSS4</v>
      </c>
      <c r="D231" s="8" t="str">
        <f t="shared" si="16"/>
        <v>1PremiumSS4</v>
      </c>
      <c r="E231" s="10">
        <v>1</v>
      </c>
      <c r="F231" s="6">
        <v>602</v>
      </c>
      <c r="G231" s="8" t="str">
        <f>VLOOKUP(F231,[1]characters!$A:$C,3,FALSE)</f>
        <v>フレイヤ</v>
      </c>
      <c r="H231" s="8" t="str">
        <f>VLOOKUP(F231,[1]characters!$A:$J,10,FALSE)</f>
        <v>PremiumSS</v>
      </c>
      <c r="I231" s="8">
        <f>VLOOKUP(F231,[1]characters!$A:$I,9,FALSE)</f>
        <v>4</v>
      </c>
      <c r="J231" s="8" t="str">
        <f>VLOOKUP(F231,[1]characters!$A:$H,8,FALSE)</f>
        <v>blue</v>
      </c>
      <c r="K231" s="8" t="str">
        <f>VLOOKUP(F231,[1]characters!$A:$K,11,FALSE)</f>
        <v>heal</v>
      </c>
      <c r="L231" s="8" t="str">
        <f>VLOOKUP(F231,[1]characters!$A:$M,13,FALSE)</f>
        <v>animal</v>
      </c>
      <c r="M231" s="16">
        <f>IFERROR(VLOOKUP(F231,gacha_conf!A$50:F$62,5+E231,FALSE),VLOOKUP(D231,gacha_conf!D$18:E$46,2,FALSE))</f>
        <v>997</v>
      </c>
      <c r="N231" s="37">
        <f>IFERROR(VLOOKUP($F231,bug_conf_sheet!$A:$H,3,FALSE),VLOOKUP("other",bug_conf_sheet!$A:$H,3,FALSE))</f>
        <v>1</v>
      </c>
      <c r="O231" s="37">
        <f>IFERROR(VLOOKUP($F231,bug_conf_sheet!$A:$H,4,FALSE),VLOOKUP("other",bug_conf_sheet!$A:$H,4,FALSE))</f>
        <v>0</v>
      </c>
      <c r="P231" s="37">
        <f>IFERROR(VLOOKUP($F231,bug_conf_sheet!$A:$H,5,FALSE),VLOOKUP("other",bug_conf_sheet!$A:$H,5,FALSE))</f>
        <v>0</v>
      </c>
      <c r="Q231" s="37">
        <f>IFERROR(VLOOKUP($F231,bug_conf_sheet!$A:$H,6,FALSE),VLOOKUP("other",bug_conf_sheet!$A:$H,6,FALSE))</f>
        <v>0</v>
      </c>
      <c r="R231" s="37">
        <f>IFERROR(VLOOKUP($F231,bug_conf_sheet!$A:$H,7,FALSE),VLOOKUP("other",bug_conf_sheet!$A:$H,7,FALSE))</f>
        <v>0</v>
      </c>
      <c r="S231" s="37">
        <f>IFERROR(VLOOKUP($F231,bug_conf_sheet!$A:$H,8,FALSE),VLOOKUP("other",bug_conf_sheet!$A:$H,8,FALSE))</f>
        <v>1</v>
      </c>
    </row>
    <row r="232" spans="1:19" ht="21" customHeight="1">
      <c r="A232" s="7" t="str">
        <f t="shared" si="23"/>
        <v>1941603</v>
      </c>
      <c r="B232" s="2" t="str">
        <f t="shared" si="14"/>
        <v>1941</v>
      </c>
      <c r="C232" s="8" t="str">
        <f t="shared" si="24"/>
        <v>1PremiumSS5</v>
      </c>
      <c r="D232" s="8" t="str">
        <f t="shared" si="16"/>
        <v>1PremiumSS5</v>
      </c>
      <c r="E232" s="10">
        <v>1</v>
      </c>
      <c r="F232" s="6">
        <v>603</v>
      </c>
      <c r="G232" s="8" t="str">
        <f>VLOOKUP(F232,[1]characters!$A:$C,3,FALSE)</f>
        <v>掌愛の豊穣女神 フレイヤ</v>
      </c>
      <c r="H232" s="8" t="str">
        <f>VLOOKUP(F232,[1]characters!$A:$J,10,FALSE)</f>
        <v>PremiumSS</v>
      </c>
      <c r="I232" s="8">
        <f>VLOOKUP(F232,[1]characters!$A:$I,9,FALSE)</f>
        <v>5</v>
      </c>
      <c r="J232" s="8" t="str">
        <f>VLOOKUP(F232,[1]characters!$A:$H,8,FALSE)</f>
        <v>blue</v>
      </c>
      <c r="K232" s="8" t="str">
        <f>VLOOKUP(F232,[1]characters!$A:$K,11,FALSE)</f>
        <v>heal</v>
      </c>
      <c r="L232" s="8" t="str">
        <f>VLOOKUP(F232,[1]characters!$A:$M,13,FALSE)</f>
        <v>animal</v>
      </c>
      <c r="M232" s="16">
        <f>IFERROR(VLOOKUP(F232,gacha_conf!A$50:F$62,5+E232,FALSE),VLOOKUP(D232,gacha_conf!D$18:E$46,2,FALSE))</f>
        <v>66</v>
      </c>
      <c r="N232" s="37">
        <f>IFERROR(VLOOKUP($F232,bug_conf_sheet!$A:$H,3,FALSE),VLOOKUP("other",bug_conf_sheet!$A:$H,3,FALSE))</f>
        <v>1</v>
      </c>
      <c r="O232" s="37">
        <f>IFERROR(VLOOKUP($F232,bug_conf_sheet!$A:$H,4,FALSE),VLOOKUP("other",bug_conf_sheet!$A:$H,4,FALSE))</f>
        <v>0</v>
      </c>
      <c r="P232" s="37">
        <f>IFERROR(VLOOKUP($F232,bug_conf_sheet!$A:$H,5,FALSE),VLOOKUP("other",bug_conf_sheet!$A:$H,5,FALSE))</f>
        <v>0</v>
      </c>
      <c r="Q232" s="37">
        <f>IFERROR(VLOOKUP($F232,bug_conf_sheet!$A:$H,6,FALSE),VLOOKUP("other",bug_conf_sheet!$A:$H,6,FALSE))</f>
        <v>0</v>
      </c>
      <c r="R232" s="37">
        <f>IFERROR(VLOOKUP($F232,bug_conf_sheet!$A:$H,7,FALSE),VLOOKUP("other",bug_conf_sheet!$A:$H,7,FALSE))</f>
        <v>0</v>
      </c>
      <c r="S232" s="37">
        <f>IFERROR(VLOOKUP($F232,bug_conf_sheet!$A:$H,8,FALSE),VLOOKUP("other",bug_conf_sheet!$A:$H,8,FALSE))</f>
        <v>1</v>
      </c>
    </row>
    <row r="233" spans="1:19" ht="21" customHeight="1">
      <c r="A233" s="7" t="str">
        <f t="shared" si="23"/>
        <v>1941604</v>
      </c>
      <c r="B233" s="2" t="str">
        <f t="shared" si="14"/>
        <v>1941</v>
      </c>
      <c r="C233" s="8" t="str">
        <f t="shared" si="24"/>
        <v>1PremiumS3</v>
      </c>
      <c r="D233" s="8" t="str">
        <f t="shared" si="16"/>
        <v>1PremiumS3</v>
      </c>
      <c r="E233" s="10">
        <v>1</v>
      </c>
      <c r="F233" s="6">
        <v>604</v>
      </c>
      <c r="G233" s="8" t="str">
        <f>VLOOKUP(F233,[1]characters!$A:$C,3,FALSE)</f>
        <v>バルドル</v>
      </c>
      <c r="H233" s="8" t="str">
        <f>VLOOKUP(F233,[1]characters!$A:$J,10,FALSE)</f>
        <v>PremiumS</v>
      </c>
      <c r="I233" s="8">
        <f>VLOOKUP(F233,[1]characters!$A:$I,9,FALSE)</f>
        <v>3</v>
      </c>
      <c r="J233" s="8" t="str">
        <f>VLOOKUP(F233,[1]characters!$A:$H,8,FALSE)</f>
        <v>yellow</v>
      </c>
      <c r="K233" s="8" t="str">
        <f>VLOOKUP(F233,[1]characters!$A:$K,11,FALSE)</f>
        <v>heal</v>
      </c>
      <c r="L233" s="8" t="str">
        <f>VLOOKUP(F233,[1]characters!$A:$M,13,FALSE)</f>
        <v>god</v>
      </c>
      <c r="M233" s="16">
        <f>IFERROR(VLOOKUP(F233,gacha_conf!A$50:F$62,5+E233,FALSE),VLOOKUP(D233,gacha_conf!D$18:E$46,2,FALSE))</f>
        <v>6739</v>
      </c>
      <c r="N233" s="37">
        <f>IFERROR(VLOOKUP($F233,bug_conf_sheet!$A:$H,3,FALSE),VLOOKUP("other",bug_conf_sheet!$A:$H,3,FALSE))</f>
        <v>1</v>
      </c>
      <c r="O233" s="37">
        <f>IFERROR(VLOOKUP($F233,bug_conf_sheet!$A:$H,4,FALSE),VLOOKUP("other",bug_conf_sheet!$A:$H,4,FALSE))</f>
        <v>0</v>
      </c>
      <c r="P233" s="37">
        <f>IFERROR(VLOOKUP($F233,bug_conf_sheet!$A:$H,5,FALSE),VLOOKUP("other",bug_conf_sheet!$A:$H,5,FALSE))</f>
        <v>0</v>
      </c>
      <c r="Q233" s="37">
        <f>IFERROR(VLOOKUP($F233,bug_conf_sheet!$A:$H,6,FALSE),VLOOKUP("other",bug_conf_sheet!$A:$H,6,FALSE))</f>
        <v>0</v>
      </c>
      <c r="R233" s="37">
        <f>IFERROR(VLOOKUP($F233,bug_conf_sheet!$A:$H,7,FALSE),VLOOKUP("other",bug_conf_sheet!$A:$H,7,FALSE))</f>
        <v>0</v>
      </c>
      <c r="S233" s="37">
        <f>IFERROR(VLOOKUP($F233,bug_conf_sheet!$A:$H,8,FALSE),VLOOKUP("other",bug_conf_sheet!$A:$H,8,FALSE))</f>
        <v>1</v>
      </c>
    </row>
    <row r="234" spans="1:19" ht="21" customHeight="1">
      <c r="A234" s="7" t="str">
        <f t="shared" ref="A234" si="25">B234&amp;F234</f>
        <v>1941605</v>
      </c>
      <c r="B234" s="2" t="str">
        <f t="shared" si="14"/>
        <v>1941</v>
      </c>
      <c r="C234" s="8" t="str">
        <f t="shared" ref="C234" si="26">E234&amp;H234&amp;I234</f>
        <v>1PremiumS4</v>
      </c>
      <c r="D234" s="8" t="str">
        <f t="shared" si="16"/>
        <v>1PremiumS4</v>
      </c>
      <c r="E234" s="10">
        <v>1</v>
      </c>
      <c r="F234" s="6">
        <v>605</v>
      </c>
      <c r="G234" s="8" t="str">
        <f>VLOOKUP(F234,[1]characters!$A:$C,3,FALSE)</f>
        <v>祝福される光耀 バルドル</v>
      </c>
      <c r="H234" s="8" t="str">
        <f>VLOOKUP(F234,[1]characters!$A:$J,10,FALSE)</f>
        <v>PremiumS</v>
      </c>
      <c r="I234" s="8">
        <f>VLOOKUP(F234,[1]characters!$A:$I,9,FALSE)</f>
        <v>4</v>
      </c>
      <c r="J234" s="8" t="str">
        <f>VLOOKUP(F234,[1]characters!$A:$H,8,FALSE)</f>
        <v>yellow</v>
      </c>
      <c r="K234" s="8" t="str">
        <f>VLOOKUP(F234,[1]characters!$A:$K,11,FALSE)</f>
        <v>heal</v>
      </c>
      <c r="L234" s="8" t="str">
        <f>VLOOKUP(F234,[1]characters!$A:$M,13,FALSE)</f>
        <v>god</v>
      </c>
      <c r="M234" s="16">
        <f>IFERROR(VLOOKUP(F234,gacha_conf!A$50:F$62,5+E234,FALSE),VLOOKUP(D234,gacha_conf!D$18:E$46,2,FALSE))</f>
        <v>1574</v>
      </c>
      <c r="N234" s="37">
        <f>IFERROR(VLOOKUP($F234,bug_conf_sheet!$A:$H,3,FALSE),VLOOKUP("other",bug_conf_sheet!$A:$H,3,FALSE))</f>
        <v>1</v>
      </c>
      <c r="O234" s="37">
        <f>IFERROR(VLOOKUP($F234,bug_conf_sheet!$A:$H,4,FALSE),VLOOKUP("other",bug_conf_sheet!$A:$H,4,FALSE))</f>
        <v>0</v>
      </c>
      <c r="P234" s="37">
        <f>IFERROR(VLOOKUP($F234,bug_conf_sheet!$A:$H,5,FALSE),VLOOKUP("other",bug_conf_sheet!$A:$H,5,FALSE))</f>
        <v>0</v>
      </c>
      <c r="Q234" s="37">
        <f>IFERROR(VLOOKUP($F234,bug_conf_sheet!$A:$H,6,FALSE),VLOOKUP("other",bug_conf_sheet!$A:$H,6,FALSE))</f>
        <v>0</v>
      </c>
      <c r="R234" s="37">
        <f>IFERROR(VLOOKUP($F234,bug_conf_sheet!$A:$H,7,FALSE),VLOOKUP("other",bug_conf_sheet!$A:$H,7,FALSE))</f>
        <v>0</v>
      </c>
      <c r="S234" s="37">
        <f>IFERROR(VLOOKUP($F234,bug_conf_sheet!$A:$H,8,FALSE),VLOOKUP("other",bug_conf_sheet!$A:$H,8,FALSE))</f>
        <v>1</v>
      </c>
    </row>
    <row r="235" spans="1:19" ht="21" customHeight="1">
      <c r="A235" s="7" t="str">
        <f t="shared" si="23"/>
        <v>1941606</v>
      </c>
      <c r="B235" s="2" t="str">
        <f t="shared" si="14"/>
        <v>1941</v>
      </c>
      <c r="C235" s="8" t="str">
        <f t="shared" si="24"/>
        <v>1PremiumS5</v>
      </c>
      <c r="D235" s="8" t="str">
        <f t="shared" si="16"/>
        <v>1PremiumS5</v>
      </c>
      <c r="E235" s="10">
        <v>1</v>
      </c>
      <c r="F235" s="6">
        <v>606</v>
      </c>
      <c r="G235" s="8" t="str">
        <f>VLOOKUP(F235,[1]characters!$A:$C,3,FALSE)</f>
        <v>冀望の光芒 バルドル</v>
      </c>
      <c r="H235" s="8" t="str">
        <f>VLOOKUP(F235,[1]characters!$A:$J,10,FALSE)</f>
        <v>PremiumS</v>
      </c>
      <c r="I235" s="8">
        <f>VLOOKUP(F235,[1]characters!$A:$I,9,FALSE)</f>
        <v>5</v>
      </c>
      <c r="J235" s="8" t="str">
        <f>VLOOKUP(F235,[1]characters!$A:$H,8,FALSE)</f>
        <v>yellow</v>
      </c>
      <c r="K235" s="8" t="str">
        <f>VLOOKUP(F235,[1]characters!$A:$K,11,FALSE)</f>
        <v>heal</v>
      </c>
      <c r="L235" s="8" t="str">
        <f>VLOOKUP(F235,[1]characters!$A:$M,13,FALSE)</f>
        <v>god</v>
      </c>
      <c r="M235" s="16">
        <f>IFERROR(VLOOKUP(F235,gacha_conf!A$50:F$62,5+E235,FALSE),VLOOKUP(D235,gacha_conf!D$18:E$46,2,FALSE))</f>
        <v>554</v>
      </c>
      <c r="N235" s="37">
        <f>IFERROR(VLOOKUP($F235,bug_conf_sheet!$A:$H,3,FALSE),VLOOKUP("other",bug_conf_sheet!$A:$H,3,FALSE))</f>
        <v>1</v>
      </c>
      <c r="O235" s="37">
        <f>IFERROR(VLOOKUP($F235,bug_conf_sheet!$A:$H,4,FALSE),VLOOKUP("other",bug_conf_sheet!$A:$H,4,FALSE))</f>
        <v>0</v>
      </c>
      <c r="P235" s="37">
        <f>IFERROR(VLOOKUP($F235,bug_conf_sheet!$A:$H,5,FALSE),VLOOKUP("other",bug_conf_sheet!$A:$H,5,FALSE))</f>
        <v>0</v>
      </c>
      <c r="Q235" s="37">
        <f>IFERROR(VLOOKUP($F235,bug_conf_sheet!$A:$H,6,FALSE),VLOOKUP("other",bug_conf_sheet!$A:$H,6,FALSE))</f>
        <v>0</v>
      </c>
      <c r="R235" s="37">
        <f>IFERROR(VLOOKUP($F235,bug_conf_sheet!$A:$H,7,FALSE),VLOOKUP("other",bug_conf_sheet!$A:$H,7,FALSE))</f>
        <v>0</v>
      </c>
      <c r="S235" s="37">
        <f>IFERROR(VLOOKUP($F235,bug_conf_sheet!$A:$H,8,FALSE),VLOOKUP("other",bug_conf_sheet!$A:$H,8,FALSE))</f>
        <v>1</v>
      </c>
    </row>
    <row r="236" spans="1:19" ht="21" customHeight="1">
      <c r="A236" s="7" t="str">
        <f t="shared" ref="A236:A298" si="27">B236&amp;F236</f>
        <v>1940127</v>
      </c>
      <c r="B236" s="2" t="str">
        <f t="shared" si="14"/>
        <v>1940</v>
      </c>
      <c r="C236" s="8" t="str">
        <f t="shared" ref="C236:C270" si="28">E236&amp;H236&amp;I236</f>
        <v>0PremiumW4</v>
      </c>
      <c r="D236" s="8" t="str">
        <f t="shared" si="16"/>
        <v>0PremiumW4</v>
      </c>
      <c r="E236" s="10">
        <v>0</v>
      </c>
      <c r="F236" s="6">
        <v>127</v>
      </c>
      <c r="G236" s="8" t="str">
        <f>VLOOKUP(F236,[1]characters!$A:$C,3,FALSE)</f>
        <v>狂喜の賢者 ユノ</v>
      </c>
      <c r="H236" s="8" t="str">
        <f>VLOOKUP(F236,[1]characters!$A:$J,10,FALSE)</f>
        <v>PremiumW</v>
      </c>
      <c r="I236" s="8">
        <f>VLOOKUP(F236,[1]characters!$A:$I,9,FALSE)</f>
        <v>4</v>
      </c>
      <c r="J236" s="8" t="str">
        <f>VLOOKUP(F236,[1]characters!$A:$H,8,FALSE)</f>
        <v>red</v>
      </c>
      <c r="K236" s="8" t="str">
        <f>VLOOKUP(F236,[1]characters!$A:$K,11,FALSE)</f>
        <v>attack</v>
      </c>
      <c r="L236" s="8" t="str">
        <f>VLOOKUP(F236,[1]characters!$A:$M,13,FALSE)</f>
        <v>human</v>
      </c>
      <c r="M236" s="16">
        <f>IFERROR(VLOOKUP(F236,gacha_conf!A$50:F$62,5+E236,FALSE),VLOOKUP(D236,gacha_conf!D$18:E$46,2,FALSE))</f>
        <v>3280</v>
      </c>
      <c r="N236" s="37">
        <f>IFERROR(VLOOKUP($F236,bug_conf_sheet!$A:$H,3,FALSE),VLOOKUP("other",bug_conf_sheet!$A:$H,3,FALSE))</f>
        <v>1</v>
      </c>
      <c r="O236" s="37">
        <f>IFERROR(VLOOKUP($F236,bug_conf_sheet!$A:$H,4,FALSE),VLOOKUP("other",bug_conf_sheet!$A:$H,4,FALSE))</f>
        <v>0</v>
      </c>
      <c r="P236" s="37">
        <f>IFERROR(VLOOKUP($F236,bug_conf_sheet!$A:$H,5,FALSE),VLOOKUP("other",bug_conf_sheet!$A:$H,5,FALSE))</f>
        <v>0</v>
      </c>
      <c r="Q236" s="37">
        <f>IFERROR(VLOOKUP($F236,bug_conf_sheet!$A:$H,6,FALSE),VLOOKUP("other",bug_conf_sheet!$A:$H,6,FALSE))</f>
        <v>0</v>
      </c>
      <c r="R236" s="37">
        <f>IFERROR(VLOOKUP($F236,bug_conf_sheet!$A:$H,7,FALSE),VLOOKUP("other",bug_conf_sheet!$A:$H,7,FALSE))</f>
        <v>0</v>
      </c>
      <c r="S236" s="37">
        <f>IFERROR(VLOOKUP($F236,bug_conf_sheet!$A:$H,8,FALSE),VLOOKUP("other",bug_conf_sheet!$A:$H,8,FALSE))</f>
        <v>1</v>
      </c>
    </row>
    <row r="237" spans="1:19" ht="21" customHeight="1">
      <c r="A237" s="7" t="str">
        <f t="shared" si="27"/>
        <v>1940129</v>
      </c>
      <c r="B237" s="2" t="str">
        <f t="shared" si="14"/>
        <v>1940</v>
      </c>
      <c r="C237" s="8" t="str">
        <f t="shared" si="28"/>
        <v>0PremiumW4</v>
      </c>
      <c r="D237" s="8" t="str">
        <f t="shared" si="16"/>
        <v>0PremiumW4</v>
      </c>
      <c r="E237" s="10">
        <v>0</v>
      </c>
      <c r="F237" s="6">
        <v>129</v>
      </c>
      <c r="G237" s="8" t="str">
        <f>VLOOKUP(F237,[1]characters!$A:$C,3,FALSE)</f>
        <v>孤高の狼憑き アマラ</v>
      </c>
      <c r="H237" s="8" t="str">
        <f>VLOOKUP(F237,[1]characters!$A:$J,10,FALSE)</f>
        <v>PremiumW</v>
      </c>
      <c r="I237" s="8">
        <f>VLOOKUP(F237,[1]characters!$A:$I,9,FALSE)</f>
        <v>4</v>
      </c>
      <c r="J237" s="8" t="str">
        <f>VLOOKUP(F237,[1]characters!$A:$H,8,FALSE)</f>
        <v>green</v>
      </c>
      <c r="K237" s="8" t="str">
        <f>VLOOKUP(F237,[1]characters!$A:$K,11,FALSE)</f>
        <v>attack</v>
      </c>
      <c r="L237" s="8" t="str">
        <f>VLOOKUP(F237,[1]characters!$A:$M,13,FALSE)</f>
        <v>human</v>
      </c>
      <c r="M237" s="16">
        <f>IFERROR(VLOOKUP(F237,gacha_conf!A$50:F$62,5+E237,FALSE),VLOOKUP(D237,gacha_conf!D$18:E$46,2,FALSE))</f>
        <v>3280</v>
      </c>
      <c r="N237" s="37">
        <f>IFERROR(VLOOKUP($F237,bug_conf_sheet!$A:$H,3,FALSE),VLOOKUP("other",bug_conf_sheet!$A:$H,3,FALSE))</f>
        <v>1</v>
      </c>
      <c r="O237" s="37">
        <f>IFERROR(VLOOKUP($F237,bug_conf_sheet!$A:$H,4,FALSE),VLOOKUP("other",bug_conf_sheet!$A:$H,4,FALSE))</f>
        <v>0</v>
      </c>
      <c r="P237" s="37">
        <f>IFERROR(VLOOKUP($F237,bug_conf_sheet!$A:$H,5,FALSE),VLOOKUP("other",bug_conf_sheet!$A:$H,5,FALSE))</f>
        <v>0</v>
      </c>
      <c r="Q237" s="37">
        <f>IFERROR(VLOOKUP($F237,bug_conf_sheet!$A:$H,6,FALSE),VLOOKUP("other",bug_conf_sheet!$A:$H,6,FALSE))</f>
        <v>0</v>
      </c>
      <c r="R237" s="37">
        <f>IFERROR(VLOOKUP($F237,bug_conf_sheet!$A:$H,7,FALSE),VLOOKUP("other",bug_conf_sheet!$A:$H,7,FALSE))</f>
        <v>0</v>
      </c>
      <c r="S237" s="37">
        <f>IFERROR(VLOOKUP($F237,bug_conf_sheet!$A:$H,8,FALSE),VLOOKUP("other",bug_conf_sheet!$A:$H,8,FALSE))</f>
        <v>1</v>
      </c>
    </row>
    <row r="238" spans="1:19" ht="21" customHeight="1">
      <c r="A238" s="7" t="str">
        <f t="shared" si="27"/>
        <v>1940131</v>
      </c>
      <c r="B238" s="2" t="str">
        <f t="shared" si="14"/>
        <v>1940</v>
      </c>
      <c r="C238" s="8" t="str">
        <f t="shared" si="28"/>
        <v>0PremiumW4</v>
      </c>
      <c r="D238" s="8" t="str">
        <f t="shared" si="16"/>
        <v>0PremiumW4</v>
      </c>
      <c r="E238" s="10">
        <v>0</v>
      </c>
      <c r="F238" s="6">
        <v>131</v>
      </c>
      <c r="G238" s="8" t="str">
        <f>VLOOKUP(F238,[1]characters!$A:$C,3,FALSE)</f>
        <v>月下の人狼 ローレンス</v>
      </c>
      <c r="H238" s="8" t="str">
        <f>VLOOKUP(F238,[1]characters!$A:$J,10,FALSE)</f>
        <v>PremiumW</v>
      </c>
      <c r="I238" s="8">
        <f>VLOOKUP(F238,[1]characters!$A:$I,9,FALSE)</f>
        <v>4</v>
      </c>
      <c r="J238" s="8" t="str">
        <f>VLOOKUP(F238,[1]characters!$A:$H,8,FALSE)</f>
        <v>blue</v>
      </c>
      <c r="K238" s="8" t="str">
        <f>VLOOKUP(F238,[1]characters!$A:$K,11,FALSE)</f>
        <v>attack</v>
      </c>
      <c r="L238" s="8" t="str">
        <f>VLOOKUP(F238,[1]characters!$A:$M,13,FALSE)</f>
        <v>animal</v>
      </c>
      <c r="M238" s="16">
        <f>IFERROR(VLOOKUP(F238,gacha_conf!A$50:F$62,5+E238,FALSE),VLOOKUP(D238,gacha_conf!D$18:E$46,2,FALSE))</f>
        <v>3280</v>
      </c>
      <c r="N238" s="37">
        <f>IFERROR(VLOOKUP($F238,bug_conf_sheet!$A:$H,3,FALSE),VLOOKUP("other",bug_conf_sheet!$A:$H,3,FALSE))</f>
        <v>1</v>
      </c>
      <c r="O238" s="37">
        <f>IFERROR(VLOOKUP($F238,bug_conf_sheet!$A:$H,4,FALSE),VLOOKUP("other",bug_conf_sheet!$A:$H,4,FALSE))</f>
        <v>0</v>
      </c>
      <c r="P238" s="37">
        <f>IFERROR(VLOOKUP($F238,bug_conf_sheet!$A:$H,5,FALSE),VLOOKUP("other",bug_conf_sheet!$A:$H,5,FALSE))</f>
        <v>0</v>
      </c>
      <c r="Q238" s="37">
        <f>IFERROR(VLOOKUP($F238,bug_conf_sheet!$A:$H,6,FALSE),VLOOKUP("other",bug_conf_sheet!$A:$H,6,FALSE))</f>
        <v>0</v>
      </c>
      <c r="R238" s="37">
        <f>IFERROR(VLOOKUP($F238,bug_conf_sheet!$A:$H,7,FALSE),VLOOKUP("other",bug_conf_sheet!$A:$H,7,FALSE))</f>
        <v>0</v>
      </c>
      <c r="S238" s="37">
        <f>IFERROR(VLOOKUP($F238,bug_conf_sheet!$A:$H,8,FALSE),VLOOKUP("other",bug_conf_sheet!$A:$H,8,FALSE))</f>
        <v>1</v>
      </c>
    </row>
    <row r="239" spans="1:19" ht="21" customHeight="1">
      <c r="A239" s="7" t="str">
        <f t="shared" si="27"/>
        <v>1940133</v>
      </c>
      <c r="B239" s="2" t="str">
        <f t="shared" si="14"/>
        <v>1940</v>
      </c>
      <c r="C239" s="8" t="str">
        <f t="shared" si="28"/>
        <v>0PremiumW4</v>
      </c>
      <c r="D239" s="8" t="str">
        <f t="shared" si="16"/>
        <v>0PremiumW4</v>
      </c>
      <c r="E239" s="10">
        <v>0</v>
      </c>
      <c r="F239" s="6">
        <v>133</v>
      </c>
      <c r="G239" s="8" t="str">
        <f>VLOOKUP(F239,[1]characters!$A:$C,3,FALSE)</f>
        <v>迅雷の刀剣 ハヤト</v>
      </c>
      <c r="H239" s="8" t="str">
        <f>VLOOKUP(F239,[1]characters!$A:$J,10,FALSE)</f>
        <v>PremiumW</v>
      </c>
      <c r="I239" s="8">
        <f>VLOOKUP(F239,[1]characters!$A:$I,9,FALSE)</f>
        <v>4</v>
      </c>
      <c r="J239" s="8" t="str">
        <f>VLOOKUP(F239,[1]characters!$A:$H,8,FALSE)</f>
        <v>yellow</v>
      </c>
      <c r="K239" s="8" t="str">
        <f>VLOOKUP(F239,[1]characters!$A:$K,11,FALSE)</f>
        <v>attack</v>
      </c>
      <c r="L239" s="8" t="str">
        <f>VLOOKUP(F239,[1]characters!$A:$M,13,FALSE)</f>
        <v>human</v>
      </c>
      <c r="M239" s="16">
        <f>IFERROR(VLOOKUP(F239,gacha_conf!A$50:F$62,5+E239,FALSE),VLOOKUP(D239,gacha_conf!D$18:E$46,2,FALSE))</f>
        <v>3280</v>
      </c>
      <c r="N239" s="37">
        <f>IFERROR(VLOOKUP($F239,bug_conf_sheet!$A:$H,3,FALSE),VLOOKUP("other",bug_conf_sheet!$A:$H,3,FALSE))</f>
        <v>1</v>
      </c>
      <c r="O239" s="37">
        <f>IFERROR(VLOOKUP($F239,bug_conf_sheet!$A:$H,4,FALSE),VLOOKUP("other",bug_conf_sheet!$A:$H,4,FALSE))</f>
        <v>0</v>
      </c>
      <c r="P239" s="37">
        <f>IFERROR(VLOOKUP($F239,bug_conf_sheet!$A:$H,5,FALSE),VLOOKUP("other",bug_conf_sheet!$A:$H,5,FALSE))</f>
        <v>0</v>
      </c>
      <c r="Q239" s="37">
        <f>IFERROR(VLOOKUP($F239,bug_conf_sheet!$A:$H,6,FALSE),VLOOKUP("other",bug_conf_sheet!$A:$H,6,FALSE))</f>
        <v>0</v>
      </c>
      <c r="R239" s="37">
        <f>IFERROR(VLOOKUP($F239,bug_conf_sheet!$A:$H,7,FALSE),VLOOKUP("other",bug_conf_sheet!$A:$H,7,FALSE))</f>
        <v>0</v>
      </c>
      <c r="S239" s="37">
        <f>IFERROR(VLOOKUP($F239,bug_conf_sheet!$A:$H,8,FALSE),VLOOKUP("other",bug_conf_sheet!$A:$H,8,FALSE))</f>
        <v>1</v>
      </c>
    </row>
    <row r="240" spans="1:19" ht="21" customHeight="1">
      <c r="A240" s="7" t="str">
        <f t="shared" si="27"/>
        <v>1940135</v>
      </c>
      <c r="B240" s="2" t="str">
        <f t="shared" si="14"/>
        <v>1940</v>
      </c>
      <c r="C240" s="8" t="str">
        <f t="shared" si="28"/>
        <v>0PremiumW4</v>
      </c>
      <c r="D240" s="8" t="str">
        <f t="shared" si="16"/>
        <v>0PremiumW4</v>
      </c>
      <c r="E240" s="10">
        <v>0</v>
      </c>
      <c r="F240" s="6">
        <v>135</v>
      </c>
      <c r="G240" s="8" t="str">
        <f>VLOOKUP(F240,[1]characters!$A:$C,3,FALSE)</f>
        <v>京の炎華夕霧</v>
      </c>
      <c r="H240" s="8" t="str">
        <f>VLOOKUP(F240,[1]characters!$A:$J,10,FALSE)</f>
        <v>PremiumW</v>
      </c>
      <c r="I240" s="8">
        <f>VLOOKUP(F240,[1]characters!$A:$I,9,FALSE)</f>
        <v>4</v>
      </c>
      <c r="J240" s="8" t="str">
        <f>VLOOKUP(F240,[1]characters!$A:$H,8,FALSE)</f>
        <v>red</v>
      </c>
      <c r="K240" s="8" t="str">
        <f>VLOOKUP(F240,[1]characters!$A:$K,11,FALSE)</f>
        <v>balance</v>
      </c>
      <c r="L240" s="8" t="str">
        <f>VLOOKUP(F240,[1]characters!$A:$M,13,FALSE)</f>
        <v>human</v>
      </c>
      <c r="M240" s="16">
        <f>IFERROR(VLOOKUP(F240,gacha_conf!A$50:F$62,5+E240,FALSE),VLOOKUP(D240,gacha_conf!D$18:E$46,2,FALSE))</f>
        <v>3280</v>
      </c>
      <c r="N240" s="37">
        <f>IFERROR(VLOOKUP($F240,bug_conf_sheet!$A:$H,3,FALSE),VLOOKUP("other",bug_conf_sheet!$A:$H,3,FALSE))</f>
        <v>1</v>
      </c>
      <c r="O240" s="37">
        <f>IFERROR(VLOOKUP($F240,bug_conf_sheet!$A:$H,4,FALSE),VLOOKUP("other",bug_conf_sheet!$A:$H,4,FALSE))</f>
        <v>0</v>
      </c>
      <c r="P240" s="37">
        <f>IFERROR(VLOOKUP($F240,bug_conf_sheet!$A:$H,5,FALSE),VLOOKUP("other",bug_conf_sheet!$A:$H,5,FALSE))</f>
        <v>0</v>
      </c>
      <c r="Q240" s="37">
        <f>IFERROR(VLOOKUP($F240,bug_conf_sheet!$A:$H,6,FALSE),VLOOKUP("other",bug_conf_sheet!$A:$H,6,FALSE))</f>
        <v>0</v>
      </c>
      <c r="R240" s="37">
        <f>IFERROR(VLOOKUP($F240,bug_conf_sheet!$A:$H,7,FALSE),VLOOKUP("other",bug_conf_sheet!$A:$H,7,FALSE))</f>
        <v>0</v>
      </c>
      <c r="S240" s="37">
        <f>IFERROR(VLOOKUP($F240,bug_conf_sheet!$A:$H,8,FALSE),VLOOKUP("other",bug_conf_sheet!$A:$H,8,FALSE))</f>
        <v>1</v>
      </c>
    </row>
    <row r="241" spans="1:19" ht="21" customHeight="1">
      <c r="A241" s="7" t="str">
        <f t="shared" si="27"/>
        <v>1940137</v>
      </c>
      <c r="B241" s="2" t="str">
        <f t="shared" si="14"/>
        <v>1940</v>
      </c>
      <c r="C241" s="8" t="str">
        <f t="shared" si="28"/>
        <v>0PremiumW4</v>
      </c>
      <c r="D241" s="8" t="str">
        <f t="shared" si="16"/>
        <v>0PremiumW4</v>
      </c>
      <c r="E241" s="10">
        <v>0</v>
      </c>
      <c r="F241" s="9">
        <v>137</v>
      </c>
      <c r="G241" s="8" t="str">
        <f>VLOOKUP(F241,[1]characters!$A:$C,3,FALSE)</f>
        <v>清福の仕立屋 チハヤ</v>
      </c>
      <c r="H241" s="8" t="str">
        <f>VLOOKUP(F241,[1]characters!$A:$J,10,FALSE)</f>
        <v>PremiumW</v>
      </c>
      <c r="I241" s="8">
        <f>VLOOKUP(F241,[1]characters!$A:$I,9,FALSE)</f>
        <v>4</v>
      </c>
      <c r="J241" s="8" t="str">
        <f>VLOOKUP(F241,[1]characters!$A:$H,8,FALSE)</f>
        <v>green</v>
      </c>
      <c r="K241" s="8" t="str">
        <f>VLOOKUP(F241,[1]characters!$A:$K,11,FALSE)</f>
        <v>balance</v>
      </c>
      <c r="L241" s="8" t="str">
        <f>VLOOKUP(F241,[1]characters!$A:$M,13,FALSE)</f>
        <v>human</v>
      </c>
      <c r="M241" s="16">
        <f>IFERROR(VLOOKUP(F241,gacha_conf!A$50:F$62,5+E241,FALSE),VLOOKUP(D241,gacha_conf!D$18:E$46,2,FALSE))</f>
        <v>3280</v>
      </c>
      <c r="N241" s="37">
        <f>IFERROR(VLOOKUP($F241,bug_conf_sheet!$A:$H,3,FALSE),VLOOKUP("other",bug_conf_sheet!$A:$H,3,FALSE))</f>
        <v>1</v>
      </c>
      <c r="O241" s="37">
        <f>IFERROR(VLOOKUP($F241,bug_conf_sheet!$A:$H,4,FALSE),VLOOKUP("other",bug_conf_sheet!$A:$H,4,FALSE))</f>
        <v>0</v>
      </c>
      <c r="P241" s="37">
        <f>IFERROR(VLOOKUP($F241,bug_conf_sheet!$A:$H,5,FALSE),VLOOKUP("other",bug_conf_sheet!$A:$H,5,FALSE))</f>
        <v>0</v>
      </c>
      <c r="Q241" s="37">
        <f>IFERROR(VLOOKUP($F241,bug_conf_sheet!$A:$H,6,FALSE),VLOOKUP("other",bug_conf_sheet!$A:$H,6,FALSE))</f>
        <v>0</v>
      </c>
      <c r="R241" s="37">
        <f>IFERROR(VLOOKUP($F241,bug_conf_sheet!$A:$H,7,FALSE),VLOOKUP("other",bug_conf_sheet!$A:$H,7,FALSE))</f>
        <v>0</v>
      </c>
      <c r="S241" s="37">
        <f>IFERROR(VLOOKUP($F241,bug_conf_sheet!$A:$H,8,FALSE),VLOOKUP("other",bug_conf_sheet!$A:$H,8,FALSE))</f>
        <v>1</v>
      </c>
    </row>
    <row r="242" spans="1:19" ht="21" customHeight="1">
      <c r="A242" s="7" t="str">
        <f t="shared" si="27"/>
        <v>1940139</v>
      </c>
      <c r="B242" s="2" t="str">
        <f t="shared" si="14"/>
        <v>1940</v>
      </c>
      <c r="C242" s="8" t="str">
        <f t="shared" si="28"/>
        <v>0PremiumW4</v>
      </c>
      <c r="D242" s="8" t="str">
        <f t="shared" si="16"/>
        <v>0PremiumW4</v>
      </c>
      <c r="E242" s="10">
        <v>0</v>
      </c>
      <c r="F242" s="6">
        <v>139</v>
      </c>
      <c r="G242" s="8" t="str">
        <f>VLOOKUP(F242,[1]characters!$A:$C,3,FALSE)</f>
        <v>蒼昇刃姫 トモエ</v>
      </c>
      <c r="H242" s="8" t="str">
        <f>VLOOKUP(F242,[1]characters!$A:$J,10,FALSE)</f>
        <v>PremiumW</v>
      </c>
      <c r="I242" s="8">
        <f>VLOOKUP(F242,[1]characters!$A:$I,9,FALSE)</f>
        <v>4</v>
      </c>
      <c r="J242" s="8" t="str">
        <f>VLOOKUP(F242,[1]characters!$A:$H,8,FALSE)</f>
        <v>blue</v>
      </c>
      <c r="K242" s="8" t="str">
        <f>VLOOKUP(F242,[1]characters!$A:$K,11,FALSE)</f>
        <v>balance</v>
      </c>
      <c r="L242" s="8" t="str">
        <f>VLOOKUP(F242,[1]characters!$A:$M,13,FALSE)</f>
        <v>human</v>
      </c>
      <c r="M242" s="16">
        <f>IFERROR(VLOOKUP(F242,gacha_conf!A$50:F$62,5+E242,FALSE),VLOOKUP(D242,gacha_conf!D$18:E$46,2,FALSE))</f>
        <v>3280</v>
      </c>
      <c r="N242" s="37">
        <f>IFERROR(VLOOKUP($F242,bug_conf_sheet!$A:$H,3,FALSE),VLOOKUP("other",bug_conf_sheet!$A:$H,3,FALSE))</f>
        <v>1</v>
      </c>
      <c r="O242" s="37">
        <f>IFERROR(VLOOKUP($F242,bug_conf_sheet!$A:$H,4,FALSE),VLOOKUP("other",bug_conf_sheet!$A:$H,4,FALSE))</f>
        <v>0</v>
      </c>
      <c r="P242" s="37">
        <f>IFERROR(VLOOKUP($F242,bug_conf_sheet!$A:$H,5,FALSE),VLOOKUP("other",bug_conf_sheet!$A:$H,5,FALSE))</f>
        <v>0</v>
      </c>
      <c r="Q242" s="37">
        <f>IFERROR(VLOOKUP($F242,bug_conf_sheet!$A:$H,6,FALSE),VLOOKUP("other",bug_conf_sheet!$A:$H,6,FALSE))</f>
        <v>0</v>
      </c>
      <c r="R242" s="37">
        <f>IFERROR(VLOOKUP($F242,bug_conf_sheet!$A:$H,7,FALSE),VLOOKUP("other",bug_conf_sheet!$A:$H,7,FALSE))</f>
        <v>0</v>
      </c>
      <c r="S242" s="37">
        <f>IFERROR(VLOOKUP($F242,bug_conf_sheet!$A:$H,8,FALSE),VLOOKUP("other",bug_conf_sheet!$A:$H,8,FALSE))</f>
        <v>1</v>
      </c>
    </row>
    <row r="243" spans="1:19" ht="21" customHeight="1">
      <c r="A243" s="7" t="str">
        <f t="shared" si="27"/>
        <v>1940141</v>
      </c>
      <c r="B243" s="2" t="str">
        <f t="shared" si="14"/>
        <v>1940</v>
      </c>
      <c r="C243" s="8" t="str">
        <f t="shared" si="28"/>
        <v>0PremiumW4</v>
      </c>
      <c r="D243" s="8" t="str">
        <f t="shared" si="16"/>
        <v>0PremiumW4</v>
      </c>
      <c r="E243" s="10">
        <v>0</v>
      </c>
      <c r="F243" s="6">
        <v>141</v>
      </c>
      <c r="G243" s="8" t="str">
        <f>VLOOKUP(F243,[1]characters!$A:$C,3,FALSE)</f>
        <v>妖狐演舞 タマモ</v>
      </c>
      <c r="H243" s="8" t="str">
        <f>VLOOKUP(F243,[1]characters!$A:$J,10,FALSE)</f>
        <v>PremiumW</v>
      </c>
      <c r="I243" s="8">
        <f>VLOOKUP(F243,[1]characters!$A:$I,9,FALSE)</f>
        <v>4</v>
      </c>
      <c r="J243" s="8" t="str">
        <f>VLOOKUP(F243,[1]characters!$A:$H,8,FALSE)</f>
        <v>yellow</v>
      </c>
      <c r="K243" s="8" t="str">
        <f>VLOOKUP(F243,[1]characters!$A:$K,11,FALSE)</f>
        <v>balance</v>
      </c>
      <c r="L243" s="8" t="str">
        <f>VLOOKUP(F243,[1]characters!$A:$M,13,FALSE)</f>
        <v>animal</v>
      </c>
      <c r="M243" s="16">
        <f>IFERROR(VLOOKUP(F243,gacha_conf!A$50:F$62,5+E243,FALSE),VLOOKUP(D243,gacha_conf!D$18:E$46,2,FALSE))</f>
        <v>3280</v>
      </c>
      <c r="N243" s="37">
        <f>IFERROR(VLOOKUP($F243,bug_conf_sheet!$A:$H,3,FALSE),VLOOKUP("other",bug_conf_sheet!$A:$H,3,FALSE))</f>
        <v>1</v>
      </c>
      <c r="O243" s="37">
        <f>IFERROR(VLOOKUP($F243,bug_conf_sheet!$A:$H,4,FALSE),VLOOKUP("other",bug_conf_sheet!$A:$H,4,FALSE))</f>
        <v>0</v>
      </c>
      <c r="P243" s="37">
        <f>IFERROR(VLOOKUP($F243,bug_conf_sheet!$A:$H,5,FALSE),VLOOKUP("other",bug_conf_sheet!$A:$H,5,FALSE))</f>
        <v>0</v>
      </c>
      <c r="Q243" s="37">
        <f>IFERROR(VLOOKUP($F243,bug_conf_sheet!$A:$H,6,FALSE),VLOOKUP("other",bug_conf_sheet!$A:$H,6,FALSE))</f>
        <v>0</v>
      </c>
      <c r="R243" s="37">
        <f>IFERROR(VLOOKUP($F243,bug_conf_sheet!$A:$H,7,FALSE),VLOOKUP("other",bug_conf_sheet!$A:$H,7,FALSE))</f>
        <v>0</v>
      </c>
      <c r="S243" s="37">
        <f>IFERROR(VLOOKUP($F243,bug_conf_sheet!$A:$H,8,FALSE),VLOOKUP("other",bug_conf_sheet!$A:$H,8,FALSE))</f>
        <v>1</v>
      </c>
    </row>
    <row r="244" spans="1:19" ht="21" customHeight="1">
      <c r="A244" s="7" t="str">
        <f t="shared" si="27"/>
        <v>1940143</v>
      </c>
      <c r="B244" s="2" t="str">
        <f t="shared" si="14"/>
        <v>1940</v>
      </c>
      <c r="C244" s="8" t="str">
        <f t="shared" si="28"/>
        <v>0PremiumW4</v>
      </c>
      <c r="D244" s="8" t="str">
        <f t="shared" si="16"/>
        <v>0PremiumW4</v>
      </c>
      <c r="E244" s="10">
        <v>0</v>
      </c>
      <c r="F244" s="6">
        <v>143</v>
      </c>
      <c r="G244" s="8" t="str">
        <f>VLOOKUP(F244,[1]characters!$A:$C,3,FALSE)</f>
        <v>深紅の死神 赤ずきん</v>
      </c>
      <c r="H244" s="8" t="str">
        <f>VLOOKUP(F244,[1]characters!$A:$J,10,FALSE)</f>
        <v>PremiumW</v>
      </c>
      <c r="I244" s="8">
        <f>VLOOKUP(F244,[1]characters!$A:$I,9,FALSE)</f>
        <v>4</v>
      </c>
      <c r="J244" s="8" t="str">
        <f>VLOOKUP(F244,[1]characters!$A:$H,8,FALSE)</f>
        <v>red</v>
      </c>
      <c r="K244" s="8" t="str">
        <f>VLOOKUP(F244,[1]characters!$A:$K,11,FALSE)</f>
        <v>balance</v>
      </c>
      <c r="L244" s="8" t="str">
        <f>VLOOKUP(F244,[1]characters!$A:$M,13,FALSE)</f>
        <v>human</v>
      </c>
      <c r="M244" s="16">
        <f>IFERROR(VLOOKUP(F244,gacha_conf!A$50:F$62,5+E244,FALSE),VLOOKUP(D244,gacha_conf!D$18:E$46,2,FALSE))</f>
        <v>3280</v>
      </c>
      <c r="N244" s="37">
        <f>IFERROR(VLOOKUP($F244,bug_conf_sheet!$A:$H,3,FALSE),VLOOKUP("other",bug_conf_sheet!$A:$H,3,FALSE))</f>
        <v>1</v>
      </c>
      <c r="O244" s="37">
        <f>IFERROR(VLOOKUP($F244,bug_conf_sheet!$A:$H,4,FALSE),VLOOKUP("other",bug_conf_sheet!$A:$H,4,FALSE))</f>
        <v>0</v>
      </c>
      <c r="P244" s="37">
        <f>IFERROR(VLOOKUP($F244,bug_conf_sheet!$A:$H,5,FALSE),VLOOKUP("other",bug_conf_sheet!$A:$H,5,FALSE))</f>
        <v>0</v>
      </c>
      <c r="Q244" s="37">
        <f>IFERROR(VLOOKUP($F244,bug_conf_sheet!$A:$H,6,FALSE),VLOOKUP("other",bug_conf_sheet!$A:$H,6,FALSE))</f>
        <v>0</v>
      </c>
      <c r="R244" s="37">
        <f>IFERROR(VLOOKUP($F244,bug_conf_sheet!$A:$H,7,FALSE),VLOOKUP("other",bug_conf_sheet!$A:$H,7,FALSE))</f>
        <v>0</v>
      </c>
      <c r="S244" s="37">
        <f>IFERROR(VLOOKUP($F244,bug_conf_sheet!$A:$H,8,FALSE),VLOOKUP("other",bug_conf_sheet!$A:$H,8,FALSE))</f>
        <v>1</v>
      </c>
    </row>
    <row r="245" spans="1:19" ht="21" customHeight="1">
      <c r="A245" s="7" t="str">
        <f t="shared" si="27"/>
        <v>1940145</v>
      </c>
      <c r="B245" s="2" t="str">
        <f t="shared" si="14"/>
        <v>1940</v>
      </c>
      <c r="C245" s="8" t="str">
        <f t="shared" si="28"/>
        <v>0PremiumW4</v>
      </c>
      <c r="D245" s="8" t="str">
        <f t="shared" si="16"/>
        <v>0PremiumW4</v>
      </c>
      <c r="E245" s="10">
        <v>0</v>
      </c>
      <c r="F245" s="6">
        <v>145</v>
      </c>
      <c r="G245" s="8" t="str">
        <f>VLOOKUP(F245,[1]characters!$A:$C,3,FALSE)</f>
        <v>魔性妖艶 かぐや</v>
      </c>
      <c r="H245" s="8" t="str">
        <f>VLOOKUP(F245,[1]characters!$A:$J,10,FALSE)</f>
        <v>PremiumW</v>
      </c>
      <c r="I245" s="8">
        <f>VLOOKUP(F245,[1]characters!$A:$I,9,FALSE)</f>
        <v>4</v>
      </c>
      <c r="J245" s="8" t="str">
        <f>VLOOKUP(F245,[1]characters!$A:$H,8,FALSE)</f>
        <v>green</v>
      </c>
      <c r="K245" s="8" t="str">
        <f>VLOOKUP(F245,[1]characters!$A:$K,11,FALSE)</f>
        <v>hp</v>
      </c>
      <c r="L245" s="8" t="str">
        <f>VLOOKUP(F245,[1]characters!$A:$M,13,FALSE)</f>
        <v>human</v>
      </c>
      <c r="M245" s="16">
        <f>IFERROR(VLOOKUP(F245,gacha_conf!A$50:F$62,5+E245,FALSE),VLOOKUP(D245,gacha_conf!D$18:E$46,2,FALSE))</f>
        <v>3280</v>
      </c>
      <c r="N245" s="37">
        <f>IFERROR(VLOOKUP($F245,bug_conf_sheet!$A:$H,3,FALSE),VLOOKUP("other",bug_conf_sheet!$A:$H,3,FALSE))</f>
        <v>1</v>
      </c>
      <c r="O245" s="37">
        <f>IFERROR(VLOOKUP($F245,bug_conf_sheet!$A:$H,4,FALSE),VLOOKUP("other",bug_conf_sheet!$A:$H,4,FALSE))</f>
        <v>0</v>
      </c>
      <c r="P245" s="37">
        <f>IFERROR(VLOOKUP($F245,bug_conf_sheet!$A:$H,5,FALSE),VLOOKUP("other",bug_conf_sheet!$A:$H,5,FALSE))</f>
        <v>0</v>
      </c>
      <c r="Q245" s="37">
        <f>IFERROR(VLOOKUP($F245,bug_conf_sheet!$A:$H,6,FALSE),VLOOKUP("other",bug_conf_sheet!$A:$H,6,FALSE))</f>
        <v>0</v>
      </c>
      <c r="R245" s="37">
        <f>IFERROR(VLOOKUP($F245,bug_conf_sheet!$A:$H,7,FALSE),VLOOKUP("other",bug_conf_sheet!$A:$H,7,FALSE))</f>
        <v>0</v>
      </c>
      <c r="S245" s="37">
        <f>IFERROR(VLOOKUP($F245,bug_conf_sheet!$A:$H,8,FALSE),VLOOKUP("other",bug_conf_sheet!$A:$H,8,FALSE))</f>
        <v>1</v>
      </c>
    </row>
    <row r="246" spans="1:19" ht="21" customHeight="1">
      <c r="A246" s="7" t="str">
        <f t="shared" si="27"/>
        <v>1940147</v>
      </c>
      <c r="B246" s="2" t="str">
        <f t="shared" si="14"/>
        <v>1940</v>
      </c>
      <c r="C246" s="8" t="str">
        <f t="shared" si="28"/>
        <v>0PremiumW4</v>
      </c>
      <c r="D246" s="8" t="str">
        <f t="shared" si="16"/>
        <v>0PremiumW4</v>
      </c>
      <c r="E246" s="10">
        <v>0</v>
      </c>
      <c r="F246" s="6">
        <v>147</v>
      </c>
      <c r="G246" s="8" t="str">
        <f>VLOOKUP(F246,[1]characters!$A:$C,3,FALSE)</f>
        <v>蒼き閃光 元マーメイド</v>
      </c>
      <c r="H246" s="8" t="str">
        <f>VLOOKUP(F246,[1]characters!$A:$J,10,FALSE)</f>
        <v>PremiumW</v>
      </c>
      <c r="I246" s="8">
        <f>VLOOKUP(F246,[1]characters!$A:$I,9,FALSE)</f>
        <v>4</v>
      </c>
      <c r="J246" s="8" t="str">
        <f>VLOOKUP(F246,[1]characters!$A:$H,8,FALSE)</f>
        <v>blue</v>
      </c>
      <c r="K246" s="8" t="str">
        <f>VLOOKUP(F246,[1]characters!$A:$K,11,FALSE)</f>
        <v>hp</v>
      </c>
      <c r="L246" s="8" t="str">
        <f>VLOOKUP(F246,[1]characters!$A:$M,13,FALSE)</f>
        <v>human</v>
      </c>
      <c r="M246" s="16">
        <f>IFERROR(VLOOKUP(F246,gacha_conf!A$50:F$62,5+E246,FALSE),VLOOKUP(D246,gacha_conf!D$18:E$46,2,FALSE))</f>
        <v>3280</v>
      </c>
      <c r="N246" s="37">
        <f>IFERROR(VLOOKUP($F246,bug_conf_sheet!$A:$H,3,FALSE),VLOOKUP("other",bug_conf_sheet!$A:$H,3,FALSE))</f>
        <v>1</v>
      </c>
      <c r="O246" s="37">
        <f>IFERROR(VLOOKUP($F246,bug_conf_sheet!$A:$H,4,FALSE),VLOOKUP("other",bug_conf_sheet!$A:$H,4,FALSE))</f>
        <v>0</v>
      </c>
      <c r="P246" s="37">
        <f>IFERROR(VLOOKUP($F246,bug_conf_sheet!$A:$H,5,FALSE),VLOOKUP("other",bug_conf_sheet!$A:$H,5,FALSE))</f>
        <v>0</v>
      </c>
      <c r="Q246" s="37">
        <f>IFERROR(VLOOKUP($F246,bug_conf_sheet!$A:$H,6,FALSE),VLOOKUP("other",bug_conf_sheet!$A:$H,6,FALSE))</f>
        <v>0</v>
      </c>
      <c r="R246" s="37">
        <f>IFERROR(VLOOKUP($F246,bug_conf_sheet!$A:$H,7,FALSE),VLOOKUP("other",bug_conf_sheet!$A:$H,7,FALSE))</f>
        <v>0</v>
      </c>
      <c r="S246" s="37">
        <f>IFERROR(VLOOKUP($F246,bug_conf_sheet!$A:$H,8,FALSE),VLOOKUP("other",bug_conf_sheet!$A:$H,8,FALSE))</f>
        <v>1</v>
      </c>
    </row>
    <row r="247" spans="1:19" ht="21" customHeight="1">
      <c r="A247" s="7" t="str">
        <f t="shared" si="27"/>
        <v>1940149</v>
      </c>
      <c r="B247" s="2" t="str">
        <f t="shared" si="14"/>
        <v>1940</v>
      </c>
      <c r="C247" s="8" t="str">
        <f t="shared" si="28"/>
        <v>0PremiumW4</v>
      </c>
      <c r="D247" s="8" t="str">
        <f t="shared" si="16"/>
        <v>0PremiumW4</v>
      </c>
      <c r="E247" s="10">
        <v>0</v>
      </c>
      <c r="F247" s="6">
        <v>149</v>
      </c>
      <c r="G247" s="8" t="str">
        <f>VLOOKUP(F247,[1]characters!$A:$C,3,FALSE)</f>
        <v>雷撃蹴技を極めし者 シンデレラ</v>
      </c>
      <c r="H247" s="8" t="str">
        <f>VLOOKUP(F247,[1]characters!$A:$J,10,FALSE)</f>
        <v>PremiumW</v>
      </c>
      <c r="I247" s="8">
        <f>VLOOKUP(F247,[1]characters!$A:$I,9,FALSE)</f>
        <v>4</v>
      </c>
      <c r="J247" s="8" t="str">
        <f>VLOOKUP(F247,[1]characters!$A:$H,8,FALSE)</f>
        <v>yellow</v>
      </c>
      <c r="K247" s="8" t="str">
        <f>VLOOKUP(F247,[1]characters!$A:$K,11,FALSE)</f>
        <v>balance</v>
      </c>
      <c r="L247" s="8" t="str">
        <f>VLOOKUP(F247,[1]characters!$A:$M,13,FALSE)</f>
        <v>human</v>
      </c>
      <c r="M247" s="16">
        <f>IFERROR(VLOOKUP(F247,gacha_conf!A$50:F$62,5+E247,FALSE),VLOOKUP(D247,gacha_conf!D$18:E$46,2,FALSE))</f>
        <v>3280</v>
      </c>
      <c r="N247" s="37">
        <f>IFERROR(VLOOKUP($F247,bug_conf_sheet!$A:$H,3,FALSE),VLOOKUP("other",bug_conf_sheet!$A:$H,3,FALSE))</f>
        <v>1</v>
      </c>
      <c r="O247" s="37">
        <f>IFERROR(VLOOKUP($F247,bug_conf_sheet!$A:$H,4,FALSE),VLOOKUP("other",bug_conf_sheet!$A:$H,4,FALSE))</f>
        <v>0</v>
      </c>
      <c r="P247" s="37">
        <f>IFERROR(VLOOKUP($F247,bug_conf_sheet!$A:$H,5,FALSE),VLOOKUP("other",bug_conf_sheet!$A:$H,5,FALSE))</f>
        <v>0</v>
      </c>
      <c r="Q247" s="37">
        <f>IFERROR(VLOOKUP($F247,bug_conf_sheet!$A:$H,6,FALSE),VLOOKUP("other",bug_conf_sheet!$A:$H,6,FALSE))</f>
        <v>0</v>
      </c>
      <c r="R247" s="37">
        <f>IFERROR(VLOOKUP($F247,bug_conf_sheet!$A:$H,7,FALSE),VLOOKUP("other",bug_conf_sheet!$A:$H,7,FALSE))</f>
        <v>0</v>
      </c>
      <c r="S247" s="37">
        <f>IFERROR(VLOOKUP($F247,bug_conf_sheet!$A:$H,8,FALSE),VLOOKUP("other",bug_conf_sheet!$A:$H,8,FALSE))</f>
        <v>1</v>
      </c>
    </row>
    <row r="248" spans="1:19" ht="21" customHeight="1">
      <c r="A248" s="7" t="str">
        <f t="shared" si="27"/>
        <v>1940151</v>
      </c>
      <c r="B248" s="2" t="str">
        <f t="shared" si="14"/>
        <v>1940</v>
      </c>
      <c r="C248" s="8" t="str">
        <f t="shared" si="28"/>
        <v>0PremiumW4</v>
      </c>
      <c r="D248" s="8" t="str">
        <f t="shared" si="16"/>
        <v>0PremiumW4</v>
      </c>
      <c r="E248" s="10">
        <v>0</v>
      </c>
      <c r="F248" s="6">
        <v>151</v>
      </c>
      <c r="G248" s="8" t="str">
        <f>VLOOKUP(F248,[1]characters!$A:$C,3,FALSE)</f>
        <v>毒煙の処刑人サキ</v>
      </c>
      <c r="H248" s="8" t="str">
        <f>VLOOKUP(F248,[1]characters!$A:$J,10,FALSE)</f>
        <v>PremiumW</v>
      </c>
      <c r="I248" s="8">
        <f>VLOOKUP(F248,[1]characters!$A:$I,9,FALSE)</f>
        <v>4</v>
      </c>
      <c r="J248" s="8" t="str">
        <f>VLOOKUP(F248,[1]characters!$A:$H,8,FALSE)</f>
        <v>red</v>
      </c>
      <c r="K248" s="8" t="str">
        <f>VLOOKUP(F248,[1]characters!$A:$K,11,FALSE)</f>
        <v>technical</v>
      </c>
      <c r="L248" s="8" t="str">
        <f>VLOOKUP(F248,[1]characters!$A:$M,13,FALSE)</f>
        <v>human</v>
      </c>
      <c r="M248" s="16">
        <f>IFERROR(VLOOKUP(F248,gacha_conf!A$50:F$62,5+E248,FALSE),VLOOKUP(D248,gacha_conf!D$18:E$46,2,FALSE))</f>
        <v>3280</v>
      </c>
      <c r="N248" s="37">
        <f>IFERROR(VLOOKUP($F248,bug_conf_sheet!$A:$H,3,FALSE),VLOOKUP("other",bug_conf_sheet!$A:$H,3,FALSE))</f>
        <v>1</v>
      </c>
      <c r="O248" s="37">
        <f>IFERROR(VLOOKUP($F248,bug_conf_sheet!$A:$H,4,FALSE),VLOOKUP("other",bug_conf_sheet!$A:$H,4,FALSE))</f>
        <v>0</v>
      </c>
      <c r="P248" s="37">
        <f>IFERROR(VLOOKUP($F248,bug_conf_sheet!$A:$H,5,FALSE),VLOOKUP("other",bug_conf_sheet!$A:$H,5,FALSE))</f>
        <v>0</v>
      </c>
      <c r="Q248" s="37">
        <f>IFERROR(VLOOKUP($F248,bug_conf_sheet!$A:$H,6,FALSE),VLOOKUP("other",bug_conf_sheet!$A:$H,6,FALSE))</f>
        <v>0</v>
      </c>
      <c r="R248" s="37">
        <f>IFERROR(VLOOKUP($F248,bug_conf_sheet!$A:$H,7,FALSE),VLOOKUP("other",bug_conf_sheet!$A:$H,7,FALSE))</f>
        <v>0</v>
      </c>
      <c r="S248" s="37">
        <f>IFERROR(VLOOKUP($F248,bug_conf_sheet!$A:$H,8,FALSE),VLOOKUP("other",bug_conf_sheet!$A:$H,8,FALSE))</f>
        <v>1</v>
      </c>
    </row>
    <row r="249" spans="1:19" ht="21" customHeight="1">
      <c r="A249" s="7" t="str">
        <f t="shared" si="27"/>
        <v>1940153</v>
      </c>
      <c r="B249" s="2" t="str">
        <f t="shared" si="14"/>
        <v>1940</v>
      </c>
      <c r="C249" s="8" t="str">
        <f t="shared" si="28"/>
        <v>0PremiumW4</v>
      </c>
      <c r="D249" s="8" t="str">
        <f t="shared" si="16"/>
        <v>0PremiumW4</v>
      </c>
      <c r="E249" s="10">
        <v>0</v>
      </c>
      <c r="F249" s="6">
        <v>153</v>
      </c>
      <c r="G249" s="8" t="str">
        <f>VLOOKUP(F249,[1]characters!$A:$C,3,FALSE)</f>
        <v>拳聖ランラン</v>
      </c>
      <c r="H249" s="8" t="str">
        <f>VLOOKUP(F249,[1]characters!$A:$J,10,FALSE)</f>
        <v>PremiumW</v>
      </c>
      <c r="I249" s="8">
        <f>VLOOKUP(F249,[1]characters!$A:$I,9,FALSE)</f>
        <v>4</v>
      </c>
      <c r="J249" s="8" t="str">
        <f>VLOOKUP(F249,[1]characters!$A:$H,8,FALSE)</f>
        <v>green</v>
      </c>
      <c r="K249" s="8" t="str">
        <f>VLOOKUP(F249,[1]characters!$A:$K,11,FALSE)</f>
        <v>heal</v>
      </c>
      <c r="L249" s="8" t="str">
        <f>VLOOKUP(F249,[1]characters!$A:$M,13,FALSE)</f>
        <v>human</v>
      </c>
      <c r="M249" s="16">
        <f>IFERROR(VLOOKUP(F249,gacha_conf!A$50:F$62,5+E249,FALSE),VLOOKUP(D249,gacha_conf!D$18:E$46,2,FALSE))</f>
        <v>3280</v>
      </c>
      <c r="N249" s="37">
        <f>IFERROR(VLOOKUP($F249,bug_conf_sheet!$A:$H,3,FALSE),VLOOKUP("other",bug_conf_sheet!$A:$H,3,FALSE))</f>
        <v>1</v>
      </c>
      <c r="O249" s="37">
        <f>IFERROR(VLOOKUP($F249,bug_conf_sheet!$A:$H,4,FALSE),VLOOKUP("other",bug_conf_sheet!$A:$H,4,FALSE))</f>
        <v>0</v>
      </c>
      <c r="P249" s="37">
        <f>IFERROR(VLOOKUP($F249,bug_conf_sheet!$A:$H,5,FALSE),VLOOKUP("other",bug_conf_sheet!$A:$H,5,FALSE))</f>
        <v>0</v>
      </c>
      <c r="Q249" s="37">
        <f>IFERROR(VLOOKUP($F249,bug_conf_sheet!$A:$H,6,FALSE),VLOOKUP("other",bug_conf_sheet!$A:$H,6,FALSE))</f>
        <v>0</v>
      </c>
      <c r="R249" s="37">
        <f>IFERROR(VLOOKUP($F249,bug_conf_sheet!$A:$H,7,FALSE),VLOOKUP("other",bug_conf_sheet!$A:$H,7,FALSE))</f>
        <v>0</v>
      </c>
      <c r="S249" s="37">
        <f>IFERROR(VLOOKUP($F249,bug_conf_sheet!$A:$H,8,FALSE),VLOOKUP("other",bug_conf_sheet!$A:$H,8,FALSE))</f>
        <v>1</v>
      </c>
    </row>
    <row r="250" spans="1:19" ht="21" customHeight="1">
      <c r="A250" s="7" t="str">
        <f t="shared" si="27"/>
        <v>1940155</v>
      </c>
      <c r="B250" s="2" t="str">
        <f t="shared" si="14"/>
        <v>1940</v>
      </c>
      <c r="C250" s="8" t="str">
        <f t="shared" si="28"/>
        <v>0PremiumW4</v>
      </c>
      <c r="D250" s="8" t="str">
        <f t="shared" si="16"/>
        <v>0PremiumW4</v>
      </c>
      <c r="E250" s="10">
        <v>0</v>
      </c>
      <c r="F250" s="6">
        <v>155</v>
      </c>
      <c r="G250" s="8" t="str">
        <f>VLOOKUP(F250,[1]characters!$A:$C,3,FALSE)</f>
        <v>隻眼の掃除屋 ハンナ</v>
      </c>
      <c r="H250" s="8" t="str">
        <f>VLOOKUP(F250,[1]characters!$A:$J,10,FALSE)</f>
        <v>PremiumW</v>
      </c>
      <c r="I250" s="8">
        <f>VLOOKUP(F250,[1]characters!$A:$I,9,FALSE)</f>
        <v>4</v>
      </c>
      <c r="J250" s="8" t="str">
        <f>VLOOKUP(F250,[1]characters!$A:$H,8,FALSE)</f>
        <v>blue</v>
      </c>
      <c r="K250" s="8" t="str">
        <f>VLOOKUP(F250,[1]characters!$A:$K,11,FALSE)</f>
        <v>heal</v>
      </c>
      <c r="L250" s="8" t="str">
        <f>VLOOKUP(F250,[1]characters!$A:$M,13,FALSE)</f>
        <v>human</v>
      </c>
      <c r="M250" s="16">
        <f>IFERROR(VLOOKUP(F250,gacha_conf!A$50:F$62,5+E250,FALSE),VLOOKUP(D250,gacha_conf!D$18:E$46,2,FALSE))</f>
        <v>3280</v>
      </c>
      <c r="N250" s="37">
        <f>IFERROR(VLOOKUP($F250,bug_conf_sheet!$A:$H,3,FALSE),VLOOKUP("other",bug_conf_sheet!$A:$H,3,FALSE))</f>
        <v>1</v>
      </c>
      <c r="O250" s="37">
        <f>IFERROR(VLOOKUP($F250,bug_conf_sheet!$A:$H,4,FALSE),VLOOKUP("other",bug_conf_sheet!$A:$H,4,FALSE))</f>
        <v>0</v>
      </c>
      <c r="P250" s="37">
        <f>IFERROR(VLOOKUP($F250,bug_conf_sheet!$A:$H,5,FALSE),VLOOKUP("other",bug_conf_sheet!$A:$H,5,FALSE))</f>
        <v>0</v>
      </c>
      <c r="Q250" s="37">
        <f>IFERROR(VLOOKUP($F250,bug_conf_sheet!$A:$H,6,FALSE),VLOOKUP("other",bug_conf_sheet!$A:$H,6,FALSE))</f>
        <v>0</v>
      </c>
      <c r="R250" s="37">
        <f>IFERROR(VLOOKUP($F250,bug_conf_sheet!$A:$H,7,FALSE),VLOOKUP("other",bug_conf_sheet!$A:$H,7,FALSE))</f>
        <v>0</v>
      </c>
      <c r="S250" s="37">
        <f>IFERROR(VLOOKUP($F250,bug_conf_sheet!$A:$H,8,FALSE),VLOOKUP("other",bug_conf_sheet!$A:$H,8,FALSE))</f>
        <v>1</v>
      </c>
    </row>
    <row r="251" spans="1:19" ht="21" customHeight="1">
      <c r="A251" s="7" t="str">
        <f t="shared" si="27"/>
        <v>1940157</v>
      </c>
      <c r="B251" s="2" t="str">
        <f t="shared" si="14"/>
        <v>1940</v>
      </c>
      <c r="C251" s="8" t="str">
        <f t="shared" si="28"/>
        <v>0PremiumW4</v>
      </c>
      <c r="D251" s="8" t="str">
        <f t="shared" si="16"/>
        <v>0PremiumW4</v>
      </c>
      <c r="E251" s="10">
        <v>0</v>
      </c>
      <c r="F251" s="6">
        <v>157</v>
      </c>
      <c r="G251" s="8" t="str">
        <f>VLOOKUP(F251,[1]characters!$A:$C,3,FALSE)</f>
        <v>雷光舞姫 エレナ</v>
      </c>
      <c r="H251" s="8" t="str">
        <f>VLOOKUP(F251,[1]characters!$A:$J,10,FALSE)</f>
        <v>PremiumW</v>
      </c>
      <c r="I251" s="8">
        <f>VLOOKUP(F251,[1]characters!$A:$I,9,FALSE)</f>
        <v>4</v>
      </c>
      <c r="J251" s="8" t="str">
        <f>VLOOKUP(F251,[1]characters!$A:$H,8,FALSE)</f>
        <v>yellow</v>
      </c>
      <c r="K251" s="8" t="str">
        <f>VLOOKUP(F251,[1]characters!$A:$K,11,FALSE)</f>
        <v>heal</v>
      </c>
      <c r="L251" s="8" t="str">
        <f>VLOOKUP(F251,[1]characters!$A:$M,13,FALSE)</f>
        <v>human</v>
      </c>
      <c r="M251" s="16">
        <f>IFERROR(VLOOKUP(F251,gacha_conf!A$50:F$62,5+E251,FALSE),VLOOKUP(D251,gacha_conf!D$18:E$46,2,FALSE))</f>
        <v>3280</v>
      </c>
      <c r="N251" s="37">
        <f>IFERROR(VLOOKUP($F251,bug_conf_sheet!$A:$H,3,FALSE),VLOOKUP("other",bug_conf_sheet!$A:$H,3,FALSE))</f>
        <v>1</v>
      </c>
      <c r="O251" s="37">
        <f>IFERROR(VLOOKUP($F251,bug_conf_sheet!$A:$H,4,FALSE),VLOOKUP("other",bug_conf_sheet!$A:$H,4,FALSE))</f>
        <v>0</v>
      </c>
      <c r="P251" s="37">
        <f>IFERROR(VLOOKUP($F251,bug_conf_sheet!$A:$H,5,FALSE),VLOOKUP("other",bug_conf_sheet!$A:$H,5,FALSE))</f>
        <v>0</v>
      </c>
      <c r="Q251" s="37">
        <f>IFERROR(VLOOKUP($F251,bug_conf_sheet!$A:$H,6,FALSE),VLOOKUP("other",bug_conf_sheet!$A:$H,6,FALSE))</f>
        <v>0</v>
      </c>
      <c r="R251" s="37">
        <f>IFERROR(VLOOKUP($F251,bug_conf_sheet!$A:$H,7,FALSE),VLOOKUP("other",bug_conf_sheet!$A:$H,7,FALSE))</f>
        <v>0</v>
      </c>
      <c r="S251" s="37">
        <f>IFERROR(VLOOKUP($F251,bug_conf_sheet!$A:$H,8,FALSE),VLOOKUP("other",bug_conf_sheet!$A:$H,8,FALSE))</f>
        <v>1</v>
      </c>
    </row>
    <row r="252" spans="1:19" ht="21" customHeight="1">
      <c r="A252" s="7" t="str">
        <f t="shared" si="27"/>
        <v>1940159</v>
      </c>
      <c r="B252" s="2" t="str">
        <f t="shared" si="14"/>
        <v>1940</v>
      </c>
      <c r="C252" s="8" t="str">
        <f t="shared" si="28"/>
        <v>0PremiumW4</v>
      </c>
      <c r="D252" s="8" t="str">
        <f t="shared" si="16"/>
        <v>0PremiumW4</v>
      </c>
      <c r="E252" s="10">
        <v>0</v>
      </c>
      <c r="F252" s="6">
        <v>159</v>
      </c>
      <c r="G252" s="8" t="str">
        <f>VLOOKUP(F252,[1]characters!$A:$C,3,FALSE)</f>
        <v>邪を狩りし者 シャルロッテ</v>
      </c>
      <c r="H252" s="8" t="str">
        <f>VLOOKUP(F252,[1]characters!$A:$J,10,FALSE)</f>
        <v>PremiumW</v>
      </c>
      <c r="I252" s="8">
        <f>VLOOKUP(F252,[1]characters!$A:$I,9,FALSE)</f>
        <v>4</v>
      </c>
      <c r="J252" s="8" t="str">
        <f>VLOOKUP(F252,[1]characters!$A:$H,8,FALSE)</f>
        <v>red</v>
      </c>
      <c r="K252" s="8" t="str">
        <f>VLOOKUP(F252,[1]characters!$A:$K,11,FALSE)</f>
        <v>heal</v>
      </c>
      <c r="L252" s="8" t="str">
        <f>VLOOKUP(F252,[1]characters!$A:$M,13,FALSE)</f>
        <v>human</v>
      </c>
      <c r="M252" s="16">
        <f>IFERROR(VLOOKUP(F252,gacha_conf!A$50:F$62,5+E252,FALSE),VLOOKUP(D252,gacha_conf!D$18:E$46,2,FALSE))</f>
        <v>3280</v>
      </c>
      <c r="N252" s="37">
        <f>IFERROR(VLOOKUP($F252,bug_conf_sheet!$A:$H,3,FALSE),VLOOKUP("other",bug_conf_sheet!$A:$H,3,FALSE))</f>
        <v>1</v>
      </c>
      <c r="O252" s="37">
        <f>IFERROR(VLOOKUP($F252,bug_conf_sheet!$A:$H,4,FALSE),VLOOKUP("other",bug_conf_sheet!$A:$H,4,FALSE))</f>
        <v>0</v>
      </c>
      <c r="P252" s="37">
        <f>IFERROR(VLOOKUP($F252,bug_conf_sheet!$A:$H,5,FALSE),VLOOKUP("other",bug_conf_sheet!$A:$H,5,FALSE))</f>
        <v>0</v>
      </c>
      <c r="Q252" s="37">
        <f>IFERROR(VLOOKUP($F252,bug_conf_sheet!$A:$H,6,FALSE),VLOOKUP("other",bug_conf_sheet!$A:$H,6,FALSE))</f>
        <v>0</v>
      </c>
      <c r="R252" s="37">
        <f>IFERROR(VLOOKUP($F252,bug_conf_sheet!$A:$H,7,FALSE),VLOOKUP("other",bug_conf_sheet!$A:$H,7,FALSE))</f>
        <v>0</v>
      </c>
      <c r="S252" s="37">
        <f>IFERROR(VLOOKUP($F252,bug_conf_sheet!$A:$H,8,FALSE),VLOOKUP("other",bug_conf_sheet!$A:$H,8,FALSE))</f>
        <v>1</v>
      </c>
    </row>
    <row r="253" spans="1:19" ht="21" customHeight="1">
      <c r="A253" s="7" t="str">
        <f t="shared" si="27"/>
        <v>1940161</v>
      </c>
      <c r="B253" s="2" t="str">
        <f t="shared" si="14"/>
        <v>1940</v>
      </c>
      <c r="C253" s="8" t="str">
        <f t="shared" si="28"/>
        <v>0PremiumW4</v>
      </c>
      <c r="D253" s="8" t="str">
        <f t="shared" si="16"/>
        <v>0PremiumW4</v>
      </c>
      <c r="E253" s="10">
        <v>0</v>
      </c>
      <c r="F253" s="6">
        <v>161</v>
      </c>
      <c r="G253" s="8" t="str">
        <f>VLOOKUP(F253,[1]characters!$A:$C,3,FALSE)</f>
        <v>咆哮の先導者 クリエ</v>
      </c>
      <c r="H253" s="8" t="str">
        <f>VLOOKUP(F253,[1]characters!$A:$J,10,FALSE)</f>
        <v>PremiumW</v>
      </c>
      <c r="I253" s="8">
        <f>VLOOKUP(F253,[1]characters!$A:$I,9,FALSE)</f>
        <v>4</v>
      </c>
      <c r="J253" s="8" t="str">
        <f>VLOOKUP(F253,[1]characters!$A:$H,8,FALSE)</f>
        <v>green</v>
      </c>
      <c r="K253" s="8" t="str">
        <f>VLOOKUP(F253,[1]characters!$A:$K,11,FALSE)</f>
        <v>balance</v>
      </c>
      <c r="L253" s="8" t="str">
        <f>VLOOKUP(F253,[1]characters!$A:$M,13,FALSE)</f>
        <v>human</v>
      </c>
      <c r="M253" s="16">
        <f>IFERROR(VLOOKUP(F253,gacha_conf!A$50:F$62,5+E253,FALSE),VLOOKUP(D253,gacha_conf!D$18:E$46,2,FALSE))</f>
        <v>3280</v>
      </c>
      <c r="N253" s="37">
        <f>IFERROR(VLOOKUP($F253,bug_conf_sheet!$A:$H,3,FALSE),VLOOKUP("other",bug_conf_sheet!$A:$H,3,FALSE))</f>
        <v>1</v>
      </c>
      <c r="O253" s="37">
        <f>IFERROR(VLOOKUP($F253,bug_conf_sheet!$A:$H,4,FALSE),VLOOKUP("other",bug_conf_sheet!$A:$H,4,FALSE))</f>
        <v>0</v>
      </c>
      <c r="P253" s="37">
        <f>IFERROR(VLOOKUP($F253,bug_conf_sheet!$A:$H,5,FALSE),VLOOKUP("other",bug_conf_sheet!$A:$H,5,FALSE))</f>
        <v>0</v>
      </c>
      <c r="Q253" s="37">
        <f>IFERROR(VLOOKUP($F253,bug_conf_sheet!$A:$H,6,FALSE),VLOOKUP("other",bug_conf_sheet!$A:$H,6,FALSE))</f>
        <v>0</v>
      </c>
      <c r="R253" s="37">
        <f>IFERROR(VLOOKUP($F253,bug_conf_sheet!$A:$H,7,FALSE),VLOOKUP("other",bug_conf_sheet!$A:$H,7,FALSE))</f>
        <v>0</v>
      </c>
      <c r="S253" s="37">
        <f>IFERROR(VLOOKUP($F253,bug_conf_sheet!$A:$H,8,FALSE),VLOOKUP("other",bug_conf_sheet!$A:$H,8,FALSE))</f>
        <v>1</v>
      </c>
    </row>
    <row r="254" spans="1:19" ht="21" customHeight="1">
      <c r="A254" s="7" t="str">
        <f t="shared" si="27"/>
        <v>1940163</v>
      </c>
      <c r="B254" s="2" t="str">
        <f t="shared" si="14"/>
        <v>1940</v>
      </c>
      <c r="C254" s="8" t="str">
        <f t="shared" si="28"/>
        <v>0PremiumW4</v>
      </c>
      <c r="D254" s="8" t="str">
        <f t="shared" si="16"/>
        <v>0PremiumW4</v>
      </c>
      <c r="E254" s="10">
        <v>0</v>
      </c>
      <c r="F254" s="6">
        <v>163</v>
      </c>
      <c r="G254" s="8" t="str">
        <f>VLOOKUP(F254,[1]characters!$A:$C,3,FALSE)</f>
        <v>冷酷な狂嬢 クララ</v>
      </c>
      <c r="H254" s="8" t="str">
        <f>VLOOKUP(F254,[1]characters!$A:$J,10,FALSE)</f>
        <v>PremiumW</v>
      </c>
      <c r="I254" s="8">
        <f>VLOOKUP(F254,[1]characters!$A:$I,9,FALSE)</f>
        <v>4</v>
      </c>
      <c r="J254" s="8" t="str">
        <f>VLOOKUP(F254,[1]characters!$A:$H,8,FALSE)</f>
        <v>blue</v>
      </c>
      <c r="K254" s="8" t="str">
        <f>VLOOKUP(F254,[1]characters!$A:$K,11,FALSE)</f>
        <v>attack</v>
      </c>
      <c r="L254" s="8" t="str">
        <f>VLOOKUP(F254,[1]characters!$A:$M,13,FALSE)</f>
        <v>human</v>
      </c>
      <c r="M254" s="16">
        <f>IFERROR(VLOOKUP(F254,gacha_conf!A$50:F$62,5+E254,FALSE),VLOOKUP(D254,gacha_conf!D$18:E$46,2,FALSE))</f>
        <v>3280</v>
      </c>
      <c r="N254" s="37">
        <f>IFERROR(VLOOKUP($F254,bug_conf_sheet!$A:$H,3,FALSE),VLOOKUP("other",bug_conf_sheet!$A:$H,3,FALSE))</f>
        <v>1</v>
      </c>
      <c r="O254" s="37">
        <f>IFERROR(VLOOKUP($F254,bug_conf_sheet!$A:$H,4,FALSE),VLOOKUP("other",bug_conf_sheet!$A:$H,4,FALSE))</f>
        <v>0</v>
      </c>
      <c r="P254" s="37">
        <f>IFERROR(VLOOKUP($F254,bug_conf_sheet!$A:$H,5,FALSE),VLOOKUP("other",bug_conf_sheet!$A:$H,5,FALSE))</f>
        <v>0</v>
      </c>
      <c r="Q254" s="37">
        <f>IFERROR(VLOOKUP($F254,bug_conf_sheet!$A:$H,6,FALSE),VLOOKUP("other",bug_conf_sheet!$A:$H,6,FALSE))</f>
        <v>0</v>
      </c>
      <c r="R254" s="37">
        <f>IFERROR(VLOOKUP($F254,bug_conf_sheet!$A:$H,7,FALSE),VLOOKUP("other",bug_conf_sheet!$A:$H,7,FALSE))</f>
        <v>0</v>
      </c>
      <c r="S254" s="37">
        <f>IFERROR(VLOOKUP($F254,bug_conf_sheet!$A:$H,8,FALSE),VLOOKUP("other",bug_conf_sheet!$A:$H,8,FALSE))</f>
        <v>1</v>
      </c>
    </row>
    <row r="255" spans="1:19" ht="21" customHeight="1">
      <c r="A255" s="7" t="str">
        <f t="shared" si="27"/>
        <v>1940165</v>
      </c>
      <c r="B255" s="2" t="str">
        <f t="shared" si="14"/>
        <v>1940</v>
      </c>
      <c r="C255" s="8" t="str">
        <f t="shared" si="28"/>
        <v>0PremiumW4</v>
      </c>
      <c r="D255" s="8" t="str">
        <f t="shared" si="16"/>
        <v>0PremiumW4</v>
      </c>
      <c r="E255" s="10">
        <v>0</v>
      </c>
      <c r="F255" s="6">
        <v>165</v>
      </c>
      <c r="G255" s="8" t="str">
        <f>VLOOKUP(F255,[1]characters!$A:$C,3,FALSE)</f>
        <v>イブとたったひとりのトモダチ</v>
      </c>
      <c r="H255" s="8" t="str">
        <f>VLOOKUP(F255,[1]characters!$A:$J,10,FALSE)</f>
        <v>PremiumW</v>
      </c>
      <c r="I255" s="8">
        <f>VLOOKUP(F255,[1]characters!$A:$I,9,FALSE)</f>
        <v>4</v>
      </c>
      <c r="J255" s="8" t="str">
        <f>VLOOKUP(F255,[1]characters!$A:$H,8,FALSE)</f>
        <v>yellow</v>
      </c>
      <c r="K255" s="8" t="str">
        <f>VLOOKUP(F255,[1]characters!$A:$K,11,FALSE)</f>
        <v>technical</v>
      </c>
      <c r="L255" s="8" t="str">
        <f>VLOOKUP(F255,[1]characters!$A:$M,13,FALSE)</f>
        <v>human</v>
      </c>
      <c r="M255" s="16">
        <f>IFERROR(VLOOKUP(F255,gacha_conf!A$50:F$62,5+E255,FALSE),VLOOKUP(D255,gacha_conf!D$18:E$46,2,FALSE))</f>
        <v>3280</v>
      </c>
      <c r="N255" s="37">
        <f>IFERROR(VLOOKUP($F255,bug_conf_sheet!$A:$H,3,FALSE),VLOOKUP("other",bug_conf_sheet!$A:$H,3,FALSE))</f>
        <v>1</v>
      </c>
      <c r="O255" s="37">
        <f>IFERROR(VLOOKUP($F255,bug_conf_sheet!$A:$H,4,FALSE),VLOOKUP("other",bug_conf_sheet!$A:$H,4,FALSE))</f>
        <v>0</v>
      </c>
      <c r="P255" s="37">
        <f>IFERROR(VLOOKUP($F255,bug_conf_sheet!$A:$H,5,FALSE),VLOOKUP("other",bug_conf_sheet!$A:$H,5,FALSE))</f>
        <v>0</v>
      </c>
      <c r="Q255" s="37">
        <f>IFERROR(VLOOKUP($F255,bug_conf_sheet!$A:$H,6,FALSE),VLOOKUP("other",bug_conf_sheet!$A:$H,6,FALSE))</f>
        <v>0</v>
      </c>
      <c r="R255" s="37">
        <f>IFERROR(VLOOKUP($F255,bug_conf_sheet!$A:$H,7,FALSE),VLOOKUP("other",bug_conf_sheet!$A:$H,7,FALSE))</f>
        <v>0</v>
      </c>
      <c r="S255" s="37">
        <f>IFERROR(VLOOKUP($F255,bug_conf_sheet!$A:$H,8,FALSE),VLOOKUP("other",bug_conf_sheet!$A:$H,8,FALSE))</f>
        <v>1</v>
      </c>
    </row>
    <row r="256" spans="1:19" ht="21" customHeight="1">
      <c r="A256" s="7" t="str">
        <f t="shared" si="27"/>
        <v>1940167</v>
      </c>
      <c r="B256" s="2" t="str">
        <f t="shared" si="14"/>
        <v>1940</v>
      </c>
      <c r="C256" s="8" t="str">
        <f t="shared" si="28"/>
        <v>0PremiumN4</v>
      </c>
      <c r="D256" s="8" t="str">
        <f t="shared" si="16"/>
        <v>0PremiumN4</v>
      </c>
      <c r="E256" s="10">
        <v>0</v>
      </c>
      <c r="F256" s="6">
        <v>167</v>
      </c>
      <c r="G256" s="8" t="str">
        <f>VLOOKUP(F256,[1]characters!$A:$C,3,FALSE)</f>
        <v>逆徒 ベリアル</v>
      </c>
      <c r="H256" s="8" t="str">
        <f>VLOOKUP(F256,[1]characters!$A:$J,10,FALSE)</f>
        <v>PremiumN</v>
      </c>
      <c r="I256" s="8">
        <f>VLOOKUP(F256,[1]characters!$A:$I,9,FALSE)</f>
        <v>4</v>
      </c>
      <c r="J256" s="8" t="str">
        <f>VLOOKUP(F256,[1]characters!$A:$H,8,FALSE)</f>
        <v>red</v>
      </c>
      <c r="K256" s="8" t="str">
        <f>VLOOKUP(F256,[1]characters!$A:$K,11,FALSE)</f>
        <v>attack</v>
      </c>
      <c r="L256" s="8" t="str">
        <f>VLOOKUP(F256,[1]characters!$A:$M,13,FALSE)</f>
        <v>god</v>
      </c>
      <c r="M256" s="16">
        <f>IFERROR(VLOOKUP(F256,gacha_conf!A$50:F$62,5+E256,FALSE),VLOOKUP(D256,gacha_conf!D$18:E$46,2,FALSE))</f>
        <v>6166</v>
      </c>
      <c r="N256" s="37">
        <f>IFERROR(VLOOKUP($F256,bug_conf_sheet!$A:$H,3,FALSE),VLOOKUP("other",bug_conf_sheet!$A:$H,3,FALSE))</f>
        <v>1</v>
      </c>
      <c r="O256" s="37">
        <f>IFERROR(VLOOKUP($F256,bug_conf_sheet!$A:$H,4,FALSE),VLOOKUP("other",bug_conf_sheet!$A:$H,4,FALSE))</f>
        <v>0</v>
      </c>
      <c r="P256" s="37">
        <f>IFERROR(VLOOKUP($F256,bug_conf_sheet!$A:$H,5,FALSE),VLOOKUP("other",bug_conf_sheet!$A:$H,5,FALSE))</f>
        <v>0</v>
      </c>
      <c r="Q256" s="37">
        <f>IFERROR(VLOOKUP($F256,bug_conf_sheet!$A:$H,6,FALSE),VLOOKUP("other",bug_conf_sheet!$A:$H,6,FALSE))</f>
        <v>0</v>
      </c>
      <c r="R256" s="37">
        <f>IFERROR(VLOOKUP($F256,bug_conf_sheet!$A:$H,7,FALSE),VLOOKUP("other",bug_conf_sheet!$A:$H,7,FALSE))</f>
        <v>0</v>
      </c>
      <c r="S256" s="37">
        <f>IFERROR(VLOOKUP($F256,bug_conf_sheet!$A:$H,8,FALSE),VLOOKUP("other",bug_conf_sheet!$A:$H,8,FALSE))</f>
        <v>1</v>
      </c>
    </row>
    <row r="257" spans="1:19" ht="21" customHeight="1">
      <c r="A257" s="7" t="str">
        <f t="shared" si="27"/>
        <v>1940168</v>
      </c>
      <c r="B257" s="2" t="str">
        <f t="shared" si="14"/>
        <v>1940</v>
      </c>
      <c r="C257" s="8" t="str">
        <f t="shared" si="28"/>
        <v>0PremiumN5</v>
      </c>
      <c r="D257" s="8" t="str">
        <f t="shared" si="16"/>
        <v>0PremiumN5</v>
      </c>
      <c r="E257" s="10">
        <v>0</v>
      </c>
      <c r="F257" s="6">
        <v>168</v>
      </c>
      <c r="G257" s="8" t="str">
        <f>VLOOKUP(F257,[1]characters!$A:$C,3,FALSE)</f>
        <v>猛進の大逆者 ベリアル</v>
      </c>
      <c r="H257" s="8" t="str">
        <f>VLOOKUP(F257,[1]characters!$A:$J,10,FALSE)</f>
        <v>PremiumN</v>
      </c>
      <c r="I257" s="8">
        <f>VLOOKUP(F257,[1]characters!$A:$I,9,FALSE)</f>
        <v>5</v>
      </c>
      <c r="J257" s="8" t="str">
        <f>VLOOKUP(F257,[1]characters!$A:$H,8,FALSE)</f>
        <v>red</v>
      </c>
      <c r="K257" s="8" t="str">
        <f>VLOOKUP(F257,[1]characters!$A:$K,11,FALSE)</f>
        <v>attack</v>
      </c>
      <c r="L257" s="8" t="str">
        <f>VLOOKUP(F257,[1]characters!$A:$M,13,FALSE)</f>
        <v>god</v>
      </c>
      <c r="M257" s="16">
        <f>IFERROR(VLOOKUP(F257,gacha_conf!A$50:F$62,5+E257,FALSE),VLOOKUP(D257,gacha_conf!D$18:E$46,2,FALSE))</f>
        <v>394</v>
      </c>
      <c r="N257" s="37">
        <f>IFERROR(VLOOKUP($F257,bug_conf_sheet!$A:$H,3,FALSE),VLOOKUP("other",bug_conf_sheet!$A:$H,3,FALSE))</f>
        <v>1</v>
      </c>
      <c r="O257" s="37">
        <f>IFERROR(VLOOKUP($F257,bug_conf_sheet!$A:$H,4,FALSE),VLOOKUP("other",bug_conf_sheet!$A:$H,4,FALSE))</f>
        <v>0</v>
      </c>
      <c r="P257" s="37">
        <f>IFERROR(VLOOKUP($F257,bug_conf_sheet!$A:$H,5,FALSE),VLOOKUP("other",bug_conf_sheet!$A:$H,5,FALSE))</f>
        <v>0</v>
      </c>
      <c r="Q257" s="37">
        <f>IFERROR(VLOOKUP($F257,bug_conf_sheet!$A:$H,6,FALSE),VLOOKUP("other",bug_conf_sheet!$A:$H,6,FALSE))</f>
        <v>0</v>
      </c>
      <c r="R257" s="37">
        <f>IFERROR(VLOOKUP($F257,bug_conf_sheet!$A:$H,7,FALSE),VLOOKUP("other",bug_conf_sheet!$A:$H,7,FALSE))</f>
        <v>0</v>
      </c>
      <c r="S257" s="37">
        <f>IFERROR(VLOOKUP($F257,bug_conf_sheet!$A:$H,8,FALSE),VLOOKUP("other",bug_conf_sheet!$A:$H,8,FALSE))</f>
        <v>1</v>
      </c>
    </row>
    <row r="258" spans="1:19" ht="21" customHeight="1">
      <c r="A258" s="7" t="str">
        <f t="shared" si="27"/>
        <v>1940170</v>
      </c>
      <c r="B258" s="2" t="str">
        <f t="shared" si="14"/>
        <v>1940</v>
      </c>
      <c r="C258" s="8" t="str">
        <f t="shared" si="28"/>
        <v>0PremiumN4</v>
      </c>
      <c r="D258" s="8" t="str">
        <f t="shared" si="16"/>
        <v>0PremiumN4</v>
      </c>
      <c r="E258" s="10">
        <v>0</v>
      </c>
      <c r="F258" s="6">
        <v>170</v>
      </c>
      <c r="G258" s="8" t="str">
        <f>VLOOKUP(F258,[1]characters!$A:$C,3,FALSE)</f>
        <v>識徒 オセ</v>
      </c>
      <c r="H258" s="8" t="str">
        <f>VLOOKUP(F258,[1]characters!$A:$J,10,FALSE)</f>
        <v>PremiumN</v>
      </c>
      <c r="I258" s="8">
        <f>VLOOKUP(F258,[1]characters!$A:$I,9,FALSE)</f>
        <v>4</v>
      </c>
      <c r="J258" s="8" t="str">
        <f>VLOOKUP(F258,[1]characters!$A:$H,8,FALSE)</f>
        <v>green</v>
      </c>
      <c r="K258" s="8" t="str">
        <f>VLOOKUP(F258,[1]characters!$A:$K,11,FALSE)</f>
        <v>attack</v>
      </c>
      <c r="L258" s="8" t="str">
        <f>VLOOKUP(F258,[1]characters!$A:$M,13,FALSE)</f>
        <v>god</v>
      </c>
      <c r="M258" s="16">
        <f>IFERROR(VLOOKUP(F258,gacha_conf!A$50:F$62,5+E258,FALSE),VLOOKUP(D258,gacha_conf!D$18:E$46,2,FALSE))</f>
        <v>6166</v>
      </c>
      <c r="N258" s="37">
        <f>IFERROR(VLOOKUP($F258,bug_conf_sheet!$A:$H,3,FALSE),VLOOKUP("other",bug_conf_sheet!$A:$H,3,FALSE))</f>
        <v>1</v>
      </c>
      <c r="O258" s="37">
        <f>IFERROR(VLOOKUP($F258,bug_conf_sheet!$A:$H,4,FALSE),VLOOKUP("other",bug_conf_sheet!$A:$H,4,FALSE))</f>
        <v>0</v>
      </c>
      <c r="P258" s="37">
        <f>IFERROR(VLOOKUP($F258,bug_conf_sheet!$A:$H,5,FALSE),VLOOKUP("other",bug_conf_sheet!$A:$H,5,FALSE))</f>
        <v>0</v>
      </c>
      <c r="Q258" s="37">
        <f>IFERROR(VLOOKUP($F258,bug_conf_sheet!$A:$H,6,FALSE),VLOOKUP("other",bug_conf_sheet!$A:$H,6,FALSE))</f>
        <v>0</v>
      </c>
      <c r="R258" s="37">
        <f>IFERROR(VLOOKUP($F258,bug_conf_sheet!$A:$H,7,FALSE),VLOOKUP("other",bug_conf_sheet!$A:$H,7,FALSE))</f>
        <v>0</v>
      </c>
      <c r="S258" s="37">
        <f>IFERROR(VLOOKUP($F258,bug_conf_sheet!$A:$H,8,FALSE),VLOOKUP("other",bug_conf_sheet!$A:$H,8,FALSE))</f>
        <v>1</v>
      </c>
    </row>
    <row r="259" spans="1:19" ht="21" customHeight="1">
      <c r="A259" s="7" t="str">
        <f t="shared" si="27"/>
        <v>1940171</v>
      </c>
      <c r="B259" s="2" t="str">
        <f t="shared" ref="B259:B322" si="29">194&amp;E259</f>
        <v>1940</v>
      </c>
      <c r="C259" s="8" t="str">
        <f t="shared" si="28"/>
        <v>0PremiumN5</v>
      </c>
      <c r="D259" s="8" t="str">
        <f t="shared" ref="D259:D322" si="30">E259&amp;H259&amp;I259</f>
        <v>0PremiumN5</v>
      </c>
      <c r="E259" s="10">
        <v>0</v>
      </c>
      <c r="F259" s="6">
        <v>171</v>
      </c>
      <c r="G259" s="8" t="str">
        <f>VLOOKUP(F259,[1]characters!$A:$C,3,FALSE)</f>
        <v>精解の預知者 オセ</v>
      </c>
      <c r="H259" s="8" t="str">
        <f>VLOOKUP(F259,[1]characters!$A:$J,10,FALSE)</f>
        <v>PremiumN</v>
      </c>
      <c r="I259" s="8">
        <f>VLOOKUP(F259,[1]characters!$A:$I,9,FALSE)</f>
        <v>5</v>
      </c>
      <c r="J259" s="8" t="str">
        <f>VLOOKUP(F259,[1]characters!$A:$H,8,FALSE)</f>
        <v>green</v>
      </c>
      <c r="K259" s="8" t="str">
        <f>VLOOKUP(F259,[1]characters!$A:$K,11,FALSE)</f>
        <v>attack</v>
      </c>
      <c r="L259" s="8" t="str">
        <f>VLOOKUP(F259,[1]characters!$A:$M,13,FALSE)</f>
        <v>god</v>
      </c>
      <c r="M259" s="16">
        <f>IFERROR(VLOOKUP(F259,gacha_conf!A$50:F$62,5+E259,FALSE),VLOOKUP(D259,gacha_conf!D$18:E$46,2,FALSE))</f>
        <v>394</v>
      </c>
      <c r="N259" s="37">
        <f>IFERROR(VLOOKUP($F259,bug_conf_sheet!$A:$H,3,FALSE),VLOOKUP("other",bug_conf_sheet!$A:$H,3,FALSE))</f>
        <v>1</v>
      </c>
      <c r="O259" s="37">
        <f>IFERROR(VLOOKUP($F259,bug_conf_sheet!$A:$H,4,FALSE),VLOOKUP("other",bug_conf_sheet!$A:$H,4,FALSE))</f>
        <v>0</v>
      </c>
      <c r="P259" s="37">
        <f>IFERROR(VLOOKUP($F259,bug_conf_sheet!$A:$H,5,FALSE),VLOOKUP("other",bug_conf_sheet!$A:$H,5,FALSE))</f>
        <v>0</v>
      </c>
      <c r="Q259" s="37">
        <f>IFERROR(VLOOKUP($F259,bug_conf_sheet!$A:$H,6,FALSE),VLOOKUP("other",bug_conf_sheet!$A:$H,6,FALSE))</f>
        <v>0</v>
      </c>
      <c r="R259" s="37">
        <f>IFERROR(VLOOKUP($F259,bug_conf_sheet!$A:$H,7,FALSE),VLOOKUP("other",bug_conf_sheet!$A:$H,7,FALSE))</f>
        <v>0</v>
      </c>
      <c r="S259" s="37">
        <f>IFERROR(VLOOKUP($F259,bug_conf_sheet!$A:$H,8,FALSE),VLOOKUP("other",bug_conf_sheet!$A:$H,8,FALSE))</f>
        <v>1</v>
      </c>
    </row>
    <row r="260" spans="1:19" ht="21" customHeight="1">
      <c r="A260" s="7" t="str">
        <f t="shared" si="27"/>
        <v>1940173</v>
      </c>
      <c r="B260" s="2" t="str">
        <f t="shared" si="29"/>
        <v>1940</v>
      </c>
      <c r="C260" s="8" t="str">
        <f t="shared" si="28"/>
        <v>0PremiumN4</v>
      </c>
      <c r="D260" s="8" t="str">
        <f t="shared" si="30"/>
        <v>0PremiumN4</v>
      </c>
      <c r="E260" s="10">
        <v>0</v>
      </c>
      <c r="F260" s="6">
        <v>173</v>
      </c>
      <c r="G260" s="8" t="str">
        <f>VLOOKUP(F260,[1]characters!$A:$C,3,FALSE)</f>
        <v>公爵 フォルネウス</v>
      </c>
      <c r="H260" s="8" t="str">
        <f>VLOOKUP(F260,[1]characters!$A:$J,10,FALSE)</f>
        <v>PremiumN</v>
      </c>
      <c r="I260" s="8">
        <f>VLOOKUP(F260,[1]characters!$A:$I,9,FALSE)</f>
        <v>4</v>
      </c>
      <c r="J260" s="8" t="str">
        <f>VLOOKUP(F260,[1]characters!$A:$H,8,FALSE)</f>
        <v>blue</v>
      </c>
      <c r="K260" s="8" t="str">
        <f>VLOOKUP(F260,[1]characters!$A:$K,11,FALSE)</f>
        <v>attack</v>
      </c>
      <c r="L260" s="8" t="str">
        <f>VLOOKUP(F260,[1]characters!$A:$M,13,FALSE)</f>
        <v>god</v>
      </c>
      <c r="M260" s="16">
        <f>IFERROR(VLOOKUP(F260,gacha_conf!A$50:F$62,5+E260,FALSE),VLOOKUP(D260,gacha_conf!D$18:E$46,2,FALSE))</f>
        <v>6166</v>
      </c>
      <c r="N260" s="37">
        <f>IFERROR(VLOOKUP($F260,bug_conf_sheet!$A:$H,3,FALSE),VLOOKUP("other",bug_conf_sheet!$A:$H,3,FALSE))</f>
        <v>1</v>
      </c>
      <c r="O260" s="37">
        <f>IFERROR(VLOOKUP($F260,bug_conf_sheet!$A:$H,4,FALSE),VLOOKUP("other",bug_conf_sheet!$A:$H,4,FALSE))</f>
        <v>0</v>
      </c>
      <c r="P260" s="37">
        <f>IFERROR(VLOOKUP($F260,bug_conf_sheet!$A:$H,5,FALSE),VLOOKUP("other",bug_conf_sheet!$A:$H,5,FALSE))</f>
        <v>0</v>
      </c>
      <c r="Q260" s="37">
        <f>IFERROR(VLOOKUP($F260,bug_conf_sheet!$A:$H,6,FALSE),VLOOKUP("other",bug_conf_sheet!$A:$H,6,FALSE))</f>
        <v>0</v>
      </c>
      <c r="R260" s="37">
        <f>IFERROR(VLOOKUP($F260,bug_conf_sheet!$A:$H,7,FALSE),VLOOKUP("other",bug_conf_sheet!$A:$H,7,FALSE))</f>
        <v>0</v>
      </c>
      <c r="S260" s="37">
        <f>IFERROR(VLOOKUP($F260,bug_conf_sheet!$A:$H,8,FALSE),VLOOKUP("other",bug_conf_sheet!$A:$H,8,FALSE))</f>
        <v>1</v>
      </c>
    </row>
    <row r="261" spans="1:19" ht="21" customHeight="1">
      <c r="A261" s="7" t="str">
        <f t="shared" si="27"/>
        <v>1940174</v>
      </c>
      <c r="B261" s="2" t="str">
        <f t="shared" si="29"/>
        <v>1940</v>
      </c>
      <c r="C261" s="8" t="str">
        <f t="shared" si="28"/>
        <v>0PremiumN5</v>
      </c>
      <c r="D261" s="8" t="str">
        <f t="shared" si="30"/>
        <v>0PremiumN5</v>
      </c>
      <c r="E261" s="10">
        <v>0</v>
      </c>
      <c r="F261" s="6">
        <v>174</v>
      </c>
      <c r="G261" s="8" t="str">
        <f>VLOOKUP(F261,[1]characters!$A:$C,3,FALSE)</f>
        <v>偽愛の大公爵 フォルネウス</v>
      </c>
      <c r="H261" s="8" t="str">
        <f>VLOOKUP(F261,[1]characters!$A:$J,10,FALSE)</f>
        <v>PremiumN</v>
      </c>
      <c r="I261" s="8">
        <f>VLOOKUP(F261,[1]characters!$A:$I,9,FALSE)</f>
        <v>5</v>
      </c>
      <c r="J261" s="8" t="str">
        <f>VLOOKUP(F261,[1]characters!$A:$H,8,FALSE)</f>
        <v>blue</v>
      </c>
      <c r="K261" s="8" t="str">
        <f>VLOOKUP(F261,[1]characters!$A:$K,11,FALSE)</f>
        <v>attack</v>
      </c>
      <c r="L261" s="8" t="str">
        <f>VLOOKUP(F261,[1]characters!$A:$M,13,FALSE)</f>
        <v>god</v>
      </c>
      <c r="M261" s="16">
        <f>IFERROR(VLOOKUP(F261,gacha_conf!A$50:F$62,5+E261,FALSE),VLOOKUP(D261,gacha_conf!D$18:E$46,2,FALSE))</f>
        <v>394</v>
      </c>
      <c r="N261" s="37">
        <f>IFERROR(VLOOKUP($F261,bug_conf_sheet!$A:$H,3,FALSE),VLOOKUP("other",bug_conf_sheet!$A:$H,3,FALSE))</f>
        <v>1</v>
      </c>
      <c r="O261" s="37">
        <f>IFERROR(VLOOKUP($F261,bug_conf_sheet!$A:$H,4,FALSE),VLOOKUP("other",bug_conf_sheet!$A:$H,4,FALSE))</f>
        <v>0</v>
      </c>
      <c r="P261" s="37">
        <f>IFERROR(VLOOKUP($F261,bug_conf_sheet!$A:$H,5,FALSE),VLOOKUP("other",bug_conf_sheet!$A:$H,5,FALSE))</f>
        <v>0</v>
      </c>
      <c r="Q261" s="37">
        <f>IFERROR(VLOOKUP($F261,bug_conf_sheet!$A:$H,6,FALSE),VLOOKUP("other",bug_conf_sheet!$A:$H,6,FALSE))</f>
        <v>0</v>
      </c>
      <c r="R261" s="37">
        <f>IFERROR(VLOOKUP($F261,bug_conf_sheet!$A:$H,7,FALSE),VLOOKUP("other",bug_conf_sheet!$A:$H,7,FALSE))</f>
        <v>0</v>
      </c>
      <c r="S261" s="37">
        <f>IFERROR(VLOOKUP($F261,bug_conf_sheet!$A:$H,8,FALSE),VLOOKUP("other",bug_conf_sheet!$A:$H,8,FALSE))</f>
        <v>1</v>
      </c>
    </row>
    <row r="262" spans="1:19" ht="21" customHeight="1">
      <c r="A262" s="7" t="str">
        <f t="shared" si="27"/>
        <v>1940176</v>
      </c>
      <c r="B262" s="2" t="str">
        <f t="shared" si="29"/>
        <v>1940</v>
      </c>
      <c r="C262" s="8" t="str">
        <f t="shared" si="28"/>
        <v>0PremiumN4</v>
      </c>
      <c r="D262" s="8" t="str">
        <f t="shared" si="30"/>
        <v>0PremiumN4</v>
      </c>
      <c r="E262" s="10">
        <v>0</v>
      </c>
      <c r="F262" s="6">
        <v>176</v>
      </c>
      <c r="G262" s="8" t="str">
        <f>VLOOKUP(F262,[1]characters!$A:$C,3,FALSE)</f>
        <v>異教徒 バフォメット</v>
      </c>
      <c r="H262" s="8" t="str">
        <f>VLOOKUP(F262,[1]characters!$A:$J,10,FALSE)</f>
        <v>PremiumN</v>
      </c>
      <c r="I262" s="8">
        <f>VLOOKUP(F262,[1]characters!$A:$I,9,FALSE)</f>
        <v>4</v>
      </c>
      <c r="J262" s="8" t="str">
        <f>VLOOKUP(F262,[1]characters!$A:$H,8,FALSE)</f>
        <v>yellow</v>
      </c>
      <c r="K262" s="8" t="str">
        <f>VLOOKUP(F262,[1]characters!$A:$K,11,FALSE)</f>
        <v>attack</v>
      </c>
      <c r="L262" s="8" t="str">
        <f>VLOOKUP(F262,[1]characters!$A:$M,13,FALSE)</f>
        <v>god</v>
      </c>
      <c r="M262" s="16">
        <f>IFERROR(VLOOKUP(F262,gacha_conf!A$50:F$62,5+E262,FALSE),VLOOKUP(D262,gacha_conf!D$18:E$46,2,FALSE))</f>
        <v>6166</v>
      </c>
      <c r="N262" s="37">
        <f>IFERROR(VLOOKUP($F262,bug_conf_sheet!$A:$H,3,FALSE),VLOOKUP("other",bug_conf_sheet!$A:$H,3,FALSE))</f>
        <v>1</v>
      </c>
      <c r="O262" s="37">
        <f>IFERROR(VLOOKUP($F262,bug_conf_sheet!$A:$H,4,FALSE),VLOOKUP("other",bug_conf_sheet!$A:$H,4,FALSE))</f>
        <v>0</v>
      </c>
      <c r="P262" s="37">
        <f>IFERROR(VLOOKUP($F262,bug_conf_sheet!$A:$H,5,FALSE),VLOOKUP("other",bug_conf_sheet!$A:$H,5,FALSE))</f>
        <v>0</v>
      </c>
      <c r="Q262" s="37">
        <f>IFERROR(VLOOKUP($F262,bug_conf_sheet!$A:$H,6,FALSE),VLOOKUP("other",bug_conf_sheet!$A:$H,6,FALSE))</f>
        <v>0</v>
      </c>
      <c r="R262" s="37">
        <f>IFERROR(VLOOKUP($F262,bug_conf_sheet!$A:$H,7,FALSE),VLOOKUP("other",bug_conf_sheet!$A:$H,7,FALSE))</f>
        <v>0</v>
      </c>
      <c r="S262" s="37">
        <f>IFERROR(VLOOKUP($F262,bug_conf_sheet!$A:$H,8,FALSE),VLOOKUP("other",bug_conf_sheet!$A:$H,8,FALSE))</f>
        <v>1</v>
      </c>
    </row>
    <row r="263" spans="1:19" ht="21" customHeight="1">
      <c r="A263" s="7" t="str">
        <f t="shared" si="27"/>
        <v>1940177</v>
      </c>
      <c r="B263" s="2" t="str">
        <f t="shared" si="29"/>
        <v>1940</v>
      </c>
      <c r="C263" s="8" t="str">
        <f t="shared" si="28"/>
        <v>0PremiumN5</v>
      </c>
      <c r="D263" s="8" t="str">
        <f t="shared" si="30"/>
        <v>0PremiumN5</v>
      </c>
      <c r="E263" s="10">
        <v>0</v>
      </c>
      <c r="F263" s="6">
        <v>177</v>
      </c>
      <c r="G263" s="8" t="str">
        <f>VLOOKUP(F263,[1]characters!$A:$C,3,FALSE)</f>
        <v>黒魔の異端師 バフォメット</v>
      </c>
      <c r="H263" s="8" t="str">
        <f>VLOOKUP(F263,[1]characters!$A:$J,10,FALSE)</f>
        <v>PremiumN</v>
      </c>
      <c r="I263" s="8">
        <f>VLOOKUP(F263,[1]characters!$A:$I,9,FALSE)</f>
        <v>5</v>
      </c>
      <c r="J263" s="8" t="str">
        <f>VLOOKUP(F263,[1]characters!$A:$H,8,FALSE)</f>
        <v>yellow</v>
      </c>
      <c r="K263" s="8" t="str">
        <f>VLOOKUP(F263,[1]characters!$A:$K,11,FALSE)</f>
        <v>attack</v>
      </c>
      <c r="L263" s="8" t="str">
        <f>VLOOKUP(F263,[1]characters!$A:$M,13,FALSE)</f>
        <v>god</v>
      </c>
      <c r="M263" s="16">
        <f>IFERROR(VLOOKUP(F263,gacha_conf!A$50:F$62,5+E263,FALSE),VLOOKUP(D263,gacha_conf!D$18:E$46,2,FALSE))</f>
        <v>394</v>
      </c>
      <c r="N263" s="37">
        <f>IFERROR(VLOOKUP($F263,bug_conf_sheet!$A:$H,3,FALSE),VLOOKUP("other",bug_conf_sheet!$A:$H,3,FALSE))</f>
        <v>1</v>
      </c>
      <c r="O263" s="37">
        <f>IFERROR(VLOOKUP($F263,bug_conf_sheet!$A:$H,4,FALSE),VLOOKUP("other",bug_conf_sheet!$A:$H,4,FALSE))</f>
        <v>0</v>
      </c>
      <c r="P263" s="37">
        <f>IFERROR(VLOOKUP($F263,bug_conf_sheet!$A:$H,5,FALSE),VLOOKUP("other",bug_conf_sheet!$A:$H,5,FALSE))</f>
        <v>0</v>
      </c>
      <c r="Q263" s="37">
        <f>IFERROR(VLOOKUP($F263,bug_conf_sheet!$A:$H,6,FALSE),VLOOKUP("other",bug_conf_sheet!$A:$H,6,FALSE))</f>
        <v>0</v>
      </c>
      <c r="R263" s="37">
        <f>IFERROR(VLOOKUP($F263,bug_conf_sheet!$A:$H,7,FALSE),VLOOKUP("other",bug_conf_sheet!$A:$H,7,FALSE))</f>
        <v>0</v>
      </c>
      <c r="S263" s="37">
        <f>IFERROR(VLOOKUP($F263,bug_conf_sheet!$A:$H,8,FALSE),VLOOKUP("other",bug_conf_sheet!$A:$H,8,FALSE))</f>
        <v>1</v>
      </c>
    </row>
    <row r="264" spans="1:19" ht="21" customHeight="1">
      <c r="A264" s="7" t="str">
        <f t="shared" si="27"/>
        <v>1940179</v>
      </c>
      <c r="B264" s="2" t="str">
        <f t="shared" si="29"/>
        <v>1940</v>
      </c>
      <c r="C264" s="8" t="str">
        <f t="shared" si="28"/>
        <v>0PremiumN4</v>
      </c>
      <c r="D264" s="8" t="str">
        <f t="shared" si="30"/>
        <v>0PremiumN4</v>
      </c>
      <c r="E264" s="10">
        <v>0</v>
      </c>
      <c r="F264" s="6">
        <v>179</v>
      </c>
      <c r="G264" s="8" t="str">
        <f>VLOOKUP(F264,[1]characters!$A:$C,3,FALSE)</f>
        <v>番犬 ケルベロス</v>
      </c>
      <c r="H264" s="8" t="str">
        <f>VLOOKUP(F264,[1]characters!$A:$J,10,FALSE)</f>
        <v>PremiumN</v>
      </c>
      <c r="I264" s="8">
        <f>VLOOKUP(F264,[1]characters!$A:$I,9,FALSE)</f>
        <v>4</v>
      </c>
      <c r="J264" s="8" t="str">
        <f>VLOOKUP(F264,[1]characters!$A:$H,8,FALSE)</f>
        <v>red</v>
      </c>
      <c r="K264" s="8" t="str">
        <f>VLOOKUP(F264,[1]characters!$A:$K,11,FALSE)</f>
        <v>balance</v>
      </c>
      <c r="L264" s="8" t="str">
        <f>VLOOKUP(F264,[1]characters!$A:$M,13,FALSE)</f>
        <v>animal</v>
      </c>
      <c r="M264" s="16">
        <f>IFERROR(VLOOKUP(F264,gacha_conf!A$50:F$62,5+E264,FALSE),VLOOKUP(D264,gacha_conf!D$18:E$46,2,FALSE))</f>
        <v>6166</v>
      </c>
      <c r="N264" s="37">
        <f>IFERROR(VLOOKUP($F264,bug_conf_sheet!$A:$H,3,FALSE),VLOOKUP("other",bug_conf_sheet!$A:$H,3,FALSE))</f>
        <v>1</v>
      </c>
      <c r="O264" s="37">
        <f>IFERROR(VLOOKUP($F264,bug_conf_sheet!$A:$H,4,FALSE),VLOOKUP("other",bug_conf_sheet!$A:$H,4,FALSE))</f>
        <v>0</v>
      </c>
      <c r="P264" s="37">
        <f>IFERROR(VLOOKUP($F264,bug_conf_sheet!$A:$H,5,FALSE),VLOOKUP("other",bug_conf_sheet!$A:$H,5,FALSE))</f>
        <v>0</v>
      </c>
      <c r="Q264" s="37">
        <f>IFERROR(VLOOKUP($F264,bug_conf_sheet!$A:$H,6,FALSE),VLOOKUP("other",bug_conf_sheet!$A:$H,6,FALSE))</f>
        <v>0</v>
      </c>
      <c r="R264" s="37">
        <f>IFERROR(VLOOKUP($F264,bug_conf_sheet!$A:$H,7,FALSE),VLOOKUP("other",bug_conf_sheet!$A:$H,7,FALSE))</f>
        <v>0</v>
      </c>
      <c r="S264" s="37">
        <f>IFERROR(VLOOKUP($F264,bug_conf_sheet!$A:$H,8,FALSE),VLOOKUP("other",bug_conf_sheet!$A:$H,8,FALSE))</f>
        <v>1</v>
      </c>
    </row>
    <row r="265" spans="1:19" ht="21" customHeight="1">
      <c r="A265" s="7" t="str">
        <f t="shared" si="27"/>
        <v>1940180</v>
      </c>
      <c r="B265" s="2" t="str">
        <f t="shared" si="29"/>
        <v>1940</v>
      </c>
      <c r="C265" s="8" t="str">
        <f t="shared" si="28"/>
        <v>0PremiumN5</v>
      </c>
      <c r="D265" s="8" t="str">
        <f t="shared" si="30"/>
        <v>0PremiumN5</v>
      </c>
      <c r="E265" s="10">
        <v>0</v>
      </c>
      <c r="F265" s="6">
        <v>180</v>
      </c>
      <c r="G265" s="8" t="str">
        <f>VLOOKUP(F265,[1]characters!$A:$C,3,FALSE)</f>
        <v>地獄の大門番 ケルベロス</v>
      </c>
      <c r="H265" s="8" t="str">
        <f>VLOOKUP(F265,[1]characters!$A:$J,10,FALSE)</f>
        <v>PremiumN</v>
      </c>
      <c r="I265" s="8">
        <f>VLOOKUP(F265,[1]characters!$A:$I,9,FALSE)</f>
        <v>5</v>
      </c>
      <c r="J265" s="8" t="str">
        <f>VLOOKUP(F265,[1]characters!$A:$H,8,FALSE)</f>
        <v>red</v>
      </c>
      <c r="K265" s="8" t="str">
        <f>VLOOKUP(F265,[1]characters!$A:$K,11,FALSE)</f>
        <v>balance</v>
      </c>
      <c r="L265" s="8" t="str">
        <f>VLOOKUP(F265,[1]characters!$A:$M,13,FALSE)</f>
        <v>animal</v>
      </c>
      <c r="M265" s="16">
        <f>IFERROR(VLOOKUP(F265,gacha_conf!A$50:F$62,5+E265,FALSE),VLOOKUP(D265,gacha_conf!D$18:E$46,2,FALSE))</f>
        <v>394</v>
      </c>
      <c r="N265" s="37">
        <f>IFERROR(VLOOKUP($F265,bug_conf_sheet!$A:$H,3,FALSE),VLOOKUP("other",bug_conf_sheet!$A:$H,3,FALSE))</f>
        <v>1</v>
      </c>
      <c r="O265" s="37">
        <f>IFERROR(VLOOKUP($F265,bug_conf_sheet!$A:$H,4,FALSE),VLOOKUP("other",bug_conf_sheet!$A:$H,4,FALSE))</f>
        <v>0</v>
      </c>
      <c r="P265" s="37">
        <f>IFERROR(VLOOKUP($F265,bug_conf_sheet!$A:$H,5,FALSE),VLOOKUP("other",bug_conf_sheet!$A:$H,5,FALSE))</f>
        <v>0</v>
      </c>
      <c r="Q265" s="37">
        <f>IFERROR(VLOOKUP($F265,bug_conf_sheet!$A:$H,6,FALSE),VLOOKUP("other",bug_conf_sheet!$A:$H,6,FALSE))</f>
        <v>0</v>
      </c>
      <c r="R265" s="37">
        <f>IFERROR(VLOOKUP($F265,bug_conf_sheet!$A:$H,7,FALSE),VLOOKUP("other",bug_conf_sheet!$A:$H,7,FALSE))</f>
        <v>0</v>
      </c>
      <c r="S265" s="37">
        <f>IFERROR(VLOOKUP($F265,bug_conf_sheet!$A:$H,8,FALSE),VLOOKUP("other",bug_conf_sheet!$A:$H,8,FALSE))</f>
        <v>1</v>
      </c>
    </row>
    <row r="266" spans="1:19" ht="21" customHeight="1">
      <c r="A266" s="7" t="str">
        <f t="shared" si="27"/>
        <v>1940182</v>
      </c>
      <c r="B266" s="2" t="str">
        <f t="shared" si="29"/>
        <v>1940</v>
      </c>
      <c r="C266" s="8" t="str">
        <f t="shared" si="28"/>
        <v>0PremiumN4</v>
      </c>
      <c r="D266" s="8" t="str">
        <f t="shared" si="30"/>
        <v>0PremiumN4</v>
      </c>
      <c r="E266" s="10">
        <v>0</v>
      </c>
      <c r="F266" s="6">
        <v>182</v>
      </c>
      <c r="G266" s="8" t="str">
        <f>VLOOKUP(F266,[1]characters!$A:$C,3,FALSE)</f>
        <v>放蕩者 ベヒモス</v>
      </c>
      <c r="H266" s="8" t="str">
        <f>VLOOKUP(F266,[1]characters!$A:$J,10,FALSE)</f>
        <v>PremiumN</v>
      </c>
      <c r="I266" s="8">
        <f>VLOOKUP(F266,[1]characters!$A:$I,9,FALSE)</f>
        <v>4</v>
      </c>
      <c r="J266" s="8" t="str">
        <f>VLOOKUP(F266,[1]characters!$A:$H,8,FALSE)</f>
        <v>green</v>
      </c>
      <c r="K266" s="8" t="str">
        <f>VLOOKUP(F266,[1]characters!$A:$K,11,FALSE)</f>
        <v>hp</v>
      </c>
      <c r="L266" s="8" t="str">
        <f>VLOOKUP(F266,[1]characters!$A:$M,13,FALSE)</f>
        <v>animal</v>
      </c>
      <c r="M266" s="16">
        <f>IFERROR(VLOOKUP(F266,gacha_conf!A$50:F$62,5+E266,FALSE),VLOOKUP(D266,gacha_conf!D$18:E$46,2,FALSE))</f>
        <v>6166</v>
      </c>
      <c r="N266" s="37">
        <f>IFERROR(VLOOKUP($F266,bug_conf_sheet!$A:$H,3,FALSE),VLOOKUP("other",bug_conf_sheet!$A:$H,3,FALSE))</f>
        <v>1</v>
      </c>
      <c r="O266" s="37">
        <f>IFERROR(VLOOKUP($F266,bug_conf_sheet!$A:$H,4,FALSE),VLOOKUP("other",bug_conf_sheet!$A:$H,4,FALSE))</f>
        <v>0</v>
      </c>
      <c r="P266" s="37">
        <f>IFERROR(VLOOKUP($F266,bug_conf_sheet!$A:$H,5,FALSE),VLOOKUP("other",bug_conf_sheet!$A:$H,5,FALSE))</f>
        <v>0</v>
      </c>
      <c r="Q266" s="37">
        <f>IFERROR(VLOOKUP($F266,bug_conf_sheet!$A:$H,6,FALSE),VLOOKUP("other",bug_conf_sheet!$A:$H,6,FALSE))</f>
        <v>0</v>
      </c>
      <c r="R266" s="37">
        <f>IFERROR(VLOOKUP($F266,bug_conf_sheet!$A:$H,7,FALSE),VLOOKUP("other",bug_conf_sheet!$A:$H,7,FALSE))</f>
        <v>0</v>
      </c>
      <c r="S266" s="37">
        <f>IFERROR(VLOOKUP($F266,bug_conf_sheet!$A:$H,8,FALSE),VLOOKUP("other",bug_conf_sheet!$A:$H,8,FALSE))</f>
        <v>1</v>
      </c>
    </row>
    <row r="267" spans="1:19" ht="21" customHeight="1">
      <c r="A267" s="7" t="str">
        <f t="shared" si="27"/>
        <v>1940183</v>
      </c>
      <c r="B267" s="2" t="str">
        <f t="shared" si="29"/>
        <v>1940</v>
      </c>
      <c r="C267" s="8" t="str">
        <f t="shared" si="28"/>
        <v>0PremiumN5</v>
      </c>
      <c r="D267" s="8" t="str">
        <f t="shared" si="30"/>
        <v>0PremiumN5</v>
      </c>
      <c r="E267" s="10">
        <v>0</v>
      </c>
      <c r="F267" s="6">
        <v>183</v>
      </c>
      <c r="G267" s="8" t="str">
        <f>VLOOKUP(F267,[1]characters!$A:$C,3,FALSE)</f>
        <v>鈍重な彷徨者 ベヒモス</v>
      </c>
      <c r="H267" s="8" t="str">
        <f>VLOOKUP(F267,[1]characters!$A:$J,10,FALSE)</f>
        <v>PremiumN</v>
      </c>
      <c r="I267" s="8">
        <f>VLOOKUP(F267,[1]characters!$A:$I,9,FALSE)</f>
        <v>5</v>
      </c>
      <c r="J267" s="8" t="str">
        <f>VLOOKUP(F267,[1]characters!$A:$H,8,FALSE)</f>
        <v>green</v>
      </c>
      <c r="K267" s="8" t="str">
        <f>VLOOKUP(F267,[1]characters!$A:$K,11,FALSE)</f>
        <v>hp</v>
      </c>
      <c r="L267" s="8" t="str">
        <f>VLOOKUP(F267,[1]characters!$A:$M,13,FALSE)</f>
        <v>animal</v>
      </c>
      <c r="M267" s="16">
        <f>IFERROR(VLOOKUP(F267,gacha_conf!A$50:F$62,5+E267,FALSE),VLOOKUP(D267,gacha_conf!D$18:E$46,2,FALSE))</f>
        <v>394</v>
      </c>
      <c r="N267" s="37">
        <f>IFERROR(VLOOKUP($F267,bug_conf_sheet!$A:$H,3,FALSE),VLOOKUP("other",bug_conf_sheet!$A:$H,3,FALSE))</f>
        <v>1</v>
      </c>
      <c r="O267" s="37">
        <f>IFERROR(VLOOKUP($F267,bug_conf_sheet!$A:$H,4,FALSE),VLOOKUP("other",bug_conf_sheet!$A:$H,4,FALSE))</f>
        <v>0</v>
      </c>
      <c r="P267" s="37">
        <f>IFERROR(VLOOKUP($F267,bug_conf_sheet!$A:$H,5,FALSE),VLOOKUP("other",bug_conf_sheet!$A:$H,5,FALSE))</f>
        <v>0</v>
      </c>
      <c r="Q267" s="37">
        <f>IFERROR(VLOOKUP($F267,bug_conf_sheet!$A:$H,6,FALSE),VLOOKUP("other",bug_conf_sheet!$A:$H,6,FALSE))</f>
        <v>0</v>
      </c>
      <c r="R267" s="37">
        <f>IFERROR(VLOOKUP($F267,bug_conf_sheet!$A:$H,7,FALSE),VLOOKUP("other",bug_conf_sheet!$A:$H,7,FALSE))</f>
        <v>0</v>
      </c>
      <c r="S267" s="37">
        <f>IFERROR(VLOOKUP($F267,bug_conf_sheet!$A:$H,8,FALSE),VLOOKUP("other",bug_conf_sheet!$A:$H,8,FALSE))</f>
        <v>1</v>
      </c>
    </row>
    <row r="268" spans="1:19" ht="21" customHeight="1">
      <c r="A268" s="7" t="str">
        <f t="shared" si="27"/>
        <v>1940185</v>
      </c>
      <c r="B268" s="2" t="str">
        <f t="shared" si="29"/>
        <v>1940</v>
      </c>
      <c r="C268" s="8" t="str">
        <f t="shared" si="28"/>
        <v>0PremiumN4</v>
      </c>
      <c r="D268" s="8" t="str">
        <f t="shared" si="30"/>
        <v>0PremiumN4</v>
      </c>
      <c r="E268" s="10">
        <v>0</v>
      </c>
      <c r="F268" s="6">
        <v>185</v>
      </c>
      <c r="G268" s="8" t="str">
        <f>VLOOKUP(F268,[1]characters!$A:$C,3,FALSE)</f>
        <v>海姫 クラーケン</v>
      </c>
      <c r="H268" s="8" t="str">
        <f>VLOOKUP(F268,[1]characters!$A:$J,10,FALSE)</f>
        <v>PremiumN</v>
      </c>
      <c r="I268" s="8">
        <f>VLOOKUP(F268,[1]characters!$A:$I,9,FALSE)</f>
        <v>4</v>
      </c>
      <c r="J268" s="8" t="str">
        <f>VLOOKUP(F268,[1]characters!$A:$H,8,FALSE)</f>
        <v>blue</v>
      </c>
      <c r="K268" s="8" t="str">
        <f>VLOOKUP(F268,[1]characters!$A:$K,11,FALSE)</f>
        <v>heal</v>
      </c>
      <c r="L268" s="8" t="str">
        <f>VLOOKUP(F268,[1]characters!$A:$M,13,FALSE)</f>
        <v>animal</v>
      </c>
      <c r="M268" s="16">
        <f>IFERROR(VLOOKUP(F268,gacha_conf!A$50:F$62,5+E268,FALSE),VLOOKUP(D268,gacha_conf!D$18:E$46,2,FALSE))</f>
        <v>6166</v>
      </c>
      <c r="N268" s="37">
        <f>IFERROR(VLOOKUP($F268,bug_conf_sheet!$A:$H,3,FALSE),VLOOKUP("other",bug_conf_sheet!$A:$H,3,FALSE))</f>
        <v>1</v>
      </c>
      <c r="O268" s="37">
        <f>IFERROR(VLOOKUP($F268,bug_conf_sheet!$A:$H,4,FALSE),VLOOKUP("other",bug_conf_sheet!$A:$H,4,FALSE))</f>
        <v>0</v>
      </c>
      <c r="P268" s="37">
        <f>IFERROR(VLOOKUP($F268,bug_conf_sheet!$A:$H,5,FALSE),VLOOKUP("other",bug_conf_sheet!$A:$H,5,FALSE))</f>
        <v>0</v>
      </c>
      <c r="Q268" s="37">
        <f>IFERROR(VLOOKUP($F268,bug_conf_sheet!$A:$H,6,FALSE),VLOOKUP("other",bug_conf_sheet!$A:$H,6,FALSE))</f>
        <v>0</v>
      </c>
      <c r="R268" s="37">
        <f>IFERROR(VLOOKUP($F268,bug_conf_sheet!$A:$H,7,FALSE),VLOOKUP("other",bug_conf_sheet!$A:$H,7,FALSE))</f>
        <v>0</v>
      </c>
      <c r="S268" s="37">
        <f>IFERROR(VLOOKUP($F268,bug_conf_sheet!$A:$H,8,FALSE),VLOOKUP("other",bug_conf_sheet!$A:$H,8,FALSE))</f>
        <v>1</v>
      </c>
    </row>
    <row r="269" spans="1:19" ht="21" customHeight="1">
      <c r="A269" s="7" t="str">
        <f t="shared" si="27"/>
        <v>1940186</v>
      </c>
      <c r="B269" s="2" t="str">
        <f t="shared" si="29"/>
        <v>1940</v>
      </c>
      <c r="C269" s="8" t="str">
        <f t="shared" si="28"/>
        <v>0PremiumN5</v>
      </c>
      <c r="D269" s="8" t="str">
        <f t="shared" si="30"/>
        <v>0PremiumN5</v>
      </c>
      <c r="E269" s="10">
        <v>0</v>
      </c>
      <c r="F269" s="9">
        <v>186</v>
      </c>
      <c r="G269" s="8" t="str">
        <f>VLOOKUP(F269,[1]characters!$A:$C,3,FALSE)</f>
        <v>誇り高き多触姫・クラーケン</v>
      </c>
      <c r="H269" s="8" t="str">
        <f>VLOOKUP(F269,[1]characters!$A:$J,10,FALSE)</f>
        <v>PremiumN</v>
      </c>
      <c r="I269" s="8">
        <f>VLOOKUP(F269,[1]characters!$A:$I,9,FALSE)</f>
        <v>5</v>
      </c>
      <c r="J269" s="8" t="str">
        <f>VLOOKUP(F269,[1]characters!$A:$H,8,FALSE)</f>
        <v>blue</v>
      </c>
      <c r="K269" s="8" t="str">
        <f>VLOOKUP(F269,[1]characters!$A:$K,11,FALSE)</f>
        <v>heal</v>
      </c>
      <c r="L269" s="8" t="str">
        <f>VLOOKUP(F269,[1]characters!$A:$M,13,FALSE)</f>
        <v>animal</v>
      </c>
      <c r="M269" s="16">
        <f>IFERROR(VLOOKUP(F269,gacha_conf!A$50:F$62,5+E269,FALSE),VLOOKUP(D269,gacha_conf!D$18:E$46,2,FALSE))</f>
        <v>394</v>
      </c>
      <c r="N269" s="37">
        <f>IFERROR(VLOOKUP($F269,bug_conf_sheet!$A:$H,3,FALSE),VLOOKUP("other",bug_conf_sheet!$A:$H,3,FALSE))</f>
        <v>1</v>
      </c>
      <c r="O269" s="37">
        <f>IFERROR(VLOOKUP($F269,bug_conf_sheet!$A:$H,4,FALSE),VLOOKUP("other",bug_conf_sheet!$A:$H,4,FALSE))</f>
        <v>0</v>
      </c>
      <c r="P269" s="37">
        <f>IFERROR(VLOOKUP($F269,bug_conf_sheet!$A:$H,5,FALSE),VLOOKUP("other",bug_conf_sheet!$A:$H,5,FALSE))</f>
        <v>0</v>
      </c>
      <c r="Q269" s="37">
        <f>IFERROR(VLOOKUP($F269,bug_conf_sheet!$A:$H,6,FALSE),VLOOKUP("other",bug_conf_sheet!$A:$H,6,FALSE))</f>
        <v>0</v>
      </c>
      <c r="R269" s="37">
        <f>IFERROR(VLOOKUP($F269,bug_conf_sheet!$A:$H,7,FALSE),VLOOKUP("other",bug_conf_sheet!$A:$H,7,FALSE))</f>
        <v>0</v>
      </c>
      <c r="S269" s="37">
        <f>IFERROR(VLOOKUP($F269,bug_conf_sheet!$A:$H,8,FALSE),VLOOKUP("other",bug_conf_sheet!$A:$H,8,FALSE))</f>
        <v>1</v>
      </c>
    </row>
    <row r="270" spans="1:19" ht="21" customHeight="1">
      <c r="A270" s="7" t="str">
        <f t="shared" si="27"/>
        <v>1940188</v>
      </c>
      <c r="B270" s="2" t="str">
        <f t="shared" si="29"/>
        <v>1940</v>
      </c>
      <c r="C270" s="8" t="str">
        <f t="shared" si="28"/>
        <v>0PremiumN4</v>
      </c>
      <c r="D270" s="8" t="str">
        <f t="shared" si="30"/>
        <v>0PremiumN4</v>
      </c>
      <c r="E270" s="10">
        <v>0</v>
      </c>
      <c r="F270" s="9">
        <v>188</v>
      </c>
      <c r="G270" s="8" t="str">
        <f>VLOOKUP(F270,[1]characters!$A:$C,3,FALSE)</f>
        <v>猛禽 ホルス</v>
      </c>
      <c r="H270" s="8" t="str">
        <f>VLOOKUP(F270,[1]characters!$A:$J,10,FALSE)</f>
        <v>PremiumN</v>
      </c>
      <c r="I270" s="8">
        <f>VLOOKUP(F270,[1]characters!$A:$I,9,FALSE)</f>
        <v>4</v>
      </c>
      <c r="J270" s="8" t="str">
        <f>VLOOKUP(F270,[1]characters!$A:$H,8,FALSE)</f>
        <v>yellow</v>
      </c>
      <c r="K270" s="8" t="str">
        <f>VLOOKUP(F270,[1]characters!$A:$K,11,FALSE)</f>
        <v>attack</v>
      </c>
      <c r="L270" s="8" t="str">
        <f>VLOOKUP(F270,[1]characters!$A:$M,13,FALSE)</f>
        <v>animal</v>
      </c>
      <c r="M270" s="16">
        <f>IFERROR(VLOOKUP(F270,gacha_conf!A$50:F$62,5+E270,FALSE),VLOOKUP(D270,gacha_conf!D$18:E$46,2,FALSE))</f>
        <v>6166</v>
      </c>
      <c r="N270" s="37">
        <f>IFERROR(VLOOKUP($F270,bug_conf_sheet!$A:$H,3,FALSE),VLOOKUP("other",bug_conf_sheet!$A:$H,3,FALSE))</f>
        <v>1</v>
      </c>
      <c r="O270" s="37">
        <f>IFERROR(VLOOKUP($F270,bug_conf_sheet!$A:$H,4,FALSE),VLOOKUP("other",bug_conf_sheet!$A:$H,4,FALSE))</f>
        <v>0</v>
      </c>
      <c r="P270" s="37">
        <f>IFERROR(VLOOKUP($F270,bug_conf_sheet!$A:$H,5,FALSE),VLOOKUP("other",bug_conf_sheet!$A:$H,5,FALSE))</f>
        <v>0</v>
      </c>
      <c r="Q270" s="37">
        <f>IFERROR(VLOOKUP($F270,bug_conf_sheet!$A:$H,6,FALSE),VLOOKUP("other",bug_conf_sheet!$A:$H,6,FALSE))</f>
        <v>0</v>
      </c>
      <c r="R270" s="37">
        <f>IFERROR(VLOOKUP($F270,bug_conf_sheet!$A:$H,7,FALSE),VLOOKUP("other",bug_conf_sheet!$A:$H,7,FALSE))</f>
        <v>0</v>
      </c>
      <c r="S270" s="37">
        <f>IFERROR(VLOOKUP($F270,bug_conf_sheet!$A:$H,8,FALSE),VLOOKUP("other",bug_conf_sheet!$A:$H,8,FALSE))</f>
        <v>1</v>
      </c>
    </row>
    <row r="271" spans="1:19" ht="21" customHeight="1">
      <c r="A271" s="7" t="str">
        <f t="shared" si="27"/>
        <v>1940189</v>
      </c>
      <c r="B271" s="2" t="str">
        <f t="shared" si="29"/>
        <v>1940</v>
      </c>
      <c r="C271" s="8" t="str">
        <f t="shared" ref="C271:C313" si="31">E271&amp;H271&amp;I271</f>
        <v>0PremiumN5</v>
      </c>
      <c r="D271" s="8" t="str">
        <f t="shared" si="30"/>
        <v>0PremiumN5</v>
      </c>
      <c r="E271" s="10">
        <v>0</v>
      </c>
      <c r="F271" s="9">
        <v>189</v>
      </c>
      <c r="G271" s="8" t="str">
        <f>VLOOKUP(F271,[1]characters!$A:$C,3,FALSE)</f>
        <v>迅雷の王禽 ホルス</v>
      </c>
      <c r="H271" s="8" t="str">
        <f>VLOOKUP(F271,[1]characters!$A:$J,10,FALSE)</f>
        <v>PremiumN</v>
      </c>
      <c r="I271" s="8">
        <f>VLOOKUP(F271,[1]characters!$A:$I,9,FALSE)</f>
        <v>5</v>
      </c>
      <c r="J271" s="8" t="str">
        <f>VLOOKUP(F271,[1]characters!$A:$H,8,FALSE)</f>
        <v>yellow</v>
      </c>
      <c r="K271" s="8" t="str">
        <f>VLOOKUP(F271,[1]characters!$A:$K,11,FALSE)</f>
        <v>attack</v>
      </c>
      <c r="L271" s="8" t="str">
        <f>VLOOKUP(F271,[1]characters!$A:$M,13,FALSE)</f>
        <v>animal</v>
      </c>
      <c r="M271" s="16">
        <f>IFERROR(VLOOKUP(F271,gacha_conf!A$50:F$62,5+E271,FALSE),VLOOKUP(D271,gacha_conf!D$18:E$46,2,FALSE))</f>
        <v>394</v>
      </c>
      <c r="N271" s="37">
        <f>IFERROR(VLOOKUP($F271,bug_conf_sheet!$A:$H,3,FALSE),VLOOKUP("other",bug_conf_sheet!$A:$H,3,FALSE))</f>
        <v>1</v>
      </c>
      <c r="O271" s="37">
        <f>IFERROR(VLOOKUP($F271,bug_conf_sheet!$A:$H,4,FALSE),VLOOKUP("other",bug_conf_sheet!$A:$H,4,FALSE))</f>
        <v>0</v>
      </c>
      <c r="P271" s="37">
        <f>IFERROR(VLOOKUP($F271,bug_conf_sheet!$A:$H,5,FALSE),VLOOKUP("other",bug_conf_sheet!$A:$H,5,FALSE))</f>
        <v>0</v>
      </c>
      <c r="Q271" s="37">
        <f>IFERROR(VLOOKUP($F271,bug_conf_sheet!$A:$H,6,FALSE),VLOOKUP("other",bug_conf_sheet!$A:$H,6,FALSE))</f>
        <v>0</v>
      </c>
      <c r="R271" s="37">
        <f>IFERROR(VLOOKUP($F271,bug_conf_sheet!$A:$H,7,FALSE),VLOOKUP("other",bug_conf_sheet!$A:$H,7,FALSE))</f>
        <v>0</v>
      </c>
      <c r="S271" s="37">
        <f>IFERROR(VLOOKUP($F271,bug_conf_sheet!$A:$H,8,FALSE),VLOOKUP("other",bug_conf_sheet!$A:$H,8,FALSE))</f>
        <v>1</v>
      </c>
    </row>
    <row r="272" spans="1:19" ht="21" customHeight="1">
      <c r="A272" s="7" t="str">
        <f t="shared" si="27"/>
        <v>1940191</v>
      </c>
      <c r="B272" s="2" t="str">
        <f t="shared" si="29"/>
        <v>1940</v>
      </c>
      <c r="C272" s="8" t="str">
        <f t="shared" si="31"/>
        <v>0PremiumN4</v>
      </c>
      <c r="D272" s="8" t="str">
        <f t="shared" si="30"/>
        <v>0PremiumN4</v>
      </c>
      <c r="E272" s="10">
        <v>0</v>
      </c>
      <c r="F272" s="6">
        <v>191</v>
      </c>
      <c r="G272" s="8" t="str">
        <f>VLOOKUP(F272,[1]characters!$A:$C,3,FALSE)</f>
        <v>始祖 卑弥呼</v>
      </c>
      <c r="H272" s="8" t="str">
        <f>VLOOKUP(F272,[1]characters!$A:$J,10,FALSE)</f>
        <v>PremiumN</v>
      </c>
      <c r="I272" s="8">
        <f>VLOOKUP(F272,[1]characters!$A:$I,9,FALSE)</f>
        <v>4</v>
      </c>
      <c r="J272" s="8" t="str">
        <f>VLOOKUP(F272,[1]characters!$A:$H,8,FALSE)</f>
        <v>red</v>
      </c>
      <c r="K272" s="8" t="str">
        <f>VLOOKUP(F272,[1]characters!$A:$K,11,FALSE)</f>
        <v>balance</v>
      </c>
      <c r="L272" s="8" t="str">
        <f>VLOOKUP(F272,[1]characters!$A:$M,13,FALSE)</f>
        <v>human</v>
      </c>
      <c r="M272" s="16">
        <f>IFERROR(VLOOKUP(F272,gacha_conf!A$50:F$62,5+E272,FALSE),VLOOKUP(D272,gacha_conf!D$18:E$46,2,FALSE))</f>
        <v>6166</v>
      </c>
      <c r="N272" s="37">
        <f>IFERROR(VLOOKUP($F272,bug_conf_sheet!$A:$H,3,FALSE),VLOOKUP("other",bug_conf_sheet!$A:$H,3,FALSE))</f>
        <v>1</v>
      </c>
      <c r="O272" s="37">
        <f>IFERROR(VLOOKUP($F272,bug_conf_sheet!$A:$H,4,FALSE),VLOOKUP("other",bug_conf_sheet!$A:$H,4,FALSE))</f>
        <v>0</v>
      </c>
      <c r="P272" s="37">
        <f>IFERROR(VLOOKUP($F272,bug_conf_sheet!$A:$H,5,FALSE),VLOOKUP("other",bug_conf_sheet!$A:$H,5,FALSE))</f>
        <v>0</v>
      </c>
      <c r="Q272" s="37">
        <f>IFERROR(VLOOKUP($F272,bug_conf_sheet!$A:$H,6,FALSE),VLOOKUP("other",bug_conf_sheet!$A:$H,6,FALSE))</f>
        <v>0</v>
      </c>
      <c r="R272" s="37">
        <f>IFERROR(VLOOKUP($F272,bug_conf_sheet!$A:$H,7,FALSE),VLOOKUP("other",bug_conf_sheet!$A:$H,7,FALSE))</f>
        <v>0</v>
      </c>
      <c r="S272" s="37">
        <f>IFERROR(VLOOKUP($F272,bug_conf_sheet!$A:$H,8,FALSE),VLOOKUP("other",bug_conf_sheet!$A:$H,8,FALSE))</f>
        <v>1</v>
      </c>
    </row>
    <row r="273" spans="1:19" ht="21" customHeight="1">
      <c r="A273" s="7" t="str">
        <f t="shared" si="27"/>
        <v>1940192</v>
      </c>
      <c r="B273" s="2" t="str">
        <f t="shared" si="29"/>
        <v>1940</v>
      </c>
      <c r="C273" s="8" t="str">
        <f t="shared" si="31"/>
        <v>0PremiumN5</v>
      </c>
      <c r="D273" s="8" t="str">
        <f t="shared" si="30"/>
        <v>0PremiumN5</v>
      </c>
      <c r="E273" s="10">
        <v>0</v>
      </c>
      <c r="F273" s="6">
        <v>192</v>
      </c>
      <c r="G273" s="8" t="str">
        <f>VLOOKUP(F273,[1]characters!$A:$C,3,FALSE)</f>
        <v>荘厳なる始祖帝 卑弥呼</v>
      </c>
      <c r="H273" s="8" t="str">
        <f>VLOOKUP(F273,[1]characters!$A:$J,10,FALSE)</f>
        <v>PremiumN</v>
      </c>
      <c r="I273" s="8">
        <f>VLOOKUP(F273,[1]characters!$A:$I,9,FALSE)</f>
        <v>5</v>
      </c>
      <c r="J273" s="8" t="str">
        <f>VLOOKUP(F273,[1]characters!$A:$H,8,FALSE)</f>
        <v>red</v>
      </c>
      <c r="K273" s="8" t="str">
        <f>VLOOKUP(F273,[1]characters!$A:$K,11,FALSE)</f>
        <v>balance</v>
      </c>
      <c r="L273" s="8" t="str">
        <f>VLOOKUP(F273,[1]characters!$A:$M,13,FALSE)</f>
        <v>human</v>
      </c>
      <c r="M273" s="16">
        <f>IFERROR(VLOOKUP(F273,gacha_conf!A$50:F$62,5+E273,FALSE),VLOOKUP(D273,gacha_conf!D$18:E$46,2,FALSE))</f>
        <v>394</v>
      </c>
      <c r="N273" s="37">
        <f>IFERROR(VLOOKUP($F273,bug_conf_sheet!$A:$H,3,FALSE),VLOOKUP("other",bug_conf_sheet!$A:$H,3,FALSE))</f>
        <v>1</v>
      </c>
      <c r="O273" s="37">
        <f>IFERROR(VLOOKUP($F273,bug_conf_sheet!$A:$H,4,FALSE),VLOOKUP("other",bug_conf_sheet!$A:$H,4,FALSE))</f>
        <v>0</v>
      </c>
      <c r="P273" s="37">
        <f>IFERROR(VLOOKUP($F273,bug_conf_sheet!$A:$H,5,FALSE),VLOOKUP("other",bug_conf_sheet!$A:$H,5,FALSE))</f>
        <v>0</v>
      </c>
      <c r="Q273" s="37">
        <f>IFERROR(VLOOKUP($F273,bug_conf_sheet!$A:$H,6,FALSE),VLOOKUP("other",bug_conf_sheet!$A:$H,6,FALSE))</f>
        <v>0</v>
      </c>
      <c r="R273" s="37">
        <f>IFERROR(VLOOKUP($F273,bug_conf_sheet!$A:$H,7,FALSE),VLOOKUP("other",bug_conf_sheet!$A:$H,7,FALSE))</f>
        <v>0</v>
      </c>
      <c r="S273" s="37">
        <f>IFERROR(VLOOKUP($F273,bug_conf_sheet!$A:$H,8,FALSE),VLOOKUP("other",bug_conf_sheet!$A:$H,8,FALSE))</f>
        <v>1</v>
      </c>
    </row>
    <row r="274" spans="1:19" ht="21" customHeight="1">
      <c r="A274" s="7" t="str">
        <f t="shared" si="27"/>
        <v>1940194</v>
      </c>
      <c r="B274" s="2" t="str">
        <f t="shared" si="29"/>
        <v>1940</v>
      </c>
      <c r="C274" s="8" t="str">
        <f t="shared" si="31"/>
        <v>0PremiumN4</v>
      </c>
      <c r="D274" s="8" t="str">
        <f t="shared" si="30"/>
        <v>0PremiumN4</v>
      </c>
      <c r="E274" s="10">
        <v>0</v>
      </c>
      <c r="F274" s="6">
        <v>194</v>
      </c>
      <c r="G274" s="8" t="str">
        <f>VLOOKUP(F274,[1]characters!$A:$C,3,FALSE)</f>
        <v>スナイパー ロビンフッド</v>
      </c>
      <c r="H274" s="8" t="str">
        <f>VLOOKUP(F274,[1]characters!$A:$J,10,FALSE)</f>
        <v>PremiumN</v>
      </c>
      <c r="I274" s="8">
        <f>VLOOKUP(F274,[1]characters!$A:$I,9,FALSE)</f>
        <v>4</v>
      </c>
      <c r="J274" s="8" t="str">
        <f>VLOOKUP(F274,[1]characters!$A:$H,8,FALSE)</f>
        <v>green</v>
      </c>
      <c r="K274" s="8" t="str">
        <f>VLOOKUP(F274,[1]characters!$A:$K,11,FALSE)</f>
        <v>balance</v>
      </c>
      <c r="L274" s="8" t="str">
        <f>VLOOKUP(F274,[1]characters!$A:$M,13,FALSE)</f>
        <v>human</v>
      </c>
      <c r="M274" s="16">
        <f>IFERROR(VLOOKUP(F274,gacha_conf!A$50:F$62,5+E274,FALSE),VLOOKUP(D274,gacha_conf!D$18:E$46,2,FALSE))</f>
        <v>6166</v>
      </c>
      <c r="N274" s="37">
        <f>IFERROR(VLOOKUP($F274,bug_conf_sheet!$A:$H,3,FALSE),VLOOKUP("other",bug_conf_sheet!$A:$H,3,FALSE))</f>
        <v>1</v>
      </c>
      <c r="O274" s="37">
        <f>IFERROR(VLOOKUP($F274,bug_conf_sheet!$A:$H,4,FALSE),VLOOKUP("other",bug_conf_sheet!$A:$H,4,FALSE))</f>
        <v>0</v>
      </c>
      <c r="P274" s="37">
        <f>IFERROR(VLOOKUP($F274,bug_conf_sheet!$A:$H,5,FALSE),VLOOKUP("other",bug_conf_sheet!$A:$H,5,FALSE))</f>
        <v>0</v>
      </c>
      <c r="Q274" s="37">
        <f>IFERROR(VLOOKUP($F274,bug_conf_sheet!$A:$H,6,FALSE),VLOOKUP("other",bug_conf_sheet!$A:$H,6,FALSE))</f>
        <v>0</v>
      </c>
      <c r="R274" s="37">
        <f>IFERROR(VLOOKUP($F274,bug_conf_sheet!$A:$H,7,FALSE),VLOOKUP("other",bug_conf_sheet!$A:$H,7,FALSE))</f>
        <v>0</v>
      </c>
      <c r="S274" s="37">
        <f>IFERROR(VLOOKUP($F274,bug_conf_sheet!$A:$H,8,FALSE),VLOOKUP("other",bug_conf_sheet!$A:$H,8,FALSE))</f>
        <v>1</v>
      </c>
    </row>
    <row r="275" spans="1:19" ht="21" customHeight="1">
      <c r="A275" s="7" t="str">
        <f t="shared" si="27"/>
        <v>1940195</v>
      </c>
      <c r="B275" s="2" t="str">
        <f t="shared" si="29"/>
        <v>1940</v>
      </c>
      <c r="C275" s="8" t="str">
        <f t="shared" si="31"/>
        <v>0PremiumN5</v>
      </c>
      <c r="D275" s="8" t="str">
        <f t="shared" si="30"/>
        <v>0PremiumN5</v>
      </c>
      <c r="E275" s="10">
        <v>0</v>
      </c>
      <c r="F275" s="6">
        <v>195</v>
      </c>
      <c r="G275" s="8" t="str">
        <f>VLOOKUP(F275,[1]characters!$A:$C,3,FALSE)</f>
        <v>グランドハンター ロビンフッド</v>
      </c>
      <c r="H275" s="8" t="str">
        <f>VLOOKUP(F275,[1]characters!$A:$J,10,FALSE)</f>
        <v>PremiumN</v>
      </c>
      <c r="I275" s="8">
        <f>VLOOKUP(F275,[1]characters!$A:$I,9,FALSE)</f>
        <v>5</v>
      </c>
      <c r="J275" s="8" t="str">
        <f>VLOOKUP(F275,[1]characters!$A:$H,8,FALSE)</f>
        <v>green</v>
      </c>
      <c r="K275" s="8" t="str">
        <f>VLOOKUP(F275,[1]characters!$A:$K,11,FALSE)</f>
        <v>balance</v>
      </c>
      <c r="L275" s="8" t="str">
        <f>VLOOKUP(F275,[1]characters!$A:$M,13,FALSE)</f>
        <v>human</v>
      </c>
      <c r="M275" s="16">
        <f>IFERROR(VLOOKUP(F275,gacha_conf!A$50:F$62,5+E275,FALSE),VLOOKUP(D275,gacha_conf!D$18:E$46,2,FALSE))</f>
        <v>394</v>
      </c>
      <c r="N275" s="37">
        <f>IFERROR(VLOOKUP($F275,bug_conf_sheet!$A:$H,3,FALSE),VLOOKUP("other",bug_conf_sheet!$A:$H,3,FALSE))</f>
        <v>1</v>
      </c>
      <c r="O275" s="37">
        <f>IFERROR(VLOOKUP($F275,bug_conf_sheet!$A:$H,4,FALSE),VLOOKUP("other",bug_conf_sheet!$A:$H,4,FALSE))</f>
        <v>0</v>
      </c>
      <c r="P275" s="37">
        <f>IFERROR(VLOOKUP($F275,bug_conf_sheet!$A:$H,5,FALSE),VLOOKUP("other",bug_conf_sheet!$A:$H,5,FALSE))</f>
        <v>0</v>
      </c>
      <c r="Q275" s="37">
        <f>IFERROR(VLOOKUP($F275,bug_conf_sheet!$A:$H,6,FALSE),VLOOKUP("other",bug_conf_sheet!$A:$H,6,FALSE))</f>
        <v>0</v>
      </c>
      <c r="R275" s="37">
        <f>IFERROR(VLOOKUP($F275,bug_conf_sheet!$A:$H,7,FALSE),VLOOKUP("other",bug_conf_sheet!$A:$H,7,FALSE))</f>
        <v>0</v>
      </c>
      <c r="S275" s="37">
        <f>IFERROR(VLOOKUP($F275,bug_conf_sheet!$A:$H,8,FALSE),VLOOKUP("other",bug_conf_sheet!$A:$H,8,FALSE))</f>
        <v>1</v>
      </c>
    </row>
    <row r="276" spans="1:19" ht="21" customHeight="1">
      <c r="A276" s="7" t="str">
        <f t="shared" si="27"/>
        <v>1940197</v>
      </c>
      <c r="B276" s="2" t="str">
        <f t="shared" si="29"/>
        <v>1940</v>
      </c>
      <c r="C276" s="8" t="str">
        <f t="shared" si="31"/>
        <v>0PremiumN4</v>
      </c>
      <c r="D276" s="8" t="str">
        <f t="shared" si="30"/>
        <v>0PremiumN4</v>
      </c>
      <c r="E276" s="10">
        <v>0</v>
      </c>
      <c r="F276" s="6">
        <v>197</v>
      </c>
      <c r="G276" s="8" t="str">
        <f>VLOOKUP(F276,[1]characters!$A:$C,3,FALSE)</f>
        <v>鉄腕 アキレス</v>
      </c>
      <c r="H276" s="8" t="str">
        <f>VLOOKUP(F276,[1]characters!$A:$J,10,FALSE)</f>
        <v>PremiumN</v>
      </c>
      <c r="I276" s="8">
        <f>VLOOKUP(F276,[1]characters!$A:$I,9,FALSE)</f>
        <v>4</v>
      </c>
      <c r="J276" s="8" t="str">
        <f>VLOOKUP(F276,[1]characters!$A:$H,8,FALSE)</f>
        <v>yellow</v>
      </c>
      <c r="K276" s="8" t="str">
        <f>VLOOKUP(F276,[1]characters!$A:$K,11,FALSE)</f>
        <v>balance</v>
      </c>
      <c r="L276" s="8" t="str">
        <f>VLOOKUP(F276,[1]characters!$A:$M,13,FALSE)</f>
        <v>human</v>
      </c>
      <c r="M276" s="16">
        <f>IFERROR(VLOOKUP(F276,gacha_conf!A$50:F$62,5+E276,FALSE),VLOOKUP(D276,gacha_conf!D$18:E$46,2,FALSE))</f>
        <v>6166</v>
      </c>
      <c r="N276" s="37">
        <f>IFERROR(VLOOKUP($F276,bug_conf_sheet!$A:$H,3,FALSE),VLOOKUP("other",bug_conf_sheet!$A:$H,3,FALSE))</f>
        <v>1</v>
      </c>
      <c r="O276" s="37">
        <f>IFERROR(VLOOKUP($F276,bug_conf_sheet!$A:$H,4,FALSE),VLOOKUP("other",bug_conf_sheet!$A:$H,4,FALSE))</f>
        <v>0</v>
      </c>
      <c r="P276" s="37">
        <f>IFERROR(VLOOKUP($F276,bug_conf_sheet!$A:$H,5,FALSE),VLOOKUP("other",bug_conf_sheet!$A:$H,5,FALSE))</f>
        <v>0</v>
      </c>
      <c r="Q276" s="37">
        <f>IFERROR(VLOOKUP($F276,bug_conf_sheet!$A:$H,6,FALSE),VLOOKUP("other",bug_conf_sheet!$A:$H,6,FALSE))</f>
        <v>0</v>
      </c>
      <c r="R276" s="37">
        <f>IFERROR(VLOOKUP($F276,bug_conf_sheet!$A:$H,7,FALSE),VLOOKUP("other",bug_conf_sheet!$A:$H,7,FALSE))</f>
        <v>0</v>
      </c>
      <c r="S276" s="37">
        <f>IFERROR(VLOOKUP($F276,bug_conf_sheet!$A:$H,8,FALSE),VLOOKUP("other",bug_conf_sheet!$A:$H,8,FALSE))</f>
        <v>1</v>
      </c>
    </row>
    <row r="277" spans="1:19" ht="21" customHeight="1">
      <c r="A277" s="7" t="str">
        <f t="shared" si="27"/>
        <v>1940198</v>
      </c>
      <c r="B277" s="2" t="str">
        <f t="shared" si="29"/>
        <v>1940</v>
      </c>
      <c r="C277" s="8" t="str">
        <f t="shared" si="31"/>
        <v>0PremiumN5</v>
      </c>
      <c r="D277" s="8" t="str">
        <f t="shared" si="30"/>
        <v>0PremiumN5</v>
      </c>
      <c r="E277" s="10">
        <v>0</v>
      </c>
      <c r="F277" s="6">
        <v>198</v>
      </c>
      <c r="G277" s="8" t="str">
        <f>VLOOKUP(F277,[1]characters!$A:$C,3,FALSE)</f>
        <v>砕骨の剛腕 アキレス</v>
      </c>
      <c r="H277" s="8" t="str">
        <f>VLOOKUP(F277,[1]characters!$A:$J,10,FALSE)</f>
        <v>PremiumN</v>
      </c>
      <c r="I277" s="8">
        <f>VLOOKUP(F277,[1]characters!$A:$I,9,FALSE)</f>
        <v>5</v>
      </c>
      <c r="J277" s="8" t="str">
        <f>VLOOKUP(F277,[1]characters!$A:$H,8,FALSE)</f>
        <v>yellow</v>
      </c>
      <c r="K277" s="8" t="str">
        <f>VLOOKUP(F277,[1]characters!$A:$K,11,FALSE)</f>
        <v>balance</v>
      </c>
      <c r="L277" s="8" t="str">
        <f>VLOOKUP(F277,[1]characters!$A:$M,13,FALSE)</f>
        <v>human</v>
      </c>
      <c r="M277" s="16">
        <f>IFERROR(VLOOKUP(F277,gacha_conf!A$50:F$62,5+E277,FALSE),VLOOKUP(D277,gacha_conf!D$18:E$46,2,FALSE))</f>
        <v>394</v>
      </c>
      <c r="N277" s="37">
        <f>IFERROR(VLOOKUP($F277,bug_conf_sheet!$A:$H,3,FALSE),VLOOKUP("other",bug_conf_sheet!$A:$H,3,FALSE))</f>
        <v>1</v>
      </c>
      <c r="O277" s="37">
        <f>IFERROR(VLOOKUP($F277,bug_conf_sheet!$A:$H,4,FALSE),VLOOKUP("other",bug_conf_sheet!$A:$H,4,FALSE))</f>
        <v>0</v>
      </c>
      <c r="P277" s="37">
        <f>IFERROR(VLOOKUP($F277,bug_conf_sheet!$A:$H,5,FALSE),VLOOKUP("other",bug_conf_sheet!$A:$H,5,FALSE))</f>
        <v>0</v>
      </c>
      <c r="Q277" s="37">
        <f>IFERROR(VLOOKUP($F277,bug_conf_sheet!$A:$H,6,FALSE),VLOOKUP("other",bug_conf_sheet!$A:$H,6,FALSE))</f>
        <v>0</v>
      </c>
      <c r="R277" s="37">
        <f>IFERROR(VLOOKUP($F277,bug_conf_sheet!$A:$H,7,FALSE),VLOOKUP("other",bug_conf_sheet!$A:$H,7,FALSE))</f>
        <v>0</v>
      </c>
      <c r="S277" s="37">
        <f>IFERROR(VLOOKUP($F277,bug_conf_sheet!$A:$H,8,FALSE),VLOOKUP("other",bug_conf_sheet!$A:$H,8,FALSE))</f>
        <v>1</v>
      </c>
    </row>
    <row r="278" spans="1:19" ht="21" customHeight="1">
      <c r="A278" s="7" t="str">
        <f t="shared" si="27"/>
        <v>1940200</v>
      </c>
      <c r="B278" s="2" t="str">
        <f t="shared" si="29"/>
        <v>1940</v>
      </c>
      <c r="C278" s="8" t="str">
        <f t="shared" si="31"/>
        <v>0PremiumN4</v>
      </c>
      <c r="D278" s="8" t="str">
        <f t="shared" si="30"/>
        <v>0PremiumN4</v>
      </c>
      <c r="E278" s="10">
        <v>0</v>
      </c>
      <c r="F278" s="6">
        <v>200</v>
      </c>
      <c r="G278" s="8" t="str">
        <f>VLOOKUP(F278,[1]characters!$A:$C,3,FALSE)</f>
        <v>大剣士 ジークフリート</v>
      </c>
      <c r="H278" s="8" t="str">
        <f>VLOOKUP(F278,[1]characters!$A:$J,10,FALSE)</f>
        <v>PremiumN</v>
      </c>
      <c r="I278" s="8">
        <f>VLOOKUP(F278,[1]characters!$A:$I,9,FALSE)</f>
        <v>4</v>
      </c>
      <c r="J278" s="8" t="str">
        <f>VLOOKUP(F278,[1]characters!$A:$H,8,FALSE)</f>
        <v>blue</v>
      </c>
      <c r="K278" s="8" t="str">
        <f>VLOOKUP(F278,[1]characters!$A:$K,11,FALSE)</f>
        <v>balance</v>
      </c>
      <c r="L278" s="8" t="str">
        <f>VLOOKUP(F278,[1]characters!$A:$M,13,FALSE)</f>
        <v>human</v>
      </c>
      <c r="M278" s="16">
        <f>IFERROR(VLOOKUP(F278,gacha_conf!A$50:F$62,5+E278,FALSE),VLOOKUP(D278,gacha_conf!D$18:E$46,2,FALSE))</f>
        <v>6166</v>
      </c>
      <c r="N278" s="37">
        <f>IFERROR(VLOOKUP($F278,bug_conf_sheet!$A:$H,3,FALSE),VLOOKUP("other",bug_conf_sheet!$A:$H,3,FALSE))</f>
        <v>1</v>
      </c>
      <c r="O278" s="37">
        <f>IFERROR(VLOOKUP($F278,bug_conf_sheet!$A:$H,4,FALSE),VLOOKUP("other",bug_conf_sheet!$A:$H,4,FALSE))</f>
        <v>0</v>
      </c>
      <c r="P278" s="37">
        <f>IFERROR(VLOOKUP($F278,bug_conf_sheet!$A:$H,5,FALSE),VLOOKUP("other",bug_conf_sheet!$A:$H,5,FALSE))</f>
        <v>0</v>
      </c>
      <c r="Q278" s="37">
        <f>IFERROR(VLOOKUP($F278,bug_conf_sheet!$A:$H,6,FALSE),VLOOKUP("other",bug_conf_sheet!$A:$H,6,FALSE))</f>
        <v>0</v>
      </c>
      <c r="R278" s="37">
        <f>IFERROR(VLOOKUP($F278,bug_conf_sheet!$A:$H,7,FALSE),VLOOKUP("other",bug_conf_sheet!$A:$H,7,FALSE))</f>
        <v>0</v>
      </c>
      <c r="S278" s="37">
        <f>IFERROR(VLOOKUP($F278,bug_conf_sheet!$A:$H,8,FALSE),VLOOKUP("other",bug_conf_sheet!$A:$H,8,FALSE))</f>
        <v>1</v>
      </c>
    </row>
    <row r="279" spans="1:19" ht="21" customHeight="1">
      <c r="A279" s="7" t="str">
        <f t="shared" si="27"/>
        <v>1940201</v>
      </c>
      <c r="B279" s="2" t="str">
        <f t="shared" si="29"/>
        <v>1940</v>
      </c>
      <c r="C279" s="8" t="str">
        <f t="shared" si="31"/>
        <v>0PremiumN5</v>
      </c>
      <c r="D279" s="8" t="str">
        <f t="shared" si="30"/>
        <v>0PremiumN5</v>
      </c>
      <c r="E279" s="10">
        <v>0</v>
      </c>
      <c r="F279" s="5">
        <v>201</v>
      </c>
      <c r="G279" s="8" t="str">
        <f>VLOOKUP(F279,[1]characters!$A:$C,3,FALSE)</f>
        <v>斬空の大破剣 ジークフリート</v>
      </c>
      <c r="H279" s="8" t="str">
        <f>VLOOKUP(F279,[1]characters!$A:$J,10,FALSE)</f>
        <v>PremiumN</v>
      </c>
      <c r="I279" s="8">
        <f>VLOOKUP(F279,[1]characters!$A:$I,9,FALSE)</f>
        <v>5</v>
      </c>
      <c r="J279" s="8" t="str">
        <f>VLOOKUP(F279,[1]characters!$A:$H,8,FALSE)</f>
        <v>blue</v>
      </c>
      <c r="K279" s="8" t="str">
        <f>VLOOKUP(F279,[1]characters!$A:$K,11,FALSE)</f>
        <v>balance</v>
      </c>
      <c r="L279" s="8" t="str">
        <f>VLOOKUP(F279,[1]characters!$A:$M,13,FALSE)</f>
        <v>human</v>
      </c>
      <c r="M279" s="16">
        <f>IFERROR(VLOOKUP(F279,gacha_conf!A$50:F$62,5+E279,FALSE),VLOOKUP(D279,gacha_conf!D$18:E$46,2,FALSE))</f>
        <v>394</v>
      </c>
      <c r="N279" s="37">
        <f>IFERROR(VLOOKUP($F279,bug_conf_sheet!$A:$H,3,FALSE),VLOOKUP("other",bug_conf_sheet!$A:$H,3,FALSE))</f>
        <v>1</v>
      </c>
      <c r="O279" s="37">
        <f>IFERROR(VLOOKUP($F279,bug_conf_sheet!$A:$H,4,FALSE),VLOOKUP("other",bug_conf_sheet!$A:$H,4,FALSE))</f>
        <v>0</v>
      </c>
      <c r="P279" s="37">
        <f>IFERROR(VLOOKUP($F279,bug_conf_sheet!$A:$H,5,FALSE),VLOOKUP("other",bug_conf_sheet!$A:$H,5,FALSE))</f>
        <v>0</v>
      </c>
      <c r="Q279" s="37">
        <f>IFERROR(VLOOKUP($F279,bug_conf_sheet!$A:$H,6,FALSE),VLOOKUP("other",bug_conf_sheet!$A:$H,6,FALSE))</f>
        <v>0</v>
      </c>
      <c r="R279" s="37">
        <f>IFERROR(VLOOKUP($F279,bug_conf_sheet!$A:$H,7,FALSE),VLOOKUP("other",bug_conf_sheet!$A:$H,7,FALSE))</f>
        <v>0</v>
      </c>
      <c r="S279" s="37">
        <f>IFERROR(VLOOKUP($F279,bug_conf_sheet!$A:$H,8,FALSE),VLOOKUP("other",bug_conf_sheet!$A:$H,8,FALSE))</f>
        <v>1</v>
      </c>
    </row>
    <row r="280" spans="1:19" ht="21" customHeight="1">
      <c r="A280" s="7" t="str">
        <f t="shared" si="27"/>
        <v>1940203</v>
      </c>
      <c r="B280" s="2" t="str">
        <f t="shared" si="29"/>
        <v>1940</v>
      </c>
      <c r="C280" s="8" t="str">
        <f t="shared" si="31"/>
        <v>0PremiumN4</v>
      </c>
      <c r="D280" s="8" t="str">
        <f t="shared" si="30"/>
        <v>0PremiumN4</v>
      </c>
      <c r="E280" s="10">
        <v>0</v>
      </c>
      <c r="F280" s="5">
        <v>203</v>
      </c>
      <c r="G280" s="8" t="str">
        <f>VLOOKUP(F280,[1]characters!$A:$C,3,FALSE)</f>
        <v>焔神 プロメテウス</v>
      </c>
      <c r="H280" s="8" t="str">
        <f>VLOOKUP(F280,[1]characters!$A:$J,10,FALSE)</f>
        <v>PremiumN</v>
      </c>
      <c r="I280" s="8">
        <f>VLOOKUP(F280,[1]characters!$A:$I,9,FALSE)</f>
        <v>4</v>
      </c>
      <c r="J280" s="8" t="str">
        <f>VLOOKUP(F280,[1]characters!$A:$H,8,FALSE)</f>
        <v>red</v>
      </c>
      <c r="K280" s="8" t="str">
        <f>VLOOKUP(F280,[1]characters!$A:$K,11,FALSE)</f>
        <v>hp</v>
      </c>
      <c r="L280" s="8" t="str">
        <f>VLOOKUP(F280,[1]characters!$A:$M,13,FALSE)</f>
        <v>god</v>
      </c>
      <c r="M280" s="16">
        <f>IFERROR(VLOOKUP(F280,gacha_conf!A$50:F$62,5+E280,FALSE),VLOOKUP(D280,gacha_conf!D$18:E$46,2,FALSE))</f>
        <v>6166</v>
      </c>
      <c r="N280" s="37">
        <f>IFERROR(VLOOKUP($F280,bug_conf_sheet!$A:$H,3,FALSE),VLOOKUP("other",bug_conf_sheet!$A:$H,3,FALSE))</f>
        <v>1</v>
      </c>
      <c r="O280" s="37">
        <f>IFERROR(VLOOKUP($F280,bug_conf_sheet!$A:$H,4,FALSE),VLOOKUP("other",bug_conf_sheet!$A:$H,4,FALSE))</f>
        <v>0</v>
      </c>
      <c r="P280" s="37">
        <f>IFERROR(VLOOKUP($F280,bug_conf_sheet!$A:$H,5,FALSE),VLOOKUP("other",bug_conf_sheet!$A:$H,5,FALSE))</f>
        <v>0</v>
      </c>
      <c r="Q280" s="37">
        <f>IFERROR(VLOOKUP($F280,bug_conf_sheet!$A:$H,6,FALSE),VLOOKUP("other",bug_conf_sheet!$A:$H,6,FALSE))</f>
        <v>0</v>
      </c>
      <c r="R280" s="37">
        <f>IFERROR(VLOOKUP($F280,bug_conf_sheet!$A:$H,7,FALSE),VLOOKUP("other",bug_conf_sheet!$A:$H,7,FALSE))</f>
        <v>0</v>
      </c>
      <c r="S280" s="37">
        <f>IFERROR(VLOOKUP($F280,bug_conf_sheet!$A:$H,8,FALSE),VLOOKUP("other",bug_conf_sheet!$A:$H,8,FALSE))</f>
        <v>1</v>
      </c>
    </row>
    <row r="281" spans="1:19" ht="21" customHeight="1">
      <c r="A281" s="7" t="str">
        <f t="shared" si="27"/>
        <v>1940204</v>
      </c>
      <c r="B281" s="2" t="str">
        <f t="shared" si="29"/>
        <v>1940</v>
      </c>
      <c r="C281" s="8" t="str">
        <f t="shared" si="31"/>
        <v>0PremiumN5</v>
      </c>
      <c r="D281" s="8" t="str">
        <f t="shared" si="30"/>
        <v>0PremiumN5</v>
      </c>
      <c r="E281" s="10">
        <v>0</v>
      </c>
      <c r="F281" s="5">
        <v>204</v>
      </c>
      <c r="G281" s="8" t="str">
        <f>VLOOKUP(F281,[1]characters!$A:$C,3,FALSE)</f>
        <v>慟哭の巨焔 プロメテウス</v>
      </c>
      <c r="H281" s="8" t="str">
        <f>VLOOKUP(F281,[1]characters!$A:$J,10,FALSE)</f>
        <v>PremiumN</v>
      </c>
      <c r="I281" s="8">
        <f>VLOOKUP(F281,[1]characters!$A:$I,9,FALSE)</f>
        <v>5</v>
      </c>
      <c r="J281" s="8" t="str">
        <f>VLOOKUP(F281,[1]characters!$A:$H,8,FALSE)</f>
        <v>red</v>
      </c>
      <c r="K281" s="8" t="str">
        <f>VLOOKUP(F281,[1]characters!$A:$K,11,FALSE)</f>
        <v>hp</v>
      </c>
      <c r="L281" s="8" t="str">
        <f>VLOOKUP(F281,[1]characters!$A:$M,13,FALSE)</f>
        <v>god</v>
      </c>
      <c r="M281" s="16">
        <f>IFERROR(VLOOKUP(F281,gacha_conf!A$50:F$62,5+E281,FALSE),VLOOKUP(D281,gacha_conf!D$18:E$46,2,FALSE))</f>
        <v>394</v>
      </c>
      <c r="N281" s="37">
        <f>IFERROR(VLOOKUP($F281,bug_conf_sheet!$A:$H,3,FALSE),VLOOKUP("other",bug_conf_sheet!$A:$H,3,FALSE))</f>
        <v>1</v>
      </c>
      <c r="O281" s="37">
        <f>IFERROR(VLOOKUP($F281,bug_conf_sheet!$A:$H,4,FALSE),VLOOKUP("other",bug_conf_sheet!$A:$H,4,FALSE))</f>
        <v>0</v>
      </c>
      <c r="P281" s="37">
        <f>IFERROR(VLOOKUP($F281,bug_conf_sheet!$A:$H,5,FALSE),VLOOKUP("other",bug_conf_sheet!$A:$H,5,FALSE))</f>
        <v>0</v>
      </c>
      <c r="Q281" s="37">
        <f>IFERROR(VLOOKUP($F281,bug_conf_sheet!$A:$H,6,FALSE),VLOOKUP("other",bug_conf_sheet!$A:$H,6,FALSE))</f>
        <v>0</v>
      </c>
      <c r="R281" s="37">
        <f>IFERROR(VLOOKUP($F281,bug_conf_sheet!$A:$H,7,FALSE),VLOOKUP("other",bug_conf_sheet!$A:$H,7,FALSE))</f>
        <v>0</v>
      </c>
      <c r="S281" s="37">
        <f>IFERROR(VLOOKUP($F281,bug_conf_sheet!$A:$H,8,FALSE),VLOOKUP("other",bug_conf_sheet!$A:$H,8,FALSE))</f>
        <v>1</v>
      </c>
    </row>
    <row r="282" spans="1:19" ht="21" customHeight="1">
      <c r="A282" s="7" t="str">
        <f t="shared" si="27"/>
        <v>1940206</v>
      </c>
      <c r="B282" s="2" t="str">
        <f t="shared" si="29"/>
        <v>1940</v>
      </c>
      <c r="C282" s="8" t="str">
        <f t="shared" si="31"/>
        <v>0PremiumN4</v>
      </c>
      <c r="D282" s="8" t="str">
        <f t="shared" si="30"/>
        <v>0PremiumN4</v>
      </c>
      <c r="E282" s="10">
        <v>0</v>
      </c>
      <c r="F282" s="5">
        <v>206</v>
      </c>
      <c r="G282" s="8" t="str">
        <f>VLOOKUP(F282,[1]characters!$A:$C,3,FALSE)</f>
        <v>美神 アフロディーテ</v>
      </c>
      <c r="H282" s="8" t="str">
        <f>VLOOKUP(F282,[1]characters!$A:$J,10,FALSE)</f>
        <v>PremiumN</v>
      </c>
      <c r="I282" s="8">
        <f>VLOOKUP(F282,[1]characters!$A:$I,9,FALSE)</f>
        <v>4</v>
      </c>
      <c r="J282" s="8" t="str">
        <f>VLOOKUP(F282,[1]characters!$A:$H,8,FALSE)</f>
        <v>green</v>
      </c>
      <c r="K282" s="8" t="str">
        <f>VLOOKUP(F282,[1]characters!$A:$K,11,FALSE)</f>
        <v>hp</v>
      </c>
      <c r="L282" s="8" t="str">
        <f>VLOOKUP(F282,[1]characters!$A:$M,13,FALSE)</f>
        <v>god</v>
      </c>
      <c r="M282" s="16">
        <f>IFERROR(VLOOKUP(F282,gacha_conf!A$50:F$62,5+E282,FALSE),VLOOKUP(D282,gacha_conf!D$18:E$46,2,FALSE))</f>
        <v>6166</v>
      </c>
      <c r="N282" s="37">
        <f>IFERROR(VLOOKUP($F282,bug_conf_sheet!$A:$H,3,FALSE),VLOOKUP("other",bug_conf_sheet!$A:$H,3,FALSE))</f>
        <v>1</v>
      </c>
      <c r="O282" s="37">
        <f>IFERROR(VLOOKUP($F282,bug_conf_sheet!$A:$H,4,FALSE),VLOOKUP("other",bug_conf_sheet!$A:$H,4,FALSE))</f>
        <v>0</v>
      </c>
      <c r="P282" s="37">
        <f>IFERROR(VLOOKUP($F282,bug_conf_sheet!$A:$H,5,FALSE),VLOOKUP("other",bug_conf_sheet!$A:$H,5,FALSE))</f>
        <v>0</v>
      </c>
      <c r="Q282" s="37">
        <f>IFERROR(VLOOKUP($F282,bug_conf_sheet!$A:$H,6,FALSE),VLOOKUP("other",bug_conf_sheet!$A:$H,6,FALSE))</f>
        <v>0</v>
      </c>
      <c r="R282" s="37">
        <f>IFERROR(VLOOKUP($F282,bug_conf_sheet!$A:$H,7,FALSE),VLOOKUP("other",bug_conf_sheet!$A:$H,7,FALSE))</f>
        <v>0</v>
      </c>
      <c r="S282" s="37">
        <f>IFERROR(VLOOKUP($F282,bug_conf_sheet!$A:$H,8,FALSE),VLOOKUP("other",bug_conf_sheet!$A:$H,8,FALSE))</f>
        <v>1</v>
      </c>
    </row>
    <row r="283" spans="1:19" ht="21" customHeight="1">
      <c r="A283" s="7" t="str">
        <f t="shared" si="27"/>
        <v>1940207</v>
      </c>
      <c r="B283" s="2" t="str">
        <f t="shared" si="29"/>
        <v>1940</v>
      </c>
      <c r="C283" s="8" t="str">
        <f t="shared" si="31"/>
        <v>0PremiumN5</v>
      </c>
      <c r="D283" s="8" t="str">
        <f t="shared" si="30"/>
        <v>0PremiumN5</v>
      </c>
      <c r="E283" s="10">
        <v>0</v>
      </c>
      <c r="F283" s="5">
        <v>207</v>
      </c>
      <c r="G283" s="8" t="str">
        <f>VLOOKUP(F283,[1]characters!$A:$C,3,FALSE)</f>
        <v>豊穣の麗神・アフロディーテ</v>
      </c>
      <c r="H283" s="8" t="str">
        <f>VLOOKUP(F283,[1]characters!$A:$J,10,FALSE)</f>
        <v>PremiumN</v>
      </c>
      <c r="I283" s="8">
        <f>VLOOKUP(F283,[1]characters!$A:$I,9,FALSE)</f>
        <v>5</v>
      </c>
      <c r="J283" s="8" t="str">
        <f>VLOOKUP(F283,[1]characters!$A:$H,8,FALSE)</f>
        <v>green</v>
      </c>
      <c r="K283" s="8" t="str">
        <f>VLOOKUP(F283,[1]characters!$A:$K,11,FALSE)</f>
        <v>hp</v>
      </c>
      <c r="L283" s="8" t="str">
        <f>VLOOKUP(F283,[1]characters!$A:$M,13,FALSE)</f>
        <v>god</v>
      </c>
      <c r="M283" s="16">
        <f>IFERROR(VLOOKUP(F283,gacha_conf!A$50:F$62,5+E283,FALSE),VLOOKUP(D283,gacha_conf!D$18:E$46,2,FALSE))</f>
        <v>394</v>
      </c>
      <c r="N283" s="37">
        <f>IFERROR(VLOOKUP($F283,bug_conf_sheet!$A:$H,3,FALSE),VLOOKUP("other",bug_conf_sheet!$A:$H,3,FALSE))</f>
        <v>1</v>
      </c>
      <c r="O283" s="37">
        <f>IFERROR(VLOOKUP($F283,bug_conf_sheet!$A:$H,4,FALSE),VLOOKUP("other",bug_conf_sheet!$A:$H,4,FALSE))</f>
        <v>0</v>
      </c>
      <c r="P283" s="37">
        <f>IFERROR(VLOOKUP($F283,bug_conf_sheet!$A:$H,5,FALSE),VLOOKUP("other",bug_conf_sheet!$A:$H,5,FALSE))</f>
        <v>0</v>
      </c>
      <c r="Q283" s="37">
        <f>IFERROR(VLOOKUP($F283,bug_conf_sheet!$A:$H,6,FALSE),VLOOKUP("other",bug_conf_sheet!$A:$H,6,FALSE))</f>
        <v>0</v>
      </c>
      <c r="R283" s="37">
        <f>IFERROR(VLOOKUP($F283,bug_conf_sheet!$A:$H,7,FALSE),VLOOKUP("other",bug_conf_sheet!$A:$H,7,FALSE))</f>
        <v>0</v>
      </c>
      <c r="S283" s="37">
        <f>IFERROR(VLOOKUP($F283,bug_conf_sheet!$A:$H,8,FALSE),VLOOKUP("other",bug_conf_sheet!$A:$H,8,FALSE))</f>
        <v>1</v>
      </c>
    </row>
    <row r="284" spans="1:19" ht="21" customHeight="1">
      <c r="A284" s="7" t="str">
        <f t="shared" si="27"/>
        <v>1940209</v>
      </c>
      <c r="B284" s="2" t="str">
        <f t="shared" si="29"/>
        <v>1940</v>
      </c>
      <c r="C284" s="8" t="str">
        <f t="shared" si="31"/>
        <v>0PremiumN4</v>
      </c>
      <c r="D284" s="8" t="str">
        <f t="shared" si="30"/>
        <v>0PremiumN4</v>
      </c>
      <c r="E284" s="10">
        <v>0</v>
      </c>
      <c r="F284" s="5">
        <v>209</v>
      </c>
      <c r="G284" s="8" t="str">
        <f>VLOOKUP(F284,[1]characters!$A:$C,3,FALSE)</f>
        <v>孤神 テティス</v>
      </c>
      <c r="H284" s="8" t="str">
        <f>VLOOKUP(F284,[1]characters!$A:$J,10,FALSE)</f>
        <v>PremiumN</v>
      </c>
      <c r="I284" s="8">
        <f>VLOOKUP(F284,[1]characters!$A:$I,9,FALSE)</f>
        <v>4</v>
      </c>
      <c r="J284" s="8" t="str">
        <f>VLOOKUP(F284,[1]characters!$A:$H,8,FALSE)</f>
        <v>blue</v>
      </c>
      <c r="K284" s="8" t="str">
        <f>VLOOKUP(F284,[1]characters!$A:$K,11,FALSE)</f>
        <v>hp</v>
      </c>
      <c r="L284" s="8" t="str">
        <f>VLOOKUP(F284,[1]characters!$A:$M,13,FALSE)</f>
        <v>god</v>
      </c>
      <c r="M284" s="16">
        <f>IFERROR(VLOOKUP(F284,gacha_conf!A$50:F$62,5+E284,FALSE),VLOOKUP(D284,gacha_conf!D$18:E$46,2,FALSE))</f>
        <v>6166</v>
      </c>
      <c r="N284" s="37">
        <f>IFERROR(VLOOKUP($F284,bug_conf_sheet!$A:$H,3,FALSE),VLOOKUP("other",bug_conf_sheet!$A:$H,3,FALSE))</f>
        <v>1</v>
      </c>
      <c r="O284" s="37">
        <f>IFERROR(VLOOKUP($F284,bug_conf_sheet!$A:$H,4,FALSE),VLOOKUP("other",bug_conf_sheet!$A:$H,4,FALSE))</f>
        <v>0</v>
      </c>
      <c r="P284" s="37">
        <f>IFERROR(VLOOKUP($F284,bug_conf_sheet!$A:$H,5,FALSE),VLOOKUP("other",bug_conf_sheet!$A:$H,5,FALSE))</f>
        <v>0</v>
      </c>
      <c r="Q284" s="37">
        <f>IFERROR(VLOOKUP($F284,bug_conf_sheet!$A:$H,6,FALSE),VLOOKUP("other",bug_conf_sheet!$A:$H,6,FALSE))</f>
        <v>0</v>
      </c>
      <c r="R284" s="37">
        <f>IFERROR(VLOOKUP($F284,bug_conf_sheet!$A:$H,7,FALSE),VLOOKUP("other",bug_conf_sheet!$A:$H,7,FALSE))</f>
        <v>0</v>
      </c>
      <c r="S284" s="37">
        <f>IFERROR(VLOOKUP($F284,bug_conf_sheet!$A:$H,8,FALSE),VLOOKUP("other",bug_conf_sheet!$A:$H,8,FALSE))</f>
        <v>1</v>
      </c>
    </row>
    <row r="285" spans="1:19" ht="21" customHeight="1">
      <c r="A285" s="7" t="str">
        <f t="shared" si="27"/>
        <v>1940210</v>
      </c>
      <c r="B285" s="2" t="str">
        <f t="shared" si="29"/>
        <v>1940</v>
      </c>
      <c r="C285" s="8" t="str">
        <f t="shared" si="31"/>
        <v>0PremiumN5</v>
      </c>
      <c r="D285" s="8" t="str">
        <f t="shared" si="30"/>
        <v>0PremiumN5</v>
      </c>
      <c r="E285" s="10">
        <v>0</v>
      </c>
      <c r="F285" s="5">
        <v>210</v>
      </c>
      <c r="G285" s="8" t="str">
        <f>VLOOKUP(F285,[1]characters!$A:$C,3,FALSE)</f>
        <v>海底の孤高神 テティス</v>
      </c>
      <c r="H285" s="8" t="str">
        <f>VLOOKUP(F285,[1]characters!$A:$J,10,FALSE)</f>
        <v>PremiumN</v>
      </c>
      <c r="I285" s="8">
        <f>VLOOKUP(F285,[1]characters!$A:$I,9,FALSE)</f>
        <v>5</v>
      </c>
      <c r="J285" s="8" t="str">
        <f>VLOOKUP(F285,[1]characters!$A:$H,8,FALSE)</f>
        <v>blue</v>
      </c>
      <c r="K285" s="8" t="str">
        <f>VLOOKUP(F285,[1]characters!$A:$K,11,FALSE)</f>
        <v>hp</v>
      </c>
      <c r="L285" s="8" t="str">
        <f>VLOOKUP(F285,[1]characters!$A:$M,13,FALSE)</f>
        <v>god</v>
      </c>
      <c r="M285" s="16">
        <f>IFERROR(VLOOKUP(F285,gacha_conf!A$50:F$62,5+E285,FALSE),VLOOKUP(D285,gacha_conf!D$18:E$46,2,FALSE))</f>
        <v>394</v>
      </c>
      <c r="N285" s="37">
        <f>IFERROR(VLOOKUP($F285,bug_conf_sheet!$A:$H,3,FALSE),VLOOKUP("other",bug_conf_sheet!$A:$H,3,FALSE))</f>
        <v>1</v>
      </c>
      <c r="O285" s="37">
        <f>IFERROR(VLOOKUP($F285,bug_conf_sheet!$A:$H,4,FALSE),VLOOKUP("other",bug_conf_sheet!$A:$H,4,FALSE))</f>
        <v>0</v>
      </c>
      <c r="P285" s="37">
        <f>IFERROR(VLOOKUP($F285,bug_conf_sheet!$A:$H,5,FALSE),VLOOKUP("other",bug_conf_sheet!$A:$H,5,FALSE))</f>
        <v>0</v>
      </c>
      <c r="Q285" s="37">
        <f>IFERROR(VLOOKUP($F285,bug_conf_sheet!$A:$H,6,FALSE),VLOOKUP("other",bug_conf_sheet!$A:$H,6,FALSE))</f>
        <v>0</v>
      </c>
      <c r="R285" s="37">
        <f>IFERROR(VLOOKUP($F285,bug_conf_sheet!$A:$H,7,FALSE),VLOOKUP("other",bug_conf_sheet!$A:$H,7,FALSE))</f>
        <v>0</v>
      </c>
      <c r="S285" s="37">
        <f>IFERROR(VLOOKUP($F285,bug_conf_sheet!$A:$H,8,FALSE),VLOOKUP("other",bug_conf_sheet!$A:$H,8,FALSE))</f>
        <v>1</v>
      </c>
    </row>
    <row r="286" spans="1:19" ht="21" customHeight="1">
      <c r="A286" s="7" t="str">
        <f t="shared" si="27"/>
        <v>1940212</v>
      </c>
      <c r="B286" s="2" t="str">
        <f t="shared" si="29"/>
        <v>1940</v>
      </c>
      <c r="C286" s="8" t="str">
        <f t="shared" si="31"/>
        <v>0PremiumN4</v>
      </c>
      <c r="D286" s="8" t="str">
        <f t="shared" si="30"/>
        <v>0PremiumN4</v>
      </c>
      <c r="E286" s="10">
        <v>0</v>
      </c>
      <c r="F286" s="5">
        <v>212</v>
      </c>
      <c r="G286" s="8" t="str">
        <f>VLOOKUP(F286,[1]characters!$A:$C,3,FALSE)</f>
        <v>星神 アストライアー</v>
      </c>
      <c r="H286" s="8" t="str">
        <f>VLOOKUP(F286,[1]characters!$A:$J,10,FALSE)</f>
        <v>PremiumN</v>
      </c>
      <c r="I286" s="8">
        <f>VLOOKUP(F286,[1]characters!$A:$I,9,FALSE)</f>
        <v>4</v>
      </c>
      <c r="J286" s="8" t="str">
        <f>VLOOKUP(F286,[1]characters!$A:$H,8,FALSE)</f>
        <v>yellow</v>
      </c>
      <c r="K286" s="8" t="str">
        <f>VLOOKUP(F286,[1]characters!$A:$K,11,FALSE)</f>
        <v>balance</v>
      </c>
      <c r="L286" s="8" t="str">
        <f>VLOOKUP(F286,[1]characters!$A:$M,13,FALSE)</f>
        <v>god</v>
      </c>
      <c r="M286" s="16">
        <f>IFERROR(VLOOKUP(F286,gacha_conf!A$50:F$62,5+E286,FALSE),VLOOKUP(D286,gacha_conf!D$18:E$46,2,FALSE))</f>
        <v>6166</v>
      </c>
      <c r="N286" s="37">
        <f>IFERROR(VLOOKUP($F286,bug_conf_sheet!$A:$H,3,FALSE),VLOOKUP("other",bug_conf_sheet!$A:$H,3,FALSE))</f>
        <v>1</v>
      </c>
      <c r="O286" s="37">
        <f>IFERROR(VLOOKUP($F286,bug_conf_sheet!$A:$H,4,FALSE),VLOOKUP("other",bug_conf_sheet!$A:$H,4,FALSE))</f>
        <v>0</v>
      </c>
      <c r="P286" s="37">
        <f>IFERROR(VLOOKUP($F286,bug_conf_sheet!$A:$H,5,FALSE),VLOOKUP("other",bug_conf_sheet!$A:$H,5,FALSE))</f>
        <v>0</v>
      </c>
      <c r="Q286" s="37">
        <f>IFERROR(VLOOKUP($F286,bug_conf_sheet!$A:$H,6,FALSE),VLOOKUP("other",bug_conf_sheet!$A:$H,6,FALSE))</f>
        <v>0</v>
      </c>
      <c r="R286" s="37">
        <f>IFERROR(VLOOKUP($F286,bug_conf_sheet!$A:$H,7,FALSE),VLOOKUP("other",bug_conf_sheet!$A:$H,7,FALSE))</f>
        <v>0</v>
      </c>
      <c r="S286" s="37">
        <f>IFERROR(VLOOKUP($F286,bug_conf_sheet!$A:$H,8,FALSE),VLOOKUP("other",bug_conf_sheet!$A:$H,8,FALSE))</f>
        <v>1</v>
      </c>
    </row>
    <row r="287" spans="1:19" ht="21" customHeight="1">
      <c r="A287" s="7" t="str">
        <f t="shared" si="27"/>
        <v>1940213</v>
      </c>
      <c r="B287" s="2" t="str">
        <f t="shared" si="29"/>
        <v>1940</v>
      </c>
      <c r="C287" s="8" t="str">
        <f t="shared" si="31"/>
        <v>0PremiumN5</v>
      </c>
      <c r="D287" s="8" t="str">
        <f t="shared" si="30"/>
        <v>0PremiumN5</v>
      </c>
      <c r="E287" s="10">
        <v>0</v>
      </c>
      <c r="F287" s="5">
        <v>213</v>
      </c>
      <c r="G287" s="8" t="str">
        <f>VLOOKUP(F287,[1]characters!$A:$C,3,FALSE)</f>
        <v>満天の星降神 アストライアー</v>
      </c>
      <c r="H287" s="8" t="str">
        <f>VLOOKUP(F287,[1]characters!$A:$J,10,FALSE)</f>
        <v>PremiumN</v>
      </c>
      <c r="I287" s="8">
        <f>VLOOKUP(F287,[1]characters!$A:$I,9,FALSE)</f>
        <v>5</v>
      </c>
      <c r="J287" s="8" t="str">
        <f>VLOOKUP(F287,[1]characters!$A:$H,8,FALSE)</f>
        <v>yellow</v>
      </c>
      <c r="K287" s="8" t="str">
        <f>VLOOKUP(F287,[1]characters!$A:$K,11,FALSE)</f>
        <v>balance</v>
      </c>
      <c r="L287" s="8" t="str">
        <f>VLOOKUP(F287,[1]characters!$A:$M,13,FALSE)</f>
        <v>god</v>
      </c>
      <c r="M287" s="16">
        <f>IFERROR(VLOOKUP(F287,gacha_conf!A$50:F$62,5+E287,FALSE),VLOOKUP(D287,gacha_conf!D$18:E$46,2,FALSE))</f>
        <v>394</v>
      </c>
      <c r="N287" s="37">
        <f>IFERROR(VLOOKUP($F287,bug_conf_sheet!$A:$H,3,FALSE),VLOOKUP("other",bug_conf_sheet!$A:$H,3,FALSE))</f>
        <v>1</v>
      </c>
      <c r="O287" s="37">
        <f>IFERROR(VLOOKUP($F287,bug_conf_sheet!$A:$H,4,FALSE),VLOOKUP("other",bug_conf_sheet!$A:$H,4,FALSE))</f>
        <v>0</v>
      </c>
      <c r="P287" s="37">
        <f>IFERROR(VLOOKUP($F287,bug_conf_sheet!$A:$H,5,FALSE),VLOOKUP("other",bug_conf_sheet!$A:$H,5,FALSE))</f>
        <v>0</v>
      </c>
      <c r="Q287" s="37">
        <f>IFERROR(VLOOKUP($F287,bug_conf_sheet!$A:$H,6,FALSE),VLOOKUP("other",bug_conf_sheet!$A:$H,6,FALSE))</f>
        <v>0</v>
      </c>
      <c r="R287" s="37">
        <f>IFERROR(VLOOKUP($F287,bug_conf_sheet!$A:$H,7,FALSE),VLOOKUP("other",bug_conf_sheet!$A:$H,7,FALSE))</f>
        <v>0</v>
      </c>
      <c r="S287" s="37">
        <f>IFERROR(VLOOKUP($F287,bug_conf_sheet!$A:$H,8,FALSE),VLOOKUP("other",bug_conf_sheet!$A:$H,8,FALSE))</f>
        <v>1</v>
      </c>
    </row>
    <row r="288" spans="1:19" ht="21" customHeight="1">
      <c r="A288" s="7" t="str">
        <f t="shared" si="27"/>
        <v>1940215</v>
      </c>
      <c r="B288" s="2" t="str">
        <f t="shared" si="29"/>
        <v>1940</v>
      </c>
      <c r="C288" s="8" t="str">
        <f t="shared" si="31"/>
        <v>0PremiumN4</v>
      </c>
      <c r="D288" s="8" t="str">
        <f t="shared" si="30"/>
        <v>0PremiumN4</v>
      </c>
      <c r="E288" s="10">
        <v>0</v>
      </c>
      <c r="F288" s="5">
        <v>215</v>
      </c>
      <c r="G288" s="8" t="str">
        <f>VLOOKUP(F288,[1]characters!$A:$C,3,FALSE)</f>
        <v>死導者 アズラエル</v>
      </c>
      <c r="H288" s="8" t="str">
        <f>VLOOKUP(F288,[1]characters!$A:$J,10,FALSE)</f>
        <v>PremiumN</v>
      </c>
      <c r="I288" s="8">
        <f>VLOOKUP(F288,[1]characters!$A:$I,9,FALSE)</f>
        <v>4</v>
      </c>
      <c r="J288" s="8" t="str">
        <f>VLOOKUP(F288,[1]characters!$A:$H,8,FALSE)</f>
        <v>red</v>
      </c>
      <c r="K288" s="8" t="str">
        <f>VLOOKUP(F288,[1]characters!$A:$K,11,FALSE)</f>
        <v>balance</v>
      </c>
      <c r="L288" s="8" t="str">
        <f>VLOOKUP(F288,[1]characters!$A:$M,13,FALSE)</f>
        <v>god</v>
      </c>
      <c r="M288" s="16">
        <f>IFERROR(VLOOKUP(F288,gacha_conf!A$50:F$62,5+E288,FALSE),VLOOKUP(D288,gacha_conf!D$18:E$46,2,FALSE))</f>
        <v>6166</v>
      </c>
      <c r="N288" s="37">
        <f>IFERROR(VLOOKUP($F288,bug_conf_sheet!$A:$H,3,FALSE),VLOOKUP("other",bug_conf_sheet!$A:$H,3,FALSE))</f>
        <v>1</v>
      </c>
      <c r="O288" s="37">
        <f>IFERROR(VLOOKUP($F288,bug_conf_sheet!$A:$H,4,FALSE),VLOOKUP("other",bug_conf_sheet!$A:$H,4,FALSE))</f>
        <v>0</v>
      </c>
      <c r="P288" s="37">
        <f>IFERROR(VLOOKUP($F288,bug_conf_sheet!$A:$H,5,FALSE),VLOOKUP("other",bug_conf_sheet!$A:$H,5,FALSE))</f>
        <v>0</v>
      </c>
      <c r="Q288" s="37">
        <f>IFERROR(VLOOKUP($F288,bug_conf_sheet!$A:$H,6,FALSE),VLOOKUP("other",bug_conf_sheet!$A:$H,6,FALSE))</f>
        <v>0</v>
      </c>
      <c r="R288" s="37">
        <f>IFERROR(VLOOKUP($F288,bug_conf_sheet!$A:$H,7,FALSE),VLOOKUP("other",bug_conf_sheet!$A:$H,7,FALSE))</f>
        <v>0</v>
      </c>
      <c r="S288" s="37">
        <f>IFERROR(VLOOKUP($F288,bug_conf_sheet!$A:$H,8,FALSE),VLOOKUP("other",bug_conf_sheet!$A:$H,8,FALSE))</f>
        <v>1</v>
      </c>
    </row>
    <row r="289" spans="1:19" ht="21" customHeight="1">
      <c r="A289" s="7" t="str">
        <f t="shared" si="27"/>
        <v>1940216</v>
      </c>
      <c r="B289" s="2" t="str">
        <f t="shared" si="29"/>
        <v>1940</v>
      </c>
      <c r="C289" s="8" t="str">
        <f t="shared" si="31"/>
        <v>0PremiumN5</v>
      </c>
      <c r="D289" s="8" t="str">
        <f t="shared" si="30"/>
        <v>0PremiumN5</v>
      </c>
      <c r="E289" s="10">
        <v>0</v>
      </c>
      <c r="F289" s="5">
        <v>216</v>
      </c>
      <c r="G289" s="8" t="str">
        <f>VLOOKUP(F289,[1]characters!$A:$C,3,FALSE)</f>
        <v>百読の死導司書 アズラエル</v>
      </c>
      <c r="H289" s="8" t="str">
        <f>VLOOKUP(F289,[1]characters!$A:$J,10,FALSE)</f>
        <v>PremiumN</v>
      </c>
      <c r="I289" s="8">
        <f>VLOOKUP(F289,[1]characters!$A:$I,9,FALSE)</f>
        <v>5</v>
      </c>
      <c r="J289" s="8" t="str">
        <f>VLOOKUP(F289,[1]characters!$A:$H,8,FALSE)</f>
        <v>red</v>
      </c>
      <c r="K289" s="8" t="str">
        <f>VLOOKUP(F289,[1]characters!$A:$K,11,FALSE)</f>
        <v>balance</v>
      </c>
      <c r="L289" s="8" t="str">
        <f>VLOOKUP(F289,[1]characters!$A:$M,13,FALSE)</f>
        <v>god</v>
      </c>
      <c r="M289" s="16">
        <f>IFERROR(VLOOKUP(F289,gacha_conf!A$50:F$62,5+E289,FALSE),VLOOKUP(D289,gacha_conf!D$18:E$46,2,FALSE))</f>
        <v>394</v>
      </c>
      <c r="N289" s="37">
        <f>IFERROR(VLOOKUP($F289,bug_conf_sheet!$A:$H,3,FALSE),VLOOKUP("other",bug_conf_sheet!$A:$H,3,FALSE))</f>
        <v>1</v>
      </c>
      <c r="O289" s="37">
        <f>IFERROR(VLOOKUP($F289,bug_conf_sheet!$A:$H,4,FALSE),VLOOKUP("other",bug_conf_sheet!$A:$H,4,FALSE))</f>
        <v>0</v>
      </c>
      <c r="P289" s="37">
        <f>IFERROR(VLOOKUP($F289,bug_conf_sheet!$A:$H,5,FALSE),VLOOKUP("other",bug_conf_sheet!$A:$H,5,FALSE))</f>
        <v>0</v>
      </c>
      <c r="Q289" s="37">
        <f>IFERROR(VLOOKUP($F289,bug_conf_sheet!$A:$H,6,FALSE),VLOOKUP("other",bug_conf_sheet!$A:$H,6,FALSE))</f>
        <v>0</v>
      </c>
      <c r="R289" s="37">
        <f>IFERROR(VLOOKUP($F289,bug_conf_sheet!$A:$H,7,FALSE),VLOOKUP("other",bug_conf_sheet!$A:$H,7,FALSE))</f>
        <v>0</v>
      </c>
      <c r="S289" s="37">
        <f>IFERROR(VLOOKUP($F289,bug_conf_sheet!$A:$H,8,FALSE),VLOOKUP("other",bug_conf_sheet!$A:$H,8,FALSE))</f>
        <v>1</v>
      </c>
    </row>
    <row r="290" spans="1:19" ht="21" customHeight="1">
      <c r="A290" s="7" t="str">
        <f t="shared" si="27"/>
        <v>1940218</v>
      </c>
      <c r="B290" s="2" t="str">
        <f t="shared" si="29"/>
        <v>1940</v>
      </c>
      <c r="C290" s="8" t="str">
        <f t="shared" si="31"/>
        <v>0PremiumN4</v>
      </c>
      <c r="D290" s="8" t="str">
        <f t="shared" si="30"/>
        <v>0PremiumN4</v>
      </c>
      <c r="E290" s="10">
        <v>0</v>
      </c>
      <c r="F290" s="5">
        <v>218</v>
      </c>
      <c r="G290" s="8" t="str">
        <f>VLOOKUP(F290,[1]characters!$A:$C,3,FALSE)</f>
        <v>聖蛇 ケツァクアトル</v>
      </c>
      <c r="H290" s="8" t="str">
        <f>VLOOKUP(F290,[1]characters!$A:$J,10,FALSE)</f>
        <v>PremiumN</v>
      </c>
      <c r="I290" s="8">
        <f>VLOOKUP(F290,[1]characters!$A:$I,9,FALSE)</f>
        <v>4</v>
      </c>
      <c r="J290" s="8" t="str">
        <f>VLOOKUP(F290,[1]characters!$A:$H,8,FALSE)</f>
        <v>green</v>
      </c>
      <c r="K290" s="8" t="str">
        <f>VLOOKUP(F290,[1]characters!$A:$K,11,FALSE)</f>
        <v>hp</v>
      </c>
      <c r="L290" s="8" t="str">
        <f>VLOOKUP(F290,[1]characters!$A:$M,13,FALSE)</f>
        <v>dragon</v>
      </c>
      <c r="M290" s="16">
        <f>IFERROR(VLOOKUP(F290,gacha_conf!A$50:F$62,5+E290,FALSE),VLOOKUP(D290,gacha_conf!D$18:E$46,2,FALSE))</f>
        <v>6166</v>
      </c>
      <c r="N290" s="37">
        <f>IFERROR(VLOOKUP($F290,bug_conf_sheet!$A:$H,3,FALSE),VLOOKUP("other",bug_conf_sheet!$A:$H,3,FALSE))</f>
        <v>1</v>
      </c>
      <c r="O290" s="37">
        <f>IFERROR(VLOOKUP($F290,bug_conf_sheet!$A:$H,4,FALSE),VLOOKUP("other",bug_conf_sheet!$A:$H,4,FALSE))</f>
        <v>0</v>
      </c>
      <c r="P290" s="37">
        <f>IFERROR(VLOOKUP($F290,bug_conf_sheet!$A:$H,5,FALSE),VLOOKUP("other",bug_conf_sheet!$A:$H,5,FALSE))</f>
        <v>0</v>
      </c>
      <c r="Q290" s="37">
        <f>IFERROR(VLOOKUP($F290,bug_conf_sheet!$A:$H,6,FALSE),VLOOKUP("other",bug_conf_sheet!$A:$H,6,FALSE))</f>
        <v>0</v>
      </c>
      <c r="R290" s="37">
        <f>IFERROR(VLOOKUP($F290,bug_conf_sheet!$A:$H,7,FALSE),VLOOKUP("other",bug_conf_sheet!$A:$H,7,FALSE))</f>
        <v>0</v>
      </c>
      <c r="S290" s="37">
        <f>IFERROR(VLOOKUP($F290,bug_conf_sheet!$A:$H,8,FALSE),VLOOKUP("other",bug_conf_sheet!$A:$H,8,FALSE))</f>
        <v>1</v>
      </c>
    </row>
    <row r="291" spans="1:19" ht="21" customHeight="1">
      <c r="A291" s="7" t="str">
        <f t="shared" si="27"/>
        <v>1940219</v>
      </c>
      <c r="B291" s="2" t="str">
        <f t="shared" si="29"/>
        <v>1940</v>
      </c>
      <c r="C291" s="8" t="str">
        <f t="shared" si="31"/>
        <v>0PremiumN5</v>
      </c>
      <c r="D291" s="8" t="str">
        <f t="shared" si="30"/>
        <v>0PremiumN5</v>
      </c>
      <c r="E291" s="10">
        <v>0</v>
      </c>
      <c r="F291" s="5">
        <v>219</v>
      </c>
      <c r="G291" s="8" t="str">
        <f>VLOOKUP(F291,[1]characters!$A:$C,3,FALSE)</f>
        <v>覇翼の聖蛇竜 ケツァクアトル</v>
      </c>
      <c r="H291" s="8" t="str">
        <f>VLOOKUP(F291,[1]characters!$A:$J,10,FALSE)</f>
        <v>PremiumN</v>
      </c>
      <c r="I291" s="8">
        <f>VLOOKUP(F291,[1]characters!$A:$I,9,FALSE)</f>
        <v>5</v>
      </c>
      <c r="J291" s="8" t="str">
        <f>VLOOKUP(F291,[1]characters!$A:$H,8,FALSE)</f>
        <v>green</v>
      </c>
      <c r="K291" s="8" t="str">
        <f>VLOOKUP(F291,[1]characters!$A:$K,11,FALSE)</f>
        <v>hp</v>
      </c>
      <c r="L291" s="8" t="str">
        <f>VLOOKUP(F291,[1]characters!$A:$M,13,FALSE)</f>
        <v>dragon</v>
      </c>
      <c r="M291" s="16">
        <f>IFERROR(VLOOKUP(F291,gacha_conf!A$50:F$62,5+E291,FALSE),VLOOKUP(D291,gacha_conf!D$18:E$46,2,FALSE))</f>
        <v>394</v>
      </c>
      <c r="N291" s="37">
        <f>IFERROR(VLOOKUP($F291,bug_conf_sheet!$A:$H,3,FALSE),VLOOKUP("other",bug_conf_sheet!$A:$H,3,FALSE))</f>
        <v>1</v>
      </c>
      <c r="O291" s="37">
        <f>IFERROR(VLOOKUP($F291,bug_conf_sheet!$A:$H,4,FALSE),VLOOKUP("other",bug_conf_sheet!$A:$H,4,FALSE))</f>
        <v>0</v>
      </c>
      <c r="P291" s="37">
        <f>IFERROR(VLOOKUP($F291,bug_conf_sheet!$A:$H,5,FALSE),VLOOKUP("other",bug_conf_sheet!$A:$H,5,FALSE))</f>
        <v>0</v>
      </c>
      <c r="Q291" s="37">
        <f>IFERROR(VLOOKUP($F291,bug_conf_sheet!$A:$H,6,FALSE),VLOOKUP("other",bug_conf_sheet!$A:$H,6,FALSE))</f>
        <v>0</v>
      </c>
      <c r="R291" s="37">
        <f>IFERROR(VLOOKUP($F291,bug_conf_sheet!$A:$H,7,FALSE),VLOOKUP("other",bug_conf_sheet!$A:$H,7,FALSE))</f>
        <v>0</v>
      </c>
      <c r="S291" s="37">
        <f>IFERROR(VLOOKUP($F291,bug_conf_sheet!$A:$H,8,FALSE),VLOOKUP("other",bug_conf_sheet!$A:$H,8,FALSE))</f>
        <v>1</v>
      </c>
    </row>
    <row r="292" spans="1:19" ht="21" customHeight="1">
      <c r="A292" s="7" t="str">
        <f t="shared" si="27"/>
        <v>1940221</v>
      </c>
      <c r="B292" s="2" t="str">
        <f t="shared" si="29"/>
        <v>1940</v>
      </c>
      <c r="C292" s="8" t="str">
        <f t="shared" si="31"/>
        <v>0PremiumN4</v>
      </c>
      <c r="D292" s="8" t="str">
        <f t="shared" si="30"/>
        <v>0PremiumN4</v>
      </c>
      <c r="E292" s="10">
        <v>0</v>
      </c>
      <c r="F292" s="5">
        <v>221</v>
      </c>
      <c r="G292" s="8" t="str">
        <f>VLOOKUP(F292,[1]characters!$A:$C,3,FALSE)</f>
        <v>宰相 ルキフグス</v>
      </c>
      <c r="H292" s="8" t="str">
        <f>VLOOKUP(F292,[1]characters!$A:$J,10,FALSE)</f>
        <v>PremiumN</v>
      </c>
      <c r="I292" s="8">
        <f>VLOOKUP(F292,[1]characters!$A:$I,9,FALSE)</f>
        <v>4</v>
      </c>
      <c r="J292" s="8" t="str">
        <f>VLOOKUP(F292,[1]characters!$A:$H,8,FALSE)</f>
        <v>blue</v>
      </c>
      <c r="K292" s="8" t="str">
        <f>VLOOKUP(F292,[1]characters!$A:$K,11,FALSE)</f>
        <v>balance</v>
      </c>
      <c r="L292" s="8" t="str">
        <f>VLOOKUP(F292,[1]characters!$A:$M,13,FALSE)</f>
        <v>god</v>
      </c>
      <c r="M292" s="16">
        <f>IFERROR(VLOOKUP(F292,gacha_conf!A$50:F$62,5+E292,FALSE),VLOOKUP(D292,gacha_conf!D$18:E$46,2,FALSE))</f>
        <v>6166</v>
      </c>
      <c r="N292" s="37">
        <f>IFERROR(VLOOKUP($F292,bug_conf_sheet!$A:$H,3,FALSE),VLOOKUP("other",bug_conf_sheet!$A:$H,3,FALSE))</f>
        <v>1</v>
      </c>
      <c r="O292" s="37">
        <f>IFERROR(VLOOKUP($F292,bug_conf_sheet!$A:$H,4,FALSE),VLOOKUP("other",bug_conf_sheet!$A:$H,4,FALSE))</f>
        <v>0</v>
      </c>
      <c r="P292" s="37">
        <f>IFERROR(VLOOKUP($F292,bug_conf_sheet!$A:$H,5,FALSE),VLOOKUP("other",bug_conf_sheet!$A:$H,5,FALSE))</f>
        <v>0</v>
      </c>
      <c r="Q292" s="37">
        <f>IFERROR(VLOOKUP($F292,bug_conf_sheet!$A:$H,6,FALSE),VLOOKUP("other",bug_conf_sheet!$A:$H,6,FALSE))</f>
        <v>0</v>
      </c>
      <c r="R292" s="37">
        <f>IFERROR(VLOOKUP($F292,bug_conf_sheet!$A:$H,7,FALSE),VLOOKUP("other",bug_conf_sheet!$A:$H,7,FALSE))</f>
        <v>0</v>
      </c>
      <c r="S292" s="37">
        <f>IFERROR(VLOOKUP($F292,bug_conf_sheet!$A:$H,8,FALSE),VLOOKUP("other",bug_conf_sheet!$A:$H,8,FALSE))</f>
        <v>1</v>
      </c>
    </row>
    <row r="293" spans="1:19" ht="21" customHeight="1">
      <c r="A293" s="7" t="str">
        <f t="shared" si="27"/>
        <v>1940222</v>
      </c>
      <c r="B293" s="2" t="str">
        <f t="shared" si="29"/>
        <v>1940</v>
      </c>
      <c r="C293" s="8" t="str">
        <f t="shared" si="31"/>
        <v>0PremiumN5</v>
      </c>
      <c r="D293" s="8" t="str">
        <f t="shared" si="30"/>
        <v>0PremiumN5</v>
      </c>
      <c r="E293" s="10">
        <v>0</v>
      </c>
      <c r="F293" s="5">
        <v>222</v>
      </c>
      <c r="G293" s="8" t="str">
        <f>VLOOKUP(F293,[1]characters!$A:$C,3,FALSE)</f>
        <v>避光の鉄鎖宰相 ルキフグス</v>
      </c>
      <c r="H293" s="8" t="str">
        <f>VLOOKUP(F293,[1]characters!$A:$J,10,FALSE)</f>
        <v>PremiumN</v>
      </c>
      <c r="I293" s="8">
        <f>VLOOKUP(F293,[1]characters!$A:$I,9,FALSE)</f>
        <v>5</v>
      </c>
      <c r="J293" s="8" t="str">
        <f>VLOOKUP(F293,[1]characters!$A:$H,8,FALSE)</f>
        <v>blue</v>
      </c>
      <c r="K293" s="8" t="str">
        <f>VLOOKUP(F293,[1]characters!$A:$K,11,FALSE)</f>
        <v>balance</v>
      </c>
      <c r="L293" s="8" t="str">
        <f>VLOOKUP(F293,[1]characters!$A:$M,13,FALSE)</f>
        <v>god</v>
      </c>
      <c r="M293" s="16">
        <f>IFERROR(VLOOKUP(F293,gacha_conf!A$50:F$62,5+E293,FALSE),VLOOKUP(D293,gacha_conf!D$18:E$46,2,FALSE))</f>
        <v>394</v>
      </c>
      <c r="N293" s="37">
        <f>IFERROR(VLOOKUP($F293,bug_conf_sheet!$A:$H,3,FALSE),VLOOKUP("other",bug_conf_sheet!$A:$H,3,FALSE))</f>
        <v>1</v>
      </c>
      <c r="O293" s="37">
        <f>IFERROR(VLOOKUP($F293,bug_conf_sheet!$A:$H,4,FALSE),VLOOKUP("other",bug_conf_sheet!$A:$H,4,FALSE))</f>
        <v>0</v>
      </c>
      <c r="P293" s="37">
        <f>IFERROR(VLOOKUP($F293,bug_conf_sheet!$A:$H,5,FALSE),VLOOKUP("other",bug_conf_sheet!$A:$H,5,FALSE))</f>
        <v>0</v>
      </c>
      <c r="Q293" s="37">
        <f>IFERROR(VLOOKUP($F293,bug_conf_sheet!$A:$H,6,FALSE),VLOOKUP("other",bug_conf_sheet!$A:$H,6,FALSE))</f>
        <v>0</v>
      </c>
      <c r="R293" s="37">
        <f>IFERROR(VLOOKUP($F293,bug_conf_sheet!$A:$H,7,FALSE),VLOOKUP("other",bug_conf_sheet!$A:$H,7,FALSE))</f>
        <v>0</v>
      </c>
      <c r="S293" s="37">
        <f>IFERROR(VLOOKUP($F293,bug_conf_sheet!$A:$H,8,FALSE),VLOOKUP("other",bug_conf_sheet!$A:$H,8,FALSE))</f>
        <v>1</v>
      </c>
    </row>
    <row r="294" spans="1:19" ht="21" customHeight="1">
      <c r="A294" s="7" t="str">
        <f t="shared" si="27"/>
        <v>1940224</v>
      </c>
      <c r="B294" s="2" t="str">
        <f t="shared" si="29"/>
        <v>1940</v>
      </c>
      <c r="C294" s="8" t="str">
        <f t="shared" si="31"/>
        <v>0PremiumN4</v>
      </c>
      <c r="D294" s="8" t="str">
        <f t="shared" si="30"/>
        <v>0PremiumN4</v>
      </c>
      <c r="E294" s="10">
        <v>0</v>
      </c>
      <c r="F294" s="5">
        <v>224</v>
      </c>
      <c r="G294" s="8" t="str">
        <f>VLOOKUP(F294,[1]characters!$A:$C,3,FALSE)</f>
        <v>巨腕 ヘラクレス</v>
      </c>
      <c r="H294" s="8" t="str">
        <f>VLOOKUP(F294,[1]characters!$A:$J,10,FALSE)</f>
        <v>PremiumN</v>
      </c>
      <c r="I294" s="8">
        <f>VLOOKUP(F294,[1]characters!$A:$I,9,FALSE)</f>
        <v>4</v>
      </c>
      <c r="J294" s="8" t="str">
        <f>VLOOKUP(F294,[1]characters!$A:$H,8,FALSE)</f>
        <v>yellow</v>
      </c>
      <c r="K294" s="8" t="str">
        <f>VLOOKUP(F294,[1]characters!$A:$K,11,FALSE)</f>
        <v>balance</v>
      </c>
      <c r="L294" s="8" t="str">
        <f>VLOOKUP(F294,[1]characters!$A:$M,13,FALSE)</f>
        <v>human</v>
      </c>
      <c r="M294" s="16">
        <f>IFERROR(VLOOKUP(F294,gacha_conf!A$50:F$62,5+E294,FALSE),VLOOKUP(D294,gacha_conf!D$18:E$46,2,FALSE))</f>
        <v>6166</v>
      </c>
      <c r="N294" s="37">
        <f>IFERROR(VLOOKUP($F294,bug_conf_sheet!$A:$H,3,FALSE),VLOOKUP("other",bug_conf_sheet!$A:$H,3,FALSE))</f>
        <v>1</v>
      </c>
      <c r="O294" s="37">
        <f>IFERROR(VLOOKUP($F294,bug_conf_sheet!$A:$H,4,FALSE),VLOOKUP("other",bug_conf_sheet!$A:$H,4,FALSE))</f>
        <v>0</v>
      </c>
      <c r="P294" s="37">
        <f>IFERROR(VLOOKUP($F294,bug_conf_sheet!$A:$H,5,FALSE),VLOOKUP("other",bug_conf_sheet!$A:$H,5,FALSE))</f>
        <v>0</v>
      </c>
      <c r="Q294" s="37">
        <f>IFERROR(VLOOKUP($F294,bug_conf_sheet!$A:$H,6,FALSE),VLOOKUP("other",bug_conf_sheet!$A:$H,6,FALSE))</f>
        <v>0</v>
      </c>
      <c r="R294" s="37">
        <f>IFERROR(VLOOKUP($F294,bug_conf_sheet!$A:$H,7,FALSE),VLOOKUP("other",bug_conf_sheet!$A:$H,7,FALSE))</f>
        <v>0</v>
      </c>
      <c r="S294" s="37">
        <f>IFERROR(VLOOKUP($F294,bug_conf_sheet!$A:$H,8,FALSE),VLOOKUP("other",bug_conf_sheet!$A:$H,8,FALSE))</f>
        <v>1</v>
      </c>
    </row>
    <row r="295" spans="1:19" ht="21" customHeight="1">
      <c r="A295" s="7" t="str">
        <f t="shared" si="27"/>
        <v>1940225</v>
      </c>
      <c r="B295" s="2" t="str">
        <f t="shared" si="29"/>
        <v>1940</v>
      </c>
      <c r="C295" s="8" t="str">
        <f t="shared" si="31"/>
        <v>0PremiumN5</v>
      </c>
      <c r="D295" s="8" t="str">
        <f t="shared" si="30"/>
        <v>0PremiumN5</v>
      </c>
      <c r="E295" s="10">
        <v>0</v>
      </c>
      <c r="F295" s="5">
        <v>225</v>
      </c>
      <c r="G295" s="8" t="str">
        <f>VLOOKUP(F295,[1]characters!$A:$C,3,FALSE)</f>
        <v>咆哮の巨獅腕 ヘラクレス</v>
      </c>
      <c r="H295" s="8" t="str">
        <f>VLOOKUP(F295,[1]characters!$A:$J,10,FALSE)</f>
        <v>PremiumN</v>
      </c>
      <c r="I295" s="8">
        <f>VLOOKUP(F295,[1]characters!$A:$I,9,FALSE)</f>
        <v>5</v>
      </c>
      <c r="J295" s="8" t="str">
        <f>VLOOKUP(F295,[1]characters!$A:$H,8,FALSE)</f>
        <v>yellow</v>
      </c>
      <c r="K295" s="8" t="str">
        <f>VLOOKUP(F295,[1]characters!$A:$K,11,FALSE)</f>
        <v>balance</v>
      </c>
      <c r="L295" s="8" t="str">
        <f>VLOOKUP(F295,[1]characters!$A:$M,13,FALSE)</f>
        <v>human</v>
      </c>
      <c r="M295" s="16">
        <f>IFERROR(VLOOKUP(F295,gacha_conf!A$50:F$62,5+E295,FALSE),VLOOKUP(D295,gacha_conf!D$18:E$46,2,FALSE))</f>
        <v>394</v>
      </c>
      <c r="N295" s="37">
        <f>IFERROR(VLOOKUP($F295,bug_conf_sheet!$A:$H,3,FALSE),VLOOKUP("other",bug_conf_sheet!$A:$H,3,FALSE))</f>
        <v>1</v>
      </c>
      <c r="O295" s="37">
        <f>IFERROR(VLOOKUP($F295,bug_conf_sheet!$A:$H,4,FALSE),VLOOKUP("other",bug_conf_sheet!$A:$H,4,FALSE))</f>
        <v>0</v>
      </c>
      <c r="P295" s="37">
        <f>IFERROR(VLOOKUP($F295,bug_conf_sheet!$A:$H,5,FALSE),VLOOKUP("other",bug_conf_sheet!$A:$H,5,FALSE))</f>
        <v>0</v>
      </c>
      <c r="Q295" s="37">
        <f>IFERROR(VLOOKUP($F295,bug_conf_sheet!$A:$H,6,FALSE),VLOOKUP("other",bug_conf_sheet!$A:$H,6,FALSE))</f>
        <v>0</v>
      </c>
      <c r="R295" s="37">
        <f>IFERROR(VLOOKUP($F295,bug_conf_sheet!$A:$H,7,FALSE),VLOOKUP("other",bug_conf_sheet!$A:$H,7,FALSE))</f>
        <v>0</v>
      </c>
      <c r="S295" s="37">
        <f>IFERROR(VLOOKUP($F295,bug_conf_sheet!$A:$H,8,FALSE),VLOOKUP("other",bug_conf_sheet!$A:$H,8,FALSE))</f>
        <v>1</v>
      </c>
    </row>
    <row r="296" spans="1:19" ht="21" customHeight="1">
      <c r="A296" s="7" t="str">
        <f t="shared" si="27"/>
        <v>1940227</v>
      </c>
      <c r="B296" s="2" t="str">
        <f t="shared" si="29"/>
        <v>1940</v>
      </c>
      <c r="C296" s="8" t="str">
        <f t="shared" si="31"/>
        <v>0PremiumS4</v>
      </c>
      <c r="D296" s="8" t="str">
        <f t="shared" si="30"/>
        <v>0PremiumS4</v>
      </c>
      <c r="E296" s="10">
        <v>0</v>
      </c>
      <c r="F296" s="5">
        <v>227</v>
      </c>
      <c r="G296" s="8" t="str">
        <f>VLOOKUP(F296,[1]characters!$A:$C,3,FALSE)</f>
        <v>滅弾 アレス</v>
      </c>
      <c r="H296" s="8" t="str">
        <f>VLOOKUP(F296,[1]characters!$A:$J,10,FALSE)</f>
        <v>PremiumS</v>
      </c>
      <c r="I296" s="8">
        <f>VLOOKUP(F296,[1]characters!$A:$I,9,FALSE)</f>
        <v>4</v>
      </c>
      <c r="J296" s="8" t="str">
        <f>VLOOKUP(F296,[1]characters!$A:$H,8,FALSE)</f>
        <v>red</v>
      </c>
      <c r="K296" s="8" t="str">
        <f>VLOOKUP(F296,[1]characters!$A:$K,11,FALSE)</f>
        <v>attack</v>
      </c>
      <c r="L296" s="8" t="str">
        <f>VLOOKUP(F296,[1]characters!$A:$M,13,FALSE)</f>
        <v>god</v>
      </c>
      <c r="M296" s="16">
        <f>IFERROR(VLOOKUP(F296,gacha_conf!A$50:F$62,5+E296,FALSE),VLOOKUP(D296,gacha_conf!D$18:E$46,2,FALSE))</f>
        <v>6166</v>
      </c>
      <c r="N296" s="37">
        <f>IFERROR(VLOOKUP($F296,bug_conf_sheet!$A:$H,3,FALSE),VLOOKUP("other",bug_conf_sheet!$A:$H,3,FALSE))</f>
        <v>1</v>
      </c>
      <c r="O296" s="37">
        <f>IFERROR(VLOOKUP($F296,bug_conf_sheet!$A:$H,4,FALSE),VLOOKUP("other",bug_conf_sheet!$A:$H,4,FALSE))</f>
        <v>0</v>
      </c>
      <c r="P296" s="37">
        <f>IFERROR(VLOOKUP($F296,bug_conf_sheet!$A:$H,5,FALSE),VLOOKUP("other",bug_conf_sheet!$A:$H,5,FALSE))</f>
        <v>0</v>
      </c>
      <c r="Q296" s="37">
        <f>IFERROR(VLOOKUP($F296,bug_conf_sheet!$A:$H,6,FALSE),VLOOKUP("other",bug_conf_sheet!$A:$H,6,FALSE))</f>
        <v>0</v>
      </c>
      <c r="R296" s="37">
        <f>IFERROR(VLOOKUP($F296,bug_conf_sheet!$A:$H,7,FALSE),VLOOKUP("other",bug_conf_sheet!$A:$H,7,FALSE))</f>
        <v>0</v>
      </c>
      <c r="S296" s="37">
        <f>IFERROR(VLOOKUP($F296,bug_conf_sheet!$A:$H,8,FALSE),VLOOKUP("other",bug_conf_sheet!$A:$H,8,FALSE))</f>
        <v>1</v>
      </c>
    </row>
    <row r="297" spans="1:19" ht="21" customHeight="1">
      <c r="A297" s="7" t="str">
        <f t="shared" si="27"/>
        <v>1940228</v>
      </c>
      <c r="B297" s="2" t="str">
        <f t="shared" si="29"/>
        <v>1940</v>
      </c>
      <c r="C297" s="8" t="str">
        <f t="shared" si="31"/>
        <v>0PremiumS5</v>
      </c>
      <c r="D297" s="8" t="str">
        <f t="shared" si="30"/>
        <v>0PremiumS5</v>
      </c>
      <c r="E297" s="10">
        <v>0</v>
      </c>
      <c r="F297" s="5">
        <v>228</v>
      </c>
      <c r="G297" s="8" t="str">
        <f>VLOOKUP(F297,[1]characters!$A:$C,3,FALSE)</f>
        <v>殲滅の掃射砲 アレス</v>
      </c>
      <c r="H297" s="8" t="str">
        <f>VLOOKUP(F297,[1]characters!$A:$J,10,FALSE)</f>
        <v>PremiumS</v>
      </c>
      <c r="I297" s="8">
        <f>VLOOKUP(F297,[1]characters!$A:$I,9,FALSE)</f>
        <v>5</v>
      </c>
      <c r="J297" s="8" t="str">
        <f>VLOOKUP(F297,[1]characters!$A:$H,8,FALSE)</f>
        <v>red</v>
      </c>
      <c r="K297" s="8" t="str">
        <f>VLOOKUP(F297,[1]characters!$A:$K,11,FALSE)</f>
        <v>attack</v>
      </c>
      <c r="L297" s="8" t="str">
        <f>VLOOKUP(F297,[1]characters!$A:$M,13,FALSE)</f>
        <v>god</v>
      </c>
      <c r="M297" s="16">
        <f>IFERROR(VLOOKUP(F297,gacha_conf!A$50:F$62,5+E297,FALSE),VLOOKUP(D297,gacha_conf!D$18:E$46,2,FALSE))</f>
        <v>394</v>
      </c>
      <c r="N297" s="37">
        <f>IFERROR(VLOOKUP($F297,bug_conf_sheet!$A:$H,3,FALSE),VLOOKUP("other",bug_conf_sheet!$A:$H,3,FALSE))</f>
        <v>1</v>
      </c>
      <c r="O297" s="37">
        <f>IFERROR(VLOOKUP($F297,bug_conf_sheet!$A:$H,4,FALSE),VLOOKUP("other",bug_conf_sheet!$A:$H,4,FALSE))</f>
        <v>0</v>
      </c>
      <c r="P297" s="37">
        <f>IFERROR(VLOOKUP($F297,bug_conf_sheet!$A:$H,5,FALSE),VLOOKUP("other",bug_conf_sheet!$A:$H,5,FALSE))</f>
        <v>0</v>
      </c>
      <c r="Q297" s="37">
        <f>IFERROR(VLOOKUP($F297,bug_conf_sheet!$A:$H,6,FALSE),VLOOKUP("other",bug_conf_sheet!$A:$H,6,FALSE))</f>
        <v>0</v>
      </c>
      <c r="R297" s="37">
        <f>IFERROR(VLOOKUP($F297,bug_conf_sheet!$A:$H,7,FALSE),VLOOKUP("other",bug_conf_sheet!$A:$H,7,FALSE))</f>
        <v>0</v>
      </c>
      <c r="S297" s="37">
        <f>IFERROR(VLOOKUP($F297,bug_conf_sheet!$A:$H,8,FALSE),VLOOKUP("other",bug_conf_sheet!$A:$H,8,FALSE))</f>
        <v>1</v>
      </c>
    </row>
    <row r="298" spans="1:19" ht="21" customHeight="1">
      <c r="A298" s="7" t="str">
        <f t="shared" si="27"/>
        <v>1940230</v>
      </c>
      <c r="B298" s="2" t="str">
        <f t="shared" si="29"/>
        <v>1940</v>
      </c>
      <c r="C298" s="8" t="str">
        <f t="shared" si="31"/>
        <v>0PremiumS4</v>
      </c>
      <c r="D298" s="8" t="str">
        <f t="shared" si="30"/>
        <v>0PremiumS4</v>
      </c>
      <c r="E298" s="10">
        <v>0</v>
      </c>
      <c r="F298" s="5">
        <v>230</v>
      </c>
      <c r="G298" s="8" t="str">
        <f>VLOOKUP(F298,[1]characters!$A:$C,3,FALSE)</f>
        <v>毒銃 ヨルムンガンド</v>
      </c>
      <c r="H298" s="8" t="str">
        <f>VLOOKUP(F298,[1]characters!$A:$J,10,FALSE)</f>
        <v>PremiumS</v>
      </c>
      <c r="I298" s="8">
        <f>VLOOKUP(F298,[1]characters!$A:$I,9,FALSE)</f>
        <v>4</v>
      </c>
      <c r="J298" s="8" t="str">
        <f>VLOOKUP(F298,[1]characters!$A:$H,8,FALSE)</f>
        <v>green</v>
      </c>
      <c r="K298" s="8" t="str">
        <f>VLOOKUP(F298,[1]characters!$A:$K,11,FALSE)</f>
        <v>technical</v>
      </c>
      <c r="L298" s="8" t="str">
        <f>VLOOKUP(F298,[1]characters!$A:$M,13,FALSE)</f>
        <v>dragon</v>
      </c>
      <c r="M298" s="16">
        <f>IFERROR(VLOOKUP(F298,gacha_conf!A$50:F$62,5+E298,FALSE),VLOOKUP(D298,gacha_conf!D$18:E$46,2,FALSE))</f>
        <v>6166</v>
      </c>
      <c r="N298" s="37">
        <f>IFERROR(VLOOKUP($F298,bug_conf_sheet!$A:$H,3,FALSE),VLOOKUP("other",bug_conf_sheet!$A:$H,3,FALSE))</f>
        <v>1</v>
      </c>
      <c r="O298" s="37">
        <f>IFERROR(VLOOKUP($F298,bug_conf_sheet!$A:$H,4,FALSE),VLOOKUP("other",bug_conf_sheet!$A:$H,4,FALSE))</f>
        <v>0</v>
      </c>
      <c r="P298" s="37">
        <f>IFERROR(VLOOKUP($F298,bug_conf_sheet!$A:$H,5,FALSE),VLOOKUP("other",bug_conf_sheet!$A:$H,5,FALSE))</f>
        <v>0</v>
      </c>
      <c r="Q298" s="37">
        <f>IFERROR(VLOOKUP($F298,bug_conf_sheet!$A:$H,6,FALSE),VLOOKUP("other",bug_conf_sheet!$A:$H,6,FALSE))</f>
        <v>0</v>
      </c>
      <c r="R298" s="37">
        <f>IFERROR(VLOOKUP($F298,bug_conf_sheet!$A:$H,7,FALSE),VLOOKUP("other",bug_conf_sheet!$A:$H,7,FALSE))</f>
        <v>0</v>
      </c>
      <c r="S298" s="37">
        <f>IFERROR(VLOOKUP($F298,bug_conf_sheet!$A:$H,8,FALSE),VLOOKUP("other",bug_conf_sheet!$A:$H,8,FALSE))</f>
        <v>1</v>
      </c>
    </row>
    <row r="299" spans="1:19" ht="21" customHeight="1">
      <c r="A299" s="7" t="str">
        <f t="shared" ref="A299:A362" si="32">B299&amp;F299</f>
        <v>1940231</v>
      </c>
      <c r="B299" s="2" t="str">
        <f t="shared" si="29"/>
        <v>1940</v>
      </c>
      <c r="C299" s="8" t="str">
        <f t="shared" si="31"/>
        <v>0PremiumS5</v>
      </c>
      <c r="D299" s="8" t="str">
        <f t="shared" si="30"/>
        <v>0PremiumS5</v>
      </c>
      <c r="E299" s="10">
        <v>0</v>
      </c>
      <c r="F299" s="5">
        <v>231</v>
      </c>
      <c r="G299" s="8" t="str">
        <f>VLOOKUP(F299,[1]characters!$A:$C,3,FALSE)</f>
        <v>必中の咬銃 ヨルムンガンド</v>
      </c>
      <c r="H299" s="8" t="str">
        <f>VLOOKUP(F299,[1]characters!$A:$J,10,FALSE)</f>
        <v>PremiumS</v>
      </c>
      <c r="I299" s="8">
        <f>VLOOKUP(F299,[1]characters!$A:$I,9,FALSE)</f>
        <v>5</v>
      </c>
      <c r="J299" s="8" t="str">
        <f>VLOOKUP(F299,[1]characters!$A:$H,8,FALSE)</f>
        <v>green</v>
      </c>
      <c r="K299" s="8" t="str">
        <f>VLOOKUP(F299,[1]characters!$A:$K,11,FALSE)</f>
        <v>technical</v>
      </c>
      <c r="L299" s="8" t="str">
        <f>VLOOKUP(F299,[1]characters!$A:$M,13,FALSE)</f>
        <v>dragon</v>
      </c>
      <c r="M299" s="16">
        <f>IFERROR(VLOOKUP(F299,gacha_conf!A$50:F$62,5+E299,FALSE),VLOOKUP(D299,gacha_conf!D$18:E$46,2,FALSE))</f>
        <v>394</v>
      </c>
      <c r="N299" s="37">
        <f>IFERROR(VLOOKUP($F299,bug_conf_sheet!$A:$H,3,FALSE),VLOOKUP("other",bug_conf_sheet!$A:$H,3,FALSE))</f>
        <v>1</v>
      </c>
      <c r="O299" s="37">
        <f>IFERROR(VLOOKUP($F299,bug_conf_sheet!$A:$H,4,FALSE),VLOOKUP("other",bug_conf_sheet!$A:$H,4,FALSE))</f>
        <v>0</v>
      </c>
      <c r="P299" s="37">
        <f>IFERROR(VLOOKUP($F299,bug_conf_sheet!$A:$H,5,FALSE),VLOOKUP("other",bug_conf_sheet!$A:$H,5,FALSE))</f>
        <v>0</v>
      </c>
      <c r="Q299" s="37">
        <f>IFERROR(VLOOKUP($F299,bug_conf_sheet!$A:$H,6,FALSE),VLOOKUP("other",bug_conf_sheet!$A:$H,6,FALSE))</f>
        <v>0</v>
      </c>
      <c r="R299" s="37">
        <f>IFERROR(VLOOKUP($F299,bug_conf_sheet!$A:$H,7,FALSE),VLOOKUP("other",bug_conf_sheet!$A:$H,7,FALSE))</f>
        <v>0</v>
      </c>
      <c r="S299" s="37">
        <f>IFERROR(VLOOKUP($F299,bug_conf_sheet!$A:$H,8,FALSE),VLOOKUP("other",bug_conf_sheet!$A:$H,8,FALSE))</f>
        <v>1</v>
      </c>
    </row>
    <row r="300" spans="1:19" ht="21" customHeight="1">
      <c r="A300" s="7" t="str">
        <f t="shared" si="32"/>
        <v>1940233</v>
      </c>
      <c r="B300" s="2" t="str">
        <f t="shared" si="29"/>
        <v>1940</v>
      </c>
      <c r="C300" s="8" t="str">
        <f t="shared" si="31"/>
        <v>0PremiumS4</v>
      </c>
      <c r="D300" s="8" t="str">
        <f t="shared" si="30"/>
        <v>0PremiumS4</v>
      </c>
      <c r="E300" s="10">
        <v>0</v>
      </c>
      <c r="F300" s="5">
        <v>233</v>
      </c>
      <c r="G300" s="8" t="str">
        <f>VLOOKUP(F300,[1]characters!$A:$C,3,FALSE)</f>
        <v>遂行 パーシヴァル</v>
      </c>
      <c r="H300" s="8" t="str">
        <f>VLOOKUP(F300,[1]characters!$A:$J,10,FALSE)</f>
        <v>PremiumS</v>
      </c>
      <c r="I300" s="8">
        <f>VLOOKUP(F300,[1]characters!$A:$I,9,FALSE)</f>
        <v>4</v>
      </c>
      <c r="J300" s="8" t="str">
        <f>VLOOKUP(F300,[1]characters!$A:$H,8,FALSE)</f>
        <v>blue</v>
      </c>
      <c r="K300" s="8" t="str">
        <f>VLOOKUP(F300,[1]characters!$A:$K,11,FALSE)</f>
        <v>technical</v>
      </c>
      <c r="L300" s="8" t="str">
        <f>VLOOKUP(F300,[1]characters!$A:$M,13,FALSE)</f>
        <v>human</v>
      </c>
      <c r="M300" s="16">
        <f>IFERROR(VLOOKUP(F300,gacha_conf!A$50:F$62,5+E300,FALSE),VLOOKUP(D300,gacha_conf!D$18:E$46,2,FALSE))</f>
        <v>6166</v>
      </c>
      <c r="N300" s="37">
        <f>IFERROR(VLOOKUP($F300,bug_conf_sheet!$A:$H,3,FALSE),VLOOKUP("other",bug_conf_sheet!$A:$H,3,FALSE))</f>
        <v>1</v>
      </c>
      <c r="O300" s="37">
        <f>IFERROR(VLOOKUP($F300,bug_conf_sheet!$A:$H,4,FALSE),VLOOKUP("other",bug_conf_sheet!$A:$H,4,FALSE))</f>
        <v>0</v>
      </c>
      <c r="P300" s="37">
        <f>IFERROR(VLOOKUP($F300,bug_conf_sheet!$A:$H,5,FALSE),VLOOKUP("other",bug_conf_sheet!$A:$H,5,FALSE))</f>
        <v>0</v>
      </c>
      <c r="Q300" s="37">
        <f>IFERROR(VLOOKUP($F300,bug_conf_sheet!$A:$H,6,FALSE),VLOOKUP("other",bug_conf_sheet!$A:$H,6,FALSE))</f>
        <v>0</v>
      </c>
      <c r="R300" s="37">
        <f>IFERROR(VLOOKUP($F300,bug_conf_sheet!$A:$H,7,FALSE),VLOOKUP("other",bug_conf_sheet!$A:$H,7,FALSE))</f>
        <v>0</v>
      </c>
      <c r="S300" s="37">
        <f>IFERROR(VLOOKUP($F300,bug_conf_sheet!$A:$H,8,FALSE),VLOOKUP("other",bug_conf_sheet!$A:$H,8,FALSE))</f>
        <v>1</v>
      </c>
    </row>
    <row r="301" spans="1:19" ht="21" customHeight="1">
      <c r="A301" s="7" t="str">
        <f t="shared" si="32"/>
        <v>1940234</v>
      </c>
      <c r="B301" s="2" t="str">
        <f t="shared" si="29"/>
        <v>1940</v>
      </c>
      <c r="C301" s="8" t="str">
        <f t="shared" si="31"/>
        <v>0PremiumS5</v>
      </c>
      <c r="D301" s="8" t="str">
        <f t="shared" si="30"/>
        <v>0PremiumS5</v>
      </c>
      <c r="E301" s="10">
        <v>0</v>
      </c>
      <c r="F301" s="5">
        <v>234</v>
      </c>
      <c r="G301" s="8" t="str">
        <f>VLOOKUP(F301,[1]characters!$A:$C,3,FALSE)</f>
        <v>精密なる照準 パーシヴァル</v>
      </c>
      <c r="H301" s="8" t="str">
        <f>VLOOKUP(F301,[1]characters!$A:$J,10,FALSE)</f>
        <v>PremiumS</v>
      </c>
      <c r="I301" s="8">
        <f>VLOOKUP(F301,[1]characters!$A:$I,9,FALSE)</f>
        <v>5</v>
      </c>
      <c r="J301" s="8" t="str">
        <f>VLOOKUP(F301,[1]characters!$A:$H,8,FALSE)</f>
        <v>blue</v>
      </c>
      <c r="K301" s="8" t="str">
        <f>VLOOKUP(F301,[1]characters!$A:$K,11,FALSE)</f>
        <v>technical</v>
      </c>
      <c r="L301" s="8" t="str">
        <f>VLOOKUP(F301,[1]characters!$A:$M,13,FALSE)</f>
        <v>human</v>
      </c>
      <c r="M301" s="16">
        <f>IFERROR(VLOOKUP(F301,gacha_conf!A$50:F$62,5+E301,FALSE),VLOOKUP(D301,gacha_conf!D$18:E$46,2,FALSE))</f>
        <v>394</v>
      </c>
      <c r="N301" s="37">
        <f>IFERROR(VLOOKUP($F301,bug_conf_sheet!$A:$H,3,FALSE),VLOOKUP("other",bug_conf_sheet!$A:$H,3,FALSE))</f>
        <v>1</v>
      </c>
      <c r="O301" s="37">
        <f>IFERROR(VLOOKUP($F301,bug_conf_sheet!$A:$H,4,FALSE),VLOOKUP("other",bug_conf_sheet!$A:$H,4,FALSE))</f>
        <v>0</v>
      </c>
      <c r="P301" s="37">
        <f>IFERROR(VLOOKUP($F301,bug_conf_sheet!$A:$H,5,FALSE),VLOOKUP("other",bug_conf_sheet!$A:$H,5,FALSE))</f>
        <v>0</v>
      </c>
      <c r="Q301" s="37">
        <f>IFERROR(VLOOKUP($F301,bug_conf_sheet!$A:$H,6,FALSE),VLOOKUP("other",bug_conf_sheet!$A:$H,6,FALSE))</f>
        <v>0</v>
      </c>
      <c r="R301" s="37">
        <f>IFERROR(VLOOKUP($F301,bug_conf_sheet!$A:$H,7,FALSE),VLOOKUP("other",bug_conf_sheet!$A:$H,7,FALSE))</f>
        <v>0</v>
      </c>
      <c r="S301" s="37">
        <f>IFERROR(VLOOKUP($F301,bug_conf_sheet!$A:$H,8,FALSE),VLOOKUP("other",bug_conf_sheet!$A:$H,8,FALSE))</f>
        <v>1</v>
      </c>
    </row>
    <row r="302" spans="1:19" ht="21" customHeight="1">
      <c r="A302" s="7" t="str">
        <f t="shared" si="32"/>
        <v>1940236</v>
      </c>
      <c r="B302" s="2" t="str">
        <f t="shared" si="29"/>
        <v>1940</v>
      </c>
      <c r="C302" s="8" t="str">
        <f t="shared" si="31"/>
        <v>0PremiumS4</v>
      </c>
      <c r="D302" s="8" t="str">
        <f t="shared" si="30"/>
        <v>0PremiumS4</v>
      </c>
      <c r="E302" s="10">
        <v>0</v>
      </c>
      <c r="F302" s="5">
        <v>236</v>
      </c>
      <c r="G302" s="8" t="str">
        <f>VLOOKUP(F302,[1]characters!$A:$C,3,FALSE)</f>
        <v>神産 イザナミ</v>
      </c>
      <c r="H302" s="8" t="str">
        <f>VLOOKUP(F302,[1]characters!$A:$J,10,FALSE)</f>
        <v>PremiumS</v>
      </c>
      <c r="I302" s="8">
        <f>VLOOKUP(F302,[1]characters!$A:$I,9,FALSE)</f>
        <v>4</v>
      </c>
      <c r="J302" s="8" t="str">
        <f>VLOOKUP(F302,[1]characters!$A:$H,8,FALSE)</f>
        <v>yellow</v>
      </c>
      <c r="K302" s="8" t="str">
        <f>VLOOKUP(F302,[1]characters!$A:$K,11,FALSE)</f>
        <v>attack</v>
      </c>
      <c r="L302" s="8" t="str">
        <f>VLOOKUP(F302,[1]characters!$A:$M,13,FALSE)</f>
        <v>god</v>
      </c>
      <c r="M302" s="16">
        <f>IFERROR(VLOOKUP(F302,gacha_conf!A$50:F$62,5+E302,FALSE),VLOOKUP(D302,gacha_conf!D$18:E$46,2,FALSE))</f>
        <v>6166</v>
      </c>
      <c r="N302" s="37">
        <f>IFERROR(VLOOKUP($F302,bug_conf_sheet!$A:$H,3,FALSE),VLOOKUP("other",bug_conf_sheet!$A:$H,3,FALSE))</f>
        <v>1</v>
      </c>
      <c r="O302" s="37">
        <f>IFERROR(VLOOKUP($F302,bug_conf_sheet!$A:$H,4,FALSE),VLOOKUP("other",bug_conf_sheet!$A:$H,4,FALSE))</f>
        <v>0</v>
      </c>
      <c r="P302" s="37">
        <f>IFERROR(VLOOKUP($F302,bug_conf_sheet!$A:$H,5,FALSE),VLOOKUP("other",bug_conf_sheet!$A:$H,5,FALSE))</f>
        <v>0</v>
      </c>
      <c r="Q302" s="37">
        <f>IFERROR(VLOOKUP($F302,bug_conf_sheet!$A:$H,6,FALSE),VLOOKUP("other",bug_conf_sheet!$A:$H,6,FALSE))</f>
        <v>0</v>
      </c>
      <c r="R302" s="37">
        <f>IFERROR(VLOOKUP($F302,bug_conf_sheet!$A:$H,7,FALSE),VLOOKUP("other",bug_conf_sheet!$A:$H,7,FALSE))</f>
        <v>0</v>
      </c>
      <c r="S302" s="37">
        <f>IFERROR(VLOOKUP($F302,bug_conf_sheet!$A:$H,8,FALSE),VLOOKUP("other",bug_conf_sheet!$A:$H,8,FALSE))</f>
        <v>1</v>
      </c>
    </row>
    <row r="303" spans="1:19" ht="21" customHeight="1">
      <c r="A303" s="7" t="str">
        <f t="shared" si="32"/>
        <v>1940237</v>
      </c>
      <c r="B303" s="2" t="str">
        <f t="shared" si="29"/>
        <v>1940</v>
      </c>
      <c r="C303" s="8" t="str">
        <f t="shared" si="31"/>
        <v>0PremiumS5</v>
      </c>
      <c r="D303" s="8" t="str">
        <f t="shared" si="30"/>
        <v>0PremiumS5</v>
      </c>
      <c r="E303" s="10">
        <v>0</v>
      </c>
      <c r="F303" s="5">
        <v>237</v>
      </c>
      <c r="G303" s="8" t="str">
        <f>VLOOKUP(F303,[1]characters!$A:$C,3,FALSE)</f>
        <v>森羅万象の神母 イザナミ</v>
      </c>
      <c r="H303" s="8" t="str">
        <f>VLOOKUP(F303,[1]characters!$A:$J,10,FALSE)</f>
        <v>PremiumS</v>
      </c>
      <c r="I303" s="8">
        <f>VLOOKUP(F303,[1]characters!$A:$I,9,FALSE)</f>
        <v>5</v>
      </c>
      <c r="J303" s="8" t="str">
        <f>VLOOKUP(F303,[1]characters!$A:$H,8,FALSE)</f>
        <v>yellow</v>
      </c>
      <c r="K303" s="8" t="str">
        <f>VLOOKUP(F303,[1]characters!$A:$K,11,FALSE)</f>
        <v>attack</v>
      </c>
      <c r="L303" s="8" t="str">
        <f>VLOOKUP(F303,[1]characters!$A:$M,13,FALSE)</f>
        <v>god</v>
      </c>
      <c r="M303" s="16">
        <f>IFERROR(VLOOKUP(F303,gacha_conf!A$50:F$62,5+E303,FALSE),VLOOKUP(D303,gacha_conf!D$18:E$46,2,FALSE))</f>
        <v>394</v>
      </c>
      <c r="N303" s="37">
        <f>IFERROR(VLOOKUP($F303,bug_conf_sheet!$A:$H,3,FALSE),VLOOKUP("other",bug_conf_sheet!$A:$H,3,FALSE))</f>
        <v>1</v>
      </c>
      <c r="O303" s="37">
        <f>IFERROR(VLOOKUP($F303,bug_conf_sheet!$A:$H,4,FALSE),VLOOKUP("other",bug_conf_sheet!$A:$H,4,FALSE))</f>
        <v>0</v>
      </c>
      <c r="P303" s="37">
        <f>IFERROR(VLOOKUP($F303,bug_conf_sheet!$A:$H,5,FALSE),VLOOKUP("other",bug_conf_sheet!$A:$H,5,FALSE))</f>
        <v>0</v>
      </c>
      <c r="Q303" s="37">
        <f>IFERROR(VLOOKUP($F303,bug_conf_sheet!$A:$H,6,FALSE),VLOOKUP("other",bug_conf_sheet!$A:$H,6,FALSE))</f>
        <v>0</v>
      </c>
      <c r="R303" s="37">
        <f>IFERROR(VLOOKUP($F303,bug_conf_sheet!$A:$H,7,FALSE),VLOOKUP("other",bug_conf_sheet!$A:$H,7,FALSE))</f>
        <v>0</v>
      </c>
      <c r="S303" s="37">
        <f>IFERROR(VLOOKUP($F303,bug_conf_sheet!$A:$H,8,FALSE),VLOOKUP("other",bug_conf_sheet!$A:$H,8,FALSE))</f>
        <v>1</v>
      </c>
    </row>
    <row r="304" spans="1:19" ht="21" customHeight="1">
      <c r="A304" s="7" t="str">
        <f t="shared" si="32"/>
        <v>1940239</v>
      </c>
      <c r="B304" s="2" t="str">
        <f t="shared" si="29"/>
        <v>1940</v>
      </c>
      <c r="C304" s="8" t="str">
        <f t="shared" si="31"/>
        <v>0PremiumS4</v>
      </c>
      <c r="D304" s="8" t="str">
        <f t="shared" si="30"/>
        <v>0PremiumS4</v>
      </c>
      <c r="E304" s="10">
        <v>0</v>
      </c>
      <c r="F304" s="5">
        <v>239</v>
      </c>
      <c r="G304" s="8" t="str">
        <f>VLOOKUP(F304,[1]characters!$A:$C,3,FALSE)</f>
        <v>豪炎の天使 ウリエル</v>
      </c>
      <c r="H304" s="8" t="str">
        <f>VLOOKUP(F304,[1]characters!$A:$J,10,FALSE)</f>
        <v>PremiumS</v>
      </c>
      <c r="I304" s="8">
        <f>VLOOKUP(F304,[1]characters!$A:$I,9,FALSE)</f>
        <v>4</v>
      </c>
      <c r="J304" s="8" t="str">
        <f>VLOOKUP(F304,[1]characters!$A:$H,8,FALSE)</f>
        <v>red</v>
      </c>
      <c r="K304" s="8" t="str">
        <f>VLOOKUP(F304,[1]characters!$A:$K,11,FALSE)</f>
        <v>hp</v>
      </c>
      <c r="L304" s="8" t="str">
        <f>VLOOKUP(F304,[1]characters!$A:$M,13,FALSE)</f>
        <v>machine</v>
      </c>
      <c r="M304" s="16">
        <f>IFERROR(VLOOKUP(F304,gacha_conf!A$50:F$62,5+E304,FALSE),VLOOKUP(D304,gacha_conf!D$18:E$46,2,FALSE))</f>
        <v>6166</v>
      </c>
      <c r="N304" s="37">
        <f>IFERROR(VLOOKUP($F304,bug_conf_sheet!$A:$H,3,FALSE),VLOOKUP("other",bug_conf_sheet!$A:$H,3,FALSE))</f>
        <v>1</v>
      </c>
      <c r="O304" s="37">
        <f>IFERROR(VLOOKUP($F304,bug_conf_sheet!$A:$H,4,FALSE),VLOOKUP("other",bug_conf_sheet!$A:$H,4,FALSE))</f>
        <v>0</v>
      </c>
      <c r="P304" s="37">
        <f>IFERROR(VLOOKUP($F304,bug_conf_sheet!$A:$H,5,FALSE),VLOOKUP("other",bug_conf_sheet!$A:$H,5,FALSE))</f>
        <v>0</v>
      </c>
      <c r="Q304" s="37">
        <f>IFERROR(VLOOKUP($F304,bug_conf_sheet!$A:$H,6,FALSE),VLOOKUP("other",bug_conf_sheet!$A:$H,6,FALSE))</f>
        <v>0</v>
      </c>
      <c r="R304" s="37">
        <f>IFERROR(VLOOKUP($F304,bug_conf_sheet!$A:$H,7,FALSE),VLOOKUP("other",bug_conf_sheet!$A:$H,7,FALSE))</f>
        <v>0</v>
      </c>
      <c r="S304" s="37">
        <f>IFERROR(VLOOKUP($F304,bug_conf_sheet!$A:$H,8,FALSE),VLOOKUP("other",bug_conf_sheet!$A:$H,8,FALSE))</f>
        <v>1</v>
      </c>
    </row>
    <row r="305" spans="1:19" ht="21" customHeight="1">
      <c r="A305" s="7" t="str">
        <f t="shared" si="32"/>
        <v>1940240</v>
      </c>
      <c r="B305" s="2" t="str">
        <f t="shared" si="29"/>
        <v>1940</v>
      </c>
      <c r="C305" s="8" t="str">
        <f t="shared" si="31"/>
        <v>0PremiumS5</v>
      </c>
      <c r="D305" s="8" t="str">
        <f t="shared" si="30"/>
        <v>0PremiumS5</v>
      </c>
      <c r="E305" s="10">
        <v>0</v>
      </c>
      <c r="F305" s="5">
        <v>240</v>
      </c>
      <c r="G305" s="8" t="str">
        <f>VLOOKUP(F305,[1]characters!$A:$C,3,FALSE)</f>
        <v>轟炎の天使 ウリエル・スレイヤー</v>
      </c>
      <c r="H305" s="8" t="str">
        <f>VLOOKUP(F305,[1]characters!$A:$J,10,FALSE)</f>
        <v>PremiumS</v>
      </c>
      <c r="I305" s="8">
        <f>VLOOKUP(F305,[1]characters!$A:$I,9,FALSE)</f>
        <v>5</v>
      </c>
      <c r="J305" s="8" t="str">
        <f>VLOOKUP(F305,[1]characters!$A:$H,8,FALSE)</f>
        <v>red</v>
      </c>
      <c r="K305" s="8" t="str">
        <f>VLOOKUP(F305,[1]characters!$A:$K,11,FALSE)</f>
        <v>hp</v>
      </c>
      <c r="L305" s="8" t="str">
        <f>VLOOKUP(F305,[1]characters!$A:$M,13,FALSE)</f>
        <v>machine</v>
      </c>
      <c r="M305" s="16">
        <f>IFERROR(VLOOKUP(F305,gacha_conf!A$50:F$62,5+E305,FALSE),VLOOKUP(D305,gacha_conf!D$18:E$46,2,FALSE))</f>
        <v>394</v>
      </c>
      <c r="N305" s="37">
        <f>IFERROR(VLOOKUP($F305,bug_conf_sheet!$A:$H,3,FALSE),VLOOKUP("other",bug_conf_sheet!$A:$H,3,FALSE))</f>
        <v>1</v>
      </c>
      <c r="O305" s="37">
        <f>IFERROR(VLOOKUP($F305,bug_conf_sheet!$A:$H,4,FALSE),VLOOKUP("other",bug_conf_sheet!$A:$H,4,FALSE))</f>
        <v>0</v>
      </c>
      <c r="P305" s="37">
        <f>IFERROR(VLOOKUP($F305,bug_conf_sheet!$A:$H,5,FALSE),VLOOKUP("other",bug_conf_sheet!$A:$H,5,FALSE))</f>
        <v>0</v>
      </c>
      <c r="Q305" s="37">
        <f>IFERROR(VLOOKUP($F305,bug_conf_sheet!$A:$H,6,FALSE),VLOOKUP("other",bug_conf_sheet!$A:$H,6,FALSE))</f>
        <v>0</v>
      </c>
      <c r="R305" s="37">
        <f>IFERROR(VLOOKUP($F305,bug_conf_sheet!$A:$H,7,FALSE),VLOOKUP("other",bug_conf_sheet!$A:$H,7,FALSE))</f>
        <v>0</v>
      </c>
      <c r="S305" s="37">
        <f>IFERROR(VLOOKUP($F305,bug_conf_sheet!$A:$H,8,FALSE),VLOOKUP("other",bug_conf_sheet!$A:$H,8,FALSE))</f>
        <v>1</v>
      </c>
    </row>
    <row r="306" spans="1:19" ht="21" customHeight="1">
      <c r="A306" s="7" t="str">
        <f t="shared" si="32"/>
        <v>1940242</v>
      </c>
      <c r="B306" s="2" t="str">
        <f t="shared" si="29"/>
        <v>1940</v>
      </c>
      <c r="C306" s="8" t="str">
        <f t="shared" si="31"/>
        <v>0PremiumS4</v>
      </c>
      <c r="D306" s="8" t="str">
        <f t="shared" si="30"/>
        <v>0PremiumS4</v>
      </c>
      <c r="E306" s="10">
        <v>0</v>
      </c>
      <c r="F306" s="5">
        <v>242</v>
      </c>
      <c r="G306" s="8" t="str">
        <f>VLOOKUP(F306,[1]characters!$A:$C,3,FALSE)</f>
        <v>百花の天使 ガブリエル</v>
      </c>
      <c r="H306" s="8" t="str">
        <f>VLOOKUP(F306,[1]characters!$A:$J,10,FALSE)</f>
        <v>PremiumS</v>
      </c>
      <c r="I306" s="8">
        <f>VLOOKUP(F306,[1]characters!$A:$I,9,FALSE)</f>
        <v>4</v>
      </c>
      <c r="J306" s="8" t="str">
        <f>VLOOKUP(F306,[1]characters!$A:$H,8,FALSE)</f>
        <v>green</v>
      </c>
      <c r="K306" s="8" t="str">
        <f>VLOOKUP(F306,[1]characters!$A:$K,11,FALSE)</f>
        <v>balance</v>
      </c>
      <c r="L306" s="8" t="str">
        <f>VLOOKUP(F306,[1]characters!$A:$M,13,FALSE)</f>
        <v>machine</v>
      </c>
      <c r="M306" s="16">
        <f>IFERROR(VLOOKUP(F306,gacha_conf!A$50:F$62,5+E306,FALSE),VLOOKUP(D306,gacha_conf!D$18:E$46,2,FALSE))</f>
        <v>6166</v>
      </c>
      <c r="N306" s="37">
        <f>IFERROR(VLOOKUP($F306,bug_conf_sheet!$A:$H,3,FALSE),VLOOKUP("other",bug_conf_sheet!$A:$H,3,FALSE))</f>
        <v>1</v>
      </c>
      <c r="O306" s="37">
        <f>IFERROR(VLOOKUP($F306,bug_conf_sheet!$A:$H,4,FALSE),VLOOKUP("other",bug_conf_sheet!$A:$H,4,FALSE))</f>
        <v>0</v>
      </c>
      <c r="P306" s="37">
        <f>IFERROR(VLOOKUP($F306,bug_conf_sheet!$A:$H,5,FALSE),VLOOKUP("other",bug_conf_sheet!$A:$H,5,FALSE))</f>
        <v>0</v>
      </c>
      <c r="Q306" s="37">
        <f>IFERROR(VLOOKUP($F306,bug_conf_sheet!$A:$H,6,FALSE),VLOOKUP("other",bug_conf_sheet!$A:$H,6,FALSE))</f>
        <v>0</v>
      </c>
      <c r="R306" s="37">
        <f>IFERROR(VLOOKUP($F306,bug_conf_sheet!$A:$H,7,FALSE),VLOOKUP("other",bug_conf_sheet!$A:$H,7,FALSE))</f>
        <v>0</v>
      </c>
      <c r="S306" s="37">
        <f>IFERROR(VLOOKUP($F306,bug_conf_sheet!$A:$H,8,FALSE),VLOOKUP("other",bug_conf_sheet!$A:$H,8,FALSE))</f>
        <v>1</v>
      </c>
    </row>
    <row r="307" spans="1:19" ht="21" customHeight="1">
      <c r="A307" s="7" t="str">
        <f t="shared" si="32"/>
        <v>1940243</v>
      </c>
      <c r="B307" s="2" t="str">
        <f t="shared" si="29"/>
        <v>1940</v>
      </c>
      <c r="C307" s="8" t="str">
        <f t="shared" si="31"/>
        <v>0PremiumS5</v>
      </c>
      <c r="D307" s="8" t="str">
        <f t="shared" si="30"/>
        <v>0PremiumS5</v>
      </c>
      <c r="E307" s="10">
        <v>0</v>
      </c>
      <c r="F307" s="5">
        <v>243</v>
      </c>
      <c r="G307" s="8" t="str">
        <f>VLOOKUP(F307,[1]characters!$A:$C,3,FALSE)</f>
        <v>万花の天使 ガブリエル・ブルーム</v>
      </c>
      <c r="H307" s="8" t="str">
        <f>VLOOKUP(F307,[1]characters!$A:$J,10,FALSE)</f>
        <v>PremiumS</v>
      </c>
      <c r="I307" s="8">
        <f>VLOOKUP(F307,[1]characters!$A:$I,9,FALSE)</f>
        <v>5</v>
      </c>
      <c r="J307" s="8" t="str">
        <f>VLOOKUP(F307,[1]characters!$A:$H,8,FALSE)</f>
        <v>green</v>
      </c>
      <c r="K307" s="8" t="str">
        <f>VLOOKUP(F307,[1]characters!$A:$K,11,FALSE)</f>
        <v>balance</v>
      </c>
      <c r="L307" s="8" t="str">
        <f>VLOOKUP(F307,[1]characters!$A:$M,13,FALSE)</f>
        <v>machine</v>
      </c>
      <c r="M307" s="16">
        <f>IFERROR(VLOOKUP(F307,gacha_conf!A$50:F$62,5+E307,FALSE),VLOOKUP(D307,gacha_conf!D$18:E$46,2,FALSE))</f>
        <v>394</v>
      </c>
      <c r="N307" s="37">
        <f>IFERROR(VLOOKUP($F307,bug_conf_sheet!$A:$H,3,FALSE),VLOOKUP("other",bug_conf_sheet!$A:$H,3,FALSE))</f>
        <v>1</v>
      </c>
      <c r="O307" s="37">
        <f>IFERROR(VLOOKUP($F307,bug_conf_sheet!$A:$H,4,FALSE),VLOOKUP("other",bug_conf_sheet!$A:$H,4,FALSE))</f>
        <v>0</v>
      </c>
      <c r="P307" s="37">
        <f>IFERROR(VLOOKUP($F307,bug_conf_sheet!$A:$H,5,FALSE),VLOOKUP("other",bug_conf_sheet!$A:$H,5,FALSE))</f>
        <v>0</v>
      </c>
      <c r="Q307" s="37">
        <f>IFERROR(VLOOKUP($F307,bug_conf_sheet!$A:$H,6,FALSE),VLOOKUP("other",bug_conf_sheet!$A:$H,6,FALSE))</f>
        <v>0</v>
      </c>
      <c r="R307" s="37">
        <f>IFERROR(VLOOKUP($F307,bug_conf_sheet!$A:$H,7,FALSE),VLOOKUP("other",bug_conf_sheet!$A:$H,7,FALSE))</f>
        <v>0</v>
      </c>
      <c r="S307" s="37">
        <f>IFERROR(VLOOKUP($F307,bug_conf_sheet!$A:$H,8,FALSE),VLOOKUP("other",bug_conf_sheet!$A:$H,8,FALSE))</f>
        <v>1</v>
      </c>
    </row>
    <row r="308" spans="1:19" ht="21" customHeight="1">
      <c r="A308" s="7" t="str">
        <f t="shared" si="32"/>
        <v>1940245</v>
      </c>
      <c r="B308" s="2" t="str">
        <f t="shared" si="29"/>
        <v>1940</v>
      </c>
      <c r="C308" s="8" t="str">
        <f t="shared" si="31"/>
        <v>0PremiumS4</v>
      </c>
      <c r="D308" s="8" t="str">
        <f t="shared" si="30"/>
        <v>0PremiumS4</v>
      </c>
      <c r="E308" s="10">
        <v>0</v>
      </c>
      <c r="F308" s="5">
        <v>245</v>
      </c>
      <c r="G308" s="8" t="str">
        <f>VLOOKUP(F308,[1]characters!$A:$C,3,FALSE)</f>
        <v>鎮癒の天使 ラファエル</v>
      </c>
      <c r="H308" s="8" t="str">
        <f>VLOOKUP(F308,[1]characters!$A:$J,10,FALSE)</f>
        <v>PremiumS</v>
      </c>
      <c r="I308" s="8">
        <f>VLOOKUP(F308,[1]characters!$A:$I,9,FALSE)</f>
        <v>4</v>
      </c>
      <c r="J308" s="8" t="str">
        <f>VLOOKUP(F308,[1]characters!$A:$H,8,FALSE)</f>
        <v>blue</v>
      </c>
      <c r="K308" s="8" t="str">
        <f>VLOOKUP(F308,[1]characters!$A:$K,11,FALSE)</f>
        <v>balance</v>
      </c>
      <c r="L308" s="8" t="str">
        <f>VLOOKUP(F308,[1]characters!$A:$M,13,FALSE)</f>
        <v>machine</v>
      </c>
      <c r="M308" s="16">
        <f>IFERROR(VLOOKUP(F308,gacha_conf!A$50:F$62,5+E308,FALSE),VLOOKUP(D308,gacha_conf!D$18:E$46,2,FALSE))</f>
        <v>6166</v>
      </c>
      <c r="N308" s="37">
        <f>IFERROR(VLOOKUP($F308,bug_conf_sheet!$A:$H,3,FALSE),VLOOKUP("other",bug_conf_sheet!$A:$H,3,FALSE))</f>
        <v>1</v>
      </c>
      <c r="O308" s="37">
        <f>IFERROR(VLOOKUP($F308,bug_conf_sheet!$A:$H,4,FALSE),VLOOKUP("other",bug_conf_sheet!$A:$H,4,FALSE))</f>
        <v>0</v>
      </c>
      <c r="P308" s="37">
        <f>IFERROR(VLOOKUP($F308,bug_conf_sheet!$A:$H,5,FALSE),VLOOKUP("other",bug_conf_sheet!$A:$H,5,FALSE))</f>
        <v>0</v>
      </c>
      <c r="Q308" s="37">
        <f>IFERROR(VLOOKUP($F308,bug_conf_sheet!$A:$H,6,FALSE),VLOOKUP("other",bug_conf_sheet!$A:$H,6,FALSE))</f>
        <v>0</v>
      </c>
      <c r="R308" s="37">
        <f>IFERROR(VLOOKUP($F308,bug_conf_sheet!$A:$H,7,FALSE),VLOOKUP("other",bug_conf_sheet!$A:$H,7,FALSE))</f>
        <v>0</v>
      </c>
      <c r="S308" s="37">
        <f>IFERROR(VLOOKUP($F308,bug_conf_sheet!$A:$H,8,FALSE),VLOOKUP("other",bug_conf_sheet!$A:$H,8,FALSE))</f>
        <v>1</v>
      </c>
    </row>
    <row r="309" spans="1:19" ht="21" customHeight="1">
      <c r="A309" s="7" t="str">
        <f t="shared" si="32"/>
        <v>1940246</v>
      </c>
      <c r="B309" s="2" t="str">
        <f t="shared" si="29"/>
        <v>1940</v>
      </c>
      <c r="C309" s="8" t="str">
        <f t="shared" si="31"/>
        <v>0PremiumS5</v>
      </c>
      <c r="D309" s="8" t="str">
        <f t="shared" si="30"/>
        <v>0PremiumS5</v>
      </c>
      <c r="E309" s="10">
        <v>0</v>
      </c>
      <c r="F309" s="5">
        <v>246</v>
      </c>
      <c r="G309" s="8" t="str">
        <f>VLOOKUP(F309,[1]characters!$A:$C,3,FALSE)</f>
        <v>真癒の天使 ラファエル・メディカ</v>
      </c>
      <c r="H309" s="8" t="str">
        <f>VLOOKUP(F309,[1]characters!$A:$J,10,FALSE)</f>
        <v>PremiumS</v>
      </c>
      <c r="I309" s="8">
        <f>VLOOKUP(F309,[1]characters!$A:$I,9,FALSE)</f>
        <v>5</v>
      </c>
      <c r="J309" s="8" t="str">
        <f>VLOOKUP(F309,[1]characters!$A:$H,8,FALSE)</f>
        <v>blue</v>
      </c>
      <c r="K309" s="8" t="str">
        <f>VLOOKUP(F309,[1]characters!$A:$K,11,FALSE)</f>
        <v>balance</v>
      </c>
      <c r="L309" s="8" t="str">
        <f>VLOOKUP(F309,[1]characters!$A:$M,13,FALSE)</f>
        <v>machine</v>
      </c>
      <c r="M309" s="16">
        <f>IFERROR(VLOOKUP(F309,gacha_conf!A$50:F$62,5+E309,FALSE),VLOOKUP(D309,gacha_conf!D$18:E$46,2,FALSE))</f>
        <v>394</v>
      </c>
      <c r="N309" s="37">
        <f>IFERROR(VLOOKUP($F309,bug_conf_sheet!$A:$H,3,FALSE),VLOOKUP("other",bug_conf_sheet!$A:$H,3,FALSE))</f>
        <v>1</v>
      </c>
      <c r="O309" s="37">
        <f>IFERROR(VLOOKUP($F309,bug_conf_sheet!$A:$H,4,FALSE),VLOOKUP("other",bug_conf_sheet!$A:$H,4,FALSE))</f>
        <v>0</v>
      </c>
      <c r="P309" s="37">
        <f>IFERROR(VLOOKUP($F309,bug_conf_sheet!$A:$H,5,FALSE),VLOOKUP("other",bug_conf_sheet!$A:$H,5,FALSE))</f>
        <v>0</v>
      </c>
      <c r="Q309" s="37">
        <f>IFERROR(VLOOKUP($F309,bug_conf_sheet!$A:$H,6,FALSE),VLOOKUP("other",bug_conf_sheet!$A:$H,6,FALSE))</f>
        <v>0</v>
      </c>
      <c r="R309" s="37">
        <f>IFERROR(VLOOKUP($F309,bug_conf_sheet!$A:$H,7,FALSE),VLOOKUP("other",bug_conf_sheet!$A:$H,7,FALSE))</f>
        <v>0</v>
      </c>
      <c r="S309" s="37">
        <f>IFERROR(VLOOKUP($F309,bug_conf_sheet!$A:$H,8,FALSE),VLOOKUP("other",bug_conf_sheet!$A:$H,8,FALSE))</f>
        <v>1</v>
      </c>
    </row>
    <row r="310" spans="1:19" ht="21" customHeight="1">
      <c r="A310" s="7" t="str">
        <f t="shared" si="32"/>
        <v>1940248</v>
      </c>
      <c r="B310" s="2" t="str">
        <f t="shared" si="29"/>
        <v>1940</v>
      </c>
      <c r="C310" s="8" t="str">
        <f t="shared" si="31"/>
        <v>0PremiumS4</v>
      </c>
      <c r="D310" s="8" t="str">
        <f t="shared" si="30"/>
        <v>0PremiumS4</v>
      </c>
      <c r="E310" s="10">
        <v>0</v>
      </c>
      <c r="F310" s="5">
        <v>248</v>
      </c>
      <c r="G310" s="8" t="str">
        <f>VLOOKUP(F310,[1]characters!$A:$C,3,FALSE)</f>
        <v>彩電の天使 ミカエル</v>
      </c>
      <c r="H310" s="8" t="str">
        <f>VLOOKUP(F310,[1]characters!$A:$J,10,FALSE)</f>
        <v>PremiumS</v>
      </c>
      <c r="I310" s="8">
        <f>VLOOKUP(F310,[1]characters!$A:$I,9,FALSE)</f>
        <v>4</v>
      </c>
      <c r="J310" s="8" t="str">
        <f>VLOOKUP(F310,[1]characters!$A:$H,8,FALSE)</f>
        <v>yellow</v>
      </c>
      <c r="K310" s="8" t="str">
        <f>VLOOKUP(F310,[1]characters!$A:$K,11,FALSE)</f>
        <v>attack</v>
      </c>
      <c r="L310" s="8" t="str">
        <f>VLOOKUP(F310,[1]characters!$A:$M,13,FALSE)</f>
        <v>machine</v>
      </c>
      <c r="M310" s="16">
        <f>IFERROR(VLOOKUP(F310,gacha_conf!A$50:F$62,5+E310,FALSE),VLOOKUP(D310,gacha_conf!D$18:E$46,2,FALSE))</f>
        <v>6166</v>
      </c>
      <c r="N310" s="37">
        <f>IFERROR(VLOOKUP($F310,bug_conf_sheet!$A:$H,3,FALSE),VLOOKUP("other",bug_conf_sheet!$A:$H,3,FALSE))</f>
        <v>1</v>
      </c>
      <c r="O310" s="37">
        <f>IFERROR(VLOOKUP($F310,bug_conf_sheet!$A:$H,4,FALSE),VLOOKUP("other",bug_conf_sheet!$A:$H,4,FALSE))</f>
        <v>0</v>
      </c>
      <c r="P310" s="37">
        <f>IFERROR(VLOOKUP($F310,bug_conf_sheet!$A:$H,5,FALSE),VLOOKUP("other",bug_conf_sheet!$A:$H,5,FALSE))</f>
        <v>0</v>
      </c>
      <c r="Q310" s="37">
        <f>IFERROR(VLOOKUP($F310,bug_conf_sheet!$A:$H,6,FALSE),VLOOKUP("other",bug_conf_sheet!$A:$H,6,FALSE))</f>
        <v>0</v>
      </c>
      <c r="R310" s="37">
        <f>IFERROR(VLOOKUP($F310,bug_conf_sheet!$A:$H,7,FALSE),VLOOKUP("other",bug_conf_sheet!$A:$H,7,FALSE))</f>
        <v>0</v>
      </c>
      <c r="S310" s="37">
        <f>IFERROR(VLOOKUP($F310,bug_conf_sheet!$A:$H,8,FALSE),VLOOKUP("other",bug_conf_sheet!$A:$H,8,FALSE))</f>
        <v>1</v>
      </c>
    </row>
    <row r="311" spans="1:19" ht="21" customHeight="1">
      <c r="A311" s="7" t="str">
        <f t="shared" si="32"/>
        <v>1940249</v>
      </c>
      <c r="B311" s="2" t="str">
        <f t="shared" si="29"/>
        <v>1940</v>
      </c>
      <c r="C311" s="8" t="str">
        <f t="shared" si="31"/>
        <v>0PremiumS5</v>
      </c>
      <c r="D311" s="8" t="str">
        <f t="shared" si="30"/>
        <v>0PremiumS5</v>
      </c>
      <c r="E311" s="10">
        <v>0</v>
      </c>
      <c r="F311" s="6">
        <v>249</v>
      </c>
      <c r="G311" s="8" t="str">
        <f>VLOOKUP(F311,[1]characters!$A:$C,3,FALSE)</f>
        <v>雷電の天使 ミカエル・ゲイナー</v>
      </c>
      <c r="H311" s="8" t="str">
        <f>VLOOKUP(F311,[1]characters!$A:$J,10,FALSE)</f>
        <v>PremiumS</v>
      </c>
      <c r="I311" s="8">
        <f>VLOOKUP(F311,[1]characters!$A:$I,9,FALSE)</f>
        <v>5</v>
      </c>
      <c r="J311" s="8" t="str">
        <f>VLOOKUP(F311,[1]characters!$A:$H,8,FALSE)</f>
        <v>yellow</v>
      </c>
      <c r="K311" s="8" t="str">
        <f>VLOOKUP(F311,[1]characters!$A:$K,11,FALSE)</f>
        <v>attack</v>
      </c>
      <c r="L311" s="8" t="str">
        <f>VLOOKUP(F311,[1]characters!$A:$M,13,FALSE)</f>
        <v>machine</v>
      </c>
      <c r="M311" s="16">
        <f>IFERROR(VLOOKUP(F311,gacha_conf!A$50:F$62,5+E311,FALSE),VLOOKUP(D311,gacha_conf!D$18:E$46,2,FALSE))</f>
        <v>394</v>
      </c>
      <c r="N311" s="37">
        <f>IFERROR(VLOOKUP($F311,bug_conf_sheet!$A:$H,3,FALSE),VLOOKUP("other",bug_conf_sheet!$A:$H,3,FALSE))</f>
        <v>1</v>
      </c>
      <c r="O311" s="37">
        <f>IFERROR(VLOOKUP($F311,bug_conf_sheet!$A:$H,4,FALSE),VLOOKUP("other",bug_conf_sheet!$A:$H,4,FALSE))</f>
        <v>0</v>
      </c>
      <c r="P311" s="37">
        <f>IFERROR(VLOOKUP($F311,bug_conf_sheet!$A:$H,5,FALSE),VLOOKUP("other",bug_conf_sheet!$A:$H,5,FALSE))</f>
        <v>0</v>
      </c>
      <c r="Q311" s="37">
        <f>IFERROR(VLOOKUP($F311,bug_conf_sheet!$A:$H,6,FALSE),VLOOKUP("other",bug_conf_sheet!$A:$H,6,FALSE))</f>
        <v>0</v>
      </c>
      <c r="R311" s="37">
        <f>IFERROR(VLOOKUP($F311,bug_conf_sheet!$A:$H,7,FALSE),VLOOKUP("other",bug_conf_sheet!$A:$H,7,FALSE))</f>
        <v>0</v>
      </c>
      <c r="S311" s="37">
        <f>IFERROR(VLOOKUP($F311,bug_conf_sheet!$A:$H,8,FALSE),VLOOKUP("other",bug_conf_sheet!$A:$H,8,FALSE))</f>
        <v>1</v>
      </c>
    </row>
    <row r="312" spans="1:19" ht="21" customHeight="1">
      <c r="A312" s="7" t="str">
        <f t="shared" si="32"/>
        <v>1940251</v>
      </c>
      <c r="B312" s="2" t="str">
        <f t="shared" si="29"/>
        <v>1940</v>
      </c>
      <c r="C312" s="8" t="str">
        <f t="shared" si="31"/>
        <v>0PremiumS4</v>
      </c>
      <c r="D312" s="8" t="str">
        <f t="shared" si="30"/>
        <v>0PremiumS4</v>
      </c>
      <c r="E312" s="10">
        <v>0</v>
      </c>
      <c r="F312" s="6">
        <v>251</v>
      </c>
      <c r="G312" s="8" t="str">
        <f>VLOOKUP(F312,[1]characters!$A:$C,3,FALSE)</f>
        <v>強欲 マンモン</v>
      </c>
      <c r="H312" s="8" t="str">
        <f>VLOOKUP(F312,[1]characters!$A:$J,10,FALSE)</f>
        <v>PremiumS</v>
      </c>
      <c r="I312" s="8">
        <f>VLOOKUP(F312,[1]characters!$A:$I,9,FALSE)</f>
        <v>4</v>
      </c>
      <c r="J312" s="8" t="str">
        <f>VLOOKUP(F312,[1]characters!$A:$H,8,FALSE)</f>
        <v>red</v>
      </c>
      <c r="K312" s="8" t="str">
        <f>VLOOKUP(F312,[1]characters!$A:$K,11,FALSE)</f>
        <v>balance</v>
      </c>
      <c r="L312" s="8" t="str">
        <f>VLOOKUP(F312,[1]characters!$A:$M,13,FALSE)</f>
        <v>god</v>
      </c>
      <c r="M312" s="16">
        <f>IFERROR(VLOOKUP(F312,gacha_conf!A$50:F$62,5+E312,FALSE),VLOOKUP(D312,gacha_conf!D$18:E$46,2,FALSE))</f>
        <v>6166</v>
      </c>
      <c r="N312" s="37">
        <f>IFERROR(VLOOKUP($F312,bug_conf_sheet!$A:$H,3,FALSE),VLOOKUP("other",bug_conf_sheet!$A:$H,3,FALSE))</f>
        <v>1</v>
      </c>
      <c r="O312" s="37">
        <f>IFERROR(VLOOKUP($F312,bug_conf_sheet!$A:$H,4,FALSE),VLOOKUP("other",bug_conf_sheet!$A:$H,4,FALSE))</f>
        <v>0</v>
      </c>
      <c r="P312" s="37">
        <f>IFERROR(VLOOKUP($F312,bug_conf_sheet!$A:$H,5,FALSE),VLOOKUP("other",bug_conf_sheet!$A:$H,5,FALSE))</f>
        <v>0</v>
      </c>
      <c r="Q312" s="37">
        <f>IFERROR(VLOOKUP($F312,bug_conf_sheet!$A:$H,6,FALSE),VLOOKUP("other",bug_conf_sheet!$A:$H,6,FALSE))</f>
        <v>0</v>
      </c>
      <c r="R312" s="37">
        <f>IFERROR(VLOOKUP($F312,bug_conf_sheet!$A:$H,7,FALSE),VLOOKUP("other",bug_conf_sheet!$A:$H,7,FALSE))</f>
        <v>0</v>
      </c>
      <c r="S312" s="37">
        <f>IFERROR(VLOOKUP($F312,bug_conf_sheet!$A:$H,8,FALSE),VLOOKUP("other",bug_conf_sheet!$A:$H,8,FALSE))</f>
        <v>1</v>
      </c>
    </row>
    <row r="313" spans="1:19" ht="21" customHeight="1">
      <c r="A313" s="7" t="str">
        <f t="shared" si="32"/>
        <v>1940252</v>
      </c>
      <c r="B313" s="2" t="str">
        <f t="shared" si="29"/>
        <v>1940</v>
      </c>
      <c r="C313" s="8" t="str">
        <f t="shared" si="31"/>
        <v>0PremiumS5</v>
      </c>
      <c r="D313" s="8" t="str">
        <f t="shared" si="30"/>
        <v>0PremiumS5</v>
      </c>
      <c r="E313" s="10">
        <v>0</v>
      </c>
      <c r="F313" s="6">
        <v>252</v>
      </c>
      <c r="G313" s="8" t="str">
        <f>VLOOKUP(F313,[1]characters!$A:$C,3,FALSE)</f>
        <v>強欲の沸騰 マンモン</v>
      </c>
      <c r="H313" s="8" t="str">
        <f>VLOOKUP(F313,[1]characters!$A:$J,10,FALSE)</f>
        <v>PremiumS</v>
      </c>
      <c r="I313" s="8">
        <f>VLOOKUP(F313,[1]characters!$A:$I,9,FALSE)</f>
        <v>5</v>
      </c>
      <c r="J313" s="8" t="str">
        <f>VLOOKUP(F313,[1]characters!$A:$H,8,FALSE)</f>
        <v>red</v>
      </c>
      <c r="K313" s="8" t="str">
        <f>VLOOKUP(F313,[1]characters!$A:$K,11,FALSE)</f>
        <v>balance</v>
      </c>
      <c r="L313" s="8" t="str">
        <f>VLOOKUP(F313,[1]characters!$A:$M,13,FALSE)</f>
        <v>god</v>
      </c>
      <c r="M313" s="16">
        <f>IFERROR(VLOOKUP(F313,gacha_conf!A$50:F$62,5+E313,FALSE),VLOOKUP(D313,gacha_conf!D$18:E$46,2,FALSE))</f>
        <v>394</v>
      </c>
      <c r="N313" s="37">
        <f>IFERROR(VLOOKUP($F313,bug_conf_sheet!$A:$H,3,FALSE),VLOOKUP("other",bug_conf_sheet!$A:$H,3,FALSE))</f>
        <v>1</v>
      </c>
      <c r="O313" s="37">
        <f>IFERROR(VLOOKUP($F313,bug_conf_sheet!$A:$H,4,FALSE),VLOOKUP("other",bug_conf_sheet!$A:$H,4,FALSE))</f>
        <v>0</v>
      </c>
      <c r="P313" s="37">
        <f>IFERROR(VLOOKUP($F313,bug_conf_sheet!$A:$H,5,FALSE),VLOOKUP("other",bug_conf_sheet!$A:$H,5,FALSE))</f>
        <v>0</v>
      </c>
      <c r="Q313" s="37">
        <f>IFERROR(VLOOKUP($F313,bug_conf_sheet!$A:$H,6,FALSE),VLOOKUP("other",bug_conf_sheet!$A:$H,6,FALSE))</f>
        <v>0</v>
      </c>
      <c r="R313" s="37">
        <f>IFERROR(VLOOKUP($F313,bug_conf_sheet!$A:$H,7,FALSE),VLOOKUP("other",bug_conf_sheet!$A:$H,7,FALSE))</f>
        <v>0</v>
      </c>
      <c r="S313" s="37">
        <f>IFERROR(VLOOKUP($F313,bug_conf_sheet!$A:$H,8,FALSE),VLOOKUP("other",bug_conf_sheet!$A:$H,8,FALSE))</f>
        <v>1</v>
      </c>
    </row>
    <row r="314" spans="1:19" ht="21" customHeight="1">
      <c r="A314" s="7" t="str">
        <f t="shared" si="32"/>
        <v>1940254</v>
      </c>
      <c r="B314" s="2" t="str">
        <f t="shared" si="29"/>
        <v>1940</v>
      </c>
      <c r="C314" s="8" t="str">
        <f t="shared" ref="C314:C365" si="33">E314&amp;H314&amp;I314</f>
        <v>0PremiumS4</v>
      </c>
      <c r="D314" s="8" t="str">
        <f t="shared" si="30"/>
        <v>0PremiumS4</v>
      </c>
      <c r="E314" s="10">
        <v>0</v>
      </c>
      <c r="F314" s="6">
        <v>254</v>
      </c>
      <c r="G314" s="8" t="str">
        <f>VLOOKUP(F314,[1]characters!$A:$C,3,FALSE)</f>
        <v>怠惰 ベルフェゴール</v>
      </c>
      <c r="H314" s="8" t="str">
        <f>VLOOKUP(F314,[1]characters!$A:$J,10,FALSE)</f>
        <v>PremiumS</v>
      </c>
      <c r="I314" s="8">
        <f>VLOOKUP(F314,[1]characters!$A:$I,9,FALSE)</f>
        <v>4</v>
      </c>
      <c r="J314" s="8" t="str">
        <f>VLOOKUP(F314,[1]characters!$A:$H,8,FALSE)</f>
        <v>green</v>
      </c>
      <c r="K314" s="8" t="str">
        <f>VLOOKUP(F314,[1]characters!$A:$K,11,FALSE)</f>
        <v>technical</v>
      </c>
      <c r="L314" s="8" t="str">
        <f>VLOOKUP(F314,[1]characters!$A:$M,13,FALSE)</f>
        <v>god</v>
      </c>
      <c r="M314" s="16">
        <f>IFERROR(VLOOKUP(F314,gacha_conf!A$50:F$62,5+E314,FALSE),VLOOKUP(D314,gacha_conf!D$18:E$46,2,FALSE))</f>
        <v>6166</v>
      </c>
      <c r="N314" s="37">
        <f>IFERROR(VLOOKUP($F314,bug_conf_sheet!$A:$H,3,FALSE),VLOOKUP("other",bug_conf_sheet!$A:$H,3,FALSE))</f>
        <v>1</v>
      </c>
      <c r="O314" s="37">
        <f>IFERROR(VLOOKUP($F314,bug_conf_sheet!$A:$H,4,FALSE),VLOOKUP("other",bug_conf_sheet!$A:$H,4,FALSE))</f>
        <v>0</v>
      </c>
      <c r="P314" s="37">
        <f>IFERROR(VLOOKUP($F314,bug_conf_sheet!$A:$H,5,FALSE),VLOOKUP("other",bug_conf_sheet!$A:$H,5,FALSE))</f>
        <v>0</v>
      </c>
      <c r="Q314" s="37">
        <f>IFERROR(VLOOKUP($F314,bug_conf_sheet!$A:$H,6,FALSE),VLOOKUP("other",bug_conf_sheet!$A:$H,6,FALSE))</f>
        <v>0</v>
      </c>
      <c r="R314" s="37">
        <f>IFERROR(VLOOKUP($F314,bug_conf_sheet!$A:$H,7,FALSE),VLOOKUP("other",bug_conf_sheet!$A:$H,7,FALSE))</f>
        <v>0</v>
      </c>
      <c r="S314" s="37">
        <f>IFERROR(VLOOKUP($F314,bug_conf_sheet!$A:$H,8,FALSE),VLOOKUP("other",bug_conf_sheet!$A:$H,8,FALSE))</f>
        <v>1</v>
      </c>
    </row>
    <row r="315" spans="1:19" ht="21" customHeight="1">
      <c r="A315" s="7" t="str">
        <f t="shared" si="32"/>
        <v>1940255</v>
      </c>
      <c r="B315" s="2" t="str">
        <f t="shared" si="29"/>
        <v>1940</v>
      </c>
      <c r="C315" s="8" t="str">
        <f t="shared" si="33"/>
        <v>0PremiumS5</v>
      </c>
      <c r="D315" s="8" t="str">
        <f t="shared" si="30"/>
        <v>0PremiumS5</v>
      </c>
      <c r="E315" s="10">
        <v>0</v>
      </c>
      <c r="F315" s="6">
        <v>255</v>
      </c>
      <c r="G315" s="8" t="str">
        <f>VLOOKUP(F315,[1]characters!$A:$C,3,FALSE)</f>
        <v>怠惰の頂点 ベルフェゴール</v>
      </c>
      <c r="H315" s="8" t="str">
        <f>VLOOKUP(F315,[1]characters!$A:$J,10,FALSE)</f>
        <v>PremiumS</v>
      </c>
      <c r="I315" s="8">
        <f>VLOOKUP(F315,[1]characters!$A:$I,9,FALSE)</f>
        <v>5</v>
      </c>
      <c r="J315" s="8" t="str">
        <f>VLOOKUP(F315,[1]characters!$A:$H,8,FALSE)</f>
        <v>green</v>
      </c>
      <c r="K315" s="8" t="str">
        <f>VLOOKUP(F315,[1]characters!$A:$K,11,FALSE)</f>
        <v>technical</v>
      </c>
      <c r="L315" s="8" t="str">
        <f>VLOOKUP(F315,[1]characters!$A:$M,13,FALSE)</f>
        <v>god</v>
      </c>
      <c r="M315" s="16">
        <f>IFERROR(VLOOKUP(F315,gacha_conf!A$50:F$62,5+E315,FALSE),VLOOKUP(D315,gacha_conf!D$18:E$46,2,FALSE))</f>
        <v>394</v>
      </c>
      <c r="N315" s="37">
        <f>IFERROR(VLOOKUP($F315,bug_conf_sheet!$A:$H,3,FALSE),VLOOKUP("other",bug_conf_sheet!$A:$H,3,FALSE))</f>
        <v>1</v>
      </c>
      <c r="O315" s="37">
        <f>IFERROR(VLOOKUP($F315,bug_conf_sheet!$A:$H,4,FALSE),VLOOKUP("other",bug_conf_sheet!$A:$H,4,FALSE))</f>
        <v>0</v>
      </c>
      <c r="P315" s="37">
        <f>IFERROR(VLOOKUP($F315,bug_conf_sheet!$A:$H,5,FALSE),VLOOKUP("other",bug_conf_sheet!$A:$H,5,FALSE))</f>
        <v>0</v>
      </c>
      <c r="Q315" s="37">
        <f>IFERROR(VLOOKUP($F315,bug_conf_sheet!$A:$H,6,FALSE),VLOOKUP("other",bug_conf_sheet!$A:$H,6,FALSE))</f>
        <v>0</v>
      </c>
      <c r="R315" s="37">
        <f>IFERROR(VLOOKUP($F315,bug_conf_sheet!$A:$H,7,FALSE),VLOOKUP("other",bug_conf_sheet!$A:$H,7,FALSE))</f>
        <v>0</v>
      </c>
      <c r="S315" s="37">
        <f>IFERROR(VLOOKUP($F315,bug_conf_sheet!$A:$H,8,FALSE),VLOOKUP("other",bug_conf_sheet!$A:$H,8,FALSE))</f>
        <v>1</v>
      </c>
    </row>
    <row r="316" spans="1:19" ht="21" customHeight="1">
      <c r="A316" s="7" t="str">
        <f t="shared" si="32"/>
        <v>1940257</v>
      </c>
      <c r="B316" s="2" t="str">
        <f t="shared" si="29"/>
        <v>1940</v>
      </c>
      <c r="C316" s="8" t="str">
        <f t="shared" si="33"/>
        <v>0PremiumS4</v>
      </c>
      <c r="D316" s="8" t="str">
        <f t="shared" si="30"/>
        <v>0PremiumS4</v>
      </c>
      <c r="E316" s="10">
        <v>0</v>
      </c>
      <c r="F316" s="6">
        <v>257</v>
      </c>
      <c r="G316" s="8" t="str">
        <f>VLOOKUP(F316,[1]characters!$A:$C,3,FALSE)</f>
        <v>色欲 アスモデウス</v>
      </c>
      <c r="H316" s="8" t="str">
        <f>VLOOKUP(F316,[1]characters!$A:$J,10,FALSE)</f>
        <v>PremiumS</v>
      </c>
      <c r="I316" s="8">
        <f>VLOOKUP(F316,[1]characters!$A:$I,9,FALSE)</f>
        <v>4</v>
      </c>
      <c r="J316" s="8" t="str">
        <f>VLOOKUP(F316,[1]characters!$A:$H,8,FALSE)</f>
        <v>blue</v>
      </c>
      <c r="K316" s="8" t="str">
        <f>VLOOKUP(F316,[1]characters!$A:$K,11,FALSE)</f>
        <v>attack</v>
      </c>
      <c r="L316" s="8" t="str">
        <f>VLOOKUP(F316,[1]characters!$A:$M,13,FALSE)</f>
        <v>god</v>
      </c>
      <c r="M316" s="16">
        <f>IFERROR(VLOOKUP(F316,gacha_conf!A$50:F$62,5+E316,FALSE),VLOOKUP(D316,gacha_conf!D$18:E$46,2,FALSE))</f>
        <v>6166</v>
      </c>
      <c r="N316" s="37">
        <f>IFERROR(VLOOKUP($F316,bug_conf_sheet!$A:$H,3,FALSE),VLOOKUP("other",bug_conf_sheet!$A:$H,3,FALSE))</f>
        <v>1</v>
      </c>
      <c r="O316" s="37">
        <f>IFERROR(VLOOKUP($F316,bug_conf_sheet!$A:$H,4,FALSE),VLOOKUP("other",bug_conf_sheet!$A:$H,4,FALSE))</f>
        <v>0</v>
      </c>
      <c r="P316" s="37">
        <f>IFERROR(VLOOKUP($F316,bug_conf_sheet!$A:$H,5,FALSE),VLOOKUP("other",bug_conf_sheet!$A:$H,5,FALSE))</f>
        <v>0</v>
      </c>
      <c r="Q316" s="37">
        <f>IFERROR(VLOOKUP($F316,bug_conf_sheet!$A:$H,6,FALSE),VLOOKUP("other",bug_conf_sheet!$A:$H,6,FALSE))</f>
        <v>0</v>
      </c>
      <c r="R316" s="37">
        <f>IFERROR(VLOOKUP($F316,bug_conf_sheet!$A:$H,7,FALSE),VLOOKUP("other",bug_conf_sheet!$A:$H,7,FALSE))</f>
        <v>0</v>
      </c>
      <c r="S316" s="37">
        <f>IFERROR(VLOOKUP($F316,bug_conf_sheet!$A:$H,8,FALSE),VLOOKUP("other",bug_conf_sheet!$A:$H,8,FALSE))</f>
        <v>1</v>
      </c>
    </row>
    <row r="317" spans="1:19" ht="21" customHeight="1">
      <c r="A317" s="7" t="str">
        <f t="shared" si="32"/>
        <v>1940258</v>
      </c>
      <c r="B317" s="2" t="str">
        <f t="shared" si="29"/>
        <v>1940</v>
      </c>
      <c r="C317" s="8" t="str">
        <f t="shared" si="33"/>
        <v>0PremiumS5</v>
      </c>
      <c r="D317" s="8" t="str">
        <f t="shared" si="30"/>
        <v>0PremiumS5</v>
      </c>
      <c r="E317" s="10">
        <v>0</v>
      </c>
      <c r="F317" s="6">
        <v>258</v>
      </c>
      <c r="G317" s="8" t="str">
        <f>VLOOKUP(F317,[1]characters!$A:$C,3,FALSE)</f>
        <v>色欲の源流 アスモデウス</v>
      </c>
      <c r="H317" s="8" t="str">
        <f>VLOOKUP(F317,[1]characters!$A:$J,10,FALSE)</f>
        <v>PremiumS</v>
      </c>
      <c r="I317" s="8">
        <f>VLOOKUP(F317,[1]characters!$A:$I,9,FALSE)</f>
        <v>5</v>
      </c>
      <c r="J317" s="8" t="str">
        <f>VLOOKUP(F317,[1]characters!$A:$H,8,FALSE)</f>
        <v>blue</v>
      </c>
      <c r="K317" s="8" t="str">
        <f>VLOOKUP(F317,[1]characters!$A:$K,11,FALSE)</f>
        <v>attack</v>
      </c>
      <c r="L317" s="8" t="str">
        <f>VLOOKUP(F317,[1]characters!$A:$M,13,FALSE)</f>
        <v>god</v>
      </c>
      <c r="M317" s="16">
        <f>IFERROR(VLOOKUP(F317,gacha_conf!A$50:F$62,5+E317,FALSE),VLOOKUP(D317,gacha_conf!D$18:E$46,2,FALSE))</f>
        <v>394</v>
      </c>
      <c r="N317" s="37">
        <f>IFERROR(VLOOKUP($F317,bug_conf_sheet!$A:$H,3,FALSE),VLOOKUP("other",bug_conf_sheet!$A:$H,3,FALSE))</f>
        <v>1</v>
      </c>
      <c r="O317" s="37">
        <f>IFERROR(VLOOKUP($F317,bug_conf_sheet!$A:$H,4,FALSE),VLOOKUP("other",bug_conf_sheet!$A:$H,4,FALSE))</f>
        <v>0</v>
      </c>
      <c r="P317" s="37">
        <f>IFERROR(VLOOKUP($F317,bug_conf_sheet!$A:$H,5,FALSE),VLOOKUP("other",bug_conf_sheet!$A:$H,5,FALSE))</f>
        <v>0</v>
      </c>
      <c r="Q317" s="37">
        <f>IFERROR(VLOOKUP($F317,bug_conf_sheet!$A:$H,6,FALSE),VLOOKUP("other",bug_conf_sheet!$A:$H,6,FALSE))</f>
        <v>0</v>
      </c>
      <c r="R317" s="37">
        <f>IFERROR(VLOOKUP($F317,bug_conf_sheet!$A:$H,7,FALSE),VLOOKUP("other",bug_conf_sheet!$A:$H,7,FALSE))</f>
        <v>0</v>
      </c>
      <c r="S317" s="37">
        <f>IFERROR(VLOOKUP($F317,bug_conf_sheet!$A:$H,8,FALSE),VLOOKUP("other",bug_conf_sheet!$A:$H,8,FALSE))</f>
        <v>1</v>
      </c>
    </row>
    <row r="318" spans="1:19" ht="21" customHeight="1">
      <c r="A318" s="7" t="str">
        <f t="shared" si="32"/>
        <v>1940260</v>
      </c>
      <c r="B318" s="2" t="str">
        <f t="shared" si="29"/>
        <v>1940</v>
      </c>
      <c r="C318" s="8" t="str">
        <f t="shared" si="33"/>
        <v>0PremiumS4</v>
      </c>
      <c r="D318" s="8" t="str">
        <f t="shared" si="30"/>
        <v>0PremiumS4</v>
      </c>
      <c r="E318" s="10">
        <v>0</v>
      </c>
      <c r="F318" s="9">
        <v>260</v>
      </c>
      <c r="G318" s="8" t="str">
        <f>VLOOKUP(F318,[1]characters!$A:$C,3,FALSE)</f>
        <v>輪廻 ウロボロス</v>
      </c>
      <c r="H318" s="8" t="str">
        <f>VLOOKUP(F318,[1]characters!$A:$J,10,FALSE)</f>
        <v>PremiumS</v>
      </c>
      <c r="I318" s="8">
        <f>VLOOKUP(F318,[1]characters!$A:$I,9,FALSE)</f>
        <v>4</v>
      </c>
      <c r="J318" s="8" t="str">
        <f>VLOOKUP(F318,[1]characters!$A:$H,8,FALSE)</f>
        <v>yellow</v>
      </c>
      <c r="K318" s="8" t="str">
        <f>VLOOKUP(F318,[1]characters!$A:$K,11,FALSE)</f>
        <v>balance</v>
      </c>
      <c r="L318" s="8" t="str">
        <f>VLOOKUP(F318,[1]characters!$A:$M,13,FALSE)</f>
        <v>dragon</v>
      </c>
      <c r="M318" s="16">
        <f>IFERROR(VLOOKUP(F318,gacha_conf!A$50:F$62,5+E318,FALSE),VLOOKUP(D318,gacha_conf!D$18:E$46,2,FALSE))</f>
        <v>6166</v>
      </c>
      <c r="N318" s="37">
        <f>IFERROR(VLOOKUP($F318,bug_conf_sheet!$A:$H,3,FALSE),VLOOKUP("other",bug_conf_sheet!$A:$H,3,FALSE))</f>
        <v>1</v>
      </c>
      <c r="O318" s="37">
        <f>IFERROR(VLOOKUP($F318,bug_conf_sheet!$A:$H,4,FALSE),VLOOKUP("other",bug_conf_sheet!$A:$H,4,FALSE))</f>
        <v>0</v>
      </c>
      <c r="P318" s="37">
        <f>IFERROR(VLOOKUP($F318,bug_conf_sheet!$A:$H,5,FALSE),VLOOKUP("other",bug_conf_sheet!$A:$H,5,FALSE))</f>
        <v>0</v>
      </c>
      <c r="Q318" s="37">
        <f>IFERROR(VLOOKUP($F318,bug_conf_sheet!$A:$H,6,FALSE),VLOOKUP("other",bug_conf_sheet!$A:$H,6,FALSE))</f>
        <v>0</v>
      </c>
      <c r="R318" s="37">
        <f>IFERROR(VLOOKUP($F318,bug_conf_sheet!$A:$H,7,FALSE),VLOOKUP("other",bug_conf_sheet!$A:$H,7,FALSE))</f>
        <v>0</v>
      </c>
      <c r="S318" s="37">
        <f>IFERROR(VLOOKUP($F318,bug_conf_sheet!$A:$H,8,FALSE),VLOOKUP("other",bug_conf_sheet!$A:$H,8,FALSE))</f>
        <v>1</v>
      </c>
    </row>
    <row r="319" spans="1:19" ht="21" customHeight="1">
      <c r="A319" s="7" t="str">
        <f t="shared" si="32"/>
        <v>1940261</v>
      </c>
      <c r="B319" s="2" t="str">
        <f t="shared" si="29"/>
        <v>1940</v>
      </c>
      <c r="C319" s="8" t="str">
        <f t="shared" si="33"/>
        <v>0PremiumS5</v>
      </c>
      <c r="D319" s="8" t="str">
        <f t="shared" si="30"/>
        <v>0PremiumS5</v>
      </c>
      <c r="E319" s="10">
        <v>0</v>
      </c>
      <c r="F319" s="9">
        <v>261</v>
      </c>
      <c r="G319" s="8" t="str">
        <f>VLOOKUP(F319,[1]characters!$A:$C,3,FALSE)</f>
        <v>輪廻の蛇龍 ウロボロス</v>
      </c>
      <c r="H319" s="8" t="str">
        <f>VLOOKUP(F319,[1]characters!$A:$J,10,FALSE)</f>
        <v>PremiumS</v>
      </c>
      <c r="I319" s="8">
        <f>VLOOKUP(F319,[1]characters!$A:$I,9,FALSE)</f>
        <v>5</v>
      </c>
      <c r="J319" s="8" t="str">
        <f>VLOOKUP(F319,[1]characters!$A:$H,8,FALSE)</f>
        <v>yellow</v>
      </c>
      <c r="K319" s="8" t="str">
        <f>VLOOKUP(F319,[1]characters!$A:$K,11,FALSE)</f>
        <v>balance</v>
      </c>
      <c r="L319" s="8" t="str">
        <f>VLOOKUP(F319,[1]characters!$A:$M,13,FALSE)</f>
        <v>dragon</v>
      </c>
      <c r="M319" s="16">
        <f>IFERROR(VLOOKUP(F319,gacha_conf!A$50:F$62,5+E319,FALSE),VLOOKUP(D319,gacha_conf!D$18:E$46,2,FALSE))</f>
        <v>394</v>
      </c>
      <c r="N319" s="37">
        <f>IFERROR(VLOOKUP($F319,bug_conf_sheet!$A:$H,3,FALSE),VLOOKUP("other",bug_conf_sheet!$A:$H,3,FALSE))</f>
        <v>1</v>
      </c>
      <c r="O319" s="37">
        <f>IFERROR(VLOOKUP($F319,bug_conf_sheet!$A:$H,4,FALSE),VLOOKUP("other",bug_conf_sheet!$A:$H,4,FALSE))</f>
        <v>0</v>
      </c>
      <c r="P319" s="37">
        <f>IFERROR(VLOOKUP($F319,bug_conf_sheet!$A:$H,5,FALSE),VLOOKUP("other",bug_conf_sheet!$A:$H,5,FALSE))</f>
        <v>0</v>
      </c>
      <c r="Q319" s="37">
        <f>IFERROR(VLOOKUP($F319,bug_conf_sheet!$A:$H,6,FALSE),VLOOKUP("other",bug_conf_sheet!$A:$H,6,FALSE))</f>
        <v>0</v>
      </c>
      <c r="R319" s="37">
        <f>IFERROR(VLOOKUP($F319,bug_conf_sheet!$A:$H,7,FALSE),VLOOKUP("other",bug_conf_sheet!$A:$H,7,FALSE))</f>
        <v>0</v>
      </c>
      <c r="S319" s="37">
        <f>IFERROR(VLOOKUP($F319,bug_conf_sheet!$A:$H,8,FALSE),VLOOKUP("other",bug_conf_sheet!$A:$H,8,FALSE))</f>
        <v>1</v>
      </c>
    </row>
    <row r="320" spans="1:19" ht="21" customHeight="1">
      <c r="A320" s="7" t="str">
        <f t="shared" si="32"/>
        <v>1940320</v>
      </c>
      <c r="B320" s="2" t="str">
        <f t="shared" si="29"/>
        <v>1940</v>
      </c>
      <c r="C320" s="8" t="str">
        <f t="shared" si="33"/>
        <v>0PremiumSS4</v>
      </c>
      <c r="D320" s="8" t="str">
        <f t="shared" si="30"/>
        <v>0PremiumSS4</v>
      </c>
      <c r="E320" s="10">
        <v>0</v>
      </c>
      <c r="F320" s="6">
        <v>320</v>
      </c>
      <c r="G320" s="8" t="str">
        <f>VLOOKUP(F320,[1]characters!$A:$C,3,FALSE)</f>
        <v>烈志士 近藤勇</v>
      </c>
      <c r="H320" s="8" t="str">
        <f>VLOOKUP(F320,[1]characters!$A:$J,10,FALSE)</f>
        <v>PremiumSS</v>
      </c>
      <c r="I320" s="8">
        <f>VLOOKUP(F320,[1]characters!$A:$I,9,FALSE)</f>
        <v>4</v>
      </c>
      <c r="J320" s="8" t="str">
        <f>VLOOKUP(F320,[1]characters!$A:$H,8,FALSE)</f>
        <v>red</v>
      </c>
      <c r="K320" s="8" t="str">
        <f>VLOOKUP(F320,[1]characters!$A:$K,11,FALSE)</f>
        <v>hp</v>
      </c>
      <c r="L320" s="8" t="str">
        <f>VLOOKUP(F320,[1]characters!$A:$M,13,FALSE)</f>
        <v>human</v>
      </c>
      <c r="M320" s="16">
        <f>IFERROR(VLOOKUP(F320,gacha_conf!A$50:F$62,5+E320,FALSE),VLOOKUP(D320,gacha_conf!D$18:E$46,2,FALSE))</f>
        <v>701</v>
      </c>
      <c r="N320" s="37">
        <f>IFERROR(VLOOKUP($F320,bug_conf_sheet!$A:$H,3,FALSE),VLOOKUP("other",bug_conf_sheet!$A:$H,3,FALSE))</f>
        <v>1</v>
      </c>
      <c r="O320" s="37">
        <f>IFERROR(VLOOKUP($F320,bug_conf_sheet!$A:$H,4,FALSE),VLOOKUP("other",bug_conf_sheet!$A:$H,4,FALSE))</f>
        <v>0</v>
      </c>
      <c r="P320" s="37">
        <f>IFERROR(VLOOKUP($F320,bug_conf_sheet!$A:$H,5,FALSE),VLOOKUP("other",bug_conf_sheet!$A:$H,5,FALSE))</f>
        <v>0</v>
      </c>
      <c r="Q320" s="37">
        <f>IFERROR(VLOOKUP($F320,bug_conf_sheet!$A:$H,6,FALSE),VLOOKUP("other",bug_conf_sheet!$A:$H,6,FALSE))</f>
        <v>0</v>
      </c>
      <c r="R320" s="37">
        <f>IFERROR(VLOOKUP($F320,bug_conf_sheet!$A:$H,7,FALSE),VLOOKUP("other",bug_conf_sheet!$A:$H,7,FALSE))</f>
        <v>0</v>
      </c>
      <c r="S320" s="37">
        <f>IFERROR(VLOOKUP($F320,bug_conf_sheet!$A:$H,8,FALSE),VLOOKUP("other",bug_conf_sheet!$A:$H,8,FALSE))</f>
        <v>1</v>
      </c>
    </row>
    <row r="321" spans="1:19" ht="21" customHeight="1">
      <c r="A321" s="7" t="str">
        <f t="shared" si="32"/>
        <v>1940321</v>
      </c>
      <c r="B321" s="2" t="str">
        <f t="shared" si="29"/>
        <v>1940</v>
      </c>
      <c r="C321" s="8" t="str">
        <f t="shared" si="33"/>
        <v>0PremiumSS5</v>
      </c>
      <c r="D321" s="8" t="str">
        <f t="shared" si="30"/>
        <v>0PremiumSS5</v>
      </c>
      <c r="E321" s="10">
        <v>0</v>
      </c>
      <c r="F321" s="6">
        <v>321</v>
      </c>
      <c r="G321" s="8" t="str">
        <f>VLOOKUP(F321,[1]characters!$A:$C,3,FALSE)</f>
        <v>巌鉄の烈志士 近藤勇</v>
      </c>
      <c r="H321" s="8" t="str">
        <f>VLOOKUP(F321,[1]characters!$A:$J,10,FALSE)</f>
        <v>PremiumSS</v>
      </c>
      <c r="I321" s="8">
        <f>VLOOKUP(F321,[1]characters!$A:$I,9,FALSE)</f>
        <v>5</v>
      </c>
      <c r="J321" s="8" t="str">
        <f>VLOOKUP(F321,[1]characters!$A:$H,8,FALSE)</f>
        <v>red</v>
      </c>
      <c r="K321" s="8" t="str">
        <f>VLOOKUP(F321,[1]characters!$A:$K,11,FALSE)</f>
        <v>hp</v>
      </c>
      <c r="L321" s="8" t="str">
        <f>VLOOKUP(F321,[1]characters!$A:$M,13,FALSE)</f>
        <v>human</v>
      </c>
      <c r="M321" s="16">
        <f>IFERROR(VLOOKUP(F321,gacha_conf!A$50:F$62,5+E321,FALSE),VLOOKUP(D321,gacha_conf!D$18:E$46,2,FALSE))</f>
        <v>45</v>
      </c>
      <c r="N321" s="37">
        <f>IFERROR(VLOOKUP($F321,bug_conf_sheet!$A:$H,3,FALSE),VLOOKUP("other",bug_conf_sheet!$A:$H,3,FALSE))</f>
        <v>1</v>
      </c>
      <c r="O321" s="37">
        <f>IFERROR(VLOOKUP($F321,bug_conf_sheet!$A:$H,4,FALSE),VLOOKUP("other",bug_conf_sheet!$A:$H,4,FALSE))</f>
        <v>0</v>
      </c>
      <c r="P321" s="37">
        <f>IFERROR(VLOOKUP($F321,bug_conf_sheet!$A:$H,5,FALSE),VLOOKUP("other",bug_conf_sheet!$A:$H,5,FALSE))</f>
        <v>0</v>
      </c>
      <c r="Q321" s="37">
        <f>IFERROR(VLOOKUP($F321,bug_conf_sheet!$A:$H,6,FALSE),VLOOKUP("other",bug_conf_sheet!$A:$H,6,FALSE))</f>
        <v>0</v>
      </c>
      <c r="R321" s="37">
        <f>IFERROR(VLOOKUP($F321,bug_conf_sheet!$A:$H,7,FALSE),VLOOKUP("other",bug_conf_sheet!$A:$H,7,FALSE))</f>
        <v>0</v>
      </c>
      <c r="S321" s="37">
        <f>IFERROR(VLOOKUP($F321,bug_conf_sheet!$A:$H,8,FALSE),VLOOKUP("other",bug_conf_sheet!$A:$H,8,FALSE))</f>
        <v>1</v>
      </c>
    </row>
    <row r="322" spans="1:19" ht="21" customHeight="1">
      <c r="A322" s="7" t="str">
        <f t="shared" si="32"/>
        <v>1940322</v>
      </c>
      <c r="B322" s="2" t="str">
        <f t="shared" si="29"/>
        <v>1940</v>
      </c>
      <c r="C322" s="8" t="str">
        <f t="shared" si="33"/>
        <v>0PremiumSS4</v>
      </c>
      <c r="D322" s="8" t="str">
        <f t="shared" si="30"/>
        <v>0PremiumSS4</v>
      </c>
      <c r="E322" s="10">
        <v>0</v>
      </c>
      <c r="F322" s="6">
        <v>322</v>
      </c>
      <c r="G322" s="8" t="str">
        <f>VLOOKUP(F322,[1]characters!$A:$C,3,FALSE)</f>
        <v>愛志士 土方歳三</v>
      </c>
      <c r="H322" s="8" t="str">
        <f>VLOOKUP(F322,[1]characters!$A:$J,10,FALSE)</f>
        <v>PremiumSS</v>
      </c>
      <c r="I322" s="8">
        <f>VLOOKUP(F322,[1]characters!$A:$I,9,FALSE)</f>
        <v>4</v>
      </c>
      <c r="J322" s="8" t="str">
        <f>VLOOKUP(F322,[1]characters!$A:$H,8,FALSE)</f>
        <v>green</v>
      </c>
      <c r="K322" s="8" t="str">
        <f>VLOOKUP(F322,[1]characters!$A:$K,11,FALSE)</f>
        <v>attack</v>
      </c>
      <c r="L322" s="8" t="str">
        <f>VLOOKUP(F322,[1]characters!$A:$M,13,FALSE)</f>
        <v>human</v>
      </c>
      <c r="M322" s="16">
        <f>IFERROR(VLOOKUP(F322,gacha_conf!A$50:F$62,5+E322,FALSE),VLOOKUP(D322,gacha_conf!D$18:E$46,2,FALSE))</f>
        <v>701</v>
      </c>
      <c r="N322" s="37">
        <f>IFERROR(VLOOKUP($F322,bug_conf_sheet!$A:$H,3,FALSE),VLOOKUP("other",bug_conf_sheet!$A:$H,3,FALSE))</f>
        <v>1</v>
      </c>
      <c r="O322" s="37">
        <f>IFERROR(VLOOKUP($F322,bug_conf_sheet!$A:$H,4,FALSE),VLOOKUP("other",bug_conf_sheet!$A:$H,4,FALSE))</f>
        <v>0</v>
      </c>
      <c r="P322" s="37">
        <f>IFERROR(VLOOKUP($F322,bug_conf_sheet!$A:$H,5,FALSE),VLOOKUP("other",bug_conf_sheet!$A:$H,5,FALSE))</f>
        <v>0</v>
      </c>
      <c r="Q322" s="37">
        <f>IFERROR(VLOOKUP($F322,bug_conf_sheet!$A:$H,6,FALSE),VLOOKUP("other",bug_conf_sheet!$A:$H,6,FALSE))</f>
        <v>0</v>
      </c>
      <c r="R322" s="37">
        <f>IFERROR(VLOOKUP($F322,bug_conf_sheet!$A:$H,7,FALSE),VLOOKUP("other",bug_conf_sheet!$A:$H,7,FALSE))</f>
        <v>0</v>
      </c>
      <c r="S322" s="37">
        <f>IFERROR(VLOOKUP($F322,bug_conf_sheet!$A:$H,8,FALSE),VLOOKUP("other",bug_conf_sheet!$A:$H,8,FALSE))</f>
        <v>1</v>
      </c>
    </row>
    <row r="323" spans="1:19" ht="21" customHeight="1">
      <c r="A323" s="7" t="str">
        <f t="shared" si="32"/>
        <v>1940323</v>
      </c>
      <c r="B323" s="2" t="str">
        <f t="shared" ref="B323:B386" si="34">194&amp;E323</f>
        <v>1940</v>
      </c>
      <c r="C323" s="8" t="str">
        <f t="shared" si="33"/>
        <v>0PremiumSS5</v>
      </c>
      <c r="D323" s="8" t="str">
        <f t="shared" ref="D323:D386" si="35">E323&amp;H323&amp;I323</f>
        <v>0PremiumSS5</v>
      </c>
      <c r="E323" s="10">
        <v>0</v>
      </c>
      <c r="F323" s="6">
        <v>323</v>
      </c>
      <c r="G323" s="8" t="str">
        <f>VLOOKUP(F323,[1]characters!$A:$C,3,FALSE)</f>
        <v>流麗の愛志士 土方歳三</v>
      </c>
      <c r="H323" s="8" t="str">
        <f>VLOOKUP(F323,[1]characters!$A:$J,10,FALSE)</f>
        <v>PremiumSS</v>
      </c>
      <c r="I323" s="8">
        <f>VLOOKUP(F323,[1]characters!$A:$I,9,FALSE)</f>
        <v>5</v>
      </c>
      <c r="J323" s="8" t="str">
        <f>VLOOKUP(F323,[1]characters!$A:$H,8,FALSE)</f>
        <v>green</v>
      </c>
      <c r="K323" s="8" t="str">
        <f>VLOOKUP(F323,[1]characters!$A:$K,11,FALSE)</f>
        <v>attack</v>
      </c>
      <c r="L323" s="8" t="str">
        <f>VLOOKUP(F323,[1]characters!$A:$M,13,FALSE)</f>
        <v>human</v>
      </c>
      <c r="M323" s="16">
        <f>IFERROR(VLOOKUP(F323,gacha_conf!A$50:F$62,5+E323,FALSE),VLOOKUP(D323,gacha_conf!D$18:E$46,2,FALSE))</f>
        <v>45</v>
      </c>
      <c r="N323" s="37">
        <f>IFERROR(VLOOKUP($F323,bug_conf_sheet!$A:$H,3,FALSE),VLOOKUP("other",bug_conf_sheet!$A:$H,3,FALSE))</f>
        <v>1</v>
      </c>
      <c r="O323" s="37">
        <f>IFERROR(VLOOKUP($F323,bug_conf_sheet!$A:$H,4,FALSE),VLOOKUP("other",bug_conf_sheet!$A:$H,4,FALSE))</f>
        <v>0</v>
      </c>
      <c r="P323" s="37">
        <f>IFERROR(VLOOKUP($F323,bug_conf_sheet!$A:$H,5,FALSE),VLOOKUP("other",bug_conf_sheet!$A:$H,5,FALSE))</f>
        <v>0</v>
      </c>
      <c r="Q323" s="37">
        <f>IFERROR(VLOOKUP($F323,bug_conf_sheet!$A:$H,6,FALSE),VLOOKUP("other",bug_conf_sheet!$A:$H,6,FALSE))</f>
        <v>0</v>
      </c>
      <c r="R323" s="37">
        <f>IFERROR(VLOOKUP($F323,bug_conf_sheet!$A:$H,7,FALSE),VLOOKUP("other",bug_conf_sheet!$A:$H,7,FALSE))</f>
        <v>0</v>
      </c>
      <c r="S323" s="37">
        <f>IFERROR(VLOOKUP($F323,bug_conf_sheet!$A:$H,8,FALSE),VLOOKUP("other",bug_conf_sheet!$A:$H,8,FALSE))</f>
        <v>1</v>
      </c>
    </row>
    <row r="324" spans="1:19" ht="21" customHeight="1">
      <c r="A324" s="7" t="str">
        <f t="shared" si="32"/>
        <v>1940324</v>
      </c>
      <c r="B324" s="2" t="str">
        <f t="shared" si="34"/>
        <v>1940</v>
      </c>
      <c r="C324" s="8" t="str">
        <f t="shared" si="33"/>
        <v>0PremiumSS4</v>
      </c>
      <c r="D324" s="8" t="str">
        <f t="shared" si="35"/>
        <v>0PremiumSS4</v>
      </c>
      <c r="E324" s="10">
        <v>0</v>
      </c>
      <c r="F324" s="6">
        <v>324</v>
      </c>
      <c r="G324" s="8" t="str">
        <f>VLOOKUP(F324,[1]characters!$A:$C,3,FALSE)</f>
        <v>凛志士 沖田総司</v>
      </c>
      <c r="H324" s="8" t="str">
        <f>VLOOKUP(F324,[1]characters!$A:$J,10,FALSE)</f>
        <v>PremiumSS</v>
      </c>
      <c r="I324" s="8">
        <f>VLOOKUP(F324,[1]characters!$A:$I,9,FALSE)</f>
        <v>4</v>
      </c>
      <c r="J324" s="8" t="str">
        <f>VLOOKUP(F324,[1]characters!$A:$H,8,FALSE)</f>
        <v>blue</v>
      </c>
      <c r="K324" s="8" t="str">
        <f>VLOOKUP(F324,[1]characters!$A:$K,11,FALSE)</f>
        <v>balance</v>
      </c>
      <c r="L324" s="8" t="str">
        <f>VLOOKUP(F324,[1]characters!$A:$M,13,FALSE)</f>
        <v>human</v>
      </c>
      <c r="M324" s="16">
        <f>IFERROR(VLOOKUP(F324,gacha_conf!A$50:F$62,5+E324,FALSE),VLOOKUP(D324,gacha_conf!D$18:E$46,2,FALSE))</f>
        <v>701</v>
      </c>
      <c r="N324" s="37">
        <f>IFERROR(VLOOKUP($F324,bug_conf_sheet!$A:$H,3,FALSE),VLOOKUP("other",bug_conf_sheet!$A:$H,3,FALSE))</f>
        <v>1</v>
      </c>
      <c r="O324" s="37">
        <f>IFERROR(VLOOKUP($F324,bug_conf_sheet!$A:$H,4,FALSE),VLOOKUP("other",bug_conf_sheet!$A:$H,4,FALSE))</f>
        <v>0</v>
      </c>
      <c r="P324" s="37">
        <f>IFERROR(VLOOKUP($F324,bug_conf_sheet!$A:$H,5,FALSE),VLOOKUP("other",bug_conf_sheet!$A:$H,5,FALSE))</f>
        <v>0</v>
      </c>
      <c r="Q324" s="37">
        <f>IFERROR(VLOOKUP($F324,bug_conf_sheet!$A:$H,6,FALSE),VLOOKUP("other",bug_conf_sheet!$A:$H,6,FALSE))</f>
        <v>0</v>
      </c>
      <c r="R324" s="37">
        <f>IFERROR(VLOOKUP($F324,bug_conf_sheet!$A:$H,7,FALSE),VLOOKUP("other",bug_conf_sheet!$A:$H,7,FALSE))</f>
        <v>0</v>
      </c>
      <c r="S324" s="37">
        <f>IFERROR(VLOOKUP($F324,bug_conf_sheet!$A:$H,8,FALSE),VLOOKUP("other",bug_conf_sheet!$A:$H,8,FALSE))</f>
        <v>1</v>
      </c>
    </row>
    <row r="325" spans="1:19" ht="21" customHeight="1">
      <c r="A325" s="7" t="str">
        <f t="shared" si="32"/>
        <v>1940325</v>
      </c>
      <c r="B325" s="2" t="str">
        <f t="shared" si="34"/>
        <v>1940</v>
      </c>
      <c r="C325" s="8" t="str">
        <f t="shared" si="33"/>
        <v>0PremiumSS5</v>
      </c>
      <c r="D325" s="8" t="str">
        <f t="shared" si="35"/>
        <v>0PremiumSS5</v>
      </c>
      <c r="E325" s="10">
        <v>0</v>
      </c>
      <c r="F325" s="6">
        <v>325</v>
      </c>
      <c r="G325" s="8" t="str">
        <f>VLOOKUP(F325,[1]characters!$A:$C,3,FALSE)</f>
        <v>天賦の凛志士 沖田総司</v>
      </c>
      <c r="H325" s="8" t="str">
        <f>VLOOKUP(F325,[1]characters!$A:$J,10,FALSE)</f>
        <v>PremiumSS</v>
      </c>
      <c r="I325" s="8">
        <f>VLOOKUP(F325,[1]characters!$A:$I,9,FALSE)</f>
        <v>5</v>
      </c>
      <c r="J325" s="8" t="str">
        <f>VLOOKUP(F325,[1]characters!$A:$H,8,FALSE)</f>
        <v>blue</v>
      </c>
      <c r="K325" s="8" t="str">
        <f>VLOOKUP(F325,[1]characters!$A:$K,11,FALSE)</f>
        <v>balance</v>
      </c>
      <c r="L325" s="8" t="str">
        <f>VLOOKUP(F325,[1]characters!$A:$M,13,FALSE)</f>
        <v>human</v>
      </c>
      <c r="M325" s="16">
        <f>IFERROR(VLOOKUP(F325,gacha_conf!A$50:F$62,5+E325,FALSE),VLOOKUP(D325,gacha_conf!D$18:E$46,2,FALSE))</f>
        <v>45</v>
      </c>
      <c r="N325" s="37">
        <f>IFERROR(VLOOKUP($F325,bug_conf_sheet!$A:$H,3,FALSE),VLOOKUP("other",bug_conf_sheet!$A:$H,3,FALSE))</f>
        <v>1</v>
      </c>
      <c r="O325" s="37">
        <f>IFERROR(VLOOKUP($F325,bug_conf_sheet!$A:$H,4,FALSE),VLOOKUP("other",bug_conf_sheet!$A:$H,4,FALSE))</f>
        <v>0</v>
      </c>
      <c r="P325" s="37">
        <f>IFERROR(VLOOKUP($F325,bug_conf_sheet!$A:$H,5,FALSE),VLOOKUP("other",bug_conf_sheet!$A:$H,5,FALSE))</f>
        <v>0</v>
      </c>
      <c r="Q325" s="37">
        <f>IFERROR(VLOOKUP($F325,bug_conf_sheet!$A:$H,6,FALSE),VLOOKUP("other",bug_conf_sheet!$A:$H,6,FALSE))</f>
        <v>0</v>
      </c>
      <c r="R325" s="37">
        <f>IFERROR(VLOOKUP($F325,bug_conf_sheet!$A:$H,7,FALSE),VLOOKUP("other",bug_conf_sheet!$A:$H,7,FALSE))</f>
        <v>0</v>
      </c>
      <c r="S325" s="37">
        <f>IFERROR(VLOOKUP($F325,bug_conf_sheet!$A:$H,8,FALSE),VLOOKUP("other",bug_conf_sheet!$A:$H,8,FALSE))</f>
        <v>1</v>
      </c>
    </row>
    <row r="326" spans="1:19" ht="21" customHeight="1">
      <c r="A326" s="7" t="str">
        <f t="shared" si="32"/>
        <v>1940326</v>
      </c>
      <c r="B326" s="2" t="str">
        <f t="shared" si="34"/>
        <v>1940</v>
      </c>
      <c r="C326" s="8" t="str">
        <f t="shared" si="33"/>
        <v>0PremiumSS4</v>
      </c>
      <c r="D326" s="8" t="str">
        <f t="shared" si="35"/>
        <v>0PremiumSS4</v>
      </c>
      <c r="E326" s="10">
        <v>0</v>
      </c>
      <c r="F326" s="6">
        <v>326</v>
      </c>
      <c r="G326" s="8" t="str">
        <f>VLOOKUP(F326,[1]characters!$A:$C,3,FALSE)</f>
        <v>妖志士 斎藤一</v>
      </c>
      <c r="H326" s="8" t="str">
        <f>VLOOKUP(F326,[1]characters!$A:$J,10,FALSE)</f>
        <v>PremiumSS</v>
      </c>
      <c r="I326" s="8">
        <f>VLOOKUP(F326,[1]characters!$A:$I,9,FALSE)</f>
        <v>4</v>
      </c>
      <c r="J326" s="8" t="str">
        <f>VLOOKUP(F326,[1]characters!$A:$H,8,FALSE)</f>
        <v>yellow</v>
      </c>
      <c r="K326" s="8" t="str">
        <f>VLOOKUP(F326,[1]characters!$A:$K,11,FALSE)</f>
        <v>technical</v>
      </c>
      <c r="L326" s="8" t="str">
        <f>VLOOKUP(F326,[1]characters!$A:$M,13,FALSE)</f>
        <v>human</v>
      </c>
      <c r="M326" s="16">
        <f>IFERROR(VLOOKUP(F326,gacha_conf!A$50:F$62,5+E326,FALSE),VLOOKUP(D326,gacha_conf!D$18:E$46,2,FALSE))</f>
        <v>701</v>
      </c>
      <c r="N326" s="37">
        <f>IFERROR(VLOOKUP($F326,bug_conf_sheet!$A:$H,3,FALSE),VLOOKUP("other",bug_conf_sheet!$A:$H,3,FALSE))</f>
        <v>1</v>
      </c>
      <c r="O326" s="37">
        <f>IFERROR(VLOOKUP($F326,bug_conf_sheet!$A:$H,4,FALSE),VLOOKUP("other",bug_conf_sheet!$A:$H,4,FALSE))</f>
        <v>0</v>
      </c>
      <c r="P326" s="37">
        <f>IFERROR(VLOOKUP($F326,bug_conf_sheet!$A:$H,5,FALSE),VLOOKUP("other",bug_conf_sheet!$A:$H,5,FALSE))</f>
        <v>0</v>
      </c>
      <c r="Q326" s="37">
        <f>IFERROR(VLOOKUP($F326,bug_conf_sheet!$A:$H,6,FALSE),VLOOKUP("other",bug_conf_sheet!$A:$H,6,FALSE))</f>
        <v>0</v>
      </c>
      <c r="R326" s="37">
        <f>IFERROR(VLOOKUP($F326,bug_conf_sheet!$A:$H,7,FALSE),VLOOKUP("other",bug_conf_sheet!$A:$H,7,FALSE))</f>
        <v>0</v>
      </c>
      <c r="S326" s="37">
        <f>IFERROR(VLOOKUP($F326,bug_conf_sheet!$A:$H,8,FALSE),VLOOKUP("other",bug_conf_sheet!$A:$H,8,FALSE))</f>
        <v>1</v>
      </c>
    </row>
    <row r="327" spans="1:19" ht="21" customHeight="1">
      <c r="A327" s="7" t="str">
        <f t="shared" si="32"/>
        <v>1940327</v>
      </c>
      <c r="B327" s="2" t="str">
        <f t="shared" si="34"/>
        <v>1940</v>
      </c>
      <c r="C327" s="8" t="str">
        <f t="shared" si="33"/>
        <v>0PremiumSS5</v>
      </c>
      <c r="D327" s="8" t="str">
        <f t="shared" si="35"/>
        <v>0PremiumSS5</v>
      </c>
      <c r="E327" s="10">
        <v>0</v>
      </c>
      <c r="F327" s="6">
        <v>327</v>
      </c>
      <c r="G327" s="8" t="str">
        <f>VLOOKUP(F327,[1]characters!$A:$C,3,FALSE)</f>
        <v>千殺の妖志士 斎藤一</v>
      </c>
      <c r="H327" s="8" t="str">
        <f>VLOOKUP(F327,[1]characters!$A:$J,10,FALSE)</f>
        <v>PremiumSS</v>
      </c>
      <c r="I327" s="8">
        <f>VLOOKUP(F327,[1]characters!$A:$I,9,FALSE)</f>
        <v>5</v>
      </c>
      <c r="J327" s="8" t="str">
        <f>VLOOKUP(F327,[1]characters!$A:$H,8,FALSE)</f>
        <v>yellow</v>
      </c>
      <c r="K327" s="8" t="str">
        <f>VLOOKUP(F327,[1]characters!$A:$K,11,FALSE)</f>
        <v>technical</v>
      </c>
      <c r="L327" s="8" t="str">
        <f>VLOOKUP(F327,[1]characters!$A:$M,13,FALSE)</f>
        <v>human</v>
      </c>
      <c r="M327" s="16">
        <f>IFERROR(VLOOKUP(F327,gacha_conf!A$50:F$62,5+E327,FALSE),VLOOKUP(D327,gacha_conf!D$18:E$46,2,FALSE))</f>
        <v>45</v>
      </c>
      <c r="N327" s="37">
        <f>IFERROR(VLOOKUP($F327,bug_conf_sheet!$A:$H,3,FALSE),VLOOKUP("other",bug_conf_sheet!$A:$H,3,FALSE))</f>
        <v>1</v>
      </c>
      <c r="O327" s="37">
        <f>IFERROR(VLOOKUP($F327,bug_conf_sheet!$A:$H,4,FALSE),VLOOKUP("other",bug_conf_sheet!$A:$H,4,FALSE))</f>
        <v>0</v>
      </c>
      <c r="P327" s="37">
        <f>IFERROR(VLOOKUP($F327,bug_conf_sheet!$A:$H,5,FALSE),VLOOKUP("other",bug_conf_sheet!$A:$H,5,FALSE))</f>
        <v>0</v>
      </c>
      <c r="Q327" s="37">
        <f>IFERROR(VLOOKUP($F327,bug_conf_sheet!$A:$H,6,FALSE),VLOOKUP("other",bug_conf_sheet!$A:$H,6,FALSE))</f>
        <v>0</v>
      </c>
      <c r="R327" s="37">
        <f>IFERROR(VLOOKUP($F327,bug_conf_sheet!$A:$H,7,FALSE),VLOOKUP("other",bug_conf_sheet!$A:$H,7,FALSE))</f>
        <v>0</v>
      </c>
      <c r="S327" s="37">
        <f>IFERROR(VLOOKUP($F327,bug_conf_sheet!$A:$H,8,FALSE),VLOOKUP("other",bug_conf_sheet!$A:$H,8,FALSE))</f>
        <v>1</v>
      </c>
    </row>
    <row r="328" spans="1:19" ht="21" customHeight="1">
      <c r="A328" s="7" t="str">
        <f t="shared" si="32"/>
        <v>1940381</v>
      </c>
      <c r="B328" s="2" t="str">
        <f t="shared" si="34"/>
        <v>1940</v>
      </c>
      <c r="C328" s="8" t="str">
        <f t="shared" si="33"/>
        <v>0PremiumS4</v>
      </c>
      <c r="D328" s="8" t="str">
        <f t="shared" si="35"/>
        <v>0PremiumS4</v>
      </c>
      <c r="E328" s="10">
        <v>0</v>
      </c>
      <c r="F328" s="6">
        <v>381</v>
      </c>
      <c r="G328" s="8" t="str">
        <f>VLOOKUP(F328,[1]characters!$A:$C,3,FALSE)</f>
        <v>肉食の恋火 バハムート</v>
      </c>
      <c r="H328" s="8" t="str">
        <f>VLOOKUP(F328,[1]characters!$A:$J,10,FALSE)</f>
        <v>PremiumS</v>
      </c>
      <c r="I328" s="8">
        <f>VLOOKUP(F328,[1]characters!$A:$I,9,FALSE)</f>
        <v>4</v>
      </c>
      <c r="J328" s="8" t="str">
        <f>VLOOKUP(F328,[1]characters!$A:$H,8,FALSE)</f>
        <v>red</v>
      </c>
      <c r="K328" s="8" t="str">
        <f>VLOOKUP(F328,[1]characters!$A:$K,11,FALSE)</f>
        <v>technical</v>
      </c>
      <c r="L328" s="8" t="str">
        <f>VLOOKUP(F328,[1]characters!$A:$M,13,FALSE)</f>
        <v>dragon</v>
      </c>
      <c r="M328" s="16">
        <f>IFERROR(VLOOKUP(F328,gacha_conf!A$50:F$62,5+E328,FALSE),VLOOKUP(D328,gacha_conf!D$18:E$46,2,FALSE))</f>
        <v>6166</v>
      </c>
      <c r="N328" s="37">
        <f>IFERROR(VLOOKUP($F328,bug_conf_sheet!$A:$H,3,FALSE),VLOOKUP("other",bug_conf_sheet!$A:$H,3,FALSE))</f>
        <v>1</v>
      </c>
      <c r="O328" s="37">
        <f>IFERROR(VLOOKUP($F328,bug_conf_sheet!$A:$H,4,FALSE),VLOOKUP("other",bug_conf_sheet!$A:$H,4,FALSE))</f>
        <v>0</v>
      </c>
      <c r="P328" s="37">
        <f>IFERROR(VLOOKUP($F328,bug_conf_sheet!$A:$H,5,FALSE),VLOOKUP("other",bug_conf_sheet!$A:$H,5,FALSE))</f>
        <v>0</v>
      </c>
      <c r="Q328" s="37">
        <f>IFERROR(VLOOKUP($F328,bug_conf_sheet!$A:$H,6,FALSE),VLOOKUP("other",bug_conf_sheet!$A:$H,6,FALSE))</f>
        <v>0</v>
      </c>
      <c r="R328" s="37">
        <f>IFERROR(VLOOKUP($F328,bug_conf_sheet!$A:$H,7,FALSE),VLOOKUP("other",bug_conf_sheet!$A:$H,7,FALSE))</f>
        <v>0</v>
      </c>
      <c r="S328" s="37">
        <f>IFERROR(VLOOKUP($F328,bug_conf_sheet!$A:$H,8,FALSE),VLOOKUP("other",bug_conf_sheet!$A:$H,8,FALSE))</f>
        <v>1</v>
      </c>
    </row>
    <row r="329" spans="1:19" ht="21" customHeight="1">
      <c r="A329" s="7" t="str">
        <f t="shared" si="32"/>
        <v>1940382</v>
      </c>
      <c r="B329" s="2" t="str">
        <f t="shared" si="34"/>
        <v>1940</v>
      </c>
      <c r="C329" s="8" t="str">
        <f t="shared" si="33"/>
        <v>0PremiumS5</v>
      </c>
      <c r="D329" s="8" t="str">
        <f t="shared" si="35"/>
        <v>0PremiumS5</v>
      </c>
      <c r="E329" s="10">
        <v>0</v>
      </c>
      <c r="F329" s="6">
        <v>382</v>
      </c>
      <c r="G329" s="8" t="str">
        <f>VLOOKUP(F329,[1]characters!$A:$C,3,FALSE)</f>
        <v>激情の愛炎 バハムート</v>
      </c>
      <c r="H329" s="8" t="str">
        <f>VLOOKUP(F329,[1]characters!$A:$J,10,FALSE)</f>
        <v>PremiumS</v>
      </c>
      <c r="I329" s="8">
        <f>VLOOKUP(F329,[1]characters!$A:$I,9,FALSE)</f>
        <v>5</v>
      </c>
      <c r="J329" s="8" t="str">
        <f>VLOOKUP(F329,[1]characters!$A:$H,8,FALSE)</f>
        <v>red</v>
      </c>
      <c r="K329" s="8" t="str">
        <f>VLOOKUP(F329,[1]characters!$A:$K,11,FALSE)</f>
        <v>technical</v>
      </c>
      <c r="L329" s="8" t="str">
        <f>VLOOKUP(F329,[1]characters!$A:$M,13,FALSE)</f>
        <v>dragon</v>
      </c>
      <c r="M329" s="16">
        <f>IFERROR(VLOOKUP(F329,gacha_conf!A$50:F$62,5+E329,FALSE),VLOOKUP(D329,gacha_conf!D$18:E$46,2,FALSE))</f>
        <v>394</v>
      </c>
      <c r="N329" s="37">
        <f>IFERROR(VLOOKUP($F329,bug_conf_sheet!$A:$H,3,FALSE),VLOOKUP("other",bug_conf_sheet!$A:$H,3,FALSE))</f>
        <v>1</v>
      </c>
      <c r="O329" s="37">
        <f>IFERROR(VLOOKUP($F329,bug_conf_sheet!$A:$H,4,FALSE),VLOOKUP("other",bug_conf_sheet!$A:$H,4,FALSE))</f>
        <v>0</v>
      </c>
      <c r="P329" s="37">
        <f>IFERROR(VLOOKUP($F329,bug_conf_sheet!$A:$H,5,FALSE),VLOOKUP("other",bug_conf_sheet!$A:$H,5,FALSE))</f>
        <v>0</v>
      </c>
      <c r="Q329" s="37">
        <f>IFERROR(VLOOKUP($F329,bug_conf_sheet!$A:$H,6,FALSE),VLOOKUP("other",bug_conf_sheet!$A:$H,6,FALSE))</f>
        <v>0</v>
      </c>
      <c r="R329" s="37">
        <f>IFERROR(VLOOKUP($F329,bug_conf_sheet!$A:$H,7,FALSE),VLOOKUP("other",bug_conf_sheet!$A:$H,7,FALSE))</f>
        <v>0</v>
      </c>
      <c r="S329" s="37">
        <f>IFERROR(VLOOKUP($F329,bug_conf_sheet!$A:$H,8,FALSE),VLOOKUP("other",bug_conf_sheet!$A:$H,8,FALSE))</f>
        <v>1</v>
      </c>
    </row>
    <row r="330" spans="1:19" ht="21" customHeight="1">
      <c r="A330" s="7" t="str">
        <f t="shared" si="32"/>
        <v>1940383</v>
      </c>
      <c r="B330" s="2" t="str">
        <f t="shared" si="34"/>
        <v>1940</v>
      </c>
      <c r="C330" s="8" t="str">
        <f t="shared" si="33"/>
        <v>0PremiumSS4</v>
      </c>
      <c r="D330" s="8" t="str">
        <f t="shared" si="35"/>
        <v>0PremiumSS4</v>
      </c>
      <c r="E330" s="10">
        <v>0</v>
      </c>
      <c r="F330" s="6">
        <v>383</v>
      </c>
      <c r="G330" s="8" t="str">
        <f>VLOOKUP(F330,[1]characters!$A:$C,3,FALSE)</f>
        <v>酒宴の蟒蛇 ヤマタノオロチ</v>
      </c>
      <c r="H330" s="8" t="str">
        <f>VLOOKUP(F330,[1]characters!$A:$J,10,FALSE)</f>
        <v>PremiumSS</v>
      </c>
      <c r="I330" s="8">
        <f>VLOOKUP(F330,[1]characters!$A:$I,9,FALSE)</f>
        <v>4</v>
      </c>
      <c r="J330" s="8" t="str">
        <f>VLOOKUP(F330,[1]characters!$A:$H,8,FALSE)</f>
        <v>green</v>
      </c>
      <c r="K330" s="8" t="str">
        <f>VLOOKUP(F330,[1]characters!$A:$K,11,FALSE)</f>
        <v>hp</v>
      </c>
      <c r="L330" s="8" t="str">
        <f>VLOOKUP(F330,[1]characters!$A:$M,13,FALSE)</f>
        <v>dragon</v>
      </c>
      <c r="M330" s="16">
        <f>IFERROR(VLOOKUP(F330,gacha_conf!A$50:F$62,5+E330,FALSE),VLOOKUP(D330,gacha_conf!D$18:E$46,2,FALSE))</f>
        <v>701</v>
      </c>
      <c r="N330" s="37">
        <f>IFERROR(VLOOKUP($F330,bug_conf_sheet!$A:$H,3,FALSE),VLOOKUP("other",bug_conf_sheet!$A:$H,3,FALSE))</f>
        <v>1</v>
      </c>
      <c r="O330" s="37">
        <f>IFERROR(VLOOKUP($F330,bug_conf_sheet!$A:$H,4,FALSE),VLOOKUP("other",bug_conf_sheet!$A:$H,4,FALSE))</f>
        <v>0</v>
      </c>
      <c r="P330" s="37">
        <f>IFERROR(VLOOKUP($F330,bug_conf_sheet!$A:$H,5,FALSE),VLOOKUP("other",bug_conf_sheet!$A:$H,5,FALSE))</f>
        <v>0</v>
      </c>
      <c r="Q330" s="37">
        <f>IFERROR(VLOOKUP($F330,bug_conf_sheet!$A:$H,6,FALSE),VLOOKUP("other",bug_conf_sheet!$A:$H,6,FALSE))</f>
        <v>0</v>
      </c>
      <c r="R330" s="37">
        <f>IFERROR(VLOOKUP($F330,bug_conf_sheet!$A:$H,7,FALSE),VLOOKUP("other",bug_conf_sheet!$A:$H,7,FALSE))</f>
        <v>0</v>
      </c>
      <c r="S330" s="37">
        <f>IFERROR(VLOOKUP($F330,bug_conf_sheet!$A:$H,8,FALSE),VLOOKUP("other",bug_conf_sheet!$A:$H,8,FALSE))</f>
        <v>1</v>
      </c>
    </row>
    <row r="331" spans="1:19" ht="21" customHeight="1">
      <c r="A331" s="7" t="str">
        <f t="shared" si="32"/>
        <v>1940384</v>
      </c>
      <c r="B331" s="2" t="str">
        <f t="shared" si="34"/>
        <v>1940</v>
      </c>
      <c r="C331" s="8" t="str">
        <f t="shared" si="33"/>
        <v>0PremiumSS5</v>
      </c>
      <c r="D331" s="8" t="str">
        <f t="shared" si="35"/>
        <v>0PremiumSS5</v>
      </c>
      <c r="E331" s="10">
        <v>0</v>
      </c>
      <c r="F331" s="6">
        <v>384</v>
      </c>
      <c r="G331" s="8" t="str">
        <f>VLOOKUP(F331,[1]characters!$A:$C,3,FALSE)</f>
        <v>破国の呑龍 ヤマタノオロチ</v>
      </c>
      <c r="H331" s="8" t="str">
        <f>VLOOKUP(F331,[1]characters!$A:$J,10,FALSE)</f>
        <v>PremiumSS</v>
      </c>
      <c r="I331" s="8">
        <f>VLOOKUP(F331,[1]characters!$A:$I,9,FALSE)</f>
        <v>5</v>
      </c>
      <c r="J331" s="8" t="str">
        <f>VLOOKUP(F331,[1]characters!$A:$H,8,FALSE)</f>
        <v>green</v>
      </c>
      <c r="K331" s="8" t="str">
        <f>VLOOKUP(F331,[1]characters!$A:$K,11,FALSE)</f>
        <v>hp</v>
      </c>
      <c r="L331" s="8" t="str">
        <f>VLOOKUP(F331,[1]characters!$A:$M,13,FALSE)</f>
        <v>dragon</v>
      </c>
      <c r="M331" s="16">
        <f>IFERROR(VLOOKUP(F331,gacha_conf!A$50:F$62,5+E331,FALSE),VLOOKUP(D331,gacha_conf!D$18:E$46,2,FALSE))</f>
        <v>45</v>
      </c>
      <c r="N331" s="37">
        <f>IFERROR(VLOOKUP($F331,bug_conf_sheet!$A:$H,3,FALSE),VLOOKUP("other",bug_conf_sheet!$A:$H,3,FALSE))</f>
        <v>1</v>
      </c>
      <c r="O331" s="37">
        <f>IFERROR(VLOOKUP($F331,bug_conf_sheet!$A:$H,4,FALSE),VLOOKUP("other",bug_conf_sheet!$A:$H,4,FALSE))</f>
        <v>0</v>
      </c>
      <c r="P331" s="37">
        <f>IFERROR(VLOOKUP($F331,bug_conf_sheet!$A:$H,5,FALSE),VLOOKUP("other",bug_conf_sheet!$A:$H,5,FALSE))</f>
        <v>0</v>
      </c>
      <c r="Q331" s="37">
        <f>IFERROR(VLOOKUP($F331,bug_conf_sheet!$A:$H,6,FALSE),VLOOKUP("other",bug_conf_sheet!$A:$H,6,FALSE))</f>
        <v>0</v>
      </c>
      <c r="R331" s="37">
        <f>IFERROR(VLOOKUP($F331,bug_conf_sheet!$A:$H,7,FALSE),VLOOKUP("other",bug_conf_sheet!$A:$H,7,FALSE))</f>
        <v>0</v>
      </c>
      <c r="S331" s="37">
        <f>IFERROR(VLOOKUP($F331,bug_conf_sheet!$A:$H,8,FALSE),VLOOKUP("other",bug_conf_sheet!$A:$H,8,FALSE))</f>
        <v>1</v>
      </c>
    </row>
    <row r="332" spans="1:19" ht="21" customHeight="1">
      <c r="A332" s="7" t="str">
        <f t="shared" si="32"/>
        <v>1940385</v>
      </c>
      <c r="B332" s="2" t="str">
        <f t="shared" si="34"/>
        <v>1940</v>
      </c>
      <c r="C332" s="8" t="str">
        <f t="shared" si="33"/>
        <v>0PremiumSS4</v>
      </c>
      <c r="D332" s="8" t="str">
        <f t="shared" si="35"/>
        <v>0PremiumSS4</v>
      </c>
      <c r="E332" s="10">
        <v>0</v>
      </c>
      <c r="F332" s="6">
        <v>385</v>
      </c>
      <c r="G332" s="8" t="str">
        <f>VLOOKUP(F332,[1]characters!$A:$C,3,FALSE)</f>
        <v>波烈の出奔 リヴァイアサン</v>
      </c>
      <c r="H332" s="8" t="str">
        <f>VLOOKUP(F332,[1]characters!$A:$J,10,FALSE)</f>
        <v>PremiumSS</v>
      </c>
      <c r="I332" s="8">
        <f>VLOOKUP(F332,[1]characters!$A:$I,9,FALSE)</f>
        <v>4</v>
      </c>
      <c r="J332" s="8" t="str">
        <f>VLOOKUP(F332,[1]characters!$A:$H,8,FALSE)</f>
        <v>blue</v>
      </c>
      <c r="K332" s="8" t="str">
        <f>VLOOKUP(F332,[1]characters!$A:$K,11,FALSE)</f>
        <v>balance</v>
      </c>
      <c r="L332" s="8" t="str">
        <f>VLOOKUP(F332,[1]characters!$A:$M,13,FALSE)</f>
        <v>dragon</v>
      </c>
      <c r="M332" s="16">
        <f>IFERROR(VLOOKUP(F332,gacha_conf!A$50:F$62,5+E332,FALSE),VLOOKUP(D332,gacha_conf!D$18:E$46,2,FALSE))</f>
        <v>701</v>
      </c>
      <c r="N332" s="37">
        <f>IFERROR(VLOOKUP($F332,bug_conf_sheet!$A:$H,3,FALSE),VLOOKUP("other",bug_conf_sheet!$A:$H,3,FALSE))</f>
        <v>1</v>
      </c>
      <c r="O332" s="37">
        <f>IFERROR(VLOOKUP($F332,bug_conf_sheet!$A:$H,4,FALSE),VLOOKUP("other",bug_conf_sheet!$A:$H,4,FALSE))</f>
        <v>0</v>
      </c>
      <c r="P332" s="37">
        <f>IFERROR(VLOOKUP($F332,bug_conf_sheet!$A:$H,5,FALSE),VLOOKUP("other",bug_conf_sheet!$A:$H,5,FALSE))</f>
        <v>0</v>
      </c>
      <c r="Q332" s="37">
        <f>IFERROR(VLOOKUP($F332,bug_conf_sheet!$A:$H,6,FALSE),VLOOKUP("other",bug_conf_sheet!$A:$H,6,FALSE))</f>
        <v>0</v>
      </c>
      <c r="R332" s="37">
        <f>IFERROR(VLOOKUP($F332,bug_conf_sheet!$A:$H,7,FALSE),VLOOKUP("other",bug_conf_sheet!$A:$H,7,FALSE))</f>
        <v>0</v>
      </c>
      <c r="S332" s="37">
        <f>IFERROR(VLOOKUP($F332,bug_conf_sheet!$A:$H,8,FALSE),VLOOKUP("other",bug_conf_sheet!$A:$H,8,FALSE))</f>
        <v>1</v>
      </c>
    </row>
    <row r="333" spans="1:19" ht="21" customHeight="1">
      <c r="A333" s="7" t="str">
        <f t="shared" si="32"/>
        <v>1940386</v>
      </c>
      <c r="B333" s="2" t="str">
        <f t="shared" si="34"/>
        <v>1940</v>
      </c>
      <c r="C333" s="8" t="str">
        <f t="shared" si="33"/>
        <v>0PremiumSS5</v>
      </c>
      <c r="D333" s="8" t="str">
        <f t="shared" si="35"/>
        <v>0PremiumSS5</v>
      </c>
      <c r="E333" s="10">
        <v>0</v>
      </c>
      <c r="F333" s="6">
        <v>386</v>
      </c>
      <c r="G333" s="8" t="str">
        <f>VLOOKUP(F333,[1]characters!$A:$C,3,FALSE)</f>
        <v>氾乱の海龍 リヴァイアサン</v>
      </c>
      <c r="H333" s="8" t="str">
        <f>VLOOKUP(F333,[1]characters!$A:$J,10,FALSE)</f>
        <v>PremiumSS</v>
      </c>
      <c r="I333" s="8">
        <f>VLOOKUP(F333,[1]characters!$A:$I,9,FALSE)</f>
        <v>5</v>
      </c>
      <c r="J333" s="8" t="str">
        <f>VLOOKUP(F333,[1]characters!$A:$H,8,FALSE)</f>
        <v>blue</v>
      </c>
      <c r="K333" s="8" t="str">
        <f>VLOOKUP(F333,[1]characters!$A:$K,11,FALSE)</f>
        <v>balance</v>
      </c>
      <c r="L333" s="8" t="str">
        <f>VLOOKUP(F333,[1]characters!$A:$M,13,FALSE)</f>
        <v>dragon</v>
      </c>
      <c r="M333" s="16">
        <f>IFERROR(VLOOKUP(F333,gacha_conf!A$50:F$62,5+E333,FALSE),VLOOKUP(D333,gacha_conf!D$18:E$46,2,FALSE))</f>
        <v>45</v>
      </c>
      <c r="N333" s="37">
        <f>IFERROR(VLOOKUP($F333,bug_conf_sheet!$A:$H,3,FALSE),VLOOKUP("other",bug_conf_sheet!$A:$H,3,FALSE))</f>
        <v>1</v>
      </c>
      <c r="O333" s="37">
        <f>IFERROR(VLOOKUP($F333,bug_conf_sheet!$A:$H,4,FALSE),VLOOKUP("other",bug_conf_sheet!$A:$H,4,FALSE))</f>
        <v>0</v>
      </c>
      <c r="P333" s="37">
        <f>IFERROR(VLOOKUP($F333,bug_conf_sheet!$A:$H,5,FALSE),VLOOKUP("other",bug_conf_sheet!$A:$H,5,FALSE))</f>
        <v>0</v>
      </c>
      <c r="Q333" s="37">
        <f>IFERROR(VLOOKUP($F333,bug_conf_sheet!$A:$H,6,FALSE),VLOOKUP("other",bug_conf_sheet!$A:$H,6,FALSE))</f>
        <v>0</v>
      </c>
      <c r="R333" s="37">
        <f>IFERROR(VLOOKUP($F333,bug_conf_sheet!$A:$H,7,FALSE),VLOOKUP("other",bug_conf_sheet!$A:$H,7,FALSE))</f>
        <v>0</v>
      </c>
      <c r="S333" s="37">
        <f>IFERROR(VLOOKUP($F333,bug_conf_sheet!$A:$H,8,FALSE),VLOOKUP("other",bug_conf_sheet!$A:$H,8,FALSE))</f>
        <v>1</v>
      </c>
    </row>
    <row r="334" spans="1:19" ht="21" customHeight="1">
      <c r="A334" s="7" t="str">
        <f t="shared" si="32"/>
        <v>1940388</v>
      </c>
      <c r="B334" s="2" t="str">
        <f t="shared" si="34"/>
        <v>1940</v>
      </c>
      <c r="C334" s="8" t="str">
        <f t="shared" si="33"/>
        <v>0PremiumS4</v>
      </c>
      <c r="D334" s="8" t="str">
        <f t="shared" si="35"/>
        <v>0PremiumS4</v>
      </c>
      <c r="E334" s="10">
        <v>0</v>
      </c>
      <c r="F334" s="6">
        <v>388</v>
      </c>
      <c r="G334" s="8" t="str">
        <f>VLOOKUP(F334,[1]characters!$A:$C,3,FALSE)</f>
        <v>神円の恋姫 スフィンクス</v>
      </c>
      <c r="H334" s="8" t="str">
        <f>VLOOKUP(F334,[1]characters!$A:$J,10,FALSE)</f>
        <v>PremiumS</v>
      </c>
      <c r="I334" s="8">
        <f>VLOOKUP(F334,[1]characters!$A:$I,9,FALSE)</f>
        <v>4</v>
      </c>
      <c r="J334" s="8" t="str">
        <f>VLOOKUP(F334,[1]characters!$A:$H,8,FALSE)</f>
        <v>yellow</v>
      </c>
      <c r="K334" s="8" t="str">
        <f>VLOOKUP(F334,[1]characters!$A:$K,11,FALSE)</f>
        <v>heal</v>
      </c>
      <c r="L334" s="8" t="str">
        <f>VLOOKUP(F334,[1]characters!$A:$M,13,FALSE)</f>
        <v>animal</v>
      </c>
      <c r="M334" s="16">
        <f>IFERROR(VLOOKUP(F334,gacha_conf!A$50:F$62,5+E334,FALSE),VLOOKUP(D334,gacha_conf!D$18:E$46,2,FALSE))</f>
        <v>6166</v>
      </c>
      <c r="N334" s="37">
        <f>IFERROR(VLOOKUP($F334,bug_conf_sheet!$A:$H,3,FALSE),VLOOKUP("other",bug_conf_sheet!$A:$H,3,FALSE))</f>
        <v>1</v>
      </c>
      <c r="O334" s="37">
        <f>IFERROR(VLOOKUP($F334,bug_conf_sheet!$A:$H,4,FALSE),VLOOKUP("other",bug_conf_sheet!$A:$H,4,FALSE))</f>
        <v>0</v>
      </c>
      <c r="P334" s="37">
        <f>IFERROR(VLOOKUP($F334,bug_conf_sheet!$A:$H,5,FALSE),VLOOKUP("other",bug_conf_sheet!$A:$H,5,FALSE))</f>
        <v>0</v>
      </c>
      <c r="Q334" s="37">
        <f>IFERROR(VLOOKUP($F334,bug_conf_sheet!$A:$H,6,FALSE),VLOOKUP("other",bug_conf_sheet!$A:$H,6,FALSE))</f>
        <v>0</v>
      </c>
      <c r="R334" s="37">
        <f>IFERROR(VLOOKUP($F334,bug_conf_sheet!$A:$H,7,FALSE),VLOOKUP("other",bug_conf_sheet!$A:$H,7,FALSE))</f>
        <v>0</v>
      </c>
      <c r="S334" s="37">
        <f>IFERROR(VLOOKUP($F334,bug_conf_sheet!$A:$H,8,FALSE),VLOOKUP("other",bug_conf_sheet!$A:$H,8,FALSE))</f>
        <v>1</v>
      </c>
    </row>
    <row r="335" spans="1:19" ht="21" customHeight="1">
      <c r="A335" s="7" t="str">
        <f t="shared" si="32"/>
        <v>1940389</v>
      </c>
      <c r="B335" s="2" t="str">
        <f t="shared" si="34"/>
        <v>1940</v>
      </c>
      <c r="C335" s="8" t="str">
        <f t="shared" si="33"/>
        <v>0PremiumS5</v>
      </c>
      <c r="D335" s="8" t="str">
        <f t="shared" si="35"/>
        <v>0PremiumS5</v>
      </c>
      <c r="E335" s="10">
        <v>0</v>
      </c>
      <c r="F335" s="6">
        <v>389</v>
      </c>
      <c r="G335" s="8" t="str">
        <f>VLOOKUP(F335,[1]characters!$A:$C,3,FALSE)</f>
        <v>操神の愛姫 スフィンクス</v>
      </c>
      <c r="H335" s="8" t="str">
        <f>VLOOKUP(F335,[1]characters!$A:$J,10,FALSE)</f>
        <v>PremiumS</v>
      </c>
      <c r="I335" s="8">
        <f>VLOOKUP(F335,[1]characters!$A:$I,9,FALSE)</f>
        <v>5</v>
      </c>
      <c r="J335" s="8" t="str">
        <f>VLOOKUP(F335,[1]characters!$A:$H,8,FALSE)</f>
        <v>yellow</v>
      </c>
      <c r="K335" s="8" t="str">
        <f>VLOOKUP(F335,[1]characters!$A:$K,11,FALSE)</f>
        <v>heal</v>
      </c>
      <c r="L335" s="8" t="str">
        <f>VLOOKUP(F335,[1]characters!$A:$M,13,FALSE)</f>
        <v>animal</v>
      </c>
      <c r="M335" s="16">
        <f>IFERROR(VLOOKUP(F335,gacha_conf!A$50:F$62,5+E335,FALSE),VLOOKUP(D335,gacha_conf!D$18:E$46,2,FALSE))</f>
        <v>394</v>
      </c>
      <c r="N335" s="37">
        <f>IFERROR(VLOOKUP($F335,bug_conf_sheet!$A:$H,3,FALSE),VLOOKUP("other",bug_conf_sheet!$A:$H,3,FALSE))</f>
        <v>1</v>
      </c>
      <c r="O335" s="37">
        <f>IFERROR(VLOOKUP($F335,bug_conf_sheet!$A:$H,4,FALSE),VLOOKUP("other",bug_conf_sheet!$A:$H,4,FALSE))</f>
        <v>0</v>
      </c>
      <c r="P335" s="37">
        <f>IFERROR(VLOOKUP($F335,bug_conf_sheet!$A:$H,5,FALSE),VLOOKUP("other",bug_conf_sheet!$A:$H,5,FALSE))</f>
        <v>0</v>
      </c>
      <c r="Q335" s="37">
        <f>IFERROR(VLOOKUP($F335,bug_conf_sheet!$A:$H,6,FALSE),VLOOKUP("other",bug_conf_sheet!$A:$H,6,FALSE))</f>
        <v>0</v>
      </c>
      <c r="R335" s="37">
        <f>IFERROR(VLOOKUP($F335,bug_conf_sheet!$A:$H,7,FALSE),VLOOKUP("other",bug_conf_sheet!$A:$H,7,FALSE))</f>
        <v>0</v>
      </c>
      <c r="S335" s="37">
        <f>IFERROR(VLOOKUP($F335,bug_conf_sheet!$A:$H,8,FALSE),VLOOKUP("other",bug_conf_sheet!$A:$H,8,FALSE))</f>
        <v>1</v>
      </c>
    </row>
    <row r="336" spans="1:19" ht="21" customHeight="1">
      <c r="A336" s="7" t="str">
        <f t="shared" si="32"/>
        <v>1940390</v>
      </c>
      <c r="B336" s="2" t="str">
        <f t="shared" si="34"/>
        <v>1940</v>
      </c>
      <c r="C336" s="8" t="str">
        <f t="shared" si="33"/>
        <v>0PremiumSS4</v>
      </c>
      <c r="D336" s="8" t="str">
        <f t="shared" si="35"/>
        <v>0PremiumSS4</v>
      </c>
      <c r="E336" s="10">
        <v>0</v>
      </c>
      <c r="F336" s="6">
        <v>390</v>
      </c>
      <c r="G336" s="8" t="str">
        <f>VLOOKUP(F336,[1]characters!$A:$C,3,FALSE)</f>
        <v>華環の旅客 親指姫</v>
      </c>
      <c r="H336" s="8" t="str">
        <f>VLOOKUP(F336,[1]characters!$A:$J,10,FALSE)</f>
        <v>PremiumSS</v>
      </c>
      <c r="I336" s="8">
        <f>VLOOKUP(F336,[1]characters!$A:$I,9,FALSE)</f>
        <v>4</v>
      </c>
      <c r="J336" s="8" t="str">
        <f>VLOOKUP(F336,[1]characters!$A:$H,8,FALSE)</f>
        <v>red</v>
      </c>
      <c r="K336" s="8" t="str">
        <f>VLOOKUP(F336,[1]characters!$A:$K,11,FALSE)</f>
        <v>heal</v>
      </c>
      <c r="L336" s="8" t="str">
        <f>VLOOKUP(F336,[1]characters!$A:$M,13,FALSE)</f>
        <v>human</v>
      </c>
      <c r="M336" s="16">
        <f>IFERROR(VLOOKUP(F336,gacha_conf!A$50:F$62,5+E336,FALSE),VLOOKUP(D336,gacha_conf!D$18:E$46,2,FALSE))</f>
        <v>701</v>
      </c>
      <c r="N336" s="37">
        <f>IFERROR(VLOOKUP($F336,bug_conf_sheet!$A:$H,3,FALSE),VLOOKUP("other",bug_conf_sheet!$A:$H,3,FALSE))</f>
        <v>1</v>
      </c>
      <c r="O336" s="37">
        <f>IFERROR(VLOOKUP($F336,bug_conf_sheet!$A:$H,4,FALSE),VLOOKUP("other",bug_conf_sheet!$A:$H,4,FALSE))</f>
        <v>0</v>
      </c>
      <c r="P336" s="37">
        <f>IFERROR(VLOOKUP($F336,bug_conf_sheet!$A:$H,5,FALSE),VLOOKUP("other",bug_conf_sheet!$A:$H,5,FALSE))</f>
        <v>0</v>
      </c>
      <c r="Q336" s="37">
        <f>IFERROR(VLOOKUP($F336,bug_conf_sheet!$A:$H,6,FALSE),VLOOKUP("other",bug_conf_sheet!$A:$H,6,FALSE))</f>
        <v>0</v>
      </c>
      <c r="R336" s="37">
        <f>IFERROR(VLOOKUP($F336,bug_conf_sheet!$A:$H,7,FALSE),VLOOKUP("other",bug_conf_sheet!$A:$H,7,FALSE))</f>
        <v>0</v>
      </c>
      <c r="S336" s="37">
        <f>IFERROR(VLOOKUP($F336,bug_conf_sheet!$A:$H,8,FALSE),VLOOKUP("other",bug_conf_sheet!$A:$H,8,FALSE))</f>
        <v>1</v>
      </c>
    </row>
    <row r="337" spans="1:19" ht="21" customHeight="1">
      <c r="A337" s="7" t="str">
        <f t="shared" si="32"/>
        <v>1940391</v>
      </c>
      <c r="B337" s="2" t="str">
        <f t="shared" si="34"/>
        <v>1940</v>
      </c>
      <c r="C337" s="8" t="str">
        <f t="shared" si="33"/>
        <v>0PremiumSS5</v>
      </c>
      <c r="D337" s="8" t="str">
        <f t="shared" si="35"/>
        <v>0PremiumSS5</v>
      </c>
      <c r="E337" s="10">
        <v>0</v>
      </c>
      <c r="F337" s="6">
        <v>391</v>
      </c>
      <c r="G337" s="8" t="str">
        <f>VLOOKUP(F337,[1]characters!$A:$C,3,FALSE)</f>
        <v>燕翼の旅人 親指姫</v>
      </c>
      <c r="H337" s="8" t="str">
        <f>VLOOKUP(F337,[1]characters!$A:$J,10,FALSE)</f>
        <v>PremiumSS</v>
      </c>
      <c r="I337" s="8">
        <f>VLOOKUP(F337,[1]characters!$A:$I,9,FALSE)</f>
        <v>5</v>
      </c>
      <c r="J337" s="8" t="str">
        <f>VLOOKUP(F337,[1]characters!$A:$H,8,FALSE)</f>
        <v>red</v>
      </c>
      <c r="K337" s="8" t="str">
        <f>VLOOKUP(F337,[1]characters!$A:$K,11,FALSE)</f>
        <v>heal</v>
      </c>
      <c r="L337" s="8" t="str">
        <f>VLOOKUP(F337,[1]characters!$A:$M,13,FALSE)</f>
        <v>human</v>
      </c>
      <c r="M337" s="16">
        <f>IFERROR(VLOOKUP(F337,gacha_conf!A$50:F$62,5+E337,FALSE),VLOOKUP(D337,gacha_conf!D$18:E$46,2,FALSE))</f>
        <v>45</v>
      </c>
      <c r="N337" s="37">
        <f>IFERROR(VLOOKUP($F337,bug_conf_sheet!$A:$H,3,FALSE),VLOOKUP("other",bug_conf_sheet!$A:$H,3,FALSE))</f>
        <v>1</v>
      </c>
      <c r="O337" s="37">
        <f>IFERROR(VLOOKUP($F337,bug_conf_sheet!$A:$H,4,FALSE),VLOOKUP("other",bug_conf_sheet!$A:$H,4,FALSE))</f>
        <v>0</v>
      </c>
      <c r="P337" s="37">
        <f>IFERROR(VLOOKUP($F337,bug_conf_sheet!$A:$H,5,FALSE),VLOOKUP("other",bug_conf_sheet!$A:$H,5,FALSE))</f>
        <v>0</v>
      </c>
      <c r="Q337" s="37">
        <f>IFERROR(VLOOKUP($F337,bug_conf_sheet!$A:$H,6,FALSE),VLOOKUP("other",bug_conf_sheet!$A:$H,6,FALSE))</f>
        <v>0</v>
      </c>
      <c r="R337" s="37">
        <f>IFERROR(VLOOKUP($F337,bug_conf_sheet!$A:$H,7,FALSE),VLOOKUP("other",bug_conf_sheet!$A:$H,7,FALSE))</f>
        <v>0</v>
      </c>
      <c r="S337" s="37">
        <f>IFERROR(VLOOKUP($F337,bug_conf_sheet!$A:$H,8,FALSE),VLOOKUP("other",bug_conf_sheet!$A:$H,8,FALSE))</f>
        <v>1</v>
      </c>
    </row>
    <row r="338" spans="1:19" ht="21" customHeight="1">
      <c r="A338" s="7" t="str">
        <f t="shared" si="32"/>
        <v>1940393</v>
      </c>
      <c r="B338" s="2" t="str">
        <f t="shared" si="34"/>
        <v>1940</v>
      </c>
      <c r="C338" s="8" t="str">
        <f t="shared" si="33"/>
        <v>0PremiumS4</v>
      </c>
      <c r="D338" s="8" t="str">
        <f t="shared" si="35"/>
        <v>0PremiumS4</v>
      </c>
      <c r="E338" s="10">
        <v>0</v>
      </c>
      <c r="F338" s="6">
        <v>393</v>
      </c>
      <c r="G338" s="8" t="str">
        <f>VLOOKUP(F338,[1]characters!$A:$C,3,FALSE)</f>
        <v>影縫い ピーターパン</v>
      </c>
      <c r="H338" s="8" t="str">
        <f>VLOOKUP(F338,[1]characters!$A:$J,10,FALSE)</f>
        <v>PremiumS</v>
      </c>
      <c r="I338" s="8">
        <f>VLOOKUP(F338,[1]characters!$A:$I,9,FALSE)</f>
        <v>4</v>
      </c>
      <c r="J338" s="8" t="str">
        <f>VLOOKUP(F338,[1]characters!$A:$H,8,FALSE)</f>
        <v>green</v>
      </c>
      <c r="K338" s="8" t="str">
        <f>VLOOKUP(F338,[1]characters!$A:$K,11,FALSE)</f>
        <v>attack</v>
      </c>
      <c r="L338" s="8" t="str">
        <f>VLOOKUP(F338,[1]characters!$A:$M,13,FALSE)</f>
        <v>human</v>
      </c>
      <c r="M338" s="16">
        <f>IFERROR(VLOOKUP(F338,gacha_conf!A$50:F$62,5+E338,FALSE),VLOOKUP(D338,gacha_conf!D$18:E$46,2,FALSE))</f>
        <v>6166</v>
      </c>
      <c r="N338" s="37">
        <f>IFERROR(VLOOKUP($F338,bug_conf_sheet!$A:$H,3,FALSE),VLOOKUP("other",bug_conf_sheet!$A:$H,3,FALSE))</f>
        <v>1</v>
      </c>
      <c r="O338" s="37">
        <f>IFERROR(VLOOKUP($F338,bug_conf_sheet!$A:$H,4,FALSE),VLOOKUP("other",bug_conf_sheet!$A:$H,4,FALSE))</f>
        <v>0</v>
      </c>
      <c r="P338" s="37">
        <f>IFERROR(VLOOKUP($F338,bug_conf_sheet!$A:$H,5,FALSE),VLOOKUP("other",bug_conf_sheet!$A:$H,5,FALSE))</f>
        <v>0</v>
      </c>
      <c r="Q338" s="37">
        <f>IFERROR(VLOOKUP($F338,bug_conf_sheet!$A:$H,6,FALSE),VLOOKUP("other",bug_conf_sheet!$A:$H,6,FALSE))</f>
        <v>0</v>
      </c>
      <c r="R338" s="37">
        <f>IFERROR(VLOOKUP($F338,bug_conf_sheet!$A:$H,7,FALSE),VLOOKUP("other",bug_conf_sheet!$A:$H,7,FALSE))</f>
        <v>0</v>
      </c>
      <c r="S338" s="37">
        <f>IFERROR(VLOOKUP($F338,bug_conf_sheet!$A:$H,8,FALSE),VLOOKUP("other",bug_conf_sheet!$A:$H,8,FALSE))</f>
        <v>1</v>
      </c>
    </row>
    <row r="339" spans="1:19" ht="21" customHeight="1">
      <c r="A339" s="7" t="str">
        <f t="shared" si="32"/>
        <v>1940394</v>
      </c>
      <c r="B339" s="2" t="str">
        <f t="shared" si="34"/>
        <v>1940</v>
      </c>
      <c r="C339" s="8" t="str">
        <f t="shared" si="33"/>
        <v>0PremiumS5</v>
      </c>
      <c r="D339" s="8" t="str">
        <f t="shared" si="35"/>
        <v>0PremiumS5</v>
      </c>
      <c r="E339" s="10">
        <v>0</v>
      </c>
      <c r="F339" s="6">
        <v>394</v>
      </c>
      <c r="G339" s="8" t="str">
        <f>VLOOKUP(F339,[1]characters!$A:$C,3,FALSE)</f>
        <v>影求の悪童 ピーターパン</v>
      </c>
      <c r="H339" s="8" t="str">
        <f>VLOOKUP(F339,[1]characters!$A:$J,10,FALSE)</f>
        <v>PremiumS</v>
      </c>
      <c r="I339" s="8">
        <f>VLOOKUP(F339,[1]characters!$A:$I,9,FALSE)</f>
        <v>5</v>
      </c>
      <c r="J339" s="8" t="str">
        <f>VLOOKUP(F339,[1]characters!$A:$H,8,FALSE)</f>
        <v>green</v>
      </c>
      <c r="K339" s="8" t="str">
        <f>VLOOKUP(F339,[1]characters!$A:$K,11,FALSE)</f>
        <v>attack</v>
      </c>
      <c r="L339" s="8" t="str">
        <f>VLOOKUP(F339,[1]characters!$A:$M,13,FALSE)</f>
        <v>human</v>
      </c>
      <c r="M339" s="16">
        <f>IFERROR(VLOOKUP(F339,gacha_conf!A$50:F$62,5+E339,FALSE),VLOOKUP(D339,gacha_conf!D$18:E$46,2,FALSE))</f>
        <v>394</v>
      </c>
      <c r="N339" s="37">
        <f>IFERROR(VLOOKUP($F339,bug_conf_sheet!$A:$H,3,FALSE),VLOOKUP("other",bug_conf_sheet!$A:$H,3,FALSE))</f>
        <v>1</v>
      </c>
      <c r="O339" s="37">
        <f>IFERROR(VLOOKUP($F339,bug_conf_sheet!$A:$H,4,FALSE),VLOOKUP("other",bug_conf_sheet!$A:$H,4,FALSE))</f>
        <v>0</v>
      </c>
      <c r="P339" s="37">
        <f>IFERROR(VLOOKUP($F339,bug_conf_sheet!$A:$H,5,FALSE),VLOOKUP("other",bug_conf_sheet!$A:$H,5,FALSE))</f>
        <v>0</v>
      </c>
      <c r="Q339" s="37">
        <f>IFERROR(VLOOKUP($F339,bug_conf_sheet!$A:$H,6,FALSE),VLOOKUP("other",bug_conf_sheet!$A:$H,6,FALSE))</f>
        <v>0</v>
      </c>
      <c r="R339" s="37">
        <f>IFERROR(VLOOKUP($F339,bug_conf_sheet!$A:$H,7,FALSE),VLOOKUP("other",bug_conf_sheet!$A:$H,7,FALSE))</f>
        <v>0</v>
      </c>
      <c r="S339" s="37">
        <f>IFERROR(VLOOKUP($F339,bug_conf_sheet!$A:$H,8,FALSE),VLOOKUP("other",bug_conf_sheet!$A:$H,8,FALSE))</f>
        <v>1</v>
      </c>
    </row>
    <row r="340" spans="1:19" ht="21" customHeight="1">
      <c r="A340" s="7" t="str">
        <f t="shared" si="32"/>
        <v>1940396</v>
      </c>
      <c r="B340" s="2" t="str">
        <f t="shared" si="34"/>
        <v>1940</v>
      </c>
      <c r="C340" s="8" t="str">
        <f t="shared" si="33"/>
        <v>0PremiumS4</v>
      </c>
      <c r="D340" s="8" t="str">
        <f t="shared" si="35"/>
        <v>0PremiumS4</v>
      </c>
      <c r="E340" s="10">
        <v>0</v>
      </c>
      <c r="F340" s="6">
        <v>396</v>
      </c>
      <c r="G340" s="8" t="str">
        <f>VLOOKUP(F340,[1]characters!$A:$C,3,FALSE)</f>
        <v>竜宮の水雷 乙姫</v>
      </c>
      <c r="H340" s="8" t="str">
        <f>VLOOKUP(F340,[1]characters!$A:$J,10,FALSE)</f>
        <v>PremiumS</v>
      </c>
      <c r="I340" s="8">
        <f>VLOOKUP(F340,[1]characters!$A:$I,9,FALSE)</f>
        <v>4</v>
      </c>
      <c r="J340" s="8" t="str">
        <f>VLOOKUP(F340,[1]characters!$A:$H,8,FALSE)</f>
        <v>blue</v>
      </c>
      <c r="K340" s="8" t="str">
        <f>VLOOKUP(F340,[1]characters!$A:$K,11,FALSE)</f>
        <v>hp</v>
      </c>
      <c r="L340" s="8" t="str">
        <f>VLOOKUP(F340,[1]characters!$A:$M,13,FALSE)</f>
        <v>human</v>
      </c>
      <c r="M340" s="16">
        <f>IFERROR(VLOOKUP(F340,gacha_conf!A$50:F$62,5+E340,FALSE),VLOOKUP(D340,gacha_conf!D$18:E$46,2,FALSE))</f>
        <v>6166</v>
      </c>
      <c r="N340" s="37">
        <f>IFERROR(VLOOKUP($F340,bug_conf_sheet!$A:$H,3,FALSE),VLOOKUP("other",bug_conf_sheet!$A:$H,3,FALSE))</f>
        <v>1</v>
      </c>
      <c r="O340" s="37">
        <f>IFERROR(VLOOKUP($F340,bug_conf_sheet!$A:$H,4,FALSE),VLOOKUP("other",bug_conf_sheet!$A:$H,4,FALSE))</f>
        <v>0</v>
      </c>
      <c r="P340" s="37">
        <f>IFERROR(VLOOKUP($F340,bug_conf_sheet!$A:$H,5,FALSE),VLOOKUP("other",bug_conf_sheet!$A:$H,5,FALSE))</f>
        <v>0</v>
      </c>
      <c r="Q340" s="37">
        <f>IFERROR(VLOOKUP($F340,bug_conf_sheet!$A:$H,6,FALSE),VLOOKUP("other",bug_conf_sheet!$A:$H,6,FALSE))</f>
        <v>0</v>
      </c>
      <c r="R340" s="37">
        <f>IFERROR(VLOOKUP($F340,bug_conf_sheet!$A:$H,7,FALSE),VLOOKUP("other",bug_conf_sheet!$A:$H,7,FALSE))</f>
        <v>0</v>
      </c>
      <c r="S340" s="37">
        <f>IFERROR(VLOOKUP($F340,bug_conf_sheet!$A:$H,8,FALSE),VLOOKUP("other",bug_conf_sheet!$A:$H,8,FALSE))</f>
        <v>1</v>
      </c>
    </row>
    <row r="341" spans="1:19" ht="21" customHeight="1">
      <c r="A341" s="7" t="str">
        <f t="shared" si="32"/>
        <v>1940397</v>
      </c>
      <c r="B341" s="2" t="str">
        <f t="shared" si="34"/>
        <v>1940</v>
      </c>
      <c r="C341" s="8" t="str">
        <f t="shared" si="33"/>
        <v>0PremiumS5</v>
      </c>
      <c r="D341" s="8" t="str">
        <f t="shared" si="35"/>
        <v>0PremiumS5</v>
      </c>
      <c r="E341" s="10">
        <v>0</v>
      </c>
      <c r="F341" s="6">
        <v>397</v>
      </c>
      <c r="G341" s="8" t="str">
        <f>VLOOKUP(F341,[1]characters!$A:$C,3,FALSE)</f>
        <v>禁断の追箱 乙姫</v>
      </c>
      <c r="H341" s="8" t="str">
        <f>VLOOKUP(F341,[1]characters!$A:$J,10,FALSE)</f>
        <v>PremiumS</v>
      </c>
      <c r="I341" s="8">
        <f>VLOOKUP(F341,[1]characters!$A:$I,9,FALSE)</f>
        <v>5</v>
      </c>
      <c r="J341" s="8" t="str">
        <f>VLOOKUP(F341,[1]characters!$A:$H,8,FALSE)</f>
        <v>blue</v>
      </c>
      <c r="K341" s="8" t="str">
        <f>VLOOKUP(F341,[1]characters!$A:$K,11,FALSE)</f>
        <v>hp</v>
      </c>
      <c r="L341" s="8" t="str">
        <f>VLOOKUP(F341,[1]characters!$A:$M,13,FALSE)</f>
        <v>human</v>
      </c>
      <c r="M341" s="16">
        <f>IFERROR(VLOOKUP(F341,gacha_conf!A$50:F$62,5+E341,FALSE),VLOOKUP(D341,gacha_conf!D$18:E$46,2,FALSE))</f>
        <v>394</v>
      </c>
      <c r="N341" s="37">
        <f>IFERROR(VLOOKUP($F341,bug_conf_sheet!$A:$H,3,FALSE),VLOOKUP("other",bug_conf_sheet!$A:$H,3,FALSE))</f>
        <v>1</v>
      </c>
      <c r="O341" s="37">
        <f>IFERROR(VLOOKUP($F341,bug_conf_sheet!$A:$H,4,FALSE),VLOOKUP("other",bug_conf_sheet!$A:$H,4,FALSE))</f>
        <v>0</v>
      </c>
      <c r="P341" s="37">
        <f>IFERROR(VLOOKUP($F341,bug_conf_sheet!$A:$H,5,FALSE),VLOOKUP("other",bug_conf_sheet!$A:$H,5,FALSE))</f>
        <v>0</v>
      </c>
      <c r="Q341" s="37">
        <f>IFERROR(VLOOKUP($F341,bug_conf_sheet!$A:$H,6,FALSE),VLOOKUP("other",bug_conf_sheet!$A:$H,6,FALSE))</f>
        <v>0</v>
      </c>
      <c r="R341" s="37">
        <f>IFERROR(VLOOKUP($F341,bug_conf_sheet!$A:$H,7,FALSE),VLOOKUP("other",bug_conf_sheet!$A:$H,7,FALSE))</f>
        <v>0</v>
      </c>
      <c r="S341" s="37">
        <f>IFERROR(VLOOKUP($F341,bug_conf_sheet!$A:$H,8,FALSE),VLOOKUP("other",bug_conf_sheet!$A:$H,8,FALSE))</f>
        <v>1</v>
      </c>
    </row>
    <row r="342" spans="1:19" ht="21" customHeight="1">
      <c r="A342" s="7" t="str">
        <f t="shared" si="32"/>
        <v>1940398</v>
      </c>
      <c r="B342" s="2" t="str">
        <f t="shared" si="34"/>
        <v>1940</v>
      </c>
      <c r="C342" s="8" t="str">
        <f t="shared" si="33"/>
        <v>0PremiumSS4</v>
      </c>
      <c r="D342" s="8" t="str">
        <f t="shared" si="35"/>
        <v>0PremiumSS4</v>
      </c>
      <c r="E342" s="10">
        <v>0</v>
      </c>
      <c r="F342" s="6">
        <v>398</v>
      </c>
      <c r="G342" s="8" t="str">
        <f>VLOOKUP(F342,[1]characters!$A:$C,3,FALSE)</f>
        <v>ヘンゼル＆グレーテル</v>
      </c>
      <c r="H342" s="8" t="str">
        <f>VLOOKUP(F342,[1]characters!$A:$J,10,FALSE)</f>
        <v>PremiumSS</v>
      </c>
      <c r="I342" s="8">
        <f>VLOOKUP(F342,[1]characters!$A:$I,9,FALSE)</f>
        <v>4</v>
      </c>
      <c r="J342" s="8" t="str">
        <f>VLOOKUP(F342,[1]characters!$A:$H,8,FALSE)</f>
        <v>yellow</v>
      </c>
      <c r="K342" s="8" t="str">
        <f>VLOOKUP(F342,[1]characters!$A:$K,11,FALSE)</f>
        <v>balance</v>
      </c>
      <c r="L342" s="8" t="str">
        <f>VLOOKUP(F342,[1]characters!$A:$M,13,FALSE)</f>
        <v>human</v>
      </c>
      <c r="M342" s="16">
        <f>IFERROR(VLOOKUP(F342,gacha_conf!A$50:F$62,5+E342,FALSE),VLOOKUP(D342,gacha_conf!D$18:E$46,2,FALSE))</f>
        <v>701</v>
      </c>
      <c r="N342" s="37">
        <f>IFERROR(VLOOKUP($F342,bug_conf_sheet!$A:$H,3,FALSE),VLOOKUP("other",bug_conf_sheet!$A:$H,3,FALSE))</f>
        <v>1</v>
      </c>
      <c r="O342" s="37">
        <f>IFERROR(VLOOKUP($F342,bug_conf_sheet!$A:$H,4,FALSE),VLOOKUP("other",bug_conf_sheet!$A:$H,4,FALSE))</f>
        <v>0</v>
      </c>
      <c r="P342" s="37">
        <f>IFERROR(VLOOKUP($F342,bug_conf_sheet!$A:$H,5,FALSE),VLOOKUP("other",bug_conf_sheet!$A:$H,5,FALSE))</f>
        <v>0</v>
      </c>
      <c r="Q342" s="37">
        <f>IFERROR(VLOOKUP($F342,bug_conf_sheet!$A:$H,6,FALSE),VLOOKUP("other",bug_conf_sheet!$A:$H,6,FALSE))</f>
        <v>0</v>
      </c>
      <c r="R342" s="37">
        <f>IFERROR(VLOOKUP($F342,bug_conf_sheet!$A:$H,7,FALSE),VLOOKUP("other",bug_conf_sheet!$A:$H,7,FALSE))</f>
        <v>0</v>
      </c>
      <c r="S342" s="37">
        <f>IFERROR(VLOOKUP($F342,bug_conf_sheet!$A:$H,8,FALSE),VLOOKUP("other",bug_conf_sheet!$A:$H,8,FALSE))</f>
        <v>1</v>
      </c>
    </row>
    <row r="343" spans="1:19" ht="21" customHeight="1">
      <c r="A343" s="7" t="str">
        <f t="shared" si="32"/>
        <v>1940399</v>
      </c>
      <c r="B343" s="2" t="str">
        <f t="shared" si="34"/>
        <v>1940</v>
      </c>
      <c r="C343" s="8" t="str">
        <f t="shared" si="33"/>
        <v>0PremiumSS5</v>
      </c>
      <c r="D343" s="8" t="str">
        <f t="shared" si="35"/>
        <v>0PremiumSS5</v>
      </c>
      <c r="E343" s="10">
        <v>0</v>
      </c>
      <c r="F343" s="6">
        <v>399</v>
      </c>
      <c r="G343" s="8" t="str">
        <f>VLOOKUP(F343,[1]characters!$A:$C,3,FALSE)</f>
        <v>信愛の兄妹 ヘンゼル＆グレーテル</v>
      </c>
      <c r="H343" s="8" t="str">
        <f>VLOOKUP(F343,[1]characters!$A:$J,10,FALSE)</f>
        <v>PremiumSS</v>
      </c>
      <c r="I343" s="8">
        <f>VLOOKUP(F343,[1]characters!$A:$I,9,FALSE)</f>
        <v>5</v>
      </c>
      <c r="J343" s="8" t="str">
        <f>VLOOKUP(F343,[1]characters!$A:$H,8,FALSE)</f>
        <v>yellow</v>
      </c>
      <c r="K343" s="8" t="str">
        <f>VLOOKUP(F343,[1]characters!$A:$K,11,FALSE)</f>
        <v>balance</v>
      </c>
      <c r="L343" s="8" t="str">
        <f>VLOOKUP(F343,[1]characters!$A:$M,13,FALSE)</f>
        <v>human</v>
      </c>
      <c r="M343" s="16">
        <f>IFERROR(VLOOKUP(F343,gacha_conf!A$50:F$62,5+E343,FALSE),VLOOKUP(D343,gacha_conf!D$18:E$46,2,FALSE))</f>
        <v>45</v>
      </c>
      <c r="N343" s="37">
        <f>IFERROR(VLOOKUP($F343,bug_conf_sheet!$A:$H,3,FALSE),VLOOKUP("other",bug_conf_sheet!$A:$H,3,FALSE))</f>
        <v>1</v>
      </c>
      <c r="O343" s="37">
        <f>IFERROR(VLOOKUP($F343,bug_conf_sheet!$A:$H,4,FALSE),VLOOKUP("other",bug_conf_sheet!$A:$H,4,FALSE))</f>
        <v>0</v>
      </c>
      <c r="P343" s="37">
        <f>IFERROR(VLOOKUP($F343,bug_conf_sheet!$A:$H,5,FALSE),VLOOKUP("other",bug_conf_sheet!$A:$H,5,FALSE))</f>
        <v>0</v>
      </c>
      <c r="Q343" s="37">
        <f>IFERROR(VLOOKUP($F343,bug_conf_sheet!$A:$H,6,FALSE),VLOOKUP("other",bug_conf_sheet!$A:$H,6,FALSE))</f>
        <v>0</v>
      </c>
      <c r="R343" s="37">
        <f>IFERROR(VLOOKUP($F343,bug_conf_sheet!$A:$H,7,FALSE),VLOOKUP("other",bug_conf_sheet!$A:$H,7,FALSE))</f>
        <v>0</v>
      </c>
      <c r="S343" s="37">
        <f>IFERROR(VLOOKUP($F343,bug_conf_sheet!$A:$H,8,FALSE),VLOOKUP("other",bug_conf_sheet!$A:$H,8,FALSE))</f>
        <v>1</v>
      </c>
    </row>
    <row r="344" spans="1:19" ht="21" customHeight="1">
      <c r="A344" s="7" t="str">
        <f t="shared" si="32"/>
        <v>1940401</v>
      </c>
      <c r="B344" s="2" t="str">
        <f t="shared" si="34"/>
        <v>1940</v>
      </c>
      <c r="C344" s="8" t="str">
        <f t="shared" si="33"/>
        <v>0PremiumS4</v>
      </c>
      <c r="D344" s="8" t="str">
        <f t="shared" si="35"/>
        <v>0PremiumS4</v>
      </c>
      <c r="E344" s="10">
        <v>0</v>
      </c>
      <c r="F344" s="6">
        <v>401</v>
      </c>
      <c r="G344" s="8" t="str">
        <f>VLOOKUP(F344,[1]characters!$A:$C,3,FALSE)</f>
        <v>紅銀の孤狼 フェンリル</v>
      </c>
      <c r="H344" s="8" t="str">
        <f>VLOOKUP(F344,[1]characters!$A:$J,10,FALSE)</f>
        <v>PremiumS</v>
      </c>
      <c r="I344" s="8">
        <f>VLOOKUP(F344,[1]characters!$A:$I,9,FALSE)</f>
        <v>4</v>
      </c>
      <c r="J344" s="8" t="str">
        <f>VLOOKUP(F344,[1]characters!$A:$H,8,FALSE)</f>
        <v>red</v>
      </c>
      <c r="K344" s="8" t="str">
        <f>VLOOKUP(F344,[1]characters!$A:$K,11,FALSE)</f>
        <v>attack</v>
      </c>
      <c r="L344" s="8" t="str">
        <f>VLOOKUP(F344,[1]characters!$A:$M,13,FALSE)</f>
        <v>animal</v>
      </c>
      <c r="M344" s="16">
        <f>IFERROR(VLOOKUP(F344,gacha_conf!A$50:F$62,5+E344,FALSE),VLOOKUP(D344,gacha_conf!D$18:E$46,2,FALSE))</f>
        <v>6166</v>
      </c>
      <c r="N344" s="37">
        <f>IFERROR(VLOOKUP($F344,bug_conf_sheet!$A:$H,3,FALSE),VLOOKUP("other",bug_conf_sheet!$A:$H,3,FALSE))</f>
        <v>1</v>
      </c>
      <c r="O344" s="37">
        <f>IFERROR(VLOOKUP($F344,bug_conf_sheet!$A:$H,4,FALSE),VLOOKUP("other",bug_conf_sheet!$A:$H,4,FALSE))</f>
        <v>0</v>
      </c>
      <c r="P344" s="37">
        <f>IFERROR(VLOOKUP($F344,bug_conf_sheet!$A:$H,5,FALSE),VLOOKUP("other",bug_conf_sheet!$A:$H,5,FALSE))</f>
        <v>0</v>
      </c>
      <c r="Q344" s="37">
        <f>IFERROR(VLOOKUP($F344,bug_conf_sheet!$A:$H,6,FALSE),VLOOKUP("other",bug_conf_sheet!$A:$H,6,FALSE))</f>
        <v>0</v>
      </c>
      <c r="R344" s="37">
        <f>IFERROR(VLOOKUP($F344,bug_conf_sheet!$A:$H,7,FALSE),VLOOKUP("other",bug_conf_sheet!$A:$H,7,FALSE))</f>
        <v>0</v>
      </c>
      <c r="S344" s="37">
        <f>IFERROR(VLOOKUP($F344,bug_conf_sheet!$A:$H,8,FALSE),VLOOKUP("other",bug_conf_sheet!$A:$H,8,FALSE))</f>
        <v>1</v>
      </c>
    </row>
    <row r="345" spans="1:19" ht="21" customHeight="1">
      <c r="A345" s="7" t="str">
        <f t="shared" si="32"/>
        <v>1940402</v>
      </c>
      <c r="B345" s="2" t="str">
        <f t="shared" si="34"/>
        <v>1940</v>
      </c>
      <c r="C345" s="8" t="str">
        <f t="shared" si="33"/>
        <v>0PremiumS5</v>
      </c>
      <c r="D345" s="8" t="str">
        <f t="shared" si="35"/>
        <v>0PremiumS5</v>
      </c>
      <c r="E345" s="10">
        <v>0</v>
      </c>
      <c r="F345" s="6">
        <v>402</v>
      </c>
      <c r="G345" s="8" t="str">
        <f>VLOOKUP(F345,[1]characters!$A:$C,3,FALSE)</f>
        <v>天災の神狼 フェンリル</v>
      </c>
      <c r="H345" s="8" t="str">
        <f>VLOOKUP(F345,[1]characters!$A:$J,10,FALSE)</f>
        <v>PremiumS</v>
      </c>
      <c r="I345" s="8">
        <f>VLOOKUP(F345,[1]characters!$A:$I,9,FALSE)</f>
        <v>5</v>
      </c>
      <c r="J345" s="8" t="str">
        <f>VLOOKUP(F345,[1]characters!$A:$H,8,FALSE)</f>
        <v>red</v>
      </c>
      <c r="K345" s="8" t="str">
        <f>VLOOKUP(F345,[1]characters!$A:$K,11,FALSE)</f>
        <v>attack</v>
      </c>
      <c r="L345" s="8" t="str">
        <f>VLOOKUP(F345,[1]characters!$A:$M,13,FALSE)</f>
        <v>animal</v>
      </c>
      <c r="M345" s="16">
        <f>IFERROR(VLOOKUP(F345,gacha_conf!A$50:F$62,5+E345,FALSE),VLOOKUP(D345,gacha_conf!D$18:E$46,2,FALSE))</f>
        <v>394</v>
      </c>
      <c r="N345" s="37">
        <f>IFERROR(VLOOKUP($F345,bug_conf_sheet!$A:$H,3,FALSE),VLOOKUP("other",bug_conf_sheet!$A:$H,3,FALSE))</f>
        <v>1</v>
      </c>
      <c r="O345" s="37">
        <f>IFERROR(VLOOKUP($F345,bug_conf_sheet!$A:$H,4,FALSE),VLOOKUP("other",bug_conf_sheet!$A:$H,4,FALSE))</f>
        <v>0</v>
      </c>
      <c r="P345" s="37">
        <f>IFERROR(VLOOKUP($F345,bug_conf_sheet!$A:$H,5,FALSE),VLOOKUP("other",bug_conf_sheet!$A:$H,5,FALSE))</f>
        <v>0</v>
      </c>
      <c r="Q345" s="37">
        <f>IFERROR(VLOOKUP($F345,bug_conf_sheet!$A:$H,6,FALSE),VLOOKUP("other",bug_conf_sheet!$A:$H,6,FALSE))</f>
        <v>0</v>
      </c>
      <c r="R345" s="37">
        <f>IFERROR(VLOOKUP($F345,bug_conf_sheet!$A:$H,7,FALSE),VLOOKUP("other",bug_conf_sheet!$A:$H,7,FALSE))</f>
        <v>0</v>
      </c>
      <c r="S345" s="37">
        <f>IFERROR(VLOOKUP($F345,bug_conf_sheet!$A:$H,8,FALSE),VLOOKUP("other",bug_conf_sheet!$A:$H,8,FALSE))</f>
        <v>1</v>
      </c>
    </row>
    <row r="346" spans="1:19" ht="21" customHeight="1">
      <c r="A346" s="7" t="str">
        <f t="shared" si="32"/>
        <v>1940403</v>
      </c>
      <c r="B346" s="2" t="str">
        <f t="shared" si="34"/>
        <v>1940</v>
      </c>
      <c r="C346" s="8" t="str">
        <f t="shared" si="33"/>
        <v>0PremiumSS4</v>
      </c>
      <c r="D346" s="8" t="str">
        <f t="shared" si="35"/>
        <v>0PremiumSS4</v>
      </c>
      <c r="E346" s="10">
        <v>0</v>
      </c>
      <c r="F346" s="6">
        <v>403</v>
      </c>
      <c r="G346" s="8" t="str">
        <f>VLOOKUP(F346,[1]characters!$A:$C,3,FALSE)</f>
        <v>静撃の翠眼 八咫烏</v>
      </c>
      <c r="H346" s="8" t="str">
        <f>VLOOKUP(F346,[1]characters!$A:$J,10,FALSE)</f>
        <v>PremiumSS</v>
      </c>
      <c r="I346" s="8">
        <f>VLOOKUP(F346,[1]characters!$A:$I,9,FALSE)</f>
        <v>4</v>
      </c>
      <c r="J346" s="8" t="str">
        <f>VLOOKUP(F346,[1]characters!$A:$H,8,FALSE)</f>
        <v>green</v>
      </c>
      <c r="K346" s="8" t="str">
        <f>VLOOKUP(F346,[1]characters!$A:$K,11,FALSE)</f>
        <v>balance</v>
      </c>
      <c r="L346" s="8" t="str">
        <f>VLOOKUP(F346,[1]characters!$A:$M,13,FALSE)</f>
        <v>animal</v>
      </c>
      <c r="M346" s="16">
        <f>IFERROR(VLOOKUP(F346,gacha_conf!A$50:F$62,5+E346,FALSE),VLOOKUP(D346,gacha_conf!D$18:E$46,2,FALSE))</f>
        <v>701</v>
      </c>
      <c r="N346" s="37">
        <f>IFERROR(VLOOKUP($F346,bug_conf_sheet!$A:$H,3,FALSE),VLOOKUP("other",bug_conf_sheet!$A:$H,3,FALSE))</f>
        <v>1</v>
      </c>
      <c r="O346" s="37">
        <f>IFERROR(VLOOKUP($F346,bug_conf_sheet!$A:$H,4,FALSE),VLOOKUP("other",bug_conf_sheet!$A:$H,4,FALSE))</f>
        <v>0</v>
      </c>
      <c r="P346" s="37">
        <f>IFERROR(VLOOKUP($F346,bug_conf_sheet!$A:$H,5,FALSE),VLOOKUP("other",bug_conf_sheet!$A:$H,5,FALSE))</f>
        <v>0</v>
      </c>
      <c r="Q346" s="37">
        <f>IFERROR(VLOOKUP($F346,bug_conf_sheet!$A:$H,6,FALSE),VLOOKUP("other",bug_conf_sheet!$A:$H,6,FALSE))</f>
        <v>0</v>
      </c>
      <c r="R346" s="37">
        <f>IFERROR(VLOOKUP($F346,bug_conf_sheet!$A:$H,7,FALSE),VLOOKUP("other",bug_conf_sheet!$A:$H,7,FALSE))</f>
        <v>0</v>
      </c>
      <c r="S346" s="37">
        <f>IFERROR(VLOOKUP($F346,bug_conf_sheet!$A:$H,8,FALSE),VLOOKUP("other",bug_conf_sheet!$A:$H,8,FALSE))</f>
        <v>1</v>
      </c>
    </row>
    <row r="347" spans="1:19" ht="21" customHeight="1">
      <c r="A347" s="7" t="str">
        <f t="shared" si="32"/>
        <v>1940404</v>
      </c>
      <c r="B347" s="2" t="str">
        <f t="shared" si="34"/>
        <v>1940</v>
      </c>
      <c r="C347" s="8" t="str">
        <f t="shared" si="33"/>
        <v>0PremiumSS5</v>
      </c>
      <c r="D347" s="8" t="str">
        <f t="shared" si="35"/>
        <v>0PremiumSS5</v>
      </c>
      <c r="E347" s="10">
        <v>0</v>
      </c>
      <c r="F347" s="6">
        <v>404</v>
      </c>
      <c r="G347" s="8" t="str">
        <f>VLOOKUP(F347,[1]characters!$A:$C,3,FALSE)</f>
        <v>空襲の神眼 八咫烏</v>
      </c>
      <c r="H347" s="8" t="str">
        <f>VLOOKUP(F347,[1]characters!$A:$J,10,FALSE)</f>
        <v>PremiumSS</v>
      </c>
      <c r="I347" s="8">
        <f>VLOOKUP(F347,[1]characters!$A:$I,9,FALSE)</f>
        <v>5</v>
      </c>
      <c r="J347" s="8" t="str">
        <f>VLOOKUP(F347,[1]characters!$A:$H,8,FALSE)</f>
        <v>green</v>
      </c>
      <c r="K347" s="8" t="str">
        <f>VLOOKUP(F347,[1]characters!$A:$K,11,FALSE)</f>
        <v>balance</v>
      </c>
      <c r="L347" s="8" t="str">
        <f>VLOOKUP(F347,[1]characters!$A:$M,13,FALSE)</f>
        <v>animal</v>
      </c>
      <c r="M347" s="16">
        <f>IFERROR(VLOOKUP(F347,gacha_conf!A$50:F$62,5+E347,FALSE),VLOOKUP(D347,gacha_conf!D$18:E$46,2,FALSE))</f>
        <v>45</v>
      </c>
      <c r="N347" s="37">
        <f>IFERROR(VLOOKUP($F347,bug_conf_sheet!$A:$H,3,FALSE),VLOOKUP("other",bug_conf_sheet!$A:$H,3,FALSE))</f>
        <v>1</v>
      </c>
      <c r="O347" s="37">
        <f>IFERROR(VLOOKUP($F347,bug_conf_sheet!$A:$H,4,FALSE),VLOOKUP("other",bug_conf_sheet!$A:$H,4,FALSE))</f>
        <v>0</v>
      </c>
      <c r="P347" s="37">
        <f>IFERROR(VLOOKUP($F347,bug_conf_sheet!$A:$H,5,FALSE),VLOOKUP("other",bug_conf_sheet!$A:$H,5,FALSE))</f>
        <v>0</v>
      </c>
      <c r="Q347" s="37">
        <f>IFERROR(VLOOKUP($F347,bug_conf_sheet!$A:$H,6,FALSE),VLOOKUP("other",bug_conf_sheet!$A:$H,6,FALSE))</f>
        <v>0</v>
      </c>
      <c r="R347" s="37">
        <f>IFERROR(VLOOKUP($F347,bug_conf_sheet!$A:$H,7,FALSE),VLOOKUP("other",bug_conf_sheet!$A:$H,7,FALSE))</f>
        <v>0</v>
      </c>
      <c r="S347" s="37">
        <f>IFERROR(VLOOKUP($F347,bug_conf_sheet!$A:$H,8,FALSE),VLOOKUP("other",bug_conf_sheet!$A:$H,8,FALSE))</f>
        <v>1</v>
      </c>
    </row>
    <row r="348" spans="1:19" ht="21" customHeight="1">
      <c r="A348" s="7" t="str">
        <f t="shared" si="32"/>
        <v>1940406</v>
      </c>
      <c r="B348" s="2" t="str">
        <f t="shared" si="34"/>
        <v>1940</v>
      </c>
      <c r="C348" s="8" t="str">
        <f t="shared" si="33"/>
        <v>0PremiumS4</v>
      </c>
      <c r="D348" s="8" t="str">
        <f t="shared" si="35"/>
        <v>0PremiumS4</v>
      </c>
      <c r="E348" s="10">
        <v>0</v>
      </c>
      <c r="F348" s="6">
        <v>406</v>
      </c>
      <c r="G348" s="8" t="str">
        <f>VLOOKUP(F348,[1]characters!$A:$C,3,FALSE)</f>
        <v>美笑の蒼蛇 エキドナ</v>
      </c>
      <c r="H348" s="8" t="str">
        <f>VLOOKUP(F348,[1]characters!$A:$J,10,FALSE)</f>
        <v>PremiumS</v>
      </c>
      <c r="I348" s="8">
        <f>VLOOKUP(F348,[1]characters!$A:$I,9,FALSE)</f>
        <v>4</v>
      </c>
      <c r="J348" s="8" t="str">
        <f>VLOOKUP(F348,[1]characters!$A:$H,8,FALSE)</f>
        <v>blue</v>
      </c>
      <c r="K348" s="8" t="str">
        <f>VLOOKUP(F348,[1]characters!$A:$K,11,FALSE)</f>
        <v>technical</v>
      </c>
      <c r="L348" s="8" t="str">
        <f>VLOOKUP(F348,[1]characters!$A:$M,13,FALSE)</f>
        <v>animal</v>
      </c>
      <c r="M348" s="16">
        <f>IFERROR(VLOOKUP(F348,gacha_conf!A$50:F$62,5+E348,FALSE),VLOOKUP(D348,gacha_conf!D$18:E$46,2,FALSE))</f>
        <v>6166</v>
      </c>
      <c r="N348" s="37">
        <f>IFERROR(VLOOKUP($F348,bug_conf_sheet!$A:$H,3,FALSE),VLOOKUP("other",bug_conf_sheet!$A:$H,3,FALSE))</f>
        <v>1</v>
      </c>
      <c r="O348" s="37">
        <f>IFERROR(VLOOKUP($F348,bug_conf_sheet!$A:$H,4,FALSE),VLOOKUP("other",bug_conf_sheet!$A:$H,4,FALSE))</f>
        <v>0</v>
      </c>
      <c r="P348" s="37">
        <f>IFERROR(VLOOKUP($F348,bug_conf_sheet!$A:$H,5,FALSE),VLOOKUP("other",bug_conf_sheet!$A:$H,5,FALSE))</f>
        <v>0</v>
      </c>
      <c r="Q348" s="37">
        <f>IFERROR(VLOOKUP($F348,bug_conf_sheet!$A:$H,6,FALSE),VLOOKUP("other",bug_conf_sheet!$A:$H,6,FALSE))</f>
        <v>0</v>
      </c>
      <c r="R348" s="37">
        <f>IFERROR(VLOOKUP($F348,bug_conf_sheet!$A:$H,7,FALSE),VLOOKUP("other",bug_conf_sheet!$A:$H,7,FALSE))</f>
        <v>0</v>
      </c>
      <c r="S348" s="37">
        <f>IFERROR(VLOOKUP($F348,bug_conf_sheet!$A:$H,8,FALSE),VLOOKUP("other",bug_conf_sheet!$A:$H,8,FALSE))</f>
        <v>1</v>
      </c>
    </row>
    <row r="349" spans="1:19" ht="21" customHeight="1">
      <c r="A349" s="7" t="str">
        <f t="shared" si="32"/>
        <v>1940407</v>
      </c>
      <c r="B349" s="2" t="str">
        <f t="shared" si="34"/>
        <v>1940</v>
      </c>
      <c r="C349" s="8" t="str">
        <f t="shared" si="33"/>
        <v>0PremiumS5</v>
      </c>
      <c r="D349" s="8" t="str">
        <f t="shared" si="35"/>
        <v>0PremiumS5</v>
      </c>
      <c r="E349" s="10">
        <v>0</v>
      </c>
      <c r="F349" s="6">
        <v>407</v>
      </c>
      <c r="G349" s="8" t="str">
        <f>VLOOKUP(F349,[1]characters!$A:$C,3,FALSE)</f>
        <v>蠱惑の飛刀 エキドナ</v>
      </c>
      <c r="H349" s="8" t="str">
        <f>VLOOKUP(F349,[1]characters!$A:$J,10,FALSE)</f>
        <v>PremiumS</v>
      </c>
      <c r="I349" s="8">
        <f>VLOOKUP(F349,[1]characters!$A:$I,9,FALSE)</f>
        <v>5</v>
      </c>
      <c r="J349" s="8" t="str">
        <f>VLOOKUP(F349,[1]characters!$A:$H,8,FALSE)</f>
        <v>blue</v>
      </c>
      <c r="K349" s="8" t="str">
        <f>VLOOKUP(F349,[1]characters!$A:$K,11,FALSE)</f>
        <v>technical</v>
      </c>
      <c r="L349" s="8" t="str">
        <f>VLOOKUP(F349,[1]characters!$A:$M,13,FALSE)</f>
        <v>animal</v>
      </c>
      <c r="M349" s="16">
        <f>IFERROR(VLOOKUP(F349,gacha_conf!A$50:F$62,5+E349,FALSE),VLOOKUP(D349,gacha_conf!D$18:E$46,2,FALSE))</f>
        <v>394</v>
      </c>
      <c r="N349" s="37">
        <f>IFERROR(VLOOKUP($F349,bug_conf_sheet!$A:$H,3,FALSE),VLOOKUP("other",bug_conf_sheet!$A:$H,3,FALSE))</f>
        <v>1</v>
      </c>
      <c r="O349" s="37">
        <f>IFERROR(VLOOKUP($F349,bug_conf_sheet!$A:$H,4,FALSE),VLOOKUP("other",bug_conf_sheet!$A:$H,4,FALSE))</f>
        <v>0</v>
      </c>
      <c r="P349" s="37">
        <f>IFERROR(VLOOKUP($F349,bug_conf_sheet!$A:$H,5,FALSE),VLOOKUP("other",bug_conf_sheet!$A:$H,5,FALSE))</f>
        <v>0</v>
      </c>
      <c r="Q349" s="37">
        <f>IFERROR(VLOOKUP($F349,bug_conf_sheet!$A:$H,6,FALSE),VLOOKUP("other",bug_conf_sheet!$A:$H,6,FALSE))</f>
        <v>0</v>
      </c>
      <c r="R349" s="37">
        <f>IFERROR(VLOOKUP($F349,bug_conf_sheet!$A:$H,7,FALSE),VLOOKUP("other",bug_conf_sheet!$A:$H,7,FALSE))</f>
        <v>0</v>
      </c>
      <c r="S349" s="37">
        <f>IFERROR(VLOOKUP($F349,bug_conf_sheet!$A:$H,8,FALSE),VLOOKUP("other",bug_conf_sheet!$A:$H,8,FALSE))</f>
        <v>1</v>
      </c>
    </row>
    <row r="350" spans="1:19" ht="21" customHeight="1">
      <c r="A350" s="7" t="str">
        <f t="shared" si="32"/>
        <v>1940408</v>
      </c>
      <c r="B350" s="2" t="str">
        <f t="shared" si="34"/>
        <v>1940</v>
      </c>
      <c r="C350" s="8" t="str">
        <f t="shared" si="33"/>
        <v>0PremiumSS4</v>
      </c>
      <c r="D350" s="8" t="str">
        <f t="shared" si="35"/>
        <v>0PremiumSS4</v>
      </c>
      <c r="E350" s="10">
        <v>0</v>
      </c>
      <c r="F350" s="6">
        <v>408</v>
      </c>
      <c r="G350" s="8" t="str">
        <f>VLOOKUP(F350,[1]characters!$A:$C,3,FALSE)</f>
        <v>皇魔 アスタロト</v>
      </c>
      <c r="H350" s="8" t="str">
        <f>VLOOKUP(F350,[1]characters!$A:$J,10,FALSE)</f>
        <v>PremiumSS</v>
      </c>
      <c r="I350" s="8">
        <f>VLOOKUP(F350,[1]characters!$A:$I,9,FALSE)</f>
        <v>4</v>
      </c>
      <c r="J350" s="8" t="str">
        <f>VLOOKUP(F350,[1]characters!$A:$H,8,FALSE)</f>
        <v>yellow</v>
      </c>
      <c r="K350" s="8" t="str">
        <f>VLOOKUP(F350,[1]characters!$A:$K,11,FALSE)</f>
        <v>attack</v>
      </c>
      <c r="L350" s="8" t="str">
        <f>VLOOKUP(F350,[1]characters!$A:$M,13,FALSE)</f>
        <v>god</v>
      </c>
      <c r="M350" s="16">
        <f>IFERROR(VLOOKUP(F350,gacha_conf!A$50:F$62,5+E350,FALSE),VLOOKUP(D350,gacha_conf!D$18:E$46,2,FALSE))</f>
        <v>701</v>
      </c>
      <c r="N350" s="37">
        <f>IFERROR(VLOOKUP($F350,bug_conf_sheet!$A:$H,3,FALSE),VLOOKUP("other",bug_conf_sheet!$A:$H,3,FALSE))</f>
        <v>1</v>
      </c>
      <c r="O350" s="37">
        <f>IFERROR(VLOOKUP($F350,bug_conf_sheet!$A:$H,4,FALSE),VLOOKUP("other",bug_conf_sheet!$A:$H,4,FALSE))</f>
        <v>0</v>
      </c>
      <c r="P350" s="37">
        <f>IFERROR(VLOOKUP($F350,bug_conf_sheet!$A:$H,5,FALSE),VLOOKUP("other",bug_conf_sheet!$A:$H,5,FALSE))</f>
        <v>0</v>
      </c>
      <c r="Q350" s="37">
        <f>IFERROR(VLOOKUP($F350,bug_conf_sheet!$A:$H,6,FALSE),VLOOKUP("other",bug_conf_sheet!$A:$H,6,FALSE))</f>
        <v>0</v>
      </c>
      <c r="R350" s="37">
        <f>IFERROR(VLOOKUP($F350,bug_conf_sheet!$A:$H,7,FALSE),VLOOKUP("other",bug_conf_sheet!$A:$H,7,FALSE))</f>
        <v>0</v>
      </c>
      <c r="S350" s="37">
        <f>IFERROR(VLOOKUP($F350,bug_conf_sheet!$A:$H,8,FALSE),VLOOKUP("other",bug_conf_sheet!$A:$H,8,FALSE))</f>
        <v>1</v>
      </c>
    </row>
    <row r="351" spans="1:19" ht="21" customHeight="1">
      <c r="A351" s="7" t="str">
        <f t="shared" si="32"/>
        <v>1940409</v>
      </c>
      <c r="B351" s="2" t="str">
        <f t="shared" si="34"/>
        <v>1940</v>
      </c>
      <c r="C351" s="8" t="str">
        <f t="shared" si="33"/>
        <v>0PremiumSS5</v>
      </c>
      <c r="D351" s="8" t="str">
        <f t="shared" si="35"/>
        <v>0PremiumSS5</v>
      </c>
      <c r="E351" s="10">
        <v>0</v>
      </c>
      <c r="F351" s="6">
        <v>409</v>
      </c>
      <c r="G351" s="8" t="str">
        <f>VLOOKUP(F351,[1]characters!$A:$C,3,FALSE)</f>
        <v>天眼の皇貴魔 アスタロト</v>
      </c>
      <c r="H351" s="8" t="str">
        <f>VLOOKUP(F351,[1]characters!$A:$J,10,FALSE)</f>
        <v>PremiumSS</v>
      </c>
      <c r="I351" s="8">
        <f>VLOOKUP(F351,[1]characters!$A:$I,9,FALSE)</f>
        <v>5</v>
      </c>
      <c r="J351" s="8" t="str">
        <f>VLOOKUP(F351,[1]characters!$A:$H,8,FALSE)</f>
        <v>yellow</v>
      </c>
      <c r="K351" s="8" t="str">
        <f>VLOOKUP(F351,[1]characters!$A:$K,11,FALSE)</f>
        <v>attack</v>
      </c>
      <c r="L351" s="8" t="str">
        <f>VLOOKUP(F351,[1]characters!$A:$M,13,FALSE)</f>
        <v>god</v>
      </c>
      <c r="M351" s="16">
        <f>IFERROR(VLOOKUP(F351,gacha_conf!A$50:F$62,5+E351,FALSE),VLOOKUP(D351,gacha_conf!D$18:E$46,2,FALSE))</f>
        <v>45</v>
      </c>
      <c r="N351" s="37">
        <f>IFERROR(VLOOKUP($F351,bug_conf_sheet!$A:$H,3,FALSE),VLOOKUP("other",bug_conf_sheet!$A:$H,3,FALSE))</f>
        <v>1</v>
      </c>
      <c r="O351" s="37">
        <f>IFERROR(VLOOKUP($F351,bug_conf_sheet!$A:$H,4,FALSE),VLOOKUP("other",bug_conf_sheet!$A:$H,4,FALSE))</f>
        <v>0</v>
      </c>
      <c r="P351" s="37">
        <f>IFERROR(VLOOKUP($F351,bug_conf_sheet!$A:$H,5,FALSE),VLOOKUP("other",bug_conf_sheet!$A:$H,5,FALSE))</f>
        <v>0</v>
      </c>
      <c r="Q351" s="37">
        <f>IFERROR(VLOOKUP($F351,bug_conf_sheet!$A:$H,6,FALSE),VLOOKUP("other",bug_conf_sheet!$A:$H,6,FALSE))</f>
        <v>0</v>
      </c>
      <c r="R351" s="37">
        <f>IFERROR(VLOOKUP($F351,bug_conf_sheet!$A:$H,7,FALSE),VLOOKUP("other",bug_conf_sheet!$A:$H,7,FALSE))</f>
        <v>0</v>
      </c>
      <c r="S351" s="37">
        <f>IFERROR(VLOOKUP($F351,bug_conf_sheet!$A:$H,8,FALSE),VLOOKUP("other",bug_conf_sheet!$A:$H,8,FALSE))</f>
        <v>1</v>
      </c>
    </row>
    <row r="352" spans="1:19" ht="21" customHeight="1">
      <c r="A352" s="7" t="str">
        <f t="shared" si="32"/>
        <v>1940434</v>
      </c>
      <c r="B352" s="2" t="str">
        <f t="shared" si="34"/>
        <v>1940</v>
      </c>
      <c r="C352" s="8" t="str">
        <f t="shared" si="33"/>
        <v>0PremiumSS4</v>
      </c>
      <c r="D352" s="8" t="str">
        <f t="shared" si="35"/>
        <v>0PremiumSS4</v>
      </c>
      <c r="E352" s="10">
        <v>0</v>
      </c>
      <c r="F352" s="6">
        <v>434</v>
      </c>
      <c r="G352" s="8" t="str">
        <f>VLOOKUP(F352,[1]characters!$A:$C,3,FALSE)</f>
        <v>D.R.T.H.</v>
      </c>
      <c r="H352" s="8" t="str">
        <f>VLOOKUP(F352,[1]characters!$A:$J,10,FALSE)</f>
        <v>PremiumSS</v>
      </c>
      <c r="I352" s="8">
        <f>VLOOKUP(F352,[1]characters!$A:$I,9,FALSE)</f>
        <v>4</v>
      </c>
      <c r="J352" s="8" t="str">
        <f>VLOOKUP(F352,[1]characters!$A:$H,8,FALSE)</f>
        <v>red</v>
      </c>
      <c r="K352" s="8" t="str">
        <f>VLOOKUP(F352,[1]characters!$A:$K,11,FALSE)</f>
        <v>balance</v>
      </c>
      <c r="L352" s="8" t="str">
        <f>VLOOKUP(F352,[1]characters!$A:$M,13,FALSE)</f>
        <v>human</v>
      </c>
      <c r="M352" s="16">
        <f>IFERROR(VLOOKUP(F352,gacha_conf!A$50:F$62,5+E352,FALSE),VLOOKUP(D352,gacha_conf!D$18:E$46,2,FALSE))</f>
        <v>701</v>
      </c>
      <c r="N352" s="37">
        <f>IFERROR(VLOOKUP($F352,bug_conf_sheet!$A:$H,3,FALSE),VLOOKUP("other",bug_conf_sheet!$A:$H,3,FALSE))</f>
        <v>1</v>
      </c>
      <c r="O352" s="37">
        <f>IFERROR(VLOOKUP($F352,bug_conf_sheet!$A:$H,4,FALSE),VLOOKUP("other",bug_conf_sheet!$A:$H,4,FALSE))</f>
        <v>0</v>
      </c>
      <c r="P352" s="37">
        <f>IFERROR(VLOOKUP($F352,bug_conf_sheet!$A:$H,5,FALSE),VLOOKUP("other",bug_conf_sheet!$A:$H,5,FALSE))</f>
        <v>0</v>
      </c>
      <c r="Q352" s="37">
        <f>IFERROR(VLOOKUP($F352,bug_conf_sheet!$A:$H,6,FALSE),VLOOKUP("other",bug_conf_sheet!$A:$H,6,FALSE))</f>
        <v>0</v>
      </c>
      <c r="R352" s="37">
        <f>IFERROR(VLOOKUP($F352,bug_conf_sheet!$A:$H,7,FALSE),VLOOKUP("other",bug_conf_sheet!$A:$H,7,FALSE))</f>
        <v>0</v>
      </c>
      <c r="S352" s="37">
        <f>IFERROR(VLOOKUP($F352,bug_conf_sheet!$A:$H,8,FALSE),VLOOKUP("other",bug_conf_sheet!$A:$H,8,FALSE))</f>
        <v>1</v>
      </c>
    </row>
    <row r="353" spans="1:19" ht="21" customHeight="1">
      <c r="A353" s="7" t="str">
        <f t="shared" si="32"/>
        <v>1940435</v>
      </c>
      <c r="B353" s="2" t="str">
        <f t="shared" si="34"/>
        <v>1940</v>
      </c>
      <c r="C353" s="8" t="str">
        <f t="shared" si="33"/>
        <v>0PremiumSS5</v>
      </c>
      <c r="D353" s="8" t="str">
        <f t="shared" si="35"/>
        <v>0PremiumSS5</v>
      </c>
      <c r="E353" s="10">
        <v>0</v>
      </c>
      <c r="F353" s="6">
        <v>435</v>
      </c>
      <c r="G353" s="8" t="str">
        <f>VLOOKUP(F353,[1]characters!$A:$C,3,FALSE)</f>
        <v>曝弾の密偵 D.R.T.H.</v>
      </c>
      <c r="H353" s="8" t="str">
        <f>VLOOKUP(F353,[1]characters!$A:$J,10,FALSE)</f>
        <v>PremiumSS</v>
      </c>
      <c r="I353" s="8">
        <f>VLOOKUP(F353,[1]characters!$A:$I,9,FALSE)</f>
        <v>5</v>
      </c>
      <c r="J353" s="8" t="str">
        <f>VLOOKUP(F353,[1]characters!$A:$H,8,FALSE)</f>
        <v>red</v>
      </c>
      <c r="K353" s="8" t="str">
        <f>VLOOKUP(F353,[1]characters!$A:$K,11,FALSE)</f>
        <v>balance</v>
      </c>
      <c r="L353" s="8" t="str">
        <f>VLOOKUP(F353,[1]characters!$A:$M,13,FALSE)</f>
        <v>human</v>
      </c>
      <c r="M353" s="16">
        <f>IFERROR(VLOOKUP(F353,gacha_conf!A$50:F$62,5+E353,FALSE),VLOOKUP(D353,gacha_conf!D$18:E$46,2,FALSE))</f>
        <v>45</v>
      </c>
      <c r="N353" s="37">
        <f>IFERROR(VLOOKUP($F353,bug_conf_sheet!$A:$H,3,FALSE),VLOOKUP("other",bug_conf_sheet!$A:$H,3,FALSE))</f>
        <v>1</v>
      </c>
      <c r="O353" s="37">
        <f>IFERROR(VLOOKUP($F353,bug_conf_sheet!$A:$H,4,FALSE),VLOOKUP("other",bug_conf_sheet!$A:$H,4,FALSE))</f>
        <v>0</v>
      </c>
      <c r="P353" s="37">
        <f>IFERROR(VLOOKUP($F353,bug_conf_sheet!$A:$H,5,FALSE),VLOOKUP("other",bug_conf_sheet!$A:$H,5,FALSE))</f>
        <v>0</v>
      </c>
      <c r="Q353" s="37">
        <f>IFERROR(VLOOKUP($F353,bug_conf_sheet!$A:$H,6,FALSE),VLOOKUP("other",bug_conf_sheet!$A:$H,6,FALSE))</f>
        <v>0</v>
      </c>
      <c r="R353" s="37">
        <f>IFERROR(VLOOKUP($F353,bug_conf_sheet!$A:$H,7,FALSE),VLOOKUP("other",bug_conf_sheet!$A:$H,7,FALSE))</f>
        <v>0</v>
      </c>
      <c r="S353" s="37">
        <f>IFERROR(VLOOKUP($F353,bug_conf_sheet!$A:$H,8,FALSE),VLOOKUP("other",bug_conf_sheet!$A:$H,8,FALSE))</f>
        <v>1</v>
      </c>
    </row>
    <row r="354" spans="1:19" ht="21" customHeight="1">
      <c r="A354" s="7" t="str">
        <f t="shared" si="32"/>
        <v>1940437</v>
      </c>
      <c r="B354" s="2" t="str">
        <f t="shared" si="34"/>
        <v>1940</v>
      </c>
      <c r="C354" s="8" t="str">
        <f t="shared" si="33"/>
        <v>0PremiumS4</v>
      </c>
      <c r="D354" s="8" t="str">
        <f t="shared" si="35"/>
        <v>0PremiumS4</v>
      </c>
      <c r="E354" s="10">
        <v>0</v>
      </c>
      <c r="F354" s="6">
        <v>437</v>
      </c>
      <c r="G354" s="8" t="str">
        <f>VLOOKUP(F354,[1]characters!$A:$C,3,FALSE)</f>
        <v>忘却者 カカシ</v>
      </c>
      <c r="H354" s="8" t="str">
        <f>VLOOKUP(F354,[1]characters!$A:$J,10,FALSE)</f>
        <v>PremiumS</v>
      </c>
      <c r="I354" s="8">
        <f>VLOOKUP(F354,[1]characters!$A:$I,9,FALSE)</f>
        <v>4</v>
      </c>
      <c r="J354" s="8" t="str">
        <f>VLOOKUP(F354,[1]characters!$A:$H,8,FALSE)</f>
        <v>green</v>
      </c>
      <c r="K354" s="8" t="str">
        <f>VLOOKUP(F354,[1]characters!$A:$K,11,FALSE)</f>
        <v>technical</v>
      </c>
      <c r="L354" s="8" t="str">
        <f>VLOOKUP(F354,[1]characters!$A:$M,13,FALSE)</f>
        <v>human</v>
      </c>
      <c r="M354" s="16">
        <f>IFERROR(VLOOKUP(F354,gacha_conf!A$50:F$62,5+E354,FALSE),VLOOKUP(D354,gacha_conf!D$18:E$46,2,FALSE))</f>
        <v>6166</v>
      </c>
      <c r="N354" s="37">
        <f>IFERROR(VLOOKUP($F354,bug_conf_sheet!$A:$H,3,FALSE),VLOOKUP("other",bug_conf_sheet!$A:$H,3,FALSE))</f>
        <v>1</v>
      </c>
      <c r="O354" s="37">
        <f>IFERROR(VLOOKUP($F354,bug_conf_sheet!$A:$H,4,FALSE),VLOOKUP("other",bug_conf_sheet!$A:$H,4,FALSE))</f>
        <v>0</v>
      </c>
      <c r="P354" s="37">
        <f>IFERROR(VLOOKUP($F354,bug_conf_sheet!$A:$H,5,FALSE),VLOOKUP("other",bug_conf_sheet!$A:$H,5,FALSE))</f>
        <v>0</v>
      </c>
      <c r="Q354" s="37">
        <f>IFERROR(VLOOKUP($F354,bug_conf_sheet!$A:$H,6,FALSE),VLOOKUP("other",bug_conf_sheet!$A:$H,6,FALSE))</f>
        <v>0</v>
      </c>
      <c r="R354" s="37">
        <f>IFERROR(VLOOKUP($F354,bug_conf_sheet!$A:$H,7,FALSE),VLOOKUP("other",bug_conf_sheet!$A:$H,7,FALSE))</f>
        <v>0</v>
      </c>
      <c r="S354" s="37">
        <f>IFERROR(VLOOKUP($F354,bug_conf_sheet!$A:$H,8,FALSE),VLOOKUP("other",bug_conf_sheet!$A:$H,8,FALSE))</f>
        <v>1</v>
      </c>
    </row>
    <row r="355" spans="1:19" ht="21" customHeight="1">
      <c r="A355" s="7" t="str">
        <f t="shared" si="32"/>
        <v>1940438</v>
      </c>
      <c r="B355" s="2" t="str">
        <f t="shared" si="34"/>
        <v>1940</v>
      </c>
      <c r="C355" s="8" t="str">
        <f t="shared" si="33"/>
        <v>0PremiumS5</v>
      </c>
      <c r="D355" s="8" t="str">
        <f t="shared" si="35"/>
        <v>0PremiumS5</v>
      </c>
      <c r="E355" s="10">
        <v>0</v>
      </c>
      <c r="F355" s="6">
        <v>438</v>
      </c>
      <c r="G355" s="8" t="str">
        <f>VLOOKUP(F355,[1]characters!$A:$C,3,FALSE)</f>
        <v>記憶の奪還 カカシ</v>
      </c>
      <c r="H355" s="8" t="str">
        <f>VLOOKUP(F355,[1]characters!$A:$J,10,FALSE)</f>
        <v>PremiumS</v>
      </c>
      <c r="I355" s="8">
        <f>VLOOKUP(F355,[1]characters!$A:$I,9,FALSE)</f>
        <v>5</v>
      </c>
      <c r="J355" s="8" t="str">
        <f>VLOOKUP(F355,[1]characters!$A:$H,8,FALSE)</f>
        <v>green</v>
      </c>
      <c r="K355" s="8" t="str">
        <f>VLOOKUP(F355,[1]characters!$A:$K,11,FALSE)</f>
        <v>technical</v>
      </c>
      <c r="L355" s="8" t="str">
        <f>VLOOKUP(F355,[1]characters!$A:$M,13,FALSE)</f>
        <v>human</v>
      </c>
      <c r="M355" s="16">
        <f>IFERROR(VLOOKUP(F355,gacha_conf!A$50:F$62,5+E355,FALSE),VLOOKUP(D355,gacha_conf!D$18:E$46,2,FALSE))</f>
        <v>394</v>
      </c>
      <c r="N355" s="37">
        <f>IFERROR(VLOOKUP($F355,bug_conf_sheet!$A:$H,3,FALSE),VLOOKUP("other",bug_conf_sheet!$A:$H,3,FALSE))</f>
        <v>1</v>
      </c>
      <c r="O355" s="37">
        <f>IFERROR(VLOOKUP($F355,bug_conf_sheet!$A:$H,4,FALSE),VLOOKUP("other",bug_conf_sheet!$A:$H,4,FALSE))</f>
        <v>0</v>
      </c>
      <c r="P355" s="37">
        <f>IFERROR(VLOOKUP($F355,bug_conf_sheet!$A:$H,5,FALSE),VLOOKUP("other",bug_conf_sheet!$A:$H,5,FALSE))</f>
        <v>0</v>
      </c>
      <c r="Q355" s="37">
        <f>IFERROR(VLOOKUP($F355,bug_conf_sheet!$A:$H,6,FALSE),VLOOKUP("other",bug_conf_sheet!$A:$H,6,FALSE))</f>
        <v>0</v>
      </c>
      <c r="R355" s="37">
        <f>IFERROR(VLOOKUP($F355,bug_conf_sheet!$A:$H,7,FALSE),VLOOKUP("other",bug_conf_sheet!$A:$H,7,FALSE))</f>
        <v>0</v>
      </c>
      <c r="S355" s="37">
        <f>IFERROR(VLOOKUP($F355,bug_conf_sheet!$A:$H,8,FALSE),VLOOKUP("other",bug_conf_sheet!$A:$H,8,FALSE))</f>
        <v>1</v>
      </c>
    </row>
    <row r="356" spans="1:19" ht="21" customHeight="1">
      <c r="A356" s="7" t="str">
        <f t="shared" si="32"/>
        <v>1940440</v>
      </c>
      <c r="B356" s="2" t="str">
        <f t="shared" si="34"/>
        <v>1940</v>
      </c>
      <c r="C356" s="8" t="str">
        <f t="shared" si="33"/>
        <v>0PremiumS4</v>
      </c>
      <c r="D356" s="8" t="str">
        <f t="shared" si="35"/>
        <v>0PremiumS4</v>
      </c>
      <c r="E356" s="10">
        <v>0</v>
      </c>
      <c r="F356" s="6">
        <v>440</v>
      </c>
      <c r="G356" s="8" t="str">
        <f>VLOOKUP(F356,[1]characters!$A:$C,3,FALSE)</f>
        <v>改良型 ブリキロガー</v>
      </c>
      <c r="H356" s="8" t="str">
        <f>VLOOKUP(F356,[1]characters!$A:$J,10,FALSE)</f>
        <v>PremiumS</v>
      </c>
      <c r="I356" s="8">
        <f>VLOOKUP(F356,[1]characters!$A:$I,9,FALSE)</f>
        <v>4</v>
      </c>
      <c r="J356" s="8" t="str">
        <f>VLOOKUP(F356,[1]characters!$A:$H,8,FALSE)</f>
        <v>blue</v>
      </c>
      <c r="K356" s="8" t="str">
        <f>VLOOKUP(F356,[1]characters!$A:$K,11,FALSE)</f>
        <v>attack</v>
      </c>
      <c r="L356" s="8" t="str">
        <f>VLOOKUP(F356,[1]characters!$A:$M,13,FALSE)</f>
        <v>machine</v>
      </c>
      <c r="M356" s="16">
        <f>IFERROR(VLOOKUP(F356,gacha_conf!A$50:F$62,5+E356,FALSE),VLOOKUP(D356,gacha_conf!D$18:E$46,2,FALSE))</f>
        <v>6166</v>
      </c>
      <c r="N356" s="37">
        <f>IFERROR(VLOOKUP($F356,bug_conf_sheet!$A:$H,3,FALSE),VLOOKUP("other",bug_conf_sheet!$A:$H,3,FALSE))</f>
        <v>1</v>
      </c>
      <c r="O356" s="37">
        <f>IFERROR(VLOOKUP($F356,bug_conf_sheet!$A:$H,4,FALSE),VLOOKUP("other",bug_conf_sheet!$A:$H,4,FALSE))</f>
        <v>0</v>
      </c>
      <c r="P356" s="37">
        <f>IFERROR(VLOOKUP($F356,bug_conf_sheet!$A:$H,5,FALSE),VLOOKUP("other",bug_conf_sheet!$A:$H,5,FALSE))</f>
        <v>0</v>
      </c>
      <c r="Q356" s="37">
        <f>IFERROR(VLOOKUP($F356,bug_conf_sheet!$A:$H,6,FALSE),VLOOKUP("other",bug_conf_sheet!$A:$H,6,FALSE))</f>
        <v>0</v>
      </c>
      <c r="R356" s="37">
        <f>IFERROR(VLOOKUP($F356,bug_conf_sheet!$A:$H,7,FALSE),VLOOKUP("other",bug_conf_sheet!$A:$H,7,FALSE))</f>
        <v>0</v>
      </c>
      <c r="S356" s="37">
        <f>IFERROR(VLOOKUP($F356,bug_conf_sheet!$A:$H,8,FALSE),VLOOKUP("other",bug_conf_sheet!$A:$H,8,FALSE))</f>
        <v>1</v>
      </c>
    </row>
    <row r="357" spans="1:19" ht="21" customHeight="1">
      <c r="A357" s="7" t="str">
        <f t="shared" si="32"/>
        <v>1940441</v>
      </c>
      <c r="B357" s="2" t="str">
        <f t="shared" si="34"/>
        <v>1940</v>
      </c>
      <c r="C357" s="8" t="str">
        <f t="shared" si="33"/>
        <v>0PremiumS5</v>
      </c>
      <c r="D357" s="8" t="str">
        <f t="shared" si="35"/>
        <v>0PremiumS5</v>
      </c>
      <c r="E357" s="10">
        <v>0</v>
      </c>
      <c r="F357" s="6">
        <v>441</v>
      </c>
      <c r="G357" s="8" t="str">
        <f>VLOOKUP(F357,[1]characters!$A:$C,3,FALSE)</f>
        <v>求心の錻装 ブリキロガー</v>
      </c>
      <c r="H357" s="8" t="str">
        <f>VLOOKUP(F357,[1]characters!$A:$J,10,FALSE)</f>
        <v>PremiumS</v>
      </c>
      <c r="I357" s="8">
        <f>VLOOKUP(F357,[1]characters!$A:$I,9,FALSE)</f>
        <v>5</v>
      </c>
      <c r="J357" s="8" t="str">
        <f>VLOOKUP(F357,[1]characters!$A:$H,8,FALSE)</f>
        <v>blue</v>
      </c>
      <c r="K357" s="8" t="str">
        <f>VLOOKUP(F357,[1]characters!$A:$K,11,FALSE)</f>
        <v>attack</v>
      </c>
      <c r="L357" s="8" t="str">
        <f>VLOOKUP(F357,[1]characters!$A:$M,13,FALSE)</f>
        <v>machine</v>
      </c>
      <c r="M357" s="16">
        <f>IFERROR(VLOOKUP(F357,gacha_conf!A$50:F$62,5+E357,FALSE),VLOOKUP(D357,gacha_conf!D$18:E$46,2,FALSE))</f>
        <v>394</v>
      </c>
      <c r="N357" s="37">
        <f>IFERROR(VLOOKUP($F357,bug_conf_sheet!$A:$H,3,FALSE),VLOOKUP("other",bug_conf_sheet!$A:$H,3,FALSE))</f>
        <v>1</v>
      </c>
      <c r="O357" s="37">
        <f>IFERROR(VLOOKUP($F357,bug_conf_sheet!$A:$H,4,FALSE),VLOOKUP("other",bug_conf_sheet!$A:$H,4,FALSE))</f>
        <v>0</v>
      </c>
      <c r="P357" s="37">
        <f>IFERROR(VLOOKUP($F357,bug_conf_sheet!$A:$H,5,FALSE),VLOOKUP("other",bug_conf_sheet!$A:$H,5,FALSE))</f>
        <v>0</v>
      </c>
      <c r="Q357" s="37">
        <f>IFERROR(VLOOKUP($F357,bug_conf_sheet!$A:$H,6,FALSE),VLOOKUP("other",bug_conf_sheet!$A:$H,6,FALSE))</f>
        <v>0</v>
      </c>
      <c r="R357" s="37">
        <f>IFERROR(VLOOKUP($F357,bug_conf_sheet!$A:$H,7,FALSE),VLOOKUP("other",bug_conf_sheet!$A:$H,7,FALSE))</f>
        <v>0</v>
      </c>
      <c r="S357" s="37">
        <f>IFERROR(VLOOKUP($F357,bug_conf_sheet!$A:$H,8,FALSE),VLOOKUP("other",bug_conf_sheet!$A:$H,8,FALSE))</f>
        <v>1</v>
      </c>
    </row>
    <row r="358" spans="1:19" ht="21" customHeight="1">
      <c r="A358" s="7" t="str">
        <f t="shared" si="32"/>
        <v>1940442</v>
      </c>
      <c r="B358" s="2" t="str">
        <f t="shared" si="34"/>
        <v>1940</v>
      </c>
      <c r="C358" s="8" t="str">
        <f t="shared" si="33"/>
        <v>0PremiumSS4</v>
      </c>
      <c r="D358" s="8" t="str">
        <f t="shared" si="35"/>
        <v>0PremiumSS4</v>
      </c>
      <c r="E358" s="10">
        <v>0</v>
      </c>
      <c r="F358" s="6">
        <v>442</v>
      </c>
      <c r="G358" s="8" t="str">
        <f>VLOOKUP(F358,[1]characters!$A:$C,3,FALSE)</f>
        <v>ブレイブリー・ライオン</v>
      </c>
      <c r="H358" s="8" t="str">
        <f>VLOOKUP(F358,[1]characters!$A:$J,10,FALSE)</f>
        <v>PremiumSS</v>
      </c>
      <c r="I358" s="8">
        <f>VLOOKUP(F358,[1]characters!$A:$I,9,FALSE)</f>
        <v>4</v>
      </c>
      <c r="J358" s="8" t="str">
        <f>VLOOKUP(F358,[1]characters!$A:$H,8,FALSE)</f>
        <v>yellow</v>
      </c>
      <c r="K358" s="8" t="str">
        <f>VLOOKUP(F358,[1]characters!$A:$K,11,FALSE)</f>
        <v>hp</v>
      </c>
      <c r="L358" s="8" t="str">
        <f>VLOOKUP(F358,[1]characters!$A:$M,13,FALSE)</f>
        <v>animal</v>
      </c>
      <c r="M358" s="16">
        <f>IFERROR(VLOOKUP(F358,gacha_conf!A$50:F$62,5+E358,FALSE),VLOOKUP(D358,gacha_conf!D$18:E$46,2,FALSE))</f>
        <v>701</v>
      </c>
      <c r="N358" s="37">
        <f>IFERROR(VLOOKUP($F358,bug_conf_sheet!$A:$H,3,FALSE),VLOOKUP("other",bug_conf_sheet!$A:$H,3,FALSE))</f>
        <v>1</v>
      </c>
      <c r="O358" s="37">
        <f>IFERROR(VLOOKUP($F358,bug_conf_sheet!$A:$H,4,FALSE),VLOOKUP("other",bug_conf_sheet!$A:$H,4,FALSE))</f>
        <v>0</v>
      </c>
      <c r="P358" s="37">
        <f>IFERROR(VLOOKUP($F358,bug_conf_sheet!$A:$H,5,FALSE),VLOOKUP("other",bug_conf_sheet!$A:$H,5,FALSE))</f>
        <v>0</v>
      </c>
      <c r="Q358" s="37">
        <f>IFERROR(VLOOKUP($F358,bug_conf_sheet!$A:$H,6,FALSE),VLOOKUP("other",bug_conf_sheet!$A:$H,6,FALSE))</f>
        <v>0</v>
      </c>
      <c r="R358" s="37">
        <f>IFERROR(VLOOKUP($F358,bug_conf_sheet!$A:$H,7,FALSE),VLOOKUP("other",bug_conf_sheet!$A:$H,7,FALSE))</f>
        <v>0</v>
      </c>
      <c r="S358" s="37">
        <f>IFERROR(VLOOKUP($F358,bug_conf_sheet!$A:$H,8,FALSE),VLOOKUP("other",bug_conf_sheet!$A:$H,8,FALSE))</f>
        <v>1</v>
      </c>
    </row>
    <row r="359" spans="1:19" ht="21" customHeight="1">
      <c r="A359" s="7" t="str">
        <f t="shared" si="32"/>
        <v>1940443</v>
      </c>
      <c r="B359" s="2" t="str">
        <f t="shared" si="34"/>
        <v>1940</v>
      </c>
      <c r="C359" s="8" t="str">
        <f t="shared" si="33"/>
        <v>0PremiumSS5</v>
      </c>
      <c r="D359" s="8" t="str">
        <f t="shared" si="35"/>
        <v>0PremiumSS5</v>
      </c>
      <c r="E359" s="10">
        <v>0</v>
      </c>
      <c r="F359" s="6">
        <v>443</v>
      </c>
      <c r="G359" s="8" t="str">
        <f>VLOOKUP(F359,[1]characters!$A:$C,3,FALSE)</f>
        <v>勇機結集 ブレイブリー・ライオン</v>
      </c>
      <c r="H359" s="8" t="str">
        <f>VLOOKUP(F359,[1]characters!$A:$J,10,FALSE)</f>
        <v>PremiumSS</v>
      </c>
      <c r="I359" s="8">
        <f>VLOOKUP(F359,[1]characters!$A:$I,9,FALSE)</f>
        <v>5</v>
      </c>
      <c r="J359" s="8" t="str">
        <f>VLOOKUP(F359,[1]characters!$A:$H,8,FALSE)</f>
        <v>yellow</v>
      </c>
      <c r="K359" s="8" t="str">
        <f>VLOOKUP(F359,[1]characters!$A:$K,11,FALSE)</f>
        <v>hp</v>
      </c>
      <c r="L359" s="8" t="str">
        <f>VLOOKUP(F359,[1]characters!$A:$M,13,FALSE)</f>
        <v>animal</v>
      </c>
      <c r="M359" s="16">
        <f>IFERROR(VLOOKUP(F359,gacha_conf!A$50:F$62,5+E359,FALSE),VLOOKUP(D359,gacha_conf!D$18:E$46,2,FALSE))</f>
        <v>45</v>
      </c>
      <c r="N359" s="37">
        <f>IFERROR(VLOOKUP($F359,bug_conf_sheet!$A:$H,3,FALSE),VLOOKUP("other",bug_conf_sheet!$A:$H,3,FALSE))</f>
        <v>1</v>
      </c>
      <c r="O359" s="37">
        <f>IFERROR(VLOOKUP($F359,bug_conf_sheet!$A:$H,4,FALSE),VLOOKUP("other",bug_conf_sheet!$A:$H,4,FALSE))</f>
        <v>0</v>
      </c>
      <c r="P359" s="37">
        <f>IFERROR(VLOOKUP($F359,bug_conf_sheet!$A:$H,5,FALSE),VLOOKUP("other",bug_conf_sheet!$A:$H,5,FALSE))</f>
        <v>0</v>
      </c>
      <c r="Q359" s="37">
        <f>IFERROR(VLOOKUP($F359,bug_conf_sheet!$A:$H,6,FALSE),VLOOKUP("other",bug_conf_sheet!$A:$H,6,FALSE))</f>
        <v>0</v>
      </c>
      <c r="R359" s="37">
        <f>IFERROR(VLOOKUP($F359,bug_conf_sheet!$A:$H,7,FALSE),VLOOKUP("other",bug_conf_sheet!$A:$H,7,FALSE))</f>
        <v>0</v>
      </c>
      <c r="S359" s="37">
        <f>IFERROR(VLOOKUP($F359,bug_conf_sheet!$A:$H,8,FALSE),VLOOKUP("other",bug_conf_sheet!$A:$H,8,FALSE))</f>
        <v>1</v>
      </c>
    </row>
    <row r="360" spans="1:19" ht="21" customHeight="1">
      <c r="A360" s="7" t="str">
        <f t="shared" si="32"/>
        <v>1940463</v>
      </c>
      <c r="B360" s="2" t="str">
        <f t="shared" si="34"/>
        <v>1940</v>
      </c>
      <c r="C360" s="8" t="str">
        <f t="shared" si="33"/>
        <v>0PremiumS4</v>
      </c>
      <c r="D360" s="8" t="str">
        <f t="shared" si="35"/>
        <v>0PremiumS4</v>
      </c>
      <c r="E360" s="10">
        <v>0</v>
      </c>
      <c r="F360" s="9">
        <v>463</v>
      </c>
      <c r="G360" s="8" t="str">
        <f>VLOOKUP(F360,[1]characters!$A:$C,3,FALSE)</f>
        <v>燻銀 ガウェイン</v>
      </c>
      <c r="H360" s="8" t="str">
        <f>VLOOKUP(F360,[1]characters!$A:$J,10,FALSE)</f>
        <v>PremiumS</v>
      </c>
      <c r="I360" s="8">
        <f>VLOOKUP(F360,[1]characters!$A:$I,9,FALSE)</f>
        <v>4</v>
      </c>
      <c r="J360" s="8" t="str">
        <f>VLOOKUP(F360,[1]characters!$A:$H,8,FALSE)</f>
        <v>red</v>
      </c>
      <c r="K360" s="8" t="str">
        <f>VLOOKUP(F360,[1]characters!$A:$K,11,FALSE)</f>
        <v>hp</v>
      </c>
      <c r="L360" s="8" t="str">
        <f>VLOOKUP(F360,[1]characters!$A:$M,13,FALSE)</f>
        <v>human</v>
      </c>
      <c r="M360" s="16">
        <f>IFERROR(VLOOKUP(F360,gacha_conf!A$50:F$62,5+E360,FALSE),VLOOKUP(D360,gacha_conf!D$18:E$46,2,FALSE))</f>
        <v>6166</v>
      </c>
      <c r="N360" s="37">
        <f>IFERROR(VLOOKUP($F360,bug_conf_sheet!$A:$H,3,FALSE),VLOOKUP("other",bug_conf_sheet!$A:$H,3,FALSE))</f>
        <v>1</v>
      </c>
      <c r="O360" s="37">
        <f>IFERROR(VLOOKUP($F360,bug_conf_sheet!$A:$H,4,FALSE),VLOOKUP("other",bug_conf_sheet!$A:$H,4,FALSE))</f>
        <v>0</v>
      </c>
      <c r="P360" s="37">
        <f>IFERROR(VLOOKUP($F360,bug_conf_sheet!$A:$H,5,FALSE),VLOOKUP("other",bug_conf_sheet!$A:$H,5,FALSE))</f>
        <v>0</v>
      </c>
      <c r="Q360" s="37">
        <f>IFERROR(VLOOKUP($F360,bug_conf_sheet!$A:$H,6,FALSE),VLOOKUP("other",bug_conf_sheet!$A:$H,6,FALSE))</f>
        <v>0</v>
      </c>
      <c r="R360" s="37">
        <f>IFERROR(VLOOKUP($F360,bug_conf_sheet!$A:$H,7,FALSE),VLOOKUP("other",bug_conf_sheet!$A:$H,7,FALSE))</f>
        <v>0</v>
      </c>
      <c r="S360" s="37">
        <f>IFERROR(VLOOKUP($F360,bug_conf_sheet!$A:$H,8,FALSE),VLOOKUP("other",bug_conf_sheet!$A:$H,8,FALSE))</f>
        <v>1</v>
      </c>
    </row>
    <row r="361" spans="1:19" ht="21" customHeight="1">
      <c r="A361" s="7" t="str">
        <f t="shared" si="32"/>
        <v>1940464</v>
      </c>
      <c r="B361" s="2" t="str">
        <f t="shared" si="34"/>
        <v>1940</v>
      </c>
      <c r="C361" s="8" t="str">
        <f t="shared" si="33"/>
        <v>0PremiumS5</v>
      </c>
      <c r="D361" s="8" t="str">
        <f t="shared" si="35"/>
        <v>0PremiumS5</v>
      </c>
      <c r="E361" s="10">
        <v>0</v>
      </c>
      <c r="F361" s="9">
        <v>464</v>
      </c>
      <c r="G361" s="8" t="str">
        <f>VLOOKUP(F361,[1]characters!$A:$C,3,FALSE)</f>
        <v>円熟の弾導 ガウェイン</v>
      </c>
      <c r="H361" s="8" t="str">
        <f>VLOOKUP(F361,[1]characters!$A:$J,10,FALSE)</f>
        <v>PremiumS</v>
      </c>
      <c r="I361" s="8">
        <f>VLOOKUP(F361,[1]characters!$A:$I,9,FALSE)</f>
        <v>5</v>
      </c>
      <c r="J361" s="8" t="str">
        <f>VLOOKUP(F361,[1]characters!$A:$H,8,FALSE)</f>
        <v>red</v>
      </c>
      <c r="K361" s="8" t="str">
        <f>VLOOKUP(F361,[1]characters!$A:$K,11,FALSE)</f>
        <v>hp</v>
      </c>
      <c r="L361" s="8" t="str">
        <f>VLOOKUP(F361,[1]characters!$A:$M,13,FALSE)</f>
        <v>human</v>
      </c>
      <c r="M361" s="16">
        <f>IFERROR(VLOOKUP(F361,gacha_conf!A$50:F$62,5+E361,FALSE),VLOOKUP(D361,gacha_conf!D$18:E$46,2,FALSE))</f>
        <v>394</v>
      </c>
      <c r="N361" s="37">
        <f>IFERROR(VLOOKUP($F361,bug_conf_sheet!$A:$H,3,FALSE),VLOOKUP("other",bug_conf_sheet!$A:$H,3,FALSE))</f>
        <v>1</v>
      </c>
      <c r="O361" s="37">
        <f>IFERROR(VLOOKUP($F361,bug_conf_sheet!$A:$H,4,FALSE),VLOOKUP("other",bug_conf_sheet!$A:$H,4,FALSE))</f>
        <v>0</v>
      </c>
      <c r="P361" s="37">
        <f>IFERROR(VLOOKUP($F361,bug_conf_sheet!$A:$H,5,FALSE),VLOOKUP("other",bug_conf_sheet!$A:$H,5,FALSE))</f>
        <v>0</v>
      </c>
      <c r="Q361" s="37">
        <f>IFERROR(VLOOKUP($F361,bug_conf_sheet!$A:$H,6,FALSE),VLOOKUP("other",bug_conf_sheet!$A:$H,6,FALSE))</f>
        <v>0</v>
      </c>
      <c r="R361" s="37">
        <f>IFERROR(VLOOKUP($F361,bug_conf_sheet!$A:$H,7,FALSE),VLOOKUP("other",bug_conf_sheet!$A:$H,7,FALSE))</f>
        <v>0</v>
      </c>
      <c r="S361" s="37">
        <f>IFERROR(VLOOKUP($F361,bug_conf_sheet!$A:$H,8,FALSE),VLOOKUP("other",bug_conf_sheet!$A:$H,8,FALSE))</f>
        <v>1</v>
      </c>
    </row>
    <row r="362" spans="1:19" ht="21" customHeight="1">
      <c r="A362" s="7" t="str">
        <f t="shared" si="32"/>
        <v>1940465</v>
      </c>
      <c r="B362" s="2" t="str">
        <f t="shared" si="34"/>
        <v>1940</v>
      </c>
      <c r="C362" s="8" t="str">
        <f t="shared" si="33"/>
        <v>0PremiumSS4</v>
      </c>
      <c r="D362" s="8" t="str">
        <f t="shared" si="35"/>
        <v>0PremiumSS4</v>
      </c>
      <c r="E362" s="10">
        <v>0</v>
      </c>
      <c r="F362" s="9">
        <v>465</v>
      </c>
      <c r="G362" s="8" t="str">
        <f>VLOOKUP(F362,[1]characters!$A:$C,3,FALSE)</f>
        <v>真撃 ランスロット</v>
      </c>
      <c r="H362" s="8" t="str">
        <f>VLOOKUP(F362,[1]characters!$A:$J,10,FALSE)</f>
        <v>PremiumSS</v>
      </c>
      <c r="I362" s="8">
        <f>VLOOKUP(F362,[1]characters!$A:$I,9,FALSE)</f>
        <v>4</v>
      </c>
      <c r="J362" s="8" t="str">
        <f>VLOOKUP(F362,[1]characters!$A:$H,8,FALSE)</f>
        <v>green</v>
      </c>
      <c r="K362" s="8" t="str">
        <f>VLOOKUP(F362,[1]characters!$A:$K,11,FALSE)</f>
        <v>balance</v>
      </c>
      <c r="L362" s="8" t="str">
        <f>VLOOKUP(F362,[1]characters!$A:$M,13,FALSE)</f>
        <v>human</v>
      </c>
      <c r="M362" s="16">
        <f>IFERROR(VLOOKUP(F362,gacha_conf!A$50:F$62,5+E362,FALSE),VLOOKUP(D362,gacha_conf!D$18:E$46,2,FALSE))</f>
        <v>701</v>
      </c>
      <c r="N362" s="37">
        <f>IFERROR(VLOOKUP($F362,bug_conf_sheet!$A:$H,3,FALSE),VLOOKUP("other",bug_conf_sheet!$A:$H,3,FALSE))</f>
        <v>1</v>
      </c>
      <c r="O362" s="37">
        <f>IFERROR(VLOOKUP($F362,bug_conf_sheet!$A:$H,4,FALSE),VLOOKUP("other",bug_conf_sheet!$A:$H,4,FALSE))</f>
        <v>0</v>
      </c>
      <c r="P362" s="37">
        <f>IFERROR(VLOOKUP($F362,bug_conf_sheet!$A:$H,5,FALSE),VLOOKUP("other",bug_conf_sheet!$A:$H,5,FALSE))</f>
        <v>0</v>
      </c>
      <c r="Q362" s="37">
        <f>IFERROR(VLOOKUP($F362,bug_conf_sheet!$A:$H,6,FALSE),VLOOKUP("other",bug_conf_sheet!$A:$H,6,FALSE))</f>
        <v>0</v>
      </c>
      <c r="R362" s="37">
        <f>IFERROR(VLOOKUP($F362,bug_conf_sheet!$A:$H,7,FALSE),VLOOKUP("other",bug_conf_sheet!$A:$H,7,FALSE))</f>
        <v>0</v>
      </c>
      <c r="S362" s="37">
        <f>IFERROR(VLOOKUP($F362,bug_conf_sheet!$A:$H,8,FALSE),VLOOKUP("other",bug_conf_sheet!$A:$H,8,FALSE))</f>
        <v>1</v>
      </c>
    </row>
    <row r="363" spans="1:19" ht="21" customHeight="1">
      <c r="A363" s="7" t="str">
        <f t="shared" ref="A363:A367" si="36">B363&amp;F363</f>
        <v>1940466</v>
      </c>
      <c r="B363" s="2" t="str">
        <f t="shared" si="34"/>
        <v>1940</v>
      </c>
      <c r="C363" s="8" t="str">
        <f t="shared" si="33"/>
        <v>0PremiumSS5</v>
      </c>
      <c r="D363" s="8" t="str">
        <f t="shared" si="35"/>
        <v>0PremiumSS5</v>
      </c>
      <c r="E363" s="10">
        <v>0</v>
      </c>
      <c r="F363" s="6">
        <v>466</v>
      </c>
      <c r="G363" s="8" t="str">
        <f>VLOOKUP(F363,[1]characters!$A:$C,3,FALSE)</f>
        <v>真断の勇覇 ランスロット</v>
      </c>
      <c r="H363" s="8" t="str">
        <f>VLOOKUP(F363,[1]characters!$A:$J,10,FALSE)</f>
        <v>PremiumSS</v>
      </c>
      <c r="I363" s="8">
        <f>VLOOKUP(F363,[1]characters!$A:$I,9,FALSE)</f>
        <v>5</v>
      </c>
      <c r="J363" s="8" t="str">
        <f>VLOOKUP(F363,[1]characters!$A:$H,8,FALSE)</f>
        <v>green</v>
      </c>
      <c r="K363" s="8" t="str">
        <f>VLOOKUP(F363,[1]characters!$A:$K,11,FALSE)</f>
        <v>balance</v>
      </c>
      <c r="L363" s="8" t="str">
        <f>VLOOKUP(F363,[1]characters!$A:$M,13,FALSE)</f>
        <v>human</v>
      </c>
      <c r="M363" s="16">
        <f>IFERROR(VLOOKUP(F363,gacha_conf!A$50:F$62,5+E363,FALSE),VLOOKUP(D363,gacha_conf!D$18:E$46,2,FALSE))</f>
        <v>45</v>
      </c>
      <c r="N363" s="37">
        <f>IFERROR(VLOOKUP($F363,bug_conf_sheet!$A:$H,3,FALSE),VLOOKUP("other",bug_conf_sheet!$A:$H,3,FALSE))</f>
        <v>1</v>
      </c>
      <c r="O363" s="37">
        <f>IFERROR(VLOOKUP($F363,bug_conf_sheet!$A:$H,4,FALSE),VLOOKUP("other",bug_conf_sheet!$A:$H,4,FALSE))</f>
        <v>0</v>
      </c>
      <c r="P363" s="37">
        <f>IFERROR(VLOOKUP($F363,bug_conf_sheet!$A:$H,5,FALSE),VLOOKUP("other",bug_conf_sheet!$A:$H,5,FALSE))</f>
        <v>0</v>
      </c>
      <c r="Q363" s="37">
        <f>IFERROR(VLOOKUP($F363,bug_conf_sheet!$A:$H,6,FALSE),VLOOKUP("other",bug_conf_sheet!$A:$H,6,FALSE))</f>
        <v>0</v>
      </c>
      <c r="R363" s="37">
        <f>IFERROR(VLOOKUP($F363,bug_conf_sheet!$A:$H,7,FALSE),VLOOKUP("other",bug_conf_sheet!$A:$H,7,FALSE))</f>
        <v>0</v>
      </c>
      <c r="S363" s="37">
        <f>IFERROR(VLOOKUP($F363,bug_conf_sheet!$A:$H,8,FALSE),VLOOKUP("other",bug_conf_sheet!$A:$H,8,FALSE))</f>
        <v>1</v>
      </c>
    </row>
    <row r="364" spans="1:19" ht="21" customHeight="1">
      <c r="A364" s="7" t="str">
        <f t="shared" si="36"/>
        <v>1940467</v>
      </c>
      <c r="B364" s="2" t="str">
        <f t="shared" si="34"/>
        <v>1940</v>
      </c>
      <c r="C364" s="8" t="str">
        <f t="shared" si="33"/>
        <v>0PremiumSS4</v>
      </c>
      <c r="D364" s="8" t="str">
        <f t="shared" si="35"/>
        <v>0PremiumSS4</v>
      </c>
      <c r="E364" s="10">
        <v>0</v>
      </c>
      <c r="F364" s="6">
        <v>467</v>
      </c>
      <c r="G364" s="8" t="str">
        <f>VLOOKUP(F364,[1]characters!$A:$C,3,FALSE)</f>
        <v>報復 モルドレッド</v>
      </c>
      <c r="H364" s="8" t="str">
        <f>VLOOKUP(F364,[1]characters!$A:$J,10,FALSE)</f>
        <v>PremiumSS</v>
      </c>
      <c r="I364" s="8">
        <f>VLOOKUP(F364,[1]characters!$A:$I,9,FALSE)</f>
        <v>4</v>
      </c>
      <c r="J364" s="8" t="str">
        <f>VLOOKUP(F364,[1]characters!$A:$H,8,FALSE)</f>
        <v>blue</v>
      </c>
      <c r="K364" s="8" t="str">
        <f>VLOOKUP(F364,[1]characters!$A:$K,11,FALSE)</f>
        <v>technical</v>
      </c>
      <c r="L364" s="8" t="str">
        <f>VLOOKUP(F364,[1]characters!$A:$M,13,FALSE)</f>
        <v>human</v>
      </c>
      <c r="M364" s="16">
        <f>IFERROR(VLOOKUP(F364,gacha_conf!A$50:F$62,5+E364,FALSE),VLOOKUP(D364,gacha_conf!D$18:E$46,2,FALSE))</f>
        <v>701</v>
      </c>
      <c r="N364" s="37">
        <f>IFERROR(VLOOKUP($F364,bug_conf_sheet!$A:$H,3,FALSE),VLOOKUP("other",bug_conf_sheet!$A:$H,3,FALSE))</f>
        <v>1</v>
      </c>
      <c r="O364" s="37">
        <f>IFERROR(VLOOKUP($F364,bug_conf_sheet!$A:$H,4,FALSE),VLOOKUP("other",bug_conf_sheet!$A:$H,4,FALSE))</f>
        <v>0</v>
      </c>
      <c r="P364" s="37">
        <f>IFERROR(VLOOKUP($F364,bug_conf_sheet!$A:$H,5,FALSE),VLOOKUP("other",bug_conf_sheet!$A:$H,5,FALSE))</f>
        <v>0</v>
      </c>
      <c r="Q364" s="37">
        <f>IFERROR(VLOOKUP($F364,bug_conf_sheet!$A:$H,6,FALSE),VLOOKUP("other",bug_conf_sheet!$A:$H,6,FALSE))</f>
        <v>0</v>
      </c>
      <c r="R364" s="37">
        <f>IFERROR(VLOOKUP($F364,bug_conf_sheet!$A:$H,7,FALSE),VLOOKUP("other",bug_conf_sheet!$A:$H,7,FALSE))</f>
        <v>0</v>
      </c>
      <c r="S364" s="37">
        <f>IFERROR(VLOOKUP($F364,bug_conf_sheet!$A:$H,8,FALSE),VLOOKUP("other",bug_conf_sheet!$A:$H,8,FALSE))</f>
        <v>1</v>
      </c>
    </row>
    <row r="365" spans="1:19" ht="21" customHeight="1">
      <c r="A365" s="7" t="str">
        <f t="shared" si="36"/>
        <v>1940468</v>
      </c>
      <c r="B365" s="2" t="str">
        <f t="shared" si="34"/>
        <v>1940</v>
      </c>
      <c r="C365" s="8" t="str">
        <f t="shared" si="33"/>
        <v>0PremiumSS5</v>
      </c>
      <c r="D365" s="8" t="str">
        <f t="shared" si="35"/>
        <v>0PremiumSS5</v>
      </c>
      <c r="E365" s="10">
        <v>0</v>
      </c>
      <c r="F365" s="6">
        <v>468</v>
      </c>
      <c r="G365" s="8" t="str">
        <f>VLOOKUP(F365,[1]characters!$A:$C,3,FALSE)</f>
        <v>憎愛の尖鋒 モルドレッド</v>
      </c>
      <c r="H365" s="8" t="str">
        <f>VLOOKUP(F365,[1]characters!$A:$J,10,FALSE)</f>
        <v>PremiumSS</v>
      </c>
      <c r="I365" s="8">
        <f>VLOOKUP(F365,[1]characters!$A:$I,9,FALSE)</f>
        <v>5</v>
      </c>
      <c r="J365" s="8" t="str">
        <f>VLOOKUP(F365,[1]characters!$A:$H,8,FALSE)</f>
        <v>blue</v>
      </c>
      <c r="K365" s="8" t="str">
        <f>VLOOKUP(F365,[1]characters!$A:$K,11,FALSE)</f>
        <v>technical</v>
      </c>
      <c r="L365" s="8" t="str">
        <f>VLOOKUP(F365,[1]characters!$A:$M,13,FALSE)</f>
        <v>human</v>
      </c>
      <c r="M365" s="16">
        <f>IFERROR(VLOOKUP(F365,gacha_conf!A$50:F$62,5+E365,FALSE),VLOOKUP(D365,gacha_conf!D$18:E$46,2,FALSE))</f>
        <v>45</v>
      </c>
      <c r="N365" s="37">
        <f>IFERROR(VLOOKUP($F365,bug_conf_sheet!$A:$H,3,FALSE),VLOOKUP("other",bug_conf_sheet!$A:$H,3,FALSE))</f>
        <v>1</v>
      </c>
      <c r="O365" s="37">
        <f>IFERROR(VLOOKUP($F365,bug_conf_sheet!$A:$H,4,FALSE),VLOOKUP("other",bug_conf_sheet!$A:$H,4,FALSE))</f>
        <v>0</v>
      </c>
      <c r="P365" s="37">
        <f>IFERROR(VLOOKUP($F365,bug_conf_sheet!$A:$H,5,FALSE),VLOOKUP("other",bug_conf_sheet!$A:$H,5,FALSE))</f>
        <v>0</v>
      </c>
      <c r="Q365" s="37">
        <f>IFERROR(VLOOKUP($F365,bug_conf_sheet!$A:$H,6,FALSE),VLOOKUP("other",bug_conf_sheet!$A:$H,6,FALSE))</f>
        <v>0</v>
      </c>
      <c r="R365" s="37">
        <f>IFERROR(VLOOKUP($F365,bug_conf_sheet!$A:$H,7,FALSE),VLOOKUP("other",bug_conf_sheet!$A:$H,7,FALSE))</f>
        <v>0</v>
      </c>
      <c r="S365" s="37">
        <f>IFERROR(VLOOKUP($F365,bug_conf_sheet!$A:$H,8,FALSE),VLOOKUP("other",bug_conf_sheet!$A:$H,8,FALSE))</f>
        <v>1</v>
      </c>
    </row>
    <row r="366" spans="1:19" ht="21" customHeight="1">
      <c r="A366" s="7" t="str">
        <f t="shared" si="36"/>
        <v>1940470</v>
      </c>
      <c r="B366" s="2" t="str">
        <f t="shared" si="34"/>
        <v>1940</v>
      </c>
      <c r="C366" s="8" t="str">
        <f t="shared" ref="C366:C367" si="37">E366&amp;H366&amp;I366</f>
        <v>0PremiumS4</v>
      </c>
      <c r="D366" s="8" t="str">
        <f t="shared" si="35"/>
        <v>0PremiumS4</v>
      </c>
      <c r="E366" s="10">
        <v>0</v>
      </c>
      <c r="F366" s="6">
        <v>470</v>
      </c>
      <c r="G366" s="8" t="str">
        <f>VLOOKUP(F366,[1]characters!$A:$C,3,FALSE)</f>
        <v>純心 トリスタン</v>
      </c>
      <c r="H366" s="8" t="str">
        <f>VLOOKUP(F366,[1]characters!$A:$J,10,FALSE)</f>
        <v>PremiumS</v>
      </c>
      <c r="I366" s="8">
        <f>VLOOKUP(F366,[1]characters!$A:$I,9,FALSE)</f>
        <v>4</v>
      </c>
      <c r="J366" s="8" t="str">
        <f>VLOOKUP(F366,[1]characters!$A:$H,8,FALSE)</f>
        <v>yellow</v>
      </c>
      <c r="K366" s="8" t="str">
        <f>VLOOKUP(F366,[1]characters!$A:$K,11,FALSE)</f>
        <v>attack</v>
      </c>
      <c r="L366" s="8" t="str">
        <f>VLOOKUP(F366,[1]characters!$A:$M,13,FALSE)</f>
        <v>human</v>
      </c>
      <c r="M366" s="16">
        <f>IFERROR(VLOOKUP(F366,gacha_conf!A$50:F$62,5+E366,FALSE),VLOOKUP(D366,gacha_conf!D$18:E$46,2,FALSE))</f>
        <v>6166</v>
      </c>
      <c r="N366" s="37">
        <f>IFERROR(VLOOKUP($F366,bug_conf_sheet!$A:$H,3,FALSE),VLOOKUP("other",bug_conf_sheet!$A:$H,3,FALSE))</f>
        <v>1</v>
      </c>
      <c r="O366" s="37">
        <f>IFERROR(VLOOKUP($F366,bug_conf_sheet!$A:$H,4,FALSE),VLOOKUP("other",bug_conf_sheet!$A:$H,4,FALSE))</f>
        <v>0</v>
      </c>
      <c r="P366" s="37">
        <f>IFERROR(VLOOKUP($F366,bug_conf_sheet!$A:$H,5,FALSE),VLOOKUP("other",bug_conf_sheet!$A:$H,5,FALSE))</f>
        <v>0</v>
      </c>
      <c r="Q366" s="37">
        <f>IFERROR(VLOOKUP($F366,bug_conf_sheet!$A:$H,6,FALSE),VLOOKUP("other",bug_conf_sheet!$A:$H,6,FALSE))</f>
        <v>0</v>
      </c>
      <c r="R366" s="37">
        <f>IFERROR(VLOOKUP($F366,bug_conf_sheet!$A:$H,7,FALSE),VLOOKUP("other",bug_conf_sheet!$A:$H,7,FALSE))</f>
        <v>0</v>
      </c>
      <c r="S366" s="37">
        <f>IFERROR(VLOOKUP($F366,bug_conf_sheet!$A:$H,8,FALSE),VLOOKUP("other",bug_conf_sheet!$A:$H,8,FALSE))</f>
        <v>1</v>
      </c>
    </row>
    <row r="367" spans="1:19" ht="21" customHeight="1">
      <c r="A367" s="7" t="str">
        <f t="shared" si="36"/>
        <v>1940471</v>
      </c>
      <c r="B367" s="2" t="str">
        <f t="shared" si="34"/>
        <v>1940</v>
      </c>
      <c r="C367" s="8" t="str">
        <f t="shared" si="37"/>
        <v>0PremiumS5</v>
      </c>
      <c r="D367" s="8" t="str">
        <f t="shared" si="35"/>
        <v>0PremiumS5</v>
      </c>
      <c r="E367" s="10">
        <v>0</v>
      </c>
      <c r="F367" s="6">
        <v>471</v>
      </c>
      <c r="G367" s="8" t="str">
        <f>VLOOKUP(F367,[1]characters!$A:$C,3,FALSE)</f>
        <v>不可避の爆激 トリスタン</v>
      </c>
      <c r="H367" s="8" t="str">
        <f>VLOOKUP(F367,[1]characters!$A:$J,10,FALSE)</f>
        <v>PremiumS</v>
      </c>
      <c r="I367" s="8">
        <f>VLOOKUP(F367,[1]characters!$A:$I,9,FALSE)</f>
        <v>5</v>
      </c>
      <c r="J367" s="8" t="str">
        <f>VLOOKUP(F367,[1]characters!$A:$H,8,FALSE)</f>
        <v>yellow</v>
      </c>
      <c r="K367" s="8" t="str">
        <f>VLOOKUP(F367,[1]characters!$A:$K,11,FALSE)</f>
        <v>attack</v>
      </c>
      <c r="L367" s="8" t="str">
        <f>VLOOKUP(F367,[1]characters!$A:$M,13,FALSE)</f>
        <v>human</v>
      </c>
      <c r="M367" s="16">
        <f>IFERROR(VLOOKUP(F367,gacha_conf!A$50:F$62,5+E367,FALSE),VLOOKUP(D367,gacha_conf!D$18:E$46,2,FALSE))</f>
        <v>394</v>
      </c>
      <c r="N367" s="37">
        <f>IFERROR(VLOOKUP($F367,bug_conf_sheet!$A:$H,3,FALSE),VLOOKUP("other",bug_conf_sheet!$A:$H,3,FALSE))</f>
        <v>1</v>
      </c>
      <c r="O367" s="37">
        <f>IFERROR(VLOOKUP($F367,bug_conf_sheet!$A:$H,4,FALSE),VLOOKUP("other",bug_conf_sheet!$A:$H,4,FALSE))</f>
        <v>0</v>
      </c>
      <c r="P367" s="37">
        <f>IFERROR(VLOOKUP($F367,bug_conf_sheet!$A:$H,5,FALSE),VLOOKUP("other",bug_conf_sheet!$A:$H,5,FALSE))</f>
        <v>0</v>
      </c>
      <c r="Q367" s="37">
        <f>IFERROR(VLOOKUP($F367,bug_conf_sheet!$A:$H,6,FALSE),VLOOKUP("other",bug_conf_sheet!$A:$H,6,FALSE))</f>
        <v>0</v>
      </c>
      <c r="R367" s="37">
        <f>IFERROR(VLOOKUP($F367,bug_conf_sheet!$A:$H,7,FALSE),VLOOKUP("other",bug_conf_sheet!$A:$H,7,FALSE))</f>
        <v>0</v>
      </c>
      <c r="S367" s="37">
        <f>IFERROR(VLOOKUP($F367,bug_conf_sheet!$A:$H,8,FALSE),VLOOKUP("other",bug_conf_sheet!$A:$H,8,FALSE))</f>
        <v>1</v>
      </c>
    </row>
    <row r="368" spans="1:19" ht="21" customHeight="1">
      <c r="A368" s="7" t="str">
        <f t="shared" ref="A368:A375" si="38">B368&amp;F368</f>
        <v>1940474</v>
      </c>
      <c r="B368" s="2" t="str">
        <f t="shared" si="34"/>
        <v>1940</v>
      </c>
      <c r="C368" s="8" t="str">
        <f t="shared" ref="C368:C375" si="39">E368&amp;H368&amp;I368</f>
        <v>0PremiumSS4</v>
      </c>
      <c r="D368" s="8" t="str">
        <f t="shared" si="35"/>
        <v>0PremiumSS4</v>
      </c>
      <c r="E368" s="10">
        <v>0</v>
      </c>
      <c r="F368" s="6">
        <v>474</v>
      </c>
      <c r="G368" s="8" t="str">
        <f>VLOOKUP(F368,[1]characters!$A:$C,3,FALSE)</f>
        <v>キング・ドライグ</v>
      </c>
      <c r="H368" s="8" t="str">
        <f>VLOOKUP(F368,[1]characters!$A:$J,10,FALSE)</f>
        <v>PremiumSS</v>
      </c>
      <c r="I368" s="8">
        <f>VLOOKUP(F368,[1]characters!$A:$I,9,FALSE)</f>
        <v>4</v>
      </c>
      <c r="J368" s="8" t="str">
        <f>VLOOKUP(F368,[1]characters!$A:$H,8,FALSE)</f>
        <v>red</v>
      </c>
      <c r="K368" s="8" t="str">
        <f>VLOOKUP(F368,[1]characters!$A:$K,11,FALSE)</f>
        <v>attack</v>
      </c>
      <c r="L368" s="8" t="str">
        <f>VLOOKUP(F368,[1]characters!$A:$M,13,FALSE)</f>
        <v>dragon</v>
      </c>
      <c r="M368" s="16">
        <f>IFERROR(VLOOKUP(F368,gacha_conf!A$50:F$62,5+E368,FALSE),VLOOKUP(D368,gacha_conf!D$18:E$46,2,FALSE))</f>
        <v>701</v>
      </c>
      <c r="N368" s="37">
        <f>IFERROR(VLOOKUP($F368,bug_conf_sheet!$A:$H,3,FALSE),VLOOKUP("other",bug_conf_sheet!$A:$H,3,FALSE))</f>
        <v>1</v>
      </c>
      <c r="O368" s="37">
        <f>IFERROR(VLOOKUP($F368,bug_conf_sheet!$A:$H,4,FALSE),VLOOKUP("other",bug_conf_sheet!$A:$H,4,FALSE))</f>
        <v>0</v>
      </c>
      <c r="P368" s="37">
        <f>IFERROR(VLOOKUP($F368,bug_conf_sheet!$A:$H,5,FALSE),VLOOKUP("other",bug_conf_sheet!$A:$H,5,FALSE))</f>
        <v>0</v>
      </c>
      <c r="Q368" s="37">
        <f>IFERROR(VLOOKUP($F368,bug_conf_sheet!$A:$H,6,FALSE),VLOOKUP("other",bug_conf_sheet!$A:$H,6,FALSE))</f>
        <v>0</v>
      </c>
      <c r="R368" s="37">
        <f>IFERROR(VLOOKUP($F368,bug_conf_sheet!$A:$H,7,FALSE),VLOOKUP("other",bug_conf_sheet!$A:$H,7,FALSE))</f>
        <v>0</v>
      </c>
      <c r="S368" s="37">
        <f>IFERROR(VLOOKUP($F368,bug_conf_sheet!$A:$H,8,FALSE),VLOOKUP("other",bug_conf_sheet!$A:$H,8,FALSE))</f>
        <v>1</v>
      </c>
    </row>
    <row r="369" spans="1:19" ht="21" customHeight="1">
      <c r="A369" s="7" t="str">
        <f t="shared" si="38"/>
        <v>1940475</v>
      </c>
      <c r="B369" s="2" t="str">
        <f t="shared" si="34"/>
        <v>1940</v>
      </c>
      <c r="C369" s="8" t="str">
        <f t="shared" si="39"/>
        <v>0PremiumSS5</v>
      </c>
      <c r="D369" s="8" t="str">
        <f t="shared" si="35"/>
        <v>0PremiumSS5</v>
      </c>
      <c r="E369" s="10">
        <v>0</v>
      </c>
      <c r="F369" s="6">
        <v>475</v>
      </c>
      <c r="G369" s="8" t="str">
        <f>VLOOKUP(F369,[1]characters!$A:$C,3,FALSE)</f>
        <v>緋王 キング・ドライグ</v>
      </c>
      <c r="H369" s="8" t="str">
        <f>VLOOKUP(F369,[1]characters!$A:$J,10,FALSE)</f>
        <v>PremiumSS</v>
      </c>
      <c r="I369" s="8">
        <f>VLOOKUP(F369,[1]characters!$A:$I,9,FALSE)</f>
        <v>5</v>
      </c>
      <c r="J369" s="8" t="str">
        <f>VLOOKUP(F369,[1]characters!$A:$H,8,FALSE)</f>
        <v>red</v>
      </c>
      <c r="K369" s="8" t="str">
        <f>VLOOKUP(F369,[1]characters!$A:$K,11,FALSE)</f>
        <v>attack</v>
      </c>
      <c r="L369" s="8" t="str">
        <f>VLOOKUP(F369,[1]characters!$A:$M,13,FALSE)</f>
        <v>dragon</v>
      </c>
      <c r="M369" s="16">
        <f>IFERROR(VLOOKUP(F369,gacha_conf!A$50:F$62,5+E369,FALSE),VLOOKUP(D369,gacha_conf!D$18:E$46,2,FALSE))</f>
        <v>45</v>
      </c>
      <c r="N369" s="37">
        <f>IFERROR(VLOOKUP($F369,bug_conf_sheet!$A:$H,3,FALSE),VLOOKUP("other",bug_conf_sheet!$A:$H,3,FALSE))</f>
        <v>1</v>
      </c>
      <c r="O369" s="37">
        <f>IFERROR(VLOOKUP($F369,bug_conf_sheet!$A:$H,4,FALSE),VLOOKUP("other",bug_conf_sheet!$A:$H,4,FALSE))</f>
        <v>0</v>
      </c>
      <c r="P369" s="37">
        <f>IFERROR(VLOOKUP($F369,bug_conf_sheet!$A:$H,5,FALSE),VLOOKUP("other",bug_conf_sheet!$A:$H,5,FALSE))</f>
        <v>0</v>
      </c>
      <c r="Q369" s="37">
        <f>IFERROR(VLOOKUP($F369,bug_conf_sheet!$A:$H,6,FALSE),VLOOKUP("other",bug_conf_sheet!$A:$H,6,FALSE))</f>
        <v>0</v>
      </c>
      <c r="R369" s="37">
        <f>IFERROR(VLOOKUP($F369,bug_conf_sheet!$A:$H,7,FALSE),VLOOKUP("other",bug_conf_sheet!$A:$H,7,FALSE))</f>
        <v>0</v>
      </c>
      <c r="S369" s="37">
        <f>IFERROR(VLOOKUP($F369,bug_conf_sheet!$A:$H,8,FALSE),VLOOKUP("other",bug_conf_sheet!$A:$H,8,FALSE))</f>
        <v>1</v>
      </c>
    </row>
    <row r="370" spans="1:19" ht="21" customHeight="1">
      <c r="A370" s="7" t="str">
        <f t="shared" si="38"/>
        <v>1940477</v>
      </c>
      <c r="B370" s="2" t="str">
        <f t="shared" si="34"/>
        <v>1940</v>
      </c>
      <c r="C370" s="8" t="str">
        <f t="shared" si="39"/>
        <v>0PremiumS4</v>
      </c>
      <c r="D370" s="8" t="str">
        <f t="shared" si="35"/>
        <v>0PremiumS4</v>
      </c>
      <c r="E370" s="10">
        <v>0</v>
      </c>
      <c r="F370" s="6">
        <v>477</v>
      </c>
      <c r="G370" s="8" t="str">
        <f>VLOOKUP(F370,[1]characters!$A:$C,3,FALSE)</f>
        <v>愛羽妖精 ファータ</v>
      </c>
      <c r="H370" s="8" t="str">
        <f>VLOOKUP(F370,[1]characters!$A:$J,10,FALSE)</f>
        <v>PremiumS</v>
      </c>
      <c r="I370" s="8">
        <f>VLOOKUP(F370,[1]characters!$A:$I,9,FALSE)</f>
        <v>4</v>
      </c>
      <c r="J370" s="8" t="str">
        <f>VLOOKUP(F370,[1]characters!$A:$H,8,FALSE)</f>
        <v>green</v>
      </c>
      <c r="K370" s="8" t="str">
        <f>VLOOKUP(F370,[1]characters!$A:$K,11,FALSE)</f>
        <v>heal</v>
      </c>
      <c r="L370" s="8" t="str">
        <f>VLOOKUP(F370,[1]characters!$A:$M,13,FALSE)</f>
        <v>unknown</v>
      </c>
      <c r="M370" s="16">
        <f>IFERROR(VLOOKUP(F370,gacha_conf!A$50:F$62,5+E370,FALSE),VLOOKUP(D370,gacha_conf!D$18:E$46,2,FALSE))</f>
        <v>6166</v>
      </c>
      <c r="N370" s="37">
        <f>IFERROR(VLOOKUP($F370,bug_conf_sheet!$A:$H,3,FALSE),VLOOKUP("other",bug_conf_sheet!$A:$H,3,FALSE))</f>
        <v>1</v>
      </c>
      <c r="O370" s="37">
        <f>IFERROR(VLOOKUP($F370,bug_conf_sheet!$A:$H,4,FALSE),VLOOKUP("other",bug_conf_sheet!$A:$H,4,FALSE))</f>
        <v>0</v>
      </c>
      <c r="P370" s="37">
        <f>IFERROR(VLOOKUP($F370,bug_conf_sheet!$A:$H,5,FALSE),VLOOKUP("other",bug_conf_sheet!$A:$H,5,FALSE))</f>
        <v>0</v>
      </c>
      <c r="Q370" s="37">
        <f>IFERROR(VLOOKUP($F370,bug_conf_sheet!$A:$H,6,FALSE),VLOOKUP("other",bug_conf_sheet!$A:$H,6,FALSE))</f>
        <v>0</v>
      </c>
      <c r="R370" s="37">
        <f>IFERROR(VLOOKUP($F370,bug_conf_sheet!$A:$H,7,FALSE),VLOOKUP("other",bug_conf_sheet!$A:$H,7,FALSE))</f>
        <v>0</v>
      </c>
      <c r="S370" s="37">
        <f>IFERROR(VLOOKUP($F370,bug_conf_sheet!$A:$H,8,FALSE),VLOOKUP("other",bug_conf_sheet!$A:$H,8,FALSE))</f>
        <v>1</v>
      </c>
    </row>
    <row r="371" spans="1:19" ht="21" customHeight="1">
      <c r="A371" s="7" t="str">
        <f t="shared" si="38"/>
        <v>1940478</v>
      </c>
      <c r="B371" s="2" t="str">
        <f t="shared" si="34"/>
        <v>1940</v>
      </c>
      <c r="C371" s="8" t="str">
        <f t="shared" si="39"/>
        <v>0PremiumS5</v>
      </c>
      <c r="D371" s="8" t="str">
        <f t="shared" si="35"/>
        <v>0PremiumS5</v>
      </c>
      <c r="E371" s="10">
        <v>0</v>
      </c>
      <c r="F371" s="6">
        <v>478</v>
      </c>
      <c r="G371" s="8" t="str">
        <f>VLOOKUP(F371,[1]characters!$A:$C,3,FALSE)</f>
        <v>時計仕掛けの愛羽妖精 ファータ</v>
      </c>
      <c r="H371" s="8" t="str">
        <f>VLOOKUP(F371,[1]characters!$A:$J,10,FALSE)</f>
        <v>PremiumS</v>
      </c>
      <c r="I371" s="8">
        <f>VLOOKUP(F371,[1]characters!$A:$I,9,FALSE)</f>
        <v>5</v>
      </c>
      <c r="J371" s="8" t="str">
        <f>VLOOKUP(F371,[1]characters!$A:$H,8,FALSE)</f>
        <v>green</v>
      </c>
      <c r="K371" s="8" t="str">
        <f>VLOOKUP(F371,[1]characters!$A:$K,11,FALSE)</f>
        <v>heal</v>
      </c>
      <c r="L371" s="8" t="str">
        <f>VLOOKUP(F371,[1]characters!$A:$M,13,FALSE)</f>
        <v>unknown</v>
      </c>
      <c r="M371" s="16">
        <f>IFERROR(VLOOKUP(F371,gacha_conf!A$50:F$62,5+E371,FALSE),VLOOKUP(D371,gacha_conf!D$18:E$46,2,FALSE))</f>
        <v>394</v>
      </c>
      <c r="N371" s="37">
        <f>IFERROR(VLOOKUP($F371,bug_conf_sheet!$A:$H,3,FALSE),VLOOKUP("other",bug_conf_sheet!$A:$H,3,FALSE))</f>
        <v>1</v>
      </c>
      <c r="O371" s="37">
        <f>IFERROR(VLOOKUP($F371,bug_conf_sheet!$A:$H,4,FALSE),VLOOKUP("other",bug_conf_sheet!$A:$H,4,FALSE))</f>
        <v>0</v>
      </c>
      <c r="P371" s="37">
        <f>IFERROR(VLOOKUP($F371,bug_conf_sheet!$A:$H,5,FALSE),VLOOKUP("other",bug_conf_sheet!$A:$H,5,FALSE))</f>
        <v>0</v>
      </c>
      <c r="Q371" s="37">
        <f>IFERROR(VLOOKUP($F371,bug_conf_sheet!$A:$H,6,FALSE),VLOOKUP("other",bug_conf_sheet!$A:$H,6,FALSE))</f>
        <v>0</v>
      </c>
      <c r="R371" s="37">
        <f>IFERROR(VLOOKUP($F371,bug_conf_sheet!$A:$H,7,FALSE),VLOOKUP("other",bug_conf_sheet!$A:$H,7,FALSE))</f>
        <v>0</v>
      </c>
      <c r="S371" s="37">
        <f>IFERROR(VLOOKUP($F371,bug_conf_sheet!$A:$H,8,FALSE),VLOOKUP("other",bug_conf_sheet!$A:$H,8,FALSE))</f>
        <v>1</v>
      </c>
    </row>
    <row r="372" spans="1:19" ht="21" customHeight="1">
      <c r="A372" s="7" t="str">
        <f t="shared" si="38"/>
        <v>1940479</v>
      </c>
      <c r="B372" s="2" t="str">
        <f t="shared" si="34"/>
        <v>1940</v>
      </c>
      <c r="C372" s="8" t="str">
        <f t="shared" si="39"/>
        <v>0PremiumSS4</v>
      </c>
      <c r="D372" s="8" t="str">
        <f t="shared" si="35"/>
        <v>0PremiumSS4</v>
      </c>
      <c r="E372" s="10">
        <v>0</v>
      </c>
      <c r="F372" s="6">
        <v>479</v>
      </c>
      <c r="G372" s="8" t="str">
        <f>VLOOKUP(F372,[1]characters!$A:$C,3,FALSE)</f>
        <v>フール</v>
      </c>
      <c r="H372" s="8" t="str">
        <f>VLOOKUP(F372,[1]characters!$A:$J,10,FALSE)</f>
        <v>PremiumSS</v>
      </c>
      <c r="I372" s="8">
        <f>VLOOKUP(F372,[1]characters!$A:$I,9,FALSE)</f>
        <v>4</v>
      </c>
      <c r="J372" s="8" t="str">
        <f>VLOOKUP(F372,[1]characters!$A:$H,8,FALSE)</f>
        <v>blue</v>
      </c>
      <c r="K372" s="8" t="str">
        <f>VLOOKUP(F372,[1]characters!$A:$K,11,FALSE)</f>
        <v>technical</v>
      </c>
      <c r="L372" s="8" t="str">
        <f>VLOOKUP(F372,[1]characters!$A:$M,13,FALSE)</f>
        <v>god</v>
      </c>
      <c r="M372" s="16">
        <f>IFERROR(VLOOKUP(F372,gacha_conf!A$50:F$62,5+E372,FALSE),VLOOKUP(D372,gacha_conf!D$18:E$46,2,FALSE))</f>
        <v>701</v>
      </c>
      <c r="N372" s="37">
        <f>IFERROR(VLOOKUP($F372,bug_conf_sheet!$A:$H,3,FALSE),VLOOKUP("other",bug_conf_sheet!$A:$H,3,FALSE))</f>
        <v>1</v>
      </c>
      <c r="O372" s="37">
        <f>IFERROR(VLOOKUP($F372,bug_conf_sheet!$A:$H,4,FALSE),VLOOKUP("other",bug_conf_sheet!$A:$H,4,FALSE))</f>
        <v>0</v>
      </c>
      <c r="P372" s="37">
        <f>IFERROR(VLOOKUP($F372,bug_conf_sheet!$A:$H,5,FALSE),VLOOKUP("other",bug_conf_sheet!$A:$H,5,FALSE))</f>
        <v>0</v>
      </c>
      <c r="Q372" s="37">
        <f>IFERROR(VLOOKUP($F372,bug_conf_sheet!$A:$H,6,FALSE),VLOOKUP("other",bug_conf_sheet!$A:$H,6,FALSE))</f>
        <v>0</v>
      </c>
      <c r="R372" s="37">
        <f>IFERROR(VLOOKUP($F372,bug_conf_sheet!$A:$H,7,FALSE),VLOOKUP("other",bug_conf_sheet!$A:$H,7,FALSE))</f>
        <v>0</v>
      </c>
      <c r="S372" s="37">
        <f>IFERROR(VLOOKUP($F372,bug_conf_sheet!$A:$H,8,FALSE),VLOOKUP("other",bug_conf_sheet!$A:$H,8,FALSE))</f>
        <v>1</v>
      </c>
    </row>
    <row r="373" spans="1:19" ht="21" customHeight="1">
      <c r="A373" s="7" t="str">
        <f t="shared" si="38"/>
        <v>1940480</v>
      </c>
      <c r="B373" s="2" t="str">
        <f t="shared" si="34"/>
        <v>1940</v>
      </c>
      <c r="C373" s="8" t="str">
        <f t="shared" si="39"/>
        <v>0PremiumSS5</v>
      </c>
      <c r="D373" s="8" t="str">
        <f t="shared" si="35"/>
        <v>0PremiumSS5</v>
      </c>
      <c r="E373" s="10">
        <v>0</v>
      </c>
      <c r="F373" s="6">
        <v>480</v>
      </c>
      <c r="G373" s="8" t="str">
        <f>VLOOKUP(F373,[1]characters!$A:$C,3,FALSE)</f>
        <v>夢幻の愚者フール</v>
      </c>
      <c r="H373" s="8" t="str">
        <f>VLOOKUP(F373,[1]characters!$A:$J,10,FALSE)</f>
        <v>PremiumSS</v>
      </c>
      <c r="I373" s="8">
        <f>VLOOKUP(F373,[1]characters!$A:$I,9,FALSE)</f>
        <v>5</v>
      </c>
      <c r="J373" s="8" t="str">
        <f>VLOOKUP(F373,[1]characters!$A:$H,8,FALSE)</f>
        <v>blue</v>
      </c>
      <c r="K373" s="8" t="str">
        <f>VLOOKUP(F373,[1]characters!$A:$K,11,FALSE)</f>
        <v>technical</v>
      </c>
      <c r="L373" s="8" t="str">
        <f>VLOOKUP(F373,[1]characters!$A:$M,13,FALSE)</f>
        <v>god</v>
      </c>
      <c r="M373" s="16">
        <f>IFERROR(VLOOKUP(F373,gacha_conf!A$50:F$62,5+E373,FALSE),VLOOKUP(D373,gacha_conf!D$18:E$46,2,FALSE))</f>
        <v>45</v>
      </c>
      <c r="N373" s="37">
        <f>IFERROR(VLOOKUP($F373,bug_conf_sheet!$A:$H,3,FALSE),VLOOKUP("other",bug_conf_sheet!$A:$H,3,FALSE))</f>
        <v>1</v>
      </c>
      <c r="O373" s="37">
        <f>IFERROR(VLOOKUP($F373,bug_conf_sheet!$A:$H,4,FALSE),VLOOKUP("other",bug_conf_sheet!$A:$H,4,FALSE))</f>
        <v>0</v>
      </c>
      <c r="P373" s="37">
        <f>IFERROR(VLOOKUP($F373,bug_conf_sheet!$A:$H,5,FALSE),VLOOKUP("other",bug_conf_sheet!$A:$H,5,FALSE))</f>
        <v>0</v>
      </c>
      <c r="Q373" s="37">
        <f>IFERROR(VLOOKUP($F373,bug_conf_sheet!$A:$H,6,FALSE),VLOOKUP("other",bug_conf_sheet!$A:$H,6,FALSE))</f>
        <v>0</v>
      </c>
      <c r="R373" s="37">
        <f>IFERROR(VLOOKUP($F373,bug_conf_sheet!$A:$H,7,FALSE),VLOOKUP("other",bug_conf_sheet!$A:$H,7,FALSE))</f>
        <v>0</v>
      </c>
      <c r="S373" s="37">
        <f>IFERROR(VLOOKUP($F373,bug_conf_sheet!$A:$H,8,FALSE),VLOOKUP("other",bug_conf_sheet!$A:$H,8,FALSE))</f>
        <v>1</v>
      </c>
    </row>
    <row r="374" spans="1:19" ht="21" customHeight="1">
      <c r="A374" s="7" t="str">
        <f t="shared" si="38"/>
        <v>1940482</v>
      </c>
      <c r="B374" s="2" t="str">
        <f t="shared" si="34"/>
        <v>1940</v>
      </c>
      <c r="C374" s="8" t="str">
        <f t="shared" si="39"/>
        <v>0PremiumS4</v>
      </c>
      <c r="D374" s="8" t="str">
        <f t="shared" si="35"/>
        <v>0PremiumS4</v>
      </c>
      <c r="E374" s="10">
        <v>0</v>
      </c>
      <c r="F374" s="6">
        <v>482</v>
      </c>
      <c r="G374" s="8" t="str">
        <f>VLOOKUP(F374,[1]characters!$A:$C,3,FALSE)</f>
        <v>魁僧 沢庵宗彭</v>
      </c>
      <c r="H374" s="8" t="str">
        <f>VLOOKUP(F374,[1]characters!$A:$J,10,FALSE)</f>
        <v>PremiumS</v>
      </c>
      <c r="I374" s="8">
        <f>VLOOKUP(F374,[1]characters!$A:$I,9,FALSE)</f>
        <v>4</v>
      </c>
      <c r="J374" s="8" t="str">
        <f>VLOOKUP(F374,[1]characters!$A:$H,8,FALSE)</f>
        <v>yellow</v>
      </c>
      <c r="K374" s="8" t="str">
        <f>VLOOKUP(F374,[1]characters!$A:$K,11,FALSE)</f>
        <v>hp</v>
      </c>
      <c r="L374" s="8" t="str">
        <f>VLOOKUP(F374,[1]characters!$A:$M,13,FALSE)</f>
        <v>human</v>
      </c>
      <c r="M374" s="16">
        <f>IFERROR(VLOOKUP(F374,gacha_conf!A$50:F$62,5+E374,FALSE),VLOOKUP(D374,gacha_conf!D$18:E$46,2,FALSE))</f>
        <v>6166</v>
      </c>
      <c r="N374" s="37">
        <f>IFERROR(VLOOKUP($F374,bug_conf_sheet!$A:$H,3,FALSE),VLOOKUP("other",bug_conf_sheet!$A:$H,3,FALSE))</f>
        <v>1</v>
      </c>
      <c r="O374" s="37">
        <f>IFERROR(VLOOKUP($F374,bug_conf_sheet!$A:$H,4,FALSE),VLOOKUP("other",bug_conf_sheet!$A:$H,4,FALSE))</f>
        <v>0</v>
      </c>
      <c r="P374" s="37">
        <f>IFERROR(VLOOKUP($F374,bug_conf_sheet!$A:$H,5,FALSE),VLOOKUP("other",bug_conf_sheet!$A:$H,5,FALSE))</f>
        <v>0</v>
      </c>
      <c r="Q374" s="37">
        <f>IFERROR(VLOOKUP($F374,bug_conf_sheet!$A:$H,6,FALSE),VLOOKUP("other",bug_conf_sheet!$A:$H,6,FALSE))</f>
        <v>0</v>
      </c>
      <c r="R374" s="37">
        <f>IFERROR(VLOOKUP($F374,bug_conf_sheet!$A:$H,7,FALSE),VLOOKUP("other",bug_conf_sheet!$A:$H,7,FALSE))</f>
        <v>0</v>
      </c>
      <c r="S374" s="37">
        <f>IFERROR(VLOOKUP($F374,bug_conf_sheet!$A:$H,8,FALSE),VLOOKUP("other",bug_conf_sheet!$A:$H,8,FALSE))</f>
        <v>1</v>
      </c>
    </row>
    <row r="375" spans="1:19" ht="21" customHeight="1">
      <c r="A375" s="7" t="str">
        <f t="shared" si="38"/>
        <v>1940483</v>
      </c>
      <c r="B375" s="2" t="str">
        <f t="shared" si="34"/>
        <v>1940</v>
      </c>
      <c r="C375" s="8" t="str">
        <f t="shared" si="39"/>
        <v>0PremiumS5</v>
      </c>
      <c r="D375" s="8" t="str">
        <f t="shared" si="35"/>
        <v>0PremiumS5</v>
      </c>
      <c r="E375" s="10">
        <v>0</v>
      </c>
      <c r="F375" s="6">
        <v>483</v>
      </c>
      <c r="G375" s="8" t="str">
        <f>VLOOKUP(F375,[1]characters!$A:$C,3,FALSE)</f>
        <v xml:space="preserve">命経死遂 沢庵宗彭 </v>
      </c>
      <c r="H375" s="8" t="str">
        <f>VLOOKUP(F375,[1]characters!$A:$J,10,FALSE)</f>
        <v>PremiumS</v>
      </c>
      <c r="I375" s="8">
        <f>VLOOKUP(F375,[1]characters!$A:$I,9,FALSE)</f>
        <v>5</v>
      </c>
      <c r="J375" s="8" t="str">
        <f>VLOOKUP(F375,[1]characters!$A:$H,8,FALSE)</f>
        <v>yellow</v>
      </c>
      <c r="K375" s="8" t="str">
        <f>VLOOKUP(F375,[1]characters!$A:$K,11,FALSE)</f>
        <v>hp</v>
      </c>
      <c r="L375" s="8" t="str">
        <f>VLOOKUP(F375,[1]characters!$A:$M,13,FALSE)</f>
        <v>human</v>
      </c>
      <c r="M375" s="16">
        <f>IFERROR(VLOOKUP(F375,gacha_conf!A$50:F$62,5+E375,FALSE),VLOOKUP(D375,gacha_conf!D$18:E$46,2,FALSE))</f>
        <v>394</v>
      </c>
      <c r="N375" s="37">
        <f>IFERROR(VLOOKUP($F375,bug_conf_sheet!$A:$H,3,FALSE),VLOOKUP("other",bug_conf_sheet!$A:$H,3,FALSE))</f>
        <v>1</v>
      </c>
      <c r="O375" s="37">
        <f>IFERROR(VLOOKUP($F375,bug_conf_sheet!$A:$H,4,FALSE),VLOOKUP("other",bug_conf_sheet!$A:$H,4,FALSE))</f>
        <v>0</v>
      </c>
      <c r="P375" s="37">
        <f>IFERROR(VLOOKUP($F375,bug_conf_sheet!$A:$H,5,FALSE),VLOOKUP("other",bug_conf_sheet!$A:$H,5,FALSE))</f>
        <v>0</v>
      </c>
      <c r="Q375" s="37">
        <f>IFERROR(VLOOKUP($F375,bug_conf_sheet!$A:$H,6,FALSE),VLOOKUP("other",bug_conf_sheet!$A:$H,6,FALSE))</f>
        <v>0</v>
      </c>
      <c r="R375" s="37">
        <f>IFERROR(VLOOKUP($F375,bug_conf_sheet!$A:$H,7,FALSE),VLOOKUP("other",bug_conf_sheet!$A:$H,7,FALSE))</f>
        <v>0</v>
      </c>
      <c r="S375" s="37">
        <f>IFERROR(VLOOKUP($F375,bug_conf_sheet!$A:$H,8,FALSE),VLOOKUP("other",bug_conf_sheet!$A:$H,8,FALSE))</f>
        <v>1</v>
      </c>
    </row>
    <row r="376" spans="1:19" ht="21" customHeight="1">
      <c r="A376" s="7" t="str">
        <f t="shared" ref="A376:A391" si="40">B376&amp;F376</f>
        <v>1940492</v>
      </c>
      <c r="B376" s="2" t="str">
        <f t="shared" si="34"/>
        <v>1940</v>
      </c>
      <c r="C376" s="8" t="str">
        <f t="shared" ref="C376:C391" si="41">E376&amp;H376&amp;I376</f>
        <v>0PremiumSS4</v>
      </c>
      <c r="D376" s="8" t="str">
        <f t="shared" si="35"/>
        <v>0PremiumSS4</v>
      </c>
      <c r="E376" s="10">
        <v>0</v>
      </c>
      <c r="F376" s="6">
        <v>492</v>
      </c>
      <c r="G376" s="8" t="str">
        <f>VLOOKUP(F376,[1]characters!$A:$C,3,FALSE)</f>
        <v>ブートレグ・ペロー</v>
      </c>
      <c r="H376" s="8" t="str">
        <f>VLOOKUP(F376,[1]characters!$A:$J,10,FALSE)</f>
        <v>PremiumSS</v>
      </c>
      <c r="I376" s="8">
        <f>VLOOKUP(F376,[1]characters!$A:$I,9,FALSE)</f>
        <v>4</v>
      </c>
      <c r="J376" s="8" t="str">
        <f>VLOOKUP(F376,[1]characters!$A:$H,8,FALSE)</f>
        <v>red</v>
      </c>
      <c r="K376" s="8" t="str">
        <f>VLOOKUP(F376,[1]characters!$A:$K,11,FALSE)</f>
        <v>hp</v>
      </c>
      <c r="L376" s="8" t="str">
        <f>VLOOKUP(F376,[1]characters!$A:$M,13,FALSE)</f>
        <v>animal</v>
      </c>
      <c r="M376" s="16">
        <f>IFERROR(VLOOKUP(F376,gacha_conf!A$50:F$62,5+E376,FALSE),VLOOKUP(D376,gacha_conf!D$18:E$46,2,FALSE))</f>
        <v>701</v>
      </c>
      <c r="N376" s="37">
        <f>IFERROR(VLOOKUP($F376,bug_conf_sheet!$A:$H,3,FALSE),VLOOKUP("other",bug_conf_sheet!$A:$H,3,FALSE))</f>
        <v>1</v>
      </c>
      <c r="O376" s="37">
        <f>IFERROR(VLOOKUP($F376,bug_conf_sheet!$A:$H,4,FALSE),VLOOKUP("other",bug_conf_sheet!$A:$H,4,FALSE))</f>
        <v>0</v>
      </c>
      <c r="P376" s="37">
        <f>IFERROR(VLOOKUP($F376,bug_conf_sheet!$A:$H,5,FALSE),VLOOKUP("other",bug_conf_sheet!$A:$H,5,FALSE))</f>
        <v>0</v>
      </c>
      <c r="Q376" s="37">
        <f>IFERROR(VLOOKUP($F376,bug_conf_sheet!$A:$H,6,FALSE),VLOOKUP("other",bug_conf_sheet!$A:$H,6,FALSE))</f>
        <v>0</v>
      </c>
      <c r="R376" s="37">
        <f>IFERROR(VLOOKUP($F376,bug_conf_sheet!$A:$H,7,FALSE),VLOOKUP("other",bug_conf_sheet!$A:$H,7,FALSE))</f>
        <v>0</v>
      </c>
      <c r="S376" s="37">
        <f>IFERROR(VLOOKUP($F376,bug_conf_sheet!$A:$H,8,FALSE),VLOOKUP("other",bug_conf_sheet!$A:$H,8,FALSE))</f>
        <v>1</v>
      </c>
    </row>
    <row r="377" spans="1:19" ht="21" customHeight="1">
      <c r="A377" s="7" t="str">
        <f t="shared" si="40"/>
        <v>1940493</v>
      </c>
      <c r="B377" s="2" t="str">
        <f t="shared" si="34"/>
        <v>1940</v>
      </c>
      <c r="C377" s="8" t="str">
        <f t="shared" si="41"/>
        <v>0PremiumSS5</v>
      </c>
      <c r="D377" s="8" t="str">
        <f t="shared" si="35"/>
        <v>0PremiumSS5</v>
      </c>
      <c r="E377" s="10">
        <v>0</v>
      </c>
      <c r="F377" s="6">
        <v>493</v>
      </c>
      <c r="G377" s="8" t="str">
        <f>VLOOKUP(F377,[1]characters!$A:$C,3,FALSE)</f>
        <v>跋扈の機脚 ブートレグ・ペロー</v>
      </c>
      <c r="H377" s="8" t="str">
        <f>VLOOKUP(F377,[1]characters!$A:$J,10,FALSE)</f>
        <v>PremiumSS</v>
      </c>
      <c r="I377" s="8">
        <f>VLOOKUP(F377,[1]characters!$A:$I,9,FALSE)</f>
        <v>5</v>
      </c>
      <c r="J377" s="8" t="str">
        <f>VLOOKUP(F377,[1]characters!$A:$H,8,FALSE)</f>
        <v>red</v>
      </c>
      <c r="K377" s="8" t="str">
        <f>VLOOKUP(F377,[1]characters!$A:$K,11,FALSE)</f>
        <v>hp</v>
      </c>
      <c r="L377" s="8" t="str">
        <f>VLOOKUP(F377,[1]characters!$A:$M,13,FALSE)</f>
        <v>animal</v>
      </c>
      <c r="M377" s="16">
        <f>IFERROR(VLOOKUP(F377,gacha_conf!A$50:F$62,5+E377,FALSE),VLOOKUP(D377,gacha_conf!D$18:E$46,2,FALSE))</f>
        <v>45</v>
      </c>
      <c r="N377" s="37">
        <f>IFERROR(VLOOKUP($F377,bug_conf_sheet!$A:$H,3,FALSE),VLOOKUP("other",bug_conf_sheet!$A:$H,3,FALSE))</f>
        <v>1</v>
      </c>
      <c r="O377" s="37">
        <f>IFERROR(VLOOKUP($F377,bug_conf_sheet!$A:$H,4,FALSE),VLOOKUP("other",bug_conf_sheet!$A:$H,4,FALSE))</f>
        <v>0</v>
      </c>
      <c r="P377" s="37">
        <f>IFERROR(VLOOKUP($F377,bug_conf_sheet!$A:$H,5,FALSE),VLOOKUP("other",bug_conf_sheet!$A:$H,5,FALSE))</f>
        <v>0</v>
      </c>
      <c r="Q377" s="37">
        <f>IFERROR(VLOOKUP($F377,bug_conf_sheet!$A:$H,6,FALSE),VLOOKUP("other",bug_conf_sheet!$A:$H,6,FALSE))</f>
        <v>0</v>
      </c>
      <c r="R377" s="37">
        <f>IFERROR(VLOOKUP($F377,bug_conf_sheet!$A:$H,7,FALSE),VLOOKUP("other",bug_conf_sheet!$A:$H,7,FALSE))</f>
        <v>0</v>
      </c>
      <c r="S377" s="37">
        <f>IFERROR(VLOOKUP($F377,bug_conf_sheet!$A:$H,8,FALSE),VLOOKUP("other",bug_conf_sheet!$A:$H,8,FALSE))</f>
        <v>1</v>
      </c>
    </row>
    <row r="378" spans="1:19" ht="21" customHeight="1">
      <c r="A378" s="7" t="str">
        <f t="shared" si="40"/>
        <v>1940494</v>
      </c>
      <c r="B378" s="2" t="str">
        <f t="shared" si="34"/>
        <v>1940</v>
      </c>
      <c r="C378" s="8" t="str">
        <f t="shared" si="41"/>
        <v>0PremiumSS4</v>
      </c>
      <c r="D378" s="8" t="str">
        <f t="shared" si="35"/>
        <v>0PremiumSS4</v>
      </c>
      <c r="E378" s="10">
        <v>0</v>
      </c>
      <c r="F378" s="6">
        <v>494</v>
      </c>
      <c r="G378" s="8" t="str">
        <f>VLOOKUP(F378,[1]characters!$A:$C,3,FALSE)</f>
        <v>ハーメルン</v>
      </c>
      <c r="H378" s="8" t="str">
        <f>VLOOKUP(F378,[1]characters!$A:$J,10,FALSE)</f>
        <v>PremiumSS</v>
      </c>
      <c r="I378" s="8">
        <f>VLOOKUP(F378,[1]characters!$A:$I,9,FALSE)</f>
        <v>4</v>
      </c>
      <c r="J378" s="8" t="str">
        <f>VLOOKUP(F378,[1]characters!$A:$H,8,FALSE)</f>
        <v>green</v>
      </c>
      <c r="K378" s="8" t="str">
        <f>VLOOKUP(F378,[1]characters!$A:$K,11,FALSE)</f>
        <v>technical</v>
      </c>
      <c r="L378" s="8" t="str">
        <f>VLOOKUP(F378,[1]characters!$A:$M,13,FALSE)</f>
        <v>human</v>
      </c>
      <c r="M378" s="16">
        <f>IFERROR(VLOOKUP(F378,gacha_conf!A$50:F$62,5+E378,FALSE),VLOOKUP(D378,gacha_conf!D$18:E$46,2,FALSE))</f>
        <v>701</v>
      </c>
      <c r="N378" s="37">
        <f>IFERROR(VLOOKUP($F378,bug_conf_sheet!$A:$H,3,FALSE),VLOOKUP("other",bug_conf_sheet!$A:$H,3,FALSE))</f>
        <v>1</v>
      </c>
      <c r="O378" s="37">
        <f>IFERROR(VLOOKUP($F378,bug_conf_sheet!$A:$H,4,FALSE),VLOOKUP("other",bug_conf_sheet!$A:$H,4,FALSE))</f>
        <v>0</v>
      </c>
      <c r="P378" s="37">
        <f>IFERROR(VLOOKUP($F378,bug_conf_sheet!$A:$H,5,FALSE),VLOOKUP("other",bug_conf_sheet!$A:$H,5,FALSE))</f>
        <v>0</v>
      </c>
      <c r="Q378" s="37">
        <f>IFERROR(VLOOKUP($F378,bug_conf_sheet!$A:$H,6,FALSE),VLOOKUP("other",bug_conf_sheet!$A:$H,6,FALSE))</f>
        <v>0</v>
      </c>
      <c r="R378" s="37">
        <f>IFERROR(VLOOKUP($F378,bug_conf_sheet!$A:$H,7,FALSE),VLOOKUP("other",bug_conf_sheet!$A:$H,7,FALSE))</f>
        <v>0</v>
      </c>
      <c r="S378" s="37">
        <f>IFERROR(VLOOKUP($F378,bug_conf_sheet!$A:$H,8,FALSE),VLOOKUP("other",bug_conf_sheet!$A:$H,8,FALSE))</f>
        <v>1</v>
      </c>
    </row>
    <row r="379" spans="1:19" ht="21" customHeight="1">
      <c r="A379" s="7" t="str">
        <f t="shared" si="40"/>
        <v>1940495</v>
      </c>
      <c r="B379" s="2" t="str">
        <f t="shared" si="34"/>
        <v>1940</v>
      </c>
      <c r="C379" s="8" t="str">
        <f t="shared" si="41"/>
        <v>0PremiumSS5</v>
      </c>
      <c r="D379" s="8" t="str">
        <f t="shared" si="35"/>
        <v>0PremiumSS5</v>
      </c>
      <c r="E379" s="10">
        <v>0</v>
      </c>
      <c r="F379" s="6">
        <v>495</v>
      </c>
      <c r="G379" s="8" t="str">
        <f>VLOOKUP(F379,[1]characters!$A:$C,3,FALSE)</f>
        <v>鼠災呼ぶ笛音 ハーメルン</v>
      </c>
      <c r="H379" s="8" t="str">
        <f>VLOOKUP(F379,[1]characters!$A:$J,10,FALSE)</f>
        <v>PremiumSS</v>
      </c>
      <c r="I379" s="8">
        <f>VLOOKUP(F379,[1]characters!$A:$I,9,FALSE)</f>
        <v>5</v>
      </c>
      <c r="J379" s="8" t="str">
        <f>VLOOKUP(F379,[1]characters!$A:$H,8,FALSE)</f>
        <v>green</v>
      </c>
      <c r="K379" s="8" t="str">
        <f>VLOOKUP(F379,[1]characters!$A:$K,11,FALSE)</f>
        <v>technical</v>
      </c>
      <c r="L379" s="8" t="str">
        <f>VLOOKUP(F379,[1]characters!$A:$M,13,FALSE)</f>
        <v>human</v>
      </c>
      <c r="M379" s="16">
        <f>IFERROR(VLOOKUP(F379,gacha_conf!A$50:F$62,5+E379,FALSE),VLOOKUP(D379,gacha_conf!D$18:E$46,2,FALSE))</f>
        <v>45</v>
      </c>
      <c r="N379" s="37">
        <f>IFERROR(VLOOKUP($F379,bug_conf_sheet!$A:$H,3,FALSE),VLOOKUP("other",bug_conf_sheet!$A:$H,3,FALSE))</f>
        <v>1</v>
      </c>
      <c r="O379" s="37">
        <f>IFERROR(VLOOKUP($F379,bug_conf_sheet!$A:$H,4,FALSE),VLOOKUP("other",bug_conf_sheet!$A:$H,4,FALSE))</f>
        <v>0</v>
      </c>
      <c r="P379" s="37">
        <f>IFERROR(VLOOKUP($F379,bug_conf_sheet!$A:$H,5,FALSE),VLOOKUP("other",bug_conf_sheet!$A:$H,5,FALSE))</f>
        <v>0</v>
      </c>
      <c r="Q379" s="37">
        <f>IFERROR(VLOOKUP($F379,bug_conf_sheet!$A:$H,6,FALSE),VLOOKUP("other",bug_conf_sheet!$A:$H,6,FALSE))</f>
        <v>0</v>
      </c>
      <c r="R379" s="37">
        <f>IFERROR(VLOOKUP($F379,bug_conf_sheet!$A:$H,7,FALSE),VLOOKUP("other",bug_conf_sheet!$A:$H,7,FALSE))</f>
        <v>0</v>
      </c>
      <c r="S379" s="37">
        <f>IFERROR(VLOOKUP($F379,bug_conf_sheet!$A:$H,8,FALSE),VLOOKUP("other",bug_conf_sheet!$A:$H,8,FALSE))</f>
        <v>1</v>
      </c>
    </row>
    <row r="380" spans="1:19" ht="21" customHeight="1">
      <c r="A380" s="7" t="str">
        <f t="shared" si="40"/>
        <v>1940497</v>
      </c>
      <c r="B380" s="2" t="str">
        <f t="shared" si="34"/>
        <v>1940</v>
      </c>
      <c r="C380" s="8" t="str">
        <f t="shared" si="41"/>
        <v>0PremiumS4</v>
      </c>
      <c r="D380" s="8" t="str">
        <f t="shared" si="35"/>
        <v>0PremiumS4</v>
      </c>
      <c r="E380" s="10">
        <v>0</v>
      </c>
      <c r="F380" s="6">
        <v>497</v>
      </c>
      <c r="G380" s="8" t="str">
        <f>VLOOKUP(F380,[1]characters!$A:$C,3,FALSE)</f>
        <v>偏愛の野獣 エスタブ</v>
      </c>
      <c r="H380" s="8" t="str">
        <f>VLOOKUP(F380,[1]characters!$A:$J,10,FALSE)</f>
        <v>PremiumS</v>
      </c>
      <c r="I380" s="8">
        <f>VLOOKUP(F380,[1]characters!$A:$I,9,FALSE)</f>
        <v>4</v>
      </c>
      <c r="J380" s="8" t="str">
        <f>VLOOKUP(F380,[1]characters!$A:$H,8,FALSE)</f>
        <v>blue</v>
      </c>
      <c r="K380" s="8" t="str">
        <f>VLOOKUP(F380,[1]characters!$A:$K,11,FALSE)</f>
        <v>attack</v>
      </c>
      <c r="L380" s="8" t="str">
        <f>VLOOKUP(F380,[1]characters!$A:$M,13,FALSE)</f>
        <v>human</v>
      </c>
      <c r="M380" s="16">
        <f>IFERROR(VLOOKUP(F380,gacha_conf!A$50:F$62,5+E380,FALSE),VLOOKUP(D380,gacha_conf!D$18:E$46,2,FALSE))</f>
        <v>6166</v>
      </c>
      <c r="N380" s="37">
        <f>IFERROR(VLOOKUP($F380,bug_conf_sheet!$A:$H,3,FALSE),VLOOKUP("other",bug_conf_sheet!$A:$H,3,FALSE))</f>
        <v>1</v>
      </c>
      <c r="O380" s="37">
        <f>IFERROR(VLOOKUP($F380,bug_conf_sheet!$A:$H,4,FALSE),VLOOKUP("other",bug_conf_sheet!$A:$H,4,FALSE))</f>
        <v>0</v>
      </c>
      <c r="P380" s="37">
        <f>IFERROR(VLOOKUP($F380,bug_conf_sheet!$A:$H,5,FALSE),VLOOKUP("other",bug_conf_sheet!$A:$H,5,FALSE))</f>
        <v>0</v>
      </c>
      <c r="Q380" s="37">
        <f>IFERROR(VLOOKUP($F380,bug_conf_sheet!$A:$H,6,FALSE),VLOOKUP("other",bug_conf_sheet!$A:$H,6,FALSE))</f>
        <v>0</v>
      </c>
      <c r="R380" s="37">
        <f>IFERROR(VLOOKUP($F380,bug_conf_sheet!$A:$H,7,FALSE),VLOOKUP("other",bug_conf_sheet!$A:$H,7,FALSE))</f>
        <v>0</v>
      </c>
      <c r="S380" s="37">
        <f>IFERROR(VLOOKUP($F380,bug_conf_sheet!$A:$H,8,FALSE),VLOOKUP("other",bug_conf_sheet!$A:$H,8,FALSE))</f>
        <v>1</v>
      </c>
    </row>
    <row r="381" spans="1:19" ht="21" customHeight="1">
      <c r="A381" s="7" t="str">
        <f t="shared" si="40"/>
        <v>1940498</v>
      </c>
      <c r="B381" s="2" t="str">
        <f t="shared" si="34"/>
        <v>1940</v>
      </c>
      <c r="C381" s="8" t="str">
        <f t="shared" si="41"/>
        <v>0PremiumS5</v>
      </c>
      <c r="D381" s="8" t="str">
        <f t="shared" si="35"/>
        <v>0PremiumS5</v>
      </c>
      <c r="E381" s="10">
        <v>0</v>
      </c>
      <c r="F381" s="6">
        <v>498</v>
      </c>
      <c r="G381" s="8" t="str">
        <f>VLOOKUP(F381,[1]characters!$A:$C,3,FALSE)</f>
        <v>自愛の高魔 エスタブ</v>
      </c>
      <c r="H381" s="8" t="str">
        <f>VLOOKUP(F381,[1]characters!$A:$J,10,FALSE)</f>
        <v>PremiumS</v>
      </c>
      <c r="I381" s="8">
        <f>VLOOKUP(F381,[1]characters!$A:$I,9,FALSE)</f>
        <v>5</v>
      </c>
      <c r="J381" s="8" t="str">
        <f>VLOOKUP(F381,[1]characters!$A:$H,8,FALSE)</f>
        <v>blue</v>
      </c>
      <c r="K381" s="8" t="str">
        <f>VLOOKUP(F381,[1]characters!$A:$K,11,FALSE)</f>
        <v>attack</v>
      </c>
      <c r="L381" s="8" t="str">
        <f>VLOOKUP(F381,[1]characters!$A:$M,13,FALSE)</f>
        <v>human</v>
      </c>
      <c r="M381" s="16">
        <f>IFERROR(VLOOKUP(F381,gacha_conf!A$50:F$62,5+E381,FALSE),VLOOKUP(D381,gacha_conf!D$18:E$46,2,FALSE))</f>
        <v>394</v>
      </c>
      <c r="N381" s="37">
        <f>IFERROR(VLOOKUP($F381,bug_conf_sheet!$A:$H,3,FALSE),VLOOKUP("other",bug_conf_sheet!$A:$H,3,FALSE))</f>
        <v>1</v>
      </c>
      <c r="O381" s="37">
        <f>IFERROR(VLOOKUP($F381,bug_conf_sheet!$A:$H,4,FALSE),VLOOKUP("other",bug_conf_sheet!$A:$H,4,FALSE))</f>
        <v>0</v>
      </c>
      <c r="P381" s="37">
        <f>IFERROR(VLOOKUP($F381,bug_conf_sheet!$A:$H,5,FALSE),VLOOKUP("other",bug_conf_sheet!$A:$H,5,FALSE))</f>
        <v>0</v>
      </c>
      <c r="Q381" s="37">
        <f>IFERROR(VLOOKUP($F381,bug_conf_sheet!$A:$H,6,FALSE),VLOOKUP("other",bug_conf_sheet!$A:$H,6,FALSE))</f>
        <v>0</v>
      </c>
      <c r="R381" s="37">
        <f>IFERROR(VLOOKUP($F381,bug_conf_sheet!$A:$H,7,FALSE),VLOOKUP("other",bug_conf_sheet!$A:$H,7,FALSE))</f>
        <v>0</v>
      </c>
      <c r="S381" s="37">
        <f>IFERROR(VLOOKUP($F381,bug_conf_sheet!$A:$H,8,FALSE),VLOOKUP("other",bug_conf_sheet!$A:$H,8,FALSE))</f>
        <v>1</v>
      </c>
    </row>
    <row r="382" spans="1:19" ht="21" customHeight="1">
      <c r="A382" s="7" t="str">
        <f t="shared" si="40"/>
        <v>1940499</v>
      </c>
      <c r="B382" s="2" t="str">
        <f t="shared" si="34"/>
        <v>1940</v>
      </c>
      <c r="C382" s="8" t="str">
        <f t="shared" si="41"/>
        <v>0PremiumSS4</v>
      </c>
      <c r="D382" s="8" t="str">
        <f t="shared" si="35"/>
        <v>0PremiumSS4</v>
      </c>
      <c r="E382" s="10">
        <v>0</v>
      </c>
      <c r="F382" s="6">
        <v>499</v>
      </c>
      <c r="G382" s="8" t="str">
        <f>VLOOKUP(F382,[1]characters!$A:$C,3,FALSE)</f>
        <v>ラプンツェル</v>
      </c>
      <c r="H382" s="8" t="str">
        <f>VLOOKUP(F382,[1]characters!$A:$J,10,FALSE)</f>
        <v>PremiumSS</v>
      </c>
      <c r="I382" s="8">
        <f>VLOOKUP(F382,[1]characters!$A:$I,9,FALSE)</f>
        <v>4</v>
      </c>
      <c r="J382" s="8" t="str">
        <f>VLOOKUP(F382,[1]characters!$A:$H,8,FALSE)</f>
        <v>yellow</v>
      </c>
      <c r="K382" s="8" t="str">
        <f>VLOOKUP(F382,[1]characters!$A:$K,11,FALSE)</f>
        <v>balance</v>
      </c>
      <c r="L382" s="8" t="str">
        <f>VLOOKUP(F382,[1]characters!$A:$M,13,FALSE)</f>
        <v>human</v>
      </c>
      <c r="M382" s="16">
        <f>IFERROR(VLOOKUP(F382,gacha_conf!A$50:F$62,5+E382,FALSE),VLOOKUP(D382,gacha_conf!D$18:E$46,2,FALSE))</f>
        <v>701</v>
      </c>
      <c r="N382" s="37">
        <f>IFERROR(VLOOKUP($F382,bug_conf_sheet!$A:$H,3,FALSE),VLOOKUP("other",bug_conf_sheet!$A:$H,3,FALSE))</f>
        <v>1</v>
      </c>
      <c r="O382" s="37">
        <f>IFERROR(VLOOKUP($F382,bug_conf_sheet!$A:$H,4,FALSE),VLOOKUP("other",bug_conf_sheet!$A:$H,4,FALSE))</f>
        <v>0</v>
      </c>
      <c r="P382" s="37">
        <f>IFERROR(VLOOKUP($F382,bug_conf_sheet!$A:$H,5,FALSE),VLOOKUP("other",bug_conf_sheet!$A:$H,5,FALSE))</f>
        <v>0</v>
      </c>
      <c r="Q382" s="37">
        <f>IFERROR(VLOOKUP($F382,bug_conf_sheet!$A:$H,6,FALSE),VLOOKUP("other",bug_conf_sheet!$A:$H,6,FALSE))</f>
        <v>0</v>
      </c>
      <c r="R382" s="37">
        <f>IFERROR(VLOOKUP($F382,bug_conf_sheet!$A:$H,7,FALSE),VLOOKUP("other",bug_conf_sheet!$A:$H,7,FALSE))</f>
        <v>0</v>
      </c>
      <c r="S382" s="37">
        <f>IFERROR(VLOOKUP($F382,bug_conf_sheet!$A:$H,8,FALSE),VLOOKUP("other",bug_conf_sheet!$A:$H,8,FALSE))</f>
        <v>1</v>
      </c>
    </row>
    <row r="383" spans="1:19" ht="21" customHeight="1">
      <c r="A383" s="7" t="str">
        <f t="shared" si="40"/>
        <v>1940500</v>
      </c>
      <c r="B383" s="2" t="str">
        <f t="shared" si="34"/>
        <v>1940</v>
      </c>
      <c r="C383" s="8" t="str">
        <f t="shared" si="41"/>
        <v>0PremiumSS5</v>
      </c>
      <c r="D383" s="8" t="str">
        <f t="shared" si="35"/>
        <v>0PremiumSS5</v>
      </c>
      <c r="E383" s="10">
        <v>0</v>
      </c>
      <c r="F383" s="6">
        <v>500</v>
      </c>
      <c r="G383" s="8" t="str">
        <f>VLOOKUP(F383,[1]characters!$A:$C,3,FALSE)</f>
        <v>脈動の禁髪 ラプンツェル</v>
      </c>
      <c r="H383" s="8" t="str">
        <f>VLOOKUP(F383,[1]characters!$A:$J,10,FALSE)</f>
        <v>PremiumSS</v>
      </c>
      <c r="I383" s="8">
        <f>VLOOKUP(F383,[1]characters!$A:$I,9,FALSE)</f>
        <v>5</v>
      </c>
      <c r="J383" s="8" t="str">
        <f>VLOOKUP(F383,[1]characters!$A:$H,8,FALSE)</f>
        <v>yellow</v>
      </c>
      <c r="K383" s="8" t="str">
        <f>VLOOKUP(F383,[1]characters!$A:$K,11,FALSE)</f>
        <v>balance</v>
      </c>
      <c r="L383" s="8" t="str">
        <f>VLOOKUP(F383,[1]characters!$A:$M,13,FALSE)</f>
        <v>human</v>
      </c>
      <c r="M383" s="16">
        <f>IFERROR(VLOOKUP(F383,gacha_conf!A$50:F$62,5+E383,FALSE),VLOOKUP(D383,gacha_conf!D$18:E$46,2,FALSE))</f>
        <v>45</v>
      </c>
      <c r="N383" s="37">
        <f>IFERROR(VLOOKUP($F383,bug_conf_sheet!$A:$H,3,FALSE),VLOOKUP("other",bug_conf_sheet!$A:$H,3,FALSE))</f>
        <v>1</v>
      </c>
      <c r="O383" s="37">
        <f>IFERROR(VLOOKUP($F383,bug_conf_sheet!$A:$H,4,FALSE),VLOOKUP("other",bug_conf_sheet!$A:$H,4,FALSE))</f>
        <v>0</v>
      </c>
      <c r="P383" s="37">
        <f>IFERROR(VLOOKUP($F383,bug_conf_sheet!$A:$H,5,FALSE),VLOOKUP("other",bug_conf_sheet!$A:$H,5,FALSE))</f>
        <v>0</v>
      </c>
      <c r="Q383" s="37">
        <f>IFERROR(VLOOKUP($F383,bug_conf_sheet!$A:$H,6,FALSE),VLOOKUP("other",bug_conf_sheet!$A:$H,6,FALSE))</f>
        <v>0</v>
      </c>
      <c r="R383" s="37">
        <f>IFERROR(VLOOKUP($F383,bug_conf_sheet!$A:$H,7,FALSE),VLOOKUP("other",bug_conf_sheet!$A:$H,7,FALSE))</f>
        <v>0</v>
      </c>
      <c r="S383" s="37">
        <f>IFERROR(VLOOKUP($F383,bug_conf_sheet!$A:$H,8,FALSE),VLOOKUP("other",bug_conf_sheet!$A:$H,8,FALSE))</f>
        <v>1</v>
      </c>
    </row>
    <row r="384" spans="1:19" ht="21" customHeight="1">
      <c r="A384" s="7" t="str">
        <f t="shared" si="40"/>
        <v>1940586</v>
      </c>
      <c r="B384" s="2" t="str">
        <f t="shared" si="34"/>
        <v>1940</v>
      </c>
      <c r="C384" s="8" t="str">
        <f t="shared" si="41"/>
        <v>0PremiumSS4</v>
      </c>
      <c r="D384" s="8" t="str">
        <f t="shared" si="35"/>
        <v>0PremiumSS4</v>
      </c>
      <c r="E384" s="10">
        <v>0</v>
      </c>
      <c r="F384" s="6">
        <v>586</v>
      </c>
      <c r="G384" s="8" t="str">
        <f>VLOOKUP(F384,[1]characters!$A:$C,3,FALSE)</f>
        <v>ユミル</v>
      </c>
      <c r="H384" s="8" t="str">
        <f>VLOOKUP(F384,[1]characters!$A:$J,10,FALSE)</f>
        <v>PremiumSS</v>
      </c>
      <c r="I384" s="8">
        <f>VLOOKUP(F384,[1]characters!$A:$I,9,FALSE)</f>
        <v>4</v>
      </c>
      <c r="J384" s="8" t="str">
        <f>VLOOKUP(F384,[1]characters!$A:$H,8,FALSE)</f>
        <v>red</v>
      </c>
      <c r="K384" s="8" t="str">
        <f>VLOOKUP(F384,[1]characters!$A:$K,11,FALSE)</f>
        <v>hp</v>
      </c>
      <c r="L384" s="8" t="str">
        <f>VLOOKUP(F384,[1]characters!$A:$M,13,FALSE)</f>
        <v>machine</v>
      </c>
      <c r="M384" s="16">
        <f>IFERROR(VLOOKUP(F384,gacha_conf!A$50:F$62,5+E384,FALSE),VLOOKUP(D384,gacha_conf!D$18:E$46,2,FALSE))</f>
        <v>701</v>
      </c>
      <c r="N384" s="37">
        <f>IFERROR(VLOOKUP($F384,bug_conf_sheet!$A:$H,3,FALSE),VLOOKUP("other",bug_conf_sheet!$A:$H,3,FALSE))</f>
        <v>1</v>
      </c>
      <c r="O384" s="37">
        <f>IFERROR(VLOOKUP($F384,bug_conf_sheet!$A:$H,4,FALSE),VLOOKUP("other",bug_conf_sheet!$A:$H,4,FALSE))</f>
        <v>0</v>
      </c>
      <c r="P384" s="37">
        <f>IFERROR(VLOOKUP($F384,bug_conf_sheet!$A:$H,5,FALSE),VLOOKUP("other",bug_conf_sheet!$A:$H,5,FALSE))</f>
        <v>0</v>
      </c>
      <c r="Q384" s="37">
        <f>IFERROR(VLOOKUP($F384,bug_conf_sheet!$A:$H,6,FALSE),VLOOKUP("other",bug_conf_sheet!$A:$H,6,FALSE))</f>
        <v>0</v>
      </c>
      <c r="R384" s="37">
        <f>IFERROR(VLOOKUP($F384,bug_conf_sheet!$A:$H,7,FALSE),VLOOKUP("other",bug_conf_sheet!$A:$H,7,FALSE))</f>
        <v>0</v>
      </c>
      <c r="S384" s="37">
        <f>IFERROR(VLOOKUP($F384,bug_conf_sheet!$A:$H,8,FALSE),VLOOKUP("other",bug_conf_sheet!$A:$H,8,FALSE))</f>
        <v>1</v>
      </c>
    </row>
    <row r="385" spans="1:19" ht="21" customHeight="1">
      <c r="A385" s="7" t="str">
        <f t="shared" si="40"/>
        <v>1940587</v>
      </c>
      <c r="B385" s="2" t="str">
        <f t="shared" si="34"/>
        <v>1940</v>
      </c>
      <c r="C385" s="8" t="str">
        <f t="shared" si="41"/>
        <v>0PremiumSS5</v>
      </c>
      <c r="D385" s="8" t="str">
        <f t="shared" si="35"/>
        <v>0PremiumSS5</v>
      </c>
      <c r="E385" s="10">
        <v>0</v>
      </c>
      <c r="F385" s="6">
        <v>587</v>
      </c>
      <c r="G385" s="8" t="str">
        <f>VLOOKUP(F385,[1]characters!$A:$C,3,FALSE)</f>
        <v>原初の煉鋼巨刃 ユミル</v>
      </c>
      <c r="H385" s="8" t="str">
        <f>VLOOKUP(F385,[1]characters!$A:$J,10,FALSE)</f>
        <v>PremiumSS</v>
      </c>
      <c r="I385" s="8">
        <f>VLOOKUP(F385,[1]characters!$A:$I,9,FALSE)</f>
        <v>5</v>
      </c>
      <c r="J385" s="8" t="str">
        <f>VLOOKUP(F385,[1]characters!$A:$H,8,FALSE)</f>
        <v>red</v>
      </c>
      <c r="K385" s="8" t="str">
        <f>VLOOKUP(F385,[1]characters!$A:$K,11,FALSE)</f>
        <v>hp</v>
      </c>
      <c r="L385" s="8" t="str">
        <f>VLOOKUP(F385,[1]characters!$A:$M,13,FALSE)</f>
        <v>machine</v>
      </c>
      <c r="M385" s="16">
        <f>IFERROR(VLOOKUP(F385,gacha_conf!A$50:F$62,5+E385,FALSE),VLOOKUP(D385,gacha_conf!D$18:E$46,2,FALSE))</f>
        <v>45</v>
      </c>
      <c r="N385" s="37">
        <f>IFERROR(VLOOKUP($F385,bug_conf_sheet!$A:$H,3,FALSE),VLOOKUP("other",bug_conf_sheet!$A:$H,3,FALSE))</f>
        <v>1</v>
      </c>
      <c r="O385" s="37">
        <f>IFERROR(VLOOKUP($F385,bug_conf_sheet!$A:$H,4,FALSE),VLOOKUP("other",bug_conf_sheet!$A:$H,4,FALSE))</f>
        <v>0</v>
      </c>
      <c r="P385" s="37">
        <f>IFERROR(VLOOKUP($F385,bug_conf_sheet!$A:$H,5,FALSE),VLOOKUP("other",bug_conf_sheet!$A:$H,5,FALSE))</f>
        <v>0</v>
      </c>
      <c r="Q385" s="37">
        <f>IFERROR(VLOOKUP($F385,bug_conf_sheet!$A:$H,6,FALSE),VLOOKUP("other",bug_conf_sheet!$A:$H,6,FALSE))</f>
        <v>0</v>
      </c>
      <c r="R385" s="37">
        <f>IFERROR(VLOOKUP($F385,bug_conf_sheet!$A:$H,7,FALSE),VLOOKUP("other",bug_conf_sheet!$A:$H,7,FALSE))</f>
        <v>0</v>
      </c>
      <c r="S385" s="37">
        <f>IFERROR(VLOOKUP($F385,bug_conf_sheet!$A:$H,8,FALSE),VLOOKUP("other",bug_conf_sheet!$A:$H,8,FALSE))</f>
        <v>1</v>
      </c>
    </row>
    <row r="386" spans="1:19" ht="21" customHeight="1">
      <c r="A386" s="7" t="str">
        <f t="shared" si="40"/>
        <v>1940589</v>
      </c>
      <c r="B386" s="2" t="str">
        <f t="shared" si="34"/>
        <v>1940</v>
      </c>
      <c r="C386" s="8" t="str">
        <f t="shared" si="41"/>
        <v>0PremiumS4</v>
      </c>
      <c r="D386" s="8" t="str">
        <f t="shared" si="35"/>
        <v>0PremiumS4</v>
      </c>
      <c r="E386" s="10">
        <v>0</v>
      </c>
      <c r="F386" s="6">
        <v>589</v>
      </c>
      <c r="G386" s="8" t="str">
        <f>VLOOKUP(F386,[1]characters!$A:$C,3,FALSE)</f>
        <v>不幸の円環 ニーベルゲン</v>
      </c>
      <c r="H386" s="8" t="str">
        <f>VLOOKUP(F386,[1]characters!$A:$J,10,FALSE)</f>
        <v>PremiumS</v>
      </c>
      <c r="I386" s="8">
        <f>VLOOKUP(F386,[1]characters!$A:$I,9,FALSE)</f>
        <v>4</v>
      </c>
      <c r="J386" s="8" t="str">
        <f>VLOOKUP(F386,[1]characters!$A:$H,8,FALSE)</f>
        <v>green</v>
      </c>
      <c r="K386" s="8" t="str">
        <f>VLOOKUP(F386,[1]characters!$A:$K,11,FALSE)</f>
        <v>balance</v>
      </c>
      <c r="L386" s="8" t="str">
        <f>VLOOKUP(F386,[1]characters!$A:$M,13,FALSE)</f>
        <v>unknown</v>
      </c>
      <c r="M386" s="16">
        <f>IFERROR(VLOOKUP(F386,gacha_conf!A$50:F$62,5+E386,FALSE),VLOOKUP(D386,gacha_conf!D$18:E$46,2,FALSE))</f>
        <v>6166</v>
      </c>
      <c r="N386" s="37">
        <f>IFERROR(VLOOKUP($F386,bug_conf_sheet!$A:$H,3,FALSE),VLOOKUP("other",bug_conf_sheet!$A:$H,3,FALSE))</f>
        <v>1</v>
      </c>
      <c r="O386" s="37">
        <f>IFERROR(VLOOKUP($F386,bug_conf_sheet!$A:$H,4,FALSE),VLOOKUP("other",bug_conf_sheet!$A:$H,4,FALSE))</f>
        <v>0</v>
      </c>
      <c r="P386" s="37">
        <f>IFERROR(VLOOKUP($F386,bug_conf_sheet!$A:$H,5,FALSE),VLOOKUP("other",bug_conf_sheet!$A:$H,5,FALSE))</f>
        <v>0</v>
      </c>
      <c r="Q386" s="37">
        <f>IFERROR(VLOOKUP($F386,bug_conf_sheet!$A:$H,6,FALSE),VLOOKUP("other",bug_conf_sheet!$A:$H,6,FALSE))</f>
        <v>0</v>
      </c>
      <c r="R386" s="37">
        <f>IFERROR(VLOOKUP($F386,bug_conf_sheet!$A:$H,7,FALSE),VLOOKUP("other",bug_conf_sheet!$A:$H,7,FALSE))</f>
        <v>0</v>
      </c>
      <c r="S386" s="37">
        <f>IFERROR(VLOOKUP($F386,bug_conf_sheet!$A:$H,8,FALSE),VLOOKUP("other",bug_conf_sheet!$A:$H,8,FALSE))</f>
        <v>1</v>
      </c>
    </row>
    <row r="387" spans="1:19" ht="21" customHeight="1">
      <c r="A387" s="7" t="str">
        <f t="shared" si="40"/>
        <v>1940590</v>
      </c>
      <c r="B387" s="2" t="str">
        <f t="shared" ref="B387:B399" si="42">194&amp;E387</f>
        <v>1940</v>
      </c>
      <c r="C387" s="8" t="str">
        <f t="shared" si="41"/>
        <v>0PremiumS5</v>
      </c>
      <c r="D387" s="8" t="str">
        <f t="shared" ref="D387:D399" si="43">E387&amp;H387&amp;I387</f>
        <v>0PremiumS5</v>
      </c>
      <c r="E387" s="10">
        <v>0</v>
      </c>
      <c r="F387" s="6">
        <v>590</v>
      </c>
      <c r="G387" s="8" t="str">
        <f>VLOOKUP(F387,[1]characters!$A:$C,3,FALSE)</f>
        <v>永遠を廻る呪い ニーベルゲン</v>
      </c>
      <c r="H387" s="8" t="str">
        <f>VLOOKUP(F387,[1]characters!$A:$J,10,FALSE)</f>
        <v>PremiumS</v>
      </c>
      <c r="I387" s="8">
        <f>VLOOKUP(F387,[1]characters!$A:$I,9,FALSE)</f>
        <v>5</v>
      </c>
      <c r="J387" s="8" t="str">
        <f>VLOOKUP(F387,[1]characters!$A:$H,8,FALSE)</f>
        <v>green</v>
      </c>
      <c r="K387" s="8" t="str">
        <f>VLOOKUP(F387,[1]characters!$A:$K,11,FALSE)</f>
        <v>balance</v>
      </c>
      <c r="L387" s="8" t="str">
        <f>VLOOKUP(F387,[1]characters!$A:$M,13,FALSE)</f>
        <v>unknown</v>
      </c>
      <c r="M387" s="16">
        <f>IFERROR(VLOOKUP(F387,gacha_conf!A$50:F$62,5+E387,FALSE),VLOOKUP(D387,gacha_conf!D$18:E$46,2,FALSE))</f>
        <v>394</v>
      </c>
      <c r="N387" s="37">
        <f>IFERROR(VLOOKUP($F387,bug_conf_sheet!$A:$H,3,FALSE),VLOOKUP("other",bug_conf_sheet!$A:$H,3,FALSE))</f>
        <v>1</v>
      </c>
      <c r="O387" s="37">
        <f>IFERROR(VLOOKUP($F387,bug_conf_sheet!$A:$H,4,FALSE),VLOOKUP("other",bug_conf_sheet!$A:$H,4,FALSE))</f>
        <v>0</v>
      </c>
      <c r="P387" s="37">
        <f>IFERROR(VLOOKUP($F387,bug_conf_sheet!$A:$H,5,FALSE),VLOOKUP("other",bug_conf_sheet!$A:$H,5,FALSE))</f>
        <v>0</v>
      </c>
      <c r="Q387" s="37">
        <f>IFERROR(VLOOKUP($F387,bug_conf_sheet!$A:$H,6,FALSE),VLOOKUP("other",bug_conf_sheet!$A:$H,6,FALSE))</f>
        <v>0</v>
      </c>
      <c r="R387" s="37">
        <f>IFERROR(VLOOKUP($F387,bug_conf_sheet!$A:$H,7,FALSE),VLOOKUP("other",bug_conf_sheet!$A:$H,7,FALSE))</f>
        <v>0</v>
      </c>
      <c r="S387" s="37">
        <f>IFERROR(VLOOKUP($F387,bug_conf_sheet!$A:$H,8,FALSE),VLOOKUP("other",bug_conf_sheet!$A:$H,8,FALSE))</f>
        <v>1</v>
      </c>
    </row>
    <row r="388" spans="1:19" ht="21" customHeight="1">
      <c r="A388" s="7" t="str">
        <f t="shared" si="40"/>
        <v>1940592</v>
      </c>
      <c r="B388" s="2" t="str">
        <f t="shared" si="42"/>
        <v>1940</v>
      </c>
      <c r="C388" s="8" t="str">
        <f t="shared" si="41"/>
        <v>0PremiumS4</v>
      </c>
      <c r="D388" s="8" t="str">
        <f t="shared" si="43"/>
        <v>0PremiumS4</v>
      </c>
      <c r="E388" s="10">
        <v>0</v>
      </c>
      <c r="F388" s="6">
        <v>592</v>
      </c>
      <c r="G388" s="8" t="str">
        <f>VLOOKUP(F388,[1]characters!$A:$C,3,FALSE)</f>
        <v>財宝への執着 ファフニール</v>
      </c>
      <c r="H388" s="8" t="str">
        <f>VLOOKUP(F388,[1]characters!$A:$J,10,FALSE)</f>
        <v>PremiumS</v>
      </c>
      <c r="I388" s="8">
        <f>VLOOKUP(F388,[1]characters!$A:$I,9,FALSE)</f>
        <v>4</v>
      </c>
      <c r="J388" s="8" t="str">
        <f>VLOOKUP(F388,[1]characters!$A:$H,8,FALSE)</f>
        <v>blue</v>
      </c>
      <c r="K388" s="8" t="str">
        <f>VLOOKUP(F388,[1]characters!$A:$K,11,FALSE)</f>
        <v>technical</v>
      </c>
      <c r="L388" s="8" t="str">
        <f>VLOOKUP(F388,[1]characters!$A:$M,13,FALSE)</f>
        <v>dragon</v>
      </c>
      <c r="M388" s="16">
        <f>IFERROR(VLOOKUP(F388,gacha_conf!A$50:F$62,5+E388,FALSE),VLOOKUP(D388,gacha_conf!D$18:E$46,2,FALSE))</f>
        <v>6166</v>
      </c>
      <c r="N388" s="37">
        <f>IFERROR(VLOOKUP($F388,bug_conf_sheet!$A:$H,3,FALSE),VLOOKUP("other",bug_conf_sheet!$A:$H,3,FALSE))</f>
        <v>1</v>
      </c>
      <c r="O388" s="37">
        <f>IFERROR(VLOOKUP($F388,bug_conf_sheet!$A:$H,4,FALSE),VLOOKUP("other",bug_conf_sheet!$A:$H,4,FALSE))</f>
        <v>0</v>
      </c>
      <c r="P388" s="37">
        <f>IFERROR(VLOOKUP($F388,bug_conf_sheet!$A:$H,5,FALSE),VLOOKUP("other",bug_conf_sheet!$A:$H,5,FALSE))</f>
        <v>0</v>
      </c>
      <c r="Q388" s="37">
        <f>IFERROR(VLOOKUP($F388,bug_conf_sheet!$A:$H,6,FALSE),VLOOKUP("other",bug_conf_sheet!$A:$H,6,FALSE))</f>
        <v>0</v>
      </c>
      <c r="R388" s="37">
        <f>IFERROR(VLOOKUP($F388,bug_conf_sheet!$A:$H,7,FALSE),VLOOKUP("other",bug_conf_sheet!$A:$H,7,FALSE))</f>
        <v>0</v>
      </c>
      <c r="S388" s="37">
        <f>IFERROR(VLOOKUP($F388,bug_conf_sheet!$A:$H,8,FALSE),VLOOKUP("other",bug_conf_sheet!$A:$H,8,FALSE))</f>
        <v>1</v>
      </c>
    </row>
    <row r="389" spans="1:19" ht="21" customHeight="1">
      <c r="A389" s="7" t="str">
        <f t="shared" si="40"/>
        <v>1940593</v>
      </c>
      <c r="B389" s="2" t="str">
        <f t="shared" si="42"/>
        <v>1940</v>
      </c>
      <c r="C389" s="8" t="str">
        <f t="shared" si="41"/>
        <v>0PremiumS5</v>
      </c>
      <c r="D389" s="8" t="str">
        <f t="shared" si="43"/>
        <v>0PremiumS5</v>
      </c>
      <c r="E389" s="10">
        <v>0</v>
      </c>
      <c r="F389" s="6">
        <v>593</v>
      </c>
      <c r="G389" s="8" t="str">
        <f>VLOOKUP(F389,[1]characters!$A:$C,3,FALSE)</f>
        <v>妄執する邪毒龍 ファフニール</v>
      </c>
      <c r="H389" s="8" t="str">
        <f>VLOOKUP(F389,[1]characters!$A:$J,10,FALSE)</f>
        <v>PremiumS</v>
      </c>
      <c r="I389" s="8">
        <f>VLOOKUP(F389,[1]characters!$A:$I,9,FALSE)</f>
        <v>5</v>
      </c>
      <c r="J389" s="8" t="str">
        <f>VLOOKUP(F389,[1]characters!$A:$H,8,FALSE)</f>
        <v>blue</v>
      </c>
      <c r="K389" s="8" t="str">
        <f>VLOOKUP(F389,[1]characters!$A:$K,11,FALSE)</f>
        <v>technical</v>
      </c>
      <c r="L389" s="8" t="str">
        <f>VLOOKUP(F389,[1]characters!$A:$M,13,FALSE)</f>
        <v>dragon</v>
      </c>
      <c r="M389" s="16">
        <f>IFERROR(VLOOKUP(F389,gacha_conf!A$50:F$62,5+E389,FALSE),VLOOKUP(D389,gacha_conf!D$18:E$46,2,FALSE))</f>
        <v>394</v>
      </c>
      <c r="N389" s="37">
        <f>IFERROR(VLOOKUP($F389,bug_conf_sheet!$A:$H,3,FALSE),VLOOKUP("other",bug_conf_sheet!$A:$H,3,FALSE))</f>
        <v>1</v>
      </c>
      <c r="O389" s="37">
        <f>IFERROR(VLOOKUP($F389,bug_conf_sheet!$A:$H,4,FALSE),VLOOKUP("other",bug_conf_sheet!$A:$H,4,FALSE))</f>
        <v>0</v>
      </c>
      <c r="P389" s="37">
        <f>IFERROR(VLOOKUP($F389,bug_conf_sheet!$A:$H,5,FALSE),VLOOKUP("other",bug_conf_sheet!$A:$H,5,FALSE))</f>
        <v>0</v>
      </c>
      <c r="Q389" s="37">
        <f>IFERROR(VLOOKUP($F389,bug_conf_sheet!$A:$H,6,FALSE),VLOOKUP("other",bug_conf_sheet!$A:$H,6,FALSE))</f>
        <v>0</v>
      </c>
      <c r="R389" s="37">
        <f>IFERROR(VLOOKUP($F389,bug_conf_sheet!$A:$H,7,FALSE),VLOOKUP("other",bug_conf_sheet!$A:$H,7,FALSE))</f>
        <v>0</v>
      </c>
      <c r="S389" s="37">
        <f>IFERROR(VLOOKUP($F389,bug_conf_sheet!$A:$H,8,FALSE),VLOOKUP("other",bug_conf_sheet!$A:$H,8,FALSE))</f>
        <v>1</v>
      </c>
    </row>
    <row r="390" spans="1:19" ht="21" customHeight="1">
      <c r="A390" s="7" t="str">
        <f t="shared" si="40"/>
        <v>1940594</v>
      </c>
      <c r="B390" s="2" t="str">
        <f t="shared" si="42"/>
        <v>1940</v>
      </c>
      <c r="C390" s="8" t="str">
        <f t="shared" si="41"/>
        <v>0PremiumSS4</v>
      </c>
      <c r="D390" s="8" t="str">
        <f t="shared" si="43"/>
        <v>0PremiumSS4</v>
      </c>
      <c r="E390" s="10">
        <v>0</v>
      </c>
      <c r="F390" s="6">
        <v>594</v>
      </c>
      <c r="G390" s="8" t="str">
        <f>VLOOKUP(F390,[1]characters!$A:$C,3,FALSE)</f>
        <v>アルフヘイム</v>
      </c>
      <c r="H390" s="8" t="str">
        <f>VLOOKUP(F390,[1]characters!$A:$J,10,FALSE)</f>
        <v>PremiumSS</v>
      </c>
      <c r="I390" s="8">
        <f>VLOOKUP(F390,[1]characters!$A:$I,9,FALSE)</f>
        <v>4</v>
      </c>
      <c r="J390" s="8" t="str">
        <f>VLOOKUP(F390,[1]characters!$A:$H,8,FALSE)</f>
        <v>yellow</v>
      </c>
      <c r="K390" s="8" t="str">
        <f>VLOOKUP(F390,[1]characters!$A:$K,11,FALSE)</f>
        <v>attack</v>
      </c>
      <c r="L390" s="8" t="str">
        <f>VLOOKUP(F390,[1]characters!$A:$M,13,FALSE)</f>
        <v>dragon</v>
      </c>
      <c r="M390" s="16">
        <f>IFERROR(VLOOKUP(F390,gacha_conf!A$50:F$62,5+E390,FALSE),VLOOKUP(D390,gacha_conf!D$18:E$46,2,FALSE))</f>
        <v>701</v>
      </c>
      <c r="N390" s="37">
        <f>IFERROR(VLOOKUP($F390,bug_conf_sheet!$A:$H,3,FALSE),VLOOKUP("other",bug_conf_sheet!$A:$H,3,FALSE))</f>
        <v>1</v>
      </c>
      <c r="O390" s="37">
        <f>IFERROR(VLOOKUP($F390,bug_conf_sheet!$A:$H,4,FALSE),VLOOKUP("other",bug_conf_sheet!$A:$H,4,FALSE))</f>
        <v>0</v>
      </c>
      <c r="P390" s="37">
        <f>IFERROR(VLOOKUP($F390,bug_conf_sheet!$A:$H,5,FALSE),VLOOKUP("other",bug_conf_sheet!$A:$H,5,FALSE))</f>
        <v>0</v>
      </c>
      <c r="Q390" s="37">
        <f>IFERROR(VLOOKUP($F390,bug_conf_sheet!$A:$H,6,FALSE),VLOOKUP("other",bug_conf_sheet!$A:$H,6,FALSE))</f>
        <v>0</v>
      </c>
      <c r="R390" s="37">
        <f>IFERROR(VLOOKUP($F390,bug_conf_sheet!$A:$H,7,FALSE),VLOOKUP("other",bug_conf_sheet!$A:$H,7,FALSE))</f>
        <v>0</v>
      </c>
      <c r="S390" s="37">
        <f>IFERROR(VLOOKUP($F390,bug_conf_sheet!$A:$H,8,FALSE),VLOOKUP("other",bug_conf_sheet!$A:$H,8,FALSE))</f>
        <v>1</v>
      </c>
    </row>
    <row r="391" spans="1:19" ht="21" customHeight="1">
      <c r="A391" s="7" t="str">
        <f t="shared" si="40"/>
        <v>1940595</v>
      </c>
      <c r="B391" s="2" t="str">
        <f t="shared" si="42"/>
        <v>1940</v>
      </c>
      <c r="C391" s="8" t="str">
        <f t="shared" si="41"/>
        <v>0PremiumSS5</v>
      </c>
      <c r="D391" s="8" t="str">
        <f t="shared" si="43"/>
        <v>0PremiumSS5</v>
      </c>
      <c r="E391" s="10">
        <v>0</v>
      </c>
      <c r="F391" s="6">
        <v>595</v>
      </c>
      <c r="G391" s="8" t="str">
        <f>VLOOKUP(F391,[1]characters!$A:$C,3,FALSE)</f>
        <v>光華なる神域 アルフヘイム</v>
      </c>
      <c r="H391" s="8" t="str">
        <f>VLOOKUP(F391,[1]characters!$A:$J,10,FALSE)</f>
        <v>PremiumSS</v>
      </c>
      <c r="I391" s="8">
        <f>VLOOKUP(F391,[1]characters!$A:$I,9,FALSE)</f>
        <v>5</v>
      </c>
      <c r="J391" s="8" t="str">
        <f>VLOOKUP(F391,[1]characters!$A:$H,8,FALSE)</f>
        <v>yellow</v>
      </c>
      <c r="K391" s="8" t="str">
        <f>VLOOKUP(F391,[1]characters!$A:$K,11,FALSE)</f>
        <v>attack</v>
      </c>
      <c r="L391" s="8" t="str">
        <f>VLOOKUP(F391,[1]characters!$A:$M,13,FALSE)</f>
        <v>dragon</v>
      </c>
      <c r="M391" s="16">
        <f>IFERROR(VLOOKUP(F391,gacha_conf!A$50:F$62,5+E391,FALSE),VLOOKUP(D391,gacha_conf!D$18:E$46,2,FALSE))</f>
        <v>45</v>
      </c>
      <c r="N391" s="37">
        <f>IFERROR(VLOOKUP($F391,bug_conf_sheet!$A:$H,3,FALSE),VLOOKUP("other",bug_conf_sheet!$A:$H,3,FALSE))</f>
        <v>1</v>
      </c>
      <c r="O391" s="37">
        <f>IFERROR(VLOOKUP($F391,bug_conf_sheet!$A:$H,4,FALSE),VLOOKUP("other",bug_conf_sheet!$A:$H,4,FALSE))</f>
        <v>0</v>
      </c>
      <c r="P391" s="37">
        <f>IFERROR(VLOOKUP($F391,bug_conf_sheet!$A:$H,5,FALSE),VLOOKUP("other",bug_conf_sheet!$A:$H,5,FALSE))</f>
        <v>0</v>
      </c>
      <c r="Q391" s="37">
        <f>IFERROR(VLOOKUP($F391,bug_conf_sheet!$A:$H,6,FALSE),VLOOKUP("other",bug_conf_sheet!$A:$H,6,FALSE))</f>
        <v>0</v>
      </c>
      <c r="R391" s="37">
        <f>IFERROR(VLOOKUP($F391,bug_conf_sheet!$A:$H,7,FALSE),VLOOKUP("other",bug_conf_sheet!$A:$H,7,FALSE))</f>
        <v>0</v>
      </c>
      <c r="S391" s="37">
        <f>IFERROR(VLOOKUP($F391,bug_conf_sheet!$A:$H,8,FALSE),VLOOKUP("other",bug_conf_sheet!$A:$H,8,FALSE))</f>
        <v>1</v>
      </c>
    </row>
    <row r="392" spans="1:19" ht="21" customHeight="1">
      <c r="A392" s="7" t="str">
        <f t="shared" ref="A392:A399" si="44">B392&amp;F392</f>
        <v>1940597</v>
      </c>
      <c r="B392" s="2" t="str">
        <f t="shared" si="42"/>
        <v>1940</v>
      </c>
      <c r="C392" s="8" t="str">
        <f t="shared" ref="C392:C399" si="45">E392&amp;H392&amp;I392</f>
        <v>0PremiumS4</v>
      </c>
      <c r="D392" s="8" t="str">
        <f t="shared" si="43"/>
        <v>0PremiumS4</v>
      </c>
      <c r="E392" s="10">
        <v>0</v>
      </c>
      <c r="F392" s="151">
        <v>597</v>
      </c>
      <c r="G392" s="8" t="str">
        <f>VLOOKUP(F392,[1]characters!$A:$C,3,FALSE)</f>
        <v>灼熱の魂 ムスペルヘイム</v>
      </c>
      <c r="H392" s="8" t="str">
        <f>VLOOKUP(F392,[1]characters!$A:$J,10,FALSE)</f>
        <v>PremiumS</v>
      </c>
      <c r="I392" s="8">
        <f>VLOOKUP(F392,[1]characters!$A:$I,9,FALSE)</f>
        <v>4</v>
      </c>
      <c r="J392" s="8" t="str">
        <f>VLOOKUP(F392,[1]characters!$A:$H,8,FALSE)</f>
        <v>red</v>
      </c>
      <c r="K392" s="8" t="str">
        <f>VLOOKUP(F392,[1]characters!$A:$K,11,FALSE)</f>
        <v>balance</v>
      </c>
      <c r="L392" s="8" t="str">
        <f>VLOOKUP(F392,[1]characters!$A:$M,13,FALSE)</f>
        <v>human</v>
      </c>
      <c r="M392" s="16">
        <f>IFERROR(VLOOKUP(F392,gacha_conf!A$50:F$62,5+E392,FALSE),VLOOKUP(D392,gacha_conf!D$18:E$46,2,FALSE))</f>
        <v>6166</v>
      </c>
      <c r="N392" s="37">
        <f>IFERROR(VLOOKUP($F392,bug_conf_sheet!$A:$H,3,FALSE),VLOOKUP("other",bug_conf_sheet!$A:$H,3,FALSE))</f>
        <v>1</v>
      </c>
      <c r="O392" s="37">
        <f>IFERROR(VLOOKUP($F392,bug_conf_sheet!$A:$H,4,FALSE),VLOOKUP("other",bug_conf_sheet!$A:$H,4,FALSE))</f>
        <v>0</v>
      </c>
      <c r="P392" s="37">
        <f>IFERROR(VLOOKUP($F392,bug_conf_sheet!$A:$H,5,FALSE),VLOOKUP("other",bug_conf_sheet!$A:$H,5,FALSE))</f>
        <v>0</v>
      </c>
      <c r="Q392" s="37">
        <f>IFERROR(VLOOKUP($F392,bug_conf_sheet!$A:$H,6,FALSE),VLOOKUP("other",bug_conf_sheet!$A:$H,6,FALSE))</f>
        <v>0</v>
      </c>
      <c r="R392" s="37">
        <f>IFERROR(VLOOKUP($F392,bug_conf_sheet!$A:$H,7,FALSE),VLOOKUP("other",bug_conf_sheet!$A:$H,7,FALSE))</f>
        <v>0</v>
      </c>
      <c r="S392" s="37">
        <f>IFERROR(VLOOKUP($F392,bug_conf_sheet!$A:$H,8,FALSE),VLOOKUP("other",bug_conf_sheet!$A:$H,8,FALSE))</f>
        <v>1</v>
      </c>
    </row>
    <row r="393" spans="1:19" ht="21" customHeight="1">
      <c r="A393" s="7" t="str">
        <f t="shared" si="44"/>
        <v>1940598</v>
      </c>
      <c r="B393" s="2" t="str">
        <f t="shared" si="42"/>
        <v>1940</v>
      </c>
      <c r="C393" s="8" t="str">
        <f t="shared" si="45"/>
        <v>0PremiumS5</v>
      </c>
      <c r="D393" s="8" t="str">
        <f t="shared" si="43"/>
        <v>0PremiumS5</v>
      </c>
      <c r="E393" s="10">
        <v>0</v>
      </c>
      <c r="F393" s="151">
        <v>598</v>
      </c>
      <c r="G393" s="8" t="str">
        <f>VLOOKUP(F393,[1]characters!$A:$C,3,FALSE)</f>
        <v>焼燃の情熱 ムスペルヘイム</v>
      </c>
      <c r="H393" s="8" t="str">
        <f>VLOOKUP(F393,[1]characters!$A:$J,10,FALSE)</f>
        <v>PremiumS</v>
      </c>
      <c r="I393" s="8">
        <f>VLOOKUP(F393,[1]characters!$A:$I,9,FALSE)</f>
        <v>5</v>
      </c>
      <c r="J393" s="8" t="str">
        <f>VLOOKUP(F393,[1]characters!$A:$H,8,FALSE)</f>
        <v>red</v>
      </c>
      <c r="K393" s="8" t="str">
        <f>VLOOKUP(F393,[1]characters!$A:$K,11,FALSE)</f>
        <v>balance</v>
      </c>
      <c r="L393" s="8" t="str">
        <f>VLOOKUP(F393,[1]characters!$A:$M,13,FALSE)</f>
        <v>human</v>
      </c>
      <c r="M393" s="16">
        <f>IFERROR(VLOOKUP(F393,gacha_conf!A$50:F$62,5+E393,FALSE),VLOOKUP(D393,gacha_conf!D$18:E$46,2,FALSE))</f>
        <v>394</v>
      </c>
      <c r="N393" s="37">
        <f>IFERROR(VLOOKUP($F393,bug_conf_sheet!$A:$H,3,FALSE),VLOOKUP("other",bug_conf_sheet!$A:$H,3,FALSE))</f>
        <v>1</v>
      </c>
      <c r="O393" s="37">
        <f>IFERROR(VLOOKUP($F393,bug_conf_sheet!$A:$H,4,FALSE),VLOOKUP("other",bug_conf_sheet!$A:$H,4,FALSE))</f>
        <v>0</v>
      </c>
      <c r="P393" s="37">
        <f>IFERROR(VLOOKUP($F393,bug_conf_sheet!$A:$H,5,FALSE),VLOOKUP("other",bug_conf_sheet!$A:$H,5,FALSE))</f>
        <v>0</v>
      </c>
      <c r="Q393" s="37">
        <f>IFERROR(VLOOKUP($F393,bug_conf_sheet!$A:$H,6,FALSE),VLOOKUP("other",bug_conf_sheet!$A:$H,6,FALSE))</f>
        <v>0</v>
      </c>
      <c r="R393" s="37">
        <f>IFERROR(VLOOKUP($F393,bug_conf_sheet!$A:$H,7,FALSE),VLOOKUP("other",bug_conf_sheet!$A:$H,7,FALSE))</f>
        <v>0</v>
      </c>
      <c r="S393" s="37">
        <f>IFERROR(VLOOKUP($F393,bug_conf_sheet!$A:$H,8,FALSE),VLOOKUP("other",bug_conf_sheet!$A:$H,8,FALSE))</f>
        <v>1</v>
      </c>
    </row>
    <row r="394" spans="1:19" ht="21" customHeight="1">
      <c r="A394" s="7" t="str">
        <f t="shared" si="44"/>
        <v>1940600</v>
      </c>
      <c r="B394" s="2" t="str">
        <f t="shared" si="42"/>
        <v>1940</v>
      </c>
      <c r="C394" s="8" t="str">
        <f t="shared" si="45"/>
        <v>0PremiumS4</v>
      </c>
      <c r="D394" s="8" t="str">
        <f t="shared" si="43"/>
        <v>0PremiumS4</v>
      </c>
      <c r="E394" s="10">
        <v>0</v>
      </c>
      <c r="F394" s="151">
        <v>600</v>
      </c>
      <c r="G394" s="8" t="str">
        <f>VLOOKUP(F394,[1]characters!$A:$C,3,FALSE)</f>
        <v>界下に潜む蛇 ニーズヘッグ</v>
      </c>
      <c r="H394" s="8" t="str">
        <f>VLOOKUP(F394,[1]characters!$A:$J,10,FALSE)</f>
        <v>PremiumS</v>
      </c>
      <c r="I394" s="8">
        <f>VLOOKUP(F394,[1]characters!$A:$I,9,FALSE)</f>
        <v>4</v>
      </c>
      <c r="J394" s="8" t="str">
        <f>VLOOKUP(F394,[1]characters!$A:$H,8,FALSE)</f>
        <v>green</v>
      </c>
      <c r="K394" s="8" t="str">
        <f>VLOOKUP(F394,[1]characters!$A:$K,11,FALSE)</f>
        <v>attack</v>
      </c>
      <c r="L394" s="8" t="str">
        <f>VLOOKUP(F394,[1]characters!$A:$M,13,FALSE)</f>
        <v>dragon</v>
      </c>
      <c r="M394" s="16">
        <f>IFERROR(VLOOKUP(F394,gacha_conf!A$50:F$62,5+E394,FALSE),VLOOKUP(D394,gacha_conf!D$18:E$46,2,FALSE))</f>
        <v>6166</v>
      </c>
      <c r="N394" s="37">
        <f>IFERROR(VLOOKUP($F394,bug_conf_sheet!$A:$H,3,FALSE),VLOOKUP("other",bug_conf_sheet!$A:$H,3,FALSE))</f>
        <v>1</v>
      </c>
      <c r="O394" s="37">
        <f>IFERROR(VLOOKUP($F394,bug_conf_sheet!$A:$H,4,FALSE),VLOOKUP("other",bug_conf_sheet!$A:$H,4,FALSE))</f>
        <v>0</v>
      </c>
      <c r="P394" s="37">
        <f>IFERROR(VLOOKUP($F394,bug_conf_sheet!$A:$H,5,FALSE),VLOOKUP("other",bug_conf_sheet!$A:$H,5,FALSE))</f>
        <v>0</v>
      </c>
      <c r="Q394" s="37">
        <f>IFERROR(VLOOKUP($F394,bug_conf_sheet!$A:$H,6,FALSE),VLOOKUP("other",bug_conf_sheet!$A:$H,6,FALSE))</f>
        <v>0</v>
      </c>
      <c r="R394" s="37">
        <f>IFERROR(VLOOKUP($F394,bug_conf_sheet!$A:$H,7,FALSE),VLOOKUP("other",bug_conf_sheet!$A:$H,7,FALSE))</f>
        <v>0</v>
      </c>
      <c r="S394" s="37">
        <f>IFERROR(VLOOKUP($F394,bug_conf_sheet!$A:$H,8,FALSE),VLOOKUP("other",bug_conf_sheet!$A:$H,8,FALSE))</f>
        <v>1</v>
      </c>
    </row>
    <row r="395" spans="1:19" ht="21" customHeight="1">
      <c r="A395" s="7" t="str">
        <f t="shared" si="44"/>
        <v>1940601</v>
      </c>
      <c r="B395" s="2" t="str">
        <f t="shared" si="42"/>
        <v>1940</v>
      </c>
      <c r="C395" s="8" t="str">
        <f t="shared" si="45"/>
        <v>0PremiumS5</v>
      </c>
      <c r="D395" s="8" t="str">
        <f t="shared" si="43"/>
        <v>0PremiumS5</v>
      </c>
      <c r="E395" s="10">
        <v>0</v>
      </c>
      <c r="F395" s="151">
        <v>601</v>
      </c>
      <c r="G395" s="8" t="str">
        <f>VLOOKUP(F395,[1]characters!$A:$C,3,FALSE)</f>
        <v>界根蝕む悪食 ニーズヘッグ</v>
      </c>
      <c r="H395" s="8" t="str">
        <f>VLOOKUP(F395,[1]characters!$A:$J,10,FALSE)</f>
        <v>PremiumS</v>
      </c>
      <c r="I395" s="8">
        <f>VLOOKUP(F395,[1]characters!$A:$I,9,FALSE)</f>
        <v>5</v>
      </c>
      <c r="J395" s="8" t="str">
        <f>VLOOKUP(F395,[1]characters!$A:$H,8,FALSE)</f>
        <v>green</v>
      </c>
      <c r="K395" s="8" t="str">
        <f>VLOOKUP(F395,[1]characters!$A:$K,11,FALSE)</f>
        <v>attack</v>
      </c>
      <c r="L395" s="8" t="str">
        <f>VLOOKUP(F395,[1]characters!$A:$M,13,FALSE)</f>
        <v>dragon</v>
      </c>
      <c r="M395" s="16">
        <f>IFERROR(VLOOKUP(F395,gacha_conf!A$50:F$62,5+E395,FALSE),VLOOKUP(D395,gacha_conf!D$18:E$46,2,FALSE))</f>
        <v>394</v>
      </c>
      <c r="N395" s="37">
        <f>IFERROR(VLOOKUP($F395,bug_conf_sheet!$A:$H,3,FALSE),VLOOKUP("other",bug_conf_sheet!$A:$H,3,FALSE))</f>
        <v>1</v>
      </c>
      <c r="O395" s="37">
        <f>IFERROR(VLOOKUP($F395,bug_conf_sheet!$A:$H,4,FALSE),VLOOKUP("other",bug_conf_sheet!$A:$H,4,FALSE))</f>
        <v>0</v>
      </c>
      <c r="P395" s="37">
        <f>IFERROR(VLOOKUP($F395,bug_conf_sheet!$A:$H,5,FALSE),VLOOKUP("other",bug_conf_sheet!$A:$H,5,FALSE))</f>
        <v>0</v>
      </c>
      <c r="Q395" s="37">
        <f>IFERROR(VLOOKUP($F395,bug_conf_sheet!$A:$H,6,FALSE),VLOOKUP("other",bug_conf_sheet!$A:$H,6,FALSE))</f>
        <v>0</v>
      </c>
      <c r="R395" s="37">
        <f>IFERROR(VLOOKUP($F395,bug_conf_sheet!$A:$H,7,FALSE),VLOOKUP("other",bug_conf_sheet!$A:$H,7,FALSE))</f>
        <v>0</v>
      </c>
      <c r="S395" s="37">
        <f>IFERROR(VLOOKUP($F395,bug_conf_sheet!$A:$H,8,FALSE),VLOOKUP("other",bug_conf_sheet!$A:$H,8,FALSE))</f>
        <v>1</v>
      </c>
    </row>
    <row r="396" spans="1:19" ht="21" customHeight="1">
      <c r="A396" s="7" t="str">
        <f t="shared" si="44"/>
        <v>1940602</v>
      </c>
      <c r="B396" s="2" t="str">
        <f t="shared" si="42"/>
        <v>1940</v>
      </c>
      <c r="C396" s="8" t="str">
        <f t="shared" si="45"/>
        <v>0PremiumSS4</v>
      </c>
      <c r="D396" s="8" t="str">
        <f t="shared" si="43"/>
        <v>0PremiumSS4</v>
      </c>
      <c r="E396" s="10">
        <v>0</v>
      </c>
      <c r="F396" s="151">
        <v>602</v>
      </c>
      <c r="G396" s="8" t="str">
        <f>VLOOKUP(F396,[1]characters!$A:$C,3,FALSE)</f>
        <v>フレイヤ</v>
      </c>
      <c r="H396" s="8" t="str">
        <f>VLOOKUP(F396,[1]characters!$A:$J,10,FALSE)</f>
        <v>PremiumSS</v>
      </c>
      <c r="I396" s="8">
        <f>VLOOKUP(F396,[1]characters!$A:$I,9,FALSE)</f>
        <v>4</v>
      </c>
      <c r="J396" s="8" t="str">
        <f>VLOOKUP(F396,[1]characters!$A:$H,8,FALSE)</f>
        <v>blue</v>
      </c>
      <c r="K396" s="8" t="str">
        <f>VLOOKUP(F396,[1]characters!$A:$K,11,FALSE)</f>
        <v>heal</v>
      </c>
      <c r="L396" s="8" t="str">
        <f>VLOOKUP(F396,[1]characters!$A:$M,13,FALSE)</f>
        <v>animal</v>
      </c>
      <c r="M396" s="16">
        <f>IFERROR(VLOOKUP(F396,gacha_conf!A$50:F$62,5+E396,FALSE),VLOOKUP(D396,gacha_conf!D$18:E$46,2,FALSE))</f>
        <v>701</v>
      </c>
      <c r="N396" s="37">
        <f>IFERROR(VLOOKUP($F396,bug_conf_sheet!$A:$H,3,FALSE),VLOOKUP("other",bug_conf_sheet!$A:$H,3,FALSE))</f>
        <v>1</v>
      </c>
      <c r="O396" s="37">
        <f>IFERROR(VLOOKUP($F396,bug_conf_sheet!$A:$H,4,FALSE),VLOOKUP("other",bug_conf_sheet!$A:$H,4,FALSE))</f>
        <v>0</v>
      </c>
      <c r="P396" s="37">
        <f>IFERROR(VLOOKUP($F396,bug_conf_sheet!$A:$H,5,FALSE),VLOOKUP("other",bug_conf_sheet!$A:$H,5,FALSE))</f>
        <v>0</v>
      </c>
      <c r="Q396" s="37">
        <f>IFERROR(VLOOKUP($F396,bug_conf_sheet!$A:$H,6,FALSE),VLOOKUP("other",bug_conf_sheet!$A:$H,6,FALSE))</f>
        <v>0</v>
      </c>
      <c r="R396" s="37">
        <f>IFERROR(VLOOKUP($F396,bug_conf_sheet!$A:$H,7,FALSE),VLOOKUP("other",bug_conf_sheet!$A:$H,7,FALSE))</f>
        <v>0</v>
      </c>
      <c r="S396" s="37">
        <f>IFERROR(VLOOKUP($F396,bug_conf_sheet!$A:$H,8,FALSE),VLOOKUP("other",bug_conf_sheet!$A:$H,8,FALSE))</f>
        <v>1</v>
      </c>
    </row>
    <row r="397" spans="1:19" ht="21" customHeight="1">
      <c r="A397" s="7" t="str">
        <f t="shared" si="44"/>
        <v>1940603</v>
      </c>
      <c r="B397" s="2" t="str">
        <f t="shared" si="42"/>
        <v>1940</v>
      </c>
      <c r="C397" s="8" t="str">
        <f t="shared" si="45"/>
        <v>0PremiumSS5</v>
      </c>
      <c r="D397" s="8" t="str">
        <f t="shared" si="43"/>
        <v>0PremiumSS5</v>
      </c>
      <c r="E397" s="10">
        <v>0</v>
      </c>
      <c r="F397" s="151">
        <v>603</v>
      </c>
      <c r="G397" s="8" t="str">
        <f>VLOOKUP(F397,[1]characters!$A:$C,3,FALSE)</f>
        <v>掌愛の豊穣女神 フレイヤ</v>
      </c>
      <c r="H397" s="8" t="str">
        <f>VLOOKUP(F397,[1]characters!$A:$J,10,FALSE)</f>
        <v>PremiumSS</v>
      </c>
      <c r="I397" s="8">
        <f>VLOOKUP(F397,[1]characters!$A:$I,9,FALSE)</f>
        <v>5</v>
      </c>
      <c r="J397" s="8" t="str">
        <f>VLOOKUP(F397,[1]characters!$A:$H,8,FALSE)</f>
        <v>blue</v>
      </c>
      <c r="K397" s="8" t="str">
        <f>VLOOKUP(F397,[1]characters!$A:$K,11,FALSE)</f>
        <v>heal</v>
      </c>
      <c r="L397" s="8" t="str">
        <f>VLOOKUP(F397,[1]characters!$A:$M,13,FALSE)</f>
        <v>animal</v>
      </c>
      <c r="M397" s="16">
        <f>IFERROR(VLOOKUP(F397,gacha_conf!A$50:F$62,5+E397,FALSE),VLOOKUP(D397,gacha_conf!D$18:E$46,2,FALSE))</f>
        <v>45</v>
      </c>
      <c r="N397" s="37">
        <f>IFERROR(VLOOKUP($F397,bug_conf_sheet!$A:$H,3,FALSE),VLOOKUP("other",bug_conf_sheet!$A:$H,3,FALSE))</f>
        <v>1</v>
      </c>
      <c r="O397" s="37">
        <f>IFERROR(VLOOKUP($F397,bug_conf_sheet!$A:$H,4,FALSE),VLOOKUP("other",bug_conf_sheet!$A:$H,4,FALSE))</f>
        <v>0</v>
      </c>
      <c r="P397" s="37">
        <f>IFERROR(VLOOKUP($F397,bug_conf_sheet!$A:$H,5,FALSE),VLOOKUP("other",bug_conf_sheet!$A:$H,5,FALSE))</f>
        <v>0</v>
      </c>
      <c r="Q397" s="37">
        <f>IFERROR(VLOOKUP($F397,bug_conf_sheet!$A:$H,6,FALSE),VLOOKUP("other",bug_conf_sheet!$A:$H,6,FALSE))</f>
        <v>0</v>
      </c>
      <c r="R397" s="37">
        <f>IFERROR(VLOOKUP($F397,bug_conf_sheet!$A:$H,7,FALSE),VLOOKUP("other",bug_conf_sheet!$A:$H,7,FALSE))</f>
        <v>0</v>
      </c>
      <c r="S397" s="37">
        <f>IFERROR(VLOOKUP($F397,bug_conf_sheet!$A:$H,8,FALSE),VLOOKUP("other",bug_conf_sheet!$A:$H,8,FALSE))</f>
        <v>1</v>
      </c>
    </row>
    <row r="398" spans="1:19" ht="21" customHeight="1">
      <c r="A398" s="7" t="str">
        <f t="shared" si="44"/>
        <v>1940605</v>
      </c>
      <c r="B398" s="2" t="str">
        <f t="shared" si="42"/>
        <v>1940</v>
      </c>
      <c r="C398" s="8" t="str">
        <f t="shared" si="45"/>
        <v>0PremiumS4</v>
      </c>
      <c r="D398" s="8" t="str">
        <f t="shared" si="43"/>
        <v>0PremiumS4</v>
      </c>
      <c r="E398" s="10">
        <v>0</v>
      </c>
      <c r="F398" s="151">
        <v>605</v>
      </c>
      <c r="G398" s="8" t="str">
        <f>VLOOKUP(F398,[1]characters!$A:$C,3,FALSE)</f>
        <v>祝福される光耀 バルドル</v>
      </c>
      <c r="H398" s="8" t="str">
        <f>VLOOKUP(F398,[1]characters!$A:$J,10,FALSE)</f>
        <v>PremiumS</v>
      </c>
      <c r="I398" s="8">
        <f>VLOOKUP(F398,[1]characters!$A:$I,9,FALSE)</f>
        <v>4</v>
      </c>
      <c r="J398" s="8" t="str">
        <f>VLOOKUP(F398,[1]characters!$A:$H,8,FALSE)</f>
        <v>yellow</v>
      </c>
      <c r="K398" s="8" t="str">
        <f>VLOOKUP(F398,[1]characters!$A:$K,11,FALSE)</f>
        <v>heal</v>
      </c>
      <c r="L398" s="8" t="str">
        <f>VLOOKUP(F398,[1]characters!$A:$M,13,FALSE)</f>
        <v>god</v>
      </c>
      <c r="M398" s="16">
        <f>IFERROR(VLOOKUP(F398,gacha_conf!A$50:F$62,5+E398,FALSE),VLOOKUP(D398,gacha_conf!D$18:E$46,2,FALSE))</f>
        <v>6166</v>
      </c>
      <c r="N398" s="37">
        <f>IFERROR(VLOOKUP($F398,bug_conf_sheet!$A:$H,3,FALSE),VLOOKUP("other",bug_conf_sheet!$A:$H,3,FALSE))</f>
        <v>1</v>
      </c>
      <c r="O398" s="37">
        <f>IFERROR(VLOOKUP($F398,bug_conf_sheet!$A:$H,4,FALSE),VLOOKUP("other",bug_conf_sheet!$A:$H,4,FALSE))</f>
        <v>0</v>
      </c>
      <c r="P398" s="37">
        <f>IFERROR(VLOOKUP($F398,bug_conf_sheet!$A:$H,5,FALSE),VLOOKUP("other",bug_conf_sheet!$A:$H,5,FALSE))</f>
        <v>0</v>
      </c>
      <c r="Q398" s="37">
        <f>IFERROR(VLOOKUP($F398,bug_conf_sheet!$A:$H,6,FALSE),VLOOKUP("other",bug_conf_sheet!$A:$H,6,FALSE))</f>
        <v>0</v>
      </c>
      <c r="R398" s="37">
        <f>IFERROR(VLOOKUP($F398,bug_conf_sheet!$A:$H,7,FALSE),VLOOKUP("other",bug_conf_sheet!$A:$H,7,FALSE))</f>
        <v>0</v>
      </c>
      <c r="S398" s="37">
        <f>IFERROR(VLOOKUP($F398,bug_conf_sheet!$A:$H,8,FALSE),VLOOKUP("other",bug_conf_sheet!$A:$H,8,FALSE))</f>
        <v>1</v>
      </c>
    </row>
    <row r="399" spans="1:19" ht="21" customHeight="1">
      <c r="A399" s="7" t="str">
        <f t="shared" si="44"/>
        <v>1940606</v>
      </c>
      <c r="B399" s="2" t="str">
        <f t="shared" si="42"/>
        <v>1940</v>
      </c>
      <c r="C399" s="8" t="str">
        <f t="shared" si="45"/>
        <v>0PremiumS5</v>
      </c>
      <c r="D399" s="8" t="str">
        <f t="shared" si="43"/>
        <v>0PremiumS5</v>
      </c>
      <c r="E399" s="10">
        <v>0</v>
      </c>
      <c r="F399" s="151">
        <v>606</v>
      </c>
      <c r="G399" s="8" t="str">
        <f>VLOOKUP(F399,[1]characters!$A:$C,3,FALSE)</f>
        <v>冀望の光芒 バルドル</v>
      </c>
      <c r="H399" s="8" t="str">
        <f>VLOOKUP(F399,[1]characters!$A:$J,10,FALSE)</f>
        <v>PremiumS</v>
      </c>
      <c r="I399" s="8">
        <f>VLOOKUP(F399,[1]characters!$A:$I,9,FALSE)</f>
        <v>5</v>
      </c>
      <c r="J399" s="8" t="str">
        <f>VLOOKUP(F399,[1]characters!$A:$H,8,FALSE)</f>
        <v>yellow</v>
      </c>
      <c r="K399" s="8" t="str">
        <f>VLOOKUP(F399,[1]characters!$A:$K,11,FALSE)</f>
        <v>heal</v>
      </c>
      <c r="L399" s="8" t="str">
        <f>VLOOKUP(F399,[1]characters!$A:$M,13,FALSE)</f>
        <v>god</v>
      </c>
      <c r="M399" s="16">
        <f>IFERROR(VLOOKUP(F399,gacha_conf!A$50:F$62,5+E399,FALSE),VLOOKUP(D399,gacha_conf!D$18:E$46,2,FALSE))</f>
        <v>394</v>
      </c>
      <c r="N399" s="37">
        <f>IFERROR(VLOOKUP($F399,bug_conf_sheet!$A:$H,3,FALSE),VLOOKUP("other",bug_conf_sheet!$A:$H,3,FALSE))</f>
        <v>1</v>
      </c>
      <c r="O399" s="37">
        <f>IFERROR(VLOOKUP($F399,bug_conf_sheet!$A:$H,4,FALSE),VLOOKUP("other",bug_conf_sheet!$A:$H,4,FALSE))</f>
        <v>0</v>
      </c>
      <c r="P399" s="37">
        <f>IFERROR(VLOOKUP($F399,bug_conf_sheet!$A:$H,5,FALSE),VLOOKUP("other",bug_conf_sheet!$A:$H,5,FALSE))</f>
        <v>0</v>
      </c>
      <c r="Q399" s="37">
        <f>IFERROR(VLOOKUP($F399,bug_conf_sheet!$A:$H,6,FALSE),VLOOKUP("other",bug_conf_sheet!$A:$H,6,FALSE))</f>
        <v>0</v>
      </c>
      <c r="R399" s="37">
        <f>IFERROR(VLOOKUP($F399,bug_conf_sheet!$A:$H,7,FALSE),VLOOKUP("other",bug_conf_sheet!$A:$H,7,FALSE))</f>
        <v>0</v>
      </c>
      <c r="S399" s="37">
        <f>IFERROR(VLOOKUP($F399,bug_conf_sheet!$A:$H,8,FALSE),VLOOKUP("other",bug_conf_sheet!$A:$H,8,FALSE))</f>
        <v>1</v>
      </c>
    </row>
  </sheetData>
  <autoFilter ref="A1:S399"/>
  <sortState ref="A2:S189">
    <sortCondition ref="B2:B189"/>
    <sortCondition ref="F2:F189"/>
  </sortState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57"/>
  <sheetViews>
    <sheetView showGridLines="0" topLeftCell="C1" workbookViewId="0">
      <pane ySplit="1" topLeftCell="A2" activePane="bottomLeft" state="frozen"/>
      <selection activeCell="M24" sqref="M24"/>
      <selection pane="bottomLeft" activeCell="N10" sqref="N10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6" t="s">
        <v>13</v>
      </c>
      <c r="O1" s="36" t="s">
        <v>14</v>
      </c>
      <c r="P1" s="36" t="s">
        <v>15</v>
      </c>
      <c r="Q1" s="36" t="s">
        <v>16</v>
      </c>
      <c r="R1" s="36" t="s">
        <v>17</v>
      </c>
    </row>
    <row r="2" spans="1:18" ht="21" customHeight="1">
      <c r="B2" s="2"/>
      <c r="C2" s="8" t="str">
        <f>IFERROR(D2&amp;G2&amp;H2,"")</f>
        <v/>
      </c>
      <c r="E2" s="16"/>
      <c r="F2" s="8" t="str">
        <f>IFERROR(VLOOKUP(E2,[1]characters!$A:$C,3,FALSE),"")</f>
        <v/>
      </c>
      <c r="G2" s="8" t="str">
        <f>IFERROR(VLOOKUP(E2,[1]characters!$A:$J,10,FALSE),"")</f>
        <v/>
      </c>
      <c r="H2" s="8" t="str">
        <f>IFERROR(VLOOKUP(E2,[1]characters!$A:$I,9,FALSE),"")</f>
        <v/>
      </c>
      <c r="I2" s="8" t="str">
        <f>IFERROR(VLOOKUP(E2,[1]characters!$A:$H,8,FALSE),"")</f>
        <v/>
      </c>
      <c r="J2" s="8" t="str">
        <f>IFERROR(VLOOKUP(E2,[1]characters!$A:$K,11,FALSE),"")</f>
        <v/>
      </c>
      <c r="K2" s="8" t="str">
        <f>IFERROR(VLOOKUP(E2,[1]characters!$A:$M,13,FALSE),"")</f>
        <v/>
      </c>
      <c r="L2" s="35"/>
      <c r="M2" s="37" t="str">
        <f>IF(ISBLANK(E2),"",IFERROR(VLOOKUP($E2,bug_conf_sheet!$A:$H,3,FALSE),VLOOKUP("other",bug_conf_sheet!$A:$H,3,FALSE)))</f>
        <v/>
      </c>
      <c r="N2" s="37" t="str">
        <f>IF(ISBLANK(E2),"",IFERROR(VLOOKUP($E2,bug_conf_sheet!$A:$H,4,FALSE),VLOOKUP("other",bug_conf_sheet!$A:$H,4,FALSE)))</f>
        <v/>
      </c>
      <c r="O2" s="37" t="str">
        <f>IF(ISBLANK(E2),"",IFERROR(VLOOKUP($E2,bug_conf_sheet!$A:$H,5,FALSE),VLOOKUP("other",bug_conf_sheet!$A:$H,5,FALSE)))</f>
        <v/>
      </c>
      <c r="P2" s="37" t="str">
        <f>IF(ISBLANK(E2),"",IFERROR(VLOOKUP($E2,bug_conf_sheet!$A:$H,6,FALSE),VLOOKUP("other",bug_conf_sheet!$A:$H,6,FALSE)))</f>
        <v/>
      </c>
      <c r="Q2" s="37" t="str">
        <f>IF(ISBLANK(E2),"",IFERROR(VLOOKUP($E2,bug_conf_sheet!$A:$H,7,FALSE),VLOOKUP("other",bug_conf_sheet!$A:$H,7,FALSE)))</f>
        <v/>
      </c>
      <c r="R2" s="37" t="str">
        <f>IF(ISBLANK(E2),"",IFERROR(VLOOKUP($E2,bug_conf_sheet!$A:$H,8,FALSE),VLOOKUP("other",bug_conf_sheet!$A:$H,8,FALSE)))</f>
        <v/>
      </c>
    </row>
    <row r="3" spans="1:18" ht="21" customHeight="1">
      <c r="B3" s="2"/>
      <c r="C3" s="8" t="str">
        <f t="shared" ref="C3:C9" si="0">IFERROR(D3&amp;G3&amp;H3,"")</f>
        <v/>
      </c>
      <c r="E3" s="16"/>
      <c r="F3" s="8" t="str">
        <f>IFERROR(VLOOKUP(E3,[1]characters!$A:$C,3,FALSE),"")</f>
        <v/>
      </c>
      <c r="G3" s="8" t="str">
        <f>IFERROR(VLOOKUP(E3,[1]characters!$A:$J,10,FALSE),"")</f>
        <v/>
      </c>
      <c r="H3" s="8" t="str">
        <f>IFERROR(VLOOKUP(E3,[1]characters!$A:$I,9,FALSE),"")</f>
        <v/>
      </c>
      <c r="I3" s="8" t="str">
        <f>IFERROR(VLOOKUP(E3,[1]characters!$A:$H,8,FALSE),"")</f>
        <v/>
      </c>
      <c r="J3" s="8" t="str">
        <f>IFERROR(VLOOKUP(E3,[1]characters!$A:$K,11,FALSE),"")</f>
        <v/>
      </c>
      <c r="K3" s="8" t="str">
        <f>IFERROR(VLOOKUP(E3,[1]characters!$A:$M,13,FALSE),"")</f>
        <v/>
      </c>
      <c r="L3" s="35"/>
      <c r="M3" s="37" t="str">
        <f>IF(ISBLANK(E3),"",IFERROR(VLOOKUP($E3,bug_conf_sheet!$A:$H,3,FALSE),VLOOKUP("other",bug_conf_sheet!$A:$H,3,FALSE)))</f>
        <v/>
      </c>
      <c r="N3" s="37" t="str">
        <f>IF(ISBLANK(E3),"",IFERROR(VLOOKUP($E3,bug_conf_sheet!$A:$H,4,FALSE),VLOOKUP("other",bug_conf_sheet!$A:$H,4,FALSE)))</f>
        <v/>
      </c>
      <c r="O3" s="37" t="str">
        <f>IF(ISBLANK(E3),"",IFERROR(VLOOKUP($E3,bug_conf_sheet!$A:$H,5,FALSE),VLOOKUP("other",bug_conf_sheet!$A:$H,5,FALSE)))</f>
        <v/>
      </c>
      <c r="P3" s="37" t="str">
        <f>IF(ISBLANK(E3),"",IFERROR(VLOOKUP($E3,bug_conf_sheet!$A:$H,6,FALSE),VLOOKUP("other",bug_conf_sheet!$A:$H,6,FALSE)))</f>
        <v/>
      </c>
      <c r="Q3" s="37" t="str">
        <f>IF(ISBLANK(E3),"",IFERROR(VLOOKUP($E3,bug_conf_sheet!$A:$H,7,FALSE),VLOOKUP("other",bug_conf_sheet!$A:$H,7,FALSE)))</f>
        <v/>
      </c>
      <c r="R3" s="37" t="str">
        <f>IF(ISBLANK(E3),"",IFERROR(VLOOKUP($E3,bug_conf_sheet!$A:$H,8,FALSE),VLOOKUP("other",bug_conf_sheet!$A:$H,8,FALSE)))</f>
        <v/>
      </c>
    </row>
    <row r="4" spans="1:18" ht="21" customHeight="1">
      <c r="B4" s="2"/>
      <c r="C4" s="8" t="str">
        <f t="shared" si="0"/>
        <v/>
      </c>
      <c r="E4" s="16"/>
      <c r="F4" s="8" t="str">
        <f>IFERROR(VLOOKUP(E4,[1]characters!$A:$C,3,FALSE),"")</f>
        <v/>
      </c>
      <c r="G4" s="8" t="str">
        <f>IFERROR(VLOOKUP(E4,[1]characters!$A:$J,10,FALSE),"")</f>
        <v/>
      </c>
      <c r="H4" s="8" t="str">
        <f>IFERROR(VLOOKUP(E4,[1]characters!$A:$I,9,FALSE),"")</f>
        <v/>
      </c>
      <c r="I4" s="8" t="str">
        <f>IFERROR(VLOOKUP(E4,[1]characters!$A:$H,8,FALSE),"")</f>
        <v/>
      </c>
      <c r="J4" s="8" t="str">
        <f>IFERROR(VLOOKUP(E4,[1]characters!$A:$K,11,FALSE),"")</f>
        <v/>
      </c>
      <c r="K4" s="8" t="str">
        <f>IFERROR(VLOOKUP(E4,[1]characters!$A:$M,13,FALSE),"")</f>
        <v/>
      </c>
      <c r="L4" s="35"/>
      <c r="M4" s="37" t="str">
        <f>IF(ISBLANK(E4),"",IFERROR(VLOOKUP($E4,bug_conf_sheet!$A:$H,3,FALSE),VLOOKUP("other",bug_conf_sheet!$A:$H,3,FALSE)))</f>
        <v/>
      </c>
      <c r="N4" s="37" t="str">
        <f>IF(ISBLANK(E4),"",IFERROR(VLOOKUP($E4,bug_conf_sheet!$A:$H,4,FALSE),VLOOKUP("other",bug_conf_sheet!$A:$H,4,FALSE)))</f>
        <v/>
      </c>
      <c r="O4" s="37" t="str">
        <f>IF(ISBLANK(E4),"",IFERROR(VLOOKUP($E4,bug_conf_sheet!$A:$H,5,FALSE),VLOOKUP("other",bug_conf_sheet!$A:$H,5,FALSE)))</f>
        <v/>
      </c>
      <c r="P4" s="37" t="str">
        <f>IF(ISBLANK(E4),"",IFERROR(VLOOKUP($E4,bug_conf_sheet!$A:$H,6,FALSE),VLOOKUP("other",bug_conf_sheet!$A:$H,6,FALSE)))</f>
        <v/>
      </c>
      <c r="Q4" s="37" t="str">
        <f>IF(ISBLANK(E4),"",IFERROR(VLOOKUP($E4,bug_conf_sheet!$A:$H,7,FALSE),VLOOKUP("other",bug_conf_sheet!$A:$H,7,FALSE)))</f>
        <v/>
      </c>
      <c r="R4" s="37" t="str">
        <f>IF(ISBLANK(E4),"",IFERROR(VLOOKUP($E4,bug_conf_sheet!$A:$H,8,FALSE),VLOOKUP("other",bug_conf_sheet!$A:$H,8,FALSE)))</f>
        <v/>
      </c>
    </row>
    <row r="5" spans="1:18" ht="21" customHeight="1">
      <c r="B5" s="2"/>
      <c r="C5" s="8" t="str">
        <f t="shared" si="0"/>
        <v/>
      </c>
      <c r="E5" s="16"/>
      <c r="F5" s="8" t="str">
        <f>IFERROR(VLOOKUP(E5,[1]characters!$A:$C,3,FALSE),"")</f>
        <v/>
      </c>
      <c r="G5" s="8" t="str">
        <f>IFERROR(VLOOKUP(E5,[1]characters!$A:$J,10,FALSE),"")</f>
        <v/>
      </c>
      <c r="H5" s="8" t="str">
        <f>IFERROR(VLOOKUP(E5,[1]characters!$A:$I,9,FALSE),"")</f>
        <v/>
      </c>
      <c r="I5" s="8" t="str">
        <f>IFERROR(VLOOKUP(E5,[1]characters!$A:$H,8,FALSE),"")</f>
        <v/>
      </c>
      <c r="J5" s="8" t="str">
        <f>IFERROR(VLOOKUP(E5,[1]characters!$A:$K,11,FALSE),"")</f>
        <v/>
      </c>
      <c r="K5" s="8" t="str">
        <f>IFERROR(VLOOKUP(E5,[1]characters!$A:$M,13,FALSE),"")</f>
        <v/>
      </c>
      <c r="L5" s="35"/>
      <c r="M5" s="37" t="str">
        <f>IF(ISBLANK(E5),"",IFERROR(VLOOKUP($E5,bug_conf_sheet!$A:$H,3,FALSE),VLOOKUP("other",bug_conf_sheet!$A:$H,3,FALSE)))</f>
        <v/>
      </c>
      <c r="N5" s="37" t="str">
        <f>IF(ISBLANK(E5),"",IFERROR(VLOOKUP($E5,bug_conf_sheet!$A:$H,4,FALSE),VLOOKUP("other",bug_conf_sheet!$A:$H,4,FALSE)))</f>
        <v/>
      </c>
      <c r="O5" s="37" t="str">
        <f>IF(ISBLANK(E5),"",IFERROR(VLOOKUP($E5,bug_conf_sheet!$A:$H,5,FALSE),VLOOKUP("other",bug_conf_sheet!$A:$H,5,FALSE)))</f>
        <v/>
      </c>
      <c r="P5" s="37" t="str">
        <f>IF(ISBLANK(E5),"",IFERROR(VLOOKUP($E5,bug_conf_sheet!$A:$H,6,FALSE),VLOOKUP("other",bug_conf_sheet!$A:$H,6,FALSE)))</f>
        <v/>
      </c>
      <c r="Q5" s="37" t="str">
        <f>IF(ISBLANK(E5),"",IFERROR(VLOOKUP($E5,bug_conf_sheet!$A:$H,7,FALSE),VLOOKUP("other",bug_conf_sheet!$A:$H,7,FALSE)))</f>
        <v/>
      </c>
      <c r="R5" s="37" t="str">
        <f>IF(ISBLANK(E5),"",IFERROR(VLOOKUP($E5,bug_conf_sheet!$A:$H,8,FALSE),VLOOKUP("other",bug_conf_sheet!$A:$H,8,FALSE)))</f>
        <v/>
      </c>
    </row>
    <row r="6" spans="1:18" ht="21" customHeight="1">
      <c r="B6" s="2"/>
      <c r="C6" s="8" t="str">
        <f t="shared" si="0"/>
        <v/>
      </c>
      <c r="E6" s="16"/>
      <c r="F6" s="8" t="str">
        <f>IFERROR(VLOOKUP(E6,[1]characters!$A:$C,3,FALSE),"")</f>
        <v/>
      </c>
      <c r="G6" s="8" t="str">
        <f>IFERROR(VLOOKUP(E6,[1]characters!$A:$J,10,FALSE),"")</f>
        <v/>
      </c>
      <c r="H6" s="8" t="str">
        <f>IFERROR(VLOOKUP(E6,[1]characters!$A:$I,9,FALSE),"")</f>
        <v/>
      </c>
      <c r="I6" s="8" t="str">
        <f>IFERROR(VLOOKUP(E6,[1]characters!$A:$H,8,FALSE),"")</f>
        <v/>
      </c>
      <c r="J6" s="8" t="str">
        <f>IFERROR(VLOOKUP(E6,[1]characters!$A:$K,11,FALSE),"")</f>
        <v/>
      </c>
      <c r="K6" s="8" t="str">
        <f>IFERROR(VLOOKUP(E6,[1]characters!$A:$M,13,FALSE),"")</f>
        <v/>
      </c>
      <c r="L6" s="35"/>
      <c r="M6" s="37" t="str">
        <f>IF(ISBLANK(E6),"",IFERROR(VLOOKUP($E6,bug_conf_sheet!$A:$H,3,FALSE),VLOOKUP("other",bug_conf_sheet!$A:$H,3,FALSE)))</f>
        <v/>
      </c>
      <c r="N6" s="37" t="str">
        <f>IF(ISBLANK(E6),"",IFERROR(VLOOKUP($E6,bug_conf_sheet!$A:$H,4,FALSE),VLOOKUP("other",bug_conf_sheet!$A:$H,4,FALSE)))</f>
        <v/>
      </c>
      <c r="O6" s="37" t="str">
        <f>IF(ISBLANK(E6),"",IFERROR(VLOOKUP($E6,bug_conf_sheet!$A:$H,5,FALSE),VLOOKUP("other",bug_conf_sheet!$A:$H,5,FALSE)))</f>
        <v/>
      </c>
      <c r="P6" s="37" t="str">
        <f>IF(ISBLANK(E6),"",IFERROR(VLOOKUP($E6,bug_conf_sheet!$A:$H,6,FALSE),VLOOKUP("other",bug_conf_sheet!$A:$H,6,FALSE)))</f>
        <v/>
      </c>
      <c r="Q6" s="37" t="str">
        <f>IF(ISBLANK(E6),"",IFERROR(VLOOKUP($E6,bug_conf_sheet!$A:$H,7,FALSE),VLOOKUP("other",bug_conf_sheet!$A:$H,7,FALSE)))</f>
        <v/>
      </c>
      <c r="R6" s="37" t="str">
        <f>IF(ISBLANK(E6),"",IFERROR(VLOOKUP($E6,bug_conf_sheet!$A:$H,8,FALSE),VLOOKUP("other",bug_conf_sheet!$A:$H,8,FALSE)))</f>
        <v/>
      </c>
    </row>
    <row r="7" spans="1:18" ht="21" customHeight="1">
      <c r="B7" s="2"/>
      <c r="C7" s="8" t="str">
        <f t="shared" si="0"/>
        <v/>
      </c>
      <c r="E7" s="16"/>
      <c r="F7" s="8" t="str">
        <f>IFERROR(VLOOKUP(E7,[1]characters!$A:$C,3,FALSE),"")</f>
        <v/>
      </c>
      <c r="G7" s="8" t="str">
        <f>IFERROR(VLOOKUP(E7,[1]characters!$A:$J,10,FALSE),"")</f>
        <v/>
      </c>
      <c r="H7" s="8" t="str">
        <f>IFERROR(VLOOKUP(E7,[1]characters!$A:$I,9,FALSE),"")</f>
        <v/>
      </c>
      <c r="I7" s="8" t="str">
        <f>IFERROR(VLOOKUP(E7,[1]characters!$A:$H,8,FALSE),"")</f>
        <v/>
      </c>
      <c r="J7" s="8" t="str">
        <f>IFERROR(VLOOKUP(E7,[1]characters!$A:$K,11,FALSE),"")</f>
        <v/>
      </c>
      <c r="K7" s="8" t="str">
        <f>IFERROR(VLOOKUP(E7,[1]characters!$A:$M,13,FALSE),"")</f>
        <v/>
      </c>
      <c r="L7" s="35"/>
      <c r="M7" s="37" t="str">
        <f>IF(ISBLANK(E7),"",IFERROR(VLOOKUP($E7,bug_conf_sheet!$A:$H,3,FALSE),VLOOKUP("other",bug_conf_sheet!$A:$H,3,FALSE)))</f>
        <v/>
      </c>
      <c r="N7" s="37" t="str">
        <f>IF(ISBLANK(E7),"",IFERROR(VLOOKUP($E7,bug_conf_sheet!$A:$H,4,FALSE),VLOOKUP("other",bug_conf_sheet!$A:$H,4,FALSE)))</f>
        <v/>
      </c>
      <c r="O7" s="37" t="str">
        <f>IF(ISBLANK(E7),"",IFERROR(VLOOKUP($E7,bug_conf_sheet!$A:$H,5,FALSE),VLOOKUP("other",bug_conf_sheet!$A:$H,5,FALSE)))</f>
        <v/>
      </c>
      <c r="P7" s="37" t="str">
        <f>IF(ISBLANK(E7),"",IFERROR(VLOOKUP($E7,bug_conf_sheet!$A:$H,6,FALSE),VLOOKUP("other",bug_conf_sheet!$A:$H,6,FALSE)))</f>
        <v/>
      </c>
      <c r="Q7" s="37" t="str">
        <f>IF(ISBLANK(E7),"",IFERROR(VLOOKUP($E7,bug_conf_sheet!$A:$H,7,FALSE),VLOOKUP("other",bug_conf_sheet!$A:$H,7,FALSE)))</f>
        <v/>
      </c>
      <c r="R7" s="37" t="str">
        <f>IF(ISBLANK(E7),"",IFERROR(VLOOKUP($E7,bug_conf_sheet!$A:$H,8,FALSE),VLOOKUP("other",bug_conf_sheet!$A:$H,8,FALSE)))</f>
        <v/>
      </c>
    </row>
    <row r="8" spans="1:18" ht="21" customHeight="1">
      <c r="B8" s="2"/>
      <c r="C8" s="8" t="str">
        <f t="shared" si="0"/>
        <v/>
      </c>
      <c r="E8" s="16"/>
      <c r="F8" s="8" t="str">
        <f>IFERROR(VLOOKUP(E8,[1]characters!$A:$C,3,FALSE),"")</f>
        <v/>
      </c>
      <c r="G8" s="8" t="str">
        <f>IFERROR(VLOOKUP(E8,[1]characters!$A:$J,10,FALSE),"")</f>
        <v/>
      </c>
      <c r="H8" s="8" t="str">
        <f>IFERROR(VLOOKUP(E8,[1]characters!$A:$I,9,FALSE),"")</f>
        <v/>
      </c>
      <c r="I8" s="8" t="str">
        <f>IFERROR(VLOOKUP(E8,[1]characters!$A:$H,8,FALSE),"")</f>
        <v/>
      </c>
      <c r="J8" s="8" t="str">
        <f>IFERROR(VLOOKUP(E8,[1]characters!$A:$K,11,FALSE),"")</f>
        <v/>
      </c>
      <c r="K8" s="8" t="str">
        <f>IFERROR(VLOOKUP(E8,[1]characters!$A:$M,13,FALSE),"")</f>
        <v/>
      </c>
      <c r="L8" s="35"/>
      <c r="M8" s="37" t="str">
        <f>IF(ISBLANK(E8),"",IFERROR(VLOOKUP($E8,bug_conf_sheet!$A:$H,3,FALSE),VLOOKUP("other",bug_conf_sheet!$A:$H,3,FALSE)))</f>
        <v/>
      </c>
      <c r="N8" s="37" t="str">
        <f>IF(ISBLANK(E8),"",IFERROR(VLOOKUP($E8,bug_conf_sheet!$A:$H,4,FALSE),VLOOKUP("other",bug_conf_sheet!$A:$H,4,FALSE)))</f>
        <v/>
      </c>
      <c r="O8" s="37" t="str">
        <f>IF(ISBLANK(E8),"",IFERROR(VLOOKUP($E8,bug_conf_sheet!$A:$H,5,FALSE),VLOOKUP("other",bug_conf_sheet!$A:$H,5,FALSE)))</f>
        <v/>
      </c>
      <c r="P8" s="37" t="str">
        <f>IF(ISBLANK(E8),"",IFERROR(VLOOKUP($E8,bug_conf_sheet!$A:$H,6,FALSE),VLOOKUP("other",bug_conf_sheet!$A:$H,6,FALSE)))</f>
        <v/>
      </c>
      <c r="Q8" s="37" t="str">
        <f>IF(ISBLANK(E8),"",IFERROR(VLOOKUP($E8,bug_conf_sheet!$A:$H,7,FALSE),VLOOKUP("other",bug_conf_sheet!$A:$H,7,FALSE)))</f>
        <v/>
      </c>
      <c r="R8" s="37" t="str">
        <f>IF(ISBLANK(E8),"",IFERROR(VLOOKUP($E8,bug_conf_sheet!$A:$H,8,FALSE),VLOOKUP("other",bug_conf_sheet!$A:$H,8,FALSE)))</f>
        <v/>
      </c>
    </row>
    <row r="9" spans="1:18" ht="21" customHeight="1">
      <c r="B9" s="2"/>
      <c r="C9" s="8" t="str">
        <f t="shared" si="0"/>
        <v/>
      </c>
      <c r="E9" s="16"/>
      <c r="F9" s="8" t="str">
        <f>IFERROR(VLOOKUP(E9,[1]characters!$A:$C,3,FALSE),"")</f>
        <v/>
      </c>
      <c r="G9" s="8" t="str">
        <f>IFERROR(VLOOKUP(E9,[1]characters!$A:$J,10,FALSE),"")</f>
        <v/>
      </c>
      <c r="H9" s="8" t="str">
        <f>IFERROR(VLOOKUP(E9,[1]characters!$A:$I,9,FALSE),"")</f>
        <v/>
      </c>
      <c r="I9" s="8" t="str">
        <f>IFERROR(VLOOKUP(E9,[1]characters!$A:$H,8,FALSE),"")</f>
        <v/>
      </c>
      <c r="J9" s="8" t="str">
        <f>IFERROR(VLOOKUP(E9,[1]characters!$A:$K,11,FALSE),"")</f>
        <v/>
      </c>
      <c r="K9" s="8" t="str">
        <f>IFERROR(VLOOKUP(E9,[1]characters!$A:$M,13,FALSE),"")</f>
        <v/>
      </c>
      <c r="L9" s="35"/>
      <c r="M9" s="37" t="str">
        <f>IF(ISBLANK(E9),"",IFERROR(VLOOKUP($E9,bug_conf_sheet!$A:$H,3,FALSE),VLOOKUP("other",bug_conf_sheet!$A:$H,3,FALSE)))</f>
        <v/>
      </c>
      <c r="N9" s="37" t="str">
        <f>IF(ISBLANK(E9),"",IFERROR(VLOOKUP($E9,bug_conf_sheet!$A:$H,4,FALSE),VLOOKUP("other",bug_conf_sheet!$A:$H,4,FALSE)))</f>
        <v/>
      </c>
      <c r="O9" s="37" t="str">
        <f>IF(ISBLANK(E9),"",IFERROR(VLOOKUP($E9,bug_conf_sheet!$A:$H,5,FALSE),VLOOKUP("other",bug_conf_sheet!$A:$H,5,FALSE)))</f>
        <v/>
      </c>
      <c r="P9" s="37" t="str">
        <f>IF(ISBLANK(E9),"",IFERROR(VLOOKUP($E9,bug_conf_sheet!$A:$H,6,FALSE),VLOOKUP("other",bug_conf_sheet!$A:$H,6,FALSE)))</f>
        <v/>
      </c>
      <c r="Q9" s="37" t="str">
        <f>IF(ISBLANK(E9),"",IFERROR(VLOOKUP($E9,bug_conf_sheet!$A:$H,7,FALSE),VLOOKUP("other",bug_conf_sheet!$A:$H,7,FALSE)))</f>
        <v/>
      </c>
      <c r="R9" s="37" t="str">
        <f>IF(ISBLANK(E9),"",IFERROR(VLOOKUP($E9,bug_conf_sheet!$A:$H,8,FALSE),VLOOKUP("other",bug_conf_sheet!$A:$H,8,FALSE)))</f>
        <v/>
      </c>
    </row>
    <row r="10" spans="1:18" ht="21" customHeight="1">
      <c r="B10" s="2"/>
      <c r="C10" s="8"/>
      <c r="E10" s="5"/>
      <c r="F10" s="8"/>
      <c r="G10" s="8"/>
      <c r="H10" s="8"/>
      <c r="I10" s="8"/>
      <c r="J10" s="8"/>
      <c r="K10" s="8"/>
      <c r="L10" s="35"/>
      <c r="M10" s="37"/>
      <c r="N10" s="37"/>
      <c r="O10" s="37"/>
      <c r="P10" s="37"/>
      <c r="Q10" s="37"/>
      <c r="R10" s="37"/>
    </row>
    <row r="11" spans="1:18" ht="21" customHeight="1">
      <c r="B11" s="2"/>
      <c r="C11" s="8"/>
      <c r="E11" s="5"/>
      <c r="F11" s="8"/>
      <c r="G11" s="8"/>
      <c r="H11" s="8"/>
      <c r="I11" s="8"/>
      <c r="J11" s="8"/>
      <c r="K11" s="8"/>
      <c r="L11" s="35"/>
      <c r="M11" s="37"/>
      <c r="N11" s="37"/>
      <c r="O11" s="37"/>
      <c r="P11" s="37"/>
      <c r="Q11" s="37"/>
      <c r="R11" s="37"/>
    </row>
    <row r="12" spans="1:18" ht="21" customHeight="1">
      <c r="B12" s="2"/>
      <c r="C12" s="8"/>
      <c r="E12" s="5"/>
      <c r="F12" s="8"/>
      <c r="G12" s="8"/>
      <c r="H12" s="8"/>
      <c r="I12" s="8"/>
      <c r="J12" s="8"/>
      <c r="K12" s="8"/>
      <c r="L12" s="35"/>
      <c r="M12" s="37"/>
      <c r="N12" s="37"/>
      <c r="O12" s="37"/>
      <c r="P12" s="37"/>
      <c r="Q12" s="37"/>
      <c r="R12" s="37"/>
    </row>
    <row r="13" spans="1:18" ht="21" customHeight="1">
      <c r="B13" s="2"/>
      <c r="C13" s="8"/>
      <c r="E13" s="5"/>
      <c r="F13" s="8"/>
      <c r="G13" s="8"/>
      <c r="H13" s="8"/>
      <c r="I13" s="8"/>
      <c r="J13" s="8"/>
      <c r="K13" s="8"/>
      <c r="L13" s="35"/>
      <c r="M13" s="37"/>
      <c r="N13" s="37"/>
      <c r="O13" s="37"/>
      <c r="P13" s="37"/>
      <c r="Q13" s="37"/>
      <c r="R13" s="37"/>
    </row>
    <row r="14" spans="1:18" ht="21" customHeight="1">
      <c r="B14" s="2"/>
      <c r="C14" s="8"/>
      <c r="E14" s="5"/>
      <c r="F14" s="8"/>
      <c r="G14" s="8"/>
      <c r="H14" s="8"/>
      <c r="I14" s="8"/>
      <c r="J14" s="8"/>
      <c r="K14" s="8"/>
      <c r="L14" s="35"/>
      <c r="M14" s="37"/>
      <c r="N14" s="37"/>
      <c r="O14" s="37"/>
      <c r="P14" s="37"/>
      <c r="Q14" s="37"/>
      <c r="R14" s="37"/>
    </row>
    <row r="15" spans="1:18" ht="21" customHeight="1">
      <c r="B15" s="2"/>
      <c r="C15" s="8"/>
      <c r="E15" s="5"/>
      <c r="F15" s="8"/>
      <c r="G15" s="8"/>
      <c r="H15" s="8"/>
      <c r="I15" s="8"/>
      <c r="J15" s="8"/>
      <c r="K15" s="8"/>
      <c r="L15" s="35"/>
      <c r="M15" s="37"/>
      <c r="N15" s="37"/>
      <c r="O15" s="37"/>
      <c r="P15" s="37"/>
      <c r="Q15" s="37"/>
      <c r="R15" s="37"/>
    </row>
    <row r="16" spans="1:18" ht="21" customHeight="1">
      <c r="B16" s="2"/>
      <c r="C16" s="8"/>
      <c r="E16" s="5"/>
      <c r="F16" s="8"/>
      <c r="G16" s="8"/>
      <c r="H16" s="8"/>
      <c r="I16" s="8"/>
      <c r="J16" s="8"/>
      <c r="K16" s="8"/>
      <c r="L16" s="35"/>
      <c r="M16" s="37"/>
      <c r="N16" s="37"/>
      <c r="O16" s="37"/>
      <c r="P16" s="37"/>
      <c r="Q16" s="37"/>
      <c r="R16" s="37"/>
    </row>
    <row r="17" spans="2:18" ht="21" customHeight="1">
      <c r="B17" s="2"/>
      <c r="C17" s="8"/>
      <c r="E17" s="5"/>
      <c r="F17" s="8"/>
      <c r="G17" s="8"/>
      <c r="H17" s="8"/>
      <c r="I17" s="8"/>
      <c r="J17" s="8"/>
      <c r="K17" s="8"/>
      <c r="L17" s="35"/>
      <c r="M17" s="37"/>
      <c r="N17" s="37"/>
      <c r="O17" s="37"/>
      <c r="P17" s="37"/>
      <c r="Q17" s="37"/>
      <c r="R17" s="37"/>
    </row>
    <row r="18" spans="2:18" ht="21" customHeight="1">
      <c r="B18" s="2"/>
      <c r="C18" s="8"/>
      <c r="E18" s="5"/>
      <c r="F18" s="8"/>
      <c r="G18" s="8"/>
      <c r="H18" s="8"/>
      <c r="I18" s="8"/>
      <c r="J18" s="8"/>
      <c r="K18" s="8"/>
      <c r="L18" s="35"/>
      <c r="M18" s="37"/>
      <c r="N18" s="37"/>
      <c r="O18" s="37"/>
      <c r="P18" s="37"/>
      <c r="Q18" s="37"/>
      <c r="R18" s="37"/>
    </row>
    <row r="19" spans="2:18" ht="21" customHeight="1">
      <c r="B19" s="2"/>
      <c r="C19" s="8"/>
      <c r="E19" s="5"/>
      <c r="F19" s="8"/>
      <c r="G19" s="8"/>
      <c r="H19" s="8"/>
      <c r="I19" s="8"/>
      <c r="J19" s="8"/>
      <c r="K19" s="8"/>
      <c r="L19" s="35"/>
      <c r="M19" s="37"/>
      <c r="N19" s="37"/>
      <c r="O19" s="37"/>
      <c r="P19" s="37"/>
      <c r="Q19" s="37"/>
      <c r="R19" s="37"/>
    </row>
    <row r="20" spans="2:18" ht="21" customHeight="1">
      <c r="B20" s="2"/>
      <c r="C20" s="8"/>
      <c r="E20" s="5"/>
      <c r="F20" s="8"/>
      <c r="G20" s="8"/>
      <c r="H20" s="8"/>
      <c r="I20" s="8"/>
      <c r="J20" s="8"/>
      <c r="K20" s="8"/>
      <c r="L20" s="35"/>
      <c r="M20" s="37"/>
      <c r="N20" s="37"/>
      <c r="O20" s="37"/>
      <c r="P20" s="37"/>
      <c r="Q20" s="37"/>
      <c r="R20" s="37"/>
    </row>
    <row r="21" spans="2:18" ht="21" customHeight="1">
      <c r="B21" s="2"/>
      <c r="C21" s="8"/>
      <c r="E21" s="5"/>
      <c r="F21" s="8"/>
      <c r="G21" s="8"/>
      <c r="H21" s="8"/>
      <c r="I21" s="8"/>
      <c r="J21" s="8"/>
      <c r="K21" s="8"/>
      <c r="L21" s="35"/>
      <c r="M21" s="37"/>
      <c r="N21" s="37"/>
      <c r="O21" s="37"/>
      <c r="P21" s="37"/>
      <c r="Q21" s="37"/>
      <c r="R21" s="37"/>
    </row>
    <row r="22" spans="2:18" ht="21" customHeight="1">
      <c r="B22" s="2"/>
      <c r="C22" s="8"/>
      <c r="E22" s="5"/>
      <c r="F22" s="8"/>
      <c r="G22" s="8"/>
      <c r="H22" s="8"/>
      <c r="I22" s="8"/>
      <c r="J22" s="8"/>
      <c r="K22" s="8"/>
      <c r="L22" s="35"/>
      <c r="M22" s="37"/>
      <c r="N22" s="37"/>
      <c r="O22" s="37"/>
      <c r="P22" s="37"/>
      <c r="Q22" s="37"/>
      <c r="R22" s="37"/>
    </row>
    <row r="23" spans="2:18" ht="21" customHeight="1">
      <c r="B23" s="2"/>
      <c r="C23" s="8"/>
      <c r="E23" s="5"/>
      <c r="F23" s="8"/>
      <c r="G23" s="8"/>
      <c r="H23" s="8"/>
      <c r="I23" s="8"/>
      <c r="J23" s="8"/>
      <c r="K23" s="8"/>
      <c r="L23" s="35"/>
      <c r="M23" s="37"/>
      <c r="N23" s="37"/>
      <c r="O23" s="37"/>
      <c r="P23" s="37"/>
      <c r="Q23" s="37"/>
      <c r="R23" s="37"/>
    </row>
    <row r="24" spans="2:18" ht="21" customHeight="1">
      <c r="B24" s="2"/>
      <c r="C24" s="8"/>
      <c r="E24" s="5"/>
      <c r="F24" s="8"/>
      <c r="G24" s="8"/>
      <c r="H24" s="8"/>
      <c r="I24" s="8"/>
      <c r="J24" s="8"/>
      <c r="K24" s="8"/>
      <c r="L24" s="35"/>
      <c r="M24" s="37"/>
      <c r="N24" s="37"/>
      <c r="O24" s="37"/>
      <c r="P24" s="37"/>
      <c r="Q24" s="37"/>
      <c r="R24" s="37"/>
    </row>
    <row r="25" spans="2:18" ht="21" customHeight="1">
      <c r="B25" s="2"/>
      <c r="C25" s="8"/>
      <c r="E25" s="6"/>
      <c r="F25" s="8"/>
      <c r="G25" s="8"/>
      <c r="H25" s="8"/>
      <c r="I25" s="8"/>
      <c r="J25" s="8"/>
      <c r="K25" s="8"/>
      <c r="L25" s="35"/>
      <c r="M25" s="37"/>
      <c r="N25" s="37"/>
      <c r="O25" s="37"/>
      <c r="P25" s="37"/>
      <c r="Q25" s="37"/>
      <c r="R25" s="37"/>
    </row>
    <row r="26" spans="2:18" ht="21" customHeight="1">
      <c r="B26" s="2"/>
      <c r="C26" s="8"/>
      <c r="E26" s="6"/>
      <c r="F26" s="8"/>
      <c r="G26" s="8"/>
      <c r="H26" s="8"/>
      <c r="I26" s="8"/>
      <c r="J26" s="8"/>
      <c r="K26" s="8"/>
      <c r="L26" s="35"/>
      <c r="M26" s="37"/>
      <c r="N26" s="37"/>
      <c r="O26" s="37"/>
      <c r="P26" s="37"/>
      <c r="Q26" s="37"/>
      <c r="R26" s="37"/>
    </row>
    <row r="27" spans="2:18" ht="21" customHeight="1">
      <c r="B27" s="2"/>
      <c r="C27" s="8"/>
      <c r="E27" s="6"/>
      <c r="F27" s="8"/>
      <c r="G27" s="8"/>
      <c r="H27" s="8"/>
      <c r="I27" s="8"/>
      <c r="J27" s="8"/>
      <c r="K27" s="8"/>
      <c r="L27" s="35"/>
      <c r="M27" s="37"/>
      <c r="N27" s="37"/>
      <c r="O27" s="37"/>
      <c r="P27" s="37"/>
      <c r="Q27" s="37"/>
      <c r="R27" s="37"/>
    </row>
    <row r="28" spans="2:18" ht="21" customHeight="1">
      <c r="B28" s="2"/>
      <c r="C28" s="8"/>
      <c r="E28" s="6"/>
      <c r="F28" s="8"/>
      <c r="G28" s="8"/>
      <c r="H28" s="8"/>
      <c r="I28" s="8"/>
      <c r="J28" s="8"/>
      <c r="K28" s="8"/>
      <c r="L28" s="35"/>
      <c r="M28" s="37"/>
      <c r="N28" s="37"/>
      <c r="O28" s="37"/>
      <c r="P28" s="37"/>
      <c r="Q28" s="37"/>
      <c r="R28" s="37"/>
    </row>
    <row r="29" spans="2:18" ht="21" customHeight="1">
      <c r="B29" s="2"/>
      <c r="C29" s="8"/>
      <c r="E29" s="9"/>
      <c r="F29" s="8"/>
      <c r="G29" s="8"/>
      <c r="H29" s="8"/>
      <c r="I29" s="8"/>
      <c r="J29" s="8"/>
      <c r="K29" s="8"/>
      <c r="L29" s="35"/>
      <c r="M29" s="37"/>
      <c r="N29" s="37"/>
      <c r="O29" s="37"/>
      <c r="P29" s="37"/>
      <c r="Q29" s="37"/>
      <c r="R29" s="37"/>
    </row>
    <row r="30" spans="2:18" ht="21" customHeight="1">
      <c r="B30" s="2"/>
      <c r="C30" s="8"/>
      <c r="E30" s="6"/>
      <c r="F30" s="8"/>
      <c r="G30" s="8"/>
      <c r="H30" s="8"/>
      <c r="I30" s="8"/>
      <c r="J30" s="8"/>
      <c r="K30" s="8"/>
      <c r="L30" s="35"/>
      <c r="M30" s="37"/>
      <c r="N30" s="37"/>
      <c r="O30" s="37"/>
      <c r="P30" s="37"/>
      <c r="Q30" s="37"/>
      <c r="R30" s="37"/>
    </row>
    <row r="31" spans="2:18" ht="21" customHeight="1">
      <c r="B31" s="2"/>
      <c r="C31" s="8"/>
      <c r="E31" s="6"/>
      <c r="F31" s="8"/>
      <c r="G31" s="8"/>
      <c r="H31" s="8"/>
      <c r="I31" s="8"/>
      <c r="J31" s="8"/>
      <c r="K31" s="8"/>
      <c r="L31" s="35"/>
      <c r="M31" s="37"/>
      <c r="N31" s="37"/>
      <c r="O31" s="37"/>
      <c r="P31" s="37"/>
      <c r="Q31" s="37"/>
      <c r="R31" s="37"/>
    </row>
    <row r="32" spans="2:18" ht="21" customHeight="1">
      <c r="B32" s="2"/>
      <c r="C32" s="8"/>
      <c r="E32" s="6"/>
      <c r="F32" s="8"/>
      <c r="G32" s="8"/>
      <c r="H32" s="8"/>
      <c r="I32" s="8"/>
      <c r="J32" s="8"/>
      <c r="K32" s="8"/>
      <c r="L32" s="35"/>
      <c r="M32" s="37"/>
      <c r="N32" s="37"/>
      <c r="O32" s="37"/>
      <c r="P32" s="37"/>
      <c r="Q32" s="37"/>
      <c r="R32" s="37"/>
    </row>
    <row r="33" spans="2:18" ht="21" customHeight="1">
      <c r="B33" s="2"/>
      <c r="C33" s="8"/>
      <c r="E33" s="6"/>
      <c r="F33" s="8"/>
      <c r="G33" s="8"/>
      <c r="H33" s="8"/>
      <c r="I33" s="8"/>
      <c r="J33" s="8"/>
      <c r="K33" s="8"/>
      <c r="L33" s="35"/>
      <c r="M33" s="37"/>
      <c r="N33" s="37"/>
      <c r="O33" s="37"/>
      <c r="P33" s="37"/>
      <c r="Q33" s="37"/>
      <c r="R33" s="37"/>
    </row>
    <row r="34" spans="2:18" ht="21" customHeight="1">
      <c r="B34" s="2"/>
      <c r="C34" s="8"/>
      <c r="E34" s="6"/>
      <c r="F34" s="8"/>
      <c r="G34" s="8"/>
      <c r="H34" s="8"/>
      <c r="I34" s="8"/>
      <c r="J34" s="8"/>
      <c r="K34" s="8"/>
      <c r="L34" s="35"/>
      <c r="M34" s="37"/>
      <c r="N34" s="37"/>
      <c r="O34" s="37"/>
      <c r="P34" s="37"/>
      <c r="Q34" s="37"/>
      <c r="R34" s="37"/>
    </row>
    <row r="35" spans="2:18" ht="21" customHeight="1">
      <c r="B35" s="2"/>
      <c r="C35" s="8"/>
      <c r="E35" s="6"/>
      <c r="F35" s="8"/>
      <c r="G35" s="8"/>
      <c r="H35" s="8"/>
      <c r="I35" s="8"/>
      <c r="J35" s="8"/>
      <c r="K35" s="8"/>
      <c r="L35" s="35"/>
      <c r="M35" s="37"/>
      <c r="N35" s="37"/>
      <c r="O35" s="37"/>
      <c r="P35" s="37"/>
      <c r="Q35" s="37"/>
      <c r="R35" s="37"/>
    </row>
    <row r="36" spans="2:18" ht="21" customHeight="1">
      <c r="B36" s="2"/>
      <c r="C36" s="8"/>
      <c r="E36" s="6"/>
      <c r="F36" s="8"/>
      <c r="G36" s="8"/>
      <c r="H36" s="8"/>
      <c r="I36" s="8"/>
      <c r="J36" s="8"/>
      <c r="K36" s="8"/>
      <c r="L36" s="35"/>
      <c r="M36" s="37"/>
      <c r="N36" s="37"/>
      <c r="O36" s="37"/>
      <c r="P36" s="37"/>
      <c r="Q36" s="37"/>
      <c r="R36" s="37"/>
    </row>
    <row r="37" spans="2:18" ht="21" customHeight="1">
      <c r="B37" s="2"/>
      <c r="C37" s="8"/>
      <c r="E37" s="6"/>
      <c r="F37" s="8"/>
      <c r="G37" s="8"/>
      <c r="H37" s="8"/>
      <c r="I37" s="8"/>
      <c r="J37" s="8"/>
      <c r="K37" s="8"/>
      <c r="L37" s="35"/>
      <c r="M37" s="37"/>
      <c r="N37" s="37"/>
      <c r="O37" s="37"/>
      <c r="P37" s="37"/>
      <c r="Q37" s="37"/>
      <c r="R37" s="37"/>
    </row>
    <row r="38" spans="2:18" ht="21" customHeight="1">
      <c r="B38" s="2"/>
      <c r="C38" s="8"/>
      <c r="E38" s="6"/>
      <c r="F38" s="8"/>
      <c r="G38" s="8"/>
      <c r="H38" s="8"/>
      <c r="I38" s="8"/>
      <c r="J38" s="8"/>
      <c r="K38" s="8"/>
      <c r="L38" s="35"/>
      <c r="M38" s="37"/>
      <c r="N38" s="37"/>
      <c r="O38" s="37"/>
      <c r="P38" s="37"/>
      <c r="Q38" s="37"/>
      <c r="R38" s="37"/>
    </row>
    <row r="39" spans="2:18" ht="21" customHeight="1">
      <c r="B39" s="2"/>
      <c r="C39" s="8"/>
      <c r="E39" s="6"/>
      <c r="F39" s="8"/>
      <c r="G39" s="8"/>
      <c r="H39" s="8"/>
      <c r="I39" s="8"/>
      <c r="J39" s="8"/>
      <c r="K39" s="8"/>
      <c r="L39" s="35"/>
      <c r="M39" s="37"/>
      <c r="N39" s="37"/>
      <c r="O39" s="37"/>
      <c r="P39" s="37"/>
      <c r="Q39" s="37"/>
      <c r="R39" s="37"/>
    </row>
    <row r="40" spans="2:18" ht="21" customHeight="1">
      <c r="B40" s="2"/>
      <c r="C40" s="8"/>
      <c r="E40" s="6"/>
      <c r="F40" s="8"/>
      <c r="G40" s="8"/>
      <c r="H40" s="8"/>
      <c r="I40" s="8"/>
      <c r="J40" s="8"/>
      <c r="K40" s="8"/>
      <c r="L40" s="35"/>
      <c r="M40" s="37"/>
      <c r="N40" s="37"/>
      <c r="O40" s="37"/>
      <c r="P40" s="37"/>
      <c r="Q40" s="37"/>
      <c r="R40" s="37"/>
    </row>
    <row r="41" spans="2:18" ht="21" customHeight="1">
      <c r="B41" s="2"/>
      <c r="C41" s="8"/>
      <c r="E41" s="6"/>
      <c r="F41" s="8"/>
      <c r="G41" s="8"/>
      <c r="H41" s="8"/>
      <c r="I41" s="8"/>
      <c r="J41" s="8"/>
      <c r="K41" s="8"/>
      <c r="L41" s="35"/>
      <c r="M41" s="37"/>
      <c r="N41" s="37"/>
      <c r="O41" s="37"/>
      <c r="P41" s="37"/>
      <c r="Q41" s="37"/>
      <c r="R41" s="37"/>
    </row>
    <row r="42" spans="2:18" ht="21" customHeight="1">
      <c r="B42" s="2"/>
      <c r="C42" s="8"/>
      <c r="E42" s="6"/>
      <c r="F42" s="8"/>
      <c r="G42" s="8"/>
      <c r="H42" s="8"/>
      <c r="I42" s="8"/>
      <c r="J42" s="8"/>
      <c r="K42" s="8"/>
      <c r="L42" s="35"/>
      <c r="M42" s="37"/>
      <c r="N42" s="37"/>
      <c r="O42" s="37"/>
      <c r="P42" s="37"/>
      <c r="Q42" s="37"/>
      <c r="R42" s="37"/>
    </row>
    <row r="43" spans="2:18" ht="21" customHeight="1">
      <c r="B43" s="2"/>
      <c r="C43" s="8"/>
      <c r="E43" s="6"/>
      <c r="F43" s="8"/>
      <c r="G43" s="8"/>
      <c r="H43" s="8"/>
      <c r="I43" s="8"/>
      <c r="J43" s="8"/>
      <c r="K43" s="8"/>
      <c r="L43" s="35"/>
      <c r="M43" s="37"/>
      <c r="N43" s="37"/>
      <c r="O43" s="37"/>
      <c r="P43" s="37"/>
      <c r="Q43" s="37"/>
      <c r="R43" s="37"/>
    </row>
    <row r="44" spans="2:18" ht="21" customHeight="1">
      <c r="B44" s="2"/>
      <c r="C44" s="8"/>
      <c r="E44" s="6"/>
      <c r="F44" s="8"/>
      <c r="G44" s="8"/>
      <c r="H44" s="8"/>
      <c r="I44" s="8"/>
      <c r="J44" s="8"/>
      <c r="K44" s="8"/>
      <c r="L44" s="35"/>
      <c r="M44" s="37"/>
      <c r="N44" s="37"/>
      <c r="O44" s="37"/>
      <c r="P44" s="37"/>
      <c r="Q44" s="37"/>
      <c r="R44" s="37"/>
    </row>
    <row r="45" spans="2:18" ht="21" customHeight="1">
      <c r="B45" s="2"/>
      <c r="C45" s="8"/>
      <c r="E45" s="6"/>
      <c r="F45" s="8"/>
      <c r="G45" s="8"/>
      <c r="H45" s="8"/>
      <c r="I45" s="8"/>
      <c r="J45" s="8"/>
      <c r="K45" s="8"/>
      <c r="L45" s="35"/>
      <c r="M45" s="37"/>
      <c r="N45" s="37"/>
      <c r="O45" s="37"/>
      <c r="P45" s="37"/>
      <c r="Q45" s="37"/>
      <c r="R45" s="37"/>
    </row>
    <row r="46" spans="2:18" ht="21" customHeight="1">
      <c r="B46" s="2"/>
      <c r="C46" s="8"/>
      <c r="E46" s="6"/>
      <c r="F46" s="8"/>
      <c r="G46" s="8"/>
      <c r="H46" s="8"/>
      <c r="I46" s="8"/>
      <c r="J46" s="8"/>
      <c r="K46" s="8"/>
      <c r="L46" s="35"/>
      <c r="M46" s="37"/>
      <c r="N46" s="37"/>
      <c r="O46" s="37"/>
      <c r="P46" s="37"/>
      <c r="Q46" s="37"/>
      <c r="R46" s="37"/>
    </row>
    <row r="47" spans="2:18" ht="21" customHeight="1">
      <c r="B47" s="2"/>
      <c r="C47" s="8"/>
      <c r="E47" s="6"/>
      <c r="F47" s="8"/>
      <c r="G47" s="8"/>
      <c r="H47" s="8"/>
      <c r="I47" s="8"/>
      <c r="J47" s="8"/>
      <c r="K47" s="8"/>
      <c r="L47" s="35"/>
      <c r="M47" s="37"/>
      <c r="N47" s="37"/>
      <c r="O47" s="37"/>
      <c r="P47" s="37"/>
      <c r="Q47" s="37"/>
      <c r="R47" s="37"/>
    </row>
    <row r="48" spans="2:18" ht="21" customHeight="1">
      <c r="B48" s="2"/>
      <c r="C48" s="8"/>
      <c r="E48" s="6"/>
      <c r="F48" s="8"/>
      <c r="G48" s="8"/>
      <c r="H48" s="8"/>
      <c r="I48" s="8"/>
      <c r="J48" s="8"/>
      <c r="K48" s="8"/>
      <c r="L48" s="35"/>
      <c r="M48" s="37"/>
      <c r="N48" s="37"/>
      <c r="O48" s="37"/>
      <c r="P48" s="37"/>
      <c r="Q48" s="37"/>
      <c r="R48" s="37"/>
    </row>
    <row r="49" spans="2:18" ht="21" customHeight="1">
      <c r="B49" s="2"/>
      <c r="C49" s="8"/>
      <c r="E49" s="6"/>
      <c r="F49" s="8"/>
      <c r="G49" s="8"/>
      <c r="H49" s="8"/>
      <c r="I49" s="8"/>
      <c r="J49" s="8"/>
      <c r="K49" s="8"/>
      <c r="L49" s="35"/>
      <c r="M49" s="37"/>
      <c r="N49" s="37"/>
      <c r="O49" s="37"/>
      <c r="P49" s="37"/>
      <c r="Q49" s="37"/>
      <c r="R49" s="37"/>
    </row>
    <row r="50" spans="2:18" ht="21" customHeight="1">
      <c r="B50" s="2"/>
      <c r="C50" s="8"/>
      <c r="E50" s="9"/>
      <c r="F50" s="8"/>
      <c r="G50" s="8"/>
      <c r="H50" s="8"/>
      <c r="I50" s="8"/>
      <c r="J50" s="8"/>
      <c r="K50" s="8"/>
      <c r="L50" s="35"/>
      <c r="M50" s="37"/>
      <c r="N50" s="37"/>
      <c r="O50" s="37"/>
      <c r="P50" s="37"/>
      <c r="Q50" s="37"/>
      <c r="R50" s="37"/>
    </row>
    <row r="51" spans="2:18" ht="21" customHeight="1">
      <c r="B51" s="2"/>
      <c r="C51" s="8"/>
      <c r="E51" s="6"/>
      <c r="F51" s="8"/>
      <c r="G51" s="8"/>
      <c r="H51" s="8"/>
      <c r="I51" s="8"/>
      <c r="J51" s="8"/>
      <c r="K51" s="8"/>
      <c r="L51" s="35"/>
      <c r="M51" s="37"/>
      <c r="N51" s="37"/>
      <c r="O51" s="37"/>
      <c r="P51" s="37"/>
      <c r="Q51" s="37"/>
      <c r="R51" s="37"/>
    </row>
    <row r="52" spans="2:18" ht="21" customHeight="1">
      <c r="B52" s="2"/>
      <c r="C52" s="8"/>
      <c r="E52" s="6"/>
      <c r="F52" s="8"/>
      <c r="G52" s="8"/>
      <c r="H52" s="8"/>
      <c r="I52" s="8"/>
      <c r="J52" s="8"/>
      <c r="K52" s="8"/>
      <c r="L52" s="35"/>
      <c r="M52" s="37"/>
      <c r="N52" s="37"/>
      <c r="O52" s="37"/>
      <c r="P52" s="37"/>
      <c r="Q52" s="37"/>
      <c r="R52" s="37"/>
    </row>
    <row r="53" spans="2:18" ht="21" customHeight="1">
      <c r="B53" s="2"/>
      <c r="C53" s="8"/>
      <c r="E53" s="6"/>
      <c r="F53" s="8"/>
      <c r="G53" s="8"/>
      <c r="H53" s="8"/>
      <c r="I53" s="8"/>
      <c r="J53" s="8"/>
      <c r="K53" s="8"/>
      <c r="L53" s="35"/>
      <c r="M53" s="37"/>
      <c r="N53" s="37"/>
      <c r="O53" s="37"/>
      <c r="P53" s="37"/>
      <c r="Q53" s="37"/>
      <c r="R53" s="37"/>
    </row>
    <row r="54" spans="2:18" ht="21" customHeight="1">
      <c r="B54" s="2"/>
      <c r="C54" s="8"/>
      <c r="E54" s="6"/>
      <c r="F54" s="8"/>
      <c r="G54" s="8"/>
      <c r="H54" s="8"/>
      <c r="I54" s="8"/>
      <c r="J54" s="8"/>
      <c r="K54" s="8"/>
      <c r="L54" s="35"/>
      <c r="M54" s="37"/>
      <c r="N54" s="37"/>
      <c r="O54" s="37"/>
      <c r="P54" s="37"/>
      <c r="Q54" s="37"/>
      <c r="R54" s="37"/>
    </row>
    <row r="55" spans="2:18" ht="21" customHeight="1">
      <c r="B55" s="2"/>
      <c r="C55" s="8"/>
      <c r="E55" s="6"/>
      <c r="F55" s="8"/>
      <c r="G55" s="8"/>
      <c r="H55" s="8"/>
      <c r="I55" s="8"/>
      <c r="J55" s="8"/>
      <c r="K55" s="8"/>
      <c r="L55" s="35"/>
      <c r="M55" s="37"/>
      <c r="N55" s="37"/>
      <c r="O55" s="37"/>
      <c r="P55" s="37"/>
      <c r="Q55" s="37"/>
      <c r="R55" s="37"/>
    </row>
    <row r="56" spans="2:18" ht="21" customHeight="1">
      <c r="B56" s="2"/>
      <c r="C56" s="8"/>
      <c r="E56" s="6"/>
      <c r="F56" s="8"/>
      <c r="G56" s="8"/>
      <c r="H56" s="8"/>
      <c r="I56" s="8"/>
      <c r="J56" s="8"/>
      <c r="K56" s="8"/>
      <c r="L56" s="35"/>
      <c r="M56" s="37"/>
      <c r="N56" s="37"/>
      <c r="O56" s="37"/>
      <c r="P56" s="37"/>
      <c r="Q56" s="37"/>
      <c r="R56" s="37"/>
    </row>
    <row r="57" spans="2:18" ht="21" customHeight="1">
      <c r="B57" s="2"/>
      <c r="C57" s="8"/>
      <c r="E57" s="6"/>
      <c r="F57" s="8"/>
      <c r="G57" s="8"/>
      <c r="H57" s="8"/>
      <c r="I57" s="8"/>
      <c r="J57" s="8"/>
      <c r="K57" s="8"/>
      <c r="L57" s="35"/>
      <c r="M57" s="37"/>
      <c r="N57" s="37"/>
      <c r="O57" s="37"/>
      <c r="P57" s="37"/>
      <c r="Q57" s="37"/>
      <c r="R57" s="37"/>
    </row>
  </sheetData>
  <autoFilter ref="A1:R58"/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7"/>
  <sheetViews>
    <sheetView showGridLines="0" tabSelected="1" workbookViewId="0">
      <pane ySplit="1" topLeftCell="A2" activePane="bottomLeft" state="frozen"/>
      <selection activeCell="M24" sqref="M24"/>
      <selection pane="bottomLeft" activeCell="K7" sqref="K7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28.6640625" style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  <row r="2" spans="1:11" ht="21" customHeight="1">
      <c r="B2" s="1">
        <v>1941</v>
      </c>
      <c r="C2" s="1">
        <v>19411</v>
      </c>
      <c r="D2" s="1" t="s">
        <v>212</v>
      </c>
      <c r="E2" s="1">
        <v>121</v>
      </c>
      <c r="F2" s="1">
        <v>2</v>
      </c>
      <c r="G2" s="1">
        <v>1</v>
      </c>
      <c r="H2" s="1" t="s">
        <v>213</v>
      </c>
      <c r="I2" s="1" t="s">
        <v>215</v>
      </c>
      <c r="J2" s="1" t="s">
        <v>226</v>
      </c>
      <c r="K2" s="153" t="s">
        <v>227</v>
      </c>
    </row>
    <row r="3" spans="1:11" ht="21" customHeight="1">
      <c r="B3" s="1">
        <v>1941</v>
      </c>
      <c r="C3" s="1">
        <v>19412</v>
      </c>
      <c r="D3" s="1" t="s">
        <v>212</v>
      </c>
      <c r="E3" s="1">
        <v>122</v>
      </c>
      <c r="F3" s="1">
        <v>2</v>
      </c>
      <c r="G3" s="1">
        <v>1</v>
      </c>
      <c r="H3" s="1" t="s">
        <v>214</v>
      </c>
      <c r="I3" s="1" t="s">
        <v>216</v>
      </c>
      <c r="J3" s="1" t="s">
        <v>226</v>
      </c>
      <c r="K3" s="153" t="s">
        <v>228</v>
      </c>
    </row>
    <row r="4" spans="1:11" ht="21" customHeight="1">
      <c r="B4" s="1">
        <v>1941</v>
      </c>
      <c r="C4" s="1">
        <v>19413</v>
      </c>
      <c r="D4" s="1" t="s">
        <v>212</v>
      </c>
      <c r="E4" s="1">
        <v>123</v>
      </c>
      <c r="F4" s="1">
        <v>2</v>
      </c>
      <c r="G4" s="1">
        <v>1</v>
      </c>
      <c r="H4" s="1" t="s">
        <v>214</v>
      </c>
      <c r="I4" s="1" t="s">
        <v>217</v>
      </c>
      <c r="J4" s="1" t="s">
        <v>226</v>
      </c>
      <c r="K4" s="153" t="s">
        <v>229</v>
      </c>
    </row>
    <row r="5" spans="1:11" ht="21" customHeight="1">
      <c r="B5" s="1">
        <v>1940</v>
      </c>
      <c r="C5" s="1">
        <v>19401</v>
      </c>
      <c r="D5" s="1" t="s">
        <v>212</v>
      </c>
      <c r="E5" s="1">
        <v>121</v>
      </c>
      <c r="F5" s="1">
        <v>20</v>
      </c>
      <c r="G5" s="1">
        <v>1</v>
      </c>
      <c r="H5" s="1" t="s">
        <v>214</v>
      </c>
      <c r="I5" s="1" t="s">
        <v>218</v>
      </c>
      <c r="J5" s="1" t="s">
        <v>230</v>
      </c>
      <c r="K5" s="153" t="s">
        <v>231</v>
      </c>
    </row>
    <row r="6" spans="1:11" ht="21" customHeight="1">
      <c r="B6" s="1">
        <v>1940</v>
      </c>
      <c r="C6" s="1">
        <v>19402</v>
      </c>
      <c r="D6" s="1" t="s">
        <v>212</v>
      </c>
      <c r="E6" s="1">
        <v>122</v>
      </c>
      <c r="F6" s="1">
        <v>20</v>
      </c>
      <c r="G6" s="1">
        <v>1</v>
      </c>
      <c r="H6" s="1" t="s">
        <v>214</v>
      </c>
      <c r="I6" s="1" t="s">
        <v>219</v>
      </c>
      <c r="J6" s="1" t="s">
        <v>230</v>
      </c>
      <c r="K6" s="153" t="s">
        <v>232</v>
      </c>
    </row>
    <row r="7" spans="1:11" ht="21" customHeight="1">
      <c r="B7" s="1">
        <v>1940</v>
      </c>
      <c r="C7" s="1">
        <v>19403</v>
      </c>
      <c r="D7" s="1" t="s">
        <v>212</v>
      </c>
      <c r="E7" s="1">
        <v>123</v>
      </c>
      <c r="F7" s="1">
        <v>20</v>
      </c>
      <c r="G7" s="1">
        <v>1</v>
      </c>
      <c r="H7" s="1" t="s">
        <v>214</v>
      </c>
      <c r="I7" s="1" t="s">
        <v>220</v>
      </c>
      <c r="J7" s="1" t="s">
        <v>230</v>
      </c>
      <c r="K7" s="153" t="s">
        <v>233</v>
      </c>
    </row>
  </sheetData>
  <autoFilter ref="B1:G1"/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2"/>
  <sheetViews>
    <sheetView workbookViewId="0">
      <pane ySplit="1" topLeftCell="A2" activePane="bottomLeft" state="frozen"/>
      <selection pane="bottomLeft" activeCell="B25" sqref="B25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7" t="s">
        <v>73</v>
      </c>
      <c r="C1" s="38" t="s">
        <v>76</v>
      </c>
      <c r="D1" s="39" t="s">
        <v>13</v>
      </c>
      <c r="E1" s="39" t="s">
        <v>14</v>
      </c>
      <c r="F1" s="39" t="s">
        <v>15</v>
      </c>
      <c r="G1" s="39" t="s">
        <v>16</v>
      </c>
      <c r="H1" s="39" t="s">
        <v>17</v>
      </c>
    </row>
    <row r="2" spans="1:8">
      <c r="A2" s="16"/>
      <c r="B2" s="8" t="str">
        <f>IFERROR(VLOOKUP(A2,[1]characters!$A:$C,3,FALSE),"")</f>
        <v/>
      </c>
      <c r="C2" s="5"/>
      <c r="D2" s="5"/>
      <c r="E2" s="5"/>
      <c r="F2" s="5"/>
      <c r="G2" s="5"/>
      <c r="H2" s="16"/>
    </row>
    <row r="3" spans="1:8">
      <c r="A3" s="16"/>
      <c r="B3" s="8" t="str">
        <f>IFERROR(VLOOKUP(A3,[1]characters!$A:$C,3,FALSE),"")</f>
        <v/>
      </c>
      <c r="C3" s="5"/>
      <c r="D3" s="5"/>
      <c r="E3" s="5"/>
      <c r="F3" s="5"/>
      <c r="G3" s="5"/>
      <c r="H3" s="16"/>
    </row>
    <row r="4" spans="1:8">
      <c r="A4" s="16"/>
      <c r="B4" s="8" t="str">
        <f>IFERROR(VLOOKUP(A4,[1]characters!$A:$C,3,FALSE),"")</f>
        <v/>
      </c>
      <c r="C4" s="5"/>
      <c r="D4" s="5"/>
      <c r="E4" s="5"/>
      <c r="F4" s="5"/>
      <c r="G4" s="5"/>
      <c r="H4" s="16"/>
    </row>
    <row r="5" spans="1:8">
      <c r="A5" s="16"/>
      <c r="B5" s="8" t="str">
        <f>IFERROR(VLOOKUP(A5,[1]characters!$A:$C,3,FALSE),"")</f>
        <v/>
      </c>
      <c r="C5" s="5"/>
      <c r="D5" s="5"/>
      <c r="E5" s="5"/>
      <c r="F5" s="5"/>
      <c r="G5" s="5"/>
      <c r="H5" s="16"/>
    </row>
    <row r="6" spans="1:8">
      <c r="A6" s="16"/>
      <c r="B6" s="8" t="str">
        <f>IFERROR(VLOOKUP(A6,[1]characters!$A:$C,3,FALSE),"")</f>
        <v/>
      </c>
      <c r="C6" s="5"/>
      <c r="D6" s="5"/>
      <c r="E6" s="5"/>
      <c r="F6" s="5"/>
      <c r="G6" s="5"/>
      <c r="H6" s="16"/>
    </row>
    <row r="7" spans="1:8">
      <c r="A7" s="16"/>
      <c r="B7" s="8" t="str">
        <f>IFERROR(VLOOKUP(A7,[1]characters!$A:$C,3,FALSE),"")</f>
        <v/>
      </c>
      <c r="C7" s="5"/>
      <c r="D7" s="5"/>
      <c r="E7" s="5"/>
      <c r="F7" s="5"/>
      <c r="G7" s="5"/>
      <c r="H7" s="16"/>
    </row>
    <row r="8" spans="1:8">
      <c r="A8" s="16"/>
      <c r="B8" s="8" t="str">
        <f>IFERROR(VLOOKUP(A8,[1]characters!$A:$C,3,FALSE),"")</f>
        <v/>
      </c>
      <c r="C8" s="5"/>
      <c r="D8" s="5"/>
      <c r="E8" s="5"/>
      <c r="F8" s="5"/>
      <c r="G8" s="5"/>
      <c r="H8" s="16"/>
    </row>
    <row r="9" spans="1:8">
      <c r="A9" s="16"/>
      <c r="B9" s="8" t="str">
        <f>IFERROR(VLOOKUP(A9,[1]characters!$A:$C,3,FALSE),"")</f>
        <v/>
      </c>
      <c r="C9" s="5"/>
      <c r="D9" s="5"/>
      <c r="E9" s="5"/>
      <c r="F9" s="5"/>
      <c r="G9" s="5"/>
      <c r="H9" s="16"/>
    </row>
    <row r="10" spans="1:8">
      <c r="A10" s="16"/>
      <c r="B10" s="8" t="str">
        <f>IFERROR(VLOOKUP(A10,[1]characters!$A:$C,3,FALSE),"")</f>
        <v/>
      </c>
      <c r="C10" s="5"/>
      <c r="D10" s="5"/>
      <c r="E10" s="5"/>
      <c r="F10" s="5"/>
      <c r="G10" s="5"/>
      <c r="H10" s="16"/>
    </row>
    <row r="11" spans="1:8">
      <c r="A11" s="16"/>
      <c r="B11" s="8" t="str">
        <f>IFERROR(VLOOKUP(A11,[1]characters!$A:$C,3,FALSE),"")</f>
        <v/>
      </c>
      <c r="C11" s="5"/>
      <c r="D11" s="5"/>
      <c r="E11" s="5"/>
      <c r="F11" s="5"/>
      <c r="G11" s="5"/>
      <c r="H11" s="16"/>
    </row>
    <row r="12" spans="1:8">
      <c r="A12" s="16" t="s">
        <v>81</v>
      </c>
      <c r="B12" s="8" t="str">
        <f>IFERROR(VLOOKUP(A12,[1]characters!$A:$C,3,FALSE),"")</f>
        <v/>
      </c>
      <c r="C12" s="5">
        <v>1</v>
      </c>
      <c r="D12" s="5">
        <v>0</v>
      </c>
      <c r="E12" s="5">
        <v>0</v>
      </c>
      <c r="F12" s="5">
        <v>0</v>
      </c>
      <c r="G12" s="5">
        <v>0</v>
      </c>
      <c r="H12" s="16">
        <v>1</v>
      </c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7"/>
  <sheetViews>
    <sheetView workbookViewId="0">
      <selection activeCell="A7" sqref="A7"/>
    </sheetView>
  </sheetViews>
  <sheetFormatPr baseColWidth="12" defaultRowHeight="14" x14ac:dyDescent="0"/>
  <cols>
    <col min="1" max="3" width="12.83203125" customWidth="1"/>
  </cols>
  <sheetData>
    <row r="2" spans="1:8">
      <c r="A2" t="s">
        <v>80</v>
      </c>
    </row>
    <row r="3" spans="1:8">
      <c r="A3" s="40">
        <v>194</v>
      </c>
    </row>
    <row r="5" spans="1:8">
      <c r="A5" s="41" t="s">
        <v>75</v>
      </c>
      <c r="B5" s="42" t="str">
        <f>$A$3 &amp; "1"</f>
        <v>1941</v>
      </c>
      <c r="D5" s="41" t="s">
        <v>78</v>
      </c>
      <c r="E5" s="42" t="str">
        <f>$A$3 &amp; "0"</f>
        <v>1940</v>
      </c>
      <c r="G5" s="41" t="s">
        <v>79</v>
      </c>
      <c r="H5" s="42" t="str">
        <f>$A$3 &amp; "3"</f>
        <v>1943</v>
      </c>
    </row>
    <row r="6" spans="1:8">
      <c r="A6" s="43" t="s">
        <v>77</v>
      </c>
      <c r="B6" s="44"/>
      <c r="D6" s="43" t="s">
        <v>77</v>
      </c>
      <c r="E6" s="44"/>
      <c r="G6" s="43" t="s">
        <v>77</v>
      </c>
      <c r="H6" s="44"/>
    </row>
    <row r="7" spans="1:8">
      <c r="A7" s="46">
        <f>COUNTIFS(gacha_select_tables!$H:$H,"PremiumSSS",gacha_select_tables!$B:$B,B5)</f>
        <v>0</v>
      </c>
      <c r="B7" s="44"/>
      <c r="D7" s="46">
        <f>COUNTIFS(gacha_select_tables!$H:$H,"PremiumSSS",gacha_select_tables!$B:$B,E5)</f>
        <v>0</v>
      </c>
      <c r="E7" s="44"/>
      <c r="G7" s="46">
        <f>COUNTIF(gacha_settle_tables!G:G,"PremiumSSS")</f>
        <v>0</v>
      </c>
      <c r="H7" s="44"/>
    </row>
    <row r="8" spans="1:8">
      <c r="A8" s="43"/>
      <c r="B8" s="44"/>
      <c r="D8" s="43"/>
      <c r="E8" s="44"/>
      <c r="G8" s="43"/>
      <c r="H8" s="44"/>
    </row>
    <row r="9" spans="1:8">
      <c r="A9" s="43" t="s">
        <v>74</v>
      </c>
      <c r="B9" s="44"/>
      <c r="D9" s="43" t="s">
        <v>74</v>
      </c>
      <c r="E9" s="44"/>
      <c r="G9" s="43" t="s">
        <v>74</v>
      </c>
      <c r="H9" s="44"/>
    </row>
    <row r="10" spans="1:8">
      <c r="A10" s="46">
        <f>COUNTIFS(gacha_select_tables!$S:$S,"&gt;1",gacha_select_tables!$B:$B,B5)</f>
        <v>0</v>
      </c>
      <c r="B10" s="44"/>
      <c r="D10" s="46">
        <f>COUNTIFS(gacha_select_tables!$S:$S,"&gt;1", gacha_select_tables!$B:$B,E5)</f>
        <v>0</v>
      </c>
      <c r="E10" s="44"/>
      <c r="G10" s="46">
        <f>COUNTIF(gacha_settle_tables!$R:$R,"&gt;1")</f>
        <v>0</v>
      </c>
      <c r="H10" s="44"/>
    </row>
    <row r="11" spans="1:8">
      <c r="A11" s="43"/>
      <c r="B11" s="44"/>
      <c r="D11" s="43"/>
      <c r="E11" s="44"/>
      <c r="G11" s="43"/>
      <c r="H11" s="44"/>
    </row>
    <row r="12" spans="1:8">
      <c r="A12" s="43" t="s">
        <v>211</v>
      </c>
      <c r="B12" s="44"/>
      <c r="D12" s="43" t="s">
        <v>211</v>
      </c>
      <c r="E12" s="44"/>
      <c r="G12" s="43" t="s">
        <v>211</v>
      </c>
      <c r="H12" s="44"/>
    </row>
    <row r="13" spans="1:8">
      <c r="A13" s="46">
        <f>COUNTIFS(gacha_select_tables!$N:$N,"&gt;1",gacha_select_tables!$B:$B,B5)</f>
        <v>0</v>
      </c>
      <c r="B13" s="44"/>
      <c r="D13" s="46">
        <f>COUNTIFS(gacha_select_tables!$N:$N,"&gt;1", gacha_select_tables!$B:$B,E5)</f>
        <v>0</v>
      </c>
      <c r="E13" s="44"/>
      <c r="G13" s="46">
        <f>COUNTIF(gacha_settle_tables!$M:$M,"&gt;1")</f>
        <v>0</v>
      </c>
      <c r="H13" s="44"/>
    </row>
    <row r="14" spans="1:8">
      <c r="A14" s="43"/>
      <c r="B14" s="44"/>
      <c r="D14" s="43"/>
      <c r="E14" s="44"/>
      <c r="G14" s="43"/>
      <c r="H14" s="44"/>
    </row>
    <row r="15" spans="1:8">
      <c r="A15" s="43" t="s">
        <v>198</v>
      </c>
      <c r="B15" s="44"/>
      <c r="D15" s="43" t="s">
        <v>198</v>
      </c>
      <c r="E15" s="44"/>
      <c r="G15" s="43" t="s">
        <v>198</v>
      </c>
      <c r="H15" s="44"/>
    </row>
    <row r="16" spans="1:8">
      <c r="A16" s="46">
        <f>COUNTIF(gacha_select_tables!$B:$B,B5)</f>
        <v>234</v>
      </c>
      <c r="B16" s="44"/>
      <c r="D16" s="46">
        <f>COUNTIF(gacha_select_tables!$B:$B,E5)</f>
        <v>164</v>
      </c>
      <c r="E16" s="44"/>
      <c r="G16" s="46">
        <f>COUNTIF(gacha_settle_tables!$B:$B,H5)</f>
        <v>0</v>
      </c>
      <c r="H16" s="44"/>
    </row>
    <row r="17" spans="1:8">
      <c r="A17" s="141"/>
      <c r="B17" s="45"/>
      <c r="D17" s="141"/>
      <c r="E17" s="45"/>
      <c r="G17" s="141"/>
      <c r="H17" s="45"/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output</vt:lpstr>
      <vt:lpstr>gacha_conf</vt:lpstr>
      <vt:lpstr>レアガチャ出現率(新ユニット追加）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加藤 雅大</cp:lastModifiedBy>
  <dcterms:created xsi:type="dcterms:W3CDTF">2015-04-01T12:34:09Z</dcterms:created>
  <dcterms:modified xsi:type="dcterms:W3CDTF">2016-02-22T08:44:35Z</dcterms:modified>
</cp:coreProperties>
</file>