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imotokeita/BULL_data/master_excel/"/>
    </mc:Choice>
  </mc:AlternateContent>
  <bookViews>
    <workbookView xWindow="-5360" yWindow="-21140" windowWidth="38400" windowHeight="21140" tabRatio="943" activeTab="6"/>
  </bookViews>
  <sheets>
    <sheet name="確率の考え方" sheetId="110" r:id="rId1"/>
    <sheet name="Sheet1" sheetId="107" r:id="rId2"/>
    <sheet name="output" sheetId="103" r:id="rId3"/>
    <sheet name="tables_7121101" sheetId="132" r:id="rId4"/>
    <sheet name="tables_7121102" sheetId="133" r:id="rId5"/>
    <sheet name="tables_7121103" sheetId="134" r:id="rId6"/>
    <sheet name="tables_7121104" sheetId="135" r:id="rId7"/>
    <sheet name="R6追加前" sheetId="111" r:id="rId8"/>
    <sheet name="R6開放" sheetId="112" r:id="rId9"/>
  </sheets>
  <externalReferences>
    <externalReference r:id="rId10"/>
  </externalReferences>
  <definedNames>
    <definedName name="_xlnm._FilterDatabase" localSheetId="3" hidden="1">tables_7121101!$A$1:$V$134</definedName>
    <definedName name="_xlnm._FilterDatabase" localSheetId="4" hidden="1">tables_7121102!$A$1:$V$134</definedName>
    <definedName name="_xlnm._FilterDatabase" localSheetId="5" hidden="1">tables_7121103!$A$1:$V$133</definedName>
    <definedName name="_xlnm._FilterDatabase" localSheetId="6" hidden="1">tables_7121104!$A$1:$V$133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6" i="103" l="1"/>
  <c r="E6" i="103"/>
  <c r="C5" i="103"/>
  <c r="E5" i="103"/>
  <c r="C4" i="103"/>
  <c r="E4" i="103"/>
  <c r="I5" i="135"/>
  <c r="D5" i="135"/>
  <c r="I3" i="135"/>
  <c r="D3" i="135"/>
  <c r="I4" i="135"/>
  <c r="D4" i="135"/>
  <c r="P5" i="135"/>
  <c r="N5" i="135"/>
  <c r="M5" i="135"/>
  <c r="L5" i="135"/>
  <c r="K5" i="135"/>
  <c r="J5" i="135"/>
  <c r="H5" i="135"/>
  <c r="F5" i="135"/>
  <c r="E5" i="135"/>
  <c r="C5" i="135"/>
  <c r="P4" i="135"/>
  <c r="N4" i="135"/>
  <c r="M4" i="135"/>
  <c r="L4" i="135"/>
  <c r="K4" i="135"/>
  <c r="J4" i="135"/>
  <c r="H4" i="135"/>
  <c r="F4" i="135"/>
  <c r="E4" i="135"/>
  <c r="C4" i="135"/>
  <c r="P3" i="135"/>
  <c r="N3" i="135"/>
  <c r="M3" i="135"/>
  <c r="L3" i="135"/>
  <c r="K3" i="135"/>
  <c r="J3" i="135"/>
  <c r="H3" i="135"/>
  <c r="F3" i="135"/>
  <c r="E3" i="135"/>
  <c r="C3" i="135"/>
  <c r="P2" i="135"/>
  <c r="N2" i="135"/>
  <c r="M2" i="135"/>
  <c r="L2" i="135"/>
  <c r="K2" i="135"/>
  <c r="J2" i="135"/>
  <c r="I2" i="135"/>
  <c r="H2" i="135"/>
  <c r="F2" i="135"/>
  <c r="E2" i="135"/>
  <c r="D2" i="135"/>
  <c r="C2" i="135"/>
  <c r="I2" i="134"/>
  <c r="D2" i="134"/>
  <c r="I3" i="134"/>
  <c r="D3" i="134"/>
  <c r="I4" i="134"/>
  <c r="D4" i="134"/>
  <c r="I5" i="134"/>
  <c r="D5" i="134"/>
  <c r="P5" i="134"/>
  <c r="N5" i="134"/>
  <c r="M5" i="134"/>
  <c r="L5" i="134"/>
  <c r="K5" i="134"/>
  <c r="J5" i="134"/>
  <c r="H5" i="134"/>
  <c r="F5" i="134"/>
  <c r="E5" i="134"/>
  <c r="C5" i="134"/>
  <c r="P4" i="134"/>
  <c r="N4" i="134"/>
  <c r="M4" i="134"/>
  <c r="L4" i="134"/>
  <c r="K4" i="134"/>
  <c r="J4" i="134"/>
  <c r="H4" i="134"/>
  <c r="F4" i="134"/>
  <c r="E4" i="134"/>
  <c r="C4" i="134"/>
  <c r="P3" i="134"/>
  <c r="N3" i="134"/>
  <c r="M3" i="134"/>
  <c r="L3" i="134"/>
  <c r="K3" i="134"/>
  <c r="J3" i="134"/>
  <c r="H3" i="134"/>
  <c r="F3" i="134"/>
  <c r="E3" i="134"/>
  <c r="C3" i="134"/>
  <c r="P2" i="134"/>
  <c r="N2" i="134"/>
  <c r="M2" i="134"/>
  <c r="L2" i="134"/>
  <c r="K2" i="134"/>
  <c r="J2" i="134"/>
  <c r="H2" i="134"/>
  <c r="F2" i="134"/>
  <c r="E2" i="134"/>
  <c r="C2" i="134"/>
  <c r="I2" i="133"/>
  <c r="D2" i="133"/>
  <c r="I3" i="133"/>
  <c r="D3" i="133"/>
  <c r="I5" i="133"/>
  <c r="D5" i="133"/>
  <c r="I4" i="133"/>
  <c r="D4" i="133"/>
  <c r="P5" i="133"/>
  <c r="N5" i="133"/>
  <c r="M5" i="133"/>
  <c r="L5" i="133"/>
  <c r="K5" i="133"/>
  <c r="J5" i="133"/>
  <c r="H5" i="133"/>
  <c r="F5" i="133"/>
  <c r="E5" i="133"/>
  <c r="C5" i="133"/>
  <c r="P4" i="133"/>
  <c r="N4" i="133"/>
  <c r="M4" i="133"/>
  <c r="L4" i="133"/>
  <c r="K4" i="133"/>
  <c r="J4" i="133"/>
  <c r="H4" i="133"/>
  <c r="F4" i="133"/>
  <c r="E4" i="133"/>
  <c r="C4" i="133"/>
  <c r="P3" i="133"/>
  <c r="N3" i="133"/>
  <c r="M3" i="133"/>
  <c r="L3" i="133"/>
  <c r="K3" i="133"/>
  <c r="J3" i="133"/>
  <c r="H3" i="133"/>
  <c r="F3" i="133"/>
  <c r="E3" i="133"/>
  <c r="C3" i="133"/>
  <c r="P2" i="133"/>
  <c r="N2" i="133"/>
  <c r="M2" i="133"/>
  <c r="L2" i="133"/>
  <c r="K2" i="133"/>
  <c r="J2" i="133"/>
  <c r="H2" i="133"/>
  <c r="F2" i="133"/>
  <c r="E2" i="133"/>
  <c r="C2" i="133"/>
  <c r="I5" i="132"/>
  <c r="D5" i="132"/>
  <c r="O5" i="132"/>
  <c r="I4" i="132"/>
  <c r="D4" i="132"/>
  <c r="O4" i="132"/>
  <c r="I3" i="132"/>
  <c r="D3" i="132"/>
  <c r="O3" i="132"/>
  <c r="I2" i="132"/>
  <c r="D2" i="132"/>
  <c r="O2" i="132"/>
  <c r="C2" i="103"/>
  <c r="E2" i="103"/>
  <c r="J2" i="132"/>
  <c r="J3" i="132"/>
  <c r="J4" i="132"/>
  <c r="J5" i="132"/>
  <c r="P5" i="132"/>
  <c r="N5" i="132"/>
  <c r="M5" i="132"/>
  <c r="L5" i="132"/>
  <c r="K5" i="132"/>
  <c r="H5" i="132"/>
  <c r="F5" i="132"/>
  <c r="E5" i="132"/>
  <c r="C5" i="132"/>
  <c r="P4" i="132"/>
  <c r="N4" i="132"/>
  <c r="M4" i="132"/>
  <c r="L4" i="132"/>
  <c r="K4" i="132"/>
  <c r="H4" i="132"/>
  <c r="F4" i="132"/>
  <c r="E4" i="132"/>
  <c r="C4" i="132"/>
  <c r="P3" i="132"/>
  <c r="N3" i="132"/>
  <c r="M3" i="132"/>
  <c r="L3" i="132"/>
  <c r="K3" i="132"/>
  <c r="H3" i="132"/>
  <c r="F3" i="132"/>
  <c r="E3" i="132"/>
  <c r="C3" i="132"/>
  <c r="P2" i="132"/>
  <c r="N2" i="132"/>
  <c r="M2" i="132"/>
  <c r="L2" i="132"/>
  <c r="K2" i="132"/>
  <c r="H2" i="132"/>
  <c r="F2" i="132"/>
  <c r="E2" i="132"/>
  <c r="C2" i="132"/>
  <c r="C3" i="103"/>
  <c r="E3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<sst xmlns="http://schemas.openxmlformats.org/spreadsheetml/2006/main" count="280" uniqueCount="128">
  <si>
    <t>character_id</t>
  </si>
  <si>
    <t>character_id</t>
    <phoneticPr fontId="10"/>
  </si>
  <si>
    <t>unit_level</t>
  </si>
  <si>
    <t>weight</t>
  </si>
  <si>
    <t>hp_plus</t>
  </si>
  <si>
    <t>attack_plus</t>
  </si>
  <si>
    <t>defense_plus</t>
  </si>
  <si>
    <t>heal_plus</t>
  </si>
  <si>
    <t>bug</t>
  </si>
  <si>
    <t>備考</t>
    <rPh sb="0" eb="2">
      <t>ビコウ</t>
    </rPh>
    <phoneticPr fontId="10"/>
  </si>
  <si>
    <t>character_id</t>
    <phoneticPr fontId="10"/>
  </si>
  <si>
    <t>name</t>
    <phoneticPr fontId="10"/>
  </si>
  <si>
    <t>接頭語</t>
    <rPh sb="0" eb="3">
      <t>セットウゴ</t>
    </rPh>
    <phoneticPr fontId="43"/>
  </si>
  <si>
    <t>識別子</t>
    <rPh sb="0" eb="3">
      <t>シキベツシ</t>
    </rPh>
    <phoneticPr fontId="43"/>
  </si>
  <si>
    <t>形式</t>
    <rPh sb="0" eb="2">
      <t>ケイシキ</t>
    </rPh>
    <phoneticPr fontId="43"/>
  </si>
  <si>
    <t>出力ファイル名</t>
    <rPh sb="0" eb="2">
      <t>シュツリョク</t>
    </rPh>
    <rPh sb="6" eb="7">
      <t>メイ</t>
    </rPh>
    <phoneticPr fontId="43"/>
  </si>
  <si>
    <t>入力シート名</t>
    <rPh sb="0" eb="2">
      <t>ニュウリョク</t>
    </rPh>
    <rPh sb="5" eb="6">
      <t>メイ</t>
    </rPh>
    <phoneticPr fontId="43"/>
  </si>
  <si>
    <t>出力データ</t>
    <rPh sb="0" eb="2">
      <t>シュツリョク</t>
    </rPh>
    <phoneticPr fontId="43"/>
  </si>
  <si>
    <t>.tmp</t>
    <phoneticPr fontId="43"/>
  </si>
  <si>
    <t>出力flg</t>
    <rPh sb="0" eb="2">
      <t>シュツリョク</t>
    </rPh>
    <phoneticPr fontId="43"/>
  </si>
  <si>
    <t>性別</t>
    <rPh sb="0" eb="2">
      <t>セイベツ</t>
    </rPh>
    <phoneticPr fontId="10"/>
  </si>
  <si>
    <t>ピックアップ確率</t>
    <rPh sb="6" eb="8">
      <t>カクリツ</t>
    </rPh>
    <phoneticPr fontId="10"/>
  </si>
  <si>
    <t>確率</t>
    <rPh sb="0" eb="2">
      <t>カクリツ</t>
    </rPh>
    <phoneticPr fontId="10"/>
  </si>
  <si>
    <t>名前</t>
    <rPh sb="0" eb="2">
      <t>ナマエ</t>
    </rPh>
    <phoneticPr fontId="10"/>
  </si>
  <si>
    <t>テーブルを増やしたい場合</t>
    <rPh sb="5" eb="6">
      <t>フ</t>
    </rPh>
    <rPh sb="10" eb="12">
      <t>バアイ</t>
    </rPh>
    <phoneticPr fontId="10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</si>
  <si>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0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</si>
  <si>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0"/>
  </si>
  <si>
    <t>３．outputシートで２で作ったtablesを指定する</t>
    <rPh sb="14" eb="15">
      <t>ツク</t>
    </rPh>
    <rPh sb="24" eb="26">
      <t>シテイ</t>
    </rPh>
    <phoneticPr fontId="10"/>
  </si>
  <si>
    <t>table_no</t>
    <phoneticPr fontId="10"/>
  </si>
  <si>
    <t>ラベル確率で考えましょう</t>
    <rPh sb="6" eb="7">
      <t>カンガエマショウ</t>
    </rPh>
    <phoneticPr fontId="43"/>
  </si>
  <si>
    <t>ラベル</t>
    <phoneticPr fontId="43"/>
  </si>
  <si>
    <t>レアリティ</t>
    <phoneticPr fontId="43"/>
  </si>
  <si>
    <t>{W}</t>
    <phoneticPr fontId="43"/>
  </si>
  <si>
    <t>{N,S}</t>
    <phoneticPr fontId="43"/>
  </si>
  <si>
    <t>{N,S}R3less</t>
    <phoneticPr fontId="43"/>
  </si>
  <si>
    <t>{N,S}R6release</t>
    <phoneticPr fontId="43"/>
  </si>
  <si>
    <t>{SS}</t>
    <phoneticPr fontId="43"/>
  </si>
  <si>
    <t>{SS}R6only</t>
    <phoneticPr fontId="43"/>
  </si>
  <si>
    <t>小計</t>
    <rPh sb="0" eb="2">
      <t>ショウケイ</t>
    </rPh>
    <phoneticPr fontId="43"/>
  </si>
  <si>
    <t>A</t>
    <phoneticPr fontId="43"/>
  </si>
  <si>
    <t>C</t>
    <phoneticPr fontId="43"/>
  </si>
  <si>
    <t>H</t>
    <phoneticPr fontId="43"/>
  </si>
  <si>
    <t>B</t>
    <phoneticPr fontId="43"/>
  </si>
  <si>
    <t>D</t>
    <phoneticPr fontId="43"/>
  </si>
  <si>
    <t>F</t>
    <phoneticPr fontId="43"/>
  </si>
  <si>
    <t>I</t>
    <phoneticPr fontId="43"/>
  </si>
  <si>
    <t>K</t>
    <phoneticPr fontId="43"/>
  </si>
  <si>
    <t>E</t>
    <phoneticPr fontId="43"/>
  </si>
  <si>
    <t>G</t>
    <phoneticPr fontId="43"/>
  </si>
  <si>
    <t>J</t>
    <phoneticPr fontId="43"/>
  </si>
  <si>
    <t>L</t>
    <phoneticPr fontId="43"/>
  </si>
  <si>
    <t>M</t>
    <phoneticPr fontId="43"/>
  </si>
  <si>
    <t>→</t>
    <phoneticPr fontId="43"/>
  </si>
  <si>
    <t>1-SS率</t>
    <rPh sb="4" eb="5">
      <t>リツ</t>
    </rPh>
    <phoneticPr fontId="43"/>
  </si>
  <si>
    <t>SS率</t>
    <rPh sb="2" eb="3">
      <t>リツ</t>
    </rPh>
    <phoneticPr fontId="43"/>
  </si>
  <si>
    <t>考え方を変える</t>
    <rPh sb="0" eb="1">
      <t>カンガエカタ</t>
    </rPh>
    <rPh sb="4" eb="5">
      <t>カエル</t>
    </rPh>
    <phoneticPr fontId="43"/>
  </si>
  <si>
    <t>SS4%は確定事項</t>
    <rPh sb="5" eb="7">
      <t>カクテイ</t>
    </rPh>
    <rPh sb="7" eb="9">
      <t>ジコウ</t>
    </rPh>
    <phoneticPr fontId="43"/>
  </si>
  <si>
    <t>当たりは分配</t>
    <rPh sb="0" eb="1">
      <t>アタリ</t>
    </rPh>
    <rPh sb="4" eb="6">
      <t>ブンパイ</t>
    </rPh>
    <phoneticPr fontId="43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</si>
  <si>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43"/>
  </si>
  <si>
    <t>=</t>
    <phoneticPr fontId="43"/>
  </si>
  <si>
    <t>X*{SS R5only}</t>
    <phoneticPr fontId="43"/>
  </si>
  <si>
    <t>K</t>
    <phoneticPr fontId="43"/>
  </si>
  <si>
    <t>=</t>
    <phoneticPr fontId="43"/>
  </si>
  <si>
    <t>X*{SS}*(R3率+R4率)</t>
    <rPh sb="10" eb="11">
      <t>リツ</t>
    </rPh>
    <rPh sb="14" eb="15">
      <t>リツ</t>
    </rPh>
    <phoneticPr fontId="43"/>
  </si>
  <si>
    <t>L</t>
    <phoneticPr fontId="43"/>
  </si>
  <si>
    <t>X*{SS}*R5率</t>
    <rPh sb="9" eb="10">
      <t>リツ</t>
    </rPh>
    <phoneticPr fontId="43"/>
  </si>
  <si>
    <t>X*{R6release}*R3率</t>
    <rPh sb="16" eb="17">
      <t>リツ</t>
    </rPh>
    <phoneticPr fontId="43"/>
  </si>
  <si>
    <t>X*{R6release}*R4率</t>
    <rPh sb="16" eb="17">
      <t>リツ</t>
    </rPh>
    <phoneticPr fontId="43"/>
  </si>
  <si>
    <t>J</t>
    <phoneticPr fontId="43"/>
  </si>
  <si>
    <t>X*{R6release}*R5率</t>
    <rPh sb="16" eb="17">
      <t>リツ</t>
    </rPh>
    <phoneticPr fontId="43"/>
  </si>
  <si>
    <t>ハズレで確率を整える</t>
    <rPh sb="4" eb="6">
      <t>カクリツ</t>
    </rPh>
    <rPh sb="7" eb="8">
      <t>トトノエル</t>
    </rPh>
    <phoneticPr fontId="43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</si>
  <si>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43"/>
  </si>
  <si>
    <t>A + C</t>
    <phoneticPr fontId="43"/>
  </si>
  <si>
    <t>=</t>
    <phoneticPr fontId="43"/>
  </si>
  <si>
    <t>50%-H</t>
    <phoneticPr fontId="43"/>
  </si>
  <si>
    <t>①</t>
    <phoneticPr fontId="43"/>
  </si>
  <si>
    <t>B + D + F</t>
    <phoneticPr fontId="43"/>
  </si>
  <si>
    <t>45%-I-K</t>
    <phoneticPr fontId="43"/>
  </si>
  <si>
    <t>②</t>
    <phoneticPr fontId="43"/>
  </si>
  <si>
    <t>E+G</t>
    <phoneticPr fontId="43"/>
  </si>
  <si>
    <t>5%-J-L-M</t>
    <phoneticPr fontId="43"/>
  </si>
  <si>
    <t>③</t>
    <phoneticPr fontId="43"/>
  </si>
  <si>
    <t>A+B</t>
    <phoneticPr fontId="43"/>
  </si>
  <si>
    <t>Y*{W}</t>
    <phoneticPr fontId="43"/>
  </si>
  <si>
    <t>④</t>
    <phoneticPr fontId="43"/>
  </si>
  <si>
    <t>C+D+E</t>
    <phoneticPr fontId="43"/>
  </si>
  <si>
    <t>Y*{N,S}</t>
    <phoneticPr fontId="43"/>
  </si>
  <si>
    <t>⑤</t>
    <phoneticPr fontId="43"/>
  </si>
  <si>
    <t>F+G</t>
    <phoneticPr fontId="43"/>
  </si>
  <si>
    <t>Y*{N,S R3less}</t>
    <phoneticPr fontId="43"/>
  </si>
  <si>
    <t>⑥</t>
    <phoneticPr fontId="43"/>
  </si>
  <si>
    <t>A+B+C+D+E+F+G</t>
    <phoneticPr fontId="43"/>
  </si>
  <si>
    <t>⑦</t>
    <phoneticPr fontId="43"/>
  </si>
  <si>
    <t>←これは4,5,6で作れるのでダメだわ</t>
    <rPh sb="10" eb="11">
      <t>ツクレル</t>
    </rPh>
    <phoneticPr fontId="43"/>
  </si>
  <si>
    <t>E*R3率/R5率</t>
    <rPh sb="4" eb="5">
      <t>リツ</t>
    </rPh>
    <rPh sb="8" eb="9">
      <t>リツ</t>
    </rPh>
    <phoneticPr fontId="43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</si>
  <si>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43"/>
  </si>
  <si>
    <t>E*R4率/R5率</t>
    <rPh sb="4" eb="5">
      <t>リツ</t>
    </rPh>
    <rPh sb="8" eb="9">
      <t>リツ</t>
    </rPh>
    <phoneticPr fontId="43"/>
  </si>
  <si>
    <t>∴</t>
    <phoneticPr fontId="43"/>
  </si>
  <si>
    <t>E</t>
    <phoneticPr fontId="43"/>
  </si>
  <si>
    <t>Y*{N,S}*R5率</t>
    <rPh sb="10" eb="11">
      <t>リツ</t>
    </rPh>
    <phoneticPr fontId="43"/>
  </si>
  <si>
    <t>Y*{N,S}*R4率</t>
    <rPh sb="10" eb="11">
      <t>リツ</t>
    </rPh>
    <phoneticPr fontId="43"/>
  </si>
  <si>
    <t>Y*{N,S}*R3率</t>
    <rPh sb="10" eb="11">
      <t>リツ</t>
    </rPh>
    <phoneticPr fontId="43"/>
  </si>
  <si>
    <t>50%-H-C</t>
    <phoneticPr fontId="43"/>
  </si>
  <si>
    <t>Y*{W}-A</t>
    <phoneticPr fontId="43"/>
  </si>
  <si>
    <t>5%-J-L-M-E</t>
    <phoneticPr fontId="43"/>
  </si>
  <si>
    <t>Y*{N,S R3less} - G</t>
    <phoneticPr fontId="43"/>
  </si>
  <si>
    <t>R6境界前後</t>
    <rPh sb="2" eb="4">
      <t>キョウカイ</t>
    </rPh>
    <rPh sb="4" eb="6">
      <t>ゼンゴ</t>
    </rPh>
    <phoneticPr fontId="10"/>
  </si>
  <si>
    <t>R6事後開放N,S</t>
    <rPh sb="2" eb="6">
      <t>ジゴカイホウ</t>
    </rPh>
    <phoneticPr fontId="10"/>
  </si>
  <si>
    <t>table_no</t>
    <phoneticPr fontId="10"/>
  </si>
  <si>
    <t>character_id</t>
    <phoneticPr fontId="10"/>
  </si>
  <si>
    <t>drop_label2</t>
    <phoneticPr fontId="10"/>
  </si>
  <si>
    <t>color2</t>
    <phoneticPr fontId="10"/>
  </si>
  <si>
    <t>name</t>
    <phoneticPr fontId="10"/>
  </si>
  <si>
    <t>drop_label</t>
    <phoneticPr fontId="10"/>
  </si>
  <si>
    <t>rare</t>
    <phoneticPr fontId="10"/>
  </si>
  <si>
    <t>color</t>
    <phoneticPr fontId="10"/>
  </si>
  <si>
    <t>character_type_id</t>
    <phoneticPr fontId="10"/>
  </si>
  <si>
    <t>character_tribe_id</t>
    <phoneticPr fontId="10"/>
  </si>
  <si>
    <t>weight</t>
    <phoneticPr fontId="10"/>
  </si>
  <si>
    <t>unit_level</t>
    <phoneticPr fontId="10"/>
  </si>
  <si>
    <t>old</t>
    <phoneticPr fontId="10"/>
  </si>
  <si>
    <t>gacha_select_tables_</t>
    <phoneticPr fontId="10"/>
  </si>
  <si>
    <t>skip</t>
    <phoneticPr fontId="10"/>
  </si>
  <si>
    <t>tables_7121100</t>
  </si>
  <si>
    <t>tables_7121101</t>
  </si>
  <si>
    <t>tables_7121102</t>
  </si>
  <si>
    <t>tables_7121103</t>
  </si>
  <si>
    <t>tables_7121104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</si>
</sst>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%"/>
  </numFmts>
  <fonts count="46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</fonts>
  <fills count="2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</borders>
  <cellStyleXfs count="3665">
    <xf numFmtId="0" fontId="0" fillId="0" borderId="0"/>
    <xf numFmtId="0" fontId="9" fillId="0" borderId="0"/>
    <xf numFmtId="0" fontId="13" fillId="0" borderId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8" fillId="0" borderId="0"/>
    <xf numFmtId="0" fontId="20" fillId="5" borderId="2" applyNumberFormat="0" applyAlignment="0" applyProtection="0"/>
    <xf numFmtId="0" fontId="21" fillId="6" borderId="0" applyNumberFormat="0" applyBorder="0" applyAlignment="0" applyProtection="0"/>
    <xf numFmtId="0" fontId="22" fillId="7" borderId="3" applyNumberFormat="0" applyAlignment="0" applyProtection="0"/>
    <xf numFmtId="0" fontId="23" fillId="0" borderId="0" applyNumberFormat="0" applyFill="0" applyBorder="0" applyAlignment="0" applyProtection="0"/>
    <xf numFmtId="0" fontId="24" fillId="8" borderId="0" applyNumberFormat="0" applyBorder="0" applyAlignment="0" applyProtection="0"/>
    <xf numFmtId="0" fontId="25" fillId="9" borderId="4" applyNumberFormat="0" applyAlignment="0" applyProtection="0"/>
    <xf numFmtId="0" fontId="26" fillId="0" borderId="0" applyNumberFormat="0" applyFill="0" applyBorder="0" applyAlignment="0" applyProtection="0"/>
    <xf numFmtId="0" fontId="27" fillId="0" borderId="5" applyNumberFormat="0" applyFill="0" applyAlignment="0" applyProtection="0"/>
    <xf numFmtId="0" fontId="28" fillId="0" borderId="6" applyNumberFormat="0" applyFill="0" applyAlignment="0" applyProtection="0"/>
    <xf numFmtId="0" fontId="29" fillId="0" borderId="7" applyNumberFormat="0" applyFill="0" applyAlignment="0" applyProtection="0"/>
    <xf numFmtId="0" fontId="29" fillId="0" borderId="0" applyNumberFormat="0" applyFill="0" applyBorder="0" applyAlignment="0" applyProtection="0"/>
    <xf numFmtId="0" fontId="30" fillId="7" borderId="0" applyNumberFormat="0" applyBorder="0" applyAlignment="0" applyProtection="0"/>
    <xf numFmtId="0" fontId="30" fillId="6" borderId="0" applyNumberFormat="0" applyBorder="0" applyAlignment="0" applyProtection="0"/>
    <xf numFmtId="0" fontId="30" fillId="10" borderId="0" applyNumberFormat="0" applyBorder="0" applyAlignment="0" applyProtection="0"/>
    <xf numFmtId="0" fontId="30" fillId="7" borderId="0" applyNumberFormat="0" applyBorder="0" applyAlignment="0" applyProtection="0"/>
    <xf numFmtId="0" fontId="30" fillId="11" borderId="0" applyNumberFormat="0" applyBorder="0" applyAlignment="0" applyProtection="0"/>
    <xf numFmtId="0" fontId="30" fillId="5" borderId="0" applyNumberFormat="0" applyBorder="0" applyAlignment="0" applyProtection="0"/>
    <xf numFmtId="0" fontId="30" fillId="7" borderId="0" applyNumberFormat="0" applyBorder="0" applyAlignment="0" applyProtection="0"/>
    <xf numFmtId="0" fontId="30" fillId="12" borderId="0" applyNumberFormat="0" applyBorder="0" applyAlignment="0" applyProtection="0"/>
    <xf numFmtId="0" fontId="30" fillId="10" borderId="0" applyNumberFormat="0" applyBorder="0" applyAlignment="0" applyProtection="0"/>
    <xf numFmtId="0" fontId="30" fillId="7" borderId="0" applyNumberFormat="0" applyBorder="0" applyAlignment="0" applyProtection="0"/>
    <xf numFmtId="0" fontId="30" fillId="13" borderId="0" applyNumberFormat="0" applyBorder="0" applyAlignment="0" applyProtection="0"/>
    <xf numFmtId="0" fontId="30" fillId="6" borderId="0" applyNumberFormat="0" applyBorder="0" applyAlignment="0" applyProtection="0"/>
    <xf numFmtId="0" fontId="31" fillId="14" borderId="0" applyNumberFormat="0" applyBorder="0" applyAlignment="0" applyProtection="0"/>
    <xf numFmtId="0" fontId="31" fillId="12" borderId="0" applyNumberFormat="0" applyBorder="0" applyAlignment="0" applyProtection="0"/>
    <xf numFmtId="0" fontId="31" fillId="10" borderId="0" applyNumberFormat="0" applyBorder="0" applyAlignment="0" applyProtection="0"/>
    <xf numFmtId="0" fontId="31" fillId="7" borderId="0" applyNumberFormat="0" applyBorder="0" applyAlignment="0" applyProtection="0"/>
    <xf numFmtId="0" fontId="31" fillId="14" borderId="0" applyNumberFormat="0" applyBorder="0" applyAlignment="0" applyProtection="0"/>
    <xf numFmtId="0" fontId="31" fillId="6" borderId="0" applyNumberFormat="0" applyBorder="0" applyAlignment="0" applyProtection="0"/>
    <xf numFmtId="0" fontId="23" fillId="0" borderId="0" applyNumberFormat="0" applyFill="0" applyBorder="0" applyAlignment="0" applyProtection="0"/>
    <xf numFmtId="0" fontId="31" fillId="14" borderId="0" applyNumberFormat="0" applyBorder="0" applyAlignment="0" applyProtection="0"/>
    <xf numFmtId="0" fontId="31" fillId="15" borderId="0" applyNumberFormat="0" applyBorder="0" applyAlignment="0" applyProtection="0"/>
    <xf numFmtId="0" fontId="31" fillId="10" borderId="0" applyNumberFormat="0" applyBorder="0" applyAlignment="0" applyProtection="0"/>
    <xf numFmtId="0" fontId="31" fillId="16" borderId="0" applyNumberFormat="0" applyBorder="0" applyAlignment="0" applyProtection="0"/>
    <xf numFmtId="0" fontId="31" fillId="14" borderId="0" applyNumberFormat="0" applyBorder="0" applyAlignment="0" applyProtection="0"/>
    <xf numFmtId="0" fontId="31" fillId="12" borderId="0" applyNumberFormat="0" applyBorder="0" applyAlignment="0" applyProtection="0"/>
    <xf numFmtId="0" fontId="32" fillId="17" borderId="0" applyNumberFormat="0" applyBorder="0" applyAlignment="0" applyProtection="0"/>
    <xf numFmtId="0" fontId="21" fillId="6" borderId="0" applyNumberFormat="0" applyBorder="0" applyAlignment="0" applyProtection="0"/>
    <xf numFmtId="0" fontId="33" fillId="0" borderId="8" applyNumberFormat="0" applyFill="0" applyAlignment="0" applyProtection="0"/>
    <xf numFmtId="0" fontId="34" fillId="7" borderId="9" applyNumberFormat="0" applyAlignment="0" applyProtection="0"/>
    <xf numFmtId="0" fontId="34" fillId="18" borderId="9" applyNumberFormat="0" applyAlignment="0" applyProtection="0"/>
    <xf numFmtId="0" fontId="22" fillId="6" borderId="3" applyNumberFormat="0" applyAlignment="0" applyProtection="0"/>
    <xf numFmtId="0" fontId="35" fillId="0" borderId="10" applyNumberFormat="0" applyFill="0" applyAlignment="0" applyProtection="0"/>
    <xf numFmtId="0" fontId="36" fillId="18" borderId="3" applyNumberFormat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8" fillId="0" borderId="11" applyNumberFormat="0" applyFill="0" applyAlignment="0" applyProtection="0"/>
    <xf numFmtId="38" fontId="8" fillId="0" borderId="0" applyFont="0" applyFill="0" applyBorder="0" applyAlignment="0" applyProtection="0">
      <alignment vertical="center"/>
    </xf>
    <xf numFmtId="0" fontId="39" fillId="19" borderId="0" applyNumberFormat="0" applyBorder="0" applyAlignment="0" applyProtection="0"/>
    <xf numFmtId="0" fontId="40" fillId="20" borderId="0" applyNumberFormat="0" applyBorder="0" applyAlignment="0" applyProtection="0"/>
    <xf numFmtId="0" fontId="8" fillId="0" borderId="0"/>
    <xf numFmtId="0" fontId="41" fillId="20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7" fillId="0" borderId="0"/>
    <xf numFmtId="0" fontId="44" fillId="0" borderId="0">
      <alignment vertical="center"/>
    </xf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6" fillId="0" borderId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9" fontId="45" fillId="0" borderId="0" applyFon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4" fillId="0" borderId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56">
    <xf numFmtId="0" fontId="0" fillId="0" borderId="0" xfId="0"/>
    <xf numFmtId="0" fontId="15" fillId="0" borderId="0" xfId="2" applyFont="1" applyAlignment="1">
      <alignment vertical="center"/>
    </xf>
    <xf numFmtId="0" fontId="15" fillId="0" borderId="1" xfId="2" applyFont="1" applyBorder="1" applyAlignment="1">
      <alignment vertical="center"/>
    </xf>
    <xf numFmtId="0" fontId="15" fillId="3" borderId="1" xfId="2" applyFont="1" applyFill="1" applyBorder="1" applyAlignment="1">
      <alignment horizontal="center" vertical="center"/>
    </xf>
    <xf numFmtId="0" fontId="15" fillId="0" borderId="0" xfId="2" applyFont="1" applyAlignment="1">
      <alignment horizontal="center" vertical="center"/>
    </xf>
    <xf numFmtId="0" fontId="15" fillId="4" borderId="1" xfId="2" applyFont="1" applyFill="1" applyBorder="1" applyAlignment="1">
      <alignment vertical="center"/>
    </xf>
    <xf numFmtId="0" fontId="14" fillId="4" borderId="1" xfId="0" applyFont="1" applyFill="1" applyBorder="1" applyAlignment="1">
      <alignment horizontal="right" vertical="center"/>
    </xf>
    <xf numFmtId="0" fontId="15" fillId="3" borderId="1" xfId="2" applyFont="1" applyFill="1" applyBorder="1" applyAlignment="1">
      <alignment vertical="center"/>
    </xf>
    <xf numFmtId="0" fontId="16" fillId="4" borderId="1" xfId="0" applyFont="1" applyFill="1" applyBorder="1" applyAlignment="1">
      <alignment vertical="center"/>
    </xf>
    <xf numFmtId="0" fontId="15" fillId="0" borderId="13" xfId="2" applyFont="1" applyBorder="1" applyAlignment="1">
      <alignment vertical="center"/>
    </xf>
    <xf numFmtId="0" fontId="14" fillId="4" borderId="12" xfId="0" applyFont="1" applyFill="1" applyBorder="1" applyAlignment="1">
      <alignment horizontal="right" vertical="center"/>
    </xf>
    <xf numFmtId="0" fontId="14" fillId="4" borderId="14" xfId="0" applyFont="1" applyFill="1" applyBorder="1" applyAlignment="1">
      <alignment horizontal="right" vertical="center"/>
    </xf>
    <xf numFmtId="0" fontId="15" fillId="0" borderId="15" xfId="2" applyFont="1" applyBorder="1" applyAlignment="1">
      <alignment vertical="center"/>
    </xf>
    <xf numFmtId="0" fontId="15" fillId="2" borderId="1" xfId="2" applyFont="1" applyFill="1" applyBorder="1" applyAlignment="1">
      <alignment horizontal="left" vertical="center"/>
    </xf>
    <xf numFmtId="0" fontId="15" fillId="2" borderId="1" xfId="2" applyFont="1" applyFill="1" applyBorder="1" applyAlignment="1">
      <alignment horizontal="center" vertical="center"/>
    </xf>
    <xf numFmtId="0" fontId="17" fillId="21" borderId="1" xfId="2978" applyFont="1" applyFill="1" applyBorder="1"/>
    <xf numFmtId="0" fontId="7" fillId="21" borderId="1" xfId="2978" applyFill="1" applyBorder="1"/>
    <xf numFmtId="0" fontId="7" fillId="0" borderId="0" xfId="2978"/>
    <xf numFmtId="0" fontId="7" fillId="0" borderId="1" xfId="2978" applyBorder="1"/>
    <xf numFmtId="0" fontId="8" fillId="2" borderId="1" xfId="19" applyFill="1" applyBorder="1"/>
    <xf numFmtId="0" fontId="17" fillId="21" borderId="1" xfId="0" applyFont="1" applyFill="1" applyBorder="1"/>
    <xf numFmtId="0" fontId="42" fillId="22" borderId="1" xfId="0" applyFont="1" applyFill="1" applyBorder="1" applyAlignment="1">
      <alignment horizontal="center" vertical="center"/>
    </xf>
    <xf numFmtId="0" fontId="42" fillId="3" borderId="1" xfId="0" applyFont="1" applyFill="1" applyBorder="1" applyAlignment="1">
      <alignment vertical="center"/>
    </xf>
    <xf numFmtId="0" fontId="0" fillId="0" borderId="1" xfId="0" applyBorder="1"/>
    <xf numFmtId="0" fontId="0" fillId="3" borderId="1" xfId="0" applyFill="1" applyBorder="1"/>
    <xf numFmtId="0" fontId="0" fillId="24" borderId="0" xfId="0" applyFill="1"/>
    <xf numFmtId="0" fontId="0" fillId="25" borderId="1" xfId="0" applyFill="1" applyBorder="1"/>
    <xf numFmtId="176" fontId="0" fillId="25" borderId="1" xfId="3575" applyNumberFormat="1" applyFont="1" applyFill="1" applyBorder="1"/>
    <xf numFmtId="0" fontId="5" fillId="2" borderId="1" xfId="19" applyFont="1" applyFill="1" applyBorder="1"/>
    <xf numFmtId="0" fontId="5" fillId="4" borderId="1" xfId="2978" applyFont="1" applyFill="1" applyBorder="1"/>
    <xf numFmtId="0" fontId="0" fillId="2" borderId="0" xfId="0" applyFill="1"/>
    <xf numFmtId="0" fontId="14" fillId="23" borderId="1" xfId="0" applyFont="1" applyFill="1" applyBorder="1" applyAlignment="1">
      <alignment horizontal="right" vertical="center"/>
    </xf>
    <xf numFmtId="0" fontId="4" fillId="0" borderId="0" xfId="3662"/>
    <xf numFmtId="0" fontId="4" fillId="4" borderId="0" xfId="3662" applyFill="1"/>
    <xf numFmtId="9" fontId="4" fillId="0" borderId="0" xfId="3662" applyNumberFormat="1"/>
    <xf numFmtId="0" fontId="4" fillId="0" borderId="0" xfId="3662" applyFill="1"/>
    <xf numFmtId="9" fontId="4" fillId="0" borderId="0" xfId="3662" applyNumberFormat="1" applyAlignment="1"/>
    <xf numFmtId="0" fontId="4" fillId="0" borderId="0" xfId="3662" applyNumberFormat="1"/>
    <xf numFmtId="0" fontId="3" fillId="0" borderId="1" xfId="3036" applyFont="1" applyBorder="1"/>
    <xf numFmtId="0" fontId="15" fillId="0" borderId="0" xfId="2" applyFont="1" applyFill="1" applyBorder="1" applyAlignment="1">
      <alignment vertical="center"/>
    </xf>
    <xf numFmtId="0" fontId="14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176" fontId="0" fillId="0" borderId="0" xfId="3575" applyNumberFormat="1" applyFont="1" applyFill="1" applyBorder="1"/>
    <xf numFmtId="0" fontId="42" fillId="0" borderId="0" xfId="0" applyFont="1" applyFill="1" applyBorder="1" applyAlignment="1">
      <alignment vertical="center"/>
    </xf>
    <xf numFmtId="0" fontId="16" fillId="0" borderId="0" xfId="0" applyFont="1" applyFill="1" applyBorder="1" applyAlignment="1">
      <alignment vertical="center"/>
    </xf>
    <xf numFmtId="0" fontId="15" fillId="0" borderId="0" xfId="2" applyFont="1" applyBorder="1" applyAlignment="1">
      <alignment vertical="center"/>
    </xf>
    <xf numFmtId="0" fontId="15" fillId="0" borderId="1" xfId="2" applyFont="1" applyFill="1" applyBorder="1" applyAlignment="1">
      <alignment vertical="center"/>
    </xf>
    <xf numFmtId="0" fontId="14" fillId="0" borderId="1" xfId="0" applyFont="1" applyFill="1" applyBorder="1" applyAlignment="1">
      <alignment horizontal="right" vertical="center"/>
    </xf>
    <xf numFmtId="0" fontId="0" fillId="0" borderId="1" xfId="0" applyFill="1" applyBorder="1"/>
    <xf numFmtId="176" fontId="0" fillId="0" borderId="1" xfId="3575" applyNumberFormat="1" applyFont="1" applyFill="1" applyBorder="1"/>
    <xf numFmtId="0" fontId="42" fillId="0" borderId="1" xfId="0" applyFont="1" applyFill="1" applyBorder="1" applyAlignment="1">
      <alignment vertical="center"/>
    </xf>
    <xf numFmtId="0" fontId="15" fillId="0" borderId="0" xfId="2" applyFont="1" applyFill="1" applyAlignment="1">
      <alignment vertical="center"/>
    </xf>
    <xf numFmtId="0" fontId="16" fillId="0" borderId="1" xfId="0" applyFont="1" applyFill="1" applyBorder="1" applyAlignment="1">
      <alignment vertical="center"/>
    </xf>
    <xf numFmtId="0" fontId="2" fillId="0" borderId="1" xfId="2978" applyFont="1" applyBorder="1"/>
    <xf numFmtId="0" fontId="2" fillId="4" borderId="1" xfId="2978" applyFont="1" applyFill="1" applyBorder="1"/>
    <xf numFmtId="0" fontId="1" fillId="0" borderId="1" xfId="3036" applyFont="1" applyBorder="1"/>
  </cellXfs>
  <cellStyles count="3665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3" builtinId="8" hidden="1"/>
    <cellStyle name="桁区切り 2" xfId="67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4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theme" Target="theme/theme1.xml"/><Relationship Id="rId12" Type="http://schemas.openxmlformats.org/officeDocument/2006/relationships/styles" Target="styles.xml"/><Relationship Id="rId13" Type="http://schemas.openxmlformats.org/officeDocument/2006/relationships/sharedStrings" Target="sharedStrings.xml"/><Relationship Id="rId14" Type="http://schemas.openxmlformats.org/officeDocument/2006/relationships/calcChain" Target="calcChain.xml"/><Relationship Id="rId1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突命の戦克車　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PremiumSSS</v>
          </cell>
          <cell r="K1086" t="str">
            <v>attack</v>
          </cell>
          <cell r="L1086" t="str">
            <v>攻撃タイプ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未定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未定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balance</v>
          </cell>
          <cell r="L1126" t="str">
            <v>バランスタイプ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technical</v>
          </cell>
          <cell r="L1128" t="str">
            <v>テクニカルタイプ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attack</v>
          </cell>
          <cell r="L1165" t="str">
            <v>攻撃タイプ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attack</v>
          </cell>
          <cell r="L1166" t="str">
            <v>攻撃タイプ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balance</v>
          </cell>
          <cell r="L1167" t="str">
            <v>バランスタイプ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balance</v>
          </cell>
          <cell r="L1168" t="str">
            <v>バランスタイプ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ヘイウェイ_超覚醒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5</v>
          </cell>
          <cell r="J1171" t="str">
            <v>PremiumSS</v>
          </cell>
          <cell r="K1171" t="str">
            <v>attack</v>
          </cell>
          <cell r="L1171" t="str">
            <v>攻撃タイプ</v>
          </cell>
          <cell r="M1171" t="str">
            <v>god</v>
          </cell>
        </row>
        <row r="1172">
          <cell r="A1172">
            <v>1171</v>
          </cell>
          <cell r="B1172" t="str">
            <v>ja</v>
          </cell>
          <cell r="C1172" t="str">
            <v>ポアソン_超覚醒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</v>
          </cell>
          <cell r="K1172" t="str">
            <v>attack</v>
          </cell>
          <cell r="L1172" t="str">
            <v>攻撃タイプ</v>
          </cell>
          <cell r="M1172" t="str">
            <v>god</v>
          </cell>
        </row>
        <row r="1173">
          <cell r="A1173">
            <v>1172</v>
          </cell>
          <cell r="B1173" t="str">
            <v>ja</v>
          </cell>
          <cell r="C1173" t="str">
            <v>クロネッカー_超覚醒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ファータR6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PremiumSS</v>
          </cell>
          <cell r="K1174" t="str">
            <v>attack</v>
          </cell>
          <cell r="L1174" t="str">
            <v>攻撃タイプ</v>
          </cell>
          <cell r="M1174" t="str">
            <v>god</v>
          </cell>
        </row>
        <row r="1175">
          <cell r="A1175">
            <v>1174</v>
          </cell>
          <cell r="B1175" t="str">
            <v>ja</v>
          </cell>
          <cell r="C1175" t="str">
            <v>バルドルR6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フロイト_超覚醒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</v>
          </cell>
          <cell r="K1177" t="str">
            <v>attack</v>
          </cell>
          <cell r="L1177" t="str">
            <v>攻撃タイプ</v>
          </cell>
          <cell r="M1177" t="str">
            <v>god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オーディン_超覚醒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PremiumSSS</v>
          </cell>
          <cell r="K1181" t="str">
            <v>attack</v>
          </cell>
          <cell r="L1181" t="str">
            <v>攻撃タイプ</v>
          </cell>
          <cell r="M1181" t="str">
            <v>academia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フェルマー_超覚醒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attack</v>
          </cell>
          <cell r="L1187" t="str">
            <v>攻撃タイプ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attack</v>
          </cell>
          <cell r="L1237" t="str">
            <v>攻撃タイプ</v>
          </cell>
          <cell r="M1237" t="str">
            <v>human</v>
          </cell>
        </row>
        <row r="1238">
          <cell r="A1238">
            <v>1237</v>
          </cell>
          <cell r="B1238" t="str">
            <v>ja</v>
          </cell>
          <cell r="C1238" t="str">
            <v>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attack</v>
          </cell>
          <cell r="L1238" t="str">
            <v>攻撃タイプ</v>
          </cell>
          <cell r="M1238" t="str">
            <v>human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attack</v>
          </cell>
          <cell r="L1241" t="str">
            <v>攻撃タイプ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attack</v>
          </cell>
          <cell r="L1242" t="str">
            <v>攻撃タイプ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balance</v>
          </cell>
          <cell r="L1245" t="str">
            <v>バランスタイプ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balance</v>
          </cell>
          <cell r="L1246" t="str">
            <v>バランスタイプ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attack</v>
          </cell>
          <cell r="L1249" t="str">
            <v>攻撃タイプ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attack</v>
          </cell>
          <cell r="L1250" t="str">
            <v>攻撃タイプ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真田幸村(超あたり)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真田幸村(超あたり)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attack</v>
          </cell>
          <cell r="L1253" t="str">
            <v>攻撃タイプ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attack</v>
          </cell>
          <cell r="L1254" t="str">
            <v>攻撃タイプ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attack</v>
          </cell>
          <cell r="L1255" t="str">
            <v>攻撃タイプ</v>
          </cell>
          <cell r="M1255" t="str">
            <v>god</v>
          </cell>
        </row>
        <row r="1256">
          <cell r="A1256">
            <v>1255</v>
          </cell>
          <cell r="B1256" t="str">
            <v>ja</v>
          </cell>
          <cell r="C1256" t="str">
            <v>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attack</v>
          </cell>
          <cell r="L1256" t="str">
            <v>攻撃タイプ</v>
          </cell>
          <cell r="M1256" t="str">
            <v>god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attack</v>
          </cell>
          <cell r="L1257" t="str">
            <v>攻撃タイプ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attack</v>
          </cell>
          <cell r="L1258" t="str">
            <v>攻撃タイプ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attack</v>
          </cell>
          <cell r="L1259" t="str">
            <v>攻撃タイプ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attack</v>
          </cell>
          <cell r="L1260" t="str">
            <v>攻撃タイプ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トール(超あたり)</v>
          </cell>
          <cell r="H1261" t="str">
            <v>red</v>
          </cell>
          <cell r="I1261">
            <v>5</v>
          </cell>
          <cell r="J1261" t="str">
            <v>PremiumSSw</v>
          </cell>
          <cell r="K1261" t="str">
            <v>attack</v>
          </cell>
          <cell r="L1261" t="str">
            <v>攻撃タイプ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トール(超あたり)</v>
          </cell>
          <cell r="H1262" t="str">
            <v>red</v>
          </cell>
          <cell r="I1262">
            <v>6</v>
          </cell>
          <cell r="J1262" t="str">
            <v>PremiumSSw</v>
          </cell>
          <cell r="K1262" t="str">
            <v>attack</v>
          </cell>
          <cell r="L1262" t="str">
            <v>攻撃タイプ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</v>
          </cell>
          <cell r="K1263" t="str">
            <v>attack</v>
          </cell>
          <cell r="L1263" t="str">
            <v>攻撃タイプ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イズン</v>
          </cell>
          <cell r="H1264" t="str">
            <v>green</v>
          </cell>
          <cell r="I1264">
            <v>6</v>
          </cell>
          <cell r="J1264" t="str">
            <v>PremiumSS</v>
          </cell>
          <cell r="K1264" t="str">
            <v>attack</v>
          </cell>
          <cell r="L1264" t="str">
            <v>攻撃タイプ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attack</v>
          </cell>
          <cell r="L1265" t="str">
            <v>攻撃タイプ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attack</v>
          </cell>
          <cell r="L1266" t="str">
            <v>攻撃タイプ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attack</v>
          </cell>
          <cell r="L1267" t="str">
            <v>攻撃タイプ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attack</v>
          </cell>
          <cell r="L1268" t="str">
            <v>攻撃タイプ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attack</v>
          </cell>
          <cell r="L1274" t="str">
            <v>攻撃タイプ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マリアR6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R６サンタベリアル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demon</v>
          </cell>
        </row>
        <row r="1277">
          <cell r="A1277">
            <v>1276</v>
          </cell>
          <cell r="B1277" t="str">
            <v>ja</v>
          </cell>
          <cell r="C1277" t="str">
            <v>R６サンタオセ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demon</v>
          </cell>
        </row>
        <row r="1278">
          <cell r="A1278">
            <v>1277</v>
          </cell>
          <cell r="B1278" t="str">
            <v>ja</v>
          </cell>
          <cell r="C1278" t="str">
            <v>R６サンタミカエル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オリジナルガチャ当たり(サンタ)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attack</v>
          </cell>
          <cell r="L1279" t="str">
            <v>攻撃タイプ</v>
          </cell>
          <cell r="M1279" t="str">
            <v>human</v>
          </cell>
        </row>
        <row r="1280">
          <cell r="A1280">
            <v>1279</v>
          </cell>
          <cell r="B1280" t="str">
            <v>ja</v>
          </cell>
          <cell r="C1280" t="str">
            <v>オリジナルガチャ当たり(サンタ)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attack</v>
          </cell>
          <cell r="L1280" t="str">
            <v>攻撃タイプ</v>
          </cell>
          <cell r="M1280" t="str">
            <v>human</v>
          </cell>
        </row>
        <row r="1281">
          <cell r="A1281">
            <v>1280</v>
          </cell>
          <cell r="B1281" t="str">
            <v>ja</v>
          </cell>
          <cell r="C1281" t="str">
            <v>きせかえR5_卑弥呼</v>
          </cell>
          <cell r="H1281" t="str">
            <v>blue</v>
          </cell>
          <cell r="I1281">
            <v>5</v>
          </cell>
          <cell r="J1281" t="str">
            <v>PremiumN</v>
          </cell>
          <cell r="K1281" t="str">
            <v>attack</v>
          </cell>
          <cell r="L1281" t="str">
            <v>攻撃タイプ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きせかえR5_ダイダラorトリスタン</v>
          </cell>
          <cell r="H1282" t="str">
            <v>green</v>
          </cell>
          <cell r="I1282">
            <v>5</v>
          </cell>
          <cell r="J1282" t="str">
            <v>PremiumN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ポーラ&amp;ダニー(マリア対抗ウィザード)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attack</v>
          </cell>
          <cell r="L1283" t="str">
            <v>攻撃タイプ</v>
          </cell>
          <cell r="M1283" t="str">
            <v>human</v>
          </cell>
        </row>
        <row r="1284">
          <cell r="A1284">
            <v>1283</v>
          </cell>
          <cell r="B1284" t="str">
            <v>ja</v>
          </cell>
          <cell r="C1284" t="str">
            <v>ポーラ&amp;ダニー(マリア対抗ウィザード)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attack</v>
          </cell>
          <cell r="L1284" t="str">
            <v>攻撃タイプ</v>
          </cell>
          <cell r="M1284" t="str">
            <v>human</v>
          </cell>
        </row>
        <row r="1285">
          <cell r="A1285">
            <v>1284</v>
          </cell>
          <cell r="B1285" t="str">
            <v>ja</v>
          </cell>
          <cell r="C1285" t="str">
            <v>スノーマン(ガチャ当たり対抗ウィザード)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attack</v>
          </cell>
          <cell r="L1285" t="str">
            <v>攻撃タイプ</v>
          </cell>
          <cell r="M1285" t="str">
            <v>human</v>
          </cell>
        </row>
        <row r="1286">
          <cell r="A1286">
            <v>1285</v>
          </cell>
          <cell r="B1286" t="str">
            <v>ja</v>
          </cell>
          <cell r="C1286" t="str">
            <v>スノーマン(ガチャ当たり対抗ウィザード)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attack</v>
          </cell>
          <cell r="L1286" t="str">
            <v>攻撃タイプ</v>
          </cell>
          <cell r="M1286" t="str">
            <v>human</v>
          </cell>
        </row>
        <row r="1287">
          <cell r="A1287">
            <v>1286</v>
          </cell>
          <cell r="B1287" t="str">
            <v>ja</v>
          </cell>
          <cell r="C1287" t="str">
            <v>マリアランキング対抗</v>
          </cell>
          <cell r="H1287" t="str">
            <v>blue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academia</v>
          </cell>
        </row>
        <row r="1288">
          <cell r="A1288">
            <v>1287</v>
          </cell>
          <cell r="B1288" t="str">
            <v>ja</v>
          </cell>
          <cell r="C1288" t="str">
            <v>マリアランキング対抗</v>
          </cell>
          <cell r="H1288" t="str">
            <v>blue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academia</v>
          </cell>
        </row>
        <row r="1289">
          <cell r="A1289">
            <v>1288</v>
          </cell>
          <cell r="B1289" t="str">
            <v>ja</v>
          </cell>
          <cell r="C1289" t="str">
            <v>マリアランキング対抗超覚醒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attack</v>
          </cell>
          <cell r="L1289" t="str">
            <v>攻撃タイプ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クリスマス報酬1</v>
          </cell>
          <cell r="H1290" t="str">
            <v>blue</v>
          </cell>
          <cell r="I1290">
            <v>6</v>
          </cell>
          <cell r="J1290" t="str">
            <v>DropWozSSS</v>
          </cell>
          <cell r="K1290" t="str">
            <v>attack</v>
          </cell>
          <cell r="L1290" t="str">
            <v>攻撃タイプ</v>
          </cell>
          <cell r="M1290" t="str">
            <v>human</v>
          </cell>
        </row>
        <row r="1291">
          <cell r="A1291">
            <v>1290</v>
          </cell>
          <cell r="B1291" t="str">
            <v>ja</v>
          </cell>
          <cell r="C1291" t="str">
            <v>クリスマス報酬2</v>
          </cell>
          <cell r="H1291" t="str">
            <v>blue</v>
          </cell>
          <cell r="I1291">
            <v>6</v>
          </cell>
          <cell r="J1291" t="str">
            <v>DropWozSSS</v>
          </cell>
          <cell r="K1291" t="str">
            <v>attack</v>
          </cell>
          <cell r="L1291" t="str">
            <v>攻撃タイプ</v>
          </cell>
          <cell r="M1291" t="str">
            <v>human</v>
          </cell>
        </row>
        <row r="1292">
          <cell r="A1292">
            <v>1291</v>
          </cell>
          <cell r="B1292" t="str">
            <v>ja</v>
          </cell>
          <cell r="C1292" t="str">
            <v>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attack</v>
          </cell>
          <cell r="L1292" t="str">
            <v>攻撃タイプ</v>
          </cell>
          <cell r="M1292" t="str">
            <v>human</v>
          </cell>
        </row>
        <row r="1293">
          <cell r="A1293">
            <v>1292</v>
          </cell>
          <cell r="B1293" t="str">
            <v>ja</v>
          </cell>
          <cell r="C1293" t="str">
            <v>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attack</v>
          </cell>
          <cell r="L1293" t="str">
            <v>攻撃タイプ</v>
          </cell>
          <cell r="M1293" t="str">
            <v>human</v>
          </cell>
        </row>
        <row r="1294">
          <cell r="A1294">
            <v>1293</v>
          </cell>
          <cell r="B1294" t="str">
            <v>ja</v>
          </cell>
          <cell r="C1294" t="str">
            <v>鶏ウィザード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attack</v>
          </cell>
          <cell r="L1294" t="str">
            <v>攻撃タイプ</v>
          </cell>
          <cell r="M1294" t="str">
            <v>human</v>
          </cell>
        </row>
        <row r="1295">
          <cell r="A1295">
            <v>1294</v>
          </cell>
          <cell r="B1295" t="str">
            <v>ja</v>
          </cell>
          <cell r="C1295" t="str">
            <v>鶏ウィザード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attack</v>
          </cell>
          <cell r="L1295" t="str">
            <v>攻撃タイプ</v>
          </cell>
          <cell r="M1295" t="str">
            <v>human</v>
          </cell>
        </row>
        <row r="1296">
          <cell r="A1296">
            <v>1295</v>
          </cell>
          <cell r="B1296" t="str">
            <v>ja</v>
          </cell>
          <cell r="C1296" t="str">
            <v>ラビットユキネ(2017)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attack</v>
          </cell>
          <cell r="L1296" t="str">
            <v>攻撃タイプ</v>
          </cell>
          <cell r="M1296" t="str">
            <v>human</v>
          </cell>
        </row>
        <row r="1297">
          <cell r="A1297">
            <v>1296</v>
          </cell>
          <cell r="B1297" t="str">
            <v>ja</v>
          </cell>
          <cell r="C1297" t="str">
            <v>ラビットユキネ(2017)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attack</v>
          </cell>
          <cell r="L1297" t="str">
            <v>攻撃タイプ</v>
          </cell>
          <cell r="M1297" t="str">
            <v>human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attack</v>
          </cell>
          <cell r="L1298" t="str">
            <v>攻撃タイプ</v>
          </cell>
          <cell r="M1298" t="str">
            <v>human</v>
          </cell>
        </row>
        <row r="1299">
          <cell r="A1299">
            <v>1298</v>
          </cell>
          <cell r="B1299" t="str">
            <v>ja</v>
          </cell>
          <cell r="C1299" t="str">
            <v>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attack</v>
          </cell>
          <cell r="L1299" t="str">
            <v>攻撃タイプ</v>
          </cell>
          <cell r="M1299" t="str">
            <v>human</v>
          </cell>
        </row>
        <row r="1300">
          <cell r="A1300">
            <v>1299</v>
          </cell>
          <cell r="B1300" t="str">
            <v>ja</v>
          </cell>
          <cell r="C1300" t="str">
            <v>初音ミクV3R6覚醒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ミクコスプレ(紫式部)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balance</v>
          </cell>
          <cell r="L1301" t="str">
            <v>バランスタイプ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ミクコスプレ(紫式部)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balance</v>
          </cell>
          <cell r="L1302" t="str">
            <v>バランスタイプ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リンコスプレ(イナバ)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リンコスプレ(イナバ)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KAITOコスプレ(ハーメルン)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balance</v>
          </cell>
          <cell r="L1305" t="str">
            <v>バランスタイプ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KAITOコスプレ(ハーメルン)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balance</v>
          </cell>
          <cell r="L1306" t="str">
            <v>バランスタイプ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超ウィズミクコスプレ(ルシファー)</v>
          </cell>
          <cell r="H1307" t="str">
            <v>yellow</v>
          </cell>
          <cell r="I1307">
            <v>5</v>
          </cell>
          <cell r="J1307" t="str">
            <v>DropWizS</v>
          </cell>
          <cell r="K1307" t="str">
            <v>balance</v>
          </cell>
          <cell r="L1307" t="str">
            <v>バランスタイプ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超ウィズミクコスプレ(ルシファー)</v>
          </cell>
          <cell r="H1308" t="str">
            <v>yellow</v>
          </cell>
          <cell r="I1308">
            <v>6</v>
          </cell>
          <cell r="J1308" t="str">
            <v>DropWizS</v>
          </cell>
          <cell r="K1308" t="str">
            <v>balance</v>
          </cell>
          <cell r="L1308" t="str">
            <v>バランスタイプ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初音ミクR6覚醒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初音ミクアペンドR6化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初音ミクアペンド超覚醒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technical</v>
          </cell>
          <cell r="L1311" t="str">
            <v>テクニカルタイプ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鏡音リンR6覚醒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鏡音レンR6覚醒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巡音ルカR5覚醒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MEIKOR5覚醒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KAITOR5覚醒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DropWizS</v>
          </cell>
          <cell r="K1317" t="str">
            <v>attack</v>
          </cell>
          <cell r="L1317" t="str">
            <v>攻撃タイプ</v>
          </cell>
          <cell r="M1317" t="str">
            <v>human</v>
          </cell>
        </row>
        <row r="1318">
          <cell r="A1318">
            <v>1317</v>
          </cell>
          <cell r="B1318" t="str">
            <v>ja</v>
          </cell>
          <cell r="C1318" t="str">
            <v>初音ミクV4X</v>
          </cell>
          <cell r="H1318" t="str">
            <v>green</v>
          </cell>
          <cell r="I1318">
            <v>6</v>
          </cell>
          <cell r="J1318" t="str">
            <v>DropWizS</v>
          </cell>
          <cell r="K1318" t="str">
            <v>attack</v>
          </cell>
          <cell r="L1318" t="str">
            <v>攻撃タイプ</v>
          </cell>
          <cell r="M1318" t="str">
            <v>human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DropWizS</v>
          </cell>
          <cell r="K1319" t="str">
            <v>attack</v>
          </cell>
          <cell r="L1319" t="str">
            <v>攻撃タイプ</v>
          </cell>
          <cell r="M1319" t="str">
            <v>human</v>
          </cell>
        </row>
        <row r="1320">
          <cell r="A1320">
            <v>1319</v>
          </cell>
          <cell r="B1320" t="str">
            <v>ja</v>
          </cell>
          <cell r="C1320" t="str">
            <v>鏡音リンV4X</v>
          </cell>
          <cell r="H1320" t="str">
            <v>yellow</v>
          </cell>
          <cell r="I1320">
            <v>6</v>
          </cell>
          <cell r="J1320" t="str">
            <v>DropWizS</v>
          </cell>
          <cell r="K1320" t="str">
            <v>attack</v>
          </cell>
          <cell r="L1320" t="str">
            <v>攻撃タイプ</v>
          </cell>
          <cell r="M1320" t="str">
            <v>human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DropWizS</v>
          </cell>
          <cell r="K1321" t="str">
            <v>attack</v>
          </cell>
          <cell r="L1321" t="str">
            <v>攻撃タイプ</v>
          </cell>
          <cell r="M1321" t="str">
            <v>human</v>
          </cell>
        </row>
        <row r="1322">
          <cell r="A1322">
            <v>1321</v>
          </cell>
          <cell r="B1322" t="str">
            <v>ja</v>
          </cell>
          <cell r="C1322" t="str">
            <v>鏡音レンV4X</v>
          </cell>
          <cell r="H1322" t="str">
            <v>yellow</v>
          </cell>
          <cell r="I1322">
            <v>6</v>
          </cell>
          <cell r="J1322" t="str">
            <v>DropWizS</v>
          </cell>
          <cell r="K1322" t="str">
            <v>attack</v>
          </cell>
          <cell r="L1322" t="str">
            <v>攻撃タイプ</v>
          </cell>
          <cell r="M1322" t="str">
            <v>human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DropWizS</v>
          </cell>
          <cell r="K1323" t="str">
            <v>attack</v>
          </cell>
          <cell r="L1323" t="str">
            <v>攻撃タイプ</v>
          </cell>
          <cell r="M1323" t="str">
            <v>human</v>
          </cell>
        </row>
        <row r="1324">
          <cell r="A1324">
            <v>1323</v>
          </cell>
          <cell r="B1324" t="str">
            <v>ja</v>
          </cell>
          <cell r="C1324" t="str">
            <v>巡音ルカV4X</v>
          </cell>
          <cell r="H1324" t="str">
            <v>red</v>
          </cell>
          <cell r="I1324">
            <v>6</v>
          </cell>
          <cell r="J1324" t="str">
            <v>DropWizS</v>
          </cell>
          <cell r="K1324" t="str">
            <v>attack</v>
          </cell>
          <cell r="L1324" t="str">
            <v>攻撃タイプ</v>
          </cell>
          <cell r="M1324" t="str">
            <v>human</v>
          </cell>
        </row>
        <row r="1325">
          <cell r="A1325">
            <v>1324</v>
          </cell>
          <cell r="B1325" t="str">
            <v>ja</v>
          </cell>
          <cell r="C1325" t="str">
            <v>狛犬</v>
          </cell>
          <cell r="H1325" t="str">
            <v>green</v>
          </cell>
          <cell r="I1325">
            <v>4</v>
          </cell>
          <cell r="J1325" t="str">
            <v>DropWizS</v>
          </cell>
          <cell r="K1325" t="str">
            <v>attack</v>
          </cell>
          <cell r="L1325" t="str">
            <v>攻撃タイプ</v>
          </cell>
          <cell r="M1325" t="str">
            <v>human</v>
          </cell>
        </row>
        <row r="1326">
          <cell r="A1326">
            <v>1325</v>
          </cell>
          <cell r="B1326" t="str">
            <v>ja</v>
          </cell>
          <cell r="C1326" t="str">
            <v>狛犬</v>
          </cell>
          <cell r="H1326" t="str">
            <v>green</v>
          </cell>
          <cell r="I1326">
            <v>5</v>
          </cell>
          <cell r="J1326" t="str">
            <v>DropWizS</v>
          </cell>
          <cell r="K1326" t="str">
            <v>attack</v>
          </cell>
          <cell r="L1326" t="str">
            <v>攻撃タイプ</v>
          </cell>
          <cell r="M1326" t="str">
            <v>human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blue</v>
          </cell>
          <cell r="I1327">
            <v>5</v>
          </cell>
          <cell r="J1327" t="str">
            <v>DropWizS</v>
          </cell>
          <cell r="K1327" t="str">
            <v>attack</v>
          </cell>
          <cell r="L1327" t="str">
            <v>攻撃タイプ</v>
          </cell>
          <cell r="M1327" t="str">
            <v>human</v>
          </cell>
        </row>
        <row r="1328">
          <cell r="A1328">
            <v>1327</v>
          </cell>
          <cell r="B1328" t="str">
            <v>ja</v>
          </cell>
          <cell r="C1328" t="str">
            <v>オオクニヌシ</v>
          </cell>
          <cell r="H1328" t="str">
            <v>blue</v>
          </cell>
          <cell r="I1328">
            <v>6</v>
          </cell>
          <cell r="J1328" t="str">
            <v>DropWizS</v>
          </cell>
          <cell r="K1328" t="str">
            <v>attack</v>
          </cell>
          <cell r="L1328" t="str">
            <v>攻撃タイプ</v>
          </cell>
          <cell r="M1328" t="str">
            <v>human</v>
          </cell>
        </row>
        <row r="1329">
          <cell r="A1329">
            <v>1328</v>
          </cell>
          <cell r="B1329" t="str">
            <v>ja</v>
          </cell>
          <cell r="C1329" t="str">
            <v>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human</v>
          </cell>
        </row>
        <row r="1330">
          <cell r="A1330">
            <v>1329</v>
          </cell>
          <cell r="B1330" t="str">
            <v>ja</v>
          </cell>
          <cell r="C1330" t="str">
            <v>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human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</v>
          </cell>
          <cell r="K1331" t="str">
            <v>attack</v>
          </cell>
          <cell r="L1331" t="str">
            <v>攻撃タイプ</v>
          </cell>
          <cell r="M1331" t="str">
            <v>human</v>
          </cell>
        </row>
        <row r="1332">
          <cell r="A1332">
            <v>1331</v>
          </cell>
          <cell r="B1332" t="str">
            <v>ja</v>
          </cell>
          <cell r="C1332" t="str">
            <v>スサノオ</v>
          </cell>
          <cell r="H1332" t="str">
            <v>yellow</v>
          </cell>
          <cell r="I1332">
            <v>6</v>
          </cell>
          <cell r="J1332" t="str">
            <v>DropWizS</v>
          </cell>
          <cell r="K1332" t="str">
            <v>attack</v>
          </cell>
          <cell r="L1332" t="str">
            <v>攻撃タイプ</v>
          </cell>
          <cell r="M1332" t="str">
            <v>human</v>
          </cell>
        </row>
        <row r="1333">
          <cell r="A1333">
            <v>1332</v>
          </cell>
          <cell r="B1333" t="str">
            <v>ja</v>
          </cell>
          <cell r="C1333" t="str">
            <v>タマヨリヒメ(はずれ)</v>
          </cell>
          <cell r="H1333" t="str">
            <v>red</v>
          </cell>
          <cell r="I1333">
            <v>4</v>
          </cell>
          <cell r="J1333" t="str">
            <v>DropWizS</v>
          </cell>
          <cell r="K1333" t="str">
            <v>attack</v>
          </cell>
          <cell r="L1333" t="str">
            <v>攻撃タイプ</v>
          </cell>
          <cell r="M1333" t="str">
            <v>human</v>
          </cell>
        </row>
        <row r="1334">
          <cell r="A1334">
            <v>1333</v>
          </cell>
          <cell r="B1334" t="str">
            <v>ja</v>
          </cell>
          <cell r="C1334" t="str">
            <v>タマヨリヒメ(はずれ)</v>
          </cell>
          <cell r="H1334" t="str">
            <v>red</v>
          </cell>
          <cell r="I1334">
            <v>5</v>
          </cell>
          <cell r="J1334" t="str">
            <v>DropWizS</v>
          </cell>
          <cell r="K1334" t="str">
            <v>attack</v>
          </cell>
          <cell r="L1334" t="str">
            <v>攻撃タイプ</v>
          </cell>
          <cell r="M1334" t="str">
            <v>human</v>
          </cell>
        </row>
        <row r="1335">
          <cell r="A1335">
            <v>1334</v>
          </cell>
          <cell r="B1335" t="str">
            <v>ja</v>
          </cell>
          <cell r="C1335" t="str">
            <v>クシナダヒメ(超あたり)</v>
          </cell>
          <cell r="H1335" t="str">
            <v>green</v>
          </cell>
          <cell r="I1335">
            <v>5</v>
          </cell>
          <cell r="J1335" t="str">
            <v>DropWizS</v>
          </cell>
          <cell r="K1335" t="str">
            <v>attack</v>
          </cell>
          <cell r="L1335" t="str">
            <v>攻撃タイプ</v>
          </cell>
          <cell r="M1335" t="str">
            <v>human</v>
          </cell>
        </row>
        <row r="1336">
          <cell r="A1336">
            <v>1335</v>
          </cell>
          <cell r="B1336" t="str">
            <v>ja</v>
          </cell>
          <cell r="C1336" t="str">
            <v>クシナダヒメ(超あたり)</v>
          </cell>
          <cell r="H1336" t="str">
            <v>green</v>
          </cell>
          <cell r="I1336">
            <v>6</v>
          </cell>
          <cell r="J1336" t="str">
            <v>DropWizS</v>
          </cell>
          <cell r="K1336" t="str">
            <v>attack</v>
          </cell>
          <cell r="L1336" t="str">
            <v>攻撃タイプ</v>
          </cell>
          <cell r="M1336" t="str">
            <v>human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DropWizS</v>
          </cell>
          <cell r="K1337" t="str">
            <v>attack</v>
          </cell>
          <cell r="L1337" t="str">
            <v>攻撃タイプ</v>
          </cell>
          <cell r="M1337" t="str">
            <v>human</v>
          </cell>
        </row>
        <row r="1338">
          <cell r="A1338">
            <v>1337</v>
          </cell>
          <cell r="B1338" t="str">
            <v>ja</v>
          </cell>
          <cell r="C1338" t="str">
            <v>イザナギ</v>
          </cell>
          <cell r="H1338" t="str">
            <v>blue</v>
          </cell>
          <cell r="I1338">
            <v>6</v>
          </cell>
          <cell r="J1338" t="str">
            <v>DropWizS</v>
          </cell>
          <cell r="K1338" t="str">
            <v>attack</v>
          </cell>
          <cell r="L1338" t="str">
            <v>攻撃タイプ</v>
          </cell>
          <cell r="M1338" t="str">
            <v>human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DropWizS</v>
          </cell>
          <cell r="K1339" t="str">
            <v>attack</v>
          </cell>
          <cell r="L1339" t="str">
            <v>攻撃タイプ</v>
          </cell>
          <cell r="M1339" t="str">
            <v>human</v>
          </cell>
        </row>
        <row r="1340">
          <cell r="A1340">
            <v>1339</v>
          </cell>
          <cell r="B1340" t="str">
            <v>ja</v>
          </cell>
          <cell r="C1340" t="str">
            <v>アメノウズメ</v>
          </cell>
          <cell r="H1340" t="str">
            <v>yellow</v>
          </cell>
          <cell r="I1340">
            <v>6</v>
          </cell>
          <cell r="J1340" t="str">
            <v>DropWizS</v>
          </cell>
          <cell r="K1340" t="str">
            <v>attack</v>
          </cell>
          <cell r="L1340" t="str">
            <v>攻撃タイプ</v>
          </cell>
          <cell r="M1340" t="str">
            <v>human</v>
          </cell>
        </row>
        <row r="1341">
          <cell r="A1341">
            <v>1340</v>
          </cell>
          <cell r="B1341" t="str">
            <v>ja</v>
          </cell>
          <cell r="C1341" t="str">
            <v>科学者(名称未定)</v>
          </cell>
          <cell r="H1341" t="str">
            <v>green</v>
          </cell>
          <cell r="I1341">
            <v>5</v>
          </cell>
          <cell r="J1341" t="str">
            <v>DropWizS</v>
          </cell>
          <cell r="K1341" t="str">
            <v>attack</v>
          </cell>
          <cell r="L1341" t="str">
            <v>攻撃タイプ</v>
          </cell>
          <cell r="M1341" t="str">
            <v>human</v>
          </cell>
        </row>
        <row r="1342">
          <cell r="A1342">
            <v>1341</v>
          </cell>
          <cell r="B1342" t="str">
            <v>ja</v>
          </cell>
          <cell r="C1342" t="str">
            <v>科学者(名称未定)</v>
          </cell>
          <cell r="H1342" t="str">
            <v>green</v>
          </cell>
          <cell r="I1342">
            <v>6</v>
          </cell>
          <cell r="J1342" t="str">
            <v>DropWizS</v>
          </cell>
          <cell r="K1342" t="str">
            <v>attack</v>
          </cell>
          <cell r="L1342" t="str">
            <v>攻撃タイプ</v>
          </cell>
          <cell r="M1342" t="str">
            <v>human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PvP報酬_緑</v>
          </cell>
          <cell r="H1345" t="str">
            <v>green</v>
          </cell>
          <cell r="I1345">
            <v>5</v>
          </cell>
          <cell r="J1345" t="str">
            <v>DropWizS</v>
          </cell>
          <cell r="K1345" t="str">
            <v>attack</v>
          </cell>
          <cell r="L1345" t="str">
            <v>攻撃タイプ</v>
          </cell>
          <cell r="M1345" t="str">
            <v>human</v>
          </cell>
        </row>
        <row r="1346">
          <cell r="A1346">
            <v>1345</v>
          </cell>
          <cell r="B1346" t="str">
            <v>ja</v>
          </cell>
          <cell r="C1346" t="str">
            <v>PvP報酬_緑</v>
          </cell>
          <cell r="H1346" t="str">
            <v>green</v>
          </cell>
          <cell r="I1346">
            <v>6</v>
          </cell>
          <cell r="J1346" t="str">
            <v>DropWizS</v>
          </cell>
          <cell r="K1346" t="str">
            <v>attack</v>
          </cell>
          <cell r="L1346" t="str">
            <v>攻撃タイプ</v>
          </cell>
          <cell r="M1346" t="str">
            <v>human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PvP報酬_黄</v>
          </cell>
          <cell r="H1349" t="str">
            <v>yellow</v>
          </cell>
          <cell r="I1349">
            <v>5</v>
          </cell>
          <cell r="J1349" t="str">
            <v>DropWizS</v>
          </cell>
          <cell r="K1349" t="str">
            <v>attack</v>
          </cell>
          <cell r="L1349" t="str">
            <v>攻撃タイプ</v>
          </cell>
          <cell r="M1349" t="str">
            <v>human</v>
          </cell>
        </row>
        <row r="1350">
          <cell r="A1350">
            <v>1349</v>
          </cell>
          <cell r="B1350" t="str">
            <v>ja</v>
          </cell>
          <cell r="C1350" t="str">
            <v>PvP報酬_黄</v>
          </cell>
          <cell r="H1350" t="str">
            <v>yellow</v>
          </cell>
          <cell r="I1350">
            <v>6</v>
          </cell>
          <cell r="J1350" t="str">
            <v>DropWizS</v>
          </cell>
          <cell r="K1350" t="str">
            <v>attack</v>
          </cell>
          <cell r="L1350" t="str">
            <v>攻撃タイプ</v>
          </cell>
          <cell r="M1350" t="str">
            <v>human</v>
          </cell>
        </row>
        <row r="1351">
          <cell r="A1351">
            <v>1350</v>
          </cell>
          <cell r="B1351" t="str">
            <v>ja</v>
          </cell>
          <cell r="C1351" t="str">
            <v>ツンデレ制服女の子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ツンデレ制服女の子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attack</v>
          </cell>
          <cell r="L1352" t="str">
            <v>攻撃タイプ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内気制服女の子</v>
          </cell>
          <cell r="H1353" t="str">
            <v>blue</v>
          </cell>
          <cell r="I1353">
            <v>5</v>
          </cell>
          <cell r="J1353" t="str">
            <v>DropWizS</v>
          </cell>
          <cell r="K1353" t="str">
            <v>attack</v>
          </cell>
          <cell r="L1353" t="str">
            <v>攻撃タイプ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内気制服女の子</v>
          </cell>
          <cell r="H1354" t="str">
            <v>blue</v>
          </cell>
          <cell r="I1354">
            <v>6</v>
          </cell>
          <cell r="J1354" t="str">
            <v>DropWizS</v>
          </cell>
          <cell r="K1354" t="str">
            <v>attack</v>
          </cell>
          <cell r="L1354" t="str">
            <v>攻撃タイプ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フレイヤ</v>
          </cell>
          <cell r="H1355" t="str">
            <v>green</v>
          </cell>
          <cell r="I1355">
            <v>6</v>
          </cell>
          <cell r="J1355" t="str">
            <v>DropWizS</v>
          </cell>
          <cell r="K1355" t="str">
            <v>attack</v>
          </cell>
          <cell r="L1355" t="str">
            <v>攻撃タイプ</v>
          </cell>
          <cell r="M1355" t="str">
            <v>human</v>
          </cell>
        </row>
        <row r="1356">
          <cell r="A1356">
            <v>1355</v>
          </cell>
          <cell r="B1356" t="str">
            <v>ja</v>
          </cell>
          <cell r="C1356" t="str">
            <v>メタトロン</v>
          </cell>
          <cell r="H1356" t="str">
            <v>yellow</v>
          </cell>
          <cell r="I1356">
            <v>6</v>
          </cell>
          <cell r="J1356" t="str">
            <v>DropWizS</v>
          </cell>
          <cell r="K1356" t="str">
            <v>attack</v>
          </cell>
          <cell r="L1356" t="str">
            <v>攻撃タイプ</v>
          </cell>
          <cell r="M1356" t="str">
            <v>human</v>
          </cell>
        </row>
        <row r="1357">
          <cell r="A1357">
            <v>1356</v>
          </cell>
          <cell r="B1357" t="str">
            <v>ja</v>
          </cell>
          <cell r="C1357" t="str">
            <v>タマモ</v>
          </cell>
          <cell r="H1357" t="str">
            <v>red</v>
          </cell>
          <cell r="I1357">
            <v>5</v>
          </cell>
          <cell r="J1357" t="str">
            <v>DropWizS</v>
          </cell>
          <cell r="K1357" t="str">
            <v>attack</v>
          </cell>
          <cell r="L1357" t="str">
            <v>攻撃タイプ</v>
          </cell>
          <cell r="M1357" t="str">
            <v>human</v>
          </cell>
        </row>
        <row r="1358">
          <cell r="A1358">
            <v>1357</v>
          </cell>
          <cell r="B1358" t="str">
            <v>ja</v>
          </cell>
          <cell r="C1358" t="str">
            <v>アズラエル</v>
          </cell>
          <cell r="H1358" t="str">
            <v>blue</v>
          </cell>
          <cell r="I1358">
            <v>5</v>
          </cell>
          <cell r="J1358" t="str">
            <v>DropWizS</v>
          </cell>
          <cell r="K1358" t="str">
            <v>attack</v>
          </cell>
          <cell r="L1358" t="str">
            <v>攻撃タイプ</v>
          </cell>
          <cell r="M1358" t="str">
            <v>human</v>
          </cell>
        </row>
        <row r="1359">
          <cell r="A1359">
            <v>1358</v>
          </cell>
          <cell r="B1359" t="str">
            <v>ja</v>
          </cell>
          <cell r="C1359" t="str">
            <v>バハムート</v>
          </cell>
          <cell r="H1359" t="str">
            <v>yellow</v>
          </cell>
          <cell r="I1359">
            <v>5</v>
          </cell>
          <cell r="J1359" t="str">
            <v>DropWizS</v>
          </cell>
          <cell r="K1359" t="str">
            <v>attack</v>
          </cell>
          <cell r="L1359" t="str">
            <v>攻撃タイプ</v>
          </cell>
          <cell r="M1359" t="str">
            <v>human</v>
          </cell>
        </row>
        <row r="1360">
          <cell r="A1360">
            <v>1359</v>
          </cell>
          <cell r="B1360" t="str">
            <v>ja</v>
          </cell>
          <cell r="C1360" t="str">
            <v>シチュエーション別女の子(ショコラ)</v>
          </cell>
          <cell r="H1360" t="str">
            <v>red</v>
          </cell>
          <cell r="I1360">
            <v>5</v>
          </cell>
          <cell r="J1360" t="str">
            <v>DropWizS</v>
          </cell>
          <cell r="K1360" t="str">
            <v>attack</v>
          </cell>
          <cell r="L1360" t="str">
            <v>攻撃タイプ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シチュエーション別女の子(ショコラ)</v>
          </cell>
          <cell r="H1361" t="str">
            <v>red</v>
          </cell>
          <cell r="I1361">
            <v>6</v>
          </cell>
          <cell r="J1361" t="str">
            <v>DropWizS</v>
          </cell>
          <cell r="K1361" t="str">
            <v>attack</v>
          </cell>
          <cell r="L1361" t="str">
            <v>攻撃タイプ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シチュエーション別女の子(ショコラ)</v>
          </cell>
          <cell r="H1362" t="str">
            <v>red</v>
          </cell>
          <cell r="I1362">
            <v>6</v>
          </cell>
          <cell r="J1362" t="str">
            <v>DropWizS</v>
          </cell>
          <cell r="K1362" t="str">
            <v>attack</v>
          </cell>
          <cell r="L1362" t="str">
            <v>攻撃タイプ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シチュエーション別女の子</v>
          </cell>
          <cell r="H1363" t="str">
            <v>red</v>
          </cell>
          <cell r="I1363">
            <v>6</v>
          </cell>
          <cell r="J1363" t="str">
            <v>DropWizS</v>
          </cell>
          <cell r="K1363" t="str">
            <v>attack</v>
          </cell>
          <cell r="L1363" t="str">
            <v>攻撃タイプ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シチュエーション別女の子</v>
          </cell>
          <cell r="H1364" t="str">
            <v>yellow</v>
          </cell>
          <cell r="I1364">
            <v>6</v>
          </cell>
          <cell r="J1364" t="str">
            <v>DropWizS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シチュエーション別女の子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attack</v>
          </cell>
          <cell r="L1365" t="str">
            <v>攻撃タイプ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フェルメール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heal</v>
          </cell>
          <cell r="L1368" t="str">
            <v>回復タイプ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フェルメール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heal</v>
          </cell>
          <cell r="L1369" t="str">
            <v>回復タイプ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6001</v>
          </cell>
          <cell r="B1372" t="str">
            <v>ja</v>
          </cell>
          <cell r="C1372" t="str">
            <v>ジェリー</v>
          </cell>
          <cell r="D1372" t="str">
            <v>ノーマルクエスト</v>
          </cell>
          <cell r="E1372" t="str">
            <v>QoH</v>
          </cell>
          <cell r="F1372" t="str">
            <v>世界観</v>
          </cell>
          <cell r="G1372" t="str">
            <v>不明</v>
          </cell>
          <cell r="H1372" t="str">
            <v>red</v>
          </cell>
          <cell r="I1372">
            <v>1</v>
          </cell>
          <cell r="J1372" t="str">
            <v>Drop1T</v>
          </cell>
          <cell r="K1372" t="str">
            <v>ra</v>
          </cell>
          <cell r="L1372" t="str">
            <v>ラグランジュチャレンジ</v>
          </cell>
          <cell r="M1372" t="str">
            <v>unknown</v>
          </cell>
        </row>
        <row r="1373">
          <cell r="A1373">
            <v>6002</v>
          </cell>
          <cell r="B1373" t="str">
            <v>ja</v>
          </cell>
          <cell r="C1373" t="str">
            <v>ヨシタカ</v>
          </cell>
          <cell r="D1373" t="str">
            <v>ノーマルクエスト</v>
          </cell>
          <cell r="E1373" t="str">
            <v>アバター</v>
          </cell>
          <cell r="F1373" t="str">
            <v>世界観</v>
          </cell>
          <cell r="G1373" t="str">
            <v>男性</v>
          </cell>
          <cell r="H1373" t="str">
            <v>red</v>
          </cell>
          <cell r="I1373">
            <v>2</v>
          </cell>
          <cell r="J1373" t="str">
            <v>Drop1N</v>
          </cell>
          <cell r="K1373" t="str">
            <v>ra</v>
          </cell>
          <cell r="L1373" t="str">
            <v>ラグランジュチャレンジ</v>
          </cell>
          <cell r="M1373" t="str">
            <v>human</v>
          </cell>
        </row>
        <row r="1374">
          <cell r="A1374">
            <v>6003</v>
          </cell>
          <cell r="B1374" t="str">
            <v>ja</v>
          </cell>
          <cell r="C1374" t="str">
            <v>朱雀</v>
          </cell>
          <cell r="D1374" t="str">
            <v>リンクガチャ:4神</v>
          </cell>
          <cell r="E1374" t="str">
            <v>守護神</v>
          </cell>
          <cell r="F1374" t="str">
            <v>格好いい</v>
          </cell>
          <cell r="G1374" t="str">
            <v>不明</v>
          </cell>
          <cell r="H1374" t="str">
            <v>red</v>
          </cell>
          <cell r="I1374">
            <v>3</v>
          </cell>
          <cell r="J1374" t="str">
            <v>Drop2N</v>
          </cell>
          <cell r="K1374" t="str">
            <v>ra</v>
          </cell>
          <cell r="L1374" t="str">
            <v>ラグランジュチャレンジ</v>
          </cell>
          <cell r="M1374" t="str">
            <v>animal</v>
          </cell>
        </row>
        <row r="1375">
          <cell r="A1375">
            <v>6004</v>
          </cell>
          <cell r="B1375" t="str">
            <v>ja</v>
          </cell>
          <cell r="C1375" t="str">
            <v>ブレット</v>
          </cell>
          <cell r="D1375" t="str">
            <v>ノーマルクエスト</v>
          </cell>
          <cell r="E1375" t="str">
            <v>アバター</v>
          </cell>
          <cell r="F1375" t="str">
            <v>世界観</v>
          </cell>
          <cell r="G1375" t="str">
            <v>不明</v>
          </cell>
          <cell r="H1375" t="str">
            <v>red</v>
          </cell>
          <cell r="I1375">
            <v>1</v>
          </cell>
          <cell r="J1375" t="str">
            <v>Drop1W</v>
          </cell>
          <cell r="K1375" t="str">
            <v>ra</v>
          </cell>
          <cell r="L1375" t="str">
            <v>ラグランジュチャレンジ</v>
          </cell>
          <cell r="M1375" t="str">
            <v>animal</v>
          </cell>
        </row>
        <row r="1376">
          <cell r="A1376">
            <v>6005</v>
          </cell>
          <cell r="B1376" t="str">
            <v>ja</v>
          </cell>
          <cell r="C1376" t="str">
            <v>孤神 テティス</v>
          </cell>
          <cell r="D1376" t="str">
            <v>初期ガチャ</v>
          </cell>
          <cell r="E1376" t="str">
            <v>管理者</v>
          </cell>
          <cell r="F1376" t="str">
            <v>美しい</v>
          </cell>
          <cell r="G1376" t="str">
            <v>女性</v>
          </cell>
          <cell r="H1376" t="str">
            <v>blue</v>
          </cell>
          <cell r="I1376">
            <v>4</v>
          </cell>
          <cell r="J1376" t="str">
            <v>PremiumN</v>
          </cell>
          <cell r="K1376" t="str">
            <v>ra</v>
          </cell>
          <cell r="L1376" t="str">
            <v>ラグランジュチャレンジ</v>
          </cell>
          <cell r="M1376" t="str">
            <v>god</v>
          </cell>
        </row>
        <row r="1377">
          <cell r="A1377">
            <v>6006</v>
          </cell>
          <cell r="B1377" t="str">
            <v>ja</v>
          </cell>
          <cell r="C1377" t="str">
            <v>海底の孤高神 テティス</v>
          </cell>
          <cell r="D1377" t="str">
            <v>初期ガチャ</v>
          </cell>
          <cell r="E1377" t="str">
            <v>管理者</v>
          </cell>
          <cell r="F1377" t="str">
            <v>美しい</v>
          </cell>
          <cell r="G1377" t="str">
            <v>女性</v>
          </cell>
          <cell r="H1377" t="str">
            <v>blue</v>
          </cell>
          <cell r="I1377">
            <v>5</v>
          </cell>
          <cell r="J1377" t="str">
            <v>PremiumN</v>
          </cell>
          <cell r="K1377" t="str">
            <v>ra</v>
          </cell>
          <cell r="L1377" t="str">
            <v>ラグランジュチャレンジ</v>
          </cell>
          <cell r="M1377" t="str">
            <v>god</v>
          </cell>
        </row>
        <row r="1378">
          <cell r="A1378">
            <v>6007</v>
          </cell>
          <cell r="B1378" t="str">
            <v>ja</v>
          </cell>
          <cell r="C1378" t="str">
            <v>番犬 ケルベロス</v>
          </cell>
          <cell r="D1378" t="str">
            <v>初期ガチャ</v>
          </cell>
          <cell r="E1378" t="str">
            <v>破界者</v>
          </cell>
          <cell r="F1378" t="str">
            <v>可愛い</v>
          </cell>
          <cell r="G1378" t="str">
            <v>女性</v>
          </cell>
          <cell r="H1378" t="str">
            <v>red</v>
          </cell>
          <cell r="I1378">
            <v>4</v>
          </cell>
          <cell r="J1378" t="str">
            <v>PremiumN</v>
          </cell>
          <cell r="K1378" t="str">
            <v>ra</v>
          </cell>
          <cell r="L1378" t="str">
            <v>ラグランジュチャレンジ</v>
          </cell>
          <cell r="M1378" t="str">
            <v>animal</v>
          </cell>
        </row>
        <row r="1379">
          <cell r="A1379">
            <v>6008</v>
          </cell>
          <cell r="B1379" t="str">
            <v>ja</v>
          </cell>
          <cell r="C1379" t="str">
            <v>焔神 プロメテウス</v>
          </cell>
          <cell r="D1379" t="str">
            <v>初期ガチャ</v>
          </cell>
          <cell r="E1379" t="str">
            <v>管理者</v>
          </cell>
          <cell r="F1379" t="str">
            <v>格好いい</v>
          </cell>
          <cell r="G1379" t="str">
            <v>男性</v>
          </cell>
          <cell r="H1379" t="str">
            <v>red</v>
          </cell>
          <cell r="I1379">
            <v>4</v>
          </cell>
          <cell r="J1379" t="str">
            <v>PremiumN</v>
          </cell>
          <cell r="K1379" t="str">
            <v>ra</v>
          </cell>
          <cell r="L1379" t="str">
            <v>ラグランジュチャレンジ</v>
          </cell>
          <cell r="M1379" t="str">
            <v>god</v>
          </cell>
        </row>
        <row r="1380">
          <cell r="A1380">
            <v>6009</v>
          </cell>
          <cell r="B1380" t="str">
            <v>ja</v>
          </cell>
          <cell r="C1380" t="str">
            <v>超越自我 ラグランジュ</v>
          </cell>
          <cell r="D1380" t="str">
            <v>ガチャ:フィーバーフェス02</v>
          </cell>
          <cell r="E1380" t="str">
            <v>執行者</v>
          </cell>
          <cell r="F1380" t="str">
            <v>格好いい</v>
          </cell>
          <cell r="G1380" t="str">
            <v>女性</v>
          </cell>
          <cell r="H1380" t="str">
            <v>red</v>
          </cell>
          <cell r="I1380">
            <v>5</v>
          </cell>
          <cell r="J1380" t="str">
            <v>PremiumSSS</v>
          </cell>
          <cell r="K1380" t="str">
            <v>ra</v>
          </cell>
          <cell r="L1380" t="str">
            <v>ラグランジュチャレンジ</v>
          </cell>
          <cell r="M1380" t="str">
            <v>human</v>
          </cell>
        </row>
        <row r="1381">
          <cell r="A1381">
            <v>6010</v>
          </cell>
          <cell r="B1381" t="str">
            <v>ja</v>
          </cell>
          <cell r="C1381" t="str">
            <v>超越凌駕 ラグランジュ</v>
          </cell>
          <cell r="D1381" t="str">
            <v>ガチャ:フィーバーフェス02</v>
          </cell>
          <cell r="E1381" t="str">
            <v>執行者</v>
          </cell>
          <cell r="F1381" t="str">
            <v>格好いい</v>
          </cell>
          <cell r="G1381" t="str">
            <v>女性</v>
          </cell>
          <cell r="H1381" t="str">
            <v>red</v>
          </cell>
          <cell r="I1381">
            <v>6</v>
          </cell>
          <cell r="J1381" t="str">
            <v>PremiumSSS</v>
          </cell>
          <cell r="K1381" t="str">
            <v>ra</v>
          </cell>
          <cell r="L1381" t="str">
            <v>ラグランジュチャレンジ</v>
          </cell>
          <cell r="M1381" t="str">
            <v>human</v>
          </cell>
        </row>
        <row r="1382">
          <cell r="A1382">
            <v>6011</v>
          </cell>
          <cell r="B1382" t="str">
            <v>ja</v>
          </cell>
          <cell r="C1382" t="str">
            <v>パトドッグリーダー ポチ</v>
          </cell>
          <cell r="D1382" t="str">
            <v>ガチャ:フィーバーフェス02</v>
          </cell>
          <cell r="E1382" t="str">
            <v>執行者</v>
          </cell>
          <cell r="F1382" t="str">
            <v>格好いい</v>
          </cell>
          <cell r="G1382" t="str">
            <v>男性</v>
          </cell>
          <cell r="H1382" t="str">
            <v>blue</v>
          </cell>
          <cell r="I1382">
            <v>2</v>
          </cell>
          <cell r="J1382" t="str">
            <v>Drop1T</v>
          </cell>
          <cell r="K1382" t="str">
            <v>ra002</v>
          </cell>
          <cell r="L1382" t="str">
            <v>ユークリッドチャレンジ</v>
          </cell>
          <cell r="M1382" t="str">
            <v>unknown</v>
          </cell>
        </row>
        <row r="1383">
          <cell r="A1383">
            <v>6012</v>
          </cell>
          <cell r="B1383" t="str">
            <v>ja</v>
          </cell>
          <cell r="C1383" t="str">
            <v>ミミ</v>
          </cell>
          <cell r="D1383" t="str">
            <v>ガチャ:フィーバーフェス02</v>
          </cell>
          <cell r="E1383" t="str">
            <v>執行者</v>
          </cell>
          <cell r="F1383" t="str">
            <v>格好いい</v>
          </cell>
          <cell r="G1383" t="str">
            <v>男性</v>
          </cell>
          <cell r="H1383" t="str">
            <v>yellow</v>
          </cell>
          <cell r="I1383">
            <v>1</v>
          </cell>
          <cell r="J1383" t="str">
            <v>Drop1W</v>
          </cell>
          <cell r="K1383" t="str">
            <v>ra002</v>
          </cell>
          <cell r="L1383" t="str">
            <v>ユークリッドチャレンジ</v>
          </cell>
          <cell r="M1383" t="str">
            <v>animal</v>
          </cell>
        </row>
        <row r="1384">
          <cell r="A1384">
            <v>6013</v>
          </cell>
          <cell r="B1384" t="str">
            <v>ja</v>
          </cell>
          <cell r="C1384" t="str">
            <v>護衛機人 スケアクロウ</v>
          </cell>
          <cell r="D1384" t="str">
            <v>ガチャ:フィーバーフェス02</v>
          </cell>
          <cell r="E1384" t="str">
            <v>執行者</v>
          </cell>
          <cell r="F1384" t="str">
            <v>格好いい</v>
          </cell>
          <cell r="G1384" t="str">
            <v>男性</v>
          </cell>
          <cell r="H1384" t="str">
            <v>blue</v>
          </cell>
          <cell r="I1384">
            <v>2</v>
          </cell>
          <cell r="J1384" t="str">
            <v>Drop1N</v>
          </cell>
          <cell r="K1384" t="str">
            <v>ra002</v>
          </cell>
          <cell r="L1384" t="str">
            <v>ユークリッドチャレンジ</v>
          </cell>
          <cell r="M1384" t="str">
            <v>machine</v>
          </cell>
        </row>
        <row r="1385">
          <cell r="A1385">
            <v>6014</v>
          </cell>
          <cell r="B1385" t="str">
            <v>ja</v>
          </cell>
          <cell r="C1385" t="str">
            <v>月下の人狼 ローレンス</v>
          </cell>
          <cell r="D1385" t="str">
            <v>ガチャ:フィーバーフェス02</v>
          </cell>
          <cell r="E1385" t="str">
            <v>執行者</v>
          </cell>
          <cell r="F1385" t="str">
            <v>格好いい</v>
          </cell>
          <cell r="G1385" t="str">
            <v>男性</v>
          </cell>
          <cell r="H1385" t="str">
            <v>blue</v>
          </cell>
          <cell r="I1385">
            <v>4</v>
          </cell>
          <cell r="J1385" t="str">
            <v>PremiumW</v>
          </cell>
          <cell r="K1385" t="str">
            <v>ra002</v>
          </cell>
          <cell r="L1385" t="str">
            <v>ユークリッドチャレンジ</v>
          </cell>
          <cell r="M1385" t="str">
            <v>animal</v>
          </cell>
        </row>
        <row r="1386">
          <cell r="A1386">
            <v>6015</v>
          </cell>
          <cell r="B1386" t="str">
            <v>ja</v>
          </cell>
          <cell r="C1386" t="str">
            <v>フレイヤ</v>
          </cell>
          <cell r="D1386" t="str">
            <v>ガチャ:フィーバーフェス02</v>
          </cell>
          <cell r="E1386" t="str">
            <v>執行者</v>
          </cell>
          <cell r="F1386" t="str">
            <v>格好いい</v>
          </cell>
          <cell r="G1386" t="str">
            <v>男性</v>
          </cell>
          <cell r="H1386" t="str">
            <v>blue</v>
          </cell>
          <cell r="I1386">
            <v>4</v>
          </cell>
          <cell r="J1386" t="str">
            <v>PremiumSS</v>
          </cell>
          <cell r="K1386" t="str">
            <v>ra002</v>
          </cell>
          <cell r="L1386" t="str">
            <v>ユークリッドチャレンジ</v>
          </cell>
          <cell r="M1386" t="str">
            <v>animal</v>
          </cell>
        </row>
        <row r="1387">
          <cell r="A1387">
            <v>6016</v>
          </cell>
          <cell r="B1387" t="str">
            <v>ja</v>
          </cell>
          <cell r="C1387" t="str">
            <v>根原論理 ユークリッド</v>
          </cell>
          <cell r="D1387" t="str">
            <v>ガチャ:フィーバーフェス02</v>
          </cell>
          <cell r="E1387" t="str">
            <v>執行者</v>
          </cell>
          <cell r="F1387" t="str">
            <v>格好いい</v>
          </cell>
          <cell r="G1387" t="str">
            <v>男性</v>
          </cell>
          <cell r="H1387" t="str">
            <v>blue</v>
          </cell>
          <cell r="I1387">
            <v>5</v>
          </cell>
          <cell r="J1387" t="str">
            <v>PremiumSSS</v>
          </cell>
          <cell r="K1387" t="str">
            <v>ra002</v>
          </cell>
          <cell r="L1387" t="str">
            <v>ユークリッドチャレンジ</v>
          </cell>
          <cell r="M1387" t="str">
            <v>human</v>
          </cell>
        </row>
        <row r="1388">
          <cell r="A1388">
            <v>6017</v>
          </cell>
          <cell r="B1388" t="str">
            <v>ja</v>
          </cell>
          <cell r="C1388" t="str">
            <v>不朽の極論 ユークリッド</v>
          </cell>
          <cell r="D1388" t="str">
            <v>ガチャ:フィーバーフェス02</v>
          </cell>
          <cell r="E1388" t="str">
            <v>執行者</v>
          </cell>
          <cell r="F1388" t="str">
            <v>格好いい</v>
          </cell>
          <cell r="G1388" t="str">
            <v>男性</v>
          </cell>
          <cell r="H1388" t="str">
            <v>blue</v>
          </cell>
          <cell r="I1388">
            <v>6</v>
          </cell>
          <cell r="J1388" t="str">
            <v>PremiumSSS</v>
          </cell>
          <cell r="K1388" t="str">
            <v>ra002</v>
          </cell>
          <cell r="L1388" t="str">
            <v>ユークリッドチャレンジ</v>
          </cell>
          <cell r="M1388" t="str">
            <v>human</v>
          </cell>
        </row>
        <row r="1389">
          <cell r="A1389">
            <v>6018</v>
          </cell>
          <cell r="B1389" t="str">
            <v>ja</v>
          </cell>
          <cell r="C1389" t="str">
            <v>ハヅル</v>
          </cell>
          <cell r="D1389" t="str">
            <v>ガチャ:フィーバーフェス02</v>
          </cell>
          <cell r="E1389" t="str">
            <v>執行者</v>
          </cell>
          <cell r="F1389" t="str">
            <v>格好いい</v>
          </cell>
          <cell r="G1389" t="str">
            <v>男性</v>
          </cell>
          <cell r="H1389" t="str">
            <v>red</v>
          </cell>
          <cell r="I1389">
            <v>4</v>
          </cell>
          <cell r="J1389" t="str">
            <v>PremiumSS</v>
          </cell>
          <cell r="K1389" t="str">
            <v>ra002</v>
          </cell>
          <cell r="L1389" t="str">
            <v>ユークリッドチャレンジ</v>
          </cell>
          <cell r="M1389" t="str">
            <v>animal</v>
          </cell>
        </row>
        <row r="1390">
          <cell r="A1390">
            <v>6019</v>
          </cell>
          <cell r="B1390" t="str">
            <v>ja</v>
          </cell>
          <cell r="C1390" t="str">
            <v>天織羽鶴 ハヅル</v>
          </cell>
          <cell r="D1390" t="str">
            <v>ガチャ:フィーバーフェス02</v>
          </cell>
          <cell r="E1390" t="str">
            <v>執行者</v>
          </cell>
          <cell r="F1390" t="str">
            <v>格好いい</v>
          </cell>
          <cell r="G1390" t="str">
            <v>男性</v>
          </cell>
          <cell r="H1390" t="str">
            <v>red</v>
          </cell>
          <cell r="I1390">
            <v>5</v>
          </cell>
          <cell r="J1390" t="str">
            <v>PremiumSS</v>
          </cell>
          <cell r="K1390" t="str">
            <v>ra002</v>
          </cell>
          <cell r="L1390" t="str">
            <v>ユークリッドチャレンジ</v>
          </cell>
          <cell r="M1390" t="str">
            <v>animal</v>
          </cell>
        </row>
        <row r="1391">
          <cell r="A1391">
            <v>6020</v>
          </cell>
          <cell r="B1391" t="str">
            <v>ja</v>
          </cell>
          <cell r="C1391" t="str">
            <v>ミズチ</v>
          </cell>
          <cell r="D1391" t="str">
            <v>ガチャ:フィーバーフェス02</v>
          </cell>
          <cell r="E1391" t="str">
            <v>執行者</v>
          </cell>
          <cell r="F1391" t="str">
            <v>格好いい</v>
          </cell>
          <cell r="G1391" t="str">
            <v>男性</v>
          </cell>
          <cell r="H1391" t="str">
            <v>blue</v>
          </cell>
          <cell r="I1391">
            <v>4</v>
          </cell>
          <cell r="J1391" t="str">
            <v>PremiumS</v>
          </cell>
          <cell r="K1391" t="str">
            <v>ra002</v>
          </cell>
          <cell r="L1391" t="str">
            <v>ユークリッドチャレンジ</v>
          </cell>
          <cell r="M1391" t="str">
            <v>dragon</v>
          </cell>
        </row>
        <row r="1392">
          <cell r="A1392">
            <v>8001</v>
          </cell>
          <cell r="B1392" t="str">
            <v>ja</v>
          </cell>
          <cell r="C1392" t="str">
            <v>媽祖</v>
          </cell>
          <cell r="D1392" t="str">
            <v>イベント:ミクコラボ01</v>
          </cell>
          <cell r="E1392" t="str">
            <v>執行者</v>
          </cell>
          <cell r="F1392" t="str">
            <v>格好いい</v>
          </cell>
          <cell r="G1392" t="str">
            <v>女性</v>
          </cell>
          <cell r="H1392" t="str">
            <v>yellow</v>
          </cell>
          <cell r="I1392">
            <v>5</v>
          </cell>
          <cell r="J1392" t="str">
            <v>PremiumSS</v>
          </cell>
          <cell r="K1392" t="str">
            <v>attack</v>
          </cell>
          <cell r="L1392" t="str">
            <v>攻撃タイプ</v>
          </cell>
          <cell r="M1392" t="str">
            <v>god</v>
          </cell>
        </row>
        <row r="1393">
          <cell r="A1393">
            <v>8002</v>
          </cell>
          <cell r="B1393" t="str">
            <v>ja</v>
          </cell>
          <cell r="C1393" t="str">
            <v>天后 媽祖</v>
          </cell>
          <cell r="D1393" t="str">
            <v>イベント:ミクコラボ01</v>
          </cell>
          <cell r="E1393" t="str">
            <v>執行者</v>
          </cell>
          <cell r="F1393" t="str">
            <v>格好いい</v>
          </cell>
          <cell r="G1393" t="str">
            <v>女性</v>
          </cell>
          <cell r="H1393" t="str">
            <v>yellow</v>
          </cell>
          <cell r="I1393">
            <v>6</v>
          </cell>
          <cell r="J1393" t="str">
            <v>PremiumSS</v>
          </cell>
          <cell r="K1393" t="str">
            <v>attack</v>
          </cell>
          <cell r="L1393" t="str">
            <v>攻撃タイプ</v>
          </cell>
          <cell r="M1393" t="str">
            <v>god</v>
          </cell>
        </row>
        <row r="1394">
          <cell r="A1394">
            <v>8003</v>
          </cell>
          <cell r="B1394" t="str">
            <v>ja</v>
          </cell>
          <cell r="C1394" t="str">
            <v>蛟龍</v>
          </cell>
          <cell r="D1394" t="str">
            <v>イベント:ミクコラボ01</v>
          </cell>
          <cell r="E1394" t="str">
            <v>執行者</v>
          </cell>
          <cell r="F1394" t="str">
            <v>格好いい</v>
          </cell>
          <cell r="G1394" t="str">
            <v>不明</v>
          </cell>
          <cell r="H1394" t="str">
            <v>blue</v>
          </cell>
          <cell r="I1394">
            <v>5</v>
          </cell>
          <cell r="J1394" t="str">
            <v>DropWizS</v>
          </cell>
          <cell r="K1394" t="str">
            <v>hp</v>
          </cell>
          <cell r="L1394" t="str">
            <v>体力タイプ</v>
          </cell>
          <cell r="M1394" t="str">
            <v>dragon</v>
          </cell>
        </row>
        <row r="1395">
          <cell r="A1395">
            <v>8004</v>
          </cell>
          <cell r="B1395" t="str">
            <v>ja</v>
          </cell>
          <cell r="C1395" t="str">
            <v>深海蛟龍怪‧晏公</v>
          </cell>
          <cell r="D1395" t="str">
            <v>イベント:ミクコラボ01</v>
          </cell>
          <cell r="E1395" t="str">
            <v>執行者</v>
          </cell>
          <cell r="F1395" t="str">
            <v>格好いい</v>
          </cell>
          <cell r="G1395" t="str">
            <v>不明</v>
          </cell>
          <cell r="H1395" t="str">
            <v>blue</v>
          </cell>
          <cell r="I1395">
            <v>6</v>
          </cell>
          <cell r="J1395" t="str">
            <v>DropWizS</v>
          </cell>
          <cell r="K1395" t="str">
            <v>hp</v>
          </cell>
          <cell r="L1395" t="str">
            <v>体力タイプ</v>
          </cell>
          <cell r="M1395" t="str">
            <v>dragon</v>
          </cell>
        </row>
        <row r="1396">
          <cell r="A1396">
            <v>8005</v>
          </cell>
          <cell r="B1396" t="str">
            <v>ja</v>
          </cell>
          <cell r="C1396" t="str">
            <v>三蔵法師</v>
          </cell>
          <cell r="D1396" t="str">
            <v>イベント:ミクコラボ01</v>
          </cell>
          <cell r="E1396" t="str">
            <v>執行者</v>
          </cell>
          <cell r="F1396" t="str">
            <v>格好いい</v>
          </cell>
          <cell r="G1396" t="str">
            <v>不明</v>
          </cell>
          <cell r="H1396" t="str">
            <v>blue</v>
          </cell>
          <cell r="I1396">
            <v>5</v>
          </cell>
          <cell r="J1396" t="str">
            <v>PremiumSS</v>
          </cell>
          <cell r="K1396" t="str">
            <v>balance</v>
          </cell>
          <cell r="L1396" t="str">
            <v>バランスタイプ</v>
          </cell>
          <cell r="M1396" t="str">
            <v>human</v>
          </cell>
        </row>
        <row r="1397">
          <cell r="A1397">
            <v>8006</v>
          </cell>
          <cell r="B1397" t="str">
            <v>ja</v>
          </cell>
          <cell r="C1397" t="str">
            <v>三蔵法師</v>
          </cell>
          <cell r="D1397" t="str">
            <v>イベント:ミクコラボ01</v>
          </cell>
          <cell r="E1397" t="str">
            <v>執行者</v>
          </cell>
          <cell r="F1397" t="str">
            <v>格好いい</v>
          </cell>
          <cell r="G1397" t="str">
            <v>不明</v>
          </cell>
          <cell r="H1397" t="str">
            <v>blue</v>
          </cell>
          <cell r="I1397">
            <v>6</v>
          </cell>
          <cell r="J1397" t="str">
            <v>PremiumSS</v>
          </cell>
          <cell r="K1397" t="str">
            <v>balance</v>
          </cell>
          <cell r="L1397" t="str">
            <v>バランスタイプ</v>
          </cell>
          <cell r="M1397" t="str">
            <v>human</v>
          </cell>
        </row>
        <row r="1398">
          <cell r="A1398">
            <v>8007</v>
          </cell>
          <cell r="B1398" t="str">
            <v>ja</v>
          </cell>
          <cell r="C1398" t="str">
            <v>孫悟空</v>
          </cell>
          <cell r="D1398" t="str">
            <v>イベント:ミクコラボ01</v>
          </cell>
          <cell r="E1398" t="str">
            <v>執行者</v>
          </cell>
          <cell r="F1398" t="str">
            <v>格好いい</v>
          </cell>
          <cell r="G1398" t="str">
            <v>不明</v>
          </cell>
          <cell r="H1398" t="str">
            <v>red</v>
          </cell>
          <cell r="I1398">
            <v>5</v>
          </cell>
          <cell r="J1398" t="str">
            <v>DropWizS</v>
          </cell>
          <cell r="K1398" t="str">
            <v>attack</v>
          </cell>
          <cell r="L1398" t="str">
            <v>攻撃タイプ</v>
          </cell>
          <cell r="M1398" t="str">
            <v>animal</v>
          </cell>
        </row>
        <row r="1399">
          <cell r="A1399">
            <v>8008</v>
          </cell>
          <cell r="B1399" t="str">
            <v>ja</v>
          </cell>
          <cell r="C1399" t="str">
            <v>孫悟空</v>
          </cell>
          <cell r="D1399" t="str">
            <v>イベント:ミクコラボ01</v>
          </cell>
          <cell r="E1399" t="str">
            <v>執行者</v>
          </cell>
          <cell r="F1399" t="str">
            <v>格好いい</v>
          </cell>
          <cell r="G1399" t="str">
            <v>不明</v>
          </cell>
          <cell r="H1399" t="str">
            <v>red</v>
          </cell>
          <cell r="I1399">
            <v>6</v>
          </cell>
          <cell r="J1399" t="str">
            <v>DropWizS</v>
          </cell>
          <cell r="K1399" t="str">
            <v>attack</v>
          </cell>
          <cell r="L1399" t="str">
            <v>攻撃タイプ</v>
          </cell>
          <cell r="M1399" t="str">
            <v>animal</v>
          </cell>
        </row>
        <row r="1400">
          <cell r="A1400">
            <v>8009</v>
          </cell>
          <cell r="B1400" t="str">
            <v>ja</v>
          </cell>
          <cell r="C1400" t="str">
            <v>西王娘娘</v>
          </cell>
          <cell r="D1400" t="str">
            <v>イベント:ミクコラボ01</v>
          </cell>
          <cell r="E1400" t="str">
            <v>執行者</v>
          </cell>
          <cell r="F1400" t="str">
            <v>格好いい</v>
          </cell>
          <cell r="G1400" t="str">
            <v>不明</v>
          </cell>
          <cell r="H1400" t="str">
            <v>green</v>
          </cell>
          <cell r="I1400">
            <v>5</v>
          </cell>
          <cell r="J1400" t="str">
            <v>PremiumSS</v>
          </cell>
          <cell r="K1400" t="str">
            <v>attack</v>
          </cell>
          <cell r="L1400" t="str">
            <v>攻撃タイプ</v>
          </cell>
          <cell r="M1400" t="str">
            <v>god</v>
          </cell>
        </row>
        <row r="1401">
          <cell r="A1401">
            <v>8010</v>
          </cell>
          <cell r="B1401" t="str">
            <v>ja</v>
          </cell>
          <cell r="C1401" t="str">
            <v>西王娘娘</v>
          </cell>
          <cell r="D1401" t="str">
            <v>イベント:ミクコラボ01</v>
          </cell>
          <cell r="E1401" t="str">
            <v>執行者</v>
          </cell>
          <cell r="F1401" t="str">
            <v>格好いい</v>
          </cell>
          <cell r="G1401" t="str">
            <v>不明</v>
          </cell>
          <cell r="H1401" t="str">
            <v>green</v>
          </cell>
          <cell r="I1401">
            <v>6</v>
          </cell>
          <cell r="J1401" t="str">
            <v>PremiumSS</v>
          </cell>
          <cell r="K1401" t="str">
            <v>attack</v>
          </cell>
          <cell r="L1401" t="str">
            <v>攻撃タイプ</v>
          </cell>
          <cell r="M1401" t="str">
            <v>god</v>
          </cell>
        </row>
        <row r="1402">
          <cell r="A1402">
            <v>8011</v>
          </cell>
          <cell r="B1402" t="str">
            <v>ja</v>
          </cell>
          <cell r="C1402" t="str">
            <v>月下老人</v>
          </cell>
          <cell r="D1402" t="str">
            <v>イベント:ミクコラボ01</v>
          </cell>
          <cell r="E1402" t="str">
            <v>執行者</v>
          </cell>
          <cell r="F1402" t="str">
            <v>格好いい</v>
          </cell>
          <cell r="G1402" t="str">
            <v>女性</v>
          </cell>
          <cell r="H1402" t="str">
            <v>yellow</v>
          </cell>
          <cell r="I1402">
            <v>5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god</v>
          </cell>
        </row>
        <row r="1403">
          <cell r="A1403">
            <v>8012</v>
          </cell>
          <cell r="B1403" t="str">
            <v>ja</v>
          </cell>
          <cell r="C1403" t="str">
            <v>良緣祈福 月下老人</v>
          </cell>
          <cell r="D1403" t="str">
            <v>イベント:ミクコラボ01</v>
          </cell>
          <cell r="E1403" t="str">
            <v>執行者</v>
          </cell>
          <cell r="F1403" t="str">
            <v>格好いい</v>
          </cell>
          <cell r="G1403" t="str">
            <v>女性</v>
          </cell>
          <cell r="H1403" t="str">
            <v>yellow</v>
          </cell>
          <cell r="I1403">
            <v>6</v>
          </cell>
          <cell r="J1403" t="str">
            <v>DropWizS</v>
          </cell>
          <cell r="K1403" t="str">
            <v>balance</v>
          </cell>
          <cell r="L1403" t="str">
            <v>バランスタイプ</v>
          </cell>
          <cell r="M1403" t="str">
            <v>god</v>
          </cell>
        </row>
        <row r="1404">
          <cell r="A1404">
            <v>8013</v>
          </cell>
          <cell r="B1404" t="str">
            <v>ja</v>
          </cell>
          <cell r="C1404" t="str">
            <v>初音ミクV3</v>
          </cell>
          <cell r="D1404" t="str">
            <v>初音ミクV3</v>
          </cell>
          <cell r="E1404" t="str">
            <v>執行者</v>
          </cell>
          <cell r="F1404" t="str">
            <v>格好いい</v>
          </cell>
          <cell r="G1404" t="str">
            <v>女性</v>
          </cell>
          <cell r="H1404" t="str">
            <v>yellow</v>
          </cell>
          <cell r="I1404">
            <v>4</v>
          </cell>
          <cell r="J1404" t="str">
            <v>DropWizS</v>
          </cell>
          <cell r="K1404" t="str">
            <v>balance</v>
          </cell>
          <cell r="L1404" t="str">
            <v>バランスタイプ</v>
          </cell>
          <cell r="M1404" t="str">
            <v>unknown</v>
          </cell>
        </row>
        <row r="1405">
          <cell r="A1405">
            <v>8014</v>
          </cell>
          <cell r="B1405" t="str">
            <v>ja</v>
          </cell>
          <cell r="C1405" t="str">
            <v>初音ミクV3</v>
          </cell>
          <cell r="D1405" t="str">
            <v>初音ミクV3</v>
          </cell>
          <cell r="E1405" t="str">
            <v>執行者</v>
          </cell>
          <cell r="F1405" t="str">
            <v>格好いい</v>
          </cell>
          <cell r="G1405" t="str">
            <v>女性</v>
          </cell>
          <cell r="H1405" t="str">
            <v>yellow</v>
          </cell>
          <cell r="I1405">
            <v>5</v>
          </cell>
          <cell r="J1405" t="str">
            <v>DropWizS</v>
          </cell>
          <cell r="K1405" t="str">
            <v>balance</v>
          </cell>
          <cell r="L1405" t="str">
            <v>バランスタイプ</v>
          </cell>
          <cell r="M1405" t="str">
            <v>unknown</v>
          </cell>
        </row>
        <row r="1406">
          <cell r="A1406">
            <v>8015</v>
          </cell>
          <cell r="B1406" t="str">
            <v>ja</v>
          </cell>
          <cell r="C1406" t="str">
            <v>初音ミク・アペンド</v>
          </cell>
          <cell r="D1406" t="str">
            <v>初音ミク・アペンド</v>
          </cell>
          <cell r="E1406" t="str">
            <v>執行者</v>
          </cell>
          <cell r="F1406" t="str">
            <v>格好いい</v>
          </cell>
          <cell r="G1406" t="str">
            <v>女性</v>
          </cell>
          <cell r="H1406" t="str">
            <v>green</v>
          </cell>
          <cell r="I1406">
            <v>4</v>
          </cell>
          <cell r="J1406" t="str">
            <v>PremiumSSS</v>
          </cell>
          <cell r="K1406" t="str">
            <v>technical</v>
          </cell>
          <cell r="L1406" t="str">
            <v>テクニカルタイプ</v>
          </cell>
          <cell r="M1406" t="str">
            <v>unknown</v>
          </cell>
        </row>
        <row r="1407">
          <cell r="A1407">
            <v>8016</v>
          </cell>
          <cell r="B1407" t="str">
            <v>ja</v>
          </cell>
          <cell r="C1407" t="str">
            <v>初音ミク・アペンド</v>
          </cell>
          <cell r="D1407" t="str">
            <v>初音ミク・アペンド</v>
          </cell>
          <cell r="E1407" t="str">
            <v>執行者</v>
          </cell>
          <cell r="F1407" t="str">
            <v>格好いい</v>
          </cell>
          <cell r="G1407" t="str">
            <v>女性</v>
          </cell>
          <cell r="H1407" t="str">
            <v>green</v>
          </cell>
          <cell r="I1407">
            <v>5</v>
          </cell>
          <cell r="J1407" t="str">
            <v>PremiumSSS</v>
          </cell>
          <cell r="K1407" t="str">
            <v>technical</v>
          </cell>
          <cell r="L1407" t="str">
            <v>テクニカルタイプ</v>
          </cell>
          <cell r="M1407" t="str">
            <v>unknown</v>
          </cell>
        </row>
        <row r="1408">
          <cell r="A1408">
            <v>8017</v>
          </cell>
          <cell r="B1408" t="str">
            <v>ja</v>
          </cell>
          <cell r="C1408" t="str">
            <v>初音ミク</v>
          </cell>
          <cell r="D1408" t="str">
            <v>初音ミク</v>
          </cell>
          <cell r="E1408" t="str">
            <v>執行者</v>
          </cell>
          <cell r="F1408" t="str">
            <v>格好いい</v>
          </cell>
          <cell r="G1408" t="str">
            <v>女性</v>
          </cell>
          <cell r="H1408" t="str">
            <v>green</v>
          </cell>
          <cell r="I1408">
            <v>4</v>
          </cell>
          <cell r="J1408" t="str">
            <v>PremiumSSS</v>
          </cell>
          <cell r="K1408" t="str">
            <v>balance</v>
          </cell>
          <cell r="L1408" t="str">
            <v>バランスタイプ</v>
          </cell>
          <cell r="M1408" t="str">
            <v>unknown</v>
          </cell>
        </row>
        <row r="1409">
          <cell r="A1409">
            <v>8018</v>
          </cell>
          <cell r="B1409" t="str">
            <v>ja</v>
          </cell>
          <cell r="C1409" t="str">
            <v>初音ミク</v>
          </cell>
          <cell r="D1409" t="str">
            <v>初音ミク</v>
          </cell>
          <cell r="E1409" t="str">
            <v>執行者</v>
          </cell>
          <cell r="F1409" t="str">
            <v>格好いい</v>
          </cell>
          <cell r="G1409" t="str">
            <v>女性</v>
          </cell>
          <cell r="H1409" t="str">
            <v>green</v>
          </cell>
          <cell r="I1409">
            <v>5</v>
          </cell>
          <cell r="J1409" t="str">
            <v>PremiumSSS</v>
          </cell>
          <cell r="K1409" t="str">
            <v>balance</v>
          </cell>
          <cell r="L1409" t="str">
            <v>バランスタイプ</v>
          </cell>
          <cell r="M1409" t="str">
            <v>unknown</v>
          </cell>
        </row>
        <row r="1410">
          <cell r="A1410">
            <v>8019</v>
          </cell>
          <cell r="B1410" t="str">
            <v>ja</v>
          </cell>
          <cell r="C1410" t="str">
            <v>鏡音リン</v>
          </cell>
          <cell r="D1410" t="str">
            <v>鏡音リン</v>
          </cell>
          <cell r="E1410" t="str">
            <v>執行者</v>
          </cell>
          <cell r="F1410" t="str">
            <v>格好いい</v>
          </cell>
          <cell r="G1410" t="str">
            <v>男性</v>
          </cell>
          <cell r="H1410" t="str">
            <v>yellow</v>
          </cell>
          <cell r="I1410">
            <v>4</v>
          </cell>
          <cell r="J1410" t="str">
            <v>PremiumSS</v>
          </cell>
          <cell r="K1410" t="str">
            <v>balance</v>
          </cell>
          <cell r="L1410" t="str">
            <v>バランスタイプ</v>
          </cell>
          <cell r="M1410" t="str">
            <v>unknown</v>
          </cell>
        </row>
        <row r="1411">
          <cell r="A1411">
            <v>8020</v>
          </cell>
          <cell r="B1411" t="str">
            <v>ja</v>
          </cell>
          <cell r="C1411" t="str">
            <v>鏡音リン</v>
          </cell>
          <cell r="D1411" t="str">
            <v>鏡音リン</v>
          </cell>
          <cell r="E1411" t="str">
            <v>執行者</v>
          </cell>
          <cell r="F1411" t="str">
            <v>格好いい</v>
          </cell>
          <cell r="G1411" t="str">
            <v>男性</v>
          </cell>
          <cell r="H1411" t="str">
            <v>yellow</v>
          </cell>
          <cell r="I1411">
            <v>5</v>
          </cell>
          <cell r="J1411" t="str">
            <v>PremiumSS</v>
          </cell>
          <cell r="K1411" t="str">
            <v>balance</v>
          </cell>
          <cell r="L1411" t="str">
            <v>バランスタイプ</v>
          </cell>
          <cell r="M1411" t="str">
            <v>unknown</v>
          </cell>
        </row>
        <row r="1412">
          <cell r="A1412">
            <v>8021</v>
          </cell>
          <cell r="B1412" t="str">
            <v>ja</v>
          </cell>
          <cell r="C1412" t="str">
            <v>鏡音レン</v>
          </cell>
          <cell r="D1412" t="str">
            <v>鏡音レン</v>
          </cell>
          <cell r="E1412" t="str">
            <v>執行者</v>
          </cell>
          <cell r="F1412" t="str">
            <v>格好いい</v>
          </cell>
          <cell r="G1412" t="str">
            <v>女性</v>
          </cell>
          <cell r="H1412" t="str">
            <v>yellow</v>
          </cell>
          <cell r="I1412">
            <v>4</v>
          </cell>
          <cell r="J1412" t="str">
            <v>PremiumSS</v>
          </cell>
          <cell r="K1412" t="str">
            <v>heal</v>
          </cell>
          <cell r="L1412" t="str">
            <v>回復タイプ</v>
          </cell>
          <cell r="M1412" t="str">
            <v>unknown</v>
          </cell>
        </row>
        <row r="1413">
          <cell r="A1413">
            <v>8022</v>
          </cell>
          <cell r="B1413" t="str">
            <v>ja</v>
          </cell>
          <cell r="C1413" t="str">
            <v>鏡音レン</v>
          </cell>
          <cell r="D1413" t="str">
            <v>鏡音レン</v>
          </cell>
          <cell r="E1413" t="str">
            <v>執行者</v>
          </cell>
          <cell r="F1413" t="str">
            <v>格好いい</v>
          </cell>
          <cell r="G1413" t="str">
            <v>女性</v>
          </cell>
          <cell r="H1413" t="str">
            <v>yellow</v>
          </cell>
          <cell r="I1413">
            <v>5</v>
          </cell>
          <cell r="J1413" t="str">
            <v>PremiumSS</v>
          </cell>
          <cell r="K1413" t="str">
            <v>heal</v>
          </cell>
          <cell r="L1413" t="str">
            <v>回復タイプ</v>
          </cell>
          <cell r="M1413" t="str">
            <v>unknown</v>
          </cell>
        </row>
        <row r="1414">
          <cell r="A1414">
            <v>8023</v>
          </cell>
          <cell r="B1414" t="str">
            <v>ja</v>
          </cell>
          <cell r="C1414" t="str">
            <v>巡音ルカ</v>
          </cell>
          <cell r="D1414" t="str">
            <v>巡音ルカ</v>
          </cell>
          <cell r="E1414" t="str">
            <v>執行者</v>
          </cell>
          <cell r="F1414" t="str">
            <v>格好いい</v>
          </cell>
          <cell r="G1414" t="str">
            <v>女性</v>
          </cell>
          <cell r="H1414" t="str">
            <v>red</v>
          </cell>
          <cell r="I1414">
            <v>3</v>
          </cell>
          <cell r="J1414" t="str">
            <v>PremiumS</v>
          </cell>
          <cell r="K1414" t="str">
            <v>attack</v>
          </cell>
          <cell r="L1414" t="str">
            <v>攻撃タイプ</v>
          </cell>
          <cell r="M1414" t="str">
            <v>unknown</v>
          </cell>
        </row>
        <row r="1415">
          <cell r="A1415">
            <v>8024</v>
          </cell>
          <cell r="B1415" t="str">
            <v>ja</v>
          </cell>
          <cell r="C1415" t="str">
            <v>巡音ルカ</v>
          </cell>
          <cell r="D1415" t="str">
            <v>巡音ルカ</v>
          </cell>
          <cell r="E1415" t="str">
            <v>執行者</v>
          </cell>
          <cell r="F1415" t="str">
            <v>格好いい</v>
          </cell>
          <cell r="G1415" t="str">
            <v>女性</v>
          </cell>
          <cell r="H1415" t="str">
            <v>red</v>
          </cell>
          <cell r="I1415">
            <v>4</v>
          </cell>
          <cell r="J1415" t="str">
            <v>PremiumS</v>
          </cell>
          <cell r="K1415" t="str">
            <v>attack</v>
          </cell>
          <cell r="L1415" t="str">
            <v>攻撃タイプ</v>
          </cell>
          <cell r="M1415" t="str">
            <v>unknown</v>
          </cell>
        </row>
        <row r="1416">
          <cell r="A1416">
            <v>8025</v>
          </cell>
          <cell r="B1416" t="str">
            <v>ja</v>
          </cell>
          <cell r="C1416" t="str">
            <v>MEIKO</v>
          </cell>
          <cell r="D1416" t="str">
            <v>MEIKO</v>
          </cell>
          <cell r="E1416" t="str">
            <v>執行者</v>
          </cell>
          <cell r="F1416" t="str">
            <v>格好いい</v>
          </cell>
          <cell r="G1416" t="str">
            <v>男性</v>
          </cell>
          <cell r="H1416" t="str">
            <v>red</v>
          </cell>
          <cell r="I1416">
            <v>3</v>
          </cell>
          <cell r="J1416" t="str">
            <v>PremiumS</v>
          </cell>
          <cell r="K1416" t="str">
            <v>hp</v>
          </cell>
          <cell r="L1416" t="str">
            <v>体力タイプ</v>
          </cell>
          <cell r="M1416" t="str">
            <v>unknown</v>
          </cell>
        </row>
        <row r="1417">
          <cell r="A1417">
            <v>8026</v>
          </cell>
          <cell r="B1417" t="str">
            <v>ja</v>
          </cell>
          <cell r="C1417" t="str">
            <v>MEIKO</v>
          </cell>
          <cell r="D1417" t="str">
            <v>MEIKO</v>
          </cell>
          <cell r="E1417" t="str">
            <v>執行者</v>
          </cell>
          <cell r="F1417" t="str">
            <v>格好いい</v>
          </cell>
          <cell r="G1417" t="str">
            <v>男性</v>
          </cell>
          <cell r="H1417" t="str">
            <v>red</v>
          </cell>
          <cell r="I1417">
            <v>4</v>
          </cell>
          <cell r="J1417" t="str">
            <v>PremiumS</v>
          </cell>
          <cell r="K1417" t="str">
            <v>hp</v>
          </cell>
          <cell r="L1417" t="str">
            <v>体力タイプ</v>
          </cell>
          <cell r="M1417" t="str">
            <v>unknown</v>
          </cell>
        </row>
        <row r="1418">
          <cell r="A1418">
            <v>8027</v>
          </cell>
          <cell r="B1418" t="str">
            <v>ja</v>
          </cell>
          <cell r="C1418" t="str">
            <v>KAITO</v>
          </cell>
          <cell r="D1418" t="str">
            <v>KAITO</v>
          </cell>
          <cell r="E1418" t="str">
            <v>執行者</v>
          </cell>
          <cell r="F1418" t="str">
            <v>格好いい</v>
          </cell>
          <cell r="G1418" t="str">
            <v>女性</v>
          </cell>
          <cell r="H1418" t="str">
            <v>blue</v>
          </cell>
          <cell r="I1418">
            <v>3</v>
          </cell>
          <cell r="J1418" t="str">
            <v>PremiumS</v>
          </cell>
          <cell r="K1418" t="str">
            <v>technical</v>
          </cell>
          <cell r="L1418" t="str">
            <v>テクニカルタイプ</v>
          </cell>
          <cell r="M1418" t="str">
            <v>unknown</v>
          </cell>
        </row>
        <row r="1419">
          <cell r="A1419">
            <v>8028</v>
          </cell>
          <cell r="B1419" t="str">
            <v>ja</v>
          </cell>
          <cell r="C1419" t="str">
            <v>KAITO</v>
          </cell>
          <cell r="D1419" t="str">
            <v>KAITO</v>
          </cell>
          <cell r="E1419" t="str">
            <v>執行者</v>
          </cell>
          <cell r="F1419" t="str">
            <v>格好いい</v>
          </cell>
          <cell r="G1419" t="str">
            <v>女性</v>
          </cell>
          <cell r="H1419" t="str">
            <v>blue</v>
          </cell>
          <cell r="I1419">
            <v>4</v>
          </cell>
          <cell r="J1419" t="str">
            <v>PremiumS</v>
          </cell>
          <cell r="K1419" t="str">
            <v>technical</v>
          </cell>
          <cell r="L1419" t="str">
            <v>テクニカルタイプ</v>
          </cell>
          <cell r="M1419" t="str">
            <v>unknown</v>
          </cell>
        </row>
        <row r="1420">
          <cell r="A1420">
            <v>8029</v>
          </cell>
          <cell r="B1420" t="str">
            <v>ja</v>
          </cell>
          <cell r="C1420" t="str">
            <v>Expoミク</v>
          </cell>
          <cell r="D1420" t="str">
            <v>Expoミク</v>
          </cell>
          <cell r="E1420" t="str">
            <v>執行者</v>
          </cell>
          <cell r="F1420" t="str">
            <v>格好いい</v>
          </cell>
          <cell r="G1420" t="str">
            <v>女性</v>
          </cell>
          <cell r="H1420" t="str">
            <v>blue</v>
          </cell>
          <cell r="I1420">
            <v>4</v>
          </cell>
          <cell r="J1420" t="str">
            <v>Drop2N</v>
          </cell>
          <cell r="K1420" t="str">
            <v>heal</v>
          </cell>
          <cell r="L1420" t="str">
            <v>回復タイプ</v>
          </cell>
          <cell r="M1420" t="str">
            <v>unknown</v>
          </cell>
        </row>
        <row r="1421">
          <cell r="A1421">
            <v>8030</v>
          </cell>
          <cell r="B1421" t="str">
            <v>ja</v>
          </cell>
          <cell r="C1421" t="str">
            <v>Expoミク</v>
          </cell>
          <cell r="D1421" t="str">
            <v>Expoミク</v>
          </cell>
          <cell r="E1421" t="str">
            <v>執行者</v>
          </cell>
          <cell r="F1421" t="str">
            <v>格好いい</v>
          </cell>
          <cell r="G1421" t="str">
            <v>女性</v>
          </cell>
          <cell r="H1421" t="str">
            <v>blue</v>
          </cell>
          <cell r="I1421">
            <v>4</v>
          </cell>
          <cell r="J1421" t="str">
            <v>Drop2N</v>
          </cell>
          <cell r="K1421" t="str">
            <v>heal</v>
          </cell>
          <cell r="L1421" t="str">
            <v>回復タイプ</v>
          </cell>
          <cell r="M1421" t="str">
            <v>unknown</v>
          </cell>
        </row>
        <row r="1422">
          <cell r="A1422">
            <v>8031</v>
          </cell>
          <cell r="B1422" t="str">
            <v>ja</v>
          </cell>
          <cell r="C1422" t="str">
            <v>閻羅王</v>
          </cell>
          <cell r="D1422" t="str">
            <v>Expoミク</v>
          </cell>
          <cell r="E1422" t="str">
            <v>執行者</v>
          </cell>
          <cell r="F1422" t="str">
            <v>格好いい</v>
          </cell>
          <cell r="G1422" t="str">
            <v>女性</v>
          </cell>
          <cell r="H1422" t="str">
            <v>red</v>
          </cell>
          <cell r="I1422">
            <v>5</v>
          </cell>
          <cell r="J1422" t="str">
            <v>PremiumSS</v>
          </cell>
          <cell r="K1422" t="str">
            <v>balance</v>
          </cell>
          <cell r="L1422" t="str">
            <v>バランスタイプ</v>
          </cell>
          <cell r="M1422" t="str">
            <v>god</v>
          </cell>
        </row>
        <row r="1423">
          <cell r="A1423">
            <v>8032</v>
          </cell>
          <cell r="B1423" t="str">
            <v>ja</v>
          </cell>
          <cell r="C1423" t="str">
            <v>十殿閻羅王</v>
          </cell>
          <cell r="D1423" t="str">
            <v>Expoミク</v>
          </cell>
          <cell r="E1423" t="str">
            <v>執行者</v>
          </cell>
          <cell r="F1423" t="str">
            <v>格好いい</v>
          </cell>
          <cell r="G1423" t="str">
            <v>女性</v>
          </cell>
          <cell r="H1423" t="str">
            <v>red</v>
          </cell>
          <cell r="I1423">
            <v>6</v>
          </cell>
          <cell r="J1423" t="str">
            <v>PremiumSS</v>
          </cell>
          <cell r="K1423" t="str">
            <v>balance</v>
          </cell>
          <cell r="L1423" t="str">
            <v>バランスタイプ</v>
          </cell>
          <cell r="M1423" t="str">
            <v>god</v>
          </cell>
        </row>
        <row r="1424">
          <cell r="A1424">
            <v>8033</v>
          </cell>
          <cell r="B1424" t="str">
            <v>ja</v>
          </cell>
          <cell r="C1424" t="str">
            <v>牛頭馬面</v>
          </cell>
          <cell r="D1424" t="str">
            <v>Expoミク</v>
          </cell>
          <cell r="E1424" t="str">
            <v>執行者</v>
          </cell>
          <cell r="F1424" t="str">
            <v>格好いい</v>
          </cell>
          <cell r="G1424" t="str">
            <v>女性</v>
          </cell>
          <cell r="H1424" t="str">
            <v>green</v>
          </cell>
          <cell r="I1424">
            <v>5</v>
          </cell>
          <cell r="J1424" t="str">
            <v>DropWizS</v>
          </cell>
          <cell r="K1424" t="str">
            <v>attack</v>
          </cell>
          <cell r="L1424" t="str">
            <v>攻撃タイプ</v>
          </cell>
          <cell r="M1424" t="str">
            <v>god</v>
          </cell>
        </row>
        <row r="1425">
          <cell r="A1425">
            <v>8034</v>
          </cell>
          <cell r="B1425" t="str">
            <v>ja</v>
          </cell>
          <cell r="C1425" t="str">
            <v>牛頭馬面</v>
          </cell>
          <cell r="D1425" t="str">
            <v>Expoミク</v>
          </cell>
          <cell r="E1425" t="str">
            <v>執行者</v>
          </cell>
          <cell r="F1425" t="str">
            <v>格好いい</v>
          </cell>
          <cell r="G1425" t="str">
            <v>女性</v>
          </cell>
          <cell r="H1425" t="str">
            <v>green</v>
          </cell>
          <cell r="I1425">
            <v>6</v>
          </cell>
          <cell r="J1425" t="str">
            <v>DropWizS</v>
          </cell>
          <cell r="K1425" t="str">
            <v>attack</v>
          </cell>
          <cell r="L1425" t="str">
            <v>攻撃タイプ</v>
          </cell>
          <cell r="M1425" t="str">
            <v>god</v>
          </cell>
        </row>
        <row r="1426">
          <cell r="A1426">
            <v>8035</v>
          </cell>
          <cell r="B1426" t="str">
            <v>ja</v>
          </cell>
          <cell r="C1426" t="str">
            <v>飛衛</v>
          </cell>
          <cell r="D1426" t="str">
            <v>Expoミク</v>
          </cell>
          <cell r="E1426" t="str">
            <v>執行者</v>
          </cell>
          <cell r="F1426" t="str">
            <v>格好いい</v>
          </cell>
          <cell r="G1426" t="str">
            <v>女性</v>
          </cell>
          <cell r="H1426" t="str">
            <v>blue</v>
          </cell>
          <cell r="I1426">
            <v>5</v>
          </cell>
          <cell r="J1426" t="str">
            <v>PremiumSS</v>
          </cell>
          <cell r="K1426" t="str">
            <v>heal</v>
          </cell>
          <cell r="L1426" t="str">
            <v>回復タイプ</v>
          </cell>
          <cell r="M1426" t="str">
            <v>human</v>
          </cell>
        </row>
        <row r="1427">
          <cell r="A1427">
            <v>8036</v>
          </cell>
          <cell r="B1427" t="str">
            <v>ja</v>
          </cell>
          <cell r="C1427" t="str">
            <v>レア６飛衛</v>
          </cell>
          <cell r="D1427" t="str">
            <v>Expoミク</v>
          </cell>
          <cell r="E1427" t="str">
            <v>執行者</v>
          </cell>
          <cell r="F1427" t="str">
            <v>格好いい</v>
          </cell>
          <cell r="G1427" t="str">
            <v>女性</v>
          </cell>
          <cell r="H1427" t="str">
            <v>blue</v>
          </cell>
          <cell r="I1427">
            <v>6</v>
          </cell>
          <cell r="J1427" t="str">
            <v>PremiumSS</v>
          </cell>
          <cell r="K1427" t="str">
            <v>heal</v>
          </cell>
          <cell r="L1427" t="str">
            <v>回復タイプ</v>
          </cell>
          <cell r="M1427" t="str">
            <v>human</v>
          </cell>
        </row>
        <row r="1428">
          <cell r="A1428">
            <v>8037</v>
          </cell>
          <cell r="B1428" t="str">
            <v>ja</v>
          </cell>
          <cell r="C1428" t="str">
            <v>紀昌</v>
          </cell>
          <cell r="D1428" t="str">
            <v>Expoミク</v>
          </cell>
          <cell r="E1428" t="str">
            <v>執行者</v>
          </cell>
          <cell r="F1428" t="str">
            <v>格好いい</v>
          </cell>
          <cell r="G1428" t="str">
            <v>女性</v>
          </cell>
          <cell r="H1428" t="str">
            <v>red</v>
          </cell>
          <cell r="I1428">
            <v>5</v>
          </cell>
          <cell r="J1428" t="str">
            <v>DropWizS</v>
          </cell>
          <cell r="K1428" t="str">
            <v>attack</v>
          </cell>
          <cell r="L1428" t="str">
            <v>攻撃タイプ</v>
          </cell>
          <cell r="M1428" t="str">
            <v>human</v>
          </cell>
        </row>
        <row r="1429">
          <cell r="A1429">
            <v>8038</v>
          </cell>
          <cell r="B1429" t="str">
            <v>ja</v>
          </cell>
          <cell r="C1429" t="str">
            <v>レア６紀昌</v>
          </cell>
          <cell r="D1429" t="str">
            <v>Expoミク</v>
          </cell>
          <cell r="E1429" t="str">
            <v>執行者</v>
          </cell>
          <cell r="F1429" t="str">
            <v>格好いい</v>
          </cell>
          <cell r="G1429" t="str">
            <v>女性</v>
          </cell>
          <cell r="H1429" t="str">
            <v>red</v>
          </cell>
          <cell r="I1429">
            <v>6</v>
          </cell>
          <cell r="J1429" t="str">
            <v>DropWizS</v>
          </cell>
          <cell r="K1429" t="str">
            <v>attack</v>
          </cell>
          <cell r="L1429" t="str">
            <v>攻撃タイプ</v>
          </cell>
          <cell r="M1429" t="str">
            <v>human</v>
          </cell>
        </row>
        <row r="1430">
          <cell r="A1430">
            <v>8039</v>
          </cell>
          <cell r="B1430" t="str">
            <v>ja</v>
          </cell>
          <cell r="C1430" t="str">
            <v>何仙姑</v>
          </cell>
          <cell r="D1430" t="str">
            <v>Expoミク</v>
          </cell>
          <cell r="E1430" t="str">
            <v>執行者</v>
          </cell>
          <cell r="F1430" t="str">
            <v>格好いい</v>
          </cell>
          <cell r="G1430" t="str">
            <v>女性</v>
          </cell>
          <cell r="H1430" t="str">
            <v>yellow</v>
          </cell>
          <cell r="I1430">
            <v>5</v>
          </cell>
          <cell r="J1430" t="str">
            <v>PremiumSS</v>
          </cell>
          <cell r="K1430" t="str">
            <v>hp</v>
          </cell>
          <cell r="L1430" t="str">
            <v>体力タイプ</v>
          </cell>
          <cell r="M1430" t="str">
            <v>god</v>
          </cell>
        </row>
        <row r="1431">
          <cell r="A1431">
            <v>8040</v>
          </cell>
          <cell r="B1431" t="str">
            <v>ja</v>
          </cell>
          <cell r="C1431" t="str">
            <v>何仙姑</v>
          </cell>
          <cell r="D1431" t="str">
            <v>Expoミク</v>
          </cell>
          <cell r="E1431" t="str">
            <v>執行者</v>
          </cell>
          <cell r="F1431" t="str">
            <v>格好いい</v>
          </cell>
          <cell r="G1431" t="str">
            <v>女性</v>
          </cell>
          <cell r="H1431" t="str">
            <v>yellow</v>
          </cell>
          <cell r="I1431">
            <v>6</v>
          </cell>
          <cell r="J1431" t="str">
            <v>PremiumSS</v>
          </cell>
          <cell r="K1431" t="str">
            <v>hp</v>
          </cell>
          <cell r="L1431" t="str">
            <v>体力タイプ</v>
          </cell>
          <cell r="M1431" t="str">
            <v>god</v>
          </cell>
        </row>
        <row r="1432">
          <cell r="A1432">
            <v>8041</v>
          </cell>
          <cell r="B1432" t="str">
            <v>ja</v>
          </cell>
          <cell r="C1432" t="str">
            <v>藍采和</v>
          </cell>
          <cell r="D1432" t="str">
            <v>Expoミク</v>
          </cell>
          <cell r="E1432" t="str">
            <v>執行者</v>
          </cell>
          <cell r="F1432" t="str">
            <v>格好いい</v>
          </cell>
          <cell r="G1432" t="str">
            <v>女性</v>
          </cell>
          <cell r="H1432" t="str">
            <v>blue</v>
          </cell>
          <cell r="I1432">
            <v>5</v>
          </cell>
          <cell r="J1432" t="str">
            <v>DropWizS</v>
          </cell>
          <cell r="K1432" t="str">
            <v>balance</v>
          </cell>
          <cell r="L1432" t="str">
            <v>バランスタイプ</v>
          </cell>
          <cell r="M1432" t="str">
            <v>god</v>
          </cell>
        </row>
        <row r="1433">
          <cell r="A1433">
            <v>8042</v>
          </cell>
          <cell r="B1433" t="str">
            <v>ja</v>
          </cell>
          <cell r="C1433" t="str">
            <v>藍采和</v>
          </cell>
          <cell r="D1433" t="str">
            <v>Expoミク</v>
          </cell>
          <cell r="E1433" t="str">
            <v>執行者</v>
          </cell>
          <cell r="F1433" t="str">
            <v>格好いい</v>
          </cell>
          <cell r="G1433" t="str">
            <v>女性</v>
          </cell>
          <cell r="H1433" t="str">
            <v>blue</v>
          </cell>
          <cell r="I1433">
            <v>6</v>
          </cell>
          <cell r="J1433" t="str">
            <v>DropWizS</v>
          </cell>
          <cell r="K1433" t="str">
            <v>balance</v>
          </cell>
          <cell r="L1433" t="str">
            <v>バランスタイプ</v>
          </cell>
          <cell r="M1433" t="str">
            <v>god</v>
          </cell>
        </row>
        <row r="1434">
          <cell r="A1434">
            <v>8043</v>
          </cell>
          <cell r="B1434" t="str">
            <v>ja</v>
          </cell>
          <cell r="C1434" t="str">
            <v>サンリオキャラ大集合+アザゼル</v>
          </cell>
          <cell r="D1434" t="str">
            <v>サンリオキャラ大集合+アザゼル</v>
          </cell>
          <cell r="E1434" t="str">
            <v>執行者</v>
          </cell>
          <cell r="F1434" t="str">
            <v>格好いい</v>
          </cell>
          <cell r="G1434" t="str">
            <v>女性</v>
          </cell>
          <cell r="H1434" t="str">
            <v>green</v>
          </cell>
          <cell r="I1434">
            <v>5</v>
          </cell>
          <cell r="J1434" t="str">
            <v>DropWizS</v>
          </cell>
          <cell r="K1434" t="str">
            <v>technical</v>
          </cell>
          <cell r="L1434" t="str">
            <v>テクニカルタイプ</v>
          </cell>
          <cell r="M1434" t="str">
            <v>ss</v>
          </cell>
        </row>
        <row r="1435">
          <cell r="A1435">
            <v>8044</v>
          </cell>
          <cell r="B1435" t="str">
            <v>ja</v>
          </cell>
          <cell r="C1435" t="str">
            <v>サンリオキャラ大集合+アザゼル</v>
          </cell>
          <cell r="D1435" t="str">
            <v>サンリオキャラ大集合+アザゼル</v>
          </cell>
          <cell r="E1435" t="str">
            <v>執行者</v>
          </cell>
          <cell r="F1435" t="str">
            <v>格好いい</v>
          </cell>
          <cell r="G1435" t="str">
            <v>女性</v>
          </cell>
          <cell r="H1435" t="str">
            <v>green</v>
          </cell>
          <cell r="I1435">
            <v>6</v>
          </cell>
          <cell r="J1435" t="str">
            <v>DropWizS</v>
          </cell>
          <cell r="K1435" t="str">
            <v>technical</v>
          </cell>
          <cell r="L1435" t="str">
            <v>テクニカルタイプ</v>
          </cell>
          <cell r="M1435" t="str">
            <v>ss</v>
          </cell>
        </row>
        <row r="1436">
          <cell r="A1436">
            <v>8045</v>
          </cell>
          <cell r="B1436" t="str">
            <v>ja</v>
          </cell>
          <cell r="C1436" t="str">
            <v>ニムダ_サンリオキャラ混じり</v>
          </cell>
          <cell r="D1436" t="str">
            <v>ニムダ_サンリオキャラ混じり</v>
          </cell>
          <cell r="E1436" t="str">
            <v>執行者</v>
          </cell>
          <cell r="F1436" t="str">
            <v>格好いい</v>
          </cell>
          <cell r="G1436" t="str">
            <v>女性</v>
          </cell>
          <cell r="H1436" t="str">
            <v>yellow</v>
          </cell>
          <cell r="I1436">
            <v>4</v>
          </cell>
          <cell r="J1436" t="str">
            <v>Drop2N</v>
          </cell>
          <cell r="K1436" t="str">
            <v>technical</v>
          </cell>
          <cell r="L1436" t="str">
            <v>テクニカルタイプ</v>
          </cell>
          <cell r="M1436" t="str">
            <v>ss</v>
          </cell>
        </row>
        <row r="1437">
          <cell r="A1437">
            <v>8046</v>
          </cell>
          <cell r="B1437" t="str">
            <v>ja</v>
          </cell>
          <cell r="C1437" t="str">
            <v>ニムダ_サンリオキャラ混じり</v>
          </cell>
          <cell r="D1437" t="str">
            <v>ニムダ_サンリオキャラ混じり</v>
          </cell>
          <cell r="E1437" t="str">
            <v>執行者</v>
          </cell>
          <cell r="F1437" t="str">
            <v>格好いい</v>
          </cell>
          <cell r="G1437" t="str">
            <v>女性</v>
          </cell>
          <cell r="H1437" t="str">
            <v>yellow</v>
          </cell>
          <cell r="I1437">
            <v>5</v>
          </cell>
          <cell r="J1437" t="str">
            <v>Drop2N</v>
          </cell>
          <cell r="K1437" t="str">
            <v>technical</v>
          </cell>
          <cell r="L1437" t="str">
            <v>テクニカルタイプ</v>
          </cell>
          <cell r="M1437" t="str">
            <v>ss</v>
          </cell>
        </row>
        <row r="1438">
          <cell r="A1438">
            <v>8047</v>
          </cell>
          <cell r="B1438" t="str">
            <v>ja</v>
          </cell>
          <cell r="C1438" t="str">
            <v>ハローキティ</v>
          </cell>
          <cell r="D1438" t="str">
            <v>ハローキティ</v>
          </cell>
          <cell r="E1438" t="str">
            <v>執行者</v>
          </cell>
          <cell r="F1438" t="str">
            <v>格好いい</v>
          </cell>
          <cell r="G1438" t="str">
            <v>女性</v>
          </cell>
          <cell r="H1438" t="str">
            <v>red</v>
          </cell>
          <cell r="I1438">
            <v>4</v>
          </cell>
          <cell r="J1438" t="str">
            <v>Drop2N</v>
          </cell>
          <cell r="K1438" t="str">
            <v>balance</v>
          </cell>
          <cell r="L1438" t="str">
            <v>バランスタイプ</v>
          </cell>
          <cell r="M1438" t="str">
            <v>ss</v>
          </cell>
        </row>
        <row r="1439">
          <cell r="A1439">
            <v>8048</v>
          </cell>
          <cell r="B1439" t="str">
            <v>ja</v>
          </cell>
          <cell r="C1439" t="str">
            <v>ハローキティ</v>
          </cell>
          <cell r="D1439" t="str">
            <v>ハローキティ</v>
          </cell>
          <cell r="E1439" t="str">
            <v>執行者</v>
          </cell>
          <cell r="F1439" t="str">
            <v>格好いい</v>
          </cell>
          <cell r="G1439" t="str">
            <v>女性</v>
          </cell>
          <cell r="H1439" t="str">
            <v>red</v>
          </cell>
          <cell r="I1439">
            <v>5</v>
          </cell>
          <cell r="J1439" t="str">
            <v>Drop2N</v>
          </cell>
          <cell r="K1439" t="str">
            <v>balance</v>
          </cell>
          <cell r="L1439" t="str">
            <v>バランスタイプ</v>
          </cell>
          <cell r="M1439" t="str">
            <v>ss</v>
          </cell>
        </row>
        <row r="1440">
          <cell r="A1440">
            <v>8049</v>
          </cell>
          <cell r="B1440" t="str">
            <v>ja</v>
          </cell>
          <cell r="C1440" t="str">
            <v>KIRIMIちゃん</v>
          </cell>
          <cell r="D1440" t="str">
            <v>KIRIMIちゃん</v>
          </cell>
          <cell r="E1440" t="str">
            <v>執行者</v>
          </cell>
          <cell r="F1440" t="str">
            <v>格好いい</v>
          </cell>
          <cell r="G1440" t="str">
            <v>女性</v>
          </cell>
          <cell r="H1440" t="str">
            <v>red</v>
          </cell>
          <cell r="I1440">
            <v>4</v>
          </cell>
          <cell r="J1440" t="str">
            <v>Drop2N</v>
          </cell>
          <cell r="K1440" t="str">
            <v>hp</v>
          </cell>
          <cell r="L1440" t="str">
            <v>体力タイプ</v>
          </cell>
          <cell r="M1440" t="str">
            <v>ss</v>
          </cell>
        </row>
        <row r="1441">
          <cell r="A1441">
            <v>8050</v>
          </cell>
          <cell r="B1441" t="str">
            <v>ja</v>
          </cell>
          <cell r="C1441" t="str">
            <v>KIRIMIちゃん</v>
          </cell>
          <cell r="D1441" t="str">
            <v>KIRIMIちゃん</v>
          </cell>
          <cell r="E1441" t="str">
            <v>執行者</v>
          </cell>
          <cell r="F1441" t="str">
            <v>格好いい</v>
          </cell>
          <cell r="G1441" t="str">
            <v>女性</v>
          </cell>
          <cell r="H1441" t="str">
            <v>red</v>
          </cell>
          <cell r="I1441">
            <v>5</v>
          </cell>
          <cell r="J1441" t="str">
            <v>Drop2N</v>
          </cell>
          <cell r="K1441" t="str">
            <v>hp</v>
          </cell>
          <cell r="L1441" t="str">
            <v>体力タイプ</v>
          </cell>
          <cell r="M1441" t="str">
            <v>ss</v>
          </cell>
        </row>
        <row r="1442">
          <cell r="A1442">
            <v>8051</v>
          </cell>
          <cell r="B1442" t="str">
            <v>ja</v>
          </cell>
          <cell r="C1442" t="str">
            <v>ハローキティのリボン</v>
          </cell>
          <cell r="D1442" t="str">
            <v>ハローキティのリボン</v>
          </cell>
          <cell r="E1442" t="str">
            <v>執行者</v>
          </cell>
          <cell r="F1442" t="str">
            <v>格好いい</v>
          </cell>
          <cell r="G1442" t="str">
            <v>女性</v>
          </cell>
          <cell r="H1442" t="str">
            <v>red</v>
          </cell>
          <cell r="I1442">
            <v>5</v>
          </cell>
          <cell r="J1442" t="str">
            <v>Drop2N</v>
          </cell>
          <cell r="K1442" t="str">
            <v>evolution</v>
          </cell>
          <cell r="L1442" t="str">
            <v>覚醒素材タイプ</v>
          </cell>
          <cell r="M1442" t="str">
            <v>ss</v>
          </cell>
        </row>
        <row r="1443">
          <cell r="A1443">
            <v>8052</v>
          </cell>
          <cell r="B1443" t="str">
            <v>ja</v>
          </cell>
          <cell r="C1443" t="str">
            <v>ママの作ったアップルパイ</v>
          </cell>
          <cell r="D1443" t="str">
            <v>ママの作ったアップルパイ</v>
          </cell>
          <cell r="E1443" t="str">
            <v>執行者</v>
          </cell>
          <cell r="F1443" t="str">
            <v>格好いい</v>
          </cell>
          <cell r="G1443" t="str">
            <v>女性</v>
          </cell>
          <cell r="H1443" t="str">
            <v>red</v>
          </cell>
          <cell r="I1443">
            <v>4</v>
          </cell>
          <cell r="J1443" t="str">
            <v>Drop2N</v>
          </cell>
          <cell r="K1443" t="str">
            <v>evolution</v>
          </cell>
          <cell r="L1443" t="str">
            <v>覚醒素材タイプ</v>
          </cell>
          <cell r="M1443" t="str">
            <v>ss</v>
          </cell>
        </row>
        <row r="1444">
          <cell r="A1444">
            <v>8053</v>
          </cell>
          <cell r="B1444" t="str">
            <v>ja</v>
          </cell>
          <cell r="C1444" t="str">
            <v>D.R.T.H__キティコスプレ</v>
          </cell>
          <cell r="D1444" t="str">
            <v>D.R.T.H__キティコスプレ</v>
          </cell>
          <cell r="E1444" t="str">
            <v>執行者</v>
          </cell>
          <cell r="F1444" t="str">
            <v>格好いい</v>
          </cell>
          <cell r="G1444" t="str">
            <v>女性</v>
          </cell>
          <cell r="H1444" t="str">
            <v>red</v>
          </cell>
          <cell r="I1444">
            <v>5</v>
          </cell>
          <cell r="J1444" t="str">
            <v>PremiumSS</v>
          </cell>
          <cell r="K1444" t="str">
            <v>balance</v>
          </cell>
          <cell r="L1444" t="str">
            <v>バランスタイプ</v>
          </cell>
          <cell r="M1444" t="str">
            <v>ss</v>
          </cell>
        </row>
        <row r="1445">
          <cell r="A1445">
            <v>8054</v>
          </cell>
          <cell r="B1445" t="str">
            <v>ja</v>
          </cell>
          <cell r="C1445" t="str">
            <v>D.R.T.H__キティコスプレ</v>
          </cell>
          <cell r="D1445" t="str">
            <v>D.R.T.H__キティコスプレ</v>
          </cell>
          <cell r="E1445" t="str">
            <v>執行者</v>
          </cell>
          <cell r="F1445" t="str">
            <v>格好いい</v>
          </cell>
          <cell r="G1445" t="str">
            <v>女性</v>
          </cell>
          <cell r="H1445" t="str">
            <v>red</v>
          </cell>
          <cell r="I1445">
            <v>6</v>
          </cell>
          <cell r="J1445" t="str">
            <v>PremiumSS</v>
          </cell>
          <cell r="K1445" t="str">
            <v>balance</v>
          </cell>
          <cell r="L1445" t="str">
            <v>バランスタイプ</v>
          </cell>
          <cell r="M1445" t="str">
            <v>ss</v>
          </cell>
        </row>
        <row r="1446">
          <cell r="A1446">
            <v>8055</v>
          </cell>
          <cell r="B1446" t="str">
            <v>ja</v>
          </cell>
          <cell r="C1446" t="str">
            <v>マイメロディ</v>
          </cell>
          <cell r="D1446" t="str">
            <v>マイメロディ</v>
          </cell>
          <cell r="E1446" t="str">
            <v>執行者</v>
          </cell>
          <cell r="F1446" t="str">
            <v>格好いい</v>
          </cell>
          <cell r="G1446" t="str">
            <v>女性</v>
          </cell>
          <cell r="H1446" t="str">
            <v>red</v>
          </cell>
          <cell r="I1446">
            <v>4</v>
          </cell>
          <cell r="J1446" t="str">
            <v>PremiumS</v>
          </cell>
          <cell r="K1446" t="str">
            <v>attack</v>
          </cell>
          <cell r="L1446" t="str">
            <v>攻撃タイプ</v>
          </cell>
          <cell r="M1446" t="str">
            <v>ss</v>
          </cell>
        </row>
        <row r="1447">
          <cell r="A1447">
            <v>8056</v>
          </cell>
          <cell r="B1447" t="str">
            <v>ja</v>
          </cell>
          <cell r="C1447" t="str">
            <v>マイメロディ</v>
          </cell>
          <cell r="D1447" t="str">
            <v>マイメロディ</v>
          </cell>
          <cell r="E1447" t="str">
            <v>執行者</v>
          </cell>
          <cell r="F1447" t="str">
            <v>格好いい</v>
          </cell>
          <cell r="G1447" t="str">
            <v>女性</v>
          </cell>
          <cell r="H1447" t="str">
            <v>red</v>
          </cell>
          <cell r="I1447">
            <v>5</v>
          </cell>
          <cell r="J1447" t="str">
            <v>PremiumS</v>
          </cell>
          <cell r="K1447" t="str">
            <v>attack</v>
          </cell>
          <cell r="L1447" t="str">
            <v>攻撃タイプ</v>
          </cell>
          <cell r="M1447" t="str">
            <v>ss</v>
          </cell>
        </row>
        <row r="1448">
          <cell r="A1448">
            <v>8057</v>
          </cell>
          <cell r="B1448" t="str">
            <v>ja</v>
          </cell>
          <cell r="C1448" t="str">
            <v>ニーベルゲン_シナモロールコスプレ</v>
          </cell>
          <cell r="D1448" t="str">
            <v>ニーベルゲン_シナモロールコスプレ</v>
          </cell>
          <cell r="E1448" t="str">
            <v>執行者</v>
          </cell>
          <cell r="F1448" t="str">
            <v>格好いい</v>
          </cell>
          <cell r="G1448" t="str">
            <v>女性</v>
          </cell>
          <cell r="H1448" t="str">
            <v>green</v>
          </cell>
          <cell r="I1448">
            <v>4</v>
          </cell>
          <cell r="J1448" t="str">
            <v>PremiumS</v>
          </cell>
          <cell r="K1448" t="str">
            <v>balance</v>
          </cell>
          <cell r="L1448" t="str">
            <v>バランスタイプ</v>
          </cell>
          <cell r="M1448" t="str">
            <v>ss</v>
          </cell>
        </row>
        <row r="1449">
          <cell r="A1449">
            <v>8058</v>
          </cell>
          <cell r="B1449" t="str">
            <v>ja</v>
          </cell>
          <cell r="C1449" t="str">
            <v>ニーベルゲン_シナモロールコスプレ</v>
          </cell>
          <cell r="D1449" t="str">
            <v>ニーベルゲン_シナモロールコスプレ</v>
          </cell>
          <cell r="E1449" t="str">
            <v>執行者</v>
          </cell>
          <cell r="F1449" t="str">
            <v>格好いい</v>
          </cell>
          <cell r="G1449" t="str">
            <v>女性</v>
          </cell>
          <cell r="H1449" t="str">
            <v>green</v>
          </cell>
          <cell r="I1449">
            <v>5</v>
          </cell>
          <cell r="J1449" t="str">
            <v>PremiumS</v>
          </cell>
          <cell r="K1449" t="str">
            <v>balance</v>
          </cell>
          <cell r="L1449" t="str">
            <v>バランスタイプ</v>
          </cell>
          <cell r="M1449" t="str">
            <v>ss</v>
          </cell>
        </row>
        <row r="1450">
          <cell r="A1450">
            <v>8059</v>
          </cell>
          <cell r="B1450" t="str">
            <v>ja</v>
          </cell>
          <cell r="C1450" t="str">
            <v>カカシ_マイメロディコスプレ</v>
          </cell>
          <cell r="D1450" t="str">
            <v>カカシ_マイメロディコスプレ</v>
          </cell>
          <cell r="E1450" t="str">
            <v>執行者</v>
          </cell>
          <cell r="F1450" t="str">
            <v>格好いい</v>
          </cell>
          <cell r="G1450" t="str">
            <v>女性</v>
          </cell>
          <cell r="H1450" t="str">
            <v>green</v>
          </cell>
          <cell r="I1450">
            <v>4</v>
          </cell>
          <cell r="J1450" t="str">
            <v>PremiumS</v>
          </cell>
          <cell r="K1450" t="str">
            <v>technical</v>
          </cell>
          <cell r="L1450" t="str">
            <v>テクニカルタイプ</v>
          </cell>
          <cell r="M1450" t="str">
            <v>ss</v>
          </cell>
        </row>
        <row r="1451">
          <cell r="A1451">
            <v>8060</v>
          </cell>
          <cell r="B1451" t="str">
            <v>ja</v>
          </cell>
          <cell r="C1451" t="str">
            <v>カカシ_マイメロディコスプレ</v>
          </cell>
          <cell r="D1451" t="str">
            <v>カカシ_マイメロディコスプレ</v>
          </cell>
          <cell r="E1451" t="str">
            <v>執行者</v>
          </cell>
          <cell r="F1451" t="str">
            <v>格好いい</v>
          </cell>
          <cell r="G1451" t="str">
            <v>女性</v>
          </cell>
          <cell r="H1451" t="str">
            <v>green</v>
          </cell>
          <cell r="I1451">
            <v>5</v>
          </cell>
          <cell r="J1451" t="str">
            <v>PremiumS</v>
          </cell>
          <cell r="K1451" t="str">
            <v>technical</v>
          </cell>
          <cell r="L1451" t="str">
            <v>テクニカルタイプ</v>
          </cell>
          <cell r="M1451" t="str">
            <v>ss</v>
          </cell>
        </row>
        <row r="1452">
          <cell r="A1452">
            <v>8061</v>
          </cell>
          <cell r="B1452" t="str">
            <v>ja</v>
          </cell>
          <cell r="C1452" t="str">
            <v>ケロケロけろっぴ</v>
          </cell>
          <cell r="D1452" t="str">
            <v>ケロケロけろっぴ</v>
          </cell>
          <cell r="E1452" t="str">
            <v>執行者</v>
          </cell>
          <cell r="F1452" t="str">
            <v>格好いい</v>
          </cell>
          <cell r="G1452" t="str">
            <v>女性</v>
          </cell>
          <cell r="H1452" t="str">
            <v>green</v>
          </cell>
          <cell r="I1452">
            <v>3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ss</v>
          </cell>
        </row>
        <row r="1453">
          <cell r="A1453">
            <v>8062</v>
          </cell>
          <cell r="B1453" t="str">
            <v>ja</v>
          </cell>
          <cell r="C1453" t="str">
            <v>ケロケロけろっぴ</v>
          </cell>
          <cell r="D1453" t="str">
            <v>ケロケロけろっぴ</v>
          </cell>
          <cell r="E1453" t="str">
            <v>執行者</v>
          </cell>
          <cell r="F1453" t="str">
            <v>格好いい</v>
          </cell>
          <cell r="G1453" t="str">
            <v>女性</v>
          </cell>
          <cell r="H1453" t="str">
            <v>green</v>
          </cell>
          <cell r="I1453">
            <v>4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ss</v>
          </cell>
        </row>
        <row r="1454">
          <cell r="A1454">
            <v>8063</v>
          </cell>
          <cell r="B1454" t="str">
            <v>ja</v>
          </cell>
          <cell r="C1454" t="str">
            <v>モルドレッド_ポムポムプリンコスプレ</v>
          </cell>
          <cell r="D1454" t="str">
            <v>モルドレッド_ポムポムプリンコスプレ</v>
          </cell>
          <cell r="E1454" t="str">
            <v>執行者</v>
          </cell>
          <cell r="F1454" t="str">
            <v>格好いい</v>
          </cell>
          <cell r="G1454" t="str">
            <v>女性</v>
          </cell>
          <cell r="H1454" t="str">
            <v>blue</v>
          </cell>
          <cell r="I1454">
            <v>5</v>
          </cell>
          <cell r="J1454" t="str">
            <v>PremiumSS</v>
          </cell>
          <cell r="K1454" t="str">
            <v>heal</v>
          </cell>
          <cell r="L1454" t="str">
            <v>回復タイプ</v>
          </cell>
          <cell r="M1454" t="str">
            <v>ss</v>
          </cell>
        </row>
        <row r="1455">
          <cell r="A1455">
            <v>8064</v>
          </cell>
          <cell r="B1455" t="str">
            <v>ja</v>
          </cell>
          <cell r="C1455" t="str">
            <v>モルドレッド_ポムポムプリンコスプレ</v>
          </cell>
          <cell r="D1455" t="str">
            <v>モルドレッド_ポムポムプリンコスプレ</v>
          </cell>
          <cell r="E1455" t="str">
            <v>執行者</v>
          </cell>
          <cell r="F1455" t="str">
            <v>格好いい</v>
          </cell>
          <cell r="G1455" t="str">
            <v>女性</v>
          </cell>
          <cell r="H1455" t="str">
            <v>blue</v>
          </cell>
          <cell r="I1455">
            <v>6</v>
          </cell>
          <cell r="J1455" t="str">
            <v>PremiumSS</v>
          </cell>
          <cell r="K1455" t="str">
            <v>heal</v>
          </cell>
          <cell r="L1455" t="str">
            <v>回復タイプ</v>
          </cell>
          <cell r="M1455" t="str">
            <v>ss</v>
          </cell>
        </row>
        <row r="1456">
          <cell r="A1456">
            <v>8065</v>
          </cell>
          <cell r="B1456" t="str">
            <v>ja</v>
          </cell>
          <cell r="C1456" t="str">
            <v>クロミ</v>
          </cell>
          <cell r="D1456" t="str">
            <v>クロミ</v>
          </cell>
          <cell r="E1456" t="str">
            <v>執行者</v>
          </cell>
          <cell r="F1456" t="str">
            <v>格好いい</v>
          </cell>
          <cell r="G1456" t="str">
            <v>女性</v>
          </cell>
          <cell r="H1456" t="str">
            <v>blue</v>
          </cell>
          <cell r="I1456">
            <v>3</v>
          </cell>
          <cell r="J1456" t="str">
            <v>PremiumS</v>
          </cell>
          <cell r="K1456" t="str">
            <v>technical</v>
          </cell>
          <cell r="L1456" t="str">
            <v>テクニカルタイプ</v>
          </cell>
          <cell r="M1456" t="str">
            <v>ss</v>
          </cell>
        </row>
        <row r="1457">
          <cell r="A1457">
            <v>8066</v>
          </cell>
          <cell r="B1457" t="str">
            <v>ja</v>
          </cell>
          <cell r="C1457" t="str">
            <v>クロミ</v>
          </cell>
          <cell r="D1457" t="str">
            <v>クロミ</v>
          </cell>
          <cell r="E1457" t="str">
            <v>執行者</v>
          </cell>
          <cell r="F1457" t="str">
            <v>格好いい</v>
          </cell>
          <cell r="G1457" t="str">
            <v>女性</v>
          </cell>
          <cell r="H1457" t="str">
            <v>blue</v>
          </cell>
          <cell r="I1457">
            <v>4</v>
          </cell>
          <cell r="J1457" t="str">
            <v>PremiumS</v>
          </cell>
          <cell r="K1457" t="str">
            <v>technical</v>
          </cell>
          <cell r="L1457" t="str">
            <v>テクニカルタイプ</v>
          </cell>
          <cell r="M1457" t="str">
            <v>ss</v>
          </cell>
        </row>
        <row r="1458">
          <cell r="A1458">
            <v>8067</v>
          </cell>
          <cell r="B1458" t="str">
            <v>ja</v>
          </cell>
          <cell r="C1458" t="str">
            <v>バッドばつ丸</v>
          </cell>
          <cell r="D1458" t="str">
            <v>バッドばつ丸</v>
          </cell>
          <cell r="E1458" t="str">
            <v>執行者</v>
          </cell>
          <cell r="F1458" t="str">
            <v>格好いい</v>
          </cell>
          <cell r="G1458" t="str">
            <v>女性</v>
          </cell>
          <cell r="H1458" t="str">
            <v>blue</v>
          </cell>
          <cell r="I1458">
            <v>3</v>
          </cell>
          <cell r="J1458" t="str">
            <v>PremiumS</v>
          </cell>
          <cell r="K1458" t="str">
            <v>attack</v>
          </cell>
          <cell r="L1458" t="str">
            <v>攻撃タイプ</v>
          </cell>
          <cell r="M1458" t="str">
            <v>ss</v>
          </cell>
        </row>
        <row r="1459">
          <cell r="A1459">
            <v>8068</v>
          </cell>
          <cell r="B1459" t="str">
            <v>ja</v>
          </cell>
          <cell r="C1459" t="str">
            <v>バッドばつ丸</v>
          </cell>
          <cell r="D1459" t="str">
            <v>バッドばつ丸</v>
          </cell>
          <cell r="E1459" t="str">
            <v>執行者</v>
          </cell>
          <cell r="F1459" t="str">
            <v>格好いい</v>
          </cell>
          <cell r="G1459" t="str">
            <v>女性</v>
          </cell>
          <cell r="H1459" t="str">
            <v>blue</v>
          </cell>
          <cell r="I1459">
            <v>4</v>
          </cell>
          <cell r="J1459" t="str">
            <v>PremiumS</v>
          </cell>
          <cell r="K1459" t="str">
            <v>attack</v>
          </cell>
          <cell r="L1459" t="str">
            <v>攻撃タイプ</v>
          </cell>
          <cell r="M1459" t="str">
            <v>ss</v>
          </cell>
        </row>
        <row r="1460">
          <cell r="A1460">
            <v>8069</v>
          </cell>
          <cell r="B1460" t="str">
            <v>ja</v>
          </cell>
          <cell r="C1460" t="str">
            <v>シナモロール</v>
          </cell>
          <cell r="D1460" t="str">
            <v>シナモロール</v>
          </cell>
          <cell r="E1460" t="str">
            <v>執行者</v>
          </cell>
          <cell r="F1460" t="str">
            <v>格好いい</v>
          </cell>
          <cell r="G1460" t="str">
            <v>女性</v>
          </cell>
          <cell r="H1460" t="str">
            <v>yellow</v>
          </cell>
          <cell r="I1460">
            <v>4</v>
          </cell>
          <cell r="J1460" t="str">
            <v>PremiumS</v>
          </cell>
          <cell r="K1460" t="str">
            <v>heal</v>
          </cell>
          <cell r="L1460" t="str">
            <v>回復タイプ</v>
          </cell>
          <cell r="M1460" t="str">
            <v>ss</v>
          </cell>
        </row>
        <row r="1461">
          <cell r="A1461">
            <v>8070</v>
          </cell>
          <cell r="B1461" t="str">
            <v>ja</v>
          </cell>
          <cell r="C1461" t="str">
            <v>シナモロール</v>
          </cell>
          <cell r="D1461" t="str">
            <v>シナモロール</v>
          </cell>
          <cell r="E1461" t="str">
            <v>執行者</v>
          </cell>
          <cell r="F1461" t="str">
            <v>格好いい</v>
          </cell>
          <cell r="G1461" t="str">
            <v>女性</v>
          </cell>
          <cell r="H1461" t="str">
            <v>yellow</v>
          </cell>
          <cell r="I1461">
            <v>5</v>
          </cell>
          <cell r="J1461" t="str">
            <v>PremiumS</v>
          </cell>
          <cell r="K1461" t="str">
            <v>heal</v>
          </cell>
          <cell r="L1461" t="str">
            <v>回復タイプ</v>
          </cell>
          <cell r="M1461" t="str">
            <v>ss</v>
          </cell>
        </row>
        <row r="1462">
          <cell r="A1462">
            <v>8071</v>
          </cell>
          <cell r="B1462" t="str">
            <v>ja</v>
          </cell>
          <cell r="C1462" t="str">
            <v>ポムポムプリン</v>
          </cell>
          <cell r="D1462" t="str">
            <v>ポムポムプリン</v>
          </cell>
          <cell r="E1462" t="str">
            <v>執行者</v>
          </cell>
          <cell r="F1462" t="str">
            <v>格好いい</v>
          </cell>
          <cell r="G1462" t="str">
            <v>女性</v>
          </cell>
          <cell r="H1462" t="str">
            <v>yellow</v>
          </cell>
          <cell r="I1462">
            <v>3</v>
          </cell>
          <cell r="J1462" t="str">
            <v>PremiumS</v>
          </cell>
          <cell r="K1462" t="str">
            <v>hp</v>
          </cell>
          <cell r="L1462" t="str">
            <v>体力タイプ</v>
          </cell>
          <cell r="M1462" t="str">
            <v>ss</v>
          </cell>
        </row>
        <row r="1463">
          <cell r="A1463">
            <v>8072</v>
          </cell>
          <cell r="B1463" t="str">
            <v>ja</v>
          </cell>
          <cell r="C1463" t="str">
            <v>ポムポムプリン</v>
          </cell>
          <cell r="D1463" t="str">
            <v>ポムポムプリン</v>
          </cell>
          <cell r="E1463" t="str">
            <v>執行者</v>
          </cell>
          <cell r="F1463" t="str">
            <v>格好いい</v>
          </cell>
          <cell r="G1463" t="str">
            <v>女性</v>
          </cell>
          <cell r="H1463" t="str">
            <v>yellow</v>
          </cell>
          <cell r="I1463">
            <v>4</v>
          </cell>
          <cell r="J1463" t="str">
            <v>PremiumS</v>
          </cell>
          <cell r="K1463" t="str">
            <v>hp</v>
          </cell>
          <cell r="L1463" t="str">
            <v>体力タイプ</v>
          </cell>
          <cell r="M1463" t="str">
            <v>ss</v>
          </cell>
        </row>
        <row r="1464">
          <cell r="A1464">
            <v>8077</v>
          </cell>
          <cell r="B1464" t="str">
            <v>ja</v>
          </cell>
          <cell r="C1464" t="str">
            <v>鄭成功</v>
          </cell>
          <cell r="D1464" t="str">
            <v>ポムポムプリン</v>
          </cell>
          <cell r="E1464" t="str">
            <v>執行者</v>
          </cell>
          <cell r="F1464" t="str">
            <v>格好いい</v>
          </cell>
          <cell r="G1464" t="str">
            <v>女性</v>
          </cell>
          <cell r="H1464" t="str">
            <v>blue</v>
          </cell>
          <cell r="I1464">
            <v>5</v>
          </cell>
          <cell r="J1464" t="str">
            <v>PremiumSS</v>
          </cell>
          <cell r="K1464" t="str">
            <v>attack</v>
          </cell>
          <cell r="L1464" t="str">
            <v>攻撃タイプ</v>
          </cell>
          <cell r="M1464" t="str">
            <v>human</v>
          </cell>
        </row>
        <row r="1465">
          <cell r="A1465">
            <v>8078</v>
          </cell>
          <cell r="B1465" t="str">
            <v>ja</v>
          </cell>
          <cell r="C1465" t="str">
            <v>レア６鄭成功</v>
          </cell>
          <cell r="D1465" t="str">
            <v>ポムポムプリン</v>
          </cell>
          <cell r="E1465" t="str">
            <v>執行者</v>
          </cell>
          <cell r="F1465" t="str">
            <v>格好いい</v>
          </cell>
          <cell r="G1465" t="str">
            <v>女性</v>
          </cell>
          <cell r="H1465" t="str">
            <v>blue</v>
          </cell>
          <cell r="I1465">
            <v>6</v>
          </cell>
          <cell r="J1465" t="str">
            <v>PremiumSS</v>
          </cell>
          <cell r="K1465" t="str">
            <v>attack</v>
          </cell>
          <cell r="L1465" t="str">
            <v>攻撃タイプ</v>
          </cell>
          <cell r="M1465" t="str">
            <v>human</v>
          </cell>
        </row>
        <row r="1466">
          <cell r="A1466">
            <v>8079</v>
          </cell>
          <cell r="B1466" t="str">
            <v>ja</v>
          </cell>
          <cell r="C1466" t="str">
            <v>赤鬼</v>
          </cell>
          <cell r="D1466" t="str">
            <v>ポムポムプリン</v>
          </cell>
          <cell r="E1466" t="str">
            <v>執行者</v>
          </cell>
          <cell r="F1466" t="str">
            <v>格好いい</v>
          </cell>
          <cell r="G1466" t="str">
            <v>女性</v>
          </cell>
          <cell r="H1466" t="str">
            <v>red</v>
          </cell>
          <cell r="I1466">
            <v>5</v>
          </cell>
          <cell r="J1466" t="str">
            <v>DropWizS</v>
          </cell>
          <cell r="K1466" t="str">
            <v>hp</v>
          </cell>
          <cell r="L1466" t="str">
            <v>体力タイプ</v>
          </cell>
          <cell r="M1466" t="str">
            <v>dragon</v>
          </cell>
        </row>
        <row r="1467">
          <cell r="A1467">
            <v>8080</v>
          </cell>
          <cell r="B1467" t="str">
            <v>ja</v>
          </cell>
          <cell r="C1467" t="str">
            <v>レア６赤鬼</v>
          </cell>
          <cell r="D1467" t="str">
            <v>ポムポムプリン</v>
          </cell>
          <cell r="E1467" t="str">
            <v>執行者</v>
          </cell>
          <cell r="F1467" t="str">
            <v>格好いい</v>
          </cell>
          <cell r="G1467" t="str">
            <v>女性</v>
          </cell>
          <cell r="H1467" t="str">
            <v>red</v>
          </cell>
          <cell r="I1467">
            <v>6</v>
          </cell>
          <cell r="J1467" t="str">
            <v>DropWizS</v>
          </cell>
          <cell r="K1467" t="str">
            <v>hp</v>
          </cell>
          <cell r="L1467" t="str">
            <v>体力タイプ</v>
          </cell>
          <cell r="M1467" t="str">
            <v>dragon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38"/>
  <sheetViews>
    <sheetView zoomScale="75" zoomScaleNormal="75" zoomScalePageLayoutView="75" workbookViewId="0">
      <selection activeCell="C37" sqref="C37"/>
    </sheetView>
  </sheetViews>
  <sheetFormatPr baseColWidth="12" defaultRowHeight="15" x14ac:dyDescent="0.15"/>
  <cols>
    <col min="1" max="1" width="45" style="32" customWidth="1"/>
    <col min="2" max="16384" width="13" style="32"/>
  </cols>
  <sheetData>
    <row r="1" spans="1:13" x14ac:dyDescent="0.15">
      <c r="A1" s="32" t="s">
        <v>29</v>
      </c>
      <c r="B1" s="32" t="s">
        <v>30</v>
      </c>
    </row>
    <row r="2" spans="1:13" x14ac:dyDescent="0.15">
      <c r="A2" s="32" t="s">
        <v>31</v>
      </c>
      <c r="B2" s="32" t="s">
        <v>32</v>
      </c>
      <c r="C2" s="32" t="s">
        <v>33</v>
      </c>
      <c r="D2" s="32" t="s">
        <v>34</v>
      </c>
      <c r="E2" s="32" t="s">
        <v>35</v>
      </c>
      <c r="F2" s="32" t="s">
        <v>36</v>
      </c>
      <c r="G2" s="32" t="s">
        <v>37</v>
      </c>
      <c r="H2" s="32" t="s">
        <v>38</v>
      </c>
    </row>
    <row r="3" spans="1:13" x14ac:dyDescent="0.15">
      <c r="A3" s="32">
        <v>3</v>
      </c>
      <c r="B3" s="33" t="s">
        <v>39</v>
      </c>
      <c r="C3" s="33" t="s">
        <v>40</v>
      </c>
      <c r="D3" s="32">
        <v>0</v>
      </c>
      <c r="E3" s="33" t="s">
        <v>41</v>
      </c>
      <c r="F3" s="32">
        <v>0</v>
      </c>
      <c r="G3" s="32">
        <v>0</v>
      </c>
      <c r="H3" s="34">
        <v>0.5</v>
      </c>
    </row>
    <row r="4" spans="1:13" x14ac:dyDescent="0.15">
      <c r="A4" s="32">
        <v>4</v>
      </c>
      <c r="B4" s="33" t="s">
        <v>42</v>
      </c>
      <c r="C4" s="33" t="s">
        <v>43</v>
      </c>
      <c r="D4" s="33" t="s">
        <v>44</v>
      </c>
      <c r="E4" s="33" t="s">
        <v>45</v>
      </c>
      <c r="F4" s="33" t="s">
        <v>46</v>
      </c>
      <c r="G4" s="32">
        <v>0</v>
      </c>
      <c r="H4" s="34">
        <v>0.45</v>
      </c>
    </row>
    <row r="5" spans="1:13" x14ac:dyDescent="0.15">
      <c r="A5" s="32">
        <v>5</v>
      </c>
      <c r="B5" s="35">
        <v>0</v>
      </c>
      <c r="C5" s="33" t="s">
        <v>47</v>
      </c>
      <c r="D5" s="33" t="s">
        <v>48</v>
      </c>
      <c r="E5" s="33" t="s">
        <v>49</v>
      </c>
      <c r="F5" s="33" t="s">
        <v>50</v>
      </c>
      <c r="G5" s="33" t="s">
        <v>51</v>
      </c>
      <c r="H5" s="34">
        <v>0.05</v>
      </c>
    </row>
    <row r="6" spans="1:13" x14ac:dyDescent="0.15">
      <c r="B6" s="34" t="s">
        <v>52</v>
      </c>
      <c r="C6" s="34" t="s">
        <v>52</v>
      </c>
      <c r="D6" s="34" t="s">
        <v>53</v>
      </c>
      <c r="E6" s="34" t="s">
        <v>52</v>
      </c>
      <c r="F6" s="34" t="s">
        <v>52</v>
      </c>
      <c r="G6" s="36" t="s">
        <v>54</v>
      </c>
      <c r="H6" s="34">
        <v>1</v>
      </c>
    </row>
    <row r="7" spans="1:13" x14ac:dyDescent="0.15">
      <c r="B7" s="34"/>
      <c r="C7" s="34"/>
      <c r="D7" s="34"/>
      <c r="E7" s="34"/>
      <c r="F7" s="34"/>
      <c r="G7" s="36"/>
      <c r="H7" s="34"/>
    </row>
    <row r="8" spans="1:13" x14ac:dyDescent="0.15">
      <c r="A8" s="32" t="s">
        <v>55</v>
      </c>
      <c r="B8" s="34"/>
      <c r="C8" s="34"/>
      <c r="D8" s="34"/>
      <c r="E8" s="34"/>
      <c r="F8" s="34"/>
      <c r="G8" s="36"/>
      <c r="H8" s="34"/>
    </row>
    <row r="9" spans="1:13" x14ac:dyDescent="0.15">
      <c r="A9" s="32" t="s">
        <v>56</v>
      </c>
      <c r="B9" s="34"/>
      <c r="C9" s="34"/>
      <c r="D9" s="34"/>
      <c r="E9" s="34"/>
      <c r="F9" s="34"/>
      <c r="G9" s="36"/>
      <c r="H9" s="34"/>
    </row>
    <row r="10" spans="1:13" x14ac:dyDescent="0.15">
      <c r="A10" s="32" t="s">
        <v>57</v>
      </c>
      <c r="B10" s="34"/>
      <c r="C10" s="34"/>
      <c r="D10" s="34"/>
      <c r="E10" s="34"/>
      <c r="F10" s="34"/>
      <c r="G10" s="36"/>
      <c r="H10" s="34"/>
    </row>
    <row r="11" spans="1:13" x14ac:dyDescent="0.15">
      <c r="A11" s="32" t="s">
        <v>58</v>
      </c>
      <c r="B11" s="34"/>
      <c r="C11" s="34"/>
      <c r="D11" s="34"/>
      <c r="E11" s="34"/>
      <c r="F11" s="34"/>
      <c r="G11" s="36"/>
      <c r="H11" s="34"/>
    </row>
    <row r="12" spans="1:13" x14ac:dyDescent="0.15">
      <c r="A12" s="32" t="s">
        <v>51</v>
      </c>
      <c r="B12" s="34" t="s">
        <v>59</v>
      </c>
      <c r="C12" s="34" t="s">
        <v>60</v>
      </c>
      <c r="D12" s="34"/>
      <c r="E12" s="34"/>
      <c r="F12" s="34"/>
      <c r="G12" s="36"/>
      <c r="H12" s="34"/>
    </row>
    <row r="13" spans="1:13" x14ac:dyDescent="0.15">
      <c r="A13" s="32" t="s">
        <v>61</v>
      </c>
      <c r="B13" s="32" t="s">
        <v>62</v>
      </c>
      <c r="C13" s="32" t="s">
        <v>63</v>
      </c>
    </row>
    <row r="14" spans="1:13" x14ac:dyDescent="0.15">
      <c r="A14" s="32" t="s">
        <v>64</v>
      </c>
      <c r="B14" s="32" t="s">
        <v>59</v>
      </c>
      <c r="C14" s="35" t="s">
        <v>65</v>
      </c>
      <c r="E14" s="35"/>
      <c r="F14" s="35"/>
      <c r="M14" s="34"/>
    </row>
    <row r="15" spans="1:13" x14ac:dyDescent="0.15">
      <c r="A15" s="32" t="s">
        <v>41</v>
      </c>
      <c r="B15" s="34" t="s">
        <v>59</v>
      </c>
      <c r="C15" s="34" t="s">
        <v>66</v>
      </c>
      <c r="H15" s="37"/>
      <c r="M15" s="34"/>
    </row>
    <row r="16" spans="1:13" x14ac:dyDescent="0.15">
      <c r="A16" s="32" t="s">
        <v>45</v>
      </c>
      <c r="B16" s="34" t="s">
        <v>59</v>
      </c>
      <c r="C16" s="34" t="s">
        <v>67</v>
      </c>
      <c r="M16" s="34"/>
    </row>
    <row r="17" spans="1:13" x14ac:dyDescent="0.15">
      <c r="A17" s="32" t="s">
        <v>68</v>
      </c>
      <c r="B17" s="34" t="s">
        <v>59</v>
      </c>
      <c r="C17" s="34" t="s">
        <v>69</v>
      </c>
      <c r="M17" s="34"/>
    </row>
    <row r="18" spans="1:13" x14ac:dyDescent="0.15">
      <c r="B18" s="34"/>
      <c r="C18" s="34"/>
    </row>
    <row r="19" spans="1:13" x14ac:dyDescent="0.15">
      <c r="A19" s="32" t="s">
        <v>70</v>
      </c>
    </row>
    <row r="20" spans="1:13" x14ac:dyDescent="0.15">
      <c r="A20" s="32" t="s">
        <v>71</v>
      </c>
      <c r="B20" s="34"/>
      <c r="C20" s="34"/>
    </row>
    <row r="21" spans="1:13" x14ac:dyDescent="0.15">
      <c r="A21" s="32" t="s">
        <v>72</v>
      </c>
      <c r="B21" s="34" t="s">
        <v>73</v>
      </c>
      <c r="C21" s="34" t="s">
        <v>74</v>
      </c>
      <c r="D21" s="32" t="s">
        <v>75</v>
      </c>
    </row>
    <row r="22" spans="1:13" x14ac:dyDescent="0.15">
      <c r="A22" s="32" t="s">
        <v>76</v>
      </c>
      <c r="B22" s="34" t="s">
        <v>59</v>
      </c>
      <c r="C22" s="34" t="s">
        <v>77</v>
      </c>
      <c r="D22" s="32" t="s">
        <v>78</v>
      </c>
    </row>
    <row r="23" spans="1:13" x14ac:dyDescent="0.15">
      <c r="A23" s="32" t="s">
        <v>79</v>
      </c>
      <c r="B23" s="34" t="s">
        <v>59</v>
      </c>
      <c r="C23" s="32" t="s">
        <v>80</v>
      </c>
      <c r="D23" s="32" t="s">
        <v>81</v>
      </c>
    </row>
    <row r="24" spans="1:13" x14ac:dyDescent="0.15">
      <c r="A24" s="32" t="s">
        <v>82</v>
      </c>
      <c r="B24" s="34" t="s">
        <v>59</v>
      </c>
      <c r="C24" s="34" t="s">
        <v>83</v>
      </c>
      <c r="D24" s="32" t="s">
        <v>84</v>
      </c>
    </row>
    <row r="25" spans="1:13" x14ac:dyDescent="0.15">
      <c r="A25" s="32" t="s">
        <v>85</v>
      </c>
      <c r="B25" s="34" t="s">
        <v>59</v>
      </c>
      <c r="C25" s="34" t="s">
        <v>86</v>
      </c>
      <c r="D25" s="32" t="s">
        <v>87</v>
      </c>
    </row>
    <row r="26" spans="1:13" x14ac:dyDescent="0.15">
      <c r="A26" s="32" t="s">
        <v>88</v>
      </c>
      <c r="B26" s="34" t="s">
        <v>59</v>
      </c>
      <c r="C26" s="34" t="s">
        <v>89</v>
      </c>
      <c r="D26" s="32" t="s">
        <v>90</v>
      </c>
    </row>
    <row r="27" spans="1:13" x14ac:dyDescent="0.15">
      <c r="A27" s="32" t="s">
        <v>91</v>
      </c>
      <c r="B27" s="34" t="s">
        <v>59</v>
      </c>
      <c r="C27" s="34" t="s">
        <v>53</v>
      </c>
      <c r="D27" s="32" t="s">
        <v>92</v>
      </c>
      <c r="E27" s="32" t="s">
        <v>93</v>
      </c>
    </row>
    <row r="28" spans="1:13" x14ac:dyDescent="0.15">
      <c r="A28" s="32" t="s">
        <v>40</v>
      </c>
      <c r="B28" s="34" t="s">
        <v>59</v>
      </c>
      <c r="C28" s="34" t="s">
        <v>94</v>
      </c>
      <c r="E28" s="32" t="s">
        <v>95</v>
      </c>
    </row>
    <row r="29" spans="1:13" x14ac:dyDescent="0.15">
      <c r="A29" s="32" t="s">
        <v>43</v>
      </c>
      <c r="B29" s="34" t="s">
        <v>59</v>
      </c>
      <c r="C29" s="34" t="s">
        <v>96</v>
      </c>
    </row>
    <row r="30" spans="1:13" x14ac:dyDescent="0.15">
      <c r="B30" s="34"/>
    </row>
    <row r="31" spans="1:13" x14ac:dyDescent="0.15">
      <c r="A31" s="32" t="s">
        <v>97</v>
      </c>
    </row>
    <row r="32" spans="1:13" x14ac:dyDescent="0.15">
      <c r="A32" s="32" t="s">
        <v>98</v>
      </c>
      <c r="B32" s="34" t="s">
        <v>59</v>
      </c>
      <c r="C32" s="34" t="s">
        <v>99</v>
      </c>
    </row>
    <row r="33" spans="1:3" x14ac:dyDescent="0.15">
      <c r="A33" s="32" t="s">
        <v>43</v>
      </c>
      <c r="B33" s="34" t="s">
        <v>59</v>
      </c>
      <c r="C33" s="34" t="s">
        <v>100</v>
      </c>
    </row>
    <row r="34" spans="1:3" x14ac:dyDescent="0.15">
      <c r="A34" s="32" t="s">
        <v>40</v>
      </c>
      <c r="B34" s="34" t="s">
        <v>59</v>
      </c>
      <c r="C34" s="34" t="s">
        <v>101</v>
      </c>
    </row>
    <row r="35" spans="1:3" x14ac:dyDescent="0.15">
      <c r="A35" s="32" t="s">
        <v>39</v>
      </c>
      <c r="B35" s="34" t="s">
        <v>59</v>
      </c>
      <c r="C35" s="34" t="s">
        <v>102</v>
      </c>
    </row>
    <row r="36" spans="1:3" x14ac:dyDescent="0.15">
      <c r="A36" s="32" t="s">
        <v>42</v>
      </c>
      <c r="B36" s="34" t="s">
        <v>59</v>
      </c>
      <c r="C36" s="34" t="s">
        <v>103</v>
      </c>
    </row>
    <row r="37" spans="1:3" x14ac:dyDescent="0.15">
      <c r="A37" s="32" t="s">
        <v>48</v>
      </c>
      <c r="B37" s="34" t="s">
        <v>59</v>
      </c>
      <c r="C37" s="34" t="s">
        <v>104</v>
      </c>
    </row>
    <row r="38" spans="1:3" x14ac:dyDescent="0.15">
      <c r="A38" s="32" t="s">
        <v>44</v>
      </c>
      <c r="B38" s="34" t="s">
        <v>59</v>
      </c>
      <c r="C38" s="34" t="s">
        <v>105</v>
      </c>
    </row>
  </sheetData>
  <phoneticPr fontId="10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A5" sqref="A5"/>
    </sheetView>
  </sheetViews>
  <sheetFormatPr baseColWidth="12" defaultRowHeight="14" x14ac:dyDescent="0.15"/>
  <sheetData>
    <row r="1" spans="1:1" x14ac:dyDescent="0.15">
      <c r="A1" t="s">
        <v>24</v>
      </c>
    </row>
    <row r="2" spans="1:1" x14ac:dyDescent="0.15">
      <c r="A2" t="s">
        <v>25</v>
      </c>
    </row>
    <row r="3" spans="1:1" x14ac:dyDescent="0.15">
      <c r="A3" t="s">
        <v>26</v>
      </c>
    </row>
    <row r="4" spans="1:1" x14ac:dyDescent="0.15">
      <c r="A4" t="s">
        <v>27</v>
      </c>
    </row>
  </sheetData>
  <phoneticPr fontId="1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6"/>
  <sheetViews>
    <sheetView workbookViewId="0">
      <selection activeCell="F16" sqref="F16"/>
    </sheetView>
  </sheetViews>
  <sheetFormatPr baseColWidth="12" defaultRowHeight="15" x14ac:dyDescent="0.15"/>
  <cols>
    <col min="1" max="1" width="13" style="17"/>
    <col min="2" max="2" width="14.796875" style="17" bestFit="1" customWidth="1"/>
    <col min="3" max="4" width="13" style="17"/>
    <col min="5" max="5" width="17.59765625" style="17" bestFit="1" customWidth="1"/>
    <col min="6" max="6" width="22.19921875" style="17" bestFit="1" customWidth="1"/>
    <col min="7" max="16384" width="13" style="17"/>
  </cols>
  <sheetData>
    <row r="1" spans="1:21" x14ac:dyDescent="0.15">
      <c r="A1" s="20" t="s">
        <v>19</v>
      </c>
      <c r="B1" s="15" t="s">
        <v>12</v>
      </c>
      <c r="C1" s="15" t="s">
        <v>13</v>
      </c>
      <c r="D1" s="15" t="s">
        <v>14</v>
      </c>
      <c r="E1" s="15" t="s">
        <v>15</v>
      </c>
      <c r="F1" s="15" t="s">
        <v>16</v>
      </c>
      <c r="G1" s="15" t="s">
        <v>17</v>
      </c>
      <c r="H1" s="15"/>
      <c r="I1" s="15"/>
      <c r="J1" s="15"/>
      <c r="K1" s="15"/>
      <c r="L1" s="16"/>
      <c r="M1" s="16"/>
      <c r="N1" s="16"/>
      <c r="O1" s="16"/>
    </row>
    <row r="2" spans="1:21" x14ac:dyDescent="0.15">
      <c r="A2" s="55" t="s">
        <v>122</v>
      </c>
      <c r="B2" s="53" t="s">
        <v>121</v>
      </c>
      <c r="C2" s="29" t="str">
        <f>RIGHT(F2,7)</f>
        <v>7121100</v>
      </c>
      <c r="D2" s="18" t="s">
        <v>18</v>
      </c>
      <c r="E2" s="16" t="str">
        <f t="shared" ref="E2" si="0">B2&amp;C2&amp;D2</f>
        <v>gacha_select_tables_7121100.tmp</v>
      </c>
      <c r="F2" s="54" t="s">
        <v>123</v>
      </c>
      <c r="G2" s="28" t="s">
        <v>28</v>
      </c>
      <c r="H2" s="19" t="s">
        <v>0</v>
      </c>
      <c r="I2" s="19" t="s">
        <v>2</v>
      </c>
      <c r="J2" s="19" t="s">
        <v>3</v>
      </c>
      <c r="K2" s="19" t="s">
        <v>4</v>
      </c>
      <c r="L2" s="19" t="s">
        <v>5</v>
      </c>
      <c r="M2" s="19" t="s">
        <v>6</v>
      </c>
      <c r="N2" s="19" t="s">
        <v>7</v>
      </c>
      <c r="O2" s="19" t="s">
        <v>8</v>
      </c>
    </row>
    <row r="3" spans="1:21" x14ac:dyDescent="0.15">
      <c r="A3" s="38" t="s">
        <v>120</v>
      </c>
      <c r="B3" s="53" t="s">
        <v>121</v>
      </c>
      <c r="C3" s="29" t="str">
        <f>RIGHT(F3,7)</f>
        <v>7121101</v>
      </c>
      <c r="D3" s="18" t="s">
        <v>18</v>
      </c>
      <c r="E3" s="16" t="str">
        <f t="shared" ref="E3:E4" si="1">B3&amp;C3&amp;D3</f>
        <v>gacha_select_tables_7121101.tmp</v>
      </c>
      <c r="F3" s="54" t="s">
        <v>124</v>
      </c>
      <c r="G3" s="28" t="s">
        <v>28</v>
      </c>
      <c r="H3" s="19" t="s">
        <v>0</v>
      </c>
      <c r="I3" s="19" t="s">
        <v>2</v>
      </c>
      <c r="J3" s="19" t="s">
        <v>3</v>
      </c>
      <c r="K3" s="19" t="s">
        <v>4</v>
      </c>
      <c r="L3" s="19" t="s">
        <v>5</v>
      </c>
      <c r="M3" s="19" t="s">
        <v>6</v>
      </c>
      <c r="N3" s="19" t="s">
        <v>7</v>
      </c>
      <c r="O3" s="19" t="s">
        <v>8</v>
      </c>
    </row>
    <row r="4" spans="1:21" x14ac:dyDescent="0.15">
      <c r="A4" s="38" t="s">
        <v>120</v>
      </c>
      <c r="B4" s="53" t="s">
        <v>121</v>
      </c>
      <c r="C4" s="29" t="str">
        <f>RIGHT(F4,7)</f>
        <v>7121102</v>
      </c>
      <c r="D4" s="18" t="s">
        <v>18</v>
      </c>
      <c r="E4" s="16" t="str">
        <f t="shared" si="1"/>
        <v>gacha_select_tables_7121102.tmp</v>
      </c>
      <c r="F4" s="54" t="s">
        <v>125</v>
      </c>
      <c r="G4" s="28" t="s">
        <v>28</v>
      </c>
      <c r="H4" s="19" t="s">
        <v>0</v>
      </c>
      <c r="I4" s="19" t="s">
        <v>2</v>
      </c>
      <c r="J4" s="19" t="s">
        <v>3</v>
      </c>
      <c r="K4" s="19" t="s">
        <v>4</v>
      </c>
      <c r="L4" s="19" t="s">
        <v>5</v>
      </c>
      <c r="M4" s="19" t="s">
        <v>6</v>
      </c>
      <c r="N4" s="19" t="s">
        <v>7</v>
      </c>
      <c r="O4" s="19" t="s">
        <v>8</v>
      </c>
    </row>
    <row r="5" spans="1:21" x14ac:dyDescent="0.15">
      <c r="A5" s="38" t="s">
        <v>120</v>
      </c>
      <c r="B5" s="53" t="s">
        <v>121</v>
      </c>
      <c r="C5" s="29" t="str">
        <f>RIGHT(F5,7)</f>
        <v>7121103</v>
      </c>
      <c r="D5" s="18" t="s">
        <v>18</v>
      </c>
      <c r="E5" s="16" t="str">
        <f t="shared" ref="E5" si="2">B5&amp;C5&amp;D5</f>
        <v>gacha_select_tables_7121103.tmp</v>
      </c>
      <c r="F5" s="54" t="s">
        <v>126</v>
      </c>
      <c r="G5" s="28" t="s">
        <v>28</v>
      </c>
      <c r="H5" s="19" t="s">
        <v>0</v>
      </c>
      <c r="I5" s="19" t="s">
        <v>2</v>
      </c>
      <c r="J5" s="19" t="s">
        <v>3</v>
      </c>
      <c r="K5" s="19" t="s">
        <v>4</v>
      </c>
      <c r="L5" s="19" t="s">
        <v>5</v>
      </c>
      <c r="M5" s="19" t="s">
        <v>6</v>
      </c>
      <c r="N5" s="19" t="s">
        <v>7</v>
      </c>
      <c r="O5" s="19" t="s">
        <v>8</v>
      </c>
      <c r="P5" s="30"/>
      <c r="Q5" s="30"/>
      <c r="R5" s="30"/>
      <c r="S5" s="30"/>
      <c r="T5" s="30"/>
      <c r="U5" s="30"/>
    </row>
    <row r="6" spans="1:21" x14ac:dyDescent="0.15">
      <c r="A6" s="38" t="s">
        <v>120</v>
      </c>
      <c r="B6" s="53" t="s">
        <v>121</v>
      </c>
      <c r="C6" s="29" t="str">
        <f>RIGHT(F6,7)</f>
        <v>7121104</v>
      </c>
      <c r="D6" s="18" t="s">
        <v>18</v>
      </c>
      <c r="E6" s="16" t="str">
        <f t="shared" ref="E6" si="3">B6&amp;C6&amp;D6</f>
        <v>gacha_select_tables_7121104.tmp</v>
      </c>
      <c r="F6" s="54" t="s">
        <v>127</v>
      </c>
      <c r="G6" s="28" t="s">
        <v>28</v>
      </c>
      <c r="H6" s="19" t="s">
        <v>0</v>
      </c>
      <c r="I6" s="19" t="s">
        <v>2</v>
      </c>
      <c r="J6" s="19" t="s">
        <v>3</v>
      </c>
      <c r="K6" s="19" t="s">
        <v>4</v>
      </c>
      <c r="L6" s="19" t="s">
        <v>5</v>
      </c>
      <c r="M6" s="19" t="s">
        <v>6</v>
      </c>
      <c r="N6" s="19" t="s">
        <v>7</v>
      </c>
      <c r="O6" s="19" t="s">
        <v>8</v>
      </c>
    </row>
  </sheetData>
  <phoneticPr fontId="10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AJ335"/>
  <sheetViews>
    <sheetView showGridLines="0" workbookViewId="0">
      <pane ySplit="1" topLeftCell="A2" activePane="bottomLeft" state="frozen"/>
      <selection activeCell="E6" sqref="E6"/>
      <selection pane="bottomLeft" activeCell="C12" sqref="C1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22" width="13" style="1"/>
    <col min="23" max="36" width="13" style="45"/>
    <col min="37" max="16384" width="13" style="1"/>
  </cols>
  <sheetData>
    <row r="1" spans="1:22" ht="21" customHeight="1" x14ac:dyDescent="0.15">
      <c r="A1" s="13" t="s">
        <v>108</v>
      </c>
      <c r="B1" s="14" t="s">
        <v>109</v>
      </c>
      <c r="C1" s="3" t="s">
        <v>9</v>
      </c>
      <c r="D1" s="3" t="s">
        <v>110</v>
      </c>
      <c r="E1" s="3" t="s">
        <v>106</v>
      </c>
      <c r="F1" s="3" t="s">
        <v>107</v>
      </c>
      <c r="G1" s="3" t="s">
        <v>111</v>
      </c>
      <c r="H1" s="3" t="s">
        <v>112</v>
      </c>
      <c r="I1" s="3" t="s">
        <v>113</v>
      </c>
      <c r="J1" s="3" t="s">
        <v>114</v>
      </c>
      <c r="K1" s="3" t="s">
        <v>115</v>
      </c>
      <c r="L1" s="3" t="s">
        <v>116</v>
      </c>
      <c r="M1" s="3" t="s">
        <v>117</v>
      </c>
      <c r="N1" s="3" t="s">
        <v>20</v>
      </c>
      <c r="O1" s="14" t="s">
        <v>118</v>
      </c>
      <c r="P1" s="3" t="s">
        <v>22</v>
      </c>
      <c r="Q1" s="14" t="s">
        <v>119</v>
      </c>
      <c r="R1" s="21" t="s">
        <v>4</v>
      </c>
      <c r="S1" s="21" t="s">
        <v>5</v>
      </c>
      <c r="T1" s="21" t="s">
        <v>6</v>
      </c>
      <c r="U1" s="21" t="s">
        <v>7</v>
      </c>
      <c r="V1" s="21" t="s">
        <v>8</v>
      </c>
    </row>
    <row r="2" spans="1:22" ht="21" customHeight="1" x14ac:dyDescent="0.15">
      <c r="A2" s="2">
        <v>7121101</v>
      </c>
      <c r="B2" s="6">
        <v>1137</v>
      </c>
      <c r="C2" s="7" t="str">
        <f t="shared" ref="C2:C5" si="0">D2&amp;J2&amp;E2&amp;F2&amp;G2</f>
        <v>PremiumSS5R5only</v>
      </c>
      <c r="D2" s="7" t="str">
        <f>IF(OR(I2="PremiumSS",I2="PremiumSSw"),"PremiumSS",IF(I2="PremiumSSS",I2,IF(I2="PremiumW",IF(J2=5,"premium",I2),"Premium")))</f>
        <v>PremiumSS</v>
      </c>
      <c r="E2" s="7" t="str">
        <f>IF(COUNTIF('R6追加前'!A:A,B2)=0,IF(OR(I2="PremiumSS",I2="PremiumSSw"),"R5only","R3less"),"")</f>
        <v>R5only</v>
      </c>
      <c r="F2" s="7" t="str">
        <f>IF(COUNTIF('R6開放'!A:A,B2)&gt;0,"R6release","")</f>
        <v/>
      </c>
      <c r="G2" s="7"/>
      <c r="H2" s="7" t="str">
        <f>VLOOKUP(B2,[1]characters!$A:$C,3,FALSE)</f>
        <v>諸葛亮</v>
      </c>
      <c r="I2" s="7" t="str">
        <f>VLOOKUP(B2,[1]characters!$A:$J,10,FALSE)</f>
        <v>PremiumSSW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technical</v>
      </c>
      <c r="M2" s="7" t="str">
        <f>VLOOKUP(B2,[1]characters!$A:$M,13,FALSE)</f>
        <v>samurai</v>
      </c>
      <c r="N2" s="7" t="str">
        <f>VLOOKUP(B2,[1]characters!$A:$G,7,FALSE)</f>
        <v>不明</v>
      </c>
      <c r="O2" s="7">
        <f t="shared" ref="O2:O5" si="1">((IF(D2="premium",27075,1805))/1805)*10</f>
        <v>10</v>
      </c>
      <c r="P2" s="27">
        <f t="shared" ref="P2:P5" si="2">O2/SUM(O:O)</f>
        <v>0.25</v>
      </c>
      <c r="Q2" s="22">
        <v>1</v>
      </c>
      <c r="R2" s="22">
        <v>0</v>
      </c>
      <c r="S2" s="22">
        <v>0</v>
      </c>
      <c r="T2" s="22">
        <v>0</v>
      </c>
      <c r="U2" s="22">
        <v>0</v>
      </c>
      <c r="V2" s="22">
        <v>1</v>
      </c>
    </row>
    <row r="3" spans="1:22" ht="21" customHeight="1" x14ac:dyDescent="0.15">
      <c r="A3" s="2">
        <v>7121101</v>
      </c>
      <c r="B3" s="6">
        <v>848</v>
      </c>
      <c r="C3" s="7" t="str">
        <f t="shared" si="0"/>
        <v>PremiumSS5R5only</v>
      </c>
      <c r="D3" s="7" t="str">
        <f t="shared" ref="D3:D5" si="3">IF(OR(I3="PremiumSS",I3="PremiumSSw"),"PremiumSS",IF(I3="PremiumSSS",I3,IF(I3="PremiumW",IF(J3=5,"premium",I3),"Premium")))</f>
        <v>PremiumSS</v>
      </c>
      <c r="E3" s="7" t="str">
        <f>IF(COUNTIF('R6追加前'!A:A,B3)=0,IF(OR(I3="PremiumSS",I3="PremiumSSw"),"R5only","R3less"),"")</f>
        <v>R5only</v>
      </c>
      <c r="F3" s="7" t="str">
        <f>IF(COUNTIF('R6開放'!A:A,B3)&gt;0,"R6release","")</f>
        <v/>
      </c>
      <c r="G3" s="7"/>
      <c r="H3" s="7" t="str">
        <f>VLOOKUP(B3,[1]characters!$A:$C,3,FALSE)</f>
        <v>メタトロン</v>
      </c>
      <c r="I3" s="7" t="str">
        <f>VLOOKUP(B3,[1]characters!$A:$J,10,FALSE)</f>
        <v>PremiumSS</v>
      </c>
      <c r="J3" s="7">
        <f>VLOOKUP(B3,[1]characters!$A:$I,9,FALSE)</f>
        <v>5</v>
      </c>
      <c r="K3" s="7" t="str">
        <f>VLOOKUP(B3,[1]characters!$A:$H,8,FALSE)</f>
        <v>red</v>
      </c>
      <c r="L3" s="7" t="str">
        <f>VLOOKUP(B3,[1]characters!$A:$K,11,FALSE)</f>
        <v>balance</v>
      </c>
      <c r="M3" s="7" t="str">
        <f>VLOOKUP(B3,[1]characters!$A:$M,13,FALSE)</f>
        <v>god</v>
      </c>
      <c r="N3" s="7" t="str">
        <f>VLOOKUP(B3,[1]characters!$A:$G,7,FALSE)</f>
        <v>男性</v>
      </c>
      <c r="O3" s="7">
        <f t="shared" si="1"/>
        <v>10</v>
      </c>
      <c r="P3" s="27">
        <f t="shared" si="2"/>
        <v>0.25</v>
      </c>
      <c r="Q3" s="22">
        <v>1</v>
      </c>
      <c r="R3" s="22">
        <v>0</v>
      </c>
      <c r="S3" s="22">
        <v>0</v>
      </c>
      <c r="T3" s="22">
        <v>0</v>
      </c>
      <c r="U3" s="22">
        <v>0</v>
      </c>
      <c r="V3" s="22">
        <v>1</v>
      </c>
    </row>
    <row r="4" spans="1:22" ht="21" customHeight="1" x14ac:dyDescent="0.15">
      <c r="A4" s="2">
        <v>7121101</v>
      </c>
      <c r="B4" s="6">
        <v>475</v>
      </c>
      <c r="C4" s="7" t="str">
        <f t="shared" si="0"/>
        <v>PremiumSS5</v>
      </c>
      <c r="D4" s="7" t="str">
        <f t="shared" si="3"/>
        <v>PremiumSS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緋王 キング・ドライグ</v>
      </c>
      <c r="I4" s="7" t="str">
        <f>VLOOKUP(B4,[1]characters!$A:$J,10,FALSE)</f>
        <v>PremiumSS</v>
      </c>
      <c r="J4" s="7">
        <f>VLOOKUP(B4,[1]characters!$A:$I,9,FALSE)</f>
        <v>5</v>
      </c>
      <c r="K4" s="7" t="str">
        <f>VLOOKUP(B4,[1]characters!$A:$H,8,FALSE)</f>
        <v>red</v>
      </c>
      <c r="L4" s="7" t="str">
        <f>VLOOKUP(B4,[1]characters!$A:$K,11,FALSE)</f>
        <v>attack</v>
      </c>
      <c r="M4" s="7" t="str">
        <f>VLOOKUP(B4,[1]characters!$A:$M,13,FALSE)</f>
        <v>dragon</v>
      </c>
      <c r="N4" s="7" t="str">
        <f>VLOOKUP(B4,[1]characters!$A:$G,7,FALSE)</f>
        <v>不明</v>
      </c>
      <c r="O4" s="7">
        <f t="shared" si="1"/>
        <v>10</v>
      </c>
      <c r="P4" s="27">
        <f t="shared" si="2"/>
        <v>0.25</v>
      </c>
      <c r="Q4" s="22">
        <v>1</v>
      </c>
      <c r="R4" s="22">
        <v>0</v>
      </c>
      <c r="S4" s="22">
        <v>0</v>
      </c>
      <c r="T4" s="22">
        <v>0</v>
      </c>
      <c r="U4" s="22">
        <v>0</v>
      </c>
      <c r="V4" s="22">
        <v>1</v>
      </c>
    </row>
    <row r="5" spans="1:22" ht="21" customHeight="1" x14ac:dyDescent="0.15">
      <c r="A5" s="2">
        <v>7121101</v>
      </c>
      <c r="B5" s="6">
        <v>771</v>
      </c>
      <c r="C5" s="7" t="str">
        <f t="shared" si="0"/>
        <v>PremiumSS5</v>
      </c>
      <c r="D5" s="7" t="str">
        <f t="shared" si="3"/>
        <v>PremiumSS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天織羽鶴 ハヅル</v>
      </c>
      <c r="I5" s="7" t="str">
        <f>VLOOKUP(B5,[1]characters!$A:$J,10,FALSE)</f>
        <v>PremiumSS</v>
      </c>
      <c r="J5" s="7">
        <f>VLOOKUP(B5,[1]characters!$A:$I,9,FALSE)</f>
        <v>5</v>
      </c>
      <c r="K5" s="7" t="str">
        <f>VLOOKUP(B5,[1]characters!$A:$H,8,FALSE)</f>
        <v>red</v>
      </c>
      <c r="L5" s="7" t="str">
        <f>VLOOKUP(B5,[1]characters!$A:$K,11,FALSE)</f>
        <v>balance</v>
      </c>
      <c r="M5" s="7" t="str">
        <f>VLOOKUP(B5,[1]characters!$A:$M,13,FALSE)</f>
        <v>animal</v>
      </c>
      <c r="N5" s="7" t="str">
        <f>VLOOKUP(B5,[1]characters!$A:$G,7,FALSE)</f>
        <v>女性</v>
      </c>
      <c r="O5" s="7">
        <f t="shared" si="1"/>
        <v>10</v>
      </c>
      <c r="P5" s="27">
        <f t="shared" si="2"/>
        <v>0.25</v>
      </c>
      <c r="Q5" s="22">
        <v>1</v>
      </c>
      <c r="R5" s="22">
        <v>0</v>
      </c>
      <c r="S5" s="22">
        <v>0</v>
      </c>
      <c r="T5" s="22">
        <v>0</v>
      </c>
      <c r="U5" s="22">
        <v>0</v>
      </c>
      <c r="V5" s="22">
        <v>1</v>
      </c>
    </row>
    <row r="6" spans="1:22" ht="21" customHeight="1" x14ac:dyDescent="0.15">
      <c r="A6" s="2"/>
      <c r="B6" s="6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27"/>
      <c r="Q6" s="22"/>
      <c r="R6" s="22"/>
      <c r="S6" s="22"/>
      <c r="T6" s="22"/>
      <c r="U6" s="22"/>
      <c r="V6" s="22"/>
    </row>
    <row r="7" spans="1:22" ht="21" customHeight="1" x14ac:dyDescent="0.15">
      <c r="A7" s="2"/>
      <c r="B7" s="6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27"/>
      <c r="Q7" s="22"/>
      <c r="R7" s="22"/>
      <c r="S7" s="22"/>
      <c r="T7" s="22"/>
      <c r="U7" s="22"/>
      <c r="V7" s="22"/>
    </row>
    <row r="8" spans="1:22" ht="21" customHeight="1" x14ac:dyDescent="0.15">
      <c r="A8" s="2"/>
      <c r="B8" s="6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27"/>
      <c r="Q8" s="22"/>
      <c r="R8" s="22"/>
      <c r="S8" s="22"/>
      <c r="T8" s="22"/>
      <c r="U8" s="22"/>
      <c r="V8" s="22"/>
    </row>
    <row r="9" spans="1:22" ht="21" customHeight="1" x14ac:dyDescent="0.15">
      <c r="A9" s="2"/>
      <c r="B9" s="6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27"/>
      <c r="Q9" s="22"/>
      <c r="R9" s="22"/>
      <c r="S9" s="22"/>
      <c r="T9" s="22"/>
      <c r="U9" s="22"/>
      <c r="V9" s="22"/>
    </row>
    <row r="10" spans="1:22" ht="21" customHeight="1" x14ac:dyDescent="0.15">
      <c r="A10" s="2"/>
      <c r="B10" s="6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27"/>
      <c r="Q10" s="22"/>
      <c r="R10" s="22"/>
      <c r="S10" s="22"/>
      <c r="T10" s="22"/>
      <c r="U10" s="22"/>
      <c r="V10" s="22"/>
    </row>
    <row r="11" spans="1:22" ht="21" customHeight="1" x14ac:dyDescent="0.15">
      <c r="A11" s="2"/>
      <c r="B11" s="6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27"/>
      <c r="Q11" s="22"/>
      <c r="R11" s="22"/>
      <c r="S11" s="22"/>
      <c r="T11" s="22"/>
      <c r="U11" s="22"/>
      <c r="V11" s="22"/>
    </row>
    <row r="12" spans="1:22" ht="21" customHeight="1" x14ac:dyDescent="0.15">
      <c r="A12" s="2"/>
      <c r="B12" s="8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27"/>
      <c r="Q12" s="22"/>
      <c r="R12" s="22"/>
      <c r="S12" s="22"/>
      <c r="T12" s="22"/>
      <c r="U12" s="22"/>
      <c r="V12" s="22"/>
    </row>
    <row r="13" spans="1:22" ht="21" customHeight="1" x14ac:dyDescent="0.15">
      <c r="A13" s="2"/>
      <c r="B13" s="8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27"/>
      <c r="Q13" s="22"/>
      <c r="R13" s="22"/>
      <c r="S13" s="22"/>
      <c r="T13" s="22"/>
      <c r="U13" s="22"/>
      <c r="V13" s="22"/>
    </row>
    <row r="14" spans="1:22" ht="21" customHeight="1" x14ac:dyDescent="0.15">
      <c r="A14" s="2"/>
      <c r="B14" s="6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27"/>
      <c r="Q14" s="22"/>
      <c r="R14" s="22"/>
      <c r="S14" s="22"/>
      <c r="T14" s="22"/>
      <c r="U14" s="22"/>
      <c r="V14" s="22"/>
    </row>
    <row r="15" spans="1:22" ht="21" customHeight="1" x14ac:dyDescent="0.15">
      <c r="A15" s="2"/>
      <c r="B15" s="6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27"/>
      <c r="Q15" s="22"/>
      <c r="R15" s="22"/>
      <c r="S15" s="22"/>
      <c r="T15" s="22"/>
      <c r="U15" s="22"/>
      <c r="V15" s="22"/>
    </row>
    <row r="16" spans="1:22" ht="21" customHeight="1" x14ac:dyDescent="0.15">
      <c r="A16" s="2"/>
      <c r="B16" s="6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27"/>
      <c r="Q16" s="22"/>
      <c r="R16" s="22"/>
      <c r="S16" s="22"/>
      <c r="T16" s="22"/>
      <c r="U16" s="22"/>
      <c r="V16" s="22"/>
    </row>
    <row r="17" spans="1:36" ht="21" customHeight="1" x14ac:dyDescent="0.15">
      <c r="A17" s="2"/>
      <c r="B17" s="6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27"/>
      <c r="Q17" s="22"/>
      <c r="R17" s="22"/>
      <c r="S17" s="22"/>
      <c r="T17" s="22"/>
      <c r="U17" s="22"/>
      <c r="V17" s="22"/>
    </row>
    <row r="18" spans="1:36" ht="21" customHeight="1" x14ac:dyDescent="0.15">
      <c r="A18" s="2"/>
      <c r="B18" s="6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27"/>
      <c r="Q18" s="22"/>
      <c r="R18" s="22"/>
      <c r="S18" s="22"/>
      <c r="T18" s="22"/>
      <c r="U18" s="22"/>
      <c r="V18" s="22"/>
    </row>
    <row r="19" spans="1:36" s="12" customFormat="1" ht="21" customHeight="1" thickBot="1" x14ac:dyDescent="0.2">
      <c r="A19" s="2"/>
      <c r="B19" s="6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27"/>
      <c r="Q19" s="22"/>
      <c r="R19" s="22"/>
      <c r="S19" s="22"/>
      <c r="T19" s="22"/>
      <c r="U19" s="22"/>
      <c r="V19" s="22"/>
      <c r="W19" s="45"/>
      <c r="X19" s="45"/>
      <c r="Y19" s="45"/>
      <c r="Z19" s="45"/>
      <c r="AA19" s="45"/>
      <c r="AB19" s="45"/>
      <c r="AC19" s="45"/>
      <c r="AD19" s="45"/>
      <c r="AE19" s="45"/>
      <c r="AF19" s="45"/>
      <c r="AG19" s="45"/>
      <c r="AH19" s="45"/>
      <c r="AI19" s="45"/>
      <c r="AJ19" s="45"/>
    </row>
    <row r="20" spans="1:36" ht="21" customHeight="1" x14ac:dyDescent="0.15">
      <c r="A20" s="2"/>
      <c r="B20" s="6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27"/>
      <c r="Q20" s="22"/>
      <c r="R20" s="22"/>
      <c r="S20" s="22"/>
      <c r="T20" s="22"/>
      <c r="U20" s="22"/>
      <c r="V20" s="22"/>
    </row>
    <row r="21" spans="1:36" ht="21" customHeight="1" x14ac:dyDescent="0.15">
      <c r="A21" s="2"/>
      <c r="B21" s="6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27"/>
      <c r="Q21" s="22"/>
      <c r="R21" s="22"/>
      <c r="S21" s="22"/>
      <c r="T21" s="22"/>
      <c r="U21" s="22"/>
      <c r="V21" s="22"/>
    </row>
    <row r="22" spans="1:36" ht="21" customHeight="1" x14ac:dyDescent="0.15">
      <c r="A22" s="2"/>
      <c r="B22" s="6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27"/>
      <c r="Q22" s="22"/>
      <c r="R22" s="22"/>
      <c r="S22" s="22"/>
      <c r="T22" s="22"/>
      <c r="U22" s="22"/>
      <c r="V22" s="22"/>
    </row>
    <row r="23" spans="1:36" ht="21" customHeight="1" x14ac:dyDescent="0.15">
      <c r="A23" s="2"/>
      <c r="B23" s="6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27"/>
      <c r="Q23" s="22"/>
      <c r="R23" s="22"/>
      <c r="S23" s="22"/>
      <c r="T23" s="22"/>
      <c r="U23" s="22"/>
      <c r="V23" s="22"/>
    </row>
    <row r="24" spans="1:36" ht="21" customHeight="1" x14ac:dyDescent="0.15">
      <c r="A24" s="2"/>
      <c r="B24" s="6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27"/>
      <c r="Q24" s="22"/>
      <c r="R24" s="22"/>
      <c r="S24" s="22"/>
      <c r="T24" s="22"/>
      <c r="U24" s="22"/>
      <c r="V24" s="22"/>
    </row>
    <row r="25" spans="1:36" ht="21" customHeight="1" x14ac:dyDescent="0.15">
      <c r="A25" s="2"/>
      <c r="B25" s="6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27"/>
      <c r="Q25" s="22"/>
      <c r="R25" s="22"/>
      <c r="S25" s="22"/>
      <c r="T25" s="22"/>
      <c r="U25" s="22"/>
      <c r="V25" s="22"/>
    </row>
    <row r="26" spans="1:36" ht="21" customHeight="1" x14ac:dyDescent="0.15">
      <c r="A26" s="2"/>
      <c r="B26" s="6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27"/>
      <c r="Q26" s="22"/>
      <c r="R26" s="22"/>
      <c r="S26" s="22"/>
      <c r="T26" s="22"/>
      <c r="U26" s="22"/>
      <c r="V26" s="22"/>
    </row>
    <row r="27" spans="1:36" ht="21" customHeight="1" x14ac:dyDescent="0.15">
      <c r="A27" s="2"/>
      <c r="B27" s="6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27"/>
      <c r="Q27" s="22"/>
      <c r="R27" s="22"/>
      <c r="S27" s="22"/>
      <c r="T27" s="22"/>
      <c r="U27" s="22"/>
      <c r="V27" s="22"/>
    </row>
    <row r="28" spans="1:36" ht="21" customHeight="1" x14ac:dyDescent="0.15">
      <c r="A28" s="2"/>
      <c r="B28" s="6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27"/>
      <c r="Q28" s="22"/>
      <c r="R28" s="22"/>
      <c r="S28" s="22"/>
      <c r="T28" s="22"/>
      <c r="U28" s="22"/>
      <c r="V28" s="22"/>
    </row>
    <row r="29" spans="1:36" ht="21" customHeight="1" x14ac:dyDescent="0.15">
      <c r="A29" s="2"/>
      <c r="B29" s="6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27"/>
      <c r="Q29" s="22"/>
      <c r="R29" s="22"/>
      <c r="S29" s="22"/>
      <c r="T29" s="22"/>
      <c r="U29" s="22"/>
      <c r="V29" s="22"/>
    </row>
    <row r="30" spans="1:36" ht="21" customHeight="1" x14ac:dyDescent="0.15">
      <c r="A30" s="2"/>
      <c r="B30" s="6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27"/>
      <c r="Q30" s="22"/>
      <c r="R30" s="22"/>
      <c r="S30" s="22"/>
      <c r="T30" s="22"/>
      <c r="U30" s="22"/>
      <c r="V30" s="22"/>
    </row>
    <row r="31" spans="1:36" ht="21" customHeight="1" x14ac:dyDescent="0.15">
      <c r="A31" s="2"/>
      <c r="B31" s="6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27"/>
      <c r="Q31" s="22"/>
      <c r="R31" s="22"/>
      <c r="S31" s="22"/>
      <c r="T31" s="22"/>
      <c r="U31" s="22"/>
      <c r="V31" s="22"/>
    </row>
    <row r="32" spans="1:36" ht="21" customHeight="1" x14ac:dyDescent="0.15">
      <c r="A32" s="2"/>
      <c r="B32" s="6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27"/>
      <c r="Q32" s="22"/>
      <c r="R32" s="22"/>
      <c r="S32" s="22"/>
      <c r="T32" s="22"/>
      <c r="U32" s="22"/>
      <c r="V32" s="22"/>
    </row>
    <row r="33" spans="1:22" ht="21" customHeight="1" x14ac:dyDescent="0.15">
      <c r="A33" s="2"/>
      <c r="B33" s="6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27"/>
      <c r="Q33" s="22"/>
      <c r="R33" s="22"/>
      <c r="S33" s="22"/>
      <c r="T33" s="22"/>
      <c r="U33" s="22"/>
      <c r="V33" s="22"/>
    </row>
    <row r="34" spans="1:22" ht="21" customHeight="1" x14ac:dyDescent="0.15">
      <c r="A34" s="2"/>
      <c r="B34" s="6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27"/>
      <c r="Q34" s="22"/>
      <c r="R34" s="22"/>
      <c r="S34" s="22"/>
      <c r="T34" s="22"/>
      <c r="U34" s="22"/>
      <c r="V34" s="22"/>
    </row>
    <row r="35" spans="1:22" ht="21" customHeight="1" x14ac:dyDescent="0.15">
      <c r="A35" s="2"/>
      <c r="B35" s="6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27"/>
      <c r="Q35" s="22"/>
      <c r="R35" s="22"/>
      <c r="S35" s="22"/>
      <c r="T35" s="22"/>
      <c r="U35" s="22"/>
      <c r="V35" s="22"/>
    </row>
    <row r="36" spans="1:22" ht="21" customHeight="1" x14ac:dyDescent="0.15">
      <c r="A36" s="2"/>
      <c r="B36" s="6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26"/>
      <c r="P36" s="27"/>
      <c r="Q36" s="22"/>
      <c r="R36" s="22"/>
      <c r="S36" s="22"/>
      <c r="T36" s="22"/>
      <c r="U36" s="22"/>
      <c r="V36" s="22"/>
    </row>
    <row r="37" spans="1:22" ht="21" customHeight="1" x14ac:dyDescent="0.15">
      <c r="A37" s="2"/>
      <c r="B37" s="6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26"/>
      <c r="P37" s="27"/>
      <c r="Q37" s="22"/>
      <c r="R37" s="22"/>
      <c r="S37" s="22"/>
      <c r="T37" s="22"/>
      <c r="U37" s="22"/>
      <c r="V37" s="22"/>
    </row>
    <row r="38" spans="1:22" ht="21" customHeight="1" x14ac:dyDescent="0.15">
      <c r="A38" s="2"/>
      <c r="B38" s="6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26"/>
      <c r="P38" s="27"/>
      <c r="Q38" s="22"/>
      <c r="R38" s="22"/>
      <c r="S38" s="22"/>
      <c r="T38" s="22"/>
      <c r="U38" s="22"/>
      <c r="V38" s="22"/>
    </row>
    <row r="39" spans="1:22" ht="21" customHeight="1" x14ac:dyDescent="0.15">
      <c r="A39" s="2"/>
      <c r="B39" s="6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26"/>
      <c r="P39" s="27"/>
      <c r="Q39" s="22"/>
      <c r="R39" s="22"/>
      <c r="S39" s="22"/>
      <c r="T39" s="22"/>
      <c r="U39" s="22"/>
      <c r="V39" s="22"/>
    </row>
    <row r="40" spans="1:22" ht="21" customHeight="1" x14ac:dyDescent="0.15">
      <c r="A40" s="2"/>
      <c r="B40" s="6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26"/>
      <c r="P40" s="27"/>
      <c r="Q40" s="22"/>
      <c r="R40" s="22"/>
      <c r="S40" s="22"/>
      <c r="T40" s="22"/>
      <c r="U40" s="22"/>
      <c r="V40" s="22"/>
    </row>
    <row r="41" spans="1:22" ht="21" customHeight="1" x14ac:dyDescent="0.15">
      <c r="A41" s="2"/>
      <c r="B41" s="6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26"/>
      <c r="P41" s="27"/>
      <c r="Q41" s="22"/>
      <c r="R41" s="22"/>
      <c r="S41" s="22"/>
      <c r="T41" s="22"/>
      <c r="U41" s="22"/>
      <c r="V41" s="22"/>
    </row>
    <row r="42" spans="1:22" ht="21" customHeight="1" x14ac:dyDescent="0.15">
      <c r="A42" s="2"/>
      <c r="B42" s="6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26"/>
      <c r="P42" s="27"/>
      <c r="Q42" s="22"/>
      <c r="R42" s="22"/>
      <c r="S42" s="22"/>
      <c r="T42" s="22"/>
      <c r="U42" s="22"/>
      <c r="V42" s="22"/>
    </row>
    <row r="43" spans="1:22" ht="21" customHeight="1" x14ac:dyDescent="0.15">
      <c r="A43" s="2"/>
      <c r="B43" s="6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26"/>
      <c r="P43" s="27"/>
      <c r="Q43" s="22"/>
      <c r="R43" s="22"/>
      <c r="S43" s="22"/>
      <c r="T43" s="22"/>
      <c r="U43" s="22"/>
      <c r="V43" s="22"/>
    </row>
    <row r="44" spans="1:22" ht="21" customHeight="1" x14ac:dyDescent="0.15">
      <c r="A44" s="2"/>
      <c r="B44" s="6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26"/>
      <c r="P44" s="27"/>
      <c r="Q44" s="22"/>
      <c r="R44" s="22"/>
      <c r="S44" s="22"/>
      <c r="T44" s="22"/>
      <c r="U44" s="22"/>
      <c r="V44" s="22"/>
    </row>
    <row r="45" spans="1:22" ht="21" customHeight="1" x14ac:dyDescent="0.15">
      <c r="A45" s="2"/>
      <c r="B45" s="6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26"/>
      <c r="P45" s="27"/>
      <c r="Q45" s="22"/>
      <c r="R45" s="22"/>
      <c r="S45" s="22"/>
      <c r="T45" s="22"/>
      <c r="U45" s="22"/>
      <c r="V45" s="22"/>
    </row>
    <row r="46" spans="1:22" ht="21" customHeight="1" x14ac:dyDescent="0.15">
      <c r="A46" s="2"/>
      <c r="B46" s="6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26"/>
      <c r="P46" s="27"/>
      <c r="Q46" s="22"/>
      <c r="R46" s="22"/>
      <c r="S46" s="22"/>
      <c r="T46" s="22"/>
      <c r="U46" s="22"/>
      <c r="V46" s="22"/>
    </row>
    <row r="47" spans="1:22" ht="21" customHeight="1" x14ac:dyDescent="0.15">
      <c r="A47" s="2"/>
      <c r="B47" s="6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26"/>
      <c r="P47" s="27"/>
      <c r="Q47" s="22"/>
      <c r="R47" s="22"/>
      <c r="S47" s="22"/>
      <c r="T47" s="22"/>
      <c r="U47" s="22"/>
      <c r="V47" s="22"/>
    </row>
    <row r="48" spans="1:22" ht="21" customHeight="1" x14ac:dyDescent="0.15">
      <c r="A48" s="2"/>
      <c r="B48" s="6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26"/>
      <c r="P48" s="27"/>
      <c r="Q48" s="22"/>
      <c r="R48" s="22"/>
      <c r="S48" s="22"/>
      <c r="T48" s="22"/>
      <c r="U48" s="22"/>
      <c r="V48" s="22"/>
    </row>
    <row r="49" spans="1:22" ht="21" customHeight="1" x14ac:dyDescent="0.15">
      <c r="A49" s="2"/>
      <c r="B49" s="6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26"/>
      <c r="P49" s="27"/>
      <c r="Q49" s="22"/>
      <c r="R49" s="22"/>
      <c r="S49" s="22"/>
      <c r="T49" s="22"/>
      <c r="U49" s="22"/>
      <c r="V49" s="22"/>
    </row>
    <row r="50" spans="1:22" ht="21" customHeight="1" x14ac:dyDescent="0.15">
      <c r="A50" s="2"/>
      <c r="B50" s="6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26"/>
      <c r="P50" s="27"/>
      <c r="Q50" s="22"/>
      <c r="R50" s="22"/>
      <c r="S50" s="22"/>
      <c r="T50" s="22"/>
      <c r="U50" s="22"/>
      <c r="V50" s="22"/>
    </row>
    <row r="51" spans="1:22" ht="21" customHeight="1" x14ac:dyDescent="0.15">
      <c r="A51" s="2"/>
      <c r="B51" s="6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26"/>
      <c r="P51" s="27"/>
      <c r="Q51" s="22"/>
      <c r="R51" s="22"/>
      <c r="S51" s="22"/>
      <c r="T51" s="22"/>
      <c r="U51" s="22"/>
      <c r="V51" s="22"/>
    </row>
    <row r="52" spans="1:22" ht="21" customHeight="1" x14ac:dyDescent="0.15">
      <c r="A52" s="2"/>
      <c r="B52" s="6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26"/>
      <c r="P52" s="27"/>
      <c r="Q52" s="22"/>
      <c r="R52" s="22"/>
      <c r="S52" s="22"/>
      <c r="T52" s="22"/>
      <c r="U52" s="22"/>
      <c r="V52" s="22"/>
    </row>
    <row r="53" spans="1:22" ht="21" customHeight="1" x14ac:dyDescent="0.15">
      <c r="A53" s="2"/>
      <c r="B53" s="6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26"/>
      <c r="P53" s="27"/>
      <c r="Q53" s="22"/>
      <c r="R53" s="22"/>
      <c r="S53" s="22"/>
      <c r="T53" s="22"/>
      <c r="U53" s="22"/>
      <c r="V53" s="22"/>
    </row>
    <row r="54" spans="1:22" ht="21" customHeight="1" x14ac:dyDescent="0.15">
      <c r="A54" s="2"/>
      <c r="B54" s="6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26"/>
      <c r="P54" s="27"/>
      <c r="Q54" s="22"/>
      <c r="R54" s="22"/>
      <c r="S54" s="22"/>
      <c r="T54" s="22"/>
      <c r="U54" s="22"/>
      <c r="V54" s="22"/>
    </row>
    <row r="55" spans="1:22" ht="21" customHeight="1" x14ac:dyDescent="0.15">
      <c r="A55" s="2"/>
      <c r="B55" s="6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26"/>
      <c r="P55" s="27"/>
      <c r="Q55" s="22"/>
      <c r="R55" s="22"/>
      <c r="S55" s="22"/>
      <c r="T55" s="22"/>
      <c r="U55" s="22"/>
      <c r="V55" s="22"/>
    </row>
    <row r="56" spans="1:22" ht="21" customHeight="1" x14ac:dyDescent="0.15">
      <c r="A56" s="2"/>
      <c r="B56" s="6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26"/>
      <c r="P56" s="27"/>
      <c r="Q56" s="22"/>
      <c r="R56" s="22"/>
      <c r="S56" s="22"/>
      <c r="T56" s="22"/>
      <c r="U56" s="22"/>
      <c r="V56" s="22"/>
    </row>
    <row r="57" spans="1:22" ht="21" customHeight="1" x14ac:dyDescent="0.15">
      <c r="A57" s="2"/>
      <c r="B57" s="6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26"/>
      <c r="P57" s="27"/>
      <c r="Q57" s="22"/>
      <c r="R57" s="22"/>
      <c r="S57" s="22"/>
      <c r="T57" s="22"/>
      <c r="U57" s="22"/>
      <c r="V57" s="22"/>
    </row>
    <row r="58" spans="1:22" ht="21" customHeight="1" x14ac:dyDescent="0.15">
      <c r="A58" s="2"/>
      <c r="B58" s="6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26"/>
      <c r="P58" s="27"/>
      <c r="Q58" s="22"/>
      <c r="R58" s="22"/>
      <c r="S58" s="22"/>
      <c r="T58" s="22"/>
      <c r="U58" s="22"/>
      <c r="V58" s="22"/>
    </row>
    <row r="59" spans="1:22" ht="21" customHeight="1" x14ac:dyDescent="0.15">
      <c r="A59" s="2"/>
      <c r="B59" s="6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26"/>
      <c r="P59" s="27"/>
      <c r="Q59" s="22"/>
      <c r="R59" s="22"/>
      <c r="S59" s="22"/>
      <c r="T59" s="22"/>
      <c r="U59" s="22"/>
      <c r="V59" s="22"/>
    </row>
    <row r="60" spans="1:22" ht="21" customHeight="1" x14ac:dyDescent="0.15">
      <c r="A60" s="2"/>
      <c r="B60" s="6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26"/>
      <c r="P60" s="27"/>
      <c r="Q60" s="22"/>
      <c r="R60" s="22"/>
      <c r="S60" s="22"/>
      <c r="T60" s="22"/>
      <c r="U60" s="22"/>
      <c r="V60" s="22"/>
    </row>
    <row r="61" spans="1:22" ht="21" customHeight="1" x14ac:dyDescent="0.15">
      <c r="A61" s="2"/>
      <c r="B61" s="6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26"/>
      <c r="P61" s="27"/>
      <c r="Q61" s="22"/>
      <c r="R61" s="22"/>
      <c r="S61" s="22"/>
      <c r="T61" s="22"/>
      <c r="U61" s="22"/>
      <c r="V61" s="22"/>
    </row>
    <row r="62" spans="1:22" ht="21" customHeight="1" x14ac:dyDescent="0.15">
      <c r="A62" s="2"/>
      <c r="B62" s="8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26"/>
      <c r="P62" s="27"/>
      <c r="Q62" s="22"/>
      <c r="R62" s="22"/>
      <c r="S62" s="22"/>
      <c r="T62" s="22"/>
      <c r="U62" s="22"/>
      <c r="V62" s="22"/>
    </row>
    <row r="63" spans="1:22" ht="21" customHeight="1" x14ac:dyDescent="0.15">
      <c r="A63" s="2"/>
      <c r="B63" s="8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26"/>
      <c r="P63" s="27"/>
      <c r="Q63" s="22"/>
      <c r="R63" s="22"/>
      <c r="S63" s="22"/>
      <c r="T63" s="22"/>
      <c r="U63" s="22"/>
      <c r="V63" s="22"/>
    </row>
    <row r="64" spans="1:22" ht="21" customHeight="1" x14ac:dyDescent="0.15">
      <c r="A64" s="2"/>
      <c r="B64" s="8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26"/>
      <c r="P64" s="27"/>
      <c r="Q64" s="22"/>
      <c r="R64" s="22"/>
      <c r="S64" s="22"/>
      <c r="T64" s="22"/>
      <c r="U64" s="22"/>
      <c r="V64" s="22"/>
    </row>
    <row r="65" spans="1:36" ht="21" customHeight="1" x14ac:dyDescent="0.15">
      <c r="A65" s="2"/>
      <c r="B65" s="8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26"/>
      <c r="P65" s="27"/>
      <c r="Q65" s="22"/>
      <c r="R65" s="22"/>
      <c r="S65" s="22"/>
      <c r="T65" s="22"/>
      <c r="U65" s="22"/>
      <c r="V65" s="22"/>
    </row>
    <row r="66" spans="1:36" s="9" customFormat="1" ht="21" customHeight="1" thickBot="1" x14ac:dyDescent="0.2">
      <c r="A66" s="2"/>
      <c r="B66" s="6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26"/>
      <c r="P66" s="27"/>
      <c r="Q66" s="22"/>
      <c r="R66" s="22"/>
      <c r="S66" s="22"/>
      <c r="T66" s="22"/>
      <c r="U66" s="22"/>
      <c r="V66" s="22"/>
      <c r="W66" s="45"/>
      <c r="X66" s="45"/>
      <c r="Y66" s="45"/>
      <c r="Z66" s="45"/>
      <c r="AA66" s="45"/>
      <c r="AB66" s="45"/>
      <c r="AC66" s="45"/>
      <c r="AD66" s="45"/>
      <c r="AE66" s="45"/>
      <c r="AF66" s="45"/>
      <c r="AG66" s="45"/>
      <c r="AH66" s="45"/>
      <c r="AI66" s="45"/>
      <c r="AJ66" s="45"/>
    </row>
    <row r="67" spans="1:36" ht="21" customHeight="1" x14ac:dyDescent="0.15">
      <c r="A67" s="2"/>
      <c r="B67" s="6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26"/>
      <c r="P67" s="27"/>
      <c r="Q67" s="22"/>
      <c r="R67" s="22"/>
      <c r="S67" s="22"/>
      <c r="T67" s="22"/>
      <c r="U67" s="22"/>
      <c r="V67" s="22"/>
    </row>
    <row r="68" spans="1:36" ht="21" customHeight="1" x14ac:dyDescent="0.15">
      <c r="A68" s="2"/>
      <c r="B68" s="6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26"/>
      <c r="P68" s="27"/>
      <c r="Q68" s="22"/>
      <c r="R68" s="22"/>
      <c r="S68" s="22"/>
      <c r="T68" s="22"/>
      <c r="U68" s="22"/>
      <c r="V68" s="22"/>
    </row>
    <row r="69" spans="1:36" ht="21" customHeight="1" x14ac:dyDescent="0.15">
      <c r="A69" s="2"/>
      <c r="B69" s="6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26"/>
      <c r="P69" s="27"/>
      <c r="Q69" s="22"/>
      <c r="R69" s="22"/>
      <c r="S69" s="22"/>
      <c r="T69" s="22"/>
      <c r="U69" s="22"/>
      <c r="V69" s="22"/>
    </row>
    <row r="70" spans="1:36" ht="21" customHeight="1" x14ac:dyDescent="0.15">
      <c r="A70" s="2"/>
      <c r="B70" s="6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26"/>
      <c r="P70" s="27"/>
      <c r="Q70" s="22"/>
      <c r="R70" s="22"/>
      <c r="S70" s="22"/>
      <c r="T70" s="22"/>
      <c r="U70" s="22"/>
      <c r="V70" s="22"/>
    </row>
    <row r="71" spans="1:36" ht="21" customHeight="1" x14ac:dyDescent="0.15">
      <c r="A71" s="2"/>
      <c r="B71" s="6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26"/>
      <c r="P71" s="27"/>
      <c r="Q71" s="22"/>
      <c r="R71" s="22"/>
      <c r="S71" s="22"/>
      <c r="T71" s="22"/>
      <c r="U71" s="22"/>
      <c r="V71" s="22"/>
    </row>
    <row r="72" spans="1:36" ht="21" customHeight="1" x14ac:dyDescent="0.15">
      <c r="A72" s="2"/>
      <c r="B72" s="6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26"/>
      <c r="P72" s="27"/>
      <c r="Q72" s="22"/>
      <c r="R72" s="22"/>
      <c r="S72" s="22"/>
      <c r="T72" s="22"/>
      <c r="U72" s="22"/>
      <c r="V72" s="22"/>
    </row>
    <row r="73" spans="1:36" ht="21" customHeight="1" x14ac:dyDescent="0.15">
      <c r="A73" s="2"/>
      <c r="B73" s="6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26"/>
      <c r="P73" s="27"/>
      <c r="Q73" s="22"/>
      <c r="R73" s="22"/>
      <c r="S73" s="22"/>
      <c r="T73" s="22"/>
      <c r="U73" s="22"/>
      <c r="V73" s="22"/>
    </row>
    <row r="74" spans="1:36" ht="21" customHeight="1" x14ac:dyDescent="0.15">
      <c r="A74" s="2"/>
      <c r="B74" s="6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26"/>
      <c r="P74" s="27"/>
      <c r="Q74" s="22"/>
      <c r="R74" s="22"/>
      <c r="S74" s="22"/>
      <c r="T74" s="22"/>
      <c r="U74" s="22"/>
      <c r="V74" s="22"/>
    </row>
    <row r="75" spans="1:36" s="51" customFormat="1" ht="21" customHeight="1" x14ac:dyDescent="0.15">
      <c r="A75" s="2"/>
      <c r="B75" s="4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26"/>
      <c r="P75" s="27"/>
      <c r="Q75" s="22"/>
      <c r="R75" s="22"/>
      <c r="S75" s="22"/>
      <c r="T75" s="22"/>
      <c r="U75" s="22"/>
      <c r="V75" s="22"/>
      <c r="W75" s="39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</row>
    <row r="76" spans="1:36" s="51" customFormat="1" ht="21" customHeight="1" x14ac:dyDescent="0.15">
      <c r="A76" s="2"/>
      <c r="B76" s="4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26"/>
      <c r="P76" s="27"/>
      <c r="Q76" s="22"/>
      <c r="R76" s="22"/>
      <c r="S76" s="22"/>
      <c r="T76" s="22"/>
      <c r="U76" s="22"/>
      <c r="V76" s="22"/>
      <c r="W76" s="39"/>
      <c r="X76" s="39"/>
      <c r="Y76" s="39"/>
      <c r="Z76" s="39"/>
      <c r="AA76" s="39"/>
      <c r="AB76" s="39"/>
      <c r="AC76" s="39"/>
      <c r="AD76" s="39"/>
      <c r="AE76" s="39"/>
      <c r="AF76" s="39"/>
      <c r="AG76" s="39"/>
      <c r="AH76" s="39"/>
      <c r="AI76" s="39"/>
      <c r="AJ76" s="39"/>
    </row>
    <row r="77" spans="1:36" s="51" customFormat="1" ht="21" customHeight="1" x14ac:dyDescent="0.15">
      <c r="A77" s="2"/>
      <c r="B77" s="46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26"/>
      <c r="P77" s="27"/>
      <c r="Q77" s="22"/>
      <c r="R77" s="22"/>
      <c r="S77" s="22"/>
      <c r="T77" s="22"/>
      <c r="U77" s="22"/>
      <c r="V77" s="22"/>
      <c r="W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</row>
    <row r="78" spans="1:36" s="51" customFormat="1" ht="21" customHeight="1" x14ac:dyDescent="0.15">
      <c r="A78" s="46"/>
      <c r="B78" s="46"/>
      <c r="C78" s="46"/>
      <c r="D78" s="46"/>
      <c r="E78" s="46"/>
      <c r="F78" s="46"/>
      <c r="G78" s="46"/>
      <c r="H78" s="46"/>
      <c r="I78" s="46"/>
      <c r="J78" s="46"/>
      <c r="K78" s="46"/>
      <c r="L78" s="46"/>
      <c r="M78" s="46"/>
      <c r="N78" s="46"/>
      <c r="O78" s="48"/>
      <c r="P78" s="49"/>
      <c r="Q78" s="50"/>
      <c r="R78" s="50"/>
      <c r="S78" s="50"/>
      <c r="T78" s="50"/>
      <c r="U78" s="50"/>
      <c r="V78" s="50"/>
      <c r="W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</row>
    <row r="79" spans="1:36" s="51" customFormat="1" ht="21" customHeight="1" x14ac:dyDescent="0.15">
      <c r="A79" s="46"/>
      <c r="B79" s="46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46"/>
      <c r="N79" s="46"/>
      <c r="O79" s="48"/>
      <c r="P79" s="49"/>
      <c r="Q79" s="50"/>
      <c r="R79" s="50"/>
      <c r="S79" s="50"/>
      <c r="T79" s="50"/>
      <c r="U79" s="50"/>
      <c r="V79" s="50"/>
      <c r="W79" s="39"/>
      <c r="X79" s="39"/>
      <c r="Y79" s="39"/>
      <c r="Z79" s="39"/>
      <c r="AA79" s="39"/>
      <c r="AB79" s="39"/>
      <c r="AC79" s="39"/>
      <c r="AD79" s="39"/>
      <c r="AE79" s="39"/>
      <c r="AF79" s="39"/>
      <c r="AG79" s="39"/>
      <c r="AH79" s="39"/>
      <c r="AI79" s="39"/>
      <c r="AJ79" s="39"/>
    </row>
    <row r="80" spans="1:36" s="51" customFormat="1" ht="21" customHeight="1" x14ac:dyDescent="0.15">
      <c r="A80" s="46"/>
      <c r="B80" s="46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46"/>
      <c r="N80" s="46"/>
      <c r="O80" s="48"/>
      <c r="P80" s="49"/>
      <c r="Q80" s="50"/>
      <c r="R80" s="50"/>
      <c r="S80" s="50"/>
      <c r="T80" s="50"/>
      <c r="U80" s="50"/>
      <c r="V80" s="50"/>
      <c r="W80" s="39"/>
      <c r="X80" s="39"/>
      <c r="Y80" s="39"/>
      <c r="Z80" s="39"/>
      <c r="AA80" s="39"/>
      <c r="AB80" s="39"/>
      <c r="AC80" s="39"/>
      <c r="AD80" s="39"/>
      <c r="AE80" s="39"/>
      <c r="AF80" s="39"/>
      <c r="AG80" s="39"/>
      <c r="AH80" s="39"/>
      <c r="AI80" s="39"/>
      <c r="AJ80" s="39"/>
    </row>
    <row r="81" spans="1:36" s="51" customFormat="1" ht="21" customHeight="1" x14ac:dyDescent="0.15">
      <c r="A81" s="46"/>
      <c r="B81" s="46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46"/>
      <c r="N81" s="46"/>
      <c r="O81" s="48"/>
      <c r="P81" s="49"/>
      <c r="Q81" s="50"/>
      <c r="R81" s="50"/>
      <c r="S81" s="50"/>
      <c r="T81" s="50"/>
      <c r="U81" s="50"/>
      <c r="V81" s="50"/>
      <c r="W81" s="39"/>
      <c r="X81" s="39"/>
      <c r="Y81" s="39"/>
      <c r="Z81" s="39"/>
      <c r="AA81" s="39"/>
      <c r="AB81" s="39"/>
      <c r="AC81" s="39"/>
      <c r="AD81" s="39"/>
      <c r="AE81" s="39"/>
      <c r="AF81" s="39"/>
      <c r="AG81" s="39"/>
      <c r="AH81" s="39"/>
      <c r="AI81" s="39"/>
      <c r="AJ81" s="39"/>
    </row>
    <row r="82" spans="1:36" s="51" customFormat="1" ht="21" customHeight="1" x14ac:dyDescent="0.15">
      <c r="A82" s="46"/>
      <c r="B82" s="46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46"/>
      <c r="N82" s="46"/>
      <c r="O82" s="48"/>
      <c r="P82" s="49"/>
      <c r="Q82" s="50"/>
      <c r="R82" s="50"/>
      <c r="S82" s="50"/>
      <c r="T82" s="50"/>
      <c r="U82" s="50"/>
      <c r="V82" s="50"/>
      <c r="W82" s="39"/>
      <c r="X82" s="39"/>
      <c r="Y82" s="39"/>
      <c r="Z82" s="39"/>
      <c r="AA82" s="39"/>
      <c r="AB82" s="39"/>
      <c r="AC82" s="39"/>
      <c r="AD82" s="39"/>
      <c r="AE82" s="39"/>
      <c r="AF82" s="39"/>
      <c r="AG82" s="39"/>
      <c r="AH82" s="39"/>
      <c r="AI82" s="39"/>
      <c r="AJ82" s="39"/>
    </row>
    <row r="83" spans="1:36" s="51" customFormat="1" ht="21" customHeight="1" x14ac:dyDescent="0.15">
      <c r="A83" s="46"/>
      <c r="B83" s="46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46"/>
      <c r="O83" s="48"/>
      <c r="P83" s="49"/>
      <c r="Q83" s="50"/>
      <c r="R83" s="50"/>
      <c r="S83" s="50"/>
      <c r="T83" s="50"/>
      <c r="U83" s="50"/>
      <c r="V83" s="50"/>
      <c r="W83" s="39"/>
      <c r="X83" s="39"/>
      <c r="Y83" s="39"/>
      <c r="Z83" s="39"/>
      <c r="AA83" s="39"/>
      <c r="AB83" s="39"/>
      <c r="AC83" s="39"/>
      <c r="AD83" s="39"/>
      <c r="AE83" s="39"/>
      <c r="AF83" s="39"/>
      <c r="AG83" s="39"/>
      <c r="AH83" s="39"/>
      <c r="AI83" s="39"/>
      <c r="AJ83" s="39"/>
    </row>
    <row r="84" spans="1:36" s="51" customFormat="1" ht="21" customHeight="1" x14ac:dyDescent="0.15">
      <c r="A84" s="46"/>
      <c r="B84" s="46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6"/>
      <c r="N84" s="46"/>
      <c r="O84" s="48"/>
      <c r="P84" s="49"/>
      <c r="Q84" s="50"/>
      <c r="R84" s="50"/>
      <c r="S84" s="50"/>
      <c r="T84" s="50"/>
      <c r="U84" s="50"/>
      <c r="V84" s="50"/>
      <c r="W84" s="39"/>
      <c r="X84" s="39"/>
      <c r="Y84" s="39"/>
      <c r="Z84" s="39"/>
      <c r="AA84" s="39"/>
      <c r="AB84" s="39"/>
      <c r="AC84" s="39"/>
      <c r="AD84" s="39"/>
      <c r="AE84" s="39"/>
      <c r="AF84" s="39"/>
      <c r="AG84" s="39"/>
      <c r="AH84" s="39"/>
      <c r="AI84" s="39"/>
      <c r="AJ84" s="39"/>
    </row>
    <row r="85" spans="1:36" s="51" customFormat="1" ht="21" customHeight="1" x14ac:dyDescent="0.15">
      <c r="A85" s="46"/>
      <c r="B85" s="46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46"/>
      <c r="N85" s="46"/>
      <c r="O85" s="48"/>
      <c r="P85" s="49"/>
      <c r="Q85" s="50"/>
      <c r="R85" s="50"/>
      <c r="S85" s="50"/>
      <c r="T85" s="50"/>
      <c r="U85" s="50"/>
      <c r="V85" s="50"/>
      <c r="W85" s="39"/>
      <c r="X85" s="39"/>
      <c r="Y85" s="39"/>
      <c r="Z85" s="39"/>
      <c r="AA85" s="39"/>
      <c r="AB85" s="39"/>
      <c r="AC85" s="39"/>
      <c r="AD85" s="39"/>
      <c r="AE85" s="39"/>
      <c r="AF85" s="39"/>
      <c r="AG85" s="39"/>
      <c r="AH85" s="39"/>
      <c r="AI85" s="39"/>
      <c r="AJ85" s="39"/>
    </row>
    <row r="86" spans="1:36" s="51" customFormat="1" ht="21" customHeight="1" x14ac:dyDescent="0.15">
      <c r="A86" s="46"/>
      <c r="B86" s="46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46"/>
      <c r="N86" s="46"/>
      <c r="O86" s="48"/>
      <c r="P86" s="49"/>
      <c r="Q86" s="50"/>
      <c r="R86" s="50"/>
      <c r="S86" s="50"/>
      <c r="T86" s="50"/>
      <c r="U86" s="50"/>
      <c r="V86" s="50"/>
      <c r="W86" s="39"/>
      <c r="X86" s="39"/>
      <c r="Y86" s="39"/>
      <c r="Z86" s="39"/>
      <c r="AA86" s="39"/>
      <c r="AB86" s="39"/>
      <c r="AC86" s="39"/>
      <c r="AD86" s="39"/>
      <c r="AE86" s="39"/>
      <c r="AF86" s="39"/>
      <c r="AG86" s="39"/>
      <c r="AH86" s="39"/>
      <c r="AI86" s="39"/>
      <c r="AJ86" s="39"/>
    </row>
    <row r="87" spans="1:36" s="51" customFormat="1" ht="21" customHeight="1" x14ac:dyDescent="0.15">
      <c r="A87" s="46"/>
      <c r="B87" s="46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46"/>
      <c r="N87" s="46"/>
      <c r="O87" s="48"/>
      <c r="P87" s="49"/>
      <c r="Q87" s="50"/>
      <c r="R87" s="50"/>
      <c r="S87" s="50"/>
      <c r="T87" s="50"/>
      <c r="U87" s="50"/>
      <c r="V87" s="50"/>
      <c r="W87" s="39"/>
      <c r="X87" s="39"/>
      <c r="Y87" s="39"/>
      <c r="Z87" s="39"/>
      <c r="AA87" s="39"/>
      <c r="AB87" s="39"/>
      <c r="AC87" s="39"/>
      <c r="AD87" s="39"/>
      <c r="AE87" s="39"/>
      <c r="AF87" s="39"/>
      <c r="AG87" s="39"/>
      <c r="AH87" s="39"/>
      <c r="AI87" s="39"/>
      <c r="AJ87" s="39"/>
    </row>
    <row r="88" spans="1:36" s="51" customFormat="1" ht="21" customHeight="1" x14ac:dyDescent="0.15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8"/>
      <c r="P88" s="49"/>
      <c r="Q88" s="50"/>
      <c r="R88" s="50"/>
      <c r="S88" s="50"/>
      <c r="T88" s="50"/>
      <c r="U88" s="50"/>
      <c r="V88" s="50"/>
      <c r="W88" s="39"/>
      <c r="X88" s="39"/>
      <c r="Y88" s="39"/>
      <c r="Z88" s="39"/>
      <c r="AA88" s="39"/>
      <c r="AB88" s="39"/>
      <c r="AC88" s="39"/>
      <c r="AD88" s="39"/>
      <c r="AE88" s="39"/>
      <c r="AF88" s="39"/>
      <c r="AG88" s="39"/>
      <c r="AH88" s="39"/>
      <c r="AI88" s="39"/>
      <c r="AJ88" s="39"/>
    </row>
    <row r="89" spans="1:36" s="51" customFormat="1" ht="21" customHeight="1" x14ac:dyDescent="0.15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8"/>
      <c r="P89" s="49"/>
      <c r="Q89" s="50"/>
      <c r="R89" s="50"/>
      <c r="S89" s="50"/>
      <c r="T89" s="50"/>
      <c r="U89" s="50"/>
      <c r="V89" s="50"/>
      <c r="W89" s="39"/>
      <c r="X89" s="39"/>
      <c r="Y89" s="39"/>
      <c r="Z89" s="39"/>
      <c r="AA89" s="39"/>
      <c r="AB89" s="39"/>
      <c r="AC89" s="39"/>
      <c r="AD89" s="39"/>
      <c r="AE89" s="39"/>
      <c r="AF89" s="39"/>
      <c r="AG89" s="39"/>
      <c r="AH89" s="39"/>
      <c r="AI89" s="39"/>
      <c r="AJ89" s="39"/>
    </row>
    <row r="90" spans="1:36" s="51" customFormat="1" ht="21" customHeight="1" x14ac:dyDescent="0.15">
      <c r="A90" s="46"/>
      <c r="B90" s="46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46"/>
      <c r="N90" s="46"/>
      <c r="O90" s="48"/>
      <c r="P90" s="49"/>
      <c r="Q90" s="50"/>
      <c r="R90" s="50"/>
      <c r="S90" s="50"/>
      <c r="T90" s="50"/>
      <c r="U90" s="50"/>
      <c r="V90" s="50"/>
      <c r="W90" s="39"/>
      <c r="X90" s="39"/>
      <c r="Y90" s="39"/>
      <c r="Z90" s="39"/>
      <c r="AA90" s="39"/>
      <c r="AB90" s="39"/>
      <c r="AC90" s="39"/>
      <c r="AD90" s="39"/>
      <c r="AE90" s="39"/>
      <c r="AF90" s="39"/>
      <c r="AG90" s="39"/>
      <c r="AH90" s="39"/>
      <c r="AI90" s="39"/>
      <c r="AJ90" s="39"/>
    </row>
    <row r="91" spans="1:36" s="51" customFormat="1" ht="21" customHeight="1" x14ac:dyDescent="0.15">
      <c r="A91" s="46"/>
      <c r="B91" s="46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46"/>
      <c r="N91" s="46"/>
      <c r="O91" s="48"/>
      <c r="P91" s="49"/>
      <c r="Q91" s="50"/>
      <c r="R91" s="50"/>
      <c r="S91" s="50"/>
      <c r="T91" s="50"/>
      <c r="U91" s="50"/>
      <c r="V91" s="50"/>
      <c r="W91" s="39"/>
      <c r="X91" s="39"/>
      <c r="Y91" s="39"/>
      <c r="Z91" s="39"/>
      <c r="AA91" s="39"/>
      <c r="AB91" s="39"/>
      <c r="AC91" s="39"/>
      <c r="AD91" s="39"/>
      <c r="AE91" s="39"/>
      <c r="AF91" s="39"/>
      <c r="AG91" s="39"/>
      <c r="AH91" s="39"/>
      <c r="AI91" s="39"/>
      <c r="AJ91" s="39"/>
    </row>
    <row r="92" spans="1:36" s="51" customFormat="1" ht="21" customHeight="1" x14ac:dyDescent="0.15">
      <c r="A92" s="46"/>
      <c r="B92" s="46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46"/>
      <c r="N92" s="46"/>
      <c r="O92" s="48"/>
      <c r="P92" s="49"/>
      <c r="Q92" s="50"/>
      <c r="R92" s="50"/>
      <c r="S92" s="50"/>
      <c r="T92" s="50"/>
      <c r="U92" s="50"/>
      <c r="V92" s="50"/>
      <c r="W92" s="39"/>
      <c r="X92" s="39"/>
      <c r="Y92" s="39"/>
      <c r="Z92" s="39"/>
      <c r="AA92" s="39"/>
      <c r="AB92" s="39"/>
      <c r="AC92" s="39"/>
      <c r="AD92" s="39"/>
      <c r="AE92" s="39"/>
      <c r="AF92" s="39"/>
      <c r="AG92" s="39"/>
      <c r="AH92" s="39"/>
      <c r="AI92" s="39"/>
      <c r="AJ92" s="39"/>
    </row>
    <row r="93" spans="1:36" s="51" customFormat="1" ht="21" customHeight="1" x14ac:dyDescent="0.15">
      <c r="A93" s="46"/>
      <c r="B93" s="46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46"/>
      <c r="N93" s="46"/>
      <c r="O93" s="48"/>
      <c r="P93" s="49"/>
      <c r="Q93" s="50"/>
      <c r="R93" s="50"/>
      <c r="S93" s="50"/>
      <c r="T93" s="50"/>
      <c r="U93" s="50"/>
      <c r="V93" s="50"/>
      <c r="W93" s="39"/>
      <c r="X93" s="39"/>
      <c r="Y93" s="39"/>
      <c r="Z93" s="39"/>
      <c r="AA93" s="39"/>
      <c r="AB93" s="39"/>
      <c r="AC93" s="39"/>
      <c r="AD93" s="39"/>
      <c r="AE93" s="39"/>
      <c r="AF93" s="39"/>
      <c r="AG93" s="39"/>
      <c r="AH93" s="39"/>
      <c r="AI93" s="39"/>
      <c r="AJ93" s="39"/>
    </row>
    <row r="94" spans="1:36" s="51" customFormat="1" ht="21" customHeight="1" x14ac:dyDescent="0.15">
      <c r="A94" s="46"/>
      <c r="B94" s="46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46"/>
      <c r="N94" s="46"/>
      <c r="O94" s="48"/>
      <c r="P94" s="49"/>
      <c r="Q94" s="50"/>
      <c r="R94" s="50"/>
      <c r="S94" s="50"/>
      <c r="T94" s="50"/>
      <c r="U94" s="50"/>
      <c r="V94" s="50"/>
      <c r="W94" s="39"/>
      <c r="X94" s="39"/>
      <c r="Y94" s="39"/>
      <c r="Z94" s="39"/>
      <c r="AA94" s="39"/>
      <c r="AB94" s="39"/>
      <c r="AC94" s="39"/>
      <c r="AD94" s="39"/>
      <c r="AE94" s="39"/>
      <c r="AF94" s="39"/>
      <c r="AG94" s="39"/>
      <c r="AH94" s="39"/>
      <c r="AI94" s="39"/>
      <c r="AJ94" s="39"/>
    </row>
    <row r="95" spans="1:36" s="51" customFormat="1" ht="21" customHeight="1" x14ac:dyDescent="0.15">
      <c r="A95" s="46"/>
      <c r="B95" s="46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46"/>
      <c r="N95" s="46"/>
      <c r="O95" s="48"/>
      <c r="P95" s="49"/>
      <c r="Q95" s="50"/>
      <c r="R95" s="50"/>
      <c r="S95" s="50"/>
      <c r="T95" s="50"/>
      <c r="U95" s="50"/>
      <c r="V95" s="50"/>
      <c r="W95" s="39"/>
      <c r="X95" s="39"/>
      <c r="Y95" s="39"/>
      <c r="Z95" s="39"/>
      <c r="AA95" s="39"/>
      <c r="AB95" s="39"/>
      <c r="AC95" s="39"/>
      <c r="AD95" s="39"/>
      <c r="AE95" s="39"/>
      <c r="AF95" s="39"/>
      <c r="AG95" s="39"/>
      <c r="AH95" s="39"/>
      <c r="AI95" s="39"/>
      <c r="AJ95" s="39"/>
    </row>
    <row r="96" spans="1:36" s="51" customFormat="1" ht="21" customHeight="1" x14ac:dyDescent="0.15">
      <c r="A96" s="46"/>
      <c r="B96" s="46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46"/>
      <c r="N96" s="46"/>
      <c r="O96" s="48"/>
      <c r="P96" s="49"/>
      <c r="Q96" s="50"/>
      <c r="R96" s="50"/>
      <c r="S96" s="50"/>
      <c r="T96" s="50"/>
      <c r="U96" s="50"/>
      <c r="V96" s="50"/>
      <c r="W96" s="39"/>
      <c r="X96" s="39"/>
      <c r="Y96" s="39"/>
      <c r="Z96" s="39"/>
      <c r="AA96" s="39"/>
      <c r="AB96" s="39"/>
      <c r="AC96" s="39"/>
      <c r="AD96" s="39"/>
      <c r="AE96" s="39"/>
      <c r="AF96" s="39"/>
      <c r="AG96" s="39"/>
      <c r="AH96" s="39"/>
      <c r="AI96" s="39"/>
      <c r="AJ96" s="39"/>
    </row>
    <row r="97" spans="1:36" s="51" customFormat="1" ht="21" customHeight="1" x14ac:dyDescent="0.15">
      <c r="A97" s="46"/>
      <c r="B97" s="46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46"/>
      <c r="N97" s="46"/>
      <c r="O97" s="48"/>
      <c r="P97" s="49"/>
      <c r="Q97" s="50"/>
      <c r="R97" s="50"/>
      <c r="S97" s="50"/>
      <c r="T97" s="50"/>
      <c r="U97" s="50"/>
      <c r="V97" s="50"/>
      <c r="W97" s="39"/>
      <c r="X97" s="39"/>
      <c r="Y97" s="39"/>
      <c r="Z97" s="39"/>
      <c r="AA97" s="39"/>
      <c r="AB97" s="39"/>
      <c r="AC97" s="39"/>
      <c r="AD97" s="39"/>
      <c r="AE97" s="39"/>
      <c r="AF97" s="39"/>
      <c r="AG97" s="39"/>
      <c r="AH97" s="39"/>
      <c r="AI97" s="39"/>
      <c r="AJ97" s="39"/>
    </row>
    <row r="98" spans="1:36" s="51" customFormat="1" ht="21" customHeight="1" x14ac:dyDescent="0.15">
      <c r="A98" s="46"/>
      <c r="B98" s="46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46"/>
      <c r="N98" s="46"/>
      <c r="O98" s="48"/>
      <c r="P98" s="49"/>
      <c r="Q98" s="50"/>
      <c r="R98" s="50"/>
      <c r="S98" s="50"/>
      <c r="T98" s="50"/>
      <c r="U98" s="50"/>
      <c r="V98" s="50"/>
      <c r="W98" s="39"/>
      <c r="X98" s="39"/>
      <c r="Y98" s="39"/>
      <c r="Z98" s="39"/>
      <c r="AA98" s="39"/>
      <c r="AB98" s="39"/>
      <c r="AC98" s="39"/>
      <c r="AD98" s="39"/>
      <c r="AE98" s="39"/>
      <c r="AF98" s="39"/>
      <c r="AG98" s="39"/>
      <c r="AH98" s="39"/>
      <c r="AI98" s="39"/>
      <c r="AJ98" s="39"/>
    </row>
    <row r="99" spans="1:36" s="51" customFormat="1" ht="21" customHeight="1" x14ac:dyDescent="0.15">
      <c r="A99" s="46"/>
      <c r="B99" s="46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46"/>
      <c r="N99" s="46"/>
      <c r="O99" s="48"/>
      <c r="P99" s="49"/>
      <c r="Q99" s="50"/>
      <c r="R99" s="50"/>
      <c r="S99" s="50"/>
      <c r="T99" s="50"/>
      <c r="U99" s="50"/>
      <c r="V99" s="50"/>
      <c r="W99" s="39"/>
      <c r="X99" s="39"/>
      <c r="Y99" s="39"/>
      <c r="Z99" s="39"/>
      <c r="AA99" s="39"/>
      <c r="AB99" s="39"/>
      <c r="AC99" s="39"/>
      <c r="AD99" s="39"/>
      <c r="AE99" s="39"/>
      <c r="AF99" s="39"/>
      <c r="AG99" s="39"/>
      <c r="AH99" s="39"/>
      <c r="AI99" s="39"/>
      <c r="AJ99" s="39"/>
    </row>
    <row r="100" spans="1:36" s="51" customFormat="1" ht="21" customHeight="1" x14ac:dyDescent="0.15">
      <c r="A100" s="46"/>
      <c r="B100" s="46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46"/>
      <c r="N100" s="46"/>
      <c r="O100" s="48"/>
      <c r="P100" s="49"/>
      <c r="Q100" s="50"/>
      <c r="R100" s="50"/>
      <c r="S100" s="50"/>
      <c r="T100" s="50"/>
      <c r="U100" s="50"/>
      <c r="V100" s="50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</row>
    <row r="101" spans="1:36" s="51" customFormat="1" ht="21" customHeight="1" x14ac:dyDescent="0.15">
      <c r="A101" s="46"/>
      <c r="B101" s="46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6"/>
      <c r="O101" s="48"/>
      <c r="P101" s="49"/>
      <c r="Q101" s="50"/>
      <c r="R101" s="50"/>
      <c r="S101" s="50"/>
      <c r="T101" s="50"/>
      <c r="U101" s="50"/>
      <c r="V101" s="50"/>
      <c r="W101" s="39"/>
      <c r="X101" s="39"/>
      <c r="Y101" s="39"/>
      <c r="Z101" s="39"/>
      <c r="AA101" s="39"/>
      <c r="AB101" s="39"/>
      <c r="AC101" s="39"/>
      <c r="AD101" s="39"/>
      <c r="AE101" s="39"/>
      <c r="AF101" s="39"/>
      <c r="AG101" s="39"/>
      <c r="AH101" s="39"/>
      <c r="AI101" s="39"/>
      <c r="AJ101" s="39"/>
    </row>
    <row r="102" spans="1:36" s="51" customFormat="1" ht="21" customHeight="1" x14ac:dyDescent="0.15">
      <c r="A102" s="46"/>
      <c r="B102" s="46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6"/>
      <c r="O102" s="48"/>
      <c r="P102" s="49"/>
      <c r="Q102" s="50"/>
      <c r="R102" s="50"/>
      <c r="S102" s="50"/>
      <c r="T102" s="50"/>
      <c r="U102" s="50"/>
      <c r="V102" s="50"/>
      <c r="W102" s="39"/>
      <c r="X102" s="39"/>
      <c r="Y102" s="39"/>
      <c r="Z102" s="39"/>
      <c r="AA102" s="39"/>
      <c r="AB102" s="39"/>
      <c r="AC102" s="39"/>
      <c r="AD102" s="39"/>
      <c r="AE102" s="39"/>
      <c r="AF102" s="39"/>
      <c r="AG102" s="39"/>
      <c r="AH102" s="39"/>
      <c r="AI102" s="39"/>
      <c r="AJ102" s="39"/>
    </row>
    <row r="103" spans="1:36" s="51" customFormat="1" ht="21" customHeight="1" x14ac:dyDescent="0.15">
      <c r="A103" s="46"/>
      <c r="B103" s="46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6"/>
      <c r="O103" s="48"/>
      <c r="P103" s="49"/>
      <c r="Q103" s="50"/>
      <c r="R103" s="50"/>
      <c r="S103" s="50"/>
      <c r="T103" s="50"/>
      <c r="U103" s="50"/>
      <c r="V103" s="50"/>
      <c r="W103" s="39"/>
      <c r="X103" s="39"/>
      <c r="Y103" s="39"/>
      <c r="Z103" s="39"/>
      <c r="AA103" s="39"/>
      <c r="AB103" s="39"/>
      <c r="AC103" s="39"/>
      <c r="AD103" s="39"/>
      <c r="AE103" s="39"/>
      <c r="AF103" s="39"/>
      <c r="AG103" s="39"/>
      <c r="AH103" s="39"/>
      <c r="AI103" s="39"/>
      <c r="AJ103" s="39"/>
    </row>
    <row r="104" spans="1:36" s="51" customFormat="1" ht="21" customHeight="1" x14ac:dyDescent="0.15">
      <c r="A104" s="46"/>
      <c r="B104" s="46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6"/>
      <c r="O104" s="48"/>
      <c r="P104" s="49"/>
      <c r="Q104" s="50"/>
      <c r="R104" s="50"/>
      <c r="S104" s="50"/>
      <c r="T104" s="50"/>
      <c r="U104" s="50"/>
      <c r="V104" s="50"/>
      <c r="W104" s="39"/>
      <c r="X104" s="39"/>
      <c r="Y104" s="39"/>
      <c r="Z104" s="39"/>
      <c r="AA104" s="39"/>
      <c r="AB104" s="39"/>
      <c r="AC104" s="39"/>
      <c r="AD104" s="39"/>
      <c r="AE104" s="39"/>
      <c r="AF104" s="39"/>
      <c r="AG104" s="39"/>
      <c r="AH104" s="39"/>
      <c r="AI104" s="39"/>
      <c r="AJ104" s="39"/>
    </row>
    <row r="105" spans="1:36" s="51" customFormat="1" ht="21" customHeight="1" x14ac:dyDescent="0.15">
      <c r="A105" s="46"/>
      <c r="B105" s="46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6"/>
      <c r="O105" s="48"/>
      <c r="P105" s="49"/>
      <c r="Q105" s="50"/>
      <c r="R105" s="50"/>
      <c r="S105" s="50"/>
      <c r="T105" s="50"/>
      <c r="U105" s="50"/>
      <c r="V105" s="50"/>
      <c r="W105" s="39"/>
      <c r="X105" s="39"/>
      <c r="Y105" s="39"/>
      <c r="Z105" s="39"/>
      <c r="AA105" s="39"/>
      <c r="AB105" s="39"/>
      <c r="AC105" s="39"/>
      <c r="AD105" s="39"/>
      <c r="AE105" s="39"/>
      <c r="AF105" s="39"/>
      <c r="AG105" s="39"/>
      <c r="AH105" s="39"/>
      <c r="AI105" s="39"/>
      <c r="AJ105" s="39"/>
    </row>
    <row r="106" spans="1:36" s="51" customFormat="1" ht="21" customHeight="1" x14ac:dyDescent="0.15">
      <c r="A106" s="46"/>
      <c r="B106" s="46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6"/>
      <c r="O106" s="48"/>
      <c r="P106" s="49"/>
      <c r="Q106" s="50"/>
      <c r="R106" s="50"/>
      <c r="S106" s="50"/>
      <c r="T106" s="50"/>
      <c r="U106" s="50"/>
      <c r="V106" s="50"/>
      <c r="W106" s="39"/>
      <c r="X106" s="39"/>
      <c r="Y106" s="39"/>
      <c r="Z106" s="39"/>
      <c r="AA106" s="39"/>
      <c r="AB106" s="39"/>
      <c r="AC106" s="39"/>
      <c r="AD106" s="39"/>
      <c r="AE106" s="39"/>
      <c r="AF106" s="39"/>
      <c r="AG106" s="39"/>
      <c r="AH106" s="39"/>
      <c r="AI106" s="39"/>
      <c r="AJ106" s="39"/>
    </row>
    <row r="107" spans="1:36" s="51" customFormat="1" ht="21" customHeight="1" x14ac:dyDescent="0.15">
      <c r="A107" s="46"/>
      <c r="B107" s="46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6"/>
      <c r="O107" s="48"/>
      <c r="P107" s="49"/>
      <c r="Q107" s="50"/>
      <c r="R107" s="50"/>
      <c r="S107" s="50"/>
      <c r="T107" s="50"/>
      <c r="U107" s="50"/>
      <c r="V107" s="50"/>
      <c r="W107" s="39"/>
      <c r="X107" s="39"/>
      <c r="Y107" s="39"/>
      <c r="Z107" s="39"/>
      <c r="AA107" s="39"/>
      <c r="AB107" s="39"/>
      <c r="AC107" s="39"/>
      <c r="AD107" s="39"/>
      <c r="AE107" s="39"/>
      <c r="AF107" s="39"/>
      <c r="AG107" s="39"/>
      <c r="AH107" s="39"/>
      <c r="AI107" s="39"/>
      <c r="AJ107" s="39"/>
    </row>
    <row r="108" spans="1:36" s="51" customFormat="1" ht="21" customHeight="1" x14ac:dyDescent="0.15">
      <c r="A108" s="46"/>
      <c r="B108" s="46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6"/>
      <c r="O108" s="48"/>
      <c r="P108" s="49"/>
      <c r="Q108" s="50"/>
      <c r="R108" s="50"/>
      <c r="S108" s="50"/>
      <c r="T108" s="50"/>
      <c r="U108" s="50"/>
      <c r="V108" s="50"/>
      <c r="W108" s="39"/>
      <c r="X108" s="39"/>
      <c r="Y108" s="39"/>
      <c r="Z108" s="39"/>
      <c r="AA108" s="39"/>
      <c r="AB108" s="39"/>
      <c r="AC108" s="39"/>
      <c r="AD108" s="39"/>
      <c r="AE108" s="39"/>
      <c r="AF108" s="39"/>
      <c r="AG108" s="39"/>
      <c r="AH108" s="39"/>
      <c r="AI108" s="39"/>
      <c r="AJ108" s="39"/>
    </row>
    <row r="109" spans="1:36" s="51" customFormat="1" ht="21" customHeight="1" x14ac:dyDescent="0.15">
      <c r="A109" s="46"/>
      <c r="B109" s="46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6"/>
      <c r="O109" s="48"/>
      <c r="P109" s="49"/>
      <c r="Q109" s="50"/>
      <c r="R109" s="50"/>
      <c r="S109" s="50"/>
      <c r="T109" s="50"/>
      <c r="U109" s="50"/>
      <c r="V109" s="50"/>
      <c r="W109" s="39"/>
      <c r="X109" s="39"/>
      <c r="Y109" s="39"/>
      <c r="Z109" s="39"/>
      <c r="AA109" s="39"/>
      <c r="AB109" s="39"/>
      <c r="AC109" s="39"/>
      <c r="AD109" s="39"/>
      <c r="AE109" s="39"/>
      <c r="AF109" s="39"/>
      <c r="AG109" s="39"/>
      <c r="AH109" s="39"/>
      <c r="AI109" s="39"/>
      <c r="AJ109" s="39"/>
    </row>
    <row r="110" spans="1:36" s="51" customFormat="1" ht="21" customHeight="1" x14ac:dyDescent="0.15">
      <c r="A110" s="46"/>
      <c r="B110" s="46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6"/>
      <c r="O110" s="48"/>
      <c r="P110" s="49"/>
      <c r="Q110" s="50"/>
      <c r="R110" s="50"/>
      <c r="S110" s="50"/>
      <c r="T110" s="50"/>
      <c r="U110" s="50"/>
      <c r="V110" s="50"/>
      <c r="W110" s="39"/>
      <c r="X110" s="39"/>
      <c r="Y110" s="39"/>
      <c r="Z110" s="39"/>
      <c r="AA110" s="39"/>
      <c r="AB110" s="39"/>
      <c r="AC110" s="39"/>
      <c r="AD110" s="39"/>
      <c r="AE110" s="39"/>
      <c r="AF110" s="39"/>
      <c r="AG110" s="39"/>
      <c r="AH110" s="39"/>
      <c r="AI110" s="39"/>
      <c r="AJ110" s="39"/>
    </row>
    <row r="111" spans="1:36" s="51" customFormat="1" ht="21" customHeight="1" x14ac:dyDescent="0.15">
      <c r="A111" s="46"/>
      <c r="B111" s="46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6"/>
      <c r="O111" s="48"/>
      <c r="P111" s="49"/>
      <c r="Q111" s="50"/>
      <c r="R111" s="50"/>
      <c r="S111" s="50"/>
      <c r="T111" s="50"/>
      <c r="U111" s="50"/>
      <c r="V111" s="50"/>
      <c r="W111" s="39"/>
      <c r="X111" s="39"/>
      <c r="Y111" s="39"/>
      <c r="Z111" s="39"/>
      <c r="AA111" s="39"/>
      <c r="AB111" s="39"/>
      <c r="AC111" s="39"/>
      <c r="AD111" s="39"/>
      <c r="AE111" s="39"/>
      <c r="AF111" s="39"/>
      <c r="AG111" s="39"/>
      <c r="AH111" s="39"/>
      <c r="AI111" s="39"/>
      <c r="AJ111" s="39"/>
    </row>
    <row r="112" spans="1:36" s="51" customFormat="1" ht="21" customHeight="1" x14ac:dyDescent="0.15">
      <c r="A112" s="46"/>
      <c r="B112" s="46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6"/>
      <c r="O112" s="48"/>
      <c r="P112" s="49"/>
      <c r="Q112" s="50"/>
      <c r="R112" s="50"/>
      <c r="S112" s="50"/>
      <c r="T112" s="50"/>
      <c r="U112" s="50"/>
      <c r="V112" s="50"/>
      <c r="W112" s="39"/>
      <c r="X112" s="39"/>
      <c r="Y112" s="39"/>
      <c r="Z112" s="39"/>
      <c r="AA112" s="39"/>
      <c r="AB112" s="39"/>
      <c r="AC112" s="39"/>
      <c r="AD112" s="39"/>
      <c r="AE112" s="39"/>
      <c r="AF112" s="39"/>
      <c r="AG112" s="39"/>
      <c r="AH112" s="39"/>
      <c r="AI112" s="39"/>
      <c r="AJ112" s="39"/>
    </row>
    <row r="113" spans="1:36" s="51" customFormat="1" ht="21" customHeight="1" x14ac:dyDescent="0.15">
      <c r="A113" s="46"/>
      <c r="B113" s="46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6"/>
      <c r="O113" s="48"/>
      <c r="P113" s="49"/>
      <c r="Q113" s="50"/>
      <c r="R113" s="50"/>
      <c r="S113" s="50"/>
      <c r="T113" s="50"/>
      <c r="U113" s="50"/>
      <c r="V113" s="50"/>
      <c r="W113" s="39"/>
      <c r="X113" s="39"/>
      <c r="Y113" s="39"/>
      <c r="Z113" s="39"/>
      <c r="AA113" s="39"/>
      <c r="AB113" s="39"/>
      <c r="AC113" s="39"/>
      <c r="AD113" s="39"/>
      <c r="AE113" s="39"/>
      <c r="AF113" s="39"/>
      <c r="AG113" s="39"/>
      <c r="AH113" s="39"/>
      <c r="AI113" s="39"/>
      <c r="AJ113" s="39"/>
    </row>
    <row r="114" spans="1:36" s="51" customFormat="1" ht="21" customHeight="1" x14ac:dyDescent="0.15">
      <c r="A114" s="46"/>
      <c r="B114" s="46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6"/>
      <c r="O114" s="48"/>
      <c r="P114" s="49"/>
      <c r="Q114" s="50"/>
      <c r="R114" s="50"/>
      <c r="S114" s="50"/>
      <c r="T114" s="50"/>
      <c r="U114" s="50"/>
      <c r="V114" s="50"/>
      <c r="W114" s="39"/>
      <c r="X114" s="39"/>
      <c r="Y114" s="39"/>
      <c r="Z114" s="39"/>
      <c r="AA114" s="39"/>
      <c r="AB114" s="39"/>
      <c r="AC114" s="39"/>
      <c r="AD114" s="39"/>
      <c r="AE114" s="39"/>
      <c r="AF114" s="39"/>
      <c r="AG114" s="39"/>
      <c r="AH114" s="39"/>
      <c r="AI114" s="39"/>
      <c r="AJ114" s="39"/>
    </row>
    <row r="115" spans="1:36" s="51" customFormat="1" ht="21" customHeight="1" x14ac:dyDescent="0.15">
      <c r="A115" s="46"/>
      <c r="B115" s="46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6"/>
      <c r="O115" s="48"/>
      <c r="P115" s="49"/>
      <c r="Q115" s="50"/>
      <c r="R115" s="50"/>
      <c r="S115" s="50"/>
      <c r="T115" s="50"/>
      <c r="U115" s="50"/>
      <c r="V115" s="50"/>
      <c r="W115" s="39"/>
      <c r="X115" s="39"/>
      <c r="Y115" s="39"/>
      <c r="Z115" s="39"/>
      <c r="AA115" s="39"/>
      <c r="AB115" s="39"/>
      <c r="AC115" s="39"/>
      <c r="AD115" s="39"/>
      <c r="AE115" s="39"/>
      <c r="AF115" s="39"/>
      <c r="AG115" s="39"/>
      <c r="AH115" s="39"/>
      <c r="AI115" s="39"/>
      <c r="AJ115" s="39"/>
    </row>
    <row r="116" spans="1:36" s="51" customFormat="1" ht="21" customHeight="1" x14ac:dyDescent="0.15">
      <c r="A116" s="46"/>
      <c r="B116" s="46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6"/>
      <c r="O116" s="48"/>
      <c r="P116" s="49"/>
      <c r="Q116" s="50"/>
      <c r="R116" s="50"/>
      <c r="S116" s="50"/>
      <c r="T116" s="50"/>
      <c r="U116" s="50"/>
      <c r="V116" s="50"/>
      <c r="W116" s="39"/>
      <c r="X116" s="39"/>
      <c r="Y116" s="39"/>
      <c r="Z116" s="39"/>
      <c r="AA116" s="39"/>
      <c r="AB116" s="39"/>
      <c r="AC116" s="39"/>
      <c r="AD116" s="39"/>
      <c r="AE116" s="39"/>
      <c r="AF116" s="39"/>
      <c r="AG116" s="39"/>
      <c r="AH116" s="39"/>
      <c r="AI116" s="39"/>
      <c r="AJ116" s="39"/>
    </row>
    <row r="117" spans="1:36" s="51" customFormat="1" ht="21" customHeight="1" x14ac:dyDescent="0.15">
      <c r="A117" s="46"/>
      <c r="B117" s="46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6"/>
      <c r="O117" s="48"/>
      <c r="P117" s="49"/>
      <c r="Q117" s="50"/>
      <c r="R117" s="50"/>
      <c r="S117" s="50"/>
      <c r="T117" s="50"/>
      <c r="U117" s="50"/>
      <c r="V117" s="50"/>
      <c r="W117" s="39"/>
      <c r="X117" s="39"/>
      <c r="Y117" s="39"/>
      <c r="Z117" s="39"/>
      <c r="AA117" s="39"/>
      <c r="AB117" s="39"/>
      <c r="AC117" s="39"/>
      <c r="AD117" s="39"/>
      <c r="AE117" s="39"/>
      <c r="AF117" s="39"/>
      <c r="AG117" s="39"/>
      <c r="AH117" s="39"/>
      <c r="AI117" s="39"/>
      <c r="AJ117" s="39"/>
    </row>
    <row r="118" spans="1:36" s="51" customFormat="1" ht="21" customHeight="1" x14ac:dyDescent="0.15">
      <c r="A118" s="46"/>
      <c r="B118" s="46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6"/>
      <c r="O118" s="48"/>
      <c r="P118" s="49"/>
      <c r="Q118" s="50"/>
      <c r="R118" s="50"/>
      <c r="S118" s="50"/>
      <c r="T118" s="50"/>
      <c r="U118" s="50"/>
      <c r="V118" s="50"/>
      <c r="W118" s="39"/>
      <c r="X118" s="39"/>
      <c r="Y118" s="39"/>
      <c r="Z118" s="39"/>
      <c r="AA118" s="39"/>
      <c r="AB118" s="39"/>
      <c r="AC118" s="39"/>
      <c r="AD118" s="39"/>
      <c r="AE118" s="39"/>
      <c r="AF118" s="39"/>
      <c r="AG118" s="39"/>
      <c r="AH118" s="39"/>
      <c r="AI118" s="39"/>
      <c r="AJ118" s="39"/>
    </row>
    <row r="119" spans="1:36" s="51" customFormat="1" ht="21" customHeight="1" x14ac:dyDescent="0.15">
      <c r="A119" s="46"/>
      <c r="B119" s="46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6"/>
      <c r="O119" s="48"/>
      <c r="P119" s="49"/>
      <c r="Q119" s="50"/>
      <c r="R119" s="50"/>
      <c r="S119" s="50"/>
      <c r="T119" s="50"/>
      <c r="U119" s="50"/>
      <c r="V119" s="50"/>
      <c r="W119" s="39"/>
      <c r="X119" s="39"/>
      <c r="Y119" s="39"/>
      <c r="Z119" s="39"/>
      <c r="AA119" s="39"/>
      <c r="AB119" s="39"/>
      <c r="AC119" s="39"/>
      <c r="AD119" s="39"/>
      <c r="AE119" s="39"/>
      <c r="AF119" s="39"/>
      <c r="AG119" s="39"/>
      <c r="AH119" s="39"/>
      <c r="AI119" s="39"/>
      <c r="AJ119" s="39"/>
    </row>
    <row r="120" spans="1:36" s="51" customFormat="1" ht="21" customHeight="1" x14ac:dyDescent="0.15">
      <c r="A120" s="46"/>
      <c r="B120" s="46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6"/>
      <c r="O120" s="48"/>
      <c r="P120" s="49"/>
      <c r="Q120" s="50"/>
      <c r="R120" s="50"/>
      <c r="S120" s="50"/>
      <c r="T120" s="50"/>
      <c r="U120" s="50"/>
      <c r="V120" s="50"/>
      <c r="W120" s="39"/>
      <c r="X120" s="39"/>
      <c r="Y120" s="39"/>
      <c r="Z120" s="39"/>
      <c r="AA120" s="39"/>
      <c r="AB120" s="39"/>
      <c r="AC120" s="39"/>
      <c r="AD120" s="39"/>
      <c r="AE120" s="39"/>
      <c r="AF120" s="39"/>
      <c r="AG120" s="39"/>
      <c r="AH120" s="39"/>
      <c r="AI120" s="39"/>
      <c r="AJ120" s="39"/>
    </row>
    <row r="121" spans="1:36" s="51" customFormat="1" ht="21" customHeight="1" x14ac:dyDescent="0.15">
      <c r="A121" s="46"/>
      <c r="B121" s="46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6"/>
      <c r="O121" s="48"/>
      <c r="P121" s="49"/>
      <c r="Q121" s="50"/>
      <c r="R121" s="50"/>
      <c r="S121" s="50"/>
      <c r="T121" s="50"/>
      <c r="U121" s="50"/>
      <c r="V121" s="50"/>
      <c r="W121" s="39"/>
      <c r="X121" s="39"/>
      <c r="Y121" s="39"/>
      <c r="Z121" s="39"/>
      <c r="AA121" s="39"/>
      <c r="AB121" s="39"/>
      <c r="AC121" s="39"/>
      <c r="AD121" s="39"/>
      <c r="AE121" s="39"/>
      <c r="AF121" s="39"/>
      <c r="AG121" s="39"/>
      <c r="AH121" s="39"/>
      <c r="AI121" s="39"/>
      <c r="AJ121" s="39"/>
    </row>
    <row r="122" spans="1:36" s="51" customFormat="1" ht="21" customHeight="1" x14ac:dyDescent="0.15">
      <c r="A122" s="46"/>
      <c r="B122" s="46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6"/>
      <c r="O122" s="48"/>
      <c r="P122" s="49"/>
      <c r="Q122" s="50"/>
      <c r="R122" s="50"/>
      <c r="S122" s="50"/>
      <c r="T122" s="50"/>
      <c r="U122" s="50"/>
      <c r="V122" s="50"/>
      <c r="W122" s="39"/>
      <c r="X122" s="39"/>
      <c r="Y122" s="39"/>
      <c r="Z122" s="39"/>
      <c r="AA122" s="39"/>
      <c r="AB122" s="39"/>
      <c r="AC122" s="39"/>
      <c r="AD122" s="39"/>
      <c r="AE122" s="39"/>
      <c r="AF122" s="39"/>
      <c r="AG122" s="39"/>
      <c r="AH122" s="39"/>
      <c r="AI122" s="39"/>
      <c r="AJ122" s="39"/>
    </row>
    <row r="123" spans="1:36" s="51" customFormat="1" ht="21" customHeight="1" x14ac:dyDescent="0.15">
      <c r="A123" s="46"/>
      <c r="B123" s="46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6"/>
      <c r="O123" s="48"/>
      <c r="P123" s="49"/>
      <c r="Q123" s="50"/>
      <c r="R123" s="50"/>
      <c r="S123" s="50"/>
      <c r="T123" s="50"/>
      <c r="U123" s="50"/>
      <c r="V123" s="50"/>
      <c r="W123" s="39"/>
      <c r="X123" s="39"/>
      <c r="Y123" s="39"/>
      <c r="Z123" s="39"/>
      <c r="AA123" s="39"/>
      <c r="AB123" s="39"/>
      <c r="AC123" s="39"/>
      <c r="AD123" s="39"/>
      <c r="AE123" s="39"/>
      <c r="AF123" s="39"/>
      <c r="AG123" s="39"/>
      <c r="AH123" s="39"/>
      <c r="AI123" s="39"/>
      <c r="AJ123" s="39"/>
    </row>
    <row r="124" spans="1:36" s="51" customFormat="1" ht="21" customHeight="1" x14ac:dyDescent="0.15">
      <c r="A124" s="46"/>
      <c r="B124" s="46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6"/>
      <c r="O124" s="48"/>
      <c r="P124" s="49"/>
      <c r="Q124" s="50"/>
      <c r="R124" s="50"/>
      <c r="S124" s="50"/>
      <c r="T124" s="50"/>
      <c r="U124" s="50"/>
      <c r="V124" s="50"/>
      <c r="W124" s="39"/>
      <c r="X124" s="39"/>
      <c r="Y124" s="39"/>
      <c r="Z124" s="39"/>
      <c r="AA124" s="39"/>
      <c r="AB124" s="39"/>
      <c r="AC124" s="39"/>
      <c r="AD124" s="39"/>
      <c r="AE124" s="39"/>
      <c r="AF124" s="39"/>
      <c r="AG124" s="39"/>
      <c r="AH124" s="39"/>
      <c r="AI124" s="39"/>
      <c r="AJ124" s="39"/>
    </row>
    <row r="125" spans="1:36" s="51" customFormat="1" ht="21" customHeight="1" x14ac:dyDescent="0.15">
      <c r="A125" s="46"/>
      <c r="B125" s="47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6"/>
      <c r="O125" s="48"/>
      <c r="P125" s="49"/>
      <c r="Q125" s="50"/>
      <c r="R125" s="50"/>
      <c r="S125" s="50"/>
      <c r="T125" s="50"/>
      <c r="U125" s="50"/>
      <c r="V125" s="50"/>
      <c r="W125" s="39"/>
      <c r="X125" s="39"/>
      <c r="Y125" s="39"/>
      <c r="Z125" s="39"/>
      <c r="AA125" s="39"/>
      <c r="AB125" s="39"/>
      <c r="AC125" s="39"/>
      <c r="AD125" s="39"/>
      <c r="AE125" s="39"/>
      <c r="AF125" s="39"/>
      <c r="AG125" s="39"/>
      <c r="AH125" s="39"/>
      <c r="AI125" s="39"/>
      <c r="AJ125" s="39"/>
    </row>
    <row r="126" spans="1:36" s="51" customFormat="1" ht="21" customHeight="1" x14ac:dyDescent="0.15">
      <c r="A126" s="46"/>
      <c r="B126" s="47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6"/>
      <c r="O126" s="48"/>
      <c r="P126" s="49"/>
      <c r="Q126" s="50"/>
      <c r="R126" s="50"/>
      <c r="S126" s="50"/>
      <c r="T126" s="50"/>
      <c r="U126" s="50"/>
      <c r="V126" s="50"/>
      <c r="W126" s="39"/>
      <c r="X126" s="39"/>
      <c r="Y126" s="39"/>
      <c r="Z126" s="39"/>
      <c r="AA126" s="39"/>
      <c r="AB126" s="39"/>
      <c r="AC126" s="39"/>
      <c r="AD126" s="39"/>
      <c r="AE126" s="39"/>
      <c r="AF126" s="39"/>
      <c r="AG126" s="39"/>
      <c r="AH126" s="39"/>
      <c r="AI126" s="39"/>
      <c r="AJ126" s="39"/>
    </row>
    <row r="127" spans="1:36" s="51" customFormat="1" ht="21" customHeight="1" x14ac:dyDescent="0.15">
      <c r="A127" s="46"/>
      <c r="B127" s="47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6"/>
      <c r="O127" s="48"/>
      <c r="P127" s="49"/>
      <c r="Q127" s="50"/>
      <c r="R127" s="50"/>
      <c r="S127" s="50"/>
      <c r="T127" s="50"/>
      <c r="U127" s="50"/>
      <c r="V127" s="50"/>
      <c r="W127" s="39"/>
      <c r="X127" s="39"/>
      <c r="Y127" s="39"/>
      <c r="Z127" s="39"/>
      <c r="AA127" s="39"/>
      <c r="AB127" s="39"/>
      <c r="AC127" s="39"/>
      <c r="AD127" s="39"/>
      <c r="AE127" s="39"/>
      <c r="AF127" s="39"/>
      <c r="AG127" s="39"/>
      <c r="AH127" s="39"/>
      <c r="AI127" s="39"/>
      <c r="AJ127" s="39"/>
    </row>
    <row r="128" spans="1:36" s="51" customFormat="1" ht="21" customHeight="1" x14ac:dyDescent="0.15">
      <c r="A128" s="46"/>
      <c r="B128" s="47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6"/>
      <c r="O128" s="48"/>
      <c r="P128" s="49"/>
      <c r="Q128" s="50"/>
      <c r="R128" s="50"/>
      <c r="S128" s="50"/>
      <c r="T128" s="50"/>
      <c r="U128" s="50"/>
      <c r="V128" s="50"/>
      <c r="W128" s="39"/>
      <c r="X128" s="39"/>
      <c r="Y128" s="39"/>
      <c r="Z128" s="39"/>
      <c r="AA128" s="39"/>
      <c r="AB128" s="39"/>
      <c r="AC128" s="39"/>
      <c r="AD128" s="39"/>
      <c r="AE128" s="39"/>
      <c r="AF128" s="39"/>
      <c r="AG128" s="39"/>
      <c r="AH128" s="39"/>
      <c r="AI128" s="39"/>
      <c r="AJ128" s="39"/>
    </row>
    <row r="129" spans="1:36" s="51" customFormat="1" ht="21" customHeight="1" x14ac:dyDescent="0.15">
      <c r="A129" s="46"/>
      <c r="B129" s="47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6"/>
      <c r="O129" s="48"/>
      <c r="P129" s="49"/>
      <c r="Q129" s="50"/>
      <c r="R129" s="50"/>
      <c r="S129" s="50"/>
      <c r="T129" s="50"/>
      <c r="U129" s="50"/>
      <c r="V129" s="50"/>
      <c r="W129" s="39"/>
      <c r="X129" s="39"/>
      <c r="Y129" s="39"/>
      <c r="Z129" s="39"/>
      <c r="AA129" s="39"/>
      <c r="AB129" s="39"/>
      <c r="AC129" s="39"/>
      <c r="AD129" s="39"/>
      <c r="AE129" s="39"/>
      <c r="AF129" s="39"/>
      <c r="AG129" s="39"/>
      <c r="AH129" s="39"/>
      <c r="AI129" s="39"/>
      <c r="AJ129" s="39"/>
    </row>
    <row r="130" spans="1:36" s="51" customFormat="1" ht="21" customHeight="1" x14ac:dyDescent="0.15">
      <c r="A130" s="46"/>
      <c r="B130" s="47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6"/>
      <c r="O130" s="48"/>
      <c r="P130" s="49"/>
      <c r="Q130" s="50"/>
      <c r="R130" s="50"/>
      <c r="S130" s="50"/>
      <c r="T130" s="50"/>
      <c r="U130" s="50"/>
      <c r="V130" s="50"/>
      <c r="W130" s="39"/>
      <c r="X130" s="39"/>
      <c r="Y130" s="39"/>
      <c r="Z130" s="39"/>
      <c r="AA130" s="39"/>
      <c r="AB130" s="39"/>
      <c r="AC130" s="39"/>
      <c r="AD130" s="39"/>
      <c r="AE130" s="39"/>
      <c r="AF130" s="39"/>
      <c r="AG130" s="39"/>
      <c r="AH130" s="39"/>
      <c r="AI130" s="39"/>
      <c r="AJ130" s="39"/>
    </row>
    <row r="131" spans="1:36" s="51" customFormat="1" ht="21" customHeight="1" x14ac:dyDescent="0.15">
      <c r="A131" s="46"/>
      <c r="B131" s="47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6"/>
      <c r="O131" s="48"/>
      <c r="P131" s="49"/>
      <c r="Q131" s="50"/>
      <c r="R131" s="50"/>
      <c r="S131" s="50"/>
      <c r="T131" s="50"/>
      <c r="U131" s="50"/>
      <c r="V131" s="50"/>
      <c r="W131" s="39"/>
      <c r="X131" s="39"/>
      <c r="Y131" s="39"/>
      <c r="Z131" s="39"/>
      <c r="AA131" s="39"/>
      <c r="AB131" s="39"/>
      <c r="AC131" s="39"/>
      <c r="AD131" s="39"/>
      <c r="AE131" s="39"/>
      <c r="AF131" s="39"/>
      <c r="AG131" s="39"/>
      <c r="AH131" s="39"/>
      <c r="AI131" s="39"/>
      <c r="AJ131" s="39"/>
    </row>
    <row r="132" spans="1:36" s="51" customFormat="1" ht="21" customHeight="1" x14ac:dyDescent="0.15">
      <c r="A132" s="46"/>
      <c r="B132" s="47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6"/>
      <c r="O132" s="48"/>
      <c r="P132" s="49"/>
      <c r="Q132" s="50"/>
      <c r="R132" s="50"/>
      <c r="S132" s="50"/>
      <c r="T132" s="50"/>
      <c r="U132" s="50"/>
      <c r="V132" s="50"/>
      <c r="W132" s="39"/>
      <c r="X132" s="39"/>
      <c r="Y132" s="39"/>
      <c r="Z132" s="39"/>
      <c r="AA132" s="39"/>
      <c r="AB132" s="39"/>
      <c r="AC132" s="39"/>
      <c r="AD132" s="39"/>
      <c r="AE132" s="39"/>
      <c r="AF132" s="39"/>
      <c r="AG132" s="39"/>
      <c r="AH132" s="39"/>
      <c r="AI132" s="39"/>
      <c r="AJ132" s="39"/>
    </row>
    <row r="133" spans="1:36" s="51" customFormat="1" ht="21" customHeight="1" x14ac:dyDescent="0.15">
      <c r="A133" s="46"/>
      <c r="B133" s="47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6"/>
      <c r="O133" s="48"/>
      <c r="P133" s="49"/>
      <c r="Q133" s="50"/>
      <c r="R133" s="50"/>
      <c r="S133" s="50"/>
      <c r="T133" s="50"/>
      <c r="U133" s="50"/>
      <c r="V133" s="50"/>
      <c r="W133" s="39"/>
      <c r="X133" s="39"/>
      <c r="Y133" s="39"/>
      <c r="Z133" s="39"/>
      <c r="AA133" s="39"/>
      <c r="AB133" s="39"/>
      <c r="AC133" s="39"/>
      <c r="AD133" s="39"/>
      <c r="AE133" s="39"/>
      <c r="AF133" s="39"/>
      <c r="AG133" s="39"/>
      <c r="AH133" s="39"/>
      <c r="AI133" s="39"/>
      <c r="AJ133" s="39"/>
    </row>
    <row r="134" spans="1:36" s="51" customFormat="1" ht="21" customHeight="1" x14ac:dyDescent="0.15">
      <c r="A134" s="46"/>
      <c r="B134" s="47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6"/>
      <c r="O134" s="48"/>
      <c r="P134" s="49"/>
      <c r="Q134" s="50"/>
      <c r="R134" s="50"/>
      <c r="S134" s="50"/>
      <c r="T134" s="50"/>
      <c r="U134" s="50"/>
      <c r="V134" s="50"/>
      <c r="W134" s="39"/>
      <c r="X134" s="39"/>
      <c r="Y134" s="39"/>
      <c r="Z134" s="39"/>
      <c r="AA134" s="39"/>
      <c r="AB134" s="39"/>
      <c r="AC134" s="39"/>
      <c r="AD134" s="39"/>
      <c r="AE134" s="39"/>
      <c r="AF134" s="39"/>
      <c r="AG134" s="39"/>
      <c r="AH134" s="39"/>
      <c r="AI134" s="39"/>
      <c r="AJ134" s="39"/>
    </row>
    <row r="135" spans="1:36" s="51" customFormat="1" ht="21" customHeight="1" x14ac:dyDescent="0.15">
      <c r="A135" s="46"/>
      <c r="B135" s="47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6"/>
      <c r="O135" s="48"/>
      <c r="P135" s="49"/>
      <c r="Q135" s="50"/>
      <c r="R135" s="50"/>
      <c r="S135" s="50"/>
      <c r="T135" s="50"/>
      <c r="U135" s="50"/>
      <c r="V135" s="50"/>
      <c r="W135" s="39"/>
      <c r="X135" s="39"/>
      <c r="Y135" s="39"/>
      <c r="Z135" s="39"/>
      <c r="AA135" s="39"/>
      <c r="AB135" s="39"/>
      <c r="AC135" s="39"/>
      <c r="AD135" s="39"/>
      <c r="AE135" s="39"/>
      <c r="AF135" s="39"/>
      <c r="AG135" s="39"/>
      <c r="AH135" s="39"/>
      <c r="AI135" s="39"/>
      <c r="AJ135" s="39"/>
    </row>
    <row r="136" spans="1:36" s="51" customFormat="1" ht="21" customHeight="1" x14ac:dyDescent="0.15">
      <c r="A136" s="46"/>
      <c r="B136" s="52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6"/>
      <c r="O136" s="48"/>
      <c r="P136" s="49"/>
      <c r="Q136" s="50"/>
      <c r="R136" s="50"/>
      <c r="S136" s="50"/>
      <c r="T136" s="50"/>
      <c r="U136" s="50"/>
      <c r="V136" s="50"/>
      <c r="W136" s="39"/>
      <c r="X136" s="39"/>
      <c r="Y136" s="39"/>
      <c r="Z136" s="39"/>
      <c r="AA136" s="39"/>
      <c r="AB136" s="39"/>
      <c r="AC136" s="39"/>
      <c r="AD136" s="39"/>
      <c r="AE136" s="39"/>
      <c r="AF136" s="39"/>
      <c r="AG136" s="39"/>
      <c r="AH136" s="39"/>
      <c r="AI136" s="39"/>
      <c r="AJ136" s="39"/>
    </row>
    <row r="137" spans="1:36" s="51" customFormat="1" ht="21" customHeight="1" x14ac:dyDescent="0.15">
      <c r="A137" s="46"/>
      <c r="B137" s="52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6"/>
      <c r="O137" s="48"/>
      <c r="P137" s="49"/>
      <c r="Q137" s="50"/>
      <c r="R137" s="50"/>
      <c r="S137" s="50"/>
      <c r="T137" s="50"/>
      <c r="U137" s="50"/>
      <c r="V137" s="50"/>
      <c r="W137" s="39"/>
      <c r="X137" s="39"/>
      <c r="Y137" s="39"/>
      <c r="Z137" s="39"/>
      <c r="AA137" s="39"/>
      <c r="AB137" s="39"/>
      <c r="AC137" s="39"/>
      <c r="AD137" s="39"/>
      <c r="AE137" s="39"/>
      <c r="AF137" s="39"/>
      <c r="AG137" s="39"/>
      <c r="AH137" s="39"/>
      <c r="AI137" s="39"/>
      <c r="AJ137" s="39"/>
    </row>
    <row r="138" spans="1:36" s="51" customFormat="1" ht="21" customHeight="1" x14ac:dyDescent="0.15">
      <c r="A138" s="46"/>
      <c r="B138" s="47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6"/>
      <c r="O138" s="48"/>
      <c r="P138" s="49"/>
      <c r="Q138" s="50"/>
      <c r="R138" s="50"/>
      <c r="S138" s="50"/>
      <c r="T138" s="50"/>
      <c r="U138" s="50"/>
      <c r="V138" s="50"/>
      <c r="W138" s="39"/>
      <c r="X138" s="39"/>
      <c r="Y138" s="39"/>
      <c r="Z138" s="39"/>
      <c r="AA138" s="39"/>
      <c r="AB138" s="39"/>
      <c r="AC138" s="39"/>
      <c r="AD138" s="39"/>
      <c r="AE138" s="39"/>
      <c r="AF138" s="39"/>
      <c r="AG138" s="39"/>
      <c r="AH138" s="39"/>
      <c r="AI138" s="39"/>
      <c r="AJ138" s="39"/>
    </row>
    <row r="139" spans="1:36" s="51" customFormat="1" ht="21" customHeight="1" x14ac:dyDescent="0.15">
      <c r="A139" s="46"/>
      <c r="B139" s="47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6"/>
      <c r="O139" s="48"/>
      <c r="P139" s="49"/>
      <c r="Q139" s="50"/>
      <c r="R139" s="50"/>
      <c r="S139" s="50"/>
      <c r="T139" s="50"/>
      <c r="U139" s="50"/>
      <c r="V139" s="50"/>
      <c r="W139" s="39"/>
      <c r="X139" s="39"/>
      <c r="Y139" s="39"/>
      <c r="Z139" s="39"/>
      <c r="AA139" s="39"/>
      <c r="AB139" s="39"/>
      <c r="AC139" s="39"/>
      <c r="AD139" s="39"/>
      <c r="AE139" s="39"/>
      <c r="AF139" s="39"/>
      <c r="AG139" s="39"/>
      <c r="AH139" s="39"/>
      <c r="AI139" s="39"/>
      <c r="AJ139" s="39"/>
    </row>
    <row r="140" spans="1:36" ht="21" customHeight="1" x14ac:dyDescent="0.15">
      <c r="A140" s="39"/>
      <c r="B140" s="40"/>
      <c r="C140" s="39"/>
      <c r="D140" s="39"/>
      <c r="E140" s="39"/>
      <c r="F140" s="39"/>
      <c r="G140" s="39"/>
      <c r="H140" s="39"/>
      <c r="I140" s="39"/>
      <c r="J140" s="39"/>
      <c r="K140" s="39"/>
      <c r="L140" s="39"/>
      <c r="M140" s="39"/>
      <c r="N140" s="39"/>
      <c r="O140" s="41"/>
      <c r="P140" s="42"/>
      <c r="Q140" s="43"/>
      <c r="R140" s="43"/>
      <c r="S140" s="43"/>
      <c r="T140" s="43"/>
      <c r="U140" s="43"/>
      <c r="V140" s="43"/>
    </row>
    <row r="141" spans="1:36" ht="21" customHeight="1" x14ac:dyDescent="0.15">
      <c r="A141" s="39"/>
      <c r="B141" s="40"/>
      <c r="C141" s="39"/>
      <c r="D141" s="39"/>
      <c r="E141" s="39"/>
      <c r="F141" s="39"/>
      <c r="G141" s="39"/>
      <c r="H141" s="39"/>
      <c r="I141" s="39"/>
      <c r="J141" s="39"/>
      <c r="K141" s="39"/>
      <c r="L141" s="39"/>
      <c r="M141" s="39"/>
      <c r="N141" s="39"/>
      <c r="O141" s="41"/>
      <c r="P141" s="42"/>
      <c r="Q141" s="43"/>
      <c r="R141" s="43"/>
      <c r="S141" s="43"/>
      <c r="T141" s="43"/>
      <c r="U141" s="43"/>
      <c r="V141" s="43"/>
    </row>
    <row r="142" spans="1:36" ht="21" customHeight="1" x14ac:dyDescent="0.15">
      <c r="A142" s="39"/>
      <c r="B142" s="40"/>
      <c r="C142" s="39"/>
      <c r="D142" s="39"/>
      <c r="E142" s="39"/>
      <c r="F142" s="39"/>
      <c r="G142" s="39"/>
      <c r="H142" s="39"/>
      <c r="I142" s="39"/>
      <c r="J142" s="39"/>
      <c r="K142" s="39"/>
      <c r="L142" s="39"/>
      <c r="M142" s="39"/>
      <c r="N142" s="39"/>
      <c r="O142" s="41"/>
      <c r="P142" s="42"/>
      <c r="Q142" s="43"/>
      <c r="R142" s="43"/>
      <c r="S142" s="43"/>
      <c r="T142" s="43"/>
      <c r="U142" s="43"/>
      <c r="V142" s="43"/>
    </row>
    <row r="143" spans="1:36" s="12" customFormat="1" ht="21" customHeight="1" thickBot="1" x14ac:dyDescent="0.2">
      <c r="A143" s="39"/>
      <c r="B143" s="40"/>
      <c r="C143" s="39"/>
      <c r="D143" s="39"/>
      <c r="E143" s="39"/>
      <c r="F143" s="39"/>
      <c r="G143" s="39"/>
      <c r="H143" s="39"/>
      <c r="I143" s="39"/>
      <c r="J143" s="39"/>
      <c r="K143" s="39"/>
      <c r="L143" s="39"/>
      <c r="M143" s="39"/>
      <c r="N143" s="39"/>
      <c r="O143" s="41"/>
      <c r="P143" s="42"/>
      <c r="Q143" s="43"/>
      <c r="R143" s="43"/>
      <c r="S143" s="43"/>
      <c r="T143" s="43"/>
      <c r="U143" s="43"/>
      <c r="V143" s="43"/>
      <c r="W143" s="45"/>
      <c r="X143" s="45"/>
      <c r="Y143" s="45"/>
      <c r="Z143" s="45"/>
      <c r="AA143" s="45"/>
      <c r="AB143" s="45"/>
      <c r="AC143" s="45"/>
      <c r="AD143" s="45"/>
      <c r="AE143" s="45"/>
      <c r="AF143" s="45"/>
      <c r="AG143" s="45"/>
      <c r="AH143" s="45"/>
      <c r="AI143" s="45"/>
      <c r="AJ143" s="45"/>
    </row>
    <row r="144" spans="1:36" ht="21" customHeight="1" x14ac:dyDescent="0.15">
      <c r="A144" s="39"/>
      <c r="B144" s="40"/>
      <c r="C144" s="39"/>
      <c r="D144" s="39"/>
      <c r="E144" s="39"/>
      <c r="F144" s="39"/>
      <c r="G144" s="39"/>
      <c r="H144" s="39"/>
      <c r="I144" s="39"/>
      <c r="J144" s="39"/>
      <c r="K144" s="39"/>
      <c r="L144" s="39"/>
      <c r="M144" s="39"/>
      <c r="N144" s="39"/>
      <c r="O144" s="41"/>
      <c r="P144" s="42"/>
      <c r="Q144" s="43"/>
      <c r="R144" s="43"/>
      <c r="S144" s="43"/>
      <c r="T144" s="43"/>
      <c r="U144" s="43"/>
      <c r="V144" s="43"/>
    </row>
    <row r="145" spans="1:22" ht="21" customHeight="1" x14ac:dyDescent="0.15">
      <c r="A145" s="39"/>
      <c r="B145" s="40"/>
      <c r="C145" s="39"/>
      <c r="D145" s="39"/>
      <c r="E145" s="39"/>
      <c r="F145" s="39"/>
      <c r="G145" s="39"/>
      <c r="H145" s="39"/>
      <c r="I145" s="39"/>
      <c r="J145" s="39"/>
      <c r="K145" s="39"/>
      <c r="L145" s="39"/>
      <c r="M145" s="39"/>
      <c r="N145" s="39"/>
      <c r="O145" s="41"/>
      <c r="P145" s="42"/>
      <c r="Q145" s="43"/>
      <c r="R145" s="43"/>
      <c r="S145" s="43"/>
      <c r="T145" s="43"/>
      <c r="U145" s="43"/>
      <c r="V145" s="43"/>
    </row>
    <row r="146" spans="1:22" ht="21" customHeight="1" x14ac:dyDescent="0.15">
      <c r="A146" s="39"/>
      <c r="B146" s="40"/>
      <c r="C146" s="39"/>
      <c r="D146" s="39"/>
      <c r="E146" s="39"/>
      <c r="F146" s="39"/>
      <c r="G146" s="39"/>
      <c r="H146" s="39"/>
      <c r="I146" s="39"/>
      <c r="J146" s="39"/>
      <c r="K146" s="39"/>
      <c r="L146" s="39"/>
      <c r="M146" s="39"/>
      <c r="N146" s="39"/>
      <c r="O146" s="41"/>
      <c r="P146" s="42"/>
      <c r="Q146" s="43"/>
      <c r="R146" s="43"/>
      <c r="S146" s="43"/>
      <c r="T146" s="43"/>
      <c r="U146" s="43"/>
      <c r="V146" s="43"/>
    </row>
    <row r="147" spans="1:22" ht="21" customHeight="1" x14ac:dyDescent="0.15">
      <c r="A147" s="39"/>
      <c r="B147" s="40"/>
      <c r="C147" s="39"/>
      <c r="D147" s="39"/>
      <c r="E147" s="39"/>
      <c r="F147" s="39"/>
      <c r="G147" s="39"/>
      <c r="H147" s="39"/>
      <c r="I147" s="39"/>
      <c r="J147" s="39"/>
      <c r="K147" s="39"/>
      <c r="L147" s="39"/>
      <c r="M147" s="39"/>
      <c r="N147" s="39"/>
      <c r="O147" s="41"/>
      <c r="P147" s="42"/>
      <c r="Q147" s="43"/>
      <c r="R147" s="43"/>
      <c r="S147" s="43"/>
      <c r="T147" s="43"/>
      <c r="U147" s="43"/>
      <c r="V147" s="43"/>
    </row>
    <row r="148" spans="1:22" ht="21" customHeight="1" x14ac:dyDescent="0.15">
      <c r="A148" s="39"/>
      <c r="B148" s="40"/>
      <c r="C148" s="39"/>
      <c r="D148" s="39"/>
      <c r="E148" s="39"/>
      <c r="F148" s="39"/>
      <c r="G148" s="39"/>
      <c r="H148" s="39"/>
      <c r="I148" s="39"/>
      <c r="J148" s="39"/>
      <c r="K148" s="39"/>
      <c r="L148" s="39"/>
      <c r="M148" s="39"/>
      <c r="N148" s="39"/>
      <c r="O148" s="41"/>
      <c r="P148" s="42"/>
      <c r="Q148" s="43"/>
      <c r="R148" s="43"/>
      <c r="S148" s="43"/>
      <c r="T148" s="43"/>
      <c r="U148" s="43"/>
      <c r="V148" s="43"/>
    </row>
    <row r="149" spans="1:22" ht="21" customHeight="1" x14ac:dyDescent="0.15">
      <c r="A149" s="39"/>
      <c r="B149" s="40"/>
      <c r="C149" s="39"/>
      <c r="D149" s="39"/>
      <c r="E149" s="39"/>
      <c r="F149" s="39"/>
      <c r="G149" s="39"/>
      <c r="H149" s="39"/>
      <c r="I149" s="39"/>
      <c r="J149" s="39"/>
      <c r="K149" s="39"/>
      <c r="L149" s="39"/>
      <c r="M149" s="39"/>
      <c r="N149" s="39"/>
      <c r="O149" s="41"/>
      <c r="P149" s="42"/>
      <c r="Q149" s="43"/>
      <c r="R149" s="43"/>
      <c r="S149" s="43"/>
      <c r="T149" s="43"/>
      <c r="U149" s="43"/>
      <c r="V149" s="43"/>
    </row>
    <row r="150" spans="1:22" ht="21" customHeight="1" x14ac:dyDescent="0.15">
      <c r="A150" s="39"/>
      <c r="B150" s="40"/>
      <c r="C150" s="39"/>
      <c r="D150" s="39"/>
      <c r="E150" s="39"/>
      <c r="F150" s="39"/>
      <c r="G150" s="39"/>
      <c r="H150" s="39"/>
      <c r="I150" s="39"/>
      <c r="J150" s="39"/>
      <c r="K150" s="39"/>
      <c r="L150" s="39"/>
      <c r="M150" s="39"/>
      <c r="N150" s="39"/>
      <c r="O150" s="41"/>
      <c r="P150" s="42"/>
      <c r="Q150" s="43"/>
      <c r="R150" s="43"/>
      <c r="S150" s="43"/>
      <c r="T150" s="43"/>
      <c r="U150" s="43"/>
      <c r="V150" s="43"/>
    </row>
    <row r="151" spans="1:22" ht="21" customHeight="1" x14ac:dyDescent="0.15">
      <c r="A151" s="39"/>
      <c r="B151" s="40"/>
      <c r="C151" s="39"/>
      <c r="D151" s="39"/>
      <c r="E151" s="39"/>
      <c r="F151" s="39"/>
      <c r="G151" s="39"/>
      <c r="H151" s="39"/>
      <c r="I151" s="39"/>
      <c r="J151" s="39"/>
      <c r="K151" s="39"/>
      <c r="L151" s="39"/>
      <c r="M151" s="39"/>
      <c r="N151" s="39"/>
      <c r="O151" s="41"/>
      <c r="P151" s="42"/>
      <c r="Q151" s="43"/>
      <c r="R151" s="43"/>
      <c r="S151" s="43"/>
      <c r="T151" s="43"/>
      <c r="U151" s="43"/>
      <c r="V151" s="43"/>
    </row>
    <row r="152" spans="1:22" ht="21" customHeight="1" x14ac:dyDescent="0.15">
      <c r="A152" s="39"/>
      <c r="B152" s="40"/>
      <c r="C152" s="39"/>
      <c r="D152" s="39"/>
      <c r="E152" s="39"/>
      <c r="F152" s="39"/>
      <c r="G152" s="39"/>
      <c r="H152" s="39"/>
      <c r="I152" s="39"/>
      <c r="J152" s="39"/>
      <c r="K152" s="39"/>
      <c r="L152" s="39"/>
      <c r="M152" s="39"/>
      <c r="N152" s="39"/>
      <c r="O152" s="41"/>
      <c r="P152" s="42"/>
      <c r="Q152" s="43"/>
      <c r="R152" s="43"/>
      <c r="S152" s="43"/>
      <c r="T152" s="43"/>
      <c r="U152" s="43"/>
      <c r="V152" s="43"/>
    </row>
    <row r="153" spans="1:22" ht="21" customHeight="1" x14ac:dyDescent="0.15">
      <c r="A153" s="39"/>
      <c r="B153" s="40"/>
      <c r="C153" s="39"/>
      <c r="D153" s="39"/>
      <c r="E153" s="39"/>
      <c r="F153" s="39"/>
      <c r="G153" s="39"/>
      <c r="H153" s="39"/>
      <c r="I153" s="39"/>
      <c r="J153" s="39"/>
      <c r="K153" s="39"/>
      <c r="L153" s="39"/>
      <c r="M153" s="39"/>
      <c r="N153" s="39"/>
      <c r="O153" s="41"/>
      <c r="P153" s="42"/>
      <c r="Q153" s="43"/>
      <c r="R153" s="43"/>
      <c r="S153" s="43"/>
      <c r="T153" s="43"/>
      <c r="U153" s="43"/>
      <c r="V153" s="43"/>
    </row>
    <row r="154" spans="1:22" ht="21" customHeight="1" x14ac:dyDescent="0.15">
      <c r="A154" s="39"/>
      <c r="B154" s="40"/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39"/>
      <c r="O154" s="41"/>
      <c r="P154" s="42"/>
      <c r="Q154" s="43"/>
      <c r="R154" s="43"/>
      <c r="S154" s="43"/>
      <c r="T154" s="43"/>
      <c r="U154" s="43"/>
      <c r="V154" s="43"/>
    </row>
    <row r="155" spans="1:22" ht="21" customHeight="1" x14ac:dyDescent="0.15">
      <c r="A155" s="39"/>
      <c r="B155" s="40"/>
      <c r="C155" s="39"/>
      <c r="D155" s="39"/>
      <c r="E155" s="39"/>
      <c r="F155" s="39"/>
      <c r="G155" s="39"/>
      <c r="H155" s="39"/>
      <c r="I155" s="39"/>
      <c r="J155" s="39"/>
      <c r="K155" s="39"/>
      <c r="L155" s="39"/>
      <c r="M155" s="39"/>
      <c r="N155" s="39"/>
      <c r="O155" s="41"/>
      <c r="P155" s="42"/>
      <c r="Q155" s="43"/>
      <c r="R155" s="43"/>
      <c r="S155" s="43"/>
      <c r="T155" s="43"/>
      <c r="U155" s="43"/>
      <c r="V155" s="43"/>
    </row>
    <row r="156" spans="1:22" ht="21" customHeight="1" x14ac:dyDescent="0.15">
      <c r="A156" s="39"/>
      <c r="B156" s="40"/>
      <c r="C156" s="39"/>
      <c r="D156" s="39"/>
      <c r="E156" s="39"/>
      <c r="F156" s="39"/>
      <c r="G156" s="39"/>
      <c r="H156" s="39"/>
      <c r="I156" s="39"/>
      <c r="J156" s="39"/>
      <c r="K156" s="39"/>
      <c r="L156" s="39"/>
      <c r="M156" s="39"/>
      <c r="N156" s="39"/>
      <c r="O156" s="41"/>
      <c r="P156" s="42"/>
      <c r="Q156" s="43"/>
      <c r="R156" s="43"/>
      <c r="S156" s="43"/>
      <c r="T156" s="43"/>
      <c r="U156" s="43"/>
      <c r="V156" s="43"/>
    </row>
    <row r="157" spans="1:22" ht="21" customHeight="1" x14ac:dyDescent="0.15">
      <c r="A157" s="39"/>
      <c r="B157" s="40"/>
      <c r="C157" s="39"/>
      <c r="D157" s="39"/>
      <c r="E157" s="39"/>
      <c r="F157" s="39"/>
      <c r="G157" s="39"/>
      <c r="H157" s="39"/>
      <c r="I157" s="39"/>
      <c r="J157" s="39"/>
      <c r="K157" s="39"/>
      <c r="L157" s="39"/>
      <c r="M157" s="39"/>
      <c r="N157" s="39"/>
      <c r="O157" s="41"/>
      <c r="P157" s="42"/>
      <c r="Q157" s="43"/>
      <c r="R157" s="43"/>
      <c r="S157" s="43"/>
      <c r="T157" s="43"/>
      <c r="U157" s="43"/>
      <c r="V157" s="43"/>
    </row>
    <row r="158" spans="1:22" ht="21" customHeight="1" x14ac:dyDescent="0.15">
      <c r="A158" s="39"/>
      <c r="B158" s="40"/>
      <c r="C158" s="39"/>
      <c r="D158" s="39"/>
      <c r="E158" s="39"/>
      <c r="F158" s="39"/>
      <c r="G158" s="39"/>
      <c r="H158" s="39"/>
      <c r="I158" s="39"/>
      <c r="J158" s="39"/>
      <c r="K158" s="39"/>
      <c r="L158" s="39"/>
      <c r="M158" s="39"/>
      <c r="N158" s="39"/>
      <c r="O158" s="41"/>
      <c r="P158" s="42"/>
      <c r="Q158" s="43"/>
      <c r="R158" s="43"/>
      <c r="S158" s="43"/>
      <c r="T158" s="43"/>
      <c r="U158" s="43"/>
      <c r="V158" s="43"/>
    </row>
    <row r="159" spans="1:22" ht="21" customHeight="1" x14ac:dyDescent="0.15">
      <c r="A159" s="39"/>
      <c r="B159" s="40"/>
      <c r="C159" s="39"/>
      <c r="D159" s="39"/>
      <c r="E159" s="39"/>
      <c r="F159" s="39"/>
      <c r="G159" s="39"/>
      <c r="H159" s="39"/>
      <c r="I159" s="39"/>
      <c r="J159" s="39"/>
      <c r="K159" s="39"/>
      <c r="L159" s="39"/>
      <c r="M159" s="39"/>
      <c r="N159" s="39"/>
      <c r="O159" s="41"/>
      <c r="P159" s="42"/>
      <c r="Q159" s="43"/>
      <c r="R159" s="43"/>
      <c r="S159" s="43"/>
      <c r="T159" s="43"/>
      <c r="U159" s="43"/>
      <c r="V159" s="43"/>
    </row>
    <row r="160" spans="1:22" ht="21" customHeight="1" x14ac:dyDescent="0.15">
      <c r="A160" s="39"/>
      <c r="B160" s="40"/>
      <c r="C160" s="39"/>
      <c r="D160" s="39"/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41"/>
      <c r="P160" s="42"/>
      <c r="Q160" s="43"/>
      <c r="R160" s="43"/>
      <c r="S160" s="43"/>
      <c r="T160" s="43"/>
      <c r="U160" s="43"/>
      <c r="V160" s="43"/>
    </row>
    <row r="161" spans="1:22" ht="21" customHeight="1" x14ac:dyDescent="0.15">
      <c r="A161" s="39"/>
      <c r="B161" s="40"/>
      <c r="C161" s="39"/>
      <c r="D161" s="39"/>
      <c r="E161" s="39"/>
      <c r="F161" s="39"/>
      <c r="G161" s="39"/>
      <c r="H161" s="39"/>
      <c r="I161" s="39"/>
      <c r="J161" s="39"/>
      <c r="K161" s="39"/>
      <c r="L161" s="39"/>
      <c r="M161" s="39"/>
      <c r="N161" s="39"/>
      <c r="O161" s="41"/>
      <c r="P161" s="42"/>
      <c r="Q161" s="43"/>
      <c r="R161" s="43"/>
      <c r="S161" s="43"/>
      <c r="T161" s="43"/>
      <c r="U161" s="43"/>
      <c r="V161" s="43"/>
    </row>
    <row r="162" spans="1:22" ht="21" customHeight="1" x14ac:dyDescent="0.15">
      <c r="A162" s="39"/>
      <c r="B162" s="40"/>
      <c r="C162" s="39"/>
      <c r="D162" s="39"/>
      <c r="E162" s="39"/>
      <c r="F162" s="39"/>
      <c r="G162" s="39"/>
      <c r="H162" s="39"/>
      <c r="I162" s="39"/>
      <c r="J162" s="39"/>
      <c r="K162" s="39"/>
      <c r="L162" s="39"/>
      <c r="M162" s="39"/>
      <c r="N162" s="39"/>
      <c r="O162" s="41"/>
      <c r="P162" s="42"/>
      <c r="Q162" s="43"/>
      <c r="R162" s="43"/>
      <c r="S162" s="43"/>
      <c r="T162" s="43"/>
      <c r="U162" s="43"/>
      <c r="V162" s="43"/>
    </row>
    <row r="163" spans="1:22" ht="21" customHeight="1" x14ac:dyDescent="0.15">
      <c r="A163" s="39"/>
      <c r="B163" s="40"/>
      <c r="C163" s="39"/>
      <c r="D163" s="39"/>
      <c r="E163" s="39"/>
      <c r="F163" s="39"/>
      <c r="G163" s="39"/>
      <c r="H163" s="39"/>
      <c r="I163" s="39"/>
      <c r="J163" s="39"/>
      <c r="K163" s="39"/>
      <c r="L163" s="39"/>
      <c r="M163" s="39"/>
      <c r="N163" s="39"/>
      <c r="O163" s="41"/>
      <c r="P163" s="42"/>
      <c r="Q163" s="43"/>
      <c r="R163" s="43"/>
      <c r="S163" s="43"/>
      <c r="T163" s="43"/>
      <c r="U163" s="43"/>
      <c r="V163" s="43"/>
    </row>
    <row r="164" spans="1:22" ht="21" customHeight="1" x14ac:dyDescent="0.15">
      <c r="A164" s="39"/>
      <c r="B164" s="40"/>
      <c r="C164" s="39"/>
      <c r="D164" s="39"/>
      <c r="E164" s="39"/>
      <c r="F164" s="39"/>
      <c r="G164" s="39"/>
      <c r="H164" s="39"/>
      <c r="I164" s="39"/>
      <c r="J164" s="39"/>
      <c r="K164" s="39"/>
      <c r="L164" s="39"/>
      <c r="M164" s="39"/>
      <c r="N164" s="39"/>
      <c r="O164" s="41"/>
      <c r="P164" s="42"/>
      <c r="Q164" s="43"/>
      <c r="R164" s="43"/>
      <c r="S164" s="43"/>
      <c r="T164" s="43"/>
      <c r="U164" s="43"/>
      <c r="V164" s="43"/>
    </row>
    <row r="165" spans="1:22" ht="21" customHeight="1" x14ac:dyDescent="0.15">
      <c r="A165" s="39"/>
      <c r="B165" s="40"/>
      <c r="C165" s="39"/>
      <c r="D165" s="39"/>
      <c r="E165" s="39"/>
      <c r="F165" s="39"/>
      <c r="G165" s="39"/>
      <c r="H165" s="39"/>
      <c r="I165" s="39"/>
      <c r="J165" s="39"/>
      <c r="K165" s="39"/>
      <c r="L165" s="39"/>
      <c r="M165" s="39"/>
      <c r="N165" s="39"/>
      <c r="O165" s="41"/>
      <c r="P165" s="42"/>
      <c r="Q165" s="43"/>
      <c r="R165" s="43"/>
      <c r="S165" s="43"/>
      <c r="T165" s="43"/>
      <c r="U165" s="43"/>
      <c r="V165" s="43"/>
    </row>
    <row r="166" spans="1:22" ht="21" customHeight="1" x14ac:dyDescent="0.15">
      <c r="A166" s="39"/>
      <c r="B166" s="40"/>
      <c r="C166" s="39"/>
      <c r="D166" s="39"/>
      <c r="E166" s="39"/>
      <c r="F166" s="39"/>
      <c r="G166" s="39"/>
      <c r="H166" s="39"/>
      <c r="I166" s="39"/>
      <c r="J166" s="39"/>
      <c r="K166" s="39"/>
      <c r="L166" s="39"/>
      <c r="M166" s="39"/>
      <c r="N166" s="39"/>
      <c r="O166" s="41"/>
      <c r="P166" s="42"/>
      <c r="Q166" s="43"/>
      <c r="R166" s="43"/>
      <c r="S166" s="43"/>
      <c r="T166" s="43"/>
      <c r="U166" s="43"/>
      <c r="V166" s="43"/>
    </row>
    <row r="167" spans="1:22" ht="21" customHeight="1" x14ac:dyDescent="0.15">
      <c r="A167" s="39"/>
      <c r="B167" s="40"/>
      <c r="C167" s="39"/>
      <c r="D167" s="39"/>
      <c r="E167" s="39"/>
      <c r="F167" s="39"/>
      <c r="G167" s="39"/>
      <c r="H167" s="39"/>
      <c r="I167" s="39"/>
      <c r="J167" s="39"/>
      <c r="K167" s="39"/>
      <c r="L167" s="39"/>
      <c r="M167" s="39"/>
      <c r="N167" s="39"/>
      <c r="O167" s="41"/>
      <c r="P167" s="42"/>
      <c r="Q167" s="43"/>
      <c r="R167" s="43"/>
      <c r="S167" s="43"/>
      <c r="T167" s="43"/>
      <c r="U167" s="43"/>
      <c r="V167" s="43"/>
    </row>
    <row r="168" spans="1:22" ht="21" customHeight="1" x14ac:dyDescent="0.15">
      <c r="A168" s="39"/>
      <c r="B168" s="40"/>
      <c r="C168" s="39"/>
      <c r="D168" s="39"/>
      <c r="E168" s="39"/>
      <c r="F168" s="39"/>
      <c r="G168" s="39"/>
      <c r="H168" s="39"/>
      <c r="I168" s="39"/>
      <c r="J168" s="39"/>
      <c r="K168" s="39"/>
      <c r="L168" s="39"/>
      <c r="M168" s="39"/>
      <c r="N168" s="39"/>
      <c r="O168" s="41"/>
      <c r="P168" s="42"/>
      <c r="Q168" s="43"/>
      <c r="R168" s="43"/>
      <c r="S168" s="43"/>
      <c r="T168" s="43"/>
      <c r="U168" s="43"/>
      <c r="V168" s="43"/>
    </row>
    <row r="169" spans="1:22" ht="21" customHeight="1" x14ac:dyDescent="0.15">
      <c r="A169" s="39"/>
      <c r="B169" s="40"/>
      <c r="C169" s="39"/>
      <c r="D169" s="39"/>
      <c r="E169" s="39"/>
      <c r="F169" s="39"/>
      <c r="G169" s="39"/>
      <c r="H169" s="39"/>
      <c r="I169" s="39"/>
      <c r="J169" s="39"/>
      <c r="K169" s="39"/>
      <c r="L169" s="39"/>
      <c r="M169" s="39"/>
      <c r="N169" s="39"/>
      <c r="O169" s="41"/>
      <c r="P169" s="42"/>
      <c r="Q169" s="43"/>
      <c r="R169" s="43"/>
      <c r="S169" s="43"/>
      <c r="T169" s="43"/>
      <c r="U169" s="43"/>
      <c r="V169" s="43"/>
    </row>
    <row r="170" spans="1:22" ht="21" customHeight="1" x14ac:dyDescent="0.15">
      <c r="A170" s="39"/>
      <c r="B170" s="40"/>
      <c r="C170" s="39"/>
      <c r="D170" s="39"/>
      <c r="E170" s="39"/>
      <c r="F170" s="39"/>
      <c r="G170" s="39"/>
      <c r="H170" s="39"/>
      <c r="I170" s="39"/>
      <c r="J170" s="39"/>
      <c r="K170" s="39"/>
      <c r="L170" s="39"/>
      <c r="M170" s="39"/>
      <c r="N170" s="39"/>
      <c r="O170" s="41"/>
      <c r="P170" s="42"/>
      <c r="Q170" s="43"/>
      <c r="R170" s="43"/>
      <c r="S170" s="43"/>
      <c r="T170" s="43"/>
      <c r="U170" s="43"/>
      <c r="V170" s="43"/>
    </row>
    <row r="171" spans="1:22" ht="21" customHeight="1" x14ac:dyDescent="0.15">
      <c r="A171" s="39"/>
      <c r="B171" s="40"/>
      <c r="C171" s="39"/>
      <c r="D171" s="39"/>
      <c r="E171" s="39"/>
      <c r="F171" s="39"/>
      <c r="G171" s="39"/>
      <c r="H171" s="39"/>
      <c r="I171" s="39"/>
      <c r="J171" s="39"/>
      <c r="K171" s="39"/>
      <c r="L171" s="39"/>
      <c r="M171" s="39"/>
      <c r="N171" s="39"/>
      <c r="O171" s="41"/>
      <c r="P171" s="42"/>
      <c r="Q171" s="43"/>
      <c r="R171" s="43"/>
      <c r="S171" s="43"/>
      <c r="T171" s="43"/>
      <c r="U171" s="43"/>
      <c r="V171" s="43"/>
    </row>
    <row r="172" spans="1:22" ht="21" customHeight="1" x14ac:dyDescent="0.15">
      <c r="A172" s="39"/>
      <c r="B172" s="40"/>
      <c r="C172" s="39"/>
      <c r="D172" s="39"/>
      <c r="E172" s="39"/>
      <c r="F172" s="39"/>
      <c r="G172" s="39"/>
      <c r="H172" s="39"/>
      <c r="I172" s="39"/>
      <c r="J172" s="39"/>
      <c r="K172" s="39"/>
      <c r="L172" s="39"/>
      <c r="M172" s="39"/>
      <c r="N172" s="39"/>
      <c r="O172" s="41"/>
      <c r="P172" s="42"/>
      <c r="Q172" s="43"/>
      <c r="R172" s="43"/>
      <c r="S172" s="43"/>
      <c r="T172" s="43"/>
      <c r="U172" s="43"/>
      <c r="V172" s="43"/>
    </row>
    <row r="173" spans="1:22" ht="21" customHeight="1" x14ac:dyDescent="0.15">
      <c r="A173" s="39"/>
      <c r="B173" s="40"/>
      <c r="C173" s="39"/>
      <c r="D173" s="39"/>
      <c r="E173" s="39"/>
      <c r="F173" s="39"/>
      <c r="G173" s="39"/>
      <c r="H173" s="39"/>
      <c r="I173" s="39"/>
      <c r="J173" s="39"/>
      <c r="K173" s="39"/>
      <c r="L173" s="39"/>
      <c r="M173" s="39"/>
      <c r="N173" s="39"/>
      <c r="O173" s="41"/>
      <c r="P173" s="42"/>
      <c r="Q173" s="43"/>
      <c r="R173" s="43"/>
      <c r="S173" s="43"/>
      <c r="T173" s="43"/>
      <c r="U173" s="43"/>
      <c r="V173" s="43"/>
    </row>
    <row r="174" spans="1:22" ht="21" customHeight="1" x14ac:dyDescent="0.15">
      <c r="A174" s="39"/>
      <c r="B174" s="40"/>
      <c r="C174" s="39"/>
      <c r="D174" s="39"/>
      <c r="E174" s="39"/>
      <c r="F174" s="39"/>
      <c r="G174" s="39"/>
      <c r="H174" s="39"/>
      <c r="I174" s="39"/>
      <c r="J174" s="39"/>
      <c r="K174" s="39"/>
      <c r="L174" s="39"/>
      <c r="M174" s="39"/>
      <c r="N174" s="39"/>
      <c r="O174" s="41"/>
      <c r="P174" s="42"/>
      <c r="Q174" s="43"/>
      <c r="R174" s="43"/>
      <c r="S174" s="43"/>
      <c r="T174" s="43"/>
      <c r="U174" s="43"/>
      <c r="V174" s="43"/>
    </row>
    <row r="175" spans="1:22" ht="21" customHeight="1" x14ac:dyDescent="0.15">
      <c r="A175" s="39"/>
      <c r="B175" s="40"/>
      <c r="C175" s="39"/>
      <c r="D175" s="39"/>
      <c r="E175" s="39"/>
      <c r="F175" s="39"/>
      <c r="G175" s="39"/>
      <c r="H175" s="39"/>
      <c r="I175" s="39"/>
      <c r="J175" s="39"/>
      <c r="K175" s="39"/>
      <c r="L175" s="39"/>
      <c r="M175" s="39"/>
      <c r="N175" s="39"/>
      <c r="O175" s="41"/>
      <c r="P175" s="42"/>
      <c r="Q175" s="43"/>
      <c r="R175" s="43"/>
      <c r="S175" s="43"/>
      <c r="T175" s="43"/>
      <c r="U175" s="43"/>
      <c r="V175" s="43"/>
    </row>
    <row r="176" spans="1:22" ht="21" customHeight="1" x14ac:dyDescent="0.15">
      <c r="A176" s="39"/>
      <c r="B176" s="40"/>
      <c r="C176" s="39"/>
      <c r="D176" s="39"/>
      <c r="E176" s="39"/>
      <c r="F176" s="39"/>
      <c r="G176" s="39"/>
      <c r="H176" s="39"/>
      <c r="I176" s="39"/>
      <c r="J176" s="39"/>
      <c r="K176" s="39"/>
      <c r="L176" s="39"/>
      <c r="M176" s="39"/>
      <c r="N176" s="39"/>
      <c r="O176" s="41"/>
      <c r="P176" s="42"/>
      <c r="Q176" s="43"/>
      <c r="R176" s="43"/>
      <c r="S176" s="43"/>
      <c r="T176" s="43"/>
      <c r="U176" s="43"/>
      <c r="V176" s="43"/>
    </row>
    <row r="177" spans="1:36" ht="21" customHeight="1" x14ac:dyDescent="0.15">
      <c r="A177" s="39"/>
      <c r="B177" s="40"/>
      <c r="C177" s="39"/>
      <c r="D177" s="39"/>
      <c r="E177" s="39"/>
      <c r="F177" s="39"/>
      <c r="G177" s="39"/>
      <c r="H177" s="39"/>
      <c r="I177" s="39"/>
      <c r="J177" s="39"/>
      <c r="K177" s="39"/>
      <c r="L177" s="39"/>
      <c r="M177" s="39"/>
      <c r="N177" s="39"/>
      <c r="O177" s="41"/>
      <c r="P177" s="42"/>
      <c r="Q177" s="43"/>
      <c r="R177" s="43"/>
      <c r="S177" s="43"/>
      <c r="T177" s="43"/>
      <c r="U177" s="43"/>
      <c r="V177" s="43"/>
    </row>
    <row r="178" spans="1:36" ht="21" customHeight="1" x14ac:dyDescent="0.15">
      <c r="A178" s="39"/>
      <c r="B178" s="40"/>
      <c r="C178" s="39"/>
      <c r="D178" s="39"/>
      <c r="E178" s="39"/>
      <c r="F178" s="39"/>
      <c r="G178" s="39"/>
      <c r="H178" s="39"/>
      <c r="I178" s="39"/>
      <c r="J178" s="39"/>
      <c r="K178" s="39"/>
      <c r="L178" s="39"/>
      <c r="M178" s="39"/>
      <c r="N178" s="39"/>
      <c r="O178" s="41"/>
      <c r="P178" s="42"/>
      <c r="Q178" s="43"/>
      <c r="R178" s="43"/>
      <c r="S178" s="43"/>
      <c r="T178" s="43"/>
      <c r="U178" s="43"/>
      <c r="V178" s="43"/>
    </row>
    <row r="179" spans="1:36" ht="21" customHeight="1" x14ac:dyDescent="0.15">
      <c r="A179" s="39"/>
      <c r="B179" s="40"/>
      <c r="C179" s="39"/>
      <c r="D179" s="39"/>
      <c r="E179" s="39"/>
      <c r="F179" s="39"/>
      <c r="G179" s="39"/>
      <c r="H179" s="39"/>
      <c r="I179" s="39"/>
      <c r="J179" s="39"/>
      <c r="K179" s="39"/>
      <c r="L179" s="39"/>
      <c r="M179" s="39"/>
      <c r="N179" s="39"/>
      <c r="O179" s="41"/>
      <c r="P179" s="42"/>
      <c r="Q179" s="43"/>
      <c r="R179" s="43"/>
      <c r="S179" s="43"/>
      <c r="T179" s="43"/>
      <c r="U179" s="43"/>
      <c r="V179" s="43"/>
    </row>
    <row r="180" spans="1:36" ht="21" customHeight="1" x14ac:dyDescent="0.15">
      <c r="A180" s="39"/>
      <c r="B180" s="40"/>
      <c r="C180" s="39"/>
      <c r="D180" s="39"/>
      <c r="E180" s="39"/>
      <c r="F180" s="39"/>
      <c r="G180" s="39"/>
      <c r="H180" s="39"/>
      <c r="I180" s="39"/>
      <c r="J180" s="39"/>
      <c r="K180" s="39"/>
      <c r="L180" s="39"/>
      <c r="M180" s="39"/>
      <c r="N180" s="39"/>
      <c r="O180" s="41"/>
      <c r="P180" s="42"/>
      <c r="Q180" s="43"/>
      <c r="R180" s="43"/>
      <c r="S180" s="43"/>
      <c r="T180" s="43"/>
      <c r="U180" s="43"/>
      <c r="V180" s="43"/>
    </row>
    <row r="181" spans="1:36" ht="21" customHeight="1" x14ac:dyDescent="0.15">
      <c r="A181" s="39"/>
      <c r="B181" s="40"/>
      <c r="C181" s="39"/>
      <c r="D181" s="39"/>
      <c r="E181" s="39"/>
      <c r="F181" s="39"/>
      <c r="G181" s="39"/>
      <c r="H181" s="39"/>
      <c r="I181" s="39"/>
      <c r="J181" s="39"/>
      <c r="K181" s="39"/>
      <c r="L181" s="39"/>
      <c r="M181" s="39"/>
      <c r="N181" s="39"/>
      <c r="O181" s="41"/>
      <c r="P181" s="42"/>
      <c r="Q181" s="43"/>
      <c r="R181" s="43"/>
      <c r="S181" s="43"/>
      <c r="T181" s="43"/>
      <c r="U181" s="43"/>
      <c r="V181" s="43"/>
    </row>
    <row r="182" spans="1:36" ht="21" customHeight="1" x14ac:dyDescent="0.15">
      <c r="A182" s="39"/>
      <c r="B182" s="40"/>
      <c r="C182" s="39"/>
      <c r="D182" s="39"/>
      <c r="E182" s="39"/>
      <c r="F182" s="39"/>
      <c r="G182" s="39"/>
      <c r="H182" s="39"/>
      <c r="I182" s="39"/>
      <c r="J182" s="39"/>
      <c r="K182" s="39"/>
      <c r="L182" s="39"/>
      <c r="M182" s="39"/>
      <c r="N182" s="39"/>
      <c r="O182" s="41"/>
      <c r="P182" s="42"/>
      <c r="Q182" s="43"/>
      <c r="R182" s="43"/>
      <c r="S182" s="43"/>
      <c r="T182" s="43"/>
      <c r="U182" s="43"/>
      <c r="V182" s="43"/>
    </row>
    <row r="183" spans="1:36" ht="21" customHeight="1" x14ac:dyDescent="0.15">
      <c r="A183" s="39"/>
      <c r="B183" s="40"/>
      <c r="C183" s="39"/>
      <c r="D183" s="39"/>
      <c r="E183" s="39"/>
      <c r="F183" s="39"/>
      <c r="G183" s="39"/>
      <c r="H183" s="39"/>
      <c r="I183" s="39"/>
      <c r="J183" s="39"/>
      <c r="K183" s="39"/>
      <c r="L183" s="39"/>
      <c r="M183" s="39"/>
      <c r="N183" s="39"/>
      <c r="O183" s="41"/>
      <c r="P183" s="42"/>
      <c r="Q183" s="43"/>
      <c r="R183" s="43"/>
      <c r="S183" s="43"/>
      <c r="T183" s="43"/>
      <c r="U183" s="43"/>
      <c r="V183" s="43"/>
    </row>
    <row r="184" spans="1:36" ht="21" customHeight="1" x14ac:dyDescent="0.15">
      <c r="A184" s="39"/>
      <c r="B184" s="40"/>
      <c r="C184" s="39"/>
      <c r="D184" s="39"/>
      <c r="E184" s="39"/>
      <c r="F184" s="39"/>
      <c r="G184" s="39"/>
      <c r="H184" s="39"/>
      <c r="I184" s="39"/>
      <c r="J184" s="39"/>
      <c r="K184" s="39"/>
      <c r="L184" s="39"/>
      <c r="M184" s="39"/>
      <c r="N184" s="39"/>
      <c r="O184" s="41"/>
      <c r="P184" s="42"/>
      <c r="Q184" s="43"/>
      <c r="R184" s="43"/>
      <c r="S184" s="43"/>
      <c r="T184" s="43"/>
      <c r="U184" s="43"/>
      <c r="V184" s="43"/>
    </row>
    <row r="185" spans="1:36" ht="21" customHeight="1" x14ac:dyDescent="0.15">
      <c r="A185" s="39"/>
      <c r="B185" s="40"/>
      <c r="C185" s="39"/>
      <c r="D185" s="39"/>
      <c r="E185" s="39"/>
      <c r="F185" s="39"/>
      <c r="G185" s="39"/>
      <c r="H185" s="39"/>
      <c r="I185" s="39"/>
      <c r="J185" s="39"/>
      <c r="K185" s="39"/>
      <c r="L185" s="39"/>
      <c r="M185" s="39"/>
      <c r="N185" s="39"/>
      <c r="O185" s="41"/>
      <c r="P185" s="42"/>
      <c r="Q185" s="43"/>
      <c r="R185" s="43"/>
      <c r="S185" s="43"/>
      <c r="T185" s="43"/>
      <c r="U185" s="43"/>
      <c r="V185" s="43"/>
    </row>
    <row r="186" spans="1:36" ht="21" customHeight="1" x14ac:dyDescent="0.15">
      <c r="A186" s="39"/>
      <c r="B186" s="44"/>
      <c r="C186" s="39"/>
      <c r="D186" s="39"/>
      <c r="E186" s="39"/>
      <c r="F186" s="39"/>
      <c r="G186" s="39"/>
      <c r="H186" s="39"/>
      <c r="I186" s="39"/>
      <c r="J186" s="39"/>
      <c r="K186" s="39"/>
      <c r="L186" s="39"/>
      <c r="M186" s="39"/>
      <c r="N186" s="39"/>
      <c r="O186" s="41"/>
      <c r="P186" s="42"/>
      <c r="Q186" s="43"/>
      <c r="R186" s="43"/>
      <c r="S186" s="43"/>
      <c r="T186" s="43"/>
      <c r="U186" s="43"/>
      <c r="V186" s="43"/>
    </row>
    <row r="187" spans="1:36" ht="21" customHeight="1" x14ac:dyDescent="0.15">
      <c r="A187" s="39"/>
      <c r="B187" s="44"/>
      <c r="C187" s="39"/>
      <c r="D187" s="39"/>
      <c r="E187" s="39"/>
      <c r="F187" s="39"/>
      <c r="G187" s="39"/>
      <c r="H187" s="39"/>
      <c r="I187" s="39"/>
      <c r="J187" s="39"/>
      <c r="K187" s="39"/>
      <c r="L187" s="39"/>
      <c r="M187" s="39"/>
      <c r="N187" s="39"/>
      <c r="O187" s="41"/>
      <c r="P187" s="42"/>
      <c r="Q187" s="43"/>
      <c r="R187" s="43"/>
      <c r="S187" s="43"/>
      <c r="T187" s="43"/>
      <c r="U187" s="43"/>
      <c r="V187" s="43"/>
    </row>
    <row r="188" spans="1:36" ht="21" customHeight="1" x14ac:dyDescent="0.15">
      <c r="A188" s="39"/>
      <c r="B188" s="44"/>
      <c r="C188" s="39"/>
      <c r="D188" s="39"/>
      <c r="E188" s="39"/>
      <c r="F188" s="39"/>
      <c r="G188" s="39"/>
      <c r="H188" s="39"/>
      <c r="I188" s="39"/>
      <c r="J188" s="39"/>
      <c r="K188" s="39"/>
      <c r="L188" s="39"/>
      <c r="M188" s="39"/>
      <c r="N188" s="39"/>
      <c r="O188" s="41"/>
      <c r="P188" s="42"/>
      <c r="Q188" s="43"/>
      <c r="R188" s="43"/>
      <c r="S188" s="43"/>
      <c r="T188" s="43"/>
      <c r="U188" s="43"/>
      <c r="V188" s="43"/>
    </row>
    <row r="189" spans="1:36" ht="21" customHeight="1" x14ac:dyDescent="0.15">
      <c r="A189" s="39"/>
      <c r="B189" s="44"/>
      <c r="C189" s="39"/>
      <c r="D189" s="39"/>
      <c r="E189" s="39"/>
      <c r="F189" s="39"/>
      <c r="G189" s="39"/>
      <c r="H189" s="39"/>
      <c r="I189" s="39"/>
      <c r="J189" s="39"/>
      <c r="K189" s="39"/>
      <c r="L189" s="39"/>
      <c r="M189" s="39"/>
      <c r="N189" s="39"/>
      <c r="O189" s="41"/>
      <c r="P189" s="42"/>
      <c r="Q189" s="43"/>
      <c r="R189" s="43"/>
      <c r="S189" s="43"/>
      <c r="T189" s="43"/>
      <c r="U189" s="43"/>
      <c r="V189" s="43"/>
    </row>
    <row r="190" spans="1:36" s="9" customFormat="1" ht="21" customHeight="1" thickBot="1" x14ac:dyDescent="0.2">
      <c r="A190" s="39"/>
      <c r="B190" s="40"/>
      <c r="C190" s="39"/>
      <c r="D190" s="39"/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41"/>
      <c r="P190" s="42"/>
      <c r="Q190" s="43"/>
      <c r="R190" s="43"/>
      <c r="S190" s="43"/>
      <c r="T190" s="43"/>
      <c r="U190" s="43"/>
      <c r="V190" s="43"/>
      <c r="W190" s="45"/>
      <c r="X190" s="45"/>
      <c r="Y190" s="45"/>
      <c r="Z190" s="45"/>
      <c r="AA190" s="45"/>
      <c r="AB190" s="45"/>
      <c r="AC190" s="45"/>
      <c r="AD190" s="45"/>
      <c r="AE190" s="45"/>
      <c r="AF190" s="45"/>
      <c r="AG190" s="45"/>
      <c r="AH190" s="45"/>
      <c r="AI190" s="45"/>
      <c r="AJ190" s="45"/>
    </row>
    <row r="191" spans="1:36" ht="21" customHeight="1" x14ac:dyDescent="0.15">
      <c r="A191" s="39"/>
      <c r="B191" s="40"/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39"/>
      <c r="O191" s="41"/>
      <c r="P191" s="42"/>
      <c r="Q191" s="43"/>
      <c r="R191" s="43"/>
      <c r="S191" s="43"/>
      <c r="T191" s="43"/>
      <c r="U191" s="43"/>
      <c r="V191" s="43"/>
    </row>
    <row r="192" spans="1:36" ht="21" customHeight="1" x14ac:dyDescent="0.15">
      <c r="A192" s="39"/>
      <c r="B192" s="40"/>
      <c r="C192" s="39"/>
      <c r="D192" s="39"/>
      <c r="E192" s="39"/>
      <c r="F192" s="39"/>
      <c r="G192" s="39"/>
      <c r="H192" s="39"/>
      <c r="I192" s="39"/>
      <c r="J192" s="39"/>
      <c r="K192" s="39"/>
      <c r="L192" s="39"/>
      <c r="M192" s="39"/>
      <c r="N192" s="39"/>
      <c r="O192" s="41"/>
      <c r="P192" s="42"/>
      <c r="Q192" s="43"/>
      <c r="R192" s="43"/>
      <c r="S192" s="43"/>
      <c r="T192" s="43"/>
      <c r="U192" s="43"/>
      <c r="V192" s="43"/>
    </row>
    <row r="193" spans="1:22" ht="21" customHeight="1" x14ac:dyDescent="0.15">
      <c r="A193" s="39"/>
      <c r="B193" s="40"/>
      <c r="C193" s="39"/>
      <c r="D193" s="39"/>
      <c r="E193" s="39"/>
      <c r="F193" s="39"/>
      <c r="G193" s="39"/>
      <c r="H193" s="39"/>
      <c r="I193" s="39"/>
      <c r="J193" s="39"/>
      <c r="K193" s="39"/>
      <c r="L193" s="39"/>
      <c r="M193" s="39"/>
      <c r="N193" s="39"/>
      <c r="O193" s="41"/>
      <c r="P193" s="42"/>
      <c r="Q193" s="43"/>
      <c r="R193" s="43"/>
      <c r="S193" s="43"/>
      <c r="T193" s="43"/>
      <c r="U193" s="43"/>
      <c r="V193" s="43"/>
    </row>
    <row r="194" spans="1:22" ht="21" customHeight="1" x14ac:dyDescent="0.15">
      <c r="A194" s="39"/>
      <c r="B194" s="40"/>
      <c r="C194" s="39"/>
      <c r="D194" s="39"/>
      <c r="E194" s="39"/>
      <c r="F194" s="39"/>
      <c r="G194" s="39"/>
      <c r="H194" s="39"/>
      <c r="I194" s="39"/>
      <c r="J194" s="39"/>
      <c r="K194" s="39"/>
      <c r="L194" s="39"/>
      <c r="M194" s="39"/>
      <c r="N194" s="39"/>
      <c r="O194" s="41"/>
      <c r="P194" s="42"/>
      <c r="Q194" s="43"/>
      <c r="R194" s="43"/>
      <c r="S194" s="43"/>
      <c r="T194" s="43"/>
      <c r="U194" s="43"/>
      <c r="V194" s="43"/>
    </row>
    <row r="195" spans="1:22" ht="21" customHeight="1" x14ac:dyDescent="0.15">
      <c r="A195" s="39"/>
      <c r="B195" s="40"/>
      <c r="C195" s="39"/>
      <c r="D195" s="39"/>
      <c r="E195" s="39"/>
      <c r="F195" s="39"/>
      <c r="G195" s="39"/>
      <c r="H195" s="39"/>
      <c r="I195" s="39"/>
      <c r="J195" s="39"/>
      <c r="K195" s="39"/>
      <c r="L195" s="39"/>
      <c r="M195" s="39"/>
      <c r="N195" s="39"/>
      <c r="O195" s="41"/>
      <c r="P195" s="42"/>
      <c r="Q195" s="43"/>
      <c r="R195" s="43"/>
      <c r="S195" s="43"/>
      <c r="T195" s="43"/>
      <c r="U195" s="43"/>
      <c r="V195" s="43"/>
    </row>
    <row r="196" spans="1:22" ht="21" customHeight="1" x14ac:dyDescent="0.15">
      <c r="A196" s="39"/>
      <c r="B196" s="40"/>
      <c r="C196" s="39"/>
      <c r="D196" s="39"/>
      <c r="E196" s="39"/>
      <c r="F196" s="39"/>
      <c r="G196" s="39"/>
      <c r="H196" s="39"/>
      <c r="I196" s="39"/>
      <c r="J196" s="39"/>
      <c r="K196" s="39"/>
      <c r="L196" s="39"/>
      <c r="M196" s="39"/>
      <c r="N196" s="39"/>
      <c r="O196" s="41"/>
      <c r="P196" s="42"/>
      <c r="Q196" s="43"/>
      <c r="R196" s="43"/>
      <c r="S196" s="43"/>
      <c r="T196" s="43"/>
      <c r="U196" s="43"/>
      <c r="V196" s="43"/>
    </row>
    <row r="197" spans="1:22" ht="21" customHeight="1" x14ac:dyDescent="0.15">
      <c r="A197" s="39"/>
      <c r="B197" s="40"/>
      <c r="C197" s="39"/>
      <c r="D197" s="39"/>
      <c r="E197" s="39"/>
      <c r="F197" s="39"/>
      <c r="G197" s="39"/>
      <c r="H197" s="39"/>
      <c r="I197" s="39"/>
      <c r="J197" s="39"/>
      <c r="K197" s="39"/>
      <c r="L197" s="39"/>
      <c r="M197" s="39"/>
      <c r="N197" s="39"/>
      <c r="O197" s="41"/>
      <c r="P197" s="42"/>
      <c r="Q197" s="43"/>
      <c r="R197" s="43"/>
      <c r="S197" s="43"/>
      <c r="T197" s="43"/>
      <c r="U197" s="43"/>
      <c r="V197" s="43"/>
    </row>
    <row r="198" spans="1:22" ht="21" customHeight="1" x14ac:dyDescent="0.15">
      <c r="A198" s="39"/>
      <c r="B198" s="40"/>
      <c r="C198" s="39"/>
      <c r="D198" s="39"/>
      <c r="E198" s="39"/>
      <c r="F198" s="39"/>
      <c r="G198" s="39"/>
      <c r="H198" s="39"/>
      <c r="I198" s="39"/>
      <c r="J198" s="39"/>
      <c r="K198" s="39"/>
      <c r="L198" s="39"/>
      <c r="M198" s="39"/>
      <c r="N198" s="39"/>
      <c r="O198" s="41"/>
      <c r="P198" s="42"/>
      <c r="Q198" s="43"/>
      <c r="R198" s="43"/>
      <c r="S198" s="43"/>
      <c r="T198" s="43"/>
      <c r="U198" s="43"/>
      <c r="V198" s="43"/>
    </row>
    <row r="199" spans="1:22" ht="21" customHeight="1" x14ac:dyDescent="0.15">
      <c r="A199" s="39"/>
      <c r="B199" s="40"/>
      <c r="C199" s="39"/>
      <c r="D199" s="39"/>
      <c r="E199" s="39"/>
      <c r="F199" s="39"/>
      <c r="G199" s="39"/>
      <c r="H199" s="39"/>
      <c r="I199" s="39"/>
      <c r="J199" s="39"/>
      <c r="K199" s="39"/>
      <c r="L199" s="39"/>
      <c r="M199" s="39"/>
      <c r="N199" s="39"/>
      <c r="O199" s="41"/>
      <c r="P199" s="42"/>
      <c r="Q199" s="43"/>
      <c r="R199" s="43"/>
      <c r="S199" s="43"/>
      <c r="T199" s="43"/>
      <c r="U199" s="43"/>
      <c r="V199" s="43"/>
    </row>
    <row r="200" spans="1:22" ht="21" customHeight="1" x14ac:dyDescent="0.15">
      <c r="A200" s="39"/>
      <c r="B200" s="40"/>
      <c r="C200" s="39"/>
      <c r="D200" s="39"/>
      <c r="E200" s="39"/>
      <c r="F200" s="39"/>
      <c r="G200" s="39"/>
      <c r="H200" s="39"/>
      <c r="I200" s="39"/>
      <c r="J200" s="39"/>
      <c r="K200" s="39"/>
      <c r="L200" s="39"/>
      <c r="M200" s="39"/>
      <c r="N200" s="39"/>
      <c r="O200" s="41"/>
      <c r="P200" s="42"/>
      <c r="Q200" s="43"/>
      <c r="R200" s="43"/>
      <c r="S200" s="43"/>
      <c r="T200" s="43"/>
      <c r="U200" s="43"/>
      <c r="V200" s="43"/>
    </row>
    <row r="201" spans="1:22" ht="21" customHeight="1" x14ac:dyDescent="0.15">
      <c r="A201" s="39"/>
      <c r="B201" s="40"/>
      <c r="C201" s="39"/>
      <c r="D201" s="39"/>
      <c r="E201" s="39"/>
      <c r="F201" s="39"/>
      <c r="G201" s="39"/>
      <c r="H201" s="39"/>
      <c r="I201" s="39"/>
      <c r="J201" s="39"/>
      <c r="K201" s="39"/>
      <c r="L201" s="39"/>
      <c r="M201" s="39"/>
      <c r="N201" s="39"/>
      <c r="O201" s="41"/>
      <c r="P201" s="42"/>
      <c r="Q201" s="43"/>
      <c r="R201" s="43"/>
      <c r="S201" s="43"/>
      <c r="T201" s="43"/>
      <c r="U201" s="43"/>
      <c r="V201" s="43"/>
    </row>
    <row r="202" spans="1:22" ht="21" customHeight="1" x14ac:dyDescent="0.15">
      <c r="A202" s="39"/>
      <c r="B202" s="40"/>
      <c r="C202" s="39"/>
      <c r="D202" s="39"/>
      <c r="E202" s="39"/>
      <c r="F202" s="39"/>
      <c r="G202" s="39"/>
      <c r="H202" s="39"/>
      <c r="I202" s="39"/>
      <c r="J202" s="39"/>
      <c r="K202" s="39"/>
      <c r="L202" s="39"/>
      <c r="M202" s="39"/>
      <c r="N202" s="39"/>
      <c r="O202" s="41"/>
      <c r="P202" s="42"/>
      <c r="Q202" s="43"/>
      <c r="R202" s="43"/>
      <c r="S202" s="43"/>
      <c r="T202" s="43"/>
      <c r="U202" s="43"/>
      <c r="V202" s="43"/>
    </row>
    <row r="203" spans="1:22" ht="21" customHeight="1" x14ac:dyDescent="0.15">
      <c r="A203" s="39"/>
      <c r="B203" s="40"/>
      <c r="C203" s="39"/>
      <c r="D203" s="39"/>
      <c r="E203" s="39"/>
      <c r="F203" s="39"/>
      <c r="G203" s="39"/>
      <c r="H203" s="39"/>
      <c r="I203" s="39"/>
      <c r="J203" s="39"/>
      <c r="K203" s="39"/>
      <c r="L203" s="39"/>
      <c r="M203" s="39"/>
      <c r="N203" s="39"/>
      <c r="O203" s="41"/>
      <c r="P203" s="42"/>
      <c r="Q203" s="43"/>
      <c r="R203" s="43"/>
      <c r="S203" s="43"/>
      <c r="T203" s="43"/>
      <c r="U203" s="43"/>
      <c r="V203" s="43"/>
    </row>
    <row r="204" spans="1:22" ht="21" customHeight="1" x14ac:dyDescent="0.15">
      <c r="A204" s="39"/>
      <c r="B204" s="40"/>
      <c r="C204" s="39"/>
      <c r="D204" s="39"/>
      <c r="E204" s="39"/>
      <c r="F204" s="39"/>
      <c r="G204" s="39"/>
      <c r="H204" s="39"/>
      <c r="I204" s="39"/>
      <c r="J204" s="39"/>
      <c r="K204" s="39"/>
      <c r="L204" s="39"/>
      <c r="M204" s="39"/>
      <c r="N204" s="39"/>
      <c r="O204" s="41"/>
      <c r="P204" s="42"/>
      <c r="Q204" s="43"/>
      <c r="R204" s="43"/>
      <c r="S204" s="43"/>
      <c r="T204" s="43"/>
      <c r="U204" s="43"/>
      <c r="V204" s="43"/>
    </row>
    <row r="205" spans="1:22" ht="21" customHeight="1" x14ac:dyDescent="0.15">
      <c r="A205" s="39"/>
      <c r="B205" s="40"/>
      <c r="C205" s="39"/>
      <c r="D205" s="39"/>
      <c r="E205" s="39"/>
      <c r="F205" s="39"/>
      <c r="G205" s="39"/>
      <c r="H205" s="39"/>
      <c r="I205" s="39"/>
      <c r="J205" s="39"/>
      <c r="K205" s="39"/>
      <c r="L205" s="39"/>
      <c r="M205" s="39"/>
      <c r="N205" s="39"/>
      <c r="O205" s="41"/>
      <c r="P205" s="42"/>
      <c r="Q205" s="43"/>
      <c r="R205" s="43"/>
      <c r="S205" s="43"/>
      <c r="T205" s="43"/>
      <c r="U205" s="43"/>
      <c r="V205" s="43"/>
    </row>
    <row r="206" spans="1:22" ht="21" customHeight="1" x14ac:dyDescent="0.15">
      <c r="A206" s="39"/>
      <c r="B206" s="40"/>
      <c r="C206" s="39"/>
      <c r="D206" s="39"/>
      <c r="E206" s="39"/>
      <c r="F206" s="39"/>
      <c r="G206" s="39"/>
      <c r="H206" s="39"/>
      <c r="I206" s="39"/>
      <c r="J206" s="39"/>
      <c r="K206" s="39"/>
      <c r="L206" s="39"/>
      <c r="M206" s="39"/>
      <c r="N206" s="39"/>
      <c r="O206" s="41"/>
      <c r="P206" s="42"/>
      <c r="Q206" s="43"/>
      <c r="R206" s="43"/>
      <c r="S206" s="43"/>
      <c r="T206" s="43"/>
      <c r="U206" s="43"/>
      <c r="V206" s="43"/>
    </row>
    <row r="207" spans="1:22" ht="21" customHeight="1" x14ac:dyDescent="0.15">
      <c r="A207" s="39"/>
      <c r="B207" s="40"/>
      <c r="C207" s="39"/>
      <c r="D207" s="39"/>
      <c r="E207" s="39"/>
      <c r="F207" s="39"/>
      <c r="G207" s="39"/>
      <c r="H207" s="39"/>
      <c r="I207" s="39"/>
      <c r="J207" s="39"/>
      <c r="K207" s="39"/>
      <c r="L207" s="39"/>
      <c r="M207" s="39"/>
      <c r="N207" s="39"/>
      <c r="O207" s="41"/>
      <c r="P207" s="42"/>
      <c r="Q207" s="43"/>
      <c r="R207" s="43"/>
      <c r="S207" s="43"/>
      <c r="T207" s="43"/>
      <c r="U207" s="43"/>
      <c r="V207" s="43"/>
    </row>
    <row r="208" spans="1:22" ht="21" customHeight="1" x14ac:dyDescent="0.15">
      <c r="A208" s="39"/>
      <c r="B208" s="40"/>
      <c r="C208" s="39"/>
      <c r="D208" s="39"/>
      <c r="E208" s="39"/>
      <c r="F208" s="39"/>
      <c r="G208" s="39"/>
      <c r="H208" s="39"/>
      <c r="I208" s="39"/>
      <c r="J208" s="39"/>
      <c r="K208" s="39"/>
      <c r="L208" s="39"/>
      <c r="M208" s="39"/>
      <c r="N208" s="39"/>
      <c r="O208" s="41"/>
      <c r="P208" s="42"/>
      <c r="Q208" s="43"/>
      <c r="R208" s="43"/>
      <c r="S208" s="43"/>
      <c r="T208" s="43"/>
      <c r="U208" s="43"/>
      <c r="V208" s="43"/>
    </row>
    <row r="209" spans="1:22" ht="21" customHeight="1" x14ac:dyDescent="0.15">
      <c r="A209" s="39"/>
      <c r="B209" s="40"/>
      <c r="C209" s="39"/>
      <c r="D209" s="39"/>
      <c r="E209" s="39"/>
      <c r="F209" s="39"/>
      <c r="G209" s="39"/>
      <c r="H209" s="39"/>
      <c r="I209" s="39"/>
      <c r="J209" s="39"/>
      <c r="K209" s="39"/>
      <c r="L209" s="39"/>
      <c r="M209" s="39"/>
      <c r="N209" s="39"/>
      <c r="O209" s="41"/>
      <c r="P209" s="42"/>
      <c r="Q209" s="43"/>
      <c r="R209" s="43"/>
      <c r="S209" s="43"/>
      <c r="T209" s="43"/>
      <c r="U209" s="43"/>
      <c r="V209" s="43"/>
    </row>
    <row r="210" spans="1:22" ht="21" customHeight="1" x14ac:dyDescent="0.15">
      <c r="A210" s="39"/>
      <c r="B210" s="40"/>
      <c r="C210" s="39"/>
      <c r="D210" s="39"/>
      <c r="E210" s="39"/>
      <c r="F210" s="39"/>
      <c r="G210" s="39"/>
      <c r="H210" s="39"/>
      <c r="I210" s="39"/>
      <c r="J210" s="39"/>
      <c r="K210" s="39"/>
      <c r="L210" s="39"/>
      <c r="M210" s="39"/>
      <c r="N210" s="39"/>
      <c r="O210" s="41"/>
      <c r="P210" s="42"/>
      <c r="Q210" s="43"/>
      <c r="R210" s="43"/>
      <c r="S210" s="43"/>
      <c r="T210" s="43"/>
      <c r="U210" s="43"/>
      <c r="V210" s="43"/>
    </row>
    <row r="211" spans="1:22" ht="21" customHeight="1" x14ac:dyDescent="0.15">
      <c r="A211" s="39"/>
      <c r="B211" s="40"/>
      <c r="C211" s="39"/>
      <c r="D211" s="39"/>
      <c r="E211" s="39"/>
      <c r="F211" s="39"/>
      <c r="G211" s="39"/>
      <c r="H211" s="39"/>
      <c r="I211" s="39"/>
      <c r="J211" s="39"/>
      <c r="K211" s="39"/>
      <c r="L211" s="39"/>
      <c r="M211" s="39"/>
      <c r="N211" s="39"/>
      <c r="O211" s="41"/>
      <c r="P211" s="42"/>
      <c r="Q211" s="43"/>
      <c r="R211" s="43"/>
      <c r="S211" s="43"/>
      <c r="T211" s="43"/>
      <c r="U211" s="43"/>
      <c r="V211" s="43"/>
    </row>
    <row r="212" spans="1:22" ht="21" customHeight="1" x14ac:dyDescent="0.15">
      <c r="A212" s="39"/>
      <c r="B212" s="40"/>
      <c r="C212" s="39"/>
      <c r="D212" s="39"/>
      <c r="E212" s="39"/>
      <c r="F212" s="39"/>
      <c r="G212" s="39"/>
      <c r="H212" s="39"/>
      <c r="I212" s="39"/>
      <c r="J212" s="39"/>
      <c r="K212" s="39"/>
      <c r="L212" s="39"/>
      <c r="M212" s="39"/>
      <c r="N212" s="39"/>
      <c r="O212" s="41"/>
      <c r="P212" s="42"/>
      <c r="Q212" s="43"/>
      <c r="R212" s="43"/>
      <c r="S212" s="43"/>
      <c r="T212" s="43"/>
      <c r="U212" s="43"/>
      <c r="V212" s="43"/>
    </row>
    <row r="213" spans="1:22" ht="21" customHeight="1" x14ac:dyDescent="0.15">
      <c r="A213" s="39"/>
      <c r="B213" s="40"/>
      <c r="C213" s="39"/>
      <c r="D213" s="39"/>
      <c r="E213" s="39"/>
      <c r="F213" s="39"/>
      <c r="G213" s="39"/>
      <c r="H213" s="39"/>
      <c r="I213" s="39"/>
      <c r="J213" s="39"/>
      <c r="K213" s="39"/>
      <c r="L213" s="39"/>
      <c r="M213" s="39"/>
      <c r="N213" s="39"/>
      <c r="O213" s="41"/>
      <c r="P213" s="42"/>
      <c r="Q213" s="43"/>
      <c r="R213" s="43"/>
      <c r="S213" s="43"/>
      <c r="T213" s="43"/>
      <c r="U213" s="43"/>
      <c r="V213" s="43"/>
    </row>
    <row r="214" spans="1:22" ht="21" customHeight="1" x14ac:dyDescent="0.15">
      <c r="A214" s="39"/>
      <c r="B214" s="40"/>
      <c r="C214" s="39"/>
      <c r="D214" s="39"/>
      <c r="E214" s="39"/>
      <c r="F214" s="39"/>
      <c r="G214" s="39"/>
      <c r="H214" s="39"/>
      <c r="I214" s="39"/>
      <c r="J214" s="39"/>
      <c r="K214" s="39"/>
      <c r="L214" s="39"/>
      <c r="M214" s="39"/>
      <c r="N214" s="39"/>
      <c r="O214" s="41"/>
      <c r="P214" s="42"/>
      <c r="Q214" s="43"/>
      <c r="R214" s="43"/>
      <c r="S214" s="43"/>
      <c r="T214" s="43"/>
      <c r="U214" s="43"/>
      <c r="V214" s="43"/>
    </row>
    <row r="215" spans="1:22" ht="21" customHeight="1" x14ac:dyDescent="0.15">
      <c r="A215" s="39"/>
      <c r="B215" s="40"/>
      <c r="C215" s="39"/>
      <c r="D215" s="39"/>
      <c r="E215" s="39"/>
      <c r="F215" s="39"/>
      <c r="G215" s="39"/>
      <c r="H215" s="39"/>
      <c r="I215" s="39"/>
      <c r="J215" s="39"/>
      <c r="K215" s="39"/>
      <c r="L215" s="39"/>
      <c r="M215" s="39"/>
      <c r="N215" s="39"/>
      <c r="O215" s="41"/>
      <c r="P215" s="42"/>
      <c r="Q215" s="43"/>
      <c r="R215" s="43"/>
      <c r="S215" s="43"/>
      <c r="T215" s="43"/>
      <c r="U215" s="43"/>
      <c r="V215" s="43"/>
    </row>
    <row r="216" spans="1:22" ht="21" customHeight="1" x14ac:dyDescent="0.15">
      <c r="A216" s="39"/>
      <c r="B216" s="40"/>
      <c r="C216" s="39"/>
      <c r="D216" s="39"/>
      <c r="E216" s="39"/>
      <c r="F216" s="39"/>
      <c r="G216" s="39"/>
      <c r="H216" s="39"/>
      <c r="I216" s="39"/>
      <c r="J216" s="39"/>
      <c r="K216" s="39"/>
      <c r="L216" s="39"/>
      <c r="M216" s="39"/>
      <c r="N216" s="39"/>
      <c r="O216" s="41"/>
      <c r="P216" s="42"/>
      <c r="Q216" s="43"/>
      <c r="R216" s="43"/>
      <c r="S216" s="43"/>
      <c r="T216" s="43"/>
      <c r="U216" s="43"/>
      <c r="V216" s="43"/>
    </row>
    <row r="217" spans="1:22" ht="21" customHeight="1" x14ac:dyDescent="0.15">
      <c r="A217" s="39"/>
      <c r="B217" s="40"/>
      <c r="C217" s="39"/>
      <c r="D217" s="39"/>
      <c r="E217" s="39"/>
      <c r="F217" s="39"/>
      <c r="G217" s="39"/>
      <c r="H217" s="39"/>
      <c r="I217" s="39"/>
      <c r="J217" s="39"/>
      <c r="K217" s="39"/>
      <c r="L217" s="39"/>
      <c r="M217" s="39"/>
      <c r="N217" s="39"/>
      <c r="O217" s="41"/>
      <c r="P217" s="42"/>
      <c r="Q217" s="43"/>
      <c r="R217" s="43"/>
      <c r="S217" s="43"/>
      <c r="T217" s="43"/>
      <c r="U217" s="43"/>
      <c r="V217" s="43"/>
    </row>
    <row r="218" spans="1:22" ht="21" customHeight="1" x14ac:dyDescent="0.15">
      <c r="A218" s="39"/>
      <c r="B218" s="40"/>
      <c r="C218" s="39"/>
      <c r="D218" s="39"/>
      <c r="E218" s="39"/>
      <c r="F218" s="39"/>
      <c r="G218" s="39"/>
      <c r="H218" s="39"/>
      <c r="I218" s="39"/>
      <c r="J218" s="39"/>
      <c r="K218" s="39"/>
      <c r="L218" s="39"/>
      <c r="M218" s="39"/>
      <c r="N218" s="39"/>
      <c r="O218" s="41"/>
      <c r="P218" s="42"/>
      <c r="Q218" s="43"/>
      <c r="R218" s="43"/>
      <c r="S218" s="43"/>
      <c r="T218" s="43"/>
      <c r="U218" s="43"/>
      <c r="V218" s="43"/>
    </row>
    <row r="219" spans="1:22" ht="21" customHeight="1" x14ac:dyDescent="0.15">
      <c r="A219" s="39"/>
      <c r="B219" s="40"/>
      <c r="C219" s="39"/>
      <c r="D219" s="39"/>
      <c r="E219" s="39"/>
      <c r="F219" s="39"/>
      <c r="G219" s="39"/>
      <c r="H219" s="39"/>
      <c r="I219" s="39"/>
      <c r="J219" s="39"/>
      <c r="K219" s="39"/>
      <c r="L219" s="39"/>
      <c r="M219" s="39"/>
      <c r="N219" s="39"/>
      <c r="O219" s="41"/>
      <c r="P219" s="42"/>
      <c r="Q219" s="43"/>
      <c r="R219" s="43"/>
      <c r="S219" s="43"/>
      <c r="T219" s="43"/>
      <c r="U219" s="43"/>
      <c r="V219" s="43"/>
    </row>
    <row r="220" spans="1:22" ht="21" customHeight="1" x14ac:dyDescent="0.15">
      <c r="A220" s="39"/>
      <c r="B220" s="40"/>
      <c r="C220" s="39"/>
      <c r="D220" s="39"/>
      <c r="E220" s="39"/>
      <c r="F220" s="39"/>
      <c r="G220" s="39"/>
      <c r="H220" s="39"/>
      <c r="I220" s="39"/>
      <c r="J220" s="39"/>
      <c r="K220" s="39"/>
      <c r="L220" s="39"/>
      <c r="M220" s="39"/>
      <c r="N220" s="39"/>
      <c r="O220" s="41"/>
      <c r="P220" s="42"/>
      <c r="Q220" s="43"/>
      <c r="R220" s="43"/>
      <c r="S220" s="43"/>
      <c r="T220" s="43"/>
      <c r="U220" s="43"/>
      <c r="V220" s="43"/>
    </row>
    <row r="221" spans="1:22" ht="21" customHeight="1" x14ac:dyDescent="0.15">
      <c r="A221" s="39"/>
      <c r="B221" s="40"/>
      <c r="C221" s="39"/>
      <c r="D221" s="39"/>
      <c r="E221" s="39"/>
      <c r="F221" s="39"/>
      <c r="G221" s="39"/>
      <c r="H221" s="39"/>
      <c r="I221" s="39"/>
      <c r="J221" s="39"/>
      <c r="K221" s="39"/>
      <c r="L221" s="39"/>
      <c r="M221" s="39"/>
      <c r="N221" s="39"/>
      <c r="O221" s="41"/>
      <c r="P221" s="42"/>
      <c r="Q221" s="43"/>
      <c r="R221" s="43"/>
      <c r="S221" s="43"/>
      <c r="T221" s="43"/>
      <c r="U221" s="43"/>
      <c r="V221" s="43"/>
    </row>
    <row r="222" spans="1:22" ht="21" customHeight="1" x14ac:dyDescent="0.15">
      <c r="A222" s="39"/>
      <c r="B222" s="40"/>
      <c r="C222" s="39"/>
      <c r="D222" s="39"/>
      <c r="E222" s="39"/>
      <c r="F222" s="39"/>
      <c r="G222" s="39"/>
      <c r="H222" s="39"/>
      <c r="I222" s="39"/>
      <c r="J222" s="39"/>
      <c r="K222" s="39"/>
      <c r="L222" s="39"/>
      <c r="M222" s="39"/>
      <c r="N222" s="39"/>
      <c r="O222" s="41"/>
      <c r="P222" s="42"/>
      <c r="Q222" s="43"/>
      <c r="R222" s="43"/>
      <c r="S222" s="43"/>
      <c r="T222" s="43"/>
      <c r="U222" s="43"/>
      <c r="V222" s="43"/>
    </row>
    <row r="223" spans="1:22" ht="21" customHeight="1" x14ac:dyDescent="0.15">
      <c r="A223" s="39"/>
      <c r="B223" s="40"/>
      <c r="C223" s="39"/>
      <c r="D223" s="39"/>
      <c r="E223" s="39"/>
      <c r="F223" s="39"/>
      <c r="G223" s="39"/>
      <c r="H223" s="39"/>
      <c r="I223" s="39"/>
      <c r="J223" s="39"/>
      <c r="K223" s="39"/>
      <c r="L223" s="39"/>
      <c r="M223" s="39"/>
      <c r="N223" s="39"/>
      <c r="O223" s="41"/>
      <c r="P223" s="42"/>
      <c r="Q223" s="43"/>
      <c r="R223" s="43"/>
      <c r="S223" s="43"/>
      <c r="T223" s="43"/>
      <c r="U223" s="43"/>
      <c r="V223" s="43"/>
    </row>
    <row r="224" spans="1:22" ht="21" customHeight="1" x14ac:dyDescent="0.15">
      <c r="A224" s="39"/>
      <c r="B224" s="40"/>
      <c r="C224" s="39"/>
      <c r="D224" s="39"/>
      <c r="E224" s="39"/>
      <c r="F224" s="39"/>
      <c r="G224" s="39"/>
      <c r="H224" s="39"/>
      <c r="I224" s="39"/>
      <c r="J224" s="39"/>
      <c r="K224" s="39"/>
      <c r="L224" s="39"/>
      <c r="M224" s="39"/>
      <c r="N224" s="39"/>
      <c r="O224" s="41"/>
      <c r="P224" s="42"/>
      <c r="Q224" s="43"/>
      <c r="R224" s="43"/>
      <c r="S224" s="43"/>
      <c r="T224" s="43"/>
      <c r="U224" s="43"/>
      <c r="V224" s="43"/>
    </row>
    <row r="225" spans="1:22" ht="21" customHeight="1" x14ac:dyDescent="0.15">
      <c r="A225" s="39"/>
      <c r="B225" s="40"/>
      <c r="C225" s="39"/>
      <c r="D225" s="39"/>
      <c r="E225" s="39"/>
      <c r="F225" s="39"/>
      <c r="G225" s="39"/>
      <c r="H225" s="39"/>
      <c r="I225" s="39"/>
      <c r="J225" s="39"/>
      <c r="K225" s="39"/>
      <c r="L225" s="39"/>
      <c r="M225" s="39"/>
      <c r="N225" s="39"/>
      <c r="O225" s="41"/>
      <c r="P225" s="42"/>
      <c r="Q225" s="43"/>
      <c r="R225" s="43"/>
      <c r="S225" s="43"/>
      <c r="T225" s="43"/>
      <c r="U225" s="43"/>
      <c r="V225" s="43"/>
    </row>
    <row r="226" spans="1:22" ht="21" customHeight="1" x14ac:dyDescent="0.15">
      <c r="A226" s="39"/>
      <c r="B226" s="40"/>
      <c r="C226" s="39"/>
      <c r="D226" s="39"/>
      <c r="E226" s="39"/>
      <c r="F226" s="39"/>
      <c r="G226" s="39"/>
      <c r="H226" s="39"/>
      <c r="I226" s="39"/>
      <c r="J226" s="39"/>
      <c r="K226" s="39"/>
      <c r="L226" s="39"/>
      <c r="M226" s="39"/>
      <c r="N226" s="39"/>
      <c r="O226" s="41"/>
      <c r="P226" s="42"/>
      <c r="Q226" s="43"/>
      <c r="R226" s="43"/>
      <c r="S226" s="43"/>
      <c r="T226" s="43"/>
      <c r="U226" s="43"/>
      <c r="V226" s="43"/>
    </row>
    <row r="227" spans="1:22" ht="21" customHeight="1" x14ac:dyDescent="0.15">
      <c r="A227" s="39"/>
      <c r="B227" s="40"/>
      <c r="C227" s="39"/>
      <c r="D227" s="39"/>
      <c r="E227" s="39"/>
      <c r="F227" s="39"/>
      <c r="G227" s="39"/>
      <c r="H227" s="39"/>
      <c r="I227" s="39"/>
      <c r="J227" s="39"/>
      <c r="K227" s="39"/>
      <c r="L227" s="39"/>
      <c r="M227" s="39"/>
      <c r="N227" s="39"/>
      <c r="O227" s="41"/>
      <c r="P227" s="42"/>
      <c r="Q227" s="43"/>
      <c r="R227" s="43"/>
      <c r="S227" s="43"/>
      <c r="T227" s="43"/>
      <c r="U227" s="43"/>
      <c r="V227" s="43"/>
    </row>
    <row r="228" spans="1:22" ht="21" customHeight="1" x14ac:dyDescent="0.15">
      <c r="A228" s="39"/>
      <c r="B228" s="40"/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39"/>
      <c r="O228" s="41"/>
      <c r="P228" s="42"/>
      <c r="Q228" s="43"/>
      <c r="R228" s="43"/>
      <c r="S228" s="43"/>
      <c r="T228" s="43"/>
      <c r="U228" s="43"/>
      <c r="V228" s="43"/>
    </row>
    <row r="229" spans="1:22" ht="21" customHeight="1" x14ac:dyDescent="0.15">
      <c r="A229" s="39"/>
      <c r="B229" s="40"/>
      <c r="C229" s="39"/>
      <c r="D229" s="39"/>
      <c r="E229" s="39"/>
      <c r="F229" s="39"/>
      <c r="G229" s="39"/>
      <c r="H229" s="39"/>
      <c r="I229" s="39"/>
      <c r="J229" s="39"/>
      <c r="K229" s="39"/>
      <c r="L229" s="39"/>
      <c r="M229" s="39"/>
      <c r="N229" s="39"/>
      <c r="O229" s="41"/>
      <c r="P229" s="42"/>
      <c r="Q229" s="43"/>
      <c r="R229" s="43"/>
      <c r="S229" s="43"/>
      <c r="T229" s="43"/>
      <c r="U229" s="43"/>
      <c r="V229" s="43"/>
    </row>
    <row r="230" spans="1:22" ht="21" customHeight="1" x14ac:dyDescent="0.15">
      <c r="A230" s="39"/>
      <c r="B230" s="40"/>
      <c r="C230" s="39"/>
      <c r="D230" s="39"/>
      <c r="E230" s="39"/>
      <c r="F230" s="39"/>
      <c r="G230" s="39"/>
      <c r="H230" s="39"/>
      <c r="I230" s="39"/>
      <c r="J230" s="39"/>
      <c r="K230" s="39"/>
      <c r="L230" s="39"/>
      <c r="M230" s="39"/>
      <c r="N230" s="39"/>
      <c r="O230" s="41"/>
      <c r="P230" s="42"/>
      <c r="Q230" s="43"/>
      <c r="R230" s="43"/>
      <c r="S230" s="43"/>
      <c r="T230" s="43"/>
      <c r="U230" s="43"/>
      <c r="V230" s="43"/>
    </row>
    <row r="231" spans="1:22" ht="21" customHeight="1" x14ac:dyDescent="0.15">
      <c r="A231" s="39"/>
      <c r="B231" s="40"/>
      <c r="C231" s="39"/>
      <c r="D231" s="39"/>
      <c r="E231" s="39"/>
      <c r="F231" s="39"/>
      <c r="G231" s="39"/>
      <c r="H231" s="39"/>
      <c r="I231" s="39"/>
      <c r="J231" s="39"/>
      <c r="K231" s="39"/>
      <c r="L231" s="39"/>
      <c r="M231" s="39"/>
      <c r="N231" s="39"/>
      <c r="O231" s="41"/>
      <c r="P231" s="42"/>
      <c r="Q231" s="43"/>
      <c r="R231" s="43"/>
      <c r="S231" s="43"/>
      <c r="T231" s="43"/>
      <c r="U231" s="43"/>
      <c r="V231" s="43"/>
    </row>
    <row r="232" spans="1:22" ht="21" customHeight="1" x14ac:dyDescent="0.15">
      <c r="A232" s="39"/>
      <c r="B232" s="40"/>
      <c r="C232" s="39"/>
      <c r="D232" s="39"/>
      <c r="E232" s="39"/>
      <c r="F232" s="39"/>
      <c r="G232" s="39"/>
      <c r="H232" s="39"/>
      <c r="I232" s="39"/>
      <c r="J232" s="39"/>
      <c r="K232" s="39"/>
      <c r="L232" s="39"/>
      <c r="M232" s="39"/>
      <c r="N232" s="39"/>
      <c r="O232" s="41"/>
      <c r="P232" s="42"/>
      <c r="Q232" s="43"/>
      <c r="R232" s="43"/>
      <c r="S232" s="43"/>
      <c r="T232" s="43"/>
      <c r="U232" s="43"/>
      <c r="V232" s="43"/>
    </row>
    <row r="233" spans="1:22" ht="21" customHeight="1" x14ac:dyDescent="0.15">
      <c r="A233" s="39"/>
      <c r="B233" s="40"/>
      <c r="C233" s="39"/>
      <c r="D233" s="39"/>
      <c r="E233" s="39"/>
      <c r="F233" s="39"/>
      <c r="G233" s="39"/>
      <c r="H233" s="39"/>
      <c r="I233" s="39"/>
      <c r="J233" s="39"/>
      <c r="K233" s="39"/>
      <c r="L233" s="39"/>
      <c r="M233" s="39"/>
      <c r="N233" s="39"/>
      <c r="O233" s="41"/>
      <c r="P233" s="42"/>
      <c r="Q233" s="43"/>
      <c r="R233" s="43"/>
      <c r="S233" s="43"/>
      <c r="T233" s="43"/>
      <c r="U233" s="43"/>
      <c r="V233" s="43"/>
    </row>
    <row r="234" spans="1:22" ht="21" customHeight="1" x14ac:dyDescent="0.15">
      <c r="A234" s="39"/>
      <c r="B234" s="40"/>
      <c r="C234" s="39"/>
      <c r="D234" s="39"/>
      <c r="E234" s="39"/>
      <c r="F234" s="39"/>
      <c r="G234" s="39"/>
      <c r="H234" s="39"/>
      <c r="I234" s="39"/>
      <c r="J234" s="39"/>
      <c r="K234" s="39"/>
      <c r="L234" s="39"/>
      <c r="M234" s="39"/>
      <c r="N234" s="39"/>
      <c r="O234" s="41"/>
      <c r="P234" s="42"/>
      <c r="Q234" s="43"/>
      <c r="R234" s="43"/>
      <c r="S234" s="43"/>
      <c r="T234" s="43"/>
      <c r="U234" s="43"/>
      <c r="V234" s="43"/>
    </row>
    <row r="235" spans="1:22" ht="21" customHeight="1" x14ac:dyDescent="0.15">
      <c r="A235" s="39"/>
      <c r="B235" s="40"/>
      <c r="C235" s="39"/>
      <c r="D235" s="39"/>
      <c r="E235" s="39"/>
      <c r="F235" s="39"/>
      <c r="G235" s="39"/>
      <c r="H235" s="39"/>
      <c r="I235" s="39"/>
      <c r="J235" s="39"/>
      <c r="K235" s="39"/>
      <c r="L235" s="39"/>
      <c r="M235" s="39"/>
      <c r="N235" s="39"/>
      <c r="O235" s="41"/>
      <c r="P235" s="42"/>
      <c r="Q235" s="43"/>
      <c r="R235" s="43"/>
      <c r="S235" s="43"/>
      <c r="T235" s="43"/>
      <c r="U235" s="43"/>
      <c r="V235" s="43"/>
    </row>
    <row r="236" spans="1:22" ht="21" customHeight="1" x14ac:dyDescent="0.15">
      <c r="A236" s="39"/>
      <c r="B236" s="40"/>
      <c r="C236" s="39"/>
      <c r="D236" s="39"/>
      <c r="E236" s="39"/>
      <c r="F236" s="39"/>
      <c r="G236" s="39"/>
      <c r="H236" s="39"/>
      <c r="I236" s="39"/>
      <c r="J236" s="39"/>
      <c r="K236" s="39"/>
      <c r="L236" s="39"/>
      <c r="M236" s="39"/>
      <c r="N236" s="39"/>
      <c r="O236" s="41"/>
      <c r="P236" s="42"/>
      <c r="Q236" s="43"/>
      <c r="R236" s="43"/>
      <c r="S236" s="43"/>
      <c r="T236" s="43"/>
      <c r="U236" s="43"/>
      <c r="V236" s="43"/>
    </row>
    <row r="237" spans="1:22" ht="21" customHeight="1" x14ac:dyDescent="0.15">
      <c r="A237" s="39"/>
      <c r="B237" s="40"/>
      <c r="C237" s="39"/>
      <c r="D237" s="39"/>
      <c r="E237" s="39"/>
      <c r="F237" s="39"/>
      <c r="G237" s="39"/>
      <c r="H237" s="39"/>
      <c r="I237" s="39"/>
      <c r="J237" s="39"/>
      <c r="K237" s="39"/>
      <c r="L237" s="39"/>
      <c r="M237" s="39"/>
      <c r="N237" s="39"/>
      <c r="O237" s="41"/>
      <c r="P237" s="42"/>
      <c r="Q237" s="43"/>
      <c r="R237" s="43"/>
      <c r="S237" s="43"/>
      <c r="T237" s="43"/>
      <c r="U237" s="43"/>
      <c r="V237" s="43"/>
    </row>
    <row r="238" spans="1:22" ht="21" customHeight="1" x14ac:dyDescent="0.15">
      <c r="A238" s="39"/>
      <c r="B238" s="40"/>
      <c r="C238" s="39"/>
      <c r="D238" s="39"/>
      <c r="E238" s="39"/>
      <c r="F238" s="39"/>
      <c r="G238" s="39"/>
      <c r="H238" s="39"/>
      <c r="I238" s="39"/>
      <c r="J238" s="39"/>
      <c r="K238" s="39"/>
      <c r="L238" s="39"/>
      <c r="M238" s="39"/>
      <c r="N238" s="39"/>
      <c r="O238" s="41"/>
      <c r="P238" s="42"/>
      <c r="Q238" s="43"/>
      <c r="R238" s="43"/>
      <c r="S238" s="43"/>
      <c r="T238" s="43"/>
      <c r="U238" s="43"/>
      <c r="V238" s="43"/>
    </row>
    <row r="239" spans="1:22" ht="21" customHeight="1" x14ac:dyDescent="0.15">
      <c r="A239" s="39"/>
      <c r="B239" s="40"/>
      <c r="C239" s="39"/>
      <c r="D239" s="39"/>
      <c r="E239" s="39"/>
      <c r="F239" s="39"/>
      <c r="G239" s="39"/>
      <c r="H239" s="39"/>
      <c r="I239" s="39"/>
      <c r="J239" s="39"/>
      <c r="K239" s="39"/>
      <c r="L239" s="39"/>
      <c r="M239" s="39"/>
      <c r="N239" s="39"/>
      <c r="O239" s="41"/>
      <c r="P239" s="42"/>
      <c r="Q239" s="43"/>
      <c r="R239" s="43"/>
      <c r="S239" s="43"/>
      <c r="T239" s="43"/>
      <c r="U239" s="43"/>
      <c r="V239" s="43"/>
    </row>
    <row r="240" spans="1:22" ht="21" customHeight="1" x14ac:dyDescent="0.15">
      <c r="A240" s="39"/>
      <c r="B240" s="40"/>
      <c r="C240" s="39"/>
      <c r="D240" s="39"/>
      <c r="E240" s="39"/>
      <c r="F240" s="39"/>
      <c r="G240" s="39"/>
      <c r="H240" s="39"/>
      <c r="I240" s="39"/>
      <c r="J240" s="39"/>
      <c r="K240" s="39"/>
      <c r="L240" s="39"/>
      <c r="M240" s="39"/>
      <c r="N240" s="39"/>
      <c r="O240" s="41"/>
      <c r="P240" s="42"/>
      <c r="Q240" s="43"/>
      <c r="R240" s="43"/>
      <c r="S240" s="43"/>
      <c r="T240" s="43"/>
      <c r="U240" s="43"/>
      <c r="V240" s="43"/>
    </row>
    <row r="241" spans="1:22" ht="21" customHeight="1" x14ac:dyDescent="0.15">
      <c r="A241" s="39"/>
      <c r="B241" s="40"/>
      <c r="C241" s="39"/>
      <c r="D241" s="39"/>
      <c r="E241" s="39"/>
      <c r="F241" s="39"/>
      <c r="G241" s="39"/>
      <c r="H241" s="39"/>
      <c r="I241" s="39"/>
      <c r="J241" s="39"/>
      <c r="K241" s="39"/>
      <c r="L241" s="39"/>
      <c r="M241" s="39"/>
      <c r="N241" s="39"/>
      <c r="O241" s="41"/>
      <c r="P241" s="42"/>
      <c r="Q241" s="43"/>
      <c r="R241" s="43"/>
      <c r="S241" s="43"/>
      <c r="T241" s="43"/>
      <c r="U241" s="43"/>
      <c r="V241" s="43"/>
    </row>
    <row r="242" spans="1:22" ht="21" customHeight="1" x14ac:dyDescent="0.15">
      <c r="A242" s="39"/>
      <c r="B242" s="40"/>
      <c r="C242" s="39"/>
      <c r="D242" s="39"/>
      <c r="E242" s="39"/>
      <c r="F242" s="39"/>
      <c r="G242" s="39"/>
      <c r="H242" s="39"/>
      <c r="I242" s="39"/>
      <c r="J242" s="39"/>
      <c r="K242" s="39"/>
      <c r="L242" s="39"/>
      <c r="M242" s="39"/>
      <c r="N242" s="39"/>
      <c r="O242" s="41"/>
      <c r="P242" s="42"/>
      <c r="Q242" s="43"/>
      <c r="R242" s="43"/>
      <c r="S242" s="43"/>
      <c r="T242" s="43"/>
      <c r="U242" s="43"/>
      <c r="V242" s="43"/>
    </row>
    <row r="243" spans="1:22" ht="21" customHeight="1" x14ac:dyDescent="0.15">
      <c r="A243" s="39"/>
      <c r="B243" s="40"/>
      <c r="C243" s="39"/>
      <c r="D243" s="39"/>
      <c r="E243" s="39"/>
      <c r="F243" s="39"/>
      <c r="G243" s="39"/>
      <c r="H243" s="39"/>
      <c r="I243" s="39"/>
      <c r="J243" s="39"/>
      <c r="K243" s="39"/>
      <c r="L243" s="39"/>
      <c r="M243" s="39"/>
      <c r="N243" s="39"/>
      <c r="O243" s="41"/>
      <c r="P243" s="42"/>
      <c r="Q243" s="43"/>
      <c r="R243" s="43"/>
      <c r="S243" s="43"/>
      <c r="T243" s="43"/>
      <c r="U243" s="43"/>
      <c r="V243" s="43"/>
    </row>
    <row r="244" spans="1:22" ht="21" customHeight="1" x14ac:dyDescent="0.15">
      <c r="A244" s="39"/>
      <c r="B244" s="40"/>
      <c r="C244" s="39"/>
      <c r="D244" s="39"/>
      <c r="E244" s="39"/>
      <c r="F244" s="39"/>
      <c r="G244" s="39"/>
      <c r="H244" s="39"/>
      <c r="I244" s="39"/>
      <c r="J244" s="39"/>
      <c r="K244" s="39"/>
      <c r="L244" s="39"/>
      <c r="M244" s="39"/>
      <c r="N244" s="39"/>
      <c r="O244" s="41"/>
      <c r="P244" s="42"/>
      <c r="Q244" s="43"/>
      <c r="R244" s="43"/>
      <c r="S244" s="43"/>
      <c r="T244" s="43"/>
      <c r="U244" s="43"/>
      <c r="V244" s="43"/>
    </row>
    <row r="245" spans="1:22" ht="21" customHeight="1" x14ac:dyDescent="0.15">
      <c r="A245" s="39"/>
      <c r="B245" s="40"/>
      <c r="C245" s="39"/>
      <c r="D245" s="39"/>
      <c r="E245" s="39"/>
      <c r="F245" s="39"/>
      <c r="G245" s="39"/>
      <c r="H245" s="39"/>
      <c r="I245" s="39"/>
      <c r="J245" s="39"/>
      <c r="K245" s="39"/>
      <c r="L245" s="39"/>
      <c r="M245" s="39"/>
      <c r="N245" s="39"/>
      <c r="O245" s="41"/>
      <c r="P245" s="42"/>
      <c r="Q245" s="43"/>
      <c r="R245" s="43"/>
      <c r="S245" s="43"/>
      <c r="T245" s="43"/>
      <c r="U245" s="43"/>
      <c r="V245" s="43"/>
    </row>
    <row r="246" spans="1:22" ht="21" customHeight="1" x14ac:dyDescent="0.15">
      <c r="A246" s="39"/>
      <c r="B246" s="40"/>
      <c r="C246" s="39"/>
      <c r="D246" s="39"/>
      <c r="E246" s="39"/>
      <c r="F246" s="39"/>
      <c r="G246" s="39"/>
      <c r="H246" s="39"/>
      <c r="I246" s="39"/>
      <c r="J246" s="39"/>
      <c r="K246" s="39"/>
      <c r="L246" s="39"/>
      <c r="M246" s="39"/>
      <c r="N246" s="39"/>
      <c r="O246" s="41"/>
      <c r="P246" s="42"/>
      <c r="Q246" s="43"/>
      <c r="R246" s="43"/>
      <c r="S246" s="43"/>
      <c r="T246" s="43"/>
      <c r="U246" s="43"/>
      <c r="V246" s="43"/>
    </row>
    <row r="247" spans="1:22" ht="21" customHeight="1" x14ac:dyDescent="0.15">
      <c r="A247" s="39"/>
      <c r="B247" s="40"/>
      <c r="C247" s="39"/>
      <c r="D247" s="39"/>
      <c r="E247" s="39"/>
      <c r="F247" s="39"/>
      <c r="G247" s="39"/>
      <c r="H247" s="39"/>
      <c r="I247" s="39"/>
      <c r="J247" s="39"/>
      <c r="K247" s="39"/>
      <c r="L247" s="39"/>
      <c r="M247" s="39"/>
      <c r="N247" s="39"/>
      <c r="O247" s="41"/>
      <c r="P247" s="42"/>
      <c r="Q247" s="43"/>
      <c r="R247" s="43"/>
      <c r="S247" s="43"/>
      <c r="T247" s="43"/>
      <c r="U247" s="43"/>
      <c r="V247" s="43"/>
    </row>
    <row r="248" spans="1:22" ht="21" customHeight="1" x14ac:dyDescent="0.15">
      <c r="A248" s="39"/>
      <c r="B248" s="40"/>
      <c r="C248" s="39"/>
      <c r="D248" s="39"/>
      <c r="E248" s="39"/>
      <c r="F248" s="39"/>
      <c r="G248" s="39"/>
      <c r="H248" s="39"/>
      <c r="I248" s="39"/>
      <c r="J248" s="39"/>
      <c r="K248" s="39"/>
      <c r="L248" s="39"/>
      <c r="M248" s="39"/>
      <c r="N248" s="39"/>
      <c r="O248" s="41"/>
      <c r="P248" s="42"/>
      <c r="Q248" s="43"/>
      <c r="R248" s="43"/>
      <c r="S248" s="43"/>
      <c r="T248" s="43"/>
      <c r="U248" s="43"/>
      <c r="V248" s="43"/>
    </row>
    <row r="249" spans="1:22" ht="21" customHeight="1" x14ac:dyDescent="0.15">
      <c r="A249" s="39"/>
      <c r="B249" s="40"/>
      <c r="C249" s="39"/>
      <c r="D249" s="39"/>
      <c r="E249" s="39"/>
      <c r="F249" s="39"/>
      <c r="G249" s="39"/>
      <c r="H249" s="39"/>
      <c r="I249" s="39"/>
      <c r="J249" s="39"/>
      <c r="K249" s="39"/>
      <c r="L249" s="39"/>
      <c r="M249" s="39"/>
      <c r="N249" s="39"/>
      <c r="O249" s="41"/>
      <c r="P249" s="42"/>
      <c r="Q249" s="43"/>
      <c r="R249" s="43"/>
      <c r="S249" s="43"/>
      <c r="T249" s="43"/>
      <c r="U249" s="43"/>
      <c r="V249" s="43"/>
    </row>
    <row r="250" spans="1:22" ht="21" customHeight="1" x14ac:dyDescent="0.15">
      <c r="A250" s="39"/>
      <c r="B250" s="40"/>
      <c r="C250" s="39"/>
      <c r="D250" s="39"/>
      <c r="E250" s="39"/>
      <c r="F250" s="39"/>
      <c r="G250" s="39"/>
      <c r="H250" s="39"/>
      <c r="I250" s="39"/>
      <c r="J250" s="39"/>
      <c r="K250" s="39"/>
      <c r="L250" s="39"/>
      <c r="M250" s="39"/>
      <c r="N250" s="39"/>
      <c r="O250" s="41"/>
      <c r="P250" s="42"/>
      <c r="Q250" s="43"/>
      <c r="R250" s="43"/>
      <c r="S250" s="43"/>
      <c r="T250" s="43"/>
      <c r="U250" s="43"/>
      <c r="V250" s="43"/>
    </row>
    <row r="251" spans="1:22" ht="21" customHeight="1" x14ac:dyDescent="0.15">
      <c r="A251" s="39"/>
      <c r="B251" s="40"/>
      <c r="C251" s="39"/>
      <c r="D251" s="39"/>
      <c r="E251" s="39"/>
      <c r="F251" s="39"/>
      <c r="G251" s="39"/>
      <c r="H251" s="39"/>
      <c r="I251" s="39"/>
      <c r="J251" s="39"/>
      <c r="K251" s="39"/>
      <c r="L251" s="39"/>
      <c r="M251" s="39"/>
      <c r="N251" s="39"/>
      <c r="O251" s="41"/>
      <c r="P251" s="42"/>
      <c r="Q251" s="43"/>
      <c r="R251" s="43"/>
      <c r="S251" s="43"/>
      <c r="T251" s="43"/>
      <c r="U251" s="43"/>
      <c r="V251" s="43"/>
    </row>
    <row r="252" spans="1:22" ht="21" customHeight="1" x14ac:dyDescent="0.15">
      <c r="A252" s="39"/>
      <c r="B252" s="40"/>
      <c r="C252" s="39"/>
      <c r="D252" s="39"/>
      <c r="E252" s="39"/>
      <c r="F252" s="39"/>
      <c r="G252" s="39"/>
      <c r="H252" s="39"/>
      <c r="I252" s="39"/>
      <c r="J252" s="39"/>
      <c r="K252" s="39"/>
      <c r="L252" s="39"/>
      <c r="M252" s="39"/>
      <c r="N252" s="39"/>
      <c r="O252" s="41"/>
      <c r="P252" s="42"/>
      <c r="Q252" s="43"/>
      <c r="R252" s="43"/>
      <c r="S252" s="43"/>
      <c r="T252" s="43"/>
      <c r="U252" s="43"/>
      <c r="V252" s="43"/>
    </row>
    <row r="253" spans="1:22" ht="21" customHeight="1" x14ac:dyDescent="0.15">
      <c r="A253" s="39"/>
      <c r="B253" s="40"/>
      <c r="C253" s="39"/>
      <c r="D253" s="39"/>
      <c r="E253" s="39"/>
      <c r="F253" s="39"/>
      <c r="G253" s="39"/>
      <c r="H253" s="39"/>
      <c r="I253" s="39"/>
      <c r="J253" s="39"/>
      <c r="K253" s="39"/>
      <c r="L253" s="39"/>
      <c r="M253" s="39"/>
      <c r="N253" s="39"/>
      <c r="O253" s="41"/>
      <c r="P253" s="42"/>
      <c r="Q253" s="43"/>
      <c r="R253" s="43"/>
      <c r="S253" s="43"/>
      <c r="T253" s="43"/>
      <c r="U253" s="43"/>
      <c r="V253" s="43"/>
    </row>
    <row r="254" spans="1:22" ht="21" customHeight="1" x14ac:dyDescent="0.15">
      <c r="A254" s="39"/>
      <c r="B254" s="40"/>
      <c r="C254" s="39"/>
      <c r="D254" s="39"/>
      <c r="E254" s="39"/>
      <c r="F254" s="39"/>
      <c r="G254" s="39"/>
      <c r="H254" s="39"/>
      <c r="I254" s="39"/>
      <c r="J254" s="39"/>
      <c r="K254" s="39"/>
      <c r="L254" s="39"/>
      <c r="M254" s="39"/>
      <c r="N254" s="39"/>
      <c r="O254" s="41"/>
      <c r="P254" s="42"/>
      <c r="Q254" s="43"/>
      <c r="R254" s="43"/>
      <c r="S254" s="43"/>
      <c r="T254" s="43"/>
      <c r="U254" s="43"/>
      <c r="V254" s="43"/>
    </row>
    <row r="255" spans="1:22" ht="21" customHeight="1" x14ac:dyDescent="0.15">
      <c r="A255" s="39"/>
      <c r="B255" s="40"/>
      <c r="C255" s="39"/>
      <c r="D255" s="39"/>
      <c r="E255" s="39"/>
      <c r="F255" s="39"/>
      <c r="G255" s="39"/>
      <c r="H255" s="39"/>
      <c r="I255" s="39"/>
      <c r="J255" s="39"/>
      <c r="K255" s="39"/>
      <c r="L255" s="39"/>
      <c r="M255" s="39"/>
      <c r="N255" s="39"/>
      <c r="O255" s="41"/>
      <c r="P255" s="42"/>
      <c r="Q255" s="43"/>
      <c r="R255" s="43"/>
      <c r="S255" s="43"/>
      <c r="T255" s="43"/>
      <c r="U255" s="43"/>
      <c r="V255" s="43"/>
    </row>
    <row r="256" spans="1:22" ht="21" customHeight="1" x14ac:dyDescent="0.15">
      <c r="A256" s="39"/>
      <c r="B256" s="40"/>
      <c r="C256" s="39"/>
      <c r="D256" s="39"/>
      <c r="E256" s="39"/>
      <c r="F256" s="39"/>
      <c r="G256" s="39"/>
      <c r="H256" s="39"/>
      <c r="I256" s="39"/>
      <c r="J256" s="39"/>
      <c r="K256" s="39"/>
      <c r="L256" s="39"/>
      <c r="M256" s="39"/>
      <c r="N256" s="39"/>
      <c r="O256" s="41"/>
      <c r="P256" s="42"/>
      <c r="Q256" s="43"/>
      <c r="R256" s="43"/>
      <c r="S256" s="43"/>
      <c r="T256" s="43"/>
      <c r="U256" s="43"/>
      <c r="V256" s="43"/>
    </row>
    <row r="257" spans="1:22" ht="21" customHeight="1" x14ac:dyDescent="0.15">
      <c r="A257" s="39"/>
      <c r="B257" s="40"/>
      <c r="C257" s="39"/>
      <c r="D257" s="39"/>
      <c r="E257" s="39"/>
      <c r="F257" s="39"/>
      <c r="G257" s="39"/>
      <c r="H257" s="39"/>
      <c r="I257" s="39"/>
      <c r="J257" s="39"/>
      <c r="K257" s="39"/>
      <c r="L257" s="39"/>
      <c r="M257" s="39"/>
      <c r="N257" s="39"/>
      <c r="O257" s="41"/>
      <c r="P257" s="42"/>
      <c r="Q257" s="43"/>
      <c r="R257" s="43"/>
      <c r="S257" s="43"/>
      <c r="T257" s="43"/>
      <c r="U257" s="43"/>
      <c r="V257" s="43"/>
    </row>
    <row r="258" spans="1:22" ht="21" customHeight="1" x14ac:dyDescent="0.15">
      <c r="A258" s="39"/>
      <c r="B258" s="40"/>
      <c r="C258" s="39"/>
      <c r="D258" s="39"/>
      <c r="E258" s="39"/>
      <c r="F258" s="39"/>
      <c r="G258" s="39"/>
      <c r="H258" s="39"/>
      <c r="I258" s="39"/>
      <c r="J258" s="39"/>
      <c r="K258" s="39"/>
      <c r="L258" s="39"/>
      <c r="M258" s="39"/>
      <c r="N258" s="39"/>
      <c r="O258" s="41"/>
      <c r="P258" s="42"/>
      <c r="Q258" s="43"/>
      <c r="R258" s="43"/>
      <c r="S258" s="43"/>
      <c r="T258" s="43"/>
      <c r="U258" s="43"/>
      <c r="V258" s="43"/>
    </row>
    <row r="259" spans="1:22" ht="21" customHeight="1" x14ac:dyDescent="0.15">
      <c r="A259" s="39"/>
      <c r="B259" s="40"/>
      <c r="C259" s="39"/>
      <c r="D259" s="39"/>
      <c r="E259" s="39"/>
      <c r="F259" s="39"/>
      <c r="G259" s="39"/>
      <c r="H259" s="39"/>
      <c r="I259" s="39"/>
      <c r="J259" s="39"/>
      <c r="K259" s="39"/>
      <c r="L259" s="39"/>
      <c r="M259" s="39"/>
      <c r="N259" s="39"/>
      <c r="O259" s="41"/>
      <c r="P259" s="42"/>
      <c r="Q259" s="43"/>
      <c r="R259" s="43"/>
      <c r="S259" s="43"/>
      <c r="T259" s="43"/>
      <c r="U259" s="43"/>
      <c r="V259" s="43"/>
    </row>
    <row r="260" spans="1:22" ht="21" customHeight="1" x14ac:dyDescent="0.15">
      <c r="A260" s="39"/>
      <c r="B260" s="40"/>
      <c r="C260" s="39"/>
      <c r="D260" s="39"/>
      <c r="E260" s="39"/>
      <c r="F260" s="39"/>
      <c r="G260" s="39"/>
      <c r="H260" s="39"/>
      <c r="I260" s="39"/>
      <c r="J260" s="39"/>
      <c r="K260" s="39"/>
      <c r="L260" s="39"/>
      <c r="M260" s="39"/>
      <c r="N260" s="39"/>
      <c r="O260" s="41"/>
      <c r="P260" s="42"/>
      <c r="Q260" s="43"/>
      <c r="R260" s="43"/>
      <c r="S260" s="43"/>
      <c r="T260" s="43"/>
      <c r="U260" s="43"/>
      <c r="V260" s="43"/>
    </row>
    <row r="261" spans="1:22" ht="21" customHeight="1" x14ac:dyDescent="0.15">
      <c r="A261" s="39"/>
      <c r="B261" s="40"/>
      <c r="C261" s="39"/>
      <c r="D261" s="39"/>
      <c r="E261" s="39"/>
      <c r="F261" s="39"/>
      <c r="G261" s="39"/>
      <c r="H261" s="39"/>
      <c r="I261" s="39"/>
      <c r="J261" s="39"/>
      <c r="K261" s="39"/>
      <c r="L261" s="39"/>
      <c r="M261" s="39"/>
      <c r="N261" s="39"/>
      <c r="O261" s="41"/>
      <c r="P261" s="42"/>
      <c r="Q261" s="43"/>
      <c r="R261" s="43"/>
      <c r="S261" s="43"/>
      <c r="T261" s="43"/>
      <c r="U261" s="43"/>
      <c r="V261" s="43"/>
    </row>
    <row r="262" spans="1:22" ht="21" customHeight="1" x14ac:dyDescent="0.15">
      <c r="A262" s="39"/>
      <c r="B262" s="40"/>
      <c r="C262" s="39"/>
      <c r="D262" s="39"/>
      <c r="E262" s="39"/>
      <c r="F262" s="39"/>
      <c r="G262" s="39"/>
      <c r="H262" s="39"/>
      <c r="I262" s="39"/>
      <c r="J262" s="39"/>
      <c r="K262" s="39"/>
      <c r="L262" s="39"/>
      <c r="M262" s="39"/>
      <c r="N262" s="39"/>
      <c r="O262" s="41"/>
      <c r="P262" s="42"/>
      <c r="Q262" s="43"/>
      <c r="R262" s="43"/>
      <c r="S262" s="43"/>
      <c r="T262" s="43"/>
      <c r="U262" s="43"/>
      <c r="V262" s="43"/>
    </row>
    <row r="263" spans="1:22" ht="21" customHeight="1" x14ac:dyDescent="0.15">
      <c r="A263" s="39"/>
      <c r="B263" s="40"/>
      <c r="C263" s="39"/>
      <c r="D263" s="39"/>
      <c r="E263" s="39"/>
      <c r="F263" s="39"/>
      <c r="G263" s="39"/>
      <c r="H263" s="39"/>
      <c r="I263" s="39"/>
      <c r="J263" s="39"/>
      <c r="K263" s="39"/>
      <c r="L263" s="39"/>
      <c r="M263" s="39"/>
      <c r="N263" s="39"/>
      <c r="O263" s="41"/>
      <c r="P263" s="42"/>
      <c r="Q263" s="43"/>
      <c r="R263" s="43"/>
      <c r="S263" s="43"/>
      <c r="T263" s="43"/>
      <c r="U263" s="43"/>
      <c r="V263" s="43"/>
    </row>
    <row r="264" spans="1:22" ht="21" customHeight="1" x14ac:dyDescent="0.15">
      <c r="A264" s="39"/>
      <c r="B264" s="40"/>
      <c r="C264" s="39"/>
      <c r="D264" s="39"/>
      <c r="E264" s="39"/>
      <c r="F264" s="39"/>
      <c r="G264" s="39"/>
      <c r="H264" s="39"/>
      <c r="I264" s="39"/>
      <c r="J264" s="39"/>
      <c r="K264" s="39"/>
      <c r="L264" s="39"/>
      <c r="M264" s="39"/>
      <c r="N264" s="39"/>
      <c r="O264" s="41"/>
      <c r="P264" s="42"/>
      <c r="Q264" s="43"/>
      <c r="R264" s="43"/>
      <c r="S264" s="43"/>
      <c r="T264" s="43"/>
      <c r="U264" s="43"/>
      <c r="V264" s="43"/>
    </row>
    <row r="265" spans="1:22" ht="21" customHeight="1" x14ac:dyDescent="0.15">
      <c r="A265" s="39"/>
      <c r="B265" s="40"/>
      <c r="C265" s="39"/>
      <c r="D265" s="39"/>
      <c r="E265" s="39"/>
      <c r="F265" s="39"/>
      <c r="G265" s="39"/>
      <c r="H265" s="39"/>
      <c r="I265" s="39"/>
      <c r="J265" s="39"/>
      <c r="K265" s="39"/>
      <c r="L265" s="39"/>
      <c r="M265" s="39"/>
      <c r="N265" s="39"/>
      <c r="O265" s="41"/>
      <c r="P265" s="42"/>
      <c r="Q265" s="43"/>
      <c r="R265" s="43"/>
      <c r="S265" s="43"/>
      <c r="T265" s="43"/>
      <c r="U265" s="43"/>
      <c r="V265" s="43"/>
    </row>
    <row r="266" spans="1:22" ht="21" customHeight="1" x14ac:dyDescent="0.15">
      <c r="A266" s="39"/>
      <c r="B266" s="40"/>
      <c r="C266" s="39"/>
      <c r="D266" s="39"/>
      <c r="E266" s="39"/>
      <c r="F266" s="39"/>
      <c r="G266" s="39"/>
      <c r="H266" s="39"/>
      <c r="I266" s="39"/>
      <c r="J266" s="39"/>
      <c r="K266" s="39"/>
      <c r="L266" s="39"/>
      <c r="M266" s="39"/>
      <c r="N266" s="39"/>
      <c r="O266" s="41"/>
      <c r="P266" s="42"/>
      <c r="Q266" s="43"/>
      <c r="R266" s="43"/>
      <c r="S266" s="43"/>
      <c r="T266" s="43"/>
      <c r="U266" s="43"/>
      <c r="V266" s="43"/>
    </row>
    <row r="267" spans="1:22" ht="21" customHeight="1" x14ac:dyDescent="0.15">
      <c r="A267" s="39"/>
      <c r="B267" s="40"/>
      <c r="C267" s="39"/>
      <c r="D267" s="39"/>
      <c r="E267" s="39"/>
      <c r="F267" s="39"/>
      <c r="G267" s="39"/>
      <c r="H267" s="39"/>
      <c r="I267" s="39"/>
      <c r="J267" s="39"/>
      <c r="K267" s="39"/>
      <c r="L267" s="39"/>
      <c r="M267" s="39"/>
      <c r="N267" s="39"/>
      <c r="O267" s="41"/>
      <c r="P267" s="42"/>
      <c r="Q267" s="43"/>
      <c r="R267" s="43"/>
      <c r="S267" s="43"/>
      <c r="T267" s="43"/>
      <c r="U267" s="43"/>
      <c r="V267" s="43"/>
    </row>
    <row r="268" spans="1:22" ht="21" customHeight="1" x14ac:dyDescent="0.15">
      <c r="A268" s="39"/>
      <c r="B268" s="40"/>
      <c r="C268" s="39"/>
      <c r="D268" s="39"/>
      <c r="E268" s="39"/>
      <c r="F268" s="39"/>
      <c r="G268" s="39"/>
      <c r="H268" s="39"/>
      <c r="I268" s="39"/>
      <c r="J268" s="39"/>
      <c r="K268" s="39"/>
      <c r="L268" s="39"/>
      <c r="M268" s="39"/>
      <c r="N268" s="39"/>
      <c r="O268" s="41"/>
      <c r="P268" s="42"/>
      <c r="Q268" s="43"/>
      <c r="R268" s="43"/>
      <c r="S268" s="43"/>
      <c r="T268" s="43"/>
      <c r="U268" s="43"/>
      <c r="V268" s="43"/>
    </row>
    <row r="269" spans="1:22" ht="21" customHeight="1" x14ac:dyDescent="0.15">
      <c r="A269" s="39"/>
      <c r="B269" s="40"/>
      <c r="C269" s="39"/>
      <c r="D269" s="39"/>
      <c r="E269" s="39"/>
      <c r="F269" s="39"/>
      <c r="G269" s="39"/>
      <c r="H269" s="39"/>
      <c r="I269" s="39"/>
      <c r="J269" s="39"/>
      <c r="K269" s="39"/>
      <c r="L269" s="39"/>
      <c r="M269" s="39"/>
      <c r="N269" s="39"/>
      <c r="O269" s="41"/>
      <c r="P269" s="42"/>
      <c r="Q269" s="43"/>
      <c r="R269" s="43"/>
      <c r="S269" s="43"/>
      <c r="T269" s="43"/>
      <c r="U269" s="43"/>
      <c r="V269" s="43"/>
    </row>
    <row r="270" spans="1:22" ht="21" customHeight="1" x14ac:dyDescent="0.15">
      <c r="A270" s="39"/>
      <c r="B270" s="40"/>
      <c r="C270" s="39"/>
      <c r="D270" s="39"/>
      <c r="E270" s="39"/>
      <c r="F270" s="39"/>
      <c r="G270" s="39"/>
      <c r="H270" s="39"/>
      <c r="I270" s="39"/>
      <c r="J270" s="39"/>
      <c r="K270" s="39"/>
      <c r="L270" s="39"/>
      <c r="M270" s="39"/>
      <c r="N270" s="39"/>
      <c r="O270" s="41"/>
      <c r="P270" s="42"/>
      <c r="Q270" s="43"/>
      <c r="R270" s="43"/>
      <c r="S270" s="43"/>
      <c r="T270" s="43"/>
      <c r="U270" s="43"/>
      <c r="V270" s="43"/>
    </row>
    <row r="271" spans="1:22" ht="21" customHeight="1" x14ac:dyDescent="0.15">
      <c r="A271" s="39"/>
      <c r="B271" s="40"/>
      <c r="C271" s="39"/>
      <c r="D271" s="39"/>
      <c r="E271" s="39"/>
      <c r="F271" s="39"/>
      <c r="G271" s="39"/>
      <c r="H271" s="39"/>
      <c r="I271" s="39"/>
      <c r="J271" s="39"/>
      <c r="K271" s="39"/>
      <c r="L271" s="39"/>
      <c r="M271" s="39"/>
      <c r="N271" s="39"/>
      <c r="O271" s="41"/>
      <c r="P271" s="42"/>
      <c r="Q271" s="43"/>
      <c r="R271" s="43"/>
      <c r="S271" s="43"/>
      <c r="T271" s="43"/>
      <c r="U271" s="43"/>
      <c r="V271" s="43"/>
    </row>
    <row r="272" spans="1:22" ht="21" customHeight="1" x14ac:dyDescent="0.15">
      <c r="A272" s="39"/>
      <c r="B272" s="39"/>
      <c r="C272" s="39"/>
      <c r="D272" s="39"/>
      <c r="E272" s="39"/>
      <c r="F272" s="39"/>
      <c r="G272" s="39"/>
      <c r="H272" s="39"/>
      <c r="I272" s="39"/>
      <c r="J272" s="39"/>
      <c r="K272" s="39"/>
      <c r="L272" s="39"/>
      <c r="M272" s="39"/>
      <c r="N272" s="39"/>
      <c r="O272" s="41"/>
      <c r="P272" s="42"/>
      <c r="Q272" s="43"/>
      <c r="R272" s="43"/>
      <c r="S272" s="43"/>
      <c r="T272" s="43"/>
      <c r="U272" s="43"/>
      <c r="V272" s="43"/>
    </row>
    <row r="273" spans="1:22" ht="21" customHeight="1" x14ac:dyDescent="0.15">
      <c r="A273" s="39"/>
      <c r="B273" s="39"/>
      <c r="C273" s="39"/>
      <c r="D273" s="39"/>
      <c r="E273" s="39"/>
      <c r="F273" s="39"/>
      <c r="G273" s="39"/>
      <c r="H273" s="39"/>
      <c r="I273" s="39"/>
      <c r="J273" s="39"/>
      <c r="K273" s="39"/>
      <c r="L273" s="39"/>
      <c r="M273" s="39"/>
      <c r="N273" s="39"/>
      <c r="O273" s="41"/>
      <c r="P273" s="42"/>
      <c r="Q273" s="43"/>
      <c r="R273" s="43"/>
      <c r="S273" s="43"/>
      <c r="T273" s="43"/>
      <c r="U273" s="43"/>
      <c r="V273" s="43"/>
    </row>
    <row r="274" spans="1:22" ht="21" customHeight="1" x14ac:dyDescent="0.15">
      <c r="A274" s="39"/>
      <c r="B274" s="39"/>
      <c r="C274" s="39"/>
      <c r="D274" s="39"/>
      <c r="E274" s="39"/>
      <c r="F274" s="39"/>
      <c r="G274" s="39"/>
      <c r="H274" s="39"/>
      <c r="I274" s="39"/>
      <c r="J274" s="39"/>
      <c r="K274" s="39"/>
      <c r="L274" s="39"/>
      <c r="M274" s="39"/>
      <c r="N274" s="39"/>
      <c r="O274" s="41"/>
      <c r="P274" s="42"/>
      <c r="Q274" s="43"/>
      <c r="R274" s="43"/>
      <c r="S274" s="43"/>
      <c r="T274" s="43"/>
      <c r="U274" s="43"/>
      <c r="V274" s="43"/>
    </row>
    <row r="275" spans="1:22" ht="21" customHeight="1" x14ac:dyDescent="0.15">
      <c r="A275" s="39"/>
      <c r="B275" s="39"/>
      <c r="C275" s="39"/>
      <c r="D275" s="39"/>
      <c r="E275" s="39"/>
      <c r="F275" s="39"/>
      <c r="G275" s="39"/>
      <c r="H275" s="39"/>
      <c r="I275" s="39"/>
      <c r="J275" s="39"/>
      <c r="K275" s="39"/>
      <c r="L275" s="39"/>
      <c r="M275" s="39"/>
      <c r="N275" s="39"/>
      <c r="O275" s="41"/>
      <c r="P275" s="42"/>
      <c r="Q275" s="43"/>
      <c r="R275" s="43"/>
      <c r="S275" s="43"/>
      <c r="T275" s="43"/>
      <c r="U275" s="43"/>
      <c r="V275" s="43"/>
    </row>
    <row r="276" spans="1:22" ht="21" customHeight="1" x14ac:dyDescent="0.15">
      <c r="A276" s="39"/>
      <c r="B276" s="39"/>
      <c r="C276" s="39"/>
      <c r="D276" s="39"/>
      <c r="E276" s="39"/>
      <c r="F276" s="39"/>
      <c r="G276" s="39"/>
      <c r="H276" s="39"/>
      <c r="I276" s="39"/>
      <c r="J276" s="39"/>
      <c r="K276" s="39"/>
      <c r="L276" s="39"/>
      <c r="M276" s="39"/>
      <c r="N276" s="39"/>
      <c r="O276" s="41"/>
      <c r="P276" s="42"/>
      <c r="Q276" s="43"/>
      <c r="R276" s="43"/>
      <c r="S276" s="43"/>
      <c r="T276" s="43"/>
      <c r="U276" s="43"/>
      <c r="V276" s="43"/>
    </row>
    <row r="277" spans="1:22" ht="21" customHeight="1" x14ac:dyDescent="0.15">
      <c r="A277" s="39"/>
      <c r="B277" s="39"/>
      <c r="C277" s="39"/>
      <c r="D277" s="39"/>
      <c r="E277" s="39"/>
      <c r="F277" s="39"/>
      <c r="G277" s="39"/>
      <c r="H277" s="39"/>
      <c r="I277" s="39"/>
      <c r="J277" s="39"/>
      <c r="K277" s="39"/>
      <c r="L277" s="39"/>
      <c r="M277" s="39"/>
      <c r="N277" s="39"/>
      <c r="O277" s="41"/>
      <c r="P277" s="42"/>
      <c r="Q277" s="43"/>
      <c r="R277" s="43"/>
      <c r="S277" s="43"/>
      <c r="T277" s="43"/>
      <c r="U277" s="43"/>
      <c r="V277" s="43"/>
    </row>
    <row r="278" spans="1:22" ht="21" customHeight="1" x14ac:dyDescent="0.15">
      <c r="A278" s="39"/>
      <c r="B278" s="39"/>
      <c r="C278" s="39"/>
      <c r="D278" s="39"/>
      <c r="E278" s="39"/>
      <c r="F278" s="39"/>
      <c r="G278" s="39"/>
      <c r="H278" s="39"/>
      <c r="I278" s="39"/>
      <c r="J278" s="39"/>
      <c r="K278" s="39"/>
      <c r="L278" s="39"/>
      <c r="M278" s="39"/>
      <c r="N278" s="39"/>
      <c r="O278" s="41"/>
      <c r="P278" s="42"/>
      <c r="Q278" s="43"/>
      <c r="R278" s="43"/>
      <c r="S278" s="43"/>
      <c r="T278" s="43"/>
      <c r="U278" s="43"/>
      <c r="V278" s="43"/>
    </row>
    <row r="279" spans="1:22" ht="21" customHeight="1" x14ac:dyDescent="0.15">
      <c r="A279" s="39"/>
      <c r="B279" s="39"/>
      <c r="C279" s="39"/>
      <c r="D279" s="39"/>
      <c r="E279" s="39"/>
      <c r="F279" s="39"/>
      <c r="G279" s="39"/>
      <c r="H279" s="39"/>
      <c r="I279" s="39"/>
      <c r="J279" s="39"/>
      <c r="K279" s="39"/>
      <c r="L279" s="39"/>
      <c r="M279" s="39"/>
      <c r="N279" s="39"/>
      <c r="O279" s="41"/>
      <c r="P279" s="42"/>
      <c r="Q279" s="43"/>
      <c r="R279" s="43"/>
      <c r="S279" s="43"/>
      <c r="T279" s="43"/>
      <c r="U279" s="43"/>
      <c r="V279" s="43"/>
    </row>
    <row r="280" spans="1:22" ht="21" customHeight="1" x14ac:dyDescent="0.15">
      <c r="A280" s="39"/>
      <c r="B280" s="39"/>
      <c r="C280" s="39"/>
      <c r="D280" s="39"/>
      <c r="E280" s="39"/>
      <c r="F280" s="39"/>
      <c r="G280" s="39"/>
      <c r="H280" s="39"/>
      <c r="I280" s="39"/>
      <c r="J280" s="39"/>
      <c r="K280" s="39"/>
      <c r="L280" s="39"/>
      <c r="M280" s="39"/>
      <c r="N280" s="39"/>
      <c r="O280" s="41"/>
      <c r="P280" s="42"/>
      <c r="Q280" s="43"/>
      <c r="R280" s="43"/>
      <c r="S280" s="43"/>
      <c r="T280" s="43"/>
      <c r="U280" s="43"/>
      <c r="V280" s="43"/>
    </row>
    <row r="281" spans="1:22" ht="21" customHeight="1" x14ac:dyDescent="0.15">
      <c r="A281" s="39"/>
      <c r="B281" s="39"/>
      <c r="C281" s="39"/>
      <c r="D281" s="39"/>
      <c r="E281" s="39"/>
      <c r="F281" s="39"/>
      <c r="G281" s="39"/>
      <c r="H281" s="39"/>
      <c r="I281" s="39"/>
      <c r="J281" s="39"/>
      <c r="K281" s="39"/>
      <c r="L281" s="39"/>
      <c r="M281" s="39"/>
      <c r="N281" s="39"/>
      <c r="O281" s="41"/>
      <c r="P281" s="42"/>
      <c r="Q281" s="43"/>
      <c r="R281" s="43"/>
      <c r="S281" s="43"/>
      <c r="T281" s="43"/>
      <c r="U281" s="43"/>
      <c r="V281" s="43"/>
    </row>
    <row r="282" spans="1:22" ht="21" customHeight="1" x14ac:dyDescent="0.15">
      <c r="A282" s="39"/>
      <c r="B282" s="39"/>
      <c r="C282" s="39"/>
      <c r="D282" s="39"/>
      <c r="E282" s="39"/>
      <c r="F282" s="39"/>
      <c r="G282" s="39"/>
      <c r="H282" s="39"/>
      <c r="I282" s="39"/>
      <c r="J282" s="39"/>
      <c r="K282" s="39"/>
      <c r="L282" s="39"/>
      <c r="M282" s="39"/>
      <c r="N282" s="39"/>
      <c r="O282" s="41"/>
      <c r="P282" s="42"/>
      <c r="Q282" s="43"/>
      <c r="R282" s="43"/>
      <c r="S282" s="43"/>
      <c r="T282" s="43"/>
      <c r="U282" s="43"/>
      <c r="V282" s="43"/>
    </row>
    <row r="283" spans="1:22" ht="21" customHeight="1" x14ac:dyDescent="0.15">
      <c r="A283" s="39"/>
      <c r="B283" s="39"/>
      <c r="C283" s="39"/>
      <c r="D283" s="39"/>
      <c r="E283" s="39"/>
      <c r="F283" s="39"/>
      <c r="G283" s="39"/>
      <c r="H283" s="39"/>
      <c r="I283" s="39"/>
      <c r="J283" s="39"/>
      <c r="K283" s="39"/>
      <c r="L283" s="39"/>
      <c r="M283" s="39"/>
      <c r="N283" s="39"/>
      <c r="O283" s="41"/>
      <c r="P283" s="42"/>
      <c r="Q283" s="43"/>
      <c r="R283" s="43"/>
      <c r="S283" s="43"/>
      <c r="T283" s="43"/>
      <c r="U283" s="43"/>
      <c r="V283" s="43"/>
    </row>
    <row r="284" spans="1:22" ht="21" customHeight="1" x14ac:dyDescent="0.15">
      <c r="A284" s="39"/>
      <c r="B284" s="39"/>
      <c r="C284" s="39"/>
      <c r="D284" s="39"/>
      <c r="E284" s="39"/>
      <c r="F284" s="39"/>
      <c r="G284" s="39"/>
      <c r="H284" s="39"/>
      <c r="I284" s="39"/>
      <c r="J284" s="39"/>
      <c r="K284" s="39"/>
      <c r="L284" s="39"/>
      <c r="M284" s="39"/>
      <c r="N284" s="39"/>
      <c r="O284" s="41"/>
      <c r="P284" s="42"/>
      <c r="Q284" s="43"/>
      <c r="R284" s="43"/>
      <c r="S284" s="43"/>
      <c r="T284" s="43"/>
      <c r="U284" s="43"/>
      <c r="V284" s="43"/>
    </row>
    <row r="285" spans="1:22" ht="21" customHeight="1" x14ac:dyDescent="0.15">
      <c r="A285" s="39"/>
      <c r="B285" s="39"/>
      <c r="C285" s="39"/>
      <c r="D285" s="39"/>
      <c r="E285" s="39"/>
      <c r="F285" s="39"/>
      <c r="G285" s="39"/>
      <c r="H285" s="39"/>
      <c r="I285" s="39"/>
      <c r="J285" s="39"/>
      <c r="K285" s="39"/>
      <c r="L285" s="39"/>
      <c r="M285" s="39"/>
      <c r="N285" s="39"/>
      <c r="O285" s="41"/>
      <c r="P285" s="42"/>
      <c r="Q285" s="43"/>
      <c r="R285" s="43"/>
      <c r="S285" s="43"/>
      <c r="T285" s="43"/>
      <c r="U285" s="43"/>
      <c r="V285" s="43"/>
    </row>
    <row r="286" spans="1:22" ht="21" customHeight="1" x14ac:dyDescent="0.15">
      <c r="A286" s="39"/>
      <c r="B286" s="39"/>
      <c r="C286" s="39"/>
      <c r="D286" s="39"/>
      <c r="E286" s="39"/>
      <c r="F286" s="39"/>
      <c r="G286" s="39"/>
      <c r="H286" s="39"/>
      <c r="I286" s="39"/>
      <c r="J286" s="39"/>
      <c r="K286" s="39"/>
      <c r="L286" s="39"/>
      <c r="M286" s="39"/>
      <c r="N286" s="39"/>
      <c r="O286" s="41"/>
      <c r="P286" s="42"/>
      <c r="Q286" s="43"/>
      <c r="R286" s="43"/>
      <c r="S286" s="43"/>
      <c r="T286" s="43"/>
      <c r="U286" s="43"/>
      <c r="V286" s="43"/>
    </row>
    <row r="287" spans="1:22" ht="21" customHeight="1" x14ac:dyDescent="0.15">
      <c r="A287" s="39"/>
      <c r="B287" s="39"/>
      <c r="C287" s="39"/>
      <c r="D287" s="39"/>
      <c r="E287" s="39"/>
      <c r="F287" s="39"/>
      <c r="G287" s="39"/>
      <c r="H287" s="39"/>
      <c r="I287" s="39"/>
      <c r="J287" s="39"/>
      <c r="K287" s="39"/>
      <c r="L287" s="39"/>
      <c r="M287" s="39"/>
      <c r="N287" s="39"/>
      <c r="O287" s="41"/>
      <c r="P287" s="42"/>
      <c r="Q287" s="43"/>
      <c r="R287" s="43"/>
      <c r="S287" s="43"/>
      <c r="T287" s="43"/>
      <c r="U287" s="43"/>
      <c r="V287" s="43"/>
    </row>
    <row r="288" spans="1:22" ht="21" customHeight="1" x14ac:dyDescent="0.15">
      <c r="A288" s="39"/>
      <c r="B288" s="39"/>
      <c r="C288" s="39"/>
      <c r="D288" s="39"/>
      <c r="E288" s="39"/>
      <c r="F288" s="39"/>
      <c r="G288" s="39"/>
      <c r="H288" s="39"/>
      <c r="I288" s="39"/>
      <c r="J288" s="39"/>
      <c r="K288" s="39"/>
      <c r="L288" s="39"/>
      <c r="M288" s="39"/>
      <c r="N288" s="39"/>
      <c r="O288" s="41"/>
      <c r="P288" s="42"/>
      <c r="Q288" s="43"/>
      <c r="R288" s="43"/>
      <c r="S288" s="43"/>
      <c r="T288" s="43"/>
      <c r="U288" s="43"/>
      <c r="V288" s="43"/>
    </row>
    <row r="289" spans="1:22" ht="21" customHeight="1" x14ac:dyDescent="0.15">
      <c r="A289" s="39"/>
      <c r="B289" s="39"/>
      <c r="C289" s="39"/>
      <c r="D289" s="39"/>
      <c r="E289" s="39"/>
      <c r="F289" s="39"/>
      <c r="G289" s="39"/>
      <c r="H289" s="39"/>
      <c r="I289" s="39"/>
      <c r="J289" s="39"/>
      <c r="K289" s="39"/>
      <c r="L289" s="39"/>
      <c r="M289" s="39"/>
      <c r="N289" s="39"/>
      <c r="O289" s="41"/>
      <c r="P289" s="42"/>
      <c r="Q289" s="43"/>
      <c r="R289" s="43"/>
      <c r="S289" s="43"/>
      <c r="T289" s="43"/>
      <c r="U289" s="43"/>
      <c r="V289" s="43"/>
    </row>
    <row r="290" spans="1:22" ht="21" customHeight="1" x14ac:dyDescent="0.15">
      <c r="A290" s="39"/>
      <c r="B290" s="39"/>
      <c r="C290" s="39"/>
      <c r="D290" s="39"/>
      <c r="E290" s="39"/>
      <c r="F290" s="39"/>
      <c r="G290" s="39"/>
      <c r="H290" s="39"/>
      <c r="I290" s="39"/>
      <c r="J290" s="39"/>
      <c r="K290" s="39"/>
      <c r="L290" s="39"/>
      <c r="M290" s="39"/>
      <c r="N290" s="39"/>
      <c r="O290" s="41"/>
      <c r="P290" s="42"/>
      <c r="Q290" s="43"/>
      <c r="R290" s="43"/>
      <c r="S290" s="43"/>
      <c r="T290" s="43"/>
      <c r="U290" s="43"/>
      <c r="V290" s="43"/>
    </row>
    <row r="291" spans="1:22" ht="21" customHeight="1" x14ac:dyDescent="0.15">
      <c r="A291" s="39"/>
      <c r="B291" s="39"/>
      <c r="C291" s="39"/>
      <c r="D291" s="39"/>
      <c r="E291" s="39"/>
      <c r="F291" s="39"/>
      <c r="G291" s="39"/>
      <c r="H291" s="39"/>
      <c r="I291" s="39"/>
      <c r="J291" s="39"/>
      <c r="K291" s="39"/>
      <c r="L291" s="39"/>
      <c r="M291" s="39"/>
      <c r="N291" s="39"/>
      <c r="O291" s="41"/>
      <c r="P291" s="42"/>
      <c r="Q291" s="43"/>
      <c r="R291" s="43"/>
      <c r="S291" s="43"/>
      <c r="T291" s="43"/>
      <c r="U291" s="43"/>
      <c r="V291" s="43"/>
    </row>
    <row r="292" spans="1:22" ht="21" customHeight="1" x14ac:dyDescent="0.15">
      <c r="A292" s="39"/>
      <c r="B292" s="39"/>
      <c r="C292" s="39"/>
      <c r="D292" s="39"/>
      <c r="E292" s="39"/>
      <c r="F292" s="39"/>
      <c r="G292" s="39"/>
      <c r="H292" s="39"/>
      <c r="I292" s="39"/>
      <c r="J292" s="39"/>
      <c r="K292" s="39"/>
      <c r="L292" s="39"/>
      <c r="M292" s="39"/>
      <c r="N292" s="39"/>
      <c r="O292" s="41"/>
      <c r="P292" s="42"/>
      <c r="Q292" s="43"/>
      <c r="R292" s="43"/>
      <c r="S292" s="43"/>
      <c r="T292" s="43"/>
      <c r="U292" s="43"/>
      <c r="V292" s="43"/>
    </row>
    <row r="293" spans="1:22" ht="21" customHeight="1" x14ac:dyDescent="0.15">
      <c r="A293" s="39"/>
      <c r="B293" s="39"/>
      <c r="C293" s="39"/>
      <c r="D293" s="39"/>
      <c r="E293" s="39"/>
      <c r="F293" s="39"/>
      <c r="G293" s="39"/>
      <c r="H293" s="39"/>
      <c r="I293" s="39"/>
      <c r="J293" s="39"/>
      <c r="K293" s="39"/>
      <c r="L293" s="39"/>
      <c r="M293" s="39"/>
      <c r="N293" s="39"/>
      <c r="O293" s="41"/>
      <c r="P293" s="42"/>
      <c r="Q293" s="43"/>
      <c r="R293" s="43"/>
      <c r="S293" s="43"/>
      <c r="T293" s="43"/>
      <c r="U293" s="43"/>
      <c r="V293" s="43"/>
    </row>
    <row r="294" spans="1:22" ht="21" customHeight="1" x14ac:dyDescent="0.15">
      <c r="A294" s="39"/>
      <c r="B294" s="39"/>
      <c r="C294" s="39"/>
      <c r="D294" s="39"/>
      <c r="E294" s="39"/>
      <c r="F294" s="39"/>
      <c r="G294" s="39"/>
      <c r="H294" s="39"/>
      <c r="I294" s="39"/>
      <c r="J294" s="39"/>
      <c r="K294" s="39"/>
      <c r="L294" s="39"/>
      <c r="M294" s="39"/>
      <c r="N294" s="39"/>
      <c r="O294" s="41"/>
      <c r="P294" s="42"/>
      <c r="Q294" s="43"/>
      <c r="R294" s="43"/>
      <c r="S294" s="43"/>
      <c r="T294" s="43"/>
      <c r="U294" s="43"/>
      <c r="V294" s="43"/>
    </row>
    <row r="295" spans="1:22" ht="21" customHeight="1" x14ac:dyDescent="0.15">
      <c r="A295" s="39"/>
      <c r="B295" s="39"/>
      <c r="C295" s="39"/>
      <c r="D295" s="39"/>
      <c r="E295" s="39"/>
      <c r="F295" s="39"/>
      <c r="G295" s="39"/>
      <c r="H295" s="39"/>
      <c r="I295" s="39"/>
      <c r="J295" s="39"/>
      <c r="K295" s="39"/>
      <c r="L295" s="39"/>
      <c r="M295" s="39"/>
      <c r="N295" s="39"/>
      <c r="O295" s="41"/>
      <c r="P295" s="42"/>
      <c r="Q295" s="43"/>
      <c r="R295" s="43"/>
      <c r="S295" s="43"/>
      <c r="T295" s="43"/>
      <c r="U295" s="43"/>
      <c r="V295" s="43"/>
    </row>
    <row r="296" spans="1:22" ht="21" customHeight="1" x14ac:dyDescent="0.15">
      <c r="A296" s="39"/>
      <c r="B296" s="39"/>
      <c r="C296" s="39"/>
      <c r="D296" s="39"/>
      <c r="E296" s="39"/>
      <c r="F296" s="39"/>
      <c r="G296" s="39"/>
      <c r="H296" s="39"/>
      <c r="I296" s="39"/>
      <c r="J296" s="39"/>
      <c r="K296" s="39"/>
      <c r="L296" s="39"/>
      <c r="M296" s="39"/>
      <c r="N296" s="39"/>
      <c r="O296" s="41"/>
      <c r="P296" s="42"/>
      <c r="Q296" s="43"/>
      <c r="R296" s="43"/>
      <c r="S296" s="43"/>
      <c r="T296" s="43"/>
      <c r="U296" s="43"/>
      <c r="V296" s="43"/>
    </row>
    <row r="297" spans="1:22" ht="21" customHeight="1" x14ac:dyDescent="0.15">
      <c r="A297" s="39"/>
      <c r="B297" s="39"/>
      <c r="C297" s="39"/>
      <c r="D297" s="39"/>
      <c r="E297" s="39"/>
      <c r="F297" s="39"/>
      <c r="G297" s="39"/>
      <c r="H297" s="39"/>
      <c r="I297" s="39"/>
      <c r="J297" s="39"/>
      <c r="K297" s="39"/>
      <c r="L297" s="39"/>
      <c r="M297" s="39"/>
      <c r="N297" s="39"/>
      <c r="O297" s="41"/>
      <c r="P297" s="42"/>
      <c r="Q297" s="43"/>
      <c r="R297" s="43"/>
      <c r="S297" s="43"/>
      <c r="T297" s="43"/>
      <c r="U297" s="43"/>
      <c r="V297" s="43"/>
    </row>
    <row r="298" spans="1:22" ht="21" customHeight="1" x14ac:dyDescent="0.15">
      <c r="A298" s="39"/>
      <c r="B298" s="39"/>
      <c r="C298" s="39"/>
      <c r="D298" s="39"/>
      <c r="E298" s="39"/>
      <c r="F298" s="39"/>
      <c r="G298" s="39"/>
      <c r="H298" s="39"/>
      <c r="I298" s="39"/>
      <c r="J298" s="39"/>
      <c r="K298" s="39"/>
      <c r="L298" s="39"/>
      <c r="M298" s="39"/>
      <c r="N298" s="39"/>
      <c r="O298" s="41"/>
      <c r="P298" s="42"/>
      <c r="Q298" s="43"/>
      <c r="R298" s="43"/>
      <c r="S298" s="43"/>
      <c r="T298" s="43"/>
      <c r="U298" s="43"/>
      <c r="V298" s="43"/>
    </row>
    <row r="299" spans="1:22" ht="21" customHeight="1" x14ac:dyDescent="0.15">
      <c r="A299" s="39"/>
      <c r="B299" s="39"/>
      <c r="C299" s="39"/>
      <c r="D299" s="39"/>
      <c r="E299" s="39"/>
      <c r="F299" s="39"/>
      <c r="G299" s="39"/>
      <c r="H299" s="39"/>
      <c r="I299" s="39"/>
      <c r="J299" s="39"/>
      <c r="K299" s="39"/>
      <c r="L299" s="39"/>
      <c r="M299" s="39"/>
      <c r="N299" s="39"/>
      <c r="O299" s="41"/>
      <c r="P299" s="42"/>
      <c r="Q299" s="43"/>
      <c r="R299" s="43"/>
      <c r="S299" s="43"/>
      <c r="T299" s="43"/>
      <c r="U299" s="43"/>
      <c r="V299" s="43"/>
    </row>
    <row r="300" spans="1:22" ht="21" customHeight="1" x14ac:dyDescent="0.15">
      <c r="A300" s="39"/>
      <c r="B300" s="39"/>
      <c r="C300" s="39"/>
      <c r="D300" s="39"/>
      <c r="E300" s="39"/>
      <c r="F300" s="39"/>
      <c r="G300" s="39"/>
      <c r="H300" s="39"/>
      <c r="I300" s="39"/>
      <c r="J300" s="39"/>
      <c r="K300" s="39"/>
      <c r="L300" s="39"/>
      <c r="M300" s="39"/>
      <c r="N300" s="39"/>
      <c r="O300" s="41"/>
      <c r="P300" s="42"/>
      <c r="Q300" s="43"/>
      <c r="R300" s="43"/>
      <c r="S300" s="43"/>
      <c r="T300" s="43"/>
      <c r="U300" s="43"/>
      <c r="V300" s="43"/>
    </row>
    <row r="301" spans="1:22" ht="21" customHeight="1" x14ac:dyDescent="0.15">
      <c r="A301" s="39"/>
      <c r="B301" s="39"/>
      <c r="C301" s="39"/>
      <c r="D301" s="39"/>
      <c r="E301" s="39"/>
      <c r="F301" s="39"/>
      <c r="G301" s="39"/>
      <c r="H301" s="39"/>
      <c r="I301" s="39"/>
      <c r="J301" s="39"/>
      <c r="K301" s="39"/>
      <c r="L301" s="39"/>
      <c r="M301" s="39"/>
      <c r="N301" s="39"/>
      <c r="O301" s="41"/>
      <c r="P301" s="42"/>
      <c r="Q301" s="43"/>
      <c r="R301" s="43"/>
      <c r="S301" s="43"/>
      <c r="T301" s="43"/>
      <c r="U301" s="43"/>
      <c r="V301" s="43"/>
    </row>
    <row r="302" spans="1:22" ht="21" customHeight="1" x14ac:dyDescent="0.15">
      <c r="A302" s="39"/>
      <c r="B302" s="39"/>
      <c r="C302" s="39"/>
      <c r="D302" s="39"/>
      <c r="E302" s="39"/>
      <c r="F302" s="39"/>
      <c r="G302" s="39"/>
      <c r="H302" s="39"/>
      <c r="I302" s="39"/>
      <c r="J302" s="39"/>
      <c r="K302" s="39"/>
      <c r="L302" s="39"/>
      <c r="M302" s="39"/>
      <c r="N302" s="39"/>
      <c r="O302" s="41"/>
      <c r="P302" s="42"/>
      <c r="Q302" s="43"/>
      <c r="R302" s="43"/>
      <c r="S302" s="43"/>
      <c r="T302" s="43"/>
      <c r="U302" s="43"/>
      <c r="V302" s="43"/>
    </row>
    <row r="303" spans="1:22" ht="21" customHeight="1" x14ac:dyDescent="0.15">
      <c r="A303" s="39"/>
      <c r="B303" s="39"/>
      <c r="C303" s="39"/>
      <c r="D303" s="39"/>
      <c r="E303" s="39"/>
      <c r="F303" s="39"/>
      <c r="G303" s="39"/>
      <c r="H303" s="39"/>
      <c r="I303" s="39"/>
      <c r="J303" s="39"/>
      <c r="K303" s="39"/>
      <c r="L303" s="39"/>
      <c r="M303" s="39"/>
      <c r="N303" s="39"/>
      <c r="O303" s="41"/>
      <c r="P303" s="42"/>
      <c r="Q303" s="43"/>
      <c r="R303" s="43"/>
      <c r="S303" s="43"/>
      <c r="T303" s="43"/>
      <c r="U303" s="43"/>
      <c r="V303" s="43"/>
    </row>
    <row r="304" spans="1:22" ht="21" customHeight="1" x14ac:dyDescent="0.15">
      <c r="A304" s="39"/>
      <c r="B304" s="39"/>
      <c r="C304" s="39"/>
      <c r="D304" s="39"/>
      <c r="E304" s="39"/>
      <c r="F304" s="39"/>
      <c r="G304" s="39"/>
      <c r="H304" s="39"/>
      <c r="I304" s="39"/>
      <c r="J304" s="39"/>
      <c r="K304" s="39"/>
      <c r="L304" s="39"/>
      <c r="M304" s="39"/>
      <c r="N304" s="39"/>
      <c r="O304" s="41"/>
      <c r="P304" s="42"/>
      <c r="Q304" s="43"/>
      <c r="R304" s="43"/>
      <c r="S304" s="43"/>
      <c r="T304" s="43"/>
      <c r="U304" s="43"/>
      <c r="V304" s="43"/>
    </row>
    <row r="305" spans="1:22" ht="21" customHeight="1" x14ac:dyDescent="0.15">
      <c r="A305" s="39"/>
      <c r="B305" s="39"/>
      <c r="C305" s="39"/>
      <c r="D305" s="39"/>
      <c r="E305" s="39"/>
      <c r="F305" s="39"/>
      <c r="G305" s="39"/>
      <c r="H305" s="39"/>
      <c r="I305" s="39"/>
      <c r="J305" s="39"/>
      <c r="K305" s="39"/>
      <c r="L305" s="39"/>
      <c r="M305" s="39"/>
      <c r="N305" s="39"/>
      <c r="O305" s="41"/>
      <c r="P305" s="42"/>
      <c r="Q305" s="43"/>
      <c r="R305" s="43"/>
      <c r="S305" s="43"/>
      <c r="T305" s="43"/>
      <c r="U305" s="43"/>
      <c r="V305" s="43"/>
    </row>
    <row r="306" spans="1:22" ht="21" customHeight="1" x14ac:dyDescent="0.15">
      <c r="A306" s="39"/>
      <c r="B306" s="39"/>
      <c r="C306" s="39"/>
      <c r="D306" s="39"/>
      <c r="E306" s="39"/>
      <c r="F306" s="39"/>
      <c r="G306" s="39"/>
      <c r="H306" s="39"/>
      <c r="I306" s="39"/>
      <c r="J306" s="39"/>
      <c r="K306" s="39"/>
      <c r="L306" s="39"/>
      <c r="M306" s="39"/>
      <c r="N306" s="39"/>
      <c r="O306" s="41"/>
      <c r="P306" s="42"/>
      <c r="Q306" s="43"/>
      <c r="R306" s="43"/>
      <c r="S306" s="43"/>
      <c r="T306" s="43"/>
      <c r="U306" s="43"/>
      <c r="V306" s="43"/>
    </row>
    <row r="307" spans="1:22" ht="21" customHeight="1" x14ac:dyDescent="0.15">
      <c r="A307" s="39"/>
      <c r="B307" s="39"/>
      <c r="C307" s="39"/>
      <c r="D307" s="39"/>
      <c r="E307" s="39"/>
      <c r="F307" s="39"/>
      <c r="G307" s="39"/>
      <c r="H307" s="39"/>
      <c r="I307" s="39"/>
      <c r="J307" s="39"/>
      <c r="K307" s="39"/>
      <c r="L307" s="39"/>
      <c r="M307" s="39"/>
      <c r="N307" s="39"/>
      <c r="O307" s="41"/>
      <c r="P307" s="42"/>
      <c r="Q307" s="43"/>
      <c r="R307" s="43"/>
      <c r="S307" s="43"/>
      <c r="T307" s="43"/>
      <c r="U307" s="43"/>
      <c r="V307" s="43"/>
    </row>
    <row r="308" spans="1:22" ht="21" customHeight="1" x14ac:dyDescent="0.15">
      <c r="A308" s="39"/>
      <c r="B308" s="39"/>
      <c r="C308" s="39"/>
      <c r="D308" s="39"/>
      <c r="E308" s="39"/>
      <c r="F308" s="39"/>
      <c r="G308" s="39"/>
      <c r="H308" s="39"/>
      <c r="I308" s="39"/>
      <c r="J308" s="39"/>
      <c r="K308" s="39"/>
      <c r="L308" s="39"/>
      <c r="M308" s="39"/>
      <c r="N308" s="39"/>
      <c r="O308" s="41"/>
      <c r="P308" s="42"/>
      <c r="Q308" s="43"/>
      <c r="R308" s="43"/>
      <c r="S308" s="43"/>
      <c r="T308" s="43"/>
      <c r="U308" s="43"/>
      <c r="V308" s="43"/>
    </row>
    <row r="309" spans="1:22" ht="21" customHeight="1" x14ac:dyDescent="0.15">
      <c r="A309" s="39"/>
      <c r="B309" s="39"/>
      <c r="C309" s="39"/>
      <c r="D309" s="39"/>
      <c r="E309" s="39"/>
      <c r="F309" s="39"/>
      <c r="G309" s="39"/>
      <c r="H309" s="39"/>
      <c r="I309" s="39"/>
      <c r="J309" s="39"/>
      <c r="K309" s="39"/>
      <c r="L309" s="39"/>
      <c r="M309" s="39"/>
      <c r="N309" s="39"/>
      <c r="O309" s="41"/>
      <c r="P309" s="42"/>
      <c r="Q309" s="43"/>
      <c r="R309" s="43"/>
      <c r="S309" s="43"/>
      <c r="T309" s="43"/>
      <c r="U309" s="43"/>
      <c r="V309" s="43"/>
    </row>
    <row r="310" spans="1:22" ht="21" customHeight="1" x14ac:dyDescent="0.15">
      <c r="A310" s="39"/>
      <c r="B310" s="39"/>
      <c r="C310" s="39"/>
      <c r="D310" s="39"/>
      <c r="E310" s="39"/>
      <c r="F310" s="39"/>
      <c r="G310" s="39"/>
      <c r="H310" s="39"/>
      <c r="I310" s="39"/>
      <c r="J310" s="39"/>
      <c r="K310" s="39"/>
      <c r="L310" s="39"/>
      <c r="M310" s="39"/>
      <c r="N310" s="39"/>
      <c r="O310" s="41"/>
      <c r="P310" s="42"/>
      <c r="Q310" s="43"/>
      <c r="R310" s="43"/>
      <c r="S310" s="43"/>
      <c r="T310" s="43"/>
      <c r="U310" s="43"/>
      <c r="V310" s="43"/>
    </row>
    <row r="311" spans="1:22" ht="21" customHeight="1" x14ac:dyDescent="0.15">
      <c r="A311" s="39"/>
      <c r="B311" s="39"/>
      <c r="C311" s="39"/>
      <c r="D311" s="39"/>
      <c r="E311" s="39"/>
      <c r="F311" s="39"/>
      <c r="G311" s="39"/>
      <c r="H311" s="39"/>
      <c r="I311" s="39"/>
      <c r="J311" s="39"/>
      <c r="K311" s="39"/>
      <c r="L311" s="39"/>
      <c r="M311" s="39"/>
      <c r="N311" s="39"/>
      <c r="O311" s="41"/>
      <c r="P311" s="42"/>
      <c r="Q311" s="43"/>
      <c r="R311" s="43"/>
      <c r="S311" s="43"/>
      <c r="T311" s="43"/>
      <c r="U311" s="43"/>
      <c r="V311" s="43"/>
    </row>
    <row r="312" spans="1:22" ht="21" customHeight="1" x14ac:dyDescent="0.15">
      <c r="A312" s="39"/>
      <c r="B312" s="39"/>
      <c r="C312" s="39"/>
      <c r="D312" s="39"/>
      <c r="E312" s="39"/>
      <c r="F312" s="39"/>
      <c r="G312" s="39"/>
      <c r="H312" s="39"/>
      <c r="I312" s="39"/>
      <c r="J312" s="39"/>
      <c r="K312" s="39"/>
      <c r="L312" s="39"/>
      <c r="M312" s="39"/>
      <c r="N312" s="39"/>
      <c r="O312" s="41"/>
      <c r="P312" s="42"/>
      <c r="Q312" s="43"/>
      <c r="R312" s="43"/>
      <c r="S312" s="43"/>
      <c r="T312" s="43"/>
      <c r="U312" s="43"/>
      <c r="V312" s="43"/>
    </row>
    <row r="313" spans="1:22" ht="21" customHeight="1" x14ac:dyDescent="0.15">
      <c r="A313" s="39"/>
      <c r="B313" s="39"/>
      <c r="C313" s="39"/>
      <c r="D313" s="39"/>
      <c r="E313" s="39"/>
      <c r="F313" s="39"/>
      <c r="G313" s="39"/>
      <c r="H313" s="39"/>
      <c r="I313" s="39"/>
      <c r="J313" s="39"/>
      <c r="K313" s="39"/>
      <c r="L313" s="39"/>
      <c r="M313" s="39"/>
      <c r="N313" s="39"/>
      <c r="O313" s="41"/>
      <c r="P313" s="42"/>
      <c r="Q313" s="43"/>
      <c r="R313" s="43"/>
      <c r="S313" s="43"/>
      <c r="T313" s="43"/>
      <c r="U313" s="43"/>
      <c r="V313" s="43"/>
    </row>
    <row r="314" spans="1:22" ht="21" customHeight="1" x14ac:dyDescent="0.15">
      <c r="A314" s="39"/>
      <c r="B314" s="39"/>
      <c r="C314" s="39"/>
      <c r="D314" s="39"/>
      <c r="E314" s="39"/>
      <c r="F314" s="39"/>
      <c r="G314" s="39"/>
      <c r="H314" s="39"/>
      <c r="I314" s="39"/>
      <c r="J314" s="39"/>
      <c r="K314" s="39"/>
      <c r="L314" s="39"/>
      <c r="M314" s="39"/>
      <c r="N314" s="39"/>
      <c r="O314" s="41"/>
      <c r="P314" s="42"/>
      <c r="Q314" s="43"/>
      <c r="R314" s="43"/>
      <c r="S314" s="43"/>
      <c r="T314" s="43"/>
      <c r="U314" s="43"/>
      <c r="V314" s="43"/>
    </row>
    <row r="315" spans="1:22" ht="21" customHeight="1" x14ac:dyDescent="0.15">
      <c r="A315" s="39"/>
      <c r="B315" s="39"/>
      <c r="C315" s="39"/>
      <c r="D315" s="39"/>
      <c r="E315" s="39"/>
      <c r="F315" s="39"/>
      <c r="G315" s="39"/>
      <c r="H315" s="39"/>
      <c r="I315" s="39"/>
      <c r="J315" s="39"/>
      <c r="K315" s="39"/>
      <c r="L315" s="39"/>
      <c r="M315" s="39"/>
      <c r="N315" s="39"/>
      <c r="O315" s="41"/>
      <c r="P315" s="42"/>
      <c r="Q315" s="43"/>
      <c r="R315" s="43"/>
      <c r="S315" s="43"/>
      <c r="T315" s="43"/>
      <c r="U315" s="43"/>
      <c r="V315" s="43"/>
    </row>
    <row r="316" spans="1:22" ht="21" customHeight="1" x14ac:dyDescent="0.15">
      <c r="A316" s="39"/>
      <c r="B316" s="39"/>
      <c r="C316" s="39"/>
      <c r="D316" s="39"/>
      <c r="E316" s="39"/>
      <c r="F316" s="39"/>
      <c r="G316" s="39"/>
      <c r="H316" s="39"/>
      <c r="I316" s="39"/>
      <c r="J316" s="39"/>
      <c r="K316" s="39"/>
      <c r="L316" s="39"/>
      <c r="M316" s="39"/>
      <c r="N316" s="39"/>
      <c r="O316" s="41"/>
      <c r="P316" s="42"/>
      <c r="Q316" s="43"/>
      <c r="R316" s="43"/>
      <c r="S316" s="43"/>
      <c r="T316" s="43"/>
      <c r="U316" s="43"/>
      <c r="V316" s="43"/>
    </row>
    <row r="317" spans="1:22" ht="21" customHeight="1" x14ac:dyDescent="0.15">
      <c r="A317" s="39"/>
      <c r="B317" s="39"/>
      <c r="C317" s="39"/>
      <c r="D317" s="39"/>
      <c r="E317" s="39"/>
      <c r="F317" s="39"/>
      <c r="G317" s="39"/>
      <c r="H317" s="39"/>
      <c r="I317" s="39"/>
      <c r="J317" s="39"/>
      <c r="K317" s="39"/>
      <c r="L317" s="39"/>
      <c r="M317" s="39"/>
      <c r="N317" s="39"/>
      <c r="O317" s="41"/>
      <c r="P317" s="42"/>
      <c r="Q317" s="43"/>
      <c r="R317" s="43"/>
      <c r="S317" s="43"/>
      <c r="T317" s="43"/>
      <c r="U317" s="43"/>
      <c r="V317" s="43"/>
    </row>
    <row r="318" spans="1:22" ht="21" customHeight="1" x14ac:dyDescent="0.15">
      <c r="A318" s="39"/>
      <c r="B318" s="39"/>
      <c r="C318" s="39"/>
      <c r="D318" s="39"/>
      <c r="E318" s="39"/>
      <c r="F318" s="39"/>
      <c r="G318" s="39"/>
      <c r="H318" s="39"/>
      <c r="I318" s="39"/>
      <c r="J318" s="39"/>
      <c r="K318" s="39"/>
      <c r="L318" s="39"/>
      <c r="M318" s="39"/>
      <c r="N318" s="39"/>
      <c r="O318" s="41"/>
      <c r="P318" s="42"/>
      <c r="Q318" s="43"/>
      <c r="R318" s="43"/>
      <c r="S318" s="43"/>
      <c r="T318" s="43"/>
      <c r="U318" s="43"/>
      <c r="V318" s="43"/>
    </row>
    <row r="319" spans="1:22" ht="21" customHeight="1" x14ac:dyDescent="0.15">
      <c r="A319" s="39"/>
      <c r="B319" s="39"/>
      <c r="C319" s="39"/>
      <c r="D319" s="39"/>
      <c r="E319" s="39"/>
      <c r="F319" s="39"/>
      <c r="G319" s="39"/>
      <c r="H319" s="39"/>
      <c r="I319" s="39"/>
      <c r="J319" s="39"/>
      <c r="K319" s="39"/>
      <c r="L319" s="39"/>
      <c r="M319" s="39"/>
      <c r="N319" s="39"/>
      <c r="O319" s="41"/>
      <c r="P319" s="42"/>
      <c r="Q319" s="43"/>
      <c r="R319" s="43"/>
      <c r="S319" s="43"/>
      <c r="T319" s="43"/>
      <c r="U319" s="43"/>
      <c r="V319" s="43"/>
    </row>
    <row r="320" spans="1:22" ht="21" customHeight="1" x14ac:dyDescent="0.15">
      <c r="A320" s="39"/>
      <c r="B320" s="39"/>
      <c r="C320" s="39"/>
      <c r="D320" s="39"/>
      <c r="E320" s="39"/>
      <c r="F320" s="39"/>
      <c r="G320" s="39"/>
      <c r="H320" s="39"/>
      <c r="I320" s="39"/>
      <c r="J320" s="39"/>
      <c r="K320" s="39"/>
      <c r="L320" s="39"/>
      <c r="M320" s="39"/>
      <c r="N320" s="39"/>
      <c r="O320" s="41"/>
      <c r="P320" s="42"/>
      <c r="Q320" s="43"/>
      <c r="R320" s="43"/>
      <c r="S320" s="43"/>
      <c r="T320" s="43"/>
      <c r="U320" s="43"/>
      <c r="V320" s="43"/>
    </row>
    <row r="321" spans="1:22" ht="21" customHeight="1" x14ac:dyDescent="0.15">
      <c r="A321" s="39"/>
      <c r="B321" s="39"/>
      <c r="C321" s="39"/>
      <c r="D321" s="39"/>
      <c r="E321" s="39"/>
      <c r="F321" s="39"/>
      <c r="G321" s="39"/>
      <c r="H321" s="39"/>
      <c r="I321" s="39"/>
      <c r="J321" s="39"/>
      <c r="K321" s="39"/>
      <c r="L321" s="39"/>
      <c r="M321" s="39"/>
      <c r="N321" s="39"/>
      <c r="O321" s="41"/>
      <c r="P321" s="42"/>
      <c r="Q321" s="43"/>
      <c r="R321" s="43"/>
      <c r="S321" s="43"/>
      <c r="T321" s="43"/>
      <c r="U321" s="43"/>
      <c r="V321" s="43"/>
    </row>
    <row r="322" spans="1:22" ht="21" customHeight="1" x14ac:dyDescent="0.15">
      <c r="A322" s="39"/>
      <c r="B322" s="39"/>
      <c r="C322" s="39"/>
      <c r="D322" s="39"/>
      <c r="E322" s="39"/>
      <c r="F322" s="39"/>
      <c r="G322" s="39"/>
      <c r="H322" s="39"/>
      <c r="I322" s="39"/>
      <c r="J322" s="39"/>
      <c r="K322" s="39"/>
      <c r="L322" s="39"/>
      <c r="M322" s="39"/>
      <c r="N322" s="39"/>
      <c r="O322" s="41"/>
      <c r="P322" s="42"/>
      <c r="Q322" s="43"/>
      <c r="R322" s="43"/>
      <c r="S322" s="43"/>
      <c r="T322" s="43"/>
      <c r="U322" s="43"/>
      <c r="V322" s="43"/>
    </row>
    <row r="323" spans="1:22" ht="21" customHeight="1" x14ac:dyDescent="0.15">
      <c r="A323" s="39"/>
      <c r="B323" s="39"/>
      <c r="C323" s="39"/>
      <c r="D323" s="39"/>
      <c r="E323" s="39"/>
      <c r="F323" s="39"/>
      <c r="G323" s="39"/>
      <c r="H323" s="39"/>
      <c r="I323" s="39"/>
      <c r="J323" s="39"/>
      <c r="K323" s="39"/>
      <c r="L323" s="39"/>
      <c r="M323" s="39"/>
      <c r="N323" s="39"/>
      <c r="O323" s="41"/>
      <c r="P323" s="42"/>
      <c r="Q323" s="43"/>
      <c r="R323" s="43"/>
      <c r="S323" s="43"/>
      <c r="T323" s="43"/>
      <c r="U323" s="43"/>
      <c r="V323" s="43"/>
    </row>
    <row r="324" spans="1:22" ht="21" customHeight="1" x14ac:dyDescent="0.15">
      <c r="A324" s="39"/>
      <c r="B324" s="39"/>
      <c r="C324" s="39"/>
      <c r="D324" s="39"/>
      <c r="E324" s="39"/>
      <c r="F324" s="39"/>
      <c r="G324" s="39"/>
      <c r="H324" s="39"/>
      <c r="I324" s="39"/>
      <c r="J324" s="39"/>
      <c r="K324" s="39"/>
      <c r="L324" s="39"/>
      <c r="M324" s="39"/>
      <c r="N324" s="39"/>
      <c r="O324" s="41"/>
      <c r="P324" s="42"/>
      <c r="Q324" s="43"/>
      <c r="R324" s="43"/>
      <c r="S324" s="43"/>
      <c r="T324" s="43"/>
      <c r="U324" s="43"/>
      <c r="V324" s="43"/>
    </row>
    <row r="325" spans="1:22" ht="21" customHeight="1" x14ac:dyDescent="0.15">
      <c r="A325" s="39"/>
      <c r="B325" s="39"/>
      <c r="C325" s="39"/>
      <c r="D325" s="39"/>
      <c r="E325" s="39"/>
      <c r="F325" s="39"/>
      <c r="G325" s="39"/>
      <c r="H325" s="39"/>
      <c r="I325" s="39"/>
      <c r="J325" s="39"/>
      <c r="K325" s="39"/>
      <c r="L325" s="39"/>
      <c r="M325" s="39"/>
      <c r="N325" s="39"/>
      <c r="O325" s="41"/>
      <c r="P325" s="42"/>
      <c r="Q325" s="43"/>
      <c r="R325" s="43"/>
      <c r="S325" s="43"/>
      <c r="T325" s="43"/>
      <c r="U325" s="43"/>
      <c r="V325" s="43"/>
    </row>
    <row r="326" spans="1:22" ht="21" customHeight="1" x14ac:dyDescent="0.15">
      <c r="A326" s="39"/>
      <c r="B326" s="39"/>
      <c r="C326" s="39"/>
      <c r="D326" s="39"/>
      <c r="E326" s="39"/>
      <c r="F326" s="39"/>
      <c r="G326" s="39"/>
      <c r="H326" s="39"/>
      <c r="I326" s="39"/>
      <c r="J326" s="39"/>
      <c r="K326" s="39"/>
      <c r="L326" s="39"/>
      <c r="M326" s="39"/>
      <c r="N326" s="39"/>
      <c r="O326" s="41"/>
      <c r="P326" s="42"/>
      <c r="Q326" s="43"/>
      <c r="R326" s="43"/>
      <c r="S326" s="43"/>
      <c r="T326" s="43"/>
      <c r="U326" s="43"/>
      <c r="V326" s="43"/>
    </row>
    <row r="327" spans="1:22" ht="21" customHeight="1" x14ac:dyDescent="0.15">
      <c r="A327" s="39"/>
      <c r="B327" s="39"/>
      <c r="C327" s="39"/>
      <c r="D327" s="39"/>
      <c r="E327" s="39"/>
      <c r="F327" s="39"/>
      <c r="G327" s="39"/>
      <c r="H327" s="39"/>
      <c r="I327" s="39"/>
      <c r="J327" s="39"/>
      <c r="K327" s="39"/>
      <c r="L327" s="39"/>
      <c r="M327" s="39"/>
      <c r="N327" s="39"/>
      <c r="O327" s="41"/>
      <c r="P327" s="42"/>
      <c r="Q327" s="43"/>
      <c r="R327" s="43"/>
      <c r="S327" s="43"/>
      <c r="T327" s="43"/>
      <c r="U327" s="43"/>
      <c r="V327" s="43"/>
    </row>
    <row r="328" spans="1:22" ht="21" customHeight="1" x14ac:dyDescent="0.15">
      <c r="A328" s="39"/>
      <c r="B328" s="39"/>
      <c r="C328" s="39"/>
      <c r="D328" s="39"/>
      <c r="E328" s="39"/>
      <c r="F328" s="39"/>
      <c r="G328" s="39"/>
      <c r="H328" s="39"/>
      <c r="I328" s="39"/>
      <c r="J328" s="39"/>
      <c r="K328" s="39"/>
      <c r="L328" s="39"/>
      <c r="M328" s="39"/>
      <c r="N328" s="39"/>
      <c r="O328" s="41"/>
      <c r="P328" s="42"/>
      <c r="Q328" s="43"/>
      <c r="R328" s="43"/>
      <c r="S328" s="43"/>
      <c r="T328" s="43"/>
      <c r="U328" s="43"/>
      <c r="V328" s="43"/>
    </row>
    <row r="329" spans="1:22" ht="21" customHeight="1" x14ac:dyDescent="0.15">
      <c r="A329" s="39"/>
      <c r="B329" s="39"/>
      <c r="C329" s="39"/>
      <c r="D329" s="39"/>
      <c r="E329" s="39"/>
      <c r="F329" s="39"/>
      <c r="G329" s="39"/>
      <c r="H329" s="39"/>
      <c r="I329" s="39"/>
      <c r="J329" s="39"/>
      <c r="K329" s="39"/>
      <c r="L329" s="39"/>
      <c r="M329" s="39"/>
      <c r="N329" s="39"/>
      <c r="O329" s="41"/>
      <c r="P329" s="42"/>
      <c r="Q329" s="43"/>
      <c r="R329" s="43"/>
      <c r="S329" s="43"/>
      <c r="T329" s="43"/>
      <c r="U329" s="43"/>
      <c r="V329" s="43"/>
    </row>
    <row r="330" spans="1:22" ht="21" customHeight="1" x14ac:dyDescent="0.15">
      <c r="A330" s="39"/>
      <c r="B330" s="39"/>
      <c r="C330" s="39"/>
      <c r="D330" s="39"/>
      <c r="E330" s="39"/>
      <c r="F330" s="39"/>
      <c r="G330" s="39"/>
      <c r="H330" s="39"/>
      <c r="I330" s="39"/>
      <c r="J330" s="39"/>
      <c r="K330" s="39"/>
      <c r="L330" s="39"/>
      <c r="M330" s="39"/>
      <c r="N330" s="39"/>
      <c r="O330" s="41"/>
      <c r="P330" s="42"/>
      <c r="Q330" s="43"/>
      <c r="R330" s="43"/>
      <c r="S330" s="43"/>
      <c r="T330" s="43"/>
      <c r="U330" s="43"/>
      <c r="V330" s="43"/>
    </row>
    <row r="331" spans="1:22" ht="21" customHeight="1" x14ac:dyDescent="0.15">
      <c r="A331" s="39"/>
      <c r="B331" s="39"/>
      <c r="C331" s="39"/>
      <c r="D331" s="39"/>
      <c r="E331" s="39"/>
      <c r="F331" s="39"/>
      <c r="G331" s="39"/>
      <c r="H331" s="39"/>
      <c r="I331" s="39"/>
      <c r="J331" s="39"/>
      <c r="K331" s="39"/>
      <c r="L331" s="39"/>
      <c r="M331" s="39"/>
      <c r="N331" s="39"/>
      <c r="O331" s="41"/>
      <c r="P331" s="42"/>
      <c r="Q331" s="43"/>
      <c r="R331" s="43"/>
      <c r="S331" s="43"/>
      <c r="T331" s="43"/>
      <c r="U331" s="43"/>
      <c r="V331" s="43"/>
    </row>
    <row r="332" spans="1:22" ht="21" customHeight="1" x14ac:dyDescent="0.15">
      <c r="A332" s="39"/>
      <c r="B332" s="39"/>
      <c r="C332" s="39"/>
      <c r="D332" s="39"/>
      <c r="E332" s="39"/>
      <c r="F332" s="39"/>
      <c r="G332" s="39"/>
      <c r="H332" s="39"/>
      <c r="I332" s="39"/>
      <c r="J332" s="39"/>
      <c r="K332" s="39"/>
      <c r="L332" s="39"/>
      <c r="M332" s="39"/>
      <c r="N332" s="39"/>
      <c r="O332" s="41"/>
      <c r="P332" s="42"/>
      <c r="Q332" s="43"/>
      <c r="R332" s="43"/>
      <c r="S332" s="43"/>
      <c r="T332" s="43"/>
      <c r="U332" s="43"/>
      <c r="V332" s="43"/>
    </row>
    <row r="333" spans="1:22" ht="21" customHeight="1" x14ac:dyDescent="0.15">
      <c r="A333" s="39"/>
      <c r="B333" s="39"/>
      <c r="C333" s="39"/>
      <c r="D333" s="39"/>
      <c r="E333" s="39"/>
      <c r="F333" s="39"/>
      <c r="G333" s="39"/>
      <c r="H333" s="39"/>
      <c r="I333" s="39"/>
      <c r="J333" s="39"/>
      <c r="K333" s="39"/>
      <c r="L333" s="39"/>
      <c r="M333" s="39"/>
      <c r="N333" s="39"/>
      <c r="O333" s="41"/>
      <c r="P333" s="42"/>
      <c r="Q333" s="43"/>
      <c r="R333" s="43"/>
      <c r="S333" s="43"/>
      <c r="T333" s="43"/>
      <c r="U333" s="43"/>
      <c r="V333" s="43"/>
    </row>
    <row r="334" spans="1:22" ht="21" customHeight="1" x14ac:dyDescent="0.15">
      <c r="A334" s="39"/>
      <c r="B334" s="39"/>
      <c r="C334" s="39"/>
      <c r="D334" s="39"/>
      <c r="E334" s="39"/>
      <c r="F334" s="39"/>
      <c r="G334" s="39"/>
      <c r="H334" s="39"/>
      <c r="I334" s="39"/>
      <c r="J334" s="39"/>
      <c r="K334" s="39"/>
      <c r="L334" s="39"/>
      <c r="M334" s="39"/>
      <c r="N334" s="39"/>
      <c r="O334" s="41"/>
      <c r="P334" s="42"/>
      <c r="Q334" s="43"/>
      <c r="R334" s="43"/>
      <c r="S334" s="43"/>
      <c r="T334" s="43"/>
      <c r="U334" s="43"/>
      <c r="V334" s="43"/>
    </row>
    <row r="335" spans="1:22" ht="21" customHeight="1" x14ac:dyDescent="0.15">
      <c r="A335" s="39"/>
      <c r="B335" s="39"/>
      <c r="C335" s="39"/>
      <c r="D335" s="39"/>
      <c r="E335" s="39"/>
      <c r="F335" s="39"/>
      <c r="G335" s="39"/>
      <c r="H335" s="39"/>
      <c r="I335" s="39"/>
      <c r="J335" s="39"/>
      <c r="K335" s="39"/>
      <c r="L335" s="39"/>
      <c r="M335" s="39"/>
      <c r="N335" s="39"/>
      <c r="O335" s="41"/>
      <c r="P335" s="42"/>
      <c r="Q335" s="43"/>
      <c r="R335" s="43"/>
      <c r="S335" s="43"/>
      <c r="T335" s="43"/>
      <c r="U335" s="43"/>
      <c r="V335" s="43"/>
    </row>
  </sheetData>
  <phoneticPr fontId="10"/>
  <pageMargins left="0.75" right="0.75" top="1" bottom="1" header="0.3" footer="0.3"/>
  <pageSetup paperSize="9" orientation="portrait" horizontalDpi="4294967292" verticalDpi="4294967292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 enableFormatConditionsCalculation="0">
    <tabColor rgb="FF0000FF"/>
    <outlinePr summaryBelow="0" summaryRight="0"/>
  </sheetPr>
  <dimension ref="A1:AJ335"/>
  <sheetViews>
    <sheetView showGridLines="0" workbookViewId="0">
      <pane ySplit="1" topLeftCell="A2" activePane="bottomLeft" state="frozen"/>
      <selection activeCell="E6" sqref="E6"/>
      <selection pane="bottomLeft" activeCell="O6" sqref="O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22" width="13" style="1"/>
    <col min="23" max="36" width="13" style="45"/>
    <col min="37" max="16384" width="13" style="1"/>
  </cols>
  <sheetData>
    <row r="1" spans="1:22" ht="21" customHeight="1" x14ac:dyDescent="0.15">
      <c r="A1" s="13" t="s">
        <v>108</v>
      </c>
      <c r="B1" s="14" t="s">
        <v>109</v>
      </c>
      <c r="C1" s="3" t="s">
        <v>9</v>
      </c>
      <c r="D1" s="3" t="s">
        <v>110</v>
      </c>
      <c r="E1" s="3" t="s">
        <v>106</v>
      </c>
      <c r="F1" s="3" t="s">
        <v>107</v>
      </c>
      <c r="G1" s="3" t="s">
        <v>111</v>
      </c>
      <c r="H1" s="3" t="s">
        <v>112</v>
      </c>
      <c r="I1" s="3" t="s">
        <v>113</v>
      </c>
      <c r="J1" s="3" t="s">
        <v>114</v>
      </c>
      <c r="K1" s="3" t="s">
        <v>115</v>
      </c>
      <c r="L1" s="3" t="s">
        <v>116</v>
      </c>
      <c r="M1" s="3" t="s">
        <v>117</v>
      </c>
      <c r="N1" s="3" t="s">
        <v>20</v>
      </c>
      <c r="O1" s="14" t="s">
        <v>118</v>
      </c>
      <c r="P1" s="3" t="s">
        <v>22</v>
      </c>
      <c r="Q1" s="14" t="s">
        <v>119</v>
      </c>
      <c r="R1" s="21" t="s">
        <v>4</v>
      </c>
      <c r="S1" s="21" t="s">
        <v>5</v>
      </c>
      <c r="T1" s="21" t="s">
        <v>6</v>
      </c>
      <c r="U1" s="21" t="s">
        <v>7</v>
      </c>
      <c r="V1" s="21" t="s">
        <v>8</v>
      </c>
    </row>
    <row r="2" spans="1:22" ht="21" customHeight="1" x14ac:dyDescent="0.15">
      <c r="A2" s="2">
        <v>7121102</v>
      </c>
      <c r="B2" s="6">
        <v>1031</v>
      </c>
      <c r="C2" s="7" t="str">
        <f t="shared" ref="C2:C5" si="0">D2&amp;J2&amp;E2&amp;F2&amp;G2</f>
        <v>PremiumSS5R5only</v>
      </c>
      <c r="D2" s="7" t="str">
        <f>IF(OR(I2="PremiumSS",I2="PremiumSSw"),"PremiumSS",IF(I2="PremiumSSS",I2,IF(I2="PremiumW",IF(J2=5,"premium",I2),"Premium")))</f>
        <v>PremiumSS</v>
      </c>
      <c r="E2" s="7" t="str">
        <f>IF(COUNTIF('R6追加前'!A:A,B2)=0,IF(OR(I2="PremiumSS",I2="PremiumSSw"),"R5only","R3less"),"")</f>
        <v>R5only</v>
      </c>
      <c r="F2" s="7" t="str">
        <f>IF(COUNTIF('R6開放'!A:A,B2)&gt;0,"R6release","")</f>
        <v/>
      </c>
      <c r="G2" s="7"/>
      <c r="H2" s="7" t="str">
        <f>VLOOKUP(B2,[1]characters!$A:$C,3,FALSE)</f>
        <v>紫式部</v>
      </c>
      <c r="I2" s="7" t="str">
        <f>VLOOKUP(B2,[1]characters!$A:$J,10,FALSE)</f>
        <v>PremiumSS</v>
      </c>
      <c r="J2" s="7">
        <f>VLOOKUP(B2,[1]characters!$A:$I,9,FALSE)</f>
        <v>5</v>
      </c>
      <c r="K2" s="7" t="str">
        <f>VLOOKUP(B2,[1]characters!$A:$H,8,FALSE)</f>
        <v>blue</v>
      </c>
      <c r="L2" s="7" t="str">
        <f>VLOOKUP(B2,[1]characters!$A:$K,11,FALSE)</f>
        <v>technical</v>
      </c>
      <c r="M2" s="7" t="str">
        <f>VLOOKUP(B2,[1]characters!$A:$M,13,FALSE)</f>
        <v>human</v>
      </c>
      <c r="N2" s="7" t="str">
        <f>VLOOKUP(B2,[1]characters!$A:$G,7,FALSE)</f>
        <v>男性</v>
      </c>
      <c r="O2" s="7">
        <v>10</v>
      </c>
      <c r="P2" s="27">
        <f t="shared" ref="P2:P5" si="1">O2/SUM(O:O)</f>
        <v>0.25</v>
      </c>
      <c r="Q2" s="22">
        <v>1</v>
      </c>
      <c r="R2" s="22">
        <v>0</v>
      </c>
      <c r="S2" s="22">
        <v>0</v>
      </c>
      <c r="T2" s="22">
        <v>0</v>
      </c>
      <c r="U2" s="22">
        <v>0</v>
      </c>
      <c r="V2" s="22">
        <v>1</v>
      </c>
    </row>
    <row r="3" spans="1:22" ht="21" customHeight="1" x14ac:dyDescent="0.15">
      <c r="A3" s="2">
        <v>7121102</v>
      </c>
      <c r="B3" s="6">
        <v>732</v>
      </c>
      <c r="C3" s="7" t="str">
        <f t="shared" si="0"/>
        <v>PremiumSS5R5only</v>
      </c>
      <c r="D3" s="7" t="str">
        <f t="shared" ref="D3:D5" si="2">IF(OR(I3="PremiumSS",I3="PremiumSSw"),"PremiumSS",IF(I3="PremiumSSS",I3,IF(I3="PremiumW",IF(J3=5,"premium",I3),"Premium")))</f>
        <v>PremiumSS</v>
      </c>
      <c r="E3" s="7" t="str">
        <f>IF(COUNTIF('R6追加前'!A:A,B3)=0,IF(OR(I3="PremiumSS",I3="PremiumSSw"),"R5only","R3less"),"")</f>
        <v>R5only</v>
      </c>
      <c r="F3" s="7" t="str">
        <f>IF(COUNTIF('R6開放'!A:A,B3)&gt;0,"R6release","")</f>
        <v/>
      </c>
      <c r="G3" s="7"/>
      <c r="H3" s="7" t="str">
        <f>VLOOKUP(B3,[1]characters!$A:$C,3,FALSE)</f>
        <v>上杉謙信</v>
      </c>
      <c r="I3" s="7" t="str">
        <f>VLOOKUP(B3,[1]characters!$A:$J,10,FALSE)</f>
        <v>PremiumSS</v>
      </c>
      <c r="J3" s="7">
        <f>VLOOKUP(B3,[1]characters!$A:$I,9,FALSE)</f>
        <v>5</v>
      </c>
      <c r="K3" s="7" t="str">
        <f>VLOOKUP(B3,[1]characters!$A:$H,8,FALSE)</f>
        <v>blue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7">
        <v>10</v>
      </c>
      <c r="P3" s="27">
        <f t="shared" si="1"/>
        <v>0.25</v>
      </c>
      <c r="Q3" s="22">
        <v>1</v>
      </c>
      <c r="R3" s="22">
        <v>0</v>
      </c>
      <c r="S3" s="22">
        <v>0</v>
      </c>
      <c r="T3" s="22">
        <v>0</v>
      </c>
      <c r="U3" s="22">
        <v>0</v>
      </c>
      <c r="V3" s="22">
        <v>1</v>
      </c>
    </row>
    <row r="4" spans="1:22" ht="21" customHeight="1" x14ac:dyDescent="0.15">
      <c r="A4" s="2">
        <v>7121102</v>
      </c>
      <c r="B4" s="6">
        <v>675</v>
      </c>
      <c r="C4" s="7" t="str">
        <f t="shared" si="0"/>
        <v>PremiumSS5</v>
      </c>
      <c r="D4" s="7" t="str">
        <f t="shared" si="2"/>
        <v>PremiumSS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芸楽の奔流 サラスヴァティ</v>
      </c>
      <c r="I4" s="7" t="str">
        <f>VLOOKUP(B4,[1]characters!$A:$J,10,FALSE)</f>
        <v>PremiumSS</v>
      </c>
      <c r="J4" s="7">
        <f>VLOOKUP(B4,[1]characters!$A:$I,9,FALSE)</f>
        <v>5</v>
      </c>
      <c r="K4" s="7" t="str">
        <f>VLOOKUP(B4,[1]characters!$A:$H,8,FALSE)</f>
        <v>blue</v>
      </c>
      <c r="L4" s="7" t="str">
        <f>VLOOKUP(B4,[1]characters!$A:$K,11,FALSE)</f>
        <v>balance</v>
      </c>
      <c r="M4" s="7" t="str">
        <f>VLOOKUP(B4,[1]characters!$A:$M,13,FALSE)</f>
        <v>god</v>
      </c>
      <c r="N4" s="7" t="str">
        <f>VLOOKUP(B4,[1]characters!$A:$G,7,FALSE)</f>
        <v>女性</v>
      </c>
      <c r="O4" s="7">
        <v>10</v>
      </c>
      <c r="P4" s="27">
        <f t="shared" si="1"/>
        <v>0.25</v>
      </c>
      <c r="Q4" s="22">
        <v>1</v>
      </c>
      <c r="R4" s="22">
        <v>0</v>
      </c>
      <c r="S4" s="22">
        <v>0</v>
      </c>
      <c r="T4" s="22">
        <v>0</v>
      </c>
      <c r="U4" s="22">
        <v>0</v>
      </c>
      <c r="V4" s="22">
        <v>1</v>
      </c>
    </row>
    <row r="5" spans="1:22" ht="21" customHeight="1" x14ac:dyDescent="0.15">
      <c r="A5" s="2">
        <v>7121102</v>
      </c>
      <c r="B5" s="6">
        <v>1141</v>
      </c>
      <c r="C5" s="7" t="str">
        <f t="shared" si="0"/>
        <v>PremiumSS5R5only</v>
      </c>
      <c r="D5" s="7" t="str">
        <f t="shared" si="2"/>
        <v>PremiumSS</v>
      </c>
      <c r="E5" s="7" t="str">
        <f>IF(COUNTIF('R6追加前'!A:A,B5)=0,IF(OR(I5="PremiumSS",I5="PremiumSSw"),"R5only","R3less"),"")</f>
        <v>R5only</v>
      </c>
      <c r="F5" s="7" t="str">
        <f>IF(COUNTIF('R6開放'!A:A,B5)&gt;0,"R6release","")</f>
        <v/>
      </c>
      <c r="G5" s="7"/>
      <c r="H5" s="7" t="str">
        <f>VLOOKUP(B5,[1]characters!$A:$C,3,FALSE)</f>
        <v>月英</v>
      </c>
      <c r="I5" s="7" t="str">
        <f>VLOOKUP(B5,[1]characters!$A:$J,10,FALSE)</f>
        <v>PremiumSS</v>
      </c>
      <c r="J5" s="7">
        <f>VLOOKUP(B5,[1]characters!$A:$I,9,FALSE)</f>
        <v>5</v>
      </c>
      <c r="K5" s="7" t="str">
        <f>VLOOKUP(B5,[1]characters!$A:$H,8,FALSE)</f>
        <v>blue</v>
      </c>
      <c r="L5" s="7" t="str">
        <f>VLOOKUP(B5,[1]characters!$A:$K,11,FALSE)</f>
        <v>balance</v>
      </c>
      <c r="M5" s="7" t="str">
        <f>VLOOKUP(B5,[1]characters!$A:$M,13,FALSE)</f>
        <v>human</v>
      </c>
      <c r="N5" s="7" t="str">
        <f>VLOOKUP(B5,[1]characters!$A:$G,7,FALSE)</f>
        <v>不明</v>
      </c>
      <c r="O5" s="7">
        <v>10</v>
      </c>
      <c r="P5" s="27">
        <f t="shared" si="1"/>
        <v>0.25</v>
      </c>
      <c r="Q5" s="22">
        <v>1</v>
      </c>
      <c r="R5" s="22">
        <v>0</v>
      </c>
      <c r="S5" s="22">
        <v>0</v>
      </c>
      <c r="T5" s="22">
        <v>0</v>
      </c>
      <c r="U5" s="22">
        <v>0</v>
      </c>
      <c r="V5" s="22">
        <v>1</v>
      </c>
    </row>
    <row r="6" spans="1:22" ht="21" customHeight="1" x14ac:dyDescent="0.15">
      <c r="A6" s="2"/>
      <c r="B6" s="6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27"/>
      <c r="Q6" s="22"/>
      <c r="R6" s="22"/>
      <c r="S6" s="22"/>
      <c r="T6" s="22"/>
      <c r="U6" s="22"/>
      <c r="V6" s="22"/>
    </row>
    <row r="7" spans="1:22" ht="21" customHeight="1" x14ac:dyDescent="0.15">
      <c r="A7" s="2"/>
      <c r="B7" s="6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27"/>
      <c r="Q7" s="22"/>
      <c r="R7" s="22"/>
      <c r="S7" s="22"/>
      <c r="T7" s="22"/>
      <c r="U7" s="22"/>
      <c r="V7" s="22"/>
    </row>
    <row r="8" spans="1:22" ht="21" customHeight="1" x14ac:dyDescent="0.15">
      <c r="A8" s="2"/>
      <c r="B8" s="6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27"/>
      <c r="Q8" s="22"/>
      <c r="R8" s="22"/>
      <c r="S8" s="22"/>
      <c r="T8" s="22"/>
      <c r="U8" s="22"/>
      <c r="V8" s="22"/>
    </row>
    <row r="9" spans="1:22" ht="21" customHeight="1" x14ac:dyDescent="0.15">
      <c r="A9" s="2"/>
      <c r="B9" s="6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27"/>
      <c r="Q9" s="22"/>
      <c r="R9" s="22"/>
      <c r="S9" s="22"/>
      <c r="T9" s="22"/>
      <c r="U9" s="22"/>
      <c r="V9" s="22"/>
    </row>
    <row r="10" spans="1:22" ht="21" customHeight="1" x14ac:dyDescent="0.15">
      <c r="A10" s="2"/>
      <c r="B10" s="6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27"/>
      <c r="Q10" s="22"/>
      <c r="R10" s="22"/>
      <c r="S10" s="22"/>
      <c r="T10" s="22"/>
      <c r="U10" s="22"/>
      <c r="V10" s="22"/>
    </row>
    <row r="11" spans="1:22" ht="21" customHeight="1" x14ac:dyDescent="0.15">
      <c r="A11" s="2"/>
      <c r="B11" s="6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27"/>
      <c r="Q11" s="22"/>
      <c r="R11" s="22"/>
      <c r="S11" s="22"/>
      <c r="T11" s="22"/>
      <c r="U11" s="22"/>
      <c r="V11" s="22"/>
    </row>
    <row r="12" spans="1:22" ht="21" customHeight="1" x14ac:dyDescent="0.15">
      <c r="A12" s="2"/>
      <c r="B12" s="8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27"/>
      <c r="Q12" s="22"/>
      <c r="R12" s="22"/>
      <c r="S12" s="22"/>
      <c r="T12" s="22"/>
      <c r="U12" s="22"/>
      <c r="V12" s="22"/>
    </row>
    <row r="13" spans="1:22" ht="21" customHeight="1" x14ac:dyDescent="0.15">
      <c r="A13" s="2"/>
      <c r="B13" s="8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27"/>
      <c r="Q13" s="22"/>
      <c r="R13" s="22"/>
      <c r="S13" s="22"/>
      <c r="T13" s="22"/>
      <c r="U13" s="22"/>
      <c r="V13" s="22"/>
    </row>
    <row r="14" spans="1:22" ht="21" customHeight="1" x14ac:dyDescent="0.15">
      <c r="A14" s="2"/>
      <c r="B14" s="6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27"/>
      <c r="Q14" s="22"/>
      <c r="R14" s="22"/>
      <c r="S14" s="22"/>
      <c r="T14" s="22"/>
      <c r="U14" s="22"/>
      <c r="V14" s="22"/>
    </row>
    <row r="15" spans="1:22" ht="21" customHeight="1" x14ac:dyDescent="0.15">
      <c r="A15" s="2"/>
      <c r="B15" s="6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27"/>
      <c r="Q15" s="22"/>
      <c r="R15" s="22"/>
      <c r="S15" s="22"/>
      <c r="T15" s="22"/>
      <c r="U15" s="22"/>
      <c r="V15" s="22"/>
    </row>
    <row r="16" spans="1:22" ht="21" customHeight="1" x14ac:dyDescent="0.15">
      <c r="A16" s="2"/>
      <c r="B16" s="6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27"/>
      <c r="Q16" s="22"/>
      <c r="R16" s="22"/>
      <c r="S16" s="22"/>
      <c r="T16" s="22"/>
      <c r="U16" s="22"/>
      <c r="V16" s="22"/>
    </row>
    <row r="17" spans="1:36" ht="21" customHeight="1" x14ac:dyDescent="0.15">
      <c r="A17" s="2"/>
      <c r="B17" s="6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27"/>
      <c r="Q17" s="22"/>
      <c r="R17" s="22"/>
      <c r="S17" s="22"/>
      <c r="T17" s="22"/>
      <c r="U17" s="22"/>
      <c r="V17" s="22"/>
    </row>
    <row r="18" spans="1:36" ht="21" customHeight="1" x14ac:dyDescent="0.15">
      <c r="A18" s="2"/>
      <c r="B18" s="6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27"/>
      <c r="Q18" s="22"/>
      <c r="R18" s="22"/>
      <c r="S18" s="22"/>
      <c r="T18" s="22"/>
      <c r="U18" s="22"/>
      <c r="V18" s="22"/>
    </row>
    <row r="19" spans="1:36" s="12" customFormat="1" ht="21" customHeight="1" thickBot="1" x14ac:dyDescent="0.2">
      <c r="A19" s="2"/>
      <c r="B19" s="6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27"/>
      <c r="Q19" s="22"/>
      <c r="R19" s="22"/>
      <c r="S19" s="22"/>
      <c r="T19" s="22"/>
      <c r="U19" s="22"/>
      <c r="V19" s="22"/>
      <c r="W19" s="45"/>
      <c r="X19" s="45"/>
      <c r="Y19" s="45"/>
      <c r="Z19" s="45"/>
      <c r="AA19" s="45"/>
      <c r="AB19" s="45"/>
      <c r="AC19" s="45"/>
      <c r="AD19" s="45"/>
      <c r="AE19" s="45"/>
      <c r="AF19" s="45"/>
      <c r="AG19" s="45"/>
      <c r="AH19" s="45"/>
      <c r="AI19" s="45"/>
      <c r="AJ19" s="45"/>
    </row>
    <row r="20" spans="1:36" ht="21" customHeight="1" x14ac:dyDescent="0.15">
      <c r="A20" s="2"/>
      <c r="B20" s="6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27"/>
      <c r="Q20" s="22"/>
      <c r="R20" s="22"/>
      <c r="S20" s="22"/>
      <c r="T20" s="22"/>
      <c r="U20" s="22"/>
      <c r="V20" s="22"/>
    </row>
    <row r="21" spans="1:36" ht="21" customHeight="1" x14ac:dyDescent="0.15">
      <c r="A21" s="2"/>
      <c r="B21" s="6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27"/>
      <c r="Q21" s="22"/>
      <c r="R21" s="22"/>
      <c r="S21" s="22"/>
      <c r="T21" s="22"/>
      <c r="U21" s="22"/>
      <c r="V21" s="22"/>
    </row>
    <row r="22" spans="1:36" ht="21" customHeight="1" x14ac:dyDescent="0.15">
      <c r="A22" s="2"/>
      <c r="B22" s="6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27"/>
      <c r="Q22" s="22"/>
      <c r="R22" s="22"/>
      <c r="S22" s="22"/>
      <c r="T22" s="22"/>
      <c r="U22" s="22"/>
      <c r="V22" s="22"/>
    </row>
    <row r="23" spans="1:36" ht="21" customHeight="1" x14ac:dyDescent="0.15">
      <c r="A23" s="2"/>
      <c r="B23" s="6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27"/>
      <c r="Q23" s="22"/>
      <c r="R23" s="22"/>
      <c r="S23" s="22"/>
      <c r="T23" s="22"/>
      <c r="U23" s="22"/>
      <c r="V23" s="22"/>
    </row>
    <row r="24" spans="1:36" ht="21" customHeight="1" x14ac:dyDescent="0.15">
      <c r="A24" s="2"/>
      <c r="B24" s="6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27"/>
      <c r="Q24" s="22"/>
      <c r="R24" s="22"/>
      <c r="S24" s="22"/>
      <c r="T24" s="22"/>
      <c r="U24" s="22"/>
      <c r="V24" s="22"/>
    </row>
    <row r="25" spans="1:36" ht="21" customHeight="1" x14ac:dyDescent="0.15">
      <c r="A25" s="2"/>
      <c r="B25" s="6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27"/>
      <c r="Q25" s="22"/>
      <c r="R25" s="22"/>
      <c r="S25" s="22"/>
      <c r="T25" s="22"/>
      <c r="U25" s="22"/>
      <c r="V25" s="22"/>
    </row>
    <row r="26" spans="1:36" ht="21" customHeight="1" x14ac:dyDescent="0.15">
      <c r="A26" s="2"/>
      <c r="B26" s="6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27"/>
      <c r="Q26" s="22"/>
      <c r="R26" s="22"/>
      <c r="S26" s="22"/>
      <c r="T26" s="22"/>
      <c r="U26" s="22"/>
      <c r="V26" s="22"/>
    </row>
    <row r="27" spans="1:36" ht="21" customHeight="1" x14ac:dyDescent="0.15">
      <c r="A27" s="2"/>
      <c r="B27" s="6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27"/>
      <c r="Q27" s="22"/>
      <c r="R27" s="22"/>
      <c r="S27" s="22"/>
      <c r="T27" s="22"/>
      <c r="U27" s="22"/>
      <c r="V27" s="22"/>
    </row>
    <row r="28" spans="1:36" ht="21" customHeight="1" x14ac:dyDescent="0.15">
      <c r="A28" s="2"/>
      <c r="B28" s="6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27"/>
      <c r="Q28" s="22"/>
      <c r="R28" s="22"/>
      <c r="S28" s="22"/>
      <c r="T28" s="22"/>
      <c r="U28" s="22"/>
      <c r="V28" s="22"/>
    </row>
    <row r="29" spans="1:36" ht="21" customHeight="1" x14ac:dyDescent="0.15">
      <c r="A29" s="2"/>
      <c r="B29" s="6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27"/>
      <c r="Q29" s="22"/>
      <c r="R29" s="22"/>
      <c r="S29" s="22"/>
      <c r="T29" s="22"/>
      <c r="U29" s="22"/>
      <c r="V29" s="22"/>
    </row>
    <row r="30" spans="1:36" ht="21" customHeight="1" x14ac:dyDescent="0.15">
      <c r="A30" s="2"/>
      <c r="B30" s="6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27"/>
      <c r="Q30" s="22"/>
      <c r="R30" s="22"/>
      <c r="S30" s="22"/>
      <c r="T30" s="22"/>
      <c r="U30" s="22"/>
      <c r="V30" s="22"/>
    </row>
    <row r="31" spans="1:36" ht="21" customHeight="1" x14ac:dyDescent="0.15">
      <c r="A31" s="2"/>
      <c r="B31" s="6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27"/>
      <c r="Q31" s="22"/>
      <c r="R31" s="22"/>
      <c r="S31" s="22"/>
      <c r="T31" s="22"/>
      <c r="U31" s="22"/>
      <c r="V31" s="22"/>
    </row>
    <row r="32" spans="1:36" ht="21" customHeight="1" x14ac:dyDescent="0.15">
      <c r="A32" s="2"/>
      <c r="B32" s="6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27"/>
      <c r="Q32" s="22"/>
      <c r="R32" s="22"/>
      <c r="S32" s="22"/>
      <c r="T32" s="22"/>
      <c r="U32" s="22"/>
      <c r="V32" s="22"/>
    </row>
    <row r="33" spans="1:22" ht="21" customHeight="1" x14ac:dyDescent="0.15">
      <c r="A33" s="2"/>
      <c r="B33" s="6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27"/>
      <c r="Q33" s="22"/>
      <c r="R33" s="22"/>
      <c r="S33" s="22"/>
      <c r="T33" s="22"/>
      <c r="U33" s="22"/>
      <c r="V33" s="22"/>
    </row>
    <row r="34" spans="1:22" ht="21" customHeight="1" x14ac:dyDescent="0.15">
      <c r="A34" s="2"/>
      <c r="B34" s="6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27"/>
      <c r="Q34" s="22"/>
      <c r="R34" s="22"/>
      <c r="S34" s="22"/>
      <c r="T34" s="22"/>
      <c r="U34" s="22"/>
      <c r="V34" s="22"/>
    </row>
    <row r="35" spans="1:22" ht="21" customHeight="1" x14ac:dyDescent="0.15">
      <c r="A35" s="2"/>
      <c r="B35" s="6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27"/>
      <c r="Q35" s="22"/>
      <c r="R35" s="22"/>
      <c r="S35" s="22"/>
      <c r="T35" s="22"/>
      <c r="U35" s="22"/>
      <c r="V35" s="22"/>
    </row>
    <row r="36" spans="1:22" ht="21" customHeight="1" x14ac:dyDescent="0.15">
      <c r="A36" s="2"/>
      <c r="B36" s="6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27"/>
      <c r="Q36" s="22"/>
      <c r="R36" s="22"/>
      <c r="S36" s="22"/>
      <c r="T36" s="22"/>
      <c r="U36" s="22"/>
      <c r="V36" s="22"/>
    </row>
    <row r="37" spans="1:22" ht="21" customHeight="1" x14ac:dyDescent="0.15">
      <c r="A37" s="2"/>
      <c r="B37" s="6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26"/>
      <c r="P37" s="27"/>
      <c r="Q37" s="22"/>
      <c r="R37" s="22"/>
      <c r="S37" s="22"/>
      <c r="T37" s="22"/>
      <c r="U37" s="22"/>
      <c r="V37" s="22"/>
    </row>
    <row r="38" spans="1:22" ht="21" customHeight="1" x14ac:dyDescent="0.15">
      <c r="A38" s="2"/>
      <c r="B38" s="6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26"/>
      <c r="P38" s="27"/>
      <c r="Q38" s="22"/>
      <c r="R38" s="22"/>
      <c r="S38" s="22"/>
      <c r="T38" s="22"/>
      <c r="U38" s="22"/>
      <c r="V38" s="22"/>
    </row>
    <row r="39" spans="1:22" ht="21" customHeight="1" x14ac:dyDescent="0.15">
      <c r="A39" s="2"/>
      <c r="B39" s="6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26"/>
      <c r="P39" s="27"/>
      <c r="Q39" s="22"/>
      <c r="R39" s="22"/>
      <c r="S39" s="22"/>
      <c r="T39" s="22"/>
      <c r="U39" s="22"/>
      <c r="V39" s="22"/>
    </row>
    <row r="40" spans="1:22" ht="21" customHeight="1" x14ac:dyDescent="0.15">
      <c r="A40" s="2"/>
      <c r="B40" s="6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26"/>
      <c r="P40" s="27"/>
      <c r="Q40" s="22"/>
      <c r="R40" s="22"/>
      <c r="S40" s="22"/>
      <c r="T40" s="22"/>
      <c r="U40" s="22"/>
      <c r="V40" s="22"/>
    </row>
    <row r="41" spans="1:22" ht="21" customHeight="1" x14ac:dyDescent="0.15">
      <c r="A41" s="2"/>
      <c r="B41" s="6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26"/>
      <c r="P41" s="27"/>
      <c r="Q41" s="22"/>
      <c r="R41" s="22"/>
      <c r="S41" s="22"/>
      <c r="T41" s="22"/>
      <c r="U41" s="22"/>
      <c r="V41" s="22"/>
    </row>
    <row r="42" spans="1:22" ht="21" customHeight="1" x14ac:dyDescent="0.15">
      <c r="A42" s="2"/>
      <c r="B42" s="6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26"/>
      <c r="P42" s="27"/>
      <c r="Q42" s="22"/>
      <c r="R42" s="22"/>
      <c r="S42" s="22"/>
      <c r="T42" s="22"/>
      <c r="U42" s="22"/>
      <c r="V42" s="22"/>
    </row>
    <row r="43" spans="1:22" ht="21" customHeight="1" x14ac:dyDescent="0.15">
      <c r="A43" s="2"/>
      <c r="B43" s="6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26"/>
      <c r="P43" s="27"/>
      <c r="Q43" s="22"/>
      <c r="R43" s="22"/>
      <c r="S43" s="22"/>
      <c r="T43" s="22"/>
      <c r="U43" s="22"/>
      <c r="V43" s="22"/>
    </row>
    <row r="44" spans="1:22" ht="21" customHeight="1" x14ac:dyDescent="0.15">
      <c r="A44" s="2"/>
      <c r="B44" s="6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26"/>
      <c r="P44" s="27"/>
      <c r="Q44" s="22"/>
      <c r="R44" s="22"/>
      <c r="S44" s="22"/>
      <c r="T44" s="22"/>
      <c r="U44" s="22"/>
      <c r="V44" s="22"/>
    </row>
    <row r="45" spans="1:22" ht="21" customHeight="1" x14ac:dyDescent="0.15">
      <c r="A45" s="2"/>
      <c r="B45" s="6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26"/>
      <c r="P45" s="27"/>
      <c r="Q45" s="22"/>
      <c r="R45" s="22"/>
      <c r="S45" s="22"/>
      <c r="T45" s="22"/>
      <c r="U45" s="22"/>
      <c r="V45" s="22"/>
    </row>
    <row r="46" spans="1:22" ht="21" customHeight="1" x14ac:dyDescent="0.15">
      <c r="A46" s="2"/>
      <c r="B46" s="6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26"/>
      <c r="P46" s="27"/>
      <c r="Q46" s="22"/>
      <c r="R46" s="22"/>
      <c r="S46" s="22"/>
      <c r="T46" s="22"/>
      <c r="U46" s="22"/>
      <c r="V46" s="22"/>
    </row>
    <row r="47" spans="1:22" ht="21" customHeight="1" x14ac:dyDescent="0.15">
      <c r="A47" s="2"/>
      <c r="B47" s="6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26"/>
      <c r="P47" s="27"/>
      <c r="Q47" s="22"/>
      <c r="R47" s="22"/>
      <c r="S47" s="22"/>
      <c r="T47" s="22"/>
      <c r="U47" s="22"/>
      <c r="V47" s="22"/>
    </row>
    <row r="48" spans="1:22" ht="21" customHeight="1" x14ac:dyDescent="0.15">
      <c r="A48" s="2"/>
      <c r="B48" s="6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26"/>
      <c r="P48" s="27"/>
      <c r="Q48" s="22"/>
      <c r="R48" s="22"/>
      <c r="S48" s="22"/>
      <c r="T48" s="22"/>
      <c r="U48" s="22"/>
      <c r="V48" s="22"/>
    </row>
    <row r="49" spans="1:22" ht="21" customHeight="1" x14ac:dyDescent="0.15">
      <c r="A49" s="2"/>
      <c r="B49" s="6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26"/>
      <c r="P49" s="27"/>
      <c r="Q49" s="22"/>
      <c r="R49" s="22"/>
      <c r="S49" s="22"/>
      <c r="T49" s="22"/>
      <c r="U49" s="22"/>
      <c r="V49" s="22"/>
    </row>
    <row r="50" spans="1:22" ht="21" customHeight="1" x14ac:dyDescent="0.15">
      <c r="A50" s="2"/>
      <c r="B50" s="6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26"/>
      <c r="P50" s="27"/>
      <c r="Q50" s="22"/>
      <c r="R50" s="22"/>
      <c r="S50" s="22"/>
      <c r="T50" s="22"/>
      <c r="U50" s="22"/>
      <c r="V50" s="22"/>
    </row>
    <row r="51" spans="1:22" ht="21" customHeight="1" x14ac:dyDescent="0.15">
      <c r="A51" s="2"/>
      <c r="B51" s="6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26"/>
      <c r="P51" s="27"/>
      <c r="Q51" s="22"/>
      <c r="R51" s="22"/>
      <c r="S51" s="22"/>
      <c r="T51" s="22"/>
      <c r="U51" s="22"/>
      <c r="V51" s="22"/>
    </row>
    <row r="52" spans="1:22" ht="21" customHeight="1" x14ac:dyDescent="0.15">
      <c r="A52" s="2"/>
      <c r="B52" s="6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26"/>
      <c r="P52" s="27"/>
      <c r="Q52" s="22"/>
      <c r="R52" s="22"/>
      <c r="S52" s="22"/>
      <c r="T52" s="22"/>
      <c r="U52" s="22"/>
      <c r="V52" s="22"/>
    </row>
    <row r="53" spans="1:22" ht="21" customHeight="1" x14ac:dyDescent="0.15">
      <c r="A53" s="2"/>
      <c r="B53" s="6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26"/>
      <c r="P53" s="27"/>
      <c r="Q53" s="22"/>
      <c r="R53" s="22"/>
      <c r="S53" s="22"/>
      <c r="T53" s="22"/>
      <c r="U53" s="22"/>
      <c r="V53" s="22"/>
    </row>
    <row r="54" spans="1:22" ht="21" customHeight="1" x14ac:dyDescent="0.15">
      <c r="A54" s="2"/>
      <c r="B54" s="6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26"/>
      <c r="P54" s="27"/>
      <c r="Q54" s="22"/>
      <c r="R54" s="22"/>
      <c r="S54" s="22"/>
      <c r="T54" s="22"/>
      <c r="U54" s="22"/>
      <c r="V54" s="22"/>
    </row>
    <row r="55" spans="1:22" ht="21" customHeight="1" x14ac:dyDescent="0.15">
      <c r="A55" s="2"/>
      <c r="B55" s="6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26"/>
      <c r="P55" s="27"/>
      <c r="Q55" s="22"/>
      <c r="R55" s="22"/>
      <c r="S55" s="22"/>
      <c r="T55" s="22"/>
      <c r="U55" s="22"/>
      <c r="V55" s="22"/>
    </row>
    <row r="56" spans="1:22" ht="21" customHeight="1" x14ac:dyDescent="0.15">
      <c r="A56" s="2"/>
      <c r="B56" s="6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26"/>
      <c r="P56" s="27"/>
      <c r="Q56" s="22"/>
      <c r="R56" s="22"/>
      <c r="S56" s="22"/>
      <c r="T56" s="22"/>
      <c r="U56" s="22"/>
      <c r="V56" s="22"/>
    </row>
    <row r="57" spans="1:22" ht="21" customHeight="1" x14ac:dyDescent="0.15">
      <c r="A57" s="2"/>
      <c r="B57" s="6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26"/>
      <c r="P57" s="27"/>
      <c r="Q57" s="22"/>
      <c r="R57" s="22"/>
      <c r="S57" s="22"/>
      <c r="T57" s="22"/>
      <c r="U57" s="22"/>
      <c r="V57" s="22"/>
    </row>
    <row r="58" spans="1:22" ht="21" customHeight="1" x14ac:dyDescent="0.15">
      <c r="A58" s="2"/>
      <c r="B58" s="6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26"/>
      <c r="P58" s="27"/>
      <c r="Q58" s="22"/>
      <c r="R58" s="22"/>
      <c r="S58" s="22"/>
      <c r="T58" s="22"/>
      <c r="U58" s="22"/>
      <c r="V58" s="22"/>
    </row>
    <row r="59" spans="1:22" ht="21" customHeight="1" x14ac:dyDescent="0.15">
      <c r="A59" s="2"/>
      <c r="B59" s="6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26"/>
      <c r="P59" s="27"/>
      <c r="Q59" s="22"/>
      <c r="R59" s="22"/>
      <c r="S59" s="22"/>
      <c r="T59" s="22"/>
      <c r="U59" s="22"/>
      <c r="V59" s="22"/>
    </row>
    <row r="60" spans="1:22" ht="21" customHeight="1" x14ac:dyDescent="0.15">
      <c r="A60" s="2"/>
      <c r="B60" s="6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26"/>
      <c r="P60" s="27"/>
      <c r="Q60" s="22"/>
      <c r="R60" s="22"/>
      <c r="S60" s="22"/>
      <c r="T60" s="22"/>
      <c r="U60" s="22"/>
      <c r="V60" s="22"/>
    </row>
    <row r="61" spans="1:22" ht="21" customHeight="1" x14ac:dyDescent="0.15">
      <c r="A61" s="2"/>
      <c r="B61" s="6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26"/>
      <c r="P61" s="27"/>
      <c r="Q61" s="22"/>
      <c r="R61" s="22"/>
      <c r="S61" s="22"/>
      <c r="T61" s="22"/>
      <c r="U61" s="22"/>
      <c r="V61" s="22"/>
    </row>
    <row r="62" spans="1:22" ht="21" customHeight="1" x14ac:dyDescent="0.15">
      <c r="A62" s="2"/>
      <c r="B62" s="8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26"/>
      <c r="P62" s="27"/>
      <c r="Q62" s="22"/>
      <c r="R62" s="22"/>
      <c r="S62" s="22"/>
      <c r="T62" s="22"/>
      <c r="U62" s="22"/>
      <c r="V62" s="22"/>
    </row>
    <row r="63" spans="1:22" ht="21" customHeight="1" x14ac:dyDescent="0.15">
      <c r="A63" s="2"/>
      <c r="B63" s="8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26"/>
      <c r="P63" s="27"/>
      <c r="Q63" s="22"/>
      <c r="R63" s="22"/>
      <c r="S63" s="22"/>
      <c r="T63" s="22"/>
      <c r="U63" s="22"/>
      <c r="V63" s="22"/>
    </row>
    <row r="64" spans="1:22" ht="21" customHeight="1" x14ac:dyDescent="0.15">
      <c r="A64" s="2"/>
      <c r="B64" s="8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26"/>
      <c r="P64" s="27"/>
      <c r="Q64" s="22"/>
      <c r="R64" s="22"/>
      <c r="S64" s="22"/>
      <c r="T64" s="22"/>
      <c r="U64" s="22"/>
      <c r="V64" s="22"/>
    </row>
    <row r="65" spans="1:36" ht="21" customHeight="1" x14ac:dyDescent="0.15">
      <c r="A65" s="2"/>
      <c r="B65" s="8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26"/>
      <c r="P65" s="27"/>
      <c r="Q65" s="22"/>
      <c r="R65" s="22"/>
      <c r="S65" s="22"/>
      <c r="T65" s="22"/>
      <c r="U65" s="22"/>
      <c r="V65" s="22"/>
    </row>
    <row r="66" spans="1:36" s="9" customFormat="1" ht="21" customHeight="1" thickBot="1" x14ac:dyDescent="0.2">
      <c r="A66" s="2"/>
      <c r="B66" s="6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26"/>
      <c r="P66" s="27"/>
      <c r="Q66" s="22"/>
      <c r="R66" s="22"/>
      <c r="S66" s="22"/>
      <c r="T66" s="22"/>
      <c r="U66" s="22"/>
      <c r="V66" s="22"/>
      <c r="W66" s="45"/>
      <c r="X66" s="45"/>
      <c r="Y66" s="45"/>
      <c r="Z66" s="45"/>
      <c r="AA66" s="45"/>
      <c r="AB66" s="45"/>
      <c r="AC66" s="45"/>
      <c r="AD66" s="45"/>
      <c r="AE66" s="45"/>
      <c r="AF66" s="45"/>
      <c r="AG66" s="45"/>
      <c r="AH66" s="45"/>
      <c r="AI66" s="45"/>
      <c r="AJ66" s="45"/>
    </row>
    <row r="67" spans="1:36" ht="21" customHeight="1" x14ac:dyDescent="0.15">
      <c r="A67" s="2"/>
      <c r="B67" s="6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26"/>
      <c r="P67" s="27"/>
      <c r="Q67" s="22"/>
      <c r="R67" s="22"/>
      <c r="S67" s="22"/>
      <c r="T67" s="22"/>
      <c r="U67" s="22"/>
      <c r="V67" s="22"/>
    </row>
    <row r="68" spans="1:36" ht="21" customHeight="1" x14ac:dyDescent="0.15">
      <c r="A68" s="2"/>
      <c r="B68" s="6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26"/>
      <c r="P68" s="27"/>
      <c r="Q68" s="22"/>
      <c r="R68" s="22"/>
      <c r="S68" s="22"/>
      <c r="T68" s="22"/>
      <c r="U68" s="22"/>
      <c r="V68" s="22"/>
    </row>
    <row r="69" spans="1:36" ht="21" customHeight="1" x14ac:dyDescent="0.15">
      <c r="A69" s="2"/>
      <c r="B69" s="6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26"/>
      <c r="P69" s="27"/>
      <c r="Q69" s="22"/>
      <c r="R69" s="22"/>
      <c r="S69" s="22"/>
      <c r="T69" s="22"/>
      <c r="U69" s="22"/>
      <c r="V69" s="22"/>
    </row>
    <row r="70" spans="1:36" ht="21" customHeight="1" x14ac:dyDescent="0.15">
      <c r="A70" s="2"/>
      <c r="B70" s="6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26"/>
      <c r="P70" s="27"/>
      <c r="Q70" s="22"/>
      <c r="R70" s="22"/>
      <c r="S70" s="22"/>
      <c r="T70" s="22"/>
      <c r="U70" s="22"/>
      <c r="V70" s="22"/>
    </row>
    <row r="71" spans="1:36" ht="21" customHeight="1" x14ac:dyDescent="0.15">
      <c r="A71" s="2"/>
      <c r="B71" s="6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26"/>
      <c r="P71" s="27"/>
      <c r="Q71" s="22"/>
      <c r="R71" s="22"/>
      <c r="S71" s="22"/>
      <c r="T71" s="22"/>
      <c r="U71" s="22"/>
      <c r="V71" s="22"/>
    </row>
    <row r="72" spans="1:36" ht="21" customHeight="1" x14ac:dyDescent="0.15">
      <c r="A72" s="2"/>
      <c r="B72" s="6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26"/>
      <c r="P72" s="27"/>
      <c r="Q72" s="22"/>
      <c r="R72" s="22"/>
      <c r="S72" s="22"/>
      <c r="T72" s="22"/>
      <c r="U72" s="22"/>
      <c r="V72" s="22"/>
    </row>
    <row r="73" spans="1:36" ht="21" customHeight="1" x14ac:dyDescent="0.15">
      <c r="A73" s="2"/>
      <c r="B73" s="6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26"/>
      <c r="P73" s="27"/>
      <c r="Q73" s="22"/>
      <c r="R73" s="22"/>
      <c r="S73" s="22"/>
      <c r="T73" s="22"/>
      <c r="U73" s="22"/>
      <c r="V73" s="22"/>
    </row>
    <row r="74" spans="1:36" ht="21" customHeight="1" x14ac:dyDescent="0.15">
      <c r="A74" s="2"/>
      <c r="B74" s="6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26"/>
      <c r="P74" s="27"/>
      <c r="Q74" s="22"/>
      <c r="R74" s="22"/>
      <c r="S74" s="22"/>
      <c r="T74" s="22"/>
      <c r="U74" s="22"/>
      <c r="V74" s="22"/>
    </row>
    <row r="75" spans="1:36" s="51" customFormat="1" ht="21" customHeight="1" x14ac:dyDescent="0.15">
      <c r="A75" s="2"/>
      <c r="B75" s="4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26"/>
      <c r="P75" s="27"/>
      <c r="Q75" s="22"/>
      <c r="R75" s="22"/>
      <c r="S75" s="22"/>
      <c r="T75" s="22"/>
      <c r="U75" s="22"/>
      <c r="V75" s="22"/>
      <c r="W75" s="39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</row>
    <row r="76" spans="1:36" s="51" customFormat="1" ht="21" customHeight="1" x14ac:dyDescent="0.15">
      <c r="A76" s="2"/>
      <c r="B76" s="4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26"/>
      <c r="P76" s="27"/>
      <c r="Q76" s="22"/>
      <c r="R76" s="22"/>
      <c r="S76" s="22"/>
      <c r="T76" s="22"/>
      <c r="U76" s="22"/>
      <c r="V76" s="22"/>
      <c r="W76" s="39"/>
      <c r="X76" s="39"/>
      <c r="Y76" s="39"/>
      <c r="Z76" s="39"/>
      <c r="AA76" s="39"/>
      <c r="AB76" s="39"/>
      <c r="AC76" s="39"/>
      <c r="AD76" s="39"/>
      <c r="AE76" s="39"/>
      <c r="AF76" s="39"/>
      <c r="AG76" s="39"/>
      <c r="AH76" s="39"/>
      <c r="AI76" s="39"/>
      <c r="AJ76" s="39"/>
    </row>
    <row r="77" spans="1:36" s="51" customFormat="1" ht="21" customHeight="1" x14ac:dyDescent="0.15">
      <c r="A77" s="2"/>
      <c r="B77" s="46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26"/>
      <c r="P77" s="27"/>
      <c r="Q77" s="22"/>
      <c r="R77" s="22"/>
      <c r="S77" s="22"/>
      <c r="T77" s="22"/>
      <c r="U77" s="22"/>
      <c r="V77" s="22"/>
      <c r="W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</row>
    <row r="78" spans="1:36" s="51" customFormat="1" ht="21" customHeight="1" x14ac:dyDescent="0.15">
      <c r="A78" s="46"/>
      <c r="B78" s="46"/>
      <c r="C78" s="46"/>
      <c r="D78" s="46"/>
      <c r="E78" s="46"/>
      <c r="F78" s="46"/>
      <c r="G78" s="46"/>
      <c r="H78" s="46"/>
      <c r="I78" s="46"/>
      <c r="J78" s="46"/>
      <c r="K78" s="46"/>
      <c r="L78" s="46"/>
      <c r="M78" s="46"/>
      <c r="N78" s="46"/>
      <c r="O78" s="48"/>
      <c r="P78" s="49"/>
      <c r="Q78" s="50"/>
      <c r="R78" s="50"/>
      <c r="S78" s="50"/>
      <c r="T78" s="50"/>
      <c r="U78" s="50"/>
      <c r="V78" s="50"/>
      <c r="W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</row>
    <row r="79" spans="1:36" s="51" customFormat="1" ht="21" customHeight="1" x14ac:dyDescent="0.15">
      <c r="A79" s="46"/>
      <c r="B79" s="46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46"/>
      <c r="N79" s="46"/>
      <c r="O79" s="48"/>
      <c r="P79" s="49"/>
      <c r="Q79" s="50"/>
      <c r="R79" s="50"/>
      <c r="S79" s="50"/>
      <c r="T79" s="50"/>
      <c r="U79" s="50"/>
      <c r="V79" s="50"/>
      <c r="W79" s="39"/>
      <c r="X79" s="39"/>
      <c r="Y79" s="39"/>
      <c r="Z79" s="39"/>
      <c r="AA79" s="39"/>
      <c r="AB79" s="39"/>
      <c r="AC79" s="39"/>
      <c r="AD79" s="39"/>
      <c r="AE79" s="39"/>
      <c r="AF79" s="39"/>
      <c r="AG79" s="39"/>
      <c r="AH79" s="39"/>
      <c r="AI79" s="39"/>
      <c r="AJ79" s="39"/>
    </row>
    <row r="80" spans="1:36" s="51" customFormat="1" ht="21" customHeight="1" x14ac:dyDescent="0.15">
      <c r="A80" s="46"/>
      <c r="B80" s="46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46"/>
      <c r="N80" s="46"/>
      <c r="O80" s="48"/>
      <c r="P80" s="49"/>
      <c r="Q80" s="50"/>
      <c r="R80" s="50"/>
      <c r="S80" s="50"/>
      <c r="T80" s="50"/>
      <c r="U80" s="50"/>
      <c r="V80" s="50"/>
      <c r="W80" s="39"/>
      <c r="X80" s="39"/>
      <c r="Y80" s="39"/>
      <c r="Z80" s="39"/>
      <c r="AA80" s="39"/>
      <c r="AB80" s="39"/>
      <c r="AC80" s="39"/>
      <c r="AD80" s="39"/>
      <c r="AE80" s="39"/>
      <c r="AF80" s="39"/>
      <c r="AG80" s="39"/>
      <c r="AH80" s="39"/>
      <c r="AI80" s="39"/>
      <c r="AJ80" s="39"/>
    </row>
    <row r="81" spans="1:36" s="51" customFormat="1" ht="21" customHeight="1" x14ac:dyDescent="0.15">
      <c r="A81" s="46"/>
      <c r="B81" s="46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46"/>
      <c r="N81" s="46"/>
      <c r="O81" s="48"/>
      <c r="P81" s="49"/>
      <c r="Q81" s="50"/>
      <c r="R81" s="50"/>
      <c r="S81" s="50"/>
      <c r="T81" s="50"/>
      <c r="U81" s="50"/>
      <c r="V81" s="50"/>
      <c r="W81" s="39"/>
      <c r="X81" s="39"/>
      <c r="Y81" s="39"/>
      <c r="Z81" s="39"/>
      <c r="AA81" s="39"/>
      <c r="AB81" s="39"/>
      <c r="AC81" s="39"/>
      <c r="AD81" s="39"/>
      <c r="AE81" s="39"/>
      <c r="AF81" s="39"/>
      <c r="AG81" s="39"/>
      <c r="AH81" s="39"/>
      <c r="AI81" s="39"/>
      <c r="AJ81" s="39"/>
    </row>
    <row r="82" spans="1:36" s="51" customFormat="1" ht="21" customHeight="1" x14ac:dyDescent="0.15">
      <c r="A82" s="46"/>
      <c r="B82" s="46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46"/>
      <c r="N82" s="46"/>
      <c r="O82" s="48"/>
      <c r="P82" s="49"/>
      <c r="Q82" s="50"/>
      <c r="R82" s="50"/>
      <c r="S82" s="50"/>
      <c r="T82" s="50"/>
      <c r="U82" s="50"/>
      <c r="V82" s="50"/>
      <c r="W82" s="39"/>
      <c r="X82" s="39"/>
      <c r="Y82" s="39"/>
      <c r="Z82" s="39"/>
      <c r="AA82" s="39"/>
      <c r="AB82" s="39"/>
      <c r="AC82" s="39"/>
      <c r="AD82" s="39"/>
      <c r="AE82" s="39"/>
      <c r="AF82" s="39"/>
      <c r="AG82" s="39"/>
      <c r="AH82" s="39"/>
      <c r="AI82" s="39"/>
      <c r="AJ82" s="39"/>
    </row>
    <row r="83" spans="1:36" s="51" customFormat="1" ht="21" customHeight="1" x14ac:dyDescent="0.15">
      <c r="A83" s="46"/>
      <c r="B83" s="46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46"/>
      <c r="O83" s="48"/>
      <c r="P83" s="49"/>
      <c r="Q83" s="50"/>
      <c r="R83" s="50"/>
      <c r="S83" s="50"/>
      <c r="T83" s="50"/>
      <c r="U83" s="50"/>
      <c r="V83" s="50"/>
      <c r="W83" s="39"/>
      <c r="X83" s="39"/>
      <c r="Y83" s="39"/>
      <c r="Z83" s="39"/>
      <c r="AA83" s="39"/>
      <c r="AB83" s="39"/>
      <c r="AC83" s="39"/>
      <c r="AD83" s="39"/>
      <c r="AE83" s="39"/>
      <c r="AF83" s="39"/>
      <c r="AG83" s="39"/>
      <c r="AH83" s="39"/>
      <c r="AI83" s="39"/>
      <c r="AJ83" s="39"/>
    </row>
    <row r="84" spans="1:36" s="51" customFormat="1" ht="21" customHeight="1" x14ac:dyDescent="0.15">
      <c r="A84" s="46"/>
      <c r="B84" s="46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6"/>
      <c r="N84" s="46"/>
      <c r="O84" s="48"/>
      <c r="P84" s="49"/>
      <c r="Q84" s="50"/>
      <c r="R84" s="50"/>
      <c r="S84" s="50"/>
      <c r="T84" s="50"/>
      <c r="U84" s="50"/>
      <c r="V84" s="50"/>
      <c r="W84" s="39"/>
      <c r="X84" s="39"/>
      <c r="Y84" s="39"/>
      <c r="Z84" s="39"/>
      <c r="AA84" s="39"/>
      <c r="AB84" s="39"/>
      <c r="AC84" s="39"/>
      <c r="AD84" s="39"/>
      <c r="AE84" s="39"/>
      <c r="AF84" s="39"/>
      <c r="AG84" s="39"/>
      <c r="AH84" s="39"/>
      <c r="AI84" s="39"/>
      <c r="AJ84" s="39"/>
    </row>
    <row r="85" spans="1:36" s="51" customFormat="1" ht="21" customHeight="1" x14ac:dyDescent="0.15">
      <c r="A85" s="46"/>
      <c r="B85" s="46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46"/>
      <c r="N85" s="46"/>
      <c r="O85" s="48"/>
      <c r="P85" s="49"/>
      <c r="Q85" s="50"/>
      <c r="R85" s="50"/>
      <c r="S85" s="50"/>
      <c r="T85" s="50"/>
      <c r="U85" s="50"/>
      <c r="V85" s="50"/>
      <c r="W85" s="39"/>
      <c r="X85" s="39"/>
      <c r="Y85" s="39"/>
      <c r="Z85" s="39"/>
      <c r="AA85" s="39"/>
      <c r="AB85" s="39"/>
      <c r="AC85" s="39"/>
      <c r="AD85" s="39"/>
      <c r="AE85" s="39"/>
      <c r="AF85" s="39"/>
      <c r="AG85" s="39"/>
      <c r="AH85" s="39"/>
      <c r="AI85" s="39"/>
      <c r="AJ85" s="39"/>
    </row>
    <row r="86" spans="1:36" s="51" customFormat="1" ht="21" customHeight="1" x14ac:dyDescent="0.15">
      <c r="A86" s="46"/>
      <c r="B86" s="46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46"/>
      <c r="N86" s="46"/>
      <c r="O86" s="48"/>
      <c r="P86" s="49"/>
      <c r="Q86" s="50"/>
      <c r="R86" s="50"/>
      <c r="S86" s="50"/>
      <c r="T86" s="50"/>
      <c r="U86" s="50"/>
      <c r="V86" s="50"/>
      <c r="W86" s="39"/>
      <c r="X86" s="39"/>
      <c r="Y86" s="39"/>
      <c r="Z86" s="39"/>
      <c r="AA86" s="39"/>
      <c r="AB86" s="39"/>
      <c r="AC86" s="39"/>
      <c r="AD86" s="39"/>
      <c r="AE86" s="39"/>
      <c r="AF86" s="39"/>
      <c r="AG86" s="39"/>
      <c r="AH86" s="39"/>
      <c r="AI86" s="39"/>
      <c r="AJ86" s="39"/>
    </row>
    <row r="87" spans="1:36" s="51" customFormat="1" ht="21" customHeight="1" x14ac:dyDescent="0.15">
      <c r="A87" s="46"/>
      <c r="B87" s="46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46"/>
      <c r="N87" s="46"/>
      <c r="O87" s="48"/>
      <c r="P87" s="49"/>
      <c r="Q87" s="50"/>
      <c r="R87" s="50"/>
      <c r="S87" s="50"/>
      <c r="T87" s="50"/>
      <c r="U87" s="50"/>
      <c r="V87" s="50"/>
      <c r="W87" s="39"/>
      <c r="X87" s="39"/>
      <c r="Y87" s="39"/>
      <c r="Z87" s="39"/>
      <c r="AA87" s="39"/>
      <c r="AB87" s="39"/>
      <c r="AC87" s="39"/>
      <c r="AD87" s="39"/>
      <c r="AE87" s="39"/>
      <c r="AF87" s="39"/>
      <c r="AG87" s="39"/>
      <c r="AH87" s="39"/>
      <c r="AI87" s="39"/>
      <c r="AJ87" s="39"/>
    </row>
    <row r="88" spans="1:36" s="51" customFormat="1" ht="21" customHeight="1" x14ac:dyDescent="0.15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8"/>
      <c r="P88" s="49"/>
      <c r="Q88" s="50"/>
      <c r="R88" s="50"/>
      <c r="S88" s="50"/>
      <c r="T88" s="50"/>
      <c r="U88" s="50"/>
      <c r="V88" s="50"/>
      <c r="W88" s="39"/>
      <c r="X88" s="39"/>
      <c r="Y88" s="39"/>
      <c r="Z88" s="39"/>
      <c r="AA88" s="39"/>
      <c r="AB88" s="39"/>
      <c r="AC88" s="39"/>
      <c r="AD88" s="39"/>
      <c r="AE88" s="39"/>
      <c r="AF88" s="39"/>
      <c r="AG88" s="39"/>
      <c r="AH88" s="39"/>
      <c r="AI88" s="39"/>
      <c r="AJ88" s="39"/>
    </row>
    <row r="89" spans="1:36" s="51" customFormat="1" ht="21" customHeight="1" x14ac:dyDescent="0.15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8"/>
      <c r="P89" s="49"/>
      <c r="Q89" s="50"/>
      <c r="R89" s="50"/>
      <c r="S89" s="50"/>
      <c r="T89" s="50"/>
      <c r="U89" s="50"/>
      <c r="V89" s="50"/>
      <c r="W89" s="39"/>
      <c r="X89" s="39"/>
      <c r="Y89" s="39"/>
      <c r="Z89" s="39"/>
      <c r="AA89" s="39"/>
      <c r="AB89" s="39"/>
      <c r="AC89" s="39"/>
      <c r="AD89" s="39"/>
      <c r="AE89" s="39"/>
      <c r="AF89" s="39"/>
      <c r="AG89" s="39"/>
      <c r="AH89" s="39"/>
      <c r="AI89" s="39"/>
      <c r="AJ89" s="39"/>
    </row>
    <row r="90" spans="1:36" s="51" customFormat="1" ht="21" customHeight="1" x14ac:dyDescent="0.15">
      <c r="A90" s="46"/>
      <c r="B90" s="46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46"/>
      <c r="N90" s="46"/>
      <c r="O90" s="48"/>
      <c r="P90" s="49"/>
      <c r="Q90" s="50"/>
      <c r="R90" s="50"/>
      <c r="S90" s="50"/>
      <c r="T90" s="50"/>
      <c r="U90" s="50"/>
      <c r="V90" s="50"/>
      <c r="W90" s="39"/>
      <c r="X90" s="39"/>
      <c r="Y90" s="39"/>
      <c r="Z90" s="39"/>
      <c r="AA90" s="39"/>
      <c r="AB90" s="39"/>
      <c r="AC90" s="39"/>
      <c r="AD90" s="39"/>
      <c r="AE90" s="39"/>
      <c r="AF90" s="39"/>
      <c r="AG90" s="39"/>
      <c r="AH90" s="39"/>
      <c r="AI90" s="39"/>
      <c r="AJ90" s="39"/>
    </row>
    <row r="91" spans="1:36" s="51" customFormat="1" ht="21" customHeight="1" x14ac:dyDescent="0.15">
      <c r="A91" s="46"/>
      <c r="B91" s="46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46"/>
      <c r="N91" s="46"/>
      <c r="O91" s="48"/>
      <c r="P91" s="49"/>
      <c r="Q91" s="50"/>
      <c r="R91" s="50"/>
      <c r="S91" s="50"/>
      <c r="T91" s="50"/>
      <c r="U91" s="50"/>
      <c r="V91" s="50"/>
      <c r="W91" s="39"/>
      <c r="X91" s="39"/>
      <c r="Y91" s="39"/>
      <c r="Z91" s="39"/>
      <c r="AA91" s="39"/>
      <c r="AB91" s="39"/>
      <c r="AC91" s="39"/>
      <c r="AD91" s="39"/>
      <c r="AE91" s="39"/>
      <c r="AF91" s="39"/>
      <c r="AG91" s="39"/>
      <c r="AH91" s="39"/>
      <c r="AI91" s="39"/>
      <c r="AJ91" s="39"/>
    </row>
    <row r="92" spans="1:36" s="51" customFormat="1" ht="21" customHeight="1" x14ac:dyDescent="0.15">
      <c r="A92" s="46"/>
      <c r="B92" s="46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46"/>
      <c r="N92" s="46"/>
      <c r="O92" s="48"/>
      <c r="P92" s="49"/>
      <c r="Q92" s="50"/>
      <c r="R92" s="50"/>
      <c r="S92" s="50"/>
      <c r="T92" s="50"/>
      <c r="U92" s="50"/>
      <c r="V92" s="50"/>
      <c r="W92" s="39"/>
      <c r="X92" s="39"/>
      <c r="Y92" s="39"/>
      <c r="Z92" s="39"/>
      <c r="AA92" s="39"/>
      <c r="AB92" s="39"/>
      <c r="AC92" s="39"/>
      <c r="AD92" s="39"/>
      <c r="AE92" s="39"/>
      <c r="AF92" s="39"/>
      <c r="AG92" s="39"/>
      <c r="AH92" s="39"/>
      <c r="AI92" s="39"/>
      <c r="AJ92" s="39"/>
    </row>
    <row r="93" spans="1:36" s="51" customFormat="1" ht="21" customHeight="1" x14ac:dyDescent="0.15">
      <c r="A93" s="46"/>
      <c r="B93" s="46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46"/>
      <c r="N93" s="46"/>
      <c r="O93" s="48"/>
      <c r="P93" s="49"/>
      <c r="Q93" s="50"/>
      <c r="R93" s="50"/>
      <c r="S93" s="50"/>
      <c r="T93" s="50"/>
      <c r="U93" s="50"/>
      <c r="V93" s="50"/>
      <c r="W93" s="39"/>
      <c r="X93" s="39"/>
      <c r="Y93" s="39"/>
      <c r="Z93" s="39"/>
      <c r="AA93" s="39"/>
      <c r="AB93" s="39"/>
      <c r="AC93" s="39"/>
      <c r="AD93" s="39"/>
      <c r="AE93" s="39"/>
      <c r="AF93" s="39"/>
      <c r="AG93" s="39"/>
      <c r="AH93" s="39"/>
      <c r="AI93" s="39"/>
      <c r="AJ93" s="39"/>
    </row>
    <row r="94" spans="1:36" s="51" customFormat="1" ht="21" customHeight="1" x14ac:dyDescent="0.15">
      <c r="A94" s="46"/>
      <c r="B94" s="46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46"/>
      <c r="N94" s="46"/>
      <c r="O94" s="48"/>
      <c r="P94" s="49"/>
      <c r="Q94" s="50"/>
      <c r="R94" s="50"/>
      <c r="S94" s="50"/>
      <c r="T94" s="50"/>
      <c r="U94" s="50"/>
      <c r="V94" s="50"/>
      <c r="W94" s="39"/>
      <c r="X94" s="39"/>
      <c r="Y94" s="39"/>
      <c r="Z94" s="39"/>
      <c r="AA94" s="39"/>
      <c r="AB94" s="39"/>
      <c r="AC94" s="39"/>
      <c r="AD94" s="39"/>
      <c r="AE94" s="39"/>
      <c r="AF94" s="39"/>
      <c r="AG94" s="39"/>
      <c r="AH94" s="39"/>
      <c r="AI94" s="39"/>
      <c r="AJ94" s="39"/>
    </row>
    <row r="95" spans="1:36" s="51" customFormat="1" ht="21" customHeight="1" x14ac:dyDescent="0.15">
      <c r="A95" s="46"/>
      <c r="B95" s="46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46"/>
      <c r="N95" s="46"/>
      <c r="O95" s="48"/>
      <c r="P95" s="49"/>
      <c r="Q95" s="50"/>
      <c r="R95" s="50"/>
      <c r="S95" s="50"/>
      <c r="T95" s="50"/>
      <c r="U95" s="50"/>
      <c r="V95" s="50"/>
      <c r="W95" s="39"/>
      <c r="X95" s="39"/>
      <c r="Y95" s="39"/>
      <c r="Z95" s="39"/>
      <c r="AA95" s="39"/>
      <c r="AB95" s="39"/>
      <c r="AC95" s="39"/>
      <c r="AD95" s="39"/>
      <c r="AE95" s="39"/>
      <c r="AF95" s="39"/>
      <c r="AG95" s="39"/>
      <c r="AH95" s="39"/>
      <c r="AI95" s="39"/>
      <c r="AJ95" s="39"/>
    </row>
    <row r="96" spans="1:36" s="51" customFormat="1" ht="21" customHeight="1" x14ac:dyDescent="0.15">
      <c r="A96" s="46"/>
      <c r="B96" s="46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46"/>
      <c r="N96" s="46"/>
      <c r="O96" s="48"/>
      <c r="P96" s="49"/>
      <c r="Q96" s="50"/>
      <c r="R96" s="50"/>
      <c r="S96" s="50"/>
      <c r="T96" s="50"/>
      <c r="U96" s="50"/>
      <c r="V96" s="50"/>
      <c r="W96" s="39"/>
      <c r="X96" s="39"/>
      <c r="Y96" s="39"/>
      <c r="Z96" s="39"/>
      <c r="AA96" s="39"/>
      <c r="AB96" s="39"/>
      <c r="AC96" s="39"/>
      <c r="AD96" s="39"/>
      <c r="AE96" s="39"/>
      <c r="AF96" s="39"/>
      <c r="AG96" s="39"/>
      <c r="AH96" s="39"/>
      <c r="AI96" s="39"/>
      <c r="AJ96" s="39"/>
    </row>
    <row r="97" spans="1:36" s="51" customFormat="1" ht="21" customHeight="1" x14ac:dyDescent="0.15">
      <c r="A97" s="46"/>
      <c r="B97" s="46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46"/>
      <c r="N97" s="46"/>
      <c r="O97" s="48"/>
      <c r="P97" s="49"/>
      <c r="Q97" s="50"/>
      <c r="R97" s="50"/>
      <c r="S97" s="50"/>
      <c r="T97" s="50"/>
      <c r="U97" s="50"/>
      <c r="V97" s="50"/>
      <c r="W97" s="39"/>
      <c r="X97" s="39"/>
      <c r="Y97" s="39"/>
      <c r="Z97" s="39"/>
      <c r="AA97" s="39"/>
      <c r="AB97" s="39"/>
      <c r="AC97" s="39"/>
      <c r="AD97" s="39"/>
      <c r="AE97" s="39"/>
      <c r="AF97" s="39"/>
      <c r="AG97" s="39"/>
      <c r="AH97" s="39"/>
      <c r="AI97" s="39"/>
      <c r="AJ97" s="39"/>
    </row>
    <row r="98" spans="1:36" s="51" customFormat="1" ht="21" customHeight="1" x14ac:dyDescent="0.15">
      <c r="A98" s="46"/>
      <c r="B98" s="46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46"/>
      <c r="N98" s="46"/>
      <c r="O98" s="48"/>
      <c r="P98" s="49"/>
      <c r="Q98" s="50"/>
      <c r="R98" s="50"/>
      <c r="S98" s="50"/>
      <c r="T98" s="50"/>
      <c r="U98" s="50"/>
      <c r="V98" s="50"/>
      <c r="W98" s="39"/>
      <c r="X98" s="39"/>
      <c r="Y98" s="39"/>
      <c r="Z98" s="39"/>
      <c r="AA98" s="39"/>
      <c r="AB98" s="39"/>
      <c r="AC98" s="39"/>
      <c r="AD98" s="39"/>
      <c r="AE98" s="39"/>
      <c r="AF98" s="39"/>
      <c r="AG98" s="39"/>
      <c r="AH98" s="39"/>
      <c r="AI98" s="39"/>
      <c r="AJ98" s="39"/>
    </row>
    <row r="99" spans="1:36" s="51" customFormat="1" ht="21" customHeight="1" x14ac:dyDescent="0.15">
      <c r="A99" s="46"/>
      <c r="B99" s="46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46"/>
      <c r="N99" s="46"/>
      <c r="O99" s="48"/>
      <c r="P99" s="49"/>
      <c r="Q99" s="50"/>
      <c r="R99" s="50"/>
      <c r="S99" s="50"/>
      <c r="T99" s="50"/>
      <c r="U99" s="50"/>
      <c r="V99" s="50"/>
      <c r="W99" s="39"/>
      <c r="X99" s="39"/>
      <c r="Y99" s="39"/>
      <c r="Z99" s="39"/>
      <c r="AA99" s="39"/>
      <c r="AB99" s="39"/>
      <c r="AC99" s="39"/>
      <c r="AD99" s="39"/>
      <c r="AE99" s="39"/>
      <c r="AF99" s="39"/>
      <c r="AG99" s="39"/>
      <c r="AH99" s="39"/>
      <c r="AI99" s="39"/>
      <c r="AJ99" s="39"/>
    </row>
    <row r="100" spans="1:36" s="51" customFormat="1" ht="21" customHeight="1" x14ac:dyDescent="0.15">
      <c r="A100" s="46"/>
      <c r="B100" s="46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46"/>
      <c r="N100" s="46"/>
      <c r="O100" s="48"/>
      <c r="P100" s="49"/>
      <c r="Q100" s="50"/>
      <c r="R100" s="50"/>
      <c r="S100" s="50"/>
      <c r="T100" s="50"/>
      <c r="U100" s="50"/>
      <c r="V100" s="50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</row>
    <row r="101" spans="1:36" s="51" customFormat="1" ht="21" customHeight="1" x14ac:dyDescent="0.15">
      <c r="A101" s="46"/>
      <c r="B101" s="46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6"/>
      <c r="O101" s="48"/>
      <c r="P101" s="49"/>
      <c r="Q101" s="50"/>
      <c r="R101" s="50"/>
      <c r="S101" s="50"/>
      <c r="T101" s="50"/>
      <c r="U101" s="50"/>
      <c r="V101" s="50"/>
      <c r="W101" s="39"/>
      <c r="X101" s="39"/>
      <c r="Y101" s="39"/>
      <c r="Z101" s="39"/>
      <c r="AA101" s="39"/>
      <c r="AB101" s="39"/>
      <c r="AC101" s="39"/>
      <c r="AD101" s="39"/>
      <c r="AE101" s="39"/>
      <c r="AF101" s="39"/>
      <c r="AG101" s="39"/>
      <c r="AH101" s="39"/>
      <c r="AI101" s="39"/>
      <c r="AJ101" s="39"/>
    </row>
    <row r="102" spans="1:36" s="51" customFormat="1" ht="21" customHeight="1" x14ac:dyDescent="0.15">
      <c r="A102" s="46"/>
      <c r="B102" s="46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6"/>
      <c r="O102" s="48"/>
      <c r="P102" s="49"/>
      <c r="Q102" s="50"/>
      <c r="R102" s="50"/>
      <c r="S102" s="50"/>
      <c r="T102" s="50"/>
      <c r="U102" s="50"/>
      <c r="V102" s="50"/>
      <c r="W102" s="39"/>
      <c r="X102" s="39"/>
      <c r="Y102" s="39"/>
      <c r="Z102" s="39"/>
      <c r="AA102" s="39"/>
      <c r="AB102" s="39"/>
      <c r="AC102" s="39"/>
      <c r="AD102" s="39"/>
      <c r="AE102" s="39"/>
      <c r="AF102" s="39"/>
      <c r="AG102" s="39"/>
      <c r="AH102" s="39"/>
      <c r="AI102" s="39"/>
      <c r="AJ102" s="39"/>
    </row>
    <row r="103" spans="1:36" s="51" customFormat="1" ht="21" customHeight="1" x14ac:dyDescent="0.15">
      <c r="A103" s="46"/>
      <c r="B103" s="46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6"/>
      <c r="O103" s="48"/>
      <c r="P103" s="49"/>
      <c r="Q103" s="50"/>
      <c r="R103" s="50"/>
      <c r="S103" s="50"/>
      <c r="T103" s="50"/>
      <c r="U103" s="50"/>
      <c r="V103" s="50"/>
      <c r="W103" s="39"/>
      <c r="X103" s="39"/>
      <c r="Y103" s="39"/>
      <c r="Z103" s="39"/>
      <c r="AA103" s="39"/>
      <c r="AB103" s="39"/>
      <c r="AC103" s="39"/>
      <c r="AD103" s="39"/>
      <c r="AE103" s="39"/>
      <c r="AF103" s="39"/>
      <c r="AG103" s="39"/>
      <c r="AH103" s="39"/>
      <c r="AI103" s="39"/>
      <c r="AJ103" s="39"/>
    </row>
    <row r="104" spans="1:36" s="51" customFormat="1" ht="21" customHeight="1" x14ac:dyDescent="0.15">
      <c r="A104" s="46"/>
      <c r="B104" s="46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6"/>
      <c r="O104" s="48"/>
      <c r="P104" s="49"/>
      <c r="Q104" s="50"/>
      <c r="R104" s="50"/>
      <c r="S104" s="50"/>
      <c r="T104" s="50"/>
      <c r="U104" s="50"/>
      <c r="V104" s="50"/>
      <c r="W104" s="39"/>
      <c r="X104" s="39"/>
      <c r="Y104" s="39"/>
      <c r="Z104" s="39"/>
      <c r="AA104" s="39"/>
      <c r="AB104" s="39"/>
      <c r="AC104" s="39"/>
      <c r="AD104" s="39"/>
      <c r="AE104" s="39"/>
      <c r="AF104" s="39"/>
      <c r="AG104" s="39"/>
      <c r="AH104" s="39"/>
      <c r="AI104" s="39"/>
      <c r="AJ104" s="39"/>
    </row>
    <row r="105" spans="1:36" s="51" customFormat="1" ht="21" customHeight="1" x14ac:dyDescent="0.15">
      <c r="A105" s="46"/>
      <c r="B105" s="46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6"/>
      <c r="O105" s="48"/>
      <c r="P105" s="49"/>
      <c r="Q105" s="50"/>
      <c r="R105" s="50"/>
      <c r="S105" s="50"/>
      <c r="T105" s="50"/>
      <c r="U105" s="50"/>
      <c r="V105" s="50"/>
      <c r="W105" s="39"/>
      <c r="X105" s="39"/>
      <c r="Y105" s="39"/>
      <c r="Z105" s="39"/>
      <c r="AA105" s="39"/>
      <c r="AB105" s="39"/>
      <c r="AC105" s="39"/>
      <c r="AD105" s="39"/>
      <c r="AE105" s="39"/>
      <c r="AF105" s="39"/>
      <c r="AG105" s="39"/>
      <c r="AH105" s="39"/>
      <c r="AI105" s="39"/>
      <c r="AJ105" s="39"/>
    </row>
    <row r="106" spans="1:36" s="51" customFormat="1" ht="21" customHeight="1" x14ac:dyDescent="0.15">
      <c r="A106" s="46"/>
      <c r="B106" s="46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6"/>
      <c r="O106" s="48"/>
      <c r="P106" s="49"/>
      <c r="Q106" s="50"/>
      <c r="R106" s="50"/>
      <c r="S106" s="50"/>
      <c r="T106" s="50"/>
      <c r="U106" s="50"/>
      <c r="V106" s="50"/>
      <c r="W106" s="39"/>
      <c r="X106" s="39"/>
      <c r="Y106" s="39"/>
      <c r="Z106" s="39"/>
      <c r="AA106" s="39"/>
      <c r="AB106" s="39"/>
      <c r="AC106" s="39"/>
      <c r="AD106" s="39"/>
      <c r="AE106" s="39"/>
      <c r="AF106" s="39"/>
      <c r="AG106" s="39"/>
      <c r="AH106" s="39"/>
      <c r="AI106" s="39"/>
      <c r="AJ106" s="39"/>
    </row>
    <row r="107" spans="1:36" s="51" customFormat="1" ht="21" customHeight="1" x14ac:dyDescent="0.15">
      <c r="A107" s="46"/>
      <c r="B107" s="46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6"/>
      <c r="O107" s="48"/>
      <c r="P107" s="49"/>
      <c r="Q107" s="50"/>
      <c r="R107" s="50"/>
      <c r="S107" s="50"/>
      <c r="T107" s="50"/>
      <c r="U107" s="50"/>
      <c r="V107" s="50"/>
      <c r="W107" s="39"/>
      <c r="X107" s="39"/>
      <c r="Y107" s="39"/>
      <c r="Z107" s="39"/>
      <c r="AA107" s="39"/>
      <c r="AB107" s="39"/>
      <c r="AC107" s="39"/>
      <c r="AD107" s="39"/>
      <c r="AE107" s="39"/>
      <c r="AF107" s="39"/>
      <c r="AG107" s="39"/>
      <c r="AH107" s="39"/>
      <c r="AI107" s="39"/>
      <c r="AJ107" s="39"/>
    </row>
    <row r="108" spans="1:36" s="51" customFormat="1" ht="21" customHeight="1" x14ac:dyDescent="0.15">
      <c r="A108" s="46"/>
      <c r="B108" s="46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6"/>
      <c r="O108" s="48"/>
      <c r="P108" s="49"/>
      <c r="Q108" s="50"/>
      <c r="R108" s="50"/>
      <c r="S108" s="50"/>
      <c r="T108" s="50"/>
      <c r="U108" s="50"/>
      <c r="V108" s="50"/>
      <c r="W108" s="39"/>
      <c r="X108" s="39"/>
      <c r="Y108" s="39"/>
      <c r="Z108" s="39"/>
      <c r="AA108" s="39"/>
      <c r="AB108" s="39"/>
      <c r="AC108" s="39"/>
      <c r="AD108" s="39"/>
      <c r="AE108" s="39"/>
      <c r="AF108" s="39"/>
      <c r="AG108" s="39"/>
      <c r="AH108" s="39"/>
      <c r="AI108" s="39"/>
      <c r="AJ108" s="39"/>
    </row>
    <row r="109" spans="1:36" s="51" customFormat="1" ht="21" customHeight="1" x14ac:dyDescent="0.15">
      <c r="A109" s="46"/>
      <c r="B109" s="46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6"/>
      <c r="O109" s="48"/>
      <c r="P109" s="49"/>
      <c r="Q109" s="50"/>
      <c r="R109" s="50"/>
      <c r="S109" s="50"/>
      <c r="T109" s="50"/>
      <c r="U109" s="50"/>
      <c r="V109" s="50"/>
      <c r="W109" s="39"/>
      <c r="X109" s="39"/>
      <c r="Y109" s="39"/>
      <c r="Z109" s="39"/>
      <c r="AA109" s="39"/>
      <c r="AB109" s="39"/>
      <c r="AC109" s="39"/>
      <c r="AD109" s="39"/>
      <c r="AE109" s="39"/>
      <c r="AF109" s="39"/>
      <c r="AG109" s="39"/>
      <c r="AH109" s="39"/>
      <c r="AI109" s="39"/>
      <c r="AJ109" s="39"/>
    </row>
    <row r="110" spans="1:36" s="51" customFormat="1" ht="21" customHeight="1" x14ac:dyDescent="0.15">
      <c r="A110" s="46"/>
      <c r="B110" s="46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6"/>
      <c r="O110" s="48"/>
      <c r="P110" s="49"/>
      <c r="Q110" s="50"/>
      <c r="R110" s="50"/>
      <c r="S110" s="50"/>
      <c r="T110" s="50"/>
      <c r="U110" s="50"/>
      <c r="V110" s="50"/>
      <c r="W110" s="39"/>
      <c r="X110" s="39"/>
      <c r="Y110" s="39"/>
      <c r="Z110" s="39"/>
      <c r="AA110" s="39"/>
      <c r="AB110" s="39"/>
      <c r="AC110" s="39"/>
      <c r="AD110" s="39"/>
      <c r="AE110" s="39"/>
      <c r="AF110" s="39"/>
      <c r="AG110" s="39"/>
      <c r="AH110" s="39"/>
      <c r="AI110" s="39"/>
      <c r="AJ110" s="39"/>
    </row>
    <row r="111" spans="1:36" s="51" customFormat="1" ht="21" customHeight="1" x14ac:dyDescent="0.15">
      <c r="A111" s="46"/>
      <c r="B111" s="46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6"/>
      <c r="O111" s="48"/>
      <c r="P111" s="49"/>
      <c r="Q111" s="50"/>
      <c r="R111" s="50"/>
      <c r="S111" s="50"/>
      <c r="T111" s="50"/>
      <c r="U111" s="50"/>
      <c r="V111" s="50"/>
      <c r="W111" s="39"/>
      <c r="X111" s="39"/>
      <c r="Y111" s="39"/>
      <c r="Z111" s="39"/>
      <c r="AA111" s="39"/>
      <c r="AB111" s="39"/>
      <c r="AC111" s="39"/>
      <c r="AD111" s="39"/>
      <c r="AE111" s="39"/>
      <c r="AF111" s="39"/>
      <c r="AG111" s="39"/>
      <c r="AH111" s="39"/>
      <c r="AI111" s="39"/>
      <c r="AJ111" s="39"/>
    </row>
    <row r="112" spans="1:36" s="51" customFormat="1" ht="21" customHeight="1" x14ac:dyDescent="0.15">
      <c r="A112" s="46"/>
      <c r="B112" s="46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6"/>
      <c r="O112" s="48"/>
      <c r="P112" s="49"/>
      <c r="Q112" s="50"/>
      <c r="R112" s="50"/>
      <c r="S112" s="50"/>
      <c r="T112" s="50"/>
      <c r="U112" s="50"/>
      <c r="V112" s="50"/>
      <c r="W112" s="39"/>
      <c r="X112" s="39"/>
      <c r="Y112" s="39"/>
      <c r="Z112" s="39"/>
      <c r="AA112" s="39"/>
      <c r="AB112" s="39"/>
      <c r="AC112" s="39"/>
      <c r="AD112" s="39"/>
      <c r="AE112" s="39"/>
      <c r="AF112" s="39"/>
      <c r="AG112" s="39"/>
      <c r="AH112" s="39"/>
      <c r="AI112" s="39"/>
      <c r="AJ112" s="39"/>
    </row>
    <row r="113" spans="1:36" s="51" customFormat="1" ht="21" customHeight="1" x14ac:dyDescent="0.15">
      <c r="A113" s="46"/>
      <c r="B113" s="46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6"/>
      <c r="O113" s="48"/>
      <c r="P113" s="49"/>
      <c r="Q113" s="50"/>
      <c r="R113" s="50"/>
      <c r="S113" s="50"/>
      <c r="T113" s="50"/>
      <c r="U113" s="50"/>
      <c r="V113" s="50"/>
      <c r="W113" s="39"/>
      <c r="X113" s="39"/>
      <c r="Y113" s="39"/>
      <c r="Z113" s="39"/>
      <c r="AA113" s="39"/>
      <c r="AB113" s="39"/>
      <c r="AC113" s="39"/>
      <c r="AD113" s="39"/>
      <c r="AE113" s="39"/>
      <c r="AF113" s="39"/>
      <c r="AG113" s="39"/>
      <c r="AH113" s="39"/>
      <c r="AI113" s="39"/>
      <c r="AJ113" s="39"/>
    </row>
    <row r="114" spans="1:36" s="51" customFormat="1" ht="21" customHeight="1" x14ac:dyDescent="0.15">
      <c r="A114" s="46"/>
      <c r="B114" s="46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6"/>
      <c r="O114" s="48"/>
      <c r="P114" s="49"/>
      <c r="Q114" s="50"/>
      <c r="R114" s="50"/>
      <c r="S114" s="50"/>
      <c r="T114" s="50"/>
      <c r="U114" s="50"/>
      <c r="V114" s="50"/>
      <c r="W114" s="39"/>
      <c r="X114" s="39"/>
      <c r="Y114" s="39"/>
      <c r="Z114" s="39"/>
      <c r="AA114" s="39"/>
      <c r="AB114" s="39"/>
      <c r="AC114" s="39"/>
      <c r="AD114" s="39"/>
      <c r="AE114" s="39"/>
      <c r="AF114" s="39"/>
      <c r="AG114" s="39"/>
      <c r="AH114" s="39"/>
      <c r="AI114" s="39"/>
      <c r="AJ114" s="39"/>
    </row>
    <row r="115" spans="1:36" s="51" customFormat="1" ht="21" customHeight="1" x14ac:dyDescent="0.15">
      <c r="A115" s="46"/>
      <c r="B115" s="46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6"/>
      <c r="O115" s="48"/>
      <c r="P115" s="49"/>
      <c r="Q115" s="50"/>
      <c r="R115" s="50"/>
      <c r="S115" s="50"/>
      <c r="T115" s="50"/>
      <c r="U115" s="50"/>
      <c r="V115" s="50"/>
      <c r="W115" s="39"/>
      <c r="X115" s="39"/>
      <c r="Y115" s="39"/>
      <c r="Z115" s="39"/>
      <c r="AA115" s="39"/>
      <c r="AB115" s="39"/>
      <c r="AC115" s="39"/>
      <c r="AD115" s="39"/>
      <c r="AE115" s="39"/>
      <c r="AF115" s="39"/>
      <c r="AG115" s="39"/>
      <c r="AH115" s="39"/>
      <c r="AI115" s="39"/>
      <c r="AJ115" s="39"/>
    </row>
    <row r="116" spans="1:36" s="51" customFormat="1" ht="21" customHeight="1" x14ac:dyDescent="0.15">
      <c r="A116" s="46"/>
      <c r="B116" s="46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6"/>
      <c r="O116" s="48"/>
      <c r="P116" s="49"/>
      <c r="Q116" s="50"/>
      <c r="R116" s="50"/>
      <c r="S116" s="50"/>
      <c r="T116" s="50"/>
      <c r="U116" s="50"/>
      <c r="V116" s="50"/>
      <c r="W116" s="39"/>
      <c r="X116" s="39"/>
      <c r="Y116" s="39"/>
      <c r="Z116" s="39"/>
      <c r="AA116" s="39"/>
      <c r="AB116" s="39"/>
      <c r="AC116" s="39"/>
      <c r="AD116" s="39"/>
      <c r="AE116" s="39"/>
      <c r="AF116" s="39"/>
      <c r="AG116" s="39"/>
      <c r="AH116" s="39"/>
      <c r="AI116" s="39"/>
      <c r="AJ116" s="39"/>
    </row>
    <row r="117" spans="1:36" s="51" customFormat="1" ht="21" customHeight="1" x14ac:dyDescent="0.15">
      <c r="A117" s="46"/>
      <c r="B117" s="46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6"/>
      <c r="O117" s="48"/>
      <c r="P117" s="49"/>
      <c r="Q117" s="50"/>
      <c r="R117" s="50"/>
      <c r="S117" s="50"/>
      <c r="T117" s="50"/>
      <c r="U117" s="50"/>
      <c r="V117" s="50"/>
      <c r="W117" s="39"/>
      <c r="X117" s="39"/>
      <c r="Y117" s="39"/>
      <c r="Z117" s="39"/>
      <c r="AA117" s="39"/>
      <c r="AB117" s="39"/>
      <c r="AC117" s="39"/>
      <c r="AD117" s="39"/>
      <c r="AE117" s="39"/>
      <c r="AF117" s="39"/>
      <c r="AG117" s="39"/>
      <c r="AH117" s="39"/>
      <c r="AI117" s="39"/>
      <c r="AJ117" s="39"/>
    </row>
    <row r="118" spans="1:36" s="51" customFormat="1" ht="21" customHeight="1" x14ac:dyDescent="0.15">
      <c r="A118" s="46"/>
      <c r="B118" s="46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6"/>
      <c r="O118" s="48"/>
      <c r="P118" s="49"/>
      <c r="Q118" s="50"/>
      <c r="R118" s="50"/>
      <c r="S118" s="50"/>
      <c r="T118" s="50"/>
      <c r="U118" s="50"/>
      <c r="V118" s="50"/>
      <c r="W118" s="39"/>
      <c r="X118" s="39"/>
      <c r="Y118" s="39"/>
      <c r="Z118" s="39"/>
      <c r="AA118" s="39"/>
      <c r="AB118" s="39"/>
      <c r="AC118" s="39"/>
      <c r="AD118" s="39"/>
      <c r="AE118" s="39"/>
      <c r="AF118" s="39"/>
      <c r="AG118" s="39"/>
      <c r="AH118" s="39"/>
      <c r="AI118" s="39"/>
      <c r="AJ118" s="39"/>
    </row>
    <row r="119" spans="1:36" s="51" customFormat="1" ht="21" customHeight="1" x14ac:dyDescent="0.15">
      <c r="A119" s="46"/>
      <c r="B119" s="46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6"/>
      <c r="O119" s="48"/>
      <c r="P119" s="49"/>
      <c r="Q119" s="50"/>
      <c r="R119" s="50"/>
      <c r="S119" s="50"/>
      <c r="T119" s="50"/>
      <c r="U119" s="50"/>
      <c r="V119" s="50"/>
      <c r="W119" s="39"/>
      <c r="X119" s="39"/>
      <c r="Y119" s="39"/>
      <c r="Z119" s="39"/>
      <c r="AA119" s="39"/>
      <c r="AB119" s="39"/>
      <c r="AC119" s="39"/>
      <c r="AD119" s="39"/>
      <c r="AE119" s="39"/>
      <c r="AF119" s="39"/>
      <c r="AG119" s="39"/>
      <c r="AH119" s="39"/>
      <c r="AI119" s="39"/>
      <c r="AJ119" s="39"/>
    </row>
    <row r="120" spans="1:36" s="51" customFormat="1" ht="21" customHeight="1" x14ac:dyDescent="0.15">
      <c r="A120" s="46"/>
      <c r="B120" s="46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6"/>
      <c r="O120" s="48"/>
      <c r="P120" s="49"/>
      <c r="Q120" s="50"/>
      <c r="R120" s="50"/>
      <c r="S120" s="50"/>
      <c r="T120" s="50"/>
      <c r="U120" s="50"/>
      <c r="V120" s="50"/>
      <c r="W120" s="39"/>
      <c r="X120" s="39"/>
      <c r="Y120" s="39"/>
      <c r="Z120" s="39"/>
      <c r="AA120" s="39"/>
      <c r="AB120" s="39"/>
      <c r="AC120" s="39"/>
      <c r="AD120" s="39"/>
      <c r="AE120" s="39"/>
      <c r="AF120" s="39"/>
      <c r="AG120" s="39"/>
      <c r="AH120" s="39"/>
      <c r="AI120" s="39"/>
      <c r="AJ120" s="39"/>
    </row>
    <row r="121" spans="1:36" s="51" customFormat="1" ht="21" customHeight="1" x14ac:dyDescent="0.15">
      <c r="A121" s="46"/>
      <c r="B121" s="46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6"/>
      <c r="O121" s="48"/>
      <c r="P121" s="49"/>
      <c r="Q121" s="50"/>
      <c r="R121" s="50"/>
      <c r="S121" s="50"/>
      <c r="T121" s="50"/>
      <c r="U121" s="50"/>
      <c r="V121" s="50"/>
      <c r="W121" s="39"/>
      <c r="X121" s="39"/>
      <c r="Y121" s="39"/>
      <c r="Z121" s="39"/>
      <c r="AA121" s="39"/>
      <c r="AB121" s="39"/>
      <c r="AC121" s="39"/>
      <c r="AD121" s="39"/>
      <c r="AE121" s="39"/>
      <c r="AF121" s="39"/>
      <c r="AG121" s="39"/>
      <c r="AH121" s="39"/>
      <c r="AI121" s="39"/>
      <c r="AJ121" s="39"/>
    </row>
    <row r="122" spans="1:36" s="51" customFormat="1" ht="21" customHeight="1" x14ac:dyDescent="0.15">
      <c r="A122" s="46"/>
      <c r="B122" s="46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6"/>
      <c r="O122" s="48"/>
      <c r="P122" s="49"/>
      <c r="Q122" s="50"/>
      <c r="R122" s="50"/>
      <c r="S122" s="50"/>
      <c r="T122" s="50"/>
      <c r="U122" s="50"/>
      <c r="V122" s="50"/>
      <c r="W122" s="39"/>
      <c r="X122" s="39"/>
      <c r="Y122" s="39"/>
      <c r="Z122" s="39"/>
      <c r="AA122" s="39"/>
      <c r="AB122" s="39"/>
      <c r="AC122" s="39"/>
      <c r="AD122" s="39"/>
      <c r="AE122" s="39"/>
      <c r="AF122" s="39"/>
      <c r="AG122" s="39"/>
      <c r="AH122" s="39"/>
      <c r="AI122" s="39"/>
      <c r="AJ122" s="39"/>
    </row>
    <row r="123" spans="1:36" s="51" customFormat="1" ht="21" customHeight="1" x14ac:dyDescent="0.15">
      <c r="A123" s="46"/>
      <c r="B123" s="46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6"/>
      <c r="O123" s="48"/>
      <c r="P123" s="49"/>
      <c r="Q123" s="50"/>
      <c r="R123" s="50"/>
      <c r="S123" s="50"/>
      <c r="T123" s="50"/>
      <c r="U123" s="50"/>
      <c r="V123" s="50"/>
      <c r="W123" s="39"/>
      <c r="X123" s="39"/>
      <c r="Y123" s="39"/>
      <c r="Z123" s="39"/>
      <c r="AA123" s="39"/>
      <c r="AB123" s="39"/>
      <c r="AC123" s="39"/>
      <c r="AD123" s="39"/>
      <c r="AE123" s="39"/>
      <c r="AF123" s="39"/>
      <c r="AG123" s="39"/>
      <c r="AH123" s="39"/>
      <c r="AI123" s="39"/>
      <c r="AJ123" s="39"/>
    </row>
    <row r="124" spans="1:36" s="51" customFormat="1" ht="21" customHeight="1" x14ac:dyDescent="0.15">
      <c r="A124" s="46"/>
      <c r="B124" s="46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6"/>
      <c r="O124" s="48"/>
      <c r="P124" s="49"/>
      <c r="Q124" s="50"/>
      <c r="R124" s="50"/>
      <c r="S124" s="50"/>
      <c r="T124" s="50"/>
      <c r="U124" s="50"/>
      <c r="V124" s="50"/>
      <c r="W124" s="39"/>
      <c r="X124" s="39"/>
      <c r="Y124" s="39"/>
      <c r="Z124" s="39"/>
      <c r="AA124" s="39"/>
      <c r="AB124" s="39"/>
      <c r="AC124" s="39"/>
      <c r="AD124" s="39"/>
      <c r="AE124" s="39"/>
      <c r="AF124" s="39"/>
      <c r="AG124" s="39"/>
      <c r="AH124" s="39"/>
      <c r="AI124" s="39"/>
      <c r="AJ124" s="39"/>
    </row>
    <row r="125" spans="1:36" s="51" customFormat="1" ht="21" customHeight="1" x14ac:dyDescent="0.15">
      <c r="A125" s="46"/>
      <c r="B125" s="47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6"/>
      <c r="O125" s="48"/>
      <c r="P125" s="49"/>
      <c r="Q125" s="50"/>
      <c r="R125" s="50"/>
      <c r="S125" s="50"/>
      <c r="T125" s="50"/>
      <c r="U125" s="50"/>
      <c r="V125" s="50"/>
      <c r="W125" s="39"/>
      <c r="X125" s="39"/>
      <c r="Y125" s="39"/>
      <c r="Z125" s="39"/>
      <c r="AA125" s="39"/>
      <c r="AB125" s="39"/>
      <c r="AC125" s="39"/>
      <c r="AD125" s="39"/>
      <c r="AE125" s="39"/>
      <c r="AF125" s="39"/>
      <c r="AG125" s="39"/>
      <c r="AH125" s="39"/>
      <c r="AI125" s="39"/>
      <c r="AJ125" s="39"/>
    </row>
    <row r="126" spans="1:36" s="51" customFormat="1" ht="21" customHeight="1" x14ac:dyDescent="0.15">
      <c r="A126" s="46"/>
      <c r="B126" s="47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6"/>
      <c r="O126" s="48"/>
      <c r="P126" s="49"/>
      <c r="Q126" s="50"/>
      <c r="R126" s="50"/>
      <c r="S126" s="50"/>
      <c r="T126" s="50"/>
      <c r="U126" s="50"/>
      <c r="V126" s="50"/>
      <c r="W126" s="39"/>
      <c r="X126" s="39"/>
      <c r="Y126" s="39"/>
      <c r="Z126" s="39"/>
      <c r="AA126" s="39"/>
      <c r="AB126" s="39"/>
      <c r="AC126" s="39"/>
      <c r="AD126" s="39"/>
      <c r="AE126" s="39"/>
      <c r="AF126" s="39"/>
      <c r="AG126" s="39"/>
      <c r="AH126" s="39"/>
      <c r="AI126" s="39"/>
      <c r="AJ126" s="39"/>
    </row>
    <row r="127" spans="1:36" s="51" customFormat="1" ht="21" customHeight="1" x14ac:dyDescent="0.15">
      <c r="A127" s="46"/>
      <c r="B127" s="47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6"/>
      <c r="O127" s="48"/>
      <c r="P127" s="49"/>
      <c r="Q127" s="50"/>
      <c r="R127" s="50"/>
      <c r="S127" s="50"/>
      <c r="T127" s="50"/>
      <c r="U127" s="50"/>
      <c r="V127" s="50"/>
      <c r="W127" s="39"/>
      <c r="X127" s="39"/>
      <c r="Y127" s="39"/>
      <c r="Z127" s="39"/>
      <c r="AA127" s="39"/>
      <c r="AB127" s="39"/>
      <c r="AC127" s="39"/>
      <c r="AD127" s="39"/>
      <c r="AE127" s="39"/>
      <c r="AF127" s="39"/>
      <c r="AG127" s="39"/>
      <c r="AH127" s="39"/>
      <c r="AI127" s="39"/>
      <c r="AJ127" s="39"/>
    </row>
    <row r="128" spans="1:36" s="51" customFormat="1" ht="21" customHeight="1" x14ac:dyDescent="0.15">
      <c r="A128" s="46"/>
      <c r="B128" s="47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6"/>
      <c r="O128" s="48"/>
      <c r="P128" s="49"/>
      <c r="Q128" s="50"/>
      <c r="R128" s="50"/>
      <c r="S128" s="50"/>
      <c r="T128" s="50"/>
      <c r="U128" s="50"/>
      <c r="V128" s="50"/>
      <c r="W128" s="39"/>
      <c r="X128" s="39"/>
      <c r="Y128" s="39"/>
      <c r="Z128" s="39"/>
      <c r="AA128" s="39"/>
      <c r="AB128" s="39"/>
      <c r="AC128" s="39"/>
      <c r="AD128" s="39"/>
      <c r="AE128" s="39"/>
      <c r="AF128" s="39"/>
      <c r="AG128" s="39"/>
      <c r="AH128" s="39"/>
      <c r="AI128" s="39"/>
      <c r="AJ128" s="39"/>
    </row>
    <row r="129" spans="1:36" s="51" customFormat="1" ht="21" customHeight="1" x14ac:dyDescent="0.15">
      <c r="A129" s="46"/>
      <c r="B129" s="47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6"/>
      <c r="O129" s="48"/>
      <c r="P129" s="49"/>
      <c r="Q129" s="50"/>
      <c r="R129" s="50"/>
      <c r="S129" s="50"/>
      <c r="T129" s="50"/>
      <c r="U129" s="50"/>
      <c r="V129" s="50"/>
      <c r="W129" s="39"/>
      <c r="X129" s="39"/>
      <c r="Y129" s="39"/>
      <c r="Z129" s="39"/>
      <c r="AA129" s="39"/>
      <c r="AB129" s="39"/>
      <c r="AC129" s="39"/>
      <c r="AD129" s="39"/>
      <c r="AE129" s="39"/>
      <c r="AF129" s="39"/>
      <c r="AG129" s="39"/>
      <c r="AH129" s="39"/>
      <c r="AI129" s="39"/>
      <c r="AJ129" s="39"/>
    </row>
    <row r="130" spans="1:36" s="51" customFormat="1" ht="21" customHeight="1" x14ac:dyDescent="0.15">
      <c r="A130" s="46"/>
      <c r="B130" s="47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6"/>
      <c r="O130" s="48"/>
      <c r="P130" s="49"/>
      <c r="Q130" s="50"/>
      <c r="R130" s="50"/>
      <c r="S130" s="50"/>
      <c r="T130" s="50"/>
      <c r="U130" s="50"/>
      <c r="V130" s="50"/>
      <c r="W130" s="39"/>
      <c r="X130" s="39"/>
      <c r="Y130" s="39"/>
      <c r="Z130" s="39"/>
      <c r="AA130" s="39"/>
      <c r="AB130" s="39"/>
      <c r="AC130" s="39"/>
      <c r="AD130" s="39"/>
      <c r="AE130" s="39"/>
      <c r="AF130" s="39"/>
      <c r="AG130" s="39"/>
      <c r="AH130" s="39"/>
      <c r="AI130" s="39"/>
      <c r="AJ130" s="39"/>
    </row>
    <row r="131" spans="1:36" s="51" customFormat="1" ht="21" customHeight="1" x14ac:dyDescent="0.15">
      <c r="A131" s="46"/>
      <c r="B131" s="47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6"/>
      <c r="O131" s="48"/>
      <c r="P131" s="49"/>
      <c r="Q131" s="50"/>
      <c r="R131" s="50"/>
      <c r="S131" s="50"/>
      <c r="T131" s="50"/>
      <c r="U131" s="50"/>
      <c r="V131" s="50"/>
      <c r="W131" s="39"/>
      <c r="X131" s="39"/>
      <c r="Y131" s="39"/>
      <c r="Z131" s="39"/>
      <c r="AA131" s="39"/>
      <c r="AB131" s="39"/>
      <c r="AC131" s="39"/>
      <c r="AD131" s="39"/>
      <c r="AE131" s="39"/>
      <c r="AF131" s="39"/>
      <c r="AG131" s="39"/>
      <c r="AH131" s="39"/>
      <c r="AI131" s="39"/>
      <c r="AJ131" s="39"/>
    </row>
    <row r="132" spans="1:36" s="51" customFormat="1" ht="21" customHeight="1" x14ac:dyDescent="0.15">
      <c r="A132" s="46"/>
      <c r="B132" s="47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6"/>
      <c r="O132" s="48"/>
      <c r="P132" s="49"/>
      <c r="Q132" s="50"/>
      <c r="R132" s="50"/>
      <c r="S132" s="50"/>
      <c r="T132" s="50"/>
      <c r="U132" s="50"/>
      <c r="V132" s="50"/>
      <c r="W132" s="39"/>
      <c r="X132" s="39"/>
      <c r="Y132" s="39"/>
      <c r="Z132" s="39"/>
      <c r="AA132" s="39"/>
      <c r="AB132" s="39"/>
      <c r="AC132" s="39"/>
      <c r="AD132" s="39"/>
      <c r="AE132" s="39"/>
      <c r="AF132" s="39"/>
      <c r="AG132" s="39"/>
      <c r="AH132" s="39"/>
      <c r="AI132" s="39"/>
      <c r="AJ132" s="39"/>
    </row>
    <row r="133" spans="1:36" s="51" customFormat="1" ht="21" customHeight="1" x14ac:dyDescent="0.15">
      <c r="A133" s="46"/>
      <c r="B133" s="47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6"/>
      <c r="O133" s="48"/>
      <c r="P133" s="49"/>
      <c r="Q133" s="50"/>
      <c r="R133" s="50"/>
      <c r="S133" s="50"/>
      <c r="T133" s="50"/>
      <c r="U133" s="50"/>
      <c r="V133" s="50"/>
      <c r="W133" s="39"/>
      <c r="X133" s="39"/>
      <c r="Y133" s="39"/>
      <c r="Z133" s="39"/>
      <c r="AA133" s="39"/>
      <c r="AB133" s="39"/>
      <c r="AC133" s="39"/>
      <c r="AD133" s="39"/>
      <c r="AE133" s="39"/>
      <c r="AF133" s="39"/>
      <c r="AG133" s="39"/>
      <c r="AH133" s="39"/>
      <c r="AI133" s="39"/>
      <c r="AJ133" s="39"/>
    </row>
    <row r="134" spans="1:36" s="51" customFormat="1" ht="21" customHeight="1" x14ac:dyDescent="0.15">
      <c r="A134" s="46"/>
      <c r="B134" s="47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6"/>
      <c r="O134" s="48"/>
      <c r="P134" s="49"/>
      <c r="Q134" s="50"/>
      <c r="R134" s="50"/>
      <c r="S134" s="50"/>
      <c r="T134" s="50"/>
      <c r="U134" s="50"/>
      <c r="V134" s="50"/>
      <c r="W134" s="39"/>
      <c r="X134" s="39"/>
      <c r="Y134" s="39"/>
      <c r="Z134" s="39"/>
      <c r="AA134" s="39"/>
      <c r="AB134" s="39"/>
      <c r="AC134" s="39"/>
      <c r="AD134" s="39"/>
      <c r="AE134" s="39"/>
      <c r="AF134" s="39"/>
      <c r="AG134" s="39"/>
      <c r="AH134" s="39"/>
      <c r="AI134" s="39"/>
      <c r="AJ134" s="39"/>
    </row>
    <row r="135" spans="1:36" s="51" customFormat="1" ht="21" customHeight="1" x14ac:dyDescent="0.15">
      <c r="A135" s="46"/>
      <c r="B135" s="47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6"/>
      <c r="O135" s="48"/>
      <c r="P135" s="49"/>
      <c r="Q135" s="50"/>
      <c r="R135" s="50"/>
      <c r="S135" s="50"/>
      <c r="T135" s="50"/>
      <c r="U135" s="50"/>
      <c r="V135" s="50"/>
      <c r="W135" s="39"/>
      <c r="X135" s="39"/>
      <c r="Y135" s="39"/>
      <c r="Z135" s="39"/>
      <c r="AA135" s="39"/>
      <c r="AB135" s="39"/>
      <c r="AC135" s="39"/>
      <c r="AD135" s="39"/>
      <c r="AE135" s="39"/>
      <c r="AF135" s="39"/>
      <c r="AG135" s="39"/>
      <c r="AH135" s="39"/>
      <c r="AI135" s="39"/>
      <c r="AJ135" s="39"/>
    </row>
    <row r="136" spans="1:36" s="51" customFormat="1" ht="21" customHeight="1" x14ac:dyDescent="0.15">
      <c r="A136" s="46"/>
      <c r="B136" s="52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6"/>
      <c r="O136" s="48"/>
      <c r="P136" s="49"/>
      <c r="Q136" s="50"/>
      <c r="R136" s="50"/>
      <c r="S136" s="50"/>
      <c r="T136" s="50"/>
      <c r="U136" s="50"/>
      <c r="V136" s="50"/>
      <c r="W136" s="39"/>
      <c r="X136" s="39"/>
      <c r="Y136" s="39"/>
      <c r="Z136" s="39"/>
      <c r="AA136" s="39"/>
      <c r="AB136" s="39"/>
      <c r="AC136" s="39"/>
      <c r="AD136" s="39"/>
      <c r="AE136" s="39"/>
      <c r="AF136" s="39"/>
      <c r="AG136" s="39"/>
      <c r="AH136" s="39"/>
      <c r="AI136" s="39"/>
      <c r="AJ136" s="39"/>
    </row>
    <row r="137" spans="1:36" s="51" customFormat="1" ht="21" customHeight="1" x14ac:dyDescent="0.15">
      <c r="A137" s="46"/>
      <c r="B137" s="52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6"/>
      <c r="O137" s="48"/>
      <c r="P137" s="49"/>
      <c r="Q137" s="50"/>
      <c r="R137" s="50"/>
      <c r="S137" s="50"/>
      <c r="T137" s="50"/>
      <c r="U137" s="50"/>
      <c r="V137" s="50"/>
      <c r="W137" s="39"/>
      <c r="X137" s="39"/>
      <c r="Y137" s="39"/>
      <c r="Z137" s="39"/>
      <c r="AA137" s="39"/>
      <c r="AB137" s="39"/>
      <c r="AC137" s="39"/>
      <c r="AD137" s="39"/>
      <c r="AE137" s="39"/>
      <c r="AF137" s="39"/>
      <c r="AG137" s="39"/>
      <c r="AH137" s="39"/>
      <c r="AI137" s="39"/>
      <c r="AJ137" s="39"/>
    </row>
    <row r="138" spans="1:36" s="51" customFormat="1" ht="21" customHeight="1" x14ac:dyDescent="0.15">
      <c r="A138" s="46"/>
      <c r="B138" s="47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6"/>
      <c r="O138" s="48"/>
      <c r="P138" s="49"/>
      <c r="Q138" s="50"/>
      <c r="R138" s="50"/>
      <c r="S138" s="50"/>
      <c r="T138" s="50"/>
      <c r="U138" s="50"/>
      <c r="V138" s="50"/>
      <c r="W138" s="39"/>
      <c r="X138" s="39"/>
      <c r="Y138" s="39"/>
      <c r="Z138" s="39"/>
      <c r="AA138" s="39"/>
      <c r="AB138" s="39"/>
      <c r="AC138" s="39"/>
      <c r="AD138" s="39"/>
      <c r="AE138" s="39"/>
      <c r="AF138" s="39"/>
      <c r="AG138" s="39"/>
      <c r="AH138" s="39"/>
      <c r="AI138" s="39"/>
      <c r="AJ138" s="39"/>
    </row>
    <row r="139" spans="1:36" s="51" customFormat="1" ht="21" customHeight="1" x14ac:dyDescent="0.15">
      <c r="A139" s="46"/>
      <c r="B139" s="47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6"/>
      <c r="O139" s="48"/>
      <c r="P139" s="49"/>
      <c r="Q139" s="50"/>
      <c r="R139" s="50"/>
      <c r="S139" s="50"/>
      <c r="T139" s="50"/>
      <c r="U139" s="50"/>
      <c r="V139" s="50"/>
      <c r="W139" s="39"/>
      <c r="X139" s="39"/>
      <c r="Y139" s="39"/>
      <c r="Z139" s="39"/>
      <c r="AA139" s="39"/>
      <c r="AB139" s="39"/>
      <c r="AC139" s="39"/>
      <c r="AD139" s="39"/>
      <c r="AE139" s="39"/>
      <c r="AF139" s="39"/>
      <c r="AG139" s="39"/>
      <c r="AH139" s="39"/>
      <c r="AI139" s="39"/>
      <c r="AJ139" s="39"/>
    </row>
    <row r="140" spans="1:36" ht="21" customHeight="1" x14ac:dyDescent="0.15">
      <c r="A140" s="39"/>
      <c r="B140" s="40"/>
      <c r="C140" s="39"/>
      <c r="D140" s="39"/>
      <c r="E140" s="39"/>
      <c r="F140" s="39"/>
      <c r="G140" s="39"/>
      <c r="H140" s="39"/>
      <c r="I140" s="39"/>
      <c r="J140" s="39"/>
      <c r="K140" s="39"/>
      <c r="L140" s="39"/>
      <c r="M140" s="39"/>
      <c r="N140" s="39"/>
      <c r="O140" s="41"/>
      <c r="P140" s="42"/>
      <c r="Q140" s="43"/>
      <c r="R140" s="43"/>
      <c r="S140" s="43"/>
      <c r="T140" s="43"/>
      <c r="U140" s="43"/>
      <c r="V140" s="43"/>
    </row>
    <row r="141" spans="1:36" ht="21" customHeight="1" x14ac:dyDescent="0.15">
      <c r="A141" s="39"/>
      <c r="B141" s="40"/>
      <c r="C141" s="39"/>
      <c r="D141" s="39"/>
      <c r="E141" s="39"/>
      <c r="F141" s="39"/>
      <c r="G141" s="39"/>
      <c r="H141" s="39"/>
      <c r="I141" s="39"/>
      <c r="J141" s="39"/>
      <c r="K141" s="39"/>
      <c r="L141" s="39"/>
      <c r="M141" s="39"/>
      <c r="N141" s="39"/>
      <c r="O141" s="41"/>
      <c r="P141" s="42"/>
      <c r="Q141" s="43"/>
      <c r="R141" s="43"/>
      <c r="S141" s="43"/>
      <c r="T141" s="43"/>
      <c r="U141" s="43"/>
      <c r="V141" s="43"/>
    </row>
    <row r="142" spans="1:36" ht="21" customHeight="1" x14ac:dyDescent="0.15">
      <c r="A142" s="39"/>
      <c r="B142" s="40"/>
      <c r="C142" s="39"/>
      <c r="D142" s="39"/>
      <c r="E142" s="39"/>
      <c r="F142" s="39"/>
      <c r="G142" s="39"/>
      <c r="H142" s="39"/>
      <c r="I142" s="39"/>
      <c r="J142" s="39"/>
      <c r="K142" s="39"/>
      <c r="L142" s="39"/>
      <c r="M142" s="39"/>
      <c r="N142" s="39"/>
      <c r="O142" s="41"/>
      <c r="P142" s="42"/>
      <c r="Q142" s="43"/>
      <c r="R142" s="43"/>
      <c r="S142" s="43"/>
      <c r="T142" s="43"/>
      <c r="U142" s="43"/>
      <c r="V142" s="43"/>
    </row>
    <row r="143" spans="1:36" s="12" customFormat="1" ht="21" customHeight="1" thickBot="1" x14ac:dyDescent="0.2">
      <c r="A143" s="39"/>
      <c r="B143" s="40"/>
      <c r="C143" s="39"/>
      <c r="D143" s="39"/>
      <c r="E143" s="39"/>
      <c r="F143" s="39"/>
      <c r="G143" s="39"/>
      <c r="H143" s="39"/>
      <c r="I143" s="39"/>
      <c r="J143" s="39"/>
      <c r="K143" s="39"/>
      <c r="L143" s="39"/>
      <c r="M143" s="39"/>
      <c r="N143" s="39"/>
      <c r="O143" s="41"/>
      <c r="P143" s="42"/>
      <c r="Q143" s="43"/>
      <c r="R143" s="43"/>
      <c r="S143" s="43"/>
      <c r="T143" s="43"/>
      <c r="U143" s="43"/>
      <c r="V143" s="43"/>
      <c r="W143" s="45"/>
      <c r="X143" s="45"/>
      <c r="Y143" s="45"/>
      <c r="Z143" s="45"/>
      <c r="AA143" s="45"/>
      <c r="AB143" s="45"/>
      <c r="AC143" s="45"/>
      <c r="AD143" s="45"/>
      <c r="AE143" s="45"/>
      <c r="AF143" s="45"/>
      <c r="AG143" s="45"/>
      <c r="AH143" s="45"/>
      <c r="AI143" s="45"/>
      <c r="AJ143" s="45"/>
    </row>
    <row r="144" spans="1:36" ht="21" customHeight="1" x14ac:dyDescent="0.15">
      <c r="A144" s="39"/>
      <c r="B144" s="40"/>
      <c r="C144" s="39"/>
      <c r="D144" s="39"/>
      <c r="E144" s="39"/>
      <c r="F144" s="39"/>
      <c r="G144" s="39"/>
      <c r="H144" s="39"/>
      <c r="I144" s="39"/>
      <c r="J144" s="39"/>
      <c r="K144" s="39"/>
      <c r="L144" s="39"/>
      <c r="M144" s="39"/>
      <c r="N144" s="39"/>
      <c r="O144" s="41"/>
      <c r="P144" s="42"/>
      <c r="Q144" s="43"/>
      <c r="R144" s="43"/>
      <c r="S144" s="43"/>
      <c r="T144" s="43"/>
      <c r="U144" s="43"/>
      <c r="V144" s="43"/>
    </row>
    <row r="145" spans="1:22" ht="21" customHeight="1" x14ac:dyDescent="0.15">
      <c r="A145" s="39"/>
      <c r="B145" s="40"/>
      <c r="C145" s="39"/>
      <c r="D145" s="39"/>
      <c r="E145" s="39"/>
      <c r="F145" s="39"/>
      <c r="G145" s="39"/>
      <c r="H145" s="39"/>
      <c r="I145" s="39"/>
      <c r="J145" s="39"/>
      <c r="K145" s="39"/>
      <c r="L145" s="39"/>
      <c r="M145" s="39"/>
      <c r="N145" s="39"/>
      <c r="O145" s="41"/>
      <c r="P145" s="42"/>
      <c r="Q145" s="43"/>
      <c r="R145" s="43"/>
      <c r="S145" s="43"/>
      <c r="T145" s="43"/>
      <c r="U145" s="43"/>
      <c r="V145" s="43"/>
    </row>
    <row r="146" spans="1:22" ht="21" customHeight="1" x14ac:dyDescent="0.15">
      <c r="A146" s="39"/>
      <c r="B146" s="40"/>
      <c r="C146" s="39"/>
      <c r="D146" s="39"/>
      <c r="E146" s="39"/>
      <c r="F146" s="39"/>
      <c r="G146" s="39"/>
      <c r="H146" s="39"/>
      <c r="I146" s="39"/>
      <c r="J146" s="39"/>
      <c r="K146" s="39"/>
      <c r="L146" s="39"/>
      <c r="M146" s="39"/>
      <c r="N146" s="39"/>
      <c r="O146" s="41"/>
      <c r="P146" s="42"/>
      <c r="Q146" s="43"/>
      <c r="R146" s="43"/>
      <c r="S146" s="43"/>
      <c r="T146" s="43"/>
      <c r="U146" s="43"/>
      <c r="V146" s="43"/>
    </row>
    <row r="147" spans="1:22" ht="21" customHeight="1" x14ac:dyDescent="0.15">
      <c r="A147" s="39"/>
      <c r="B147" s="40"/>
      <c r="C147" s="39"/>
      <c r="D147" s="39"/>
      <c r="E147" s="39"/>
      <c r="F147" s="39"/>
      <c r="G147" s="39"/>
      <c r="H147" s="39"/>
      <c r="I147" s="39"/>
      <c r="J147" s="39"/>
      <c r="K147" s="39"/>
      <c r="L147" s="39"/>
      <c r="M147" s="39"/>
      <c r="N147" s="39"/>
      <c r="O147" s="41"/>
      <c r="P147" s="42"/>
      <c r="Q147" s="43"/>
      <c r="R147" s="43"/>
      <c r="S147" s="43"/>
      <c r="T147" s="43"/>
      <c r="U147" s="43"/>
      <c r="V147" s="43"/>
    </row>
    <row r="148" spans="1:22" ht="21" customHeight="1" x14ac:dyDescent="0.15">
      <c r="A148" s="39"/>
      <c r="B148" s="40"/>
      <c r="C148" s="39"/>
      <c r="D148" s="39"/>
      <c r="E148" s="39"/>
      <c r="F148" s="39"/>
      <c r="G148" s="39"/>
      <c r="H148" s="39"/>
      <c r="I148" s="39"/>
      <c r="J148" s="39"/>
      <c r="K148" s="39"/>
      <c r="L148" s="39"/>
      <c r="M148" s="39"/>
      <c r="N148" s="39"/>
      <c r="O148" s="41"/>
      <c r="P148" s="42"/>
      <c r="Q148" s="43"/>
      <c r="R148" s="43"/>
      <c r="S148" s="43"/>
      <c r="T148" s="43"/>
      <c r="U148" s="43"/>
      <c r="V148" s="43"/>
    </row>
    <row r="149" spans="1:22" ht="21" customHeight="1" x14ac:dyDescent="0.15">
      <c r="A149" s="39"/>
      <c r="B149" s="40"/>
      <c r="C149" s="39"/>
      <c r="D149" s="39"/>
      <c r="E149" s="39"/>
      <c r="F149" s="39"/>
      <c r="G149" s="39"/>
      <c r="H149" s="39"/>
      <c r="I149" s="39"/>
      <c r="J149" s="39"/>
      <c r="K149" s="39"/>
      <c r="L149" s="39"/>
      <c r="M149" s="39"/>
      <c r="N149" s="39"/>
      <c r="O149" s="41"/>
      <c r="P149" s="42"/>
      <c r="Q149" s="43"/>
      <c r="R149" s="43"/>
      <c r="S149" s="43"/>
      <c r="T149" s="43"/>
      <c r="U149" s="43"/>
      <c r="V149" s="43"/>
    </row>
    <row r="150" spans="1:22" ht="21" customHeight="1" x14ac:dyDescent="0.15">
      <c r="A150" s="39"/>
      <c r="B150" s="40"/>
      <c r="C150" s="39"/>
      <c r="D150" s="39"/>
      <c r="E150" s="39"/>
      <c r="F150" s="39"/>
      <c r="G150" s="39"/>
      <c r="H150" s="39"/>
      <c r="I150" s="39"/>
      <c r="J150" s="39"/>
      <c r="K150" s="39"/>
      <c r="L150" s="39"/>
      <c r="M150" s="39"/>
      <c r="N150" s="39"/>
      <c r="O150" s="41"/>
      <c r="P150" s="42"/>
      <c r="Q150" s="43"/>
      <c r="R150" s="43"/>
      <c r="S150" s="43"/>
      <c r="T150" s="43"/>
      <c r="U150" s="43"/>
      <c r="V150" s="43"/>
    </row>
    <row r="151" spans="1:22" ht="21" customHeight="1" x14ac:dyDescent="0.15">
      <c r="A151" s="39"/>
      <c r="B151" s="40"/>
      <c r="C151" s="39"/>
      <c r="D151" s="39"/>
      <c r="E151" s="39"/>
      <c r="F151" s="39"/>
      <c r="G151" s="39"/>
      <c r="H151" s="39"/>
      <c r="I151" s="39"/>
      <c r="J151" s="39"/>
      <c r="K151" s="39"/>
      <c r="L151" s="39"/>
      <c r="M151" s="39"/>
      <c r="N151" s="39"/>
      <c r="O151" s="41"/>
      <c r="P151" s="42"/>
      <c r="Q151" s="43"/>
      <c r="R151" s="43"/>
      <c r="S151" s="43"/>
      <c r="T151" s="43"/>
      <c r="U151" s="43"/>
      <c r="V151" s="43"/>
    </row>
    <row r="152" spans="1:22" ht="21" customHeight="1" x14ac:dyDescent="0.15">
      <c r="A152" s="39"/>
      <c r="B152" s="40"/>
      <c r="C152" s="39"/>
      <c r="D152" s="39"/>
      <c r="E152" s="39"/>
      <c r="F152" s="39"/>
      <c r="G152" s="39"/>
      <c r="H152" s="39"/>
      <c r="I152" s="39"/>
      <c r="J152" s="39"/>
      <c r="K152" s="39"/>
      <c r="L152" s="39"/>
      <c r="M152" s="39"/>
      <c r="N152" s="39"/>
      <c r="O152" s="41"/>
      <c r="P152" s="42"/>
      <c r="Q152" s="43"/>
      <c r="R152" s="43"/>
      <c r="S152" s="43"/>
      <c r="T152" s="43"/>
      <c r="U152" s="43"/>
      <c r="V152" s="43"/>
    </row>
    <row r="153" spans="1:22" ht="21" customHeight="1" x14ac:dyDescent="0.15">
      <c r="A153" s="39"/>
      <c r="B153" s="40"/>
      <c r="C153" s="39"/>
      <c r="D153" s="39"/>
      <c r="E153" s="39"/>
      <c r="F153" s="39"/>
      <c r="G153" s="39"/>
      <c r="H153" s="39"/>
      <c r="I153" s="39"/>
      <c r="J153" s="39"/>
      <c r="K153" s="39"/>
      <c r="L153" s="39"/>
      <c r="M153" s="39"/>
      <c r="N153" s="39"/>
      <c r="O153" s="41"/>
      <c r="P153" s="42"/>
      <c r="Q153" s="43"/>
      <c r="R153" s="43"/>
      <c r="S153" s="43"/>
      <c r="T153" s="43"/>
      <c r="U153" s="43"/>
      <c r="V153" s="43"/>
    </row>
    <row r="154" spans="1:22" ht="21" customHeight="1" x14ac:dyDescent="0.15">
      <c r="A154" s="39"/>
      <c r="B154" s="40"/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39"/>
      <c r="O154" s="41"/>
      <c r="P154" s="42"/>
      <c r="Q154" s="43"/>
      <c r="R154" s="43"/>
      <c r="S154" s="43"/>
      <c r="T154" s="43"/>
      <c r="U154" s="43"/>
      <c r="V154" s="43"/>
    </row>
    <row r="155" spans="1:22" ht="21" customHeight="1" x14ac:dyDescent="0.15">
      <c r="A155" s="39"/>
      <c r="B155" s="40"/>
      <c r="C155" s="39"/>
      <c r="D155" s="39"/>
      <c r="E155" s="39"/>
      <c r="F155" s="39"/>
      <c r="G155" s="39"/>
      <c r="H155" s="39"/>
      <c r="I155" s="39"/>
      <c r="J155" s="39"/>
      <c r="K155" s="39"/>
      <c r="L155" s="39"/>
      <c r="M155" s="39"/>
      <c r="N155" s="39"/>
      <c r="O155" s="41"/>
      <c r="P155" s="42"/>
      <c r="Q155" s="43"/>
      <c r="R155" s="43"/>
      <c r="S155" s="43"/>
      <c r="T155" s="43"/>
      <c r="U155" s="43"/>
      <c r="V155" s="43"/>
    </row>
    <row r="156" spans="1:22" ht="21" customHeight="1" x14ac:dyDescent="0.15">
      <c r="A156" s="39"/>
      <c r="B156" s="40"/>
      <c r="C156" s="39"/>
      <c r="D156" s="39"/>
      <c r="E156" s="39"/>
      <c r="F156" s="39"/>
      <c r="G156" s="39"/>
      <c r="H156" s="39"/>
      <c r="I156" s="39"/>
      <c r="J156" s="39"/>
      <c r="K156" s="39"/>
      <c r="L156" s="39"/>
      <c r="M156" s="39"/>
      <c r="N156" s="39"/>
      <c r="O156" s="41"/>
      <c r="P156" s="42"/>
      <c r="Q156" s="43"/>
      <c r="R156" s="43"/>
      <c r="S156" s="43"/>
      <c r="T156" s="43"/>
      <c r="U156" s="43"/>
      <c r="V156" s="43"/>
    </row>
    <row r="157" spans="1:22" ht="21" customHeight="1" x14ac:dyDescent="0.15">
      <c r="A157" s="39"/>
      <c r="B157" s="40"/>
      <c r="C157" s="39"/>
      <c r="D157" s="39"/>
      <c r="E157" s="39"/>
      <c r="F157" s="39"/>
      <c r="G157" s="39"/>
      <c r="H157" s="39"/>
      <c r="I157" s="39"/>
      <c r="J157" s="39"/>
      <c r="K157" s="39"/>
      <c r="L157" s="39"/>
      <c r="M157" s="39"/>
      <c r="N157" s="39"/>
      <c r="O157" s="41"/>
      <c r="P157" s="42"/>
      <c r="Q157" s="43"/>
      <c r="R157" s="43"/>
      <c r="S157" s="43"/>
      <c r="T157" s="43"/>
      <c r="U157" s="43"/>
      <c r="V157" s="43"/>
    </row>
    <row r="158" spans="1:22" ht="21" customHeight="1" x14ac:dyDescent="0.15">
      <c r="A158" s="39"/>
      <c r="B158" s="40"/>
      <c r="C158" s="39"/>
      <c r="D158" s="39"/>
      <c r="E158" s="39"/>
      <c r="F158" s="39"/>
      <c r="G158" s="39"/>
      <c r="H158" s="39"/>
      <c r="I158" s="39"/>
      <c r="J158" s="39"/>
      <c r="K158" s="39"/>
      <c r="L158" s="39"/>
      <c r="M158" s="39"/>
      <c r="N158" s="39"/>
      <c r="O158" s="41"/>
      <c r="P158" s="42"/>
      <c r="Q158" s="43"/>
      <c r="R158" s="43"/>
      <c r="S158" s="43"/>
      <c r="T158" s="43"/>
      <c r="U158" s="43"/>
      <c r="V158" s="43"/>
    </row>
    <row r="159" spans="1:22" ht="21" customHeight="1" x14ac:dyDescent="0.15">
      <c r="A159" s="39"/>
      <c r="B159" s="40"/>
      <c r="C159" s="39"/>
      <c r="D159" s="39"/>
      <c r="E159" s="39"/>
      <c r="F159" s="39"/>
      <c r="G159" s="39"/>
      <c r="H159" s="39"/>
      <c r="I159" s="39"/>
      <c r="J159" s="39"/>
      <c r="K159" s="39"/>
      <c r="L159" s="39"/>
      <c r="M159" s="39"/>
      <c r="N159" s="39"/>
      <c r="O159" s="41"/>
      <c r="P159" s="42"/>
      <c r="Q159" s="43"/>
      <c r="R159" s="43"/>
      <c r="S159" s="43"/>
      <c r="T159" s="43"/>
      <c r="U159" s="43"/>
      <c r="V159" s="43"/>
    </row>
    <row r="160" spans="1:22" ht="21" customHeight="1" x14ac:dyDescent="0.15">
      <c r="A160" s="39"/>
      <c r="B160" s="40"/>
      <c r="C160" s="39"/>
      <c r="D160" s="39"/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41"/>
      <c r="P160" s="42"/>
      <c r="Q160" s="43"/>
      <c r="R160" s="43"/>
      <c r="S160" s="43"/>
      <c r="T160" s="43"/>
      <c r="U160" s="43"/>
      <c r="V160" s="43"/>
    </row>
    <row r="161" spans="1:22" ht="21" customHeight="1" x14ac:dyDescent="0.15">
      <c r="A161" s="39"/>
      <c r="B161" s="40"/>
      <c r="C161" s="39"/>
      <c r="D161" s="39"/>
      <c r="E161" s="39"/>
      <c r="F161" s="39"/>
      <c r="G161" s="39"/>
      <c r="H161" s="39"/>
      <c r="I161" s="39"/>
      <c r="J161" s="39"/>
      <c r="K161" s="39"/>
      <c r="L161" s="39"/>
      <c r="M161" s="39"/>
      <c r="N161" s="39"/>
      <c r="O161" s="41"/>
      <c r="P161" s="42"/>
      <c r="Q161" s="43"/>
      <c r="R161" s="43"/>
      <c r="S161" s="43"/>
      <c r="T161" s="43"/>
      <c r="U161" s="43"/>
      <c r="V161" s="43"/>
    </row>
    <row r="162" spans="1:22" ht="21" customHeight="1" x14ac:dyDescent="0.15">
      <c r="A162" s="39"/>
      <c r="B162" s="40"/>
      <c r="C162" s="39"/>
      <c r="D162" s="39"/>
      <c r="E162" s="39"/>
      <c r="F162" s="39"/>
      <c r="G162" s="39"/>
      <c r="H162" s="39"/>
      <c r="I162" s="39"/>
      <c r="J162" s="39"/>
      <c r="K162" s="39"/>
      <c r="L162" s="39"/>
      <c r="M162" s="39"/>
      <c r="N162" s="39"/>
      <c r="O162" s="41"/>
      <c r="P162" s="42"/>
      <c r="Q162" s="43"/>
      <c r="R162" s="43"/>
      <c r="S162" s="43"/>
      <c r="T162" s="43"/>
      <c r="U162" s="43"/>
      <c r="V162" s="43"/>
    </row>
    <row r="163" spans="1:22" ht="21" customHeight="1" x14ac:dyDescent="0.15">
      <c r="A163" s="39"/>
      <c r="B163" s="40"/>
      <c r="C163" s="39"/>
      <c r="D163" s="39"/>
      <c r="E163" s="39"/>
      <c r="F163" s="39"/>
      <c r="G163" s="39"/>
      <c r="H163" s="39"/>
      <c r="I163" s="39"/>
      <c r="J163" s="39"/>
      <c r="K163" s="39"/>
      <c r="L163" s="39"/>
      <c r="M163" s="39"/>
      <c r="N163" s="39"/>
      <c r="O163" s="41"/>
      <c r="P163" s="42"/>
      <c r="Q163" s="43"/>
      <c r="R163" s="43"/>
      <c r="S163" s="43"/>
      <c r="T163" s="43"/>
      <c r="U163" s="43"/>
      <c r="V163" s="43"/>
    </row>
    <row r="164" spans="1:22" ht="21" customHeight="1" x14ac:dyDescent="0.15">
      <c r="A164" s="39"/>
      <c r="B164" s="40"/>
      <c r="C164" s="39"/>
      <c r="D164" s="39"/>
      <c r="E164" s="39"/>
      <c r="F164" s="39"/>
      <c r="G164" s="39"/>
      <c r="H164" s="39"/>
      <c r="I164" s="39"/>
      <c r="J164" s="39"/>
      <c r="K164" s="39"/>
      <c r="L164" s="39"/>
      <c r="M164" s="39"/>
      <c r="N164" s="39"/>
      <c r="O164" s="41"/>
      <c r="P164" s="42"/>
      <c r="Q164" s="43"/>
      <c r="R164" s="43"/>
      <c r="S164" s="43"/>
      <c r="T164" s="43"/>
      <c r="U164" s="43"/>
      <c r="V164" s="43"/>
    </row>
    <row r="165" spans="1:22" ht="21" customHeight="1" x14ac:dyDescent="0.15">
      <c r="A165" s="39"/>
      <c r="B165" s="40"/>
      <c r="C165" s="39"/>
      <c r="D165" s="39"/>
      <c r="E165" s="39"/>
      <c r="F165" s="39"/>
      <c r="G165" s="39"/>
      <c r="H165" s="39"/>
      <c r="I165" s="39"/>
      <c r="J165" s="39"/>
      <c r="K165" s="39"/>
      <c r="L165" s="39"/>
      <c r="M165" s="39"/>
      <c r="N165" s="39"/>
      <c r="O165" s="41"/>
      <c r="P165" s="42"/>
      <c r="Q165" s="43"/>
      <c r="R165" s="43"/>
      <c r="S165" s="43"/>
      <c r="T165" s="43"/>
      <c r="U165" s="43"/>
      <c r="V165" s="43"/>
    </row>
    <row r="166" spans="1:22" ht="21" customHeight="1" x14ac:dyDescent="0.15">
      <c r="A166" s="39"/>
      <c r="B166" s="40"/>
      <c r="C166" s="39"/>
      <c r="D166" s="39"/>
      <c r="E166" s="39"/>
      <c r="F166" s="39"/>
      <c r="G166" s="39"/>
      <c r="H166" s="39"/>
      <c r="I166" s="39"/>
      <c r="J166" s="39"/>
      <c r="K166" s="39"/>
      <c r="L166" s="39"/>
      <c r="M166" s="39"/>
      <c r="N166" s="39"/>
      <c r="O166" s="41"/>
      <c r="P166" s="42"/>
      <c r="Q166" s="43"/>
      <c r="R166" s="43"/>
      <c r="S166" s="43"/>
      <c r="T166" s="43"/>
      <c r="U166" s="43"/>
      <c r="V166" s="43"/>
    </row>
    <row r="167" spans="1:22" ht="21" customHeight="1" x14ac:dyDescent="0.15">
      <c r="A167" s="39"/>
      <c r="B167" s="40"/>
      <c r="C167" s="39"/>
      <c r="D167" s="39"/>
      <c r="E167" s="39"/>
      <c r="F167" s="39"/>
      <c r="G167" s="39"/>
      <c r="H167" s="39"/>
      <c r="I167" s="39"/>
      <c r="J167" s="39"/>
      <c r="K167" s="39"/>
      <c r="L167" s="39"/>
      <c r="M167" s="39"/>
      <c r="N167" s="39"/>
      <c r="O167" s="41"/>
      <c r="P167" s="42"/>
      <c r="Q167" s="43"/>
      <c r="R167" s="43"/>
      <c r="S167" s="43"/>
      <c r="T167" s="43"/>
      <c r="U167" s="43"/>
      <c r="V167" s="43"/>
    </row>
    <row r="168" spans="1:22" ht="21" customHeight="1" x14ac:dyDescent="0.15">
      <c r="A168" s="39"/>
      <c r="B168" s="40"/>
      <c r="C168" s="39"/>
      <c r="D168" s="39"/>
      <c r="E168" s="39"/>
      <c r="F168" s="39"/>
      <c r="G168" s="39"/>
      <c r="H168" s="39"/>
      <c r="I168" s="39"/>
      <c r="J168" s="39"/>
      <c r="K168" s="39"/>
      <c r="L168" s="39"/>
      <c r="M168" s="39"/>
      <c r="N168" s="39"/>
      <c r="O168" s="41"/>
      <c r="P168" s="42"/>
      <c r="Q168" s="43"/>
      <c r="R168" s="43"/>
      <c r="S168" s="43"/>
      <c r="T168" s="43"/>
      <c r="U168" s="43"/>
      <c r="V168" s="43"/>
    </row>
    <row r="169" spans="1:22" ht="21" customHeight="1" x14ac:dyDescent="0.15">
      <c r="A169" s="39"/>
      <c r="B169" s="40"/>
      <c r="C169" s="39"/>
      <c r="D169" s="39"/>
      <c r="E169" s="39"/>
      <c r="F169" s="39"/>
      <c r="G169" s="39"/>
      <c r="H169" s="39"/>
      <c r="I169" s="39"/>
      <c r="J169" s="39"/>
      <c r="K169" s="39"/>
      <c r="L169" s="39"/>
      <c r="M169" s="39"/>
      <c r="N169" s="39"/>
      <c r="O169" s="41"/>
      <c r="P169" s="42"/>
      <c r="Q169" s="43"/>
      <c r="R169" s="43"/>
      <c r="S169" s="43"/>
      <c r="T169" s="43"/>
      <c r="U169" s="43"/>
      <c r="V169" s="43"/>
    </row>
    <row r="170" spans="1:22" ht="21" customHeight="1" x14ac:dyDescent="0.15">
      <c r="A170" s="39"/>
      <c r="B170" s="40"/>
      <c r="C170" s="39"/>
      <c r="D170" s="39"/>
      <c r="E170" s="39"/>
      <c r="F170" s="39"/>
      <c r="G170" s="39"/>
      <c r="H170" s="39"/>
      <c r="I170" s="39"/>
      <c r="J170" s="39"/>
      <c r="K170" s="39"/>
      <c r="L170" s="39"/>
      <c r="M170" s="39"/>
      <c r="N170" s="39"/>
      <c r="O170" s="41"/>
      <c r="P170" s="42"/>
      <c r="Q170" s="43"/>
      <c r="R170" s="43"/>
      <c r="S170" s="43"/>
      <c r="T170" s="43"/>
      <c r="U170" s="43"/>
      <c r="V170" s="43"/>
    </row>
    <row r="171" spans="1:22" ht="21" customHeight="1" x14ac:dyDescent="0.15">
      <c r="A171" s="39"/>
      <c r="B171" s="40"/>
      <c r="C171" s="39"/>
      <c r="D171" s="39"/>
      <c r="E171" s="39"/>
      <c r="F171" s="39"/>
      <c r="G171" s="39"/>
      <c r="H171" s="39"/>
      <c r="I171" s="39"/>
      <c r="J171" s="39"/>
      <c r="K171" s="39"/>
      <c r="L171" s="39"/>
      <c r="M171" s="39"/>
      <c r="N171" s="39"/>
      <c r="O171" s="41"/>
      <c r="P171" s="42"/>
      <c r="Q171" s="43"/>
      <c r="R171" s="43"/>
      <c r="S171" s="43"/>
      <c r="T171" s="43"/>
      <c r="U171" s="43"/>
      <c r="V171" s="43"/>
    </row>
    <row r="172" spans="1:22" ht="21" customHeight="1" x14ac:dyDescent="0.15">
      <c r="A172" s="39"/>
      <c r="B172" s="40"/>
      <c r="C172" s="39"/>
      <c r="D172" s="39"/>
      <c r="E172" s="39"/>
      <c r="F172" s="39"/>
      <c r="G172" s="39"/>
      <c r="H172" s="39"/>
      <c r="I172" s="39"/>
      <c r="J172" s="39"/>
      <c r="K172" s="39"/>
      <c r="L172" s="39"/>
      <c r="M172" s="39"/>
      <c r="N172" s="39"/>
      <c r="O172" s="41"/>
      <c r="P172" s="42"/>
      <c r="Q172" s="43"/>
      <c r="R172" s="43"/>
      <c r="S172" s="43"/>
      <c r="T172" s="43"/>
      <c r="U172" s="43"/>
      <c r="V172" s="43"/>
    </row>
    <row r="173" spans="1:22" ht="21" customHeight="1" x14ac:dyDescent="0.15">
      <c r="A173" s="39"/>
      <c r="B173" s="40"/>
      <c r="C173" s="39"/>
      <c r="D173" s="39"/>
      <c r="E173" s="39"/>
      <c r="F173" s="39"/>
      <c r="G173" s="39"/>
      <c r="H173" s="39"/>
      <c r="I173" s="39"/>
      <c r="J173" s="39"/>
      <c r="K173" s="39"/>
      <c r="L173" s="39"/>
      <c r="M173" s="39"/>
      <c r="N173" s="39"/>
      <c r="O173" s="41"/>
      <c r="P173" s="42"/>
      <c r="Q173" s="43"/>
      <c r="R173" s="43"/>
      <c r="S173" s="43"/>
      <c r="T173" s="43"/>
      <c r="U173" s="43"/>
      <c r="V173" s="43"/>
    </row>
    <row r="174" spans="1:22" ht="21" customHeight="1" x14ac:dyDescent="0.15">
      <c r="A174" s="39"/>
      <c r="B174" s="40"/>
      <c r="C174" s="39"/>
      <c r="D174" s="39"/>
      <c r="E174" s="39"/>
      <c r="F174" s="39"/>
      <c r="G174" s="39"/>
      <c r="H174" s="39"/>
      <c r="I174" s="39"/>
      <c r="J174" s="39"/>
      <c r="K174" s="39"/>
      <c r="L174" s="39"/>
      <c r="M174" s="39"/>
      <c r="N174" s="39"/>
      <c r="O174" s="41"/>
      <c r="P174" s="42"/>
      <c r="Q174" s="43"/>
      <c r="R174" s="43"/>
      <c r="S174" s="43"/>
      <c r="T174" s="43"/>
      <c r="U174" s="43"/>
      <c r="V174" s="43"/>
    </row>
    <row r="175" spans="1:22" ht="21" customHeight="1" x14ac:dyDescent="0.15">
      <c r="A175" s="39"/>
      <c r="B175" s="40"/>
      <c r="C175" s="39"/>
      <c r="D175" s="39"/>
      <c r="E175" s="39"/>
      <c r="F175" s="39"/>
      <c r="G175" s="39"/>
      <c r="H175" s="39"/>
      <c r="I175" s="39"/>
      <c r="J175" s="39"/>
      <c r="K175" s="39"/>
      <c r="L175" s="39"/>
      <c r="M175" s="39"/>
      <c r="N175" s="39"/>
      <c r="O175" s="41"/>
      <c r="P175" s="42"/>
      <c r="Q175" s="43"/>
      <c r="R175" s="43"/>
      <c r="S175" s="43"/>
      <c r="T175" s="43"/>
      <c r="U175" s="43"/>
      <c r="V175" s="43"/>
    </row>
    <row r="176" spans="1:22" ht="21" customHeight="1" x14ac:dyDescent="0.15">
      <c r="A176" s="39"/>
      <c r="B176" s="40"/>
      <c r="C176" s="39"/>
      <c r="D176" s="39"/>
      <c r="E176" s="39"/>
      <c r="F176" s="39"/>
      <c r="G176" s="39"/>
      <c r="H176" s="39"/>
      <c r="I176" s="39"/>
      <c r="J176" s="39"/>
      <c r="K176" s="39"/>
      <c r="L176" s="39"/>
      <c r="M176" s="39"/>
      <c r="N176" s="39"/>
      <c r="O176" s="41"/>
      <c r="P176" s="42"/>
      <c r="Q176" s="43"/>
      <c r="R176" s="43"/>
      <c r="S176" s="43"/>
      <c r="T176" s="43"/>
      <c r="U176" s="43"/>
      <c r="V176" s="43"/>
    </row>
    <row r="177" spans="1:36" ht="21" customHeight="1" x14ac:dyDescent="0.15">
      <c r="A177" s="39"/>
      <c r="B177" s="40"/>
      <c r="C177" s="39"/>
      <c r="D177" s="39"/>
      <c r="E177" s="39"/>
      <c r="F177" s="39"/>
      <c r="G177" s="39"/>
      <c r="H177" s="39"/>
      <c r="I177" s="39"/>
      <c r="J177" s="39"/>
      <c r="K177" s="39"/>
      <c r="L177" s="39"/>
      <c r="M177" s="39"/>
      <c r="N177" s="39"/>
      <c r="O177" s="41"/>
      <c r="P177" s="42"/>
      <c r="Q177" s="43"/>
      <c r="R177" s="43"/>
      <c r="S177" s="43"/>
      <c r="T177" s="43"/>
      <c r="U177" s="43"/>
      <c r="V177" s="43"/>
    </row>
    <row r="178" spans="1:36" ht="21" customHeight="1" x14ac:dyDescent="0.15">
      <c r="A178" s="39"/>
      <c r="B178" s="40"/>
      <c r="C178" s="39"/>
      <c r="D178" s="39"/>
      <c r="E178" s="39"/>
      <c r="F178" s="39"/>
      <c r="G178" s="39"/>
      <c r="H178" s="39"/>
      <c r="I178" s="39"/>
      <c r="J178" s="39"/>
      <c r="K178" s="39"/>
      <c r="L178" s="39"/>
      <c r="M178" s="39"/>
      <c r="N178" s="39"/>
      <c r="O178" s="41"/>
      <c r="P178" s="42"/>
      <c r="Q178" s="43"/>
      <c r="R178" s="43"/>
      <c r="S178" s="43"/>
      <c r="T178" s="43"/>
      <c r="U178" s="43"/>
      <c r="V178" s="43"/>
    </row>
    <row r="179" spans="1:36" ht="21" customHeight="1" x14ac:dyDescent="0.15">
      <c r="A179" s="39"/>
      <c r="B179" s="40"/>
      <c r="C179" s="39"/>
      <c r="D179" s="39"/>
      <c r="E179" s="39"/>
      <c r="F179" s="39"/>
      <c r="G179" s="39"/>
      <c r="H179" s="39"/>
      <c r="I179" s="39"/>
      <c r="J179" s="39"/>
      <c r="K179" s="39"/>
      <c r="L179" s="39"/>
      <c r="M179" s="39"/>
      <c r="N179" s="39"/>
      <c r="O179" s="41"/>
      <c r="P179" s="42"/>
      <c r="Q179" s="43"/>
      <c r="R179" s="43"/>
      <c r="S179" s="43"/>
      <c r="T179" s="43"/>
      <c r="U179" s="43"/>
      <c r="V179" s="43"/>
    </row>
    <row r="180" spans="1:36" ht="21" customHeight="1" x14ac:dyDescent="0.15">
      <c r="A180" s="39"/>
      <c r="B180" s="40"/>
      <c r="C180" s="39"/>
      <c r="D180" s="39"/>
      <c r="E180" s="39"/>
      <c r="F180" s="39"/>
      <c r="G180" s="39"/>
      <c r="H180" s="39"/>
      <c r="I180" s="39"/>
      <c r="J180" s="39"/>
      <c r="K180" s="39"/>
      <c r="L180" s="39"/>
      <c r="M180" s="39"/>
      <c r="N180" s="39"/>
      <c r="O180" s="41"/>
      <c r="P180" s="42"/>
      <c r="Q180" s="43"/>
      <c r="R180" s="43"/>
      <c r="S180" s="43"/>
      <c r="T180" s="43"/>
      <c r="U180" s="43"/>
      <c r="V180" s="43"/>
    </row>
    <row r="181" spans="1:36" ht="21" customHeight="1" x14ac:dyDescent="0.15">
      <c r="A181" s="39"/>
      <c r="B181" s="40"/>
      <c r="C181" s="39"/>
      <c r="D181" s="39"/>
      <c r="E181" s="39"/>
      <c r="F181" s="39"/>
      <c r="G181" s="39"/>
      <c r="H181" s="39"/>
      <c r="I181" s="39"/>
      <c r="J181" s="39"/>
      <c r="K181" s="39"/>
      <c r="L181" s="39"/>
      <c r="M181" s="39"/>
      <c r="N181" s="39"/>
      <c r="O181" s="41"/>
      <c r="P181" s="42"/>
      <c r="Q181" s="43"/>
      <c r="R181" s="43"/>
      <c r="S181" s="43"/>
      <c r="T181" s="43"/>
      <c r="U181" s="43"/>
      <c r="V181" s="43"/>
    </row>
    <row r="182" spans="1:36" ht="21" customHeight="1" x14ac:dyDescent="0.15">
      <c r="A182" s="39"/>
      <c r="B182" s="40"/>
      <c r="C182" s="39"/>
      <c r="D182" s="39"/>
      <c r="E182" s="39"/>
      <c r="F182" s="39"/>
      <c r="G182" s="39"/>
      <c r="H182" s="39"/>
      <c r="I182" s="39"/>
      <c r="J182" s="39"/>
      <c r="K182" s="39"/>
      <c r="L182" s="39"/>
      <c r="M182" s="39"/>
      <c r="N182" s="39"/>
      <c r="O182" s="41"/>
      <c r="P182" s="42"/>
      <c r="Q182" s="43"/>
      <c r="R182" s="43"/>
      <c r="S182" s="43"/>
      <c r="T182" s="43"/>
      <c r="U182" s="43"/>
      <c r="V182" s="43"/>
    </row>
    <row r="183" spans="1:36" ht="21" customHeight="1" x14ac:dyDescent="0.15">
      <c r="A183" s="39"/>
      <c r="B183" s="40"/>
      <c r="C183" s="39"/>
      <c r="D183" s="39"/>
      <c r="E183" s="39"/>
      <c r="F183" s="39"/>
      <c r="G183" s="39"/>
      <c r="H183" s="39"/>
      <c r="I183" s="39"/>
      <c r="J183" s="39"/>
      <c r="K183" s="39"/>
      <c r="L183" s="39"/>
      <c r="M183" s="39"/>
      <c r="N183" s="39"/>
      <c r="O183" s="41"/>
      <c r="P183" s="42"/>
      <c r="Q183" s="43"/>
      <c r="R183" s="43"/>
      <c r="S183" s="43"/>
      <c r="T183" s="43"/>
      <c r="U183" s="43"/>
      <c r="V183" s="43"/>
    </row>
    <row r="184" spans="1:36" ht="21" customHeight="1" x14ac:dyDescent="0.15">
      <c r="A184" s="39"/>
      <c r="B184" s="40"/>
      <c r="C184" s="39"/>
      <c r="D184" s="39"/>
      <c r="E184" s="39"/>
      <c r="F184" s="39"/>
      <c r="G184" s="39"/>
      <c r="H184" s="39"/>
      <c r="I184" s="39"/>
      <c r="J184" s="39"/>
      <c r="K184" s="39"/>
      <c r="L184" s="39"/>
      <c r="M184" s="39"/>
      <c r="N184" s="39"/>
      <c r="O184" s="41"/>
      <c r="P184" s="42"/>
      <c r="Q184" s="43"/>
      <c r="R184" s="43"/>
      <c r="S184" s="43"/>
      <c r="T184" s="43"/>
      <c r="U184" s="43"/>
      <c r="V184" s="43"/>
    </row>
    <row r="185" spans="1:36" ht="21" customHeight="1" x14ac:dyDescent="0.15">
      <c r="A185" s="39"/>
      <c r="B185" s="40"/>
      <c r="C185" s="39"/>
      <c r="D185" s="39"/>
      <c r="E185" s="39"/>
      <c r="F185" s="39"/>
      <c r="G185" s="39"/>
      <c r="H185" s="39"/>
      <c r="I185" s="39"/>
      <c r="J185" s="39"/>
      <c r="K185" s="39"/>
      <c r="L185" s="39"/>
      <c r="M185" s="39"/>
      <c r="N185" s="39"/>
      <c r="O185" s="41"/>
      <c r="P185" s="42"/>
      <c r="Q185" s="43"/>
      <c r="R185" s="43"/>
      <c r="S185" s="43"/>
      <c r="T185" s="43"/>
      <c r="U185" s="43"/>
      <c r="V185" s="43"/>
    </row>
    <row r="186" spans="1:36" ht="21" customHeight="1" x14ac:dyDescent="0.15">
      <c r="A186" s="39"/>
      <c r="B186" s="44"/>
      <c r="C186" s="39"/>
      <c r="D186" s="39"/>
      <c r="E186" s="39"/>
      <c r="F186" s="39"/>
      <c r="G186" s="39"/>
      <c r="H186" s="39"/>
      <c r="I186" s="39"/>
      <c r="J186" s="39"/>
      <c r="K186" s="39"/>
      <c r="L186" s="39"/>
      <c r="M186" s="39"/>
      <c r="N186" s="39"/>
      <c r="O186" s="41"/>
      <c r="P186" s="42"/>
      <c r="Q186" s="43"/>
      <c r="R186" s="43"/>
      <c r="S186" s="43"/>
      <c r="T186" s="43"/>
      <c r="U186" s="43"/>
      <c r="V186" s="43"/>
    </row>
    <row r="187" spans="1:36" ht="21" customHeight="1" x14ac:dyDescent="0.15">
      <c r="A187" s="39"/>
      <c r="B187" s="44"/>
      <c r="C187" s="39"/>
      <c r="D187" s="39"/>
      <c r="E187" s="39"/>
      <c r="F187" s="39"/>
      <c r="G187" s="39"/>
      <c r="H187" s="39"/>
      <c r="I187" s="39"/>
      <c r="J187" s="39"/>
      <c r="K187" s="39"/>
      <c r="L187" s="39"/>
      <c r="M187" s="39"/>
      <c r="N187" s="39"/>
      <c r="O187" s="41"/>
      <c r="P187" s="42"/>
      <c r="Q187" s="43"/>
      <c r="R187" s="43"/>
      <c r="S187" s="43"/>
      <c r="T187" s="43"/>
      <c r="U187" s="43"/>
      <c r="V187" s="43"/>
    </row>
    <row r="188" spans="1:36" ht="21" customHeight="1" x14ac:dyDescent="0.15">
      <c r="A188" s="39"/>
      <c r="B188" s="44"/>
      <c r="C188" s="39"/>
      <c r="D188" s="39"/>
      <c r="E188" s="39"/>
      <c r="F188" s="39"/>
      <c r="G188" s="39"/>
      <c r="H188" s="39"/>
      <c r="I188" s="39"/>
      <c r="J188" s="39"/>
      <c r="K188" s="39"/>
      <c r="L188" s="39"/>
      <c r="M188" s="39"/>
      <c r="N188" s="39"/>
      <c r="O188" s="41"/>
      <c r="P188" s="42"/>
      <c r="Q188" s="43"/>
      <c r="R188" s="43"/>
      <c r="S188" s="43"/>
      <c r="T188" s="43"/>
      <c r="U188" s="43"/>
      <c r="V188" s="43"/>
    </row>
    <row r="189" spans="1:36" ht="21" customHeight="1" x14ac:dyDescent="0.15">
      <c r="A189" s="39"/>
      <c r="B189" s="44"/>
      <c r="C189" s="39"/>
      <c r="D189" s="39"/>
      <c r="E189" s="39"/>
      <c r="F189" s="39"/>
      <c r="G189" s="39"/>
      <c r="H189" s="39"/>
      <c r="I189" s="39"/>
      <c r="J189" s="39"/>
      <c r="K189" s="39"/>
      <c r="L189" s="39"/>
      <c r="M189" s="39"/>
      <c r="N189" s="39"/>
      <c r="O189" s="41"/>
      <c r="P189" s="42"/>
      <c r="Q189" s="43"/>
      <c r="R189" s="43"/>
      <c r="S189" s="43"/>
      <c r="T189" s="43"/>
      <c r="U189" s="43"/>
      <c r="V189" s="43"/>
    </row>
    <row r="190" spans="1:36" s="9" customFormat="1" ht="21" customHeight="1" thickBot="1" x14ac:dyDescent="0.2">
      <c r="A190" s="39"/>
      <c r="B190" s="40"/>
      <c r="C190" s="39"/>
      <c r="D190" s="39"/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41"/>
      <c r="P190" s="42"/>
      <c r="Q190" s="43"/>
      <c r="R190" s="43"/>
      <c r="S190" s="43"/>
      <c r="T190" s="43"/>
      <c r="U190" s="43"/>
      <c r="V190" s="43"/>
      <c r="W190" s="45"/>
      <c r="X190" s="45"/>
      <c r="Y190" s="45"/>
      <c r="Z190" s="45"/>
      <c r="AA190" s="45"/>
      <c r="AB190" s="45"/>
      <c r="AC190" s="45"/>
      <c r="AD190" s="45"/>
      <c r="AE190" s="45"/>
      <c r="AF190" s="45"/>
      <c r="AG190" s="45"/>
      <c r="AH190" s="45"/>
      <c r="AI190" s="45"/>
      <c r="AJ190" s="45"/>
    </row>
    <row r="191" spans="1:36" ht="21" customHeight="1" x14ac:dyDescent="0.15">
      <c r="A191" s="39"/>
      <c r="B191" s="40"/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39"/>
      <c r="O191" s="41"/>
      <c r="P191" s="42"/>
      <c r="Q191" s="43"/>
      <c r="R191" s="43"/>
      <c r="S191" s="43"/>
      <c r="T191" s="43"/>
      <c r="U191" s="43"/>
      <c r="V191" s="43"/>
    </row>
    <row r="192" spans="1:36" ht="21" customHeight="1" x14ac:dyDescent="0.15">
      <c r="A192" s="39"/>
      <c r="B192" s="40"/>
      <c r="C192" s="39"/>
      <c r="D192" s="39"/>
      <c r="E192" s="39"/>
      <c r="F192" s="39"/>
      <c r="G192" s="39"/>
      <c r="H192" s="39"/>
      <c r="I192" s="39"/>
      <c r="J192" s="39"/>
      <c r="K192" s="39"/>
      <c r="L192" s="39"/>
      <c r="M192" s="39"/>
      <c r="N192" s="39"/>
      <c r="O192" s="41"/>
      <c r="P192" s="42"/>
      <c r="Q192" s="43"/>
      <c r="R192" s="43"/>
      <c r="S192" s="43"/>
      <c r="T192" s="43"/>
      <c r="U192" s="43"/>
      <c r="V192" s="43"/>
    </row>
    <row r="193" spans="1:22" ht="21" customHeight="1" x14ac:dyDescent="0.15">
      <c r="A193" s="39"/>
      <c r="B193" s="40"/>
      <c r="C193" s="39"/>
      <c r="D193" s="39"/>
      <c r="E193" s="39"/>
      <c r="F193" s="39"/>
      <c r="G193" s="39"/>
      <c r="H193" s="39"/>
      <c r="I193" s="39"/>
      <c r="J193" s="39"/>
      <c r="K193" s="39"/>
      <c r="L193" s="39"/>
      <c r="M193" s="39"/>
      <c r="N193" s="39"/>
      <c r="O193" s="41"/>
      <c r="P193" s="42"/>
      <c r="Q193" s="43"/>
      <c r="R193" s="43"/>
      <c r="S193" s="43"/>
      <c r="T193" s="43"/>
      <c r="U193" s="43"/>
      <c r="V193" s="43"/>
    </row>
    <row r="194" spans="1:22" ht="21" customHeight="1" x14ac:dyDescent="0.15">
      <c r="A194" s="39"/>
      <c r="B194" s="40"/>
      <c r="C194" s="39"/>
      <c r="D194" s="39"/>
      <c r="E194" s="39"/>
      <c r="F194" s="39"/>
      <c r="G194" s="39"/>
      <c r="H194" s="39"/>
      <c r="I194" s="39"/>
      <c r="J194" s="39"/>
      <c r="K194" s="39"/>
      <c r="L194" s="39"/>
      <c r="M194" s="39"/>
      <c r="N194" s="39"/>
      <c r="O194" s="41"/>
      <c r="P194" s="42"/>
      <c r="Q194" s="43"/>
      <c r="R194" s="43"/>
      <c r="S194" s="43"/>
      <c r="T194" s="43"/>
      <c r="U194" s="43"/>
      <c r="V194" s="43"/>
    </row>
    <row r="195" spans="1:22" ht="21" customHeight="1" x14ac:dyDescent="0.15">
      <c r="A195" s="39"/>
      <c r="B195" s="40"/>
      <c r="C195" s="39"/>
      <c r="D195" s="39"/>
      <c r="E195" s="39"/>
      <c r="F195" s="39"/>
      <c r="G195" s="39"/>
      <c r="H195" s="39"/>
      <c r="I195" s="39"/>
      <c r="J195" s="39"/>
      <c r="K195" s="39"/>
      <c r="L195" s="39"/>
      <c r="M195" s="39"/>
      <c r="N195" s="39"/>
      <c r="O195" s="41"/>
      <c r="P195" s="42"/>
      <c r="Q195" s="43"/>
      <c r="R195" s="43"/>
      <c r="S195" s="43"/>
      <c r="T195" s="43"/>
      <c r="U195" s="43"/>
      <c r="V195" s="43"/>
    </row>
    <row r="196" spans="1:22" ht="21" customHeight="1" x14ac:dyDescent="0.15">
      <c r="A196" s="39"/>
      <c r="B196" s="40"/>
      <c r="C196" s="39"/>
      <c r="D196" s="39"/>
      <c r="E196" s="39"/>
      <c r="F196" s="39"/>
      <c r="G196" s="39"/>
      <c r="H196" s="39"/>
      <c r="I196" s="39"/>
      <c r="J196" s="39"/>
      <c r="K196" s="39"/>
      <c r="L196" s="39"/>
      <c r="M196" s="39"/>
      <c r="N196" s="39"/>
      <c r="O196" s="41"/>
      <c r="P196" s="42"/>
      <c r="Q196" s="43"/>
      <c r="R196" s="43"/>
      <c r="S196" s="43"/>
      <c r="T196" s="43"/>
      <c r="U196" s="43"/>
      <c r="V196" s="43"/>
    </row>
    <row r="197" spans="1:22" ht="21" customHeight="1" x14ac:dyDescent="0.15">
      <c r="A197" s="39"/>
      <c r="B197" s="40"/>
      <c r="C197" s="39"/>
      <c r="D197" s="39"/>
      <c r="E197" s="39"/>
      <c r="F197" s="39"/>
      <c r="G197" s="39"/>
      <c r="H197" s="39"/>
      <c r="I197" s="39"/>
      <c r="J197" s="39"/>
      <c r="K197" s="39"/>
      <c r="L197" s="39"/>
      <c r="M197" s="39"/>
      <c r="N197" s="39"/>
      <c r="O197" s="41"/>
      <c r="P197" s="42"/>
      <c r="Q197" s="43"/>
      <c r="R197" s="43"/>
      <c r="S197" s="43"/>
      <c r="T197" s="43"/>
      <c r="U197" s="43"/>
      <c r="V197" s="43"/>
    </row>
    <row r="198" spans="1:22" ht="21" customHeight="1" x14ac:dyDescent="0.15">
      <c r="A198" s="39"/>
      <c r="B198" s="40"/>
      <c r="C198" s="39"/>
      <c r="D198" s="39"/>
      <c r="E198" s="39"/>
      <c r="F198" s="39"/>
      <c r="G198" s="39"/>
      <c r="H198" s="39"/>
      <c r="I198" s="39"/>
      <c r="J198" s="39"/>
      <c r="K198" s="39"/>
      <c r="L198" s="39"/>
      <c r="M198" s="39"/>
      <c r="N198" s="39"/>
      <c r="O198" s="41"/>
      <c r="P198" s="42"/>
      <c r="Q198" s="43"/>
      <c r="R198" s="43"/>
      <c r="S198" s="43"/>
      <c r="T198" s="43"/>
      <c r="U198" s="43"/>
      <c r="V198" s="43"/>
    </row>
    <row r="199" spans="1:22" ht="21" customHeight="1" x14ac:dyDescent="0.15">
      <c r="A199" s="39"/>
      <c r="B199" s="40"/>
      <c r="C199" s="39"/>
      <c r="D199" s="39"/>
      <c r="E199" s="39"/>
      <c r="F199" s="39"/>
      <c r="G199" s="39"/>
      <c r="H199" s="39"/>
      <c r="I199" s="39"/>
      <c r="J199" s="39"/>
      <c r="K199" s="39"/>
      <c r="L199" s="39"/>
      <c r="M199" s="39"/>
      <c r="N199" s="39"/>
      <c r="O199" s="41"/>
      <c r="P199" s="42"/>
      <c r="Q199" s="43"/>
      <c r="R199" s="43"/>
      <c r="S199" s="43"/>
      <c r="T199" s="43"/>
      <c r="U199" s="43"/>
      <c r="V199" s="43"/>
    </row>
    <row r="200" spans="1:22" ht="21" customHeight="1" x14ac:dyDescent="0.15">
      <c r="A200" s="39"/>
      <c r="B200" s="40"/>
      <c r="C200" s="39"/>
      <c r="D200" s="39"/>
      <c r="E200" s="39"/>
      <c r="F200" s="39"/>
      <c r="G200" s="39"/>
      <c r="H200" s="39"/>
      <c r="I200" s="39"/>
      <c r="J200" s="39"/>
      <c r="K200" s="39"/>
      <c r="L200" s="39"/>
      <c r="M200" s="39"/>
      <c r="N200" s="39"/>
      <c r="O200" s="41"/>
      <c r="P200" s="42"/>
      <c r="Q200" s="43"/>
      <c r="R200" s="43"/>
      <c r="S200" s="43"/>
      <c r="T200" s="43"/>
      <c r="U200" s="43"/>
      <c r="V200" s="43"/>
    </row>
    <row r="201" spans="1:22" ht="21" customHeight="1" x14ac:dyDescent="0.15">
      <c r="A201" s="39"/>
      <c r="B201" s="40"/>
      <c r="C201" s="39"/>
      <c r="D201" s="39"/>
      <c r="E201" s="39"/>
      <c r="F201" s="39"/>
      <c r="G201" s="39"/>
      <c r="H201" s="39"/>
      <c r="I201" s="39"/>
      <c r="J201" s="39"/>
      <c r="K201" s="39"/>
      <c r="L201" s="39"/>
      <c r="M201" s="39"/>
      <c r="N201" s="39"/>
      <c r="O201" s="41"/>
      <c r="P201" s="42"/>
      <c r="Q201" s="43"/>
      <c r="R201" s="43"/>
      <c r="S201" s="43"/>
      <c r="T201" s="43"/>
      <c r="U201" s="43"/>
      <c r="V201" s="43"/>
    </row>
    <row r="202" spans="1:22" ht="21" customHeight="1" x14ac:dyDescent="0.15">
      <c r="A202" s="39"/>
      <c r="B202" s="40"/>
      <c r="C202" s="39"/>
      <c r="D202" s="39"/>
      <c r="E202" s="39"/>
      <c r="F202" s="39"/>
      <c r="G202" s="39"/>
      <c r="H202" s="39"/>
      <c r="I202" s="39"/>
      <c r="J202" s="39"/>
      <c r="K202" s="39"/>
      <c r="L202" s="39"/>
      <c r="M202" s="39"/>
      <c r="N202" s="39"/>
      <c r="O202" s="41"/>
      <c r="P202" s="42"/>
      <c r="Q202" s="43"/>
      <c r="R202" s="43"/>
      <c r="S202" s="43"/>
      <c r="T202" s="43"/>
      <c r="U202" s="43"/>
      <c r="V202" s="43"/>
    </row>
    <row r="203" spans="1:22" ht="21" customHeight="1" x14ac:dyDescent="0.15">
      <c r="A203" s="39"/>
      <c r="B203" s="40"/>
      <c r="C203" s="39"/>
      <c r="D203" s="39"/>
      <c r="E203" s="39"/>
      <c r="F203" s="39"/>
      <c r="G203" s="39"/>
      <c r="H203" s="39"/>
      <c r="I203" s="39"/>
      <c r="J203" s="39"/>
      <c r="K203" s="39"/>
      <c r="L203" s="39"/>
      <c r="M203" s="39"/>
      <c r="N203" s="39"/>
      <c r="O203" s="41"/>
      <c r="P203" s="42"/>
      <c r="Q203" s="43"/>
      <c r="R203" s="43"/>
      <c r="S203" s="43"/>
      <c r="T203" s="43"/>
      <c r="U203" s="43"/>
      <c r="V203" s="43"/>
    </row>
    <row r="204" spans="1:22" ht="21" customHeight="1" x14ac:dyDescent="0.15">
      <c r="A204" s="39"/>
      <c r="B204" s="40"/>
      <c r="C204" s="39"/>
      <c r="D204" s="39"/>
      <c r="E204" s="39"/>
      <c r="F204" s="39"/>
      <c r="G204" s="39"/>
      <c r="H204" s="39"/>
      <c r="I204" s="39"/>
      <c r="J204" s="39"/>
      <c r="K204" s="39"/>
      <c r="L204" s="39"/>
      <c r="M204" s="39"/>
      <c r="N204" s="39"/>
      <c r="O204" s="41"/>
      <c r="P204" s="42"/>
      <c r="Q204" s="43"/>
      <c r="R204" s="43"/>
      <c r="S204" s="43"/>
      <c r="T204" s="43"/>
      <c r="U204" s="43"/>
      <c r="V204" s="43"/>
    </row>
    <row r="205" spans="1:22" ht="21" customHeight="1" x14ac:dyDescent="0.15">
      <c r="A205" s="39"/>
      <c r="B205" s="40"/>
      <c r="C205" s="39"/>
      <c r="D205" s="39"/>
      <c r="E205" s="39"/>
      <c r="F205" s="39"/>
      <c r="G205" s="39"/>
      <c r="H205" s="39"/>
      <c r="I205" s="39"/>
      <c r="J205" s="39"/>
      <c r="K205" s="39"/>
      <c r="L205" s="39"/>
      <c r="M205" s="39"/>
      <c r="N205" s="39"/>
      <c r="O205" s="41"/>
      <c r="P205" s="42"/>
      <c r="Q205" s="43"/>
      <c r="R205" s="43"/>
      <c r="S205" s="43"/>
      <c r="T205" s="43"/>
      <c r="U205" s="43"/>
      <c r="V205" s="43"/>
    </row>
    <row r="206" spans="1:22" ht="21" customHeight="1" x14ac:dyDescent="0.15">
      <c r="A206" s="39"/>
      <c r="B206" s="40"/>
      <c r="C206" s="39"/>
      <c r="D206" s="39"/>
      <c r="E206" s="39"/>
      <c r="F206" s="39"/>
      <c r="G206" s="39"/>
      <c r="H206" s="39"/>
      <c r="I206" s="39"/>
      <c r="J206" s="39"/>
      <c r="K206" s="39"/>
      <c r="L206" s="39"/>
      <c r="M206" s="39"/>
      <c r="N206" s="39"/>
      <c r="O206" s="41"/>
      <c r="P206" s="42"/>
      <c r="Q206" s="43"/>
      <c r="R206" s="43"/>
      <c r="S206" s="43"/>
      <c r="T206" s="43"/>
      <c r="U206" s="43"/>
      <c r="V206" s="43"/>
    </row>
    <row r="207" spans="1:22" ht="21" customHeight="1" x14ac:dyDescent="0.15">
      <c r="A207" s="39"/>
      <c r="B207" s="40"/>
      <c r="C207" s="39"/>
      <c r="D207" s="39"/>
      <c r="E207" s="39"/>
      <c r="F207" s="39"/>
      <c r="G207" s="39"/>
      <c r="H207" s="39"/>
      <c r="I207" s="39"/>
      <c r="J207" s="39"/>
      <c r="K207" s="39"/>
      <c r="L207" s="39"/>
      <c r="M207" s="39"/>
      <c r="N207" s="39"/>
      <c r="O207" s="41"/>
      <c r="P207" s="42"/>
      <c r="Q207" s="43"/>
      <c r="R207" s="43"/>
      <c r="S207" s="43"/>
      <c r="T207" s="43"/>
      <c r="U207" s="43"/>
      <c r="V207" s="43"/>
    </row>
    <row r="208" spans="1:22" ht="21" customHeight="1" x14ac:dyDescent="0.15">
      <c r="A208" s="39"/>
      <c r="B208" s="40"/>
      <c r="C208" s="39"/>
      <c r="D208" s="39"/>
      <c r="E208" s="39"/>
      <c r="F208" s="39"/>
      <c r="G208" s="39"/>
      <c r="H208" s="39"/>
      <c r="I208" s="39"/>
      <c r="J208" s="39"/>
      <c r="K208" s="39"/>
      <c r="L208" s="39"/>
      <c r="M208" s="39"/>
      <c r="N208" s="39"/>
      <c r="O208" s="41"/>
      <c r="P208" s="42"/>
      <c r="Q208" s="43"/>
      <c r="R208" s="43"/>
      <c r="S208" s="43"/>
      <c r="T208" s="43"/>
      <c r="U208" s="43"/>
      <c r="V208" s="43"/>
    </row>
    <row r="209" spans="1:22" ht="21" customHeight="1" x14ac:dyDescent="0.15">
      <c r="A209" s="39"/>
      <c r="B209" s="40"/>
      <c r="C209" s="39"/>
      <c r="D209" s="39"/>
      <c r="E209" s="39"/>
      <c r="F209" s="39"/>
      <c r="G209" s="39"/>
      <c r="H209" s="39"/>
      <c r="I209" s="39"/>
      <c r="J209" s="39"/>
      <c r="K209" s="39"/>
      <c r="L209" s="39"/>
      <c r="M209" s="39"/>
      <c r="N209" s="39"/>
      <c r="O209" s="41"/>
      <c r="P209" s="42"/>
      <c r="Q209" s="43"/>
      <c r="R209" s="43"/>
      <c r="S209" s="43"/>
      <c r="T209" s="43"/>
      <c r="U209" s="43"/>
      <c r="V209" s="43"/>
    </row>
    <row r="210" spans="1:22" ht="21" customHeight="1" x14ac:dyDescent="0.15">
      <c r="A210" s="39"/>
      <c r="B210" s="40"/>
      <c r="C210" s="39"/>
      <c r="D210" s="39"/>
      <c r="E210" s="39"/>
      <c r="F210" s="39"/>
      <c r="G210" s="39"/>
      <c r="H210" s="39"/>
      <c r="I210" s="39"/>
      <c r="J210" s="39"/>
      <c r="K210" s="39"/>
      <c r="L210" s="39"/>
      <c r="M210" s="39"/>
      <c r="N210" s="39"/>
      <c r="O210" s="41"/>
      <c r="P210" s="42"/>
      <c r="Q210" s="43"/>
      <c r="R210" s="43"/>
      <c r="S210" s="43"/>
      <c r="T210" s="43"/>
      <c r="U210" s="43"/>
      <c r="V210" s="43"/>
    </row>
    <row r="211" spans="1:22" ht="21" customHeight="1" x14ac:dyDescent="0.15">
      <c r="A211" s="39"/>
      <c r="B211" s="40"/>
      <c r="C211" s="39"/>
      <c r="D211" s="39"/>
      <c r="E211" s="39"/>
      <c r="F211" s="39"/>
      <c r="G211" s="39"/>
      <c r="H211" s="39"/>
      <c r="I211" s="39"/>
      <c r="J211" s="39"/>
      <c r="K211" s="39"/>
      <c r="L211" s="39"/>
      <c r="M211" s="39"/>
      <c r="N211" s="39"/>
      <c r="O211" s="41"/>
      <c r="P211" s="42"/>
      <c r="Q211" s="43"/>
      <c r="R211" s="43"/>
      <c r="S211" s="43"/>
      <c r="T211" s="43"/>
      <c r="U211" s="43"/>
      <c r="V211" s="43"/>
    </row>
    <row r="212" spans="1:22" ht="21" customHeight="1" x14ac:dyDescent="0.15">
      <c r="A212" s="39"/>
      <c r="B212" s="40"/>
      <c r="C212" s="39"/>
      <c r="D212" s="39"/>
      <c r="E212" s="39"/>
      <c r="F212" s="39"/>
      <c r="G212" s="39"/>
      <c r="H212" s="39"/>
      <c r="I212" s="39"/>
      <c r="J212" s="39"/>
      <c r="K212" s="39"/>
      <c r="L212" s="39"/>
      <c r="M212" s="39"/>
      <c r="N212" s="39"/>
      <c r="O212" s="41"/>
      <c r="P212" s="42"/>
      <c r="Q212" s="43"/>
      <c r="R212" s="43"/>
      <c r="S212" s="43"/>
      <c r="T212" s="43"/>
      <c r="U212" s="43"/>
      <c r="V212" s="43"/>
    </row>
    <row r="213" spans="1:22" ht="21" customHeight="1" x14ac:dyDescent="0.15">
      <c r="A213" s="39"/>
      <c r="B213" s="40"/>
      <c r="C213" s="39"/>
      <c r="D213" s="39"/>
      <c r="E213" s="39"/>
      <c r="F213" s="39"/>
      <c r="G213" s="39"/>
      <c r="H213" s="39"/>
      <c r="I213" s="39"/>
      <c r="J213" s="39"/>
      <c r="K213" s="39"/>
      <c r="L213" s="39"/>
      <c r="M213" s="39"/>
      <c r="N213" s="39"/>
      <c r="O213" s="41"/>
      <c r="P213" s="42"/>
      <c r="Q213" s="43"/>
      <c r="R213" s="43"/>
      <c r="S213" s="43"/>
      <c r="T213" s="43"/>
      <c r="U213" s="43"/>
      <c r="V213" s="43"/>
    </row>
    <row r="214" spans="1:22" ht="21" customHeight="1" x14ac:dyDescent="0.15">
      <c r="A214" s="39"/>
      <c r="B214" s="40"/>
      <c r="C214" s="39"/>
      <c r="D214" s="39"/>
      <c r="E214" s="39"/>
      <c r="F214" s="39"/>
      <c r="G214" s="39"/>
      <c r="H214" s="39"/>
      <c r="I214" s="39"/>
      <c r="J214" s="39"/>
      <c r="K214" s="39"/>
      <c r="L214" s="39"/>
      <c r="M214" s="39"/>
      <c r="N214" s="39"/>
      <c r="O214" s="41"/>
      <c r="P214" s="42"/>
      <c r="Q214" s="43"/>
      <c r="R214" s="43"/>
      <c r="S214" s="43"/>
      <c r="T214" s="43"/>
      <c r="U214" s="43"/>
      <c r="V214" s="43"/>
    </row>
    <row r="215" spans="1:22" ht="21" customHeight="1" x14ac:dyDescent="0.15">
      <c r="A215" s="39"/>
      <c r="B215" s="40"/>
      <c r="C215" s="39"/>
      <c r="D215" s="39"/>
      <c r="E215" s="39"/>
      <c r="F215" s="39"/>
      <c r="G215" s="39"/>
      <c r="H215" s="39"/>
      <c r="I215" s="39"/>
      <c r="J215" s="39"/>
      <c r="K215" s="39"/>
      <c r="L215" s="39"/>
      <c r="M215" s="39"/>
      <c r="N215" s="39"/>
      <c r="O215" s="41"/>
      <c r="P215" s="42"/>
      <c r="Q215" s="43"/>
      <c r="R215" s="43"/>
      <c r="S215" s="43"/>
      <c r="T215" s="43"/>
      <c r="U215" s="43"/>
      <c r="V215" s="43"/>
    </row>
    <row r="216" spans="1:22" ht="21" customHeight="1" x14ac:dyDescent="0.15">
      <c r="A216" s="39"/>
      <c r="B216" s="40"/>
      <c r="C216" s="39"/>
      <c r="D216" s="39"/>
      <c r="E216" s="39"/>
      <c r="F216" s="39"/>
      <c r="G216" s="39"/>
      <c r="H216" s="39"/>
      <c r="I216" s="39"/>
      <c r="J216" s="39"/>
      <c r="K216" s="39"/>
      <c r="L216" s="39"/>
      <c r="M216" s="39"/>
      <c r="N216" s="39"/>
      <c r="O216" s="41"/>
      <c r="P216" s="42"/>
      <c r="Q216" s="43"/>
      <c r="R216" s="43"/>
      <c r="S216" s="43"/>
      <c r="T216" s="43"/>
      <c r="U216" s="43"/>
      <c r="V216" s="43"/>
    </row>
    <row r="217" spans="1:22" ht="21" customHeight="1" x14ac:dyDescent="0.15">
      <c r="A217" s="39"/>
      <c r="B217" s="40"/>
      <c r="C217" s="39"/>
      <c r="D217" s="39"/>
      <c r="E217" s="39"/>
      <c r="F217" s="39"/>
      <c r="G217" s="39"/>
      <c r="H217" s="39"/>
      <c r="I217" s="39"/>
      <c r="J217" s="39"/>
      <c r="K217" s="39"/>
      <c r="L217" s="39"/>
      <c r="M217" s="39"/>
      <c r="N217" s="39"/>
      <c r="O217" s="41"/>
      <c r="P217" s="42"/>
      <c r="Q217" s="43"/>
      <c r="R217" s="43"/>
      <c r="S217" s="43"/>
      <c r="T217" s="43"/>
      <c r="U217" s="43"/>
      <c r="V217" s="43"/>
    </row>
    <row r="218" spans="1:22" ht="21" customHeight="1" x14ac:dyDescent="0.15">
      <c r="A218" s="39"/>
      <c r="B218" s="40"/>
      <c r="C218" s="39"/>
      <c r="D218" s="39"/>
      <c r="E218" s="39"/>
      <c r="F218" s="39"/>
      <c r="G218" s="39"/>
      <c r="H218" s="39"/>
      <c r="I218" s="39"/>
      <c r="J218" s="39"/>
      <c r="K218" s="39"/>
      <c r="L218" s="39"/>
      <c r="M218" s="39"/>
      <c r="N218" s="39"/>
      <c r="O218" s="41"/>
      <c r="P218" s="42"/>
      <c r="Q218" s="43"/>
      <c r="R218" s="43"/>
      <c r="S218" s="43"/>
      <c r="T218" s="43"/>
      <c r="U218" s="43"/>
      <c r="V218" s="43"/>
    </row>
    <row r="219" spans="1:22" ht="21" customHeight="1" x14ac:dyDescent="0.15">
      <c r="A219" s="39"/>
      <c r="B219" s="40"/>
      <c r="C219" s="39"/>
      <c r="D219" s="39"/>
      <c r="E219" s="39"/>
      <c r="F219" s="39"/>
      <c r="G219" s="39"/>
      <c r="H219" s="39"/>
      <c r="I219" s="39"/>
      <c r="J219" s="39"/>
      <c r="K219" s="39"/>
      <c r="L219" s="39"/>
      <c r="M219" s="39"/>
      <c r="N219" s="39"/>
      <c r="O219" s="41"/>
      <c r="P219" s="42"/>
      <c r="Q219" s="43"/>
      <c r="R219" s="43"/>
      <c r="S219" s="43"/>
      <c r="T219" s="43"/>
      <c r="U219" s="43"/>
      <c r="V219" s="43"/>
    </row>
    <row r="220" spans="1:22" ht="21" customHeight="1" x14ac:dyDescent="0.15">
      <c r="A220" s="39"/>
      <c r="B220" s="40"/>
      <c r="C220" s="39"/>
      <c r="D220" s="39"/>
      <c r="E220" s="39"/>
      <c r="F220" s="39"/>
      <c r="G220" s="39"/>
      <c r="H220" s="39"/>
      <c r="I220" s="39"/>
      <c r="J220" s="39"/>
      <c r="K220" s="39"/>
      <c r="L220" s="39"/>
      <c r="M220" s="39"/>
      <c r="N220" s="39"/>
      <c r="O220" s="41"/>
      <c r="P220" s="42"/>
      <c r="Q220" s="43"/>
      <c r="R220" s="43"/>
      <c r="S220" s="43"/>
      <c r="T220" s="43"/>
      <c r="U220" s="43"/>
      <c r="V220" s="43"/>
    </row>
    <row r="221" spans="1:22" ht="21" customHeight="1" x14ac:dyDescent="0.15">
      <c r="A221" s="39"/>
      <c r="B221" s="40"/>
      <c r="C221" s="39"/>
      <c r="D221" s="39"/>
      <c r="E221" s="39"/>
      <c r="F221" s="39"/>
      <c r="G221" s="39"/>
      <c r="H221" s="39"/>
      <c r="I221" s="39"/>
      <c r="J221" s="39"/>
      <c r="K221" s="39"/>
      <c r="L221" s="39"/>
      <c r="M221" s="39"/>
      <c r="N221" s="39"/>
      <c r="O221" s="41"/>
      <c r="P221" s="42"/>
      <c r="Q221" s="43"/>
      <c r="R221" s="43"/>
      <c r="S221" s="43"/>
      <c r="T221" s="43"/>
      <c r="U221" s="43"/>
      <c r="V221" s="43"/>
    </row>
    <row r="222" spans="1:22" ht="21" customHeight="1" x14ac:dyDescent="0.15">
      <c r="A222" s="39"/>
      <c r="B222" s="40"/>
      <c r="C222" s="39"/>
      <c r="D222" s="39"/>
      <c r="E222" s="39"/>
      <c r="F222" s="39"/>
      <c r="G222" s="39"/>
      <c r="H222" s="39"/>
      <c r="I222" s="39"/>
      <c r="J222" s="39"/>
      <c r="K222" s="39"/>
      <c r="L222" s="39"/>
      <c r="M222" s="39"/>
      <c r="N222" s="39"/>
      <c r="O222" s="41"/>
      <c r="P222" s="42"/>
      <c r="Q222" s="43"/>
      <c r="R222" s="43"/>
      <c r="S222" s="43"/>
      <c r="T222" s="43"/>
      <c r="U222" s="43"/>
      <c r="V222" s="43"/>
    </row>
    <row r="223" spans="1:22" ht="21" customHeight="1" x14ac:dyDescent="0.15">
      <c r="A223" s="39"/>
      <c r="B223" s="40"/>
      <c r="C223" s="39"/>
      <c r="D223" s="39"/>
      <c r="E223" s="39"/>
      <c r="F223" s="39"/>
      <c r="G223" s="39"/>
      <c r="H223" s="39"/>
      <c r="I223" s="39"/>
      <c r="J223" s="39"/>
      <c r="K223" s="39"/>
      <c r="L223" s="39"/>
      <c r="M223" s="39"/>
      <c r="N223" s="39"/>
      <c r="O223" s="41"/>
      <c r="P223" s="42"/>
      <c r="Q223" s="43"/>
      <c r="R223" s="43"/>
      <c r="S223" s="43"/>
      <c r="T223" s="43"/>
      <c r="U223" s="43"/>
      <c r="V223" s="43"/>
    </row>
    <row r="224" spans="1:22" ht="21" customHeight="1" x14ac:dyDescent="0.15">
      <c r="A224" s="39"/>
      <c r="B224" s="40"/>
      <c r="C224" s="39"/>
      <c r="D224" s="39"/>
      <c r="E224" s="39"/>
      <c r="F224" s="39"/>
      <c r="G224" s="39"/>
      <c r="H224" s="39"/>
      <c r="I224" s="39"/>
      <c r="J224" s="39"/>
      <c r="K224" s="39"/>
      <c r="L224" s="39"/>
      <c r="M224" s="39"/>
      <c r="N224" s="39"/>
      <c r="O224" s="41"/>
      <c r="P224" s="42"/>
      <c r="Q224" s="43"/>
      <c r="R224" s="43"/>
      <c r="S224" s="43"/>
      <c r="T224" s="43"/>
      <c r="U224" s="43"/>
      <c r="V224" s="43"/>
    </row>
    <row r="225" spans="1:22" ht="21" customHeight="1" x14ac:dyDescent="0.15">
      <c r="A225" s="39"/>
      <c r="B225" s="40"/>
      <c r="C225" s="39"/>
      <c r="D225" s="39"/>
      <c r="E225" s="39"/>
      <c r="F225" s="39"/>
      <c r="G225" s="39"/>
      <c r="H225" s="39"/>
      <c r="I225" s="39"/>
      <c r="J225" s="39"/>
      <c r="K225" s="39"/>
      <c r="L225" s="39"/>
      <c r="M225" s="39"/>
      <c r="N225" s="39"/>
      <c r="O225" s="41"/>
      <c r="P225" s="42"/>
      <c r="Q225" s="43"/>
      <c r="R225" s="43"/>
      <c r="S225" s="43"/>
      <c r="T225" s="43"/>
      <c r="U225" s="43"/>
      <c r="V225" s="43"/>
    </row>
    <row r="226" spans="1:22" ht="21" customHeight="1" x14ac:dyDescent="0.15">
      <c r="A226" s="39"/>
      <c r="B226" s="40"/>
      <c r="C226" s="39"/>
      <c r="D226" s="39"/>
      <c r="E226" s="39"/>
      <c r="F226" s="39"/>
      <c r="G226" s="39"/>
      <c r="H226" s="39"/>
      <c r="I226" s="39"/>
      <c r="J226" s="39"/>
      <c r="K226" s="39"/>
      <c r="L226" s="39"/>
      <c r="M226" s="39"/>
      <c r="N226" s="39"/>
      <c r="O226" s="41"/>
      <c r="P226" s="42"/>
      <c r="Q226" s="43"/>
      <c r="R226" s="43"/>
      <c r="S226" s="43"/>
      <c r="T226" s="43"/>
      <c r="U226" s="43"/>
      <c r="V226" s="43"/>
    </row>
    <row r="227" spans="1:22" ht="21" customHeight="1" x14ac:dyDescent="0.15">
      <c r="A227" s="39"/>
      <c r="B227" s="40"/>
      <c r="C227" s="39"/>
      <c r="D227" s="39"/>
      <c r="E227" s="39"/>
      <c r="F227" s="39"/>
      <c r="G227" s="39"/>
      <c r="H227" s="39"/>
      <c r="I227" s="39"/>
      <c r="J227" s="39"/>
      <c r="K227" s="39"/>
      <c r="L227" s="39"/>
      <c r="M227" s="39"/>
      <c r="N227" s="39"/>
      <c r="O227" s="41"/>
      <c r="P227" s="42"/>
      <c r="Q227" s="43"/>
      <c r="R227" s="43"/>
      <c r="S227" s="43"/>
      <c r="T227" s="43"/>
      <c r="U227" s="43"/>
      <c r="V227" s="43"/>
    </row>
    <row r="228" spans="1:22" ht="21" customHeight="1" x14ac:dyDescent="0.15">
      <c r="A228" s="39"/>
      <c r="B228" s="40"/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39"/>
      <c r="O228" s="41"/>
      <c r="P228" s="42"/>
      <c r="Q228" s="43"/>
      <c r="R228" s="43"/>
      <c r="S228" s="43"/>
      <c r="T228" s="43"/>
      <c r="U228" s="43"/>
      <c r="V228" s="43"/>
    </row>
    <row r="229" spans="1:22" ht="21" customHeight="1" x14ac:dyDescent="0.15">
      <c r="A229" s="39"/>
      <c r="B229" s="40"/>
      <c r="C229" s="39"/>
      <c r="D229" s="39"/>
      <c r="E229" s="39"/>
      <c r="F229" s="39"/>
      <c r="G229" s="39"/>
      <c r="H229" s="39"/>
      <c r="I229" s="39"/>
      <c r="J229" s="39"/>
      <c r="K229" s="39"/>
      <c r="L229" s="39"/>
      <c r="M229" s="39"/>
      <c r="N229" s="39"/>
      <c r="O229" s="41"/>
      <c r="P229" s="42"/>
      <c r="Q229" s="43"/>
      <c r="R229" s="43"/>
      <c r="S229" s="43"/>
      <c r="T229" s="43"/>
      <c r="U229" s="43"/>
      <c r="V229" s="43"/>
    </row>
    <row r="230" spans="1:22" ht="21" customHeight="1" x14ac:dyDescent="0.15">
      <c r="A230" s="39"/>
      <c r="B230" s="40"/>
      <c r="C230" s="39"/>
      <c r="D230" s="39"/>
      <c r="E230" s="39"/>
      <c r="F230" s="39"/>
      <c r="G230" s="39"/>
      <c r="H230" s="39"/>
      <c r="I230" s="39"/>
      <c r="J230" s="39"/>
      <c r="K230" s="39"/>
      <c r="L230" s="39"/>
      <c r="M230" s="39"/>
      <c r="N230" s="39"/>
      <c r="O230" s="41"/>
      <c r="P230" s="42"/>
      <c r="Q230" s="43"/>
      <c r="R230" s="43"/>
      <c r="S230" s="43"/>
      <c r="T230" s="43"/>
      <c r="U230" s="43"/>
      <c r="V230" s="43"/>
    </row>
    <row r="231" spans="1:22" ht="21" customHeight="1" x14ac:dyDescent="0.15">
      <c r="A231" s="39"/>
      <c r="B231" s="40"/>
      <c r="C231" s="39"/>
      <c r="D231" s="39"/>
      <c r="E231" s="39"/>
      <c r="F231" s="39"/>
      <c r="G231" s="39"/>
      <c r="H231" s="39"/>
      <c r="I231" s="39"/>
      <c r="J231" s="39"/>
      <c r="K231" s="39"/>
      <c r="L231" s="39"/>
      <c r="M231" s="39"/>
      <c r="N231" s="39"/>
      <c r="O231" s="41"/>
      <c r="P231" s="42"/>
      <c r="Q231" s="43"/>
      <c r="R231" s="43"/>
      <c r="S231" s="43"/>
      <c r="T231" s="43"/>
      <c r="U231" s="43"/>
      <c r="V231" s="43"/>
    </row>
    <row r="232" spans="1:22" ht="21" customHeight="1" x14ac:dyDescent="0.15">
      <c r="A232" s="39"/>
      <c r="B232" s="40"/>
      <c r="C232" s="39"/>
      <c r="D232" s="39"/>
      <c r="E232" s="39"/>
      <c r="F232" s="39"/>
      <c r="G232" s="39"/>
      <c r="H232" s="39"/>
      <c r="I232" s="39"/>
      <c r="J232" s="39"/>
      <c r="K232" s="39"/>
      <c r="L232" s="39"/>
      <c r="M232" s="39"/>
      <c r="N232" s="39"/>
      <c r="O232" s="41"/>
      <c r="P232" s="42"/>
      <c r="Q232" s="43"/>
      <c r="R232" s="43"/>
      <c r="S232" s="43"/>
      <c r="T232" s="43"/>
      <c r="U232" s="43"/>
      <c r="V232" s="43"/>
    </row>
    <row r="233" spans="1:22" ht="21" customHeight="1" x14ac:dyDescent="0.15">
      <c r="A233" s="39"/>
      <c r="B233" s="40"/>
      <c r="C233" s="39"/>
      <c r="D233" s="39"/>
      <c r="E233" s="39"/>
      <c r="F233" s="39"/>
      <c r="G233" s="39"/>
      <c r="H233" s="39"/>
      <c r="I233" s="39"/>
      <c r="J233" s="39"/>
      <c r="K233" s="39"/>
      <c r="L233" s="39"/>
      <c r="M233" s="39"/>
      <c r="N233" s="39"/>
      <c r="O233" s="41"/>
      <c r="P233" s="42"/>
      <c r="Q233" s="43"/>
      <c r="R233" s="43"/>
      <c r="S233" s="43"/>
      <c r="T233" s="43"/>
      <c r="U233" s="43"/>
      <c r="V233" s="43"/>
    </row>
    <row r="234" spans="1:22" ht="21" customHeight="1" x14ac:dyDescent="0.15">
      <c r="A234" s="39"/>
      <c r="B234" s="40"/>
      <c r="C234" s="39"/>
      <c r="D234" s="39"/>
      <c r="E234" s="39"/>
      <c r="F234" s="39"/>
      <c r="G234" s="39"/>
      <c r="H234" s="39"/>
      <c r="I234" s="39"/>
      <c r="J234" s="39"/>
      <c r="K234" s="39"/>
      <c r="L234" s="39"/>
      <c r="M234" s="39"/>
      <c r="N234" s="39"/>
      <c r="O234" s="41"/>
      <c r="P234" s="42"/>
      <c r="Q234" s="43"/>
      <c r="R234" s="43"/>
      <c r="S234" s="43"/>
      <c r="T234" s="43"/>
      <c r="U234" s="43"/>
      <c r="V234" s="43"/>
    </row>
    <row r="235" spans="1:22" ht="21" customHeight="1" x14ac:dyDescent="0.15">
      <c r="A235" s="39"/>
      <c r="B235" s="40"/>
      <c r="C235" s="39"/>
      <c r="D235" s="39"/>
      <c r="E235" s="39"/>
      <c r="F235" s="39"/>
      <c r="G235" s="39"/>
      <c r="H235" s="39"/>
      <c r="I235" s="39"/>
      <c r="J235" s="39"/>
      <c r="K235" s="39"/>
      <c r="L235" s="39"/>
      <c r="M235" s="39"/>
      <c r="N235" s="39"/>
      <c r="O235" s="41"/>
      <c r="P235" s="42"/>
      <c r="Q235" s="43"/>
      <c r="R235" s="43"/>
      <c r="S235" s="43"/>
      <c r="T235" s="43"/>
      <c r="U235" s="43"/>
      <c r="V235" s="43"/>
    </row>
    <row r="236" spans="1:22" ht="21" customHeight="1" x14ac:dyDescent="0.15">
      <c r="A236" s="39"/>
      <c r="B236" s="40"/>
      <c r="C236" s="39"/>
      <c r="D236" s="39"/>
      <c r="E236" s="39"/>
      <c r="F236" s="39"/>
      <c r="G236" s="39"/>
      <c r="H236" s="39"/>
      <c r="I236" s="39"/>
      <c r="J236" s="39"/>
      <c r="K236" s="39"/>
      <c r="L236" s="39"/>
      <c r="M236" s="39"/>
      <c r="N236" s="39"/>
      <c r="O236" s="41"/>
      <c r="P236" s="42"/>
      <c r="Q236" s="43"/>
      <c r="R236" s="43"/>
      <c r="S236" s="43"/>
      <c r="T236" s="43"/>
      <c r="U236" s="43"/>
      <c r="V236" s="43"/>
    </row>
    <row r="237" spans="1:22" ht="21" customHeight="1" x14ac:dyDescent="0.15">
      <c r="A237" s="39"/>
      <c r="B237" s="40"/>
      <c r="C237" s="39"/>
      <c r="D237" s="39"/>
      <c r="E237" s="39"/>
      <c r="F237" s="39"/>
      <c r="G237" s="39"/>
      <c r="H237" s="39"/>
      <c r="I237" s="39"/>
      <c r="J237" s="39"/>
      <c r="K237" s="39"/>
      <c r="L237" s="39"/>
      <c r="M237" s="39"/>
      <c r="N237" s="39"/>
      <c r="O237" s="41"/>
      <c r="P237" s="42"/>
      <c r="Q237" s="43"/>
      <c r="R237" s="43"/>
      <c r="S237" s="43"/>
      <c r="T237" s="43"/>
      <c r="U237" s="43"/>
      <c r="V237" s="43"/>
    </row>
    <row r="238" spans="1:22" ht="21" customHeight="1" x14ac:dyDescent="0.15">
      <c r="A238" s="39"/>
      <c r="B238" s="40"/>
      <c r="C238" s="39"/>
      <c r="D238" s="39"/>
      <c r="E238" s="39"/>
      <c r="F238" s="39"/>
      <c r="G238" s="39"/>
      <c r="H238" s="39"/>
      <c r="I238" s="39"/>
      <c r="J238" s="39"/>
      <c r="K238" s="39"/>
      <c r="L238" s="39"/>
      <c r="M238" s="39"/>
      <c r="N238" s="39"/>
      <c r="O238" s="41"/>
      <c r="P238" s="42"/>
      <c r="Q238" s="43"/>
      <c r="R238" s="43"/>
      <c r="S238" s="43"/>
      <c r="T238" s="43"/>
      <c r="U238" s="43"/>
      <c r="V238" s="43"/>
    </row>
    <row r="239" spans="1:22" ht="21" customHeight="1" x14ac:dyDescent="0.15">
      <c r="A239" s="39"/>
      <c r="B239" s="40"/>
      <c r="C239" s="39"/>
      <c r="D239" s="39"/>
      <c r="E239" s="39"/>
      <c r="F239" s="39"/>
      <c r="G239" s="39"/>
      <c r="H239" s="39"/>
      <c r="I239" s="39"/>
      <c r="J239" s="39"/>
      <c r="K239" s="39"/>
      <c r="L239" s="39"/>
      <c r="M239" s="39"/>
      <c r="N239" s="39"/>
      <c r="O239" s="41"/>
      <c r="P239" s="42"/>
      <c r="Q239" s="43"/>
      <c r="R239" s="43"/>
      <c r="S239" s="43"/>
      <c r="T239" s="43"/>
      <c r="U239" s="43"/>
      <c r="V239" s="43"/>
    </row>
    <row r="240" spans="1:22" ht="21" customHeight="1" x14ac:dyDescent="0.15">
      <c r="A240" s="39"/>
      <c r="B240" s="40"/>
      <c r="C240" s="39"/>
      <c r="D240" s="39"/>
      <c r="E240" s="39"/>
      <c r="F240" s="39"/>
      <c r="G240" s="39"/>
      <c r="H240" s="39"/>
      <c r="I240" s="39"/>
      <c r="J240" s="39"/>
      <c r="K240" s="39"/>
      <c r="L240" s="39"/>
      <c r="M240" s="39"/>
      <c r="N240" s="39"/>
      <c r="O240" s="41"/>
      <c r="P240" s="42"/>
      <c r="Q240" s="43"/>
      <c r="R240" s="43"/>
      <c r="S240" s="43"/>
      <c r="T240" s="43"/>
      <c r="U240" s="43"/>
      <c r="V240" s="43"/>
    </row>
    <row r="241" spans="1:22" ht="21" customHeight="1" x14ac:dyDescent="0.15">
      <c r="A241" s="39"/>
      <c r="B241" s="40"/>
      <c r="C241" s="39"/>
      <c r="D241" s="39"/>
      <c r="E241" s="39"/>
      <c r="F241" s="39"/>
      <c r="G241" s="39"/>
      <c r="H241" s="39"/>
      <c r="I241" s="39"/>
      <c r="J241" s="39"/>
      <c r="K241" s="39"/>
      <c r="L241" s="39"/>
      <c r="M241" s="39"/>
      <c r="N241" s="39"/>
      <c r="O241" s="41"/>
      <c r="P241" s="42"/>
      <c r="Q241" s="43"/>
      <c r="R241" s="43"/>
      <c r="S241" s="43"/>
      <c r="T241" s="43"/>
      <c r="U241" s="43"/>
      <c r="V241" s="43"/>
    </row>
    <row r="242" spans="1:22" ht="21" customHeight="1" x14ac:dyDescent="0.15">
      <c r="A242" s="39"/>
      <c r="B242" s="40"/>
      <c r="C242" s="39"/>
      <c r="D242" s="39"/>
      <c r="E242" s="39"/>
      <c r="F242" s="39"/>
      <c r="G242" s="39"/>
      <c r="H242" s="39"/>
      <c r="I242" s="39"/>
      <c r="J242" s="39"/>
      <c r="K242" s="39"/>
      <c r="L242" s="39"/>
      <c r="M242" s="39"/>
      <c r="N242" s="39"/>
      <c r="O242" s="41"/>
      <c r="P242" s="42"/>
      <c r="Q242" s="43"/>
      <c r="R242" s="43"/>
      <c r="S242" s="43"/>
      <c r="T242" s="43"/>
      <c r="U242" s="43"/>
      <c r="V242" s="43"/>
    </row>
    <row r="243" spans="1:22" ht="21" customHeight="1" x14ac:dyDescent="0.15">
      <c r="A243" s="39"/>
      <c r="B243" s="40"/>
      <c r="C243" s="39"/>
      <c r="D243" s="39"/>
      <c r="E243" s="39"/>
      <c r="F243" s="39"/>
      <c r="G243" s="39"/>
      <c r="H243" s="39"/>
      <c r="I243" s="39"/>
      <c r="J243" s="39"/>
      <c r="K243" s="39"/>
      <c r="L243" s="39"/>
      <c r="M243" s="39"/>
      <c r="N243" s="39"/>
      <c r="O243" s="41"/>
      <c r="P243" s="42"/>
      <c r="Q243" s="43"/>
      <c r="R243" s="43"/>
      <c r="S243" s="43"/>
      <c r="T243" s="43"/>
      <c r="U243" s="43"/>
      <c r="V243" s="43"/>
    </row>
    <row r="244" spans="1:22" ht="21" customHeight="1" x14ac:dyDescent="0.15">
      <c r="A244" s="39"/>
      <c r="B244" s="40"/>
      <c r="C244" s="39"/>
      <c r="D244" s="39"/>
      <c r="E244" s="39"/>
      <c r="F244" s="39"/>
      <c r="G244" s="39"/>
      <c r="H244" s="39"/>
      <c r="I244" s="39"/>
      <c r="J244" s="39"/>
      <c r="K244" s="39"/>
      <c r="L244" s="39"/>
      <c r="M244" s="39"/>
      <c r="N244" s="39"/>
      <c r="O244" s="41"/>
      <c r="P244" s="42"/>
      <c r="Q244" s="43"/>
      <c r="R244" s="43"/>
      <c r="S244" s="43"/>
      <c r="T244" s="43"/>
      <c r="U244" s="43"/>
      <c r="V244" s="43"/>
    </row>
    <row r="245" spans="1:22" ht="21" customHeight="1" x14ac:dyDescent="0.15">
      <c r="A245" s="39"/>
      <c r="B245" s="40"/>
      <c r="C245" s="39"/>
      <c r="D245" s="39"/>
      <c r="E245" s="39"/>
      <c r="F245" s="39"/>
      <c r="G245" s="39"/>
      <c r="H245" s="39"/>
      <c r="I245" s="39"/>
      <c r="J245" s="39"/>
      <c r="K245" s="39"/>
      <c r="L245" s="39"/>
      <c r="M245" s="39"/>
      <c r="N245" s="39"/>
      <c r="O245" s="41"/>
      <c r="P245" s="42"/>
      <c r="Q245" s="43"/>
      <c r="R245" s="43"/>
      <c r="S245" s="43"/>
      <c r="T245" s="43"/>
      <c r="U245" s="43"/>
      <c r="V245" s="43"/>
    </row>
    <row r="246" spans="1:22" ht="21" customHeight="1" x14ac:dyDescent="0.15">
      <c r="A246" s="39"/>
      <c r="B246" s="40"/>
      <c r="C246" s="39"/>
      <c r="D246" s="39"/>
      <c r="E246" s="39"/>
      <c r="F246" s="39"/>
      <c r="G246" s="39"/>
      <c r="H246" s="39"/>
      <c r="I246" s="39"/>
      <c r="J246" s="39"/>
      <c r="K246" s="39"/>
      <c r="L246" s="39"/>
      <c r="M246" s="39"/>
      <c r="N246" s="39"/>
      <c r="O246" s="41"/>
      <c r="P246" s="42"/>
      <c r="Q246" s="43"/>
      <c r="R246" s="43"/>
      <c r="S246" s="43"/>
      <c r="T246" s="43"/>
      <c r="U246" s="43"/>
      <c r="V246" s="43"/>
    </row>
    <row r="247" spans="1:22" ht="21" customHeight="1" x14ac:dyDescent="0.15">
      <c r="A247" s="39"/>
      <c r="B247" s="40"/>
      <c r="C247" s="39"/>
      <c r="D247" s="39"/>
      <c r="E247" s="39"/>
      <c r="F247" s="39"/>
      <c r="G247" s="39"/>
      <c r="H247" s="39"/>
      <c r="I247" s="39"/>
      <c r="J247" s="39"/>
      <c r="K247" s="39"/>
      <c r="L247" s="39"/>
      <c r="M247" s="39"/>
      <c r="N247" s="39"/>
      <c r="O247" s="41"/>
      <c r="P247" s="42"/>
      <c r="Q247" s="43"/>
      <c r="R247" s="43"/>
      <c r="S247" s="43"/>
      <c r="T247" s="43"/>
      <c r="U247" s="43"/>
      <c r="V247" s="43"/>
    </row>
    <row r="248" spans="1:22" ht="21" customHeight="1" x14ac:dyDescent="0.15">
      <c r="A248" s="39"/>
      <c r="B248" s="40"/>
      <c r="C248" s="39"/>
      <c r="D248" s="39"/>
      <c r="E248" s="39"/>
      <c r="F248" s="39"/>
      <c r="G248" s="39"/>
      <c r="H248" s="39"/>
      <c r="I248" s="39"/>
      <c r="J248" s="39"/>
      <c r="K248" s="39"/>
      <c r="L248" s="39"/>
      <c r="M248" s="39"/>
      <c r="N248" s="39"/>
      <c r="O248" s="41"/>
      <c r="P248" s="42"/>
      <c r="Q248" s="43"/>
      <c r="R248" s="43"/>
      <c r="S248" s="43"/>
      <c r="T248" s="43"/>
      <c r="U248" s="43"/>
      <c r="V248" s="43"/>
    </row>
    <row r="249" spans="1:22" ht="21" customHeight="1" x14ac:dyDescent="0.15">
      <c r="A249" s="39"/>
      <c r="B249" s="40"/>
      <c r="C249" s="39"/>
      <c r="D249" s="39"/>
      <c r="E249" s="39"/>
      <c r="F249" s="39"/>
      <c r="G249" s="39"/>
      <c r="H249" s="39"/>
      <c r="I249" s="39"/>
      <c r="J249" s="39"/>
      <c r="K249" s="39"/>
      <c r="L249" s="39"/>
      <c r="M249" s="39"/>
      <c r="N249" s="39"/>
      <c r="O249" s="41"/>
      <c r="P249" s="42"/>
      <c r="Q249" s="43"/>
      <c r="R249" s="43"/>
      <c r="S249" s="43"/>
      <c r="T249" s="43"/>
      <c r="U249" s="43"/>
      <c r="V249" s="43"/>
    </row>
    <row r="250" spans="1:22" ht="21" customHeight="1" x14ac:dyDescent="0.15">
      <c r="A250" s="39"/>
      <c r="B250" s="40"/>
      <c r="C250" s="39"/>
      <c r="D250" s="39"/>
      <c r="E250" s="39"/>
      <c r="F250" s="39"/>
      <c r="G250" s="39"/>
      <c r="H250" s="39"/>
      <c r="I250" s="39"/>
      <c r="J250" s="39"/>
      <c r="K250" s="39"/>
      <c r="L250" s="39"/>
      <c r="M250" s="39"/>
      <c r="N250" s="39"/>
      <c r="O250" s="41"/>
      <c r="P250" s="42"/>
      <c r="Q250" s="43"/>
      <c r="R250" s="43"/>
      <c r="S250" s="43"/>
      <c r="T250" s="43"/>
      <c r="U250" s="43"/>
      <c r="V250" s="43"/>
    </row>
    <row r="251" spans="1:22" ht="21" customHeight="1" x14ac:dyDescent="0.15">
      <c r="A251" s="39"/>
      <c r="B251" s="40"/>
      <c r="C251" s="39"/>
      <c r="D251" s="39"/>
      <c r="E251" s="39"/>
      <c r="F251" s="39"/>
      <c r="G251" s="39"/>
      <c r="H251" s="39"/>
      <c r="I251" s="39"/>
      <c r="J251" s="39"/>
      <c r="K251" s="39"/>
      <c r="L251" s="39"/>
      <c r="M251" s="39"/>
      <c r="N251" s="39"/>
      <c r="O251" s="41"/>
      <c r="P251" s="42"/>
      <c r="Q251" s="43"/>
      <c r="R251" s="43"/>
      <c r="S251" s="43"/>
      <c r="T251" s="43"/>
      <c r="U251" s="43"/>
      <c r="V251" s="43"/>
    </row>
    <row r="252" spans="1:22" ht="21" customHeight="1" x14ac:dyDescent="0.15">
      <c r="A252" s="39"/>
      <c r="B252" s="40"/>
      <c r="C252" s="39"/>
      <c r="D252" s="39"/>
      <c r="E252" s="39"/>
      <c r="F252" s="39"/>
      <c r="G252" s="39"/>
      <c r="H252" s="39"/>
      <c r="I252" s="39"/>
      <c r="J252" s="39"/>
      <c r="K252" s="39"/>
      <c r="L252" s="39"/>
      <c r="M252" s="39"/>
      <c r="N252" s="39"/>
      <c r="O252" s="41"/>
      <c r="P252" s="42"/>
      <c r="Q252" s="43"/>
      <c r="R252" s="43"/>
      <c r="S252" s="43"/>
      <c r="T252" s="43"/>
      <c r="U252" s="43"/>
      <c r="V252" s="43"/>
    </row>
    <row r="253" spans="1:22" ht="21" customHeight="1" x14ac:dyDescent="0.15">
      <c r="A253" s="39"/>
      <c r="B253" s="40"/>
      <c r="C253" s="39"/>
      <c r="D253" s="39"/>
      <c r="E253" s="39"/>
      <c r="F253" s="39"/>
      <c r="G253" s="39"/>
      <c r="H253" s="39"/>
      <c r="I253" s="39"/>
      <c r="J253" s="39"/>
      <c r="K253" s="39"/>
      <c r="L253" s="39"/>
      <c r="M253" s="39"/>
      <c r="N253" s="39"/>
      <c r="O253" s="41"/>
      <c r="P253" s="42"/>
      <c r="Q253" s="43"/>
      <c r="R253" s="43"/>
      <c r="S253" s="43"/>
      <c r="T253" s="43"/>
      <c r="U253" s="43"/>
      <c r="V253" s="43"/>
    </row>
    <row r="254" spans="1:22" ht="21" customHeight="1" x14ac:dyDescent="0.15">
      <c r="A254" s="39"/>
      <c r="B254" s="40"/>
      <c r="C254" s="39"/>
      <c r="D254" s="39"/>
      <c r="E254" s="39"/>
      <c r="F254" s="39"/>
      <c r="G254" s="39"/>
      <c r="H254" s="39"/>
      <c r="I254" s="39"/>
      <c r="J254" s="39"/>
      <c r="K254" s="39"/>
      <c r="L254" s="39"/>
      <c r="M254" s="39"/>
      <c r="N254" s="39"/>
      <c r="O254" s="41"/>
      <c r="P254" s="42"/>
      <c r="Q254" s="43"/>
      <c r="R254" s="43"/>
      <c r="S254" s="43"/>
      <c r="T254" s="43"/>
      <c r="U254" s="43"/>
      <c r="V254" s="43"/>
    </row>
    <row r="255" spans="1:22" ht="21" customHeight="1" x14ac:dyDescent="0.15">
      <c r="A255" s="39"/>
      <c r="B255" s="40"/>
      <c r="C255" s="39"/>
      <c r="D255" s="39"/>
      <c r="E255" s="39"/>
      <c r="F255" s="39"/>
      <c r="G255" s="39"/>
      <c r="H255" s="39"/>
      <c r="I255" s="39"/>
      <c r="J255" s="39"/>
      <c r="K255" s="39"/>
      <c r="L255" s="39"/>
      <c r="M255" s="39"/>
      <c r="N255" s="39"/>
      <c r="O255" s="41"/>
      <c r="P255" s="42"/>
      <c r="Q255" s="43"/>
      <c r="R255" s="43"/>
      <c r="S255" s="43"/>
      <c r="T255" s="43"/>
      <c r="U255" s="43"/>
      <c r="V255" s="43"/>
    </row>
    <row r="256" spans="1:22" ht="21" customHeight="1" x14ac:dyDescent="0.15">
      <c r="A256" s="39"/>
      <c r="B256" s="40"/>
      <c r="C256" s="39"/>
      <c r="D256" s="39"/>
      <c r="E256" s="39"/>
      <c r="F256" s="39"/>
      <c r="G256" s="39"/>
      <c r="H256" s="39"/>
      <c r="I256" s="39"/>
      <c r="J256" s="39"/>
      <c r="K256" s="39"/>
      <c r="L256" s="39"/>
      <c r="M256" s="39"/>
      <c r="N256" s="39"/>
      <c r="O256" s="41"/>
      <c r="P256" s="42"/>
      <c r="Q256" s="43"/>
      <c r="R256" s="43"/>
      <c r="S256" s="43"/>
      <c r="T256" s="43"/>
      <c r="U256" s="43"/>
      <c r="V256" s="43"/>
    </row>
    <row r="257" spans="1:22" ht="21" customHeight="1" x14ac:dyDescent="0.15">
      <c r="A257" s="39"/>
      <c r="B257" s="40"/>
      <c r="C257" s="39"/>
      <c r="D257" s="39"/>
      <c r="E257" s="39"/>
      <c r="F257" s="39"/>
      <c r="G257" s="39"/>
      <c r="H257" s="39"/>
      <c r="I257" s="39"/>
      <c r="J257" s="39"/>
      <c r="K257" s="39"/>
      <c r="L257" s="39"/>
      <c r="M257" s="39"/>
      <c r="N257" s="39"/>
      <c r="O257" s="41"/>
      <c r="P257" s="42"/>
      <c r="Q257" s="43"/>
      <c r="R257" s="43"/>
      <c r="S257" s="43"/>
      <c r="T257" s="43"/>
      <c r="U257" s="43"/>
      <c r="V257" s="43"/>
    </row>
    <row r="258" spans="1:22" ht="21" customHeight="1" x14ac:dyDescent="0.15">
      <c r="A258" s="39"/>
      <c r="B258" s="40"/>
      <c r="C258" s="39"/>
      <c r="D258" s="39"/>
      <c r="E258" s="39"/>
      <c r="F258" s="39"/>
      <c r="G258" s="39"/>
      <c r="H258" s="39"/>
      <c r="I258" s="39"/>
      <c r="J258" s="39"/>
      <c r="K258" s="39"/>
      <c r="L258" s="39"/>
      <c r="M258" s="39"/>
      <c r="N258" s="39"/>
      <c r="O258" s="41"/>
      <c r="P258" s="42"/>
      <c r="Q258" s="43"/>
      <c r="R258" s="43"/>
      <c r="S258" s="43"/>
      <c r="T258" s="43"/>
      <c r="U258" s="43"/>
      <c r="V258" s="43"/>
    </row>
    <row r="259" spans="1:22" ht="21" customHeight="1" x14ac:dyDescent="0.15">
      <c r="A259" s="39"/>
      <c r="B259" s="40"/>
      <c r="C259" s="39"/>
      <c r="D259" s="39"/>
      <c r="E259" s="39"/>
      <c r="F259" s="39"/>
      <c r="G259" s="39"/>
      <c r="H259" s="39"/>
      <c r="I259" s="39"/>
      <c r="J259" s="39"/>
      <c r="K259" s="39"/>
      <c r="L259" s="39"/>
      <c r="M259" s="39"/>
      <c r="N259" s="39"/>
      <c r="O259" s="41"/>
      <c r="P259" s="42"/>
      <c r="Q259" s="43"/>
      <c r="R259" s="43"/>
      <c r="S259" s="43"/>
      <c r="T259" s="43"/>
      <c r="U259" s="43"/>
      <c r="V259" s="43"/>
    </row>
    <row r="260" spans="1:22" ht="21" customHeight="1" x14ac:dyDescent="0.15">
      <c r="A260" s="39"/>
      <c r="B260" s="40"/>
      <c r="C260" s="39"/>
      <c r="D260" s="39"/>
      <c r="E260" s="39"/>
      <c r="F260" s="39"/>
      <c r="G260" s="39"/>
      <c r="H260" s="39"/>
      <c r="I260" s="39"/>
      <c r="J260" s="39"/>
      <c r="K260" s="39"/>
      <c r="L260" s="39"/>
      <c r="M260" s="39"/>
      <c r="N260" s="39"/>
      <c r="O260" s="41"/>
      <c r="P260" s="42"/>
      <c r="Q260" s="43"/>
      <c r="R260" s="43"/>
      <c r="S260" s="43"/>
      <c r="T260" s="43"/>
      <c r="U260" s="43"/>
      <c r="V260" s="43"/>
    </row>
    <row r="261" spans="1:22" ht="21" customHeight="1" x14ac:dyDescent="0.15">
      <c r="A261" s="39"/>
      <c r="B261" s="40"/>
      <c r="C261" s="39"/>
      <c r="D261" s="39"/>
      <c r="E261" s="39"/>
      <c r="F261" s="39"/>
      <c r="G261" s="39"/>
      <c r="H261" s="39"/>
      <c r="I261" s="39"/>
      <c r="J261" s="39"/>
      <c r="K261" s="39"/>
      <c r="L261" s="39"/>
      <c r="M261" s="39"/>
      <c r="N261" s="39"/>
      <c r="O261" s="41"/>
      <c r="P261" s="42"/>
      <c r="Q261" s="43"/>
      <c r="R261" s="43"/>
      <c r="S261" s="43"/>
      <c r="T261" s="43"/>
      <c r="U261" s="43"/>
      <c r="V261" s="43"/>
    </row>
    <row r="262" spans="1:22" ht="21" customHeight="1" x14ac:dyDescent="0.15">
      <c r="A262" s="39"/>
      <c r="B262" s="40"/>
      <c r="C262" s="39"/>
      <c r="D262" s="39"/>
      <c r="E262" s="39"/>
      <c r="F262" s="39"/>
      <c r="G262" s="39"/>
      <c r="H262" s="39"/>
      <c r="I262" s="39"/>
      <c r="J262" s="39"/>
      <c r="K262" s="39"/>
      <c r="L262" s="39"/>
      <c r="M262" s="39"/>
      <c r="N262" s="39"/>
      <c r="O262" s="41"/>
      <c r="P262" s="42"/>
      <c r="Q262" s="43"/>
      <c r="R262" s="43"/>
      <c r="S262" s="43"/>
      <c r="T262" s="43"/>
      <c r="U262" s="43"/>
      <c r="V262" s="43"/>
    </row>
    <row r="263" spans="1:22" ht="21" customHeight="1" x14ac:dyDescent="0.15">
      <c r="A263" s="39"/>
      <c r="B263" s="40"/>
      <c r="C263" s="39"/>
      <c r="D263" s="39"/>
      <c r="E263" s="39"/>
      <c r="F263" s="39"/>
      <c r="G263" s="39"/>
      <c r="H263" s="39"/>
      <c r="I263" s="39"/>
      <c r="J263" s="39"/>
      <c r="K263" s="39"/>
      <c r="L263" s="39"/>
      <c r="M263" s="39"/>
      <c r="N263" s="39"/>
      <c r="O263" s="41"/>
      <c r="P263" s="42"/>
      <c r="Q263" s="43"/>
      <c r="R263" s="43"/>
      <c r="S263" s="43"/>
      <c r="T263" s="43"/>
      <c r="U263" s="43"/>
      <c r="V263" s="43"/>
    </row>
    <row r="264" spans="1:22" ht="21" customHeight="1" x14ac:dyDescent="0.15">
      <c r="A264" s="39"/>
      <c r="B264" s="40"/>
      <c r="C264" s="39"/>
      <c r="D264" s="39"/>
      <c r="E264" s="39"/>
      <c r="F264" s="39"/>
      <c r="G264" s="39"/>
      <c r="H264" s="39"/>
      <c r="I264" s="39"/>
      <c r="J264" s="39"/>
      <c r="K264" s="39"/>
      <c r="L264" s="39"/>
      <c r="M264" s="39"/>
      <c r="N264" s="39"/>
      <c r="O264" s="41"/>
      <c r="P264" s="42"/>
      <c r="Q264" s="43"/>
      <c r="R264" s="43"/>
      <c r="S264" s="43"/>
      <c r="T264" s="43"/>
      <c r="U264" s="43"/>
      <c r="V264" s="43"/>
    </row>
    <row r="265" spans="1:22" ht="21" customHeight="1" x14ac:dyDescent="0.15">
      <c r="A265" s="39"/>
      <c r="B265" s="40"/>
      <c r="C265" s="39"/>
      <c r="D265" s="39"/>
      <c r="E265" s="39"/>
      <c r="F265" s="39"/>
      <c r="G265" s="39"/>
      <c r="H265" s="39"/>
      <c r="I265" s="39"/>
      <c r="J265" s="39"/>
      <c r="K265" s="39"/>
      <c r="L265" s="39"/>
      <c r="M265" s="39"/>
      <c r="N265" s="39"/>
      <c r="O265" s="41"/>
      <c r="P265" s="42"/>
      <c r="Q265" s="43"/>
      <c r="R265" s="43"/>
      <c r="S265" s="43"/>
      <c r="T265" s="43"/>
      <c r="U265" s="43"/>
      <c r="V265" s="43"/>
    </row>
    <row r="266" spans="1:22" ht="21" customHeight="1" x14ac:dyDescent="0.15">
      <c r="A266" s="39"/>
      <c r="B266" s="40"/>
      <c r="C266" s="39"/>
      <c r="D266" s="39"/>
      <c r="E266" s="39"/>
      <c r="F266" s="39"/>
      <c r="G266" s="39"/>
      <c r="H266" s="39"/>
      <c r="I266" s="39"/>
      <c r="J266" s="39"/>
      <c r="K266" s="39"/>
      <c r="L266" s="39"/>
      <c r="M266" s="39"/>
      <c r="N266" s="39"/>
      <c r="O266" s="41"/>
      <c r="P266" s="42"/>
      <c r="Q266" s="43"/>
      <c r="R266" s="43"/>
      <c r="S266" s="43"/>
      <c r="T266" s="43"/>
      <c r="U266" s="43"/>
      <c r="V266" s="43"/>
    </row>
    <row r="267" spans="1:22" ht="21" customHeight="1" x14ac:dyDescent="0.15">
      <c r="A267" s="39"/>
      <c r="B267" s="40"/>
      <c r="C267" s="39"/>
      <c r="D267" s="39"/>
      <c r="E267" s="39"/>
      <c r="F267" s="39"/>
      <c r="G267" s="39"/>
      <c r="H267" s="39"/>
      <c r="I267" s="39"/>
      <c r="J267" s="39"/>
      <c r="K267" s="39"/>
      <c r="L267" s="39"/>
      <c r="M267" s="39"/>
      <c r="N267" s="39"/>
      <c r="O267" s="41"/>
      <c r="P267" s="42"/>
      <c r="Q267" s="43"/>
      <c r="R267" s="43"/>
      <c r="S267" s="43"/>
      <c r="T267" s="43"/>
      <c r="U267" s="43"/>
      <c r="V267" s="43"/>
    </row>
    <row r="268" spans="1:22" ht="21" customHeight="1" x14ac:dyDescent="0.15">
      <c r="A268" s="39"/>
      <c r="B268" s="40"/>
      <c r="C268" s="39"/>
      <c r="D268" s="39"/>
      <c r="E268" s="39"/>
      <c r="F268" s="39"/>
      <c r="G268" s="39"/>
      <c r="H268" s="39"/>
      <c r="I268" s="39"/>
      <c r="J268" s="39"/>
      <c r="K268" s="39"/>
      <c r="L268" s="39"/>
      <c r="M268" s="39"/>
      <c r="N268" s="39"/>
      <c r="O268" s="41"/>
      <c r="P268" s="42"/>
      <c r="Q268" s="43"/>
      <c r="R268" s="43"/>
      <c r="S268" s="43"/>
      <c r="T268" s="43"/>
      <c r="U268" s="43"/>
      <c r="V268" s="43"/>
    </row>
    <row r="269" spans="1:22" ht="21" customHeight="1" x14ac:dyDescent="0.15">
      <c r="A269" s="39"/>
      <c r="B269" s="40"/>
      <c r="C269" s="39"/>
      <c r="D269" s="39"/>
      <c r="E269" s="39"/>
      <c r="F269" s="39"/>
      <c r="G269" s="39"/>
      <c r="H269" s="39"/>
      <c r="I269" s="39"/>
      <c r="J269" s="39"/>
      <c r="K269" s="39"/>
      <c r="L269" s="39"/>
      <c r="M269" s="39"/>
      <c r="N269" s="39"/>
      <c r="O269" s="41"/>
      <c r="P269" s="42"/>
      <c r="Q269" s="43"/>
      <c r="R269" s="43"/>
      <c r="S269" s="43"/>
      <c r="T269" s="43"/>
      <c r="U269" s="43"/>
      <c r="V269" s="43"/>
    </row>
    <row r="270" spans="1:22" ht="21" customHeight="1" x14ac:dyDescent="0.15">
      <c r="A270" s="39"/>
      <c r="B270" s="40"/>
      <c r="C270" s="39"/>
      <c r="D270" s="39"/>
      <c r="E270" s="39"/>
      <c r="F270" s="39"/>
      <c r="G270" s="39"/>
      <c r="H270" s="39"/>
      <c r="I270" s="39"/>
      <c r="J270" s="39"/>
      <c r="K270" s="39"/>
      <c r="L270" s="39"/>
      <c r="M270" s="39"/>
      <c r="N270" s="39"/>
      <c r="O270" s="41"/>
      <c r="P270" s="42"/>
      <c r="Q270" s="43"/>
      <c r="R270" s="43"/>
      <c r="S270" s="43"/>
      <c r="T270" s="43"/>
      <c r="U270" s="43"/>
      <c r="V270" s="43"/>
    </row>
    <row r="271" spans="1:22" ht="21" customHeight="1" x14ac:dyDescent="0.15">
      <c r="A271" s="39"/>
      <c r="B271" s="40"/>
      <c r="C271" s="39"/>
      <c r="D271" s="39"/>
      <c r="E271" s="39"/>
      <c r="F271" s="39"/>
      <c r="G271" s="39"/>
      <c r="H271" s="39"/>
      <c r="I271" s="39"/>
      <c r="J271" s="39"/>
      <c r="K271" s="39"/>
      <c r="L271" s="39"/>
      <c r="M271" s="39"/>
      <c r="N271" s="39"/>
      <c r="O271" s="41"/>
      <c r="P271" s="42"/>
      <c r="Q271" s="43"/>
      <c r="R271" s="43"/>
      <c r="S271" s="43"/>
      <c r="T271" s="43"/>
      <c r="U271" s="43"/>
      <c r="V271" s="43"/>
    </row>
    <row r="272" spans="1:22" ht="21" customHeight="1" x14ac:dyDescent="0.15">
      <c r="A272" s="39"/>
      <c r="B272" s="39"/>
      <c r="C272" s="39"/>
      <c r="D272" s="39"/>
      <c r="E272" s="39"/>
      <c r="F272" s="39"/>
      <c r="G272" s="39"/>
      <c r="H272" s="39"/>
      <c r="I272" s="39"/>
      <c r="J272" s="39"/>
      <c r="K272" s="39"/>
      <c r="L272" s="39"/>
      <c r="M272" s="39"/>
      <c r="N272" s="39"/>
      <c r="O272" s="41"/>
      <c r="P272" s="42"/>
      <c r="Q272" s="43"/>
      <c r="R272" s="43"/>
      <c r="S272" s="43"/>
      <c r="T272" s="43"/>
      <c r="U272" s="43"/>
      <c r="V272" s="43"/>
    </row>
    <row r="273" spans="1:22" ht="21" customHeight="1" x14ac:dyDescent="0.15">
      <c r="A273" s="39"/>
      <c r="B273" s="39"/>
      <c r="C273" s="39"/>
      <c r="D273" s="39"/>
      <c r="E273" s="39"/>
      <c r="F273" s="39"/>
      <c r="G273" s="39"/>
      <c r="H273" s="39"/>
      <c r="I273" s="39"/>
      <c r="J273" s="39"/>
      <c r="K273" s="39"/>
      <c r="L273" s="39"/>
      <c r="M273" s="39"/>
      <c r="N273" s="39"/>
      <c r="O273" s="41"/>
      <c r="P273" s="42"/>
      <c r="Q273" s="43"/>
      <c r="R273" s="43"/>
      <c r="S273" s="43"/>
      <c r="T273" s="43"/>
      <c r="U273" s="43"/>
      <c r="V273" s="43"/>
    </row>
    <row r="274" spans="1:22" ht="21" customHeight="1" x14ac:dyDescent="0.15">
      <c r="A274" s="39"/>
      <c r="B274" s="39"/>
      <c r="C274" s="39"/>
      <c r="D274" s="39"/>
      <c r="E274" s="39"/>
      <c r="F274" s="39"/>
      <c r="G274" s="39"/>
      <c r="H274" s="39"/>
      <c r="I274" s="39"/>
      <c r="J274" s="39"/>
      <c r="K274" s="39"/>
      <c r="L274" s="39"/>
      <c r="M274" s="39"/>
      <c r="N274" s="39"/>
      <c r="O274" s="41"/>
      <c r="P274" s="42"/>
      <c r="Q274" s="43"/>
      <c r="R274" s="43"/>
      <c r="S274" s="43"/>
      <c r="T274" s="43"/>
      <c r="U274" s="43"/>
      <c r="V274" s="43"/>
    </row>
    <row r="275" spans="1:22" ht="21" customHeight="1" x14ac:dyDescent="0.15">
      <c r="A275" s="39"/>
      <c r="B275" s="39"/>
      <c r="C275" s="39"/>
      <c r="D275" s="39"/>
      <c r="E275" s="39"/>
      <c r="F275" s="39"/>
      <c r="G275" s="39"/>
      <c r="H275" s="39"/>
      <c r="I275" s="39"/>
      <c r="J275" s="39"/>
      <c r="K275" s="39"/>
      <c r="L275" s="39"/>
      <c r="M275" s="39"/>
      <c r="N275" s="39"/>
      <c r="O275" s="41"/>
      <c r="P275" s="42"/>
      <c r="Q275" s="43"/>
      <c r="R275" s="43"/>
      <c r="S275" s="43"/>
      <c r="T275" s="43"/>
      <c r="U275" s="43"/>
      <c r="V275" s="43"/>
    </row>
    <row r="276" spans="1:22" ht="21" customHeight="1" x14ac:dyDescent="0.15">
      <c r="A276" s="39"/>
      <c r="B276" s="39"/>
      <c r="C276" s="39"/>
      <c r="D276" s="39"/>
      <c r="E276" s="39"/>
      <c r="F276" s="39"/>
      <c r="G276" s="39"/>
      <c r="H276" s="39"/>
      <c r="I276" s="39"/>
      <c r="J276" s="39"/>
      <c r="K276" s="39"/>
      <c r="L276" s="39"/>
      <c r="M276" s="39"/>
      <c r="N276" s="39"/>
      <c r="O276" s="41"/>
      <c r="P276" s="42"/>
      <c r="Q276" s="43"/>
      <c r="R276" s="43"/>
      <c r="S276" s="43"/>
      <c r="T276" s="43"/>
      <c r="U276" s="43"/>
      <c r="V276" s="43"/>
    </row>
    <row r="277" spans="1:22" ht="21" customHeight="1" x14ac:dyDescent="0.15">
      <c r="A277" s="39"/>
      <c r="B277" s="39"/>
      <c r="C277" s="39"/>
      <c r="D277" s="39"/>
      <c r="E277" s="39"/>
      <c r="F277" s="39"/>
      <c r="G277" s="39"/>
      <c r="H277" s="39"/>
      <c r="I277" s="39"/>
      <c r="J277" s="39"/>
      <c r="K277" s="39"/>
      <c r="L277" s="39"/>
      <c r="M277" s="39"/>
      <c r="N277" s="39"/>
      <c r="O277" s="41"/>
      <c r="P277" s="42"/>
      <c r="Q277" s="43"/>
      <c r="R277" s="43"/>
      <c r="S277" s="43"/>
      <c r="T277" s="43"/>
      <c r="U277" s="43"/>
      <c r="V277" s="43"/>
    </row>
    <row r="278" spans="1:22" ht="21" customHeight="1" x14ac:dyDescent="0.15">
      <c r="A278" s="39"/>
      <c r="B278" s="39"/>
      <c r="C278" s="39"/>
      <c r="D278" s="39"/>
      <c r="E278" s="39"/>
      <c r="F278" s="39"/>
      <c r="G278" s="39"/>
      <c r="H278" s="39"/>
      <c r="I278" s="39"/>
      <c r="J278" s="39"/>
      <c r="K278" s="39"/>
      <c r="L278" s="39"/>
      <c r="M278" s="39"/>
      <c r="N278" s="39"/>
      <c r="O278" s="41"/>
      <c r="P278" s="42"/>
      <c r="Q278" s="43"/>
      <c r="R278" s="43"/>
      <c r="S278" s="43"/>
      <c r="T278" s="43"/>
      <c r="U278" s="43"/>
      <c r="V278" s="43"/>
    </row>
    <row r="279" spans="1:22" ht="21" customHeight="1" x14ac:dyDescent="0.15">
      <c r="A279" s="39"/>
      <c r="B279" s="39"/>
      <c r="C279" s="39"/>
      <c r="D279" s="39"/>
      <c r="E279" s="39"/>
      <c r="F279" s="39"/>
      <c r="G279" s="39"/>
      <c r="H279" s="39"/>
      <c r="I279" s="39"/>
      <c r="J279" s="39"/>
      <c r="K279" s="39"/>
      <c r="L279" s="39"/>
      <c r="M279" s="39"/>
      <c r="N279" s="39"/>
      <c r="O279" s="41"/>
      <c r="P279" s="42"/>
      <c r="Q279" s="43"/>
      <c r="R279" s="43"/>
      <c r="S279" s="43"/>
      <c r="T279" s="43"/>
      <c r="U279" s="43"/>
      <c r="V279" s="43"/>
    </row>
    <row r="280" spans="1:22" ht="21" customHeight="1" x14ac:dyDescent="0.15">
      <c r="A280" s="39"/>
      <c r="B280" s="39"/>
      <c r="C280" s="39"/>
      <c r="D280" s="39"/>
      <c r="E280" s="39"/>
      <c r="F280" s="39"/>
      <c r="G280" s="39"/>
      <c r="H280" s="39"/>
      <c r="I280" s="39"/>
      <c r="J280" s="39"/>
      <c r="K280" s="39"/>
      <c r="L280" s="39"/>
      <c r="M280" s="39"/>
      <c r="N280" s="39"/>
      <c r="O280" s="41"/>
      <c r="P280" s="42"/>
      <c r="Q280" s="43"/>
      <c r="R280" s="43"/>
      <c r="S280" s="43"/>
      <c r="T280" s="43"/>
      <c r="U280" s="43"/>
      <c r="V280" s="43"/>
    </row>
    <row r="281" spans="1:22" ht="21" customHeight="1" x14ac:dyDescent="0.15">
      <c r="A281" s="39"/>
      <c r="B281" s="39"/>
      <c r="C281" s="39"/>
      <c r="D281" s="39"/>
      <c r="E281" s="39"/>
      <c r="F281" s="39"/>
      <c r="G281" s="39"/>
      <c r="H281" s="39"/>
      <c r="I281" s="39"/>
      <c r="J281" s="39"/>
      <c r="K281" s="39"/>
      <c r="L281" s="39"/>
      <c r="M281" s="39"/>
      <c r="N281" s="39"/>
      <c r="O281" s="41"/>
      <c r="P281" s="42"/>
      <c r="Q281" s="43"/>
      <c r="R281" s="43"/>
      <c r="S281" s="43"/>
      <c r="T281" s="43"/>
      <c r="U281" s="43"/>
      <c r="V281" s="43"/>
    </row>
    <row r="282" spans="1:22" ht="21" customHeight="1" x14ac:dyDescent="0.15">
      <c r="A282" s="39"/>
      <c r="B282" s="39"/>
      <c r="C282" s="39"/>
      <c r="D282" s="39"/>
      <c r="E282" s="39"/>
      <c r="F282" s="39"/>
      <c r="G282" s="39"/>
      <c r="H282" s="39"/>
      <c r="I282" s="39"/>
      <c r="J282" s="39"/>
      <c r="K282" s="39"/>
      <c r="L282" s="39"/>
      <c r="M282" s="39"/>
      <c r="N282" s="39"/>
      <c r="O282" s="41"/>
      <c r="P282" s="42"/>
      <c r="Q282" s="43"/>
      <c r="R282" s="43"/>
      <c r="S282" s="43"/>
      <c r="T282" s="43"/>
      <c r="U282" s="43"/>
      <c r="V282" s="43"/>
    </row>
    <row r="283" spans="1:22" ht="21" customHeight="1" x14ac:dyDescent="0.15">
      <c r="A283" s="39"/>
      <c r="B283" s="39"/>
      <c r="C283" s="39"/>
      <c r="D283" s="39"/>
      <c r="E283" s="39"/>
      <c r="F283" s="39"/>
      <c r="G283" s="39"/>
      <c r="H283" s="39"/>
      <c r="I283" s="39"/>
      <c r="J283" s="39"/>
      <c r="K283" s="39"/>
      <c r="L283" s="39"/>
      <c r="M283" s="39"/>
      <c r="N283" s="39"/>
      <c r="O283" s="41"/>
      <c r="P283" s="42"/>
      <c r="Q283" s="43"/>
      <c r="R283" s="43"/>
      <c r="S283" s="43"/>
      <c r="T283" s="43"/>
      <c r="U283" s="43"/>
      <c r="V283" s="43"/>
    </row>
    <row r="284" spans="1:22" ht="21" customHeight="1" x14ac:dyDescent="0.15">
      <c r="A284" s="39"/>
      <c r="B284" s="39"/>
      <c r="C284" s="39"/>
      <c r="D284" s="39"/>
      <c r="E284" s="39"/>
      <c r="F284" s="39"/>
      <c r="G284" s="39"/>
      <c r="H284" s="39"/>
      <c r="I284" s="39"/>
      <c r="J284" s="39"/>
      <c r="K284" s="39"/>
      <c r="L284" s="39"/>
      <c r="M284" s="39"/>
      <c r="N284" s="39"/>
      <c r="O284" s="41"/>
      <c r="P284" s="42"/>
      <c r="Q284" s="43"/>
      <c r="R284" s="43"/>
      <c r="S284" s="43"/>
      <c r="T284" s="43"/>
      <c r="U284" s="43"/>
      <c r="V284" s="43"/>
    </row>
    <row r="285" spans="1:22" ht="21" customHeight="1" x14ac:dyDescent="0.15">
      <c r="A285" s="39"/>
      <c r="B285" s="39"/>
      <c r="C285" s="39"/>
      <c r="D285" s="39"/>
      <c r="E285" s="39"/>
      <c r="F285" s="39"/>
      <c r="G285" s="39"/>
      <c r="H285" s="39"/>
      <c r="I285" s="39"/>
      <c r="J285" s="39"/>
      <c r="K285" s="39"/>
      <c r="L285" s="39"/>
      <c r="M285" s="39"/>
      <c r="N285" s="39"/>
      <c r="O285" s="41"/>
      <c r="P285" s="42"/>
      <c r="Q285" s="43"/>
      <c r="R285" s="43"/>
      <c r="S285" s="43"/>
      <c r="T285" s="43"/>
      <c r="U285" s="43"/>
      <c r="V285" s="43"/>
    </row>
    <row r="286" spans="1:22" ht="21" customHeight="1" x14ac:dyDescent="0.15">
      <c r="A286" s="39"/>
      <c r="B286" s="39"/>
      <c r="C286" s="39"/>
      <c r="D286" s="39"/>
      <c r="E286" s="39"/>
      <c r="F286" s="39"/>
      <c r="G286" s="39"/>
      <c r="H286" s="39"/>
      <c r="I286" s="39"/>
      <c r="J286" s="39"/>
      <c r="K286" s="39"/>
      <c r="L286" s="39"/>
      <c r="M286" s="39"/>
      <c r="N286" s="39"/>
      <c r="O286" s="41"/>
      <c r="P286" s="42"/>
      <c r="Q286" s="43"/>
      <c r="R286" s="43"/>
      <c r="S286" s="43"/>
      <c r="T286" s="43"/>
      <c r="U286" s="43"/>
      <c r="V286" s="43"/>
    </row>
    <row r="287" spans="1:22" ht="21" customHeight="1" x14ac:dyDescent="0.15">
      <c r="A287" s="39"/>
      <c r="B287" s="39"/>
      <c r="C287" s="39"/>
      <c r="D287" s="39"/>
      <c r="E287" s="39"/>
      <c r="F287" s="39"/>
      <c r="G287" s="39"/>
      <c r="H287" s="39"/>
      <c r="I287" s="39"/>
      <c r="J287" s="39"/>
      <c r="K287" s="39"/>
      <c r="L287" s="39"/>
      <c r="M287" s="39"/>
      <c r="N287" s="39"/>
      <c r="O287" s="41"/>
      <c r="P287" s="42"/>
      <c r="Q287" s="43"/>
      <c r="R287" s="43"/>
      <c r="S287" s="43"/>
      <c r="T287" s="43"/>
      <c r="U287" s="43"/>
      <c r="V287" s="43"/>
    </row>
    <row r="288" spans="1:22" ht="21" customHeight="1" x14ac:dyDescent="0.15">
      <c r="A288" s="39"/>
      <c r="B288" s="39"/>
      <c r="C288" s="39"/>
      <c r="D288" s="39"/>
      <c r="E288" s="39"/>
      <c r="F288" s="39"/>
      <c r="G288" s="39"/>
      <c r="H288" s="39"/>
      <c r="I288" s="39"/>
      <c r="J288" s="39"/>
      <c r="K288" s="39"/>
      <c r="L288" s="39"/>
      <c r="M288" s="39"/>
      <c r="N288" s="39"/>
      <c r="O288" s="41"/>
      <c r="P288" s="42"/>
      <c r="Q288" s="43"/>
      <c r="R288" s="43"/>
      <c r="S288" s="43"/>
      <c r="T288" s="43"/>
      <c r="U288" s="43"/>
      <c r="V288" s="43"/>
    </row>
    <row r="289" spans="1:22" ht="21" customHeight="1" x14ac:dyDescent="0.15">
      <c r="A289" s="39"/>
      <c r="B289" s="39"/>
      <c r="C289" s="39"/>
      <c r="D289" s="39"/>
      <c r="E289" s="39"/>
      <c r="F289" s="39"/>
      <c r="G289" s="39"/>
      <c r="H289" s="39"/>
      <c r="I289" s="39"/>
      <c r="J289" s="39"/>
      <c r="K289" s="39"/>
      <c r="L289" s="39"/>
      <c r="M289" s="39"/>
      <c r="N289" s="39"/>
      <c r="O289" s="41"/>
      <c r="P289" s="42"/>
      <c r="Q289" s="43"/>
      <c r="R289" s="43"/>
      <c r="S289" s="43"/>
      <c r="T289" s="43"/>
      <c r="U289" s="43"/>
      <c r="V289" s="43"/>
    </row>
    <row r="290" spans="1:22" ht="21" customHeight="1" x14ac:dyDescent="0.15">
      <c r="A290" s="39"/>
      <c r="B290" s="39"/>
      <c r="C290" s="39"/>
      <c r="D290" s="39"/>
      <c r="E290" s="39"/>
      <c r="F290" s="39"/>
      <c r="G290" s="39"/>
      <c r="H290" s="39"/>
      <c r="I290" s="39"/>
      <c r="J290" s="39"/>
      <c r="K290" s="39"/>
      <c r="L290" s="39"/>
      <c r="M290" s="39"/>
      <c r="N290" s="39"/>
      <c r="O290" s="41"/>
      <c r="P290" s="42"/>
      <c r="Q290" s="43"/>
      <c r="R290" s="43"/>
      <c r="S290" s="43"/>
      <c r="T290" s="43"/>
      <c r="U290" s="43"/>
      <c r="V290" s="43"/>
    </row>
    <row r="291" spans="1:22" ht="21" customHeight="1" x14ac:dyDescent="0.15">
      <c r="A291" s="39"/>
      <c r="B291" s="39"/>
      <c r="C291" s="39"/>
      <c r="D291" s="39"/>
      <c r="E291" s="39"/>
      <c r="F291" s="39"/>
      <c r="G291" s="39"/>
      <c r="H291" s="39"/>
      <c r="I291" s="39"/>
      <c r="J291" s="39"/>
      <c r="K291" s="39"/>
      <c r="L291" s="39"/>
      <c r="M291" s="39"/>
      <c r="N291" s="39"/>
      <c r="O291" s="41"/>
      <c r="P291" s="42"/>
      <c r="Q291" s="43"/>
      <c r="R291" s="43"/>
      <c r="S291" s="43"/>
      <c r="T291" s="43"/>
      <c r="U291" s="43"/>
      <c r="V291" s="43"/>
    </row>
    <row r="292" spans="1:22" ht="21" customHeight="1" x14ac:dyDescent="0.15">
      <c r="A292" s="39"/>
      <c r="B292" s="39"/>
      <c r="C292" s="39"/>
      <c r="D292" s="39"/>
      <c r="E292" s="39"/>
      <c r="F292" s="39"/>
      <c r="G292" s="39"/>
      <c r="H292" s="39"/>
      <c r="I292" s="39"/>
      <c r="J292" s="39"/>
      <c r="K292" s="39"/>
      <c r="L292" s="39"/>
      <c r="M292" s="39"/>
      <c r="N292" s="39"/>
      <c r="O292" s="41"/>
      <c r="P292" s="42"/>
      <c r="Q292" s="43"/>
      <c r="R292" s="43"/>
      <c r="S292" s="43"/>
      <c r="T292" s="43"/>
      <c r="U292" s="43"/>
      <c r="V292" s="43"/>
    </row>
    <row r="293" spans="1:22" ht="21" customHeight="1" x14ac:dyDescent="0.15">
      <c r="A293" s="39"/>
      <c r="B293" s="39"/>
      <c r="C293" s="39"/>
      <c r="D293" s="39"/>
      <c r="E293" s="39"/>
      <c r="F293" s="39"/>
      <c r="G293" s="39"/>
      <c r="H293" s="39"/>
      <c r="I293" s="39"/>
      <c r="J293" s="39"/>
      <c r="K293" s="39"/>
      <c r="L293" s="39"/>
      <c r="M293" s="39"/>
      <c r="N293" s="39"/>
      <c r="O293" s="41"/>
      <c r="P293" s="42"/>
      <c r="Q293" s="43"/>
      <c r="R293" s="43"/>
      <c r="S293" s="43"/>
      <c r="T293" s="43"/>
      <c r="U293" s="43"/>
      <c r="V293" s="43"/>
    </row>
    <row r="294" spans="1:22" ht="21" customHeight="1" x14ac:dyDescent="0.15">
      <c r="A294" s="39"/>
      <c r="B294" s="39"/>
      <c r="C294" s="39"/>
      <c r="D294" s="39"/>
      <c r="E294" s="39"/>
      <c r="F294" s="39"/>
      <c r="G294" s="39"/>
      <c r="H294" s="39"/>
      <c r="I294" s="39"/>
      <c r="J294" s="39"/>
      <c r="K294" s="39"/>
      <c r="L294" s="39"/>
      <c r="M294" s="39"/>
      <c r="N294" s="39"/>
      <c r="O294" s="41"/>
      <c r="P294" s="42"/>
      <c r="Q294" s="43"/>
      <c r="R294" s="43"/>
      <c r="S294" s="43"/>
      <c r="T294" s="43"/>
      <c r="U294" s="43"/>
      <c r="V294" s="43"/>
    </row>
    <row r="295" spans="1:22" ht="21" customHeight="1" x14ac:dyDescent="0.15">
      <c r="A295" s="39"/>
      <c r="B295" s="39"/>
      <c r="C295" s="39"/>
      <c r="D295" s="39"/>
      <c r="E295" s="39"/>
      <c r="F295" s="39"/>
      <c r="G295" s="39"/>
      <c r="H295" s="39"/>
      <c r="I295" s="39"/>
      <c r="J295" s="39"/>
      <c r="K295" s="39"/>
      <c r="L295" s="39"/>
      <c r="M295" s="39"/>
      <c r="N295" s="39"/>
      <c r="O295" s="41"/>
      <c r="P295" s="42"/>
      <c r="Q295" s="43"/>
      <c r="R295" s="43"/>
      <c r="S295" s="43"/>
      <c r="T295" s="43"/>
      <c r="U295" s="43"/>
      <c r="V295" s="43"/>
    </row>
    <row r="296" spans="1:22" ht="21" customHeight="1" x14ac:dyDescent="0.15">
      <c r="A296" s="39"/>
      <c r="B296" s="39"/>
      <c r="C296" s="39"/>
      <c r="D296" s="39"/>
      <c r="E296" s="39"/>
      <c r="F296" s="39"/>
      <c r="G296" s="39"/>
      <c r="H296" s="39"/>
      <c r="I296" s="39"/>
      <c r="J296" s="39"/>
      <c r="K296" s="39"/>
      <c r="L296" s="39"/>
      <c r="M296" s="39"/>
      <c r="N296" s="39"/>
      <c r="O296" s="41"/>
      <c r="P296" s="42"/>
      <c r="Q296" s="43"/>
      <c r="R296" s="43"/>
      <c r="S296" s="43"/>
      <c r="T296" s="43"/>
      <c r="U296" s="43"/>
      <c r="V296" s="43"/>
    </row>
    <row r="297" spans="1:22" ht="21" customHeight="1" x14ac:dyDescent="0.15">
      <c r="A297" s="39"/>
      <c r="B297" s="39"/>
      <c r="C297" s="39"/>
      <c r="D297" s="39"/>
      <c r="E297" s="39"/>
      <c r="F297" s="39"/>
      <c r="G297" s="39"/>
      <c r="H297" s="39"/>
      <c r="I297" s="39"/>
      <c r="J297" s="39"/>
      <c r="K297" s="39"/>
      <c r="L297" s="39"/>
      <c r="M297" s="39"/>
      <c r="N297" s="39"/>
      <c r="O297" s="41"/>
      <c r="P297" s="42"/>
      <c r="Q297" s="43"/>
      <c r="R297" s="43"/>
      <c r="S297" s="43"/>
      <c r="T297" s="43"/>
      <c r="U297" s="43"/>
      <c r="V297" s="43"/>
    </row>
    <row r="298" spans="1:22" ht="21" customHeight="1" x14ac:dyDescent="0.15">
      <c r="A298" s="39"/>
      <c r="B298" s="39"/>
      <c r="C298" s="39"/>
      <c r="D298" s="39"/>
      <c r="E298" s="39"/>
      <c r="F298" s="39"/>
      <c r="G298" s="39"/>
      <c r="H298" s="39"/>
      <c r="I298" s="39"/>
      <c r="J298" s="39"/>
      <c r="K298" s="39"/>
      <c r="L298" s="39"/>
      <c r="M298" s="39"/>
      <c r="N298" s="39"/>
      <c r="O298" s="41"/>
      <c r="P298" s="42"/>
      <c r="Q298" s="43"/>
      <c r="R298" s="43"/>
      <c r="S298" s="43"/>
      <c r="T298" s="43"/>
      <c r="U298" s="43"/>
      <c r="V298" s="43"/>
    </row>
    <row r="299" spans="1:22" ht="21" customHeight="1" x14ac:dyDescent="0.15">
      <c r="A299" s="39"/>
      <c r="B299" s="39"/>
      <c r="C299" s="39"/>
      <c r="D299" s="39"/>
      <c r="E299" s="39"/>
      <c r="F299" s="39"/>
      <c r="G299" s="39"/>
      <c r="H299" s="39"/>
      <c r="I299" s="39"/>
      <c r="J299" s="39"/>
      <c r="K299" s="39"/>
      <c r="L299" s="39"/>
      <c r="M299" s="39"/>
      <c r="N299" s="39"/>
      <c r="O299" s="41"/>
      <c r="P299" s="42"/>
      <c r="Q299" s="43"/>
      <c r="R299" s="43"/>
      <c r="S299" s="43"/>
      <c r="T299" s="43"/>
      <c r="U299" s="43"/>
      <c r="V299" s="43"/>
    </row>
    <row r="300" spans="1:22" ht="21" customHeight="1" x14ac:dyDescent="0.15">
      <c r="A300" s="39"/>
      <c r="B300" s="39"/>
      <c r="C300" s="39"/>
      <c r="D300" s="39"/>
      <c r="E300" s="39"/>
      <c r="F300" s="39"/>
      <c r="G300" s="39"/>
      <c r="H300" s="39"/>
      <c r="I300" s="39"/>
      <c r="J300" s="39"/>
      <c r="K300" s="39"/>
      <c r="L300" s="39"/>
      <c r="M300" s="39"/>
      <c r="N300" s="39"/>
      <c r="O300" s="41"/>
      <c r="P300" s="42"/>
      <c r="Q300" s="43"/>
      <c r="R300" s="43"/>
      <c r="S300" s="43"/>
      <c r="T300" s="43"/>
      <c r="U300" s="43"/>
      <c r="V300" s="43"/>
    </row>
    <row r="301" spans="1:22" ht="21" customHeight="1" x14ac:dyDescent="0.15">
      <c r="A301" s="39"/>
      <c r="B301" s="39"/>
      <c r="C301" s="39"/>
      <c r="D301" s="39"/>
      <c r="E301" s="39"/>
      <c r="F301" s="39"/>
      <c r="G301" s="39"/>
      <c r="H301" s="39"/>
      <c r="I301" s="39"/>
      <c r="J301" s="39"/>
      <c r="K301" s="39"/>
      <c r="L301" s="39"/>
      <c r="M301" s="39"/>
      <c r="N301" s="39"/>
      <c r="O301" s="41"/>
      <c r="P301" s="42"/>
      <c r="Q301" s="43"/>
      <c r="R301" s="43"/>
      <c r="S301" s="43"/>
      <c r="T301" s="43"/>
      <c r="U301" s="43"/>
      <c r="V301" s="43"/>
    </row>
    <row r="302" spans="1:22" ht="21" customHeight="1" x14ac:dyDescent="0.15">
      <c r="A302" s="39"/>
      <c r="B302" s="39"/>
      <c r="C302" s="39"/>
      <c r="D302" s="39"/>
      <c r="E302" s="39"/>
      <c r="F302" s="39"/>
      <c r="G302" s="39"/>
      <c r="H302" s="39"/>
      <c r="I302" s="39"/>
      <c r="J302" s="39"/>
      <c r="K302" s="39"/>
      <c r="L302" s="39"/>
      <c r="M302" s="39"/>
      <c r="N302" s="39"/>
      <c r="O302" s="41"/>
      <c r="P302" s="42"/>
      <c r="Q302" s="43"/>
      <c r="R302" s="43"/>
      <c r="S302" s="43"/>
      <c r="T302" s="43"/>
      <c r="U302" s="43"/>
      <c r="V302" s="43"/>
    </row>
    <row r="303" spans="1:22" ht="21" customHeight="1" x14ac:dyDescent="0.15">
      <c r="A303" s="39"/>
      <c r="B303" s="39"/>
      <c r="C303" s="39"/>
      <c r="D303" s="39"/>
      <c r="E303" s="39"/>
      <c r="F303" s="39"/>
      <c r="G303" s="39"/>
      <c r="H303" s="39"/>
      <c r="I303" s="39"/>
      <c r="J303" s="39"/>
      <c r="K303" s="39"/>
      <c r="L303" s="39"/>
      <c r="M303" s="39"/>
      <c r="N303" s="39"/>
      <c r="O303" s="41"/>
      <c r="P303" s="42"/>
      <c r="Q303" s="43"/>
      <c r="R303" s="43"/>
      <c r="S303" s="43"/>
      <c r="T303" s="43"/>
      <c r="U303" s="43"/>
      <c r="V303" s="43"/>
    </row>
    <row r="304" spans="1:22" ht="21" customHeight="1" x14ac:dyDescent="0.15">
      <c r="A304" s="39"/>
      <c r="B304" s="39"/>
      <c r="C304" s="39"/>
      <c r="D304" s="39"/>
      <c r="E304" s="39"/>
      <c r="F304" s="39"/>
      <c r="G304" s="39"/>
      <c r="H304" s="39"/>
      <c r="I304" s="39"/>
      <c r="J304" s="39"/>
      <c r="K304" s="39"/>
      <c r="L304" s="39"/>
      <c r="M304" s="39"/>
      <c r="N304" s="39"/>
      <c r="O304" s="41"/>
      <c r="P304" s="42"/>
      <c r="Q304" s="43"/>
      <c r="R304" s="43"/>
      <c r="S304" s="43"/>
      <c r="T304" s="43"/>
      <c r="U304" s="43"/>
      <c r="V304" s="43"/>
    </row>
    <row r="305" spans="1:22" ht="21" customHeight="1" x14ac:dyDescent="0.15">
      <c r="A305" s="39"/>
      <c r="B305" s="39"/>
      <c r="C305" s="39"/>
      <c r="D305" s="39"/>
      <c r="E305" s="39"/>
      <c r="F305" s="39"/>
      <c r="G305" s="39"/>
      <c r="H305" s="39"/>
      <c r="I305" s="39"/>
      <c r="J305" s="39"/>
      <c r="K305" s="39"/>
      <c r="L305" s="39"/>
      <c r="M305" s="39"/>
      <c r="N305" s="39"/>
      <c r="O305" s="41"/>
      <c r="P305" s="42"/>
      <c r="Q305" s="43"/>
      <c r="R305" s="43"/>
      <c r="S305" s="43"/>
      <c r="T305" s="43"/>
      <c r="U305" s="43"/>
      <c r="V305" s="43"/>
    </row>
    <row r="306" spans="1:22" ht="21" customHeight="1" x14ac:dyDescent="0.15">
      <c r="A306" s="39"/>
      <c r="B306" s="39"/>
      <c r="C306" s="39"/>
      <c r="D306" s="39"/>
      <c r="E306" s="39"/>
      <c r="F306" s="39"/>
      <c r="G306" s="39"/>
      <c r="H306" s="39"/>
      <c r="I306" s="39"/>
      <c r="J306" s="39"/>
      <c r="K306" s="39"/>
      <c r="L306" s="39"/>
      <c r="M306" s="39"/>
      <c r="N306" s="39"/>
      <c r="O306" s="41"/>
      <c r="P306" s="42"/>
      <c r="Q306" s="43"/>
      <c r="R306" s="43"/>
      <c r="S306" s="43"/>
      <c r="T306" s="43"/>
      <c r="U306" s="43"/>
      <c r="V306" s="43"/>
    </row>
    <row r="307" spans="1:22" ht="21" customHeight="1" x14ac:dyDescent="0.15">
      <c r="A307" s="39"/>
      <c r="B307" s="39"/>
      <c r="C307" s="39"/>
      <c r="D307" s="39"/>
      <c r="E307" s="39"/>
      <c r="F307" s="39"/>
      <c r="G307" s="39"/>
      <c r="H307" s="39"/>
      <c r="I307" s="39"/>
      <c r="J307" s="39"/>
      <c r="K307" s="39"/>
      <c r="L307" s="39"/>
      <c r="M307" s="39"/>
      <c r="N307" s="39"/>
      <c r="O307" s="41"/>
      <c r="P307" s="42"/>
      <c r="Q307" s="43"/>
      <c r="R307" s="43"/>
      <c r="S307" s="43"/>
      <c r="T307" s="43"/>
      <c r="U307" s="43"/>
      <c r="V307" s="43"/>
    </row>
    <row r="308" spans="1:22" ht="21" customHeight="1" x14ac:dyDescent="0.15">
      <c r="A308" s="39"/>
      <c r="B308" s="39"/>
      <c r="C308" s="39"/>
      <c r="D308" s="39"/>
      <c r="E308" s="39"/>
      <c r="F308" s="39"/>
      <c r="G308" s="39"/>
      <c r="H308" s="39"/>
      <c r="I308" s="39"/>
      <c r="J308" s="39"/>
      <c r="K308" s="39"/>
      <c r="L308" s="39"/>
      <c r="M308" s="39"/>
      <c r="N308" s="39"/>
      <c r="O308" s="41"/>
      <c r="P308" s="42"/>
      <c r="Q308" s="43"/>
      <c r="R308" s="43"/>
      <c r="S308" s="43"/>
      <c r="T308" s="43"/>
      <c r="U308" s="43"/>
      <c r="V308" s="43"/>
    </row>
    <row r="309" spans="1:22" ht="21" customHeight="1" x14ac:dyDescent="0.15">
      <c r="A309" s="39"/>
      <c r="B309" s="39"/>
      <c r="C309" s="39"/>
      <c r="D309" s="39"/>
      <c r="E309" s="39"/>
      <c r="F309" s="39"/>
      <c r="G309" s="39"/>
      <c r="H309" s="39"/>
      <c r="I309" s="39"/>
      <c r="J309" s="39"/>
      <c r="K309" s="39"/>
      <c r="L309" s="39"/>
      <c r="M309" s="39"/>
      <c r="N309" s="39"/>
      <c r="O309" s="41"/>
      <c r="P309" s="42"/>
      <c r="Q309" s="43"/>
      <c r="R309" s="43"/>
      <c r="S309" s="43"/>
      <c r="T309" s="43"/>
      <c r="U309" s="43"/>
      <c r="V309" s="43"/>
    </row>
    <row r="310" spans="1:22" ht="21" customHeight="1" x14ac:dyDescent="0.15">
      <c r="A310" s="39"/>
      <c r="B310" s="39"/>
      <c r="C310" s="39"/>
      <c r="D310" s="39"/>
      <c r="E310" s="39"/>
      <c r="F310" s="39"/>
      <c r="G310" s="39"/>
      <c r="H310" s="39"/>
      <c r="I310" s="39"/>
      <c r="J310" s="39"/>
      <c r="K310" s="39"/>
      <c r="L310" s="39"/>
      <c r="M310" s="39"/>
      <c r="N310" s="39"/>
      <c r="O310" s="41"/>
      <c r="P310" s="42"/>
      <c r="Q310" s="43"/>
      <c r="R310" s="43"/>
      <c r="S310" s="43"/>
      <c r="T310" s="43"/>
      <c r="U310" s="43"/>
      <c r="V310" s="43"/>
    </row>
    <row r="311" spans="1:22" ht="21" customHeight="1" x14ac:dyDescent="0.15">
      <c r="A311" s="39"/>
      <c r="B311" s="39"/>
      <c r="C311" s="39"/>
      <c r="D311" s="39"/>
      <c r="E311" s="39"/>
      <c r="F311" s="39"/>
      <c r="G311" s="39"/>
      <c r="H311" s="39"/>
      <c r="I311" s="39"/>
      <c r="J311" s="39"/>
      <c r="K311" s="39"/>
      <c r="L311" s="39"/>
      <c r="M311" s="39"/>
      <c r="N311" s="39"/>
      <c r="O311" s="41"/>
      <c r="P311" s="42"/>
      <c r="Q311" s="43"/>
      <c r="R311" s="43"/>
      <c r="S311" s="43"/>
      <c r="T311" s="43"/>
      <c r="U311" s="43"/>
      <c r="V311" s="43"/>
    </row>
    <row r="312" spans="1:22" ht="21" customHeight="1" x14ac:dyDescent="0.15">
      <c r="A312" s="39"/>
      <c r="B312" s="39"/>
      <c r="C312" s="39"/>
      <c r="D312" s="39"/>
      <c r="E312" s="39"/>
      <c r="F312" s="39"/>
      <c r="G312" s="39"/>
      <c r="H312" s="39"/>
      <c r="I312" s="39"/>
      <c r="J312" s="39"/>
      <c r="K312" s="39"/>
      <c r="L312" s="39"/>
      <c r="M312" s="39"/>
      <c r="N312" s="39"/>
      <c r="O312" s="41"/>
      <c r="P312" s="42"/>
      <c r="Q312" s="43"/>
      <c r="R312" s="43"/>
      <c r="S312" s="43"/>
      <c r="T312" s="43"/>
      <c r="U312" s="43"/>
      <c r="V312" s="43"/>
    </row>
    <row r="313" spans="1:22" ht="21" customHeight="1" x14ac:dyDescent="0.15">
      <c r="A313" s="39"/>
      <c r="B313" s="39"/>
      <c r="C313" s="39"/>
      <c r="D313" s="39"/>
      <c r="E313" s="39"/>
      <c r="F313" s="39"/>
      <c r="G313" s="39"/>
      <c r="H313" s="39"/>
      <c r="I313" s="39"/>
      <c r="J313" s="39"/>
      <c r="K313" s="39"/>
      <c r="L313" s="39"/>
      <c r="M313" s="39"/>
      <c r="N313" s="39"/>
      <c r="O313" s="41"/>
      <c r="P313" s="42"/>
      <c r="Q313" s="43"/>
      <c r="R313" s="43"/>
      <c r="S313" s="43"/>
      <c r="T313" s="43"/>
      <c r="U313" s="43"/>
      <c r="V313" s="43"/>
    </row>
    <row r="314" spans="1:22" ht="21" customHeight="1" x14ac:dyDescent="0.15">
      <c r="A314" s="39"/>
      <c r="B314" s="39"/>
      <c r="C314" s="39"/>
      <c r="D314" s="39"/>
      <c r="E314" s="39"/>
      <c r="F314" s="39"/>
      <c r="G314" s="39"/>
      <c r="H314" s="39"/>
      <c r="I314" s="39"/>
      <c r="J314" s="39"/>
      <c r="K314" s="39"/>
      <c r="L314" s="39"/>
      <c r="M314" s="39"/>
      <c r="N314" s="39"/>
      <c r="O314" s="41"/>
      <c r="P314" s="42"/>
      <c r="Q314" s="43"/>
      <c r="R314" s="43"/>
      <c r="S314" s="43"/>
      <c r="T314" s="43"/>
      <c r="U314" s="43"/>
      <c r="V314" s="43"/>
    </row>
    <row r="315" spans="1:22" ht="21" customHeight="1" x14ac:dyDescent="0.15">
      <c r="A315" s="39"/>
      <c r="B315" s="39"/>
      <c r="C315" s="39"/>
      <c r="D315" s="39"/>
      <c r="E315" s="39"/>
      <c r="F315" s="39"/>
      <c r="G315" s="39"/>
      <c r="H315" s="39"/>
      <c r="I315" s="39"/>
      <c r="J315" s="39"/>
      <c r="K315" s="39"/>
      <c r="L315" s="39"/>
      <c r="M315" s="39"/>
      <c r="N315" s="39"/>
      <c r="O315" s="41"/>
      <c r="P315" s="42"/>
      <c r="Q315" s="43"/>
      <c r="R315" s="43"/>
      <c r="S315" s="43"/>
      <c r="T315" s="43"/>
      <c r="U315" s="43"/>
      <c r="V315" s="43"/>
    </row>
    <row r="316" spans="1:22" ht="21" customHeight="1" x14ac:dyDescent="0.15">
      <c r="A316" s="39"/>
      <c r="B316" s="39"/>
      <c r="C316" s="39"/>
      <c r="D316" s="39"/>
      <c r="E316" s="39"/>
      <c r="F316" s="39"/>
      <c r="G316" s="39"/>
      <c r="H316" s="39"/>
      <c r="I316" s="39"/>
      <c r="J316" s="39"/>
      <c r="K316" s="39"/>
      <c r="L316" s="39"/>
      <c r="M316" s="39"/>
      <c r="N316" s="39"/>
      <c r="O316" s="41"/>
      <c r="P316" s="42"/>
      <c r="Q316" s="43"/>
      <c r="R316" s="43"/>
      <c r="S316" s="43"/>
      <c r="T316" s="43"/>
      <c r="U316" s="43"/>
      <c r="V316" s="43"/>
    </row>
    <row r="317" spans="1:22" ht="21" customHeight="1" x14ac:dyDescent="0.15">
      <c r="A317" s="39"/>
      <c r="B317" s="39"/>
      <c r="C317" s="39"/>
      <c r="D317" s="39"/>
      <c r="E317" s="39"/>
      <c r="F317" s="39"/>
      <c r="G317" s="39"/>
      <c r="H317" s="39"/>
      <c r="I317" s="39"/>
      <c r="J317" s="39"/>
      <c r="K317" s="39"/>
      <c r="L317" s="39"/>
      <c r="M317" s="39"/>
      <c r="N317" s="39"/>
      <c r="O317" s="41"/>
      <c r="P317" s="42"/>
      <c r="Q317" s="43"/>
      <c r="R317" s="43"/>
      <c r="S317" s="43"/>
      <c r="T317" s="43"/>
      <c r="U317" s="43"/>
      <c r="V317" s="43"/>
    </row>
    <row r="318" spans="1:22" ht="21" customHeight="1" x14ac:dyDescent="0.15">
      <c r="A318" s="39"/>
      <c r="B318" s="39"/>
      <c r="C318" s="39"/>
      <c r="D318" s="39"/>
      <c r="E318" s="39"/>
      <c r="F318" s="39"/>
      <c r="G318" s="39"/>
      <c r="H318" s="39"/>
      <c r="I318" s="39"/>
      <c r="J318" s="39"/>
      <c r="K318" s="39"/>
      <c r="L318" s="39"/>
      <c r="M318" s="39"/>
      <c r="N318" s="39"/>
      <c r="O318" s="41"/>
      <c r="P318" s="42"/>
      <c r="Q318" s="43"/>
      <c r="R318" s="43"/>
      <c r="S318" s="43"/>
      <c r="T318" s="43"/>
      <c r="U318" s="43"/>
      <c r="V318" s="43"/>
    </row>
    <row r="319" spans="1:22" ht="21" customHeight="1" x14ac:dyDescent="0.15">
      <c r="A319" s="39"/>
      <c r="B319" s="39"/>
      <c r="C319" s="39"/>
      <c r="D319" s="39"/>
      <c r="E319" s="39"/>
      <c r="F319" s="39"/>
      <c r="G319" s="39"/>
      <c r="H319" s="39"/>
      <c r="I319" s="39"/>
      <c r="J319" s="39"/>
      <c r="K319" s="39"/>
      <c r="L319" s="39"/>
      <c r="M319" s="39"/>
      <c r="N319" s="39"/>
      <c r="O319" s="41"/>
      <c r="P319" s="42"/>
      <c r="Q319" s="43"/>
      <c r="R319" s="43"/>
      <c r="S319" s="43"/>
      <c r="T319" s="43"/>
      <c r="U319" s="43"/>
      <c r="V319" s="43"/>
    </row>
    <row r="320" spans="1:22" ht="21" customHeight="1" x14ac:dyDescent="0.15">
      <c r="A320" s="39"/>
      <c r="B320" s="39"/>
      <c r="C320" s="39"/>
      <c r="D320" s="39"/>
      <c r="E320" s="39"/>
      <c r="F320" s="39"/>
      <c r="G320" s="39"/>
      <c r="H320" s="39"/>
      <c r="I320" s="39"/>
      <c r="J320" s="39"/>
      <c r="K320" s="39"/>
      <c r="L320" s="39"/>
      <c r="M320" s="39"/>
      <c r="N320" s="39"/>
      <c r="O320" s="41"/>
      <c r="P320" s="42"/>
      <c r="Q320" s="43"/>
      <c r="R320" s="43"/>
      <c r="S320" s="43"/>
      <c r="T320" s="43"/>
      <c r="U320" s="43"/>
      <c r="V320" s="43"/>
    </row>
    <row r="321" spans="1:22" ht="21" customHeight="1" x14ac:dyDescent="0.15">
      <c r="A321" s="39"/>
      <c r="B321" s="39"/>
      <c r="C321" s="39"/>
      <c r="D321" s="39"/>
      <c r="E321" s="39"/>
      <c r="F321" s="39"/>
      <c r="G321" s="39"/>
      <c r="H321" s="39"/>
      <c r="I321" s="39"/>
      <c r="J321" s="39"/>
      <c r="K321" s="39"/>
      <c r="L321" s="39"/>
      <c r="M321" s="39"/>
      <c r="N321" s="39"/>
      <c r="O321" s="41"/>
      <c r="P321" s="42"/>
      <c r="Q321" s="43"/>
      <c r="R321" s="43"/>
      <c r="S321" s="43"/>
      <c r="T321" s="43"/>
      <c r="U321" s="43"/>
      <c r="V321" s="43"/>
    </row>
    <row r="322" spans="1:22" ht="21" customHeight="1" x14ac:dyDescent="0.15">
      <c r="A322" s="39"/>
      <c r="B322" s="39"/>
      <c r="C322" s="39"/>
      <c r="D322" s="39"/>
      <c r="E322" s="39"/>
      <c r="F322" s="39"/>
      <c r="G322" s="39"/>
      <c r="H322" s="39"/>
      <c r="I322" s="39"/>
      <c r="J322" s="39"/>
      <c r="K322" s="39"/>
      <c r="L322" s="39"/>
      <c r="M322" s="39"/>
      <c r="N322" s="39"/>
      <c r="O322" s="41"/>
      <c r="P322" s="42"/>
      <c r="Q322" s="43"/>
      <c r="R322" s="43"/>
      <c r="S322" s="43"/>
      <c r="T322" s="43"/>
      <c r="U322" s="43"/>
      <c r="V322" s="43"/>
    </row>
    <row r="323" spans="1:22" ht="21" customHeight="1" x14ac:dyDescent="0.15">
      <c r="A323" s="39"/>
      <c r="B323" s="39"/>
      <c r="C323" s="39"/>
      <c r="D323" s="39"/>
      <c r="E323" s="39"/>
      <c r="F323" s="39"/>
      <c r="G323" s="39"/>
      <c r="H323" s="39"/>
      <c r="I323" s="39"/>
      <c r="J323" s="39"/>
      <c r="K323" s="39"/>
      <c r="L323" s="39"/>
      <c r="M323" s="39"/>
      <c r="N323" s="39"/>
      <c r="O323" s="41"/>
      <c r="P323" s="42"/>
      <c r="Q323" s="43"/>
      <c r="R323" s="43"/>
      <c r="S323" s="43"/>
      <c r="T323" s="43"/>
      <c r="U323" s="43"/>
      <c r="V323" s="43"/>
    </row>
    <row r="324" spans="1:22" ht="21" customHeight="1" x14ac:dyDescent="0.15">
      <c r="A324" s="39"/>
      <c r="B324" s="39"/>
      <c r="C324" s="39"/>
      <c r="D324" s="39"/>
      <c r="E324" s="39"/>
      <c r="F324" s="39"/>
      <c r="G324" s="39"/>
      <c r="H324" s="39"/>
      <c r="I324" s="39"/>
      <c r="J324" s="39"/>
      <c r="K324" s="39"/>
      <c r="L324" s="39"/>
      <c r="M324" s="39"/>
      <c r="N324" s="39"/>
      <c r="O324" s="41"/>
      <c r="P324" s="42"/>
      <c r="Q324" s="43"/>
      <c r="R324" s="43"/>
      <c r="S324" s="43"/>
      <c r="T324" s="43"/>
      <c r="U324" s="43"/>
      <c r="V324" s="43"/>
    </row>
    <row r="325" spans="1:22" ht="21" customHeight="1" x14ac:dyDescent="0.15">
      <c r="A325" s="39"/>
      <c r="B325" s="39"/>
      <c r="C325" s="39"/>
      <c r="D325" s="39"/>
      <c r="E325" s="39"/>
      <c r="F325" s="39"/>
      <c r="G325" s="39"/>
      <c r="H325" s="39"/>
      <c r="I325" s="39"/>
      <c r="J325" s="39"/>
      <c r="K325" s="39"/>
      <c r="L325" s="39"/>
      <c r="M325" s="39"/>
      <c r="N325" s="39"/>
      <c r="O325" s="41"/>
      <c r="P325" s="42"/>
      <c r="Q325" s="43"/>
      <c r="R325" s="43"/>
      <c r="S325" s="43"/>
      <c r="T325" s="43"/>
      <c r="U325" s="43"/>
      <c r="V325" s="43"/>
    </row>
    <row r="326" spans="1:22" ht="21" customHeight="1" x14ac:dyDescent="0.15">
      <c r="A326" s="39"/>
      <c r="B326" s="39"/>
      <c r="C326" s="39"/>
      <c r="D326" s="39"/>
      <c r="E326" s="39"/>
      <c r="F326" s="39"/>
      <c r="G326" s="39"/>
      <c r="H326" s="39"/>
      <c r="I326" s="39"/>
      <c r="J326" s="39"/>
      <c r="K326" s="39"/>
      <c r="L326" s="39"/>
      <c r="M326" s="39"/>
      <c r="N326" s="39"/>
      <c r="O326" s="41"/>
      <c r="P326" s="42"/>
      <c r="Q326" s="43"/>
      <c r="R326" s="43"/>
      <c r="S326" s="43"/>
      <c r="T326" s="43"/>
      <c r="U326" s="43"/>
      <c r="V326" s="43"/>
    </row>
    <row r="327" spans="1:22" ht="21" customHeight="1" x14ac:dyDescent="0.15">
      <c r="A327" s="39"/>
      <c r="B327" s="39"/>
      <c r="C327" s="39"/>
      <c r="D327" s="39"/>
      <c r="E327" s="39"/>
      <c r="F327" s="39"/>
      <c r="G327" s="39"/>
      <c r="H327" s="39"/>
      <c r="I327" s="39"/>
      <c r="J327" s="39"/>
      <c r="K327" s="39"/>
      <c r="L327" s="39"/>
      <c r="M327" s="39"/>
      <c r="N327" s="39"/>
      <c r="O327" s="41"/>
      <c r="P327" s="42"/>
      <c r="Q327" s="43"/>
      <c r="R327" s="43"/>
      <c r="S327" s="43"/>
      <c r="T327" s="43"/>
      <c r="U327" s="43"/>
      <c r="V327" s="43"/>
    </row>
    <row r="328" spans="1:22" ht="21" customHeight="1" x14ac:dyDescent="0.15">
      <c r="A328" s="39"/>
      <c r="B328" s="39"/>
      <c r="C328" s="39"/>
      <c r="D328" s="39"/>
      <c r="E328" s="39"/>
      <c r="F328" s="39"/>
      <c r="G328" s="39"/>
      <c r="H328" s="39"/>
      <c r="I328" s="39"/>
      <c r="J328" s="39"/>
      <c r="K328" s="39"/>
      <c r="L328" s="39"/>
      <c r="M328" s="39"/>
      <c r="N328" s="39"/>
      <c r="O328" s="41"/>
      <c r="P328" s="42"/>
      <c r="Q328" s="43"/>
      <c r="R328" s="43"/>
      <c r="S328" s="43"/>
      <c r="T328" s="43"/>
      <c r="U328" s="43"/>
      <c r="V328" s="43"/>
    </row>
    <row r="329" spans="1:22" ht="21" customHeight="1" x14ac:dyDescent="0.15">
      <c r="A329" s="39"/>
      <c r="B329" s="39"/>
      <c r="C329" s="39"/>
      <c r="D329" s="39"/>
      <c r="E329" s="39"/>
      <c r="F329" s="39"/>
      <c r="G329" s="39"/>
      <c r="H329" s="39"/>
      <c r="I329" s="39"/>
      <c r="J329" s="39"/>
      <c r="K329" s="39"/>
      <c r="L329" s="39"/>
      <c r="M329" s="39"/>
      <c r="N329" s="39"/>
      <c r="O329" s="41"/>
      <c r="P329" s="42"/>
      <c r="Q329" s="43"/>
      <c r="R329" s="43"/>
      <c r="S329" s="43"/>
      <c r="T329" s="43"/>
      <c r="U329" s="43"/>
      <c r="V329" s="43"/>
    </row>
    <row r="330" spans="1:22" ht="21" customHeight="1" x14ac:dyDescent="0.15">
      <c r="A330" s="39"/>
      <c r="B330" s="39"/>
      <c r="C330" s="39"/>
      <c r="D330" s="39"/>
      <c r="E330" s="39"/>
      <c r="F330" s="39"/>
      <c r="G330" s="39"/>
      <c r="H330" s="39"/>
      <c r="I330" s="39"/>
      <c r="J330" s="39"/>
      <c r="K330" s="39"/>
      <c r="L330" s="39"/>
      <c r="M330" s="39"/>
      <c r="N330" s="39"/>
      <c r="O330" s="41"/>
      <c r="P330" s="42"/>
      <c r="Q330" s="43"/>
      <c r="R330" s="43"/>
      <c r="S330" s="43"/>
      <c r="T330" s="43"/>
      <c r="U330" s="43"/>
      <c r="V330" s="43"/>
    </row>
    <row r="331" spans="1:22" ht="21" customHeight="1" x14ac:dyDescent="0.15">
      <c r="A331" s="39"/>
      <c r="B331" s="39"/>
      <c r="C331" s="39"/>
      <c r="D331" s="39"/>
      <c r="E331" s="39"/>
      <c r="F331" s="39"/>
      <c r="G331" s="39"/>
      <c r="H331" s="39"/>
      <c r="I331" s="39"/>
      <c r="J331" s="39"/>
      <c r="K331" s="39"/>
      <c r="L331" s="39"/>
      <c r="M331" s="39"/>
      <c r="N331" s="39"/>
      <c r="O331" s="41"/>
      <c r="P331" s="42"/>
      <c r="Q331" s="43"/>
      <c r="R331" s="43"/>
      <c r="S331" s="43"/>
      <c r="T331" s="43"/>
      <c r="U331" s="43"/>
      <c r="V331" s="43"/>
    </row>
    <row r="332" spans="1:22" ht="21" customHeight="1" x14ac:dyDescent="0.15">
      <c r="A332" s="39"/>
      <c r="B332" s="39"/>
      <c r="C332" s="39"/>
      <c r="D332" s="39"/>
      <c r="E332" s="39"/>
      <c r="F332" s="39"/>
      <c r="G332" s="39"/>
      <c r="H332" s="39"/>
      <c r="I332" s="39"/>
      <c r="J332" s="39"/>
      <c r="K332" s="39"/>
      <c r="L332" s="39"/>
      <c r="M332" s="39"/>
      <c r="N332" s="39"/>
      <c r="O332" s="41"/>
      <c r="P332" s="42"/>
      <c r="Q332" s="43"/>
      <c r="R332" s="43"/>
      <c r="S332" s="43"/>
      <c r="T332" s="43"/>
      <c r="U332" s="43"/>
      <c r="V332" s="43"/>
    </row>
    <row r="333" spans="1:22" ht="21" customHeight="1" x14ac:dyDescent="0.15">
      <c r="A333" s="39"/>
      <c r="B333" s="39"/>
      <c r="C333" s="39"/>
      <c r="D333" s="39"/>
      <c r="E333" s="39"/>
      <c r="F333" s="39"/>
      <c r="G333" s="39"/>
      <c r="H333" s="39"/>
      <c r="I333" s="39"/>
      <c r="J333" s="39"/>
      <c r="K333" s="39"/>
      <c r="L333" s="39"/>
      <c r="M333" s="39"/>
      <c r="N333" s="39"/>
      <c r="O333" s="41"/>
      <c r="P333" s="42"/>
      <c r="Q333" s="43"/>
      <c r="R333" s="43"/>
      <c r="S333" s="43"/>
      <c r="T333" s="43"/>
      <c r="U333" s="43"/>
      <c r="V333" s="43"/>
    </row>
    <row r="334" spans="1:22" ht="21" customHeight="1" x14ac:dyDescent="0.15">
      <c r="A334" s="39"/>
      <c r="B334" s="39"/>
      <c r="C334" s="39"/>
      <c r="D334" s="39"/>
      <c r="E334" s="39"/>
      <c r="F334" s="39"/>
      <c r="G334" s="39"/>
      <c r="H334" s="39"/>
      <c r="I334" s="39"/>
      <c r="J334" s="39"/>
      <c r="K334" s="39"/>
      <c r="L334" s="39"/>
      <c r="M334" s="39"/>
      <c r="N334" s="39"/>
      <c r="O334" s="41"/>
      <c r="P334" s="42"/>
      <c r="Q334" s="43"/>
      <c r="R334" s="43"/>
      <c r="S334" s="43"/>
      <c r="T334" s="43"/>
      <c r="U334" s="43"/>
      <c r="V334" s="43"/>
    </row>
    <row r="335" spans="1:22" ht="21" customHeight="1" x14ac:dyDescent="0.15">
      <c r="A335" s="39"/>
      <c r="B335" s="39"/>
      <c r="C335" s="39"/>
      <c r="D335" s="39"/>
      <c r="E335" s="39"/>
      <c r="F335" s="39"/>
      <c r="G335" s="39"/>
      <c r="H335" s="39"/>
      <c r="I335" s="39"/>
      <c r="J335" s="39"/>
      <c r="K335" s="39"/>
      <c r="L335" s="39"/>
      <c r="M335" s="39"/>
      <c r="N335" s="39"/>
      <c r="O335" s="41"/>
      <c r="P335" s="42"/>
      <c r="Q335" s="43"/>
      <c r="R335" s="43"/>
      <c r="S335" s="43"/>
      <c r="T335" s="43"/>
      <c r="U335" s="43"/>
      <c r="V335" s="43"/>
    </row>
  </sheetData>
  <phoneticPr fontId="10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6" enableFormatConditionsCalculation="0">
    <tabColor rgb="FF0000FF"/>
    <outlinePr summaryBelow="0" summaryRight="0"/>
  </sheetPr>
  <dimension ref="A1:AJ334"/>
  <sheetViews>
    <sheetView showGridLines="0" workbookViewId="0">
      <pane ySplit="1" topLeftCell="A2" activePane="bottomLeft" state="frozen"/>
      <selection activeCell="E6" sqref="E6"/>
      <selection pane="bottomLeft" activeCell="B2" sqref="B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22" width="13" style="1"/>
    <col min="23" max="36" width="13" style="45"/>
    <col min="37" max="16384" width="13" style="1"/>
  </cols>
  <sheetData>
    <row r="1" spans="1:22" ht="21" customHeight="1" x14ac:dyDescent="0.15">
      <c r="A1" s="13" t="s">
        <v>108</v>
      </c>
      <c r="B1" s="14" t="s">
        <v>109</v>
      </c>
      <c r="C1" s="3" t="s">
        <v>9</v>
      </c>
      <c r="D1" s="3" t="s">
        <v>110</v>
      </c>
      <c r="E1" s="3" t="s">
        <v>106</v>
      </c>
      <c r="F1" s="3" t="s">
        <v>107</v>
      </c>
      <c r="G1" s="3" t="s">
        <v>111</v>
      </c>
      <c r="H1" s="3" t="s">
        <v>112</v>
      </c>
      <c r="I1" s="3" t="s">
        <v>113</v>
      </c>
      <c r="J1" s="3" t="s">
        <v>114</v>
      </c>
      <c r="K1" s="3" t="s">
        <v>115</v>
      </c>
      <c r="L1" s="3" t="s">
        <v>116</v>
      </c>
      <c r="M1" s="3" t="s">
        <v>117</v>
      </c>
      <c r="N1" s="3" t="s">
        <v>20</v>
      </c>
      <c r="O1" s="14" t="s">
        <v>118</v>
      </c>
      <c r="P1" s="3" t="s">
        <v>22</v>
      </c>
      <c r="Q1" s="14" t="s">
        <v>119</v>
      </c>
      <c r="R1" s="21" t="s">
        <v>4</v>
      </c>
      <c r="S1" s="21" t="s">
        <v>5</v>
      </c>
      <c r="T1" s="21" t="s">
        <v>6</v>
      </c>
      <c r="U1" s="21" t="s">
        <v>7</v>
      </c>
      <c r="V1" s="21" t="s">
        <v>8</v>
      </c>
    </row>
    <row r="2" spans="1:22" ht="21" customHeight="1" x14ac:dyDescent="0.15">
      <c r="A2" s="2">
        <v>7121103</v>
      </c>
      <c r="B2" s="6">
        <v>466</v>
      </c>
      <c r="C2" s="7" t="str">
        <f t="shared" ref="C2:C5" si="0">D2&amp;J2&amp;E2&amp;F2&amp;G2</f>
        <v>PremiumSS5</v>
      </c>
      <c r="D2" s="7" t="str">
        <f>IF(OR(I2="PremiumSS",I2="PremiumSSw"),"PremiumSS",IF(I2="PremiumSSS",I2,IF(I2="PremiumW",IF(J2=5,"premium",I2),"Premium")))</f>
        <v>PremiumSS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真断の勇覇 ランスロット</v>
      </c>
      <c r="I2" s="7" t="str">
        <f>VLOOKUP(B2,[1]characters!$A:$J,10,FALSE)</f>
        <v>PremiumSS</v>
      </c>
      <c r="J2" s="7">
        <f>VLOOKUP(B2,[1]characters!$A:$I,9,FALSE)</f>
        <v>5</v>
      </c>
      <c r="K2" s="7" t="str">
        <f>VLOOKUP(B2,[1]characters!$A:$H,8,FALSE)</f>
        <v>green</v>
      </c>
      <c r="L2" s="7" t="str">
        <f>VLOOKUP(B2,[1]characters!$A:$K,11,FALSE)</f>
        <v>balance</v>
      </c>
      <c r="M2" s="7" t="str">
        <f>VLOOKUP(B2,[1]characters!$A:$M,13,FALSE)</f>
        <v>human</v>
      </c>
      <c r="N2" s="7" t="str">
        <f>VLOOKUP(B2,[1]characters!$A:$G,7,FALSE)</f>
        <v>男性</v>
      </c>
      <c r="O2" s="7">
        <v>10</v>
      </c>
      <c r="P2" s="27">
        <f t="shared" ref="P2:P5" si="1">O2/SUM(O:O)</f>
        <v>0.25</v>
      </c>
      <c r="Q2" s="22">
        <v>1</v>
      </c>
      <c r="R2" s="22">
        <v>0</v>
      </c>
      <c r="S2" s="22">
        <v>0</v>
      </c>
      <c r="T2" s="22">
        <v>0</v>
      </c>
      <c r="U2" s="22">
        <v>0</v>
      </c>
      <c r="V2" s="22">
        <v>1</v>
      </c>
    </row>
    <row r="3" spans="1:22" ht="21" customHeight="1" x14ac:dyDescent="0.15">
      <c r="A3" s="2">
        <v>7121103</v>
      </c>
      <c r="B3" s="6">
        <v>1102</v>
      </c>
      <c r="C3" s="7" t="str">
        <f t="shared" si="0"/>
        <v>PremiumSS5R5only</v>
      </c>
      <c r="D3" s="7" t="str">
        <f t="shared" ref="D3:D5" si="2">IF(OR(I3="PremiumSS",I3="PremiumSSw"),"PremiumSS",IF(I3="PremiumSSS",I3,IF(I3="PremiumW",IF(J3=5,"premium",I3),"Premium")))</f>
        <v>PremiumSS</v>
      </c>
      <c r="E3" s="7" t="str">
        <f>IF(COUNTIF('R6追加前'!A:A,B3)=0,IF(OR(I3="PremiumSS",I3="PremiumSSw"),"R5only","R3less"),"")</f>
        <v>R5only</v>
      </c>
      <c r="F3" s="7" t="str">
        <f>IF(COUNTIF('R6開放'!A:A,B3)&gt;0,"R6release","")</f>
        <v/>
      </c>
      <c r="G3" s="7"/>
      <c r="H3" s="7" t="str">
        <f>VLOOKUP(B3,[1]characters!$A:$C,3,FALSE)</f>
        <v>ドガ</v>
      </c>
      <c r="I3" s="7" t="str">
        <f>VLOOKUP(B3,[1]characters!$A:$J,10,FALSE)</f>
        <v>PremiumSSW</v>
      </c>
      <c r="J3" s="7">
        <f>VLOOKUP(B3,[1]characters!$A:$I,9,FALSE)</f>
        <v>5</v>
      </c>
      <c r="K3" s="7" t="str">
        <f>VLOOKUP(B3,[1]characters!$A:$H,8,FALSE)</f>
        <v>green</v>
      </c>
      <c r="L3" s="7" t="str">
        <f>VLOOKUP(B3,[1]characters!$A:$K,11,FALSE)</f>
        <v>balance</v>
      </c>
      <c r="M3" s="7" t="str">
        <f>VLOOKUP(B3,[1]characters!$A:$M,13,FALSE)</f>
        <v>animal</v>
      </c>
      <c r="N3" s="7" t="str">
        <f>VLOOKUP(B3,[1]characters!$A:$G,7,FALSE)</f>
        <v>不明</v>
      </c>
      <c r="O3" s="7">
        <v>10</v>
      </c>
      <c r="P3" s="27">
        <f t="shared" si="1"/>
        <v>0.25</v>
      </c>
      <c r="Q3" s="22">
        <v>1</v>
      </c>
      <c r="R3" s="22">
        <v>0</v>
      </c>
      <c r="S3" s="22">
        <v>0</v>
      </c>
      <c r="T3" s="22">
        <v>0</v>
      </c>
      <c r="U3" s="22">
        <v>0</v>
      </c>
      <c r="V3" s="22">
        <v>1</v>
      </c>
    </row>
    <row r="4" spans="1:22" ht="21" customHeight="1" x14ac:dyDescent="0.15">
      <c r="A4" s="2">
        <v>7121103</v>
      </c>
      <c r="B4" s="6">
        <v>1028</v>
      </c>
      <c r="C4" s="7" t="str">
        <f t="shared" si="0"/>
        <v>PremiumSS5R5only</v>
      </c>
      <c r="D4" s="7" t="str">
        <f t="shared" si="2"/>
        <v>PremiumSS</v>
      </c>
      <c r="E4" s="7" t="str">
        <f>IF(COUNTIF('R6追加前'!A:A,B4)=0,IF(OR(I4="PremiumSS",I4="PremiumSSw"),"R5only","R3less"),"")</f>
        <v>R5only</v>
      </c>
      <c r="F4" s="7" t="str">
        <f>IF(COUNTIF('R6開放'!A:A,B4)&gt;0,"R6release","")</f>
        <v/>
      </c>
      <c r="G4" s="7"/>
      <c r="H4" s="7" t="str">
        <f>VLOOKUP(B4,[1]characters!$A:$C,3,FALSE)</f>
        <v>牛若丸</v>
      </c>
      <c r="I4" s="7" t="str">
        <f>VLOOKUP(B4,[1]characters!$A:$J,10,FALSE)</f>
        <v>PremiumSS</v>
      </c>
      <c r="J4" s="7">
        <f>VLOOKUP(B4,[1]characters!$A:$I,9,FALSE)</f>
        <v>5</v>
      </c>
      <c r="K4" s="7" t="str">
        <f>VLOOKUP(B4,[1]characters!$A:$H,8,FALSE)</f>
        <v>green</v>
      </c>
      <c r="L4" s="7" t="str">
        <f>VLOOKUP(B4,[1]characters!$A:$K,11,FALSE)</f>
        <v>balance</v>
      </c>
      <c r="M4" s="7" t="str">
        <f>VLOOKUP(B4,[1]characters!$A:$M,13,FALSE)</f>
        <v>human</v>
      </c>
      <c r="N4" s="7" t="str">
        <f>VLOOKUP(B4,[1]characters!$A:$G,7,FALSE)</f>
        <v>男性</v>
      </c>
      <c r="O4" s="7">
        <v>10</v>
      </c>
      <c r="P4" s="27">
        <f t="shared" si="1"/>
        <v>0.25</v>
      </c>
      <c r="Q4" s="22">
        <v>1</v>
      </c>
      <c r="R4" s="22">
        <v>0</v>
      </c>
      <c r="S4" s="22">
        <v>0</v>
      </c>
      <c r="T4" s="22">
        <v>0</v>
      </c>
      <c r="U4" s="22">
        <v>0</v>
      </c>
      <c r="V4" s="22">
        <v>1</v>
      </c>
    </row>
    <row r="5" spans="1:22" ht="21" customHeight="1" x14ac:dyDescent="0.15">
      <c r="A5" s="2">
        <v>7121103</v>
      </c>
      <c r="B5" s="6">
        <v>773</v>
      </c>
      <c r="C5" s="7" t="str">
        <f t="shared" si="0"/>
        <v>PremiumSS5</v>
      </c>
      <c r="D5" s="7" t="str">
        <f t="shared" si="2"/>
        <v>PremiumSS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浮跳天兎 イナバ</v>
      </c>
      <c r="I5" s="7" t="str">
        <f>VLOOKUP(B5,[1]characters!$A:$J,10,FALSE)</f>
        <v>PremiumSS</v>
      </c>
      <c r="J5" s="7">
        <f>VLOOKUP(B5,[1]characters!$A:$I,9,FALSE)</f>
        <v>5</v>
      </c>
      <c r="K5" s="7" t="str">
        <f>VLOOKUP(B5,[1]characters!$A:$H,8,FALSE)</f>
        <v>green</v>
      </c>
      <c r="L5" s="7" t="str">
        <f>VLOOKUP(B5,[1]characters!$A:$K,11,FALSE)</f>
        <v>balance</v>
      </c>
      <c r="M5" s="7" t="str">
        <f>VLOOKUP(B5,[1]characters!$A:$M,13,FALSE)</f>
        <v>animal</v>
      </c>
      <c r="N5" s="7" t="str">
        <f>VLOOKUP(B5,[1]characters!$A:$G,7,FALSE)</f>
        <v>女性</v>
      </c>
      <c r="O5" s="7">
        <v>10</v>
      </c>
      <c r="P5" s="27">
        <f t="shared" si="1"/>
        <v>0.25</v>
      </c>
      <c r="Q5" s="22">
        <v>1</v>
      </c>
      <c r="R5" s="22">
        <v>0</v>
      </c>
      <c r="S5" s="22">
        <v>0</v>
      </c>
      <c r="T5" s="22">
        <v>0</v>
      </c>
      <c r="U5" s="22">
        <v>0</v>
      </c>
      <c r="V5" s="22">
        <v>1</v>
      </c>
    </row>
    <row r="6" spans="1:22" ht="21" customHeight="1" x14ac:dyDescent="0.15">
      <c r="A6" s="2"/>
      <c r="B6" s="6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27"/>
      <c r="Q6" s="22"/>
      <c r="R6" s="22"/>
      <c r="S6" s="22"/>
      <c r="T6" s="22"/>
      <c r="U6" s="22"/>
      <c r="V6" s="22"/>
    </row>
    <row r="7" spans="1:22" ht="21" customHeight="1" x14ac:dyDescent="0.15">
      <c r="A7" s="2"/>
      <c r="B7" s="6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27"/>
      <c r="Q7" s="22"/>
      <c r="R7" s="22"/>
      <c r="S7" s="22"/>
      <c r="T7" s="22"/>
      <c r="U7" s="22"/>
      <c r="V7" s="22"/>
    </row>
    <row r="8" spans="1:22" ht="21" customHeight="1" x14ac:dyDescent="0.15">
      <c r="A8" s="2"/>
      <c r="B8" s="6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27"/>
      <c r="Q8" s="22"/>
      <c r="R8" s="22"/>
      <c r="S8" s="22"/>
      <c r="T8" s="22"/>
      <c r="U8" s="22"/>
      <c r="V8" s="22"/>
    </row>
    <row r="9" spans="1:22" ht="21" customHeight="1" x14ac:dyDescent="0.15">
      <c r="A9" s="2"/>
      <c r="B9" s="6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27"/>
      <c r="Q9" s="22"/>
      <c r="R9" s="22"/>
      <c r="S9" s="22"/>
      <c r="T9" s="22"/>
      <c r="U9" s="22"/>
      <c r="V9" s="22"/>
    </row>
    <row r="10" spans="1:22" ht="21" customHeight="1" x14ac:dyDescent="0.15">
      <c r="A10" s="2"/>
      <c r="B10" s="6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27"/>
      <c r="Q10" s="22"/>
      <c r="R10" s="22"/>
      <c r="S10" s="22"/>
      <c r="T10" s="22"/>
      <c r="U10" s="22"/>
      <c r="V10" s="22"/>
    </row>
    <row r="11" spans="1:22" ht="21" customHeight="1" x14ac:dyDescent="0.15">
      <c r="A11" s="2"/>
      <c r="B11" s="6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27"/>
      <c r="Q11" s="22"/>
      <c r="R11" s="22"/>
      <c r="S11" s="22"/>
      <c r="T11" s="22"/>
      <c r="U11" s="22"/>
      <c r="V11" s="22"/>
    </row>
    <row r="12" spans="1:22" ht="21" customHeight="1" x14ac:dyDescent="0.15">
      <c r="A12" s="2"/>
      <c r="B12" s="8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27"/>
      <c r="Q12" s="22"/>
      <c r="R12" s="22"/>
      <c r="S12" s="22"/>
      <c r="T12" s="22"/>
      <c r="U12" s="22"/>
      <c r="V12" s="22"/>
    </row>
    <row r="13" spans="1:22" ht="21" customHeight="1" x14ac:dyDescent="0.15">
      <c r="A13" s="2"/>
      <c r="B13" s="8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27"/>
      <c r="Q13" s="22"/>
      <c r="R13" s="22"/>
      <c r="S13" s="22"/>
      <c r="T13" s="22"/>
      <c r="U13" s="22"/>
      <c r="V13" s="22"/>
    </row>
    <row r="14" spans="1:22" ht="21" customHeight="1" x14ac:dyDescent="0.15">
      <c r="A14" s="2"/>
      <c r="B14" s="6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27"/>
      <c r="Q14" s="22"/>
      <c r="R14" s="22"/>
      <c r="S14" s="22"/>
      <c r="T14" s="22"/>
      <c r="U14" s="22"/>
      <c r="V14" s="22"/>
    </row>
    <row r="15" spans="1:22" ht="21" customHeight="1" x14ac:dyDescent="0.15">
      <c r="A15" s="2"/>
      <c r="B15" s="6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27"/>
      <c r="Q15" s="22"/>
      <c r="R15" s="22"/>
      <c r="S15" s="22"/>
      <c r="T15" s="22"/>
      <c r="U15" s="22"/>
      <c r="V15" s="22"/>
    </row>
    <row r="16" spans="1:22" ht="21" customHeight="1" x14ac:dyDescent="0.15">
      <c r="A16" s="2"/>
      <c r="B16" s="6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27"/>
      <c r="Q16" s="22"/>
      <c r="R16" s="22"/>
      <c r="S16" s="22"/>
      <c r="T16" s="22"/>
      <c r="U16" s="22"/>
      <c r="V16" s="22"/>
    </row>
    <row r="17" spans="1:36" ht="21" customHeight="1" x14ac:dyDescent="0.15">
      <c r="A17" s="2"/>
      <c r="B17" s="6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27"/>
      <c r="Q17" s="22"/>
      <c r="R17" s="22"/>
      <c r="S17" s="22"/>
      <c r="T17" s="22"/>
      <c r="U17" s="22"/>
      <c r="V17" s="22"/>
    </row>
    <row r="18" spans="1:36" ht="21" customHeight="1" x14ac:dyDescent="0.15">
      <c r="A18" s="2"/>
      <c r="B18" s="6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27"/>
      <c r="Q18" s="22"/>
      <c r="R18" s="22"/>
      <c r="S18" s="22"/>
      <c r="T18" s="22"/>
      <c r="U18" s="22"/>
      <c r="V18" s="22"/>
    </row>
    <row r="19" spans="1:36" s="12" customFormat="1" ht="21" customHeight="1" thickBot="1" x14ac:dyDescent="0.2">
      <c r="A19" s="2"/>
      <c r="B19" s="6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27"/>
      <c r="Q19" s="22"/>
      <c r="R19" s="22"/>
      <c r="S19" s="22"/>
      <c r="T19" s="22"/>
      <c r="U19" s="22"/>
      <c r="V19" s="22"/>
      <c r="W19" s="45"/>
      <c r="X19" s="45"/>
      <c r="Y19" s="45"/>
      <c r="Z19" s="45"/>
      <c r="AA19" s="45"/>
      <c r="AB19" s="45"/>
      <c r="AC19" s="45"/>
      <c r="AD19" s="45"/>
      <c r="AE19" s="45"/>
      <c r="AF19" s="45"/>
      <c r="AG19" s="45"/>
      <c r="AH19" s="45"/>
      <c r="AI19" s="45"/>
      <c r="AJ19" s="45"/>
    </row>
    <row r="20" spans="1:36" ht="21" customHeight="1" x14ac:dyDescent="0.15">
      <c r="A20" s="2"/>
      <c r="B20" s="6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27"/>
      <c r="Q20" s="22"/>
      <c r="R20" s="22"/>
      <c r="S20" s="22"/>
      <c r="T20" s="22"/>
      <c r="U20" s="22"/>
      <c r="V20" s="22"/>
    </row>
    <row r="21" spans="1:36" ht="21" customHeight="1" x14ac:dyDescent="0.15">
      <c r="A21" s="2"/>
      <c r="B21" s="6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27"/>
      <c r="Q21" s="22"/>
      <c r="R21" s="22"/>
      <c r="S21" s="22"/>
      <c r="T21" s="22"/>
      <c r="U21" s="22"/>
      <c r="V21" s="22"/>
    </row>
    <row r="22" spans="1:36" ht="21" customHeight="1" x14ac:dyDescent="0.15">
      <c r="A22" s="2"/>
      <c r="B22" s="6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27"/>
      <c r="Q22" s="22"/>
      <c r="R22" s="22"/>
      <c r="S22" s="22"/>
      <c r="T22" s="22"/>
      <c r="U22" s="22"/>
      <c r="V22" s="22"/>
    </row>
    <row r="23" spans="1:36" ht="21" customHeight="1" x14ac:dyDescent="0.15">
      <c r="A23" s="2"/>
      <c r="B23" s="6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27"/>
      <c r="Q23" s="22"/>
      <c r="R23" s="22"/>
      <c r="S23" s="22"/>
      <c r="T23" s="22"/>
      <c r="U23" s="22"/>
      <c r="V23" s="22"/>
    </row>
    <row r="24" spans="1:36" ht="21" customHeight="1" x14ac:dyDescent="0.15">
      <c r="A24" s="2"/>
      <c r="B24" s="6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27"/>
      <c r="Q24" s="22"/>
      <c r="R24" s="22"/>
      <c r="S24" s="22"/>
      <c r="T24" s="22"/>
      <c r="U24" s="22"/>
      <c r="V24" s="22"/>
    </row>
    <row r="25" spans="1:36" ht="21" customHeight="1" x14ac:dyDescent="0.15">
      <c r="A25" s="2"/>
      <c r="B25" s="6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27"/>
      <c r="Q25" s="22"/>
      <c r="R25" s="22"/>
      <c r="S25" s="22"/>
      <c r="T25" s="22"/>
      <c r="U25" s="22"/>
      <c r="V25" s="22"/>
    </row>
    <row r="26" spans="1:36" ht="21" customHeight="1" x14ac:dyDescent="0.15">
      <c r="A26" s="2"/>
      <c r="B26" s="6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27"/>
      <c r="Q26" s="22"/>
      <c r="R26" s="22"/>
      <c r="S26" s="22"/>
      <c r="T26" s="22"/>
      <c r="U26" s="22"/>
      <c r="V26" s="22"/>
    </row>
    <row r="27" spans="1:36" ht="21" customHeight="1" x14ac:dyDescent="0.15">
      <c r="A27" s="2"/>
      <c r="B27" s="6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27"/>
      <c r="Q27" s="22"/>
      <c r="R27" s="22"/>
      <c r="S27" s="22"/>
      <c r="T27" s="22"/>
      <c r="U27" s="22"/>
      <c r="V27" s="22"/>
    </row>
    <row r="28" spans="1:36" ht="21" customHeight="1" x14ac:dyDescent="0.15">
      <c r="A28" s="2"/>
      <c r="B28" s="6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27"/>
      <c r="Q28" s="22"/>
      <c r="R28" s="22"/>
      <c r="S28" s="22"/>
      <c r="T28" s="22"/>
      <c r="U28" s="22"/>
      <c r="V28" s="22"/>
    </row>
    <row r="29" spans="1:36" ht="21" customHeight="1" x14ac:dyDescent="0.15">
      <c r="A29" s="2"/>
      <c r="B29" s="6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27"/>
      <c r="Q29" s="22"/>
      <c r="R29" s="22"/>
      <c r="S29" s="22"/>
      <c r="T29" s="22"/>
      <c r="U29" s="22"/>
      <c r="V29" s="22"/>
    </row>
    <row r="30" spans="1:36" ht="21" customHeight="1" x14ac:dyDescent="0.15">
      <c r="A30" s="2"/>
      <c r="B30" s="6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27"/>
      <c r="Q30" s="22"/>
      <c r="R30" s="22"/>
      <c r="S30" s="22"/>
      <c r="T30" s="22"/>
      <c r="U30" s="22"/>
      <c r="V30" s="22"/>
    </row>
    <row r="31" spans="1:36" ht="21" customHeight="1" x14ac:dyDescent="0.15">
      <c r="A31" s="2"/>
      <c r="B31" s="6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27"/>
      <c r="Q31" s="22"/>
      <c r="R31" s="22"/>
      <c r="S31" s="22"/>
      <c r="T31" s="22"/>
      <c r="U31" s="22"/>
      <c r="V31" s="22"/>
    </row>
    <row r="32" spans="1:36" ht="21" customHeight="1" x14ac:dyDescent="0.15">
      <c r="A32" s="2"/>
      <c r="B32" s="6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27"/>
      <c r="Q32" s="22"/>
      <c r="R32" s="22"/>
      <c r="S32" s="22"/>
      <c r="T32" s="22"/>
      <c r="U32" s="22"/>
      <c r="V32" s="22"/>
    </row>
    <row r="33" spans="1:22" ht="21" customHeight="1" x14ac:dyDescent="0.15">
      <c r="A33" s="2"/>
      <c r="B33" s="6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27"/>
      <c r="Q33" s="22"/>
      <c r="R33" s="22"/>
      <c r="S33" s="22"/>
      <c r="T33" s="22"/>
      <c r="U33" s="22"/>
      <c r="V33" s="22"/>
    </row>
    <row r="34" spans="1:22" ht="21" customHeight="1" x14ac:dyDescent="0.15">
      <c r="A34" s="2"/>
      <c r="B34" s="6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27"/>
      <c r="Q34" s="22"/>
      <c r="R34" s="22"/>
      <c r="S34" s="22"/>
      <c r="T34" s="22"/>
      <c r="U34" s="22"/>
      <c r="V34" s="22"/>
    </row>
    <row r="35" spans="1:22" ht="21" customHeight="1" x14ac:dyDescent="0.15">
      <c r="A35" s="2"/>
      <c r="B35" s="6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27"/>
      <c r="Q35" s="22"/>
      <c r="R35" s="22"/>
      <c r="S35" s="22"/>
      <c r="T35" s="22"/>
      <c r="U35" s="22"/>
      <c r="V35" s="22"/>
    </row>
    <row r="36" spans="1:22" s="45" customFormat="1" ht="21" customHeight="1" x14ac:dyDescent="0.15">
      <c r="A36" s="2"/>
      <c r="B36" s="6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26"/>
      <c r="P36" s="27"/>
      <c r="Q36" s="22"/>
      <c r="R36" s="22"/>
      <c r="S36" s="22"/>
      <c r="T36" s="22"/>
      <c r="U36" s="22"/>
      <c r="V36" s="22"/>
    </row>
    <row r="37" spans="1:22" s="45" customFormat="1" ht="21" customHeight="1" x14ac:dyDescent="0.15">
      <c r="A37" s="2"/>
      <c r="B37" s="6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26"/>
      <c r="P37" s="27"/>
      <c r="Q37" s="22"/>
      <c r="R37" s="22"/>
      <c r="S37" s="22"/>
      <c r="T37" s="22"/>
      <c r="U37" s="22"/>
      <c r="V37" s="22"/>
    </row>
    <row r="38" spans="1:22" s="45" customFormat="1" ht="21" customHeight="1" x14ac:dyDescent="0.15">
      <c r="A38" s="2"/>
      <c r="B38" s="6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26"/>
      <c r="P38" s="27"/>
      <c r="Q38" s="22"/>
      <c r="R38" s="22"/>
      <c r="S38" s="22"/>
      <c r="T38" s="22"/>
      <c r="U38" s="22"/>
      <c r="V38" s="22"/>
    </row>
    <row r="39" spans="1:22" s="45" customFormat="1" ht="21" customHeight="1" x14ac:dyDescent="0.15">
      <c r="A39" s="2"/>
      <c r="B39" s="6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26"/>
      <c r="P39" s="27"/>
      <c r="Q39" s="22"/>
      <c r="R39" s="22"/>
      <c r="S39" s="22"/>
      <c r="T39" s="22"/>
      <c r="U39" s="22"/>
      <c r="V39" s="22"/>
    </row>
    <row r="40" spans="1:22" s="45" customFormat="1" ht="21" customHeight="1" x14ac:dyDescent="0.15">
      <c r="A40" s="2"/>
      <c r="B40" s="6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26"/>
      <c r="P40" s="27"/>
      <c r="Q40" s="22"/>
      <c r="R40" s="22"/>
      <c r="S40" s="22"/>
      <c r="T40" s="22"/>
      <c r="U40" s="22"/>
      <c r="V40" s="22"/>
    </row>
    <row r="41" spans="1:22" s="45" customFormat="1" ht="21" customHeight="1" x14ac:dyDescent="0.15">
      <c r="A41" s="2"/>
      <c r="B41" s="6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26"/>
      <c r="P41" s="27"/>
      <c r="Q41" s="22"/>
      <c r="R41" s="22"/>
      <c r="S41" s="22"/>
      <c r="T41" s="22"/>
      <c r="U41" s="22"/>
      <c r="V41" s="22"/>
    </row>
    <row r="42" spans="1:22" s="45" customFormat="1" ht="21" customHeight="1" x14ac:dyDescent="0.15">
      <c r="A42" s="2"/>
      <c r="B42" s="6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26"/>
      <c r="P42" s="27"/>
      <c r="Q42" s="22"/>
      <c r="R42" s="22"/>
      <c r="S42" s="22"/>
      <c r="T42" s="22"/>
      <c r="U42" s="22"/>
      <c r="V42" s="22"/>
    </row>
    <row r="43" spans="1:22" s="45" customFormat="1" ht="21" customHeight="1" x14ac:dyDescent="0.15">
      <c r="A43" s="2"/>
      <c r="B43" s="6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26"/>
      <c r="P43" s="27"/>
      <c r="Q43" s="22"/>
      <c r="R43" s="22"/>
      <c r="S43" s="22"/>
      <c r="T43" s="22"/>
      <c r="U43" s="22"/>
      <c r="V43" s="22"/>
    </row>
    <row r="44" spans="1:22" s="45" customFormat="1" ht="21" customHeight="1" x14ac:dyDescent="0.15">
      <c r="A44" s="2"/>
      <c r="B44" s="6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26"/>
      <c r="P44" s="27"/>
      <c r="Q44" s="22"/>
      <c r="R44" s="22"/>
      <c r="S44" s="22"/>
      <c r="T44" s="22"/>
      <c r="U44" s="22"/>
      <c r="V44" s="22"/>
    </row>
    <row r="45" spans="1:22" s="45" customFormat="1" ht="21" customHeight="1" x14ac:dyDescent="0.15">
      <c r="A45" s="2"/>
      <c r="B45" s="6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26"/>
      <c r="P45" s="27"/>
      <c r="Q45" s="22"/>
      <c r="R45" s="22"/>
      <c r="S45" s="22"/>
      <c r="T45" s="22"/>
      <c r="U45" s="22"/>
      <c r="V45" s="22"/>
    </row>
    <row r="46" spans="1:22" s="45" customFormat="1" ht="21" customHeight="1" x14ac:dyDescent="0.15">
      <c r="A46" s="2"/>
      <c r="B46" s="6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26"/>
      <c r="P46" s="27"/>
      <c r="Q46" s="22"/>
      <c r="R46" s="22"/>
      <c r="S46" s="22"/>
      <c r="T46" s="22"/>
      <c r="U46" s="22"/>
      <c r="V46" s="22"/>
    </row>
    <row r="47" spans="1:22" s="45" customFormat="1" ht="21" customHeight="1" x14ac:dyDescent="0.15">
      <c r="A47" s="2"/>
      <c r="B47" s="6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26"/>
      <c r="P47" s="27"/>
      <c r="Q47" s="22"/>
      <c r="R47" s="22"/>
      <c r="S47" s="22"/>
      <c r="T47" s="22"/>
      <c r="U47" s="22"/>
      <c r="V47" s="22"/>
    </row>
    <row r="48" spans="1:22" s="45" customFormat="1" ht="21" customHeight="1" x14ac:dyDescent="0.15">
      <c r="A48" s="2"/>
      <c r="B48" s="6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26"/>
      <c r="P48" s="27"/>
      <c r="Q48" s="22"/>
      <c r="R48" s="22"/>
      <c r="S48" s="22"/>
      <c r="T48" s="22"/>
      <c r="U48" s="22"/>
      <c r="V48" s="22"/>
    </row>
    <row r="49" spans="1:22" s="45" customFormat="1" ht="21" customHeight="1" x14ac:dyDescent="0.15">
      <c r="A49" s="2"/>
      <c r="B49" s="6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26"/>
      <c r="P49" s="27"/>
      <c r="Q49" s="22"/>
      <c r="R49" s="22"/>
      <c r="S49" s="22"/>
      <c r="T49" s="22"/>
      <c r="U49" s="22"/>
      <c r="V49" s="22"/>
    </row>
    <row r="50" spans="1:22" s="45" customFormat="1" ht="21" customHeight="1" x14ac:dyDescent="0.15">
      <c r="A50" s="2"/>
      <c r="B50" s="6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26"/>
      <c r="P50" s="27"/>
      <c r="Q50" s="22"/>
      <c r="R50" s="22"/>
      <c r="S50" s="22"/>
      <c r="T50" s="22"/>
      <c r="U50" s="22"/>
      <c r="V50" s="22"/>
    </row>
    <row r="51" spans="1:22" s="45" customFormat="1" ht="21" customHeight="1" x14ac:dyDescent="0.15">
      <c r="A51" s="2"/>
      <c r="B51" s="6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26"/>
      <c r="P51" s="27"/>
      <c r="Q51" s="22"/>
      <c r="R51" s="22"/>
      <c r="S51" s="22"/>
      <c r="T51" s="22"/>
      <c r="U51" s="22"/>
      <c r="V51" s="22"/>
    </row>
    <row r="52" spans="1:22" s="45" customFormat="1" ht="21" customHeight="1" x14ac:dyDescent="0.15">
      <c r="A52" s="2"/>
      <c r="B52" s="6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26"/>
      <c r="P52" s="27"/>
      <c r="Q52" s="22"/>
      <c r="R52" s="22"/>
      <c r="S52" s="22"/>
      <c r="T52" s="22"/>
      <c r="U52" s="22"/>
      <c r="V52" s="22"/>
    </row>
    <row r="53" spans="1:22" s="45" customFormat="1" ht="21" customHeight="1" x14ac:dyDescent="0.15">
      <c r="A53" s="2"/>
      <c r="B53" s="6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26"/>
      <c r="P53" s="27"/>
      <c r="Q53" s="22"/>
      <c r="R53" s="22"/>
      <c r="S53" s="22"/>
      <c r="T53" s="22"/>
      <c r="U53" s="22"/>
      <c r="V53" s="22"/>
    </row>
    <row r="54" spans="1:22" s="45" customFormat="1" ht="21" customHeight="1" x14ac:dyDescent="0.15">
      <c r="A54" s="2"/>
      <c r="B54" s="6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26"/>
      <c r="P54" s="27"/>
      <c r="Q54" s="22"/>
      <c r="R54" s="22"/>
      <c r="S54" s="22"/>
      <c r="T54" s="22"/>
      <c r="U54" s="22"/>
      <c r="V54" s="22"/>
    </row>
    <row r="55" spans="1:22" s="45" customFormat="1" ht="21" customHeight="1" x14ac:dyDescent="0.15">
      <c r="A55" s="2"/>
      <c r="B55" s="6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26"/>
      <c r="P55" s="27"/>
      <c r="Q55" s="22"/>
      <c r="R55" s="22"/>
      <c r="S55" s="22"/>
      <c r="T55" s="22"/>
      <c r="U55" s="22"/>
      <c r="V55" s="22"/>
    </row>
    <row r="56" spans="1:22" s="45" customFormat="1" ht="21" customHeight="1" x14ac:dyDescent="0.15">
      <c r="A56" s="2"/>
      <c r="B56" s="6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26"/>
      <c r="P56" s="27"/>
      <c r="Q56" s="22"/>
      <c r="R56" s="22"/>
      <c r="S56" s="22"/>
      <c r="T56" s="22"/>
      <c r="U56" s="22"/>
      <c r="V56" s="22"/>
    </row>
    <row r="57" spans="1:22" s="45" customFormat="1" ht="21" customHeight="1" x14ac:dyDescent="0.15">
      <c r="A57" s="2"/>
      <c r="B57" s="6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26"/>
      <c r="P57" s="27"/>
      <c r="Q57" s="22"/>
      <c r="R57" s="22"/>
      <c r="S57" s="22"/>
      <c r="T57" s="22"/>
      <c r="U57" s="22"/>
      <c r="V57" s="22"/>
    </row>
    <row r="58" spans="1:22" s="45" customFormat="1" ht="21" customHeight="1" x14ac:dyDescent="0.15">
      <c r="A58" s="2"/>
      <c r="B58" s="6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26"/>
      <c r="P58" s="27"/>
      <c r="Q58" s="22"/>
      <c r="R58" s="22"/>
      <c r="S58" s="22"/>
      <c r="T58" s="22"/>
      <c r="U58" s="22"/>
      <c r="V58" s="22"/>
    </row>
    <row r="59" spans="1:22" s="45" customFormat="1" ht="21" customHeight="1" x14ac:dyDescent="0.15">
      <c r="A59" s="2"/>
      <c r="B59" s="6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26"/>
      <c r="P59" s="27"/>
      <c r="Q59" s="22"/>
      <c r="R59" s="22"/>
      <c r="S59" s="22"/>
      <c r="T59" s="22"/>
      <c r="U59" s="22"/>
      <c r="V59" s="22"/>
    </row>
    <row r="60" spans="1:22" s="45" customFormat="1" ht="21" customHeight="1" x14ac:dyDescent="0.15">
      <c r="A60" s="2"/>
      <c r="B60" s="6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26"/>
      <c r="P60" s="27"/>
      <c r="Q60" s="22"/>
      <c r="R60" s="22"/>
      <c r="S60" s="22"/>
      <c r="T60" s="22"/>
      <c r="U60" s="22"/>
      <c r="V60" s="22"/>
    </row>
    <row r="61" spans="1:22" s="45" customFormat="1" ht="21" customHeight="1" x14ac:dyDescent="0.15">
      <c r="A61" s="2"/>
      <c r="B61" s="8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26"/>
      <c r="P61" s="27"/>
      <c r="Q61" s="22"/>
      <c r="R61" s="22"/>
      <c r="S61" s="22"/>
      <c r="T61" s="22"/>
      <c r="U61" s="22"/>
      <c r="V61" s="22"/>
    </row>
    <row r="62" spans="1:22" s="45" customFormat="1" ht="21" customHeight="1" x14ac:dyDescent="0.15">
      <c r="A62" s="2"/>
      <c r="B62" s="8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26"/>
      <c r="P62" s="27"/>
      <c r="Q62" s="22"/>
      <c r="R62" s="22"/>
      <c r="S62" s="22"/>
      <c r="T62" s="22"/>
      <c r="U62" s="22"/>
      <c r="V62" s="22"/>
    </row>
    <row r="63" spans="1:22" s="45" customFormat="1" ht="21" customHeight="1" x14ac:dyDescent="0.15">
      <c r="A63" s="2"/>
      <c r="B63" s="8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26"/>
      <c r="P63" s="27"/>
      <c r="Q63" s="22"/>
      <c r="R63" s="22"/>
      <c r="S63" s="22"/>
      <c r="T63" s="22"/>
      <c r="U63" s="22"/>
      <c r="V63" s="22"/>
    </row>
    <row r="64" spans="1:22" ht="21" customHeight="1" x14ac:dyDescent="0.15">
      <c r="A64" s="2"/>
      <c r="B64" s="8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26"/>
      <c r="P64" s="27"/>
      <c r="Q64" s="22"/>
      <c r="R64" s="22"/>
      <c r="S64" s="22"/>
      <c r="T64" s="22"/>
      <c r="U64" s="22"/>
      <c r="V64" s="22"/>
    </row>
    <row r="65" spans="1:36" s="9" customFormat="1" ht="21" customHeight="1" thickBot="1" x14ac:dyDescent="0.2">
      <c r="A65" s="2"/>
      <c r="B65" s="6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26"/>
      <c r="P65" s="27"/>
      <c r="Q65" s="22"/>
      <c r="R65" s="22"/>
      <c r="S65" s="22"/>
      <c r="T65" s="22"/>
      <c r="U65" s="22"/>
      <c r="V65" s="22"/>
      <c r="W65" s="45"/>
      <c r="X65" s="45"/>
      <c r="Y65" s="45"/>
      <c r="Z65" s="45"/>
      <c r="AA65" s="45"/>
      <c r="AB65" s="45"/>
      <c r="AC65" s="45"/>
      <c r="AD65" s="45"/>
      <c r="AE65" s="45"/>
      <c r="AF65" s="45"/>
      <c r="AG65" s="45"/>
      <c r="AH65" s="45"/>
      <c r="AI65" s="45"/>
      <c r="AJ65" s="45"/>
    </row>
    <row r="66" spans="1:36" ht="21" customHeight="1" x14ac:dyDescent="0.15">
      <c r="A66" s="2"/>
      <c r="B66" s="6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26"/>
      <c r="P66" s="27"/>
      <c r="Q66" s="22"/>
      <c r="R66" s="22"/>
      <c r="S66" s="22"/>
      <c r="T66" s="22"/>
      <c r="U66" s="22"/>
      <c r="V66" s="22"/>
    </row>
    <row r="67" spans="1:36" ht="21" customHeight="1" x14ac:dyDescent="0.15">
      <c r="A67" s="2"/>
      <c r="B67" s="6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26"/>
      <c r="P67" s="27"/>
      <c r="Q67" s="22"/>
      <c r="R67" s="22"/>
      <c r="S67" s="22"/>
      <c r="T67" s="22"/>
      <c r="U67" s="22"/>
      <c r="V67" s="22"/>
    </row>
    <row r="68" spans="1:36" ht="21" customHeight="1" x14ac:dyDescent="0.15">
      <c r="A68" s="2"/>
      <c r="B68" s="6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26"/>
      <c r="P68" s="27"/>
      <c r="Q68" s="22"/>
      <c r="R68" s="22"/>
      <c r="S68" s="22"/>
      <c r="T68" s="22"/>
      <c r="U68" s="22"/>
      <c r="V68" s="22"/>
    </row>
    <row r="69" spans="1:36" ht="21" customHeight="1" x14ac:dyDescent="0.15">
      <c r="A69" s="2"/>
      <c r="B69" s="6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26"/>
      <c r="P69" s="27"/>
      <c r="Q69" s="22"/>
      <c r="R69" s="22"/>
      <c r="S69" s="22"/>
      <c r="T69" s="22"/>
      <c r="U69" s="22"/>
      <c r="V69" s="22"/>
    </row>
    <row r="70" spans="1:36" ht="21" customHeight="1" x14ac:dyDescent="0.15">
      <c r="A70" s="2"/>
      <c r="B70" s="6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26"/>
      <c r="P70" s="27"/>
      <c r="Q70" s="22"/>
      <c r="R70" s="22"/>
      <c r="S70" s="22"/>
      <c r="T70" s="22"/>
      <c r="U70" s="22"/>
      <c r="V70" s="22"/>
    </row>
    <row r="71" spans="1:36" ht="21" customHeight="1" x14ac:dyDescent="0.15">
      <c r="A71" s="2"/>
      <c r="B71" s="6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26"/>
      <c r="P71" s="27"/>
      <c r="Q71" s="22"/>
      <c r="R71" s="22"/>
      <c r="S71" s="22"/>
      <c r="T71" s="22"/>
      <c r="U71" s="22"/>
      <c r="V71" s="22"/>
    </row>
    <row r="72" spans="1:36" ht="21" customHeight="1" x14ac:dyDescent="0.15">
      <c r="A72" s="2"/>
      <c r="B72" s="6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26"/>
      <c r="P72" s="27"/>
      <c r="Q72" s="22"/>
      <c r="R72" s="22"/>
      <c r="S72" s="22"/>
      <c r="T72" s="22"/>
      <c r="U72" s="22"/>
      <c r="V72" s="22"/>
    </row>
    <row r="73" spans="1:36" ht="21" customHeight="1" x14ac:dyDescent="0.15">
      <c r="A73" s="2"/>
      <c r="B73" s="6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26"/>
      <c r="P73" s="27"/>
      <c r="Q73" s="22"/>
      <c r="R73" s="22"/>
      <c r="S73" s="22"/>
      <c r="T73" s="22"/>
      <c r="U73" s="22"/>
      <c r="V73" s="22"/>
    </row>
    <row r="74" spans="1:36" s="51" customFormat="1" ht="21" customHeight="1" x14ac:dyDescent="0.15">
      <c r="A74" s="2"/>
      <c r="B74" s="4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26"/>
      <c r="P74" s="27"/>
      <c r="Q74" s="22"/>
      <c r="R74" s="22"/>
      <c r="S74" s="22"/>
      <c r="T74" s="22"/>
      <c r="U74" s="22"/>
      <c r="V74" s="22"/>
      <c r="W74" s="39"/>
      <c r="X74" s="39"/>
      <c r="Y74" s="39"/>
      <c r="Z74" s="39"/>
      <c r="AA74" s="39"/>
      <c r="AB74" s="39"/>
      <c r="AC74" s="39"/>
      <c r="AD74" s="39"/>
      <c r="AE74" s="39"/>
      <c r="AF74" s="39"/>
      <c r="AG74" s="39"/>
      <c r="AH74" s="39"/>
      <c r="AI74" s="39"/>
      <c r="AJ74" s="39"/>
    </row>
    <row r="75" spans="1:36" s="51" customFormat="1" ht="21" customHeight="1" x14ac:dyDescent="0.15">
      <c r="A75" s="2"/>
      <c r="B75" s="4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26"/>
      <c r="P75" s="27"/>
      <c r="Q75" s="22"/>
      <c r="R75" s="22"/>
      <c r="S75" s="22"/>
      <c r="T75" s="22"/>
      <c r="U75" s="22"/>
      <c r="V75" s="22"/>
      <c r="W75" s="39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</row>
    <row r="76" spans="1:36" s="51" customFormat="1" ht="21" customHeight="1" x14ac:dyDescent="0.15">
      <c r="A76" s="2"/>
      <c r="B76" s="46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26"/>
      <c r="P76" s="27"/>
      <c r="Q76" s="22"/>
      <c r="R76" s="22"/>
      <c r="S76" s="22"/>
      <c r="T76" s="22"/>
      <c r="U76" s="22"/>
      <c r="V76" s="22"/>
      <c r="W76" s="39"/>
      <c r="X76" s="39"/>
      <c r="Y76" s="39"/>
      <c r="Z76" s="39"/>
      <c r="AA76" s="39"/>
      <c r="AB76" s="39"/>
      <c r="AC76" s="39"/>
      <c r="AD76" s="39"/>
      <c r="AE76" s="39"/>
      <c r="AF76" s="39"/>
      <c r="AG76" s="39"/>
      <c r="AH76" s="39"/>
      <c r="AI76" s="39"/>
      <c r="AJ76" s="39"/>
    </row>
    <row r="77" spans="1:36" s="51" customFormat="1" ht="21" customHeight="1" x14ac:dyDescent="0.15">
      <c r="A77" s="46"/>
      <c r="B77" s="46"/>
      <c r="C77" s="46"/>
      <c r="D77" s="46"/>
      <c r="E77" s="46"/>
      <c r="F77" s="46"/>
      <c r="G77" s="46"/>
      <c r="H77" s="46"/>
      <c r="I77" s="46"/>
      <c r="J77" s="46"/>
      <c r="K77" s="46"/>
      <c r="L77" s="46"/>
      <c r="M77" s="46"/>
      <c r="N77" s="46"/>
      <c r="O77" s="48"/>
      <c r="P77" s="49"/>
      <c r="Q77" s="50"/>
      <c r="R77" s="50"/>
      <c r="S77" s="50"/>
      <c r="T77" s="50"/>
      <c r="U77" s="50"/>
      <c r="V77" s="50"/>
      <c r="W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</row>
    <row r="78" spans="1:36" s="51" customFormat="1" ht="21" customHeight="1" x14ac:dyDescent="0.15">
      <c r="A78" s="46"/>
      <c r="B78" s="46"/>
      <c r="C78" s="46"/>
      <c r="D78" s="46"/>
      <c r="E78" s="46"/>
      <c r="F78" s="46"/>
      <c r="G78" s="46"/>
      <c r="H78" s="46"/>
      <c r="I78" s="46"/>
      <c r="J78" s="46"/>
      <c r="K78" s="46"/>
      <c r="L78" s="46"/>
      <c r="M78" s="46"/>
      <c r="N78" s="46"/>
      <c r="O78" s="48"/>
      <c r="P78" s="49"/>
      <c r="Q78" s="50"/>
      <c r="R78" s="50"/>
      <c r="S78" s="50"/>
      <c r="T78" s="50"/>
      <c r="U78" s="50"/>
      <c r="V78" s="50"/>
      <c r="W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</row>
    <row r="79" spans="1:36" s="51" customFormat="1" ht="21" customHeight="1" x14ac:dyDescent="0.15">
      <c r="A79" s="46"/>
      <c r="B79" s="46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46"/>
      <c r="N79" s="46"/>
      <c r="O79" s="48"/>
      <c r="P79" s="49"/>
      <c r="Q79" s="50"/>
      <c r="R79" s="50"/>
      <c r="S79" s="50"/>
      <c r="T79" s="50"/>
      <c r="U79" s="50"/>
      <c r="V79" s="50"/>
      <c r="W79" s="39"/>
      <c r="X79" s="39"/>
      <c r="Y79" s="39"/>
      <c r="Z79" s="39"/>
      <c r="AA79" s="39"/>
      <c r="AB79" s="39"/>
      <c r="AC79" s="39"/>
      <c r="AD79" s="39"/>
      <c r="AE79" s="39"/>
      <c r="AF79" s="39"/>
      <c r="AG79" s="39"/>
      <c r="AH79" s="39"/>
      <c r="AI79" s="39"/>
      <c r="AJ79" s="39"/>
    </row>
    <row r="80" spans="1:36" s="51" customFormat="1" ht="21" customHeight="1" x14ac:dyDescent="0.15">
      <c r="A80" s="46"/>
      <c r="B80" s="46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46"/>
      <c r="N80" s="46"/>
      <c r="O80" s="48"/>
      <c r="P80" s="49"/>
      <c r="Q80" s="50"/>
      <c r="R80" s="50"/>
      <c r="S80" s="50"/>
      <c r="T80" s="50"/>
      <c r="U80" s="50"/>
      <c r="V80" s="50"/>
      <c r="W80" s="39"/>
      <c r="X80" s="39"/>
      <c r="Y80" s="39"/>
      <c r="Z80" s="39"/>
      <c r="AA80" s="39"/>
      <c r="AB80" s="39"/>
      <c r="AC80" s="39"/>
      <c r="AD80" s="39"/>
      <c r="AE80" s="39"/>
      <c r="AF80" s="39"/>
      <c r="AG80" s="39"/>
      <c r="AH80" s="39"/>
      <c r="AI80" s="39"/>
      <c r="AJ80" s="39"/>
    </row>
    <row r="81" spans="1:36" s="51" customFormat="1" ht="21" customHeight="1" x14ac:dyDescent="0.15">
      <c r="A81" s="46"/>
      <c r="B81" s="46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46"/>
      <c r="N81" s="46"/>
      <c r="O81" s="48"/>
      <c r="P81" s="49"/>
      <c r="Q81" s="50"/>
      <c r="R81" s="50"/>
      <c r="S81" s="50"/>
      <c r="T81" s="50"/>
      <c r="U81" s="50"/>
      <c r="V81" s="50"/>
      <c r="W81" s="39"/>
      <c r="X81" s="39"/>
      <c r="Y81" s="39"/>
      <c r="Z81" s="39"/>
      <c r="AA81" s="39"/>
      <c r="AB81" s="39"/>
      <c r="AC81" s="39"/>
      <c r="AD81" s="39"/>
      <c r="AE81" s="39"/>
      <c r="AF81" s="39"/>
      <c r="AG81" s="39"/>
      <c r="AH81" s="39"/>
      <c r="AI81" s="39"/>
      <c r="AJ81" s="39"/>
    </row>
    <row r="82" spans="1:36" s="51" customFormat="1" ht="21" customHeight="1" x14ac:dyDescent="0.15">
      <c r="A82" s="46"/>
      <c r="B82" s="46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46"/>
      <c r="N82" s="46"/>
      <c r="O82" s="48"/>
      <c r="P82" s="49"/>
      <c r="Q82" s="50"/>
      <c r="R82" s="50"/>
      <c r="S82" s="50"/>
      <c r="T82" s="50"/>
      <c r="U82" s="50"/>
      <c r="V82" s="50"/>
      <c r="W82" s="39"/>
      <c r="X82" s="39"/>
      <c r="Y82" s="39"/>
      <c r="Z82" s="39"/>
      <c r="AA82" s="39"/>
      <c r="AB82" s="39"/>
      <c r="AC82" s="39"/>
      <c r="AD82" s="39"/>
      <c r="AE82" s="39"/>
      <c r="AF82" s="39"/>
      <c r="AG82" s="39"/>
      <c r="AH82" s="39"/>
      <c r="AI82" s="39"/>
      <c r="AJ82" s="39"/>
    </row>
    <row r="83" spans="1:36" s="51" customFormat="1" ht="21" customHeight="1" x14ac:dyDescent="0.15">
      <c r="A83" s="46"/>
      <c r="B83" s="46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46"/>
      <c r="O83" s="48"/>
      <c r="P83" s="49"/>
      <c r="Q83" s="50"/>
      <c r="R83" s="50"/>
      <c r="S83" s="50"/>
      <c r="T83" s="50"/>
      <c r="U83" s="50"/>
      <c r="V83" s="50"/>
      <c r="W83" s="39"/>
      <c r="X83" s="39"/>
      <c r="Y83" s="39"/>
      <c r="Z83" s="39"/>
      <c r="AA83" s="39"/>
      <c r="AB83" s="39"/>
      <c r="AC83" s="39"/>
      <c r="AD83" s="39"/>
      <c r="AE83" s="39"/>
      <c r="AF83" s="39"/>
      <c r="AG83" s="39"/>
      <c r="AH83" s="39"/>
      <c r="AI83" s="39"/>
      <c r="AJ83" s="39"/>
    </row>
    <row r="84" spans="1:36" s="51" customFormat="1" ht="21" customHeight="1" x14ac:dyDescent="0.15">
      <c r="A84" s="46"/>
      <c r="B84" s="46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6"/>
      <c r="N84" s="46"/>
      <c r="O84" s="48"/>
      <c r="P84" s="49"/>
      <c r="Q84" s="50"/>
      <c r="R84" s="50"/>
      <c r="S84" s="50"/>
      <c r="T84" s="50"/>
      <c r="U84" s="50"/>
      <c r="V84" s="50"/>
      <c r="W84" s="39"/>
      <c r="X84" s="39"/>
      <c r="Y84" s="39"/>
      <c r="Z84" s="39"/>
      <c r="AA84" s="39"/>
      <c r="AB84" s="39"/>
      <c r="AC84" s="39"/>
      <c r="AD84" s="39"/>
      <c r="AE84" s="39"/>
      <c r="AF84" s="39"/>
      <c r="AG84" s="39"/>
      <c r="AH84" s="39"/>
      <c r="AI84" s="39"/>
      <c r="AJ84" s="39"/>
    </row>
    <row r="85" spans="1:36" s="51" customFormat="1" ht="21" customHeight="1" x14ac:dyDescent="0.15">
      <c r="A85" s="46"/>
      <c r="B85" s="46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46"/>
      <c r="N85" s="46"/>
      <c r="O85" s="48"/>
      <c r="P85" s="49"/>
      <c r="Q85" s="50"/>
      <c r="R85" s="50"/>
      <c r="S85" s="50"/>
      <c r="T85" s="50"/>
      <c r="U85" s="50"/>
      <c r="V85" s="50"/>
      <c r="W85" s="39"/>
      <c r="X85" s="39"/>
      <c r="Y85" s="39"/>
      <c r="Z85" s="39"/>
      <c r="AA85" s="39"/>
      <c r="AB85" s="39"/>
      <c r="AC85" s="39"/>
      <c r="AD85" s="39"/>
      <c r="AE85" s="39"/>
      <c r="AF85" s="39"/>
      <c r="AG85" s="39"/>
      <c r="AH85" s="39"/>
      <c r="AI85" s="39"/>
      <c r="AJ85" s="39"/>
    </row>
    <row r="86" spans="1:36" s="51" customFormat="1" ht="21" customHeight="1" x14ac:dyDescent="0.15">
      <c r="A86" s="46"/>
      <c r="B86" s="46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46"/>
      <c r="N86" s="46"/>
      <c r="O86" s="48"/>
      <c r="P86" s="49"/>
      <c r="Q86" s="50"/>
      <c r="R86" s="50"/>
      <c r="S86" s="50"/>
      <c r="T86" s="50"/>
      <c r="U86" s="50"/>
      <c r="V86" s="50"/>
      <c r="W86" s="39"/>
      <c r="X86" s="39"/>
      <c r="Y86" s="39"/>
      <c r="Z86" s="39"/>
      <c r="AA86" s="39"/>
      <c r="AB86" s="39"/>
      <c r="AC86" s="39"/>
      <c r="AD86" s="39"/>
      <c r="AE86" s="39"/>
      <c r="AF86" s="39"/>
      <c r="AG86" s="39"/>
      <c r="AH86" s="39"/>
      <c r="AI86" s="39"/>
      <c r="AJ86" s="39"/>
    </row>
    <row r="87" spans="1:36" s="51" customFormat="1" ht="21" customHeight="1" x14ac:dyDescent="0.15">
      <c r="A87" s="46"/>
      <c r="B87" s="46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46"/>
      <c r="N87" s="46"/>
      <c r="O87" s="48"/>
      <c r="P87" s="49"/>
      <c r="Q87" s="50"/>
      <c r="R87" s="50"/>
      <c r="S87" s="50"/>
      <c r="T87" s="50"/>
      <c r="U87" s="50"/>
      <c r="V87" s="50"/>
      <c r="W87" s="39"/>
      <c r="X87" s="39"/>
      <c r="Y87" s="39"/>
      <c r="Z87" s="39"/>
      <c r="AA87" s="39"/>
      <c r="AB87" s="39"/>
      <c r="AC87" s="39"/>
      <c r="AD87" s="39"/>
      <c r="AE87" s="39"/>
      <c r="AF87" s="39"/>
      <c r="AG87" s="39"/>
      <c r="AH87" s="39"/>
      <c r="AI87" s="39"/>
      <c r="AJ87" s="39"/>
    </row>
    <row r="88" spans="1:36" s="51" customFormat="1" ht="21" customHeight="1" x14ac:dyDescent="0.15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8"/>
      <c r="P88" s="49"/>
      <c r="Q88" s="50"/>
      <c r="R88" s="50"/>
      <c r="S88" s="50"/>
      <c r="T88" s="50"/>
      <c r="U88" s="50"/>
      <c r="V88" s="50"/>
      <c r="W88" s="39"/>
      <c r="X88" s="39"/>
      <c r="Y88" s="39"/>
      <c r="Z88" s="39"/>
      <c r="AA88" s="39"/>
      <c r="AB88" s="39"/>
      <c r="AC88" s="39"/>
      <c r="AD88" s="39"/>
      <c r="AE88" s="39"/>
      <c r="AF88" s="39"/>
      <c r="AG88" s="39"/>
      <c r="AH88" s="39"/>
      <c r="AI88" s="39"/>
      <c r="AJ88" s="39"/>
    </row>
    <row r="89" spans="1:36" s="51" customFormat="1" ht="21" customHeight="1" x14ac:dyDescent="0.15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8"/>
      <c r="P89" s="49"/>
      <c r="Q89" s="50"/>
      <c r="R89" s="50"/>
      <c r="S89" s="50"/>
      <c r="T89" s="50"/>
      <c r="U89" s="50"/>
      <c r="V89" s="50"/>
      <c r="W89" s="39"/>
      <c r="X89" s="39"/>
      <c r="Y89" s="39"/>
      <c r="Z89" s="39"/>
      <c r="AA89" s="39"/>
      <c r="AB89" s="39"/>
      <c r="AC89" s="39"/>
      <c r="AD89" s="39"/>
      <c r="AE89" s="39"/>
      <c r="AF89" s="39"/>
      <c r="AG89" s="39"/>
      <c r="AH89" s="39"/>
      <c r="AI89" s="39"/>
      <c r="AJ89" s="39"/>
    </row>
    <row r="90" spans="1:36" s="51" customFormat="1" ht="21" customHeight="1" x14ac:dyDescent="0.15">
      <c r="A90" s="46"/>
      <c r="B90" s="46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46"/>
      <c r="N90" s="46"/>
      <c r="O90" s="48"/>
      <c r="P90" s="49"/>
      <c r="Q90" s="50"/>
      <c r="R90" s="50"/>
      <c r="S90" s="50"/>
      <c r="T90" s="50"/>
      <c r="U90" s="50"/>
      <c r="V90" s="50"/>
      <c r="W90" s="39"/>
      <c r="X90" s="39"/>
      <c r="Y90" s="39"/>
      <c r="Z90" s="39"/>
      <c r="AA90" s="39"/>
      <c r="AB90" s="39"/>
      <c r="AC90" s="39"/>
      <c r="AD90" s="39"/>
      <c r="AE90" s="39"/>
      <c r="AF90" s="39"/>
      <c r="AG90" s="39"/>
      <c r="AH90" s="39"/>
      <c r="AI90" s="39"/>
      <c r="AJ90" s="39"/>
    </row>
    <row r="91" spans="1:36" s="51" customFormat="1" ht="21" customHeight="1" x14ac:dyDescent="0.15">
      <c r="A91" s="46"/>
      <c r="B91" s="46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46"/>
      <c r="N91" s="46"/>
      <c r="O91" s="48"/>
      <c r="P91" s="49"/>
      <c r="Q91" s="50"/>
      <c r="R91" s="50"/>
      <c r="S91" s="50"/>
      <c r="T91" s="50"/>
      <c r="U91" s="50"/>
      <c r="V91" s="50"/>
      <c r="W91" s="39"/>
      <c r="X91" s="39"/>
      <c r="Y91" s="39"/>
      <c r="Z91" s="39"/>
      <c r="AA91" s="39"/>
      <c r="AB91" s="39"/>
      <c r="AC91" s="39"/>
      <c r="AD91" s="39"/>
      <c r="AE91" s="39"/>
      <c r="AF91" s="39"/>
      <c r="AG91" s="39"/>
      <c r="AH91" s="39"/>
      <c r="AI91" s="39"/>
      <c r="AJ91" s="39"/>
    </row>
    <row r="92" spans="1:36" s="51" customFormat="1" ht="21" customHeight="1" x14ac:dyDescent="0.15">
      <c r="A92" s="46"/>
      <c r="B92" s="46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46"/>
      <c r="N92" s="46"/>
      <c r="O92" s="48"/>
      <c r="P92" s="49"/>
      <c r="Q92" s="50"/>
      <c r="R92" s="50"/>
      <c r="S92" s="50"/>
      <c r="T92" s="50"/>
      <c r="U92" s="50"/>
      <c r="V92" s="50"/>
      <c r="W92" s="39"/>
      <c r="X92" s="39"/>
      <c r="Y92" s="39"/>
      <c r="Z92" s="39"/>
      <c r="AA92" s="39"/>
      <c r="AB92" s="39"/>
      <c r="AC92" s="39"/>
      <c r="AD92" s="39"/>
      <c r="AE92" s="39"/>
      <c r="AF92" s="39"/>
      <c r="AG92" s="39"/>
      <c r="AH92" s="39"/>
      <c r="AI92" s="39"/>
      <c r="AJ92" s="39"/>
    </row>
    <row r="93" spans="1:36" s="51" customFormat="1" ht="21" customHeight="1" x14ac:dyDescent="0.15">
      <c r="A93" s="46"/>
      <c r="B93" s="46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46"/>
      <c r="N93" s="46"/>
      <c r="O93" s="48"/>
      <c r="P93" s="49"/>
      <c r="Q93" s="50"/>
      <c r="R93" s="50"/>
      <c r="S93" s="50"/>
      <c r="T93" s="50"/>
      <c r="U93" s="50"/>
      <c r="V93" s="50"/>
      <c r="W93" s="39"/>
      <c r="X93" s="39"/>
      <c r="Y93" s="39"/>
      <c r="Z93" s="39"/>
      <c r="AA93" s="39"/>
      <c r="AB93" s="39"/>
      <c r="AC93" s="39"/>
      <c r="AD93" s="39"/>
      <c r="AE93" s="39"/>
      <c r="AF93" s="39"/>
      <c r="AG93" s="39"/>
      <c r="AH93" s="39"/>
      <c r="AI93" s="39"/>
      <c r="AJ93" s="39"/>
    </row>
    <row r="94" spans="1:36" s="51" customFormat="1" ht="21" customHeight="1" x14ac:dyDescent="0.15">
      <c r="A94" s="46"/>
      <c r="B94" s="46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46"/>
      <c r="N94" s="46"/>
      <c r="O94" s="48"/>
      <c r="P94" s="49"/>
      <c r="Q94" s="50"/>
      <c r="R94" s="50"/>
      <c r="S94" s="50"/>
      <c r="T94" s="50"/>
      <c r="U94" s="50"/>
      <c r="V94" s="50"/>
      <c r="W94" s="39"/>
      <c r="X94" s="39"/>
      <c r="Y94" s="39"/>
      <c r="Z94" s="39"/>
      <c r="AA94" s="39"/>
      <c r="AB94" s="39"/>
      <c r="AC94" s="39"/>
      <c r="AD94" s="39"/>
      <c r="AE94" s="39"/>
      <c r="AF94" s="39"/>
      <c r="AG94" s="39"/>
      <c r="AH94" s="39"/>
      <c r="AI94" s="39"/>
      <c r="AJ94" s="39"/>
    </row>
    <row r="95" spans="1:36" s="51" customFormat="1" ht="21" customHeight="1" x14ac:dyDescent="0.15">
      <c r="A95" s="46"/>
      <c r="B95" s="46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46"/>
      <c r="N95" s="46"/>
      <c r="O95" s="48"/>
      <c r="P95" s="49"/>
      <c r="Q95" s="50"/>
      <c r="R95" s="50"/>
      <c r="S95" s="50"/>
      <c r="T95" s="50"/>
      <c r="U95" s="50"/>
      <c r="V95" s="50"/>
      <c r="W95" s="39"/>
      <c r="X95" s="39"/>
      <c r="Y95" s="39"/>
      <c r="Z95" s="39"/>
      <c r="AA95" s="39"/>
      <c r="AB95" s="39"/>
      <c r="AC95" s="39"/>
      <c r="AD95" s="39"/>
      <c r="AE95" s="39"/>
      <c r="AF95" s="39"/>
      <c r="AG95" s="39"/>
      <c r="AH95" s="39"/>
      <c r="AI95" s="39"/>
      <c r="AJ95" s="39"/>
    </row>
    <row r="96" spans="1:36" s="51" customFormat="1" ht="21" customHeight="1" x14ac:dyDescent="0.15">
      <c r="A96" s="46"/>
      <c r="B96" s="46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46"/>
      <c r="N96" s="46"/>
      <c r="O96" s="48"/>
      <c r="P96" s="49"/>
      <c r="Q96" s="50"/>
      <c r="R96" s="50"/>
      <c r="S96" s="50"/>
      <c r="T96" s="50"/>
      <c r="U96" s="50"/>
      <c r="V96" s="50"/>
      <c r="W96" s="39"/>
      <c r="X96" s="39"/>
      <c r="Y96" s="39"/>
      <c r="Z96" s="39"/>
      <c r="AA96" s="39"/>
      <c r="AB96" s="39"/>
      <c r="AC96" s="39"/>
      <c r="AD96" s="39"/>
      <c r="AE96" s="39"/>
      <c r="AF96" s="39"/>
      <c r="AG96" s="39"/>
      <c r="AH96" s="39"/>
      <c r="AI96" s="39"/>
      <c r="AJ96" s="39"/>
    </row>
    <row r="97" spans="1:36" s="51" customFormat="1" ht="21" customHeight="1" x14ac:dyDescent="0.15">
      <c r="A97" s="46"/>
      <c r="B97" s="46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46"/>
      <c r="N97" s="46"/>
      <c r="O97" s="48"/>
      <c r="P97" s="49"/>
      <c r="Q97" s="50"/>
      <c r="R97" s="50"/>
      <c r="S97" s="50"/>
      <c r="T97" s="50"/>
      <c r="U97" s="50"/>
      <c r="V97" s="50"/>
      <c r="W97" s="39"/>
      <c r="X97" s="39"/>
      <c r="Y97" s="39"/>
      <c r="Z97" s="39"/>
      <c r="AA97" s="39"/>
      <c r="AB97" s="39"/>
      <c r="AC97" s="39"/>
      <c r="AD97" s="39"/>
      <c r="AE97" s="39"/>
      <c r="AF97" s="39"/>
      <c r="AG97" s="39"/>
      <c r="AH97" s="39"/>
      <c r="AI97" s="39"/>
      <c r="AJ97" s="39"/>
    </row>
    <row r="98" spans="1:36" s="51" customFormat="1" ht="21" customHeight="1" x14ac:dyDescent="0.15">
      <c r="A98" s="46"/>
      <c r="B98" s="46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46"/>
      <c r="N98" s="46"/>
      <c r="O98" s="48"/>
      <c r="P98" s="49"/>
      <c r="Q98" s="50"/>
      <c r="R98" s="50"/>
      <c r="S98" s="50"/>
      <c r="T98" s="50"/>
      <c r="U98" s="50"/>
      <c r="V98" s="50"/>
      <c r="W98" s="39"/>
      <c r="X98" s="39"/>
      <c r="Y98" s="39"/>
      <c r="Z98" s="39"/>
      <c r="AA98" s="39"/>
      <c r="AB98" s="39"/>
      <c r="AC98" s="39"/>
      <c r="AD98" s="39"/>
      <c r="AE98" s="39"/>
      <c r="AF98" s="39"/>
      <c r="AG98" s="39"/>
      <c r="AH98" s="39"/>
      <c r="AI98" s="39"/>
      <c r="AJ98" s="39"/>
    </row>
    <row r="99" spans="1:36" s="51" customFormat="1" ht="21" customHeight="1" x14ac:dyDescent="0.15">
      <c r="A99" s="46"/>
      <c r="B99" s="46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46"/>
      <c r="N99" s="46"/>
      <c r="O99" s="48"/>
      <c r="P99" s="49"/>
      <c r="Q99" s="50"/>
      <c r="R99" s="50"/>
      <c r="S99" s="50"/>
      <c r="T99" s="50"/>
      <c r="U99" s="50"/>
      <c r="V99" s="50"/>
      <c r="W99" s="39"/>
      <c r="X99" s="39"/>
      <c r="Y99" s="39"/>
      <c r="Z99" s="39"/>
      <c r="AA99" s="39"/>
      <c r="AB99" s="39"/>
      <c r="AC99" s="39"/>
      <c r="AD99" s="39"/>
      <c r="AE99" s="39"/>
      <c r="AF99" s="39"/>
      <c r="AG99" s="39"/>
      <c r="AH99" s="39"/>
      <c r="AI99" s="39"/>
      <c r="AJ99" s="39"/>
    </row>
    <row r="100" spans="1:36" s="51" customFormat="1" ht="21" customHeight="1" x14ac:dyDescent="0.15">
      <c r="A100" s="46"/>
      <c r="B100" s="46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46"/>
      <c r="N100" s="46"/>
      <c r="O100" s="48"/>
      <c r="P100" s="49"/>
      <c r="Q100" s="50"/>
      <c r="R100" s="50"/>
      <c r="S100" s="50"/>
      <c r="T100" s="50"/>
      <c r="U100" s="50"/>
      <c r="V100" s="50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</row>
    <row r="101" spans="1:36" s="51" customFormat="1" ht="21" customHeight="1" x14ac:dyDescent="0.15">
      <c r="A101" s="46"/>
      <c r="B101" s="46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6"/>
      <c r="O101" s="48"/>
      <c r="P101" s="49"/>
      <c r="Q101" s="50"/>
      <c r="R101" s="50"/>
      <c r="S101" s="50"/>
      <c r="T101" s="50"/>
      <c r="U101" s="50"/>
      <c r="V101" s="50"/>
      <c r="W101" s="39"/>
      <c r="X101" s="39"/>
      <c r="Y101" s="39"/>
      <c r="Z101" s="39"/>
      <c r="AA101" s="39"/>
      <c r="AB101" s="39"/>
      <c r="AC101" s="39"/>
      <c r="AD101" s="39"/>
      <c r="AE101" s="39"/>
      <c r="AF101" s="39"/>
      <c r="AG101" s="39"/>
      <c r="AH101" s="39"/>
      <c r="AI101" s="39"/>
      <c r="AJ101" s="39"/>
    </row>
    <row r="102" spans="1:36" s="51" customFormat="1" ht="21" customHeight="1" x14ac:dyDescent="0.15">
      <c r="A102" s="46"/>
      <c r="B102" s="46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6"/>
      <c r="O102" s="48"/>
      <c r="P102" s="49"/>
      <c r="Q102" s="50"/>
      <c r="R102" s="50"/>
      <c r="S102" s="50"/>
      <c r="T102" s="50"/>
      <c r="U102" s="50"/>
      <c r="V102" s="50"/>
      <c r="W102" s="39"/>
      <c r="X102" s="39"/>
      <c r="Y102" s="39"/>
      <c r="Z102" s="39"/>
      <c r="AA102" s="39"/>
      <c r="AB102" s="39"/>
      <c r="AC102" s="39"/>
      <c r="AD102" s="39"/>
      <c r="AE102" s="39"/>
      <c r="AF102" s="39"/>
      <c r="AG102" s="39"/>
      <c r="AH102" s="39"/>
      <c r="AI102" s="39"/>
      <c r="AJ102" s="39"/>
    </row>
    <row r="103" spans="1:36" s="51" customFormat="1" ht="21" customHeight="1" x14ac:dyDescent="0.15">
      <c r="A103" s="46"/>
      <c r="B103" s="46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6"/>
      <c r="O103" s="48"/>
      <c r="P103" s="49"/>
      <c r="Q103" s="50"/>
      <c r="R103" s="50"/>
      <c r="S103" s="50"/>
      <c r="T103" s="50"/>
      <c r="U103" s="50"/>
      <c r="V103" s="50"/>
      <c r="W103" s="39"/>
      <c r="X103" s="39"/>
      <c r="Y103" s="39"/>
      <c r="Z103" s="39"/>
      <c r="AA103" s="39"/>
      <c r="AB103" s="39"/>
      <c r="AC103" s="39"/>
      <c r="AD103" s="39"/>
      <c r="AE103" s="39"/>
      <c r="AF103" s="39"/>
      <c r="AG103" s="39"/>
      <c r="AH103" s="39"/>
      <c r="AI103" s="39"/>
      <c r="AJ103" s="39"/>
    </row>
    <row r="104" spans="1:36" s="51" customFormat="1" ht="21" customHeight="1" x14ac:dyDescent="0.15">
      <c r="A104" s="46"/>
      <c r="B104" s="46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6"/>
      <c r="O104" s="48"/>
      <c r="P104" s="49"/>
      <c r="Q104" s="50"/>
      <c r="R104" s="50"/>
      <c r="S104" s="50"/>
      <c r="T104" s="50"/>
      <c r="U104" s="50"/>
      <c r="V104" s="50"/>
      <c r="W104" s="39"/>
      <c r="X104" s="39"/>
      <c r="Y104" s="39"/>
      <c r="Z104" s="39"/>
      <c r="AA104" s="39"/>
      <c r="AB104" s="39"/>
      <c r="AC104" s="39"/>
      <c r="AD104" s="39"/>
      <c r="AE104" s="39"/>
      <c r="AF104" s="39"/>
      <c r="AG104" s="39"/>
      <c r="AH104" s="39"/>
      <c r="AI104" s="39"/>
      <c r="AJ104" s="39"/>
    </row>
    <row r="105" spans="1:36" s="51" customFormat="1" ht="21" customHeight="1" x14ac:dyDescent="0.15">
      <c r="A105" s="46"/>
      <c r="B105" s="46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6"/>
      <c r="O105" s="48"/>
      <c r="P105" s="49"/>
      <c r="Q105" s="50"/>
      <c r="R105" s="50"/>
      <c r="S105" s="50"/>
      <c r="T105" s="50"/>
      <c r="U105" s="50"/>
      <c r="V105" s="50"/>
      <c r="W105" s="39"/>
      <c r="X105" s="39"/>
      <c r="Y105" s="39"/>
      <c r="Z105" s="39"/>
      <c r="AA105" s="39"/>
      <c r="AB105" s="39"/>
      <c r="AC105" s="39"/>
      <c r="AD105" s="39"/>
      <c r="AE105" s="39"/>
      <c r="AF105" s="39"/>
      <c r="AG105" s="39"/>
      <c r="AH105" s="39"/>
      <c r="AI105" s="39"/>
      <c r="AJ105" s="39"/>
    </row>
    <row r="106" spans="1:36" s="51" customFormat="1" ht="21" customHeight="1" x14ac:dyDescent="0.15">
      <c r="A106" s="46"/>
      <c r="B106" s="46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6"/>
      <c r="O106" s="48"/>
      <c r="P106" s="49"/>
      <c r="Q106" s="50"/>
      <c r="R106" s="50"/>
      <c r="S106" s="50"/>
      <c r="T106" s="50"/>
      <c r="U106" s="50"/>
      <c r="V106" s="50"/>
      <c r="W106" s="39"/>
      <c r="X106" s="39"/>
      <c r="Y106" s="39"/>
      <c r="Z106" s="39"/>
      <c r="AA106" s="39"/>
      <c r="AB106" s="39"/>
      <c r="AC106" s="39"/>
      <c r="AD106" s="39"/>
      <c r="AE106" s="39"/>
      <c r="AF106" s="39"/>
      <c r="AG106" s="39"/>
      <c r="AH106" s="39"/>
      <c r="AI106" s="39"/>
      <c r="AJ106" s="39"/>
    </row>
    <row r="107" spans="1:36" s="51" customFormat="1" ht="21" customHeight="1" x14ac:dyDescent="0.15">
      <c r="A107" s="46"/>
      <c r="B107" s="46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6"/>
      <c r="O107" s="48"/>
      <c r="P107" s="49"/>
      <c r="Q107" s="50"/>
      <c r="R107" s="50"/>
      <c r="S107" s="50"/>
      <c r="T107" s="50"/>
      <c r="U107" s="50"/>
      <c r="V107" s="50"/>
      <c r="W107" s="39"/>
      <c r="X107" s="39"/>
      <c r="Y107" s="39"/>
      <c r="Z107" s="39"/>
      <c r="AA107" s="39"/>
      <c r="AB107" s="39"/>
      <c r="AC107" s="39"/>
      <c r="AD107" s="39"/>
      <c r="AE107" s="39"/>
      <c r="AF107" s="39"/>
      <c r="AG107" s="39"/>
      <c r="AH107" s="39"/>
      <c r="AI107" s="39"/>
      <c r="AJ107" s="39"/>
    </row>
    <row r="108" spans="1:36" s="51" customFormat="1" ht="21" customHeight="1" x14ac:dyDescent="0.15">
      <c r="A108" s="46"/>
      <c r="B108" s="46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6"/>
      <c r="O108" s="48"/>
      <c r="P108" s="49"/>
      <c r="Q108" s="50"/>
      <c r="R108" s="50"/>
      <c r="S108" s="50"/>
      <c r="T108" s="50"/>
      <c r="U108" s="50"/>
      <c r="V108" s="50"/>
      <c r="W108" s="39"/>
      <c r="X108" s="39"/>
      <c r="Y108" s="39"/>
      <c r="Z108" s="39"/>
      <c r="AA108" s="39"/>
      <c r="AB108" s="39"/>
      <c r="AC108" s="39"/>
      <c r="AD108" s="39"/>
      <c r="AE108" s="39"/>
      <c r="AF108" s="39"/>
      <c r="AG108" s="39"/>
      <c r="AH108" s="39"/>
      <c r="AI108" s="39"/>
      <c r="AJ108" s="39"/>
    </row>
    <row r="109" spans="1:36" s="51" customFormat="1" ht="21" customHeight="1" x14ac:dyDescent="0.15">
      <c r="A109" s="46"/>
      <c r="B109" s="46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6"/>
      <c r="O109" s="48"/>
      <c r="P109" s="49"/>
      <c r="Q109" s="50"/>
      <c r="R109" s="50"/>
      <c r="S109" s="50"/>
      <c r="T109" s="50"/>
      <c r="U109" s="50"/>
      <c r="V109" s="50"/>
      <c r="W109" s="39"/>
      <c r="X109" s="39"/>
      <c r="Y109" s="39"/>
      <c r="Z109" s="39"/>
      <c r="AA109" s="39"/>
      <c r="AB109" s="39"/>
      <c r="AC109" s="39"/>
      <c r="AD109" s="39"/>
      <c r="AE109" s="39"/>
      <c r="AF109" s="39"/>
      <c r="AG109" s="39"/>
      <c r="AH109" s="39"/>
      <c r="AI109" s="39"/>
      <c r="AJ109" s="39"/>
    </row>
    <row r="110" spans="1:36" s="51" customFormat="1" ht="21" customHeight="1" x14ac:dyDescent="0.15">
      <c r="A110" s="46"/>
      <c r="B110" s="46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6"/>
      <c r="O110" s="48"/>
      <c r="P110" s="49"/>
      <c r="Q110" s="50"/>
      <c r="R110" s="50"/>
      <c r="S110" s="50"/>
      <c r="T110" s="50"/>
      <c r="U110" s="50"/>
      <c r="V110" s="50"/>
      <c r="W110" s="39"/>
      <c r="X110" s="39"/>
      <c r="Y110" s="39"/>
      <c r="Z110" s="39"/>
      <c r="AA110" s="39"/>
      <c r="AB110" s="39"/>
      <c r="AC110" s="39"/>
      <c r="AD110" s="39"/>
      <c r="AE110" s="39"/>
      <c r="AF110" s="39"/>
      <c r="AG110" s="39"/>
      <c r="AH110" s="39"/>
      <c r="AI110" s="39"/>
      <c r="AJ110" s="39"/>
    </row>
    <row r="111" spans="1:36" s="51" customFormat="1" ht="21" customHeight="1" x14ac:dyDescent="0.15">
      <c r="A111" s="46"/>
      <c r="B111" s="46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6"/>
      <c r="O111" s="48"/>
      <c r="P111" s="49"/>
      <c r="Q111" s="50"/>
      <c r="R111" s="50"/>
      <c r="S111" s="50"/>
      <c r="T111" s="50"/>
      <c r="U111" s="50"/>
      <c r="V111" s="50"/>
      <c r="W111" s="39"/>
      <c r="X111" s="39"/>
      <c r="Y111" s="39"/>
      <c r="Z111" s="39"/>
      <c r="AA111" s="39"/>
      <c r="AB111" s="39"/>
      <c r="AC111" s="39"/>
      <c r="AD111" s="39"/>
      <c r="AE111" s="39"/>
      <c r="AF111" s="39"/>
      <c r="AG111" s="39"/>
      <c r="AH111" s="39"/>
      <c r="AI111" s="39"/>
      <c r="AJ111" s="39"/>
    </row>
    <row r="112" spans="1:36" s="51" customFormat="1" ht="21" customHeight="1" x14ac:dyDescent="0.15">
      <c r="A112" s="46"/>
      <c r="B112" s="46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6"/>
      <c r="O112" s="48"/>
      <c r="P112" s="49"/>
      <c r="Q112" s="50"/>
      <c r="R112" s="50"/>
      <c r="S112" s="50"/>
      <c r="T112" s="50"/>
      <c r="U112" s="50"/>
      <c r="V112" s="50"/>
      <c r="W112" s="39"/>
      <c r="X112" s="39"/>
      <c r="Y112" s="39"/>
      <c r="Z112" s="39"/>
      <c r="AA112" s="39"/>
      <c r="AB112" s="39"/>
      <c r="AC112" s="39"/>
      <c r="AD112" s="39"/>
      <c r="AE112" s="39"/>
      <c r="AF112" s="39"/>
      <c r="AG112" s="39"/>
      <c r="AH112" s="39"/>
      <c r="AI112" s="39"/>
      <c r="AJ112" s="39"/>
    </row>
    <row r="113" spans="1:36" s="51" customFormat="1" ht="21" customHeight="1" x14ac:dyDescent="0.15">
      <c r="A113" s="46"/>
      <c r="B113" s="46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6"/>
      <c r="O113" s="48"/>
      <c r="P113" s="49"/>
      <c r="Q113" s="50"/>
      <c r="R113" s="50"/>
      <c r="S113" s="50"/>
      <c r="T113" s="50"/>
      <c r="U113" s="50"/>
      <c r="V113" s="50"/>
      <c r="W113" s="39"/>
      <c r="X113" s="39"/>
      <c r="Y113" s="39"/>
      <c r="Z113" s="39"/>
      <c r="AA113" s="39"/>
      <c r="AB113" s="39"/>
      <c r="AC113" s="39"/>
      <c r="AD113" s="39"/>
      <c r="AE113" s="39"/>
      <c r="AF113" s="39"/>
      <c r="AG113" s="39"/>
      <c r="AH113" s="39"/>
      <c r="AI113" s="39"/>
      <c r="AJ113" s="39"/>
    </row>
    <row r="114" spans="1:36" s="51" customFormat="1" ht="21" customHeight="1" x14ac:dyDescent="0.15">
      <c r="A114" s="46"/>
      <c r="B114" s="46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6"/>
      <c r="O114" s="48"/>
      <c r="P114" s="49"/>
      <c r="Q114" s="50"/>
      <c r="R114" s="50"/>
      <c r="S114" s="50"/>
      <c r="T114" s="50"/>
      <c r="U114" s="50"/>
      <c r="V114" s="50"/>
      <c r="W114" s="39"/>
      <c r="X114" s="39"/>
      <c r="Y114" s="39"/>
      <c r="Z114" s="39"/>
      <c r="AA114" s="39"/>
      <c r="AB114" s="39"/>
      <c r="AC114" s="39"/>
      <c r="AD114" s="39"/>
      <c r="AE114" s="39"/>
      <c r="AF114" s="39"/>
      <c r="AG114" s="39"/>
      <c r="AH114" s="39"/>
      <c r="AI114" s="39"/>
      <c r="AJ114" s="39"/>
    </row>
    <row r="115" spans="1:36" s="51" customFormat="1" ht="21" customHeight="1" x14ac:dyDescent="0.15">
      <c r="A115" s="46"/>
      <c r="B115" s="46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6"/>
      <c r="O115" s="48"/>
      <c r="P115" s="49"/>
      <c r="Q115" s="50"/>
      <c r="R115" s="50"/>
      <c r="S115" s="50"/>
      <c r="T115" s="50"/>
      <c r="U115" s="50"/>
      <c r="V115" s="50"/>
      <c r="W115" s="39"/>
      <c r="X115" s="39"/>
      <c r="Y115" s="39"/>
      <c r="Z115" s="39"/>
      <c r="AA115" s="39"/>
      <c r="AB115" s="39"/>
      <c r="AC115" s="39"/>
      <c r="AD115" s="39"/>
      <c r="AE115" s="39"/>
      <c r="AF115" s="39"/>
      <c r="AG115" s="39"/>
      <c r="AH115" s="39"/>
      <c r="AI115" s="39"/>
      <c r="AJ115" s="39"/>
    </row>
    <row r="116" spans="1:36" s="51" customFormat="1" ht="21" customHeight="1" x14ac:dyDescent="0.15">
      <c r="A116" s="46"/>
      <c r="B116" s="46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6"/>
      <c r="O116" s="48"/>
      <c r="P116" s="49"/>
      <c r="Q116" s="50"/>
      <c r="R116" s="50"/>
      <c r="S116" s="50"/>
      <c r="T116" s="50"/>
      <c r="U116" s="50"/>
      <c r="V116" s="50"/>
      <c r="W116" s="39"/>
      <c r="X116" s="39"/>
      <c r="Y116" s="39"/>
      <c r="Z116" s="39"/>
      <c r="AA116" s="39"/>
      <c r="AB116" s="39"/>
      <c r="AC116" s="39"/>
      <c r="AD116" s="39"/>
      <c r="AE116" s="39"/>
      <c r="AF116" s="39"/>
      <c r="AG116" s="39"/>
      <c r="AH116" s="39"/>
      <c r="AI116" s="39"/>
      <c r="AJ116" s="39"/>
    </row>
    <row r="117" spans="1:36" s="51" customFormat="1" ht="21" customHeight="1" x14ac:dyDescent="0.15">
      <c r="A117" s="46"/>
      <c r="B117" s="46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6"/>
      <c r="O117" s="48"/>
      <c r="P117" s="49"/>
      <c r="Q117" s="50"/>
      <c r="R117" s="50"/>
      <c r="S117" s="50"/>
      <c r="T117" s="50"/>
      <c r="U117" s="50"/>
      <c r="V117" s="50"/>
      <c r="W117" s="39"/>
      <c r="X117" s="39"/>
      <c r="Y117" s="39"/>
      <c r="Z117" s="39"/>
      <c r="AA117" s="39"/>
      <c r="AB117" s="39"/>
      <c r="AC117" s="39"/>
      <c r="AD117" s="39"/>
      <c r="AE117" s="39"/>
      <c r="AF117" s="39"/>
      <c r="AG117" s="39"/>
      <c r="AH117" s="39"/>
      <c r="AI117" s="39"/>
      <c r="AJ117" s="39"/>
    </row>
    <row r="118" spans="1:36" s="51" customFormat="1" ht="21" customHeight="1" x14ac:dyDescent="0.15">
      <c r="A118" s="46"/>
      <c r="B118" s="46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6"/>
      <c r="O118" s="48"/>
      <c r="P118" s="49"/>
      <c r="Q118" s="50"/>
      <c r="R118" s="50"/>
      <c r="S118" s="50"/>
      <c r="T118" s="50"/>
      <c r="U118" s="50"/>
      <c r="V118" s="50"/>
      <c r="W118" s="39"/>
      <c r="X118" s="39"/>
      <c r="Y118" s="39"/>
      <c r="Z118" s="39"/>
      <c r="AA118" s="39"/>
      <c r="AB118" s="39"/>
      <c r="AC118" s="39"/>
      <c r="AD118" s="39"/>
      <c r="AE118" s="39"/>
      <c r="AF118" s="39"/>
      <c r="AG118" s="39"/>
      <c r="AH118" s="39"/>
      <c r="AI118" s="39"/>
      <c r="AJ118" s="39"/>
    </row>
    <row r="119" spans="1:36" s="51" customFormat="1" ht="21" customHeight="1" x14ac:dyDescent="0.15">
      <c r="A119" s="46"/>
      <c r="B119" s="46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6"/>
      <c r="O119" s="48"/>
      <c r="P119" s="49"/>
      <c r="Q119" s="50"/>
      <c r="R119" s="50"/>
      <c r="S119" s="50"/>
      <c r="T119" s="50"/>
      <c r="U119" s="50"/>
      <c r="V119" s="50"/>
      <c r="W119" s="39"/>
      <c r="X119" s="39"/>
      <c r="Y119" s="39"/>
      <c r="Z119" s="39"/>
      <c r="AA119" s="39"/>
      <c r="AB119" s="39"/>
      <c r="AC119" s="39"/>
      <c r="AD119" s="39"/>
      <c r="AE119" s="39"/>
      <c r="AF119" s="39"/>
      <c r="AG119" s="39"/>
      <c r="AH119" s="39"/>
      <c r="AI119" s="39"/>
      <c r="AJ119" s="39"/>
    </row>
    <row r="120" spans="1:36" s="51" customFormat="1" ht="21" customHeight="1" x14ac:dyDescent="0.15">
      <c r="A120" s="46"/>
      <c r="B120" s="46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6"/>
      <c r="O120" s="48"/>
      <c r="P120" s="49"/>
      <c r="Q120" s="50"/>
      <c r="R120" s="50"/>
      <c r="S120" s="50"/>
      <c r="T120" s="50"/>
      <c r="U120" s="50"/>
      <c r="V120" s="50"/>
      <c r="W120" s="39"/>
      <c r="X120" s="39"/>
      <c r="Y120" s="39"/>
      <c r="Z120" s="39"/>
      <c r="AA120" s="39"/>
      <c r="AB120" s="39"/>
      <c r="AC120" s="39"/>
      <c r="AD120" s="39"/>
      <c r="AE120" s="39"/>
      <c r="AF120" s="39"/>
      <c r="AG120" s="39"/>
      <c r="AH120" s="39"/>
      <c r="AI120" s="39"/>
      <c r="AJ120" s="39"/>
    </row>
    <row r="121" spans="1:36" s="51" customFormat="1" ht="21" customHeight="1" x14ac:dyDescent="0.15">
      <c r="A121" s="46"/>
      <c r="B121" s="46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6"/>
      <c r="O121" s="48"/>
      <c r="P121" s="49"/>
      <c r="Q121" s="50"/>
      <c r="R121" s="50"/>
      <c r="S121" s="50"/>
      <c r="T121" s="50"/>
      <c r="U121" s="50"/>
      <c r="V121" s="50"/>
      <c r="W121" s="39"/>
      <c r="X121" s="39"/>
      <c r="Y121" s="39"/>
      <c r="Z121" s="39"/>
      <c r="AA121" s="39"/>
      <c r="AB121" s="39"/>
      <c r="AC121" s="39"/>
      <c r="AD121" s="39"/>
      <c r="AE121" s="39"/>
      <c r="AF121" s="39"/>
      <c r="AG121" s="39"/>
      <c r="AH121" s="39"/>
      <c r="AI121" s="39"/>
      <c r="AJ121" s="39"/>
    </row>
    <row r="122" spans="1:36" s="51" customFormat="1" ht="21" customHeight="1" x14ac:dyDescent="0.15">
      <c r="A122" s="46"/>
      <c r="B122" s="46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6"/>
      <c r="O122" s="48"/>
      <c r="P122" s="49"/>
      <c r="Q122" s="50"/>
      <c r="R122" s="50"/>
      <c r="S122" s="50"/>
      <c r="T122" s="50"/>
      <c r="U122" s="50"/>
      <c r="V122" s="50"/>
      <c r="W122" s="39"/>
      <c r="X122" s="39"/>
      <c r="Y122" s="39"/>
      <c r="Z122" s="39"/>
      <c r="AA122" s="39"/>
      <c r="AB122" s="39"/>
      <c r="AC122" s="39"/>
      <c r="AD122" s="39"/>
      <c r="AE122" s="39"/>
      <c r="AF122" s="39"/>
      <c r="AG122" s="39"/>
      <c r="AH122" s="39"/>
      <c r="AI122" s="39"/>
      <c r="AJ122" s="39"/>
    </row>
    <row r="123" spans="1:36" s="51" customFormat="1" ht="21" customHeight="1" x14ac:dyDescent="0.15">
      <c r="A123" s="46"/>
      <c r="B123" s="46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6"/>
      <c r="O123" s="48"/>
      <c r="P123" s="49"/>
      <c r="Q123" s="50"/>
      <c r="R123" s="50"/>
      <c r="S123" s="50"/>
      <c r="T123" s="50"/>
      <c r="U123" s="50"/>
      <c r="V123" s="50"/>
      <c r="W123" s="39"/>
      <c r="X123" s="39"/>
      <c r="Y123" s="39"/>
      <c r="Z123" s="39"/>
      <c r="AA123" s="39"/>
      <c r="AB123" s="39"/>
      <c r="AC123" s="39"/>
      <c r="AD123" s="39"/>
      <c r="AE123" s="39"/>
      <c r="AF123" s="39"/>
      <c r="AG123" s="39"/>
      <c r="AH123" s="39"/>
      <c r="AI123" s="39"/>
      <c r="AJ123" s="39"/>
    </row>
    <row r="124" spans="1:36" s="51" customFormat="1" ht="21" customHeight="1" x14ac:dyDescent="0.15">
      <c r="A124" s="46"/>
      <c r="B124" s="47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6"/>
      <c r="O124" s="48"/>
      <c r="P124" s="49"/>
      <c r="Q124" s="50"/>
      <c r="R124" s="50"/>
      <c r="S124" s="50"/>
      <c r="T124" s="50"/>
      <c r="U124" s="50"/>
      <c r="V124" s="50"/>
      <c r="W124" s="39"/>
      <c r="X124" s="39"/>
      <c r="Y124" s="39"/>
      <c r="Z124" s="39"/>
      <c r="AA124" s="39"/>
      <c r="AB124" s="39"/>
      <c r="AC124" s="39"/>
      <c r="AD124" s="39"/>
      <c r="AE124" s="39"/>
      <c r="AF124" s="39"/>
      <c r="AG124" s="39"/>
      <c r="AH124" s="39"/>
      <c r="AI124" s="39"/>
      <c r="AJ124" s="39"/>
    </row>
    <row r="125" spans="1:36" s="51" customFormat="1" ht="21" customHeight="1" x14ac:dyDescent="0.15">
      <c r="A125" s="46"/>
      <c r="B125" s="47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6"/>
      <c r="O125" s="48"/>
      <c r="P125" s="49"/>
      <c r="Q125" s="50"/>
      <c r="R125" s="50"/>
      <c r="S125" s="50"/>
      <c r="T125" s="50"/>
      <c r="U125" s="50"/>
      <c r="V125" s="50"/>
      <c r="W125" s="39"/>
      <c r="X125" s="39"/>
      <c r="Y125" s="39"/>
      <c r="Z125" s="39"/>
      <c r="AA125" s="39"/>
      <c r="AB125" s="39"/>
      <c r="AC125" s="39"/>
      <c r="AD125" s="39"/>
      <c r="AE125" s="39"/>
      <c r="AF125" s="39"/>
      <c r="AG125" s="39"/>
      <c r="AH125" s="39"/>
      <c r="AI125" s="39"/>
      <c r="AJ125" s="39"/>
    </row>
    <row r="126" spans="1:36" s="51" customFormat="1" ht="21" customHeight="1" x14ac:dyDescent="0.15">
      <c r="A126" s="46"/>
      <c r="B126" s="47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6"/>
      <c r="O126" s="48"/>
      <c r="P126" s="49"/>
      <c r="Q126" s="50"/>
      <c r="R126" s="50"/>
      <c r="S126" s="50"/>
      <c r="T126" s="50"/>
      <c r="U126" s="50"/>
      <c r="V126" s="50"/>
      <c r="W126" s="39"/>
      <c r="X126" s="39"/>
      <c r="Y126" s="39"/>
      <c r="Z126" s="39"/>
      <c r="AA126" s="39"/>
      <c r="AB126" s="39"/>
      <c r="AC126" s="39"/>
      <c r="AD126" s="39"/>
      <c r="AE126" s="39"/>
      <c r="AF126" s="39"/>
      <c r="AG126" s="39"/>
      <c r="AH126" s="39"/>
      <c r="AI126" s="39"/>
      <c r="AJ126" s="39"/>
    </row>
    <row r="127" spans="1:36" s="51" customFormat="1" ht="21" customHeight="1" x14ac:dyDescent="0.15">
      <c r="A127" s="46"/>
      <c r="B127" s="47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6"/>
      <c r="O127" s="48"/>
      <c r="P127" s="49"/>
      <c r="Q127" s="50"/>
      <c r="R127" s="50"/>
      <c r="S127" s="50"/>
      <c r="T127" s="50"/>
      <c r="U127" s="50"/>
      <c r="V127" s="50"/>
      <c r="W127" s="39"/>
      <c r="X127" s="39"/>
      <c r="Y127" s="39"/>
      <c r="Z127" s="39"/>
      <c r="AA127" s="39"/>
      <c r="AB127" s="39"/>
      <c r="AC127" s="39"/>
      <c r="AD127" s="39"/>
      <c r="AE127" s="39"/>
      <c r="AF127" s="39"/>
      <c r="AG127" s="39"/>
      <c r="AH127" s="39"/>
      <c r="AI127" s="39"/>
      <c r="AJ127" s="39"/>
    </row>
    <row r="128" spans="1:36" s="51" customFormat="1" ht="21" customHeight="1" x14ac:dyDescent="0.15">
      <c r="A128" s="46"/>
      <c r="B128" s="47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6"/>
      <c r="O128" s="48"/>
      <c r="P128" s="49"/>
      <c r="Q128" s="50"/>
      <c r="R128" s="50"/>
      <c r="S128" s="50"/>
      <c r="T128" s="50"/>
      <c r="U128" s="50"/>
      <c r="V128" s="50"/>
      <c r="W128" s="39"/>
      <c r="X128" s="39"/>
      <c r="Y128" s="39"/>
      <c r="Z128" s="39"/>
      <c r="AA128" s="39"/>
      <c r="AB128" s="39"/>
      <c r="AC128" s="39"/>
      <c r="AD128" s="39"/>
      <c r="AE128" s="39"/>
      <c r="AF128" s="39"/>
      <c r="AG128" s="39"/>
      <c r="AH128" s="39"/>
      <c r="AI128" s="39"/>
      <c r="AJ128" s="39"/>
    </row>
    <row r="129" spans="1:36" s="51" customFormat="1" ht="21" customHeight="1" x14ac:dyDescent="0.15">
      <c r="A129" s="46"/>
      <c r="B129" s="47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6"/>
      <c r="O129" s="48"/>
      <c r="P129" s="49"/>
      <c r="Q129" s="50"/>
      <c r="R129" s="50"/>
      <c r="S129" s="50"/>
      <c r="T129" s="50"/>
      <c r="U129" s="50"/>
      <c r="V129" s="50"/>
      <c r="W129" s="39"/>
      <c r="X129" s="39"/>
      <c r="Y129" s="39"/>
      <c r="Z129" s="39"/>
      <c r="AA129" s="39"/>
      <c r="AB129" s="39"/>
      <c r="AC129" s="39"/>
      <c r="AD129" s="39"/>
      <c r="AE129" s="39"/>
      <c r="AF129" s="39"/>
      <c r="AG129" s="39"/>
      <c r="AH129" s="39"/>
      <c r="AI129" s="39"/>
      <c r="AJ129" s="39"/>
    </row>
    <row r="130" spans="1:36" s="51" customFormat="1" ht="21" customHeight="1" x14ac:dyDescent="0.15">
      <c r="A130" s="46"/>
      <c r="B130" s="47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6"/>
      <c r="O130" s="48"/>
      <c r="P130" s="49"/>
      <c r="Q130" s="50"/>
      <c r="R130" s="50"/>
      <c r="S130" s="50"/>
      <c r="T130" s="50"/>
      <c r="U130" s="50"/>
      <c r="V130" s="50"/>
      <c r="W130" s="39"/>
      <c r="X130" s="39"/>
      <c r="Y130" s="39"/>
      <c r="Z130" s="39"/>
      <c r="AA130" s="39"/>
      <c r="AB130" s="39"/>
      <c r="AC130" s="39"/>
      <c r="AD130" s="39"/>
      <c r="AE130" s="39"/>
      <c r="AF130" s="39"/>
      <c r="AG130" s="39"/>
      <c r="AH130" s="39"/>
      <c r="AI130" s="39"/>
      <c r="AJ130" s="39"/>
    </row>
    <row r="131" spans="1:36" s="51" customFormat="1" ht="21" customHeight="1" x14ac:dyDescent="0.15">
      <c r="A131" s="46"/>
      <c r="B131" s="47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6"/>
      <c r="O131" s="48"/>
      <c r="P131" s="49"/>
      <c r="Q131" s="50"/>
      <c r="R131" s="50"/>
      <c r="S131" s="50"/>
      <c r="T131" s="50"/>
      <c r="U131" s="50"/>
      <c r="V131" s="50"/>
      <c r="W131" s="39"/>
      <c r="X131" s="39"/>
      <c r="Y131" s="39"/>
      <c r="Z131" s="39"/>
      <c r="AA131" s="39"/>
      <c r="AB131" s="39"/>
      <c r="AC131" s="39"/>
      <c r="AD131" s="39"/>
      <c r="AE131" s="39"/>
      <c r="AF131" s="39"/>
      <c r="AG131" s="39"/>
      <c r="AH131" s="39"/>
      <c r="AI131" s="39"/>
      <c r="AJ131" s="39"/>
    </row>
    <row r="132" spans="1:36" s="51" customFormat="1" ht="21" customHeight="1" x14ac:dyDescent="0.15">
      <c r="A132" s="46"/>
      <c r="B132" s="47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6"/>
      <c r="O132" s="48"/>
      <c r="P132" s="49"/>
      <c r="Q132" s="50"/>
      <c r="R132" s="50"/>
      <c r="S132" s="50"/>
      <c r="T132" s="50"/>
      <c r="U132" s="50"/>
      <c r="V132" s="50"/>
      <c r="W132" s="39"/>
      <c r="X132" s="39"/>
      <c r="Y132" s="39"/>
      <c r="Z132" s="39"/>
      <c r="AA132" s="39"/>
      <c r="AB132" s="39"/>
      <c r="AC132" s="39"/>
      <c r="AD132" s="39"/>
      <c r="AE132" s="39"/>
      <c r="AF132" s="39"/>
      <c r="AG132" s="39"/>
      <c r="AH132" s="39"/>
      <c r="AI132" s="39"/>
      <c r="AJ132" s="39"/>
    </row>
    <row r="133" spans="1:36" s="51" customFormat="1" ht="21" customHeight="1" x14ac:dyDescent="0.15">
      <c r="A133" s="46"/>
      <c r="B133" s="47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6"/>
      <c r="O133" s="48"/>
      <c r="P133" s="49"/>
      <c r="Q133" s="50"/>
      <c r="R133" s="50"/>
      <c r="S133" s="50"/>
      <c r="T133" s="50"/>
      <c r="U133" s="50"/>
      <c r="V133" s="50"/>
      <c r="W133" s="39"/>
      <c r="X133" s="39"/>
      <c r="Y133" s="39"/>
      <c r="Z133" s="39"/>
      <c r="AA133" s="39"/>
      <c r="AB133" s="39"/>
      <c r="AC133" s="39"/>
      <c r="AD133" s="39"/>
      <c r="AE133" s="39"/>
      <c r="AF133" s="39"/>
      <c r="AG133" s="39"/>
      <c r="AH133" s="39"/>
      <c r="AI133" s="39"/>
      <c r="AJ133" s="39"/>
    </row>
    <row r="134" spans="1:36" s="51" customFormat="1" ht="21" customHeight="1" x14ac:dyDescent="0.15">
      <c r="A134" s="46"/>
      <c r="B134" s="47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6"/>
      <c r="O134" s="48"/>
      <c r="P134" s="49"/>
      <c r="Q134" s="50"/>
      <c r="R134" s="50"/>
      <c r="S134" s="50"/>
      <c r="T134" s="50"/>
      <c r="U134" s="50"/>
      <c r="V134" s="50"/>
      <c r="W134" s="39"/>
      <c r="X134" s="39"/>
      <c r="Y134" s="39"/>
      <c r="Z134" s="39"/>
      <c r="AA134" s="39"/>
      <c r="AB134" s="39"/>
      <c r="AC134" s="39"/>
      <c r="AD134" s="39"/>
      <c r="AE134" s="39"/>
      <c r="AF134" s="39"/>
      <c r="AG134" s="39"/>
      <c r="AH134" s="39"/>
      <c r="AI134" s="39"/>
      <c r="AJ134" s="39"/>
    </row>
    <row r="135" spans="1:36" s="51" customFormat="1" ht="21" customHeight="1" x14ac:dyDescent="0.15">
      <c r="A135" s="46"/>
      <c r="B135" s="52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6"/>
      <c r="O135" s="48"/>
      <c r="P135" s="49"/>
      <c r="Q135" s="50"/>
      <c r="R135" s="50"/>
      <c r="S135" s="50"/>
      <c r="T135" s="50"/>
      <c r="U135" s="50"/>
      <c r="V135" s="50"/>
      <c r="W135" s="39"/>
      <c r="X135" s="39"/>
      <c r="Y135" s="39"/>
      <c r="Z135" s="39"/>
      <c r="AA135" s="39"/>
      <c r="AB135" s="39"/>
      <c r="AC135" s="39"/>
      <c r="AD135" s="39"/>
      <c r="AE135" s="39"/>
      <c r="AF135" s="39"/>
      <c r="AG135" s="39"/>
      <c r="AH135" s="39"/>
      <c r="AI135" s="39"/>
      <c r="AJ135" s="39"/>
    </row>
    <row r="136" spans="1:36" s="51" customFormat="1" ht="21" customHeight="1" x14ac:dyDescent="0.15">
      <c r="A136" s="46"/>
      <c r="B136" s="52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6"/>
      <c r="O136" s="48"/>
      <c r="P136" s="49"/>
      <c r="Q136" s="50"/>
      <c r="R136" s="50"/>
      <c r="S136" s="50"/>
      <c r="T136" s="50"/>
      <c r="U136" s="50"/>
      <c r="V136" s="50"/>
      <c r="W136" s="39"/>
      <c r="X136" s="39"/>
      <c r="Y136" s="39"/>
      <c r="Z136" s="39"/>
      <c r="AA136" s="39"/>
      <c r="AB136" s="39"/>
      <c r="AC136" s="39"/>
      <c r="AD136" s="39"/>
      <c r="AE136" s="39"/>
      <c r="AF136" s="39"/>
      <c r="AG136" s="39"/>
      <c r="AH136" s="39"/>
      <c r="AI136" s="39"/>
      <c r="AJ136" s="39"/>
    </row>
    <row r="137" spans="1:36" s="51" customFormat="1" ht="21" customHeight="1" x14ac:dyDescent="0.15">
      <c r="A137" s="46"/>
      <c r="B137" s="47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6"/>
      <c r="O137" s="48"/>
      <c r="P137" s="49"/>
      <c r="Q137" s="50"/>
      <c r="R137" s="50"/>
      <c r="S137" s="50"/>
      <c r="T137" s="50"/>
      <c r="U137" s="50"/>
      <c r="V137" s="50"/>
      <c r="W137" s="39"/>
      <c r="X137" s="39"/>
      <c r="Y137" s="39"/>
      <c r="Z137" s="39"/>
      <c r="AA137" s="39"/>
      <c r="AB137" s="39"/>
      <c r="AC137" s="39"/>
      <c r="AD137" s="39"/>
      <c r="AE137" s="39"/>
      <c r="AF137" s="39"/>
      <c r="AG137" s="39"/>
      <c r="AH137" s="39"/>
      <c r="AI137" s="39"/>
      <c r="AJ137" s="39"/>
    </row>
    <row r="138" spans="1:36" s="51" customFormat="1" ht="21" customHeight="1" x14ac:dyDescent="0.15">
      <c r="A138" s="46"/>
      <c r="B138" s="47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6"/>
      <c r="O138" s="48"/>
      <c r="P138" s="49"/>
      <c r="Q138" s="50"/>
      <c r="R138" s="50"/>
      <c r="S138" s="50"/>
      <c r="T138" s="50"/>
      <c r="U138" s="50"/>
      <c r="V138" s="50"/>
      <c r="W138" s="39"/>
      <c r="X138" s="39"/>
      <c r="Y138" s="39"/>
      <c r="Z138" s="39"/>
      <c r="AA138" s="39"/>
      <c r="AB138" s="39"/>
      <c r="AC138" s="39"/>
      <c r="AD138" s="39"/>
      <c r="AE138" s="39"/>
      <c r="AF138" s="39"/>
      <c r="AG138" s="39"/>
      <c r="AH138" s="39"/>
      <c r="AI138" s="39"/>
      <c r="AJ138" s="39"/>
    </row>
    <row r="139" spans="1:36" ht="21" customHeight="1" x14ac:dyDescent="0.15">
      <c r="A139" s="39"/>
      <c r="B139" s="40"/>
      <c r="C139" s="39"/>
      <c r="D139" s="39"/>
      <c r="E139" s="39"/>
      <c r="F139" s="39"/>
      <c r="G139" s="39"/>
      <c r="H139" s="39"/>
      <c r="I139" s="39"/>
      <c r="J139" s="39"/>
      <c r="K139" s="39"/>
      <c r="L139" s="39"/>
      <c r="M139" s="39"/>
      <c r="N139" s="39"/>
      <c r="O139" s="41"/>
      <c r="P139" s="42"/>
      <c r="Q139" s="43"/>
      <c r="R139" s="43"/>
      <c r="S139" s="43"/>
      <c r="T139" s="43"/>
      <c r="U139" s="43"/>
      <c r="V139" s="43"/>
    </row>
    <row r="140" spans="1:36" ht="21" customHeight="1" x14ac:dyDescent="0.15">
      <c r="A140" s="39"/>
      <c r="B140" s="40"/>
      <c r="C140" s="39"/>
      <c r="D140" s="39"/>
      <c r="E140" s="39"/>
      <c r="F140" s="39"/>
      <c r="G140" s="39"/>
      <c r="H140" s="39"/>
      <c r="I140" s="39"/>
      <c r="J140" s="39"/>
      <c r="K140" s="39"/>
      <c r="L140" s="39"/>
      <c r="M140" s="39"/>
      <c r="N140" s="39"/>
      <c r="O140" s="41"/>
      <c r="P140" s="42"/>
      <c r="Q140" s="43"/>
      <c r="R140" s="43"/>
      <c r="S140" s="43"/>
      <c r="T140" s="43"/>
      <c r="U140" s="43"/>
      <c r="V140" s="43"/>
    </row>
    <row r="141" spans="1:36" ht="21" customHeight="1" x14ac:dyDescent="0.15">
      <c r="A141" s="39"/>
      <c r="B141" s="40"/>
      <c r="C141" s="39"/>
      <c r="D141" s="39"/>
      <c r="E141" s="39"/>
      <c r="F141" s="39"/>
      <c r="G141" s="39"/>
      <c r="H141" s="39"/>
      <c r="I141" s="39"/>
      <c r="J141" s="39"/>
      <c r="K141" s="39"/>
      <c r="L141" s="39"/>
      <c r="M141" s="39"/>
      <c r="N141" s="39"/>
      <c r="O141" s="41"/>
      <c r="P141" s="42"/>
      <c r="Q141" s="43"/>
      <c r="R141" s="43"/>
      <c r="S141" s="43"/>
      <c r="T141" s="43"/>
      <c r="U141" s="43"/>
      <c r="V141" s="43"/>
    </row>
    <row r="142" spans="1:36" s="12" customFormat="1" ht="21" customHeight="1" thickBot="1" x14ac:dyDescent="0.2">
      <c r="A142" s="39"/>
      <c r="B142" s="40"/>
      <c r="C142" s="39"/>
      <c r="D142" s="39"/>
      <c r="E142" s="39"/>
      <c r="F142" s="39"/>
      <c r="G142" s="39"/>
      <c r="H142" s="39"/>
      <c r="I142" s="39"/>
      <c r="J142" s="39"/>
      <c r="K142" s="39"/>
      <c r="L142" s="39"/>
      <c r="M142" s="39"/>
      <c r="N142" s="39"/>
      <c r="O142" s="41"/>
      <c r="P142" s="42"/>
      <c r="Q142" s="43"/>
      <c r="R142" s="43"/>
      <c r="S142" s="43"/>
      <c r="T142" s="43"/>
      <c r="U142" s="43"/>
      <c r="V142" s="43"/>
      <c r="W142" s="45"/>
      <c r="X142" s="45"/>
      <c r="Y142" s="45"/>
      <c r="Z142" s="45"/>
      <c r="AA142" s="45"/>
      <c r="AB142" s="45"/>
      <c r="AC142" s="45"/>
      <c r="AD142" s="45"/>
      <c r="AE142" s="45"/>
      <c r="AF142" s="45"/>
      <c r="AG142" s="45"/>
      <c r="AH142" s="45"/>
      <c r="AI142" s="45"/>
      <c r="AJ142" s="45"/>
    </row>
    <row r="143" spans="1:36" ht="21" customHeight="1" x14ac:dyDescent="0.15">
      <c r="A143" s="39"/>
      <c r="B143" s="40"/>
      <c r="C143" s="39"/>
      <c r="D143" s="39"/>
      <c r="E143" s="39"/>
      <c r="F143" s="39"/>
      <c r="G143" s="39"/>
      <c r="H143" s="39"/>
      <c r="I143" s="39"/>
      <c r="J143" s="39"/>
      <c r="K143" s="39"/>
      <c r="L143" s="39"/>
      <c r="M143" s="39"/>
      <c r="N143" s="39"/>
      <c r="O143" s="41"/>
      <c r="P143" s="42"/>
      <c r="Q143" s="43"/>
      <c r="R143" s="43"/>
      <c r="S143" s="43"/>
      <c r="T143" s="43"/>
      <c r="U143" s="43"/>
      <c r="V143" s="43"/>
    </row>
    <row r="144" spans="1:36" s="45" customFormat="1" ht="21" customHeight="1" x14ac:dyDescent="0.15">
      <c r="A144" s="39"/>
      <c r="B144" s="40"/>
      <c r="C144" s="39"/>
      <c r="D144" s="39"/>
      <c r="E144" s="39"/>
      <c r="F144" s="39"/>
      <c r="G144" s="39"/>
      <c r="H144" s="39"/>
      <c r="I144" s="39"/>
      <c r="J144" s="39"/>
      <c r="K144" s="39"/>
      <c r="L144" s="39"/>
      <c r="M144" s="39"/>
      <c r="N144" s="39"/>
      <c r="O144" s="41"/>
      <c r="P144" s="42"/>
      <c r="Q144" s="43"/>
      <c r="R144" s="43"/>
      <c r="S144" s="43"/>
      <c r="T144" s="43"/>
      <c r="U144" s="43"/>
      <c r="V144" s="43"/>
    </row>
    <row r="145" spans="1:22" s="45" customFormat="1" ht="21" customHeight="1" x14ac:dyDescent="0.15">
      <c r="A145" s="39"/>
      <c r="B145" s="40"/>
      <c r="C145" s="39"/>
      <c r="D145" s="39"/>
      <c r="E145" s="39"/>
      <c r="F145" s="39"/>
      <c r="G145" s="39"/>
      <c r="H145" s="39"/>
      <c r="I145" s="39"/>
      <c r="J145" s="39"/>
      <c r="K145" s="39"/>
      <c r="L145" s="39"/>
      <c r="M145" s="39"/>
      <c r="N145" s="39"/>
      <c r="O145" s="41"/>
      <c r="P145" s="42"/>
      <c r="Q145" s="43"/>
      <c r="R145" s="43"/>
      <c r="S145" s="43"/>
      <c r="T145" s="43"/>
      <c r="U145" s="43"/>
      <c r="V145" s="43"/>
    </row>
    <row r="146" spans="1:22" s="45" customFormat="1" ht="21" customHeight="1" x14ac:dyDescent="0.15">
      <c r="A146" s="39"/>
      <c r="B146" s="40"/>
      <c r="C146" s="39"/>
      <c r="D146" s="39"/>
      <c r="E146" s="39"/>
      <c r="F146" s="39"/>
      <c r="G146" s="39"/>
      <c r="H146" s="39"/>
      <c r="I146" s="39"/>
      <c r="J146" s="39"/>
      <c r="K146" s="39"/>
      <c r="L146" s="39"/>
      <c r="M146" s="39"/>
      <c r="N146" s="39"/>
      <c r="O146" s="41"/>
      <c r="P146" s="42"/>
      <c r="Q146" s="43"/>
      <c r="R146" s="43"/>
      <c r="S146" s="43"/>
      <c r="T146" s="43"/>
      <c r="U146" s="43"/>
      <c r="V146" s="43"/>
    </row>
    <row r="147" spans="1:22" s="45" customFormat="1" ht="21" customHeight="1" x14ac:dyDescent="0.15">
      <c r="A147" s="39"/>
      <c r="B147" s="40"/>
      <c r="C147" s="39"/>
      <c r="D147" s="39"/>
      <c r="E147" s="39"/>
      <c r="F147" s="39"/>
      <c r="G147" s="39"/>
      <c r="H147" s="39"/>
      <c r="I147" s="39"/>
      <c r="J147" s="39"/>
      <c r="K147" s="39"/>
      <c r="L147" s="39"/>
      <c r="M147" s="39"/>
      <c r="N147" s="39"/>
      <c r="O147" s="41"/>
      <c r="P147" s="42"/>
      <c r="Q147" s="43"/>
      <c r="R147" s="43"/>
      <c r="S147" s="43"/>
      <c r="T147" s="43"/>
      <c r="U147" s="43"/>
      <c r="V147" s="43"/>
    </row>
    <row r="148" spans="1:22" s="45" customFormat="1" ht="21" customHeight="1" x14ac:dyDescent="0.15">
      <c r="A148" s="39"/>
      <c r="B148" s="40"/>
      <c r="C148" s="39"/>
      <c r="D148" s="39"/>
      <c r="E148" s="39"/>
      <c r="F148" s="39"/>
      <c r="G148" s="39"/>
      <c r="H148" s="39"/>
      <c r="I148" s="39"/>
      <c r="J148" s="39"/>
      <c r="K148" s="39"/>
      <c r="L148" s="39"/>
      <c r="M148" s="39"/>
      <c r="N148" s="39"/>
      <c r="O148" s="41"/>
      <c r="P148" s="42"/>
      <c r="Q148" s="43"/>
      <c r="R148" s="43"/>
      <c r="S148" s="43"/>
      <c r="T148" s="43"/>
      <c r="U148" s="43"/>
      <c r="V148" s="43"/>
    </row>
    <row r="149" spans="1:22" s="45" customFormat="1" ht="21" customHeight="1" x14ac:dyDescent="0.15">
      <c r="A149" s="39"/>
      <c r="B149" s="40"/>
      <c r="C149" s="39"/>
      <c r="D149" s="39"/>
      <c r="E149" s="39"/>
      <c r="F149" s="39"/>
      <c r="G149" s="39"/>
      <c r="H149" s="39"/>
      <c r="I149" s="39"/>
      <c r="J149" s="39"/>
      <c r="K149" s="39"/>
      <c r="L149" s="39"/>
      <c r="M149" s="39"/>
      <c r="N149" s="39"/>
      <c r="O149" s="41"/>
      <c r="P149" s="42"/>
      <c r="Q149" s="43"/>
      <c r="R149" s="43"/>
      <c r="S149" s="43"/>
      <c r="T149" s="43"/>
      <c r="U149" s="43"/>
      <c r="V149" s="43"/>
    </row>
    <row r="150" spans="1:22" s="45" customFormat="1" ht="21" customHeight="1" x14ac:dyDescent="0.15">
      <c r="A150" s="39"/>
      <c r="B150" s="40"/>
      <c r="C150" s="39"/>
      <c r="D150" s="39"/>
      <c r="E150" s="39"/>
      <c r="F150" s="39"/>
      <c r="G150" s="39"/>
      <c r="H150" s="39"/>
      <c r="I150" s="39"/>
      <c r="J150" s="39"/>
      <c r="K150" s="39"/>
      <c r="L150" s="39"/>
      <c r="M150" s="39"/>
      <c r="N150" s="39"/>
      <c r="O150" s="41"/>
      <c r="P150" s="42"/>
      <c r="Q150" s="43"/>
      <c r="R150" s="43"/>
      <c r="S150" s="43"/>
      <c r="T150" s="43"/>
      <c r="U150" s="43"/>
      <c r="V150" s="43"/>
    </row>
    <row r="151" spans="1:22" s="45" customFormat="1" ht="21" customHeight="1" x14ac:dyDescent="0.15">
      <c r="A151" s="39"/>
      <c r="B151" s="40"/>
      <c r="C151" s="39"/>
      <c r="D151" s="39"/>
      <c r="E151" s="39"/>
      <c r="F151" s="39"/>
      <c r="G151" s="39"/>
      <c r="H151" s="39"/>
      <c r="I151" s="39"/>
      <c r="J151" s="39"/>
      <c r="K151" s="39"/>
      <c r="L151" s="39"/>
      <c r="M151" s="39"/>
      <c r="N151" s="39"/>
      <c r="O151" s="41"/>
      <c r="P151" s="42"/>
      <c r="Q151" s="43"/>
      <c r="R151" s="43"/>
      <c r="S151" s="43"/>
      <c r="T151" s="43"/>
      <c r="U151" s="43"/>
      <c r="V151" s="43"/>
    </row>
    <row r="152" spans="1:22" s="45" customFormat="1" ht="21" customHeight="1" x14ac:dyDescent="0.15">
      <c r="A152" s="39"/>
      <c r="B152" s="40"/>
      <c r="C152" s="39"/>
      <c r="D152" s="39"/>
      <c r="E152" s="39"/>
      <c r="F152" s="39"/>
      <c r="G152" s="39"/>
      <c r="H152" s="39"/>
      <c r="I152" s="39"/>
      <c r="J152" s="39"/>
      <c r="K152" s="39"/>
      <c r="L152" s="39"/>
      <c r="M152" s="39"/>
      <c r="N152" s="39"/>
      <c r="O152" s="41"/>
      <c r="P152" s="42"/>
      <c r="Q152" s="43"/>
      <c r="R152" s="43"/>
      <c r="S152" s="43"/>
      <c r="T152" s="43"/>
      <c r="U152" s="43"/>
      <c r="V152" s="43"/>
    </row>
    <row r="153" spans="1:22" s="45" customFormat="1" ht="21" customHeight="1" x14ac:dyDescent="0.15">
      <c r="A153" s="39"/>
      <c r="B153" s="40"/>
      <c r="C153" s="39"/>
      <c r="D153" s="39"/>
      <c r="E153" s="39"/>
      <c r="F153" s="39"/>
      <c r="G153" s="39"/>
      <c r="H153" s="39"/>
      <c r="I153" s="39"/>
      <c r="J153" s="39"/>
      <c r="K153" s="39"/>
      <c r="L153" s="39"/>
      <c r="M153" s="39"/>
      <c r="N153" s="39"/>
      <c r="O153" s="41"/>
      <c r="P153" s="42"/>
      <c r="Q153" s="43"/>
      <c r="R153" s="43"/>
      <c r="S153" s="43"/>
      <c r="T153" s="43"/>
      <c r="U153" s="43"/>
      <c r="V153" s="43"/>
    </row>
    <row r="154" spans="1:22" s="45" customFormat="1" ht="21" customHeight="1" x14ac:dyDescent="0.15">
      <c r="A154" s="39"/>
      <c r="B154" s="40"/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39"/>
      <c r="O154" s="41"/>
      <c r="P154" s="42"/>
      <c r="Q154" s="43"/>
      <c r="R154" s="43"/>
      <c r="S154" s="43"/>
      <c r="T154" s="43"/>
      <c r="U154" s="43"/>
      <c r="V154" s="43"/>
    </row>
    <row r="155" spans="1:22" s="45" customFormat="1" ht="21" customHeight="1" x14ac:dyDescent="0.15">
      <c r="A155" s="39"/>
      <c r="B155" s="40"/>
      <c r="C155" s="39"/>
      <c r="D155" s="39"/>
      <c r="E155" s="39"/>
      <c r="F155" s="39"/>
      <c r="G155" s="39"/>
      <c r="H155" s="39"/>
      <c r="I155" s="39"/>
      <c r="J155" s="39"/>
      <c r="K155" s="39"/>
      <c r="L155" s="39"/>
      <c r="M155" s="39"/>
      <c r="N155" s="39"/>
      <c r="O155" s="41"/>
      <c r="P155" s="42"/>
      <c r="Q155" s="43"/>
      <c r="R155" s="43"/>
      <c r="S155" s="43"/>
      <c r="T155" s="43"/>
      <c r="U155" s="43"/>
      <c r="V155" s="43"/>
    </row>
    <row r="156" spans="1:22" s="45" customFormat="1" ht="21" customHeight="1" x14ac:dyDescent="0.15">
      <c r="A156" s="39"/>
      <c r="B156" s="40"/>
      <c r="C156" s="39"/>
      <c r="D156" s="39"/>
      <c r="E156" s="39"/>
      <c r="F156" s="39"/>
      <c r="G156" s="39"/>
      <c r="H156" s="39"/>
      <c r="I156" s="39"/>
      <c r="J156" s="39"/>
      <c r="K156" s="39"/>
      <c r="L156" s="39"/>
      <c r="M156" s="39"/>
      <c r="N156" s="39"/>
      <c r="O156" s="41"/>
      <c r="P156" s="42"/>
      <c r="Q156" s="43"/>
      <c r="R156" s="43"/>
      <c r="S156" s="43"/>
      <c r="T156" s="43"/>
      <c r="U156" s="43"/>
      <c r="V156" s="43"/>
    </row>
    <row r="157" spans="1:22" s="45" customFormat="1" ht="21" customHeight="1" x14ac:dyDescent="0.15">
      <c r="A157" s="39"/>
      <c r="B157" s="40"/>
      <c r="C157" s="39"/>
      <c r="D157" s="39"/>
      <c r="E157" s="39"/>
      <c r="F157" s="39"/>
      <c r="G157" s="39"/>
      <c r="H157" s="39"/>
      <c r="I157" s="39"/>
      <c r="J157" s="39"/>
      <c r="K157" s="39"/>
      <c r="L157" s="39"/>
      <c r="M157" s="39"/>
      <c r="N157" s="39"/>
      <c r="O157" s="41"/>
      <c r="P157" s="42"/>
      <c r="Q157" s="43"/>
      <c r="R157" s="43"/>
      <c r="S157" s="43"/>
      <c r="T157" s="43"/>
      <c r="U157" s="43"/>
      <c r="V157" s="43"/>
    </row>
    <row r="158" spans="1:22" s="45" customFormat="1" ht="21" customHeight="1" x14ac:dyDescent="0.15">
      <c r="A158" s="39"/>
      <c r="B158" s="40"/>
      <c r="C158" s="39"/>
      <c r="D158" s="39"/>
      <c r="E158" s="39"/>
      <c r="F158" s="39"/>
      <c r="G158" s="39"/>
      <c r="H158" s="39"/>
      <c r="I158" s="39"/>
      <c r="J158" s="39"/>
      <c r="K158" s="39"/>
      <c r="L158" s="39"/>
      <c r="M158" s="39"/>
      <c r="N158" s="39"/>
      <c r="O158" s="41"/>
      <c r="P158" s="42"/>
      <c r="Q158" s="43"/>
      <c r="R158" s="43"/>
      <c r="S158" s="43"/>
      <c r="T158" s="43"/>
      <c r="U158" s="43"/>
      <c r="V158" s="43"/>
    </row>
    <row r="159" spans="1:22" s="45" customFormat="1" ht="21" customHeight="1" x14ac:dyDescent="0.15">
      <c r="A159" s="39"/>
      <c r="B159" s="40"/>
      <c r="C159" s="39"/>
      <c r="D159" s="39"/>
      <c r="E159" s="39"/>
      <c r="F159" s="39"/>
      <c r="G159" s="39"/>
      <c r="H159" s="39"/>
      <c r="I159" s="39"/>
      <c r="J159" s="39"/>
      <c r="K159" s="39"/>
      <c r="L159" s="39"/>
      <c r="M159" s="39"/>
      <c r="N159" s="39"/>
      <c r="O159" s="41"/>
      <c r="P159" s="42"/>
      <c r="Q159" s="43"/>
      <c r="R159" s="43"/>
      <c r="S159" s="43"/>
      <c r="T159" s="43"/>
      <c r="U159" s="43"/>
      <c r="V159" s="43"/>
    </row>
    <row r="160" spans="1:22" s="45" customFormat="1" ht="21" customHeight="1" x14ac:dyDescent="0.15">
      <c r="A160" s="39"/>
      <c r="B160" s="40"/>
      <c r="C160" s="39"/>
      <c r="D160" s="39"/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41"/>
      <c r="P160" s="42"/>
      <c r="Q160" s="43"/>
      <c r="R160" s="43"/>
      <c r="S160" s="43"/>
      <c r="T160" s="43"/>
      <c r="U160" s="43"/>
      <c r="V160" s="43"/>
    </row>
    <row r="161" spans="1:22" s="45" customFormat="1" ht="21" customHeight="1" x14ac:dyDescent="0.15">
      <c r="A161" s="39"/>
      <c r="B161" s="40"/>
      <c r="C161" s="39"/>
      <c r="D161" s="39"/>
      <c r="E161" s="39"/>
      <c r="F161" s="39"/>
      <c r="G161" s="39"/>
      <c r="H161" s="39"/>
      <c r="I161" s="39"/>
      <c r="J161" s="39"/>
      <c r="K161" s="39"/>
      <c r="L161" s="39"/>
      <c r="M161" s="39"/>
      <c r="N161" s="39"/>
      <c r="O161" s="41"/>
      <c r="P161" s="42"/>
      <c r="Q161" s="43"/>
      <c r="R161" s="43"/>
      <c r="S161" s="43"/>
      <c r="T161" s="43"/>
      <c r="U161" s="43"/>
      <c r="V161" s="43"/>
    </row>
    <row r="162" spans="1:22" s="45" customFormat="1" ht="21" customHeight="1" x14ac:dyDescent="0.15">
      <c r="A162" s="39"/>
      <c r="B162" s="40"/>
      <c r="C162" s="39"/>
      <c r="D162" s="39"/>
      <c r="E162" s="39"/>
      <c r="F162" s="39"/>
      <c r="G162" s="39"/>
      <c r="H162" s="39"/>
      <c r="I162" s="39"/>
      <c r="J162" s="39"/>
      <c r="K162" s="39"/>
      <c r="L162" s="39"/>
      <c r="M162" s="39"/>
      <c r="N162" s="39"/>
      <c r="O162" s="41"/>
      <c r="P162" s="42"/>
      <c r="Q162" s="43"/>
      <c r="R162" s="43"/>
      <c r="S162" s="43"/>
      <c r="T162" s="43"/>
      <c r="U162" s="43"/>
      <c r="V162" s="43"/>
    </row>
    <row r="163" spans="1:22" s="45" customFormat="1" ht="21" customHeight="1" x14ac:dyDescent="0.15">
      <c r="A163" s="39"/>
      <c r="B163" s="40"/>
      <c r="C163" s="39"/>
      <c r="D163" s="39"/>
      <c r="E163" s="39"/>
      <c r="F163" s="39"/>
      <c r="G163" s="39"/>
      <c r="H163" s="39"/>
      <c r="I163" s="39"/>
      <c r="J163" s="39"/>
      <c r="K163" s="39"/>
      <c r="L163" s="39"/>
      <c r="M163" s="39"/>
      <c r="N163" s="39"/>
      <c r="O163" s="41"/>
      <c r="P163" s="42"/>
      <c r="Q163" s="43"/>
      <c r="R163" s="43"/>
      <c r="S163" s="43"/>
      <c r="T163" s="43"/>
      <c r="U163" s="43"/>
      <c r="V163" s="43"/>
    </row>
    <row r="164" spans="1:22" s="45" customFormat="1" ht="21" customHeight="1" x14ac:dyDescent="0.15">
      <c r="A164" s="39"/>
      <c r="B164" s="40"/>
      <c r="C164" s="39"/>
      <c r="D164" s="39"/>
      <c r="E164" s="39"/>
      <c r="F164" s="39"/>
      <c r="G164" s="39"/>
      <c r="H164" s="39"/>
      <c r="I164" s="39"/>
      <c r="J164" s="39"/>
      <c r="K164" s="39"/>
      <c r="L164" s="39"/>
      <c r="M164" s="39"/>
      <c r="N164" s="39"/>
      <c r="O164" s="41"/>
      <c r="P164" s="42"/>
      <c r="Q164" s="43"/>
      <c r="R164" s="43"/>
      <c r="S164" s="43"/>
      <c r="T164" s="43"/>
      <c r="U164" s="43"/>
      <c r="V164" s="43"/>
    </row>
    <row r="165" spans="1:22" s="45" customFormat="1" ht="21" customHeight="1" x14ac:dyDescent="0.15">
      <c r="A165" s="39"/>
      <c r="B165" s="40"/>
      <c r="C165" s="39"/>
      <c r="D165" s="39"/>
      <c r="E165" s="39"/>
      <c r="F165" s="39"/>
      <c r="G165" s="39"/>
      <c r="H165" s="39"/>
      <c r="I165" s="39"/>
      <c r="J165" s="39"/>
      <c r="K165" s="39"/>
      <c r="L165" s="39"/>
      <c r="M165" s="39"/>
      <c r="N165" s="39"/>
      <c r="O165" s="41"/>
      <c r="P165" s="42"/>
      <c r="Q165" s="43"/>
      <c r="R165" s="43"/>
      <c r="S165" s="43"/>
      <c r="T165" s="43"/>
      <c r="U165" s="43"/>
      <c r="V165" s="43"/>
    </row>
    <row r="166" spans="1:22" s="45" customFormat="1" ht="21" customHeight="1" x14ac:dyDescent="0.15">
      <c r="A166" s="39"/>
      <c r="B166" s="40"/>
      <c r="C166" s="39"/>
      <c r="D166" s="39"/>
      <c r="E166" s="39"/>
      <c r="F166" s="39"/>
      <c r="G166" s="39"/>
      <c r="H166" s="39"/>
      <c r="I166" s="39"/>
      <c r="J166" s="39"/>
      <c r="K166" s="39"/>
      <c r="L166" s="39"/>
      <c r="M166" s="39"/>
      <c r="N166" s="39"/>
      <c r="O166" s="41"/>
      <c r="P166" s="42"/>
      <c r="Q166" s="43"/>
      <c r="R166" s="43"/>
      <c r="S166" s="43"/>
      <c r="T166" s="43"/>
      <c r="U166" s="43"/>
      <c r="V166" s="43"/>
    </row>
    <row r="167" spans="1:22" s="45" customFormat="1" ht="21" customHeight="1" x14ac:dyDescent="0.15">
      <c r="A167" s="39"/>
      <c r="B167" s="40"/>
      <c r="C167" s="39"/>
      <c r="D167" s="39"/>
      <c r="E167" s="39"/>
      <c r="F167" s="39"/>
      <c r="G167" s="39"/>
      <c r="H167" s="39"/>
      <c r="I167" s="39"/>
      <c r="J167" s="39"/>
      <c r="K167" s="39"/>
      <c r="L167" s="39"/>
      <c r="M167" s="39"/>
      <c r="N167" s="39"/>
      <c r="O167" s="41"/>
      <c r="P167" s="42"/>
      <c r="Q167" s="43"/>
      <c r="R167" s="43"/>
      <c r="S167" s="43"/>
      <c r="T167" s="43"/>
      <c r="U167" s="43"/>
      <c r="V167" s="43"/>
    </row>
    <row r="168" spans="1:22" s="45" customFormat="1" ht="21" customHeight="1" x14ac:dyDescent="0.15">
      <c r="A168" s="39"/>
      <c r="B168" s="40"/>
      <c r="C168" s="39"/>
      <c r="D168" s="39"/>
      <c r="E168" s="39"/>
      <c r="F168" s="39"/>
      <c r="G168" s="39"/>
      <c r="H168" s="39"/>
      <c r="I168" s="39"/>
      <c r="J168" s="39"/>
      <c r="K168" s="39"/>
      <c r="L168" s="39"/>
      <c r="M168" s="39"/>
      <c r="N168" s="39"/>
      <c r="O168" s="41"/>
      <c r="P168" s="42"/>
      <c r="Q168" s="43"/>
      <c r="R168" s="43"/>
      <c r="S168" s="43"/>
      <c r="T168" s="43"/>
      <c r="U168" s="43"/>
      <c r="V168" s="43"/>
    </row>
    <row r="169" spans="1:22" s="45" customFormat="1" ht="21" customHeight="1" x14ac:dyDescent="0.15">
      <c r="A169" s="39"/>
      <c r="B169" s="40"/>
      <c r="C169" s="39"/>
      <c r="D169" s="39"/>
      <c r="E169" s="39"/>
      <c r="F169" s="39"/>
      <c r="G169" s="39"/>
      <c r="H169" s="39"/>
      <c r="I169" s="39"/>
      <c r="J169" s="39"/>
      <c r="K169" s="39"/>
      <c r="L169" s="39"/>
      <c r="M169" s="39"/>
      <c r="N169" s="39"/>
      <c r="O169" s="41"/>
      <c r="P169" s="42"/>
      <c r="Q169" s="43"/>
      <c r="R169" s="43"/>
      <c r="S169" s="43"/>
      <c r="T169" s="43"/>
      <c r="U169" s="43"/>
      <c r="V169" s="43"/>
    </row>
    <row r="170" spans="1:22" s="45" customFormat="1" ht="21" customHeight="1" x14ac:dyDescent="0.15">
      <c r="A170" s="39"/>
      <c r="B170" s="40"/>
      <c r="C170" s="39"/>
      <c r="D170" s="39"/>
      <c r="E170" s="39"/>
      <c r="F170" s="39"/>
      <c r="G170" s="39"/>
      <c r="H170" s="39"/>
      <c r="I170" s="39"/>
      <c r="J170" s="39"/>
      <c r="K170" s="39"/>
      <c r="L170" s="39"/>
      <c r="M170" s="39"/>
      <c r="N170" s="39"/>
      <c r="O170" s="41"/>
      <c r="P170" s="42"/>
      <c r="Q170" s="43"/>
      <c r="R170" s="43"/>
      <c r="S170" s="43"/>
      <c r="T170" s="43"/>
      <c r="U170" s="43"/>
      <c r="V170" s="43"/>
    </row>
    <row r="171" spans="1:22" s="45" customFormat="1" ht="21" customHeight="1" x14ac:dyDescent="0.15">
      <c r="A171" s="39"/>
      <c r="B171" s="40"/>
      <c r="C171" s="39"/>
      <c r="D171" s="39"/>
      <c r="E171" s="39"/>
      <c r="F171" s="39"/>
      <c r="G171" s="39"/>
      <c r="H171" s="39"/>
      <c r="I171" s="39"/>
      <c r="J171" s="39"/>
      <c r="K171" s="39"/>
      <c r="L171" s="39"/>
      <c r="M171" s="39"/>
      <c r="N171" s="39"/>
      <c r="O171" s="41"/>
      <c r="P171" s="42"/>
      <c r="Q171" s="43"/>
      <c r="R171" s="43"/>
      <c r="S171" s="43"/>
      <c r="T171" s="43"/>
      <c r="U171" s="43"/>
      <c r="V171" s="43"/>
    </row>
    <row r="172" spans="1:22" s="45" customFormat="1" ht="21" customHeight="1" x14ac:dyDescent="0.15">
      <c r="A172" s="39"/>
      <c r="B172" s="40"/>
      <c r="C172" s="39"/>
      <c r="D172" s="39"/>
      <c r="E172" s="39"/>
      <c r="F172" s="39"/>
      <c r="G172" s="39"/>
      <c r="H172" s="39"/>
      <c r="I172" s="39"/>
      <c r="J172" s="39"/>
      <c r="K172" s="39"/>
      <c r="L172" s="39"/>
      <c r="M172" s="39"/>
      <c r="N172" s="39"/>
      <c r="O172" s="41"/>
      <c r="P172" s="42"/>
      <c r="Q172" s="43"/>
      <c r="R172" s="43"/>
      <c r="S172" s="43"/>
      <c r="T172" s="43"/>
      <c r="U172" s="43"/>
      <c r="V172" s="43"/>
    </row>
    <row r="173" spans="1:22" s="45" customFormat="1" ht="21" customHeight="1" x14ac:dyDescent="0.15">
      <c r="A173" s="39"/>
      <c r="B173" s="40"/>
      <c r="C173" s="39"/>
      <c r="D173" s="39"/>
      <c r="E173" s="39"/>
      <c r="F173" s="39"/>
      <c r="G173" s="39"/>
      <c r="H173" s="39"/>
      <c r="I173" s="39"/>
      <c r="J173" s="39"/>
      <c r="K173" s="39"/>
      <c r="L173" s="39"/>
      <c r="M173" s="39"/>
      <c r="N173" s="39"/>
      <c r="O173" s="41"/>
      <c r="P173" s="42"/>
      <c r="Q173" s="43"/>
      <c r="R173" s="43"/>
      <c r="S173" s="43"/>
      <c r="T173" s="43"/>
      <c r="U173" s="43"/>
      <c r="V173" s="43"/>
    </row>
    <row r="174" spans="1:22" s="45" customFormat="1" ht="21" customHeight="1" x14ac:dyDescent="0.15">
      <c r="A174" s="39"/>
      <c r="B174" s="40"/>
      <c r="C174" s="39"/>
      <c r="D174" s="39"/>
      <c r="E174" s="39"/>
      <c r="F174" s="39"/>
      <c r="G174" s="39"/>
      <c r="H174" s="39"/>
      <c r="I174" s="39"/>
      <c r="J174" s="39"/>
      <c r="K174" s="39"/>
      <c r="L174" s="39"/>
      <c r="M174" s="39"/>
      <c r="N174" s="39"/>
      <c r="O174" s="41"/>
      <c r="P174" s="42"/>
      <c r="Q174" s="43"/>
      <c r="R174" s="43"/>
      <c r="S174" s="43"/>
      <c r="T174" s="43"/>
      <c r="U174" s="43"/>
      <c r="V174" s="43"/>
    </row>
    <row r="175" spans="1:22" s="45" customFormat="1" ht="21" customHeight="1" x14ac:dyDescent="0.15">
      <c r="A175" s="39"/>
      <c r="B175" s="40"/>
      <c r="C175" s="39"/>
      <c r="D175" s="39"/>
      <c r="E175" s="39"/>
      <c r="F175" s="39"/>
      <c r="G175" s="39"/>
      <c r="H175" s="39"/>
      <c r="I175" s="39"/>
      <c r="J175" s="39"/>
      <c r="K175" s="39"/>
      <c r="L175" s="39"/>
      <c r="M175" s="39"/>
      <c r="N175" s="39"/>
      <c r="O175" s="41"/>
      <c r="P175" s="42"/>
      <c r="Q175" s="43"/>
      <c r="R175" s="43"/>
      <c r="S175" s="43"/>
      <c r="T175" s="43"/>
      <c r="U175" s="43"/>
      <c r="V175" s="43"/>
    </row>
    <row r="176" spans="1:22" ht="21" customHeight="1" x14ac:dyDescent="0.15">
      <c r="A176" s="39"/>
      <c r="B176" s="40"/>
      <c r="C176" s="39"/>
      <c r="D176" s="39"/>
      <c r="E176" s="39"/>
      <c r="F176" s="39"/>
      <c r="G176" s="39"/>
      <c r="H176" s="39"/>
      <c r="I176" s="39"/>
      <c r="J176" s="39"/>
      <c r="K176" s="39"/>
      <c r="L176" s="39"/>
      <c r="M176" s="39"/>
      <c r="N176" s="39"/>
      <c r="O176" s="41"/>
      <c r="P176" s="42"/>
      <c r="Q176" s="43"/>
      <c r="R176" s="43"/>
      <c r="S176" s="43"/>
      <c r="T176" s="43"/>
      <c r="U176" s="43"/>
      <c r="V176" s="43"/>
    </row>
    <row r="177" spans="1:36" ht="21" customHeight="1" x14ac:dyDescent="0.15">
      <c r="A177" s="39"/>
      <c r="B177" s="40"/>
      <c r="C177" s="39"/>
      <c r="D177" s="39"/>
      <c r="E177" s="39"/>
      <c r="F177" s="39"/>
      <c r="G177" s="39"/>
      <c r="H177" s="39"/>
      <c r="I177" s="39"/>
      <c r="J177" s="39"/>
      <c r="K177" s="39"/>
      <c r="L177" s="39"/>
      <c r="M177" s="39"/>
      <c r="N177" s="39"/>
      <c r="O177" s="41"/>
      <c r="P177" s="42"/>
      <c r="Q177" s="43"/>
      <c r="R177" s="43"/>
      <c r="S177" s="43"/>
      <c r="T177" s="43"/>
      <c r="U177" s="43"/>
      <c r="V177" s="43"/>
    </row>
    <row r="178" spans="1:36" ht="21" customHeight="1" x14ac:dyDescent="0.15">
      <c r="A178" s="39"/>
      <c r="B178" s="40"/>
      <c r="C178" s="39"/>
      <c r="D178" s="39"/>
      <c r="E178" s="39"/>
      <c r="F178" s="39"/>
      <c r="G178" s="39"/>
      <c r="H178" s="39"/>
      <c r="I178" s="39"/>
      <c r="J178" s="39"/>
      <c r="K178" s="39"/>
      <c r="L178" s="39"/>
      <c r="M178" s="39"/>
      <c r="N178" s="39"/>
      <c r="O178" s="41"/>
      <c r="P178" s="42"/>
      <c r="Q178" s="43"/>
      <c r="R178" s="43"/>
      <c r="S178" s="43"/>
      <c r="T178" s="43"/>
      <c r="U178" s="43"/>
      <c r="V178" s="43"/>
    </row>
    <row r="179" spans="1:36" ht="21" customHeight="1" x14ac:dyDescent="0.15">
      <c r="A179" s="39"/>
      <c r="B179" s="40"/>
      <c r="C179" s="39"/>
      <c r="D179" s="39"/>
      <c r="E179" s="39"/>
      <c r="F179" s="39"/>
      <c r="G179" s="39"/>
      <c r="H179" s="39"/>
      <c r="I179" s="39"/>
      <c r="J179" s="39"/>
      <c r="K179" s="39"/>
      <c r="L179" s="39"/>
      <c r="M179" s="39"/>
      <c r="N179" s="39"/>
      <c r="O179" s="41"/>
      <c r="P179" s="42"/>
      <c r="Q179" s="43"/>
      <c r="R179" s="43"/>
      <c r="S179" s="43"/>
      <c r="T179" s="43"/>
      <c r="U179" s="43"/>
      <c r="V179" s="43"/>
    </row>
    <row r="180" spans="1:36" ht="21" customHeight="1" x14ac:dyDescent="0.15">
      <c r="A180" s="39"/>
      <c r="B180" s="40"/>
      <c r="C180" s="39"/>
      <c r="D180" s="39"/>
      <c r="E180" s="39"/>
      <c r="F180" s="39"/>
      <c r="G180" s="39"/>
      <c r="H180" s="39"/>
      <c r="I180" s="39"/>
      <c r="J180" s="39"/>
      <c r="K180" s="39"/>
      <c r="L180" s="39"/>
      <c r="M180" s="39"/>
      <c r="N180" s="39"/>
      <c r="O180" s="41"/>
      <c r="P180" s="42"/>
      <c r="Q180" s="43"/>
      <c r="R180" s="43"/>
      <c r="S180" s="43"/>
      <c r="T180" s="43"/>
      <c r="U180" s="43"/>
      <c r="V180" s="43"/>
    </row>
    <row r="181" spans="1:36" ht="21" customHeight="1" x14ac:dyDescent="0.15">
      <c r="A181" s="39"/>
      <c r="B181" s="40"/>
      <c r="C181" s="39"/>
      <c r="D181" s="39"/>
      <c r="E181" s="39"/>
      <c r="F181" s="39"/>
      <c r="G181" s="39"/>
      <c r="H181" s="39"/>
      <c r="I181" s="39"/>
      <c r="J181" s="39"/>
      <c r="K181" s="39"/>
      <c r="L181" s="39"/>
      <c r="M181" s="39"/>
      <c r="N181" s="39"/>
      <c r="O181" s="41"/>
      <c r="P181" s="42"/>
      <c r="Q181" s="43"/>
      <c r="R181" s="43"/>
      <c r="S181" s="43"/>
      <c r="T181" s="43"/>
      <c r="U181" s="43"/>
      <c r="V181" s="43"/>
    </row>
    <row r="182" spans="1:36" ht="21" customHeight="1" x14ac:dyDescent="0.15">
      <c r="A182" s="39"/>
      <c r="B182" s="40"/>
      <c r="C182" s="39"/>
      <c r="D182" s="39"/>
      <c r="E182" s="39"/>
      <c r="F182" s="39"/>
      <c r="G182" s="39"/>
      <c r="H182" s="39"/>
      <c r="I182" s="39"/>
      <c r="J182" s="39"/>
      <c r="K182" s="39"/>
      <c r="L182" s="39"/>
      <c r="M182" s="39"/>
      <c r="N182" s="39"/>
      <c r="O182" s="41"/>
      <c r="P182" s="42"/>
      <c r="Q182" s="43"/>
      <c r="R182" s="43"/>
      <c r="S182" s="43"/>
      <c r="T182" s="43"/>
      <c r="U182" s="43"/>
      <c r="V182" s="43"/>
    </row>
    <row r="183" spans="1:36" ht="21" customHeight="1" x14ac:dyDescent="0.15">
      <c r="A183" s="39"/>
      <c r="B183" s="40"/>
      <c r="C183" s="39"/>
      <c r="D183" s="39"/>
      <c r="E183" s="39"/>
      <c r="F183" s="39"/>
      <c r="G183" s="39"/>
      <c r="H183" s="39"/>
      <c r="I183" s="39"/>
      <c r="J183" s="39"/>
      <c r="K183" s="39"/>
      <c r="L183" s="39"/>
      <c r="M183" s="39"/>
      <c r="N183" s="39"/>
      <c r="O183" s="41"/>
      <c r="P183" s="42"/>
      <c r="Q183" s="43"/>
      <c r="R183" s="43"/>
      <c r="S183" s="43"/>
      <c r="T183" s="43"/>
      <c r="U183" s="43"/>
      <c r="V183" s="43"/>
    </row>
    <row r="184" spans="1:36" ht="21" customHeight="1" x14ac:dyDescent="0.15">
      <c r="A184" s="39"/>
      <c r="B184" s="40"/>
      <c r="C184" s="39"/>
      <c r="D184" s="39"/>
      <c r="E184" s="39"/>
      <c r="F184" s="39"/>
      <c r="G184" s="39"/>
      <c r="H184" s="39"/>
      <c r="I184" s="39"/>
      <c r="J184" s="39"/>
      <c r="K184" s="39"/>
      <c r="L184" s="39"/>
      <c r="M184" s="39"/>
      <c r="N184" s="39"/>
      <c r="O184" s="41"/>
      <c r="P184" s="42"/>
      <c r="Q184" s="43"/>
      <c r="R184" s="43"/>
      <c r="S184" s="43"/>
      <c r="T184" s="43"/>
      <c r="U184" s="43"/>
      <c r="V184" s="43"/>
    </row>
    <row r="185" spans="1:36" ht="21" customHeight="1" x14ac:dyDescent="0.15">
      <c r="A185" s="39"/>
      <c r="B185" s="44"/>
      <c r="C185" s="39"/>
      <c r="D185" s="39"/>
      <c r="E185" s="39"/>
      <c r="F185" s="39"/>
      <c r="G185" s="39"/>
      <c r="H185" s="39"/>
      <c r="I185" s="39"/>
      <c r="J185" s="39"/>
      <c r="K185" s="39"/>
      <c r="L185" s="39"/>
      <c r="M185" s="39"/>
      <c r="N185" s="39"/>
      <c r="O185" s="41"/>
      <c r="P185" s="42"/>
      <c r="Q185" s="43"/>
      <c r="R185" s="43"/>
      <c r="S185" s="43"/>
      <c r="T185" s="43"/>
      <c r="U185" s="43"/>
      <c r="V185" s="43"/>
    </row>
    <row r="186" spans="1:36" ht="21" customHeight="1" x14ac:dyDescent="0.15">
      <c r="A186" s="39"/>
      <c r="B186" s="44"/>
      <c r="C186" s="39"/>
      <c r="D186" s="39"/>
      <c r="E186" s="39"/>
      <c r="F186" s="39"/>
      <c r="G186" s="39"/>
      <c r="H186" s="39"/>
      <c r="I186" s="39"/>
      <c r="J186" s="39"/>
      <c r="K186" s="39"/>
      <c r="L186" s="39"/>
      <c r="M186" s="39"/>
      <c r="N186" s="39"/>
      <c r="O186" s="41"/>
      <c r="P186" s="42"/>
      <c r="Q186" s="43"/>
      <c r="R186" s="43"/>
      <c r="S186" s="43"/>
      <c r="T186" s="43"/>
      <c r="U186" s="43"/>
      <c r="V186" s="43"/>
    </row>
    <row r="187" spans="1:36" ht="21" customHeight="1" x14ac:dyDescent="0.15">
      <c r="A187" s="39"/>
      <c r="B187" s="44"/>
      <c r="C187" s="39"/>
      <c r="D187" s="39"/>
      <c r="E187" s="39"/>
      <c r="F187" s="39"/>
      <c r="G187" s="39"/>
      <c r="H187" s="39"/>
      <c r="I187" s="39"/>
      <c r="J187" s="39"/>
      <c r="K187" s="39"/>
      <c r="L187" s="39"/>
      <c r="M187" s="39"/>
      <c r="N187" s="39"/>
      <c r="O187" s="41"/>
      <c r="P187" s="42"/>
      <c r="Q187" s="43"/>
      <c r="R187" s="43"/>
      <c r="S187" s="43"/>
      <c r="T187" s="43"/>
      <c r="U187" s="43"/>
      <c r="V187" s="43"/>
    </row>
    <row r="188" spans="1:36" ht="21" customHeight="1" x14ac:dyDescent="0.15">
      <c r="A188" s="39"/>
      <c r="B188" s="44"/>
      <c r="C188" s="39"/>
      <c r="D188" s="39"/>
      <c r="E188" s="39"/>
      <c r="F188" s="39"/>
      <c r="G188" s="39"/>
      <c r="H188" s="39"/>
      <c r="I188" s="39"/>
      <c r="J188" s="39"/>
      <c r="K188" s="39"/>
      <c r="L188" s="39"/>
      <c r="M188" s="39"/>
      <c r="N188" s="39"/>
      <c r="O188" s="41"/>
      <c r="P188" s="42"/>
      <c r="Q188" s="43"/>
      <c r="R188" s="43"/>
      <c r="S188" s="43"/>
      <c r="T188" s="43"/>
      <c r="U188" s="43"/>
      <c r="V188" s="43"/>
    </row>
    <row r="189" spans="1:36" s="9" customFormat="1" ht="21" customHeight="1" thickBot="1" x14ac:dyDescent="0.2">
      <c r="A189" s="39"/>
      <c r="B189" s="40"/>
      <c r="C189" s="39"/>
      <c r="D189" s="39"/>
      <c r="E189" s="39"/>
      <c r="F189" s="39"/>
      <c r="G189" s="39"/>
      <c r="H189" s="39"/>
      <c r="I189" s="39"/>
      <c r="J189" s="39"/>
      <c r="K189" s="39"/>
      <c r="L189" s="39"/>
      <c r="M189" s="39"/>
      <c r="N189" s="39"/>
      <c r="O189" s="41"/>
      <c r="P189" s="42"/>
      <c r="Q189" s="43"/>
      <c r="R189" s="43"/>
      <c r="S189" s="43"/>
      <c r="T189" s="43"/>
      <c r="U189" s="43"/>
      <c r="V189" s="43"/>
      <c r="W189" s="45"/>
      <c r="X189" s="45"/>
      <c r="Y189" s="45"/>
      <c r="Z189" s="45"/>
      <c r="AA189" s="45"/>
      <c r="AB189" s="45"/>
      <c r="AC189" s="45"/>
      <c r="AD189" s="45"/>
      <c r="AE189" s="45"/>
      <c r="AF189" s="45"/>
      <c r="AG189" s="45"/>
      <c r="AH189" s="45"/>
      <c r="AI189" s="45"/>
      <c r="AJ189" s="45"/>
    </row>
    <row r="190" spans="1:36" ht="21" customHeight="1" x14ac:dyDescent="0.15">
      <c r="A190" s="39"/>
      <c r="B190" s="40"/>
      <c r="C190" s="39"/>
      <c r="D190" s="39"/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41"/>
      <c r="P190" s="42"/>
      <c r="Q190" s="43"/>
      <c r="R190" s="43"/>
      <c r="S190" s="43"/>
      <c r="T190" s="43"/>
      <c r="U190" s="43"/>
      <c r="V190" s="43"/>
    </row>
    <row r="191" spans="1:36" ht="21" customHeight="1" x14ac:dyDescent="0.15">
      <c r="A191" s="39"/>
      <c r="B191" s="40"/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39"/>
      <c r="O191" s="41"/>
      <c r="P191" s="42"/>
      <c r="Q191" s="43"/>
      <c r="R191" s="43"/>
      <c r="S191" s="43"/>
      <c r="T191" s="43"/>
      <c r="U191" s="43"/>
      <c r="V191" s="43"/>
    </row>
    <row r="192" spans="1:36" s="45" customFormat="1" ht="21" customHeight="1" x14ac:dyDescent="0.15">
      <c r="A192" s="39"/>
      <c r="B192" s="40"/>
      <c r="C192" s="39"/>
      <c r="D192" s="39"/>
      <c r="E192" s="39"/>
      <c r="F192" s="39"/>
      <c r="G192" s="39"/>
      <c r="H192" s="39"/>
      <c r="I192" s="39"/>
      <c r="J192" s="39"/>
      <c r="K192" s="39"/>
      <c r="L192" s="39"/>
      <c r="M192" s="39"/>
      <c r="N192" s="39"/>
      <c r="O192" s="41"/>
      <c r="P192" s="42"/>
      <c r="Q192" s="43"/>
      <c r="R192" s="43"/>
      <c r="S192" s="43"/>
      <c r="T192" s="43"/>
      <c r="U192" s="43"/>
      <c r="V192" s="43"/>
    </row>
    <row r="193" spans="1:22" s="45" customFormat="1" ht="21" customHeight="1" x14ac:dyDescent="0.15">
      <c r="A193" s="39"/>
      <c r="B193" s="40"/>
      <c r="C193" s="39"/>
      <c r="D193" s="39"/>
      <c r="E193" s="39"/>
      <c r="F193" s="39"/>
      <c r="G193" s="39"/>
      <c r="H193" s="39"/>
      <c r="I193" s="39"/>
      <c r="J193" s="39"/>
      <c r="K193" s="39"/>
      <c r="L193" s="39"/>
      <c r="M193" s="39"/>
      <c r="N193" s="39"/>
      <c r="O193" s="41"/>
      <c r="P193" s="42"/>
      <c r="Q193" s="43"/>
      <c r="R193" s="43"/>
      <c r="S193" s="43"/>
      <c r="T193" s="43"/>
      <c r="U193" s="43"/>
      <c r="V193" s="43"/>
    </row>
    <row r="194" spans="1:22" s="45" customFormat="1" ht="21" customHeight="1" x14ac:dyDescent="0.15">
      <c r="A194" s="39"/>
      <c r="B194" s="40"/>
      <c r="C194" s="39"/>
      <c r="D194" s="39"/>
      <c r="E194" s="39"/>
      <c r="F194" s="39"/>
      <c r="G194" s="39"/>
      <c r="H194" s="39"/>
      <c r="I194" s="39"/>
      <c r="J194" s="39"/>
      <c r="K194" s="39"/>
      <c r="L194" s="39"/>
      <c r="M194" s="39"/>
      <c r="N194" s="39"/>
      <c r="O194" s="41"/>
      <c r="P194" s="42"/>
      <c r="Q194" s="43"/>
      <c r="R194" s="43"/>
      <c r="S194" s="43"/>
      <c r="T194" s="43"/>
      <c r="U194" s="43"/>
      <c r="V194" s="43"/>
    </row>
    <row r="195" spans="1:22" s="45" customFormat="1" ht="21" customHeight="1" x14ac:dyDescent="0.15">
      <c r="A195" s="39"/>
      <c r="B195" s="40"/>
      <c r="C195" s="39"/>
      <c r="D195" s="39"/>
      <c r="E195" s="39"/>
      <c r="F195" s="39"/>
      <c r="G195" s="39"/>
      <c r="H195" s="39"/>
      <c r="I195" s="39"/>
      <c r="J195" s="39"/>
      <c r="K195" s="39"/>
      <c r="L195" s="39"/>
      <c r="M195" s="39"/>
      <c r="N195" s="39"/>
      <c r="O195" s="41"/>
      <c r="P195" s="42"/>
      <c r="Q195" s="43"/>
      <c r="R195" s="43"/>
      <c r="S195" s="43"/>
      <c r="T195" s="43"/>
      <c r="U195" s="43"/>
      <c r="V195" s="43"/>
    </row>
    <row r="196" spans="1:22" s="45" customFormat="1" ht="21" customHeight="1" x14ac:dyDescent="0.15">
      <c r="A196" s="39"/>
      <c r="B196" s="40"/>
      <c r="C196" s="39"/>
      <c r="D196" s="39"/>
      <c r="E196" s="39"/>
      <c r="F196" s="39"/>
      <c r="G196" s="39"/>
      <c r="H196" s="39"/>
      <c r="I196" s="39"/>
      <c r="J196" s="39"/>
      <c r="K196" s="39"/>
      <c r="L196" s="39"/>
      <c r="M196" s="39"/>
      <c r="N196" s="39"/>
      <c r="O196" s="41"/>
      <c r="P196" s="42"/>
      <c r="Q196" s="43"/>
      <c r="R196" s="43"/>
      <c r="S196" s="43"/>
      <c r="T196" s="43"/>
      <c r="U196" s="43"/>
      <c r="V196" s="43"/>
    </row>
    <row r="197" spans="1:22" s="45" customFormat="1" ht="21" customHeight="1" x14ac:dyDescent="0.15">
      <c r="A197" s="39"/>
      <c r="B197" s="40"/>
      <c r="C197" s="39"/>
      <c r="D197" s="39"/>
      <c r="E197" s="39"/>
      <c r="F197" s="39"/>
      <c r="G197" s="39"/>
      <c r="H197" s="39"/>
      <c r="I197" s="39"/>
      <c r="J197" s="39"/>
      <c r="K197" s="39"/>
      <c r="L197" s="39"/>
      <c r="M197" s="39"/>
      <c r="N197" s="39"/>
      <c r="O197" s="41"/>
      <c r="P197" s="42"/>
      <c r="Q197" s="43"/>
      <c r="R197" s="43"/>
      <c r="S197" s="43"/>
      <c r="T197" s="43"/>
      <c r="U197" s="43"/>
      <c r="V197" s="43"/>
    </row>
    <row r="198" spans="1:22" s="45" customFormat="1" ht="21" customHeight="1" x14ac:dyDescent="0.15">
      <c r="A198" s="39"/>
      <c r="B198" s="40"/>
      <c r="C198" s="39"/>
      <c r="D198" s="39"/>
      <c r="E198" s="39"/>
      <c r="F198" s="39"/>
      <c r="G198" s="39"/>
      <c r="H198" s="39"/>
      <c r="I198" s="39"/>
      <c r="J198" s="39"/>
      <c r="K198" s="39"/>
      <c r="L198" s="39"/>
      <c r="M198" s="39"/>
      <c r="N198" s="39"/>
      <c r="O198" s="41"/>
      <c r="P198" s="42"/>
      <c r="Q198" s="43"/>
      <c r="R198" s="43"/>
      <c r="S198" s="43"/>
      <c r="T198" s="43"/>
      <c r="U198" s="43"/>
      <c r="V198" s="43"/>
    </row>
    <row r="199" spans="1:22" s="45" customFormat="1" ht="21" customHeight="1" x14ac:dyDescent="0.15">
      <c r="A199" s="39"/>
      <c r="B199" s="40"/>
      <c r="C199" s="39"/>
      <c r="D199" s="39"/>
      <c r="E199" s="39"/>
      <c r="F199" s="39"/>
      <c r="G199" s="39"/>
      <c r="H199" s="39"/>
      <c r="I199" s="39"/>
      <c r="J199" s="39"/>
      <c r="K199" s="39"/>
      <c r="L199" s="39"/>
      <c r="M199" s="39"/>
      <c r="N199" s="39"/>
      <c r="O199" s="41"/>
      <c r="P199" s="42"/>
      <c r="Q199" s="43"/>
      <c r="R199" s="43"/>
      <c r="S199" s="43"/>
      <c r="T199" s="43"/>
      <c r="U199" s="43"/>
      <c r="V199" s="43"/>
    </row>
    <row r="200" spans="1:22" s="45" customFormat="1" ht="21" customHeight="1" x14ac:dyDescent="0.15">
      <c r="A200" s="39"/>
      <c r="B200" s="40"/>
      <c r="C200" s="39"/>
      <c r="D200" s="39"/>
      <c r="E200" s="39"/>
      <c r="F200" s="39"/>
      <c r="G200" s="39"/>
      <c r="H200" s="39"/>
      <c r="I200" s="39"/>
      <c r="J200" s="39"/>
      <c r="K200" s="39"/>
      <c r="L200" s="39"/>
      <c r="M200" s="39"/>
      <c r="N200" s="39"/>
      <c r="O200" s="41"/>
      <c r="P200" s="42"/>
      <c r="Q200" s="43"/>
      <c r="R200" s="43"/>
      <c r="S200" s="43"/>
      <c r="T200" s="43"/>
      <c r="U200" s="43"/>
      <c r="V200" s="43"/>
    </row>
    <row r="201" spans="1:22" s="45" customFormat="1" ht="21" customHeight="1" x14ac:dyDescent="0.15">
      <c r="A201" s="39"/>
      <c r="B201" s="40"/>
      <c r="C201" s="39"/>
      <c r="D201" s="39"/>
      <c r="E201" s="39"/>
      <c r="F201" s="39"/>
      <c r="G201" s="39"/>
      <c r="H201" s="39"/>
      <c r="I201" s="39"/>
      <c r="J201" s="39"/>
      <c r="K201" s="39"/>
      <c r="L201" s="39"/>
      <c r="M201" s="39"/>
      <c r="N201" s="39"/>
      <c r="O201" s="41"/>
      <c r="P201" s="42"/>
      <c r="Q201" s="43"/>
      <c r="R201" s="43"/>
      <c r="S201" s="43"/>
      <c r="T201" s="43"/>
      <c r="U201" s="43"/>
      <c r="V201" s="43"/>
    </row>
    <row r="202" spans="1:22" s="45" customFormat="1" ht="21" customHeight="1" x14ac:dyDescent="0.15">
      <c r="A202" s="39"/>
      <c r="B202" s="40"/>
      <c r="C202" s="39"/>
      <c r="D202" s="39"/>
      <c r="E202" s="39"/>
      <c r="F202" s="39"/>
      <c r="G202" s="39"/>
      <c r="H202" s="39"/>
      <c r="I202" s="39"/>
      <c r="J202" s="39"/>
      <c r="K202" s="39"/>
      <c r="L202" s="39"/>
      <c r="M202" s="39"/>
      <c r="N202" s="39"/>
      <c r="O202" s="41"/>
      <c r="P202" s="42"/>
      <c r="Q202" s="43"/>
      <c r="R202" s="43"/>
      <c r="S202" s="43"/>
      <c r="T202" s="43"/>
      <c r="U202" s="43"/>
      <c r="V202" s="43"/>
    </row>
    <row r="203" spans="1:22" s="45" customFormat="1" ht="21" customHeight="1" x14ac:dyDescent="0.15">
      <c r="A203" s="39"/>
      <c r="B203" s="40"/>
      <c r="C203" s="39"/>
      <c r="D203" s="39"/>
      <c r="E203" s="39"/>
      <c r="F203" s="39"/>
      <c r="G203" s="39"/>
      <c r="H203" s="39"/>
      <c r="I203" s="39"/>
      <c r="J203" s="39"/>
      <c r="K203" s="39"/>
      <c r="L203" s="39"/>
      <c r="M203" s="39"/>
      <c r="N203" s="39"/>
      <c r="O203" s="41"/>
      <c r="P203" s="42"/>
      <c r="Q203" s="43"/>
      <c r="R203" s="43"/>
      <c r="S203" s="43"/>
      <c r="T203" s="43"/>
      <c r="U203" s="43"/>
      <c r="V203" s="43"/>
    </row>
    <row r="204" spans="1:22" s="45" customFormat="1" ht="21" customHeight="1" x14ac:dyDescent="0.15">
      <c r="A204" s="39"/>
      <c r="B204" s="40"/>
      <c r="C204" s="39"/>
      <c r="D204" s="39"/>
      <c r="E204" s="39"/>
      <c r="F204" s="39"/>
      <c r="G204" s="39"/>
      <c r="H204" s="39"/>
      <c r="I204" s="39"/>
      <c r="J204" s="39"/>
      <c r="K204" s="39"/>
      <c r="L204" s="39"/>
      <c r="M204" s="39"/>
      <c r="N204" s="39"/>
      <c r="O204" s="41"/>
      <c r="P204" s="42"/>
      <c r="Q204" s="43"/>
      <c r="R204" s="43"/>
      <c r="S204" s="43"/>
      <c r="T204" s="43"/>
      <c r="U204" s="43"/>
      <c r="V204" s="43"/>
    </row>
    <row r="205" spans="1:22" s="45" customFormat="1" ht="21" customHeight="1" x14ac:dyDescent="0.15">
      <c r="A205" s="39"/>
      <c r="B205" s="40"/>
      <c r="C205" s="39"/>
      <c r="D205" s="39"/>
      <c r="E205" s="39"/>
      <c r="F205" s="39"/>
      <c r="G205" s="39"/>
      <c r="H205" s="39"/>
      <c r="I205" s="39"/>
      <c r="J205" s="39"/>
      <c r="K205" s="39"/>
      <c r="L205" s="39"/>
      <c r="M205" s="39"/>
      <c r="N205" s="39"/>
      <c r="O205" s="41"/>
      <c r="P205" s="42"/>
      <c r="Q205" s="43"/>
      <c r="R205" s="43"/>
      <c r="S205" s="43"/>
      <c r="T205" s="43"/>
      <c r="U205" s="43"/>
      <c r="V205" s="43"/>
    </row>
    <row r="206" spans="1:22" s="45" customFormat="1" ht="21" customHeight="1" x14ac:dyDescent="0.15">
      <c r="A206" s="39"/>
      <c r="B206" s="40"/>
      <c r="C206" s="39"/>
      <c r="D206" s="39"/>
      <c r="E206" s="39"/>
      <c r="F206" s="39"/>
      <c r="G206" s="39"/>
      <c r="H206" s="39"/>
      <c r="I206" s="39"/>
      <c r="J206" s="39"/>
      <c r="K206" s="39"/>
      <c r="L206" s="39"/>
      <c r="M206" s="39"/>
      <c r="N206" s="39"/>
      <c r="O206" s="41"/>
      <c r="P206" s="42"/>
      <c r="Q206" s="43"/>
      <c r="R206" s="43"/>
      <c r="S206" s="43"/>
      <c r="T206" s="43"/>
      <c r="U206" s="43"/>
      <c r="V206" s="43"/>
    </row>
    <row r="207" spans="1:22" s="45" customFormat="1" ht="21" customHeight="1" x14ac:dyDescent="0.15">
      <c r="A207" s="39"/>
      <c r="B207" s="40"/>
      <c r="C207" s="39"/>
      <c r="D207" s="39"/>
      <c r="E207" s="39"/>
      <c r="F207" s="39"/>
      <c r="G207" s="39"/>
      <c r="H207" s="39"/>
      <c r="I207" s="39"/>
      <c r="J207" s="39"/>
      <c r="K207" s="39"/>
      <c r="L207" s="39"/>
      <c r="M207" s="39"/>
      <c r="N207" s="39"/>
      <c r="O207" s="41"/>
      <c r="P207" s="42"/>
      <c r="Q207" s="43"/>
      <c r="R207" s="43"/>
      <c r="S207" s="43"/>
      <c r="T207" s="43"/>
      <c r="U207" s="43"/>
      <c r="V207" s="43"/>
    </row>
    <row r="208" spans="1:22" s="45" customFormat="1" ht="21" customHeight="1" x14ac:dyDescent="0.15">
      <c r="A208" s="39"/>
      <c r="B208" s="40"/>
      <c r="C208" s="39"/>
      <c r="D208" s="39"/>
      <c r="E208" s="39"/>
      <c r="F208" s="39"/>
      <c r="G208" s="39"/>
      <c r="H208" s="39"/>
      <c r="I208" s="39"/>
      <c r="J208" s="39"/>
      <c r="K208" s="39"/>
      <c r="L208" s="39"/>
      <c r="M208" s="39"/>
      <c r="N208" s="39"/>
      <c r="O208" s="41"/>
      <c r="P208" s="42"/>
      <c r="Q208" s="43"/>
      <c r="R208" s="43"/>
      <c r="S208" s="43"/>
      <c r="T208" s="43"/>
      <c r="U208" s="43"/>
      <c r="V208" s="43"/>
    </row>
    <row r="209" spans="1:22" s="45" customFormat="1" ht="21" customHeight="1" x14ac:dyDescent="0.15">
      <c r="A209" s="39"/>
      <c r="B209" s="40"/>
      <c r="C209" s="39"/>
      <c r="D209" s="39"/>
      <c r="E209" s="39"/>
      <c r="F209" s="39"/>
      <c r="G209" s="39"/>
      <c r="H209" s="39"/>
      <c r="I209" s="39"/>
      <c r="J209" s="39"/>
      <c r="K209" s="39"/>
      <c r="L209" s="39"/>
      <c r="M209" s="39"/>
      <c r="N209" s="39"/>
      <c r="O209" s="41"/>
      <c r="P209" s="42"/>
      <c r="Q209" s="43"/>
      <c r="R209" s="43"/>
      <c r="S209" s="43"/>
      <c r="T209" s="43"/>
      <c r="U209" s="43"/>
      <c r="V209" s="43"/>
    </row>
    <row r="210" spans="1:22" s="45" customFormat="1" ht="21" customHeight="1" x14ac:dyDescent="0.15">
      <c r="A210" s="39"/>
      <c r="B210" s="40"/>
      <c r="C210" s="39"/>
      <c r="D210" s="39"/>
      <c r="E210" s="39"/>
      <c r="F210" s="39"/>
      <c r="G210" s="39"/>
      <c r="H210" s="39"/>
      <c r="I210" s="39"/>
      <c r="J210" s="39"/>
      <c r="K210" s="39"/>
      <c r="L210" s="39"/>
      <c r="M210" s="39"/>
      <c r="N210" s="39"/>
      <c r="O210" s="41"/>
      <c r="P210" s="42"/>
      <c r="Q210" s="43"/>
      <c r="R210" s="43"/>
      <c r="S210" s="43"/>
      <c r="T210" s="43"/>
      <c r="U210" s="43"/>
      <c r="V210" s="43"/>
    </row>
    <row r="211" spans="1:22" s="45" customFormat="1" ht="21" customHeight="1" x14ac:dyDescent="0.15">
      <c r="A211" s="39"/>
      <c r="B211" s="40"/>
      <c r="C211" s="39"/>
      <c r="D211" s="39"/>
      <c r="E211" s="39"/>
      <c r="F211" s="39"/>
      <c r="G211" s="39"/>
      <c r="H211" s="39"/>
      <c r="I211" s="39"/>
      <c r="J211" s="39"/>
      <c r="K211" s="39"/>
      <c r="L211" s="39"/>
      <c r="M211" s="39"/>
      <c r="N211" s="39"/>
      <c r="O211" s="41"/>
      <c r="P211" s="42"/>
      <c r="Q211" s="43"/>
      <c r="R211" s="43"/>
      <c r="S211" s="43"/>
      <c r="T211" s="43"/>
      <c r="U211" s="43"/>
      <c r="V211" s="43"/>
    </row>
    <row r="212" spans="1:22" s="45" customFormat="1" ht="21" customHeight="1" x14ac:dyDescent="0.15">
      <c r="A212" s="39"/>
      <c r="B212" s="40"/>
      <c r="C212" s="39"/>
      <c r="D212" s="39"/>
      <c r="E212" s="39"/>
      <c r="F212" s="39"/>
      <c r="G212" s="39"/>
      <c r="H212" s="39"/>
      <c r="I212" s="39"/>
      <c r="J212" s="39"/>
      <c r="K212" s="39"/>
      <c r="L212" s="39"/>
      <c r="M212" s="39"/>
      <c r="N212" s="39"/>
      <c r="O212" s="41"/>
      <c r="P212" s="42"/>
      <c r="Q212" s="43"/>
      <c r="R212" s="43"/>
      <c r="S212" s="43"/>
      <c r="T212" s="43"/>
      <c r="U212" s="43"/>
      <c r="V212" s="43"/>
    </row>
    <row r="213" spans="1:22" s="45" customFormat="1" ht="21" customHeight="1" x14ac:dyDescent="0.15">
      <c r="A213" s="39"/>
      <c r="B213" s="40"/>
      <c r="C213" s="39"/>
      <c r="D213" s="39"/>
      <c r="E213" s="39"/>
      <c r="F213" s="39"/>
      <c r="G213" s="39"/>
      <c r="H213" s="39"/>
      <c r="I213" s="39"/>
      <c r="J213" s="39"/>
      <c r="K213" s="39"/>
      <c r="L213" s="39"/>
      <c r="M213" s="39"/>
      <c r="N213" s="39"/>
      <c r="O213" s="41"/>
      <c r="P213" s="42"/>
      <c r="Q213" s="43"/>
      <c r="R213" s="43"/>
      <c r="S213" s="43"/>
      <c r="T213" s="43"/>
      <c r="U213" s="43"/>
      <c r="V213" s="43"/>
    </row>
    <row r="214" spans="1:22" s="45" customFormat="1" ht="21" customHeight="1" x14ac:dyDescent="0.15">
      <c r="A214" s="39"/>
      <c r="B214" s="40"/>
      <c r="C214" s="39"/>
      <c r="D214" s="39"/>
      <c r="E214" s="39"/>
      <c r="F214" s="39"/>
      <c r="G214" s="39"/>
      <c r="H214" s="39"/>
      <c r="I214" s="39"/>
      <c r="J214" s="39"/>
      <c r="K214" s="39"/>
      <c r="L214" s="39"/>
      <c r="M214" s="39"/>
      <c r="N214" s="39"/>
      <c r="O214" s="41"/>
      <c r="P214" s="42"/>
      <c r="Q214" s="43"/>
      <c r="R214" s="43"/>
      <c r="S214" s="43"/>
      <c r="T214" s="43"/>
      <c r="U214" s="43"/>
      <c r="V214" s="43"/>
    </row>
    <row r="215" spans="1:22" s="45" customFormat="1" ht="21" customHeight="1" x14ac:dyDescent="0.15">
      <c r="A215" s="39"/>
      <c r="B215" s="40"/>
      <c r="C215" s="39"/>
      <c r="D215" s="39"/>
      <c r="E215" s="39"/>
      <c r="F215" s="39"/>
      <c r="G215" s="39"/>
      <c r="H215" s="39"/>
      <c r="I215" s="39"/>
      <c r="J215" s="39"/>
      <c r="K215" s="39"/>
      <c r="L215" s="39"/>
      <c r="M215" s="39"/>
      <c r="N215" s="39"/>
      <c r="O215" s="41"/>
      <c r="P215" s="42"/>
      <c r="Q215" s="43"/>
      <c r="R215" s="43"/>
      <c r="S215" s="43"/>
      <c r="T215" s="43"/>
      <c r="U215" s="43"/>
      <c r="V215" s="43"/>
    </row>
    <row r="216" spans="1:22" s="45" customFormat="1" ht="21" customHeight="1" x14ac:dyDescent="0.15">
      <c r="A216" s="39"/>
      <c r="B216" s="40"/>
      <c r="C216" s="39"/>
      <c r="D216" s="39"/>
      <c r="E216" s="39"/>
      <c r="F216" s="39"/>
      <c r="G216" s="39"/>
      <c r="H216" s="39"/>
      <c r="I216" s="39"/>
      <c r="J216" s="39"/>
      <c r="K216" s="39"/>
      <c r="L216" s="39"/>
      <c r="M216" s="39"/>
      <c r="N216" s="39"/>
      <c r="O216" s="41"/>
      <c r="P216" s="42"/>
      <c r="Q216" s="43"/>
      <c r="R216" s="43"/>
      <c r="S216" s="43"/>
      <c r="T216" s="43"/>
      <c r="U216" s="43"/>
      <c r="V216" s="43"/>
    </row>
    <row r="217" spans="1:22" s="45" customFormat="1" ht="21" customHeight="1" x14ac:dyDescent="0.15">
      <c r="A217" s="39"/>
      <c r="B217" s="40"/>
      <c r="C217" s="39"/>
      <c r="D217" s="39"/>
      <c r="E217" s="39"/>
      <c r="F217" s="39"/>
      <c r="G217" s="39"/>
      <c r="H217" s="39"/>
      <c r="I217" s="39"/>
      <c r="J217" s="39"/>
      <c r="K217" s="39"/>
      <c r="L217" s="39"/>
      <c r="M217" s="39"/>
      <c r="N217" s="39"/>
      <c r="O217" s="41"/>
      <c r="P217" s="42"/>
      <c r="Q217" s="43"/>
      <c r="R217" s="43"/>
      <c r="S217" s="43"/>
      <c r="T217" s="43"/>
      <c r="U217" s="43"/>
      <c r="V217" s="43"/>
    </row>
    <row r="218" spans="1:22" s="45" customFormat="1" ht="21" customHeight="1" x14ac:dyDescent="0.15">
      <c r="A218" s="39"/>
      <c r="B218" s="40"/>
      <c r="C218" s="39"/>
      <c r="D218" s="39"/>
      <c r="E218" s="39"/>
      <c r="F218" s="39"/>
      <c r="G218" s="39"/>
      <c r="H218" s="39"/>
      <c r="I218" s="39"/>
      <c r="J218" s="39"/>
      <c r="K218" s="39"/>
      <c r="L218" s="39"/>
      <c r="M218" s="39"/>
      <c r="N218" s="39"/>
      <c r="O218" s="41"/>
      <c r="P218" s="42"/>
      <c r="Q218" s="43"/>
      <c r="R218" s="43"/>
      <c r="S218" s="43"/>
      <c r="T218" s="43"/>
      <c r="U218" s="43"/>
      <c r="V218" s="43"/>
    </row>
    <row r="219" spans="1:22" s="45" customFormat="1" ht="21" customHeight="1" x14ac:dyDescent="0.15">
      <c r="A219" s="39"/>
      <c r="B219" s="40"/>
      <c r="C219" s="39"/>
      <c r="D219" s="39"/>
      <c r="E219" s="39"/>
      <c r="F219" s="39"/>
      <c r="G219" s="39"/>
      <c r="H219" s="39"/>
      <c r="I219" s="39"/>
      <c r="J219" s="39"/>
      <c r="K219" s="39"/>
      <c r="L219" s="39"/>
      <c r="M219" s="39"/>
      <c r="N219" s="39"/>
      <c r="O219" s="41"/>
      <c r="P219" s="42"/>
      <c r="Q219" s="43"/>
      <c r="R219" s="43"/>
      <c r="S219" s="43"/>
      <c r="T219" s="43"/>
      <c r="U219" s="43"/>
      <c r="V219" s="43"/>
    </row>
    <row r="220" spans="1:22" s="45" customFormat="1" ht="21" customHeight="1" x14ac:dyDescent="0.15">
      <c r="A220" s="39"/>
      <c r="B220" s="40"/>
      <c r="C220" s="39"/>
      <c r="D220" s="39"/>
      <c r="E220" s="39"/>
      <c r="F220" s="39"/>
      <c r="G220" s="39"/>
      <c r="H220" s="39"/>
      <c r="I220" s="39"/>
      <c r="J220" s="39"/>
      <c r="K220" s="39"/>
      <c r="L220" s="39"/>
      <c r="M220" s="39"/>
      <c r="N220" s="39"/>
      <c r="O220" s="41"/>
      <c r="P220" s="42"/>
      <c r="Q220" s="43"/>
      <c r="R220" s="43"/>
      <c r="S220" s="43"/>
      <c r="T220" s="43"/>
      <c r="U220" s="43"/>
      <c r="V220" s="43"/>
    </row>
    <row r="221" spans="1:22" s="45" customFormat="1" ht="21" customHeight="1" x14ac:dyDescent="0.15">
      <c r="A221" s="39"/>
      <c r="B221" s="40"/>
      <c r="C221" s="39"/>
      <c r="D221" s="39"/>
      <c r="E221" s="39"/>
      <c r="F221" s="39"/>
      <c r="G221" s="39"/>
      <c r="H221" s="39"/>
      <c r="I221" s="39"/>
      <c r="J221" s="39"/>
      <c r="K221" s="39"/>
      <c r="L221" s="39"/>
      <c r="M221" s="39"/>
      <c r="N221" s="39"/>
      <c r="O221" s="41"/>
      <c r="P221" s="42"/>
      <c r="Q221" s="43"/>
      <c r="R221" s="43"/>
      <c r="S221" s="43"/>
      <c r="T221" s="43"/>
      <c r="U221" s="43"/>
      <c r="V221" s="43"/>
    </row>
    <row r="222" spans="1:22" s="45" customFormat="1" ht="21" customHeight="1" x14ac:dyDescent="0.15">
      <c r="A222" s="39"/>
      <c r="B222" s="40"/>
      <c r="C222" s="39"/>
      <c r="D222" s="39"/>
      <c r="E222" s="39"/>
      <c r="F222" s="39"/>
      <c r="G222" s="39"/>
      <c r="H222" s="39"/>
      <c r="I222" s="39"/>
      <c r="J222" s="39"/>
      <c r="K222" s="39"/>
      <c r="L222" s="39"/>
      <c r="M222" s="39"/>
      <c r="N222" s="39"/>
      <c r="O222" s="41"/>
      <c r="P222" s="42"/>
      <c r="Q222" s="43"/>
      <c r="R222" s="43"/>
      <c r="S222" s="43"/>
      <c r="T222" s="43"/>
      <c r="U222" s="43"/>
      <c r="V222" s="43"/>
    </row>
    <row r="223" spans="1:22" s="45" customFormat="1" ht="21" customHeight="1" x14ac:dyDescent="0.15">
      <c r="A223" s="39"/>
      <c r="B223" s="40"/>
      <c r="C223" s="39"/>
      <c r="D223" s="39"/>
      <c r="E223" s="39"/>
      <c r="F223" s="39"/>
      <c r="G223" s="39"/>
      <c r="H223" s="39"/>
      <c r="I223" s="39"/>
      <c r="J223" s="39"/>
      <c r="K223" s="39"/>
      <c r="L223" s="39"/>
      <c r="M223" s="39"/>
      <c r="N223" s="39"/>
      <c r="O223" s="41"/>
      <c r="P223" s="42"/>
      <c r="Q223" s="43"/>
      <c r="R223" s="43"/>
      <c r="S223" s="43"/>
      <c r="T223" s="43"/>
      <c r="U223" s="43"/>
      <c r="V223" s="43"/>
    </row>
    <row r="224" spans="1:22" s="45" customFormat="1" ht="21" customHeight="1" x14ac:dyDescent="0.15">
      <c r="A224" s="39"/>
      <c r="B224" s="40"/>
      <c r="C224" s="39"/>
      <c r="D224" s="39"/>
      <c r="E224" s="39"/>
      <c r="F224" s="39"/>
      <c r="G224" s="39"/>
      <c r="H224" s="39"/>
      <c r="I224" s="39"/>
      <c r="J224" s="39"/>
      <c r="K224" s="39"/>
      <c r="L224" s="39"/>
      <c r="M224" s="39"/>
      <c r="N224" s="39"/>
      <c r="O224" s="41"/>
      <c r="P224" s="42"/>
      <c r="Q224" s="43"/>
      <c r="R224" s="43"/>
      <c r="S224" s="43"/>
      <c r="T224" s="43"/>
      <c r="U224" s="43"/>
      <c r="V224" s="43"/>
    </row>
    <row r="225" spans="1:22" s="45" customFormat="1" ht="21" customHeight="1" x14ac:dyDescent="0.15">
      <c r="A225" s="39"/>
      <c r="B225" s="40"/>
      <c r="C225" s="39"/>
      <c r="D225" s="39"/>
      <c r="E225" s="39"/>
      <c r="F225" s="39"/>
      <c r="G225" s="39"/>
      <c r="H225" s="39"/>
      <c r="I225" s="39"/>
      <c r="J225" s="39"/>
      <c r="K225" s="39"/>
      <c r="L225" s="39"/>
      <c r="M225" s="39"/>
      <c r="N225" s="39"/>
      <c r="O225" s="41"/>
      <c r="P225" s="42"/>
      <c r="Q225" s="43"/>
      <c r="R225" s="43"/>
      <c r="S225" s="43"/>
      <c r="T225" s="43"/>
      <c r="U225" s="43"/>
      <c r="V225" s="43"/>
    </row>
    <row r="226" spans="1:22" s="45" customFormat="1" ht="21" customHeight="1" x14ac:dyDescent="0.15">
      <c r="A226" s="39"/>
      <c r="B226" s="40"/>
      <c r="C226" s="39"/>
      <c r="D226" s="39"/>
      <c r="E226" s="39"/>
      <c r="F226" s="39"/>
      <c r="G226" s="39"/>
      <c r="H226" s="39"/>
      <c r="I226" s="39"/>
      <c r="J226" s="39"/>
      <c r="K226" s="39"/>
      <c r="L226" s="39"/>
      <c r="M226" s="39"/>
      <c r="N226" s="39"/>
      <c r="O226" s="41"/>
      <c r="P226" s="42"/>
      <c r="Q226" s="43"/>
      <c r="R226" s="43"/>
      <c r="S226" s="43"/>
      <c r="T226" s="43"/>
      <c r="U226" s="43"/>
      <c r="V226" s="43"/>
    </row>
    <row r="227" spans="1:22" s="45" customFormat="1" ht="21" customHeight="1" x14ac:dyDescent="0.15">
      <c r="A227" s="39"/>
      <c r="B227" s="40"/>
      <c r="C227" s="39"/>
      <c r="D227" s="39"/>
      <c r="E227" s="39"/>
      <c r="F227" s="39"/>
      <c r="G227" s="39"/>
      <c r="H227" s="39"/>
      <c r="I227" s="39"/>
      <c r="J227" s="39"/>
      <c r="K227" s="39"/>
      <c r="L227" s="39"/>
      <c r="M227" s="39"/>
      <c r="N227" s="39"/>
      <c r="O227" s="41"/>
      <c r="P227" s="42"/>
      <c r="Q227" s="43"/>
      <c r="R227" s="43"/>
      <c r="S227" s="43"/>
      <c r="T227" s="43"/>
      <c r="U227" s="43"/>
      <c r="V227" s="43"/>
    </row>
    <row r="228" spans="1:22" s="45" customFormat="1" ht="21" customHeight="1" x14ac:dyDescent="0.15">
      <c r="A228" s="39"/>
      <c r="B228" s="40"/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39"/>
      <c r="O228" s="41"/>
      <c r="P228" s="42"/>
      <c r="Q228" s="43"/>
      <c r="R228" s="43"/>
      <c r="S228" s="43"/>
      <c r="T228" s="43"/>
      <c r="U228" s="43"/>
      <c r="V228" s="43"/>
    </row>
    <row r="229" spans="1:22" s="45" customFormat="1" ht="21" customHeight="1" x14ac:dyDescent="0.15">
      <c r="A229" s="39"/>
      <c r="B229" s="40"/>
      <c r="C229" s="39"/>
      <c r="D229" s="39"/>
      <c r="E229" s="39"/>
      <c r="F229" s="39"/>
      <c r="G229" s="39"/>
      <c r="H229" s="39"/>
      <c r="I229" s="39"/>
      <c r="J229" s="39"/>
      <c r="K229" s="39"/>
      <c r="L229" s="39"/>
      <c r="M229" s="39"/>
      <c r="N229" s="39"/>
      <c r="O229" s="41"/>
      <c r="P229" s="42"/>
      <c r="Q229" s="43"/>
      <c r="R229" s="43"/>
      <c r="S229" s="43"/>
      <c r="T229" s="43"/>
      <c r="U229" s="43"/>
      <c r="V229" s="43"/>
    </row>
    <row r="230" spans="1:22" s="45" customFormat="1" ht="21" customHeight="1" x14ac:dyDescent="0.15">
      <c r="A230" s="39"/>
      <c r="B230" s="40"/>
      <c r="C230" s="39"/>
      <c r="D230" s="39"/>
      <c r="E230" s="39"/>
      <c r="F230" s="39"/>
      <c r="G230" s="39"/>
      <c r="H230" s="39"/>
      <c r="I230" s="39"/>
      <c r="J230" s="39"/>
      <c r="K230" s="39"/>
      <c r="L230" s="39"/>
      <c r="M230" s="39"/>
      <c r="N230" s="39"/>
      <c r="O230" s="41"/>
      <c r="P230" s="42"/>
      <c r="Q230" s="43"/>
      <c r="R230" s="43"/>
      <c r="S230" s="43"/>
      <c r="T230" s="43"/>
      <c r="U230" s="43"/>
      <c r="V230" s="43"/>
    </row>
    <row r="231" spans="1:22" s="45" customFormat="1" ht="21" customHeight="1" x14ac:dyDescent="0.15">
      <c r="A231" s="39"/>
      <c r="B231" s="40"/>
      <c r="C231" s="39"/>
      <c r="D231" s="39"/>
      <c r="E231" s="39"/>
      <c r="F231" s="39"/>
      <c r="G231" s="39"/>
      <c r="H231" s="39"/>
      <c r="I231" s="39"/>
      <c r="J231" s="39"/>
      <c r="K231" s="39"/>
      <c r="L231" s="39"/>
      <c r="M231" s="39"/>
      <c r="N231" s="39"/>
      <c r="O231" s="41"/>
      <c r="P231" s="42"/>
      <c r="Q231" s="43"/>
      <c r="R231" s="43"/>
      <c r="S231" s="43"/>
      <c r="T231" s="43"/>
      <c r="U231" s="43"/>
      <c r="V231" s="43"/>
    </row>
    <row r="232" spans="1:22" s="45" customFormat="1" ht="21" customHeight="1" x14ac:dyDescent="0.15">
      <c r="A232" s="39"/>
      <c r="B232" s="40"/>
      <c r="C232" s="39"/>
      <c r="D232" s="39"/>
      <c r="E232" s="39"/>
      <c r="F232" s="39"/>
      <c r="G232" s="39"/>
      <c r="H232" s="39"/>
      <c r="I232" s="39"/>
      <c r="J232" s="39"/>
      <c r="K232" s="39"/>
      <c r="L232" s="39"/>
      <c r="M232" s="39"/>
      <c r="N232" s="39"/>
      <c r="O232" s="41"/>
      <c r="P232" s="42"/>
      <c r="Q232" s="43"/>
      <c r="R232" s="43"/>
      <c r="S232" s="43"/>
      <c r="T232" s="43"/>
      <c r="U232" s="43"/>
      <c r="V232" s="43"/>
    </row>
    <row r="233" spans="1:22" s="45" customFormat="1" ht="21" customHeight="1" x14ac:dyDescent="0.15">
      <c r="A233" s="39"/>
      <c r="B233" s="40"/>
      <c r="C233" s="39"/>
      <c r="D233" s="39"/>
      <c r="E233" s="39"/>
      <c r="F233" s="39"/>
      <c r="G233" s="39"/>
      <c r="H233" s="39"/>
      <c r="I233" s="39"/>
      <c r="J233" s="39"/>
      <c r="K233" s="39"/>
      <c r="L233" s="39"/>
      <c r="M233" s="39"/>
      <c r="N233" s="39"/>
      <c r="O233" s="41"/>
      <c r="P233" s="42"/>
      <c r="Q233" s="43"/>
      <c r="R233" s="43"/>
      <c r="S233" s="43"/>
      <c r="T233" s="43"/>
      <c r="U233" s="43"/>
      <c r="V233" s="43"/>
    </row>
    <row r="234" spans="1:22" s="45" customFormat="1" ht="21" customHeight="1" x14ac:dyDescent="0.15">
      <c r="A234" s="39"/>
      <c r="B234" s="40"/>
      <c r="C234" s="39"/>
      <c r="D234" s="39"/>
      <c r="E234" s="39"/>
      <c r="F234" s="39"/>
      <c r="G234" s="39"/>
      <c r="H234" s="39"/>
      <c r="I234" s="39"/>
      <c r="J234" s="39"/>
      <c r="K234" s="39"/>
      <c r="L234" s="39"/>
      <c r="M234" s="39"/>
      <c r="N234" s="39"/>
      <c r="O234" s="41"/>
      <c r="P234" s="42"/>
      <c r="Q234" s="43"/>
      <c r="R234" s="43"/>
      <c r="S234" s="43"/>
      <c r="T234" s="43"/>
      <c r="U234" s="43"/>
      <c r="V234" s="43"/>
    </row>
    <row r="235" spans="1:22" s="45" customFormat="1" ht="21" customHeight="1" x14ac:dyDescent="0.15">
      <c r="A235" s="39"/>
      <c r="B235" s="40"/>
      <c r="C235" s="39"/>
      <c r="D235" s="39"/>
      <c r="E235" s="39"/>
      <c r="F235" s="39"/>
      <c r="G235" s="39"/>
      <c r="H235" s="39"/>
      <c r="I235" s="39"/>
      <c r="J235" s="39"/>
      <c r="K235" s="39"/>
      <c r="L235" s="39"/>
      <c r="M235" s="39"/>
      <c r="N235" s="39"/>
      <c r="O235" s="41"/>
      <c r="P235" s="42"/>
      <c r="Q235" s="43"/>
      <c r="R235" s="43"/>
      <c r="S235" s="43"/>
      <c r="T235" s="43"/>
      <c r="U235" s="43"/>
      <c r="V235" s="43"/>
    </row>
    <row r="236" spans="1:22" s="45" customFormat="1" ht="21" customHeight="1" x14ac:dyDescent="0.15">
      <c r="A236" s="39"/>
      <c r="B236" s="40"/>
      <c r="C236" s="39"/>
      <c r="D236" s="39"/>
      <c r="E236" s="39"/>
      <c r="F236" s="39"/>
      <c r="G236" s="39"/>
      <c r="H236" s="39"/>
      <c r="I236" s="39"/>
      <c r="J236" s="39"/>
      <c r="K236" s="39"/>
      <c r="L236" s="39"/>
      <c r="M236" s="39"/>
      <c r="N236" s="39"/>
      <c r="O236" s="41"/>
      <c r="P236" s="42"/>
      <c r="Q236" s="43"/>
      <c r="R236" s="43"/>
      <c r="S236" s="43"/>
      <c r="T236" s="43"/>
      <c r="U236" s="43"/>
      <c r="V236" s="43"/>
    </row>
    <row r="237" spans="1:22" s="45" customFormat="1" ht="21" customHeight="1" x14ac:dyDescent="0.15">
      <c r="A237" s="39"/>
      <c r="B237" s="40"/>
      <c r="C237" s="39"/>
      <c r="D237" s="39"/>
      <c r="E237" s="39"/>
      <c r="F237" s="39"/>
      <c r="G237" s="39"/>
      <c r="H237" s="39"/>
      <c r="I237" s="39"/>
      <c r="J237" s="39"/>
      <c r="K237" s="39"/>
      <c r="L237" s="39"/>
      <c r="M237" s="39"/>
      <c r="N237" s="39"/>
      <c r="O237" s="41"/>
      <c r="P237" s="42"/>
      <c r="Q237" s="43"/>
      <c r="R237" s="43"/>
      <c r="S237" s="43"/>
      <c r="T237" s="43"/>
      <c r="U237" s="43"/>
      <c r="V237" s="43"/>
    </row>
    <row r="238" spans="1:22" s="45" customFormat="1" ht="21" customHeight="1" x14ac:dyDescent="0.15">
      <c r="A238" s="39"/>
      <c r="B238" s="40"/>
      <c r="C238" s="39"/>
      <c r="D238" s="39"/>
      <c r="E238" s="39"/>
      <c r="F238" s="39"/>
      <c r="G238" s="39"/>
      <c r="H238" s="39"/>
      <c r="I238" s="39"/>
      <c r="J238" s="39"/>
      <c r="K238" s="39"/>
      <c r="L238" s="39"/>
      <c r="M238" s="39"/>
      <c r="N238" s="39"/>
      <c r="O238" s="41"/>
      <c r="P238" s="42"/>
      <c r="Q238" s="43"/>
      <c r="R238" s="43"/>
      <c r="S238" s="43"/>
      <c r="T238" s="43"/>
      <c r="U238" s="43"/>
      <c r="V238" s="43"/>
    </row>
    <row r="239" spans="1:22" s="45" customFormat="1" ht="21" customHeight="1" x14ac:dyDescent="0.15">
      <c r="A239" s="39"/>
      <c r="B239" s="40"/>
      <c r="C239" s="39"/>
      <c r="D239" s="39"/>
      <c r="E239" s="39"/>
      <c r="F239" s="39"/>
      <c r="G239" s="39"/>
      <c r="H239" s="39"/>
      <c r="I239" s="39"/>
      <c r="J239" s="39"/>
      <c r="K239" s="39"/>
      <c r="L239" s="39"/>
      <c r="M239" s="39"/>
      <c r="N239" s="39"/>
      <c r="O239" s="41"/>
      <c r="P239" s="42"/>
      <c r="Q239" s="43"/>
      <c r="R239" s="43"/>
      <c r="S239" s="43"/>
      <c r="T239" s="43"/>
      <c r="U239" s="43"/>
      <c r="V239" s="43"/>
    </row>
    <row r="240" spans="1:22" s="45" customFormat="1" ht="21" customHeight="1" x14ac:dyDescent="0.15">
      <c r="A240" s="39"/>
      <c r="B240" s="40"/>
      <c r="C240" s="39"/>
      <c r="D240" s="39"/>
      <c r="E240" s="39"/>
      <c r="F240" s="39"/>
      <c r="G240" s="39"/>
      <c r="H240" s="39"/>
      <c r="I240" s="39"/>
      <c r="J240" s="39"/>
      <c r="K240" s="39"/>
      <c r="L240" s="39"/>
      <c r="M240" s="39"/>
      <c r="N240" s="39"/>
      <c r="O240" s="41"/>
      <c r="P240" s="42"/>
      <c r="Q240" s="43"/>
      <c r="R240" s="43"/>
      <c r="S240" s="43"/>
      <c r="T240" s="43"/>
      <c r="U240" s="43"/>
      <c r="V240" s="43"/>
    </row>
    <row r="241" spans="1:22" s="45" customFormat="1" ht="21" customHeight="1" x14ac:dyDescent="0.15">
      <c r="A241" s="39"/>
      <c r="B241" s="40"/>
      <c r="C241" s="39"/>
      <c r="D241" s="39"/>
      <c r="E241" s="39"/>
      <c r="F241" s="39"/>
      <c r="G241" s="39"/>
      <c r="H241" s="39"/>
      <c r="I241" s="39"/>
      <c r="J241" s="39"/>
      <c r="K241" s="39"/>
      <c r="L241" s="39"/>
      <c r="M241" s="39"/>
      <c r="N241" s="39"/>
      <c r="O241" s="41"/>
      <c r="P241" s="42"/>
      <c r="Q241" s="43"/>
      <c r="R241" s="43"/>
      <c r="S241" s="43"/>
      <c r="T241" s="43"/>
      <c r="U241" s="43"/>
      <c r="V241" s="43"/>
    </row>
    <row r="242" spans="1:22" s="45" customFormat="1" ht="21" customHeight="1" x14ac:dyDescent="0.15">
      <c r="A242" s="39"/>
      <c r="B242" s="40"/>
      <c r="C242" s="39"/>
      <c r="D242" s="39"/>
      <c r="E242" s="39"/>
      <c r="F242" s="39"/>
      <c r="G242" s="39"/>
      <c r="H242" s="39"/>
      <c r="I242" s="39"/>
      <c r="J242" s="39"/>
      <c r="K242" s="39"/>
      <c r="L242" s="39"/>
      <c r="M242" s="39"/>
      <c r="N242" s="39"/>
      <c r="O242" s="41"/>
      <c r="P242" s="42"/>
      <c r="Q242" s="43"/>
      <c r="R242" s="43"/>
      <c r="S242" s="43"/>
      <c r="T242" s="43"/>
      <c r="U242" s="43"/>
      <c r="V242" s="43"/>
    </row>
    <row r="243" spans="1:22" s="45" customFormat="1" ht="21" customHeight="1" x14ac:dyDescent="0.15">
      <c r="A243" s="39"/>
      <c r="B243" s="40"/>
      <c r="C243" s="39"/>
      <c r="D243" s="39"/>
      <c r="E243" s="39"/>
      <c r="F243" s="39"/>
      <c r="G243" s="39"/>
      <c r="H243" s="39"/>
      <c r="I243" s="39"/>
      <c r="J243" s="39"/>
      <c r="K243" s="39"/>
      <c r="L243" s="39"/>
      <c r="M243" s="39"/>
      <c r="N243" s="39"/>
      <c r="O243" s="41"/>
      <c r="P243" s="42"/>
      <c r="Q243" s="43"/>
      <c r="R243" s="43"/>
      <c r="S243" s="43"/>
      <c r="T243" s="43"/>
      <c r="U243" s="43"/>
      <c r="V243" s="43"/>
    </row>
    <row r="244" spans="1:22" s="45" customFormat="1" ht="21" customHeight="1" x14ac:dyDescent="0.15">
      <c r="A244" s="39"/>
      <c r="B244" s="40"/>
      <c r="C244" s="39"/>
      <c r="D244" s="39"/>
      <c r="E244" s="39"/>
      <c r="F244" s="39"/>
      <c r="G244" s="39"/>
      <c r="H244" s="39"/>
      <c r="I244" s="39"/>
      <c r="J244" s="39"/>
      <c r="K244" s="39"/>
      <c r="L244" s="39"/>
      <c r="M244" s="39"/>
      <c r="N244" s="39"/>
      <c r="O244" s="41"/>
      <c r="P244" s="42"/>
      <c r="Q244" s="43"/>
      <c r="R244" s="43"/>
      <c r="S244" s="43"/>
      <c r="T244" s="43"/>
      <c r="U244" s="43"/>
      <c r="V244" s="43"/>
    </row>
    <row r="245" spans="1:22" s="45" customFormat="1" ht="21" customHeight="1" x14ac:dyDescent="0.15">
      <c r="A245" s="39"/>
      <c r="B245" s="40"/>
      <c r="C245" s="39"/>
      <c r="D245" s="39"/>
      <c r="E245" s="39"/>
      <c r="F245" s="39"/>
      <c r="G245" s="39"/>
      <c r="H245" s="39"/>
      <c r="I245" s="39"/>
      <c r="J245" s="39"/>
      <c r="K245" s="39"/>
      <c r="L245" s="39"/>
      <c r="M245" s="39"/>
      <c r="N245" s="39"/>
      <c r="O245" s="41"/>
      <c r="P245" s="42"/>
      <c r="Q245" s="43"/>
      <c r="R245" s="43"/>
      <c r="S245" s="43"/>
      <c r="T245" s="43"/>
      <c r="U245" s="43"/>
      <c r="V245" s="43"/>
    </row>
    <row r="246" spans="1:22" s="45" customFormat="1" ht="21" customHeight="1" x14ac:dyDescent="0.15">
      <c r="A246" s="39"/>
      <c r="B246" s="40"/>
      <c r="C246" s="39"/>
      <c r="D246" s="39"/>
      <c r="E246" s="39"/>
      <c r="F246" s="39"/>
      <c r="G246" s="39"/>
      <c r="H246" s="39"/>
      <c r="I246" s="39"/>
      <c r="J246" s="39"/>
      <c r="K246" s="39"/>
      <c r="L246" s="39"/>
      <c r="M246" s="39"/>
      <c r="N246" s="39"/>
      <c r="O246" s="41"/>
      <c r="P246" s="42"/>
      <c r="Q246" s="43"/>
      <c r="R246" s="43"/>
      <c r="S246" s="43"/>
      <c r="T246" s="43"/>
      <c r="U246" s="43"/>
      <c r="V246" s="43"/>
    </row>
    <row r="247" spans="1:22" s="45" customFormat="1" ht="21" customHeight="1" x14ac:dyDescent="0.15">
      <c r="A247" s="39"/>
      <c r="B247" s="40"/>
      <c r="C247" s="39"/>
      <c r="D247" s="39"/>
      <c r="E247" s="39"/>
      <c r="F247" s="39"/>
      <c r="G247" s="39"/>
      <c r="H247" s="39"/>
      <c r="I247" s="39"/>
      <c r="J247" s="39"/>
      <c r="K247" s="39"/>
      <c r="L247" s="39"/>
      <c r="M247" s="39"/>
      <c r="N247" s="39"/>
      <c r="O247" s="41"/>
      <c r="P247" s="42"/>
      <c r="Q247" s="43"/>
      <c r="R247" s="43"/>
      <c r="S247" s="43"/>
      <c r="T247" s="43"/>
      <c r="U247" s="43"/>
      <c r="V247" s="43"/>
    </row>
    <row r="248" spans="1:22" s="45" customFormat="1" ht="21" customHeight="1" x14ac:dyDescent="0.15">
      <c r="A248" s="39"/>
      <c r="B248" s="40"/>
      <c r="C248" s="39"/>
      <c r="D248" s="39"/>
      <c r="E248" s="39"/>
      <c r="F248" s="39"/>
      <c r="G248" s="39"/>
      <c r="H248" s="39"/>
      <c r="I248" s="39"/>
      <c r="J248" s="39"/>
      <c r="K248" s="39"/>
      <c r="L248" s="39"/>
      <c r="M248" s="39"/>
      <c r="N248" s="39"/>
      <c r="O248" s="41"/>
      <c r="P248" s="42"/>
      <c r="Q248" s="43"/>
      <c r="R248" s="43"/>
      <c r="S248" s="43"/>
      <c r="T248" s="43"/>
      <c r="U248" s="43"/>
      <c r="V248" s="43"/>
    </row>
    <row r="249" spans="1:22" s="45" customFormat="1" ht="21" customHeight="1" x14ac:dyDescent="0.15">
      <c r="A249" s="39"/>
      <c r="B249" s="40"/>
      <c r="C249" s="39"/>
      <c r="D249" s="39"/>
      <c r="E249" s="39"/>
      <c r="F249" s="39"/>
      <c r="G249" s="39"/>
      <c r="H249" s="39"/>
      <c r="I249" s="39"/>
      <c r="J249" s="39"/>
      <c r="K249" s="39"/>
      <c r="L249" s="39"/>
      <c r="M249" s="39"/>
      <c r="N249" s="39"/>
      <c r="O249" s="41"/>
      <c r="P249" s="42"/>
      <c r="Q249" s="43"/>
      <c r="R249" s="43"/>
      <c r="S249" s="43"/>
      <c r="T249" s="43"/>
      <c r="U249" s="43"/>
      <c r="V249" s="43"/>
    </row>
    <row r="250" spans="1:22" s="45" customFormat="1" ht="21" customHeight="1" x14ac:dyDescent="0.15">
      <c r="A250" s="39"/>
      <c r="B250" s="40"/>
      <c r="C250" s="39"/>
      <c r="D250" s="39"/>
      <c r="E250" s="39"/>
      <c r="F250" s="39"/>
      <c r="G250" s="39"/>
      <c r="H250" s="39"/>
      <c r="I250" s="39"/>
      <c r="J250" s="39"/>
      <c r="K250" s="39"/>
      <c r="L250" s="39"/>
      <c r="M250" s="39"/>
      <c r="N250" s="39"/>
      <c r="O250" s="41"/>
      <c r="P250" s="42"/>
      <c r="Q250" s="43"/>
      <c r="R250" s="43"/>
      <c r="S250" s="43"/>
      <c r="T250" s="43"/>
      <c r="U250" s="43"/>
      <c r="V250" s="43"/>
    </row>
    <row r="251" spans="1:22" s="45" customFormat="1" ht="21" customHeight="1" x14ac:dyDescent="0.15">
      <c r="A251" s="39"/>
      <c r="B251" s="40"/>
      <c r="C251" s="39"/>
      <c r="D251" s="39"/>
      <c r="E251" s="39"/>
      <c r="F251" s="39"/>
      <c r="G251" s="39"/>
      <c r="H251" s="39"/>
      <c r="I251" s="39"/>
      <c r="J251" s="39"/>
      <c r="K251" s="39"/>
      <c r="L251" s="39"/>
      <c r="M251" s="39"/>
      <c r="N251" s="39"/>
      <c r="O251" s="41"/>
      <c r="P251" s="42"/>
      <c r="Q251" s="43"/>
      <c r="R251" s="43"/>
      <c r="S251" s="43"/>
      <c r="T251" s="43"/>
      <c r="U251" s="43"/>
      <c r="V251" s="43"/>
    </row>
    <row r="252" spans="1:22" s="45" customFormat="1" ht="21" customHeight="1" x14ac:dyDescent="0.15">
      <c r="A252" s="39"/>
      <c r="B252" s="40"/>
      <c r="C252" s="39"/>
      <c r="D252" s="39"/>
      <c r="E252" s="39"/>
      <c r="F252" s="39"/>
      <c r="G252" s="39"/>
      <c r="H252" s="39"/>
      <c r="I252" s="39"/>
      <c r="J252" s="39"/>
      <c r="K252" s="39"/>
      <c r="L252" s="39"/>
      <c r="M252" s="39"/>
      <c r="N252" s="39"/>
      <c r="O252" s="41"/>
      <c r="P252" s="42"/>
      <c r="Q252" s="43"/>
      <c r="R252" s="43"/>
      <c r="S252" s="43"/>
      <c r="T252" s="43"/>
      <c r="U252" s="43"/>
      <c r="V252" s="43"/>
    </row>
    <row r="253" spans="1:22" s="45" customFormat="1" ht="21" customHeight="1" x14ac:dyDescent="0.15">
      <c r="A253" s="39"/>
      <c r="B253" s="40"/>
      <c r="C253" s="39"/>
      <c r="D253" s="39"/>
      <c r="E253" s="39"/>
      <c r="F253" s="39"/>
      <c r="G253" s="39"/>
      <c r="H253" s="39"/>
      <c r="I253" s="39"/>
      <c r="J253" s="39"/>
      <c r="K253" s="39"/>
      <c r="L253" s="39"/>
      <c r="M253" s="39"/>
      <c r="N253" s="39"/>
      <c r="O253" s="41"/>
      <c r="P253" s="42"/>
      <c r="Q253" s="43"/>
      <c r="R253" s="43"/>
      <c r="S253" s="43"/>
      <c r="T253" s="43"/>
      <c r="U253" s="43"/>
      <c r="V253" s="43"/>
    </row>
    <row r="254" spans="1:22" s="45" customFormat="1" ht="21" customHeight="1" x14ac:dyDescent="0.15">
      <c r="A254" s="39"/>
      <c r="B254" s="40"/>
      <c r="C254" s="39"/>
      <c r="D254" s="39"/>
      <c r="E254" s="39"/>
      <c r="F254" s="39"/>
      <c r="G254" s="39"/>
      <c r="H254" s="39"/>
      <c r="I254" s="39"/>
      <c r="J254" s="39"/>
      <c r="K254" s="39"/>
      <c r="L254" s="39"/>
      <c r="M254" s="39"/>
      <c r="N254" s="39"/>
      <c r="O254" s="41"/>
      <c r="P254" s="42"/>
      <c r="Q254" s="43"/>
      <c r="R254" s="43"/>
      <c r="S254" s="43"/>
      <c r="T254" s="43"/>
      <c r="U254" s="43"/>
      <c r="V254" s="43"/>
    </row>
    <row r="255" spans="1:22" s="45" customFormat="1" ht="21" customHeight="1" x14ac:dyDescent="0.15">
      <c r="A255" s="39"/>
      <c r="B255" s="40"/>
      <c r="C255" s="39"/>
      <c r="D255" s="39"/>
      <c r="E255" s="39"/>
      <c r="F255" s="39"/>
      <c r="G255" s="39"/>
      <c r="H255" s="39"/>
      <c r="I255" s="39"/>
      <c r="J255" s="39"/>
      <c r="K255" s="39"/>
      <c r="L255" s="39"/>
      <c r="M255" s="39"/>
      <c r="N255" s="39"/>
      <c r="O255" s="41"/>
      <c r="P255" s="42"/>
      <c r="Q255" s="43"/>
      <c r="R255" s="43"/>
      <c r="S255" s="43"/>
      <c r="T255" s="43"/>
      <c r="U255" s="43"/>
      <c r="V255" s="43"/>
    </row>
    <row r="256" spans="1:22" s="45" customFormat="1" ht="21" customHeight="1" x14ac:dyDescent="0.15">
      <c r="A256" s="39"/>
      <c r="B256" s="40"/>
      <c r="C256" s="39"/>
      <c r="D256" s="39"/>
      <c r="E256" s="39"/>
      <c r="F256" s="39"/>
      <c r="G256" s="39"/>
      <c r="H256" s="39"/>
      <c r="I256" s="39"/>
      <c r="J256" s="39"/>
      <c r="K256" s="39"/>
      <c r="L256" s="39"/>
      <c r="M256" s="39"/>
      <c r="N256" s="39"/>
      <c r="O256" s="41"/>
      <c r="P256" s="42"/>
      <c r="Q256" s="43"/>
      <c r="R256" s="43"/>
      <c r="S256" s="43"/>
      <c r="T256" s="43"/>
      <c r="U256" s="43"/>
      <c r="V256" s="43"/>
    </row>
    <row r="257" spans="1:22" s="45" customFormat="1" ht="21" customHeight="1" x14ac:dyDescent="0.15">
      <c r="A257" s="39"/>
      <c r="B257" s="40"/>
      <c r="C257" s="39"/>
      <c r="D257" s="39"/>
      <c r="E257" s="39"/>
      <c r="F257" s="39"/>
      <c r="G257" s="39"/>
      <c r="H257" s="39"/>
      <c r="I257" s="39"/>
      <c r="J257" s="39"/>
      <c r="K257" s="39"/>
      <c r="L257" s="39"/>
      <c r="M257" s="39"/>
      <c r="N257" s="39"/>
      <c r="O257" s="41"/>
      <c r="P257" s="42"/>
      <c r="Q257" s="43"/>
      <c r="R257" s="43"/>
      <c r="S257" s="43"/>
      <c r="T257" s="43"/>
      <c r="U257" s="43"/>
      <c r="V257" s="43"/>
    </row>
    <row r="258" spans="1:22" s="45" customFormat="1" ht="21" customHeight="1" x14ac:dyDescent="0.15">
      <c r="A258" s="39"/>
      <c r="B258" s="40"/>
      <c r="C258" s="39"/>
      <c r="D258" s="39"/>
      <c r="E258" s="39"/>
      <c r="F258" s="39"/>
      <c r="G258" s="39"/>
      <c r="H258" s="39"/>
      <c r="I258" s="39"/>
      <c r="J258" s="39"/>
      <c r="K258" s="39"/>
      <c r="L258" s="39"/>
      <c r="M258" s="39"/>
      <c r="N258" s="39"/>
      <c r="O258" s="41"/>
      <c r="P258" s="42"/>
      <c r="Q258" s="43"/>
      <c r="R258" s="43"/>
      <c r="S258" s="43"/>
      <c r="T258" s="43"/>
      <c r="U258" s="43"/>
      <c r="V258" s="43"/>
    </row>
    <row r="259" spans="1:22" s="45" customFormat="1" ht="21" customHeight="1" x14ac:dyDescent="0.15">
      <c r="A259" s="39"/>
      <c r="B259" s="40"/>
      <c r="C259" s="39"/>
      <c r="D259" s="39"/>
      <c r="E259" s="39"/>
      <c r="F259" s="39"/>
      <c r="G259" s="39"/>
      <c r="H259" s="39"/>
      <c r="I259" s="39"/>
      <c r="J259" s="39"/>
      <c r="K259" s="39"/>
      <c r="L259" s="39"/>
      <c r="M259" s="39"/>
      <c r="N259" s="39"/>
      <c r="O259" s="41"/>
      <c r="P259" s="42"/>
      <c r="Q259" s="43"/>
      <c r="R259" s="43"/>
      <c r="S259" s="43"/>
      <c r="T259" s="43"/>
      <c r="U259" s="43"/>
      <c r="V259" s="43"/>
    </row>
    <row r="260" spans="1:22" s="45" customFormat="1" ht="21" customHeight="1" x14ac:dyDescent="0.15">
      <c r="A260" s="39"/>
      <c r="B260" s="40"/>
      <c r="C260" s="39"/>
      <c r="D260" s="39"/>
      <c r="E260" s="39"/>
      <c r="F260" s="39"/>
      <c r="G260" s="39"/>
      <c r="H260" s="39"/>
      <c r="I260" s="39"/>
      <c r="J260" s="39"/>
      <c r="K260" s="39"/>
      <c r="L260" s="39"/>
      <c r="M260" s="39"/>
      <c r="N260" s="39"/>
      <c r="O260" s="41"/>
      <c r="P260" s="42"/>
      <c r="Q260" s="43"/>
      <c r="R260" s="43"/>
      <c r="S260" s="43"/>
      <c r="T260" s="43"/>
      <c r="U260" s="43"/>
      <c r="V260" s="43"/>
    </row>
    <row r="261" spans="1:22" s="45" customFormat="1" ht="21" customHeight="1" x14ac:dyDescent="0.15">
      <c r="A261" s="39"/>
      <c r="B261" s="40"/>
      <c r="C261" s="39"/>
      <c r="D261" s="39"/>
      <c r="E261" s="39"/>
      <c r="F261" s="39"/>
      <c r="G261" s="39"/>
      <c r="H261" s="39"/>
      <c r="I261" s="39"/>
      <c r="J261" s="39"/>
      <c r="K261" s="39"/>
      <c r="L261" s="39"/>
      <c r="M261" s="39"/>
      <c r="N261" s="39"/>
      <c r="O261" s="41"/>
      <c r="P261" s="42"/>
      <c r="Q261" s="43"/>
      <c r="R261" s="43"/>
      <c r="S261" s="43"/>
      <c r="T261" s="43"/>
      <c r="U261" s="43"/>
      <c r="V261" s="43"/>
    </row>
    <row r="262" spans="1:22" s="45" customFormat="1" ht="21" customHeight="1" x14ac:dyDescent="0.15">
      <c r="A262" s="39"/>
      <c r="B262" s="40"/>
      <c r="C262" s="39"/>
      <c r="D262" s="39"/>
      <c r="E262" s="39"/>
      <c r="F262" s="39"/>
      <c r="G262" s="39"/>
      <c r="H262" s="39"/>
      <c r="I262" s="39"/>
      <c r="J262" s="39"/>
      <c r="K262" s="39"/>
      <c r="L262" s="39"/>
      <c r="M262" s="39"/>
      <c r="N262" s="39"/>
      <c r="O262" s="41"/>
      <c r="P262" s="42"/>
      <c r="Q262" s="43"/>
      <c r="R262" s="43"/>
      <c r="S262" s="43"/>
      <c r="T262" s="43"/>
      <c r="U262" s="43"/>
      <c r="V262" s="43"/>
    </row>
    <row r="263" spans="1:22" s="45" customFormat="1" ht="21" customHeight="1" x14ac:dyDescent="0.15">
      <c r="A263" s="39"/>
      <c r="B263" s="40"/>
      <c r="C263" s="39"/>
      <c r="D263" s="39"/>
      <c r="E263" s="39"/>
      <c r="F263" s="39"/>
      <c r="G263" s="39"/>
      <c r="H263" s="39"/>
      <c r="I263" s="39"/>
      <c r="J263" s="39"/>
      <c r="K263" s="39"/>
      <c r="L263" s="39"/>
      <c r="M263" s="39"/>
      <c r="N263" s="39"/>
      <c r="O263" s="41"/>
      <c r="P263" s="42"/>
      <c r="Q263" s="43"/>
      <c r="R263" s="43"/>
      <c r="S263" s="43"/>
      <c r="T263" s="43"/>
      <c r="U263" s="43"/>
      <c r="V263" s="43"/>
    </row>
    <row r="264" spans="1:22" s="45" customFormat="1" ht="21" customHeight="1" x14ac:dyDescent="0.15">
      <c r="A264" s="39"/>
      <c r="B264" s="40"/>
      <c r="C264" s="39"/>
      <c r="D264" s="39"/>
      <c r="E264" s="39"/>
      <c r="F264" s="39"/>
      <c r="G264" s="39"/>
      <c r="H264" s="39"/>
      <c r="I264" s="39"/>
      <c r="J264" s="39"/>
      <c r="K264" s="39"/>
      <c r="L264" s="39"/>
      <c r="M264" s="39"/>
      <c r="N264" s="39"/>
      <c r="O264" s="41"/>
      <c r="P264" s="42"/>
      <c r="Q264" s="43"/>
      <c r="R264" s="43"/>
      <c r="S264" s="43"/>
      <c r="T264" s="43"/>
      <c r="U264" s="43"/>
      <c r="V264" s="43"/>
    </row>
    <row r="265" spans="1:22" s="45" customFormat="1" ht="21" customHeight="1" x14ac:dyDescent="0.15">
      <c r="A265" s="39"/>
      <c r="B265" s="40"/>
      <c r="C265" s="39"/>
      <c r="D265" s="39"/>
      <c r="E265" s="39"/>
      <c r="F265" s="39"/>
      <c r="G265" s="39"/>
      <c r="H265" s="39"/>
      <c r="I265" s="39"/>
      <c r="J265" s="39"/>
      <c r="K265" s="39"/>
      <c r="L265" s="39"/>
      <c r="M265" s="39"/>
      <c r="N265" s="39"/>
      <c r="O265" s="41"/>
      <c r="P265" s="42"/>
      <c r="Q265" s="43"/>
      <c r="R265" s="43"/>
      <c r="S265" s="43"/>
      <c r="T265" s="43"/>
      <c r="U265" s="43"/>
      <c r="V265" s="43"/>
    </row>
    <row r="266" spans="1:22" s="45" customFormat="1" ht="21" customHeight="1" x14ac:dyDescent="0.15">
      <c r="A266" s="39"/>
      <c r="B266" s="40"/>
      <c r="C266" s="39"/>
      <c r="D266" s="39"/>
      <c r="E266" s="39"/>
      <c r="F266" s="39"/>
      <c r="G266" s="39"/>
      <c r="H266" s="39"/>
      <c r="I266" s="39"/>
      <c r="J266" s="39"/>
      <c r="K266" s="39"/>
      <c r="L266" s="39"/>
      <c r="M266" s="39"/>
      <c r="N266" s="39"/>
      <c r="O266" s="41"/>
      <c r="P266" s="42"/>
      <c r="Q266" s="43"/>
      <c r="R266" s="43"/>
      <c r="S266" s="43"/>
      <c r="T266" s="43"/>
      <c r="U266" s="43"/>
      <c r="V266" s="43"/>
    </row>
    <row r="267" spans="1:22" s="45" customFormat="1" ht="21" customHeight="1" x14ac:dyDescent="0.15">
      <c r="A267" s="39"/>
      <c r="B267" s="40"/>
      <c r="C267" s="39"/>
      <c r="D267" s="39"/>
      <c r="E267" s="39"/>
      <c r="F267" s="39"/>
      <c r="G267" s="39"/>
      <c r="H267" s="39"/>
      <c r="I267" s="39"/>
      <c r="J267" s="39"/>
      <c r="K267" s="39"/>
      <c r="L267" s="39"/>
      <c r="M267" s="39"/>
      <c r="N267" s="39"/>
      <c r="O267" s="41"/>
      <c r="P267" s="42"/>
      <c r="Q267" s="43"/>
      <c r="R267" s="43"/>
      <c r="S267" s="43"/>
      <c r="T267" s="43"/>
      <c r="U267" s="43"/>
      <c r="V267" s="43"/>
    </row>
    <row r="268" spans="1:22" s="45" customFormat="1" ht="21" customHeight="1" x14ac:dyDescent="0.15">
      <c r="A268" s="39"/>
      <c r="B268" s="40"/>
      <c r="C268" s="39"/>
      <c r="D268" s="39"/>
      <c r="E268" s="39"/>
      <c r="F268" s="39"/>
      <c r="G268" s="39"/>
      <c r="H268" s="39"/>
      <c r="I268" s="39"/>
      <c r="J268" s="39"/>
      <c r="K268" s="39"/>
      <c r="L268" s="39"/>
      <c r="M268" s="39"/>
      <c r="N268" s="39"/>
      <c r="O268" s="41"/>
      <c r="P268" s="42"/>
      <c r="Q268" s="43"/>
      <c r="R268" s="43"/>
      <c r="S268" s="43"/>
      <c r="T268" s="43"/>
      <c r="U268" s="43"/>
      <c r="V268" s="43"/>
    </row>
    <row r="269" spans="1:22" s="45" customFormat="1" ht="21" customHeight="1" x14ac:dyDescent="0.15">
      <c r="A269" s="39"/>
      <c r="B269" s="40"/>
      <c r="C269" s="39"/>
      <c r="D269" s="39"/>
      <c r="E269" s="39"/>
      <c r="F269" s="39"/>
      <c r="G269" s="39"/>
      <c r="H269" s="39"/>
      <c r="I269" s="39"/>
      <c r="J269" s="39"/>
      <c r="K269" s="39"/>
      <c r="L269" s="39"/>
      <c r="M269" s="39"/>
      <c r="N269" s="39"/>
      <c r="O269" s="41"/>
      <c r="P269" s="42"/>
      <c r="Q269" s="43"/>
      <c r="R269" s="43"/>
      <c r="S269" s="43"/>
      <c r="T269" s="43"/>
      <c r="U269" s="43"/>
      <c r="V269" s="43"/>
    </row>
    <row r="270" spans="1:22" s="45" customFormat="1" ht="21" customHeight="1" x14ac:dyDescent="0.15">
      <c r="A270" s="39"/>
      <c r="B270" s="40"/>
      <c r="C270" s="39"/>
      <c r="D270" s="39"/>
      <c r="E270" s="39"/>
      <c r="F270" s="39"/>
      <c r="G270" s="39"/>
      <c r="H270" s="39"/>
      <c r="I270" s="39"/>
      <c r="J270" s="39"/>
      <c r="K270" s="39"/>
      <c r="L270" s="39"/>
      <c r="M270" s="39"/>
      <c r="N270" s="39"/>
      <c r="O270" s="41"/>
      <c r="P270" s="42"/>
      <c r="Q270" s="43"/>
      <c r="R270" s="43"/>
      <c r="S270" s="43"/>
      <c r="T270" s="43"/>
      <c r="U270" s="43"/>
      <c r="V270" s="43"/>
    </row>
    <row r="271" spans="1:22" s="45" customFormat="1" ht="21" customHeight="1" x14ac:dyDescent="0.15">
      <c r="A271" s="39"/>
      <c r="B271" s="39"/>
      <c r="C271" s="39"/>
      <c r="D271" s="39"/>
      <c r="E271" s="39"/>
      <c r="F271" s="39"/>
      <c r="G271" s="39"/>
      <c r="H271" s="39"/>
      <c r="I271" s="39"/>
      <c r="J271" s="39"/>
      <c r="K271" s="39"/>
      <c r="L271" s="39"/>
      <c r="M271" s="39"/>
      <c r="N271" s="39"/>
      <c r="O271" s="41"/>
      <c r="P271" s="42"/>
      <c r="Q271" s="43"/>
      <c r="R271" s="43"/>
      <c r="S271" s="43"/>
      <c r="T271" s="43"/>
      <c r="U271" s="43"/>
      <c r="V271" s="43"/>
    </row>
    <row r="272" spans="1:22" s="45" customFormat="1" ht="21" customHeight="1" x14ac:dyDescent="0.15">
      <c r="A272" s="39"/>
      <c r="B272" s="39"/>
      <c r="C272" s="39"/>
      <c r="D272" s="39"/>
      <c r="E272" s="39"/>
      <c r="F272" s="39"/>
      <c r="G272" s="39"/>
      <c r="H272" s="39"/>
      <c r="I272" s="39"/>
      <c r="J272" s="39"/>
      <c r="K272" s="39"/>
      <c r="L272" s="39"/>
      <c r="M272" s="39"/>
      <c r="N272" s="39"/>
      <c r="O272" s="41"/>
      <c r="P272" s="42"/>
      <c r="Q272" s="43"/>
      <c r="R272" s="43"/>
      <c r="S272" s="43"/>
      <c r="T272" s="43"/>
      <c r="U272" s="43"/>
      <c r="V272" s="43"/>
    </row>
    <row r="273" spans="1:22" s="45" customFormat="1" ht="21" customHeight="1" x14ac:dyDescent="0.15">
      <c r="A273" s="39"/>
      <c r="B273" s="39"/>
      <c r="C273" s="39"/>
      <c r="D273" s="39"/>
      <c r="E273" s="39"/>
      <c r="F273" s="39"/>
      <c r="G273" s="39"/>
      <c r="H273" s="39"/>
      <c r="I273" s="39"/>
      <c r="J273" s="39"/>
      <c r="K273" s="39"/>
      <c r="L273" s="39"/>
      <c r="M273" s="39"/>
      <c r="N273" s="39"/>
      <c r="O273" s="41"/>
      <c r="P273" s="42"/>
      <c r="Q273" s="43"/>
      <c r="R273" s="43"/>
      <c r="S273" s="43"/>
      <c r="T273" s="43"/>
      <c r="U273" s="43"/>
      <c r="V273" s="43"/>
    </row>
    <row r="274" spans="1:22" s="45" customFormat="1" ht="21" customHeight="1" x14ac:dyDescent="0.15">
      <c r="A274" s="39"/>
      <c r="B274" s="39"/>
      <c r="C274" s="39"/>
      <c r="D274" s="39"/>
      <c r="E274" s="39"/>
      <c r="F274" s="39"/>
      <c r="G274" s="39"/>
      <c r="H274" s="39"/>
      <c r="I274" s="39"/>
      <c r="J274" s="39"/>
      <c r="K274" s="39"/>
      <c r="L274" s="39"/>
      <c r="M274" s="39"/>
      <c r="N274" s="39"/>
      <c r="O274" s="41"/>
      <c r="P274" s="42"/>
      <c r="Q274" s="43"/>
      <c r="R274" s="43"/>
      <c r="S274" s="43"/>
      <c r="T274" s="43"/>
      <c r="U274" s="43"/>
      <c r="V274" s="43"/>
    </row>
    <row r="275" spans="1:22" s="45" customFormat="1" ht="21" customHeight="1" x14ac:dyDescent="0.15">
      <c r="A275" s="39"/>
      <c r="B275" s="39"/>
      <c r="C275" s="39"/>
      <c r="D275" s="39"/>
      <c r="E275" s="39"/>
      <c r="F275" s="39"/>
      <c r="G275" s="39"/>
      <c r="H275" s="39"/>
      <c r="I275" s="39"/>
      <c r="J275" s="39"/>
      <c r="K275" s="39"/>
      <c r="L275" s="39"/>
      <c r="M275" s="39"/>
      <c r="N275" s="39"/>
      <c r="O275" s="41"/>
      <c r="P275" s="42"/>
      <c r="Q275" s="43"/>
      <c r="R275" s="43"/>
      <c r="S275" s="43"/>
      <c r="T275" s="43"/>
      <c r="U275" s="43"/>
      <c r="V275" s="43"/>
    </row>
    <row r="276" spans="1:22" s="45" customFormat="1" ht="21" customHeight="1" x14ac:dyDescent="0.15">
      <c r="A276" s="39"/>
      <c r="B276" s="39"/>
      <c r="C276" s="39"/>
      <c r="D276" s="39"/>
      <c r="E276" s="39"/>
      <c r="F276" s="39"/>
      <c r="G276" s="39"/>
      <c r="H276" s="39"/>
      <c r="I276" s="39"/>
      <c r="J276" s="39"/>
      <c r="K276" s="39"/>
      <c r="L276" s="39"/>
      <c r="M276" s="39"/>
      <c r="N276" s="39"/>
      <c r="O276" s="41"/>
      <c r="P276" s="42"/>
      <c r="Q276" s="43"/>
      <c r="R276" s="43"/>
      <c r="S276" s="43"/>
      <c r="T276" s="43"/>
      <c r="U276" s="43"/>
      <c r="V276" s="43"/>
    </row>
    <row r="277" spans="1:22" s="45" customFormat="1" ht="21" customHeight="1" x14ac:dyDescent="0.15">
      <c r="A277" s="39"/>
      <c r="B277" s="39"/>
      <c r="C277" s="39"/>
      <c r="D277" s="39"/>
      <c r="E277" s="39"/>
      <c r="F277" s="39"/>
      <c r="G277" s="39"/>
      <c r="H277" s="39"/>
      <c r="I277" s="39"/>
      <c r="J277" s="39"/>
      <c r="K277" s="39"/>
      <c r="L277" s="39"/>
      <c r="M277" s="39"/>
      <c r="N277" s="39"/>
      <c r="O277" s="41"/>
      <c r="P277" s="42"/>
      <c r="Q277" s="43"/>
      <c r="R277" s="43"/>
      <c r="S277" s="43"/>
      <c r="T277" s="43"/>
      <c r="U277" s="43"/>
      <c r="V277" s="43"/>
    </row>
    <row r="278" spans="1:22" s="45" customFormat="1" ht="21" customHeight="1" x14ac:dyDescent="0.15">
      <c r="A278" s="39"/>
      <c r="B278" s="39"/>
      <c r="C278" s="39"/>
      <c r="D278" s="39"/>
      <c r="E278" s="39"/>
      <c r="F278" s="39"/>
      <c r="G278" s="39"/>
      <c r="H278" s="39"/>
      <c r="I278" s="39"/>
      <c r="J278" s="39"/>
      <c r="K278" s="39"/>
      <c r="L278" s="39"/>
      <c r="M278" s="39"/>
      <c r="N278" s="39"/>
      <c r="O278" s="41"/>
      <c r="P278" s="42"/>
      <c r="Q278" s="43"/>
      <c r="R278" s="43"/>
      <c r="S278" s="43"/>
      <c r="T278" s="43"/>
      <c r="U278" s="43"/>
      <c r="V278" s="43"/>
    </row>
    <row r="279" spans="1:22" s="45" customFormat="1" ht="21" customHeight="1" x14ac:dyDescent="0.15">
      <c r="A279" s="39"/>
      <c r="B279" s="39"/>
      <c r="C279" s="39"/>
      <c r="D279" s="39"/>
      <c r="E279" s="39"/>
      <c r="F279" s="39"/>
      <c r="G279" s="39"/>
      <c r="H279" s="39"/>
      <c r="I279" s="39"/>
      <c r="J279" s="39"/>
      <c r="K279" s="39"/>
      <c r="L279" s="39"/>
      <c r="M279" s="39"/>
      <c r="N279" s="39"/>
      <c r="O279" s="41"/>
      <c r="P279" s="42"/>
      <c r="Q279" s="43"/>
      <c r="R279" s="43"/>
      <c r="S279" s="43"/>
      <c r="T279" s="43"/>
      <c r="U279" s="43"/>
      <c r="V279" s="43"/>
    </row>
    <row r="280" spans="1:22" s="45" customFormat="1" ht="21" customHeight="1" x14ac:dyDescent="0.15">
      <c r="A280" s="39"/>
      <c r="B280" s="39"/>
      <c r="C280" s="39"/>
      <c r="D280" s="39"/>
      <c r="E280" s="39"/>
      <c r="F280" s="39"/>
      <c r="G280" s="39"/>
      <c r="H280" s="39"/>
      <c r="I280" s="39"/>
      <c r="J280" s="39"/>
      <c r="K280" s="39"/>
      <c r="L280" s="39"/>
      <c r="M280" s="39"/>
      <c r="N280" s="39"/>
      <c r="O280" s="41"/>
      <c r="P280" s="42"/>
      <c r="Q280" s="43"/>
      <c r="R280" s="43"/>
      <c r="S280" s="43"/>
      <c r="T280" s="43"/>
      <c r="U280" s="43"/>
      <c r="V280" s="43"/>
    </row>
    <row r="281" spans="1:22" s="45" customFormat="1" ht="21" customHeight="1" x14ac:dyDescent="0.15">
      <c r="A281" s="39"/>
      <c r="B281" s="39"/>
      <c r="C281" s="39"/>
      <c r="D281" s="39"/>
      <c r="E281" s="39"/>
      <c r="F281" s="39"/>
      <c r="G281" s="39"/>
      <c r="H281" s="39"/>
      <c r="I281" s="39"/>
      <c r="J281" s="39"/>
      <c r="K281" s="39"/>
      <c r="L281" s="39"/>
      <c r="M281" s="39"/>
      <c r="N281" s="39"/>
      <c r="O281" s="41"/>
      <c r="P281" s="42"/>
      <c r="Q281" s="43"/>
      <c r="R281" s="43"/>
      <c r="S281" s="43"/>
      <c r="T281" s="43"/>
      <c r="U281" s="43"/>
      <c r="V281" s="43"/>
    </row>
    <row r="282" spans="1:22" s="45" customFormat="1" ht="21" customHeight="1" x14ac:dyDescent="0.15">
      <c r="A282" s="39"/>
      <c r="B282" s="39"/>
      <c r="C282" s="39"/>
      <c r="D282" s="39"/>
      <c r="E282" s="39"/>
      <c r="F282" s="39"/>
      <c r="G282" s="39"/>
      <c r="H282" s="39"/>
      <c r="I282" s="39"/>
      <c r="J282" s="39"/>
      <c r="K282" s="39"/>
      <c r="L282" s="39"/>
      <c r="M282" s="39"/>
      <c r="N282" s="39"/>
      <c r="O282" s="41"/>
      <c r="P282" s="42"/>
      <c r="Q282" s="43"/>
      <c r="R282" s="43"/>
      <c r="S282" s="43"/>
      <c r="T282" s="43"/>
      <c r="U282" s="43"/>
      <c r="V282" s="43"/>
    </row>
    <row r="283" spans="1:22" s="45" customFormat="1" ht="21" customHeight="1" x14ac:dyDescent="0.15">
      <c r="A283" s="39"/>
      <c r="B283" s="39"/>
      <c r="C283" s="39"/>
      <c r="D283" s="39"/>
      <c r="E283" s="39"/>
      <c r="F283" s="39"/>
      <c r="G283" s="39"/>
      <c r="H283" s="39"/>
      <c r="I283" s="39"/>
      <c r="J283" s="39"/>
      <c r="K283" s="39"/>
      <c r="L283" s="39"/>
      <c r="M283" s="39"/>
      <c r="N283" s="39"/>
      <c r="O283" s="41"/>
      <c r="P283" s="42"/>
      <c r="Q283" s="43"/>
      <c r="R283" s="43"/>
      <c r="S283" s="43"/>
      <c r="T283" s="43"/>
      <c r="U283" s="43"/>
      <c r="V283" s="43"/>
    </row>
    <row r="284" spans="1:22" s="45" customFormat="1" ht="21" customHeight="1" x14ac:dyDescent="0.15">
      <c r="A284" s="39"/>
      <c r="B284" s="39"/>
      <c r="C284" s="39"/>
      <c r="D284" s="39"/>
      <c r="E284" s="39"/>
      <c r="F284" s="39"/>
      <c r="G284" s="39"/>
      <c r="H284" s="39"/>
      <c r="I284" s="39"/>
      <c r="J284" s="39"/>
      <c r="K284" s="39"/>
      <c r="L284" s="39"/>
      <c r="M284" s="39"/>
      <c r="N284" s="39"/>
      <c r="O284" s="41"/>
      <c r="P284" s="42"/>
      <c r="Q284" s="43"/>
      <c r="R284" s="43"/>
      <c r="S284" s="43"/>
      <c r="T284" s="43"/>
      <c r="U284" s="43"/>
      <c r="V284" s="43"/>
    </row>
    <row r="285" spans="1:22" s="45" customFormat="1" ht="21" customHeight="1" x14ac:dyDescent="0.15">
      <c r="A285" s="39"/>
      <c r="B285" s="39"/>
      <c r="C285" s="39"/>
      <c r="D285" s="39"/>
      <c r="E285" s="39"/>
      <c r="F285" s="39"/>
      <c r="G285" s="39"/>
      <c r="H285" s="39"/>
      <c r="I285" s="39"/>
      <c r="J285" s="39"/>
      <c r="K285" s="39"/>
      <c r="L285" s="39"/>
      <c r="M285" s="39"/>
      <c r="N285" s="39"/>
      <c r="O285" s="41"/>
      <c r="P285" s="42"/>
      <c r="Q285" s="43"/>
      <c r="R285" s="43"/>
      <c r="S285" s="43"/>
      <c r="T285" s="43"/>
      <c r="U285" s="43"/>
      <c r="V285" s="43"/>
    </row>
    <row r="286" spans="1:22" s="45" customFormat="1" ht="21" customHeight="1" x14ac:dyDescent="0.15">
      <c r="A286" s="39"/>
      <c r="B286" s="39"/>
      <c r="C286" s="39"/>
      <c r="D286" s="39"/>
      <c r="E286" s="39"/>
      <c r="F286" s="39"/>
      <c r="G286" s="39"/>
      <c r="H286" s="39"/>
      <c r="I286" s="39"/>
      <c r="J286" s="39"/>
      <c r="K286" s="39"/>
      <c r="L286" s="39"/>
      <c r="M286" s="39"/>
      <c r="N286" s="39"/>
      <c r="O286" s="41"/>
      <c r="P286" s="42"/>
      <c r="Q286" s="43"/>
      <c r="R286" s="43"/>
      <c r="S286" s="43"/>
      <c r="T286" s="43"/>
      <c r="U286" s="43"/>
      <c r="V286" s="43"/>
    </row>
    <row r="287" spans="1:22" s="45" customFormat="1" ht="21" customHeight="1" x14ac:dyDescent="0.15">
      <c r="A287" s="39"/>
      <c r="B287" s="39"/>
      <c r="C287" s="39"/>
      <c r="D287" s="39"/>
      <c r="E287" s="39"/>
      <c r="F287" s="39"/>
      <c r="G287" s="39"/>
      <c r="H287" s="39"/>
      <c r="I287" s="39"/>
      <c r="J287" s="39"/>
      <c r="K287" s="39"/>
      <c r="L287" s="39"/>
      <c r="M287" s="39"/>
      <c r="N287" s="39"/>
      <c r="O287" s="41"/>
      <c r="P287" s="42"/>
      <c r="Q287" s="43"/>
      <c r="R287" s="43"/>
      <c r="S287" s="43"/>
      <c r="T287" s="43"/>
      <c r="U287" s="43"/>
      <c r="V287" s="43"/>
    </row>
    <row r="288" spans="1:22" s="45" customFormat="1" ht="21" customHeight="1" x14ac:dyDescent="0.15">
      <c r="A288" s="39"/>
      <c r="B288" s="39"/>
      <c r="C288" s="39"/>
      <c r="D288" s="39"/>
      <c r="E288" s="39"/>
      <c r="F288" s="39"/>
      <c r="G288" s="39"/>
      <c r="H288" s="39"/>
      <c r="I288" s="39"/>
      <c r="J288" s="39"/>
      <c r="K288" s="39"/>
      <c r="L288" s="39"/>
      <c r="M288" s="39"/>
      <c r="N288" s="39"/>
      <c r="O288" s="41"/>
      <c r="P288" s="42"/>
      <c r="Q288" s="43"/>
      <c r="R288" s="43"/>
      <c r="S288" s="43"/>
      <c r="T288" s="43"/>
      <c r="U288" s="43"/>
      <c r="V288" s="43"/>
    </row>
    <row r="289" spans="1:22" s="45" customFormat="1" ht="21" customHeight="1" x14ac:dyDescent="0.15">
      <c r="A289" s="39"/>
      <c r="B289" s="39"/>
      <c r="C289" s="39"/>
      <c r="D289" s="39"/>
      <c r="E289" s="39"/>
      <c r="F289" s="39"/>
      <c r="G289" s="39"/>
      <c r="H289" s="39"/>
      <c r="I289" s="39"/>
      <c r="J289" s="39"/>
      <c r="K289" s="39"/>
      <c r="L289" s="39"/>
      <c r="M289" s="39"/>
      <c r="N289" s="39"/>
      <c r="O289" s="41"/>
      <c r="P289" s="42"/>
      <c r="Q289" s="43"/>
      <c r="R289" s="43"/>
      <c r="S289" s="43"/>
      <c r="T289" s="43"/>
      <c r="U289" s="43"/>
      <c r="V289" s="43"/>
    </row>
    <row r="290" spans="1:22" s="45" customFormat="1" ht="21" customHeight="1" x14ac:dyDescent="0.15">
      <c r="A290" s="39"/>
      <c r="B290" s="39"/>
      <c r="C290" s="39"/>
      <c r="D290" s="39"/>
      <c r="E290" s="39"/>
      <c r="F290" s="39"/>
      <c r="G290" s="39"/>
      <c r="H290" s="39"/>
      <c r="I290" s="39"/>
      <c r="J290" s="39"/>
      <c r="K290" s="39"/>
      <c r="L290" s="39"/>
      <c r="M290" s="39"/>
      <c r="N290" s="39"/>
      <c r="O290" s="41"/>
      <c r="P290" s="42"/>
      <c r="Q290" s="43"/>
      <c r="R290" s="43"/>
      <c r="S290" s="43"/>
      <c r="T290" s="43"/>
      <c r="U290" s="43"/>
      <c r="V290" s="43"/>
    </row>
    <row r="291" spans="1:22" s="45" customFormat="1" ht="21" customHeight="1" x14ac:dyDescent="0.15">
      <c r="A291" s="39"/>
      <c r="B291" s="39"/>
      <c r="C291" s="39"/>
      <c r="D291" s="39"/>
      <c r="E291" s="39"/>
      <c r="F291" s="39"/>
      <c r="G291" s="39"/>
      <c r="H291" s="39"/>
      <c r="I291" s="39"/>
      <c r="J291" s="39"/>
      <c r="K291" s="39"/>
      <c r="L291" s="39"/>
      <c r="M291" s="39"/>
      <c r="N291" s="39"/>
      <c r="O291" s="41"/>
      <c r="P291" s="42"/>
      <c r="Q291" s="43"/>
      <c r="R291" s="43"/>
      <c r="S291" s="43"/>
      <c r="T291" s="43"/>
      <c r="U291" s="43"/>
      <c r="V291" s="43"/>
    </row>
    <row r="292" spans="1:22" s="45" customFormat="1" ht="21" customHeight="1" x14ac:dyDescent="0.15">
      <c r="A292" s="39"/>
      <c r="B292" s="39"/>
      <c r="C292" s="39"/>
      <c r="D292" s="39"/>
      <c r="E292" s="39"/>
      <c r="F292" s="39"/>
      <c r="G292" s="39"/>
      <c r="H292" s="39"/>
      <c r="I292" s="39"/>
      <c r="J292" s="39"/>
      <c r="K292" s="39"/>
      <c r="L292" s="39"/>
      <c r="M292" s="39"/>
      <c r="N292" s="39"/>
      <c r="O292" s="41"/>
      <c r="P292" s="42"/>
      <c r="Q292" s="43"/>
      <c r="R292" s="43"/>
      <c r="S292" s="43"/>
      <c r="T292" s="43"/>
      <c r="U292" s="43"/>
      <c r="V292" s="43"/>
    </row>
    <row r="293" spans="1:22" s="45" customFormat="1" ht="21" customHeight="1" x14ac:dyDescent="0.15">
      <c r="A293" s="39"/>
      <c r="B293" s="39"/>
      <c r="C293" s="39"/>
      <c r="D293" s="39"/>
      <c r="E293" s="39"/>
      <c r="F293" s="39"/>
      <c r="G293" s="39"/>
      <c r="H293" s="39"/>
      <c r="I293" s="39"/>
      <c r="J293" s="39"/>
      <c r="K293" s="39"/>
      <c r="L293" s="39"/>
      <c r="M293" s="39"/>
      <c r="N293" s="39"/>
      <c r="O293" s="41"/>
      <c r="P293" s="42"/>
      <c r="Q293" s="43"/>
      <c r="R293" s="43"/>
      <c r="S293" s="43"/>
      <c r="T293" s="43"/>
      <c r="U293" s="43"/>
      <c r="V293" s="43"/>
    </row>
    <row r="294" spans="1:22" s="45" customFormat="1" ht="21" customHeight="1" x14ac:dyDescent="0.15">
      <c r="A294" s="39"/>
      <c r="B294" s="39"/>
      <c r="C294" s="39"/>
      <c r="D294" s="39"/>
      <c r="E294" s="39"/>
      <c r="F294" s="39"/>
      <c r="G294" s="39"/>
      <c r="H294" s="39"/>
      <c r="I294" s="39"/>
      <c r="J294" s="39"/>
      <c r="K294" s="39"/>
      <c r="L294" s="39"/>
      <c r="M294" s="39"/>
      <c r="N294" s="39"/>
      <c r="O294" s="41"/>
      <c r="P294" s="42"/>
      <c r="Q294" s="43"/>
      <c r="R294" s="43"/>
      <c r="S294" s="43"/>
      <c r="T294" s="43"/>
      <c r="U294" s="43"/>
      <c r="V294" s="43"/>
    </row>
    <row r="295" spans="1:22" s="45" customFormat="1" ht="21" customHeight="1" x14ac:dyDescent="0.15">
      <c r="A295" s="39"/>
      <c r="B295" s="39"/>
      <c r="C295" s="39"/>
      <c r="D295" s="39"/>
      <c r="E295" s="39"/>
      <c r="F295" s="39"/>
      <c r="G295" s="39"/>
      <c r="H295" s="39"/>
      <c r="I295" s="39"/>
      <c r="J295" s="39"/>
      <c r="K295" s="39"/>
      <c r="L295" s="39"/>
      <c r="M295" s="39"/>
      <c r="N295" s="39"/>
      <c r="O295" s="41"/>
      <c r="P295" s="42"/>
      <c r="Q295" s="43"/>
      <c r="R295" s="43"/>
      <c r="S295" s="43"/>
      <c r="T295" s="43"/>
      <c r="U295" s="43"/>
      <c r="V295" s="43"/>
    </row>
    <row r="296" spans="1:22" s="45" customFormat="1" ht="21" customHeight="1" x14ac:dyDescent="0.15">
      <c r="A296" s="39"/>
      <c r="B296" s="39"/>
      <c r="C296" s="39"/>
      <c r="D296" s="39"/>
      <c r="E296" s="39"/>
      <c r="F296" s="39"/>
      <c r="G296" s="39"/>
      <c r="H296" s="39"/>
      <c r="I296" s="39"/>
      <c r="J296" s="39"/>
      <c r="K296" s="39"/>
      <c r="L296" s="39"/>
      <c r="M296" s="39"/>
      <c r="N296" s="39"/>
      <c r="O296" s="41"/>
      <c r="P296" s="42"/>
      <c r="Q296" s="43"/>
      <c r="R296" s="43"/>
      <c r="S296" s="43"/>
      <c r="T296" s="43"/>
      <c r="U296" s="43"/>
      <c r="V296" s="43"/>
    </row>
    <row r="297" spans="1:22" s="45" customFormat="1" ht="21" customHeight="1" x14ac:dyDescent="0.15">
      <c r="A297" s="39"/>
      <c r="B297" s="39"/>
      <c r="C297" s="39"/>
      <c r="D297" s="39"/>
      <c r="E297" s="39"/>
      <c r="F297" s="39"/>
      <c r="G297" s="39"/>
      <c r="H297" s="39"/>
      <c r="I297" s="39"/>
      <c r="J297" s="39"/>
      <c r="K297" s="39"/>
      <c r="L297" s="39"/>
      <c r="M297" s="39"/>
      <c r="N297" s="39"/>
      <c r="O297" s="41"/>
      <c r="P297" s="42"/>
      <c r="Q297" s="43"/>
      <c r="R297" s="43"/>
      <c r="S297" s="43"/>
      <c r="T297" s="43"/>
      <c r="U297" s="43"/>
      <c r="V297" s="43"/>
    </row>
    <row r="298" spans="1:22" s="45" customFormat="1" ht="21" customHeight="1" x14ac:dyDescent="0.15">
      <c r="A298" s="39"/>
      <c r="B298" s="39"/>
      <c r="C298" s="39"/>
      <c r="D298" s="39"/>
      <c r="E298" s="39"/>
      <c r="F298" s="39"/>
      <c r="G298" s="39"/>
      <c r="H298" s="39"/>
      <c r="I298" s="39"/>
      <c r="J298" s="39"/>
      <c r="K298" s="39"/>
      <c r="L298" s="39"/>
      <c r="M298" s="39"/>
      <c r="N298" s="39"/>
      <c r="O298" s="41"/>
      <c r="P298" s="42"/>
      <c r="Q298" s="43"/>
      <c r="R298" s="43"/>
      <c r="S298" s="43"/>
      <c r="T298" s="43"/>
      <c r="U298" s="43"/>
      <c r="V298" s="43"/>
    </row>
    <row r="299" spans="1:22" s="45" customFormat="1" ht="21" customHeight="1" x14ac:dyDescent="0.15">
      <c r="A299" s="39"/>
      <c r="B299" s="39"/>
      <c r="C299" s="39"/>
      <c r="D299" s="39"/>
      <c r="E299" s="39"/>
      <c r="F299" s="39"/>
      <c r="G299" s="39"/>
      <c r="H299" s="39"/>
      <c r="I299" s="39"/>
      <c r="J299" s="39"/>
      <c r="K299" s="39"/>
      <c r="L299" s="39"/>
      <c r="M299" s="39"/>
      <c r="N299" s="39"/>
      <c r="O299" s="41"/>
      <c r="P299" s="42"/>
      <c r="Q299" s="43"/>
      <c r="R299" s="43"/>
      <c r="S299" s="43"/>
      <c r="T299" s="43"/>
      <c r="U299" s="43"/>
      <c r="V299" s="43"/>
    </row>
    <row r="300" spans="1:22" s="45" customFormat="1" ht="21" customHeight="1" x14ac:dyDescent="0.15">
      <c r="A300" s="39"/>
      <c r="B300" s="39"/>
      <c r="C300" s="39"/>
      <c r="D300" s="39"/>
      <c r="E300" s="39"/>
      <c r="F300" s="39"/>
      <c r="G300" s="39"/>
      <c r="H300" s="39"/>
      <c r="I300" s="39"/>
      <c r="J300" s="39"/>
      <c r="K300" s="39"/>
      <c r="L300" s="39"/>
      <c r="M300" s="39"/>
      <c r="N300" s="39"/>
      <c r="O300" s="41"/>
      <c r="P300" s="42"/>
      <c r="Q300" s="43"/>
      <c r="R300" s="43"/>
      <c r="S300" s="43"/>
      <c r="T300" s="43"/>
      <c r="U300" s="43"/>
      <c r="V300" s="43"/>
    </row>
    <row r="301" spans="1:22" s="45" customFormat="1" ht="21" customHeight="1" x14ac:dyDescent="0.15">
      <c r="A301" s="39"/>
      <c r="B301" s="39"/>
      <c r="C301" s="39"/>
      <c r="D301" s="39"/>
      <c r="E301" s="39"/>
      <c r="F301" s="39"/>
      <c r="G301" s="39"/>
      <c r="H301" s="39"/>
      <c r="I301" s="39"/>
      <c r="J301" s="39"/>
      <c r="K301" s="39"/>
      <c r="L301" s="39"/>
      <c r="M301" s="39"/>
      <c r="N301" s="39"/>
      <c r="O301" s="41"/>
      <c r="P301" s="42"/>
      <c r="Q301" s="43"/>
      <c r="R301" s="43"/>
      <c r="S301" s="43"/>
      <c r="T301" s="43"/>
      <c r="U301" s="43"/>
      <c r="V301" s="43"/>
    </row>
    <row r="302" spans="1:22" s="45" customFormat="1" ht="21" customHeight="1" x14ac:dyDescent="0.15">
      <c r="A302" s="39"/>
      <c r="B302" s="39"/>
      <c r="C302" s="39"/>
      <c r="D302" s="39"/>
      <c r="E302" s="39"/>
      <c r="F302" s="39"/>
      <c r="G302" s="39"/>
      <c r="H302" s="39"/>
      <c r="I302" s="39"/>
      <c r="J302" s="39"/>
      <c r="K302" s="39"/>
      <c r="L302" s="39"/>
      <c r="M302" s="39"/>
      <c r="N302" s="39"/>
      <c r="O302" s="41"/>
      <c r="P302" s="42"/>
      <c r="Q302" s="43"/>
      <c r="R302" s="43"/>
      <c r="S302" s="43"/>
      <c r="T302" s="43"/>
      <c r="U302" s="43"/>
      <c r="V302" s="43"/>
    </row>
    <row r="303" spans="1:22" s="45" customFormat="1" ht="21" customHeight="1" x14ac:dyDescent="0.15">
      <c r="A303" s="39"/>
      <c r="B303" s="39"/>
      <c r="C303" s="39"/>
      <c r="D303" s="39"/>
      <c r="E303" s="39"/>
      <c r="F303" s="39"/>
      <c r="G303" s="39"/>
      <c r="H303" s="39"/>
      <c r="I303" s="39"/>
      <c r="J303" s="39"/>
      <c r="K303" s="39"/>
      <c r="L303" s="39"/>
      <c r="M303" s="39"/>
      <c r="N303" s="39"/>
      <c r="O303" s="41"/>
      <c r="P303" s="42"/>
      <c r="Q303" s="43"/>
      <c r="R303" s="43"/>
      <c r="S303" s="43"/>
      <c r="T303" s="43"/>
      <c r="U303" s="43"/>
      <c r="V303" s="43"/>
    </row>
    <row r="304" spans="1:22" s="45" customFormat="1" ht="21" customHeight="1" x14ac:dyDescent="0.15">
      <c r="A304" s="39"/>
      <c r="B304" s="39"/>
      <c r="C304" s="39"/>
      <c r="D304" s="39"/>
      <c r="E304" s="39"/>
      <c r="F304" s="39"/>
      <c r="G304" s="39"/>
      <c r="H304" s="39"/>
      <c r="I304" s="39"/>
      <c r="J304" s="39"/>
      <c r="K304" s="39"/>
      <c r="L304" s="39"/>
      <c r="M304" s="39"/>
      <c r="N304" s="39"/>
      <c r="O304" s="41"/>
      <c r="P304" s="42"/>
      <c r="Q304" s="43"/>
      <c r="R304" s="43"/>
      <c r="S304" s="43"/>
      <c r="T304" s="43"/>
      <c r="U304" s="43"/>
      <c r="V304" s="43"/>
    </row>
    <row r="305" spans="1:22" s="45" customFormat="1" ht="21" customHeight="1" x14ac:dyDescent="0.15">
      <c r="A305" s="39"/>
      <c r="B305" s="39"/>
      <c r="C305" s="39"/>
      <c r="D305" s="39"/>
      <c r="E305" s="39"/>
      <c r="F305" s="39"/>
      <c r="G305" s="39"/>
      <c r="H305" s="39"/>
      <c r="I305" s="39"/>
      <c r="J305" s="39"/>
      <c r="K305" s="39"/>
      <c r="L305" s="39"/>
      <c r="M305" s="39"/>
      <c r="N305" s="39"/>
      <c r="O305" s="41"/>
      <c r="P305" s="42"/>
      <c r="Q305" s="43"/>
      <c r="R305" s="43"/>
      <c r="S305" s="43"/>
      <c r="T305" s="43"/>
      <c r="U305" s="43"/>
      <c r="V305" s="43"/>
    </row>
    <row r="306" spans="1:22" s="45" customFormat="1" ht="21" customHeight="1" x14ac:dyDescent="0.15">
      <c r="A306" s="39"/>
      <c r="B306" s="39"/>
      <c r="C306" s="39"/>
      <c r="D306" s="39"/>
      <c r="E306" s="39"/>
      <c r="F306" s="39"/>
      <c r="G306" s="39"/>
      <c r="H306" s="39"/>
      <c r="I306" s="39"/>
      <c r="J306" s="39"/>
      <c r="K306" s="39"/>
      <c r="L306" s="39"/>
      <c r="M306" s="39"/>
      <c r="N306" s="39"/>
      <c r="O306" s="41"/>
      <c r="P306" s="42"/>
      <c r="Q306" s="43"/>
      <c r="R306" s="43"/>
      <c r="S306" s="43"/>
      <c r="T306" s="43"/>
      <c r="U306" s="43"/>
      <c r="V306" s="43"/>
    </row>
    <row r="307" spans="1:22" s="45" customFormat="1" ht="21" customHeight="1" x14ac:dyDescent="0.15">
      <c r="A307" s="39"/>
      <c r="B307" s="39"/>
      <c r="C307" s="39"/>
      <c r="D307" s="39"/>
      <c r="E307" s="39"/>
      <c r="F307" s="39"/>
      <c r="G307" s="39"/>
      <c r="H307" s="39"/>
      <c r="I307" s="39"/>
      <c r="J307" s="39"/>
      <c r="K307" s="39"/>
      <c r="L307" s="39"/>
      <c r="M307" s="39"/>
      <c r="N307" s="39"/>
      <c r="O307" s="41"/>
      <c r="P307" s="42"/>
      <c r="Q307" s="43"/>
      <c r="R307" s="43"/>
      <c r="S307" s="43"/>
      <c r="T307" s="43"/>
      <c r="U307" s="43"/>
      <c r="V307" s="43"/>
    </row>
    <row r="308" spans="1:22" s="45" customFormat="1" ht="21" customHeight="1" x14ac:dyDescent="0.15">
      <c r="A308" s="39"/>
      <c r="B308" s="39"/>
      <c r="C308" s="39"/>
      <c r="D308" s="39"/>
      <c r="E308" s="39"/>
      <c r="F308" s="39"/>
      <c r="G308" s="39"/>
      <c r="H308" s="39"/>
      <c r="I308" s="39"/>
      <c r="J308" s="39"/>
      <c r="K308" s="39"/>
      <c r="L308" s="39"/>
      <c r="M308" s="39"/>
      <c r="N308" s="39"/>
      <c r="O308" s="41"/>
      <c r="P308" s="42"/>
      <c r="Q308" s="43"/>
      <c r="R308" s="43"/>
      <c r="S308" s="43"/>
      <c r="T308" s="43"/>
      <c r="U308" s="43"/>
      <c r="V308" s="43"/>
    </row>
    <row r="309" spans="1:22" s="45" customFormat="1" ht="21" customHeight="1" x14ac:dyDescent="0.15">
      <c r="A309" s="39"/>
      <c r="B309" s="39"/>
      <c r="C309" s="39"/>
      <c r="D309" s="39"/>
      <c r="E309" s="39"/>
      <c r="F309" s="39"/>
      <c r="G309" s="39"/>
      <c r="H309" s="39"/>
      <c r="I309" s="39"/>
      <c r="J309" s="39"/>
      <c r="K309" s="39"/>
      <c r="L309" s="39"/>
      <c r="M309" s="39"/>
      <c r="N309" s="39"/>
      <c r="O309" s="41"/>
      <c r="P309" s="42"/>
      <c r="Q309" s="43"/>
      <c r="R309" s="43"/>
      <c r="S309" s="43"/>
      <c r="T309" s="43"/>
      <c r="U309" s="43"/>
      <c r="V309" s="43"/>
    </row>
    <row r="310" spans="1:22" s="45" customFormat="1" ht="21" customHeight="1" x14ac:dyDescent="0.15">
      <c r="A310" s="39"/>
      <c r="B310" s="39"/>
      <c r="C310" s="39"/>
      <c r="D310" s="39"/>
      <c r="E310" s="39"/>
      <c r="F310" s="39"/>
      <c r="G310" s="39"/>
      <c r="H310" s="39"/>
      <c r="I310" s="39"/>
      <c r="J310" s="39"/>
      <c r="K310" s="39"/>
      <c r="L310" s="39"/>
      <c r="M310" s="39"/>
      <c r="N310" s="39"/>
      <c r="O310" s="41"/>
      <c r="P310" s="42"/>
      <c r="Q310" s="43"/>
      <c r="R310" s="43"/>
      <c r="S310" s="43"/>
      <c r="T310" s="43"/>
      <c r="U310" s="43"/>
      <c r="V310" s="43"/>
    </row>
    <row r="311" spans="1:22" s="45" customFormat="1" ht="21" customHeight="1" x14ac:dyDescent="0.15">
      <c r="A311" s="39"/>
      <c r="B311" s="39"/>
      <c r="C311" s="39"/>
      <c r="D311" s="39"/>
      <c r="E311" s="39"/>
      <c r="F311" s="39"/>
      <c r="G311" s="39"/>
      <c r="H311" s="39"/>
      <c r="I311" s="39"/>
      <c r="J311" s="39"/>
      <c r="K311" s="39"/>
      <c r="L311" s="39"/>
      <c r="M311" s="39"/>
      <c r="N311" s="39"/>
      <c r="O311" s="41"/>
      <c r="P311" s="42"/>
      <c r="Q311" s="43"/>
      <c r="R311" s="43"/>
      <c r="S311" s="43"/>
      <c r="T311" s="43"/>
      <c r="U311" s="43"/>
      <c r="V311" s="43"/>
    </row>
    <row r="312" spans="1:22" s="45" customFormat="1" ht="21" customHeight="1" x14ac:dyDescent="0.15">
      <c r="A312" s="39"/>
      <c r="B312" s="39"/>
      <c r="C312" s="39"/>
      <c r="D312" s="39"/>
      <c r="E312" s="39"/>
      <c r="F312" s="39"/>
      <c r="G312" s="39"/>
      <c r="H312" s="39"/>
      <c r="I312" s="39"/>
      <c r="J312" s="39"/>
      <c r="K312" s="39"/>
      <c r="L312" s="39"/>
      <c r="M312" s="39"/>
      <c r="N312" s="39"/>
      <c r="O312" s="41"/>
      <c r="P312" s="42"/>
      <c r="Q312" s="43"/>
      <c r="R312" s="43"/>
      <c r="S312" s="43"/>
      <c r="T312" s="43"/>
      <c r="U312" s="43"/>
      <c r="V312" s="43"/>
    </row>
    <row r="313" spans="1:22" s="45" customFormat="1" ht="21" customHeight="1" x14ac:dyDescent="0.15">
      <c r="A313" s="39"/>
      <c r="B313" s="39"/>
      <c r="C313" s="39"/>
      <c r="D313" s="39"/>
      <c r="E313" s="39"/>
      <c r="F313" s="39"/>
      <c r="G313" s="39"/>
      <c r="H313" s="39"/>
      <c r="I313" s="39"/>
      <c r="J313" s="39"/>
      <c r="K313" s="39"/>
      <c r="L313" s="39"/>
      <c r="M313" s="39"/>
      <c r="N313" s="39"/>
      <c r="O313" s="41"/>
      <c r="P313" s="42"/>
      <c r="Q313" s="43"/>
      <c r="R313" s="43"/>
      <c r="S313" s="43"/>
      <c r="T313" s="43"/>
      <c r="U313" s="43"/>
      <c r="V313" s="43"/>
    </row>
    <row r="314" spans="1:22" s="45" customFormat="1" ht="21" customHeight="1" x14ac:dyDescent="0.15">
      <c r="A314" s="39"/>
      <c r="B314" s="39"/>
      <c r="C314" s="39"/>
      <c r="D314" s="39"/>
      <c r="E314" s="39"/>
      <c r="F314" s="39"/>
      <c r="G314" s="39"/>
      <c r="H314" s="39"/>
      <c r="I314" s="39"/>
      <c r="J314" s="39"/>
      <c r="K314" s="39"/>
      <c r="L314" s="39"/>
      <c r="M314" s="39"/>
      <c r="N314" s="39"/>
      <c r="O314" s="41"/>
      <c r="P314" s="42"/>
      <c r="Q314" s="43"/>
      <c r="R314" s="43"/>
      <c r="S314" s="43"/>
      <c r="T314" s="43"/>
      <c r="U314" s="43"/>
      <c r="V314" s="43"/>
    </row>
    <row r="315" spans="1:22" s="45" customFormat="1" ht="21" customHeight="1" x14ac:dyDescent="0.15">
      <c r="A315" s="39"/>
      <c r="B315" s="39"/>
      <c r="C315" s="39"/>
      <c r="D315" s="39"/>
      <c r="E315" s="39"/>
      <c r="F315" s="39"/>
      <c r="G315" s="39"/>
      <c r="H315" s="39"/>
      <c r="I315" s="39"/>
      <c r="J315" s="39"/>
      <c r="K315" s="39"/>
      <c r="L315" s="39"/>
      <c r="M315" s="39"/>
      <c r="N315" s="39"/>
      <c r="O315" s="41"/>
      <c r="P315" s="42"/>
      <c r="Q315" s="43"/>
      <c r="R315" s="43"/>
      <c r="S315" s="43"/>
      <c r="T315" s="43"/>
      <c r="U315" s="43"/>
      <c r="V315" s="43"/>
    </row>
    <row r="316" spans="1:22" s="45" customFormat="1" ht="21" customHeight="1" x14ac:dyDescent="0.15">
      <c r="A316" s="39"/>
      <c r="B316" s="39"/>
      <c r="C316" s="39"/>
      <c r="D316" s="39"/>
      <c r="E316" s="39"/>
      <c r="F316" s="39"/>
      <c r="G316" s="39"/>
      <c r="H316" s="39"/>
      <c r="I316" s="39"/>
      <c r="J316" s="39"/>
      <c r="K316" s="39"/>
      <c r="L316" s="39"/>
      <c r="M316" s="39"/>
      <c r="N316" s="39"/>
      <c r="O316" s="41"/>
      <c r="P316" s="42"/>
      <c r="Q316" s="43"/>
      <c r="R316" s="43"/>
      <c r="S316" s="43"/>
      <c r="T316" s="43"/>
      <c r="U316" s="43"/>
      <c r="V316" s="43"/>
    </row>
    <row r="317" spans="1:22" s="45" customFormat="1" ht="21" customHeight="1" x14ac:dyDescent="0.15">
      <c r="A317" s="39"/>
      <c r="B317" s="39"/>
      <c r="C317" s="39"/>
      <c r="D317" s="39"/>
      <c r="E317" s="39"/>
      <c r="F317" s="39"/>
      <c r="G317" s="39"/>
      <c r="H317" s="39"/>
      <c r="I317" s="39"/>
      <c r="J317" s="39"/>
      <c r="K317" s="39"/>
      <c r="L317" s="39"/>
      <c r="M317" s="39"/>
      <c r="N317" s="39"/>
      <c r="O317" s="41"/>
      <c r="P317" s="42"/>
      <c r="Q317" s="43"/>
      <c r="R317" s="43"/>
      <c r="S317" s="43"/>
      <c r="T317" s="43"/>
      <c r="U317" s="43"/>
      <c r="V317" s="43"/>
    </row>
    <row r="318" spans="1:22" s="45" customFormat="1" ht="21" customHeight="1" x14ac:dyDescent="0.15">
      <c r="A318" s="39"/>
      <c r="B318" s="39"/>
      <c r="C318" s="39"/>
      <c r="D318" s="39"/>
      <c r="E318" s="39"/>
      <c r="F318" s="39"/>
      <c r="G318" s="39"/>
      <c r="H318" s="39"/>
      <c r="I318" s="39"/>
      <c r="J318" s="39"/>
      <c r="K318" s="39"/>
      <c r="L318" s="39"/>
      <c r="M318" s="39"/>
      <c r="N318" s="39"/>
      <c r="O318" s="41"/>
      <c r="P318" s="42"/>
      <c r="Q318" s="43"/>
      <c r="R318" s="43"/>
      <c r="S318" s="43"/>
      <c r="T318" s="43"/>
      <c r="U318" s="43"/>
      <c r="V318" s="43"/>
    </row>
    <row r="319" spans="1:22" s="45" customFormat="1" ht="21" customHeight="1" x14ac:dyDescent="0.15">
      <c r="A319" s="39"/>
      <c r="B319" s="39"/>
      <c r="C319" s="39"/>
      <c r="D319" s="39"/>
      <c r="E319" s="39"/>
      <c r="F319" s="39"/>
      <c r="G319" s="39"/>
      <c r="H319" s="39"/>
      <c r="I319" s="39"/>
      <c r="J319" s="39"/>
      <c r="K319" s="39"/>
      <c r="L319" s="39"/>
      <c r="M319" s="39"/>
      <c r="N319" s="39"/>
      <c r="O319" s="41"/>
      <c r="P319" s="42"/>
      <c r="Q319" s="43"/>
      <c r="R319" s="43"/>
      <c r="S319" s="43"/>
      <c r="T319" s="43"/>
      <c r="U319" s="43"/>
      <c r="V319" s="43"/>
    </row>
    <row r="320" spans="1:22" s="45" customFormat="1" ht="21" customHeight="1" x14ac:dyDescent="0.15">
      <c r="A320" s="39"/>
      <c r="B320" s="39"/>
      <c r="C320" s="39"/>
      <c r="D320" s="39"/>
      <c r="E320" s="39"/>
      <c r="F320" s="39"/>
      <c r="G320" s="39"/>
      <c r="H320" s="39"/>
      <c r="I320" s="39"/>
      <c r="J320" s="39"/>
      <c r="K320" s="39"/>
      <c r="L320" s="39"/>
      <c r="M320" s="39"/>
      <c r="N320" s="39"/>
      <c r="O320" s="41"/>
      <c r="P320" s="42"/>
      <c r="Q320" s="43"/>
      <c r="R320" s="43"/>
      <c r="S320" s="43"/>
      <c r="T320" s="43"/>
      <c r="U320" s="43"/>
      <c r="V320" s="43"/>
    </row>
    <row r="321" spans="1:22" s="45" customFormat="1" ht="21" customHeight="1" x14ac:dyDescent="0.15">
      <c r="A321" s="39"/>
      <c r="B321" s="39"/>
      <c r="C321" s="39"/>
      <c r="D321" s="39"/>
      <c r="E321" s="39"/>
      <c r="F321" s="39"/>
      <c r="G321" s="39"/>
      <c r="H321" s="39"/>
      <c r="I321" s="39"/>
      <c r="J321" s="39"/>
      <c r="K321" s="39"/>
      <c r="L321" s="39"/>
      <c r="M321" s="39"/>
      <c r="N321" s="39"/>
      <c r="O321" s="41"/>
      <c r="P321" s="42"/>
      <c r="Q321" s="43"/>
      <c r="R321" s="43"/>
      <c r="S321" s="43"/>
      <c r="T321" s="43"/>
      <c r="U321" s="43"/>
      <c r="V321" s="43"/>
    </row>
    <row r="322" spans="1:22" s="45" customFormat="1" ht="21" customHeight="1" x14ac:dyDescent="0.15">
      <c r="A322" s="39"/>
      <c r="B322" s="39"/>
      <c r="C322" s="39"/>
      <c r="D322" s="39"/>
      <c r="E322" s="39"/>
      <c r="F322" s="39"/>
      <c r="G322" s="39"/>
      <c r="H322" s="39"/>
      <c r="I322" s="39"/>
      <c r="J322" s="39"/>
      <c r="K322" s="39"/>
      <c r="L322" s="39"/>
      <c r="M322" s="39"/>
      <c r="N322" s="39"/>
      <c r="O322" s="41"/>
      <c r="P322" s="42"/>
      <c r="Q322" s="43"/>
      <c r="R322" s="43"/>
      <c r="S322" s="43"/>
      <c r="T322" s="43"/>
      <c r="U322" s="43"/>
      <c r="V322" s="43"/>
    </row>
    <row r="323" spans="1:22" s="45" customFormat="1" ht="21" customHeight="1" x14ac:dyDescent="0.15">
      <c r="A323" s="39"/>
      <c r="B323" s="39"/>
      <c r="C323" s="39"/>
      <c r="D323" s="39"/>
      <c r="E323" s="39"/>
      <c r="F323" s="39"/>
      <c r="G323" s="39"/>
      <c r="H323" s="39"/>
      <c r="I323" s="39"/>
      <c r="J323" s="39"/>
      <c r="K323" s="39"/>
      <c r="L323" s="39"/>
      <c r="M323" s="39"/>
      <c r="N323" s="39"/>
      <c r="O323" s="41"/>
      <c r="P323" s="42"/>
      <c r="Q323" s="43"/>
      <c r="R323" s="43"/>
      <c r="S323" s="43"/>
      <c r="T323" s="43"/>
      <c r="U323" s="43"/>
      <c r="V323" s="43"/>
    </row>
    <row r="324" spans="1:22" s="45" customFormat="1" ht="21" customHeight="1" x14ac:dyDescent="0.15">
      <c r="A324" s="39"/>
      <c r="B324" s="39"/>
      <c r="C324" s="39"/>
      <c r="D324" s="39"/>
      <c r="E324" s="39"/>
      <c r="F324" s="39"/>
      <c r="G324" s="39"/>
      <c r="H324" s="39"/>
      <c r="I324" s="39"/>
      <c r="J324" s="39"/>
      <c r="K324" s="39"/>
      <c r="L324" s="39"/>
      <c r="M324" s="39"/>
      <c r="N324" s="39"/>
      <c r="O324" s="41"/>
      <c r="P324" s="42"/>
      <c r="Q324" s="43"/>
      <c r="R324" s="43"/>
      <c r="S324" s="43"/>
      <c r="T324" s="43"/>
      <c r="U324" s="43"/>
      <c r="V324" s="43"/>
    </row>
    <row r="325" spans="1:22" s="45" customFormat="1" ht="21" customHeight="1" x14ac:dyDescent="0.15">
      <c r="A325" s="39"/>
      <c r="B325" s="39"/>
      <c r="C325" s="39"/>
      <c r="D325" s="39"/>
      <c r="E325" s="39"/>
      <c r="F325" s="39"/>
      <c r="G325" s="39"/>
      <c r="H325" s="39"/>
      <c r="I325" s="39"/>
      <c r="J325" s="39"/>
      <c r="K325" s="39"/>
      <c r="L325" s="39"/>
      <c r="M325" s="39"/>
      <c r="N325" s="39"/>
      <c r="O325" s="41"/>
      <c r="P325" s="42"/>
      <c r="Q325" s="43"/>
      <c r="R325" s="43"/>
      <c r="S325" s="43"/>
      <c r="T325" s="43"/>
      <c r="U325" s="43"/>
      <c r="V325" s="43"/>
    </row>
    <row r="326" spans="1:22" s="45" customFormat="1" ht="21" customHeight="1" x14ac:dyDescent="0.15">
      <c r="A326" s="39"/>
      <c r="B326" s="39"/>
      <c r="C326" s="39"/>
      <c r="D326" s="39"/>
      <c r="E326" s="39"/>
      <c r="F326" s="39"/>
      <c r="G326" s="39"/>
      <c r="H326" s="39"/>
      <c r="I326" s="39"/>
      <c r="J326" s="39"/>
      <c r="K326" s="39"/>
      <c r="L326" s="39"/>
      <c r="M326" s="39"/>
      <c r="N326" s="39"/>
      <c r="O326" s="41"/>
      <c r="P326" s="42"/>
      <c r="Q326" s="43"/>
      <c r="R326" s="43"/>
      <c r="S326" s="43"/>
      <c r="T326" s="43"/>
      <c r="U326" s="43"/>
      <c r="V326" s="43"/>
    </row>
    <row r="327" spans="1:22" s="45" customFormat="1" ht="21" customHeight="1" x14ac:dyDescent="0.15">
      <c r="A327" s="39"/>
      <c r="B327" s="39"/>
      <c r="C327" s="39"/>
      <c r="D327" s="39"/>
      <c r="E327" s="39"/>
      <c r="F327" s="39"/>
      <c r="G327" s="39"/>
      <c r="H327" s="39"/>
      <c r="I327" s="39"/>
      <c r="J327" s="39"/>
      <c r="K327" s="39"/>
      <c r="L327" s="39"/>
      <c r="M327" s="39"/>
      <c r="N327" s="39"/>
      <c r="O327" s="41"/>
      <c r="P327" s="42"/>
      <c r="Q327" s="43"/>
      <c r="R327" s="43"/>
      <c r="S327" s="43"/>
      <c r="T327" s="43"/>
      <c r="U327" s="43"/>
      <c r="V327" s="43"/>
    </row>
    <row r="328" spans="1:22" s="45" customFormat="1" ht="21" customHeight="1" x14ac:dyDescent="0.15">
      <c r="A328" s="39"/>
      <c r="B328" s="39"/>
      <c r="C328" s="39"/>
      <c r="D328" s="39"/>
      <c r="E328" s="39"/>
      <c r="F328" s="39"/>
      <c r="G328" s="39"/>
      <c r="H328" s="39"/>
      <c r="I328" s="39"/>
      <c r="J328" s="39"/>
      <c r="K328" s="39"/>
      <c r="L328" s="39"/>
      <c r="M328" s="39"/>
      <c r="N328" s="39"/>
      <c r="O328" s="41"/>
      <c r="P328" s="42"/>
      <c r="Q328" s="43"/>
      <c r="R328" s="43"/>
      <c r="S328" s="43"/>
      <c r="T328" s="43"/>
      <c r="U328" s="43"/>
      <c r="V328" s="43"/>
    </row>
    <row r="329" spans="1:22" s="45" customFormat="1" ht="21" customHeight="1" x14ac:dyDescent="0.15">
      <c r="A329" s="39"/>
      <c r="B329" s="39"/>
      <c r="C329" s="39"/>
      <c r="D329" s="39"/>
      <c r="E329" s="39"/>
      <c r="F329" s="39"/>
      <c r="G329" s="39"/>
      <c r="H329" s="39"/>
      <c r="I329" s="39"/>
      <c r="J329" s="39"/>
      <c r="K329" s="39"/>
      <c r="L329" s="39"/>
      <c r="M329" s="39"/>
      <c r="N329" s="39"/>
      <c r="O329" s="41"/>
      <c r="P329" s="42"/>
      <c r="Q329" s="43"/>
      <c r="R329" s="43"/>
      <c r="S329" s="43"/>
      <c r="T329" s="43"/>
      <c r="U329" s="43"/>
      <c r="V329" s="43"/>
    </row>
    <row r="330" spans="1:22" s="45" customFormat="1" ht="21" customHeight="1" x14ac:dyDescent="0.15">
      <c r="A330" s="39"/>
      <c r="B330" s="39"/>
      <c r="C330" s="39"/>
      <c r="D330" s="39"/>
      <c r="E330" s="39"/>
      <c r="F330" s="39"/>
      <c r="G330" s="39"/>
      <c r="H330" s="39"/>
      <c r="I330" s="39"/>
      <c r="J330" s="39"/>
      <c r="K330" s="39"/>
      <c r="L330" s="39"/>
      <c r="M330" s="39"/>
      <c r="N330" s="39"/>
      <c r="O330" s="41"/>
      <c r="P330" s="42"/>
      <c r="Q330" s="43"/>
      <c r="R330" s="43"/>
      <c r="S330" s="43"/>
      <c r="T330" s="43"/>
      <c r="U330" s="43"/>
      <c r="V330" s="43"/>
    </row>
    <row r="331" spans="1:22" s="45" customFormat="1" ht="21" customHeight="1" x14ac:dyDescent="0.15">
      <c r="A331" s="39"/>
      <c r="B331" s="39"/>
      <c r="C331" s="39"/>
      <c r="D331" s="39"/>
      <c r="E331" s="39"/>
      <c r="F331" s="39"/>
      <c r="G331" s="39"/>
      <c r="H331" s="39"/>
      <c r="I331" s="39"/>
      <c r="J331" s="39"/>
      <c r="K331" s="39"/>
      <c r="L331" s="39"/>
      <c r="M331" s="39"/>
      <c r="N331" s="39"/>
      <c r="O331" s="41"/>
      <c r="P331" s="42"/>
      <c r="Q331" s="43"/>
      <c r="R331" s="43"/>
      <c r="S331" s="43"/>
      <c r="T331" s="43"/>
      <c r="U331" s="43"/>
      <c r="V331" s="43"/>
    </row>
    <row r="332" spans="1:22" s="45" customFormat="1" ht="21" customHeight="1" x14ac:dyDescent="0.15">
      <c r="A332" s="39"/>
      <c r="B332" s="39"/>
      <c r="C332" s="39"/>
      <c r="D332" s="39"/>
      <c r="E332" s="39"/>
      <c r="F332" s="39"/>
      <c r="G332" s="39"/>
      <c r="H332" s="39"/>
      <c r="I332" s="39"/>
      <c r="J332" s="39"/>
      <c r="K332" s="39"/>
      <c r="L332" s="39"/>
      <c r="M332" s="39"/>
      <c r="N332" s="39"/>
      <c r="O332" s="41"/>
      <c r="P332" s="42"/>
      <c r="Q332" s="43"/>
      <c r="R332" s="43"/>
      <c r="S332" s="43"/>
      <c r="T332" s="43"/>
      <c r="U332" s="43"/>
      <c r="V332" s="43"/>
    </row>
    <row r="333" spans="1:22" s="45" customFormat="1" ht="21" customHeight="1" x14ac:dyDescent="0.15">
      <c r="A333" s="39"/>
      <c r="B333" s="39"/>
      <c r="C333" s="39"/>
      <c r="D333" s="39"/>
      <c r="E333" s="39"/>
      <c r="F333" s="39"/>
      <c r="G333" s="39"/>
      <c r="H333" s="39"/>
      <c r="I333" s="39"/>
      <c r="J333" s="39"/>
      <c r="K333" s="39"/>
      <c r="L333" s="39"/>
      <c r="M333" s="39"/>
      <c r="N333" s="39"/>
      <c r="O333" s="41"/>
      <c r="P333" s="42"/>
      <c r="Q333" s="43"/>
      <c r="R333" s="43"/>
      <c r="S333" s="43"/>
      <c r="T333" s="43"/>
      <c r="U333" s="43"/>
      <c r="V333" s="43"/>
    </row>
    <row r="334" spans="1:22" s="45" customFormat="1" ht="21" customHeight="1" x14ac:dyDescent="0.15">
      <c r="A334" s="39"/>
      <c r="B334" s="39"/>
      <c r="C334" s="39"/>
      <c r="D334" s="39"/>
      <c r="E334" s="39"/>
      <c r="F334" s="39"/>
      <c r="G334" s="39"/>
      <c r="H334" s="39"/>
      <c r="I334" s="39"/>
      <c r="J334" s="39"/>
      <c r="K334" s="39"/>
      <c r="L334" s="39"/>
      <c r="M334" s="39"/>
      <c r="N334" s="39"/>
      <c r="O334" s="41"/>
      <c r="P334" s="42"/>
      <c r="Q334" s="43"/>
      <c r="R334" s="43"/>
      <c r="S334" s="43"/>
      <c r="T334" s="43"/>
      <c r="U334" s="43"/>
      <c r="V334" s="43"/>
    </row>
  </sheetData>
  <phoneticPr fontId="10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7" enableFormatConditionsCalculation="0">
    <tabColor rgb="FF0000FF"/>
    <outlinePr summaryBelow="0" summaryRight="0"/>
  </sheetPr>
  <dimension ref="A1:AJ334"/>
  <sheetViews>
    <sheetView showGridLines="0" tabSelected="1" workbookViewId="0">
      <pane ySplit="1" topLeftCell="A2" activePane="bottomLeft" state="frozen"/>
      <selection activeCell="E6" sqref="E6"/>
      <selection pane="bottomLeft" activeCell="B6" sqref="B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22" width="13" style="1"/>
    <col min="23" max="36" width="13" style="45"/>
    <col min="37" max="16384" width="13" style="1"/>
  </cols>
  <sheetData>
    <row r="1" spans="1:22" ht="21" customHeight="1" x14ac:dyDescent="0.15">
      <c r="A1" s="13" t="s">
        <v>108</v>
      </c>
      <c r="B1" s="14" t="s">
        <v>109</v>
      </c>
      <c r="C1" s="3" t="s">
        <v>9</v>
      </c>
      <c r="D1" s="3" t="s">
        <v>110</v>
      </c>
      <c r="E1" s="3" t="s">
        <v>106</v>
      </c>
      <c r="F1" s="3" t="s">
        <v>107</v>
      </c>
      <c r="G1" s="3" t="s">
        <v>111</v>
      </c>
      <c r="H1" s="3" t="s">
        <v>112</v>
      </c>
      <c r="I1" s="3" t="s">
        <v>113</v>
      </c>
      <c r="J1" s="3" t="s">
        <v>114</v>
      </c>
      <c r="K1" s="3" t="s">
        <v>115</v>
      </c>
      <c r="L1" s="3" t="s">
        <v>116</v>
      </c>
      <c r="M1" s="3" t="s">
        <v>117</v>
      </c>
      <c r="N1" s="3" t="s">
        <v>20</v>
      </c>
      <c r="O1" s="14" t="s">
        <v>118</v>
      </c>
      <c r="P1" s="3" t="s">
        <v>22</v>
      </c>
      <c r="Q1" s="14" t="s">
        <v>119</v>
      </c>
      <c r="R1" s="21" t="s">
        <v>4</v>
      </c>
      <c r="S1" s="21" t="s">
        <v>5</v>
      </c>
      <c r="T1" s="21" t="s">
        <v>6</v>
      </c>
      <c r="U1" s="21" t="s">
        <v>7</v>
      </c>
      <c r="V1" s="21" t="s">
        <v>8</v>
      </c>
    </row>
    <row r="2" spans="1:22" ht="21" customHeight="1" x14ac:dyDescent="0.15">
      <c r="A2" s="2">
        <v>7121104</v>
      </c>
      <c r="B2" s="6">
        <v>500</v>
      </c>
      <c r="C2" s="7" t="str">
        <f t="shared" ref="C2:C5" si="0">D2&amp;J2&amp;E2&amp;F2&amp;G2</f>
        <v>PremiumSS5</v>
      </c>
      <c r="D2" s="7" t="str">
        <f>IF(OR(I2="PremiumSS",I2="PremiumSSw"),"PremiumSS",IF(I2="PremiumSSS",I2,IF(I2="PremiumW",IF(J2=5,"premium",I2),"Premium")))</f>
        <v>PremiumSS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脈動の禁髪 ラプンツェル</v>
      </c>
      <c r="I2" s="7" t="str">
        <f>VLOOKUP(B2,[1]characters!$A:$J,10,FALSE)</f>
        <v>PremiumSS</v>
      </c>
      <c r="J2" s="7">
        <f>VLOOKUP(B2,[1]characters!$A:$I,9,FALSE)</f>
        <v>5</v>
      </c>
      <c r="K2" s="7" t="str">
        <f>VLOOKUP(B2,[1]characters!$A:$H,8,FALSE)</f>
        <v>yellow</v>
      </c>
      <c r="L2" s="7" t="str">
        <f>VLOOKUP(B2,[1]characters!$A:$K,11,FALSE)</f>
        <v>balance</v>
      </c>
      <c r="M2" s="7" t="str">
        <f>VLOOKUP(B2,[1]characters!$A:$M,13,FALSE)</f>
        <v>human</v>
      </c>
      <c r="N2" s="7" t="str">
        <f>VLOOKUP(B2,[1]characters!$A:$G,7,FALSE)</f>
        <v>女性</v>
      </c>
      <c r="O2" s="7">
        <v>10</v>
      </c>
      <c r="P2" s="27">
        <f t="shared" ref="P2:P5" si="1">O2/SUM(O:O)</f>
        <v>0.25</v>
      </c>
      <c r="Q2" s="22">
        <v>1</v>
      </c>
      <c r="R2" s="22">
        <v>0</v>
      </c>
      <c r="S2" s="22">
        <v>0</v>
      </c>
      <c r="T2" s="22">
        <v>0</v>
      </c>
      <c r="U2" s="22">
        <v>0</v>
      </c>
      <c r="V2" s="22">
        <v>1</v>
      </c>
    </row>
    <row r="3" spans="1:22" ht="21" customHeight="1" x14ac:dyDescent="0.15">
      <c r="A3" s="2">
        <v>7121104</v>
      </c>
      <c r="B3" s="6">
        <v>1033</v>
      </c>
      <c r="C3" s="7" t="str">
        <f t="shared" si="0"/>
        <v>PremiumSS5R5only</v>
      </c>
      <c r="D3" s="7" t="str">
        <f t="shared" ref="D3:D5" si="2">IF(OR(I3="PremiumSS",I3="PremiumSSw"),"PremiumSS",IF(I3="PremiumSSS",I3,IF(I3="PremiumW",IF(J3=5,"premium",I3),"Premium")))</f>
        <v>PremiumSS</v>
      </c>
      <c r="E3" s="7" t="str">
        <f>IF(COUNTIF('R6追加前'!A:A,B3)=0,IF(OR(I3="PremiumSS",I3="PremiumSSw"),"R5only","R3less"),"")</f>
        <v>R5only</v>
      </c>
      <c r="F3" s="7" t="str">
        <f>IF(COUNTIF('R6開放'!A:A,B3)&gt;0,"R6release","")</f>
        <v/>
      </c>
      <c r="G3" s="7"/>
      <c r="H3" s="7" t="str">
        <f>VLOOKUP(B3,[1]characters!$A:$C,3,FALSE)</f>
        <v>清少納言</v>
      </c>
      <c r="I3" s="7" t="str">
        <f>VLOOKUP(B3,[1]characters!$A:$J,10,FALSE)</f>
        <v>PremiumSS</v>
      </c>
      <c r="J3" s="7">
        <f>VLOOKUP(B3,[1]characters!$A:$I,9,FALSE)</f>
        <v>5</v>
      </c>
      <c r="K3" s="7" t="str">
        <f>VLOOKUP(B3,[1]characters!$A:$H,8,FALSE)</f>
        <v>yellow</v>
      </c>
      <c r="L3" s="7" t="str">
        <f>VLOOKUP(B3,[1]characters!$A:$K,11,FALSE)</f>
        <v>heal</v>
      </c>
      <c r="M3" s="7" t="str">
        <f>VLOOKUP(B3,[1]characters!$A:$M,13,FALSE)</f>
        <v>human</v>
      </c>
      <c r="N3" s="7" t="str">
        <f>VLOOKUP(B3,[1]characters!$A:$G,7,FALSE)</f>
        <v>男性</v>
      </c>
      <c r="O3" s="7">
        <v>10</v>
      </c>
      <c r="P3" s="27">
        <f t="shared" si="1"/>
        <v>0.25</v>
      </c>
      <c r="Q3" s="22">
        <v>1</v>
      </c>
      <c r="R3" s="22">
        <v>0</v>
      </c>
      <c r="S3" s="22">
        <v>0</v>
      </c>
      <c r="T3" s="22">
        <v>0</v>
      </c>
      <c r="U3" s="22">
        <v>0</v>
      </c>
      <c r="V3" s="22">
        <v>1</v>
      </c>
    </row>
    <row r="4" spans="1:22" ht="21" customHeight="1" x14ac:dyDescent="0.15">
      <c r="A4" s="2">
        <v>7121104</v>
      </c>
      <c r="B4" s="6">
        <v>595</v>
      </c>
      <c r="C4" s="7" t="str">
        <f t="shared" si="0"/>
        <v>PremiumSS5</v>
      </c>
      <c r="D4" s="7" t="str">
        <f t="shared" si="2"/>
        <v>PremiumSS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光華なる神域 アルフヘイム</v>
      </c>
      <c r="I4" s="7" t="str">
        <f>VLOOKUP(B4,[1]characters!$A:$J,10,FALSE)</f>
        <v>PremiumSS</v>
      </c>
      <c r="J4" s="7">
        <f>VLOOKUP(B4,[1]characters!$A:$I,9,FALSE)</f>
        <v>5</v>
      </c>
      <c r="K4" s="7" t="str">
        <f>VLOOKUP(B4,[1]characters!$A:$H,8,FALSE)</f>
        <v>yellow</v>
      </c>
      <c r="L4" s="7" t="str">
        <f>VLOOKUP(B4,[1]characters!$A:$K,11,FALSE)</f>
        <v>attack</v>
      </c>
      <c r="M4" s="7" t="str">
        <f>VLOOKUP(B4,[1]characters!$A:$M,13,FALSE)</f>
        <v>dragon</v>
      </c>
      <c r="N4" s="7" t="str">
        <f>VLOOKUP(B4,[1]characters!$A:$G,7,FALSE)</f>
        <v>不明</v>
      </c>
      <c r="O4" s="7">
        <v>10</v>
      </c>
      <c r="P4" s="27">
        <f t="shared" si="1"/>
        <v>0.25</v>
      </c>
      <c r="Q4" s="22">
        <v>1</v>
      </c>
      <c r="R4" s="22">
        <v>0</v>
      </c>
      <c r="S4" s="22">
        <v>0</v>
      </c>
      <c r="T4" s="22">
        <v>0</v>
      </c>
      <c r="U4" s="22">
        <v>0</v>
      </c>
      <c r="V4" s="22">
        <v>1</v>
      </c>
    </row>
    <row r="5" spans="1:22" ht="21" customHeight="1" x14ac:dyDescent="0.15">
      <c r="A5" s="2">
        <v>7121104</v>
      </c>
      <c r="B5" s="6">
        <v>734</v>
      </c>
      <c r="C5" s="7" t="str">
        <f t="shared" si="0"/>
        <v>PremiumSS5R5only</v>
      </c>
      <c r="D5" s="7" t="str">
        <f t="shared" si="2"/>
        <v>PremiumSS</v>
      </c>
      <c r="E5" s="7" t="str">
        <f>IF(COUNTIF('R6追加前'!A:A,B5)=0,IF(OR(I5="PremiumSS",I5="PremiumSSw"),"R5only","R3less"),"")</f>
        <v>R5only</v>
      </c>
      <c r="F5" s="7" t="str">
        <f>IF(COUNTIF('R6開放'!A:A,B5)&gt;0,"R6release","")</f>
        <v/>
      </c>
      <c r="G5" s="7"/>
      <c r="H5" s="7" t="str">
        <f>VLOOKUP(B5,[1]characters!$A:$C,3,FALSE)</f>
        <v>伊達政宗</v>
      </c>
      <c r="I5" s="7" t="str">
        <f>VLOOKUP(B5,[1]characters!$A:$J,10,FALSE)</f>
        <v>PremiumSS</v>
      </c>
      <c r="J5" s="7">
        <f>VLOOKUP(B5,[1]characters!$A:$I,9,FALSE)</f>
        <v>5</v>
      </c>
      <c r="K5" s="7" t="str">
        <f>VLOOKUP(B5,[1]characters!$A:$H,8,FALSE)</f>
        <v>yellow</v>
      </c>
      <c r="L5" s="7" t="str">
        <f>VLOOKUP(B5,[1]characters!$A:$K,11,FALSE)</f>
        <v>balance</v>
      </c>
      <c r="M5" s="7" t="str">
        <f>VLOOKUP(B5,[1]characters!$A:$M,13,FALSE)</f>
        <v>human</v>
      </c>
      <c r="N5" s="7" t="str">
        <f>VLOOKUP(B5,[1]characters!$A:$G,7,FALSE)</f>
        <v>男性</v>
      </c>
      <c r="O5" s="7">
        <v>10</v>
      </c>
      <c r="P5" s="27">
        <f t="shared" si="1"/>
        <v>0.25</v>
      </c>
      <c r="Q5" s="22">
        <v>1</v>
      </c>
      <c r="R5" s="22">
        <v>0</v>
      </c>
      <c r="S5" s="22">
        <v>0</v>
      </c>
      <c r="T5" s="22">
        <v>0</v>
      </c>
      <c r="U5" s="22">
        <v>0</v>
      </c>
      <c r="V5" s="22">
        <v>1</v>
      </c>
    </row>
    <row r="6" spans="1:22" ht="21" customHeight="1" x14ac:dyDescent="0.15">
      <c r="A6" s="2"/>
      <c r="B6" s="6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27"/>
      <c r="Q6" s="22"/>
      <c r="R6" s="22"/>
      <c r="S6" s="22"/>
      <c r="T6" s="22"/>
      <c r="U6" s="22"/>
      <c r="V6" s="22"/>
    </row>
    <row r="7" spans="1:22" ht="21" customHeight="1" x14ac:dyDescent="0.15">
      <c r="A7" s="2"/>
      <c r="B7" s="6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27"/>
      <c r="Q7" s="22"/>
      <c r="R7" s="22"/>
      <c r="S7" s="22"/>
      <c r="T7" s="22"/>
      <c r="U7" s="22"/>
      <c r="V7" s="22"/>
    </row>
    <row r="8" spans="1:22" ht="21" customHeight="1" x14ac:dyDescent="0.15">
      <c r="A8" s="2"/>
      <c r="B8" s="6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27"/>
      <c r="Q8" s="22"/>
      <c r="R8" s="22"/>
      <c r="S8" s="22"/>
      <c r="T8" s="22"/>
      <c r="U8" s="22"/>
      <c r="V8" s="22"/>
    </row>
    <row r="9" spans="1:22" ht="21" customHeight="1" x14ac:dyDescent="0.15">
      <c r="A9" s="2"/>
      <c r="B9" s="6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27"/>
      <c r="Q9" s="22"/>
      <c r="R9" s="22"/>
      <c r="S9" s="22"/>
      <c r="T9" s="22"/>
      <c r="U9" s="22"/>
      <c r="V9" s="22"/>
    </row>
    <row r="10" spans="1:22" ht="21" customHeight="1" x14ac:dyDescent="0.15">
      <c r="A10" s="2"/>
      <c r="B10" s="6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27"/>
      <c r="Q10" s="22"/>
      <c r="R10" s="22"/>
      <c r="S10" s="22"/>
      <c r="T10" s="22"/>
      <c r="U10" s="22"/>
      <c r="V10" s="22"/>
    </row>
    <row r="11" spans="1:22" ht="21" customHeight="1" x14ac:dyDescent="0.15">
      <c r="A11" s="2"/>
      <c r="B11" s="6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27"/>
      <c r="Q11" s="22"/>
      <c r="R11" s="22"/>
      <c r="S11" s="22"/>
      <c r="T11" s="22"/>
      <c r="U11" s="22"/>
      <c r="V11" s="22"/>
    </row>
    <row r="12" spans="1:22" ht="21" customHeight="1" x14ac:dyDescent="0.15">
      <c r="A12" s="2"/>
      <c r="B12" s="8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27"/>
      <c r="Q12" s="22"/>
      <c r="R12" s="22"/>
      <c r="S12" s="22"/>
      <c r="T12" s="22"/>
      <c r="U12" s="22"/>
      <c r="V12" s="22"/>
    </row>
    <row r="13" spans="1:22" ht="21" customHeight="1" x14ac:dyDescent="0.15">
      <c r="A13" s="2"/>
      <c r="B13" s="8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27"/>
      <c r="Q13" s="22"/>
      <c r="R13" s="22"/>
      <c r="S13" s="22"/>
      <c r="T13" s="22"/>
      <c r="U13" s="22"/>
      <c r="V13" s="22"/>
    </row>
    <row r="14" spans="1:22" ht="21" customHeight="1" x14ac:dyDescent="0.15">
      <c r="A14" s="2"/>
      <c r="B14" s="6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27"/>
      <c r="Q14" s="22"/>
      <c r="R14" s="22"/>
      <c r="S14" s="22"/>
      <c r="T14" s="22"/>
      <c r="U14" s="22"/>
      <c r="V14" s="22"/>
    </row>
    <row r="15" spans="1:22" ht="21" customHeight="1" x14ac:dyDescent="0.15">
      <c r="A15" s="2"/>
      <c r="B15" s="6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27"/>
      <c r="Q15" s="22"/>
      <c r="R15" s="22"/>
      <c r="S15" s="22"/>
      <c r="T15" s="22"/>
      <c r="U15" s="22"/>
      <c r="V15" s="22"/>
    </row>
    <row r="16" spans="1:22" ht="21" customHeight="1" x14ac:dyDescent="0.15">
      <c r="A16" s="2"/>
      <c r="B16" s="6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27"/>
      <c r="Q16" s="22"/>
      <c r="R16" s="22"/>
      <c r="S16" s="22"/>
      <c r="T16" s="22"/>
      <c r="U16" s="22"/>
      <c r="V16" s="22"/>
    </row>
    <row r="17" spans="1:36" ht="21" customHeight="1" x14ac:dyDescent="0.15">
      <c r="A17" s="2"/>
      <c r="B17" s="6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27"/>
      <c r="Q17" s="22"/>
      <c r="R17" s="22"/>
      <c r="S17" s="22"/>
      <c r="T17" s="22"/>
      <c r="U17" s="22"/>
      <c r="V17" s="22"/>
    </row>
    <row r="18" spans="1:36" ht="21" customHeight="1" x14ac:dyDescent="0.15">
      <c r="A18" s="2"/>
      <c r="B18" s="6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27"/>
      <c r="Q18" s="22"/>
      <c r="R18" s="22"/>
      <c r="S18" s="22"/>
      <c r="T18" s="22"/>
      <c r="U18" s="22"/>
      <c r="V18" s="22"/>
    </row>
    <row r="19" spans="1:36" s="12" customFormat="1" ht="21" customHeight="1" thickBot="1" x14ac:dyDescent="0.2">
      <c r="A19" s="2"/>
      <c r="B19" s="6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27"/>
      <c r="Q19" s="22"/>
      <c r="R19" s="22"/>
      <c r="S19" s="22"/>
      <c r="T19" s="22"/>
      <c r="U19" s="22"/>
      <c r="V19" s="22"/>
      <c r="W19" s="45"/>
      <c r="X19" s="45"/>
      <c r="Y19" s="45"/>
      <c r="Z19" s="45"/>
      <c r="AA19" s="45"/>
      <c r="AB19" s="45"/>
      <c r="AC19" s="45"/>
      <c r="AD19" s="45"/>
      <c r="AE19" s="45"/>
      <c r="AF19" s="45"/>
      <c r="AG19" s="45"/>
      <c r="AH19" s="45"/>
      <c r="AI19" s="45"/>
      <c r="AJ19" s="45"/>
    </row>
    <row r="20" spans="1:36" ht="21" customHeight="1" x14ac:dyDescent="0.15">
      <c r="A20" s="2"/>
      <c r="B20" s="6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27"/>
      <c r="Q20" s="22"/>
      <c r="R20" s="22"/>
      <c r="S20" s="22"/>
      <c r="T20" s="22"/>
      <c r="U20" s="22"/>
      <c r="V20" s="22"/>
    </row>
    <row r="21" spans="1:36" ht="21" customHeight="1" x14ac:dyDescent="0.15">
      <c r="A21" s="2"/>
      <c r="B21" s="6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27"/>
      <c r="Q21" s="22"/>
      <c r="R21" s="22"/>
      <c r="S21" s="22"/>
      <c r="T21" s="22"/>
      <c r="U21" s="22"/>
      <c r="V21" s="22"/>
    </row>
    <row r="22" spans="1:36" ht="21" customHeight="1" x14ac:dyDescent="0.15">
      <c r="A22" s="2"/>
      <c r="B22" s="6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27"/>
      <c r="Q22" s="22"/>
      <c r="R22" s="22"/>
      <c r="S22" s="22"/>
      <c r="T22" s="22"/>
      <c r="U22" s="22"/>
      <c r="V22" s="22"/>
    </row>
    <row r="23" spans="1:36" ht="21" customHeight="1" x14ac:dyDescent="0.15">
      <c r="A23" s="2"/>
      <c r="B23" s="6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27"/>
      <c r="Q23" s="22"/>
      <c r="R23" s="22"/>
      <c r="S23" s="22"/>
      <c r="T23" s="22"/>
      <c r="U23" s="22"/>
      <c r="V23" s="22"/>
    </row>
    <row r="24" spans="1:36" ht="21" customHeight="1" x14ac:dyDescent="0.15">
      <c r="A24" s="2"/>
      <c r="B24" s="6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27"/>
      <c r="Q24" s="22"/>
      <c r="R24" s="22"/>
      <c r="S24" s="22"/>
      <c r="T24" s="22"/>
      <c r="U24" s="22"/>
      <c r="V24" s="22"/>
    </row>
    <row r="25" spans="1:36" ht="21" customHeight="1" x14ac:dyDescent="0.15">
      <c r="A25" s="2"/>
      <c r="B25" s="6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27"/>
      <c r="Q25" s="22"/>
      <c r="R25" s="22"/>
      <c r="S25" s="22"/>
      <c r="T25" s="22"/>
      <c r="U25" s="22"/>
      <c r="V25" s="22"/>
    </row>
    <row r="26" spans="1:36" ht="21" customHeight="1" x14ac:dyDescent="0.15">
      <c r="A26" s="2"/>
      <c r="B26" s="6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27"/>
      <c r="Q26" s="22"/>
      <c r="R26" s="22"/>
      <c r="S26" s="22"/>
      <c r="T26" s="22"/>
      <c r="U26" s="22"/>
      <c r="V26" s="22"/>
    </row>
    <row r="27" spans="1:36" ht="21" customHeight="1" x14ac:dyDescent="0.15">
      <c r="A27" s="2"/>
      <c r="B27" s="6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27"/>
      <c r="Q27" s="22"/>
      <c r="R27" s="22"/>
      <c r="S27" s="22"/>
      <c r="T27" s="22"/>
      <c r="U27" s="22"/>
      <c r="V27" s="22"/>
    </row>
    <row r="28" spans="1:36" ht="21" customHeight="1" x14ac:dyDescent="0.15">
      <c r="A28" s="2"/>
      <c r="B28" s="6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27"/>
      <c r="Q28" s="22"/>
      <c r="R28" s="22"/>
      <c r="S28" s="22"/>
      <c r="T28" s="22"/>
      <c r="U28" s="22"/>
      <c r="V28" s="22"/>
    </row>
    <row r="29" spans="1:36" ht="21" customHeight="1" x14ac:dyDescent="0.15">
      <c r="A29" s="2"/>
      <c r="B29" s="6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27"/>
      <c r="Q29" s="22"/>
      <c r="R29" s="22"/>
      <c r="S29" s="22"/>
      <c r="T29" s="22"/>
      <c r="U29" s="22"/>
      <c r="V29" s="22"/>
    </row>
    <row r="30" spans="1:36" ht="21" customHeight="1" x14ac:dyDescent="0.15">
      <c r="A30" s="2"/>
      <c r="B30" s="6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27"/>
      <c r="Q30" s="22"/>
      <c r="R30" s="22"/>
      <c r="S30" s="22"/>
      <c r="T30" s="22"/>
      <c r="U30" s="22"/>
      <c r="V30" s="22"/>
    </row>
    <row r="31" spans="1:36" ht="21" customHeight="1" x14ac:dyDescent="0.15">
      <c r="A31" s="2"/>
      <c r="B31" s="6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27"/>
      <c r="Q31" s="22"/>
      <c r="R31" s="22"/>
      <c r="S31" s="22"/>
      <c r="T31" s="22"/>
      <c r="U31" s="22"/>
      <c r="V31" s="22"/>
    </row>
    <row r="32" spans="1:36" ht="21" customHeight="1" x14ac:dyDescent="0.15">
      <c r="A32" s="2"/>
      <c r="B32" s="6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27"/>
      <c r="Q32" s="22"/>
      <c r="R32" s="22"/>
      <c r="S32" s="22"/>
      <c r="T32" s="22"/>
      <c r="U32" s="22"/>
      <c r="V32" s="22"/>
    </row>
    <row r="33" spans="1:22" ht="21" customHeight="1" x14ac:dyDescent="0.15">
      <c r="A33" s="2"/>
      <c r="B33" s="6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27"/>
      <c r="Q33" s="22"/>
      <c r="R33" s="22"/>
      <c r="S33" s="22"/>
      <c r="T33" s="22"/>
      <c r="U33" s="22"/>
      <c r="V33" s="22"/>
    </row>
    <row r="34" spans="1:22" ht="21" customHeight="1" x14ac:dyDescent="0.15">
      <c r="A34" s="2"/>
      <c r="B34" s="6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27"/>
      <c r="Q34" s="22"/>
      <c r="R34" s="22"/>
      <c r="S34" s="22"/>
      <c r="T34" s="22"/>
      <c r="U34" s="22"/>
      <c r="V34" s="22"/>
    </row>
    <row r="35" spans="1:22" ht="21" customHeight="1" x14ac:dyDescent="0.15">
      <c r="A35" s="2"/>
      <c r="B35" s="6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27"/>
      <c r="Q35" s="22"/>
      <c r="R35" s="22"/>
      <c r="S35" s="22"/>
      <c r="T35" s="22"/>
      <c r="U35" s="22"/>
      <c r="V35" s="22"/>
    </row>
    <row r="36" spans="1:22" s="45" customFormat="1" ht="21" customHeight="1" x14ac:dyDescent="0.15">
      <c r="A36" s="2"/>
      <c r="B36" s="6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27"/>
      <c r="Q36" s="22"/>
      <c r="R36" s="22"/>
      <c r="S36" s="22"/>
      <c r="T36" s="22"/>
      <c r="U36" s="22"/>
      <c r="V36" s="22"/>
    </row>
    <row r="37" spans="1:22" s="45" customFormat="1" ht="21" customHeight="1" x14ac:dyDescent="0.15">
      <c r="A37" s="2"/>
      <c r="B37" s="6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26"/>
      <c r="P37" s="27"/>
      <c r="Q37" s="22"/>
      <c r="R37" s="22"/>
      <c r="S37" s="22"/>
      <c r="T37" s="22"/>
      <c r="U37" s="22"/>
      <c r="V37" s="22"/>
    </row>
    <row r="38" spans="1:22" s="45" customFormat="1" ht="21" customHeight="1" x14ac:dyDescent="0.15">
      <c r="A38" s="2"/>
      <c r="B38" s="6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26"/>
      <c r="P38" s="27"/>
      <c r="Q38" s="22"/>
      <c r="R38" s="22"/>
      <c r="S38" s="22"/>
      <c r="T38" s="22"/>
      <c r="U38" s="22"/>
      <c r="V38" s="22"/>
    </row>
    <row r="39" spans="1:22" s="45" customFormat="1" ht="21" customHeight="1" x14ac:dyDescent="0.15">
      <c r="A39" s="2"/>
      <c r="B39" s="6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26"/>
      <c r="P39" s="27"/>
      <c r="Q39" s="22"/>
      <c r="R39" s="22"/>
      <c r="S39" s="22"/>
      <c r="T39" s="22"/>
      <c r="U39" s="22"/>
      <c r="V39" s="22"/>
    </row>
    <row r="40" spans="1:22" s="45" customFormat="1" ht="21" customHeight="1" x14ac:dyDescent="0.15">
      <c r="A40" s="2"/>
      <c r="B40" s="6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26"/>
      <c r="P40" s="27"/>
      <c r="Q40" s="22"/>
      <c r="R40" s="22"/>
      <c r="S40" s="22"/>
      <c r="T40" s="22"/>
      <c r="U40" s="22"/>
      <c r="V40" s="22"/>
    </row>
    <row r="41" spans="1:22" s="45" customFormat="1" ht="21" customHeight="1" x14ac:dyDescent="0.15">
      <c r="A41" s="2"/>
      <c r="B41" s="6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26"/>
      <c r="P41" s="27"/>
      <c r="Q41" s="22"/>
      <c r="R41" s="22"/>
      <c r="S41" s="22"/>
      <c r="T41" s="22"/>
      <c r="U41" s="22"/>
      <c r="V41" s="22"/>
    </row>
    <row r="42" spans="1:22" s="45" customFormat="1" ht="21" customHeight="1" x14ac:dyDescent="0.15">
      <c r="A42" s="2"/>
      <c r="B42" s="6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26"/>
      <c r="P42" s="27"/>
      <c r="Q42" s="22"/>
      <c r="R42" s="22"/>
      <c r="S42" s="22"/>
      <c r="T42" s="22"/>
      <c r="U42" s="22"/>
      <c r="V42" s="22"/>
    </row>
    <row r="43" spans="1:22" s="45" customFormat="1" ht="21" customHeight="1" x14ac:dyDescent="0.15">
      <c r="A43" s="2"/>
      <c r="B43" s="6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26"/>
      <c r="P43" s="27"/>
      <c r="Q43" s="22"/>
      <c r="R43" s="22"/>
      <c r="S43" s="22"/>
      <c r="T43" s="22"/>
      <c r="U43" s="22"/>
      <c r="V43" s="22"/>
    </row>
    <row r="44" spans="1:22" s="45" customFormat="1" ht="21" customHeight="1" x14ac:dyDescent="0.15">
      <c r="A44" s="2"/>
      <c r="B44" s="6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26"/>
      <c r="P44" s="27"/>
      <c r="Q44" s="22"/>
      <c r="R44" s="22"/>
      <c r="S44" s="22"/>
      <c r="T44" s="22"/>
      <c r="U44" s="22"/>
      <c r="V44" s="22"/>
    </row>
    <row r="45" spans="1:22" s="45" customFormat="1" ht="21" customHeight="1" x14ac:dyDescent="0.15">
      <c r="A45" s="2"/>
      <c r="B45" s="6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26"/>
      <c r="P45" s="27"/>
      <c r="Q45" s="22"/>
      <c r="R45" s="22"/>
      <c r="S45" s="22"/>
      <c r="T45" s="22"/>
      <c r="U45" s="22"/>
      <c r="V45" s="22"/>
    </row>
    <row r="46" spans="1:22" s="45" customFormat="1" ht="21" customHeight="1" x14ac:dyDescent="0.15">
      <c r="A46" s="2"/>
      <c r="B46" s="6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26"/>
      <c r="P46" s="27"/>
      <c r="Q46" s="22"/>
      <c r="R46" s="22"/>
      <c r="S46" s="22"/>
      <c r="T46" s="22"/>
      <c r="U46" s="22"/>
      <c r="V46" s="22"/>
    </row>
    <row r="47" spans="1:22" s="45" customFormat="1" ht="21" customHeight="1" x14ac:dyDescent="0.15">
      <c r="A47" s="2"/>
      <c r="B47" s="6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26"/>
      <c r="P47" s="27"/>
      <c r="Q47" s="22"/>
      <c r="R47" s="22"/>
      <c r="S47" s="22"/>
      <c r="T47" s="22"/>
      <c r="U47" s="22"/>
      <c r="V47" s="22"/>
    </row>
    <row r="48" spans="1:22" s="45" customFormat="1" ht="21" customHeight="1" x14ac:dyDescent="0.15">
      <c r="A48" s="2"/>
      <c r="B48" s="6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26"/>
      <c r="P48" s="27"/>
      <c r="Q48" s="22"/>
      <c r="R48" s="22"/>
      <c r="S48" s="22"/>
      <c r="T48" s="22"/>
      <c r="U48" s="22"/>
      <c r="V48" s="22"/>
    </row>
    <row r="49" spans="1:22" s="45" customFormat="1" ht="21" customHeight="1" x14ac:dyDescent="0.15">
      <c r="A49" s="2"/>
      <c r="B49" s="6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26"/>
      <c r="P49" s="27"/>
      <c r="Q49" s="22"/>
      <c r="R49" s="22"/>
      <c r="S49" s="22"/>
      <c r="T49" s="22"/>
      <c r="U49" s="22"/>
      <c r="V49" s="22"/>
    </row>
    <row r="50" spans="1:22" s="45" customFormat="1" ht="21" customHeight="1" x14ac:dyDescent="0.15">
      <c r="A50" s="2"/>
      <c r="B50" s="6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26"/>
      <c r="P50" s="27"/>
      <c r="Q50" s="22"/>
      <c r="R50" s="22"/>
      <c r="S50" s="22"/>
      <c r="T50" s="22"/>
      <c r="U50" s="22"/>
      <c r="V50" s="22"/>
    </row>
    <row r="51" spans="1:22" s="45" customFormat="1" ht="21" customHeight="1" x14ac:dyDescent="0.15">
      <c r="A51" s="2"/>
      <c r="B51" s="6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26"/>
      <c r="P51" s="27"/>
      <c r="Q51" s="22"/>
      <c r="R51" s="22"/>
      <c r="S51" s="22"/>
      <c r="T51" s="22"/>
      <c r="U51" s="22"/>
      <c r="V51" s="22"/>
    </row>
    <row r="52" spans="1:22" s="45" customFormat="1" ht="21" customHeight="1" x14ac:dyDescent="0.15">
      <c r="A52" s="2"/>
      <c r="B52" s="6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26"/>
      <c r="P52" s="27"/>
      <c r="Q52" s="22"/>
      <c r="R52" s="22"/>
      <c r="S52" s="22"/>
      <c r="T52" s="22"/>
      <c r="U52" s="22"/>
      <c r="V52" s="22"/>
    </row>
    <row r="53" spans="1:22" s="45" customFormat="1" ht="21" customHeight="1" x14ac:dyDescent="0.15">
      <c r="A53" s="2"/>
      <c r="B53" s="6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26"/>
      <c r="P53" s="27"/>
      <c r="Q53" s="22"/>
      <c r="R53" s="22"/>
      <c r="S53" s="22"/>
      <c r="T53" s="22"/>
      <c r="U53" s="22"/>
      <c r="V53" s="22"/>
    </row>
    <row r="54" spans="1:22" s="45" customFormat="1" ht="21" customHeight="1" x14ac:dyDescent="0.15">
      <c r="A54" s="2"/>
      <c r="B54" s="6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26"/>
      <c r="P54" s="27"/>
      <c r="Q54" s="22"/>
      <c r="R54" s="22"/>
      <c r="S54" s="22"/>
      <c r="T54" s="22"/>
      <c r="U54" s="22"/>
      <c r="V54" s="22"/>
    </row>
    <row r="55" spans="1:22" s="45" customFormat="1" ht="21" customHeight="1" x14ac:dyDescent="0.15">
      <c r="A55" s="2"/>
      <c r="B55" s="6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26"/>
      <c r="P55" s="27"/>
      <c r="Q55" s="22"/>
      <c r="R55" s="22"/>
      <c r="S55" s="22"/>
      <c r="T55" s="22"/>
      <c r="U55" s="22"/>
      <c r="V55" s="22"/>
    </row>
    <row r="56" spans="1:22" s="45" customFormat="1" ht="21" customHeight="1" x14ac:dyDescent="0.15">
      <c r="A56" s="2"/>
      <c r="B56" s="6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26"/>
      <c r="P56" s="27"/>
      <c r="Q56" s="22"/>
      <c r="R56" s="22"/>
      <c r="S56" s="22"/>
      <c r="T56" s="22"/>
      <c r="U56" s="22"/>
      <c r="V56" s="22"/>
    </row>
    <row r="57" spans="1:22" s="45" customFormat="1" ht="21" customHeight="1" x14ac:dyDescent="0.15">
      <c r="A57" s="2"/>
      <c r="B57" s="6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26"/>
      <c r="P57" s="27"/>
      <c r="Q57" s="22"/>
      <c r="R57" s="22"/>
      <c r="S57" s="22"/>
      <c r="T57" s="22"/>
      <c r="U57" s="22"/>
      <c r="V57" s="22"/>
    </row>
    <row r="58" spans="1:22" s="45" customFormat="1" ht="21" customHeight="1" x14ac:dyDescent="0.15">
      <c r="A58" s="2"/>
      <c r="B58" s="6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26"/>
      <c r="P58" s="27"/>
      <c r="Q58" s="22"/>
      <c r="R58" s="22"/>
      <c r="S58" s="22"/>
      <c r="T58" s="22"/>
      <c r="U58" s="22"/>
      <c r="V58" s="22"/>
    </row>
    <row r="59" spans="1:22" s="45" customFormat="1" ht="21" customHeight="1" x14ac:dyDescent="0.15">
      <c r="A59" s="2"/>
      <c r="B59" s="6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26"/>
      <c r="P59" s="27"/>
      <c r="Q59" s="22"/>
      <c r="R59" s="22"/>
      <c r="S59" s="22"/>
      <c r="T59" s="22"/>
      <c r="U59" s="22"/>
      <c r="V59" s="22"/>
    </row>
    <row r="60" spans="1:22" s="45" customFormat="1" ht="21" customHeight="1" x14ac:dyDescent="0.15">
      <c r="A60" s="2"/>
      <c r="B60" s="6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26"/>
      <c r="P60" s="27"/>
      <c r="Q60" s="22"/>
      <c r="R60" s="22"/>
      <c r="S60" s="22"/>
      <c r="T60" s="22"/>
      <c r="U60" s="22"/>
      <c r="V60" s="22"/>
    </row>
    <row r="61" spans="1:22" s="45" customFormat="1" ht="21" customHeight="1" x14ac:dyDescent="0.15">
      <c r="A61" s="2"/>
      <c r="B61" s="8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26"/>
      <c r="P61" s="27"/>
      <c r="Q61" s="22"/>
      <c r="R61" s="22"/>
      <c r="S61" s="22"/>
      <c r="T61" s="22"/>
      <c r="U61" s="22"/>
      <c r="V61" s="22"/>
    </row>
    <row r="62" spans="1:22" s="45" customFormat="1" ht="21" customHeight="1" x14ac:dyDescent="0.15">
      <c r="A62" s="2"/>
      <c r="B62" s="8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26"/>
      <c r="P62" s="27"/>
      <c r="Q62" s="22"/>
      <c r="R62" s="22"/>
      <c r="S62" s="22"/>
      <c r="T62" s="22"/>
      <c r="U62" s="22"/>
      <c r="V62" s="22"/>
    </row>
    <row r="63" spans="1:22" s="45" customFormat="1" ht="21" customHeight="1" x14ac:dyDescent="0.15">
      <c r="A63" s="2"/>
      <c r="B63" s="8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26"/>
      <c r="P63" s="27"/>
      <c r="Q63" s="22"/>
      <c r="R63" s="22"/>
      <c r="S63" s="22"/>
      <c r="T63" s="22"/>
      <c r="U63" s="22"/>
      <c r="V63" s="22"/>
    </row>
    <row r="64" spans="1:22" ht="21" customHeight="1" x14ac:dyDescent="0.15">
      <c r="A64" s="2"/>
      <c r="B64" s="8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26"/>
      <c r="P64" s="27"/>
      <c r="Q64" s="22"/>
      <c r="R64" s="22"/>
      <c r="S64" s="22"/>
      <c r="T64" s="22"/>
      <c r="U64" s="22"/>
      <c r="V64" s="22"/>
    </row>
    <row r="65" spans="1:36" s="9" customFormat="1" ht="21" customHeight="1" thickBot="1" x14ac:dyDescent="0.2">
      <c r="A65" s="2"/>
      <c r="B65" s="6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26"/>
      <c r="P65" s="27"/>
      <c r="Q65" s="22"/>
      <c r="R65" s="22"/>
      <c r="S65" s="22"/>
      <c r="T65" s="22"/>
      <c r="U65" s="22"/>
      <c r="V65" s="22"/>
      <c r="W65" s="45"/>
      <c r="X65" s="45"/>
      <c r="Y65" s="45"/>
      <c r="Z65" s="45"/>
      <c r="AA65" s="45"/>
      <c r="AB65" s="45"/>
      <c r="AC65" s="45"/>
      <c r="AD65" s="45"/>
      <c r="AE65" s="45"/>
      <c r="AF65" s="45"/>
      <c r="AG65" s="45"/>
      <c r="AH65" s="45"/>
      <c r="AI65" s="45"/>
      <c r="AJ65" s="45"/>
    </row>
    <row r="66" spans="1:36" ht="21" customHeight="1" x14ac:dyDescent="0.15">
      <c r="A66" s="2"/>
      <c r="B66" s="6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26"/>
      <c r="P66" s="27"/>
      <c r="Q66" s="22"/>
      <c r="R66" s="22"/>
      <c r="S66" s="22"/>
      <c r="T66" s="22"/>
      <c r="U66" s="22"/>
      <c r="V66" s="22"/>
    </row>
    <row r="67" spans="1:36" ht="21" customHeight="1" x14ac:dyDescent="0.15">
      <c r="A67" s="2"/>
      <c r="B67" s="6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26"/>
      <c r="P67" s="27"/>
      <c r="Q67" s="22"/>
      <c r="R67" s="22"/>
      <c r="S67" s="22"/>
      <c r="T67" s="22"/>
      <c r="U67" s="22"/>
      <c r="V67" s="22"/>
    </row>
    <row r="68" spans="1:36" ht="21" customHeight="1" x14ac:dyDescent="0.15">
      <c r="A68" s="2"/>
      <c r="B68" s="6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26"/>
      <c r="P68" s="27"/>
      <c r="Q68" s="22"/>
      <c r="R68" s="22"/>
      <c r="S68" s="22"/>
      <c r="T68" s="22"/>
      <c r="U68" s="22"/>
      <c r="V68" s="22"/>
    </row>
    <row r="69" spans="1:36" ht="21" customHeight="1" x14ac:dyDescent="0.15">
      <c r="A69" s="2"/>
      <c r="B69" s="6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26"/>
      <c r="P69" s="27"/>
      <c r="Q69" s="22"/>
      <c r="R69" s="22"/>
      <c r="S69" s="22"/>
      <c r="T69" s="22"/>
      <c r="U69" s="22"/>
      <c r="V69" s="22"/>
    </row>
    <row r="70" spans="1:36" ht="21" customHeight="1" x14ac:dyDescent="0.15">
      <c r="A70" s="2"/>
      <c r="B70" s="6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26"/>
      <c r="P70" s="27"/>
      <c r="Q70" s="22"/>
      <c r="R70" s="22"/>
      <c r="S70" s="22"/>
      <c r="T70" s="22"/>
      <c r="U70" s="22"/>
      <c r="V70" s="22"/>
    </row>
    <row r="71" spans="1:36" ht="21" customHeight="1" x14ac:dyDescent="0.15">
      <c r="A71" s="2"/>
      <c r="B71" s="6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26"/>
      <c r="P71" s="27"/>
      <c r="Q71" s="22"/>
      <c r="R71" s="22"/>
      <c r="S71" s="22"/>
      <c r="T71" s="22"/>
      <c r="U71" s="22"/>
      <c r="V71" s="22"/>
    </row>
    <row r="72" spans="1:36" ht="21" customHeight="1" x14ac:dyDescent="0.15">
      <c r="A72" s="2"/>
      <c r="B72" s="6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26"/>
      <c r="P72" s="27"/>
      <c r="Q72" s="22"/>
      <c r="R72" s="22"/>
      <c r="S72" s="22"/>
      <c r="T72" s="22"/>
      <c r="U72" s="22"/>
      <c r="V72" s="22"/>
    </row>
    <row r="73" spans="1:36" ht="21" customHeight="1" x14ac:dyDescent="0.15">
      <c r="A73" s="2"/>
      <c r="B73" s="6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26"/>
      <c r="P73" s="27"/>
      <c r="Q73" s="22"/>
      <c r="R73" s="22"/>
      <c r="S73" s="22"/>
      <c r="T73" s="22"/>
      <c r="U73" s="22"/>
      <c r="V73" s="22"/>
    </row>
    <row r="74" spans="1:36" s="51" customFormat="1" ht="21" customHeight="1" x14ac:dyDescent="0.15">
      <c r="A74" s="2"/>
      <c r="B74" s="4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26"/>
      <c r="P74" s="27"/>
      <c r="Q74" s="22"/>
      <c r="R74" s="22"/>
      <c r="S74" s="22"/>
      <c r="T74" s="22"/>
      <c r="U74" s="22"/>
      <c r="V74" s="22"/>
      <c r="W74" s="39"/>
      <c r="X74" s="39"/>
      <c r="Y74" s="39"/>
      <c r="Z74" s="39"/>
      <c r="AA74" s="39"/>
      <c r="AB74" s="39"/>
      <c r="AC74" s="39"/>
      <c r="AD74" s="39"/>
      <c r="AE74" s="39"/>
      <c r="AF74" s="39"/>
      <c r="AG74" s="39"/>
      <c r="AH74" s="39"/>
      <c r="AI74" s="39"/>
      <c r="AJ74" s="39"/>
    </row>
    <row r="75" spans="1:36" s="51" customFormat="1" ht="21" customHeight="1" x14ac:dyDescent="0.15">
      <c r="A75" s="2"/>
      <c r="B75" s="4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26"/>
      <c r="P75" s="27"/>
      <c r="Q75" s="22"/>
      <c r="R75" s="22"/>
      <c r="S75" s="22"/>
      <c r="T75" s="22"/>
      <c r="U75" s="22"/>
      <c r="V75" s="22"/>
      <c r="W75" s="39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</row>
    <row r="76" spans="1:36" s="51" customFormat="1" ht="21" customHeight="1" x14ac:dyDescent="0.15">
      <c r="A76" s="2"/>
      <c r="B76" s="46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26"/>
      <c r="P76" s="27"/>
      <c r="Q76" s="22"/>
      <c r="R76" s="22"/>
      <c r="S76" s="22"/>
      <c r="T76" s="22"/>
      <c r="U76" s="22"/>
      <c r="V76" s="22"/>
      <c r="W76" s="39"/>
      <c r="X76" s="39"/>
      <c r="Y76" s="39"/>
      <c r="Z76" s="39"/>
      <c r="AA76" s="39"/>
      <c r="AB76" s="39"/>
      <c r="AC76" s="39"/>
      <c r="AD76" s="39"/>
      <c r="AE76" s="39"/>
      <c r="AF76" s="39"/>
      <c r="AG76" s="39"/>
      <c r="AH76" s="39"/>
      <c r="AI76" s="39"/>
      <c r="AJ76" s="39"/>
    </row>
    <row r="77" spans="1:36" s="51" customFormat="1" ht="21" customHeight="1" x14ac:dyDescent="0.15">
      <c r="A77" s="46"/>
      <c r="B77" s="46"/>
      <c r="C77" s="46"/>
      <c r="D77" s="46"/>
      <c r="E77" s="46"/>
      <c r="F77" s="46"/>
      <c r="G77" s="46"/>
      <c r="H77" s="46"/>
      <c r="I77" s="46"/>
      <c r="J77" s="46"/>
      <c r="K77" s="46"/>
      <c r="L77" s="46"/>
      <c r="M77" s="46"/>
      <c r="N77" s="46"/>
      <c r="O77" s="48"/>
      <c r="P77" s="49"/>
      <c r="Q77" s="50"/>
      <c r="R77" s="50"/>
      <c r="S77" s="50"/>
      <c r="T77" s="50"/>
      <c r="U77" s="50"/>
      <c r="V77" s="50"/>
      <c r="W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</row>
    <row r="78" spans="1:36" s="51" customFormat="1" ht="21" customHeight="1" x14ac:dyDescent="0.15">
      <c r="A78" s="46"/>
      <c r="B78" s="46"/>
      <c r="C78" s="46"/>
      <c r="D78" s="46"/>
      <c r="E78" s="46"/>
      <c r="F78" s="46"/>
      <c r="G78" s="46"/>
      <c r="H78" s="46"/>
      <c r="I78" s="46"/>
      <c r="J78" s="46"/>
      <c r="K78" s="46"/>
      <c r="L78" s="46"/>
      <c r="M78" s="46"/>
      <c r="N78" s="46"/>
      <c r="O78" s="48"/>
      <c r="P78" s="49"/>
      <c r="Q78" s="50"/>
      <c r="R78" s="50"/>
      <c r="S78" s="50"/>
      <c r="T78" s="50"/>
      <c r="U78" s="50"/>
      <c r="V78" s="50"/>
      <c r="W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</row>
    <row r="79" spans="1:36" s="51" customFormat="1" ht="21" customHeight="1" x14ac:dyDescent="0.15">
      <c r="A79" s="46"/>
      <c r="B79" s="46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46"/>
      <c r="N79" s="46"/>
      <c r="O79" s="48"/>
      <c r="P79" s="49"/>
      <c r="Q79" s="50"/>
      <c r="R79" s="50"/>
      <c r="S79" s="50"/>
      <c r="T79" s="50"/>
      <c r="U79" s="50"/>
      <c r="V79" s="50"/>
      <c r="W79" s="39"/>
      <c r="X79" s="39"/>
      <c r="Y79" s="39"/>
      <c r="Z79" s="39"/>
      <c r="AA79" s="39"/>
      <c r="AB79" s="39"/>
      <c r="AC79" s="39"/>
      <c r="AD79" s="39"/>
      <c r="AE79" s="39"/>
      <c r="AF79" s="39"/>
      <c r="AG79" s="39"/>
      <c r="AH79" s="39"/>
      <c r="AI79" s="39"/>
      <c r="AJ79" s="39"/>
    </row>
    <row r="80" spans="1:36" s="51" customFormat="1" ht="21" customHeight="1" x14ac:dyDescent="0.15">
      <c r="A80" s="46"/>
      <c r="B80" s="46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46"/>
      <c r="N80" s="46"/>
      <c r="O80" s="48"/>
      <c r="P80" s="49"/>
      <c r="Q80" s="50"/>
      <c r="R80" s="50"/>
      <c r="S80" s="50"/>
      <c r="T80" s="50"/>
      <c r="U80" s="50"/>
      <c r="V80" s="50"/>
      <c r="W80" s="39"/>
      <c r="X80" s="39"/>
      <c r="Y80" s="39"/>
      <c r="Z80" s="39"/>
      <c r="AA80" s="39"/>
      <c r="AB80" s="39"/>
      <c r="AC80" s="39"/>
      <c r="AD80" s="39"/>
      <c r="AE80" s="39"/>
      <c r="AF80" s="39"/>
      <c r="AG80" s="39"/>
      <c r="AH80" s="39"/>
      <c r="AI80" s="39"/>
      <c r="AJ80" s="39"/>
    </row>
    <row r="81" spans="1:36" s="51" customFormat="1" ht="21" customHeight="1" x14ac:dyDescent="0.15">
      <c r="A81" s="46"/>
      <c r="B81" s="46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46"/>
      <c r="N81" s="46"/>
      <c r="O81" s="48"/>
      <c r="P81" s="49"/>
      <c r="Q81" s="50"/>
      <c r="R81" s="50"/>
      <c r="S81" s="50"/>
      <c r="T81" s="50"/>
      <c r="U81" s="50"/>
      <c r="V81" s="50"/>
      <c r="W81" s="39"/>
      <c r="X81" s="39"/>
      <c r="Y81" s="39"/>
      <c r="Z81" s="39"/>
      <c r="AA81" s="39"/>
      <c r="AB81" s="39"/>
      <c r="AC81" s="39"/>
      <c r="AD81" s="39"/>
      <c r="AE81" s="39"/>
      <c r="AF81" s="39"/>
      <c r="AG81" s="39"/>
      <c r="AH81" s="39"/>
      <c r="AI81" s="39"/>
      <c r="AJ81" s="39"/>
    </row>
    <row r="82" spans="1:36" s="51" customFormat="1" ht="21" customHeight="1" x14ac:dyDescent="0.15">
      <c r="A82" s="46"/>
      <c r="B82" s="46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46"/>
      <c r="N82" s="46"/>
      <c r="O82" s="48"/>
      <c r="P82" s="49"/>
      <c r="Q82" s="50"/>
      <c r="R82" s="50"/>
      <c r="S82" s="50"/>
      <c r="T82" s="50"/>
      <c r="U82" s="50"/>
      <c r="V82" s="50"/>
      <c r="W82" s="39"/>
      <c r="X82" s="39"/>
      <c r="Y82" s="39"/>
      <c r="Z82" s="39"/>
      <c r="AA82" s="39"/>
      <c r="AB82" s="39"/>
      <c r="AC82" s="39"/>
      <c r="AD82" s="39"/>
      <c r="AE82" s="39"/>
      <c r="AF82" s="39"/>
      <c r="AG82" s="39"/>
      <c r="AH82" s="39"/>
      <c r="AI82" s="39"/>
      <c r="AJ82" s="39"/>
    </row>
    <row r="83" spans="1:36" s="51" customFormat="1" ht="21" customHeight="1" x14ac:dyDescent="0.15">
      <c r="A83" s="46"/>
      <c r="B83" s="46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46"/>
      <c r="O83" s="48"/>
      <c r="P83" s="49"/>
      <c r="Q83" s="50"/>
      <c r="R83" s="50"/>
      <c r="S83" s="50"/>
      <c r="T83" s="50"/>
      <c r="U83" s="50"/>
      <c r="V83" s="50"/>
      <c r="W83" s="39"/>
      <c r="X83" s="39"/>
      <c r="Y83" s="39"/>
      <c r="Z83" s="39"/>
      <c r="AA83" s="39"/>
      <c r="AB83" s="39"/>
      <c r="AC83" s="39"/>
      <c r="AD83" s="39"/>
      <c r="AE83" s="39"/>
      <c r="AF83" s="39"/>
      <c r="AG83" s="39"/>
      <c r="AH83" s="39"/>
      <c r="AI83" s="39"/>
      <c r="AJ83" s="39"/>
    </row>
    <row r="84" spans="1:36" s="51" customFormat="1" ht="21" customHeight="1" x14ac:dyDescent="0.15">
      <c r="A84" s="46"/>
      <c r="B84" s="46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6"/>
      <c r="N84" s="46"/>
      <c r="O84" s="48"/>
      <c r="P84" s="49"/>
      <c r="Q84" s="50"/>
      <c r="R84" s="50"/>
      <c r="S84" s="50"/>
      <c r="T84" s="50"/>
      <c r="U84" s="50"/>
      <c r="V84" s="50"/>
      <c r="W84" s="39"/>
      <c r="X84" s="39"/>
      <c r="Y84" s="39"/>
      <c r="Z84" s="39"/>
      <c r="AA84" s="39"/>
      <c r="AB84" s="39"/>
      <c r="AC84" s="39"/>
      <c r="AD84" s="39"/>
      <c r="AE84" s="39"/>
      <c r="AF84" s="39"/>
      <c r="AG84" s="39"/>
      <c r="AH84" s="39"/>
      <c r="AI84" s="39"/>
      <c r="AJ84" s="39"/>
    </row>
    <row r="85" spans="1:36" s="51" customFormat="1" ht="21" customHeight="1" x14ac:dyDescent="0.15">
      <c r="A85" s="46"/>
      <c r="B85" s="46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46"/>
      <c r="N85" s="46"/>
      <c r="O85" s="48"/>
      <c r="P85" s="49"/>
      <c r="Q85" s="50"/>
      <c r="R85" s="50"/>
      <c r="S85" s="50"/>
      <c r="T85" s="50"/>
      <c r="U85" s="50"/>
      <c r="V85" s="50"/>
      <c r="W85" s="39"/>
      <c r="X85" s="39"/>
      <c r="Y85" s="39"/>
      <c r="Z85" s="39"/>
      <c r="AA85" s="39"/>
      <c r="AB85" s="39"/>
      <c r="AC85" s="39"/>
      <c r="AD85" s="39"/>
      <c r="AE85" s="39"/>
      <c r="AF85" s="39"/>
      <c r="AG85" s="39"/>
      <c r="AH85" s="39"/>
      <c r="AI85" s="39"/>
      <c r="AJ85" s="39"/>
    </row>
    <row r="86" spans="1:36" s="51" customFormat="1" ht="21" customHeight="1" x14ac:dyDescent="0.15">
      <c r="A86" s="46"/>
      <c r="B86" s="46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46"/>
      <c r="N86" s="46"/>
      <c r="O86" s="48"/>
      <c r="P86" s="49"/>
      <c r="Q86" s="50"/>
      <c r="R86" s="50"/>
      <c r="S86" s="50"/>
      <c r="T86" s="50"/>
      <c r="U86" s="50"/>
      <c r="V86" s="50"/>
      <c r="W86" s="39"/>
      <c r="X86" s="39"/>
      <c r="Y86" s="39"/>
      <c r="Z86" s="39"/>
      <c r="AA86" s="39"/>
      <c r="AB86" s="39"/>
      <c r="AC86" s="39"/>
      <c r="AD86" s="39"/>
      <c r="AE86" s="39"/>
      <c r="AF86" s="39"/>
      <c r="AG86" s="39"/>
      <c r="AH86" s="39"/>
      <c r="AI86" s="39"/>
      <c r="AJ86" s="39"/>
    </row>
    <row r="87" spans="1:36" s="51" customFormat="1" ht="21" customHeight="1" x14ac:dyDescent="0.15">
      <c r="A87" s="46"/>
      <c r="B87" s="46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46"/>
      <c r="N87" s="46"/>
      <c r="O87" s="48"/>
      <c r="P87" s="49"/>
      <c r="Q87" s="50"/>
      <c r="R87" s="50"/>
      <c r="S87" s="50"/>
      <c r="T87" s="50"/>
      <c r="U87" s="50"/>
      <c r="V87" s="50"/>
      <c r="W87" s="39"/>
      <c r="X87" s="39"/>
      <c r="Y87" s="39"/>
      <c r="Z87" s="39"/>
      <c r="AA87" s="39"/>
      <c r="AB87" s="39"/>
      <c r="AC87" s="39"/>
      <c r="AD87" s="39"/>
      <c r="AE87" s="39"/>
      <c r="AF87" s="39"/>
      <c r="AG87" s="39"/>
      <c r="AH87" s="39"/>
      <c r="AI87" s="39"/>
      <c r="AJ87" s="39"/>
    </row>
    <row r="88" spans="1:36" s="51" customFormat="1" ht="21" customHeight="1" x14ac:dyDescent="0.15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8"/>
      <c r="P88" s="49"/>
      <c r="Q88" s="50"/>
      <c r="R88" s="50"/>
      <c r="S88" s="50"/>
      <c r="T88" s="50"/>
      <c r="U88" s="50"/>
      <c r="V88" s="50"/>
      <c r="W88" s="39"/>
      <c r="X88" s="39"/>
      <c r="Y88" s="39"/>
      <c r="Z88" s="39"/>
      <c r="AA88" s="39"/>
      <c r="AB88" s="39"/>
      <c r="AC88" s="39"/>
      <c r="AD88" s="39"/>
      <c r="AE88" s="39"/>
      <c r="AF88" s="39"/>
      <c r="AG88" s="39"/>
      <c r="AH88" s="39"/>
      <c r="AI88" s="39"/>
      <c r="AJ88" s="39"/>
    </row>
    <row r="89" spans="1:36" s="51" customFormat="1" ht="21" customHeight="1" x14ac:dyDescent="0.15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8"/>
      <c r="P89" s="49"/>
      <c r="Q89" s="50"/>
      <c r="R89" s="50"/>
      <c r="S89" s="50"/>
      <c r="T89" s="50"/>
      <c r="U89" s="50"/>
      <c r="V89" s="50"/>
      <c r="W89" s="39"/>
      <c r="X89" s="39"/>
      <c r="Y89" s="39"/>
      <c r="Z89" s="39"/>
      <c r="AA89" s="39"/>
      <c r="AB89" s="39"/>
      <c r="AC89" s="39"/>
      <c r="AD89" s="39"/>
      <c r="AE89" s="39"/>
      <c r="AF89" s="39"/>
      <c r="AG89" s="39"/>
      <c r="AH89" s="39"/>
      <c r="AI89" s="39"/>
      <c r="AJ89" s="39"/>
    </row>
    <row r="90" spans="1:36" s="51" customFormat="1" ht="21" customHeight="1" x14ac:dyDescent="0.15">
      <c r="A90" s="46"/>
      <c r="B90" s="46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46"/>
      <c r="N90" s="46"/>
      <c r="O90" s="48"/>
      <c r="P90" s="49"/>
      <c r="Q90" s="50"/>
      <c r="R90" s="50"/>
      <c r="S90" s="50"/>
      <c r="T90" s="50"/>
      <c r="U90" s="50"/>
      <c r="V90" s="50"/>
      <c r="W90" s="39"/>
      <c r="X90" s="39"/>
      <c r="Y90" s="39"/>
      <c r="Z90" s="39"/>
      <c r="AA90" s="39"/>
      <c r="AB90" s="39"/>
      <c r="AC90" s="39"/>
      <c r="AD90" s="39"/>
      <c r="AE90" s="39"/>
      <c r="AF90" s="39"/>
      <c r="AG90" s="39"/>
      <c r="AH90" s="39"/>
      <c r="AI90" s="39"/>
      <c r="AJ90" s="39"/>
    </row>
    <row r="91" spans="1:36" s="51" customFormat="1" ht="21" customHeight="1" x14ac:dyDescent="0.15">
      <c r="A91" s="46"/>
      <c r="B91" s="46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46"/>
      <c r="N91" s="46"/>
      <c r="O91" s="48"/>
      <c r="P91" s="49"/>
      <c r="Q91" s="50"/>
      <c r="R91" s="50"/>
      <c r="S91" s="50"/>
      <c r="T91" s="50"/>
      <c r="U91" s="50"/>
      <c r="V91" s="50"/>
      <c r="W91" s="39"/>
      <c r="X91" s="39"/>
      <c r="Y91" s="39"/>
      <c r="Z91" s="39"/>
      <c r="AA91" s="39"/>
      <c r="AB91" s="39"/>
      <c r="AC91" s="39"/>
      <c r="AD91" s="39"/>
      <c r="AE91" s="39"/>
      <c r="AF91" s="39"/>
      <c r="AG91" s="39"/>
      <c r="AH91" s="39"/>
      <c r="AI91" s="39"/>
      <c r="AJ91" s="39"/>
    </row>
    <row r="92" spans="1:36" s="51" customFormat="1" ht="21" customHeight="1" x14ac:dyDescent="0.15">
      <c r="A92" s="46"/>
      <c r="B92" s="46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46"/>
      <c r="N92" s="46"/>
      <c r="O92" s="48"/>
      <c r="P92" s="49"/>
      <c r="Q92" s="50"/>
      <c r="R92" s="50"/>
      <c r="S92" s="50"/>
      <c r="T92" s="50"/>
      <c r="U92" s="50"/>
      <c r="V92" s="50"/>
      <c r="W92" s="39"/>
      <c r="X92" s="39"/>
      <c r="Y92" s="39"/>
      <c r="Z92" s="39"/>
      <c r="AA92" s="39"/>
      <c r="AB92" s="39"/>
      <c r="AC92" s="39"/>
      <c r="AD92" s="39"/>
      <c r="AE92" s="39"/>
      <c r="AF92" s="39"/>
      <c r="AG92" s="39"/>
      <c r="AH92" s="39"/>
      <c r="AI92" s="39"/>
      <c r="AJ92" s="39"/>
    </row>
    <row r="93" spans="1:36" s="51" customFormat="1" ht="21" customHeight="1" x14ac:dyDescent="0.15">
      <c r="A93" s="46"/>
      <c r="B93" s="46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46"/>
      <c r="N93" s="46"/>
      <c r="O93" s="48"/>
      <c r="P93" s="49"/>
      <c r="Q93" s="50"/>
      <c r="R93" s="50"/>
      <c r="S93" s="50"/>
      <c r="T93" s="50"/>
      <c r="U93" s="50"/>
      <c r="V93" s="50"/>
      <c r="W93" s="39"/>
      <c r="X93" s="39"/>
      <c r="Y93" s="39"/>
      <c r="Z93" s="39"/>
      <c r="AA93" s="39"/>
      <c r="AB93" s="39"/>
      <c r="AC93" s="39"/>
      <c r="AD93" s="39"/>
      <c r="AE93" s="39"/>
      <c r="AF93" s="39"/>
      <c r="AG93" s="39"/>
      <c r="AH93" s="39"/>
      <c r="AI93" s="39"/>
      <c r="AJ93" s="39"/>
    </row>
    <row r="94" spans="1:36" s="51" customFormat="1" ht="21" customHeight="1" x14ac:dyDescent="0.15">
      <c r="A94" s="46"/>
      <c r="B94" s="46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46"/>
      <c r="N94" s="46"/>
      <c r="O94" s="48"/>
      <c r="P94" s="49"/>
      <c r="Q94" s="50"/>
      <c r="R94" s="50"/>
      <c r="S94" s="50"/>
      <c r="T94" s="50"/>
      <c r="U94" s="50"/>
      <c r="V94" s="50"/>
      <c r="W94" s="39"/>
      <c r="X94" s="39"/>
      <c r="Y94" s="39"/>
      <c r="Z94" s="39"/>
      <c r="AA94" s="39"/>
      <c r="AB94" s="39"/>
      <c r="AC94" s="39"/>
      <c r="AD94" s="39"/>
      <c r="AE94" s="39"/>
      <c r="AF94" s="39"/>
      <c r="AG94" s="39"/>
      <c r="AH94" s="39"/>
      <c r="AI94" s="39"/>
      <c r="AJ94" s="39"/>
    </row>
    <row r="95" spans="1:36" s="51" customFormat="1" ht="21" customHeight="1" x14ac:dyDescent="0.15">
      <c r="A95" s="46"/>
      <c r="B95" s="46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46"/>
      <c r="N95" s="46"/>
      <c r="O95" s="48"/>
      <c r="P95" s="49"/>
      <c r="Q95" s="50"/>
      <c r="R95" s="50"/>
      <c r="S95" s="50"/>
      <c r="T95" s="50"/>
      <c r="U95" s="50"/>
      <c r="V95" s="50"/>
      <c r="W95" s="39"/>
      <c r="X95" s="39"/>
      <c r="Y95" s="39"/>
      <c r="Z95" s="39"/>
      <c r="AA95" s="39"/>
      <c r="AB95" s="39"/>
      <c r="AC95" s="39"/>
      <c r="AD95" s="39"/>
      <c r="AE95" s="39"/>
      <c r="AF95" s="39"/>
      <c r="AG95" s="39"/>
      <c r="AH95" s="39"/>
      <c r="AI95" s="39"/>
      <c r="AJ95" s="39"/>
    </row>
    <row r="96" spans="1:36" s="51" customFormat="1" ht="21" customHeight="1" x14ac:dyDescent="0.15">
      <c r="A96" s="46"/>
      <c r="B96" s="46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46"/>
      <c r="N96" s="46"/>
      <c r="O96" s="48"/>
      <c r="P96" s="49"/>
      <c r="Q96" s="50"/>
      <c r="R96" s="50"/>
      <c r="S96" s="50"/>
      <c r="T96" s="50"/>
      <c r="U96" s="50"/>
      <c r="V96" s="50"/>
      <c r="W96" s="39"/>
      <c r="X96" s="39"/>
      <c r="Y96" s="39"/>
      <c r="Z96" s="39"/>
      <c r="AA96" s="39"/>
      <c r="AB96" s="39"/>
      <c r="AC96" s="39"/>
      <c r="AD96" s="39"/>
      <c r="AE96" s="39"/>
      <c r="AF96" s="39"/>
      <c r="AG96" s="39"/>
      <c r="AH96" s="39"/>
      <c r="AI96" s="39"/>
      <c r="AJ96" s="39"/>
    </row>
    <row r="97" spans="1:36" s="51" customFormat="1" ht="21" customHeight="1" x14ac:dyDescent="0.15">
      <c r="A97" s="46"/>
      <c r="B97" s="46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46"/>
      <c r="N97" s="46"/>
      <c r="O97" s="48"/>
      <c r="P97" s="49"/>
      <c r="Q97" s="50"/>
      <c r="R97" s="50"/>
      <c r="S97" s="50"/>
      <c r="T97" s="50"/>
      <c r="U97" s="50"/>
      <c r="V97" s="50"/>
      <c r="W97" s="39"/>
      <c r="X97" s="39"/>
      <c r="Y97" s="39"/>
      <c r="Z97" s="39"/>
      <c r="AA97" s="39"/>
      <c r="AB97" s="39"/>
      <c r="AC97" s="39"/>
      <c r="AD97" s="39"/>
      <c r="AE97" s="39"/>
      <c r="AF97" s="39"/>
      <c r="AG97" s="39"/>
      <c r="AH97" s="39"/>
      <c r="AI97" s="39"/>
      <c r="AJ97" s="39"/>
    </row>
    <row r="98" spans="1:36" s="51" customFormat="1" ht="21" customHeight="1" x14ac:dyDescent="0.15">
      <c r="A98" s="46"/>
      <c r="B98" s="46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46"/>
      <c r="N98" s="46"/>
      <c r="O98" s="48"/>
      <c r="P98" s="49"/>
      <c r="Q98" s="50"/>
      <c r="R98" s="50"/>
      <c r="S98" s="50"/>
      <c r="T98" s="50"/>
      <c r="U98" s="50"/>
      <c r="V98" s="50"/>
      <c r="W98" s="39"/>
      <c r="X98" s="39"/>
      <c r="Y98" s="39"/>
      <c r="Z98" s="39"/>
      <c r="AA98" s="39"/>
      <c r="AB98" s="39"/>
      <c r="AC98" s="39"/>
      <c r="AD98" s="39"/>
      <c r="AE98" s="39"/>
      <c r="AF98" s="39"/>
      <c r="AG98" s="39"/>
      <c r="AH98" s="39"/>
      <c r="AI98" s="39"/>
      <c r="AJ98" s="39"/>
    </row>
    <row r="99" spans="1:36" s="51" customFormat="1" ht="21" customHeight="1" x14ac:dyDescent="0.15">
      <c r="A99" s="46"/>
      <c r="B99" s="46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46"/>
      <c r="N99" s="46"/>
      <c r="O99" s="48"/>
      <c r="P99" s="49"/>
      <c r="Q99" s="50"/>
      <c r="R99" s="50"/>
      <c r="S99" s="50"/>
      <c r="T99" s="50"/>
      <c r="U99" s="50"/>
      <c r="V99" s="50"/>
      <c r="W99" s="39"/>
      <c r="X99" s="39"/>
      <c r="Y99" s="39"/>
      <c r="Z99" s="39"/>
      <c r="AA99" s="39"/>
      <c r="AB99" s="39"/>
      <c r="AC99" s="39"/>
      <c r="AD99" s="39"/>
      <c r="AE99" s="39"/>
      <c r="AF99" s="39"/>
      <c r="AG99" s="39"/>
      <c r="AH99" s="39"/>
      <c r="AI99" s="39"/>
      <c r="AJ99" s="39"/>
    </row>
    <row r="100" spans="1:36" s="51" customFormat="1" ht="21" customHeight="1" x14ac:dyDescent="0.15">
      <c r="A100" s="46"/>
      <c r="B100" s="46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46"/>
      <c r="N100" s="46"/>
      <c r="O100" s="48"/>
      <c r="P100" s="49"/>
      <c r="Q100" s="50"/>
      <c r="R100" s="50"/>
      <c r="S100" s="50"/>
      <c r="T100" s="50"/>
      <c r="U100" s="50"/>
      <c r="V100" s="50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</row>
    <row r="101" spans="1:36" s="51" customFormat="1" ht="21" customHeight="1" x14ac:dyDescent="0.15">
      <c r="A101" s="46"/>
      <c r="B101" s="46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6"/>
      <c r="O101" s="48"/>
      <c r="P101" s="49"/>
      <c r="Q101" s="50"/>
      <c r="R101" s="50"/>
      <c r="S101" s="50"/>
      <c r="T101" s="50"/>
      <c r="U101" s="50"/>
      <c r="V101" s="50"/>
      <c r="W101" s="39"/>
      <c r="X101" s="39"/>
      <c r="Y101" s="39"/>
      <c r="Z101" s="39"/>
      <c r="AA101" s="39"/>
      <c r="AB101" s="39"/>
      <c r="AC101" s="39"/>
      <c r="AD101" s="39"/>
      <c r="AE101" s="39"/>
      <c r="AF101" s="39"/>
      <c r="AG101" s="39"/>
      <c r="AH101" s="39"/>
      <c r="AI101" s="39"/>
      <c r="AJ101" s="39"/>
    </row>
    <row r="102" spans="1:36" s="51" customFormat="1" ht="21" customHeight="1" x14ac:dyDescent="0.15">
      <c r="A102" s="46"/>
      <c r="B102" s="46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6"/>
      <c r="O102" s="48"/>
      <c r="P102" s="49"/>
      <c r="Q102" s="50"/>
      <c r="R102" s="50"/>
      <c r="S102" s="50"/>
      <c r="T102" s="50"/>
      <c r="U102" s="50"/>
      <c r="V102" s="50"/>
      <c r="W102" s="39"/>
      <c r="X102" s="39"/>
      <c r="Y102" s="39"/>
      <c r="Z102" s="39"/>
      <c r="AA102" s="39"/>
      <c r="AB102" s="39"/>
      <c r="AC102" s="39"/>
      <c r="AD102" s="39"/>
      <c r="AE102" s="39"/>
      <c r="AF102" s="39"/>
      <c r="AG102" s="39"/>
      <c r="AH102" s="39"/>
      <c r="AI102" s="39"/>
      <c r="AJ102" s="39"/>
    </row>
    <row r="103" spans="1:36" s="51" customFormat="1" ht="21" customHeight="1" x14ac:dyDescent="0.15">
      <c r="A103" s="46"/>
      <c r="B103" s="46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6"/>
      <c r="O103" s="48"/>
      <c r="P103" s="49"/>
      <c r="Q103" s="50"/>
      <c r="R103" s="50"/>
      <c r="S103" s="50"/>
      <c r="T103" s="50"/>
      <c r="U103" s="50"/>
      <c r="V103" s="50"/>
      <c r="W103" s="39"/>
      <c r="X103" s="39"/>
      <c r="Y103" s="39"/>
      <c r="Z103" s="39"/>
      <c r="AA103" s="39"/>
      <c r="AB103" s="39"/>
      <c r="AC103" s="39"/>
      <c r="AD103" s="39"/>
      <c r="AE103" s="39"/>
      <c r="AF103" s="39"/>
      <c r="AG103" s="39"/>
      <c r="AH103" s="39"/>
      <c r="AI103" s="39"/>
      <c r="AJ103" s="39"/>
    </row>
    <row r="104" spans="1:36" s="51" customFormat="1" ht="21" customHeight="1" x14ac:dyDescent="0.15">
      <c r="A104" s="46"/>
      <c r="B104" s="46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6"/>
      <c r="O104" s="48"/>
      <c r="P104" s="49"/>
      <c r="Q104" s="50"/>
      <c r="R104" s="50"/>
      <c r="S104" s="50"/>
      <c r="T104" s="50"/>
      <c r="U104" s="50"/>
      <c r="V104" s="50"/>
      <c r="W104" s="39"/>
      <c r="X104" s="39"/>
      <c r="Y104" s="39"/>
      <c r="Z104" s="39"/>
      <c r="AA104" s="39"/>
      <c r="AB104" s="39"/>
      <c r="AC104" s="39"/>
      <c r="AD104" s="39"/>
      <c r="AE104" s="39"/>
      <c r="AF104" s="39"/>
      <c r="AG104" s="39"/>
      <c r="AH104" s="39"/>
      <c r="AI104" s="39"/>
      <c r="AJ104" s="39"/>
    </row>
    <row r="105" spans="1:36" s="51" customFormat="1" ht="21" customHeight="1" x14ac:dyDescent="0.15">
      <c r="A105" s="46"/>
      <c r="B105" s="46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6"/>
      <c r="O105" s="48"/>
      <c r="P105" s="49"/>
      <c r="Q105" s="50"/>
      <c r="R105" s="50"/>
      <c r="S105" s="50"/>
      <c r="T105" s="50"/>
      <c r="U105" s="50"/>
      <c r="V105" s="50"/>
      <c r="W105" s="39"/>
      <c r="X105" s="39"/>
      <c r="Y105" s="39"/>
      <c r="Z105" s="39"/>
      <c r="AA105" s="39"/>
      <c r="AB105" s="39"/>
      <c r="AC105" s="39"/>
      <c r="AD105" s="39"/>
      <c r="AE105" s="39"/>
      <c r="AF105" s="39"/>
      <c r="AG105" s="39"/>
      <c r="AH105" s="39"/>
      <c r="AI105" s="39"/>
      <c r="AJ105" s="39"/>
    </row>
    <row r="106" spans="1:36" s="51" customFormat="1" ht="21" customHeight="1" x14ac:dyDescent="0.15">
      <c r="A106" s="46"/>
      <c r="B106" s="46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6"/>
      <c r="O106" s="48"/>
      <c r="P106" s="49"/>
      <c r="Q106" s="50"/>
      <c r="R106" s="50"/>
      <c r="S106" s="50"/>
      <c r="T106" s="50"/>
      <c r="U106" s="50"/>
      <c r="V106" s="50"/>
      <c r="W106" s="39"/>
      <c r="X106" s="39"/>
      <c r="Y106" s="39"/>
      <c r="Z106" s="39"/>
      <c r="AA106" s="39"/>
      <c r="AB106" s="39"/>
      <c r="AC106" s="39"/>
      <c r="AD106" s="39"/>
      <c r="AE106" s="39"/>
      <c r="AF106" s="39"/>
      <c r="AG106" s="39"/>
      <c r="AH106" s="39"/>
      <c r="AI106" s="39"/>
      <c r="AJ106" s="39"/>
    </row>
    <row r="107" spans="1:36" s="51" customFormat="1" ht="21" customHeight="1" x14ac:dyDescent="0.15">
      <c r="A107" s="46"/>
      <c r="B107" s="46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6"/>
      <c r="O107" s="48"/>
      <c r="P107" s="49"/>
      <c r="Q107" s="50"/>
      <c r="R107" s="50"/>
      <c r="S107" s="50"/>
      <c r="T107" s="50"/>
      <c r="U107" s="50"/>
      <c r="V107" s="50"/>
      <c r="W107" s="39"/>
      <c r="X107" s="39"/>
      <c r="Y107" s="39"/>
      <c r="Z107" s="39"/>
      <c r="AA107" s="39"/>
      <c r="AB107" s="39"/>
      <c r="AC107" s="39"/>
      <c r="AD107" s="39"/>
      <c r="AE107" s="39"/>
      <c r="AF107" s="39"/>
      <c r="AG107" s="39"/>
      <c r="AH107" s="39"/>
      <c r="AI107" s="39"/>
      <c r="AJ107" s="39"/>
    </row>
    <row r="108" spans="1:36" s="51" customFormat="1" ht="21" customHeight="1" x14ac:dyDescent="0.15">
      <c r="A108" s="46"/>
      <c r="B108" s="46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6"/>
      <c r="O108" s="48"/>
      <c r="P108" s="49"/>
      <c r="Q108" s="50"/>
      <c r="R108" s="50"/>
      <c r="S108" s="50"/>
      <c r="T108" s="50"/>
      <c r="U108" s="50"/>
      <c r="V108" s="50"/>
      <c r="W108" s="39"/>
      <c r="X108" s="39"/>
      <c r="Y108" s="39"/>
      <c r="Z108" s="39"/>
      <c r="AA108" s="39"/>
      <c r="AB108" s="39"/>
      <c r="AC108" s="39"/>
      <c r="AD108" s="39"/>
      <c r="AE108" s="39"/>
      <c r="AF108" s="39"/>
      <c r="AG108" s="39"/>
      <c r="AH108" s="39"/>
      <c r="AI108" s="39"/>
      <c r="AJ108" s="39"/>
    </row>
    <row r="109" spans="1:36" s="51" customFormat="1" ht="21" customHeight="1" x14ac:dyDescent="0.15">
      <c r="A109" s="46"/>
      <c r="B109" s="46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6"/>
      <c r="O109" s="48"/>
      <c r="P109" s="49"/>
      <c r="Q109" s="50"/>
      <c r="R109" s="50"/>
      <c r="S109" s="50"/>
      <c r="T109" s="50"/>
      <c r="U109" s="50"/>
      <c r="V109" s="50"/>
      <c r="W109" s="39"/>
      <c r="X109" s="39"/>
      <c r="Y109" s="39"/>
      <c r="Z109" s="39"/>
      <c r="AA109" s="39"/>
      <c r="AB109" s="39"/>
      <c r="AC109" s="39"/>
      <c r="AD109" s="39"/>
      <c r="AE109" s="39"/>
      <c r="AF109" s="39"/>
      <c r="AG109" s="39"/>
      <c r="AH109" s="39"/>
      <c r="AI109" s="39"/>
      <c r="AJ109" s="39"/>
    </row>
    <row r="110" spans="1:36" s="51" customFormat="1" ht="21" customHeight="1" x14ac:dyDescent="0.15">
      <c r="A110" s="46"/>
      <c r="B110" s="46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6"/>
      <c r="O110" s="48"/>
      <c r="P110" s="49"/>
      <c r="Q110" s="50"/>
      <c r="R110" s="50"/>
      <c r="S110" s="50"/>
      <c r="T110" s="50"/>
      <c r="U110" s="50"/>
      <c r="V110" s="50"/>
      <c r="W110" s="39"/>
      <c r="X110" s="39"/>
      <c r="Y110" s="39"/>
      <c r="Z110" s="39"/>
      <c r="AA110" s="39"/>
      <c r="AB110" s="39"/>
      <c r="AC110" s="39"/>
      <c r="AD110" s="39"/>
      <c r="AE110" s="39"/>
      <c r="AF110" s="39"/>
      <c r="AG110" s="39"/>
      <c r="AH110" s="39"/>
      <c r="AI110" s="39"/>
      <c r="AJ110" s="39"/>
    </row>
    <row r="111" spans="1:36" s="51" customFormat="1" ht="21" customHeight="1" x14ac:dyDescent="0.15">
      <c r="A111" s="46"/>
      <c r="B111" s="46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6"/>
      <c r="O111" s="48"/>
      <c r="P111" s="49"/>
      <c r="Q111" s="50"/>
      <c r="R111" s="50"/>
      <c r="S111" s="50"/>
      <c r="T111" s="50"/>
      <c r="U111" s="50"/>
      <c r="V111" s="50"/>
      <c r="W111" s="39"/>
      <c r="X111" s="39"/>
      <c r="Y111" s="39"/>
      <c r="Z111" s="39"/>
      <c r="AA111" s="39"/>
      <c r="AB111" s="39"/>
      <c r="AC111" s="39"/>
      <c r="AD111" s="39"/>
      <c r="AE111" s="39"/>
      <c r="AF111" s="39"/>
      <c r="AG111" s="39"/>
      <c r="AH111" s="39"/>
      <c r="AI111" s="39"/>
      <c r="AJ111" s="39"/>
    </row>
    <row r="112" spans="1:36" s="51" customFormat="1" ht="21" customHeight="1" x14ac:dyDescent="0.15">
      <c r="A112" s="46"/>
      <c r="B112" s="46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6"/>
      <c r="O112" s="48"/>
      <c r="P112" s="49"/>
      <c r="Q112" s="50"/>
      <c r="R112" s="50"/>
      <c r="S112" s="50"/>
      <c r="T112" s="50"/>
      <c r="U112" s="50"/>
      <c r="V112" s="50"/>
      <c r="W112" s="39"/>
      <c r="X112" s="39"/>
      <c r="Y112" s="39"/>
      <c r="Z112" s="39"/>
      <c r="AA112" s="39"/>
      <c r="AB112" s="39"/>
      <c r="AC112" s="39"/>
      <c r="AD112" s="39"/>
      <c r="AE112" s="39"/>
      <c r="AF112" s="39"/>
      <c r="AG112" s="39"/>
      <c r="AH112" s="39"/>
      <c r="AI112" s="39"/>
      <c r="AJ112" s="39"/>
    </row>
    <row r="113" spans="1:36" s="51" customFormat="1" ht="21" customHeight="1" x14ac:dyDescent="0.15">
      <c r="A113" s="46"/>
      <c r="B113" s="46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6"/>
      <c r="O113" s="48"/>
      <c r="P113" s="49"/>
      <c r="Q113" s="50"/>
      <c r="R113" s="50"/>
      <c r="S113" s="50"/>
      <c r="T113" s="50"/>
      <c r="U113" s="50"/>
      <c r="V113" s="50"/>
      <c r="W113" s="39"/>
      <c r="X113" s="39"/>
      <c r="Y113" s="39"/>
      <c r="Z113" s="39"/>
      <c r="AA113" s="39"/>
      <c r="AB113" s="39"/>
      <c r="AC113" s="39"/>
      <c r="AD113" s="39"/>
      <c r="AE113" s="39"/>
      <c r="AF113" s="39"/>
      <c r="AG113" s="39"/>
      <c r="AH113" s="39"/>
      <c r="AI113" s="39"/>
      <c r="AJ113" s="39"/>
    </row>
    <row r="114" spans="1:36" s="51" customFormat="1" ht="21" customHeight="1" x14ac:dyDescent="0.15">
      <c r="A114" s="46"/>
      <c r="B114" s="46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6"/>
      <c r="O114" s="48"/>
      <c r="P114" s="49"/>
      <c r="Q114" s="50"/>
      <c r="R114" s="50"/>
      <c r="S114" s="50"/>
      <c r="T114" s="50"/>
      <c r="U114" s="50"/>
      <c r="V114" s="50"/>
      <c r="W114" s="39"/>
      <c r="X114" s="39"/>
      <c r="Y114" s="39"/>
      <c r="Z114" s="39"/>
      <c r="AA114" s="39"/>
      <c r="AB114" s="39"/>
      <c r="AC114" s="39"/>
      <c r="AD114" s="39"/>
      <c r="AE114" s="39"/>
      <c r="AF114" s="39"/>
      <c r="AG114" s="39"/>
      <c r="AH114" s="39"/>
      <c r="AI114" s="39"/>
      <c r="AJ114" s="39"/>
    </row>
    <row r="115" spans="1:36" s="51" customFormat="1" ht="21" customHeight="1" x14ac:dyDescent="0.15">
      <c r="A115" s="46"/>
      <c r="B115" s="46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6"/>
      <c r="O115" s="48"/>
      <c r="P115" s="49"/>
      <c r="Q115" s="50"/>
      <c r="R115" s="50"/>
      <c r="S115" s="50"/>
      <c r="T115" s="50"/>
      <c r="U115" s="50"/>
      <c r="V115" s="50"/>
      <c r="W115" s="39"/>
      <c r="X115" s="39"/>
      <c r="Y115" s="39"/>
      <c r="Z115" s="39"/>
      <c r="AA115" s="39"/>
      <c r="AB115" s="39"/>
      <c r="AC115" s="39"/>
      <c r="AD115" s="39"/>
      <c r="AE115" s="39"/>
      <c r="AF115" s="39"/>
      <c r="AG115" s="39"/>
      <c r="AH115" s="39"/>
      <c r="AI115" s="39"/>
      <c r="AJ115" s="39"/>
    </row>
    <row r="116" spans="1:36" s="51" customFormat="1" ht="21" customHeight="1" x14ac:dyDescent="0.15">
      <c r="A116" s="46"/>
      <c r="B116" s="46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6"/>
      <c r="O116" s="48"/>
      <c r="P116" s="49"/>
      <c r="Q116" s="50"/>
      <c r="R116" s="50"/>
      <c r="S116" s="50"/>
      <c r="T116" s="50"/>
      <c r="U116" s="50"/>
      <c r="V116" s="50"/>
      <c r="W116" s="39"/>
      <c r="X116" s="39"/>
      <c r="Y116" s="39"/>
      <c r="Z116" s="39"/>
      <c r="AA116" s="39"/>
      <c r="AB116" s="39"/>
      <c r="AC116" s="39"/>
      <c r="AD116" s="39"/>
      <c r="AE116" s="39"/>
      <c r="AF116" s="39"/>
      <c r="AG116" s="39"/>
      <c r="AH116" s="39"/>
      <c r="AI116" s="39"/>
      <c r="AJ116" s="39"/>
    </row>
    <row r="117" spans="1:36" s="51" customFormat="1" ht="21" customHeight="1" x14ac:dyDescent="0.15">
      <c r="A117" s="46"/>
      <c r="B117" s="46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6"/>
      <c r="O117" s="48"/>
      <c r="P117" s="49"/>
      <c r="Q117" s="50"/>
      <c r="R117" s="50"/>
      <c r="S117" s="50"/>
      <c r="T117" s="50"/>
      <c r="U117" s="50"/>
      <c r="V117" s="50"/>
      <c r="W117" s="39"/>
      <c r="X117" s="39"/>
      <c r="Y117" s="39"/>
      <c r="Z117" s="39"/>
      <c r="AA117" s="39"/>
      <c r="AB117" s="39"/>
      <c r="AC117" s="39"/>
      <c r="AD117" s="39"/>
      <c r="AE117" s="39"/>
      <c r="AF117" s="39"/>
      <c r="AG117" s="39"/>
      <c r="AH117" s="39"/>
      <c r="AI117" s="39"/>
      <c r="AJ117" s="39"/>
    </row>
    <row r="118" spans="1:36" s="51" customFormat="1" ht="21" customHeight="1" x14ac:dyDescent="0.15">
      <c r="A118" s="46"/>
      <c r="B118" s="46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6"/>
      <c r="O118" s="48"/>
      <c r="P118" s="49"/>
      <c r="Q118" s="50"/>
      <c r="R118" s="50"/>
      <c r="S118" s="50"/>
      <c r="T118" s="50"/>
      <c r="U118" s="50"/>
      <c r="V118" s="50"/>
      <c r="W118" s="39"/>
      <c r="X118" s="39"/>
      <c r="Y118" s="39"/>
      <c r="Z118" s="39"/>
      <c r="AA118" s="39"/>
      <c r="AB118" s="39"/>
      <c r="AC118" s="39"/>
      <c r="AD118" s="39"/>
      <c r="AE118" s="39"/>
      <c r="AF118" s="39"/>
      <c r="AG118" s="39"/>
      <c r="AH118" s="39"/>
      <c r="AI118" s="39"/>
      <c r="AJ118" s="39"/>
    </row>
    <row r="119" spans="1:36" s="51" customFormat="1" ht="21" customHeight="1" x14ac:dyDescent="0.15">
      <c r="A119" s="46"/>
      <c r="B119" s="46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6"/>
      <c r="O119" s="48"/>
      <c r="P119" s="49"/>
      <c r="Q119" s="50"/>
      <c r="R119" s="50"/>
      <c r="S119" s="50"/>
      <c r="T119" s="50"/>
      <c r="U119" s="50"/>
      <c r="V119" s="50"/>
      <c r="W119" s="39"/>
      <c r="X119" s="39"/>
      <c r="Y119" s="39"/>
      <c r="Z119" s="39"/>
      <c r="AA119" s="39"/>
      <c r="AB119" s="39"/>
      <c r="AC119" s="39"/>
      <c r="AD119" s="39"/>
      <c r="AE119" s="39"/>
      <c r="AF119" s="39"/>
      <c r="AG119" s="39"/>
      <c r="AH119" s="39"/>
      <c r="AI119" s="39"/>
      <c r="AJ119" s="39"/>
    </row>
    <row r="120" spans="1:36" s="51" customFormat="1" ht="21" customHeight="1" x14ac:dyDescent="0.15">
      <c r="A120" s="46"/>
      <c r="B120" s="46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6"/>
      <c r="O120" s="48"/>
      <c r="P120" s="49"/>
      <c r="Q120" s="50"/>
      <c r="R120" s="50"/>
      <c r="S120" s="50"/>
      <c r="T120" s="50"/>
      <c r="U120" s="50"/>
      <c r="V120" s="50"/>
      <c r="W120" s="39"/>
      <c r="X120" s="39"/>
      <c r="Y120" s="39"/>
      <c r="Z120" s="39"/>
      <c r="AA120" s="39"/>
      <c r="AB120" s="39"/>
      <c r="AC120" s="39"/>
      <c r="AD120" s="39"/>
      <c r="AE120" s="39"/>
      <c r="AF120" s="39"/>
      <c r="AG120" s="39"/>
      <c r="AH120" s="39"/>
      <c r="AI120" s="39"/>
      <c r="AJ120" s="39"/>
    </row>
    <row r="121" spans="1:36" s="51" customFormat="1" ht="21" customHeight="1" x14ac:dyDescent="0.15">
      <c r="A121" s="46"/>
      <c r="B121" s="46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6"/>
      <c r="O121" s="48"/>
      <c r="P121" s="49"/>
      <c r="Q121" s="50"/>
      <c r="R121" s="50"/>
      <c r="S121" s="50"/>
      <c r="T121" s="50"/>
      <c r="U121" s="50"/>
      <c r="V121" s="50"/>
      <c r="W121" s="39"/>
      <c r="X121" s="39"/>
      <c r="Y121" s="39"/>
      <c r="Z121" s="39"/>
      <c r="AA121" s="39"/>
      <c r="AB121" s="39"/>
      <c r="AC121" s="39"/>
      <c r="AD121" s="39"/>
      <c r="AE121" s="39"/>
      <c r="AF121" s="39"/>
      <c r="AG121" s="39"/>
      <c r="AH121" s="39"/>
      <c r="AI121" s="39"/>
      <c r="AJ121" s="39"/>
    </row>
    <row r="122" spans="1:36" s="51" customFormat="1" ht="21" customHeight="1" x14ac:dyDescent="0.15">
      <c r="A122" s="46"/>
      <c r="B122" s="46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6"/>
      <c r="O122" s="48"/>
      <c r="P122" s="49"/>
      <c r="Q122" s="50"/>
      <c r="R122" s="50"/>
      <c r="S122" s="50"/>
      <c r="T122" s="50"/>
      <c r="U122" s="50"/>
      <c r="V122" s="50"/>
      <c r="W122" s="39"/>
      <c r="X122" s="39"/>
      <c r="Y122" s="39"/>
      <c r="Z122" s="39"/>
      <c r="AA122" s="39"/>
      <c r="AB122" s="39"/>
      <c r="AC122" s="39"/>
      <c r="AD122" s="39"/>
      <c r="AE122" s="39"/>
      <c r="AF122" s="39"/>
      <c r="AG122" s="39"/>
      <c r="AH122" s="39"/>
      <c r="AI122" s="39"/>
      <c r="AJ122" s="39"/>
    </row>
    <row r="123" spans="1:36" s="51" customFormat="1" ht="21" customHeight="1" x14ac:dyDescent="0.15">
      <c r="A123" s="46"/>
      <c r="B123" s="46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6"/>
      <c r="O123" s="48"/>
      <c r="P123" s="49"/>
      <c r="Q123" s="50"/>
      <c r="R123" s="50"/>
      <c r="S123" s="50"/>
      <c r="T123" s="50"/>
      <c r="U123" s="50"/>
      <c r="V123" s="50"/>
      <c r="W123" s="39"/>
      <c r="X123" s="39"/>
      <c r="Y123" s="39"/>
      <c r="Z123" s="39"/>
      <c r="AA123" s="39"/>
      <c r="AB123" s="39"/>
      <c r="AC123" s="39"/>
      <c r="AD123" s="39"/>
      <c r="AE123" s="39"/>
      <c r="AF123" s="39"/>
      <c r="AG123" s="39"/>
      <c r="AH123" s="39"/>
      <c r="AI123" s="39"/>
      <c r="AJ123" s="39"/>
    </row>
    <row r="124" spans="1:36" s="51" customFormat="1" ht="21" customHeight="1" x14ac:dyDescent="0.15">
      <c r="A124" s="46"/>
      <c r="B124" s="47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6"/>
      <c r="O124" s="48"/>
      <c r="P124" s="49"/>
      <c r="Q124" s="50"/>
      <c r="R124" s="50"/>
      <c r="S124" s="50"/>
      <c r="T124" s="50"/>
      <c r="U124" s="50"/>
      <c r="V124" s="50"/>
      <c r="W124" s="39"/>
      <c r="X124" s="39"/>
      <c r="Y124" s="39"/>
      <c r="Z124" s="39"/>
      <c r="AA124" s="39"/>
      <c r="AB124" s="39"/>
      <c r="AC124" s="39"/>
      <c r="AD124" s="39"/>
      <c r="AE124" s="39"/>
      <c r="AF124" s="39"/>
      <c r="AG124" s="39"/>
      <c r="AH124" s="39"/>
      <c r="AI124" s="39"/>
      <c r="AJ124" s="39"/>
    </row>
    <row r="125" spans="1:36" s="51" customFormat="1" ht="21" customHeight="1" x14ac:dyDescent="0.15">
      <c r="A125" s="46"/>
      <c r="B125" s="47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6"/>
      <c r="O125" s="48"/>
      <c r="P125" s="49"/>
      <c r="Q125" s="50"/>
      <c r="R125" s="50"/>
      <c r="S125" s="50"/>
      <c r="T125" s="50"/>
      <c r="U125" s="50"/>
      <c r="V125" s="50"/>
      <c r="W125" s="39"/>
      <c r="X125" s="39"/>
      <c r="Y125" s="39"/>
      <c r="Z125" s="39"/>
      <c r="AA125" s="39"/>
      <c r="AB125" s="39"/>
      <c r="AC125" s="39"/>
      <c r="AD125" s="39"/>
      <c r="AE125" s="39"/>
      <c r="AF125" s="39"/>
      <c r="AG125" s="39"/>
      <c r="AH125" s="39"/>
      <c r="AI125" s="39"/>
      <c r="AJ125" s="39"/>
    </row>
    <row r="126" spans="1:36" s="51" customFormat="1" ht="21" customHeight="1" x14ac:dyDescent="0.15">
      <c r="A126" s="46"/>
      <c r="B126" s="47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6"/>
      <c r="O126" s="48"/>
      <c r="P126" s="49"/>
      <c r="Q126" s="50"/>
      <c r="R126" s="50"/>
      <c r="S126" s="50"/>
      <c r="T126" s="50"/>
      <c r="U126" s="50"/>
      <c r="V126" s="50"/>
      <c r="W126" s="39"/>
      <c r="X126" s="39"/>
      <c r="Y126" s="39"/>
      <c r="Z126" s="39"/>
      <c r="AA126" s="39"/>
      <c r="AB126" s="39"/>
      <c r="AC126" s="39"/>
      <c r="AD126" s="39"/>
      <c r="AE126" s="39"/>
      <c r="AF126" s="39"/>
      <c r="AG126" s="39"/>
      <c r="AH126" s="39"/>
      <c r="AI126" s="39"/>
      <c r="AJ126" s="39"/>
    </row>
    <row r="127" spans="1:36" s="51" customFormat="1" ht="21" customHeight="1" x14ac:dyDescent="0.15">
      <c r="A127" s="46"/>
      <c r="B127" s="47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6"/>
      <c r="O127" s="48"/>
      <c r="P127" s="49"/>
      <c r="Q127" s="50"/>
      <c r="R127" s="50"/>
      <c r="S127" s="50"/>
      <c r="T127" s="50"/>
      <c r="U127" s="50"/>
      <c r="V127" s="50"/>
      <c r="W127" s="39"/>
      <c r="X127" s="39"/>
      <c r="Y127" s="39"/>
      <c r="Z127" s="39"/>
      <c r="AA127" s="39"/>
      <c r="AB127" s="39"/>
      <c r="AC127" s="39"/>
      <c r="AD127" s="39"/>
      <c r="AE127" s="39"/>
      <c r="AF127" s="39"/>
      <c r="AG127" s="39"/>
      <c r="AH127" s="39"/>
      <c r="AI127" s="39"/>
      <c r="AJ127" s="39"/>
    </row>
    <row r="128" spans="1:36" s="51" customFormat="1" ht="21" customHeight="1" x14ac:dyDescent="0.15">
      <c r="A128" s="46"/>
      <c r="B128" s="47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6"/>
      <c r="O128" s="48"/>
      <c r="P128" s="49"/>
      <c r="Q128" s="50"/>
      <c r="R128" s="50"/>
      <c r="S128" s="50"/>
      <c r="T128" s="50"/>
      <c r="U128" s="50"/>
      <c r="V128" s="50"/>
      <c r="W128" s="39"/>
      <c r="X128" s="39"/>
      <c r="Y128" s="39"/>
      <c r="Z128" s="39"/>
      <c r="AA128" s="39"/>
      <c r="AB128" s="39"/>
      <c r="AC128" s="39"/>
      <c r="AD128" s="39"/>
      <c r="AE128" s="39"/>
      <c r="AF128" s="39"/>
      <c r="AG128" s="39"/>
      <c r="AH128" s="39"/>
      <c r="AI128" s="39"/>
      <c r="AJ128" s="39"/>
    </row>
    <row r="129" spans="1:36" s="51" customFormat="1" ht="21" customHeight="1" x14ac:dyDescent="0.15">
      <c r="A129" s="46"/>
      <c r="B129" s="47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6"/>
      <c r="O129" s="48"/>
      <c r="P129" s="49"/>
      <c r="Q129" s="50"/>
      <c r="R129" s="50"/>
      <c r="S129" s="50"/>
      <c r="T129" s="50"/>
      <c r="U129" s="50"/>
      <c r="V129" s="50"/>
      <c r="W129" s="39"/>
      <c r="X129" s="39"/>
      <c r="Y129" s="39"/>
      <c r="Z129" s="39"/>
      <c r="AA129" s="39"/>
      <c r="AB129" s="39"/>
      <c r="AC129" s="39"/>
      <c r="AD129" s="39"/>
      <c r="AE129" s="39"/>
      <c r="AF129" s="39"/>
      <c r="AG129" s="39"/>
      <c r="AH129" s="39"/>
      <c r="AI129" s="39"/>
      <c r="AJ129" s="39"/>
    </row>
    <row r="130" spans="1:36" s="51" customFormat="1" ht="21" customHeight="1" x14ac:dyDescent="0.15">
      <c r="A130" s="46"/>
      <c r="B130" s="47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6"/>
      <c r="O130" s="48"/>
      <c r="P130" s="49"/>
      <c r="Q130" s="50"/>
      <c r="R130" s="50"/>
      <c r="S130" s="50"/>
      <c r="T130" s="50"/>
      <c r="U130" s="50"/>
      <c r="V130" s="50"/>
      <c r="W130" s="39"/>
      <c r="X130" s="39"/>
      <c r="Y130" s="39"/>
      <c r="Z130" s="39"/>
      <c r="AA130" s="39"/>
      <c r="AB130" s="39"/>
      <c r="AC130" s="39"/>
      <c r="AD130" s="39"/>
      <c r="AE130" s="39"/>
      <c r="AF130" s="39"/>
      <c r="AG130" s="39"/>
      <c r="AH130" s="39"/>
      <c r="AI130" s="39"/>
      <c r="AJ130" s="39"/>
    </row>
    <row r="131" spans="1:36" s="51" customFormat="1" ht="21" customHeight="1" x14ac:dyDescent="0.15">
      <c r="A131" s="46"/>
      <c r="B131" s="47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6"/>
      <c r="O131" s="48"/>
      <c r="P131" s="49"/>
      <c r="Q131" s="50"/>
      <c r="R131" s="50"/>
      <c r="S131" s="50"/>
      <c r="T131" s="50"/>
      <c r="U131" s="50"/>
      <c r="V131" s="50"/>
      <c r="W131" s="39"/>
      <c r="X131" s="39"/>
      <c r="Y131" s="39"/>
      <c r="Z131" s="39"/>
      <c r="AA131" s="39"/>
      <c r="AB131" s="39"/>
      <c r="AC131" s="39"/>
      <c r="AD131" s="39"/>
      <c r="AE131" s="39"/>
      <c r="AF131" s="39"/>
      <c r="AG131" s="39"/>
      <c r="AH131" s="39"/>
      <c r="AI131" s="39"/>
      <c r="AJ131" s="39"/>
    </row>
    <row r="132" spans="1:36" s="51" customFormat="1" ht="21" customHeight="1" x14ac:dyDescent="0.15">
      <c r="A132" s="46"/>
      <c r="B132" s="47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6"/>
      <c r="O132" s="48"/>
      <c r="P132" s="49"/>
      <c r="Q132" s="50"/>
      <c r="R132" s="50"/>
      <c r="S132" s="50"/>
      <c r="T132" s="50"/>
      <c r="U132" s="50"/>
      <c r="V132" s="50"/>
      <c r="W132" s="39"/>
      <c r="X132" s="39"/>
      <c r="Y132" s="39"/>
      <c r="Z132" s="39"/>
      <c r="AA132" s="39"/>
      <c r="AB132" s="39"/>
      <c r="AC132" s="39"/>
      <c r="AD132" s="39"/>
      <c r="AE132" s="39"/>
      <c r="AF132" s="39"/>
      <c r="AG132" s="39"/>
      <c r="AH132" s="39"/>
      <c r="AI132" s="39"/>
      <c r="AJ132" s="39"/>
    </row>
    <row r="133" spans="1:36" s="51" customFormat="1" ht="21" customHeight="1" x14ac:dyDescent="0.15">
      <c r="A133" s="46"/>
      <c r="B133" s="47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6"/>
      <c r="O133" s="48"/>
      <c r="P133" s="49"/>
      <c r="Q133" s="50"/>
      <c r="R133" s="50"/>
      <c r="S133" s="50"/>
      <c r="T133" s="50"/>
      <c r="U133" s="50"/>
      <c r="V133" s="50"/>
      <c r="W133" s="39"/>
      <c r="X133" s="39"/>
      <c r="Y133" s="39"/>
      <c r="Z133" s="39"/>
      <c r="AA133" s="39"/>
      <c r="AB133" s="39"/>
      <c r="AC133" s="39"/>
      <c r="AD133" s="39"/>
      <c r="AE133" s="39"/>
      <c r="AF133" s="39"/>
      <c r="AG133" s="39"/>
      <c r="AH133" s="39"/>
      <c r="AI133" s="39"/>
      <c r="AJ133" s="39"/>
    </row>
    <row r="134" spans="1:36" s="51" customFormat="1" ht="21" customHeight="1" x14ac:dyDescent="0.15">
      <c r="A134" s="46"/>
      <c r="B134" s="47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6"/>
      <c r="O134" s="48"/>
      <c r="P134" s="49"/>
      <c r="Q134" s="50"/>
      <c r="R134" s="50"/>
      <c r="S134" s="50"/>
      <c r="T134" s="50"/>
      <c r="U134" s="50"/>
      <c r="V134" s="50"/>
      <c r="W134" s="39"/>
      <c r="X134" s="39"/>
      <c r="Y134" s="39"/>
      <c r="Z134" s="39"/>
      <c r="AA134" s="39"/>
      <c r="AB134" s="39"/>
      <c r="AC134" s="39"/>
      <c r="AD134" s="39"/>
      <c r="AE134" s="39"/>
      <c r="AF134" s="39"/>
      <c r="AG134" s="39"/>
      <c r="AH134" s="39"/>
      <c r="AI134" s="39"/>
      <c r="AJ134" s="39"/>
    </row>
    <row r="135" spans="1:36" s="51" customFormat="1" ht="21" customHeight="1" x14ac:dyDescent="0.15">
      <c r="A135" s="46"/>
      <c r="B135" s="52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6"/>
      <c r="O135" s="48"/>
      <c r="P135" s="49"/>
      <c r="Q135" s="50"/>
      <c r="R135" s="50"/>
      <c r="S135" s="50"/>
      <c r="T135" s="50"/>
      <c r="U135" s="50"/>
      <c r="V135" s="50"/>
      <c r="W135" s="39"/>
      <c r="X135" s="39"/>
      <c r="Y135" s="39"/>
      <c r="Z135" s="39"/>
      <c r="AA135" s="39"/>
      <c r="AB135" s="39"/>
      <c r="AC135" s="39"/>
      <c r="AD135" s="39"/>
      <c r="AE135" s="39"/>
      <c r="AF135" s="39"/>
      <c r="AG135" s="39"/>
      <c r="AH135" s="39"/>
      <c r="AI135" s="39"/>
      <c r="AJ135" s="39"/>
    </row>
    <row r="136" spans="1:36" s="51" customFormat="1" ht="21" customHeight="1" x14ac:dyDescent="0.15">
      <c r="A136" s="46"/>
      <c r="B136" s="52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6"/>
      <c r="O136" s="48"/>
      <c r="P136" s="49"/>
      <c r="Q136" s="50"/>
      <c r="R136" s="50"/>
      <c r="S136" s="50"/>
      <c r="T136" s="50"/>
      <c r="U136" s="50"/>
      <c r="V136" s="50"/>
      <c r="W136" s="39"/>
      <c r="X136" s="39"/>
      <c r="Y136" s="39"/>
      <c r="Z136" s="39"/>
      <c r="AA136" s="39"/>
      <c r="AB136" s="39"/>
      <c r="AC136" s="39"/>
      <c r="AD136" s="39"/>
      <c r="AE136" s="39"/>
      <c r="AF136" s="39"/>
      <c r="AG136" s="39"/>
      <c r="AH136" s="39"/>
      <c r="AI136" s="39"/>
      <c r="AJ136" s="39"/>
    </row>
    <row r="137" spans="1:36" s="51" customFormat="1" ht="21" customHeight="1" x14ac:dyDescent="0.15">
      <c r="A137" s="46"/>
      <c r="B137" s="47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6"/>
      <c r="O137" s="48"/>
      <c r="P137" s="49"/>
      <c r="Q137" s="50"/>
      <c r="R137" s="50"/>
      <c r="S137" s="50"/>
      <c r="T137" s="50"/>
      <c r="U137" s="50"/>
      <c r="V137" s="50"/>
      <c r="W137" s="39"/>
      <c r="X137" s="39"/>
      <c r="Y137" s="39"/>
      <c r="Z137" s="39"/>
      <c r="AA137" s="39"/>
      <c r="AB137" s="39"/>
      <c r="AC137" s="39"/>
      <c r="AD137" s="39"/>
      <c r="AE137" s="39"/>
      <c r="AF137" s="39"/>
      <c r="AG137" s="39"/>
      <c r="AH137" s="39"/>
      <c r="AI137" s="39"/>
      <c r="AJ137" s="39"/>
    </row>
    <row r="138" spans="1:36" s="51" customFormat="1" ht="21" customHeight="1" x14ac:dyDescent="0.15">
      <c r="A138" s="46"/>
      <c r="B138" s="47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6"/>
      <c r="O138" s="48"/>
      <c r="P138" s="49"/>
      <c r="Q138" s="50"/>
      <c r="R138" s="50"/>
      <c r="S138" s="50"/>
      <c r="T138" s="50"/>
      <c r="U138" s="50"/>
      <c r="V138" s="50"/>
      <c r="W138" s="39"/>
      <c r="X138" s="39"/>
      <c r="Y138" s="39"/>
      <c r="Z138" s="39"/>
      <c r="AA138" s="39"/>
      <c r="AB138" s="39"/>
      <c r="AC138" s="39"/>
      <c r="AD138" s="39"/>
      <c r="AE138" s="39"/>
      <c r="AF138" s="39"/>
      <c r="AG138" s="39"/>
      <c r="AH138" s="39"/>
      <c r="AI138" s="39"/>
      <c r="AJ138" s="39"/>
    </row>
    <row r="139" spans="1:36" ht="21" customHeight="1" x14ac:dyDescent="0.15">
      <c r="A139" s="39"/>
      <c r="B139" s="40"/>
      <c r="C139" s="39"/>
      <c r="D139" s="39"/>
      <c r="E139" s="39"/>
      <c r="F139" s="39"/>
      <c r="G139" s="39"/>
      <c r="H139" s="39"/>
      <c r="I139" s="39"/>
      <c r="J139" s="39"/>
      <c r="K139" s="39"/>
      <c r="L139" s="39"/>
      <c r="M139" s="39"/>
      <c r="N139" s="39"/>
      <c r="O139" s="41"/>
      <c r="P139" s="42"/>
      <c r="Q139" s="43"/>
      <c r="R139" s="43"/>
      <c r="S139" s="43"/>
      <c r="T139" s="43"/>
      <c r="U139" s="43"/>
      <c r="V139" s="43"/>
    </row>
    <row r="140" spans="1:36" ht="21" customHeight="1" x14ac:dyDescent="0.15">
      <c r="A140" s="39"/>
      <c r="B140" s="40"/>
      <c r="C140" s="39"/>
      <c r="D140" s="39"/>
      <c r="E140" s="39"/>
      <c r="F140" s="39"/>
      <c r="G140" s="39"/>
      <c r="H140" s="39"/>
      <c r="I140" s="39"/>
      <c r="J140" s="39"/>
      <c r="K140" s="39"/>
      <c r="L140" s="39"/>
      <c r="M140" s="39"/>
      <c r="N140" s="39"/>
      <c r="O140" s="41"/>
      <c r="P140" s="42"/>
      <c r="Q140" s="43"/>
      <c r="R140" s="43"/>
      <c r="S140" s="43"/>
      <c r="T140" s="43"/>
      <c r="U140" s="43"/>
      <c r="V140" s="43"/>
    </row>
    <row r="141" spans="1:36" ht="21" customHeight="1" x14ac:dyDescent="0.15">
      <c r="A141" s="39"/>
      <c r="B141" s="40"/>
      <c r="C141" s="39"/>
      <c r="D141" s="39"/>
      <c r="E141" s="39"/>
      <c r="F141" s="39"/>
      <c r="G141" s="39"/>
      <c r="H141" s="39"/>
      <c r="I141" s="39"/>
      <c r="J141" s="39"/>
      <c r="K141" s="39"/>
      <c r="L141" s="39"/>
      <c r="M141" s="39"/>
      <c r="N141" s="39"/>
      <c r="O141" s="41"/>
      <c r="P141" s="42"/>
      <c r="Q141" s="43"/>
      <c r="R141" s="43"/>
      <c r="S141" s="43"/>
      <c r="T141" s="43"/>
      <c r="U141" s="43"/>
      <c r="V141" s="43"/>
    </row>
    <row r="142" spans="1:36" s="12" customFormat="1" ht="21" customHeight="1" thickBot="1" x14ac:dyDescent="0.2">
      <c r="A142" s="39"/>
      <c r="B142" s="40"/>
      <c r="C142" s="39"/>
      <c r="D142" s="39"/>
      <c r="E142" s="39"/>
      <c r="F142" s="39"/>
      <c r="G142" s="39"/>
      <c r="H142" s="39"/>
      <c r="I142" s="39"/>
      <c r="J142" s="39"/>
      <c r="K142" s="39"/>
      <c r="L142" s="39"/>
      <c r="M142" s="39"/>
      <c r="N142" s="39"/>
      <c r="O142" s="41"/>
      <c r="P142" s="42"/>
      <c r="Q142" s="43"/>
      <c r="R142" s="43"/>
      <c r="S142" s="43"/>
      <c r="T142" s="43"/>
      <c r="U142" s="43"/>
      <c r="V142" s="43"/>
      <c r="W142" s="45"/>
      <c r="X142" s="45"/>
      <c r="Y142" s="45"/>
      <c r="Z142" s="45"/>
      <c r="AA142" s="45"/>
      <c r="AB142" s="45"/>
      <c r="AC142" s="45"/>
      <c r="AD142" s="45"/>
      <c r="AE142" s="45"/>
      <c r="AF142" s="45"/>
      <c r="AG142" s="45"/>
      <c r="AH142" s="45"/>
      <c r="AI142" s="45"/>
      <c r="AJ142" s="45"/>
    </row>
    <row r="143" spans="1:36" ht="21" customHeight="1" x14ac:dyDescent="0.15">
      <c r="A143" s="39"/>
      <c r="B143" s="40"/>
      <c r="C143" s="39"/>
      <c r="D143" s="39"/>
      <c r="E143" s="39"/>
      <c r="F143" s="39"/>
      <c r="G143" s="39"/>
      <c r="H143" s="39"/>
      <c r="I143" s="39"/>
      <c r="J143" s="39"/>
      <c r="K143" s="39"/>
      <c r="L143" s="39"/>
      <c r="M143" s="39"/>
      <c r="N143" s="39"/>
      <c r="O143" s="41"/>
      <c r="P143" s="42"/>
      <c r="Q143" s="43"/>
      <c r="R143" s="43"/>
      <c r="S143" s="43"/>
      <c r="T143" s="43"/>
      <c r="U143" s="43"/>
      <c r="V143" s="43"/>
    </row>
    <row r="144" spans="1:36" s="45" customFormat="1" ht="21" customHeight="1" x14ac:dyDescent="0.15">
      <c r="A144" s="39"/>
      <c r="B144" s="40"/>
      <c r="C144" s="39"/>
      <c r="D144" s="39"/>
      <c r="E144" s="39"/>
      <c r="F144" s="39"/>
      <c r="G144" s="39"/>
      <c r="H144" s="39"/>
      <c r="I144" s="39"/>
      <c r="J144" s="39"/>
      <c r="K144" s="39"/>
      <c r="L144" s="39"/>
      <c r="M144" s="39"/>
      <c r="N144" s="39"/>
      <c r="O144" s="41"/>
      <c r="P144" s="42"/>
      <c r="Q144" s="43"/>
      <c r="R144" s="43"/>
      <c r="S144" s="43"/>
      <c r="T144" s="43"/>
      <c r="U144" s="43"/>
      <c r="V144" s="43"/>
    </row>
    <row r="145" spans="1:22" s="45" customFormat="1" ht="21" customHeight="1" x14ac:dyDescent="0.15">
      <c r="A145" s="39"/>
      <c r="B145" s="40"/>
      <c r="C145" s="39"/>
      <c r="D145" s="39"/>
      <c r="E145" s="39"/>
      <c r="F145" s="39"/>
      <c r="G145" s="39"/>
      <c r="H145" s="39"/>
      <c r="I145" s="39"/>
      <c r="J145" s="39"/>
      <c r="K145" s="39"/>
      <c r="L145" s="39"/>
      <c r="M145" s="39"/>
      <c r="N145" s="39"/>
      <c r="O145" s="41"/>
      <c r="P145" s="42"/>
      <c r="Q145" s="43"/>
      <c r="R145" s="43"/>
      <c r="S145" s="43"/>
      <c r="T145" s="43"/>
      <c r="U145" s="43"/>
      <c r="V145" s="43"/>
    </row>
    <row r="146" spans="1:22" s="45" customFormat="1" ht="21" customHeight="1" x14ac:dyDescent="0.15">
      <c r="A146" s="39"/>
      <c r="B146" s="40"/>
      <c r="C146" s="39"/>
      <c r="D146" s="39"/>
      <c r="E146" s="39"/>
      <c r="F146" s="39"/>
      <c r="G146" s="39"/>
      <c r="H146" s="39"/>
      <c r="I146" s="39"/>
      <c r="J146" s="39"/>
      <c r="K146" s="39"/>
      <c r="L146" s="39"/>
      <c r="M146" s="39"/>
      <c r="N146" s="39"/>
      <c r="O146" s="41"/>
      <c r="P146" s="42"/>
      <c r="Q146" s="43"/>
      <c r="R146" s="43"/>
      <c r="S146" s="43"/>
      <c r="T146" s="43"/>
      <c r="U146" s="43"/>
      <c r="V146" s="43"/>
    </row>
    <row r="147" spans="1:22" s="45" customFormat="1" ht="21" customHeight="1" x14ac:dyDescent="0.15">
      <c r="A147" s="39"/>
      <c r="B147" s="40"/>
      <c r="C147" s="39"/>
      <c r="D147" s="39"/>
      <c r="E147" s="39"/>
      <c r="F147" s="39"/>
      <c r="G147" s="39"/>
      <c r="H147" s="39"/>
      <c r="I147" s="39"/>
      <c r="J147" s="39"/>
      <c r="K147" s="39"/>
      <c r="L147" s="39"/>
      <c r="M147" s="39"/>
      <c r="N147" s="39"/>
      <c r="O147" s="41"/>
      <c r="P147" s="42"/>
      <c r="Q147" s="43"/>
      <c r="R147" s="43"/>
      <c r="S147" s="43"/>
      <c r="T147" s="43"/>
      <c r="U147" s="43"/>
      <c r="V147" s="43"/>
    </row>
    <row r="148" spans="1:22" s="45" customFormat="1" ht="21" customHeight="1" x14ac:dyDescent="0.15">
      <c r="A148" s="39"/>
      <c r="B148" s="40"/>
      <c r="C148" s="39"/>
      <c r="D148" s="39"/>
      <c r="E148" s="39"/>
      <c r="F148" s="39"/>
      <c r="G148" s="39"/>
      <c r="H148" s="39"/>
      <c r="I148" s="39"/>
      <c r="J148" s="39"/>
      <c r="K148" s="39"/>
      <c r="L148" s="39"/>
      <c r="M148" s="39"/>
      <c r="N148" s="39"/>
      <c r="O148" s="41"/>
      <c r="P148" s="42"/>
      <c r="Q148" s="43"/>
      <c r="R148" s="43"/>
      <c r="S148" s="43"/>
      <c r="T148" s="43"/>
      <c r="U148" s="43"/>
      <c r="V148" s="43"/>
    </row>
    <row r="149" spans="1:22" s="45" customFormat="1" ht="21" customHeight="1" x14ac:dyDescent="0.15">
      <c r="A149" s="39"/>
      <c r="B149" s="40"/>
      <c r="C149" s="39"/>
      <c r="D149" s="39"/>
      <c r="E149" s="39"/>
      <c r="F149" s="39"/>
      <c r="G149" s="39"/>
      <c r="H149" s="39"/>
      <c r="I149" s="39"/>
      <c r="J149" s="39"/>
      <c r="K149" s="39"/>
      <c r="L149" s="39"/>
      <c r="M149" s="39"/>
      <c r="N149" s="39"/>
      <c r="O149" s="41"/>
      <c r="P149" s="42"/>
      <c r="Q149" s="43"/>
      <c r="R149" s="43"/>
      <c r="S149" s="43"/>
      <c r="T149" s="43"/>
      <c r="U149" s="43"/>
      <c r="V149" s="43"/>
    </row>
    <row r="150" spans="1:22" s="45" customFormat="1" ht="21" customHeight="1" x14ac:dyDescent="0.15">
      <c r="A150" s="39"/>
      <c r="B150" s="40"/>
      <c r="C150" s="39"/>
      <c r="D150" s="39"/>
      <c r="E150" s="39"/>
      <c r="F150" s="39"/>
      <c r="G150" s="39"/>
      <c r="H150" s="39"/>
      <c r="I150" s="39"/>
      <c r="J150" s="39"/>
      <c r="K150" s="39"/>
      <c r="L150" s="39"/>
      <c r="M150" s="39"/>
      <c r="N150" s="39"/>
      <c r="O150" s="41"/>
      <c r="P150" s="42"/>
      <c r="Q150" s="43"/>
      <c r="R150" s="43"/>
      <c r="S150" s="43"/>
      <c r="T150" s="43"/>
      <c r="U150" s="43"/>
      <c r="V150" s="43"/>
    </row>
    <row r="151" spans="1:22" s="45" customFormat="1" ht="21" customHeight="1" x14ac:dyDescent="0.15">
      <c r="A151" s="39"/>
      <c r="B151" s="40"/>
      <c r="C151" s="39"/>
      <c r="D151" s="39"/>
      <c r="E151" s="39"/>
      <c r="F151" s="39"/>
      <c r="G151" s="39"/>
      <c r="H151" s="39"/>
      <c r="I151" s="39"/>
      <c r="J151" s="39"/>
      <c r="K151" s="39"/>
      <c r="L151" s="39"/>
      <c r="M151" s="39"/>
      <c r="N151" s="39"/>
      <c r="O151" s="41"/>
      <c r="P151" s="42"/>
      <c r="Q151" s="43"/>
      <c r="R151" s="43"/>
      <c r="S151" s="43"/>
      <c r="T151" s="43"/>
      <c r="U151" s="43"/>
      <c r="V151" s="43"/>
    </row>
    <row r="152" spans="1:22" s="45" customFormat="1" ht="21" customHeight="1" x14ac:dyDescent="0.15">
      <c r="A152" s="39"/>
      <c r="B152" s="40"/>
      <c r="C152" s="39"/>
      <c r="D152" s="39"/>
      <c r="E152" s="39"/>
      <c r="F152" s="39"/>
      <c r="G152" s="39"/>
      <c r="H152" s="39"/>
      <c r="I152" s="39"/>
      <c r="J152" s="39"/>
      <c r="K152" s="39"/>
      <c r="L152" s="39"/>
      <c r="M152" s="39"/>
      <c r="N152" s="39"/>
      <c r="O152" s="41"/>
      <c r="P152" s="42"/>
      <c r="Q152" s="43"/>
      <c r="R152" s="43"/>
      <c r="S152" s="43"/>
      <c r="T152" s="43"/>
      <c r="U152" s="43"/>
      <c r="V152" s="43"/>
    </row>
    <row r="153" spans="1:22" s="45" customFormat="1" ht="21" customHeight="1" x14ac:dyDescent="0.15">
      <c r="A153" s="39"/>
      <c r="B153" s="40"/>
      <c r="C153" s="39"/>
      <c r="D153" s="39"/>
      <c r="E153" s="39"/>
      <c r="F153" s="39"/>
      <c r="G153" s="39"/>
      <c r="H153" s="39"/>
      <c r="I153" s="39"/>
      <c r="J153" s="39"/>
      <c r="K153" s="39"/>
      <c r="L153" s="39"/>
      <c r="M153" s="39"/>
      <c r="N153" s="39"/>
      <c r="O153" s="41"/>
      <c r="P153" s="42"/>
      <c r="Q153" s="43"/>
      <c r="R153" s="43"/>
      <c r="S153" s="43"/>
      <c r="T153" s="43"/>
      <c r="U153" s="43"/>
      <c r="V153" s="43"/>
    </row>
    <row r="154" spans="1:22" s="45" customFormat="1" ht="21" customHeight="1" x14ac:dyDescent="0.15">
      <c r="A154" s="39"/>
      <c r="B154" s="40"/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39"/>
      <c r="O154" s="41"/>
      <c r="P154" s="42"/>
      <c r="Q154" s="43"/>
      <c r="R154" s="43"/>
      <c r="S154" s="43"/>
      <c r="T154" s="43"/>
      <c r="U154" s="43"/>
      <c r="V154" s="43"/>
    </row>
    <row r="155" spans="1:22" s="45" customFormat="1" ht="21" customHeight="1" x14ac:dyDescent="0.15">
      <c r="A155" s="39"/>
      <c r="B155" s="40"/>
      <c r="C155" s="39"/>
      <c r="D155" s="39"/>
      <c r="E155" s="39"/>
      <c r="F155" s="39"/>
      <c r="G155" s="39"/>
      <c r="H155" s="39"/>
      <c r="I155" s="39"/>
      <c r="J155" s="39"/>
      <c r="K155" s="39"/>
      <c r="L155" s="39"/>
      <c r="M155" s="39"/>
      <c r="N155" s="39"/>
      <c r="O155" s="41"/>
      <c r="P155" s="42"/>
      <c r="Q155" s="43"/>
      <c r="R155" s="43"/>
      <c r="S155" s="43"/>
      <c r="T155" s="43"/>
      <c r="U155" s="43"/>
      <c r="V155" s="43"/>
    </row>
    <row r="156" spans="1:22" s="45" customFormat="1" ht="21" customHeight="1" x14ac:dyDescent="0.15">
      <c r="A156" s="39"/>
      <c r="B156" s="40"/>
      <c r="C156" s="39"/>
      <c r="D156" s="39"/>
      <c r="E156" s="39"/>
      <c r="F156" s="39"/>
      <c r="G156" s="39"/>
      <c r="H156" s="39"/>
      <c r="I156" s="39"/>
      <c r="J156" s="39"/>
      <c r="K156" s="39"/>
      <c r="L156" s="39"/>
      <c r="M156" s="39"/>
      <c r="N156" s="39"/>
      <c r="O156" s="41"/>
      <c r="P156" s="42"/>
      <c r="Q156" s="43"/>
      <c r="R156" s="43"/>
      <c r="S156" s="43"/>
      <c r="T156" s="43"/>
      <c r="U156" s="43"/>
      <c r="V156" s="43"/>
    </row>
    <row r="157" spans="1:22" s="45" customFormat="1" ht="21" customHeight="1" x14ac:dyDescent="0.15">
      <c r="A157" s="39"/>
      <c r="B157" s="40"/>
      <c r="C157" s="39"/>
      <c r="D157" s="39"/>
      <c r="E157" s="39"/>
      <c r="F157" s="39"/>
      <c r="G157" s="39"/>
      <c r="H157" s="39"/>
      <c r="I157" s="39"/>
      <c r="J157" s="39"/>
      <c r="K157" s="39"/>
      <c r="L157" s="39"/>
      <c r="M157" s="39"/>
      <c r="N157" s="39"/>
      <c r="O157" s="41"/>
      <c r="P157" s="42"/>
      <c r="Q157" s="43"/>
      <c r="R157" s="43"/>
      <c r="S157" s="43"/>
      <c r="T157" s="43"/>
      <c r="U157" s="43"/>
      <c r="V157" s="43"/>
    </row>
    <row r="158" spans="1:22" s="45" customFormat="1" ht="21" customHeight="1" x14ac:dyDescent="0.15">
      <c r="A158" s="39"/>
      <c r="B158" s="40"/>
      <c r="C158" s="39"/>
      <c r="D158" s="39"/>
      <c r="E158" s="39"/>
      <c r="F158" s="39"/>
      <c r="G158" s="39"/>
      <c r="H158" s="39"/>
      <c r="I158" s="39"/>
      <c r="J158" s="39"/>
      <c r="K158" s="39"/>
      <c r="L158" s="39"/>
      <c r="M158" s="39"/>
      <c r="N158" s="39"/>
      <c r="O158" s="41"/>
      <c r="P158" s="42"/>
      <c r="Q158" s="43"/>
      <c r="R158" s="43"/>
      <c r="S158" s="43"/>
      <c r="T158" s="43"/>
      <c r="U158" s="43"/>
      <c r="V158" s="43"/>
    </row>
    <row r="159" spans="1:22" s="45" customFormat="1" ht="21" customHeight="1" x14ac:dyDescent="0.15">
      <c r="A159" s="39"/>
      <c r="B159" s="40"/>
      <c r="C159" s="39"/>
      <c r="D159" s="39"/>
      <c r="E159" s="39"/>
      <c r="F159" s="39"/>
      <c r="G159" s="39"/>
      <c r="H159" s="39"/>
      <c r="I159" s="39"/>
      <c r="J159" s="39"/>
      <c r="K159" s="39"/>
      <c r="L159" s="39"/>
      <c r="M159" s="39"/>
      <c r="N159" s="39"/>
      <c r="O159" s="41"/>
      <c r="P159" s="42"/>
      <c r="Q159" s="43"/>
      <c r="R159" s="43"/>
      <c r="S159" s="43"/>
      <c r="T159" s="43"/>
      <c r="U159" s="43"/>
      <c r="V159" s="43"/>
    </row>
    <row r="160" spans="1:22" s="45" customFormat="1" ht="21" customHeight="1" x14ac:dyDescent="0.15">
      <c r="A160" s="39"/>
      <c r="B160" s="40"/>
      <c r="C160" s="39"/>
      <c r="D160" s="39"/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41"/>
      <c r="P160" s="42"/>
      <c r="Q160" s="43"/>
      <c r="R160" s="43"/>
      <c r="S160" s="43"/>
      <c r="T160" s="43"/>
      <c r="U160" s="43"/>
      <c r="V160" s="43"/>
    </row>
    <row r="161" spans="1:22" s="45" customFormat="1" ht="21" customHeight="1" x14ac:dyDescent="0.15">
      <c r="A161" s="39"/>
      <c r="B161" s="40"/>
      <c r="C161" s="39"/>
      <c r="D161" s="39"/>
      <c r="E161" s="39"/>
      <c r="F161" s="39"/>
      <c r="G161" s="39"/>
      <c r="H161" s="39"/>
      <c r="I161" s="39"/>
      <c r="J161" s="39"/>
      <c r="K161" s="39"/>
      <c r="L161" s="39"/>
      <c r="M161" s="39"/>
      <c r="N161" s="39"/>
      <c r="O161" s="41"/>
      <c r="P161" s="42"/>
      <c r="Q161" s="43"/>
      <c r="R161" s="43"/>
      <c r="S161" s="43"/>
      <c r="T161" s="43"/>
      <c r="U161" s="43"/>
      <c r="V161" s="43"/>
    </row>
    <row r="162" spans="1:22" s="45" customFormat="1" ht="21" customHeight="1" x14ac:dyDescent="0.15">
      <c r="A162" s="39"/>
      <c r="B162" s="40"/>
      <c r="C162" s="39"/>
      <c r="D162" s="39"/>
      <c r="E162" s="39"/>
      <c r="F162" s="39"/>
      <c r="G162" s="39"/>
      <c r="H162" s="39"/>
      <c r="I162" s="39"/>
      <c r="J162" s="39"/>
      <c r="K162" s="39"/>
      <c r="L162" s="39"/>
      <c r="M162" s="39"/>
      <c r="N162" s="39"/>
      <c r="O162" s="41"/>
      <c r="P162" s="42"/>
      <c r="Q162" s="43"/>
      <c r="R162" s="43"/>
      <c r="S162" s="43"/>
      <c r="T162" s="43"/>
      <c r="U162" s="43"/>
      <c r="V162" s="43"/>
    </row>
    <row r="163" spans="1:22" s="45" customFormat="1" ht="21" customHeight="1" x14ac:dyDescent="0.15">
      <c r="A163" s="39"/>
      <c r="B163" s="40"/>
      <c r="C163" s="39"/>
      <c r="D163" s="39"/>
      <c r="E163" s="39"/>
      <c r="F163" s="39"/>
      <c r="G163" s="39"/>
      <c r="H163" s="39"/>
      <c r="I163" s="39"/>
      <c r="J163" s="39"/>
      <c r="K163" s="39"/>
      <c r="L163" s="39"/>
      <c r="M163" s="39"/>
      <c r="N163" s="39"/>
      <c r="O163" s="41"/>
      <c r="P163" s="42"/>
      <c r="Q163" s="43"/>
      <c r="R163" s="43"/>
      <c r="S163" s="43"/>
      <c r="T163" s="43"/>
      <c r="U163" s="43"/>
      <c r="V163" s="43"/>
    </row>
    <row r="164" spans="1:22" s="45" customFormat="1" ht="21" customHeight="1" x14ac:dyDescent="0.15">
      <c r="A164" s="39"/>
      <c r="B164" s="40"/>
      <c r="C164" s="39"/>
      <c r="D164" s="39"/>
      <c r="E164" s="39"/>
      <c r="F164" s="39"/>
      <c r="G164" s="39"/>
      <c r="H164" s="39"/>
      <c r="I164" s="39"/>
      <c r="J164" s="39"/>
      <c r="K164" s="39"/>
      <c r="L164" s="39"/>
      <c r="M164" s="39"/>
      <c r="N164" s="39"/>
      <c r="O164" s="41"/>
      <c r="P164" s="42"/>
      <c r="Q164" s="43"/>
      <c r="R164" s="43"/>
      <c r="S164" s="43"/>
      <c r="T164" s="43"/>
      <c r="U164" s="43"/>
      <c r="V164" s="43"/>
    </row>
    <row r="165" spans="1:22" s="45" customFormat="1" ht="21" customHeight="1" x14ac:dyDescent="0.15">
      <c r="A165" s="39"/>
      <c r="B165" s="40"/>
      <c r="C165" s="39"/>
      <c r="D165" s="39"/>
      <c r="E165" s="39"/>
      <c r="F165" s="39"/>
      <c r="G165" s="39"/>
      <c r="H165" s="39"/>
      <c r="I165" s="39"/>
      <c r="J165" s="39"/>
      <c r="K165" s="39"/>
      <c r="L165" s="39"/>
      <c r="M165" s="39"/>
      <c r="N165" s="39"/>
      <c r="O165" s="41"/>
      <c r="P165" s="42"/>
      <c r="Q165" s="43"/>
      <c r="R165" s="43"/>
      <c r="S165" s="43"/>
      <c r="T165" s="43"/>
      <c r="U165" s="43"/>
      <c r="V165" s="43"/>
    </row>
    <row r="166" spans="1:22" s="45" customFormat="1" ht="21" customHeight="1" x14ac:dyDescent="0.15">
      <c r="A166" s="39"/>
      <c r="B166" s="40"/>
      <c r="C166" s="39"/>
      <c r="D166" s="39"/>
      <c r="E166" s="39"/>
      <c r="F166" s="39"/>
      <c r="G166" s="39"/>
      <c r="H166" s="39"/>
      <c r="I166" s="39"/>
      <c r="J166" s="39"/>
      <c r="K166" s="39"/>
      <c r="L166" s="39"/>
      <c r="M166" s="39"/>
      <c r="N166" s="39"/>
      <c r="O166" s="41"/>
      <c r="P166" s="42"/>
      <c r="Q166" s="43"/>
      <c r="R166" s="43"/>
      <c r="S166" s="43"/>
      <c r="T166" s="43"/>
      <c r="U166" s="43"/>
      <c r="V166" s="43"/>
    </row>
    <row r="167" spans="1:22" s="45" customFormat="1" ht="21" customHeight="1" x14ac:dyDescent="0.15">
      <c r="A167" s="39"/>
      <c r="B167" s="40"/>
      <c r="C167" s="39"/>
      <c r="D167" s="39"/>
      <c r="E167" s="39"/>
      <c r="F167" s="39"/>
      <c r="G167" s="39"/>
      <c r="H167" s="39"/>
      <c r="I167" s="39"/>
      <c r="J167" s="39"/>
      <c r="K167" s="39"/>
      <c r="L167" s="39"/>
      <c r="M167" s="39"/>
      <c r="N167" s="39"/>
      <c r="O167" s="41"/>
      <c r="P167" s="42"/>
      <c r="Q167" s="43"/>
      <c r="R167" s="43"/>
      <c r="S167" s="43"/>
      <c r="T167" s="43"/>
      <c r="U167" s="43"/>
      <c r="V167" s="43"/>
    </row>
    <row r="168" spans="1:22" s="45" customFormat="1" ht="21" customHeight="1" x14ac:dyDescent="0.15">
      <c r="A168" s="39"/>
      <c r="B168" s="40"/>
      <c r="C168" s="39"/>
      <c r="D168" s="39"/>
      <c r="E168" s="39"/>
      <c r="F168" s="39"/>
      <c r="G168" s="39"/>
      <c r="H168" s="39"/>
      <c r="I168" s="39"/>
      <c r="J168" s="39"/>
      <c r="K168" s="39"/>
      <c r="L168" s="39"/>
      <c r="M168" s="39"/>
      <c r="N168" s="39"/>
      <c r="O168" s="41"/>
      <c r="P168" s="42"/>
      <c r="Q168" s="43"/>
      <c r="R168" s="43"/>
      <c r="S168" s="43"/>
      <c r="T168" s="43"/>
      <c r="U168" s="43"/>
      <c r="V168" s="43"/>
    </row>
    <row r="169" spans="1:22" s="45" customFormat="1" ht="21" customHeight="1" x14ac:dyDescent="0.15">
      <c r="A169" s="39"/>
      <c r="B169" s="40"/>
      <c r="C169" s="39"/>
      <c r="D169" s="39"/>
      <c r="E169" s="39"/>
      <c r="F169" s="39"/>
      <c r="G169" s="39"/>
      <c r="H169" s="39"/>
      <c r="I169" s="39"/>
      <c r="J169" s="39"/>
      <c r="K169" s="39"/>
      <c r="L169" s="39"/>
      <c r="M169" s="39"/>
      <c r="N169" s="39"/>
      <c r="O169" s="41"/>
      <c r="P169" s="42"/>
      <c r="Q169" s="43"/>
      <c r="R169" s="43"/>
      <c r="S169" s="43"/>
      <c r="T169" s="43"/>
      <c r="U169" s="43"/>
      <c r="V169" s="43"/>
    </row>
    <row r="170" spans="1:22" s="45" customFormat="1" ht="21" customHeight="1" x14ac:dyDescent="0.15">
      <c r="A170" s="39"/>
      <c r="B170" s="40"/>
      <c r="C170" s="39"/>
      <c r="D170" s="39"/>
      <c r="E170" s="39"/>
      <c r="F170" s="39"/>
      <c r="G170" s="39"/>
      <c r="H170" s="39"/>
      <c r="I170" s="39"/>
      <c r="J170" s="39"/>
      <c r="K170" s="39"/>
      <c r="L170" s="39"/>
      <c r="M170" s="39"/>
      <c r="N170" s="39"/>
      <c r="O170" s="41"/>
      <c r="P170" s="42"/>
      <c r="Q170" s="43"/>
      <c r="R170" s="43"/>
      <c r="S170" s="43"/>
      <c r="T170" s="43"/>
      <c r="U170" s="43"/>
      <c r="V170" s="43"/>
    </row>
    <row r="171" spans="1:22" s="45" customFormat="1" ht="21" customHeight="1" x14ac:dyDescent="0.15">
      <c r="A171" s="39"/>
      <c r="B171" s="40"/>
      <c r="C171" s="39"/>
      <c r="D171" s="39"/>
      <c r="E171" s="39"/>
      <c r="F171" s="39"/>
      <c r="G171" s="39"/>
      <c r="H171" s="39"/>
      <c r="I171" s="39"/>
      <c r="J171" s="39"/>
      <c r="K171" s="39"/>
      <c r="L171" s="39"/>
      <c r="M171" s="39"/>
      <c r="N171" s="39"/>
      <c r="O171" s="41"/>
      <c r="P171" s="42"/>
      <c r="Q171" s="43"/>
      <c r="R171" s="43"/>
      <c r="S171" s="43"/>
      <c r="T171" s="43"/>
      <c r="U171" s="43"/>
      <c r="V171" s="43"/>
    </row>
    <row r="172" spans="1:22" s="45" customFormat="1" ht="21" customHeight="1" x14ac:dyDescent="0.15">
      <c r="A172" s="39"/>
      <c r="B172" s="40"/>
      <c r="C172" s="39"/>
      <c r="D172" s="39"/>
      <c r="E172" s="39"/>
      <c r="F172" s="39"/>
      <c r="G172" s="39"/>
      <c r="H172" s="39"/>
      <c r="I172" s="39"/>
      <c r="J172" s="39"/>
      <c r="K172" s="39"/>
      <c r="L172" s="39"/>
      <c r="M172" s="39"/>
      <c r="N172" s="39"/>
      <c r="O172" s="41"/>
      <c r="P172" s="42"/>
      <c r="Q172" s="43"/>
      <c r="R172" s="43"/>
      <c r="S172" s="43"/>
      <c r="T172" s="43"/>
      <c r="U172" s="43"/>
      <c r="V172" s="43"/>
    </row>
    <row r="173" spans="1:22" s="45" customFormat="1" ht="21" customHeight="1" x14ac:dyDescent="0.15">
      <c r="A173" s="39"/>
      <c r="B173" s="40"/>
      <c r="C173" s="39"/>
      <c r="D173" s="39"/>
      <c r="E173" s="39"/>
      <c r="F173" s="39"/>
      <c r="G173" s="39"/>
      <c r="H173" s="39"/>
      <c r="I173" s="39"/>
      <c r="J173" s="39"/>
      <c r="K173" s="39"/>
      <c r="L173" s="39"/>
      <c r="M173" s="39"/>
      <c r="N173" s="39"/>
      <c r="O173" s="41"/>
      <c r="P173" s="42"/>
      <c r="Q173" s="43"/>
      <c r="R173" s="43"/>
      <c r="S173" s="43"/>
      <c r="T173" s="43"/>
      <c r="U173" s="43"/>
      <c r="V173" s="43"/>
    </row>
    <row r="174" spans="1:22" s="45" customFormat="1" ht="21" customHeight="1" x14ac:dyDescent="0.15">
      <c r="A174" s="39"/>
      <c r="B174" s="40"/>
      <c r="C174" s="39"/>
      <c r="D174" s="39"/>
      <c r="E174" s="39"/>
      <c r="F174" s="39"/>
      <c r="G174" s="39"/>
      <c r="H174" s="39"/>
      <c r="I174" s="39"/>
      <c r="J174" s="39"/>
      <c r="K174" s="39"/>
      <c r="L174" s="39"/>
      <c r="M174" s="39"/>
      <c r="N174" s="39"/>
      <c r="O174" s="41"/>
      <c r="P174" s="42"/>
      <c r="Q174" s="43"/>
      <c r="R174" s="43"/>
      <c r="S174" s="43"/>
      <c r="T174" s="43"/>
      <c r="U174" s="43"/>
      <c r="V174" s="43"/>
    </row>
    <row r="175" spans="1:22" s="45" customFormat="1" ht="21" customHeight="1" x14ac:dyDescent="0.15">
      <c r="A175" s="39"/>
      <c r="B175" s="40"/>
      <c r="C175" s="39"/>
      <c r="D175" s="39"/>
      <c r="E175" s="39"/>
      <c r="F175" s="39"/>
      <c r="G175" s="39"/>
      <c r="H175" s="39"/>
      <c r="I175" s="39"/>
      <c r="J175" s="39"/>
      <c r="K175" s="39"/>
      <c r="L175" s="39"/>
      <c r="M175" s="39"/>
      <c r="N175" s="39"/>
      <c r="O175" s="41"/>
      <c r="P175" s="42"/>
      <c r="Q175" s="43"/>
      <c r="R175" s="43"/>
      <c r="S175" s="43"/>
      <c r="T175" s="43"/>
      <c r="U175" s="43"/>
      <c r="V175" s="43"/>
    </row>
    <row r="176" spans="1:22" ht="21" customHeight="1" x14ac:dyDescent="0.15">
      <c r="A176" s="39"/>
      <c r="B176" s="40"/>
      <c r="C176" s="39"/>
      <c r="D176" s="39"/>
      <c r="E176" s="39"/>
      <c r="F176" s="39"/>
      <c r="G176" s="39"/>
      <c r="H176" s="39"/>
      <c r="I176" s="39"/>
      <c r="J176" s="39"/>
      <c r="K176" s="39"/>
      <c r="L176" s="39"/>
      <c r="M176" s="39"/>
      <c r="N176" s="39"/>
      <c r="O176" s="41"/>
      <c r="P176" s="42"/>
      <c r="Q176" s="43"/>
      <c r="R176" s="43"/>
      <c r="S176" s="43"/>
      <c r="T176" s="43"/>
      <c r="U176" s="43"/>
      <c r="V176" s="43"/>
    </row>
    <row r="177" spans="1:36" ht="21" customHeight="1" x14ac:dyDescent="0.15">
      <c r="A177" s="39"/>
      <c r="B177" s="40"/>
      <c r="C177" s="39"/>
      <c r="D177" s="39"/>
      <c r="E177" s="39"/>
      <c r="F177" s="39"/>
      <c r="G177" s="39"/>
      <c r="H177" s="39"/>
      <c r="I177" s="39"/>
      <c r="J177" s="39"/>
      <c r="K177" s="39"/>
      <c r="L177" s="39"/>
      <c r="M177" s="39"/>
      <c r="N177" s="39"/>
      <c r="O177" s="41"/>
      <c r="P177" s="42"/>
      <c r="Q177" s="43"/>
      <c r="R177" s="43"/>
      <c r="S177" s="43"/>
      <c r="T177" s="43"/>
      <c r="U177" s="43"/>
      <c r="V177" s="43"/>
    </row>
    <row r="178" spans="1:36" ht="21" customHeight="1" x14ac:dyDescent="0.15">
      <c r="A178" s="39"/>
      <c r="B178" s="40"/>
      <c r="C178" s="39"/>
      <c r="D178" s="39"/>
      <c r="E178" s="39"/>
      <c r="F178" s="39"/>
      <c r="G178" s="39"/>
      <c r="H178" s="39"/>
      <c r="I178" s="39"/>
      <c r="J178" s="39"/>
      <c r="K178" s="39"/>
      <c r="L178" s="39"/>
      <c r="M178" s="39"/>
      <c r="N178" s="39"/>
      <c r="O178" s="41"/>
      <c r="P178" s="42"/>
      <c r="Q178" s="43"/>
      <c r="R178" s="43"/>
      <c r="S178" s="43"/>
      <c r="T178" s="43"/>
      <c r="U178" s="43"/>
      <c r="V178" s="43"/>
    </row>
    <row r="179" spans="1:36" ht="21" customHeight="1" x14ac:dyDescent="0.15">
      <c r="A179" s="39"/>
      <c r="B179" s="40"/>
      <c r="C179" s="39"/>
      <c r="D179" s="39"/>
      <c r="E179" s="39"/>
      <c r="F179" s="39"/>
      <c r="G179" s="39"/>
      <c r="H179" s="39"/>
      <c r="I179" s="39"/>
      <c r="J179" s="39"/>
      <c r="K179" s="39"/>
      <c r="L179" s="39"/>
      <c r="M179" s="39"/>
      <c r="N179" s="39"/>
      <c r="O179" s="41"/>
      <c r="P179" s="42"/>
      <c r="Q179" s="43"/>
      <c r="R179" s="43"/>
      <c r="S179" s="43"/>
      <c r="T179" s="43"/>
      <c r="U179" s="43"/>
      <c r="V179" s="43"/>
    </row>
    <row r="180" spans="1:36" ht="21" customHeight="1" x14ac:dyDescent="0.15">
      <c r="A180" s="39"/>
      <c r="B180" s="40"/>
      <c r="C180" s="39"/>
      <c r="D180" s="39"/>
      <c r="E180" s="39"/>
      <c r="F180" s="39"/>
      <c r="G180" s="39"/>
      <c r="H180" s="39"/>
      <c r="I180" s="39"/>
      <c r="J180" s="39"/>
      <c r="K180" s="39"/>
      <c r="L180" s="39"/>
      <c r="M180" s="39"/>
      <c r="N180" s="39"/>
      <c r="O180" s="41"/>
      <c r="P180" s="42"/>
      <c r="Q180" s="43"/>
      <c r="R180" s="43"/>
      <c r="S180" s="43"/>
      <c r="T180" s="43"/>
      <c r="U180" s="43"/>
      <c r="V180" s="43"/>
    </row>
    <row r="181" spans="1:36" ht="21" customHeight="1" x14ac:dyDescent="0.15">
      <c r="A181" s="39"/>
      <c r="B181" s="40"/>
      <c r="C181" s="39"/>
      <c r="D181" s="39"/>
      <c r="E181" s="39"/>
      <c r="F181" s="39"/>
      <c r="G181" s="39"/>
      <c r="H181" s="39"/>
      <c r="I181" s="39"/>
      <c r="J181" s="39"/>
      <c r="K181" s="39"/>
      <c r="L181" s="39"/>
      <c r="M181" s="39"/>
      <c r="N181" s="39"/>
      <c r="O181" s="41"/>
      <c r="P181" s="42"/>
      <c r="Q181" s="43"/>
      <c r="R181" s="43"/>
      <c r="S181" s="43"/>
      <c r="T181" s="43"/>
      <c r="U181" s="43"/>
      <c r="V181" s="43"/>
    </row>
    <row r="182" spans="1:36" ht="21" customHeight="1" x14ac:dyDescent="0.15">
      <c r="A182" s="39"/>
      <c r="B182" s="40"/>
      <c r="C182" s="39"/>
      <c r="D182" s="39"/>
      <c r="E182" s="39"/>
      <c r="F182" s="39"/>
      <c r="G182" s="39"/>
      <c r="H182" s="39"/>
      <c r="I182" s="39"/>
      <c r="J182" s="39"/>
      <c r="K182" s="39"/>
      <c r="L182" s="39"/>
      <c r="M182" s="39"/>
      <c r="N182" s="39"/>
      <c r="O182" s="41"/>
      <c r="P182" s="42"/>
      <c r="Q182" s="43"/>
      <c r="R182" s="43"/>
      <c r="S182" s="43"/>
      <c r="T182" s="43"/>
      <c r="U182" s="43"/>
      <c r="V182" s="43"/>
    </row>
    <row r="183" spans="1:36" ht="21" customHeight="1" x14ac:dyDescent="0.15">
      <c r="A183" s="39"/>
      <c r="B183" s="40"/>
      <c r="C183" s="39"/>
      <c r="D183" s="39"/>
      <c r="E183" s="39"/>
      <c r="F183" s="39"/>
      <c r="G183" s="39"/>
      <c r="H183" s="39"/>
      <c r="I183" s="39"/>
      <c r="J183" s="39"/>
      <c r="K183" s="39"/>
      <c r="L183" s="39"/>
      <c r="M183" s="39"/>
      <c r="N183" s="39"/>
      <c r="O183" s="41"/>
      <c r="P183" s="42"/>
      <c r="Q183" s="43"/>
      <c r="R183" s="43"/>
      <c r="S183" s="43"/>
      <c r="T183" s="43"/>
      <c r="U183" s="43"/>
      <c r="V183" s="43"/>
    </row>
    <row r="184" spans="1:36" ht="21" customHeight="1" x14ac:dyDescent="0.15">
      <c r="A184" s="39"/>
      <c r="B184" s="40"/>
      <c r="C184" s="39"/>
      <c r="D184" s="39"/>
      <c r="E184" s="39"/>
      <c r="F184" s="39"/>
      <c r="G184" s="39"/>
      <c r="H184" s="39"/>
      <c r="I184" s="39"/>
      <c r="J184" s="39"/>
      <c r="K184" s="39"/>
      <c r="L184" s="39"/>
      <c r="M184" s="39"/>
      <c r="N184" s="39"/>
      <c r="O184" s="41"/>
      <c r="P184" s="42"/>
      <c r="Q184" s="43"/>
      <c r="R184" s="43"/>
      <c r="S184" s="43"/>
      <c r="T184" s="43"/>
      <c r="U184" s="43"/>
      <c r="V184" s="43"/>
    </row>
    <row r="185" spans="1:36" ht="21" customHeight="1" x14ac:dyDescent="0.15">
      <c r="A185" s="39"/>
      <c r="B185" s="44"/>
      <c r="C185" s="39"/>
      <c r="D185" s="39"/>
      <c r="E185" s="39"/>
      <c r="F185" s="39"/>
      <c r="G185" s="39"/>
      <c r="H185" s="39"/>
      <c r="I185" s="39"/>
      <c r="J185" s="39"/>
      <c r="K185" s="39"/>
      <c r="L185" s="39"/>
      <c r="M185" s="39"/>
      <c r="N185" s="39"/>
      <c r="O185" s="41"/>
      <c r="P185" s="42"/>
      <c r="Q185" s="43"/>
      <c r="R185" s="43"/>
      <c r="S185" s="43"/>
      <c r="T185" s="43"/>
      <c r="U185" s="43"/>
      <c r="V185" s="43"/>
    </row>
    <row r="186" spans="1:36" ht="21" customHeight="1" x14ac:dyDescent="0.15">
      <c r="A186" s="39"/>
      <c r="B186" s="44"/>
      <c r="C186" s="39"/>
      <c r="D186" s="39"/>
      <c r="E186" s="39"/>
      <c r="F186" s="39"/>
      <c r="G186" s="39"/>
      <c r="H186" s="39"/>
      <c r="I186" s="39"/>
      <c r="J186" s="39"/>
      <c r="K186" s="39"/>
      <c r="L186" s="39"/>
      <c r="M186" s="39"/>
      <c r="N186" s="39"/>
      <c r="O186" s="41"/>
      <c r="P186" s="42"/>
      <c r="Q186" s="43"/>
      <c r="R186" s="43"/>
      <c r="S186" s="43"/>
      <c r="T186" s="43"/>
      <c r="U186" s="43"/>
      <c r="V186" s="43"/>
    </row>
    <row r="187" spans="1:36" ht="21" customHeight="1" x14ac:dyDescent="0.15">
      <c r="A187" s="39"/>
      <c r="B187" s="44"/>
      <c r="C187" s="39"/>
      <c r="D187" s="39"/>
      <c r="E187" s="39"/>
      <c r="F187" s="39"/>
      <c r="G187" s="39"/>
      <c r="H187" s="39"/>
      <c r="I187" s="39"/>
      <c r="J187" s="39"/>
      <c r="K187" s="39"/>
      <c r="L187" s="39"/>
      <c r="M187" s="39"/>
      <c r="N187" s="39"/>
      <c r="O187" s="41"/>
      <c r="P187" s="42"/>
      <c r="Q187" s="43"/>
      <c r="R187" s="43"/>
      <c r="S187" s="43"/>
      <c r="T187" s="43"/>
      <c r="U187" s="43"/>
      <c r="V187" s="43"/>
    </row>
    <row r="188" spans="1:36" ht="21" customHeight="1" x14ac:dyDescent="0.15">
      <c r="A188" s="39"/>
      <c r="B188" s="44"/>
      <c r="C188" s="39"/>
      <c r="D188" s="39"/>
      <c r="E188" s="39"/>
      <c r="F188" s="39"/>
      <c r="G188" s="39"/>
      <c r="H188" s="39"/>
      <c r="I188" s="39"/>
      <c r="J188" s="39"/>
      <c r="K188" s="39"/>
      <c r="L188" s="39"/>
      <c r="M188" s="39"/>
      <c r="N188" s="39"/>
      <c r="O188" s="41"/>
      <c r="P188" s="42"/>
      <c r="Q188" s="43"/>
      <c r="R188" s="43"/>
      <c r="S188" s="43"/>
      <c r="T188" s="43"/>
      <c r="U188" s="43"/>
      <c r="V188" s="43"/>
    </row>
    <row r="189" spans="1:36" s="9" customFormat="1" ht="21" customHeight="1" thickBot="1" x14ac:dyDescent="0.2">
      <c r="A189" s="39"/>
      <c r="B189" s="40"/>
      <c r="C189" s="39"/>
      <c r="D189" s="39"/>
      <c r="E189" s="39"/>
      <c r="F189" s="39"/>
      <c r="G189" s="39"/>
      <c r="H189" s="39"/>
      <c r="I189" s="39"/>
      <c r="J189" s="39"/>
      <c r="K189" s="39"/>
      <c r="L189" s="39"/>
      <c r="M189" s="39"/>
      <c r="N189" s="39"/>
      <c r="O189" s="41"/>
      <c r="P189" s="42"/>
      <c r="Q189" s="43"/>
      <c r="R189" s="43"/>
      <c r="S189" s="43"/>
      <c r="T189" s="43"/>
      <c r="U189" s="43"/>
      <c r="V189" s="43"/>
      <c r="W189" s="45"/>
      <c r="X189" s="45"/>
      <c r="Y189" s="45"/>
      <c r="Z189" s="45"/>
      <c r="AA189" s="45"/>
      <c r="AB189" s="45"/>
      <c r="AC189" s="45"/>
      <c r="AD189" s="45"/>
      <c r="AE189" s="45"/>
      <c r="AF189" s="45"/>
      <c r="AG189" s="45"/>
      <c r="AH189" s="45"/>
      <c r="AI189" s="45"/>
      <c r="AJ189" s="45"/>
    </row>
    <row r="190" spans="1:36" ht="21" customHeight="1" x14ac:dyDescent="0.15">
      <c r="A190" s="39"/>
      <c r="B190" s="40"/>
      <c r="C190" s="39"/>
      <c r="D190" s="39"/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41"/>
      <c r="P190" s="42"/>
      <c r="Q190" s="43"/>
      <c r="R190" s="43"/>
      <c r="S190" s="43"/>
      <c r="T190" s="43"/>
      <c r="U190" s="43"/>
      <c r="V190" s="43"/>
    </row>
    <row r="191" spans="1:36" ht="21" customHeight="1" x14ac:dyDescent="0.15">
      <c r="A191" s="39"/>
      <c r="B191" s="40"/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39"/>
      <c r="O191" s="41"/>
      <c r="P191" s="42"/>
      <c r="Q191" s="43"/>
      <c r="R191" s="43"/>
      <c r="S191" s="43"/>
      <c r="T191" s="43"/>
      <c r="U191" s="43"/>
      <c r="V191" s="43"/>
    </row>
    <row r="192" spans="1:36" s="45" customFormat="1" ht="21" customHeight="1" x14ac:dyDescent="0.15">
      <c r="A192" s="39"/>
      <c r="B192" s="40"/>
      <c r="C192" s="39"/>
      <c r="D192" s="39"/>
      <c r="E192" s="39"/>
      <c r="F192" s="39"/>
      <c r="G192" s="39"/>
      <c r="H192" s="39"/>
      <c r="I192" s="39"/>
      <c r="J192" s="39"/>
      <c r="K192" s="39"/>
      <c r="L192" s="39"/>
      <c r="M192" s="39"/>
      <c r="N192" s="39"/>
      <c r="O192" s="41"/>
      <c r="P192" s="42"/>
      <c r="Q192" s="43"/>
      <c r="R192" s="43"/>
      <c r="S192" s="43"/>
      <c r="T192" s="43"/>
      <c r="U192" s="43"/>
      <c r="V192" s="43"/>
    </row>
    <row r="193" spans="1:22" s="45" customFormat="1" ht="21" customHeight="1" x14ac:dyDescent="0.15">
      <c r="A193" s="39"/>
      <c r="B193" s="40"/>
      <c r="C193" s="39"/>
      <c r="D193" s="39"/>
      <c r="E193" s="39"/>
      <c r="F193" s="39"/>
      <c r="G193" s="39"/>
      <c r="H193" s="39"/>
      <c r="I193" s="39"/>
      <c r="J193" s="39"/>
      <c r="K193" s="39"/>
      <c r="L193" s="39"/>
      <c r="M193" s="39"/>
      <c r="N193" s="39"/>
      <c r="O193" s="41"/>
      <c r="P193" s="42"/>
      <c r="Q193" s="43"/>
      <c r="R193" s="43"/>
      <c r="S193" s="43"/>
      <c r="T193" s="43"/>
      <c r="U193" s="43"/>
      <c r="V193" s="43"/>
    </row>
    <row r="194" spans="1:22" s="45" customFormat="1" ht="21" customHeight="1" x14ac:dyDescent="0.15">
      <c r="A194" s="39"/>
      <c r="B194" s="40"/>
      <c r="C194" s="39"/>
      <c r="D194" s="39"/>
      <c r="E194" s="39"/>
      <c r="F194" s="39"/>
      <c r="G194" s="39"/>
      <c r="H194" s="39"/>
      <c r="I194" s="39"/>
      <c r="J194" s="39"/>
      <c r="K194" s="39"/>
      <c r="L194" s="39"/>
      <c r="M194" s="39"/>
      <c r="N194" s="39"/>
      <c r="O194" s="41"/>
      <c r="P194" s="42"/>
      <c r="Q194" s="43"/>
      <c r="R194" s="43"/>
      <c r="S194" s="43"/>
      <c r="T194" s="43"/>
      <c r="U194" s="43"/>
      <c r="V194" s="43"/>
    </row>
    <row r="195" spans="1:22" s="45" customFormat="1" ht="21" customHeight="1" x14ac:dyDescent="0.15">
      <c r="A195" s="39"/>
      <c r="B195" s="40"/>
      <c r="C195" s="39"/>
      <c r="D195" s="39"/>
      <c r="E195" s="39"/>
      <c r="F195" s="39"/>
      <c r="G195" s="39"/>
      <c r="H195" s="39"/>
      <c r="I195" s="39"/>
      <c r="J195" s="39"/>
      <c r="K195" s="39"/>
      <c r="L195" s="39"/>
      <c r="M195" s="39"/>
      <c r="N195" s="39"/>
      <c r="O195" s="41"/>
      <c r="P195" s="42"/>
      <c r="Q195" s="43"/>
      <c r="R195" s="43"/>
      <c r="S195" s="43"/>
      <c r="T195" s="43"/>
      <c r="U195" s="43"/>
      <c r="V195" s="43"/>
    </row>
    <row r="196" spans="1:22" s="45" customFormat="1" ht="21" customHeight="1" x14ac:dyDescent="0.15">
      <c r="A196" s="39"/>
      <c r="B196" s="40"/>
      <c r="C196" s="39"/>
      <c r="D196" s="39"/>
      <c r="E196" s="39"/>
      <c r="F196" s="39"/>
      <c r="G196" s="39"/>
      <c r="H196" s="39"/>
      <c r="I196" s="39"/>
      <c r="J196" s="39"/>
      <c r="K196" s="39"/>
      <c r="L196" s="39"/>
      <c r="M196" s="39"/>
      <c r="N196" s="39"/>
      <c r="O196" s="41"/>
      <c r="P196" s="42"/>
      <c r="Q196" s="43"/>
      <c r="R196" s="43"/>
      <c r="S196" s="43"/>
      <c r="T196" s="43"/>
      <c r="U196" s="43"/>
      <c r="V196" s="43"/>
    </row>
    <row r="197" spans="1:22" s="45" customFormat="1" ht="21" customHeight="1" x14ac:dyDescent="0.15">
      <c r="A197" s="39"/>
      <c r="B197" s="40"/>
      <c r="C197" s="39"/>
      <c r="D197" s="39"/>
      <c r="E197" s="39"/>
      <c r="F197" s="39"/>
      <c r="G197" s="39"/>
      <c r="H197" s="39"/>
      <c r="I197" s="39"/>
      <c r="J197" s="39"/>
      <c r="K197" s="39"/>
      <c r="L197" s="39"/>
      <c r="M197" s="39"/>
      <c r="N197" s="39"/>
      <c r="O197" s="41"/>
      <c r="P197" s="42"/>
      <c r="Q197" s="43"/>
      <c r="R197" s="43"/>
      <c r="S197" s="43"/>
      <c r="T197" s="43"/>
      <c r="U197" s="43"/>
      <c r="V197" s="43"/>
    </row>
    <row r="198" spans="1:22" s="45" customFormat="1" ht="21" customHeight="1" x14ac:dyDescent="0.15">
      <c r="A198" s="39"/>
      <c r="B198" s="40"/>
      <c r="C198" s="39"/>
      <c r="D198" s="39"/>
      <c r="E198" s="39"/>
      <c r="F198" s="39"/>
      <c r="G198" s="39"/>
      <c r="H198" s="39"/>
      <c r="I198" s="39"/>
      <c r="J198" s="39"/>
      <c r="K198" s="39"/>
      <c r="L198" s="39"/>
      <c r="M198" s="39"/>
      <c r="N198" s="39"/>
      <c r="O198" s="41"/>
      <c r="P198" s="42"/>
      <c r="Q198" s="43"/>
      <c r="R198" s="43"/>
      <c r="S198" s="43"/>
      <c r="T198" s="43"/>
      <c r="U198" s="43"/>
      <c r="V198" s="43"/>
    </row>
    <row r="199" spans="1:22" s="45" customFormat="1" ht="21" customHeight="1" x14ac:dyDescent="0.15">
      <c r="A199" s="39"/>
      <c r="B199" s="40"/>
      <c r="C199" s="39"/>
      <c r="D199" s="39"/>
      <c r="E199" s="39"/>
      <c r="F199" s="39"/>
      <c r="G199" s="39"/>
      <c r="H199" s="39"/>
      <c r="I199" s="39"/>
      <c r="J199" s="39"/>
      <c r="K199" s="39"/>
      <c r="L199" s="39"/>
      <c r="M199" s="39"/>
      <c r="N199" s="39"/>
      <c r="O199" s="41"/>
      <c r="P199" s="42"/>
      <c r="Q199" s="43"/>
      <c r="R199" s="43"/>
      <c r="S199" s="43"/>
      <c r="T199" s="43"/>
      <c r="U199" s="43"/>
      <c r="V199" s="43"/>
    </row>
    <row r="200" spans="1:22" s="45" customFormat="1" ht="21" customHeight="1" x14ac:dyDescent="0.15">
      <c r="A200" s="39"/>
      <c r="B200" s="40"/>
      <c r="C200" s="39"/>
      <c r="D200" s="39"/>
      <c r="E200" s="39"/>
      <c r="F200" s="39"/>
      <c r="G200" s="39"/>
      <c r="H200" s="39"/>
      <c r="I200" s="39"/>
      <c r="J200" s="39"/>
      <c r="K200" s="39"/>
      <c r="L200" s="39"/>
      <c r="M200" s="39"/>
      <c r="N200" s="39"/>
      <c r="O200" s="41"/>
      <c r="P200" s="42"/>
      <c r="Q200" s="43"/>
      <c r="R200" s="43"/>
      <c r="S200" s="43"/>
      <c r="T200" s="43"/>
      <c r="U200" s="43"/>
      <c r="V200" s="43"/>
    </row>
    <row r="201" spans="1:22" s="45" customFormat="1" ht="21" customHeight="1" x14ac:dyDescent="0.15">
      <c r="A201" s="39"/>
      <c r="B201" s="40"/>
      <c r="C201" s="39"/>
      <c r="D201" s="39"/>
      <c r="E201" s="39"/>
      <c r="F201" s="39"/>
      <c r="G201" s="39"/>
      <c r="H201" s="39"/>
      <c r="I201" s="39"/>
      <c r="J201" s="39"/>
      <c r="K201" s="39"/>
      <c r="L201" s="39"/>
      <c r="M201" s="39"/>
      <c r="N201" s="39"/>
      <c r="O201" s="41"/>
      <c r="P201" s="42"/>
      <c r="Q201" s="43"/>
      <c r="R201" s="43"/>
      <c r="S201" s="43"/>
      <c r="T201" s="43"/>
      <c r="U201" s="43"/>
      <c r="V201" s="43"/>
    </row>
    <row r="202" spans="1:22" s="45" customFormat="1" ht="21" customHeight="1" x14ac:dyDescent="0.15">
      <c r="A202" s="39"/>
      <c r="B202" s="40"/>
      <c r="C202" s="39"/>
      <c r="D202" s="39"/>
      <c r="E202" s="39"/>
      <c r="F202" s="39"/>
      <c r="G202" s="39"/>
      <c r="H202" s="39"/>
      <c r="I202" s="39"/>
      <c r="J202" s="39"/>
      <c r="K202" s="39"/>
      <c r="L202" s="39"/>
      <c r="M202" s="39"/>
      <c r="N202" s="39"/>
      <c r="O202" s="41"/>
      <c r="P202" s="42"/>
      <c r="Q202" s="43"/>
      <c r="R202" s="43"/>
      <c r="S202" s="43"/>
      <c r="T202" s="43"/>
      <c r="U202" s="43"/>
      <c r="V202" s="43"/>
    </row>
    <row r="203" spans="1:22" s="45" customFormat="1" ht="21" customHeight="1" x14ac:dyDescent="0.15">
      <c r="A203" s="39"/>
      <c r="B203" s="40"/>
      <c r="C203" s="39"/>
      <c r="D203" s="39"/>
      <c r="E203" s="39"/>
      <c r="F203" s="39"/>
      <c r="G203" s="39"/>
      <c r="H203" s="39"/>
      <c r="I203" s="39"/>
      <c r="J203" s="39"/>
      <c r="K203" s="39"/>
      <c r="L203" s="39"/>
      <c r="M203" s="39"/>
      <c r="N203" s="39"/>
      <c r="O203" s="41"/>
      <c r="P203" s="42"/>
      <c r="Q203" s="43"/>
      <c r="R203" s="43"/>
      <c r="S203" s="43"/>
      <c r="T203" s="43"/>
      <c r="U203" s="43"/>
      <c r="V203" s="43"/>
    </row>
    <row r="204" spans="1:22" s="45" customFormat="1" ht="21" customHeight="1" x14ac:dyDescent="0.15">
      <c r="A204" s="39"/>
      <c r="B204" s="40"/>
      <c r="C204" s="39"/>
      <c r="D204" s="39"/>
      <c r="E204" s="39"/>
      <c r="F204" s="39"/>
      <c r="G204" s="39"/>
      <c r="H204" s="39"/>
      <c r="I204" s="39"/>
      <c r="J204" s="39"/>
      <c r="K204" s="39"/>
      <c r="L204" s="39"/>
      <c r="M204" s="39"/>
      <c r="N204" s="39"/>
      <c r="O204" s="41"/>
      <c r="P204" s="42"/>
      <c r="Q204" s="43"/>
      <c r="R204" s="43"/>
      <c r="S204" s="43"/>
      <c r="T204" s="43"/>
      <c r="U204" s="43"/>
      <c r="V204" s="43"/>
    </row>
    <row r="205" spans="1:22" s="45" customFormat="1" ht="21" customHeight="1" x14ac:dyDescent="0.15">
      <c r="A205" s="39"/>
      <c r="B205" s="40"/>
      <c r="C205" s="39"/>
      <c r="D205" s="39"/>
      <c r="E205" s="39"/>
      <c r="F205" s="39"/>
      <c r="G205" s="39"/>
      <c r="H205" s="39"/>
      <c r="I205" s="39"/>
      <c r="J205" s="39"/>
      <c r="K205" s="39"/>
      <c r="L205" s="39"/>
      <c r="M205" s="39"/>
      <c r="N205" s="39"/>
      <c r="O205" s="41"/>
      <c r="P205" s="42"/>
      <c r="Q205" s="43"/>
      <c r="R205" s="43"/>
      <c r="S205" s="43"/>
      <c r="T205" s="43"/>
      <c r="U205" s="43"/>
      <c r="V205" s="43"/>
    </row>
    <row r="206" spans="1:22" s="45" customFormat="1" ht="21" customHeight="1" x14ac:dyDescent="0.15">
      <c r="A206" s="39"/>
      <c r="B206" s="40"/>
      <c r="C206" s="39"/>
      <c r="D206" s="39"/>
      <c r="E206" s="39"/>
      <c r="F206" s="39"/>
      <c r="G206" s="39"/>
      <c r="H206" s="39"/>
      <c r="I206" s="39"/>
      <c r="J206" s="39"/>
      <c r="K206" s="39"/>
      <c r="L206" s="39"/>
      <c r="M206" s="39"/>
      <c r="N206" s="39"/>
      <c r="O206" s="41"/>
      <c r="P206" s="42"/>
      <c r="Q206" s="43"/>
      <c r="R206" s="43"/>
      <c r="S206" s="43"/>
      <c r="T206" s="43"/>
      <c r="U206" s="43"/>
      <c r="V206" s="43"/>
    </row>
    <row r="207" spans="1:22" s="45" customFormat="1" ht="21" customHeight="1" x14ac:dyDescent="0.15">
      <c r="A207" s="39"/>
      <c r="B207" s="40"/>
      <c r="C207" s="39"/>
      <c r="D207" s="39"/>
      <c r="E207" s="39"/>
      <c r="F207" s="39"/>
      <c r="G207" s="39"/>
      <c r="H207" s="39"/>
      <c r="I207" s="39"/>
      <c r="J207" s="39"/>
      <c r="K207" s="39"/>
      <c r="L207" s="39"/>
      <c r="M207" s="39"/>
      <c r="N207" s="39"/>
      <c r="O207" s="41"/>
      <c r="P207" s="42"/>
      <c r="Q207" s="43"/>
      <c r="R207" s="43"/>
      <c r="S207" s="43"/>
      <c r="T207" s="43"/>
      <c r="U207" s="43"/>
      <c r="V207" s="43"/>
    </row>
    <row r="208" spans="1:22" s="45" customFormat="1" ht="21" customHeight="1" x14ac:dyDescent="0.15">
      <c r="A208" s="39"/>
      <c r="B208" s="40"/>
      <c r="C208" s="39"/>
      <c r="D208" s="39"/>
      <c r="E208" s="39"/>
      <c r="F208" s="39"/>
      <c r="G208" s="39"/>
      <c r="H208" s="39"/>
      <c r="I208" s="39"/>
      <c r="J208" s="39"/>
      <c r="K208" s="39"/>
      <c r="L208" s="39"/>
      <c r="M208" s="39"/>
      <c r="N208" s="39"/>
      <c r="O208" s="41"/>
      <c r="P208" s="42"/>
      <c r="Q208" s="43"/>
      <c r="R208" s="43"/>
      <c r="S208" s="43"/>
      <c r="T208" s="43"/>
      <c r="U208" s="43"/>
      <c r="V208" s="43"/>
    </row>
    <row r="209" spans="1:22" s="45" customFormat="1" ht="21" customHeight="1" x14ac:dyDescent="0.15">
      <c r="A209" s="39"/>
      <c r="B209" s="40"/>
      <c r="C209" s="39"/>
      <c r="D209" s="39"/>
      <c r="E209" s="39"/>
      <c r="F209" s="39"/>
      <c r="G209" s="39"/>
      <c r="H209" s="39"/>
      <c r="I209" s="39"/>
      <c r="J209" s="39"/>
      <c r="K209" s="39"/>
      <c r="L209" s="39"/>
      <c r="M209" s="39"/>
      <c r="N209" s="39"/>
      <c r="O209" s="41"/>
      <c r="P209" s="42"/>
      <c r="Q209" s="43"/>
      <c r="R209" s="43"/>
      <c r="S209" s="43"/>
      <c r="T209" s="43"/>
      <c r="U209" s="43"/>
      <c r="V209" s="43"/>
    </row>
    <row r="210" spans="1:22" s="45" customFormat="1" ht="21" customHeight="1" x14ac:dyDescent="0.15">
      <c r="A210" s="39"/>
      <c r="B210" s="40"/>
      <c r="C210" s="39"/>
      <c r="D210" s="39"/>
      <c r="E210" s="39"/>
      <c r="F210" s="39"/>
      <c r="G210" s="39"/>
      <c r="H210" s="39"/>
      <c r="I210" s="39"/>
      <c r="J210" s="39"/>
      <c r="K210" s="39"/>
      <c r="L210" s="39"/>
      <c r="M210" s="39"/>
      <c r="N210" s="39"/>
      <c r="O210" s="41"/>
      <c r="P210" s="42"/>
      <c r="Q210" s="43"/>
      <c r="R210" s="43"/>
      <c r="S210" s="43"/>
      <c r="T210" s="43"/>
      <c r="U210" s="43"/>
      <c r="V210" s="43"/>
    </row>
    <row r="211" spans="1:22" s="45" customFormat="1" ht="21" customHeight="1" x14ac:dyDescent="0.15">
      <c r="A211" s="39"/>
      <c r="B211" s="40"/>
      <c r="C211" s="39"/>
      <c r="D211" s="39"/>
      <c r="E211" s="39"/>
      <c r="F211" s="39"/>
      <c r="G211" s="39"/>
      <c r="H211" s="39"/>
      <c r="I211" s="39"/>
      <c r="J211" s="39"/>
      <c r="K211" s="39"/>
      <c r="L211" s="39"/>
      <c r="M211" s="39"/>
      <c r="N211" s="39"/>
      <c r="O211" s="41"/>
      <c r="P211" s="42"/>
      <c r="Q211" s="43"/>
      <c r="R211" s="43"/>
      <c r="S211" s="43"/>
      <c r="T211" s="43"/>
      <c r="U211" s="43"/>
      <c r="V211" s="43"/>
    </row>
    <row r="212" spans="1:22" s="45" customFormat="1" ht="21" customHeight="1" x14ac:dyDescent="0.15">
      <c r="A212" s="39"/>
      <c r="B212" s="40"/>
      <c r="C212" s="39"/>
      <c r="D212" s="39"/>
      <c r="E212" s="39"/>
      <c r="F212" s="39"/>
      <c r="G212" s="39"/>
      <c r="H212" s="39"/>
      <c r="I212" s="39"/>
      <c r="J212" s="39"/>
      <c r="K212" s="39"/>
      <c r="L212" s="39"/>
      <c r="M212" s="39"/>
      <c r="N212" s="39"/>
      <c r="O212" s="41"/>
      <c r="P212" s="42"/>
      <c r="Q212" s="43"/>
      <c r="R212" s="43"/>
      <c r="S212" s="43"/>
      <c r="T212" s="43"/>
      <c r="U212" s="43"/>
      <c r="V212" s="43"/>
    </row>
    <row r="213" spans="1:22" s="45" customFormat="1" ht="21" customHeight="1" x14ac:dyDescent="0.15">
      <c r="A213" s="39"/>
      <c r="B213" s="40"/>
      <c r="C213" s="39"/>
      <c r="D213" s="39"/>
      <c r="E213" s="39"/>
      <c r="F213" s="39"/>
      <c r="G213" s="39"/>
      <c r="H213" s="39"/>
      <c r="I213" s="39"/>
      <c r="J213" s="39"/>
      <c r="K213" s="39"/>
      <c r="L213" s="39"/>
      <c r="M213" s="39"/>
      <c r="N213" s="39"/>
      <c r="O213" s="41"/>
      <c r="P213" s="42"/>
      <c r="Q213" s="43"/>
      <c r="R213" s="43"/>
      <c r="S213" s="43"/>
      <c r="T213" s="43"/>
      <c r="U213" s="43"/>
      <c r="V213" s="43"/>
    </row>
    <row r="214" spans="1:22" s="45" customFormat="1" ht="21" customHeight="1" x14ac:dyDescent="0.15">
      <c r="A214" s="39"/>
      <c r="B214" s="40"/>
      <c r="C214" s="39"/>
      <c r="D214" s="39"/>
      <c r="E214" s="39"/>
      <c r="F214" s="39"/>
      <c r="G214" s="39"/>
      <c r="H214" s="39"/>
      <c r="I214" s="39"/>
      <c r="J214" s="39"/>
      <c r="K214" s="39"/>
      <c r="L214" s="39"/>
      <c r="M214" s="39"/>
      <c r="N214" s="39"/>
      <c r="O214" s="41"/>
      <c r="P214" s="42"/>
      <c r="Q214" s="43"/>
      <c r="R214" s="43"/>
      <c r="S214" s="43"/>
      <c r="T214" s="43"/>
      <c r="U214" s="43"/>
      <c r="V214" s="43"/>
    </row>
    <row r="215" spans="1:22" s="45" customFormat="1" ht="21" customHeight="1" x14ac:dyDescent="0.15">
      <c r="A215" s="39"/>
      <c r="B215" s="40"/>
      <c r="C215" s="39"/>
      <c r="D215" s="39"/>
      <c r="E215" s="39"/>
      <c r="F215" s="39"/>
      <c r="G215" s="39"/>
      <c r="H215" s="39"/>
      <c r="I215" s="39"/>
      <c r="J215" s="39"/>
      <c r="K215" s="39"/>
      <c r="L215" s="39"/>
      <c r="M215" s="39"/>
      <c r="N215" s="39"/>
      <c r="O215" s="41"/>
      <c r="P215" s="42"/>
      <c r="Q215" s="43"/>
      <c r="R215" s="43"/>
      <c r="S215" s="43"/>
      <c r="T215" s="43"/>
      <c r="U215" s="43"/>
      <c r="V215" s="43"/>
    </row>
    <row r="216" spans="1:22" s="45" customFormat="1" ht="21" customHeight="1" x14ac:dyDescent="0.15">
      <c r="A216" s="39"/>
      <c r="B216" s="40"/>
      <c r="C216" s="39"/>
      <c r="D216" s="39"/>
      <c r="E216" s="39"/>
      <c r="F216" s="39"/>
      <c r="G216" s="39"/>
      <c r="H216" s="39"/>
      <c r="I216" s="39"/>
      <c r="J216" s="39"/>
      <c r="K216" s="39"/>
      <c r="L216" s="39"/>
      <c r="M216" s="39"/>
      <c r="N216" s="39"/>
      <c r="O216" s="41"/>
      <c r="P216" s="42"/>
      <c r="Q216" s="43"/>
      <c r="R216" s="43"/>
      <c r="S216" s="43"/>
      <c r="T216" s="43"/>
      <c r="U216" s="43"/>
      <c r="V216" s="43"/>
    </row>
    <row r="217" spans="1:22" s="45" customFormat="1" ht="21" customHeight="1" x14ac:dyDescent="0.15">
      <c r="A217" s="39"/>
      <c r="B217" s="40"/>
      <c r="C217" s="39"/>
      <c r="D217" s="39"/>
      <c r="E217" s="39"/>
      <c r="F217" s="39"/>
      <c r="G217" s="39"/>
      <c r="H217" s="39"/>
      <c r="I217" s="39"/>
      <c r="J217" s="39"/>
      <c r="K217" s="39"/>
      <c r="L217" s="39"/>
      <c r="M217" s="39"/>
      <c r="N217" s="39"/>
      <c r="O217" s="41"/>
      <c r="P217" s="42"/>
      <c r="Q217" s="43"/>
      <c r="R217" s="43"/>
      <c r="S217" s="43"/>
      <c r="T217" s="43"/>
      <c r="U217" s="43"/>
      <c r="V217" s="43"/>
    </row>
    <row r="218" spans="1:22" s="45" customFormat="1" ht="21" customHeight="1" x14ac:dyDescent="0.15">
      <c r="A218" s="39"/>
      <c r="B218" s="40"/>
      <c r="C218" s="39"/>
      <c r="D218" s="39"/>
      <c r="E218" s="39"/>
      <c r="F218" s="39"/>
      <c r="G218" s="39"/>
      <c r="H218" s="39"/>
      <c r="I218" s="39"/>
      <c r="J218" s="39"/>
      <c r="K218" s="39"/>
      <c r="L218" s="39"/>
      <c r="M218" s="39"/>
      <c r="N218" s="39"/>
      <c r="O218" s="41"/>
      <c r="P218" s="42"/>
      <c r="Q218" s="43"/>
      <c r="R218" s="43"/>
      <c r="S218" s="43"/>
      <c r="T218" s="43"/>
      <c r="U218" s="43"/>
      <c r="V218" s="43"/>
    </row>
    <row r="219" spans="1:22" s="45" customFormat="1" ht="21" customHeight="1" x14ac:dyDescent="0.15">
      <c r="A219" s="39"/>
      <c r="B219" s="40"/>
      <c r="C219" s="39"/>
      <c r="D219" s="39"/>
      <c r="E219" s="39"/>
      <c r="F219" s="39"/>
      <c r="G219" s="39"/>
      <c r="H219" s="39"/>
      <c r="I219" s="39"/>
      <c r="J219" s="39"/>
      <c r="K219" s="39"/>
      <c r="L219" s="39"/>
      <c r="M219" s="39"/>
      <c r="N219" s="39"/>
      <c r="O219" s="41"/>
      <c r="P219" s="42"/>
      <c r="Q219" s="43"/>
      <c r="R219" s="43"/>
      <c r="S219" s="43"/>
      <c r="T219" s="43"/>
      <c r="U219" s="43"/>
      <c r="V219" s="43"/>
    </row>
    <row r="220" spans="1:22" s="45" customFormat="1" ht="21" customHeight="1" x14ac:dyDescent="0.15">
      <c r="A220" s="39"/>
      <c r="B220" s="40"/>
      <c r="C220" s="39"/>
      <c r="D220" s="39"/>
      <c r="E220" s="39"/>
      <c r="F220" s="39"/>
      <c r="G220" s="39"/>
      <c r="H220" s="39"/>
      <c r="I220" s="39"/>
      <c r="J220" s="39"/>
      <c r="K220" s="39"/>
      <c r="L220" s="39"/>
      <c r="M220" s="39"/>
      <c r="N220" s="39"/>
      <c r="O220" s="41"/>
      <c r="P220" s="42"/>
      <c r="Q220" s="43"/>
      <c r="R220" s="43"/>
      <c r="S220" s="43"/>
      <c r="T220" s="43"/>
      <c r="U220" s="43"/>
      <c r="V220" s="43"/>
    </row>
    <row r="221" spans="1:22" s="45" customFormat="1" ht="21" customHeight="1" x14ac:dyDescent="0.15">
      <c r="A221" s="39"/>
      <c r="B221" s="40"/>
      <c r="C221" s="39"/>
      <c r="D221" s="39"/>
      <c r="E221" s="39"/>
      <c r="F221" s="39"/>
      <c r="G221" s="39"/>
      <c r="H221" s="39"/>
      <c r="I221" s="39"/>
      <c r="J221" s="39"/>
      <c r="K221" s="39"/>
      <c r="L221" s="39"/>
      <c r="M221" s="39"/>
      <c r="N221" s="39"/>
      <c r="O221" s="41"/>
      <c r="P221" s="42"/>
      <c r="Q221" s="43"/>
      <c r="R221" s="43"/>
      <c r="S221" s="43"/>
      <c r="T221" s="43"/>
      <c r="U221" s="43"/>
      <c r="V221" s="43"/>
    </row>
    <row r="222" spans="1:22" s="45" customFormat="1" ht="21" customHeight="1" x14ac:dyDescent="0.15">
      <c r="A222" s="39"/>
      <c r="B222" s="40"/>
      <c r="C222" s="39"/>
      <c r="D222" s="39"/>
      <c r="E222" s="39"/>
      <c r="F222" s="39"/>
      <c r="G222" s="39"/>
      <c r="H222" s="39"/>
      <c r="I222" s="39"/>
      <c r="J222" s="39"/>
      <c r="K222" s="39"/>
      <c r="L222" s="39"/>
      <c r="M222" s="39"/>
      <c r="N222" s="39"/>
      <c r="O222" s="41"/>
      <c r="P222" s="42"/>
      <c r="Q222" s="43"/>
      <c r="R222" s="43"/>
      <c r="S222" s="43"/>
      <c r="T222" s="43"/>
      <c r="U222" s="43"/>
      <c r="V222" s="43"/>
    </row>
    <row r="223" spans="1:22" s="45" customFormat="1" ht="21" customHeight="1" x14ac:dyDescent="0.15">
      <c r="A223" s="39"/>
      <c r="B223" s="40"/>
      <c r="C223" s="39"/>
      <c r="D223" s="39"/>
      <c r="E223" s="39"/>
      <c r="F223" s="39"/>
      <c r="G223" s="39"/>
      <c r="H223" s="39"/>
      <c r="I223" s="39"/>
      <c r="J223" s="39"/>
      <c r="K223" s="39"/>
      <c r="L223" s="39"/>
      <c r="M223" s="39"/>
      <c r="N223" s="39"/>
      <c r="O223" s="41"/>
      <c r="P223" s="42"/>
      <c r="Q223" s="43"/>
      <c r="R223" s="43"/>
      <c r="S223" s="43"/>
      <c r="T223" s="43"/>
      <c r="U223" s="43"/>
      <c r="V223" s="43"/>
    </row>
    <row r="224" spans="1:22" s="45" customFormat="1" ht="21" customHeight="1" x14ac:dyDescent="0.15">
      <c r="A224" s="39"/>
      <c r="B224" s="40"/>
      <c r="C224" s="39"/>
      <c r="D224" s="39"/>
      <c r="E224" s="39"/>
      <c r="F224" s="39"/>
      <c r="G224" s="39"/>
      <c r="H224" s="39"/>
      <c r="I224" s="39"/>
      <c r="J224" s="39"/>
      <c r="K224" s="39"/>
      <c r="L224" s="39"/>
      <c r="M224" s="39"/>
      <c r="N224" s="39"/>
      <c r="O224" s="41"/>
      <c r="P224" s="42"/>
      <c r="Q224" s="43"/>
      <c r="R224" s="43"/>
      <c r="S224" s="43"/>
      <c r="T224" s="43"/>
      <c r="U224" s="43"/>
      <c r="V224" s="43"/>
    </row>
    <row r="225" spans="1:22" s="45" customFormat="1" ht="21" customHeight="1" x14ac:dyDescent="0.15">
      <c r="A225" s="39"/>
      <c r="B225" s="40"/>
      <c r="C225" s="39"/>
      <c r="D225" s="39"/>
      <c r="E225" s="39"/>
      <c r="F225" s="39"/>
      <c r="G225" s="39"/>
      <c r="H225" s="39"/>
      <c r="I225" s="39"/>
      <c r="J225" s="39"/>
      <c r="K225" s="39"/>
      <c r="L225" s="39"/>
      <c r="M225" s="39"/>
      <c r="N225" s="39"/>
      <c r="O225" s="41"/>
      <c r="P225" s="42"/>
      <c r="Q225" s="43"/>
      <c r="R225" s="43"/>
      <c r="S225" s="43"/>
      <c r="T225" s="43"/>
      <c r="U225" s="43"/>
      <c r="V225" s="43"/>
    </row>
    <row r="226" spans="1:22" s="45" customFormat="1" ht="21" customHeight="1" x14ac:dyDescent="0.15">
      <c r="A226" s="39"/>
      <c r="B226" s="40"/>
      <c r="C226" s="39"/>
      <c r="D226" s="39"/>
      <c r="E226" s="39"/>
      <c r="F226" s="39"/>
      <c r="G226" s="39"/>
      <c r="H226" s="39"/>
      <c r="I226" s="39"/>
      <c r="J226" s="39"/>
      <c r="K226" s="39"/>
      <c r="L226" s="39"/>
      <c r="M226" s="39"/>
      <c r="N226" s="39"/>
      <c r="O226" s="41"/>
      <c r="P226" s="42"/>
      <c r="Q226" s="43"/>
      <c r="R226" s="43"/>
      <c r="S226" s="43"/>
      <c r="T226" s="43"/>
      <c r="U226" s="43"/>
      <c r="V226" s="43"/>
    </row>
    <row r="227" spans="1:22" s="45" customFormat="1" ht="21" customHeight="1" x14ac:dyDescent="0.15">
      <c r="A227" s="39"/>
      <c r="B227" s="40"/>
      <c r="C227" s="39"/>
      <c r="D227" s="39"/>
      <c r="E227" s="39"/>
      <c r="F227" s="39"/>
      <c r="G227" s="39"/>
      <c r="H227" s="39"/>
      <c r="I227" s="39"/>
      <c r="J227" s="39"/>
      <c r="K227" s="39"/>
      <c r="L227" s="39"/>
      <c r="M227" s="39"/>
      <c r="N227" s="39"/>
      <c r="O227" s="41"/>
      <c r="P227" s="42"/>
      <c r="Q227" s="43"/>
      <c r="R227" s="43"/>
      <c r="S227" s="43"/>
      <c r="T227" s="43"/>
      <c r="U227" s="43"/>
      <c r="V227" s="43"/>
    </row>
    <row r="228" spans="1:22" s="45" customFormat="1" ht="21" customHeight="1" x14ac:dyDescent="0.15">
      <c r="A228" s="39"/>
      <c r="B228" s="40"/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39"/>
      <c r="O228" s="41"/>
      <c r="P228" s="42"/>
      <c r="Q228" s="43"/>
      <c r="R228" s="43"/>
      <c r="S228" s="43"/>
      <c r="T228" s="43"/>
      <c r="U228" s="43"/>
      <c r="V228" s="43"/>
    </row>
    <row r="229" spans="1:22" s="45" customFormat="1" ht="21" customHeight="1" x14ac:dyDescent="0.15">
      <c r="A229" s="39"/>
      <c r="B229" s="40"/>
      <c r="C229" s="39"/>
      <c r="D229" s="39"/>
      <c r="E229" s="39"/>
      <c r="F229" s="39"/>
      <c r="G229" s="39"/>
      <c r="H229" s="39"/>
      <c r="I229" s="39"/>
      <c r="J229" s="39"/>
      <c r="K229" s="39"/>
      <c r="L229" s="39"/>
      <c r="M229" s="39"/>
      <c r="N229" s="39"/>
      <c r="O229" s="41"/>
      <c r="P229" s="42"/>
      <c r="Q229" s="43"/>
      <c r="R229" s="43"/>
      <c r="S229" s="43"/>
      <c r="T229" s="43"/>
      <c r="U229" s="43"/>
      <c r="V229" s="43"/>
    </row>
    <row r="230" spans="1:22" s="45" customFormat="1" ht="21" customHeight="1" x14ac:dyDescent="0.15">
      <c r="A230" s="39"/>
      <c r="B230" s="40"/>
      <c r="C230" s="39"/>
      <c r="D230" s="39"/>
      <c r="E230" s="39"/>
      <c r="F230" s="39"/>
      <c r="G230" s="39"/>
      <c r="H230" s="39"/>
      <c r="I230" s="39"/>
      <c r="J230" s="39"/>
      <c r="K230" s="39"/>
      <c r="L230" s="39"/>
      <c r="M230" s="39"/>
      <c r="N230" s="39"/>
      <c r="O230" s="41"/>
      <c r="P230" s="42"/>
      <c r="Q230" s="43"/>
      <c r="R230" s="43"/>
      <c r="S230" s="43"/>
      <c r="T230" s="43"/>
      <c r="U230" s="43"/>
      <c r="V230" s="43"/>
    </row>
    <row r="231" spans="1:22" s="45" customFormat="1" ht="21" customHeight="1" x14ac:dyDescent="0.15">
      <c r="A231" s="39"/>
      <c r="B231" s="40"/>
      <c r="C231" s="39"/>
      <c r="D231" s="39"/>
      <c r="E231" s="39"/>
      <c r="F231" s="39"/>
      <c r="G231" s="39"/>
      <c r="H231" s="39"/>
      <c r="I231" s="39"/>
      <c r="J231" s="39"/>
      <c r="K231" s="39"/>
      <c r="L231" s="39"/>
      <c r="M231" s="39"/>
      <c r="N231" s="39"/>
      <c r="O231" s="41"/>
      <c r="P231" s="42"/>
      <c r="Q231" s="43"/>
      <c r="R231" s="43"/>
      <c r="S231" s="43"/>
      <c r="T231" s="43"/>
      <c r="U231" s="43"/>
      <c r="V231" s="43"/>
    </row>
    <row r="232" spans="1:22" s="45" customFormat="1" ht="21" customHeight="1" x14ac:dyDescent="0.15">
      <c r="A232" s="39"/>
      <c r="B232" s="40"/>
      <c r="C232" s="39"/>
      <c r="D232" s="39"/>
      <c r="E232" s="39"/>
      <c r="F232" s="39"/>
      <c r="G232" s="39"/>
      <c r="H232" s="39"/>
      <c r="I232" s="39"/>
      <c r="J232" s="39"/>
      <c r="K232" s="39"/>
      <c r="L232" s="39"/>
      <c r="M232" s="39"/>
      <c r="N232" s="39"/>
      <c r="O232" s="41"/>
      <c r="P232" s="42"/>
      <c r="Q232" s="43"/>
      <c r="R232" s="43"/>
      <c r="S232" s="43"/>
      <c r="T232" s="43"/>
      <c r="U232" s="43"/>
      <c r="V232" s="43"/>
    </row>
    <row r="233" spans="1:22" s="45" customFormat="1" ht="21" customHeight="1" x14ac:dyDescent="0.15">
      <c r="A233" s="39"/>
      <c r="B233" s="40"/>
      <c r="C233" s="39"/>
      <c r="D233" s="39"/>
      <c r="E233" s="39"/>
      <c r="F233" s="39"/>
      <c r="G233" s="39"/>
      <c r="H233" s="39"/>
      <c r="I233" s="39"/>
      <c r="J233" s="39"/>
      <c r="K233" s="39"/>
      <c r="L233" s="39"/>
      <c r="M233" s="39"/>
      <c r="N233" s="39"/>
      <c r="O233" s="41"/>
      <c r="P233" s="42"/>
      <c r="Q233" s="43"/>
      <c r="R233" s="43"/>
      <c r="S233" s="43"/>
      <c r="T233" s="43"/>
      <c r="U233" s="43"/>
      <c r="V233" s="43"/>
    </row>
    <row r="234" spans="1:22" s="45" customFormat="1" ht="21" customHeight="1" x14ac:dyDescent="0.15">
      <c r="A234" s="39"/>
      <c r="B234" s="40"/>
      <c r="C234" s="39"/>
      <c r="D234" s="39"/>
      <c r="E234" s="39"/>
      <c r="F234" s="39"/>
      <c r="G234" s="39"/>
      <c r="H234" s="39"/>
      <c r="I234" s="39"/>
      <c r="J234" s="39"/>
      <c r="K234" s="39"/>
      <c r="L234" s="39"/>
      <c r="M234" s="39"/>
      <c r="N234" s="39"/>
      <c r="O234" s="41"/>
      <c r="P234" s="42"/>
      <c r="Q234" s="43"/>
      <c r="R234" s="43"/>
      <c r="S234" s="43"/>
      <c r="T234" s="43"/>
      <c r="U234" s="43"/>
      <c r="V234" s="43"/>
    </row>
    <row r="235" spans="1:22" s="45" customFormat="1" ht="21" customHeight="1" x14ac:dyDescent="0.15">
      <c r="A235" s="39"/>
      <c r="B235" s="40"/>
      <c r="C235" s="39"/>
      <c r="D235" s="39"/>
      <c r="E235" s="39"/>
      <c r="F235" s="39"/>
      <c r="G235" s="39"/>
      <c r="H235" s="39"/>
      <c r="I235" s="39"/>
      <c r="J235" s="39"/>
      <c r="K235" s="39"/>
      <c r="L235" s="39"/>
      <c r="M235" s="39"/>
      <c r="N235" s="39"/>
      <c r="O235" s="41"/>
      <c r="P235" s="42"/>
      <c r="Q235" s="43"/>
      <c r="R235" s="43"/>
      <c r="S235" s="43"/>
      <c r="T235" s="43"/>
      <c r="U235" s="43"/>
      <c r="V235" s="43"/>
    </row>
    <row r="236" spans="1:22" s="45" customFormat="1" ht="21" customHeight="1" x14ac:dyDescent="0.15">
      <c r="A236" s="39"/>
      <c r="B236" s="40"/>
      <c r="C236" s="39"/>
      <c r="D236" s="39"/>
      <c r="E236" s="39"/>
      <c r="F236" s="39"/>
      <c r="G236" s="39"/>
      <c r="H236" s="39"/>
      <c r="I236" s="39"/>
      <c r="J236" s="39"/>
      <c r="K236" s="39"/>
      <c r="L236" s="39"/>
      <c r="M236" s="39"/>
      <c r="N236" s="39"/>
      <c r="O236" s="41"/>
      <c r="P236" s="42"/>
      <c r="Q236" s="43"/>
      <c r="R236" s="43"/>
      <c r="S236" s="43"/>
      <c r="T236" s="43"/>
      <c r="U236" s="43"/>
      <c r="V236" s="43"/>
    </row>
    <row r="237" spans="1:22" s="45" customFormat="1" ht="21" customHeight="1" x14ac:dyDescent="0.15">
      <c r="A237" s="39"/>
      <c r="B237" s="40"/>
      <c r="C237" s="39"/>
      <c r="D237" s="39"/>
      <c r="E237" s="39"/>
      <c r="F237" s="39"/>
      <c r="G237" s="39"/>
      <c r="H237" s="39"/>
      <c r="I237" s="39"/>
      <c r="J237" s="39"/>
      <c r="K237" s="39"/>
      <c r="L237" s="39"/>
      <c r="M237" s="39"/>
      <c r="N237" s="39"/>
      <c r="O237" s="41"/>
      <c r="P237" s="42"/>
      <c r="Q237" s="43"/>
      <c r="R237" s="43"/>
      <c r="S237" s="43"/>
      <c r="T237" s="43"/>
      <c r="U237" s="43"/>
      <c r="V237" s="43"/>
    </row>
    <row r="238" spans="1:22" s="45" customFormat="1" ht="21" customHeight="1" x14ac:dyDescent="0.15">
      <c r="A238" s="39"/>
      <c r="B238" s="40"/>
      <c r="C238" s="39"/>
      <c r="D238" s="39"/>
      <c r="E238" s="39"/>
      <c r="F238" s="39"/>
      <c r="G238" s="39"/>
      <c r="H238" s="39"/>
      <c r="I238" s="39"/>
      <c r="J238" s="39"/>
      <c r="K238" s="39"/>
      <c r="L238" s="39"/>
      <c r="M238" s="39"/>
      <c r="N238" s="39"/>
      <c r="O238" s="41"/>
      <c r="P238" s="42"/>
      <c r="Q238" s="43"/>
      <c r="R238" s="43"/>
      <c r="S238" s="43"/>
      <c r="T238" s="43"/>
      <c r="U238" s="43"/>
      <c r="V238" s="43"/>
    </row>
    <row r="239" spans="1:22" s="45" customFormat="1" ht="21" customHeight="1" x14ac:dyDescent="0.15">
      <c r="A239" s="39"/>
      <c r="B239" s="40"/>
      <c r="C239" s="39"/>
      <c r="D239" s="39"/>
      <c r="E239" s="39"/>
      <c r="F239" s="39"/>
      <c r="G239" s="39"/>
      <c r="H239" s="39"/>
      <c r="I239" s="39"/>
      <c r="J239" s="39"/>
      <c r="K239" s="39"/>
      <c r="L239" s="39"/>
      <c r="M239" s="39"/>
      <c r="N239" s="39"/>
      <c r="O239" s="41"/>
      <c r="P239" s="42"/>
      <c r="Q239" s="43"/>
      <c r="R239" s="43"/>
      <c r="S239" s="43"/>
      <c r="T239" s="43"/>
      <c r="U239" s="43"/>
      <c r="V239" s="43"/>
    </row>
    <row r="240" spans="1:22" s="45" customFormat="1" ht="21" customHeight="1" x14ac:dyDescent="0.15">
      <c r="A240" s="39"/>
      <c r="B240" s="40"/>
      <c r="C240" s="39"/>
      <c r="D240" s="39"/>
      <c r="E240" s="39"/>
      <c r="F240" s="39"/>
      <c r="G240" s="39"/>
      <c r="H240" s="39"/>
      <c r="I240" s="39"/>
      <c r="J240" s="39"/>
      <c r="K240" s="39"/>
      <c r="L240" s="39"/>
      <c r="M240" s="39"/>
      <c r="N240" s="39"/>
      <c r="O240" s="41"/>
      <c r="P240" s="42"/>
      <c r="Q240" s="43"/>
      <c r="R240" s="43"/>
      <c r="S240" s="43"/>
      <c r="T240" s="43"/>
      <c r="U240" s="43"/>
      <c r="V240" s="43"/>
    </row>
    <row r="241" spans="1:22" s="45" customFormat="1" ht="21" customHeight="1" x14ac:dyDescent="0.15">
      <c r="A241" s="39"/>
      <c r="B241" s="40"/>
      <c r="C241" s="39"/>
      <c r="D241" s="39"/>
      <c r="E241" s="39"/>
      <c r="F241" s="39"/>
      <c r="G241" s="39"/>
      <c r="H241" s="39"/>
      <c r="I241" s="39"/>
      <c r="J241" s="39"/>
      <c r="K241" s="39"/>
      <c r="L241" s="39"/>
      <c r="M241" s="39"/>
      <c r="N241" s="39"/>
      <c r="O241" s="41"/>
      <c r="P241" s="42"/>
      <c r="Q241" s="43"/>
      <c r="R241" s="43"/>
      <c r="S241" s="43"/>
      <c r="T241" s="43"/>
      <c r="U241" s="43"/>
      <c r="V241" s="43"/>
    </row>
    <row r="242" spans="1:22" s="45" customFormat="1" ht="21" customHeight="1" x14ac:dyDescent="0.15">
      <c r="A242" s="39"/>
      <c r="B242" s="40"/>
      <c r="C242" s="39"/>
      <c r="D242" s="39"/>
      <c r="E242" s="39"/>
      <c r="F242" s="39"/>
      <c r="G242" s="39"/>
      <c r="H242" s="39"/>
      <c r="I242" s="39"/>
      <c r="J242" s="39"/>
      <c r="K242" s="39"/>
      <c r="L242" s="39"/>
      <c r="M242" s="39"/>
      <c r="N242" s="39"/>
      <c r="O242" s="41"/>
      <c r="P242" s="42"/>
      <c r="Q242" s="43"/>
      <c r="R242" s="43"/>
      <c r="S242" s="43"/>
      <c r="T242" s="43"/>
      <c r="U242" s="43"/>
      <c r="V242" s="43"/>
    </row>
    <row r="243" spans="1:22" s="45" customFormat="1" ht="21" customHeight="1" x14ac:dyDescent="0.15">
      <c r="A243" s="39"/>
      <c r="B243" s="40"/>
      <c r="C243" s="39"/>
      <c r="D243" s="39"/>
      <c r="E243" s="39"/>
      <c r="F243" s="39"/>
      <c r="G243" s="39"/>
      <c r="H243" s="39"/>
      <c r="I243" s="39"/>
      <c r="J243" s="39"/>
      <c r="K243" s="39"/>
      <c r="L243" s="39"/>
      <c r="M243" s="39"/>
      <c r="N243" s="39"/>
      <c r="O243" s="41"/>
      <c r="P243" s="42"/>
      <c r="Q243" s="43"/>
      <c r="R243" s="43"/>
      <c r="S243" s="43"/>
      <c r="T243" s="43"/>
      <c r="U243" s="43"/>
      <c r="V243" s="43"/>
    </row>
    <row r="244" spans="1:22" s="45" customFormat="1" ht="21" customHeight="1" x14ac:dyDescent="0.15">
      <c r="A244" s="39"/>
      <c r="B244" s="40"/>
      <c r="C244" s="39"/>
      <c r="D244" s="39"/>
      <c r="E244" s="39"/>
      <c r="F244" s="39"/>
      <c r="G244" s="39"/>
      <c r="H244" s="39"/>
      <c r="I244" s="39"/>
      <c r="J244" s="39"/>
      <c r="K244" s="39"/>
      <c r="L244" s="39"/>
      <c r="M244" s="39"/>
      <c r="N244" s="39"/>
      <c r="O244" s="41"/>
      <c r="P244" s="42"/>
      <c r="Q244" s="43"/>
      <c r="R244" s="43"/>
      <c r="S244" s="43"/>
      <c r="T244" s="43"/>
      <c r="U244" s="43"/>
      <c r="V244" s="43"/>
    </row>
    <row r="245" spans="1:22" s="45" customFormat="1" ht="21" customHeight="1" x14ac:dyDescent="0.15">
      <c r="A245" s="39"/>
      <c r="B245" s="40"/>
      <c r="C245" s="39"/>
      <c r="D245" s="39"/>
      <c r="E245" s="39"/>
      <c r="F245" s="39"/>
      <c r="G245" s="39"/>
      <c r="H245" s="39"/>
      <c r="I245" s="39"/>
      <c r="J245" s="39"/>
      <c r="K245" s="39"/>
      <c r="L245" s="39"/>
      <c r="M245" s="39"/>
      <c r="N245" s="39"/>
      <c r="O245" s="41"/>
      <c r="P245" s="42"/>
      <c r="Q245" s="43"/>
      <c r="R245" s="43"/>
      <c r="S245" s="43"/>
      <c r="T245" s="43"/>
      <c r="U245" s="43"/>
      <c r="V245" s="43"/>
    </row>
    <row r="246" spans="1:22" s="45" customFormat="1" ht="21" customHeight="1" x14ac:dyDescent="0.15">
      <c r="A246" s="39"/>
      <c r="B246" s="40"/>
      <c r="C246" s="39"/>
      <c r="D246" s="39"/>
      <c r="E246" s="39"/>
      <c r="F246" s="39"/>
      <c r="G246" s="39"/>
      <c r="H246" s="39"/>
      <c r="I246" s="39"/>
      <c r="J246" s="39"/>
      <c r="K246" s="39"/>
      <c r="L246" s="39"/>
      <c r="M246" s="39"/>
      <c r="N246" s="39"/>
      <c r="O246" s="41"/>
      <c r="P246" s="42"/>
      <c r="Q246" s="43"/>
      <c r="R246" s="43"/>
      <c r="S246" s="43"/>
      <c r="T246" s="43"/>
      <c r="U246" s="43"/>
      <c r="V246" s="43"/>
    </row>
    <row r="247" spans="1:22" s="45" customFormat="1" ht="21" customHeight="1" x14ac:dyDescent="0.15">
      <c r="A247" s="39"/>
      <c r="B247" s="40"/>
      <c r="C247" s="39"/>
      <c r="D247" s="39"/>
      <c r="E247" s="39"/>
      <c r="F247" s="39"/>
      <c r="G247" s="39"/>
      <c r="H247" s="39"/>
      <c r="I247" s="39"/>
      <c r="J247" s="39"/>
      <c r="K247" s="39"/>
      <c r="L247" s="39"/>
      <c r="M247" s="39"/>
      <c r="N247" s="39"/>
      <c r="O247" s="41"/>
      <c r="P247" s="42"/>
      <c r="Q247" s="43"/>
      <c r="R247" s="43"/>
      <c r="S247" s="43"/>
      <c r="T247" s="43"/>
      <c r="U247" s="43"/>
      <c r="V247" s="43"/>
    </row>
    <row r="248" spans="1:22" s="45" customFormat="1" ht="21" customHeight="1" x14ac:dyDescent="0.15">
      <c r="A248" s="39"/>
      <c r="B248" s="40"/>
      <c r="C248" s="39"/>
      <c r="D248" s="39"/>
      <c r="E248" s="39"/>
      <c r="F248" s="39"/>
      <c r="G248" s="39"/>
      <c r="H248" s="39"/>
      <c r="I248" s="39"/>
      <c r="J248" s="39"/>
      <c r="K248" s="39"/>
      <c r="L248" s="39"/>
      <c r="M248" s="39"/>
      <c r="N248" s="39"/>
      <c r="O248" s="41"/>
      <c r="P248" s="42"/>
      <c r="Q248" s="43"/>
      <c r="R248" s="43"/>
      <c r="S248" s="43"/>
      <c r="T248" s="43"/>
      <c r="U248" s="43"/>
      <c r="V248" s="43"/>
    </row>
    <row r="249" spans="1:22" s="45" customFormat="1" ht="21" customHeight="1" x14ac:dyDescent="0.15">
      <c r="A249" s="39"/>
      <c r="B249" s="40"/>
      <c r="C249" s="39"/>
      <c r="D249" s="39"/>
      <c r="E249" s="39"/>
      <c r="F249" s="39"/>
      <c r="G249" s="39"/>
      <c r="H249" s="39"/>
      <c r="I249" s="39"/>
      <c r="J249" s="39"/>
      <c r="K249" s="39"/>
      <c r="L249" s="39"/>
      <c r="M249" s="39"/>
      <c r="N249" s="39"/>
      <c r="O249" s="41"/>
      <c r="P249" s="42"/>
      <c r="Q249" s="43"/>
      <c r="R249" s="43"/>
      <c r="S249" s="43"/>
      <c r="T249" s="43"/>
      <c r="U249" s="43"/>
      <c r="V249" s="43"/>
    </row>
    <row r="250" spans="1:22" s="45" customFormat="1" ht="21" customHeight="1" x14ac:dyDescent="0.15">
      <c r="A250" s="39"/>
      <c r="B250" s="40"/>
      <c r="C250" s="39"/>
      <c r="D250" s="39"/>
      <c r="E250" s="39"/>
      <c r="F250" s="39"/>
      <c r="G250" s="39"/>
      <c r="H250" s="39"/>
      <c r="I250" s="39"/>
      <c r="J250" s="39"/>
      <c r="K250" s="39"/>
      <c r="L250" s="39"/>
      <c r="M250" s="39"/>
      <c r="N250" s="39"/>
      <c r="O250" s="41"/>
      <c r="P250" s="42"/>
      <c r="Q250" s="43"/>
      <c r="R250" s="43"/>
      <c r="S250" s="43"/>
      <c r="T250" s="43"/>
      <c r="U250" s="43"/>
      <c r="V250" s="43"/>
    </row>
    <row r="251" spans="1:22" s="45" customFormat="1" ht="21" customHeight="1" x14ac:dyDescent="0.15">
      <c r="A251" s="39"/>
      <c r="B251" s="40"/>
      <c r="C251" s="39"/>
      <c r="D251" s="39"/>
      <c r="E251" s="39"/>
      <c r="F251" s="39"/>
      <c r="G251" s="39"/>
      <c r="H251" s="39"/>
      <c r="I251" s="39"/>
      <c r="J251" s="39"/>
      <c r="K251" s="39"/>
      <c r="L251" s="39"/>
      <c r="M251" s="39"/>
      <c r="N251" s="39"/>
      <c r="O251" s="41"/>
      <c r="P251" s="42"/>
      <c r="Q251" s="43"/>
      <c r="R251" s="43"/>
      <c r="S251" s="43"/>
      <c r="T251" s="43"/>
      <c r="U251" s="43"/>
      <c r="V251" s="43"/>
    </row>
    <row r="252" spans="1:22" s="45" customFormat="1" ht="21" customHeight="1" x14ac:dyDescent="0.15">
      <c r="A252" s="39"/>
      <c r="B252" s="40"/>
      <c r="C252" s="39"/>
      <c r="D252" s="39"/>
      <c r="E252" s="39"/>
      <c r="F252" s="39"/>
      <c r="G252" s="39"/>
      <c r="H252" s="39"/>
      <c r="I252" s="39"/>
      <c r="J252" s="39"/>
      <c r="K252" s="39"/>
      <c r="L252" s="39"/>
      <c r="M252" s="39"/>
      <c r="N252" s="39"/>
      <c r="O252" s="41"/>
      <c r="P252" s="42"/>
      <c r="Q252" s="43"/>
      <c r="R252" s="43"/>
      <c r="S252" s="43"/>
      <c r="T252" s="43"/>
      <c r="U252" s="43"/>
      <c r="V252" s="43"/>
    </row>
    <row r="253" spans="1:22" s="45" customFormat="1" ht="21" customHeight="1" x14ac:dyDescent="0.15">
      <c r="A253" s="39"/>
      <c r="B253" s="40"/>
      <c r="C253" s="39"/>
      <c r="D253" s="39"/>
      <c r="E253" s="39"/>
      <c r="F253" s="39"/>
      <c r="G253" s="39"/>
      <c r="H253" s="39"/>
      <c r="I253" s="39"/>
      <c r="J253" s="39"/>
      <c r="K253" s="39"/>
      <c r="L253" s="39"/>
      <c r="M253" s="39"/>
      <c r="N253" s="39"/>
      <c r="O253" s="41"/>
      <c r="P253" s="42"/>
      <c r="Q253" s="43"/>
      <c r="R253" s="43"/>
      <c r="S253" s="43"/>
      <c r="T253" s="43"/>
      <c r="U253" s="43"/>
      <c r="V253" s="43"/>
    </row>
    <row r="254" spans="1:22" s="45" customFormat="1" ht="21" customHeight="1" x14ac:dyDescent="0.15">
      <c r="A254" s="39"/>
      <c r="B254" s="40"/>
      <c r="C254" s="39"/>
      <c r="D254" s="39"/>
      <c r="E254" s="39"/>
      <c r="F254" s="39"/>
      <c r="G254" s="39"/>
      <c r="H254" s="39"/>
      <c r="I254" s="39"/>
      <c r="J254" s="39"/>
      <c r="K254" s="39"/>
      <c r="L254" s="39"/>
      <c r="M254" s="39"/>
      <c r="N254" s="39"/>
      <c r="O254" s="41"/>
      <c r="P254" s="42"/>
      <c r="Q254" s="43"/>
      <c r="R254" s="43"/>
      <c r="S254" s="43"/>
      <c r="T254" s="43"/>
      <c r="U254" s="43"/>
      <c r="V254" s="43"/>
    </row>
    <row r="255" spans="1:22" s="45" customFormat="1" ht="21" customHeight="1" x14ac:dyDescent="0.15">
      <c r="A255" s="39"/>
      <c r="B255" s="40"/>
      <c r="C255" s="39"/>
      <c r="D255" s="39"/>
      <c r="E255" s="39"/>
      <c r="F255" s="39"/>
      <c r="G255" s="39"/>
      <c r="H255" s="39"/>
      <c r="I255" s="39"/>
      <c r="J255" s="39"/>
      <c r="K255" s="39"/>
      <c r="L255" s="39"/>
      <c r="M255" s="39"/>
      <c r="N255" s="39"/>
      <c r="O255" s="41"/>
      <c r="P255" s="42"/>
      <c r="Q255" s="43"/>
      <c r="R255" s="43"/>
      <c r="S255" s="43"/>
      <c r="T255" s="43"/>
      <c r="U255" s="43"/>
      <c r="V255" s="43"/>
    </row>
    <row r="256" spans="1:22" s="45" customFormat="1" ht="21" customHeight="1" x14ac:dyDescent="0.15">
      <c r="A256" s="39"/>
      <c r="B256" s="40"/>
      <c r="C256" s="39"/>
      <c r="D256" s="39"/>
      <c r="E256" s="39"/>
      <c r="F256" s="39"/>
      <c r="G256" s="39"/>
      <c r="H256" s="39"/>
      <c r="I256" s="39"/>
      <c r="J256" s="39"/>
      <c r="K256" s="39"/>
      <c r="L256" s="39"/>
      <c r="M256" s="39"/>
      <c r="N256" s="39"/>
      <c r="O256" s="41"/>
      <c r="P256" s="42"/>
      <c r="Q256" s="43"/>
      <c r="R256" s="43"/>
      <c r="S256" s="43"/>
      <c r="T256" s="43"/>
      <c r="U256" s="43"/>
      <c r="V256" s="43"/>
    </row>
    <row r="257" spans="1:22" s="45" customFormat="1" ht="21" customHeight="1" x14ac:dyDescent="0.15">
      <c r="A257" s="39"/>
      <c r="B257" s="40"/>
      <c r="C257" s="39"/>
      <c r="D257" s="39"/>
      <c r="E257" s="39"/>
      <c r="F257" s="39"/>
      <c r="G257" s="39"/>
      <c r="H257" s="39"/>
      <c r="I257" s="39"/>
      <c r="J257" s="39"/>
      <c r="K257" s="39"/>
      <c r="L257" s="39"/>
      <c r="M257" s="39"/>
      <c r="N257" s="39"/>
      <c r="O257" s="41"/>
      <c r="P257" s="42"/>
      <c r="Q257" s="43"/>
      <c r="R257" s="43"/>
      <c r="S257" s="43"/>
      <c r="T257" s="43"/>
      <c r="U257" s="43"/>
      <c r="V257" s="43"/>
    </row>
    <row r="258" spans="1:22" s="45" customFormat="1" ht="21" customHeight="1" x14ac:dyDescent="0.15">
      <c r="A258" s="39"/>
      <c r="B258" s="40"/>
      <c r="C258" s="39"/>
      <c r="D258" s="39"/>
      <c r="E258" s="39"/>
      <c r="F258" s="39"/>
      <c r="G258" s="39"/>
      <c r="H258" s="39"/>
      <c r="I258" s="39"/>
      <c r="J258" s="39"/>
      <c r="K258" s="39"/>
      <c r="L258" s="39"/>
      <c r="M258" s="39"/>
      <c r="N258" s="39"/>
      <c r="O258" s="41"/>
      <c r="P258" s="42"/>
      <c r="Q258" s="43"/>
      <c r="R258" s="43"/>
      <c r="S258" s="43"/>
      <c r="T258" s="43"/>
      <c r="U258" s="43"/>
      <c r="V258" s="43"/>
    </row>
    <row r="259" spans="1:22" s="45" customFormat="1" ht="21" customHeight="1" x14ac:dyDescent="0.15">
      <c r="A259" s="39"/>
      <c r="B259" s="40"/>
      <c r="C259" s="39"/>
      <c r="D259" s="39"/>
      <c r="E259" s="39"/>
      <c r="F259" s="39"/>
      <c r="G259" s="39"/>
      <c r="H259" s="39"/>
      <c r="I259" s="39"/>
      <c r="J259" s="39"/>
      <c r="K259" s="39"/>
      <c r="L259" s="39"/>
      <c r="M259" s="39"/>
      <c r="N259" s="39"/>
      <c r="O259" s="41"/>
      <c r="P259" s="42"/>
      <c r="Q259" s="43"/>
      <c r="R259" s="43"/>
      <c r="S259" s="43"/>
      <c r="T259" s="43"/>
      <c r="U259" s="43"/>
      <c r="V259" s="43"/>
    </row>
    <row r="260" spans="1:22" s="45" customFormat="1" ht="21" customHeight="1" x14ac:dyDescent="0.15">
      <c r="A260" s="39"/>
      <c r="B260" s="40"/>
      <c r="C260" s="39"/>
      <c r="D260" s="39"/>
      <c r="E260" s="39"/>
      <c r="F260" s="39"/>
      <c r="G260" s="39"/>
      <c r="H260" s="39"/>
      <c r="I260" s="39"/>
      <c r="J260" s="39"/>
      <c r="K260" s="39"/>
      <c r="L260" s="39"/>
      <c r="M260" s="39"/>
      <c r="N260" s="39"/>
      <c r="O260" s="41"/>
      <c r="P260" s="42"/>
      <c r="Q260" s="43"/>
      <c r="R260" s="43"/>
      <c r="S260" s="43"/>
      <c r="T260" s="43"/>
      <c r="U260" s="43"/>
      <c r="V260" s="43"/>
    </row>
    <row r="261" spans="1:22" s="45" customFormat="1" ht="21" customHeight="1" x14ac:dyDescent="0.15">
      <c r="A261" s="39"/>
      <c r="B261" s="40"/>
      <c r="C261" s="39"/>
      <c r="D261" s="39"/>
      <c r="E261" s="39"/>
      <c r="F261" s="39"/>
      <c r="G261" s="39"/>
      <c r="H261" s="39"/>
      <c r="I261" s="39"/>
      <c r="J261" s="39"/>
      <c r="K261" s="39"/>
      <c r="L261" s="39"/>
      <c r="M261" s="39"/>
      <c r="N261" s="39"/>
      <c r="O261" s="41"/>
      <c r="P261" s="42"/>
      <c r="Q261" s="43"/>
      <c r="R261" s="43"/>
      <c r="S261" s="43"/>
      <c r="T261" s="43"/>
      <c r="U261" s="43"/>
      <c r="V261" s="43"/>
    </row>
    <row r="262" spans="1:22" s="45" customFormat="1" ht="21" customHeight="1" x14ac:dyDescent="0.15">
      <c r="A262" s="39"/>
      <c r="B262" s="40"/>
      <c r="C262" s="39"/>
      <c r="D262" s="39"/>
      <c r="E262" s="39"/>
      <c r="F262" s="39"/>
      <c r="G262" s="39"/>
      <c r="H262" s="39"/>
      <c r="I262" s="39"/>
      <c r="J262" s="39"/>
      <c r="K262" s="39"/>
      <c r="L262" s="39"/>
      <c r="M262" s="39"/>
      <c r="N262" s="39"/>
      <c r="O262" s="41"/>
      <c r="P262" s="42"/>
      <c r="Q262" s="43"/>
      <c r="R262" s="43"/>
      <c r="S262" s="43"/>
      <c r="T262" s="43"/>
      <c r="U262" s="43"/>
      <c r="V262" s="43"/>
    </row>
    <row r="263" spans="1:22" s="45" customFormat="1" ht="21" customHeight="1" x14ac:dyDescent="0.15">
      <c r="A263" s="39"/>
      <c r="B263" s="40"/>
      <c r="C263" s="39"/>
      <c r="D263" s="39"/>
      <c r="E263" s="39"/>
      <c r="F263" s="39"/>
      <c r="G263" s="39"/>
      <c r="H263" s="39"/>
      <c r="I263" s="39"/>
      <c r="J263" s="39"/>
      <c r="K263" s="39"/>
      <c r="L263" s="39"/>
      <c r="M263" s="39"/>
      <c r="N263" s="39"/>
      <c r="O263" s="41"/>
      <c r="P263" s="42"/>
      <c r="Q263" s="43"/>
      <c r="R263" s="43"/>
      <c r="S263" s="43"/>
      <c r="T263" s="43"/>
      <c r="U263" s="43"/>
      <c r="V263" s="43"/>
    </row>
    <row r="264" spans="1:22" s="45" customFormat="1" ht="21" customHeight="1" x14ac:dyDescent="0.15">
      <c r="A264" s="39"/>
      <c r="B264" s="40"/>
      <c r="C264" s="39"/>
      <c r="D264" s="39"/>
      <c r="E264" s="39"/>
      <c r="F264" s="39"/>
      <c r="G264" s="39"/>
      <c r="H264" s="39"/>
      <c r="I264" s="39"/>
      <c r="J264" s="39"/>
      <c r="K264" s="39"/>
      <c r="L264" s="39"/>
      <c r="M264" s="39"/>
      <c r="N264" s="39"/>
      <c r="O264" s="41"/>
      <c r="P264" s="42"/>
      <c r="Q264" s="43"/>
      <c r="R264" s="43"/>
      <c r="S264" s="43"/>
      <c r="T264" s="43"/>
      <c r="U264" s="43"/>
      <c r="V264" s="43"/>
    </row>
    <row r="265" spans="1:22" s="45" customFormat="1" ht="21" customHeight="1" x14ac:dyDescent="0.15">
      <c r="A265" s="39"/>
      <c r="B265" s="40"/>
      <c r="C265" s="39"/>
      <c r="D265" s="39"/>
      <c r="E265" s="39"/>
      <c r="F265" s="39"/>
      <c r="G265" s="39"/>
      <c r="H265" s="39"/>
      <c r="I265" s="39"/>
      <c r="J265" s="39"/>
      <c r="K265" s="39"/>
      <c r="L265" s="39"/>
      <c r="M265" s="39"/>
      <c r="N265" s="39"/>
      <c r="O265" s="41"/>
      <c r="P265" s="42"/>
      <c r="Q265" s="43"/>
      <c r="R265" s="43"/>
      <c r="S265" s="43"/>
      <c r="T265" s="43"/>
      <c r="U265" s="43"/>
      <c r="V265" s="43"/>
    </row>
    <row r="266" spans="1:22" s="45" customFormat="1" ht="21" customHeight="1" x14ac:dyDescent="0.15">
      <c r="A266" s="39"/>
      <c r="B266" s="40"/>
      <c r="C266" s="39"/>
      <c r="D266" s="39"/>
      <c r="E266" s="39"/>
      <c r="F266" s="39"/>
      <c r="G266" s="39"/>
      <c r="H266" s="39"/>
      <c r="I266" s="39"/>
      <c r="J266" s="39"/>
      <c r="K266" s="39"/>
      <c r="L266" s="39"/>
      <c r="M266" s="39"/>
      <c r="N266" s="39"/>
      <c r="O266" s="41"/>
      <c r="P266" s="42"/>
      <c r="Q266" s="43"/>
      <c r="R266" s="43"/>
      <c r="S266" s="43"/>
      <c r="T266" s="43"/>
      <c r="U266" s="43"/>
      <c r="V266" s="43"/>
    </row>
    <row r="267" spans="1:22" s="45" customFormat="1" ht="21" customHeight="1" x14ac:dyDescent="0.15">
      <c r="A267" s="39"/>
      <c r="B267" s="40"/>
      <c r="C267" s="39"/>
      <c r="D267" s="39"/>
      <c r="E267" s="39"/>
      <c r="F267" s="39"/>
      <c r="G267" s="39"/>
      <c r="H267" s="39"/>
      <c r="I267" s="39"/>
      <c r="J267" s="39"/>
      <c r="K267" s="39"/>
      <c r="L267" s="39"/>
      <c r="M267" s="39"/>
      <c r="N267" s="39"/>
      <c r="O267" s="41"/>
      <c r="P267" s="42"/>
      <c r="Q267" s="43"/>
      <c r="R267" s="43"/>
      <c r="S267" s="43"/>
      <c r="T267" s="43"/>
      <c r="U267" s="43"/>
      <c r="V267" s="43"/>
    </row>
    <row r="268" spans="1:22" s="45" customFormat="1" ht="21" customHeight="1" x14ac:dyDescent="0.15">
      <c r="A268" s="39"/>
      <c r="B268" s="40"/>
      <c r="C268" s="39"/>
      <c r="D268" s="39"/>
      <c r="E268" s="39"/>
      <c r="F268" s="39"/>
      <c r="G268" s="39"/>
      <c r="H268" s="39"/>
      <c r="I268" s="39"/>
      <c r="J268" s="39"/>
      <c r="K268" s="39"/>
      <c r="L268" s="39"/>
      <c r="M268" s="39"/>
      <c r="N268" s="39"/>
      <c r="O268" s="41"/>
      <c r="P268" s="42"/>
      <c r="Q268" s="43"/>
      <c r="R268" s="43"/>
      <c r="S268" s="43"/>
      <c r="T268" s="43"/>
      <c r="U268" s="43"/>
      <c r="V268" s="43"/>
    </row>
    <row r="269" spans="1:22" s="45" customFormat="1" ht="21" customHeight="1" x14ac:dyDescent="0.15">
      <c r="A269" s="39"/>
      <c r="B269" s="40"/>
      <c r="C269" s="39"/>
      <c r="D269" s="39"/>
      <c r="E269" s="39"/>
      <c r="F269" s="39"/>
      <c r="G269" s="39"/>
      <c r="H269" s="39"/>
      <c r="I269" s="39"/>
      <c r="J269" s="39"/>
      <c r="K269" s="39"/>
      <c r="L269" s="39"/>
      <c r="M269" s="39"/>
      <c r="N269" s="39"/>
      <c r="O269" s="41"/>
      <c r="P269" s="42"/>
      <c r="Q269" s="43"/>
      <c r="R269" s="43"/>
      <c r="S269" s="43"/>
      <c r="T269" s="43"/>
      <c r="U269" s="43"/>
      <c r="V269" s="43"/>
    </row>
    <row r="270" spans="1:22" s="45" customFormat="1" ht="21" customHeight="1" x14ac:dyDescent="0.15">
      <c r="A270" s="39"/>
      <c r="B270" s="40"/>
      <c r="C270" s="39"/>
      <c r="D270" s="39"/>
      <c r="E270" s="39"/>
      <c r="F270" s="39"/>
      <c r="G270" s="39"/>
      <c r="H270" s="39"/>
      <c r="I270" s="39"/>
      <c r="J270" s="39"/>
      <c r="K270" s="39"/>
      <c r="L270" s="39"/>
      <c r="M270" s="39"/>
      <c r="N270" s="39"/>
      <c r="O270" s="41"/>
      <c r="P270" s="42"/>
      <c r="Q270" s="43"/>
      <c r="R270" s="43"/>
      <c r="S270" s="43"/>
      <c r="T270" s="43"/>
      <c r="U270" s="43"/>
      <c r="V270" s="43"/>
    </row>
    <row r="271" spans="1:22" s="45" customFormat="1" ht="21" customHeight="1" x14ac:dyDescent="0.15">
      <c r="A271" s="39"/>
      <c r="B271" s="39"/>
      <c r="C271" s="39"/>
      <c r="D271" s="39"/>
      <c r="E271" s="39"/>
      <c r="F271" s="39"/>
      <c r="G271" s="39"/>
      <c r="H271" s="39"/>
      <c r="I271" s="39"/>
      <c r="J271" s="39"/>
      <c r="K271" s="39"/>
      <c r="L271" s="39"/>
      <c r="M271" s="39"/>
      <c r="N271" s="39"/>
      <c r="O271" s="41"/>
      <c r="P271" s="42"/>
      <c r="Q271" s="43"/>
      <c r="R271" s="43"/>
      <c r="S271" s="43"/>
      <c r="T271" s="43"/>
      <c r="U271" s="43"/>
      <c r="V271" s="43"/>
    </row>
    <row r="272" spans="1:22" s="45" customFormat="1" ht="21" customHeight="1" x14ac:dyDescent="0.15">
      <c r="A272" s="39"/>
      <c r="B272" s="39"/>
      <c r="C272" s="39"/>
      <c r="D272" s="39"/>
      <c r="E272" s="39"/>
      <c r="F272" s="39"/>
      <c r="G272" s="39"/>
      <c r="H272" s="39"/>
      <c r="I272" s="39"/>
      <c r="J272" s="39"/>
      <c r="K272" s="39"/>
      <c r="L272" s="39"/>
      <c r="M272" s="39"/>
      <c r="N272" s="39"/>
      <c r="O272" s="41"/>
      <c r="P272" s="42"/>
      <c r="Q272" s="43"/>
      <c r="R272" s="43"/>
      <c r="S272" s="43"/>
      <c r="T272" s="43"/>
      <c r="U272" s="43"/>
      <c r="V272" s="43"/>
    </row>
    <row r="273" spans="1:22" s="45" customFormat="1" ht="21" customHeight="1" x14ac:dyDescent="0.15">
      <c r="A273" s="39"/>
      <c r="B273" s="39"/>
      <c r="C273" s="39"/>
      <c r="D273" s="39"/>
      <c r="E273" s="39"/>
      <c r="F273" s="39"/>
      <c r="G273" s="39"/>
      <c r="H273" s="39"/>
      <c r="I273" s="39"/>
      <c r="J273" s="39"/>
      <c r="K273" s="39"/>
      <c r="L273" s="39"/>
      <c r="M273" s="39"/>
      <c r="N273" s="39"/>
      <c r="O273" s="41"/>
      <c r="P273" s="42"/>
      <c r="Q273" s="43"/>
      <c r="R273" s="43"/>
      <c r="S273" s="43"/>
      <c r="T273" s="43"/>
      <c r="U273" s="43"/>
      <c r="V273" s="43"/>
    </row>
    <row r="274" spans="1:22" s="45" customFormat="1" ht="21" customHeight="1" x14ac:dyDescent="0.15">
      <c r="A274" s="39"/>
      <c r="B274" s="39"/>
      <c r="C274" s="39"/>
      <c r="D274" s="39"/>
      <c r="E274" s="39"/>
      <c r="F274" s="39"/>
      <c r="G274" s="39"/>
      <c r="H274" s="39"/>
      <c r="I274" s="39"/>
      <c r="J274" s="39"/>
      <c r="K274" s="39"/>
      <c r="L274" s="39"/>
      <c r="M274" s="39"/>
      <c r="N274" s="39"/>
      <c r="O274" s="41"/>
      <c r="P274" s="42"/>
      <c r="Q274" s="43"/>
      <c r="R274" s="43"/>
      <c r="S274" s="43"/>
      <c r="T274" s="43"/>
      <c r="U274" s="43"/>
      <c r="V274" s="43"/>
    </row>
    <row r="275" spans="1:22" s="45" customFormat="1" ht="21" customHeight="1" x14ac:dyDescent="0.15">
      <c r="A275" s="39"/>
      <c r="B275" s="39"/>
      <c r="C275" s="39"/>
      <c r="D275" s="39"/>
      <c r="E275" s="39"/>
      <c r="F275" s="39"/>
      <c r="G275" s="39"/>
      <c r="H275" s="39"/>
      <c r="I275" s="39"/>
      <c r="J275" s="39"/>
      <c r="K275" s="39"/>
      <c r="L275" s="39"/>
      <c r="M275" s="39"/>
      <c r="N275" s="39"/>
      <c r="O275" s="41"/>
      <c r="P275" s="42"/>
      <c r="Q275" s="43"/>
      <c r="R275" s="43"/>
      <c r="S275" s="43"/>
      <c r="T275" s="43"/>
      <c r="U275" s="43"/>
      <c r="V275" s="43"/>
    </row>
    <row r="276" spans="1:22" s="45" customFormat="1" ht="21" customHeight="1" x14ac:dyDescent="0.15">
      <c r="A276" s="39"/>
      <c r="B276" s="39"/>
      <c r="C276" s="39"/>
      <c r="D276" s="39"/>
      <c r="E276" s="39"/>
      <c r="F276" s="39"/>
      <c r="G276" s="39"/>
      <c r="H276" s="39"/>
      <c r="I276" s="39"/>
      <c r="J276" s="39"/>
      <c r="K276" s="39"/>
      <c r="L276" s="39"/>
      <c r="M276" s="39"/>
      <c r="N276" s="39"/>
      <c r="O276" s="41"/>
      <c r="P276" s="42"/>
      <c r="Q276" s="43"/>
      <c r="R276" s="43"/>
      <c r="S276" s="43"/>
      <c r="T276" s="43"/>
      <c r="U276" s="43"/>
      <c r="V276" s="43"/>
    </row>
    <row r="277" spans="1:22" s="45" customFormat="1" ht="21" customHeight="1" x14ac:dyDescent="0.15">
      <c r="A277" s="39"/>
      <c r="B277" s="39"/>
      <c r="C277" s="39"/>
      <c r="D277" s="39"/>
      <c r="E277" s="39"/>
      <c r="F277" s="39"/>
      <c r="G277" s="39"/>
      <c r="H277" s="39"/>
      <c r="I277" s="39"/>
      <c r="J277" s="39"/>
      <c r="K277" s="39"/>
      <c r="L277" s="39"/>
      <c r="M277" s="39"/>
      <c r="N277" s="39"/>
      <c r="O277" s="41"/>
      <c r="P277" s="42"/>
      <c r="Q277" s="43"/>
      <c r="R277" s="43"/>
      <c r="S277" s="43"/>
      <c r="T277" s="43"/>
      <c r="U277" s="43"/>
      <c r="V277" s="43"/>
    </row>
    <row r="278" spans="1:22" s="45" customFormat="1" ht="21" customHeight="1" x14ac:dyDescent="0.15">
      <c r="A278" s="39"/>
      <c r="B278" s="39"/>
      <c r="C278" s="39"/>
      <c r="D278" s="39"/>
      <c r="E278" s="39"/>
      <c r="F278" s="39"/>
      <c r="G278" s="39"/>
      <c r="H278" s="39"/>
      <c r="I278" s="39"/>
      <c r="J278" s="39"/>
      <c r="K278" s="39"/>
      <c r="L278" s="39"/>
      <c r="M278" s="39"/>
      <c r="N278" s="39"/>
      <c r="O278" s="41"/>
      <c r="P278" s="42"/>
      <c r="Q278" s="43"/>
      <c r="R278" s="43"/>
      <c r="S278" s="43"/>
      <c r="T278" s="43"/>
      <c r="U278" s="43"/>
      <c r="V278" s="43"/>
    </row>
    <row r="279" spans="1:22" s="45" customFormat="1" ht="21" customHeight="1" x14ac:dyDescent="0.15">
      <c r="A279" s="39"/>
      <c r="B279" s="39"/>
      <c r="C279" s="39"/>
      <c r="D279" s="39"/>
      <c r="E279" s="39"/>
      <c r="F279" s="39"/>
      <c r="G279" s="39"/>
      <c r="H279" s="39"/>
      <c r="I279" s="39"/>
      <c r="J279" s="39"/>
      <c r="K279" s="39"/>
      <c r="L279" s="39"/>
      <c r="M279" s="39"/>
      <c r="N279" s="39"/>
      <c r="O279" s="41"/>
      <c r="P279" s="42"/>
      <c r="Q279" s="43"/>
      <c r="R279" s="43"/>
      <c r="S279" s="43"/>
      <c r="T279" s="43"/>
      <c r="U279" s="43"/>
      <c r="V279" s="43"/>
    </row>
    <row r="280" spans="1:22" s="45" customFormat="1" ht="21" customHeight="1" x14ac:dyDescent="0.15">
      <c r="A280" s="39"/>
      <c r="B280" s="39"/>
      <c r="C280" s="39"/>
      <c r="D280" s="39"/>
      <c r="E280" s="39"/>
      <c r="F280" s="39"/>
      <c r="G280" s="39"/>
      <c r="H280" s="39"/>
      <c r="I280" s="39"/>
      <c r="J280" s="39"/>
      <c r="K280" s="39"/>
      <c r="L280" s="39"/>
      <c r="M280" s="39"/>
      <c r="N280" s="39"/>
      <c r="O280" s="41"/>
      <c r="P280" s="42"/>
      <c r="Q280" s="43"/>
      <c r="R280" s="43"/>
      <c r="S280" s="43"/>
      <c r="T280" s="43"/>
      <c r="U280" s="43"/>
      <c r="V280" s="43"/>
    </row>
    <row r="281" spans="1:22" s="45" customFormat="1" ht="21" customHeight="1" x14ac:dyDescent="0.15">
      <c r="A281" s="39"/>
      <c r="B281" s="39"/>
      <c r="C281" s="39"/>
      <c r="D281" s="39"/>
      <c r="E281" s="39"/>
      <c r="F281" s="39"/>
      <c r="G281" s="39"/>
      <c r="H281" s="39"/>
      <c r="I281" s="39"/>
      <c r="J281" s="39"/>
      <c r="K281" s="39"/>
      <c r="L281" s="39"/>
      <c r="M281" s="39"/>
      <c r="N281" s="39"/>
      <c r="O281" s="41"/>
      <c r="P281" s="42"/>
      <c r="Q281" s="43"/>
      <c r="R281" s="43"/>
      <c r="S281" s="43"/>
      <c r="T281" s="43"/>
      <c r="U281" s="43"/>
      <c r="V281" s="43"/>
    </row>
    <row r="282" spans="1:22" s="45" customFormat="1" ht="21" customHeight="1" x14ac:dyDescent="0.15">
      <c r="A282" s="39"/>
      <c r="B282" s="39"/>
      <c r="C282" s="39"/>
      <c r="D282" s="39"/>
      <c r="E282" s="39"/>
      <c r="F282" s="39"/>
      <c r="G282" s="39"/>
      <c r="H282" s="39"/>
      <c r="I282" s="39"/>
      <c r="J282" s="39"/>
      <c r="K282" s="39"/>
      <c r="L282" s="39"/>
      <c r="M282" s="39"/>
      <c r="N282" s="39"/>
      <c r="O282" s="41"/>
      <c r="P282" s="42"/>
      <c r="Q282" s="43"/>
      <c r="R282" s="43"/>
      <c r="S282" s="43"/>
      <c r="T282" s="43"/>
      <c r="U282" s="43"/>
      <c r="V282" s="43"/>
    </row>
    <row r="283" spans="1:22" s="45" customFormat="1" ht="21" customHeight="1" x14ac:dyDescent="0.15">
      <c r="A283" s="39"/>
      <c r="B283" s="39"/>
      <c r="C283" s="39"/>
      <c r="D283" s="39"/>
      <c r="E283" s="39"/>
      <c r="F283" s="39"/>
      <c r="G283" s="39"/>
      <c r="H283" s="39"/>
      <c r="I283" s="39"/>
      <c r="J283" s="39"/>
      <c r="K283" s="39"/>
      <c r="L283" s="39"/>
      <c r="M283" s="39"/>
      <c r="N283" s="39"/>
      <c r="O283" s="41"/>
      <c r="P283" s="42"/>
      <c r="Q283" s="43"/>
      <c r="R283" s="43"/>
      <c r="S283" s="43"/>
      <c r="T283" s="43"/>
      <c r="U283" s="43"/>
      <c r="V283" s="43"/>
    </row>
    <row r="284" spans="1:22" s="45" customFormat="1" ht="21" customHeight="1" x14ac:dyDescent="0.15">
      <c r="A284" s="39"/>
      <c r="B284" s="39"/>
      <c r="C284" s="39"/>
      <c r="D284" s="39"/>
      <c r="E284" s="39"/>
      <c r="F284" s="39"/>
      <c r="G284" s="39"/>
      <c r="H284" s="39"/>
      <c r="I284" s="39"/>
      <c r="J284" s="39"/>
      <c r="K284" s="39"/>
      <c r="L284" s="39"/>
      <c r="M284" s="39"/>
      <c r="N284" s="39"/>
      <c r="O284" s="41"/>
      <c r="P284" s="42"/>
      <c r="Q284" s="43"/>
      <c r="R284" s="43"/>
      <c r="S284" s="43"/>
      <c r="T284" s="43"/>
      <c r="U284" s="43"/>
      <c r="V284" s="43"/>
    </row>
    <row r="285" spans="1:22" s="45" customFormat="1" ht="21" customHeight="1" x14ac:dyDescent="0.15">
      <c r="A285" s="39"/>
      <c r="B285" s="39"/>
      <c r="C285" s="39"/>
      <c r="D285" s="39"/>
      <c r="E285" s="39"/>
      <c r="F285" s="39"/>
      <c r="G285" s="39"/>
      <c r="H285" s="39"/>
      <c r="I285" s="39"/>
      <c r="J285" s="39"/>
      <c r="K285" s="39"/>
      <c r="L285" s="39"/>
      <c r="M285" s="39"/>
      <c r="N285" s="39"/>
      <c r="O285" s="41"/>
      <c r="P285" s="42"/>
      <c r="Q285" s="43"/>
      <c r="R285" s="43"/>
      <c r="S285" s="43"/>
      <c r="T285" s="43"/>
      <c r="U285" s="43"/>
      <c r="V285" s="43"/>
    </row>
    <row r="286" spans="1:22" s="45" customFormat="1" ht="21" customHeight="1" x14ac:dyDescent="0.15">
      <c r="A286" s="39"/>
      <c r="B286" s="39"/>
      <c r="C286" s="39"/>
      <c r="D286" s="39"/>
      <c r="E286" s="39"/>
      <c r="F286" s="39"/>
      <c r="G286" s="39"/>
      <c r="H286" s="39"/>
      <c r="I286" s="39"/>
      <c r="J286" s="39"/>
      <c r="K286" s="39"/>
      <c r="L286" s="39"/>
      <c r="M286" s="39"/>
      <c r="N286" s="39"/>
      <c r="O286" s="41"/>
      <c r="P286" s="42"/>
      <c r="Q286" s="43"/>
      <c r="R286" s="43"/>
      <c r="S286" s="43"/>
      <c r="T286" s="43"/>
      <c r="U286" s="43"/>
      <c r="V286" s="43"/>
    </row>
    <row r="287" spans="1:22" s="45" customFormat="1" ht="21" customHeight="1" x14ac:dyDescent="0.15">
      <c r="A287" s="39"/>
      <c r="B287" s="39"/>
      <c r="C287" s="39"/>
      <c r="D287" s="39"/>
      <c r="E287" s="39"/>
      <c r="F287" s="39"/>
      <c r="G287" s="39"/>
      <c r="H287" s="39"/>
      <c r="I287" s="39"/>
      <c r="J287" s="39"/>
      <c r="K287" s="39"/>
      <c r="L287" s="39"/>
      <c r="M287" s="39"/>
      <c r="N287" s="39"/>
      <c r="O287" s="41"/>
      <c r="P287" s="42"/>
      <c r="Q287" s="43"/>
      <c r="R287" s="43"/>
      <c r="S287" s="43"/>
      <c r="T287" s="43"/>
      <c r="U287" s="43"/>
      <c r="V287" s="43"/>
    </row>
    <row r="288" spans="1:22" s="45" customFormat="1" ht="21" customHeight="1" x14ac:dyDescent="0.15">
      <c r="A288" s="39"/>
      <c r="B288" s="39"/>
      <c r="C288" s="39"/>
      <c r="D288" s="39"/>
      <c r="E288" s="39"/>
      <c r="F288" s="39"/>
      <c r="G288" s="39"/>
      <c r="H288" s="39"/>
      <c r="I288" s="39"/>
      <c r="J288" s="39"/>
      <c r="K288" s="39"/>
      <c r="L288" s="39"/>
      <c r="M288" s="39"/>
      <c r="N288" s="39"/>
      <c r="O288" s="41"/>
      <c r="P288" s="42"/>
      <c r="Q288" s="43"/>
      <c r="R288" s="43"/>
      <c r="S288" s="43"/>
      <c r="T288" s="43"/>
      <c r="U288" s="43"/>
      <c r="V288" s="43"/>
    </row>
    <row r="289" spans="1:22" s="45" customFormat="1" ht="21" customHeight="1" x14ac:dyDescent="0.15">
      <c r="A289" s="39"/>
      <c r="B289" s="39"/>
      <c r="C289" s="39"/>
      <c r="D289" s="39"/>
      <c r="E289" s="39"/>
      <c r="F289" s="39"/>
      <c r="G289" s="39"/>
      <c r="H289" s="39"/>
      <c r="I289" s="39"/>
      <c r="J289" s="39"/>
      <c r="K289" s="39"/>
      <c r="L289" s="39"/>
      <c r="M289" s="39"/>
      <c r="N289" s="39"/>
      <c r="O289" s="41"/>
      <c r="P289" s="42"/>
      <c r="Q289" s="43"/>
      <c r="R289" s="43"/>
      <c r="S289" s="43"/>
      <c r="T289" s="43"/>
      <c r="U289" s="43"/>
      <c r="V289" s="43"/>
    </row>
    <row r="290" spans="1:22" s="45" customFormat="1" ht="21" customHeight="1" x14ac:dyDescent="0.15">
      <c r="A290" s="39"/>
      <c r="B290" s="39"/>
      <c r="C290" s="39"/>
      <c r="D290" s="39"/>
      <c r="E290" s="39"/>
      <c r="F290" s="39"/>
      <c r="G290" s="39"/>
      <c r="H290" s="39"/>
      <c r="I290" s="39"/>
      <c r="J290" s="39"/>
      <c r="K290" s="39"/>
      <c r="L290" s="39"/>
      <c r="M290" s="39"/>
      <c r="N290" s="39"/>
      <c r="O290" s="41"/>
      <c r="P290" s="42"/>
      <c r="Q290" s="43"/>
      <c r="R290" s="43"/>
      <c r="S290" s="43"/>
      <c r="T290" s="43"/>
      <c r="U290" s="43"/>
      <c r="V290" s="43"/>
    </row>
    <row r="291" spans="1:22" s="45" customFormat="1" ht="21" customHeight="1" x14ac:dyDescent="0.15">
      <c r="A291" s="39"/>
      <c r="B291" s="39"/>
      <c r="C291" s="39"/>
      <c r="D291" s="39"/>
      <c r="E291" s="39"/>
      <c r="F291" s="39"/>
      <c r="G291" s="39"/>
      <c r="H291" s="39"/>
      <c r="I291" s="39"/>
      <c r="J291" s="39"/>
      <c r="K291" s="39"/>
      <c r="L291" s="39"/>
      <c r="M291" s="39"/>
      <c r="N291" s="39"/>
      <c r="O291" s="41"/>
      <c r="P291" s="42"/>
      <c r="Q291" s="43"/>
      <c r="R291" s="43"/>
      <c r="S291" s="43"/>
      <c r="T291" s="43"/>
      <c r="U291" s="43"/>
      <c r="V291" s="43"/>
    </row>
    <row r="292" spans="1:22" s="45" customFormat="1" ht="21" customHeight="1" x14ac:dyDescent="0.15">
      <c r="A292" s="39"/>
      <c r="B292" s="39"/>
      <c r="C292" s="39"/>
      <c r="D292" s="39"/>
      <c r="E292" s="39"/>
      <c r="F292" s="39"/>
      <c r="G292" s="39"/>
      <c r="H292" s="39"/>
      <c r="I292" s="39"/>
      <c r="J292" s="39"/>
      <c r="K292" s="39"/>
      <c r="L292" s="39"/>
      <c r="M292" s="39"/>
      <c r="N292" s="39"/>
      <c r="O292" s="41"/>
      <c r="P292" s="42"/>
      <c r="Q292" s="43"/>
      <c r="R292" s="43"/>
      <c r="S292" s="43"/>
      <c r="T292" s="43"/>
      <c r="U292" s="43"/>
      <c r="V292" s="43"/>
    </row>
    <row r="293" spans="1:22" s="45" customFormat="1" ht="21" customHeight="1" x14ac:dyDescent="0.15">
      <c r="A293" s="39"/>
      <c r="B293" s="39"/>
      <c r="C293" s="39"/>
      <c r="D293" s="39"/>
      <c r="E293" s="39"/>
      <c r="F293" s="39"/>
      <c r="G293" s="39"/>
      <c r="H293" s="39"/>
      <c r="I293" s="39"/>
      <c r="J293" s="39"/>
      <c r="K293" s="39"/>
      <c r="L293" s="39"/>
      <c r="M293" s="39"/>
      <c r="N293" s="39"/>
      <c r="O293" s="41"/>
      <c r="P293" s="42"/>
      <c r="Q293" s="43"/>
      <c r="R293" s="43"/>
      <c r="S293" s="43"/>
      <c r="T293" s="43"/>
      <c r="U293" s="43"/>
      <c r="V293" s="43"/>
    </row>
    <row r="294" spans="1:22" s="45" customFormat="1" ht="21" customHeight="1" x14ac:dyDescent="0.15">
      <c r="A294" s="39"/>
      <c r="B294" s="39"/>
      <c r="C294" s="39"/>
      <c r="D294" s="39"/>
      <c r="E294" s="39"/>
      <c r="F294" s="39"/>
      <c r="G294" s="39"/>
      <c r="H294" s="39"/>
      <c r="I294" s="39"/>
      <c r="J294" s="39"/>
      <c r="K294" s="39"/>
      <c r="L294" s="39"/>
      <c r="M294" s="39"/>
      <c r="N294" s="39"/>
      <c r="O294" s="41"/>
      <c r="P294" s="42"/>
      <c r="Q294" s="43"/>
      <c r="R294" s="43"/>
      <c r="S294" s="43"/>
      <c r="T294" s="43"/>
      <c r="U294" s="43"/>
      <c r="V294" s="43"/>
    </row>
    <row r="295" spans="1:22" s="45" customFormat="1" ht="21" customHeight="1" x14ac:dyDescent="0.15">
      <c r="A295" s="39"/>
      <c r="B295" s="39"/>
      <c r="C295" s="39"/>
      <c r="D295" s="39"/>
      <c r="E295" s="39"/>
      <c r="F295" s="39"/>
      <c r="G295" s="39"/>
      <c r="H295" s="39"/>
      <c r="I295" s="39"/>
      <c r="J295" s="39"/>
      <c r="K295" s="39"/>
      <c r="L295" s="39"/>
      <c r="M295" s="39"/>
      <c r="N295" s="39"/>
      <c r="O295" s="41"/>
      <c r="P295" s="42"/>
      <c r="Q295" s="43"/>
      <c r="R295" s="43"/>
      <c r="S295" s="43"/>
      <c r="T295" s="43"/>
      <c r="U295" s="43"/>
      <c r="V295" s="43"/>
    </row>
    <row r="296" spans="1:22" s="45" customFormat="1" ht="21" customHeight="1" x14ac:dyDescent="0.15">
      <c r="A296" s="39"/>
      <c r="B296" s="39"/>
      <c r="C296" s="39"/>
      <c r="D296" s="39"/>
      <c r="E296" s="39"/>
      <c r="F296" s="39"/>
      <c r="G296" s="39"/>
      <c r="H296" s="39"/>
      <c r="I296" s="39"/>
      <c r="J296" s="39"/>
      <c r="K296" s="39"/>
      <c r="L296" s="39"/>
      <c r="M296" s="39"/>
      <c r="N296" s="39"/>
      <c r="O296" s="41"/>
      <c r="P296" s="42"/>
      <c r="Q296" s="43"/>
      <c r="R296" s="43"/>
      <c r="S296" s="43"/>
      <c r="T296" s="43"/>
      <c r="U296" s="43"/>
      <c r="V296" s="43"/>
    </row>
    <row r="297" spans="1:22" s="45" customFormat="1" ht="21" customHeight="1" x14ac:dyDescent="0.15">
      <c r="A297" s="39"/>
      <c r="B297" s="39"/>
      <c r="C297" s="39"/>
      <c r="D297" s="39"/>
      <c r="E297" s="39"/>
      <c r="F297" s="39"/>
      <c r="G297" s="39"/>
      <c r="H297" s="39"/>
      <c r="I297" s="39"/>
      <c r="J297" s="39"/>
      <c r="K297" s="39"/>
      <c r="L297" s="39"/>
      <c r="M297" s="39"/>
      <c r="N297" s="39"/>
      <c r="O297" s="41"/>
      <c r="P297" s="42"/>
      <c r="Q297" s="43"/>
      <c r="R297" s="43"/>
      <c r="S297" s="43"/>
      <c r="T297" s="43"/>
      <c r="U297" s="43"/>
      <c r="V297" s="43"/>
    </row>
    <row r="298" spans="1:22" s="45" customFormat="1" ht="21" customHeight="1" x14ac:dyDescent="0.15">
      <c r="A298" s="39"/>
      <c r="B298" s="39"/>
      <c r="C298" s="39"/>
      <c r="D298" s="39"/>
      <c r="E298" s="39"/>
      <c r="F298" s="39"/>
      <c r="G298" s="39"/>
      <c r="H298" s="39"/>
      <c r="I298" s="39"/>
      <c r="J298" s="39"/>
      <c r="K298" s="39"/>
      <c r="L298" s="39"/>
      <c r="M298" s="39"/>
      <c r="N298" s="39"/>
      <c r="O298" s="41"/>
      <c r="P298" s="42"/>
      <c r="Q298" s="43"/>
      <c r="R298" s="43"/>
      <c r="S298" s="43"/>
      <c r="T298" s="43"/>
      <c r="U298" s="43"/>
      <c r="V298" s="43"/>
    </row>
    <row r="299" spans="1:22" s="45" customFormat="1" ht="21" customHeight="1" x14ac:dyDescent="0.15">
      <c r="A299" s="39"/>
      <c r="B299" s="39"/>
      <c r="C299" s="39"/>
      <c r="D299" s="39"/>
      <c r="E299" s="39"/>
      <c r="F299" s="39"/>
      <c r="G299" s="39"/>
      <c r="H299" s="39"/>
      <c r="I299" s="39"/>
      <c r="J299" s="39"/>
      <c r="K299" s="39"/>
      <c r="L299" s="39"/>
      <c r="M299" s="39"/>
      <c r="N299" s="39"/>
      <c r="O299" s="41"/>
      <c r="P299" s="42"/>
      <c r="Q299" s="43"/>
      <c r="R299" s="43"/>
      <c r="S299" s="43"/>
      <c r="T299" s="43"/>
      <c r="U299" s="43"/>
      <c r="V299" s="43"/>
    </row>
    <row r="300" spans="1:22" s="45" customFormat="1" ht="21" customHeight="1" x14ac:dyDescent="0.15">
      <c r="A300" s="39"/>
      <c r="B300" s="39"/>
      <c r="C300" s="39"/>
      <c r="D300" s="39"/>
      <c r="E300" s="39"/>
      <c r="F300" s="39"/>
      <c r="G300" s="39"/>
      <c r="H300" s="39"/>
      <c r="I300" s="39"/>
      <c r="J300" s="39"/>
      <c r="K300" s="39"/>
      <c r="L300" s="39"/>
      <c r="M300" s="39"/>
      <c r="N300" s="39"/>
      <c r="O300" s="41"/>
      <c r="P300" s="42"/>
      <c r="Q300" s="43"/>
      <c r="R300" s="43"/>
      <c r="S300" s="43"/>
      <c r="T300" s="43"/>
      <c r="U300" s="43"/>
      <c r="V300" s="43"/>
    </row>
    <row r="301" spans="1:22" s="45" customFormat="1" ht="21" customHeight="1" x14ac:dyDescent="0.15">
      <c r="A301" s="39"/>
      <c r="B301" s="39"/>
      <c r="C301" s="39"/>
      <c r="D301" s="39"/>
      <c r="E301" s="39"/>
      <c r="F301" s="39"/>
      <c r="G301" s="39"/>
      <c r="H301" s="39"/>
      <c r="I301" s="39"/>
      <c r="J301" s="39"/>
      <c r="K301" s="39"/>
      <c r="L301" s="39"/>
      <c r="M301" s="39"/>
      <c r="N301" s="39"/>
      <c r="O301" s="41"/>
      <c r="P301" s="42"/>
      <c r="Q301" s="43"/>
      <c r="R301" s="43"/>
      <c r="S301" s="43"/>
      <c r="T301" s="43"/>
      <c r="U301" s="43"/>
      <c r="V301" s="43"/>
    </row>
    <row r="302" spans="1:22" s="45" customFormat="1" ht="21" customHeight="1" x14ac:dyDescent="0.15">
      <c r="A302" s="39"/>
      <c r="B302" s="39"/>
      <c r="C302" s="39"/>
      <c r="D302" s="39"/>
      <c r="E302" s="39"/>
      <c r="F302" s="39"/>
      <c r="G302" s="39"/>
      <c r="H302" s="39"/>
      <c r="I302" s="39"/>
      <c r="J302" s="39"/>
      <c r="K302" s="39"/>
      <c r="L302" s="39"/>
      <c r="M302" s="39"/>
      <c r="N302" s="39"/>
      <c r="O302" s="41"/>
      <c r="P302" s="42"/>
      <c r="Q302" s="43"/>
      <c r="R302" s="43"/>
      <c r="S302" s="43"/>
      <c r="T302" s="43"/>
      <c r="U302" s="43"/>
      <c r="V302" s="43"/>
    </row>
    <row r="303" spans="1:22" s="45" customFormat="1" ht="21" customHeight="1" x14ac:dyDescent="0.15">
      <c r="A303" s="39"/>
      <c r="B303" s="39"/>
      <c r="C303" s="39"/>
      <c r="D303" s="39"/>
      <c r="E303" s="39"/>
      <c r="F303" s="39"/>
      <c r="G303" s="39"/>
      <c r="H303" s="39"/>
      <c r="I303" s="39"/>
      <c r="J303" s="39"/>
      <c r="K303" s="39"/>
      <c r="L303" s="39"/>
      <c r="M303" s="39"/>
      <c r="N303" s="39"/>
      <c r="O303" s="41"/>
      <c r="P303" s="42"/>
      <c r="Q303" s="43"/>
      <c r="R303" s="43"/>
      <c r="S303" s="43"/>
      <c r="T303" s="43"/>
      <c r="U303" s="43"/>
      <c r="V303" s="43"/>
    </row>
    <row r="304" spans="1:22" s="45" customFormat="1" ht="21" customHeight="1" x14ac:dyDescent="0.15">
      <c r="A304" s="39"/>
      <c r="B304" s="39"/>
      <c r="C304" s="39"/>
      <c r="D304" s="39"/>
      <c r="E304" s="39"/>
      <c r="F304" s="39"/>
      <c r="G304" s="39"/>
      <c r="H304" s="39"/>
      <c r="I304" s="39"/>
      <c r="J304" s="39"/>
      <c r="K304" s="39"/>
      <c r="L304" s="39"/>
      <c r="M304" s="39"/>
      <c r="N304" s="39"/>
      <c r="O304" s="41"/>
      <c r="P304" s="42"/>
      <c r="Q304" s="43"/>
      <c r="R304" s="43"/>
      <c r="S304" s="43"/>
      <c r="T304" s="43"/>
      <c r="U304" s="43"/>
      <c r="V304" s="43"/>
    </row>
    <row r="305" spans="1:22" s="45" customFormat="1" ht="21" customHeight="1" x14ac:dyDescent="0.15">
      <c r="A305" s="39"/>
      <c r="B305" s="39"/>
      <c r="C305" s="39"/>
      <c r="D305" s="39"/>
      <c r="E305" s="39"/>
      <c r="F305" s="39"/>
      <c r="G305" s="39"/>
      <c r="H305" s="39"/>
      <c r="I305" s="39"/>
      <c r="J305" s="39"/>
      <c r="K305" s="39"/>
      <c r="L305" s="39"/>
      <c r="M305" s="39"/>
      <c r="N305" s="39"/>
      <c r="O305" s="41"/>
      <c r="P305" s="42"/>
      <c r="Q305" s="43"/>
      <c r="R305" s="43"/>
      <c r="S305" s="43"/>
      <c r="T305" s="43"/>
      <c r="U305" s="43"/>
      <c r="V305" s="43"/>
    </row>
    <row r="306" spans="1:22" s="45" customFormat="1" ht="21" customHeight="1" x14ac:dyDescent="0.15">
      <c r="A306" s="39"/>
      <c r="B306" s="39"/>
      <c r="C306" s="39"/>
      <c r="D306" s="39"/>
      <c r="E306" s="39"/>
      <c r="F306" s="39"/>
      <c r="G306" s="39"/>
      <c r="H306" s="39"/>
      <c r="I306" s="39"/>
      <c r="J306" s="39"/>
      <c r="K306" s="39"/>
      <c r="L306" s="39"/>
      <c r="M306" s="39"/>
      <c r="N306" s="39"/>
      <c r="O306" s="41"/>
      <c r="P306" s="42"/>
      <c r="Q306" s="43"/>
      <c r="R306" s="43"/>
      <c r="S306" s="43"/>
      <c r="T306" s="43"/>
      <c r="U306" s="43"/>
      <c r="V306" s="43"/>
    </row>
    <row r="307" spans="1:22" s="45" customFormat="1" ht="21" customHeight="1" x14ac:dyDescent="0.15">
      <c r="A307" s="39"/>
      <c r="B307" s="39"/>
      <c r="C307" s="39"/>
      <c r="D307" s="39"/>
      <c r="E307" s="39"/>
      <c r="F307" s="39"/>
      <c r="G307" s="39"/>
      <c r="H307" s="39"/>
      <c r="I307" s="39"/>
      <c r="J307" s="39"/>
      <c r="K307" s="39"/>
      <c r="L307" s="39"/>
      <c r="M307" s="39"/>
      <c r="N307" s="39"/>
      <c r="O307" s="41"/>
      <c r="P307" s="42"/>
      <c r="Q307" s="43"/>
      <c r="R307" s="43"/>
      <c r="S307" s="43"/>
      <c r="T307" s="43"/>
      <c r="U307" s="43"/>
      <c r="V307" s="43"/>
    </row>
    <row r="308" spans="1:22" s="45" customFormat="1" ht="21" customHeight="1" x14ac:dyDescent="0.15">
      <c r="A308" s="39"/>
      <c r="B308" s="39"/>
      <c r="C308" s="39"/>
      <c r="D308" s="39"/>
      <c r="E308" s="39"/>
      <c r="F308" s="39"/>
      <c r="G308" s="39"/>
      <c r="H308" s="39"/>
      <c r="I308" s="39"/>
      <c r="J308" s="39"/>
      <c r="K308" s="39"/>
      <c r="L308" s="39"/>
      <c r="M308" s="39"/>
      <c r="N308" s="39"/>
      <c r="O308" s="41"/>
      <c r="P308" s="42"/>
      <c r="Q308" s="43"/>
      <c r="R308" s="43"/>
      <c r="S308" s="43"/>
      <c r="T308" s="43"/>
      <c r="U308" s="43"/>
      <c r="V308" s="43"/>
    </row>
    <row r="309" spans="1:22" s="45" customFormat="1" ht="21" customHeight="1" x14ac:dyDescent="0.15">
      <c r="A309" s="39"/>
      <c r="B309" s="39"/>
      <c r="C309" s="39"/>
      <c r="D309" s="39"/>
      <c r="E309" s="39"/>
      <c r="F309" s="39"/>
      <c r="G309" s="39"/>
      <c r="H309" s="39"/>
      <c r="I309" s="39"/>
      <c r="J309" s="39"/>
      <c r="K309" s="39"/>
      <c r="L309" s="39"/>
      <c r="M309" s="39"/>
      <c r="N309" s="39"/>
      <c r="O309" s="41"/>
      <c r="P309" s="42"/>
      <c r="Q309" s="43"/>
      <c r="R309" s="43"/>
      <c r="S309" s="43"/>
      <c r="T309" s="43"/>
      <c r="U309" s="43"/>
      <c r="V309" s="43"/>
    </row>
    <row r="310" spans="1:22" s="45" customFormat="1" ht="21" customHeight="1" x14ac:dyDescent="0.15">
      <c r="A310" s="39"/>
      <c r="B310" s="39"/>
      <c r="C310" s="39"/>
      <c r="D310" s="39"/>
      <c r="E310" s="39"/>
      <c r="F310" s="39"/>
      <c r="G310" s="39"/>
      <c r="H310" s="39"/>
      <c r="I310" s="39"/>
      <c r="J310" s="39"/>
      <c r="K310" s="39"/>
      <c r="L310" s="39"/>
      <c r="M310" s="39"/>
      <c r="N310" s="39"/>
      <c r="O310" s="41"/>
      <c r="P310" s="42"/>
      <c r="Q310" s="43"/>
      <c r="R310" s="43"/>
      <c r="S310" s="43"/>
      <c r="T310" s="43"/>
      <c r="U310" s="43"/>
      <c r="V310" s="43"/>
    </row>
    <row r="311" spans="1:22" s="45" customFormat="1" ht="21" customHeight="1" x14ac:dyDescent="0.15">
      <c r="A311" s="39"/>
      <c r="B311" s="39"/>
      <c r="C311" s="39"/>
      <c r="D311" s="39"/>
      <c r="E311" s="39"/>
      <c r="F311" s="39"/>
      <c r="G311" s="39"/>
      <c r="H311" s="39"/>
      <c r="I311" s="39"/>
      <c r="J311" s="39"/>
      <c r="K311" s="39"/>
      <c r="L311" s="39"/>
      <c r="M311" s="39"/>
      <c r="N311" s="39"/>
      <c r="O311" s="41"/>
      <c r="P311" s="42"/>
      <c r="Q311" s="43"/>
      <c r="R311" s="43"/>
      <c r="S311" s="43"/>
      <c r="T311" s="43"/>
      <c r="U311" s="43"/>
      <c r="V311" s="43"/>
    </row>
    <row r="312" spans="1:22" s="45" customFormat="1" ht="21" customHeight="1" x14ac:dyDescent="0.15">
      <c r="A312" s="39"/>
      <c r="B312" s="39"/>
      <c r="C312" s="39"/>
      <c r="D312" s="39"/>
      <c r="E312" s="39"/>
      <c r="F312" s="39"/>
      <c r="G312" s="39"/>
      <c r="H312" s="39"/>
      <c r="I312" s="39"/>
      <c r="J312" s="39"/>
      <c r="K312" s="39"/>
      <c r="L312" s="39"/>
      <c r="M312" s="39"/>
      <c r="N312" s="39"/>
      <c r="O312" s="41"/>
      <c r="P312" s="42"/>
      <c r="Q312" s="43"/>
      <c r="R312" s="43"/>
      <c r="S312" s="43"/>
      <c r="T312" s="43"/>
      <c r="U312" s="43"/>
      <c r="V312" s="43"/>
    </row>
    <row r="313" spans="1:22" s="45" customFormat="1" ht="21" customHeight="1" x14ac:dyDescent="0.15">
      <c r="A313" s="39"/>
      <c r="B313" s="39"/>
      <c r="C313" s="39"/>
      <c r="D313" s="39"/>
      <c r="E313" s="39"/>
      <c r="F313" s="39"/>
      <c r="G313" s="39"/>
      <c r="H313" s="39"/>
      <c r="I313" s="39"/>
      <c r="J313" s="39"/>
      <c r="K313" s="39"/>
      <c r="L313" s="39"/>
      <c r="M313" s="39"/>
      <c r="N313" s="39"/>
      <c r="O313" s="41"/>
      <c r="P313" s="42"/>
      <c r="Q313" s="43"/>
      <c r="R313" s="43"/>
      <c r="S313" s="43"/>
      <c r="T313" s="43"/>
      <c r="U313" s="43"/>
      <c r="V313" s="43"/>
    </row>
    <row r="314" spans="1:22" s="45" customFormat="1" ht="21" customHeight="1" x14ac:dyDescent="0.15">
      <c r="A314" s="39"/>
      <c r="B314" s="39"/>
      <c r="C314" s="39"/>
      <c r="D314" s="39"/>
      <c r="E314" s="39"/>
      <c r="F314" s="39"/>
      <c r="G314" s="39"/>
      <c r="H314" s="39"/>
      <c r="I314" s="39"/>
      <c r="J314" s="39"/>
      <c r="K314" s="39"/>
      <c r="L314" s="39"/>
      <c r="M314" s="39"/>
      <c r="N314" s="39"/>
      <c r="O314" s="41"/>
      <c r="P314" s="42"/>
      <c r="Q314" s="43"/>
      <c r="R314" s="43"/>
      <c r="S314" s="43"/>
      <c r="T314" s="43"/>
      <c r="U314" s="43"/>
      <c r="V314" s="43"/>
    </row>
    <row r="315" spans="1:22" s="45" customFormat="1" ht="21" customHeight="1" x14ac:dyDescent="0.15">
      <c r="A315" s="39"/>
      <c r="B315" s="39"/>
      <c r="C315" s="39"/>
      <c r="D315" s="39"/>
      <c r="E315" s="39"/>
      <c r="F315" s="39"/>
      <c r="G315" s="39"/>
      <c r="H315" s="39"/>
      <c r="I315" s="39"/>
      <c r="J315" s="39"/>
      <c r="K315" s="39"/>
      <c r="L315" s="39"/>
      <c r="M315" s="39"/>
      <c r="N315" s="39"/>
      <c r="O315" s="41"/>
      <c r="P315" s="42"/>
      <c r="Q315" s="43"/>
      <c r="R315" s="43"/>
      <c r="S315" s="43"/>
      <c r="T315" s="43"/>
      <c r="U315" s="43"/>
      <c r="V315" s="43"/>
    </row>
    <row r="316" spans="1:22" s="45" customFormat="1" ht="21" customHeight="1" x14ac:dyDescent="0.15">
      <c r="A316" s="39"/>
      <c r="B316" s="39"/>
      <c r="C316" s="39"/>
      <c r="D316" s="39"/>
      <c r="E316" s="39"/>
      <c r="F316" s="39"/>
      <c r="G316" s="39"/>
      <c r="H316" s="39"/>
      <c r="I316" s="39"/>
      <c r="J316" s="39"/>
      <c r="K316" s="39"/>
      <c r="L316" s="39"/>
      <c r="M316" s="39"/>
      <c r="N316" s="39"/>
      <c r="O316" s="41"/>
      <c r="P316" s="42"/>
      <c r="Q316" s="43"/>
      <c r="R316" s="43"/>
      <c r="S316" s="43"/>
      <c r="T316" s="43"/>
      <c r="U316" s="43"/>
      <c r="V316" s="43"/>
    </row>
    <row r="317" spans="1:22" s="45" customFormat="1" ht="21" customHeight="1" x14ac:dyDescent="0.15">
      <c r="A317" s="39"/>
      <c r="B317" s="39"/>
      <c r="C317" s="39"/>
      <c r="D317" s="39"/>
      <c r="E317" s="39"/>
      <c r="F317" s="39"/>
      <c r="G317" s="39"/>
      <c r="H317" s="39"/>
      <c r="I317" s="39"/>
      <c r="J317" s="39"/>
      <c r="K317" s="39"/>
      <c r="L317" s="39"/>
      <c r="M317" s="39"/>
      <c r="N317" s="39"/>
      <c r="O317" s="41"/>
      <c r="P317" s="42"/>
      <c r="Q317" s="43"/>
      <c r="R317" s="43"/>
      <c r="S317" s="43"/>
      <c r="T317" s="43"/>
      <c r="U317" s="43"/>
      <c r="V317" s="43"/>
    </row>
    <row r="318" spans="1:22" s="45" customFormat="1" ht="21" customHeight="1" x14ac:dyDescent="0.15">
      <c r="A318" s="39"/>
      <c r="B318" s="39"/>
      <c r="C318" s="39"/>
      <c r="D318" s="39"/>
      <c r="E318" s="39"/>
      <c r="F318" s="39"/>
      <c r="G318" s="39"/>
      <c r="H318" s="39"/>
      <c r="I318" s="39"/>
      <c r="J318" s="39"/>
      <c r="K318" s="39"/>
      <c r="L318" s="39"/>
      <c r="M318" s="39"/>
      <c r="N318" s="39"/>
      <c r="O318" s="41"/>
      <c r="P318" s="42"/>
      <c r="Q318" s="43"/>
      <c r="R318" s="43"/>
      <c r="S318" s="43"/>
      <c r="T318" s="43"/>
      <c r="U318" s="43"/>
      <c r="V318" s="43"/>
    </row>
    <row r="319" spans="1:22" s="45" customFormat="1" ht="21" customHeight="1" x14ac:dyDescent="0.15">
      <c r="A319" s="39"/>
      <c r="B319" s="39"/>
      <c r="C319" s="39"/>
      <c r="D319" s="39"/>
      <c r="E319" s="39"/>
      <c r="F319" s="39"/>
      <c r="G319" s="39"/>
      <c r="H319" s="39"/>
      <c r="I319" s="39"/>
      <c r="J319" s="39"/>
      <c r="K319" s="39"/>
      <c r="L319" s="39"/>
      <c r="M319" s="39"/>
      <c r="N319" s="39"/>
      <c r="O319" s="41"/>
      <c r="P319" s="42"/>
      <c r="Q319" s="43"/>
      <c r="R319" s="43"/>
      <c r="S319" s="43"/>
      <c r="T319" s="43"/>
      <c r="U319" s="43"/>
      <c r="V319" s="43"/>
    </row>
    <row r="320" spans="1:22" s="45" customFormat="1" ht="21" customHeight="1" x14ac:dyDescent="0.15">
      <c r="A320" s="39"/>
      <c r="B320" s="39"/>
      <c r="C320" s="39"/>
      <c r="D320" s="39"/>
      <c r="E320" s="39"/>
      <c r="F320" s="39"/>
      <c r="G320" s="39"/>
      <c r="H320" s="39"/>
      <c r="I320" s="39"/>
      <c r="J320" s="39"/>
      <c r="K320" s="39"/>
      <c r="L320" s="39"/>
      <c r="M320" s="39"/>
      <c r="N320" s="39"/>
      <c r="O320" s="41"/>
      <c r="P320" s="42"/>
      <c r="Q320" s="43"/>
      <c r="R320" s="43"/>
      <c r="S320" s="43"/>
      <c r="T320" s="43"/>
      <c r="U320" s="43"/>
      <c r="V320" s="43"/>
    </row>
    <row r="321" spans="1:22" s="45" customFormat="1" ht="21" customHeight="1" x14ac:dyDescent="0.15">
      <c r="A321" s="39"/>
      <c r="B321" s="39"/>
      <c r="C321" s="39"/>
      <c r="D321" s="39"/>
      <c r="E321" s="39"/>
      <c r="F321" s="39"/>
      <c r="G321" s="39"/>
      <c r="H321" s="39"/>
      <c r="I321" s="39"/>
      <c r="J321" s="39"/>
      <c r="K321" s="39"/>
      <c r="L321" s="39"/>
      <c r="M321" s="39"/>
      <c r="N321" s="39"/>
      <c r="O321" s="41"/>
      <c r="P321" s="42"/>
      <c r="Q321" s="43"/>
      <c r="R321" s="43"/>
      <c r="S321" s="43"/>
      <c r="T321" s="43"/>
      <c r="U321" s="43"/>
      <c r="V321" s="43"/>
    </row>
    <row r="322" spans="1:22" s="45" customFormat="1" ht="21" customHeight="1" x14ac:dyDescent="0.15">
      <c r="A322" s="39"/>
      <c r="B322" s="39"/>
      <c r="C322" s="39"/>
      <c r="D322" s="39"/>
      <c r="E322" s="39"/>
      <c r="F322" s="39"/>
      <c r="G322" s="39"/>
      <c r="H322" s="39"/>
      <c r="I322" s="39"/>
      <c r="J322" s="39"/>
      <c r="K322" s="39"/>
      <c r="L322" s="39"/>
      <c r="M322" s="39"/>
      <c r="N322" s="39"/>
      <c r="O322" s="41"/>
      <c r="P322" s="42"/>
      <c r="Q322" s="43"/>
      <c r="R322" s="43"/>
      <c r="S322" s="43"/>
      <c r="T322" s="43"/>
      <c r="U322" s="43"/>
      <c r="V322" s="43"/>
    </row>
    <row r="323" spans="1:22" s="45" customFormat="1" ht="21" customHeight="1" x14ac:dyDescent="0.15">
      <c r="A323" s="39"/>
      <c r="B323" s="39"/>
      <c r="C323" s="39"/>
      <c r="D323" s="39"/>
      <c r="E323" s="39"/>
      <c r="F323" s="39"/>
      <c r="G323" s="39"/>
      <c r="H323" s="39"/>
      <c r="I323" s="39"/>
      <c r="J323" s="39"/>
      <c r="K323" s="39"/>
      <c r="L323" s="39"/>
      <c r="M323" s="39"/>
      <c r="N323" s="39"/>
      <c r="O323" s="41"/>
      <c r="P323" s="42"/>
      <c r="Q323" s="43"/>
      <c r="R323" s="43"/>
      <c r="S323" s="43"/>
      <c r="T323" s="43"/>
      <c r="U323" s="43"/>
      <c r="V323" s="43"/>
    </row>
    <row r="324" spans="1:22" s="45" customFormat="1" ht="21" customHeight="1" x14ac:dyDescent="0.15">
      <c r="A324" s="39"/>
      <c r="B324" s="39"/>
      <c r="C324" s="39"/>
      <c r="D324" s="39"/>
      <c r="E324" s="39"/>
      <c r="F324" s="39"/>
      <c r="G324" s="39"/>
      <c r="H324" s="39"/>
      <c r="I324" s="39"/>
      <c r="J324" s="39"/>
      <c r="K324" s="39"/>
      <c r="L324" s="39"/>
      <c r="M324" s="39"/>
      <c r="N324" s="39"/>
      <c r="O324" s="41"/>
      <c r="P324" s="42"/>
      <c r="Q324" s="43"/>
      <c r="R324" s="43"/>
      <c r="S324" s="43"/>
      <c r="T324" s="43"/>
      <c r="U324" s="43"/>
      <c r="V324" s="43"/>
    </row>
    <row r="325" spans="1:22" s="45" customFormat="1" ht="21" customHeight="1" x14ac:dyDescent="0.15">
      <c r="A325" s="39"/>
      <c r="B325" s="39"/>
      <c r="C325" s="39"/>
      <c r="D325" s="39"/>
      <c r="E325" s="39"/>
      <c r="F325" s="39"/>
      <c r="G325" s="39"/>
      <c r="H325" s="39"/>
      <c r="I325" s="39"/>
      <c r="J325" s="39"/>
      <c r="K325" s="39"/>
      <c r="L325" s="39"/>
      <c r="M325" s="39"/>
      <c r="N325" s="39"/>
      <c r="O325" s="41"/>
      <c r="P325" s="42"/>
      <c r="Q325" s="43"/>
      <c r="R325" s="43"/>
      <c r="S325" s="43"/>
      <c r="T325" s="43"/>
      <c r="U325" s="43"/>
      <c r="V325" s="43"/>
    </row>
    <row r="326" spans="1:22" s="45" customFormat="1" ht="21" customHeight="1" x14ac:dyDescent="0.15">
      <c r="A326" s="39"/>
      <c r="B326" s="39"/>
      <c r="C326" s="39"/>
      <c r="D326" s="39"/>
      <c r="E326" s="39"/>
      <c r="F326" s="39"/>
      <c r="G326" s="39"/>
      <c r="H326" s="39"/>
      <c r="I326" s="39"/>
      <c r="J326" s="39"/>
      <c r="K326" s="39"/>
      <c r="L326" s="39"/>
      <c r="M326" s="39"/>
      <c r="N326" s="39"/>
      <c r="O326" s="41"/>
      <c r="P326" s="42"/>
      <c r="Q326" s="43"/>
      <c r="R326" s="43"/>
      <c r="S326" s="43"/>
      <c r="T326" s="43"/>
      <c r="U326" s="43"/>
      <c r="V326" s="43"/>
    </row>
    <row r="327" spans="1:22" s="45" customFormat="1" ht="21" customHeight="1" x14ac:dyDescent="0.15">
      <c r="A327" s="39"/>
      <c r="B327" s="39"/>
      <c r="C327" s="39"/>
      <c r="D327" s="39"/>
      <c r="E327" s="39"/>
      <c r="F327" s="39"/>
      <c r="G327" s="39"/>
      <c r="H327" s="39"/>
      <c r="I327" s="39"/>
      <c r="J327" s="39"/>
      <c r="K327" s="39"/>
      <c r="L327" s="39"/>
      <c r="M327" s="39"/>
      <c r="N327" s="39"/>
      <c r="O327" s="41"/>
      <c r="P327" s="42"/>
      <c r="Q327" s="43"/>
      <c r="R327" s="43"/>
      <c r="S327" s="43"/>
      <c r="T327" s="43"/>
      <c r="U327" s="43"/>
      <c r="V327" s="43"/>
    </row>
    <row r="328" spans="1:22" s="45" customFormat="1" ht="21" customHeight="1" x14ac:dyDescent="0.15">
      <c r="A328" s="39"/>
      <c r="B328" s="39"/>
      <c r="C328" s="39"/>
      <c r="D328" s="39"/>
      <c r="E328" s="39"/>
      <c r="F328" s="39"/>
      <c r="G328" s="39"/>
      <c r="H328" s="39"/>
      <c r="I328" s="39"/>
      <c r="J328" s="39"/>
      <c r="K328" s="39"/>
      <c r="L328" s="39"/>
      <c r="M328" s="39"/>
      <c r="N328" s="39"/>
      <c r="O328" s="41"/>
      <c r="P328" s="42"/>
      <c r="Q328" s="43"/>
      <c r="R328" s="43"/>
      <c r="S328" s="43"/>
      <c r="T328" s="43"/>
      <c r="U328" s="43"/>
      <c r="V328" s="43"/>
    </row>
    <row r="329" spans="1:22" s="45" customFormat="1" ht="21" customHeight="1" x14ac:dyDescent="0.15">
      <c r="A329" s="39"/>
      <c r="B329" s="39"/>
      <c r="C329" s="39"/>
      <c r="D329" s="39"/>
      <c r="E329" s="39"/>
      <c r="F329" s="39"/>
      <c r="G329" s="39"/>
      <c r="H329" s="39"/>
      <c r="I329" s="39"/>
      <c r="J329" s="39"/>
      <c r="K329" s="39"/>
      <c r="L329" s="39"/>
      <c r="M329" s="39"/>
      <c r="N329" s="39"/>
      <c r="O329" s="41"/>
      <c r="P329" s="42"/>
      <c r="Q329" s="43"/>
      <c r="R329" s="43"/>
      <c r="S329" s="43"/>
      <c r="T329" s="43"/>
      <c r="U329" s="43"/>
      <c r="V329" s="43"/>
    </row>
    <row r="330" spans="1:22" s="45" customFormat="1" ht="21" customHeight="1" x14ac:dyDescent="0.15">
      <c r="A330" s="39"/>
      <c r="B330" s="39"/>
      <c r="C330" s="39"/>
      <c r="D330" s="39"/>
      <c r="E330" s="39"/>
      <c r="F330" s="39"/>
      <c r="G330" s="39"/>
      <c r="H330" s="39"/>
      <c r="I330" s="39"/>
      <c r="J330" s="39"/>
      <c r="K330" s="39"/>
      <c r="L330" s="39"/>
      <c r="M330" s="39"/>
      <c r="N330" s="39"/>
      <c r="O330" s="41"/>
      <c r="P330" s="42"/>
      <c r="Q330" s="43"/>
      <c r="R330" s="43"/>
      <c r="S330" s="43"/>
      <c r="T330" s="43"/>
      <c r="U330" s="43"/>
      <c r="V330" s="43"/>
    </row>
    <row r="331" spans="1:22" s="45" customFormat="1" ht="21" customHeight="1" x14ac:dyDescent="0.15">
      <c r="A331" s="39"/>
      <c r="B331" s="39"/>
      <c r="C331" s="39"/>
      <c r="D331" s="39"/>
      <c r="E331" s="39"/>
      <c r="F331" s="39"/>
      <c r="G331" s="39"/>
      <c r="H331" s="39"/>
      <c r="I331" s="39"/>
      <c r="J331" s="39"/>
      <c r="K331" s="39"/>
      <c r="L331" s="39"/>
      <c r="M331" s="39"/>
      <c r="N331" s="39"/>
      <c r="O331" s="41"/>
      <c r="P331" s="42"/>
      <c r="Q331" s="43"/>
      <c r="R331" s="43"/>
      <c r="S331" s="43"/>
      <c r="T331" s="43"/>
      <c r="U331" s="43"/>
      <c r="V331" s="43"/>
    </row>
    <row r="332" spans="1:22" s="45" customFormat="1" ht="21" customHeight="1" x14ac:dyDescent="0.15">
      <c r="A332" s="39"/>
      <c r="B332" s="39"/>
      <c r="C332" s="39"/>
      <c r="D332" s="39"/>
      <c r="E332" s="39"/>
      <c r="F332" s="39"/>
      <c r="G332" s="39"/>
      <c r="H332" s="39"/>
      <c r="I332" s="39"/>
      <c r="J332" s="39"/>
      <c r="K332" s="39"/>
      <c r="L332" s="39"/>
      <c r="M332" s="39"/>
      <c r="N332" s="39"/>
      <c r="O332" s="41"/>
      <c r="P332" s="42"/>
      <c r="Q332" s="43"/>
      <c r="R332" s="43"/>
      <c r="S332" s="43"/>
      <c r="T332" s="43"/>
      <c r="U332" s="43"/>
      <c r="V332" s="43"/>
    </row>
    <row r="333" spans="1:22" s="45" customFormat="1" ht="21" customHeight="1" x14ac:dyDescent="0.15">
      <c r="A333" s="39"/>
      <c r="B333" s="39"/>
      <c r="C333" s="39"/>
      <c r="D333" s="39"/>
      <c r="E333" s="39"/>
      <c r="F333" s="39"/>
      <c r="G333" s="39"/>
      <c r="H333" s="39"/>
      <c r="I333" s="39"/>
      <c r="J333" s="39"/>
      <c r="K333" s="39"/>
      <c r="L333" s="39"/>
      <c r="M333" s="39"/>
      <c r="N333" s="39"/>
      <c r="O333" s="41"/>
      <c r="P333" s="42"/>
      <c r="Q333" s="43"/>
      <c r="R333" s="43"/>
      <c r="S333" s="43"/>
      <c r="T333" s="43"/>
      <c r="U333" s="43"/>
      <c r="V333" s="43"/>
    </row>
    <row r="334" spans="1:22" s="45" customFormat="1" ht="21" customHeight="1" x14ac:dyDescent="0.15">
      <c r="A334" s="39"/>
      <c r="B334" s="39"/>
      <c r="C334" s="39"/>
      <c r="D334" s="39"/>
      <c r="E334" s="39"/>
      <c r="F334" s="39"/>
      <c r="G334" s="39"/>
      <c r="H334" s="39"/>
      <c r="I334" s="39"/>
      <c r="J334" s="39"/>
      <c r="K334" s="39"/>
      <c r="L334" s="39"/>
      <c r="M334" s="39"/>
      <c r="N334" s="39"/>
      <c r="O334" s="41"/>
      <c r="P334" s="42"/>
      <c r="Q334" s="43"/>
      <c r="R334" s="43"/>
      <c r="S334" s="43"/>
      <c r="T334" s="43"/>
      <c r="U334" s="43"/>
      <c r="V334" s="43"/>
    </row>
  </sheetData>
  <phoneticPr fontId="10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255" workbookViewId="0">
      <selection activeCell="E28" sqref="E28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4" t="s">
        <v>10</v>
      </c>
      <c r="B1" s="3" t="s">
        <v>11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31">
        <v>668</v>
      </c>
      <c r="B246" s="7" t="str">
        <f>VLOOKUP(A246,[1]characters!$A:$C,3,FALSE)</f>
        <v>アグニ</v>
      </c>
    </row>
    <row r="247" spans="1:2" x14ac:dyDescent="0.15">
      <c r="A247" s="31">
        <v>669</v>
      </c>
      <c r="B247" s="7" t="str">
        <f>VLOOKUP(A247,[1]characters!$A:$C,3,FALSE)</f>
        <v>天地の仲界 アグニ</v>
      </c>
    </row>
    <row r="248" spans="1:2" x14ac:dyDescent="0.15">
      <c r="A248" s="31">
        <v>670</v>
      </c>
      <c r="B248" s="7" t="str">
        <f>VLOOKUP(A248,[1]characters!$A:$C,3,FALSE)</f>
        <v>陽天の噴煙 アグニ</v>
      </c>
    </row>
    <row r="249" spans="1:2" x14ac:dyDescent="0.15">
      <c r="A249" s="31">
        <v>671</v>
      </c>
      <c r="B249" s="7" t="str">
        <f>VLOOKUP(A249,[1]characters!$A:$C,3,FALSE)</f>
        <v>ハヌマーン</v>
      </c>
    </row>
    <row r="250" spans="1:2" x14ac:dyDescent="0.15">
      <c r="A250" s="31">
        <v>672</v>
      </c>
      <c r="B250" s="7" t="str">
        <f>VLOOKUP(A250,[1]characters!$A:$C,3,FALSE)</f>
        <v>西遊韋駄天 ハヌマーン</v>
      </c>
    </row>
    <row r="251" spans="1:2" x14ac:dyDescent="0.15">
      <c r="A251" s="31">
        <v>673</v>
      </c>
      <c r="B251" s="7" t="str">
        <f>VLOOKUP(A251,[1]characters!$A:$C,3,FALSE)</f>
        <v>変幻自在の猿王 ハヌマーン</v>
      </c>
    </row>
    <row r="252" spans="1:2" x14ac:dyDescent="0.15">
      <c r="A252" s="31">
        <v>674</v>
      </c>
      <c r="B252" s="7" t="str">
        <f>VLOOKUP(A252,[1]characters!$A:$C,3,FALSE)</f>
        <v>サラスヴァティ</v>
      </c>
    </row>
    <row r="253" spans="1:2" x14ac:dyDescent="0.15">
      <c r="A253" s="31">
        <v>675</v>
      </c>
      <c r="B253" s="7" t="str">
        <f>VLOOKUP(A253,[1]characters!$A:$C,3,FALSE)</f>
        <v>芸楽の奔流 サラスヴァティ</v>
      </c>
    </row>
    <row r="254" spans="1:2" x14ac:dyDescent="0.15">
      <c r="A254" s="31">
        <v>676</v>
      </c>
      <c r="B254" s="7" t="str">
        <f>VLOOKUP(A254,[1]characters!$A:$C,3,FALSE)</f>
        <v>ヴィシュヌ</v>
      </c>
    </row>
    <row r="255" spans="1:2" x14ac:dyDescent="0.15">
      <c r="A255" s="31">
        <v>677</v>
      </c>
      <c r="B255" s="7" t="str">
        <f>VLOOKUP(A255,[1]characters!$A:$C,3,FALSE)</f>
        <v>武遊闊歩 ヴィシュヌ</v>
      </c>
    </row>
    <row r="256" spans="1:2" x14ac:dyDescent="0.15">
      <c r="A256" s="31">
        <v>770</v>
      </c>
      <c r="B256" s="7" t="str">
        <f>VLOOKUP(A256,[1]characters!$A:$C,3,FALSE)</f>
        <v>ハヅル</v>
      </c>
    </row>
    <row r="257" spans="1:2" x14ac:dyDescent="0.15">
      <c r="A257" s="31">
        <v>771</v>
      </c>
      <c r="B257" s="7" t="str">
        <f>VLOOKUP(A257,[1]characters!$A:$C,3,FALSE)</f>
        <v>天織羽鶴 ハヅル</v>
      </c>
    </row>
    <row r="258" spans="1:2" x14ac:dyDescent="0.15">
      <c r="A258" s="31">
        <v>772</v>
      </c>
      <c r="B258" s="7" t="str">
        <f>VLOOKUP(A258,[1]characters!$A:$C,3,FALSE)</f>
        <v>イナバ</v>
      </c>
    </row>
    <row r="259" spans="1:2" x14ac:dyDescent="0.15">
      <c r="A259" s="31">
        <v>773</v>
      </c>
      <c r="B259" s="7" t="str">
        <f>VLOOKUP(A259,[1]characters!$A:$C,3,FALSE)</f>
        <v>浮跳天兎 イナバ</v>
      </c>
    </row>
    <row r="260" spans="1:2" x14ac:dyDescent="0.15">
      <c r="A260" s="31">
        <v>774</v>
      </c>
      <c r="B260" s="7" t="str">
        <f>VLOOKUP(A260,[1]characters!$A:$C,3,FALSE)</f>
        <v>ミズチ</v>
      </c>
    </row>
    <row r="261" spans="1:2" x14ac:dyDescent="0.15">
      <c r="A261" s="31">
        <v>775</v>
      </c>
      <c r="B261" s="7" t="str">
        <f>VLOOKUP(A261,[1]characters!$A:$C,3,FALSE)</f>
        <v>水底霊竜 ミズチ</v>
      </c>
    </row>
    <row r="262" spans="1:2" x14ac:dyDescent="0.15">
      <c r="A262" s="31">
        <v>776</v>
      </c>
      <c r="B262" s="7" t="str">
        <f>VLOOKUP(A262,[1]characters!$A:$C,3,FALSE)</f>
        <v>水竜底主 ミズチ</v>
      </c>
    </row>
    <row r="263" spans="1:2" x14ac:dyDescent="0.15">
      <c r="A263" s="31">
        <v>777</v>
      </c>
      <c r="B263" s="7" t="str">
        <f>VLOOKUP(A263,[1]characters!$A:$C,3,FALSE)</f>
        <v>ガメック</v>
      </c>
    </row>
    <row r="264" spans="1:2" x14ac:dyDescent="0.15">
      <c r="A264" s="31">
        <v>778</v>
      </c>
      <c r="B264" s="7" t="str">
        <f>VLOOKUP(A264,[1]characters!$A:$C,3,FALSE)</f>
        <v>一亀懸明 ガメック</v>
      </c>
    </row>
    <row r="265" spans="1:2" x14ac:dyDescent="0.15">
      <c r="A265" s="31">
        <v>779</v>
      </c>
      <c r="B265" s="7" t="str">
        <f>VLOOKUP(A265,[1]characters!$A:$C,3,FALSE)</f>
        <v>頑堅咬亀 ガメック</v>
      </c>
    </row>
    <row r="266" spans="1:2" x14ac:dyDescent="0.15">
      <c r="A266" s="31">
        <v>779</v>
      </c>
      <c r="B266" s="7" t="str">
        <f>VLOOKUP(A266,[1]characters!$A:$C,3,FALSE)</f>
        <v>頑堅咬亀 ガメック</v>
      </c>
    </row>
  </sheetData>
  <phoneticPr fontId="10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E28" sqref="E28"/>
    </sheetView>
  </sheetViews>
  <sheetFormatPr baseColWidth="12" defaultRowHeight="14" x14ac:dyDescent="0.15"/>
  <sheetData>
    <row r="1" spans="1:2" x14ac:dyDescent="0.15">
      <c r="A1" s="25" t="s">
        <v>21</v>
      </c>
      <c r="B1" s="25"/>
    </row>
    <row r="2" spans="1:2" x14ac:dyDescent="0.15">
      <c r="A2" s="23" t="s">
        <v>1</v>
      </c>
      <c r="B2" s="24" t="s">
        <v>23</v>
      </c>
    </row>
    <row r="3" spans="1:2" x14ac:dyDescent="0.15">
      <c r="A3" s="6">
        <v>166</v>
      </c>
      <c r="B3" s="24" t="str">
        <f>VLOOKUP(A3,[1]characters!$A:$C,3,FALSE)</f>
        <v>ベリアル</v>
      </c>
    </row>
    <row r="4" spans="1:2" x14ac:dyDescent="0.15">
      <c r="A4" s="6">
        <v>167</v>
      </c>
      <c r="B4" s="24" t="str">
        <f>VLOOKUP(A4,[1]characters!$A:$C,3,FALSE)</f>
        <v>逆徒 ベリアル</v>
      </c>
    </row>
    <row r="5" spans="1:2" x14ac:dyDescent="0.15">
      <c r="A5" s="6">
        <v>168</v>
      </c>
      <c r="B5" s="24" t="str">
        <f>VLOOKUP(A5,[1]characters!$A:$C,3,FALSE)</f>
        <v>猛進の大逆者 ベリアル</v>
      </c>
    </row>
    <row r="6" spans="1:2" x14ac:dyDescent="0.15">
      <c r="A6" s="23">
        <v>169</v>
      </c>
      <c r="B6" s="24" t="str">
        <f>VLOOKUP(A6,[1]characters!$A:$C,3,FALSE)</f>
        <v>オセ</v>
      </c>
    </row>
    <row r="7" spans="1:2" x14ac:dyDescent="0.15">
      <c r="A7" s="23">
        <v>170</v>
      </c>
      <c r="B7" s="24" t="str">
        <f>VLOOKUP(A7,[1]characters!$A:$C,3,FALSE)</f>
        <v>識徒 オセ</v>
      </c>
    </row>
    <row r="8" spans="1:2" x14ac:dyDescent="0.15">
      <c r="A8" s="23">
        <v>171</v>
      </c>
      <c r="B8" s="24" t="str">
        <f>VLOOKUP(A8,[1]characters!$A:$C,3,FALSE)</f>
        <v>精解の預知者 オセ</v>
      </c>
    </row>
    <row r="9" spans="1:2" x14ac:dyDescent="0.15">
      <c r="A9" s="23">
        <v>172</v>
      </c>
      <c r="B9" s="24" t="str">
        <f>VLOOKUP(A9,[1]characters!$A:$C,3,FALSE)</f>
        <v>フォルネウス</v>
      </c>
    </row>
    <row r="10" spans="1:2" x14ac:dyDescent="0.15">
      <c r="A10" s="23">
        <v>173</v>
      </c>
      <c r="B10" s="24" t="str">
        <f>VLOOKUP(A10,[1]characters!$A:$C,3,FALSE)</f>
        <v>公爵 フォルネウス</v>
      </c>
    </row>
    <row r="11" spans="1:2" x14ac:dyDescent="0.15">
      <c r="A11" s="23">
        <v>174</v>
      </c>
      <c r="B11" s="24" t="str">
        <f>VLOOKUP(A11,[1]characters!$A:$C,3,FALSE)</f>
        <v>偽愛の大公爵 フォルネウス</v>
      </c>
    </row>
    <row r="12" spans="1:2" x14ac:dyDescent="0.15">
      <c r="A12" s="23">
        <v>235</v>
      </c>
      <c r="B12" s="24" t="str">
        <f>VLOOKUP(A12,[1]characters!$A:$C,3,FALSE)</f>
        <v>イザナミ</v>
      </c>
    </row>
    <row r="13" spans="1:2" x14ac:dyDescent="0.15">
      <c r="A13" s="23">
        <v>236</v>
      </c>
      <c r="B13" s="24" t="str">
        <f>VLOOKUP(A13,[1]characters!$A:$C,3,FALSE)</f>
        <v>神産 イザナミ</v>
      </c>
    </row>
    <row r="14" spans="1:2" x14ac:dyDescent="0.15">
      <c r="A14" s="23">
        <v>237</v>
      </c>
      <c r="B14" s="24" t="str">
        <f>VLOOKUP(A14,[1]characters!$A:$C,3,FALSE)</f>
        <v>森羅万象の神母 イザナミ</v>
      </c>
    </row>
  </sheetData>
  <phoneticPr fontId="1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確率の考え方</vt:lpstr>
      <vt:lpstr>Sheet1</vt:lpstr>
      <vt:lpstr>output</vt:lpstr>
      <vt:lpstr>tables_7121101</vt:lpstr>
      <vt:lpstr>tables_7121102</vt:lpstr>
      <vt:lpstr>tables_7121103</vt:lpstr>
      <vt:lpstr>tables_7121104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2016-11-15T11:43:26Z</dcterms:modified>
</cp:coreProperties>
</file>