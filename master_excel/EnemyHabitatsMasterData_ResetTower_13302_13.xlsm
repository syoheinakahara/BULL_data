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9820" yWindow="3260" windowWidth="38400" windowHeight="1752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9" l="1"/>
  <c r="C4" i="21"/>
  <c r="D4" i="21"/>
  <c r="F4" i="21"/>
  <c r="G4" i="21"/>
  <c r="I4" i="21"/>
  <c r="C10" i="21"/>
  <c r="D10" i="21"/>
  <c r="F10" i="21"/>
  <c r="G10" i="21"/>
  <c r="I10" i="21"/>
  <c r="C9" i="21"/>
  <c r="D9" i="21"/>
  <c r="F9" i="21"/>
  <c r="G9" i="21"/>
  <c r="I9" i="21"/>
  <c r="C8" i="21"/>
  <c r="D8" i="21"/>
  <c r="F8" i="21"/>
  <c r="G8" i="21"/>
  <c r="I8" i="21"/>
  <c r="C7" i="21"/>
  <c r="D7" i="21"/>
  <c r="F7" i="21"/>
  <c r="G7" i="21"/>
  <c r="I7" i="21"/>
  <c r="G13" i="10"/>
  <c r="H13" i="10"/>
  <c r="I13" i="10"/>
  <c r="J13" i="10"/>
  <c r="K13" i="10"/>
  <c r="L13" i="10"/>
  <c r="M13" i="10"/>
  <c r="M23" i="10"/>
  <c r="N23" i="10"/>
  <c r="Q23" i="10"/>
  <c r="P23" i="10"/>
  <c r="R23" i="10"/>
  <c r="O23" i="10"/>
  <c r="S2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M24" i="10"/>
  <c r="N24" i="10"/>
  <c r="Q24" i="10"/>
  <c r="P24" i="10"/>
  <c r="R24" i="10"/>
  <c r="O24" i="10"/>
  <c r="S2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M25" i="10"/>
  <c r="N25" i="10"/>
  <c r="Q25" i="10"/>
  <c r="P25" i="10"/>
  <c r="R25" i="10"/>
  <c r="O25" i="10"/>
  <c r="S2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M26" i="10"/>
  <c r="N26" i="10"/>
  <c r="Q26" i="10"/>
  <c r="P26" i="10"/>
  <c r="R26" i="10"/>
  <c r="O26" i="10"/>
  <c r="S2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J45" i="11"/>
  <c r="J46" i="11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J41" i="11"/>
  <c r="J42" i="11"/>
  <c r="J43" i="11"/>
  <c r="J44" i="11"/>
  <c r="A41" i="9"/>
  <c r="D41" i="9"/>
  <c r="E41" i="9"/>
  <c r="G41" i="9"/>
  <c r="H41" i="9"/>
  <c r="I41" i="9"/>
  <c r="J41" i="9"/>
  <c r="K41" i="9"/>
  <c r="L41" i="9"/>
  <c r="M41" i="9"/>
  <c r="N41" i="9"/>
  <c r="J40" i="11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A43" i="9"/>
  <c r="D43" i="9"/>
  <c r="E43" i="9"/>
  <c r="G43" i="9"/>
  <c r="H43" i="9"/>
  <c r="I43" i="9"/>
  <c r="J43" i="9"/>
  <c r="K43" i="9"/>
  <c r="L43" i="9"/>
  <c r="M43" i="9"/>
  <c r="N43" i="9"/>
  <c r="O43" i="9"/>
  <c r="A44" i="9"/>
  <c r="D44" i="9"/>
  <c r="E44" i="9"/>
  <c r="G44" i="9"/>
  <c r="H44" i="9"/>
  <c r="I44" i="9"/>
  <c r="J44" i="9"/>
  <c r="K44" i="9"/>
  <c r="L44" i="9"/>
  <c r="M44" i="9"/>
  <c r="N44" i="9"/>
  <c r="O44" i="9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8" i="10"/>
  <c r="H38" i="10"/>
  <c r="I38" i="10"/>
  <c r="K38" i="10"/>
  <c r="J38" i="10"/>
  <c r="M38" i="10"/>
  <c r="T38" i="10"/>
  <c r="U38" i="10"/>
  <c r="V38" i="10"/>
  <c r="X38" i="10"/>
  <c r="W38" i="10"/>
  <c r="J37" i="11"/>
  <c r="J32" i="11"/>
  <c r="J33" i="11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K22" i="9"/>
  <c r="J28" i="11"/>
  <c r="J29" i="11"/>
  <c r="J30" i="11"/>
  <c r="J31" i="11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J21" i="11"/>
  <c r="J22" i="11"/>
  <c r="J23" i="11"/>
  <c r="J24" i="11"/>
  <c r="J25" i="11"/>
  <c r="J26" i="11"/>
  <c r="J27" i="11"/>
  <c r="J34" i="11"/>
  <c r="J35" i="11"/>
  <c r="J36" i="11"/>
  <c r="J38" i="11"/>
  <c r="J39" i="11"/>
  <c r="A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G21" i="10"/>
  <c r="H21" i="10"/>
  <c r="I21" i="10"/>
  <c r="J21" i="10"/>
  <c r="K21" i="10"/>
  <c r="L21" i="10"/>
  <c r="M21" i="10"/>
  <c r="M40" i="10"/>
  <c r="N40" i="10"/>
  <c r="Q40" i="10"/>
  <c r="P40" i="10"/>
  <c r="R40" i="10"/>
  <c r="O40" i="10"/>
  <c r="S40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M44" i="10"/>
  <c r="N44" i="10"/>
  <c r="Q44" i="10"/>
  <c r="P44" i="10"/>
  <c r="R44" i="10"/>
  <c r="O44" i="10"/>
  <c r="S44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J13" i="11"/>
  <c r="J15" i="11"/>
  <c r="J16" i="11"/>
  <c r="J17" i="11"/>
  <c r="J18" i="11"/>
  <c r="J19" i="11"/>
  <c r="J20" i="11"/>
  <c r="J14" i="11"/>
  <c r="J12" i="11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J3" i="11"/>
  <c r="J4" i="11"/>
  <c r="J5" i="11"/>
  <c r="J6" i="11"/>
  <c r="J7" i="11"/>
  <c r="J8" i="11"/>
  <c r="J9" i="11"/>
  <c r="J10" i="11"/>
  <c r="J11" i="11"/>
  <c r="J2" i="11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I6" i="21"/>
  <c r="G6" i="21"/>
  <c r="F6" i="21"/>
  <c r="D6" i="21"/>
  <c r="C6" i="21"/>
  <c r="I5" i="21"/>
  <c r="G5" i="21"/>
  <c r="F5" i="21"/>
  <c r="D5" i="21"/>
  <c r="C5" i="21"/>
  <c r="I3" i="21"/>
  <c r="G3" i="21"/>
  <c r="F3" i="21"/>
  <c r="D3" i="21"/>
  <c r="C3" i="21"/>
  <c r="W3" i="7"/>
  <c r="U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J3" i="7"/>
  <c r="I3" i="7"/>
  <c r="D3" i="7"/>
  <c r="F3" i="7"/>
  <c r="E3" i="7"/>
  <c r="A3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H5" i="2"/>
  <c r="E5" i="2"/>
  <c r="D5" i="2"/>
  <c r="H2" i="1"/>
  <c r="H3" i="1"/>
  <c r="H4" i="1"/>
  <c r="H5" i="1"/>
  <c r="B5" i="2"/>
  <c r="H4" i="2"/>
  <c r="E4" i="2"/>
  <c r="D4" i="2"/>
  <c r="B4" i="2"/>
  <c r="H3" i="2"/>
  <c r="E3" i="2"/>
  <c r="D3" i="2"/>
  <c r="B3" i="2"/>
  <c r="AD5" i="1"/>
  <c r="AF5" i="1"/>
  <c r="AI5" i="1"/>
  <c r="AG5" i="1"/>
  <c r="AE5" i="1"/>
  <c r="E2" i="9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N3" i="22"/>
  <c r="G3" i="22"/>
  <c r="F3" i="22"/>
  <c r="D3" i="22"/>
  <c r="C3" i="22"/>
  <c r="A3" i="22"/>
  <c r="V2" i="1"/>
  <c r="T2" i="1"/>
  <c r="E13" i="16"/>
  <c r="N2" i="22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<sst xmlns="http://schemas.openxmlformats.org/spreadsheetml/2006/main" count="829" uniqueCount="419">
  <si>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</si>
  <si>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</si>
  <si>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</si>
  <si>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</si>
  <si>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</si>
  <si>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</si>
  <si>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</si>
  <si>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</si>
  <si>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</si>
  <si>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</si>
  <si>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</si>
  <si>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</si>
  <si>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</si>
  <si>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</si>
  <si>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</si>
  <si>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</si>
  <si>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</si>
  <si>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</si>
  <si>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</si>
  <si>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</si>
  <si>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</si>
  <si>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</si>
  <si>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</si>
  <si>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</si>
  <si>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</si>
  <si>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</si>
  <si>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</si>
  <si>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</si>
  <si>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</si>
  <si>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</si>
  <si>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</si>
  <si>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</si>
  <si>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</si>
  <si>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</si>
  <si>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</si>
  <si>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</si>
  <si>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</si>
  <si>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</si>
  <si>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</si>
  <si>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</si>
  <si>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</si>
  <si>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</si>
  <si>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</si>
  <si>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</si>
  <si>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</si>
  <si>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</si>
  <si>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</si>
  <si>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</si>
  <si>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</si>
  <si>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</si>
  <si>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</si>
  <si>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</si>
  <si>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</si>
  <si>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</si>
  <si>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</si>
  <si>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</si>
  <si>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</si>
  <si>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</si>
  <si>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</si>
  <si>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</si>
  <si>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</si>
  <si>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</si>
  <si>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</si>
  <si>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</si>
  <si>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</si>
  <si>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</si>
  <si>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</si>
  <si>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</si>
  <si>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</si>
  <si>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</si>
  <si>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</si>
  <si>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</si>
  <si>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</si>
  <si>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</si>
  <si>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</si>
  <si>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</si>
  <si>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</si>
  <si>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</si>
  <si>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</si>
  <si>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</si>
  <si>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</si>
  <si>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</si>
  <si>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</si>
  <si>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</si>
  <si>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</si>
  <si>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</si>
  <si>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</si>
  <si>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</si>
  <si>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</si>
  <si>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</si>
  <si>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</si>
  <si>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</si>
  <si>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</si>
  <si>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</si>
  <si>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</si>
  <si>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</si>
  <si>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</si>
  <si>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</si>
  <si>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</si>
  <si>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</si>
  <si>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</si>
  <si>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</si>
  <si>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</si>
  <si>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</si>
  <si>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</si>
  <si>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</si>
  <si>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</si>
  <si>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</si>
  <si>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</si>
  <si>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</si>
  <si>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</si>
  <si>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</si>
  <si>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</si>
  <si>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</si>
  <si>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</si>
  <si>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</si>
  <si>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</si>
  <si>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</si>
  <si>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</si>
  <si>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</si>
  <si>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</si>
  <si>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</si>
  <si>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</si>
  <si>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</si>
  <si>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</si>
  <si>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</si>
  <si>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</si>
  <si>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</si>
  <si>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</si>
  <si>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</si>
  <si>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</si>
  <si>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</si>
  <si>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</si>
  <si>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</si>
  <si>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</si>
  <si>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</si>
  <si>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</si>
  <si>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</si>
  <si>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</si>
  <si>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</si>
  <si>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</si>
  <si>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</si>
  <si>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</si>
  <si>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</si>
  <si>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</si>
  <si>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</si>
  <si>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</si>
  <si>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</si>
  <si>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</si>
  <si>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</si>
  <si>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</si>
  <si>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</si>
  <si>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</si>
  <si>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</si>
  <si>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</si>
  <si>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</si>
  <si>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</si>
  <si>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</si>
  <si>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</si>
  <si>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</si>
  <si>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</si>
  <si>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</si>
  <si>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</si>
  <si>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</si>
  <si>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</si>
  <si>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</si>
  <si>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</si>
  <si>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</si>
  <si>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</si>
  <si>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</si>
  <si>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</si>
  <si>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</si>
  <si>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</si>
  <si>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</si>
  <si>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</si>
  <si>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</si>
  <si>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</si>
  <si>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</si>
  <si>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</si>
  <si>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</si>
  <si>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</si>
  <si>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</si>
  <si>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</si>
  <si>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</si>
  <si>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</si>
  <si>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</si>
  <si>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</si>
  <si>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</si>
  <si>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</si>
  <si>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</si>
  <si>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</si>
  <si>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</si>
  <si>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</si>
  <si>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</si>
  <si>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</si>
  <si>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</si>
  <si>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</si>
  <si>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</si>
  <si>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</si>
  <si>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</si>
  <si>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</si>
  <si>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</si>
  <si>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</si>
  <si>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</si>
  <si>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</si>
  <si>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</si>
  <si>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</si>
  <si>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</si>
  <si>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</si>
  <si>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</si>
  <si>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</si>
  <si>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</si>
  <si>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</si>
  <si>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</si>
  <si>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</si>
  <si>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</si>
  <si>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</si>
  <si>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</si>
  <si>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</si>
  <si>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</si>
  <si>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</si>
  <si>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</si>
  <si>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</si>
  <si>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</si>
  <si>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</si>
  <si>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</si>
  <si>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</si>
  <si>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</si>
  <si>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</si>
  <si>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</si>
  <si>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</si>
  <si>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</si>
  <si>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</si>
  <si>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</si>
  <si>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</si>
  <si>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</si>
  <si>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</si>
  <si>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</si>
  <si>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</si>
  <si>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</si>
  <si>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</si>
  <si>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</si>
  <si>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</si>
  <si>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</si>
  <si>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</si>
  <si>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</si>
  <si>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</si>
  <si>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</si>
  <si>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</si>
  <si>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</si>
  <si>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bit</t>
    <phoneticPr fontId="5"/>
  </si>
  <si>
    <t>null</t>
    <phoneticPr fontId="5"/>
  </si>
  <si>
    <t>singleonly</t>
    <phoneticPr fontId="5"/>
  </si>
  <si>
    <t>unit</t>
  </si>
  <si>
    <t>link</t>
  </si>
  <si>
    <t>(データの流れが嫌な感じだ…）</t>
    <phoneticPr fontId="5"/>
  </si>
  <si>
    <t>30回連続攻撃</t>
    <phoneticPr fontId="5"/>
  </si>
  <si>
    <t>null</t>
    <phoneticPr fontId="5"/>
  </si>
  <si>
    <t>null</t>
    <phoneticPr fontId="5"/>
  </si>
  <si>
    <t>残りHPの80%ダメージ！</t>
    <phoneticPr fontId="5"/>
  </si>
  <si>
    <t>お邪魔パネル吸収攻撃</t>
    <phoneticPr fontId="5"/>
  </si>
  <si>
    <t>お邪魔パネルを吸収して回復</t>
    <phoneticPr fontId="5"/>
  </si>
  <si>
    <t>攻撃力UP+お邪魔パネル7個生成</t>
    <phoneticPr fontId="5"/>
  </si>
  <si>
    <t>null</t>
    <phoneticPr fontId="5"/>
  </si>
  <si>
    <t>null</t>
    <phoneticPr fontId="5"/>
  </si>
  <si>
    <t>null</t>
    <phoneticPr fontId="5"/>
  </si>
  <si>
    <t>[effect:enhance_enemy, target:myself, turn:-1, status:attack, val:2000, calc:add, animation:enemy_enhance_attack],[effect:force_change_block, new_block:jammer, target:block_all, ignore01:jammer, ignore02:time_bomb, ignore03:crash, ignore04:damage, count:7, val:0, animation:change_block]</t>
    <phoneticPr fontId="5"/>
  </si>
  <si>
    <t>フィーバーゲージ減少+全てのプラス効果を解除</t>
    <phoneticPr fontId="5"/>
  </si>
  <si>
    <t>null</t>
    <phoneticPr fontId="5"/>
  </si>
  <si>
    <t>null</t>
    <phoneticPr fontId="5"/>
  </si>
  <si>
    <t>null</t>
    <phoneticPr fontId="5"/>
  </si>
  <si>
    <t>危険な恋をプレゼント…♪</t>
    <rPh sb="0" eb="2">
      <t>キケンナ</t>
    </rPh>
    <rPh sb="3" eb="4">
      <t>コイ</t>
    </rPh>
    <phoneticPr fontId="5"/>
  </si>
  <si>
    <t>刺激的すぎるかい？</t>
    <rPh sb="0" eb="3">
      <t>シゲキテキ</t>
    </rPh>
    <phoneticPr fontId="5"/>
  </si>
  <si>
    <t>傷つくのが怖いかい？</t>
    <rPh sb="0" eb="1">
      <t>キズツク</t>
    </rPh>
    <rPh sb="5" eb="6">
      <t>コワイ</t>
    </rPh>
    <phoneticPr fontId="5"/>
  </si>
  <si>
    <t>盲目的な恋だね♪</t>
    <rPh sb="0" eb="3">
      <t>モウモクテキ</t>
    </rPh>
    <rPh sb="4" eb="5">
      <t>コイ</t>
    </rPh>
    <phoneticPr fontId="5"/>
  </si>
  <si>
    <t>略奪愛さ♪</t>
    <rPh sb="0" eb="3">
      <t>リャクダツアイ</t>
    </rPh>
    <phoneticPr fontId="5"/>
  </si>
  <si>
    <t>優しさも必要さ♪</t>
    <rPh sb="0" eb="1">
      <t>ヤサシサ</t>
    </rPh>
    <rPh sb="4" eb="6">
      <t>ヒツヨウ</t>
    </rPh>
    <phoneticPr fontId="5"/>
  </si>
  <si>
    <t>心変わり…♪</t>
    <rPh sb="0" eb="2">
      <t>ココロガワリ</t>
    </rPh>
    <phoneticPr fontId="5"/>
  </si>
  <si>
    <t>移り気もアリかな♪</t>
    <rPh sb="0" eb="1">
      <t>ウツリケ</t>
    </rPh>
    <phoneticPr fontId="5"/>
  </si>
  <si>
    <t>塗り替えてみせるさ！</t>
    <rPh sb="0" eb="1">
      <t>ヌリカエテ</t>
    </rPh>
    <phoneticPr fontId="5"/>
  </si>
  <si>
    <t>上書き保存、ってね♪</t>
    <rPh sb="0" eb="2">
      <t>ウワガキホゾn</t>
    </rPh>
    <phoneticPr fontId="5"/>
  </si>
  <si>
    <t>さぁ身を委ねて…</t>
    <rPh sb="2" eb="3">
      <t>ミヲユダネ</t>
    </rPh>
    <phoneticPr fontId="5"/>
  </si>
  <si>
    <t>破滅的な恋なのさ！</t>
    <rPh sb="0" eb="2">
      <t>ハメツ</t>
    </rPh>
    <rPh sb="2" eb="3">
      <t>テキ</t>
    </rPh>
    <rPh sb="4" eb="5">
      <t>コイ</t>
    </rPh>
    <phoneticPr fontId="5"/>
  </si>
  <si>
    <t>ラブ・バースト！</t>
    <phoneticPr fontId="5"/>
  </si>
  <si>
    <t>いくわよ！覚悟しなさい！</t>
    <rPh sb="5" eb="7">
      <t>カクゴ</t>
    </rPh>
    <phoneticPr fontId="5"/>
  </si>
  <si>
    <t>ヴィアベル・クーゲル</t>
    <phoneticPr fontId="5"/>
  </si>
  <si>
    <t>なかなかやるわね…</t>
    <phoneticPr fontId="5"/>
  </si>
  <si>
    <t>どう？つらいんじゃない？</t>
    <phoneticPr fontId="5"/>
  </si>
  <si>
    <t>その程度かしら？</t>
    <phoneticPr fontId="5"/>
  </si>
  <si>
    <t>手加減やめなさいよ！</t>
    <rPh sb="0" eb="3">
      <t>テカゲn</t>
    </rPh>
    <phoneticPr fontId="5"/>
  </si>
  <si>
    <t>本気、出してあげるわ…！</t>
    <rPh sb="0" eb="2">
      <t>ホンキ</t>
    </rPh>
    <rPh sb="3" eb="4">
      <t>ダシテアゲル</t>
    </rPh>
    <phoneticPr fontId="5"/>
  </si>
  <si>
    <t>あたしは自由なのよ！</t>
    <rPh sb="4" eb="6">
      <t>ジユウ</t>
    </rPh>
    <phoneticPr fontId="5"/>
  </si>
  <si>
    <t>冷怒の相</t>
    <phoneticPr fontId="5"/>
  </si>
  <si>
    <t>水司の氷壁</t>
    <phoneticPr fontId="5"/>
  </si>
  <si>
    <t>生命の流動</t>
    <phoneticPr fontId="5"/>
  </si>
  <si>
    <t>時間の衝突</t>
    <phoneticPr fontId="5"/>
  </si>
  <si>
    <t>時間の流動</t>
    <phoneticPr fontId="5"/>
  </si>
  <si>
    <t>恨みっこなし…ね？</t>
    <rPh sb="0" eb="1">
      <t>ウラミッコ</t>
    </rPh>
    <phoneticPr fontId="5"/>
  </si>
  <si>
    <t>溜め込むと…痛い…</t>
    <rPh sb="0" eb="1">
      <t>タメコムト</t>
    </rPh>
    <rPh sb="6" eb="7">
      <t>イタイ</t>
    </rPh>
    <phoneticPr fontId="5"/>
  </si>
  <si>
    <t>ガベージデータ・クリア</t>
    <phoneticPr fontId="5"/>
  </si>
  <si>
    <t>こないで…ね…？</t>
    <phoneticPr fontId="5"/>
  </si>
  <si>
    <t>あなたが…悪いの…</t>
    <rPh sb="5" eb="6">
      <t>ワルイノ</t>
    </rPh>
    <phoneticPr fontId="5"/>
  </si>
  <si>
    <t>ねぇ…苦しい…？</t>
    <rPh sb="3" eb="4">
      <t>クルシイ</t>
    </rPh>
    <phoneticPr fontId="5"/>
  </si>
  <si>
    <t>トラッシュデータサイクロン</t>
    <phoneticPr fontId="5"/>
  </si>
  <si>
    <t>どれから消す？迷っちゃう？</t>
    <rPh sb="4" eb="5">
      <t>ケス</t>
    </rPh>
    <rPh sb="7" eb="8">
      <t>マヨッチャウ</t>
    </rPh>
    <phoneticPr fontId="5"/>
  </si>
  <si>
    <t>うふふ、シビれちゃう？</t>
    <phoneticPr fontId="5"/>
  </si>
  <si>
    <t>それ、交換しましょ〜？</t>
    <rPh sb="3" eb="5">
      <t>コウカn</t>
    </rPh>
    <phoneticPr fontId="5"/>
  </si>
  <si>
    <t>赤いのちょうだ〜い</t>
    <rPh sb="0" eb="1">
      <t>アカイノ</t>
    </rPh>
    <phoneticPr fontId="5"/>
  </si>
  <si>
    <t>安らぎも必要なのよ〜ぅ</t>
    <rPh sb="0" eb="1">
      <t>ヤスラギ</t>
    </rPh>
    <rPh sb="4" eb="6">
      <t>ヒツヨウ</t>
    </rPh>
    <phoneticPr fontId="5"/>
  </si>
  <si>
    <t>はぅ〜癒される〜</t>
    <rPh sb="3" eb="4">
      <t>イヤサレル</t>
    </rPh>
    <phoneticPr fontId="5"/>
  </si>
  <si>
    <t>ちょっと！
データ大きすぎよぉ！</t>
    <rPh sb="9" eb="10">
      <t>オオキ</t>
    </rPh>
    <phoneticPr fontId="5"/>
  </si>
  <si>
    <t>はぅ…
データあふれちゃう…！</t>
    <phoneticPr fontId="5"/>
  </si>
  <si>
    <t>あなた…私の…
邪魔する…？</t>
    <rPh sb="4" eb="5">
      <t>ワタシノ</t>
    </rPh>
    <rPh sb="8" eb="10">
      <t>ジャマ</t>
    </rPh>
    <phoneticPr fontId="5"/>
  </si>
  <si>
    <t>溜めて…壊す…
うふふふふふふ</t>
    <rPh sb="0" eb="1">
      <t>タメテ</t>
    </rPh>
    <rPh sb="4" eb="5">
      <t>コワス</t>
    </rPh>
    <phoneticPr fontId="5"/>
  </si>
  <si>
    <t>止められない…
ごめんね…？</t>
    <rPh sb="0" eb="1">
      <t>トメラレナイ</t>
    </rPh>
    <phoneticPr fontId="5"/>
  </si>
  <si>
    <t>[effect:enemy_message, val1:1.8, val2:1.8],[effect:damage_gravity, val:0.8, animation:fevergauge_down],[effect:suicide, val:1, dead_type:escape, target:myself]</t>
    <phoneticPr fontId="5"/>
  </si>
  <si>
    <t>[effect:spread, val:0.25],[effect:enemy_message, val1:1.4, val2:2.4]</t>
    <phoneticPr fontId="5"/>
  </si>
  <si>
    <t>[effect:dark, target:unit_all, turn:1, animation:enemy_dark],[effect:rush, count:1, val:1],[effect:enemy_message, val1:1.4, val2:2]</t>
    <phoneticPr fontId="5"/>
  </si>
  <si>
    <t>お邪魔パネルと時限式ダメージパネルを
吸収して全体攻撃</t>
    <phoneticPr fontId="5"/>
  </si>
  <si>
    <t>全体攻撃+次のターンに強力な
時限式ダメージパネル吸収攻撃！</t>
    <phoneticPr fontId="5"/>
  </si>
  <si>
    <t>[effect:change_bomb_range, target:unit_all, val:0.7, rate:1, turn:1, animation:bomb_small],[effect:spread, val:0.24]</t>
    <phoneticPr fontId="5"/>
  </si>
  <si>
    <t>null</t>
    <phoneticPr fontId="5"/>
  </si>
  <si>
    <t>null</t>
    <phoneticPr fontId="5"/>
  </si>
  <si>
    <t>はわわ、気をつけて〜</t>
    <phoneticPr fontId="5"/>
  </si>
  <si>
    <t>時限式ダメージパネルを10個生成+
全体攻撃</t>
    <phoneticPr fontId="5"/>
  </si>
  <si>
    <t>お邪魔パネルを吸収して全体攻撃</t>
    <phoneticPr fontId="5"/>
  </si>
  <si>
    <t>null</t>
    <phoneticPr fontId="5"/>
  </si>
  <si>
    <t>null</t>
    <phoneticPr fontId="5"/>
  </si>
  <si>
    <t>null</t>
    <phoneticPr fontId="5"/>
  </si>
  <si>
    <t>[effect:force_change_block, new_block:block_green, target:block_red, ignore01:crash, ignore02:crack_bomb, ignore03:color_break, count:3, val:0, animation:change_block],[effect:spread, val:0.24]</t>
    <phoneticPr fontId="5"/>
  </si>
  <si>
    <t>[effect:force_change_block, new_block:block_yellow, target:block_green, ignore01:crash, ignore02:crack_bomb, ignore03:color_break, count:3, val:0, animation:change_block],[effect:spread, val:0.24]</t>
    <phoneticPr fontId="5"/>
  </si>
  <si>
    <t>[effect:force_change_block, new_block:block_blue, target:block_yellow, ignore01:crash, ignore02:crack_bomb, ignore03:color_break, count:3, val:0, animation:change_block],[effect:spread, val:0.24]</t>
    <phoneticPr fontId="5"/>
  </si>
  <si>
    <t>[effect:force_change_block, new_block:block_red, target:block_blue, ignore01:crash, ignore02:crack_bomb, ignore03:color_break, count:3, val:0, animation:change_block],[effect:spread, val:0.24]</t>
    <phoneticPr fontId="5"/>
  </si>
  <si>
    <t>[effect:change_bomb_range, target:unit_all, val:0.7, rate:1, turn:3, animation:bomb_small]</t>
    <phoneticPr fontId="5"/>
  </si>
  <si>
    <t>ハートパネルは50％の確率で
お邪魔パネルに変換されてドロップ+状態異常耐性</t>
    <phoneticPr fontId="5"/>
  </si>
  <si>
    <t>Cパネルを全てお邪魔パネルに変換+
ダメージパネル10個生成</t>
    <phoneticPr fontId="5"/>
  </si>
  <si>
    <t>ダメージパネル14個生成</t>
    <rPh sb="9" eb="10">
      <t>コ</t>
    </rPh>
    <rPh sb="10" eb="12">
      <t>セイセイ</t>
    </rPh>
    <phoneticPr fontId="5"/>
  </si>
  <si>
    <t>ハートパネルを吸収して回復+
単体攻撃</t>
    <phoneticPr fontId="5"/>
  </si>
  <si>
    <t>お邪魔パネル10個生成+
全体攻撃</t>
    <phoneticPr fontId="5"/>
  </si>
  <si>
    <t>ダメージパネル7個生成</t>
    <rPh sb="8" eb="9">
      <t>コ</t>
    </rPh>
    <rPh sb="9" eb="11">
      <t>セイセイ</t>
    </rPh>
    <phoneticPr fontId="5"/>
  </si>
  <si>
    <t>お邪魔パネル3個生成+
全体攻撃</t>
    <phoneticPr fontId="5"/>
  </si>
  <si>
    <t>フィーバーゲージ減少+お邪魔パネルドロップ解除+
お邪魔パネルを3個生成+状態異常耐性</t>
    <phoneticPr fontId="5"/>
  </si>
  <si>
    <t>時限式ダメージパネル7個生成+
お邪魔パネル7個生成+全体攻撃</t>
    <phoneticPr fontId="5"/>
  </si>
  <si>
    <t>青以外のパネルをお邪魔パネルに変換+
全体攻撃</t>
    <phoneticPr fontId="5"/>
  </si>
  <si>
    <t>時限式ダメージパネル7個生成+
全体攻撃</t>
    <phoneticPr fontId="5"/>
  </si>
  <si>
    <t>時限式ダメージパネルを吸収して回復（最大2個）</t>
    <rPh sb="18" eb="20">
      <t>サイダイ</t>
    </rPh>
    <rPh sb="21" eb="22">
      <t>コ</t>
    </rPh>
    <phoneticPr fontId="5"/>
  </si>
  <si>
    <t>時限式ダメージパネルを吸収して強力な攻撃</t>
    <rPh sb="15" eb="17">
      <t>キョウリョクナ</t>
    </rPh>
    <phoneticPr fontId="5"/>
  </si>
  <si>
    <t>1ターン暗闇+単体攻撃</t>
    <phoneticPr fontId="5"/>
  </si>
  <si>
    <t>フィーバーゲージ減少+全体攻撃</t>
    <phoneticPr fontId="5"/>
  </si>
  <si>
    <t>3ターンボムの爆風を30%DOWN</t>
    <phoneticPr fontId="5"/>
  </si>
  <si>
    <t>1ターンボムの爆風を30%DOWN+全体攻撃</t>
    <rPh sb="7" eb="9">
      <t>バクフウ</t>
    </rPh>
    <phoneticPr fontId="5"/>
  </si>
  <si>
    <t>次のターン強力なハートパネル吸収攻撃！</t>
    <rPh sb="0" eb="1">
      <t>ツギ</t>
    </rPh>
    <rPh sb="5" eb="7">
      <t>キョウリョク</t>
    </rPh>
    <rPh sb="14" eb="16">
      <t>キュウシュウ</t>
    </rPh>
    <rPh sb="16" eb="18">
      <t>コウゲキ</t>
    </rPh>
    <phoneticPr fontId="5"/>
  </si>
  <si>
    <t>ハートパネルを吸収して強力な攻撃</t>
    <rPh sb="7" eb="9">
      <t>キュウシュウ</t>
    </rPh>
    <rPh sb="11" eb="13">
      <t>キョウリョクナ</t>
    </rPh>
    <rPh sb="14" eb="16">
      <t>ハカイコウゲキ</t>
    </rPh>
    <phoneticPr fontId="5"/>
  </si>
  <si>
    <t>[effect:force_change_block, new_block:damage, target:block_all, ignore01:crash, ignore02:time_bomb, ignore03:color_break, ignore04:damage, color:block_red, count:14, val:0.08, animation:change_block]</t>
    <phoneticPr fontId="5"/>
  </si>
  <si>
    <t>[effect:force_change_block, new_block:damage, target:block_all, ignore01:crash, ignore02:time_bomb, ignore03:color_break, ignore04:damage, color:block_red, count:7, val:0.09, animation:change_block],[effect:enemy_message, val1:1.4, val2:2]</t>
    <phoneticPr fontId="5"/>
  </si>
  <si>
    <t>[effect:break_attack_fix, target:unit_all, val:850, lowest_val:1500, count:-1, color:red, block01:jammer]</t>
    <phoneticPr fontId="5"/>
  </si>
  <si>
    <t>[effect:break_attack, target:unit_one, val:0.01, lowest_val:9000, count:-1, color:red, block01:time_bomb]</t>
    <phoneticPr fontId="5"/>
  </si>
  <si>
    <t>[effect:break_attack, target:unit_all, val:0.02, lowest_val:1220, count:-1, color:blue, block01:jammer]</t>
    <phoneticPr fontId="5"/>
  </si>
  <si>
    <t>[effect:fix_speed, target:myself, turn:1],[effect:enemy_message, val1:1.4, val2:1.7]</t>
    <phoneticPr fontId="5"/>
  </si>
  <si>
    <t>[effect:rush, count:30, val:0.083],[effect:enemy_message, val1:1.4, val2:1.6]</t>
    <phoneticPr fontId="5"/>
  </si>
  <si>
    <t>[effect:rush, count:2, val:0.6],[effect:hungup, target:unit_one/unit_one/unit_one, turn:2, rate:1, animation:hungup01],[effect:enemy_message, val1:1.4, val2:2.2]</t>
    <phoneticPr fontId="5"/>
  </si>
  <si>
    <t>[effect:virus, turn:1, target:unit_all, rate:1, val:0.4, animation:enemy_virus],[effect:spread, val:0.35],[effect:enemy_message, val1:1.4, val2:2]</t>
    <phoneticPr fontId="5"/>
  </si>
  <si>
    <t>[effect:force_change_block, new_block:time_bomb, target:block_all, ignore:jammer, ignore02:time_bomb, count:10, val:0.2, min_time_count:2, max_time_count:5, animation:change_block],[effect:spread, val:0.35],[effect:enemy_message, val1:1.4, val2:2.2]</t>
    <phoneticPr fontId="5"/>
  </si>
  <si>
    <t>[effect:drop_block, block_type:jammer, color:block_heart, val:0, rate:0.5, turn:-1, animation:jammer_influence04],[effect:tolerance, target:myself, turn:-1, count:-1, tolerance_effect:all, animation:enemy_tolerance],[effect:enemy_message, val1:1.4, val2:3.1]</t>
    <phoneticPr fontId="5"/>
  </si>
  <si>
    <t>[effect:break_heal_fix, target:myself, val:150, lowest_val:1000, count:-1, block01:block_heart, animation:enemy_heal],[effect:rush, count:1, val:1.15],[effect:enemy_message, val1:1.4, val2:1.9]</t>
    <phoneticPr fontId="5"/>
  </si>
  <si>
    <t>[effect:force_change_block, new_block:jammer, target:block_all, ignore01:jammer, ignore02:time_bomb, ignore03:crash, ignore04:damage, count:10, val:0, animation:change_block],[effect:spread, val:0.29],[effect:enemy_message, val1:1.4, val2:1.9]</t>
    <phoneticPr fontId="5"/>
  </si>
  <si>
    <t>[effect:break_heal_fix, target:myself, val:4850, lowest_val:2, count:1, block01:jammer, animation:enemy_heal],[effect:break_heal_fix, target:myself, val:2200, lowest_val:6, count:19, block01:block_green, animation:enemy_heal],[effect:enemy_message, val1:1.4, val2:2.1]</t>
    <phoneticPr fontId="5"/>
  </si>
  <si>
    <t>[effect:break_attack, target:unit_all, val:0.02, lowest_val:1260, count:-1, color:blue, block01:jammer, block02:time_bomb],[effect:enemy_message, val1:1.4, val2:2.5]</t>
    <phoneticPr fontId="5"/>
  </si>
  <si>
    <t>[effect:force_change_block, new_block:time_bomb, target:block_all, color:block_blue, count:7, val:0.25, min_time_count:2, max_time_count:2, animation:change_block],[effect:spread, val:0.29]</t>
    <phoneticPr fontId="5"/>
  </si>
  <si>
    <t>[effect:enemy_message, val1:1, val2:2.0],[effect:force_change_block, new_block:jammer, target:block_all, ignore01:block_blue, count:0, val:0],[effect:spread, val:0.29]</t>
    <phoneticPr fontId="5"/>
  </si>
  <si>
    <t>[effect:enemy_message, val1:1, val2:2.3],[effect:break_heal_fix, target:myself, val:35000, lowest_val:800, count:2, block01:time_bomb, animation:enemy_heal]</t>
    <phoneticPr fontId="5"/>
  </si>
  <si>
    <t>[effect:drop_block, block_type:time_bomb, block_color:block_heart, color:block_heart, val:0.49, rate:1, turn:-1, animation:time_bomb_influence04],[effect:enemy_message, val1:1.4, val2:2.4]</t>
    <phoneticPr fontId="5"/>
  </si>
  <si>
    <t>[effect:break_attack_fix, val:2500, lowest_val:4000, count:-1, block:block_heart, target:unit_all]</t>
    <phoneticPr fontId="5"/>
  </si>
  <si>
    <t xml:space="preserve">[effect:force_change_block, new_block:jammer, target:block_all, ignore01:jammer, ignore02:time_bomb, ignore03:crash, ignore04:damage, count:3, val:0, animation:change_block],[effect:spread, val:0.28] </t>
    <phoneticPr fontId="5"/>
  </si>
  <si>
    <t>[effect:break_attack_fix, target:unit_all, val:60, lowest_val:2400, count:7, color:blue, block01:block_yellow, block02:crash],[effect:force_change_block, new_block:time_bomb, target:block_all, color:block_yellow, count:2, val:0.2, min_time_count:2, max_time_count:3, animation:change_block],[effect:enemy_message, val1:1.4, val2:2.4]</t>
    <phoneticPr fontId="5"/>
  </si>
  <si>
    <t>[effect:break_attack_fix, target:unit_all, val:60, lowest_val:2400, count:7, color:blue, block01:block_green, block02:crash],[effect:force_change_block, new_block:time_bomb, target:block_all, color:block_green, count:3, val:0.2, min_time_count:2, max_time_count:3, animation:change_block],[effect:enemy_message, val1:1.4, val2:2.4]</t>
    <phoneticPr fontId="5"/>
  </si>
  <si>
    <t>[effect:break_attack_fix, target:unit_all, val:60, lowest_val:2400, count:7, color:blue, block01:block_blue, block02:crash],[effect:force_change_block, new_block:time_bomb, target:block_all, color:block_blue, count:3, val:0.2, min_time_count:2, max_time_count:3, animation:change_block],[effect:enemy_message, val1:1.4, val2:2.4]</t>
    <phoneticPr fontId="5"/>
  </si>
  <si>
    <t xml:space="preserve">[effect:break_heal_ratio, target:myself, val:0.01, lowest_val:800, count:-1, block01:jammer, animation:enemy_heal]    </t>
    <phoneticPr fontId="5"/>
  </si>
  <si>
    <t>[effect:enemy_message, val1:1.3, val2:3.2],[effect:damage_anti_color,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count:8, val:0]</t>
    <phoneticPr fontId="5"/>
  </si>
  <si>
    <t>ジーナが限界を訴えはじめたら
彼女に次のターンが回る前に
攻撃を集中して倒しましょう</t>
    <phoneticPr fontId="5"/>
  </si>
  <si>
    <t>ジーナのパネル吸収攻撃は
Cパネルも一緒に吸収してきます
注意しましょう</t>
    <phoneticPr fontId="5"/>
  </si>
  <si>
    <t>ティアマトは時限式パネルとお邪魔パネルを
同時に生成するスキルを使用します
それぞれ吸収攻撃の対象にもなるので
注意しましょう</t>
    <phoneticPr fontId="5"/>
  </si>
  <si>
    <t>カーマのフロアではハートパネルがドロップ
しません</t>
    <phoneticPr fontId="5"/>
  </si>
  <si>
    <t>カーマの2ゲージ目はHPが一定以下で
強力なハートパネル吸収攻撃を使用します
スキルでハートパネルを生成する際は
注意しましょう</t>
    <phoneticPr fontId="5"/>
  </si>
  <si>
    <t>ティアマトの1ゲージ目はHPが一定以下に
なると大ダメージの割合攻撃を使用します</t>
    <phoneticPr fontId="5"/>
  </si>
  <si>
    <t>ジーナはHPが一定以下になると
強力なウィルスを使用するようになります</t>
    <phoneticPr fontId="5"/>
  </si>
  <si>
    <t>カーリーはCパネルを
お邪魔パネルに変換するスキルを使用します</t>
    <phoneticPr fontId="5"/>
  </si>
  <si>
    <t>カーリーはお邪魔パネルとダメージパネルを
大量に生成してきます
対応できるユニットを連れていきましょう</t>
    <phoneticPr fontId="5"/>
  </si>
  <si>
    <t>状態異常耐性+
10ターンウィルス状態</t>
    <phoneticPr fontId="5"/>
  </si>
  <si>
    <t>1ターン超強力なウィルス+
全体攻撃</t>
    <phoneticPr fontId="5"/>
  </si>
  <si>
    <t>Cパネルと黄パネル吸収攻撃+
黄の時限式ダメージパネルを2個生成</t>
    <phoneticPr fontId="5"/>
  </si>
  <si>
    <t>Cパネルと赤パネル吸収攻撃+
赤の時限式ダメージパネルを3個生成</t>
    <phoneticPr fontId="5"/>
  </si>
  <si>
    <t>Cパネルと緑パネル吸収攻撃+
緑の時限式ダメージパネルを3個生成</t>
    <phoneticPr fontId="5"/>
  </si>
  <si>
    <t>Cパネルと青パネル吸収攻撃+
青の時限式ダメージパネルを3個生成</t>
    <phoneticPr fontId="5"/>
  </si>
  <si>
    <t>最大3体に2ターンスキルバインド+
2回連続攻撃</t>
    <phoneticPr fontId="5"/>
  </si>
  <si>
    <t>[effect:force_change_block, new_block:jammer, target:crash, ignore01:block_heart, ignore02:time_bomb, ignore03:jammer, ignore04:damage, count:0, val:0, animation:change_block],[effect:force_change_block, new_block:damage, target:block_all, ignore01:crash, ignore02:time_bomb, ignore03:color_break, ignore04:damage, color:block_red, count:10, val:0.08, animation:change_block],[effect:enemy_message, val1:1.4, val2:2.4]</t>
    <phoneticPr fontId="5"/>
  </si>
  <si>
    <t>お邪魔パネルと緑パネルを吸収して回復
(最大お邪魔パネル1個と緑パネル19個)</t>
    <phoneticPr fontId="5"/>
  </si>
  <si>
    <t>時限式ダメージパネル12個生成+
お邪魔パネル7個生成+全体攻撃</t>
    <phoneticPr fontId="5"/>
  </si>
  <si>
    <t>[effect:force_change_block, new_block:time_bomb, target:block_all, ignore01:jammer, ignore02:time_bomb, ignore03:crash, ignore04:color_break, color:block_blue, count:7, val:0.3, min_time_count:2, max_time_count:3, animation:change_block],[effect:force_change_block, new_block:jammer, target:block_all, ignore01:jammer, ignore02:time_bomb, ignore03:crash, ignore04:damage, count:7, val:0, animation:change_block],[effect:spread, val:0.23],[effect:enemy_message, val1:1.4, val2:2.5]</t>
    <phoneticPr fontId="5"/>
  </si>
  <si>
    <t>[effect:force_change_block, new_block:time_bomb, target:block_all, ignore01:jammer, ignore02:time_bomb, ignore03:crash, ignore04:color_break, color:block_blue, count:12, val:0.3, min_time_count:2, max_time_count:3, animation:change_block],[effect:force_change_block, new_block:jammer, target:block_all, ignore01:jammer, ignore02:time_bomb, ignore03:crash, ignore04:damage, count:7, val:0, animation:change_block],[effect:spread, val:0.24],[effect:enemy_message, val1:1.4, val2:2.5]</t>
    <phoneticPr fontId="5"/>
  </si>
  <si>
    <t>3回連続全体攻撃（赤属性・種族アニマル・回復タイプの
ユニットに大ダメージ)+お邪魔パネルを8個生成</t>
    <phoneticPr fontId="5"/>
  </si>
  <si>
    <t>ハートパネルは
ハートの時限式ダメージパネルとしてドロップ</t>
    <phoneticPr fontId="5"/>
  </si>
  <si>
    <t>[effect:enemy_message, val1:1.8, val2:3.0],[effect:degrade_fever, val:300, animation:fevergauge_down],[effect:fix_speed, target:myself, turn:1],[effect:remove_enhancement, target:unit_all, target_effect:all, target_type:buff, animation:frozen_wave]</t>
    <phoneticPr fontId="5"/>
  </si>
  <si>
    <t>[effect:enemy_message, val1:1.8, val2:3.2],[effect:degrade_fever, val:300, animation:fevergauge_down],[effect:remove_enhancement, target:unit_all, target_effect:drop_block, target_type:debuff, status:jammer, animation:frozen_wave],[effect:force_change_block, new_block:jammer, target:block_all, ignore01:crash, ignore02:crack_bomb, ignore03:time_bomb, ignore04:jammer, count:3, val:0],[effect:tolerance, target:myself, turn:-1, tolerance_effect:all, count:-1, animation:enemy_tolerance]</t>
    <phoneticPr fontId="5"/>
  </si>
  <si>
    <t>緑を黄パネルに変換(最大3個)+
全体攻撃</t>
    <phoneticPr fontId="5"/>
  </si>
  <si>
    <t>黄を青パネルに変換(最大3個)+
全体攻撃</t>
    <phoneticPr fontId="5"/>
  </si>
  <si>
    <t>青を赤パネルに変換(最大3個)+
全体攻撃</t>
    <phoneticPr fontId="5"/>
  </si>
  <si>
    <t>赤を緑パネルに変換(最大3個)+
全体攻撃</t>
    <phoneticPr fontId="5"/>
  </si>
  <si>
    <t>[effect:spread, val:0.25],[effect:force_change_block, new_block:block_heart, target:block_all, ignore01:crash, ignore02:crack_bomb, ignore03:time_bomb, ignore04:jammer, count:12, val:0, animation:change_block],[effect:enemy_message, val1:1.4, val2:2.3]</t>
    <phoneticPr fontId="5"/>
  </si>
  <si>
    <t>[effect:tolerance, target:myself, turn:-1, tolerance_effect:all, count:-1, animation:enemy_tolerance],[effect:virus, turn:10, target:unit_all, rate:1, val:0.04, animation:enemy_virus],[effect:enemy_message, val1:1.4, val2:2.4]</t>
    <phoneticPr fontId="5"/>
  </si>
  <si>
    <t>[effect:break_attack_fix, target:unit_all, val:60, lowest_val:2400, count:7, color:blue, block01:block_red, block02:crash],[effect:force_change_block, new_block:time_bomb, target:block_all, color:block_red, count:3, val:0.2, min_time_count:2, max_time_count:3, animation:change_block],[effect:enemy_message, val1:1.4, val2:2.4]</t>
    <phoneticPr fontId="5"/>
  </si>
  <si>
    <t>[effect:degrade_fever, val:500, animation:fevergauge_down],[effect:spread, val:0.23]</t>
    <phoneticPr fontId="5"/>
  </si>
  <si>
    <t>13302_13</t>
    <phoneticPr fontId="5"/>
  </si>
  <si>
    <t>old</t>
    <phoneticPr fontId="5"/>
  </si>
  <si>
    <t>old</t>
    <phoneticPr fontId="5"/>
  </si>
  <si>
    <t>old</t>
    <phoneticPr fontId="5"/>
  </si>
  <si>
    <t>old</t>
    <phoneticPr fontId="5"/>
  </si>
  <si>
    <t>old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</si>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</sst>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09AA2"/>
        <bgColor indexed="64"/>
      </patternFill>
    </fill>
    <fill>
      <patternFill patternType="solid">
        <fgColor rgb="FFFFA7B1"/>
        <bgColor indexed="64"/>
      </patternFill>
    </fill>
    <fill>
      <patternFill patternType="solid">
        <fgColor rgb="FF84C9F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0" borderId="12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7" borderId="12" xfId="0" applyFont="1" applyFill="1" applyBorder="1" applyAlignment="1">
      <alignment vertical="center"/>
    </xf>
    <xf numFmtId="0" fontId="16" fillId="37" borderId="12" xfId="0" applyFont="1" applyFill="1" applyBorder="1" applyAlignment="1">
      <alignment horizontal="left" vertical="center" wrapText="1"/>
    </xf>
    <xf numFmtId="0" fontId="16" fillId="37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16" fillId="37" borderId="24" xfId="0" applyFont="1" applyFill="1" applyBorder="1" applyAlignment="1">
      <alignment horizontal="left" vertical="center" wrapText="1"/>
    </xf>
    <xf numFmtId="0" fontId="16" fillId="36" borderId="12" xfId="0" applyFont="1" applyFill="1" applyBorder="1" applyAlignment="1">
      <alignment vertical="center"/>
    </xf>
    <xf numFmtId="0" fontId="16" fillId="36" borderId="12" xfId="0" applyFont="1" applyFill="1" applyBorder="1" applyAlignment="1">
      <alignment horizontal="left" vertical="center" wrapText="1"/>
    </xf>
    <xf numFmtId="0" fontId="16" fillId="36" borderId="23" xfId="0" applyFont="1" applyFill="1" applyBorder="1" applyAlignment="1">
      <alignment vertical="center"/>
    </xf>
    <xf numFmtId="0" fontId="16" fillId="36" borderId="23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1" fillId="36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7B1"/>
      <color rgb="FFFA6259"/>
      <color rgb="FF84C9F1"/>
      <color rgb="FF77B6D9"/>
      <color rgb="FFF09AA2"/>
      <color rgb="FFF99B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413</v>
      </c>
      <c r="B2" s="56" t="s">
        <v>105</v>
      </c>
      <c r="C2" s="61" t="s">
        <v>412</v>
      </c>
      <c r="D2" s="56" t="s">
        <v>106</v>
      </c>
      <c r="E2" s="55" t="str">
        <f>B2&amp;C2&amp;D2</f>
        <v>floors_13302_13.tmp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414</v>
      </c>
      <c r="B3" s="56" t="s">
        <v>108</v>
      </c>
      <c r="C3" s="61" t="s">
        <v>412</v>
      </c>
      <c r="D3" s="56" t="s">
        <v>106</v>
      </c>
      <c r="E3" s="55" t="str">
        <f>B3&amp;C3&amp;D3</f>
        <v>enemy_habitats_13302_13.tmp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176</v>
      </c>
    </row>
    <row r="4" spans="1:30" x14ac:dyDescent="0.15">
      <c r="A4" s="60" t="s">
        <v>413</v>
      </c>
      <c r="B4" s="56" t="s">
        <v>110</v>
      </c>
      <c r="C4" s="61" t="s">
        <v>412</v>
      </c>
      <c r="D4" s="56" t="s">
        <v>106</v>
      </c>
      <c r="E4" s="55" t="str">
        <f>B4&amp;C4&amp;D4</f>
        <v>enemy_habitat_S_13302_13.tmp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185</v>
      </c>
      <c r="B5" s="56" t="s">
        <v>112</v>
      </c>
      <c r="C5" s="61" t="s">
        <v>412</v>
      </c>
      <c r="D5" s="56" t="s">
        <v>106</v>
      </c>
      <c r="E5" s="55" t="str">
        <f>B5&amp;C5&amp;D5</f>
        <v>enemy_skill_sets_13302_13.tmp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185</v>
      </c>
      <c r="B6" s="56" t="s">
        <v>114</v>
      </c>
      <c r="C6" s="61" t="s">
        <v>412</v>
      </c>
      <c r="D6" s="56" t="s">
        <v>115</v>
      </c>
      <c r="E6" s="55" t="str">
        <f t="shared" ref="E6:E10" si="0">B6&amp;C6&amp;D6</f>
        <v>enemy_skills_tmp_13302_13.tmp</v>
      </c>
      <c r="F6" s="56" t="s">
        <v>89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185</v>
      </c>
      <c r="B7" s="56" t="s">
        <v>116</v>
      </c>
      <c r="C7" s="61" t="s">
        <v>412</v>
      </c>
      <c r="D7" s="56" t="s">
        <v>106</v>
      </c>
      <c r="E7" s="55" t="str">
        <f>B7&amp;C7&amp;D7</f>
        <v>enemy_skills_i18n_13302_13.tmp</v>
      </c>
      <c r="F7" s="56" t="s">
        <v>117</v>
      </c>
      <c r="G7" s="57" t="s">
        <v>79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185</v>
      </c>
      <c r="B8" s="56" t="s">
        <v>118</v>
      </c>
      <c r="C8" s="61" t="s">
        <v>412</v>
      </c>
      <c r="D8" s="56" t="s">
        <v>119</v>
      </c>
      <c r="E8" s="55" t="str">
        <f t="shared" si="0"/>
        <v>enemy_skill_triggers_13302_13.tmp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415</v>
      </c>
      <c r="B9" s="66" t="s">
        <v>175</v>
      </c>
      <c r="C9" s="61" t="s">
        <v>412</v>
      </c>
      <c r="D9" s="66" t="s">
        <v>169</v>
      </c>
      <c r="E9" s="67" t="str">
        <f t="shared" si="0"/>
        <v>stage_bug_bonuses_13302_13.tmp</v>
      </c>
      <c r="F9" s="66" t="s">
        <v>170</v>
      </c>
      <c r="G9" s="63" t="s">
        <v>149</v>
      </c>
      <c r="H9" s="63" t="s">
        <v>171</v>
      </c>
      <c r="I9" s="63" t="s">
        <v>172</v>
      </c>
      <c r="J9" s="65" t="s">
        <v>173</v>
      </c>
      <c r="K9" s="63" t="s">
        <v>174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60" t="s">
        <v>185</v>
      </c>
      <c r="B10" s="66" t="s">
        <v>199</v>
      </c>
      <c r="C10" s="61" t="s">
        <v>412</v>
      </c>
      <c r="D10" s="66" t="s">
        <v>178</v>
      </c>
      <c r="E10" s="67" t="str">
        <f t="shared" si="0"/>
        <v>stage_hints_data_c_13302_13.tmp</v>
      </c>
      <c r="F10" s="66" t="s">
        <v>207</v>
      </c>
      <c r="G10" s="71" t="s">
        <v>179</v>
      </c>
      <c r="H10" s="71" t="s">
        <v>171</v>
      </c>
      <c r="I10" s="72" t="s">
        <v>180</v>
      </c>
      <c r="J10" s="65" t="s">
        <v>181</v>
      </c>
      <c r="K10" s="65" t="s">
        <v>182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3" customFormat="1" x14ac:dyDescent="0.15">
      <c r="A11" s="60" t="s">
        <v>416</v>
      </c>
      <c r="B11" s="66" t="s">
        <v>200</v>
      </c>
      <c r="C11" s="61" t="s">
        <v>412</v>
      </c>
      <c r="D11" s="66" t="s">
        <v>169</v>
      </c>
      <c r="E11" s="67" t="str">
        <f t="shared" ref="E11:E13" si="1">B11&amp;C11&amp;D11</f>
        <v>stage_hints_data_f_13302_13.tmp</v>
      </c>
      <c r="F11" s="66" t="s">
        <v>208</v>
      </c>
      <c r="G11" s="71" t="s">
        <v>179</v>
      </c>
      <c r="H11" s="71" t="s">
        <v>171</v>
      </c>
      <c r="I11" s="72" t="s">
        <v>180</v>
      </c>
      <c r="J11" s="65" t="s">
        <v>181</v>
      </c>
      <c r="K11" s="65" t="s">
        <v>182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3" customFormat="1" x14ac:dyDescent="0.15">
      <c r="A12" s="60" t="s">
        <v>417</v>
      </c>
      <c r="B12" s="66" t="s">
        <v>201</v>
      </c>
      <c r="C12" s="61" t="s">
        <v>412</v>
      </c>
      <c r="D12" s="66" t="s">
        <v>169</v>
      </c>
      <c r="E12" s="67" t="str">
        <f t="shared" si="1"/>
        <v>stage_hints_i18n_13302_13.tmp</v>
      </c>
      <c r="F12" s="66" t="s">
        <v>209</v>
      </c>
      <c r="G12" s="72" t="s">
        <v>202</v>
      </c>
      <c r="H12" s="91" t="s">
        <v>203</v>
      </c>
      <c r="I12" s="71" t="s">
        <v>204</v>
      </c>
      <c r="J12" s="99" t="s">
        <v>205</v>
      </c>
      <c r="K12" s="65" t="s">
        <v>206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3" customFormat="1" x14ac:dyDescent="0.15">
      <c r="A13" s="60" t="s">
        <v>418</v>
      </c>
      <c r="B13" s="66" t="s">
        <v>247</v>
      </c>
      <c r="C13" s="61" t="s">
        <v>412</v>
      </c>
      <c r="D13" s="66" t="s">
        <v>228</v>
      </c>
      <c r="E13" s="67" t="str">
        <f t="shared" si="1"/>
        <v>stage_bonuses_13302_13.tmp</v>
      </c>
      <c r="F13" s="66" t="s">
        <v>227</v>
      </c>
      <c r="G13" s="71" t="s">
        <v>229</v>
      </c>
      <c r="H13" s="71" t="s">
        <v>230</v>
      </c>
      <c r="I13" s="71" t="s">
        <v>231</v>
      </c>
      <c r="J13" s="71" t="s">
        <v>232</v>
      </c>
      <c r="K13" s="71" t="s">
        <v>233</v>
      </c>
      <c r="L13" s="71" t="s">
        <v>234</v>
      </c>
      <c r="M13" s="71" t="s">
        <v>235</v>
      </c>
      <c r="N13" s="71" t="s">
        <v>236</v>
      </c>
      <c r="O13" s="71" t="s">
        <v>237</v>
      </c>
      <c r="P13" s="71" t="s">
        <v>238</v>
      </c>
      <c r="Q13" s="71" t="s">
        <v>239</v>
      </c>
      <c r="R13" s="71" t="s">
        <v>240</v>
      </c>
      <c r="S13" s="71" t="s">
        <v>241</v>
      </c>
      <c r="T13" s="71" t="s">
        <v>242</v>
      </c>
      <c r="U13" s="71" t="s">
        <v>243</v>
      </c>
      <c r="V13" s="71" t="s">
        <v>244</v>
      </c>
      <c r="W13" s="71" t="s">
        <v>245</v>
      </c>
      <c r="X13" s="71" t="s">
        <v>246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13302_13-1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13</v>
      </c>
      <c r="G2" s="23" t="str">
        <f>C2&amp;"_"&amp;F2</f>
        <v>13302_13</v>
      </c>
      <c r="H2" s="15" t="str">
        <f ca="1">VLOOKUP($G2,OFFSET([2]stages!$A$1,0,0,COUNTA([2]stages!$A:$A),MATCH(H$1,[2]stages!$2:$2,0)-MATCH($G$1,[2]stages!$2:$2,0)+1),MATCH(H$1,[2]stages!$2:$2,0)-MATCH($G$1,[2]stages!$2:$2,0)+1,FALSE)</f>
        <v>13階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13302_13-2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13</v>
      </c>
      <c r="G3" s="23" t="str">
        <f>C3&amp;"_"&amp;F3</f>
        <v>13302_13</v>
      </c>
      <c r="H3" s="15" t="str">
        <f ca="1">VLOOKUP($G3,OFFSET([2]stages!$A$1,0,0,COUNTA([2]stages!$A:$A),MATCH(H$1,[2]stages!$2:$2,0)-MATCH($G$1,[2]stages!$2:$2,0)+1),MATCH(H$1,[2]stages!$2:$2,0)-MATCH($G$1,[2]stages!$2:$2,0)+1,FALSE)</f>
        <v>13階 コスト制限なし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13302_13-3</v>
      </c>
      <c r="B4" s="16" t="str">
        <f>IF(COUNTIF(enemy_habitats!$H:$H,A4),"OK","NG")</f>
        <v>OK</v>
      </c>
      <c r="C4" s="7">
        <v>13302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1">
        <v>13</v>
      </c>
      <c r="G4" s="23" t="str">
        <f>C4&amp;"_"&amp;F4</f>
        <v>13302_13</v>
      </c>
      <c r="H4" s="15" t="str">
        <f ca="1">VLOOKUP($G4,OFFSET([2]stages!$A$1,0,0,COUNTA([2]stages!$A:$A),MATCH(H$1,[2]stages!$2:$2,0)-MATCH($G$1,[2]stages!$2:$2,0)+1),MATCH(H$1,[2]stages!$2:$2,0)-MATCH($G$1,[2]stages!$2:$2,0)+1,FALSE)</f>
        <v>13階 コスト制限なし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13302_13-4</v>
      </c>
      <c r="B5" s="16" t="str">
        <f>IF(COUNTIF(enemy_habitats!$H:$H,A5),"OK","NG")</f>
        <v>OK</v>
      </c>
      <c r="C5" s="7">
        <v>13302</v>
      </c>
      <c r="D5" s="11" t="str">
        <f ca="1">VLOOKUP($C5,OFFSET([2]quests!$A$1,0,0,COUNTA([2]quests!$A:$A),MATCH(D$1,[2]quests!$1:$1,0)-MATCH($C$1,[2]quests!$1:$1,0)+1),MATCH(D$1,[2]quests!$1:$1,0)-MATCH($C$1,[2]quests!$1:$1,0)+1,FALSE)</f>
        <v>タワーオブザクイーン -アヴァルシア-</v>
      </c>
      <c r="E5" s="18" t="str">
        <f ca="1">VLOOKUP($C5,OFFSET([2]quests!$A$1,0,0,COUNTA([2]quests!$A:$A),MATCH(E$1,[2]quests!$1:$1,0)-MATCH($C$1,[2]quests!$1:$1,0)+1),MATCH(E$1,[2]quests!$1:$1,0)-MATCH($C$1,[2]quests!$1:$1,0)+1,FALSE)</f>
        <v>タワーオブザクイーン1本目</v>
      </c>
      <c r="F5" s="21">
        <v>13</v>
      </c>
      <c r="G5" s="23" t="str">
        <f>C5&amp;"_"&amp;F5</f>
        <v>13302_13</v>
      </c>
      <c r="H5" s="15" t="str">
        <f ca="1">VLOOKUP($G5,OFFSET([2]stages!$A$1,0,0,COUNTA([2]stages!$A:$A),MATCH(H$1,[2]stages!$2:$2,0)-MATCH($G$1,[2]stages!$2:$2,0)+1),MATCH(H$1,[2]stages!$2:$2,0)-MATCH($G$1,[2]stages!$2:$2,0)+1,FALSE)</f>
        <v>13階 コスト制限なし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zoomScale="120" zoomScaleNormal="120" zoomScalePageLayoutView="12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20.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3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248</v>
      </c>
      <c r="U1" s="26" t="s">
        <v>50</v>
      </c>
      <c r="V1" s="100" t="s">
        <v>249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>B2&amp;"_"&amp;C2&amp;"-"&amp;G2&amp;"/"&amp;L2&amp;"&lt;lv"&amp;R2&amp;"&gt;s"&amp;AC2</f>
        <v>13302_13-1/861&lt;lv80&gt;s2</v>
      </c>
      <c r="B2" s="22">
        <v>13302</v>
      </c>
      <c r="C2" s="21">
        <v>13</v>
      </c>
      <c r="D2" s="2" t="str">
        <f>B2&amp;"_"&amp;C2</f>
        <v>13302_13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13階 コスト制限なし</v>
      </c>
      <c r="G2" s="21">
        <v>1</v>
      </c>
      <c r="H2" s="15" t="str">
        <f>B2&amp;"_"&amp;C2&amp;"-"&amp;G2</f>
        <v>13302_13-1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321</v>
      </c>
      <c r="L2" s="20">
        <v>861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青燈の巨躯 ジーナ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3.2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642873.60000000009</v>
      </c>
      <c r="U2" s="25">
        <v>1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7414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状態異常耐性+_x000D_10ターンウィルス状態</v>
      </c>
      <c r="Y2" s="106">
        <v>13302010</v>
      </c>
      <c r="Z2" s="6">
        <v>0</v>
      </c>
      <c r="AA2" s="6">
        <v>100</v>
      </c>
      <c r="AB2" s="6">
        <v>1</v>
      </c>
      <c r="AC2" s="105">
        <v>2</v>
      </c>
      <c r="AD2" s="24">
        <f>L2</f>
        <v>861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青燈の巨躯 ジーナ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6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ca="1">AF2</f>
        <v>6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>B3&amp;"_"&amp;C3&amp;"-"&amp;G3&amp;"/"&amp;L3&amp;"&lt;lv"&amp;R3&amp;"&gt;s"&amp;AC3</f>
        <v>13302_13-2/1148&lt;lv80&gt;s1</v>
      </c>
      <c r="B3" s="22">
        <v>13302</v>
      </c>
      <c r="C3" s="21">
        <v>13</v>
      </c>
      <c r="D3" s="2" t="str">
        <f>B3&amp;"_"&amp;C3</f>
        <v>13302_13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13階 コスト制限なし</v>
      </c>
      <c r="G3" s="21">
        <v>2</v>
      </c>
      <c r="H3" s="15" t="str">
        <f>B3&amp;"_"&amp;C3&amp;"-"&amp;G3</f>
        <v>13302_13-2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322</v>
      </c>
      <c r="L3" s="20">
        <v>1148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嫉神の黎き滅意 カーリー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80</v>
      </c>
      <c r="S3" s="25">
        <v>5.2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622476.4</v>
      </c>
      <c r="U3" s="25">
        <v>1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8333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ハートパネルは50％の確率で_x000D_お邪魔パネルに変換されてドロップ+状態異常耐性</v>
      </c>
      <c r="Y3" s="106">
        <v>13302012</v>
      </c>
      <c r="Z3" s="6">
        <v>0</v>
      </c>
      <c r="AA3" s="6">
        <v>100</v>
      </c>
      <c r="AB3" s="6">
        <v>1</v>
      </c>
      <c r="AC3" s="105">
        <v>1</v>
      </c>
      <c r="AD3" s="24">
        <f>L3</f>
        <v>1148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嫉神の黎き滅意 カーリー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" s="7">
        <v>1</v>
      </c>
      <c r="AI3" s="24">
        <f ca="1">AF3</f>
        <v>6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>B4&amp;"_"&amp;C4&amp;"-"&amp;G4&amp;"/"&amp;L4&amp;"&lt;lv"&amp;R4&amp;"&gt;s"&amp;AC4</f>
        <v>13302_13-3/1063&lt;lv80&gt;s2</v>
      </c>
      <c r="B4" s="22">
        <v>13302</v>
      </c>
      <c r="C4" s="21">
        <v>13</v>
      </c>
      <c r="D4" s="2" t="str">
        <f>B4&amp;"_"&amp;C4</f>
        <v>13302_13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13階 コスト制限なし</v>
      </c>
      <c r="G4" s="21">
        <v>3</v>
      </c>
      <c r="H4" s="15" t="str">
        <f>B4&amp;"_"&amp;C4&amp;"-"&amp;G4</f>
        <v>13302_13-3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20">
        <v>1063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ティアマト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5">
        <v>5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598535</v>
      </c>
      <c r="U4" s="25">
        <v>1.4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11209.8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フィーバーゲージ減少+お邪魔パネルドロップ解除+_x000D_お邪魔パネルを3個生成+状態異常耐性</v>
      </c>
      <c r="Y4" s="106">
        <v>13302014</v>
      </c>
      <c r="Z4" s="6">
        <v>0</v>
      </c>
      <c r="AA4" s="6">
        <v>100</v>
      </c>
      <c r="AB4" s="6">
        <v>1</v>
      </c>
      <c r="AC4" s="105">
        <v>2</v>
      </c>
      <c r="AD4" s="24">
        <f>L4</f>
        <v>1063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ティアマト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ca="1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>B5&amp;"_"&amp;C5&amp;"-"&amp;G5&amp;"/"&amp;L5&amp;"&lt;lv"&amp;R5&amp;"&gt;s"&amp;AC5</f>
        <v>13302_13-4/643&lt;lv80&gt;s1</v>
      </c>
      <c r="B5" s="22">
        <v>13302</v>
      </c>
      <c r="C5" s="21">
        <v>13</v>
      </c>
      <c r="D5" s="2" t="str">
        <f>B5&amp;"_"&amp;C5</f>
        <v>13302_13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13階 コスト制限なし</v>
      </c>
      <c r="G5" s="21">
        <v>4</v>
      </c>
      <c r="H5" s="15" t="str">
        <f>B5&amp;"_"&amp;C5&amp;"-"&amp;G5</f>
        <v>13302_13-4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20">
        <v>643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愛花天神 カーマ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5">
        <v>4.5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598536</v>
      </c>
      <c r="U5" s="25">
        <v>0.7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8620.5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ハートパネルは_x000D_ハートの時限式ダメージパネルとしてドロップ</v>
      </c>
      <c r="Y5" s="106">
        <v>13302016</v>
      </c>
      <c r="Z5" s="6">
        <v>0</v>
      </c>
      <c r="AA5" s="6">
        <v>100</v>
      </c>
      <c r="AB5" s="6">
        <v>1</v>
      </c>
      <c r="AC5" s="105">
        <v>1</v>
      </c>
      <c r="AD5" s="24">
        <f>L5</f>
        <v>643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愛花天神 カーマ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7">
        <v>1</v>
      </c>
      <c r="AI5" s="24">
        <f ca="1">AF5</f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2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9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248</v>
      </c>
      <c r="V1" s="26" t="s">
        <v>50</v>
      </c>
      <c r="W1" s="100" t="s">
        <v>249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13302_13-3/1064&lt;lv80&gt;sq3st2</v>
      </c>
      <c r="B2" s="22">
        <v>13302</v>
      </c>
      <c r="C2" s="21">
        <v>13</v>
      </c>
      <c r="D2" s="2" t="str">
        <f>B2&amp;"_"&amp;C2</f>
        <v>13302_13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13階 コスト制限なし</v>
      </c>
      <c r="G2" s="21">
        <v>3</v>
      </c>
      <c r="H2" s="15" t="str">
        <f>B2&amp;"_"&amp;C2&amp;"-"&amp;G2</f>
        <v>13302_13-3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3</v>
      </c>
      <c r="L2" s="38">
        <v>2</v>
      </c>
      <c r="M2" s="20">
        <v>1064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混沌の猛飛沫 ティアマト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5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598535</v>
      </c>
      <c r="V2" s="25">
        <v>1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8007</v>
      </c>
      <c r="X2" s="5">
        <v>0</v>
      </c>
      <c r="Y2" s="4"/>
      <c r="Z2" s="103">
        <v>13302015</v>
      </c>
      <c r="AA2" s="104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13302_13-4/836&lt;lv80&gt;sq4st2</v>
      </c>
      <c r="B3" s="22">
        <v>13302</v>
      </c>
      <c r="C3" s="21">
        <v>13</v>
      </c>
      <c r="D3" s="2" t="str">
        <f>B3&amp;"_"&amp;C3</f>
        <v>13302_13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13階 コスト制限なし</v>
      </c>
      <c r="G3" s="21">
        <v>4</v>
      </c>
      <c r="H3" s="15" t="str">
        <f>B3&amp;"_"&amp;C3&amp;"-"&amp;G3</f>
        <v>13302_13-4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4</v>
      </c>
      <c r="L3" s="38">
        <v>2</v>
      </c>
      <c r="M3" s="20">
        <v>836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射愛の恋華天神 カーマ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5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665040</v>
      </c>
      <c r="V3" s="25">
        <v>0.7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8620.5</v>
      </c>
      <c r="X3" s="5">
        <v>0</v>
      </c>
      <c r="Y3" s="4"/>
      <c r="Z3" s="103">
        <v>13302017</v>
      </c>
      <c r="AA3" s="104">
        <v>1</v>
      </c>
    </row>
    <row r="12" spans="1:27" ht="21" customHeight="1" x14ac:dyDescent="0.15">
      <c r="M12" s="3"/>
    </row>
    <row r="13" spans="1:27" ht="21" customHeight="1" x14ac:dyDescent="0.15">
      <c r="M13" s="3"/>
    </row>
    <row r="14" spans="1:27" ht="21" customHeight="1" x14ac:dyDescent="0.15">
      <c r="M14" s="3"/>
    </row>
    <row r="15" spans="1:27" ht="21" customHeight="1" x14ac:dyDescent="0.15">
      <c r="M15" s="3"/>
    </row>
    <row r="16" spans="1:27" ht="21" customHeight="1" x14ac:dyDescent="0.15">
      <c r="M16" s="3"/>
    </row>
    <row r="17" spans="13:13" ht="21" customHeight="1" x14ac:dyDescent="0.15">
      <c r="M17" s="3"/>
    </row>
    <row r="18" spans="13:13" ht="21" customHeight="1" x14ac:dyDescent="0.15">
      <c r="M18" s="3"/>
    </row>
    <row r="19" spans="13:13" ht="21" customHeight="1" x14ac:dyDescent="0.15">
      <c r="M19" s="3"/>
    </row>
    <row r="20" spans="13:13" ht="21" customHeight="1" x14ac:dyDescent="0.15">
      <c r="M20" s="3"/>
    </row>
    <row r="21" spans="13:13" ht="21" customHeight="1" x14ac:dyDescent="0.15">
      <c r="M21" s="3"/>
    </row>
    <row r="22" spans="13:13" ht="21" customHeight="1" x14ac:dyDescent="0.15">
      <c r="M22" s="3"/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6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8" customHeight="1" x14ac:dyDescent="0.15">
      <c r="A2" s="47">
        <v>13302010</v>
      </c>
      <c r="B2" s="107" t="s">
        <v>409</v>
      </c>
      <c r="C2" s="50">
        <v>1</v>
      </c>
      <c r="D2" s="50" t="s">
        <v>126</v>
      </c>
      <c r="E2" s="108" t="s">
        <v>305</v>
      </c>
      <c r="F2" s="108" t="s">
        <v>388</v>
      </c>
      <c r="G2" s="62" t="str">
        <f>IFERROR(LEFT(B2,FIND("],",B2)),B2)</f>
        <v>[effect:tolerance, target:myself, turn:-1, tolerance_effect:all, count:-1, animation:enemy_tolerance]</v>
      </c>
      <c r="H2" s="62">
        <f>FIND("effect:",G2)+7</f>
        <v>9</v>
      </c>
      <c r="I2" s="62">
        <f>IFERROR(FIND(",",G2),LEN(G2))</f>
        <v>18</v>
      </c>
      <c r="J2" s="62">
        <f>FIND("target:",G2)+7</f>
        <v>27</v>
      </c>
      <c r="K2" s="62">
        <f>FIND(",",G2,I2+1)</f>
        <v>33</v>
      </c>
      <c r="L2" s="62" t="str">
        <f>IFERROR(VLOOKUP(MID(G2,J2,K2-J2),[5]skilldef!$C:$D,2,FALSE),"-") &amp; " / " &amp; IFERROR(VLOOKUP(MID(G2,H2,I2-H2),[5]skilldef!$A:$B,2,FALSE),"-")</f>
        <v>自分自身に / 状態異常耐性</v>
      </c>
      <c r="M2" s="62" t="str">
        <f>IFERROR(RIGHT(B2,LEN(B2)-FIND("],",B2)-1),"none")</f>
        <v>[effect:virus, turn:10, target:unit_all, rate:1, val:0.04, animation:enemy_virus],[effect:enemy_message, val1:1.4, val2:2.4]</v>
      </c>
      <c r="N2" s="48" t="str">
        <f>IFERROR(LEFT(M2,FIND("],",M2)+#REF!),M2)</f>
        <v>[effect:virus, turn:10, target:unit_all, rate:1, val:0.04, animation:enemy_virus],[effect:enemy_message, val1:1.4, val2:2.4]</v>
      </c>
      <c r="O2" s="62">
        <f>FIND("effect:",N2)+7</f>
        <v>9</v>
      </c>
      <c r="P2" s="62">
        <f>IFERROR(FIND(",",N2),LEN(N2))</f>
        <v>14</v>
      </c>
      <c r="Q2" s="62">
        <f>FIND("target:",N2)+7</f>
        <v>32</v>
      </c>
      <c r="R2" s="62">
        <f>FIND(",",N2,P2+1)</f>
        <v>23</v>
      </c>
      <c r="S2" s="62" t="str">
        <f>IFERROR(VLOOKUP(MID(N2,Q2,R2-Q2),[5]skilldef!$C:$D,2,FALSE),"-") &amp; " / " &amp; IFERROR(VLOOKUP(MID(N2,O2,P2-O2),[5]skilldef!$A:$B,2,FALSE),"-")</f>
        <v>- / ウィルス</v>
      </c>
      <c r="T2" s="48" t="str">
        <f>IFERROR(RIGHT(M2,LEN(M2)-FIND("],",M2)-1),"none")</f>
        <v>[effect:enemy_message, val1:1.4, val2:2.4]</v>
      </c>
      <c r="U2" s="62">
        <f>FIND("effect:",T2)+7</f>
        <v>9</v>
      </c>
      <c r="V2" s="62">
        <f>IFERROR(FIND(",",T2),LEN(T2))</f>
        <v>22</v>
      </c>
      <c r="W2" s="62" t="e">
        <f>FIND("target:",T2)+7</f>
        <v>#VALUE!</v>
      </c>
      <c r="X2" s="62">
        <f>FIND(",",T2,V2+1)</f>
        <v>32</v>
      </c>
      <c r="Y2" s="62" t="str">
        <f>IFERROR(VLOOKUP(MID(T2,W2,X2-W2),[5]skilldef!$C:$D,2,FALSE),"-") &amp; " / " &amp; IFERROR(VLOOKUP(MID(T2,U2,V2-U2),[5]skilldef!$A:$B,2,FALSE),"-")</f>
        <v>- / -</v>
      </c>
      <c r="Z2" s="50"/>
      <c r="AA2" s="51"/>
      <c r="AB2" s="50"/>
    </row>
    <row r="3" spans="1:28" ht="28" customHeight="1" x14ac:dyDescent="0.15">
      <c r="A3" s="47">
        <v>13302011</v>
      </c>
      <c r="B3" s="107" t="s">
        <v>358</v>
      </c>
      <c r="C3" s="50">
        <v>1</v>
      </c>
      <c r="D3" s="50" t="s">
        <v>126</v>
      </c>
      <c r="E3" s="108" t="s">
        <v>310</v>
      </c>
      <c r="F3" s="108" t="s">
        <v>255</v>
      </c>
      <c r="G3" s="62" t="str">
        <f t="shared" ref="G3" si="0">IFERROR(LEFT(B3,FIND("],",B3)),B3)</f>
        <v>[effect:fix_speed, target:myself, turn:1]</v>
      </c>
      <c r="H3" s="62">
        <f t="shared" ref="H3" si="1">FIND("effect:",G3)+7</f>
        <v>9</v>
      </c>
      <c r="I3" s="62">
        <f t="shared" ref="I3" si="2">IFERROR(FIND(",",G3),LEN(G3))</f>
        <v>18</v>
      </c>
      <c r="J3" s="62">
        <f t="shared" ref="J3" si="3">FIND("target:",G3)+7</f>
        <v>27</v>
      </c>
      <c r="K3" s="62">
        <f t="shared" ref="K3" si="4">FIND(",",G3,I3+1)</f>
        <v>33</v>
      </c>
      <c r="L3" s="62" t="str">
        <f>IFERROR(VLOOKUP(MID(G3,J3,K3-J3),[5]skilldef!$C:$D,2,FALSE),"-") &amp; " / " &amp; IFERROR(VLOOKUP(MID(G3,H3,I3-H3),[5]skilldef!$A:$B,2,FALSE),"-")</f>
        <v>自分自身に / 行動値設定</v>
      </c>
      <c r="M3" s="62" t="str">
        <f t="shared" ref="M3" si="5">IFERROR(RIGHT(B3,LEN(B3)-FIND("],",B3)-1),"none")</f>
        <v>[effect:enemy_message, val1:1.4, val2:1.7]</v>
      </c>
      <c r="N3" s="48" t="str">
        <f>IFERROR(LEFT(M3,FIND("],",M3)+#REF!),M3)</f>
        <v>[effect:enemy_message, val1:1.4, val2:1.7]</v>
      </c>
      <c r="O3" s="62">
        <f t="shared" ref="O3" si="6">FIND("effect:",N3)+7</f>
        <v>9</v>
      </c>
      <c r="P3" s="62">
        <f t="shared" ref="P3" si="7">IFERROR(FIND(",",N3),LEN(N3))</f>
        <v>22</v>
      </c>
      <c r="Q3" s="62" t="e">
        <f t="shared" ref="Q3" si="8">FIND("target:",N3)+7</f>
        <v>#VALUE!</v>
      </c>
      <c r="R3" s="62">
        <f t="shared" ref="R3" si="9">FIND(",",N3,P3+1)</f>
        <v>32</v>
      </c>
      <c r="S3" s="62" t="str">
        <f>IFERROR(VLOOKUP(MID(N3,Q3,R3-Q3),[5]skilldef!$C:$D,2,FALSE),"-") &amp; " / " &amp; IFERROR(VLOOKUP(MID(N3,O3,P3-O3),[5]skilldef!$A:$B,2,FALSE),"-")</f>
        <v>- / -</v>
      </c>
      <c r="T3" s="48" t="str">
        <f t="shared" ref="T3" si="10">IFERROR(RIGHT(M3,LEN(M3)-FIND("],",M3)-1),"none")</f>
        <v>none</v>
      </c>
      <c r="U3" s="62" t="e">
        <f t="shared" ref="U3" si="11">FIND("effect:",T3)+7</f>
        <v>#VALUE!</v>
      </c>
      <c r="V3" s="62">
        <f t="shared" ref="V3" si="12">IFERROR(FIND(",",T3),LEN(T3))</f>
        <v>4</v>
      </c>
      <c r="W3" s="62" t="e">
        <f t="shared" ref="W3" si="13">FIND("target:",T3)+7</f>
        <v>#VALUE!</v>
      </c>
      <c r="X3" s="62" t="e">
        <f t="shared" ref="X3" si="14"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50"/>
      <c r="AA3" s="51"/>
      <c r="AB3" s="50"/>
    </row>
    <row r="4" spans="1:28" ht="28" customHeight="1" x14ac:dyDescent="0.15">
      <c r="A4" s="47">
        <v>13302012</v>
      </c>
      <c r="B4" s="107" t="s">
        <v>359</v>
      </c>
      <c r="C4" s="50">
        <v>1</v>
      </c>
      <c r="D4" s="50" t="s">
        <v>126</v>
      </c>
      <c r="E4" s="108" t="s">
        <v>303</v>
      </c>
      <c r="F4" s="108" t="s">
        <v>256</v>
      </c>
      <c r="G4" s="62" t="str">
        <f>IFERROR(LEFT(B4,FIND("],",B4)),B4)</f>
        <v>[effect:rush, count:30, val:0.083]</v>
      </c>
      <c r="H4" s="62">
        <f>FIND("effect:",G4)+7</f>
        <v>9</v>
      </c>
      <c r="I4" s="62">
        <f>IFERROR(FIND(",",G4),LEN(G4))</f>
        <v>13</v>
      </c>
      <c r="J4" s="62" t="e">
        <f>FIND("target:",G4)+7</f>
        <v>#VALUE!</v>
      </c>
      <c r="K4" s="62">
        <f>FIND(",",G4,I4+1)</f>
        <v>23</v>
      </c>
      <c r="L4" s="62" t="str">
        <f>IFERROR(VLOOKUP(MID(G4,J4,K4-J4),[5]skilldef!$C:$D,2,FALSE),"-") &amp; " / " &amp; IFERROR(VLOOKUP(MID(G4,H4,I4-H4),[5]skilldef!$A:$B,2,FALSE),"-")</f>
        <v>- / 連続攻撃</v>
      </c>
      <c r="M4" s="62" t="str">
        <f>IFERROR(RIGHT(B4,LEN(B4)-FIND("],",B4)-1),"none")</f>
        <v>[effect:enemy_message, val1:1.4, val2:1.6]</v>
      </c>
      <c r="N4" s="48" t="str">
        <f>IFERROR(LEFT(M4,FIND("],",M4)+#REF!),M4)</f>
        <v>[effect:enemy_message, val1:1.4, val2:1.6]</v>
      </c>
      <c r="O4" s="62">
        <f>FIND("effect:",N4)+7</f>
        <v>9</v>
      </c>
      <c r="P4" s="62">
        <f>IFERROR(FIND(",",N4),LEN(N4))</f>
        <v>22</v>
      </c>
      <c r="Q4" s="62" t="e">
        <f>FIND("target:",N4)+7</f>
        <v>#VALUE!</v>
      </c>
      <c r="R4" s="62">
        <f>FIND(",",N4,P4+1)</f>
        <v>32</v>
      </c>
      <c r="S4" s="62" t="str">
        <f>IFERROR(VLOOKUP(MID(N4,Q4,R4-Q4),[5]skilldef!$C:$D,2,FALSE),"-") &amp; " / " &amp; IFERROR(VLOOKUP(MID(N4,O4,P4-O4),[5]skilldef!$A:$B,2,FALSE),"-")</f>
        <v>- / -</v>
      </c>
      <c r="T4" s="48" t="str">
        <f>IFERROR(RIGHT(M4,LEN(M4)-FIND("],",M4)-1),"none")</f>
        <v>none</v>
      </c>
      <c r="U4" s="62" t="e">
        <f>FIND("effect:",T4)+7</f>
        <v>#VALUE!</v>
      </c>
      <c r="V4" s="62">
        <f>IFERROR(FIND(",",T4),LEN(T4))</f>
        <v>4</v>
      </c>
      <c r="W4" s="62" t="e">
        <f>FIND("target:",T4)+7</f>
        <v>#VALUE!</v>
      </c>
      <c r="X4" s="62" t="e">
        <f>FIND(",",T4,V4+1)</f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50"/>
      <c r="AA4" s="51"/>
      <c r="AB4" s="50"/>
    </row>
    <row r="5" spans="1:28" ht="28" customHeight="1" x14ac:dyDescent="0.15">
      <c r="A5" s="47">
        <v>13302013</v>
      </c>
      <c r="B5" s="107" t="s">
        <v>374</v>
      </c>
      <c r="C5" s="50">
        <v>1</v>
      </c>
      <c r="D5" s="50" t="s">
        <v>126</v>
      </c>
      <c r="E5" s="108" t="s">
        <v>306</v>
      </c>
      <c r="F5" s="108" t="s">
        <v>390</v>
      </c>
      <c r="G5" s="62" t="str">
        <f t="shared" ref="G5:G8" si="15">IFERROR(LEFT(B5,FIND("],",B5)),B5)</f>
        <v>[effect:break_attack_fix, target:unit_all, val:60, lowest_val:2400, count:7, color:blue, block01:block_yellow, block02:crash]</v>
      </c>
      <c r="H5" s="62">
        <f t="shared" ref="H5:H11" si="16">FIND("effect:",G5)+7</f>
        <v>9</v>
      </c>
      <c r="I5" s="62">
        <f t="shared" ref="I5:I8" si="17">IFERROR(FIND(",",G5),LEN(G5))</f>
        <v>25</v>
      </c>
      <c r="J5" s="62">
        <f t="shared" ref="J5:J8" si="18">FIND("target:",G5)+7</f>
        <v>34</v>
      </c>
      <c r="K5" s="62">
        <f t="shared" ref="K5:K8" si="19">FIND(",",G5,I5+1)</f>
        <v>42</v>
      </c>
      <c r="L5" s="62" t="str">
        <f>IFERROR(VLOOKUP(MID(G5,J5,K5-J5),[5]skilldef!$C:$D,2,FALSE),"-") &amp; " / " &amp; IFERROR(VLOOKUP(MID(G5,H5,I5-H5),[5]skilldef!$A:$B,2,FALSE),"-")</f>
        <v>味方全体に / -</v>
      </c>
      <c r="M5" s="62" t="str">
        <f t="shared" ref="M5:M8" si="20">IFERROR(RIGHT(B5,LEN(B5)-FIND("],",B5)-1),"none")</f>
        <v>[effect:force_change_block, new_block:time_bomb, target:block_all, color:block_yellow, count:2, val:0.2, min_time_count:2, max_time_count:3, animation:change_block],[effect:enemy_message, val1:1.4, val2:2.4]</v>
      </c>
      <c r="N5" s="48" t="str">
        <f>IFERROR(LEFT(M5,FIND("],",M5)+#REF!),M5)</f>
        <v>[effect:force_change_block, new_block:time_bomb, target:block_all, color:block_yellow, count:2, val:0.2, min_time_count:2, max_time_count:3, animation:change_block],[effect:enemy_message, val1:1.4, val2:2.4]</v>
      </c>
      <c r="O5" s="62">
        <f t="shared" ref="O5:O11" si="21">FIND("effect:",N5)+7</f>
        <v>9</v>
      </c>
      <c r="P5" s="62">
        <f t="shared" ref="P5:P8" si="22">IFERROR(FIND(",",N5),LEN(N5))</f>
        <v>27</v>
      </c>
      <c r="Q5" s="62">
        <f t="shared" ref="Q5:Q8" si="23">FIND("target:",N5)+7</f>
        <v>57</v>
      </c>
      <c r="R5" s="62">
        <f t="shared" ref="R5:R8" si="24">FIND(",",N5,P5+1)</f>
        <v>48</v>
      </c>
      <c r="S5" s="62" t="str">
        <f>IFERROR(VLOOKUP(MID(N5,Q5,R5-Q5),[5]skilldef!$C:$D,2,FALSE),"-") &amp; " / " &amp; IFERROR(VLOOKUP(MID(N5,O5,P5-O5),[5]skilldef!$A:$B,2,FALSE),"-")</f>
        <v>- / -</v>
      </c>
      <c r="T5" s="48" t="str">
        <f t="shared" ref="T5:T8" si="25">IFERROR(RIGHT(M5,LEN(M5)-FIND("],",M5)-1),"none")</f>
        <v>[effect:enemy_message, val1:1.4, val2:2.4]</v>
      </c>
      <c r="U5" s="62">
        <f t="shared" ref="U5:U11" si="26">FIND("effect:",T5)+7</f>
        <v>9</v>
      </c>
      <c r="V5" s="62">
        <f t="shared" ref="V5:V8" si="27">IFERROR(FIND(",",T5),LEN(T5))</f>
        <v>22</v>
      </c>
      <c r="W5" s="62" t="e">
        <f t="shared" ref="W5:W8" si="28">FIND("target:",T5)+7</f>
        <v>#VALUE!</v>
      </c>
      <c r="X5" s="62">
        <f t="shared" ref="X5:X8" si="29">FIND(",",T5,V5+1)</f>
        <v>32</v>
      </c>
      <c r="Y5" s="62" t="str">
        <f>IFERROR(VLOOKUP(MID(T5,W5,X5-W5),[5]skilldef!$C:$D,2,FALSE),"-") &amp; " / " &amp; IFERROR(VLOOKUP(MID(T5,U5,V5-U5),[5]skilldef!$A:$B,2,FALSE),"-")</f>
        <v>- / -</v>
      </c>
      <c r="Z5" s="50"/>
      <c r="AA5" s="51"/>
      <c r="AB5" s="50"/>
    </row>
    <row r="6" spans="1:28" ht="28" customHeight="1" x14ac:dyDescent="0.15">
      <c r="A6" s="47">
        <v>13302014</v>
      </c>
      <c r="B6" s="107" t="s">
        <v>410</v>
      </c>
      <c r="C6" s="50">
        <v>1</v>
      </c>
      <c r="D6" s="50" t="s">
        <v>126</v>
      </c>
      <c r="E6" s="108" t="s">
        <v>307</v>
      </c>
      <c r="F6" s="108" t="s">
        <v>391</v>
      </c>
      <c r="G6" s="62" t="str">
        <f t="shared" si="15"/>
        <v>[effect:break_attack_fix, target:unit_all, val:60, lowest_val:2400, count:7, color:blue, block01:block_red, block02:crash]</v>
      </c>
      <c r="H6" s="62">
        <f t="shared" si="16"/>
        <v>9</v>
      </c>
      <c r="I6" s="62">
        <f t="shared" si="17"/>
        <v>25</v>
      </c>
      <c r="J6" s="62">
        <f t="shared" si="18"/>
        <v>34</v>
      </c>
      <c r="K6" s="62">
        <f t="shared" si="19"/>
        <v>42</v>
      </c>
      <c r="L6" s="62" t="str">
        <f>IFERROR(VLOOKUP(MID(G6,J6,K6-J6),[5]skilldef!$C:$D,2,FALSE),"-") &amp; " / " &amp; IFERROR(VLOOKUP(MID(G6,H6,I6-H6),[5]skilldef!$A:$B,2,FALSE),"-")</f>
        <v>味方全体に / -</v>
      </c>
      <c r="M6" s="62" t="str">
        <f t="shared" si="20"/>
        <v>[effect:force_change_block, new_block:time_bomb, target:block_all, color:block_red, count:3, val:0.2, min_time_count:2, max_time_count:3, animation:change_block],[effect:enemy_message, val1:1.4, val2:2.4]</v>
      </c>
      <c r="N6" s="48" t="str">
        <f>IFERROR(LEFT(M6,FIND("],",M6)+#REF!),M6)</f>
        <v>[effect:force_change_block, new_block:time_bomb, target:block_all, color:block_red, count:3, val:0.2, min_time_count:2, max_time_count:3, animation:change_block],[effect:enemy_message, val1:1.4, val2:2.4]</v>
      </c>
      <c r="O6" s="62">
        <f t="shared" si="21"/>
        <v>9</v>
      </c>
      <c r="P6" s="62">
        <f t="shared" si="22"/>
        <v>27</v>
      </c>
      <c r="Q6" s="62">
        <f t="shared" si="23"/>
        <v>57</v>
      </c>
      <c r="R6" s="62">
        <f t="shared" si="24"/>
        <v>48</v>
      </c>
      <c r="S6" s="62" t="str">
        <f>IFERROR(VLOOKUP(MID(N6,Q6,R6-Q6),[5]skilldef!$C:$D,2,FALSE),"-") &amp; " / " &amp; IFERROR(VLOOKUP(MID(N6,O6,P6-O6),[5]skilldef!$A:$B,2,FALSE),"-")</f>
        <v>- / -</v>
      </c>
      <c r="T6" s="48" t="str">
        <f t="shared" si="25"/>
        <v>[effect:enemy_message, val1:1.4, val2:2.4]</v>
      </c>
      <c r="U6" s="62">
        <f t="shared" si="26"/>
        <v>9</v>
      </c>
      <c r="V6" s="62">
        <f t="shared" si="27"/>
        <v>22</v>
      </c>
      <c r="W6" s="62" t="e">
        <f t="shared" si="28"/>
        <v>#VALUE!</v>
      </c>
      <c r="X6" s="62">
        <f t="shared" si="29"/>
        <v>32</v>
      </c>
      <c r="Y6" s="62" t="str">
        <f>IFERROR(VLOOKUP(MID(T6,W6,X6-W6),[5]skilldef!$C:$D,2,FALSE),"-") &amp; " / " &amp; IFERROR(VLOOKUP(MID(T6,U6,V6-U6),[5]skilldef!$A:$B,2,FALSE),"-")</f>
        <v>- / -</v>
      </c>
      <c r="Z6" s="50"/>
      <c r="AA6" s="51"/>
      <c r="AB6" s="50"/>
    </row>
    <row r="7" spans="1:28" ht="28" customHeight="1" x14ac:dyDescent="0.15">
      <c r="A7" s="47">
        <v>13302015</v>
      </c>
      <c r="B7" s="107" t="s">
        <v>375</v>
      </c>
      <c r="C7" s="50">
        <v>1</v>
      </c>
      <c r="D7" s="50" t="s">
        <v>126</v>
      </c>
      <c r="E7" s="108" t="s">
        <v>308</v>
      </c>
      <c r="F7" s="108" t="s">
        <v>392</v>
      </c>
      <c r="G7" s="62" t="str">
        <f t="shared" si="15"/>
        <v>[effect:break_attack_fix, target:unit_all, val:60, lowest_val:2400, count:7, color:blue, block01:block_green, block02:crash]</v>
      </c>
      <c r="H7" s="62">
        <f t="shared" si="16"/>
        <v>9</v>
      </c>
      <c r="I7" s="62">
        <f t="shared" si="17"/>
        <v>25</v>
      </c>
      <c r="J7" s="62">
        <f t="shared" si="18"/>
        <v>34</v>
      </c>
      <c r="K7" s="62">
        <f t="shared" si="19"/>
        <v>42</v>
      </c>
      <c r="L7" s="62" t="str">
        <f>IFERROR(VLOOKUP(MID(G7,J7,K7-J7),[5]skilldef!$C:$D,2,FALSE),"-") &amp; " / " &amp; IFERROR(VLOOKUP(MID(G7,H7,I7-H7),[5]skilldef!$A:$B,2,FALSE),"-")</f>
        <v>味方全体に / -</v>
      </c>
      <c r="M7" s="62" t="str">
        <f t="shared" si="20"/>
        <v>[effect:force_change_block, new_block:time_bomb, target:block_all, color:block_green, count:3, val:0.2, min_time_count:2, max_time_count:3, animation:change_block],[effect:enemy_message, val1:1.4, val2:2.4]</v>
      </c>
      <c r="N7" s="48" t="str">
        <f>IFERROR(LEFT(M7,FIND("],",M7)+#REF!),M7)</f>
        <v>[effect:force_change_block, new_block:time_bomb, target:block_all, color:block_green, count:3, val:0.2, min_time_count:2, max_time_count:3, animation:change_block],[effect:enemy_message, val1:1.4, val2:2.4]</v>
      </c>
      <c r="O7" s="62">
        <f t="shared" si="21"/>
        <v>9</v>
      </c>
      <c r="P7" s="62">
        <f t="shared" si="22"/>
        <v>27</v>
      </c>
      <c r="Q7" s="62">
        <f t="shared" si="23"/>
        <v>57</v>
      </c>
      <c r="R7" s="62">
        <f t="shared" si="24"/>
        <v>48</v>
      </c>
      <c r="S7" s="62" t="str">
        <f>IFERROR(VLOOKUP(MID(N7,Q7,R7-Q7),[5]skilldef!$C:$D,2,FALSE),"-") &amp; " / " &amp; IFERROR(VLOOKUP(MID(N7,O7,P7-O7),[5]skilldef!$A:$B,2,FALSE),"-")</f>
        <v>- / -</v>
      </c>
      <c r="T7" s="48" t="str">
        <f t="shared" si="25"/>
        <v>[effect:enemy_message, val1:1.4, val2:2.4]</v>
      </c>
      <c r="U7" s="62">
        <f t="shared" si="26"/>
        <v>9</v>
      </c>
      <c r="V7" s="62">
        <f t="shared" si="27"/>
        <v>22</v>
      </c>
      <c r="W7" s="62" t="e">
        <f t="shared" si="28"/>
        <v>#VALUE!</v>
      </c>
      <c r="X7" s="62">
        <f t="shared" si="29"/>
        <v>32</v>
      </c>
      <c r="Y7" s="62" t="str">
        <f>IFERROR(VLOOKUP(MID(T7,W7,X7-W7),[5]skilldef!$C:$D,2,FALSE),"-") &amp; " / " &amp; IFERROR(VLOOKUP(MID(T7,U7,V7-U7),[5]skilldef!$A:$B,2,FALSE),"-")</f>
        <v>- / -</v>
      </c>
      <c r="Z7" s="50"/>
      <c r="AA7" s="51"/>
      <c r="AB7" s="50"/>
    </row>
    <row r="8" spans="1:28" ht="28" customHeight="1" x14ac:dyDescent="0.15">
      <c r="A8" s="47">
        <v>13302016</v>
      </c>
      <c r="B8" s="107" t="s">
        <v>376</v>
      </c>
      <c r="C8" s="50">
        <v>1</v>
      </c>
      <c r="D8" s="50" t="s">
        <v>126</v>
      </c>
      <c r="E8" s="108" t="s">
        <v>309</v>
      </c>
      <c r="F8" s="108" t="s">
        <v>393</v>
      </c>
      <c r="G8" s="62" t="str">
        <f t="shared" si="15"/>
        <v>[effect:break_attack_fix, target:unit_all, val:60, lowest_val:2400, count:7, color:blue, block01:block_blue, block02:crash]</v>
      </c>
      <c r="H8" s="62">
        <f t="shared" si="16"/>
        <v>9</v>
      </c>
      <c r="I8" s="62">
        <f t="shared" si="17"/>
        <v>25</v>
      </c>
      <c r="J8" s="62">
        <f t="shared" si="18"/>
        <v>34</v>
      </c>
      <c r="K8" s="62">
        <f t="shared" si="19"/>
        <v>42</v>
      </c>
      <c r="L8" s="62" t="str">
        <f>IFERROR(VLOOKUP(MID(G8,J8,K8-J8),[5]skilldef!$C:$D,2,FALSE),"-") &amp; " / " &amp; IFERROR(VLOOKUP(MID(G8,H8,I8-H8),[5]skilldef!$A:$B,2,FALSE),"-")</f>
        <v>味方全体に / -</v>
      </c>
      <c r="M8" s="62" t="str">
        <f t="shared" si="20"/>
        <v>[effect:force_change_block, new_block:time_bomb, target:block_all, color:block_blue, count:3, val:0.2, min_time_count:2, max_time_count:3, animation:change_block],[effect:enemy_message, val1:1.4, val2:2.4]</v>
      </c>
      <c r="N8" s="48" t="str">
        <f>IFERROR(LEFT(M8,FIND("],",M8)+#REF!),M8)</f>
        <v>[effect:force_change_block, new_block:time_bomb, target:block_all, color:block_blue, count:3, val:0.2, min_time_count:2, max_time_count:3, animation:change_block],[effect:enemy_message, val1:1.4, val2:2.4]</v>
      </c>
      <c r="O8" s="62">
        <f t="shared" si="21"/>
        <v>9</v>
      </c>
      <c r="P8" s="62">
        <f t="shared" si="22"/>
        <v>27</v>
      </c>
      <c r="Q8" s="62">
        <f t="shared" si="23"/>
        <v>57</v>
      </c>
      <c r="R8" s="62">
        <f t="shared" si="24"/>
        <v>48</v>
      </c>
      <c r="S8" s="62" t="str">
        <f>IFERROR(VLOOKUP(MID(N8,Q8,R8-Q8),[5]skilldef!$C:$D,2,FALSE),"-") &amp; " / " &amp; IFERROR(VLOOKUP(MID(N8,O8,P8-O8),[5]skilldef!$A:$B,2,FALSE),"-")</f>
        <v>- / -</v>
      </c>
      <c r="T8" s="48" t="str">
        <f t="shared" si="25"/>
        <v>[effect:enemy_message, val1:1.4, val2:2.4]</v>
      </c>
      <c r="U8" s="62">
        <f t="shared" si="26"/>
        <v>9</v>
      </c>
      <c r="V8" s="62">
        <f t="shared" si="27"/>
        <v>22</v>
      </c>
      <c r="W8" s="62" t="e">
        <f t="shared" si="28"/>
        <v>#VALUE!</v>
      </c>
      <c r="X8" s="62">
        <f t="shared" si="29"/>
        <v>32</v>
      </c>
      <c r="Y8" s="62" t="str">
        <f>IFERROR(VLOOKUP(MID(T8,W8,X8-W8),[5]skilldef!$C:$D,2,FALSE),"-") &amp; " / " &amp; IFERROR(VLOOKUP(MID(T8,U8,V8-U8),[5]skilldef!$A:$B,2,FALSE),"-")</f>
        <v>- / -</v>
      </c>
      <c r="Z8" s="50"/>
      <c r="AA8" s="51"/>
      <c r="AB8" s="50"/>
    </row>
    <row r="9" spans="1:28" ht="28" customHeight="1" x14ac:dyDescent="0.15">
      <c r="A9" s="47">
        <v>13302017</v>
      </c>
      <c r="B9" s="107" t="s">
        <v>360</v>
      </c>
      <c r="C9" s="50">
        <v>1</v>
      </c>
      <c r="D9" s="50" t="s">
        <v>126</v>
      </c>
      <c r="E9" s="108" t="s">
        <v>323</v>
      </c>
      <c r="F9" s="108" t="s">
        <v>394</v>
      </c>
      <c r="G9" s="62" t="str">
        <f t="shared" ref="G9" si="30">IFERROR(LEFT(B9,FIND("],",B9)),B9)</f>
        <v>[effect:rush, count:2, val:0.6]</v>
      </c>
      <c r="H9" s="62">
        <f t="shared" si="16"/>
        <v>9</v>
      </c>
      <c r="I9" s="62">
        <f t="shared" ref="I9" si="31">IFERROR(FIND(",",G9),LEN(G9))</f>
        <v>13</v>
      </c>
      <c r="J9" s="62" t="e">
        <f t="shared" ref="J9" si="32">FIND("target:",G9)+7</f>
        <v>#VALUE!</v>
      </c>
      <c r="K9" s="62">
        <f t="shared" ref="K9" si="33">FIND(",",G9,I9+1)</f>
        <v>22</v>
      </c>
      <c r="L9" s="62" t="str">
        <f>IFERROR(VLOOKUP(MID(G9,J9,K9-J9),[5]skilldef!$C:$D,2,FALSE),"-") &amp; " / " &amp; IFERROR(VLOOKUP(MID(G9,H9,I9-H9),[5]skilldef!$A:$B,2,FALSE),"-")</f>
        <v>- / 連続攻撃</v>
      </c>
      <c r="M9" s="62" t="str">
        <f t="shared" ref="M9" si="34">IFERROR(RIGHT(B9,LEN(B9)-FIND("],",B9)-1),"none")</f>
        <v>[effect:hungup, target:unit_one/unit_one/unit_one, turn:2, rate:1, animation:hungup01],[effect:enemy_message, val1:1.4, val2:2.2]</v>
      </c>
      <c r="N9" s="48" t="str">
        <f>IFERROR(LEFT(M9,FIND("],",M9)+#REF!),M9)</f>
        <v>[effect:hungup, target:unit_one/unit_one/unit_one, turn:2, rate:1, animation:hungup01],[effect:enemy_message, val1:1.4, val2:2.2]</v>
      </c>
      <c r="O9" s="62">
        <f t="shared" si="21"/>
        <v>9</v>
      </c>
      <c r="P9" s="62">
        <f t="shared" ref="P9" si="35">IFERROR(FIND(",",N9),LEN(N9))</f>
        <v>15</v>
      </c>
      <c r="Q9" s="62">
        <f t="shared" ref="Q9" si="36">FIND("target:",N9)+7</f>
        <v>24</v>
      </c>
      <c r="R9" s="62">
        <f t="shared" ref="R9" si="37">FIND(",",N9,P9+1)</f>
        <v>50</v>
      </c>
      <c r="S9" s="62" t="str">
        <f>IFERROR(VLOOKUP(MID(N9,Q9,R9-Q9),[5]skilldef!$C:$D,2,FALSE),"-") &amp; " / " &amp; IFERROR(VLOOKUP(MID(N9,O9,P9-O9),[5]skilldef!$A:$B,2,FALSE),"-")</f>
        <v>- / ハングアップ</v>
      </c>
      <c r="T9" s="48" t="str">
        <f t="shared" ref="T9" si="38">IFERROR(RIGHT(M9,LEN(M9)-FIND("],",M9)-1),"none")</f>
        <v>[effect:enemy_message, val1:1.4, val2:2.2]</v>
      </c>
      <c r="U9" s="62">
        <f t="shared" si="26"/>
        <v>9</v>
      </c>
      <c r="V9" s="62">
        <f t="shared" ref="V9" si="39">IFERROR(FIND(",",T9),LEN(T9))</f>
        <v>22</v>
      </c>
      <c r="W9" s="62" t="e">
        <f t="shared" ref="W9" si="40">FIND("target:",T9)+7</f>
        <v>#VALUE!</v>
      </c>
      <c r="X9" s="62">
        <f t="shared" ref="X9" si="41">FIND(",",T9,V9+1)</f>
        <v>32</v>
      </c>
      <c r="Y9" s="62" t="str">
        <f>IFERROR(VLOOKUP(MID(T9,W9,X9-W9),[5]skilldef!$C:$D,2,FALSE),"-") &amp; " / " &amp; IFERROR(VLOOKUP(MID(T9,U9,V9-U9),[5]skilldef!$A:$B,2,FALSE),"-")</f>
        <v>- / -</v>
      </c>
      <c r="Z9" s="50"/>
      <c r="AA9" s="51"/>
      <c r="AB9" s="50"/>
    </row>
    <row r="10" spans="1:28" ht="28" customHeight="1" x14ac:dyDescent="0.15">
      <c r="A10" s="47">
        <v>13302018</v>
      </c>
      <c r="B10" s="107" t="s">
        <v>361</v>
      </c>
      <c r="C10" s="50">
        <v>1</v>
      </c>
      <c r="D10" s="50" t="s">
        <v>126</v>
      </c>
      <c r="E10" s="108" t="s">
        <v>311</v>
      </c>
      <c r="F10" s="108" t="s">
        <v>389</v>
      </c>
      <c r="G10" s="62" t="str">
        <f t="shared" ref="G10" si="42">IFERROR(LEFT(B10,FIND("],",B10)),B10)</f>
        <v>[effect:virus, turn:1, target:unit_all, rate:1, val:0.4, animation:enemy_virus]</v>
      </c>
      <c r="H10" s="62">
        <f t="shared" si="16"/>
        <v>9</v>
      </c>
      <c r="I10" s="62">
        <f t="shared" ref="I10" si="43">IFERROR(FIND(",",G10),LEN(G10))</f>
        <v>14</v>
      </c>
      <c r="J10" s="62">
        <f t="shared" ref="J10" si="44">FIND("target:",G10)+7</f>
        <v>31</v>
      </c>
      <c r="K10" s="62">
        <f t="shared" ref="K10" si="45">FIND(",",G10,I10+1)</f>
        <v>22</v>
      </c>
      <c r="L10" s="62" t="str">
        <f>IFERROR(VLOOKUP(MID(G10,J10,K10-J10),[5]skilldef!$C:$D,2,FALSE),"-") &amp; " / " &amp; IFERROR(VLOOKUP(MID(G10,H10,I10-H10),[5]skilldef!$A:$B,2,FALSE),"-")</f>
        <v>- / ウィルス</v>
      </c>
      <c r="M10" s="62" t="str">
        <f t="shared" ref="M10" si="46">IFERROR(RIGHT(B10,LEN(B10)-FIND("],",B10)-1),"none")</f>
        <v>[effect:spread, val:0.35],[effect:enemy_message, val1:1.4, val2:2]</v>
      </c>
      <c r="N10" s="48" t="str">
        <f>IFERROR(LEFT(M10,FIND("],",M10)+#REF!),M10)</f>
        <v>[effect:spread, val:0.35],[effect:enemy_message, val1:1.4, val2:2]</v>
      </c>
      <c r="O10" s="62">
        <f t="shared" si="21"/>
        <v>9</v>
      </c>
      <c r="P10" s="62">
        <f t="shared" ref="P10" si="47">IFERROR(FIND(",",N10),LEN(N10))</f>
        <v>15</v>
      </c>
      <c r="Q10" s="62" t="e">
        <f t="shared" ref="Q10" si="48">FIND("target:",N10)+7</f>
        <v>#VALUE!</v>
      </c>
      <c r="R10" s="62">
        <f t="shared" ref="R10" si="49">FIND(",",N10,P10+1)</f>
        <v>26</v>
      </c>
      <c r="S10" s="62" t="str">
        <f>IFERROR(VLOOKUP(MID(N10,Q10,R10-Q10),[5]skilldef!$C:$D,2,FALSE),"-") &amp; " / " &amp; IFERROR(VLOOKUP(MID(N10,O10,P10-O10),[5]skilldef!$A:$B,2,FALSE),"-")</f>
        <v>- / 全体攻撃</v>
      </c>
      <c r="T10" s="48" t="str">
        <f t="shared" ref="T10" si="50">IFERROR(RIGHT(M10,LEN(M10)-FIND("],",M10)-1),"none")</f>
        <v>[effect:enemy_message, val1:1.4, val2:2]</v>
      </c>
      <c r="U10" s="62">
        <f t="shared" si="26"/>
        <v>9</v>
      </c>
      <c r="V10" s="62">
        <f t="shared" ref="V10" si="51">IFERROR(FIND(",",T10),LEN(T10))</f>
        <v>22</v>
      </c>
      <c r="W10" s="62" t="e">
        <f t="shared" ref="W10" si="52">FIND("target:",T10)+7</f>
        <v>#VALUE!</v>
      </c>
      <c r="X10" s="62">
        <f t="shared" ref="X10" si="53">FIND(",",T10,V10+1)</f>
        <v>32</v>
      </c>
      <c r="Y10" s="62" t="str">
        <f>IFERROR(VLOOKUP(MID(T10,W10,X10-W10),[5]skilldef!$C:$D,2,FALSE),"-") &amp; " / " &amp; IFERROR(VLOOKUP(MID(T10,U10,V10-U10),[5]skilldef!$A:$B,2,FALSE),"-")</f>
        <v>- / -</v>
      </c>
      <c r="Z10" s="50"/>
      <c r="AA10" s="51"/>
      <c r="AB10" s="50"/>
    </row>
    <row r="11" spans="1:28" ht="28" customHeight="1" x14ac:dyDescent="0.15">
      <c r="A11" s="47">
        <v>13302019</v>
      </c>
      <c r="B11" s="107" t="s">
        <v>362</v>
      </c>
      <c r="C11" s="50">
        <v>1</v>
      </c>
      <c r="D11" s="50" t="s">
        <v>126</v>
      </c>
      <c r="E11" s="108" t="s">
        <v>304</v>
      </c>
      <c r="F11" s="108" t="s">
        <v>324</v>
      </c>
      <c r="G11" s="62" t="str">
        <f t="shared" ref="G11" si="54">IFERROR(LEFT(B11,FIND("],",B11)),B11)</f>
        <v>[effect:force_change_block, new_block:time_bomb, target:block_all, ignore:jammer, ignore02:time_bomb, count:10, val:0.2, min_time_count:2, max_time_count:5, animation:change_block]</v>
      </c>
      <c r="H11" s="62">
        <f t="shared" si="16"/>
        <v>9</v>
      </c>
      <c r="I11" s="62">
        <f t="shared" ref="I11" si="55">IFERROR(FIND(",",G11),LEN(G11))</f>
        <v>27</v>
      </c>
      <c r="J11" s="62">
        <f t="shared" ref="J11" si="56">FIND("target:",G11)+7</f>
        <v>57</v>
      </c>
      <c r="K11" s="62">
        <f t="shared" ref="K11" si="57">FIND(",",G11,I11+1)</f>
        <v>48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ref="M11" si="58">IFERROR(RIGHT(B11,LEN(B11)-FIND("],",B11)-1),"none")</f>
        <v>[effect:spread, val:0.35],[effect:enemy_message, val1:1.4, val2:2.2]</v>
      </c>
      <c r="N11" s="48" t="str">
        <f t="shared" ref="N11:N16" si="59">IFERROR(LEFT(M11,FIND("],",M11)+S21),M11)</f>
        <v>[effect:spread, val:0.35],[effect:enemy_message, val1:1.4, val2:2.2]</v>
      </c>
      <c r="O11" s="62">
        <f t="shared" si="21"/>
        <v>9</v>
      </c>
      <c r="P11" s="62">
        <f t="shared" ref="P11" si="60">IFERROR(FIND(",",N11),LEN(N11))</f>
        <v>15</v>
      </c>
      <c r="Q11" s="62" t="e">
        <f t="shared" ref="Q11" si="61">FIND("target:",N11)+7</f>
        <v>#VALUE!</v>
      </c>
      <c r="R11" s="62">
        <f t="shared" ref="R11" si="62">FIND(",",N11,P11+1)</f>
        <v>26</v>
      </c>
      <c r="S11" s="62" t="str">
        <f>IFERROR(VLOOKUP(MID(N11,Q11,R11-Q11),[5]skilldef!$C:$D,2,FALSE),"-") &amp; " / " &amp; IFERROR(VLOOKUP(MID(N11,O11,P11-O11),[5]skilldef!$A:$B,2,FALSE),"-")</f>
        <v>- / 全体攻撃</v>
      </c>
      <c r="T11" s="48" t="str">
        <f t="shared" ref="T11" si="63">IFERROR(RIGHT(M11,LEN(M11)-FIND("],",M11)-1),"none")</f>
        <v>[effect:enemy_message, val1:1.4, val2:2.2]</v>
      </c>
      <c r="U11" s="62">
        <f t="shared" si="26"/>
        <v>9</v>
      </c>
      <c r="V11" s="62">
        <f t="shared" ref="V11" si="64">IFERROR(FIND(",",T11),LEN(T11))</f>
        <v>22</v>
      </c>
      <c r="W11" s="62" t="e">
        <f t="shared" ref="W11" si="65">FIND("target:",T11)+7</f>
        <v>#VALUE!</v>
      </c>
      <c r="X11" s="62">
        <f t="shared" ref="X11" si="66">FIND(",",T11,V11+1)</f>
        <v>32</v>
      </c>
      <c r="Y11" s="62" t="str">
        <f>IFERROR(VLOOKUP(MID(T11,W11,X11-W11),[5]skilldef!$C:$D,2,FALSE),"-") &amp; " / " &amp; IFERROR(VLOOKUP(MID(T11,U11,V11-U11),[5]skilldef!$A:$B,2,FALSE),"-")</f>
        <v>- / -</v>
      </c>
      <c r="Z11" s="50"/>
      <c r="AA11" s="51"/>
      <c r="AB11" s="50"/>
    </row>
    <row r="12" spans="1:28" ht="28" customHeight="1" x14ac:dyDescent="0.15">
      <c r="A12" s="109">
        <v>13302021</v>
      </c>
      <c r="B12" s="109" t="s">
        <v>363</v>
      </c>
      <c r="C12" s="50">
        <v>1</v>
      </c>
      <c r="D12" s="50" t="s">
        <v>126</v>
      </c>
      <c r="E12" s="110" t="s">
        <v>312</v>
      </c>
      <c r="F12" s="110" t="s">
        <v>334</v>
      </c>
      <c r="G12" s="62" t="str">
        <f t="shared" ref="G12" si="67">IFERROR(LEFT(B12,FIND("],",B12)),B12)</f>
        <v>[effect:drop_block, block_type:jammer, color:block_heart, val:0, rate:0.5, turn:-1, animation:jammer_influence04]</v>
      </c>
      <c r="H12" s="62">
        <f t="shared" ref="H12" si="68">FIND("effect:",G12)+7</f>
        <v>9</v>
      </c>
      <c r="I12" s="62">
        <f t="shared" ref="I12" si="69">IFERROR(FIND(",",G12),LEN(G12))</f>
        <v>19</v>
      </c>
      <c r="J12" s="62" t="e">
        <f t="shared" ref="J12" si="70">FIND("target:",G12)+7</f>
        <v>#VALUE!</v>
      </c>
      <c r="K12" s="62">
        <f t="shared" ref="K12" si="71">FIND(",",G12,I12+1)</f>
        <v>38</v>
      </c>
      <c r="L12" s="62" t="str">
        <f>IFERROR(VLOOKUP(MID(G12,J12,K12-J12),[5]skilldef!$C:$D,2,FALSE),"-") &amp; " / " &amp; IFERROR(VLOOKUP(MID(G12,H12,I12-H12),[5]skilldef!$A:$B,2,FALSE),"-")</f>
        <v>- / 特定ブロックの割合ドロップ</v>
      </c>
      <c r="M12" s="62" t="str">
        <f t="shared" ref="M12" si="72">IFERROR(RIGHT(B12,LEN(B12)-FIND("],",B12)-1),"none")</f>
        <v>[effect:tolerance, target:myself, turn:-1, count:-1, tolerance_effect:all, animation:enemy_tolerance],[effect:enemy_message, val1:1.4, val2:3.1]</v>
      </c>
      <c r="N12" s="48" t="str">
        <f t="shared" si="59"/>
        <v>[effect:tolerance, target:myself, turn:-1, count:-1, tolerance_effect:all, animation:enemy_tolerance],[effect:enemy_message, val1:1.4, val2:3.1]</v>
      </c>
      <c r="O12" s="62">
        <f t="shared" ref="O12" si="73">FIND("effect:",N12)+7</f>
        <v>9</v>
      </c>
      <c r="P12" s="62">
        <f t="shared" ref="P12" si="74">IFERROR(FIND(",",N12),LEN(N12))</f>
        <v>18</v>
      </c>
      <c r="Q12" s="62">
        <f t="shared" ref="Q12" si="75">FIND("target:",N12)+7</f>
        <v>27</v>
      </c>
      <c r="R12" s="62">
        <f t="shared" ref="R12" si="76">FIND(",",N12,P12+1)</f>
        <v>33</v>
      </c>
      <c r="S12" s="62" t="str">
        <f>IFERROR(VLOOKUP(MID(N12,Q12,R12-Q12),[5]skilldef!$C:$D,2,FALSE),"-") &amp; " / " &amp; IFERROR(VLOOKUP(MID(N12,O12,P12-O12),[5]skilldef!$A:$B,2,FALSE),"-")</f>
        <v>自分自身に / 状態異常耐性</v>
      </c>
      <c r="T12" s="48" t="str">
        <f t="shared" ref="T12" si="77">IFERROR(RIGHT(M12,LEN(M12)-FIND("],",M12)-1),"none")</f>
        <v>[effect:enemy_message, val1:1.4, val2:3.1]</v>
      </c>
      <c r="U12" s="62">
        <f t="shared" ref="U12" si="78">FIND("effect:",T12)+7</f>
        <v>9</v>
      </c>
      <c r="V12" s="62">
        <f t="shared" ref="V12" si="79">IFERROR(FIND(",",T12),LEN(T12))</f>
        <v>22</v>
      </c>
      <c r="W12" s="62" t="e">
        <f t="shared" ref="W12" si="80">FIND("target:",T12)+7</f>
        <v>#VALUE!</v>
      </c>
      <c r="X12" s="62">
        <f t="shared" ref="X12" si="81">FIND(",",T12,V12+1)</f>
        <v>32</v>
      </c>
      <c r="Y12" s="62" t="str">
        <f>IFERROR(VLOOKUP(MID(T12,W12,X12-W12),[5]skilldef!$C:$D,2,FALSE),"-") &amp; " / " &amp; IFERROR(VLOOKUP(MID(T12,U12,V12-U12),[5]skilldef!$A:$B,2,FALSE),"-")</f>
        <v>- / -</v>
      </c>
      <c r="Z12" s="50"/>
      <c r="AA12" s="51"/>
      <c r="AB12" s="50"/>
    </row>
    <row r="13" spans="1:28" ht="28" customHeight="1" x14ac:dyDescent="0.15">
      <c r="A13" s="109">
        <v>13302022</v>
      </c>
      <c r="B13" s="109" t="s">
        <v>395</v>
      </c>
      <c r="C13" s="50">
        <v>1</v>
      </c>
      <c r="D13" s="111" t="s">
        <v>126</v>
      </c>
      <c r="E13" s="110" t="s">
        <v>301</v>
      </c>
      <c r="F13" s="110" t="s">
        <v>335</v>
      </c>
      <c r="G13" s="62" t="str">
        <f t="shared" ref="G13:G16" si="82">IFERROR(LEFT(B13,FIND("],",B13)),B13)</f>
        <v>[effect:force_change_block, new_block:jammer, target:crash, ignore01:block_heart, ignore02:time_bomb, ignore03:jammer, ignore04:damage, count:0, val:0, animation:change_block]</v>
      </c>
      <c r="H13" s="62">
        <f t="shared" ref="H13:H16" si="83">FIND("effect:",G13)+7</f>
        <v>9</v>
      </c>
      <c r="I13" s="62">
        <f t="shared" ref="I13:I16" si="84">IFERROR(FIND(",",G13),LEN(G13))</f>
        <v>27</v>
      </c>
      <c r="J13" s="62">
        <f t="shared" ref="J13:J16" si="85">FIND("target:",G13)+7</f>
        <v>54</v>
      </c>
      <c r="K13" s="62">
        <f t="shared" ref="K13:K16" si="86">FIND(",",G13,I13+1)</f>
        <v>45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ref="M13:M16" si="87">IFERROR(RIGHT(B13,LEN(B13)-FIND("],",B13)-1),"none")</f>
        <v>[effect:force_change_block, new_block:damage, target:block_all, ignore01:crash, ignore02:time_bomb, ignore03:color_break, ignore04:damage, color:block_red, count:10, val:0.08, animation:change_block],[effect:enemy_message, val1:1.4, val2:2.4]</v>
      </c>
      <c r="N13" s="48" t="str">
        <f t="shared" si="59"/>
        <v>[effect:force_change_block, new_block:damage, target:block_all, ignore01:crash, ignore02:time_bomb, ignore03:color_break, ignore04:damage, color:block_red, count:10, val:0.08, animation:change_block],[effect:enemy_message, val1:1.4, val2:2.4]</v>
      </c>
      <c r="O13" s="62">
        <f t="shared" ref="O13:O16" si="88">FIND("effect:",N13)+7</f>
        <v>9</v>
      </c>
      <c r="P13" s="62">
        <f t="shared" ref="P13:P16" si="89">IFERROR(FIND(",",N13),LEN(N13))</f>
        <v>27</v>
      </c>
      <c r="Q13" s="62">
        <f t="shared" ref="Q13:Q16" si="90">FIND("target:",N13)+7</f>
        <v>54</v>
      </c>
      <c r="R13" s="62">
        <f t="shared" ref="R13:R16" si="91">FIND(",",N13,P13+1)</f>
        <v>45</v>
      </c>
      <c r="S13" s="62" t="str">
        <f>IFERROR(VLOOKUP(MID(N13,Q13,R13-Q13),[5]skilldef!$C:$D,2,FALSE),"-") &amp; " / " &amp; IFERROR(VLOOKUP(MID(N13,O13,P13-O13),[5]skilldef!$A:$B,2,FALSE),"-")</f>
        <v>- / -</v>
      </c>
      <c r="T13" s="48" t="str">
        <f t="shared" ref="T13:T16" si="92">IFERROR(RIGHT(M13,LEN(M13)-FIND("],",M13)-1),"none")</f>
        <v>[effect:enemy_message, val1:1.4, val2:2.4]</v>
      </c>
      <c r="U13" s="62">
        <f t="shared" ref="U13:U16" si="93">FIND("effect:",T13)+7</f>
        <v>9</v>
      </c>
      <c r="V13" s="62">
        <f t="shared" ref="V13:V16" si="94">IFERROR(FIND(",",T13),LEN(T13))</f>
        <v>22</v>
      </c>
      <c r="W13" s="62" t="e">
        <f t="shared" ref="W13:W16" si="95">FIND("target:",T13)+7</f>
        <v>#VALUE!</v>
      </c>
      <c r="X13" s="62">
        <f t="shared" ref="X13:X16" si="96">FIND(",",T13,V13+1)</f>
        <v>32</v>
      </c>
      <c r="Y13" s="62" t="str">
        <f>IFERROR(VLOOKUP(MID(T13,W13,X13-W13),[5]skilldef!$C:$D,2,FALSE),"-") &amp; " / " &amp; IFERROR(VLOOKUP(MID(T13,U13,V13-U13),[5]skilldef!$A:$B,2,FALSE),"-")</f>
        <v>- / -</v>
      </c>
      <c r="Z13" s="50"/>
      <c r="AA13" s="51"/>
      <c r="AB13" s="50"/>
    </row>
    <row r="14" spans="1:28" ht="28" customHeight="1" x14ac:dyDescent="0.15">
      <c r="A14" s="109">
        <v>13302023</v>
      </c>
      <c r="B14" s="109" t="s">
        <v>364</v>
      </c>
      <c r="C14" s="50">
        <v>1</v>
      </c>
      <c r="D14" s="50" t="s">
        <v>126</v>
      </c>
      <c r="E14" s="110" t="s">
        <v>297</v>
      </c>
      <c r="F14" s="110" t="s">
        <v>337</v>
      </c>
      <c r="G14" s="62" t="str">
        <f t="shared" si="82"/>
        <v>[effect:break_heal_fix, target:myself, val:150, lowest_val:1000, count:-1, block01:block_heart, animation:enemy_heal]</v>
      </c>
      <c r="H14" s="62">
        <f t="shared" si="83"/>
        <v>9</v>
      </c>
      <c r="I14" s="62">
        <f t="shared" si="84"/>
        <v>23</v>
      </c>
      <c r="J14" s="62">
        <f t="shared" si="85"/>
        <v>32</v>
      </c>
      <c r="K14" s="62">
        <f t="shared" si="86"/>
        <v>38</v>
      </c>
      <c r="L14" s="62" t="str">
        <f>IFERROR(VLOOKUP(MID(G14,J14,K14-J14),[5]skilldef!$C:$D,2,FALSE),"-") &amp; " / " &amp; IFERROR(VLOOKUP(MID(G14,H14,I14-H14),[5]skilldef!$A:$B,2,FALSE),"-")</f>
        <v>自分自身に / -</v>
      </c>
      <c r="M14" s="62" t="str">
        <f t="shared" si="87"/>
        <v>[effect:rush, count:1, val:1.15],[effect:enemy_message, val1:1.4, val2:1.9]</v>
      </c>
      <c r="N14" s="48" t="str">
        <f t="shared" si="59"/>
        <v>[effect:rush, count:1, val:1.15],[effect:enemy_message, val1:1.4, val2:1.9]</v>
      </c>
      <c r="O14" s="62">
        <f t="shared" si="88"/>
        <v>9</v>
      </c>
      <c r="P14" s="62">
        <f t="shared" si="89"/>
        <v>13</v>
      </c>
      <c r="Q14" s="62" t="e">
        <f t="shared" si="90"/>
        <v>#VALUE!</v>
      </c>
      <c r="R14" s="62">
        <f t="shared" si="91"/>
        <v>22</v>
      </c>
      <c r="S14" s="62" t="str">
        <f>IFERROR(VLOOKUP(MID(N14,Q14,R14-Q14),[5]skilldef!$C:$D,2,FALSE),"-") &amp; " / " &amp; IFERROR(VLOOKUP(MID(N14,O14,P14-O14),[5]skilldef!$A:$B,2,FALSE),"-")</f>
        <v>- / 連続攻撃</v>
      </c>
      <c r="T14" s="48" t="str">
        <f t="shared" si="92"/>
        <v>[effect:enemy_message, val1:1.4, val2:1.9]</v>
      </c>
      <c r="U14" s="62">
        <f t="shared" si="93"/>
        <v>9</v>
      </c>
      <c r="V14" s="62">
        <f t="shared" si="94"/>
        <v>22</v>
      </c>
      <c r="W14" s="62" t="e">
        <f t="shared" si="95"/>
        <v>#VALUE!</v>
      </c>
      <c r="X14" s="62">
        <f t="shared" si="96"/>
        <v>32</v>
      </c>
      <c r="Y14" s="62" t="str">
        <f>IFERROR(VLOOKUP(MID(T14,W14,X14-W14),[5]skilldef!$C:$D,2,FALSE),"-") &amp; " / " &amp; IFERROR(VLOOKUP(MID(T14,U14,V14-U14),[5]skilldef!$A:$B,2,FALSE),"-")</f>
        <v>- / -</v>
      </c>
      <c r="Z14" s="50"/>
      <c r="AA14" s="51"/>
      <c r="AB14" s="50"/>
    </row>
    <row r="15" spans="1:28" ht="28" customHeight="1" x14ac:dyDescent="0.15">
      <c r="A15" s="109">
        <v>13302024</v>
      </c>
      <c r="B15" s="109" t="s">
        <v>353</v>
      </c>
      <c r="C15" s="50">
        <v>1</v>
      </c>
      <c r="D15" s="50" t="s">
        <v>126</v>
      </c>
      <c r="E15" s="110" t="s">
        <v>314</v>
      </c>
      <c r="F15" s="110" t="s">
        <v>336</v>
      </c>
      <c r="G15" s="62" t="str">
        <f t="shared" si="82"/>
        <v>[effect:force_change_block, new_block:damage, target:block_all, ignore01:crash, ignore02:time_bomb, ignore03:color_break, ignore04:damage, color:block_red, count:14, val:0.08, animation:change_block]</v>
      </c>
      <c r="H15" s="62">
        <f t="shared" si="83"/>
        <v>9</v>
      </c>
      <c r="I15" s="62">
        <f t="shared" si="84"/>
        <v>27</v>
      </c>
      <c r="J15" s="62">
        <f t="shared" si="85"/>
        <v>54</v>
      </c>
      <c r="K15" s="62">
        <f t="shared" si="86"/>
        <v>45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si="87"/>
        <v>none</v>
      </c>
      <c r="N15" s="48" t="str">
        <f t="shared" si="59"/>
        <v>none</v>
      </c>
      <c r="O15" s="62" t="e">
        <f t="shared" si="88"/>
        <v>#VALUE!</v>
      </c>
      <c r="P15" s="62">
        <f t="shared" si="89"/>
        <v>4</v>
      </c>
      <c r="Q15" s="62" t="e">
        <f t="shared" si="90"/>
        <v>#VALUE!</v>
      </c>
      <c r="R15" s="62" t="e">
        <f t="shared" si="91"/>
        <v>#VALUE!</v>
      </c>
      <c r="S15" s="62" t="str">
        <f>IFERROR(VLOOKUP(MID(N15,Q15,R15-Q15),[5]skilldef!$C:$D,2,FALSE),"-") &amp; " / " &amp; IFERROR(VLOOKUP(MID(N15,O15,P15-O15),[5]skilldef!$A:$B,2,FALSE),"-")</f>
        <v>- / -</v>
      </c>
      <c r="T15" s="48" t="str">
        <f t="shared" si="92"/>
        <v>none</v>
      </c>
      <c r="U15" s="62" t="e">
        <f t="shared" si="93"/>
        <v>#VALUE!</v>
      </c>
      <c r="V15" s="62">
        <f t="shared" si="94"/>
        <v>4</v>
      </c>
      <c r="W15" s="62" t="e">
        <f t="shared" si="95"/>
        <v>#VALUE!</v>
      </c>
      <c r="X15" s="62" t="e">
        <f t="shared" si="96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50"/>
      <c r="AA15" s="51"/>
      <c r="AB15" s="50"/>
    </row>
    <row r="16" spans="1:28" ht="28" customHeight="1" x14ac:dyDescent="0.15">
      <c r="A16" s="109">
        <v>13302025</v>
      </c>
      <c r="B16" s="109" t="s">
        <v>365</v>
      </c>
      <c r="C16" s="50">
        <v>1</v>
      </c>
      <c r="D16" s="50" t="s">
        <v>126</v>
      </c>
      <c r="E16" s="110" t="s">
        <v>302</v>
      </c>
      <c r="F16" s="110" t="s">
        <v>338</v>
      </c>
      <c r="G16" s="62" t="str">
        <f t="shared" si="82"/>
        <v>[effect:force_change_block, new_block:jammer, target:block_all, ignore01:jammer, ignore02:time_bomb, ignore03:crash, ignore04:damage, count:10, val:0, animation:change_block]</v>
      </c>
      <c r="H16" s="62">
        <f t="shared" si="83"/>
        <v>9</v>
      </c>
      <c r="I16" s="62">
        <f t="shared" si="84"/>
        <v>27</v>
      </c>
      <c r="J16" s="62">
        <f t="shared" si="85"/>
        <v>54</v>
      </c>
      <c r="K16" s="62">
        <f t="shared" si="86"/>
        <v>45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 t="shared" si="87"/>
        <v>[effect:spread, val:0.29],[effect:enemy_message, val1:1.4, val2:1.9]</v>
      </c>
      <c r="N16" s="48" t="str">
        <f t="shared" si="59"/>
        <v>[effect:spread, val:0.29],[effect:enemy_message, val1:1.4, val2:1.9]</v>
      </c>
      <c r="O16" s="62">
        <f t="shared" si="88"/>
        <v>9</v>
      </c>
      <c r="P16" s="62">
        <f t="shared" si="89"/>
        <v>15</v>
      </c>
      <c r="Q16" s="62" t="e">
        <f t="shared" si="90"/>
        <v>#VALUE!</v>
      </c>
      <c r="R16" s="62">
        <f t="shared" si="91"/>
        <v>26</v>
      </c>
      <c r="S16" s="62" t="str">
        <f>IFERROR(VLOOKUP(MID(N16,Q16,R16-Q16),[5]skilldef!$C:$D,2,FALSE),"-") &amp; " / " &amp; IFERROR(VLOOKUP(MID(N16,O16,P16-O16),[5]skilldef!$A:$B,2,FALSE),"-")</f>
        <v>- / 全体攻撃</v>
      </c>
      <c r="T16" s="48" t="str">
        <f t="shared" si="92"/>
        <v>[effect:enemy_message, val1:1.4, val2:1.9]</v>
      </c>
      <c r="U16" s="62">
        <f t="shared" si="93"/>
        <v>9</v>
      </c>
      <c r="V16" s="62">
        <f t="shared" si="94"/>
        <v>22</v>
      </c>
      <c r="W16" s="62" t="e">
        <f t="shared" si="95"/>
        <v>#VALUE!</v>
      </c>
      <c r="X16" s="62">
        <f t="shared" si="96"/>
        <v>32</v>
      </c>
      <c r="Y16" s="62" t="str">
        <f>IFERROR(VLOOKUP(MID(T16,W16,X16-W16),[5]skilldef!$C:$D,2,FALSE),"-") &amp; " / " &amp; IFERROR(VLOOKUP(MID(T16,U16,V16-U16),[5]skilldef!$A:$B,2,FALSE),"-")</f>
        <v>- / -</v>
      </c>
      <c r="Z16" s="50"/>
      <c r="AA16" s="51"/>
      <c r="AB16" s="50"/>
    </row>
    <row r="17" spans="1:28" ht="43" customHeight="1" x14ac:dyDescent="0.15">
      <c r="A17" s="109">
        <v>13302026</v>
      </c>
      <c r="B17" s="109" t="s">
        <v>366</v>
      </c>
      <c r="C17" s="50">
        <v>1</v>
      </c>
      <c r="D17" s="50" t="s">
        <v>126</v>
      </c>
      <c r="E17" s="110" t="s">
        <v>313</v>
      </c>
      <c r="F17" s="110" t="s">
        <v>396</v>
      </c>
      <c r="G17" s="62" t="str">
        <f t="shared" ref="G17" si="97">IFERROR(LEFT(B17,FIND("],",B17)),B17)</f>
        <v>[effect:break_heal_fix, target:myself, val:4850, lowest_val:2, count:1, block01:jammer, animation:enemy_heal]</v>
      </c>
      <c r="H17" s="62">
        <f t="shared" ref="H17" si="98">FIND("effect:",G17)+7</f>
        <v>9</v>
      </c>
      <c r="I17" s="62">
        <f t="shared" ref="I17" si="99">IFERROR(FIND(",",G17),LEN(G17))</f>
        <v>23</v>
      </c>
      <c r="J17" s="62">
        <f t="shared" ref="J17" si="100">FIND("target:",G17)+7</f>
        <v>32</v>
      </c>
      <c r="K17" s="62">
        <f t="shared" ref="K17" si="101">FIND(",",G17,I17+1)</f>
        <v>38</v>
      </c>
      <c r="L17" s="62" t="str">
        <f>IFERROR(VLOOKUP(MID(G17,J17,K17-J17),[5]skilldef!$C:$D,2,FALSE),"-") &amp; " / " &amp; IFERROR(VLOOKUP(MID(G17,H17,I17-H17),[5]skilldef!$A:$B,2,FALSE),"-")</f>
        <v>自分自身に / -</v>
      </c>
      <c r="M17" s="62" t="str">
        <f t="shared" ref="M17" si="102">IFERROR(RIGHT(B17,LEN(B17)-FIND("],",B17)-1),"none")</f>
        <v>[effect:break_heal_fix, target:myself, val:2200, lowest_val:6, count:19, block01:block_green, animation:enemy_heal],[effect:enemy_message, val1:1.4, val2:2.1]</v>
      </c>
      <c r="N17" s="48" t="str">
        <f>IFERROR(LEFT(M17,FIND("],",M17)+S23),M17)</f>
        <v>[effect:break_heal_fix, target:myself, val:2200, lowest_val:6, count:19, block01:block_green, animation:enemy_heal],[effect:enemy_message, val1:1.4, val2:2.1]</v>
      </c>
      <c r="O17" s="62">
        <f t="shared" ref="O17" si="103">FIND("effect:",N17)+7</f>
        <v>9</v>
      </c>
      <c r="P17" s="62">
        <f t="shared" ref="P17" si="104">IFERROR(FIND(",",N17),LEN(N17))</f>
        <v>23</v>
      </c>
      <c r="Q17" s="62">
        <f t="shared" ref="Q17" si="105">FIND("target:",N17)+7</f>
        <v>32</v>
      </c>
      <c r="R17" s="62">
        <f t="shared" ref="R17" si="106">FIND(",",N17,P17+1)</f>
        <v>38</v>
      </c>
      <c r="S17" s="62" t="str">
        <f>IFERROR(VLOOKUP(MID(N17,Q17,R17-Q17),[5]skilldef!$C:$D,2,FALSE),"-") &amp; " / " &amp; IFERROR(VLOOKUP(MID(N17,O17,P17-O17),[5]skilldef!$A:$B,2,FALSE),"-")</f>
        <v>自分自身に / -</v>
      </c>
      <c r="T17" s="48" t="str">
        <f t="shared" ref="T17" si="107">IFERROR(RIGHT(M17,LEN(M17)-FIND("],",M17)-1),"none")</f>
        <v>[effect:enemy_message, val1:1.4, val2:2.1]</v>
      </c>
      <c r="U17" s="62">
        <f t="shared" ref="U17" si="108">FIND("effect:",T17)+7</f>
        <v>9</v>
      </c>
      <c r="V17" s="62">
        <f t="shared" ref="V17" si="109">IFERROR(FIND(",",T17),LEN(T17))</f>
        <v>22</v>
      </c>
      <c r="W17" s="62" t="e">
        <f t="shared" ref="W17" si="110">FIND("target:",T17)+7</f>
        <v>#VALUE!</v>
      </c>
      <c r="X17" s="62">
        <f t="shared" ref="X17" si="111">FIND(",",T17,V17+1)</f>
        <v>32</v>
      </c>
      <c r="Y17" s="62" t="str">
        <f>IFERROR(VLOOKUP(MID(T17,W17,X17-W17),[5]skilldef!$C:$D,2,FALSE),"-") &amp; " / " &amp; IFERROR(VLOOKUP(MID(T17,U17,V17-U17),[5]skilldef!$A:$B,2,FALSE),"-")</f>
        <v>- / -</v>
      </c>
      <c r="Z17" s="50"/>
      <c r="AA17" s="51"/>
      <c r="AB17" s="50"/>
    </row>
    <row r="18" spans="1:28" ht="43" customHeight="1" x14ac:dyDescent="0.15">
      <c r="A18" s="109">
        <v>13302027</v>
      </c>
      <c r="B18" s="109" t="s">
        <v>354</v>
      </c>
      <c r="C18" s="50">
        <v>1</v>
      </c>
      <c r="D18" s="50" t="s">
        <v>126</v>
      </c>
      <c r="E18" s="110" t="s">
        <v>298</v>
      </c>
      <c r="F18" s="110" t="s">
        <v>339</v>
      </c>
      <c r="G18" s="62" t="str">
        <f t="shared" ref="G18" si="112">IFERROR(LEFT(B18,FIND("],",B18)),B18)</f>
        <v>[effect:force_change_block, new_block:damage, target:block_all, ignore01:crash, ignore02:time_bomb, ignore03:color_break, ignore04:damage, color:block_red, count:7, val:0.09, animation:change_block]</v>
      </c>
      <c r="H18" s="62">
        <f t="shared" ref="H18" si="113">FIND("effect:",G18)+7</f>
        <v>9</v>
      </c>
      <c r="I18" s="62">
        <f t="shared" ref="I18" si="114">IFERROR(FIND(",",G18),LEN(G18))</f>
        <v>27</v>
      </c>
      <c r="J18" s="62">
        <f t="shared" ref="J18" si="115">FIND("target:",G18)+7</f>
        <v>54</v>
      </c>
      <c r="K18" s="62">
        <f t="shared" ref="K18" si="116">FIND(",",G18,I18+1)</f>
        <v>45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ref="M18" si="117">IFERROR(RIGHT(B18,LEN(B18)-FIND("],",B18)-1),"none")</f>
        <v>[effect:enemy_message, val1:1.4, val2:2]</v>
      </c>
      <c r="N18" s="48" t="str">
        <f>IFERROR(LEFT(M18,FIND("],",M18)+S24),M18)</f>
        <v>[effect:enemy_message, val1:1.4, val2:2]</v>
      </c>
      <c r="O18" s="62">
        <f t="shared" ref="O18" si="118">FIND("effect:",N18)+7</f>
        <v>9</v>
      </c>
      <c r="P18" s="62">
        <f t="shared" ref="P18" si="119">IFERROR(FIND(",",N18),LEN(N18))</f>
        <v>22</v>
      </c>
      <c r="Q18" s="62" t="e">
        <f t="shared" ref="Q18" si="120">FIND("target:",N18)+7</f>
        <v>#VALUE!</v>
      </c>
      <c r="R18" s="62">
        <f t="shared" ref="R18" si="121">FIND(",",N18,P18+1)</f>
        <v>32</v>
      </c>
      <c r="S18" s="62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122">IFERROR(RIGHT(M18,LEN(M18)-FIND("],",M18)-1),"none")</f>
        <v>none</v>
      </c>
      <c r="U18" s="62" t="e">
        <f t="shared" ref="U18" si="123">FIND("effect:",T18)+7</f>
        <v>#VALUE!</v>
      </c>
      <c r="V18" s="62">
        <f t="shared" ref="V18" si="124">IFERROR(FIND(",",T18),LEN(T18))</f>
        <v>4</v>
      </c>
      <c r="W18" s="62" t="e">
        <f t="shared" ref="W18" si="125">FIND("target:",T18)+7</f>
        <v>#VALUE!</v>
      </c>
      <c r="X18" s="62" t="e">
        <f t="shared" ref="X18" si="126">FIND(",",T18,V18+1)</f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50"/>
      <c r="AA18" s="51"/>
      <c r="AB18" s="50"/>
    </row>
    <row r="19" spans="1:28" ht="28" customHeight="1" x14ac:dyDescent="0.15">
      <c r="A19" s="109">
        <v>13302028</v>
      </c>
      <c r="B19" s="109" t="s">
        <v>355</v>
      </c>
      <c r="C19" s="50">
        <v>1</v>
      </c>
      <c r="D19" s="50" t="s">
        <v>126</v>
      </c>
      <c r="E19" s="110" t="s">
        <v>299</v>
      </c>
      <c r="F19" s="110" t="s">
        <v>325</v>
      </c>
      <c r="G19" s="62" t="str">
        <f t="shared" ref="G19" si="127">IFERROR(LEFT(B19,FIND("],",B19)),B19)</f>
        <v>[effect:break_attack_fix, target:unit_all, val:850, lowest_val:1500, count:-1, color:red, block01:jammer]</v>
      </c>
      <c r="H19" s="62">
        <f t="shared" ref="H19" si="128">FIND("effect:",G19)+7</f>
        <v>9</v>
      </c>
      <c r="I19" s="62">
        <f t="shared" ref="I19" si="129">IFERROR(FIND(",",G19),LEN(G19))</f>
        <v>25</v>
      </c>
      <c r="J19" s="62">
        <f t="shared" ref="J19" si="130">FIND("target:",G19)+7</f>
        <v>34</v>
      </c>
      <c r="K19" s="62">
        <f t="shared" ref="K19" si="131">FIND(",",G19,I19+1)</f>
        <v>42</v>
      </c>
      <c r="L19" s="62" t="str">
        <f>IFERROR(VLOOKUP(MID(G19,J19,K19-J19),[5]skilldef!$C:$D,2,FALSE),"-") &amp; " / " &amp; IFERROR(VLOOKUP(MID(G19,H19,I19-H19),[5]skilldef!$A:$B,2,FALSE),"-")</f>
        <v>味方全体に / -</v>
      </c>
      <c r="M19" s="62" t="str">
        <f t="shared" ref="M19" si="132">IFERROR(RIGHT(B19,LEN(B19)-FIND("],",B19)-1),"none")</f>
        <v>none</v>
      </c>
      <c r="N19" s="48" t="str">
        <f>IFERROR(LEFT(M19,FIND("],",M19)+S25),M19)</f>
        <v>none</v>
      </c>
      <c r="O19" s="62" t="e">
        <f t="shared" ref="O19" si="133">FIND("effect:",N19)+7</f>
        <v>#VALUE!</v>
      </c>
      <c r="P19" s="62">
        <f t="shared" ref="P19" si="134">IFERROR(FIND(",",N19),LEN(N19))</f>
        <v>4</v>
      </c>
      <c r="Q19" s="62" t="e">
        <f t="shared" ref="Q19" si="135">FIND("target:",N19)+7</f>
        <v>#VALUE!</v>
      </c>
      <c r="R19" s="62" t="e">
        <f t="shared" ref="R19" si="136">FIND(",",N19,P19+1)</f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8" t="str">
        <f t="shared" ref="T19" si="137">IFERROR(RIGHT(M19,LEN(M19)-FIND("],",M19)-1),"none")</f>
        <v>none</v>
      </c>
      <c r="U19" s="62" t="e">
        <f t="shared" ref="U19" si="138">FIND("effect:",T19)+7</f>
        <v>#VALUE!</v>
      </c>
      <c r="V19" s="62">
        <f t="shared" ref="V19" si="139">IFERROR(FIND(",",T19),LEN(T19))</f>
        <v>4</v>
      </c>
      <c r="W19" s="62" t="e">
        <f t="shared" ref="W19" si="140">FIND("target:",T19)+7</f>
        <v>#VALUE!</v>
      </c>
      <c r="X19" s="62" t="e">
        <f t="shared" ref="X19" si="141">FIND(",",T19,V19+1)</f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50"/>
      <c r="AA19" s="51"/>
      <c r="AB19" s="50"/>
    </row>
    <row r="20" spans="1:28" ht="28" customHeight="1" x14ac:dyDescent="0.15">
      <c r="A20" s="109">
        <v>13302029</v>
      </c>
      <c r="B20" s="109" t="s">
        <v>373</v>
      </c>
      <c r="C20" s="50">
        <v>1</v>
      </c>
      <c r="D20" s="50" t="s">
        <v>126</v>
      </c>
      <c r="E20" s="110" t="s">
        <v>300</v>
      </c>
      <c r="F20" s="110" t="s">
        <v>340</v>
      </c>
      <c r="G20" s="62" t="str">
        <f t="shared" ref="G20" si="142">IFERROR(LEFT(B20,FIND("],",B20)),B20)</f>
        <v>[effect:force_change_block, new_block:jammer, target:block_all, ignore01:jammer, ignore02:time_bomb, ignore03:crash, ignore04:damage, count:3, val:0, animation:change_block]</v>
      </c>
      <c r="H20" s="62">
        <f t="shared" ref="H20" si="143">FIND("effect:",G20)+7</f>
        <v>9</v>
      </c>
      <c r="I20" s="62">
        <f t="shared" ref="I20" si="144">IFERROR(FIND(",",G20),LEN(G20))</f>
        <v>27</v>
      </c>
      <c r="J20" s="62">
        <f t="shared" ref="J20" si="145">FIND("target:",G20)+7</f>
        <v>54</v>
      </c>
      <c r="K20" s="62">
        <f t="shared" ref="K20" si="146">FIND(",",G20,I20+1)</f>
        <v>45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ref="M20" si="147">IFERROR(RIGHT(B20,LEN(B20)-FIND("],",B20)-1),"none")</f>
        <v xml:space="preserve">[effect:spread, val:0.28] </v>
      </c>
      <c r="N20" s="48" t="str">
        <f>IFERROR(LEFT(M20,FIND("],",M20)+S27),M20)</f>
        <v xml:space="preserve">[effect:spread, val:0.28] </v>
      </c>
      <c r="O20" s="62">
        <f t="shared" ref="O20" si="148">FIND("effect:",N20)+7</f>
        <v>9</v>
      </c>
      <c r="P20" s="62">
        <f t="shared" ref="P20" si="149">IFERROR(FIND(",",N20),LEN(N20))</f>
        <v>15</v>
      </c>
      <c r="Q20" s="62" t="e">
        <f t="shared" ref="Q20" si="150">FIND("target:",N20)+7</f>
        <v>#VALUE!</v>
      </c>
      <c r="R20" s="62" t="e">
        <f t="shared" ref="R20" si="151">FIND(",",N20,P20+1)</f>
        <v>#VALUE!</v>
      </c>
      <c r="S20" s="62" t="str">
        <f>IFERROR(VLOOKUP(MID(N20,Q20,R20-Q20),[5]skilldef!$C:$D,2,FALSE),"-") &amp; " / " &amp; IFERROR(VLOOKUP(MID(N20,O20,P20-O20),[5]skilldef!$A:$B,2,FALSE),"-")</f>
        <v>- / 全体攻撃</v>
      </c>
      <c r="T20" s="48" t="str">
        <f t="shared" ref="T20" si="152">IFERROR(RIGHT(M20,LEN(M20)-FIND("],",M20)-1),"none")</f>
        <v>none</v>
      </c>
      <c r="U20" s="62" t="e">
        <f t="shared" ref="U20" si="153">FIND("effect:",T20)+7</f>
        <v>#VALUE!</v>
      </c>
      <c r="V20" s="62">
        <f t="shared" ref="V20" si="154">IFERROR(FIND(",",T20),LEN(T20))</f>
        <v>4</v>
      </c>
      <c r="W20" s="62" t="e">
        <f t="shared" ref="W20" si="155">FIND("target:",T20)+7</f>
        <v>#VALUE!</v>
      </c>
      <c r="X20" s="62" t="e">
        <f t="shared" ref="X20" si="156">FIND(",",T20,V20+1)</f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50"/>
      <c r="AA20" s="51"/>
      <c r="AB20" s="50"/>
    </row>
    <row r="21" spans="1:28" ht="28" customHeight="1" x14ac:dyDescent="0.15">
      <c r="A21" s="115">
        <v>13302035</v>
      </c>
      <c r="B21" s="123" t="s">
        <v>403</v>
      </c>
      <c r="C21" s="50">
        <v>1</v>
      </c>
      <c r="D21" s="111" t="s">
        <v>196</v>
      </c>
      <c r="E21" s="124" t="s">
        <v>284</v>
      </c>
      <c r="F21" s="124" t="s">
        <v>341</v>
      </c>
      <c r="G21" s="62" t="str">
        <f t="shared" ref="G21:G44" si="157">IFERROR(LEFT(B21,FIND("],",B21)),B21)</f>
        <v>[effect:enemy_message, val1:1.8, val2:3.2]</v>
      </c>
      <c r="H21" s="62">
        <f t="shared" ref="H21:H44" si="158">FIND("effect:",G21)+7</f>
        <v>9</v>
      </c>
      <c r="I21" s="62">
        <f t="shared" ref="I21:I44" si="159">IFERROR(FIND(",",G21),LEN(G21))</f>
        <v>22</v>
      </c>
      <c r="J21" s="62" t="e">
        <f t="shared" ref="J21:J44" si="160">FIND("target:",G21)+7</f>
        <v>#VALUE!</v>
      </c>
      <c r="K21" s="62">
        <f t="shared" ref="K21:K44" si="161">FIND(",",G21,I21+1)</f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ref="M21:M44" si="162">IFERROR(RIGHT(B21,LEN(B21)-FIND("],",B21)-1),"none")</f>
        <v>[effect:degrade_fever, val:300, animation:fevergauge_down],[effect:remove_enhancement, target:unit_all, target_effect:drop_block, target_type:debuff, status:jammer, animation:frozen_wave],[effect:force_change_block, new_block:jammer, target:block_all, ignore01:crash, ignore02:crack_bomb, ignore03:time_bomb, ignore04:jammer, count:3, val:0],[effect:tolerance, target:myself, turn:-1, tolerance_effect:all, count:-1, animation:enemy_tolerance]</v>
      </c>
      <c r="N21" s="48" t="str">
        <f>IFERROR(LEFT(M21,FIND("],",M21)+S40),M21)</f>
        <v>[effect:degrade_fever, val:300, animation:fevergauge_down],[effect:remove_enhancement, target:unit_all, target_effect:drop_block, target_type:debuff, status:jammer, animation:frozen_wave],[effect:force_change_block, new_block:jammer, target:block_all, ignore01:crash, ignore02:crack_bomb, ignore03:time_bomb, ignore04:jammer, count:3, val:0],[effect:tolerance, target:myself, turn:-1, tolerance_effect:all, count:-1, animation:enemy_tolerance]</v>
      </c>
      <c r="O21" s="62">
        <f t="shared" ref="O21:O44" si="163">FIND("effect:",N21)+7</f>
        <v>9</v>
      </c>
      <c r="P21" s="62">
        <f t="shared" ref="P21:P44" si="164">IFERROR(FIND(",",N21),LEN(N21))</f>
        <v>22</v>
      </c>
      <c r="Q21" s="62">
        <f t="shared" ref="Q21:Q44" si="165">FIND("target:",N21)+7</f>
        <v>95</v>
      </c>
      <c r="R21" s="62">
        <f t="shared" ref="R21:R44" si="166">FIND(",",N21,P21+1)</f>
        <v>31</v>
      </c>
      <c r="S21" s="62" t="str">
        <f>IFERROR(VLOOKUP(MID(N21,Q21,R21-Q21),[5]skilldef!$C:$D,2,FALSE),"-") &amp; " / " &amp; IFERROR(VLOOKUP(MID(N21,O21,P21-O21),[5]skilldef!$A:$B,2,FALSE),"-")</f>
        <v>- / フィーバーゲージ減少</v>
      </c>
      <c r="T21" s="48" t="str">
        <f t="shared" ref="T21:T44" si="167">IFERROR(RIGHT(M21,LEN(M21)-FIND("],",M21)-1),"none")</f>
        <v>[effect:remove_enhancement, target:unit_all, target_effect:drop_block, target_type:debuff, status:jammer, animation:frozen_wave],[effect:force_change_block, new_block:jammer, target:block_all, ignore01:crash, ignore02:crack_bomb, ignore03:time_bomb, ignore04:jammer, count:3, val:0],[effect:tolerance, target:myself, turn:-1, tolerance_effect:all, count:-1, animation:enemy_tolerance]</v>
      </c>
      <c r="U21" s="62">
        <f t="shared" ref="U21:U44" si="168">FIND("effect:",T21)+7</f>
        <v>9</v>
      </c>
      <c r="V21" s="62">
        <f t="shared" ref="V21:V44" si="169">IFERROR(FIND(",",T21),LEN(T21))</f>
        <v>27</v>
      </c>
      <c r="W21" s="62">
        <f t="shared" ref="W21:W44" si="170">FIND("target:",T21)+7</f>
        <v>36</v>
      </c>
      <c r="X21" s="62">
        <f t="shared" ref="X21:X44" si="171">FIND(",",T21,V21+1)</f>
        <v>44</v>
      </c>
      <c r="Y21" s="62" t="str">
        <f>IFERROR(VLOOKUP(MID(T21,W21,X21-W21),[5]skilldef!$C:$D,2,FALSE),"-") &amp; " / " &amp; IFERROR(VLOOKUP(MID(T21,U21,V21-U21),[5]skilldef!$A:$B,2,FALSE),"-")</f>
        <v>味方全体に / -</v>
      </c>
      <c r="Z21" s="50"/>
      <c r="AA21" s="51"/>
      <c r="AB21" s="50"/>
    </row>
    <row r="22" spans="1:28" ht="28" customHeight="1" x14ac:dyDescent="0.15">
      <c r="A22" s="115">
        <v>13302036</v>
      </c>
      <c r="B22" s="122" t="s">
        <v>315</v>
      </c>
      <c r="C22" s="50">
        <v>1</v>
      </c>
      <c r="D22" s="50" t="s">
        <v>196</v>
      </c>
      <c r="E22" s="121" t="s">
        <v>290</v>
      </c>
      <c r="F22" s="121" t="s">
        <v>259</v>
      </c>
      <c r="G22" s="62" t="str">
        <f t="shared" si="157"/>
        <v>[effect:enemy_message, val1:1.8, val2:1.8]</v>
      </c>
      <c r="H22" s="62">
        <f t="shared" si="158"/>
        <v>9</v>
      </c>
      <c r="I22" s="62">
        <f t="shared" si="159"/>
        <v>22</v>
      </c>
      <c r="J22" s="62" t="e">
        <f t="shared" si="160"/>
        <v>#VALUE!</v>
      </c>
      <c r="K22" s="62">
        <f t="shared" si="161"/>
        <v>32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si="162"/>
        <v>[effect:damage_gravity, val:0.8, animation:fevergauge_down],[effect:suicide, val:1, dead_type:escape, target:myself]</v>
      </c>
      <c r="N22" s="48" t="str">
        <f>IFERROR(LEFT(M22,FIND("],",M22)+S44),M22)</f>
        <v>[effect:damage_gravity, val:0.8, animation:fevergauge_down],[effect:suicide, val:1, dead_type:escape, target:myself]</v>
      </c>
      <c r="O22" s="62">
        <f t="shared" si="163"/>
        <v>9</v>
      </c>
      <c r="P22" s="62">
        <f t="shared" si="164"/>
        <v>23</v>
      </c>
      <c r="Q22" s="62">
        <f t="shared" si="165"/>
        <v>110</v>
      </c>
      <c r="R22" s="62">
        <f t="shared" si="166"/>
        <v>32</v>
      </c>
      <c r="S22" s="62" t="str">
        <f>IFERROR(VLOOKUP(MID(N22,Q22,R22-Q22),[5]skilldef!$C:$D,2,FALSE),"-") &amp; " / " &amp; IFERROR(VLOOKUP(MID(N22,O22,P22-O22),[5]skilldef!$A:$B,2,FALSE),"-")</f>
        <v>- / 割合ダメージ</v>
      </c>
      <c r="T22" s="48" t="str">
        <f t="shared" si="167"/>
        <v>[effect:suicide, val:1, dead_type:escape, target:myself]</v>
      </c>
      <c r="U22" s="62">
        <f t="shared" si="168"/>
        <v>9</v>
      </c>
      <c r="V22" s="62">
        <f t="shared" si="169"/>
        <v>16</v>
      </c>
      <c r="W22" s="62">
        <f t="shared" si="170"/>
        <v>50</v>
      </c>
      <c r="X22" s="62">
        <f t="shared" si="171"/>
        <v>23</v>
      </c>
      <c r="Y22" s="62" t="str">
        <f>IFERROR(VLOOKUP(MID(T22,W22,X22-W22),[5]skilldef!$C:$D,2,FALSE),"-") &amp; " / " &amp; IFERROR(VLOOKUP(MID(T22,U22,V22-U22),[5]skilldef!$A:$B,2,FALSE),"-")</f>
        <v>- / -</v>
      </c>
      <c r="Z22" s="50"/>
      <c r="AA22" s="51"/>
      <c r="AB22" s="50"/>
    </row>
    <row r="23" spans="1:28" ht="28" customHeight="1" x14ac:dyDescent="0.15">
      <c r="A23" s="115">
        <v>13302037</v>
      </c>
      <c r="B23" s="122" t="s">
        <v>399</v>
      </c>
      <c r="C23" s="50">
        <v>1</v>
      </c>
      <c r="D23" s="50" t="s">
        <v>196</v>
      </c>
      <c r="E23" s="121" t="s">
        <v>286</v>
      </c>
      <c r="F23" s="121" t="s">
        <v>397</v>
      </c>
      <c r="G23" s="62" t="str">
        <f t="shared" si="157"/>
        <v>[effect:force_change_block, new_block:time_bomb, target:block_all, ignore01:jammer, ignore02:time_bomb, ignore03:crash, ignore04:color_break, color:block_blue, count:12, val:0.3, min_time_count:2, max_time_count:3, animation:change_block]</v>
      </c>
      <c r="H23" s="62">
        <f t="shared" si="158"/>
        <v>9</v>
      </c>
      <c r="I23" s="62">
        <f t="shared" si="159"/>
        <v>27</v>
      </c>
      <c r="J23" s="62">
        <f t="shared" si="160"/>
        <v>57</v>
      </c>
      <c r="K23" s="62">
        <f t="shared" si="161"/>
        <v>48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162"/>
        <v>[effect:force_change_block, new_block:jammer, target:block_all, ignore01:jammer, ignore02:time_bomb, ignore03:crash, ignore04:damage, count:7, val:0, animation:change_block],[effect:spread, val:0.24],[effect:enemy_message, val1:1.4, val2:2.5]</v>
      </c>
      <c r="N23" s="48" t="str">
        <f>IFERROR(LEFT(M23,FIND("],",M23)+#REF!),M23)</f>
        <v>[effect:force_change_block, new_block:jammer, target:block_all, ignore01:jammer, ignore02:time_bomb, ignore03:crash, ignore04:damage, count:7, val:0, animation:change_block],[effect:spread, val:0.24],[effect:enemy_message, val1:1.4, val2:2.5]</v>
      </c>
      <c r="O23" s="62">
        <f t="shared" si="163"/>
        <v>9</v>
      </c>
      <c r="P23" s="62">
        <f t="shared" si="164"/>
        <v>27</v>
      </c>
      <c r="Q23" s="62">
        <f t="shared" si="165"/>
        <v>54</v>
      </c>
      <c r="R23" s="62">
        <f t="shared" si="166"/>
        <v>45</v>
      </c>
      <c r="S23" s="62" t="str">
        <f>IFERROR(VLOOKUP(MID(N23,Q23,R23-Q23),[5]skilldef!$C:$D,2,FALSE),"-") &amp; " / " &amp; IFERROR(VLOOKUP(MID(N23,O23,P23-O23),[5]skilldef!$A:$B,2,FALSE),"-")</f>
        <v>- / -</v>
      </c>
      <c r="T23" s="48" t="str">
        <f t="shared" si="167"/>
        <v>[effect:spread, val:0.24],[effect:enemy_message, val1:1.4, val2:2.5]</v>
      </c>
      <c r="U23" s="62">
        <f t="shared" si="168"/>
        <v>9</v>
      </c>
      <c r="V23" s="62">
        <f t="shared" si="169"/>
        <v>15</v>
      </c>
      <c r="W23" s="62" t="e">
        <f t="shared" si="170"/>
        <v>#VALUE!</v>
      </c>
      <c r="X23" s="62">
        <f t="shared" si="171"/>
        <v>26</v>
      </c>
      <c r="Y23" s="62" t="str">
        <f>IFERROR(VLOOKUP(MID(T23,W23,X23-W23),[5]skilldef!$C:$D,2,FALSE),"-") &amp; " / " &amp; IFERROR(VLOOKUP(MID(T23,U23,V23-U23),[5]skilldef!$A:$B,2,FALSE),"-")</f>
        <v>- / 全体攻撃</v>
      </c>
      <c r="Z23" s="50"/>
      <c r="AA23" s="51"/>
      <c r="AB23" s="50"/>
    </row>
    <row r="24" spans="1:28" ht="28" customHeight="1" x14ac:dyDescent="0.15">
      <c r="A24" s="115">
        <v>13302038</v>
      </c>
      <c r="B24" s="122" t="s">
        <v>367</v>
      </c>
      <c r="C24" s="50">
        <v>1</v>
      </c>
      <c r="D24" s="50" t="s">
        <v>196</v>
      </c>
      <c r="E24" s="121" t="s">
        <v>287</v>
      </c>
      <c r="F24" s="121" t="s">
        <v>318</v>
      </c>
      <c r="G24" s="62" t="str">
        <f t="shared" si="157"/>
        <v>[effect:break_attack, target:unit_all, val:0.02, lowest_val:1260, count:-1, color:blue, block01:jammer, block02:time_bomb]</v>
      </c>
      <c r="H24" s="62">
        <f t="shared" si="158"/>
        <v>9</v>
      </c>
      <c r="I24" s="62">
        <f t="shared" si="159"/>
        <v>21</v>
      </c>
      <c r="J24" s="62">
        <f t="shared" si="160"/>
        <v>30</v>
      </c>
      <c r="K24" s="62">
        <f t="shared" si="161"/>
        <v>38</v>
      </c>
      <c r="L24" s="62" t="str">
        <f>IFERROR(VLOOKUP(MID(G24,J24,K24-J24),[5]skilldef!$C:$D,2,FALSE),"-") &amp; " / " &amp; IFERROR(VLOOKUP(MID(G24,H24,I24-H24),[5]skilldef!$A:$B,2,FALSE),"-")</f>
        <v>味方全体に / -</v>
      </c>
      <c r="M24" s="62" t="str">
        <f t="shared" si="162"/>
        <v>[effect:enemy_message, val1:1.4, val2:2.5]</v>
      </c>
      <c r="N24" s="48" t="str">
        <f>IFERROR(LEFT(M24,FIND("],",M24)+#REF!),M24)</f>
        <v>[effect:enemy_message, val1:1.4, val2:2.5]</v>
      </c>
      <c r="O24" s="62">
        <f t="shared" si="163"/>
        <v>9</v>
      </c>
      <c r="P24" s="62">
        <f t="shared" si="164"/>
        <v>22</v>
      </c>
      <c r="Q24" s="62" t="e">
        <f t="shared" si="165"/>
        <v>#VALUE!</v>
      </c>
      <c r="R24" s="62">
        <f t="shared" si="166"/>
        <v>32</v>
      </c>
      <c r="S24" s="62" t="str">
        <f>IFERROR(VLOOKUP(MID(N24,Q24,R24-Q24),[5]skilldef!$C:$D,2,FALSE),"-") &amp; " / " &amp; IFERROR(VLOOKUP(MID(N24,O24,P24-O24),[5]skilldef!$A:$B,2,FALSE),"-")</f>
        <v>- / -</v>
      </c>
      <c r="T24" s="48" t="str">
        <f t="shared" si="167"/>
        <v>none</v>
      </c>
      <c r="U24" s="62" t="e">
        <f t="shared" si="168"/>
        <v>#VALUE!</v>
      </c>
      <c r="V24" s="62">
        <f t="shared" si="169"/>
        <v>4</v>
      </c>
      <c r="W24" s="62" t="e">
        <f t="shared" si="170"/>
        <v>#VALUE!</v>
      </c>
      <c r="X24" s="62" t="e">
        <f t="shared" si="171"/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50"/>
      <c r="AA24" s="51"/>
      <c r="AB24" s="50"/>
    </row>
    <row r="25" spans="1:28" ht="28" customHeight="1" x14ac:dyDescent="0.15">
      <c r="A25" s="115">
        <v>13302039</v>
      </c>
      <c r="B25" s="122" t="s">
        <v>398</v>
      </c>
      <c r="C25" s="50">
        <v>1</v>
      </c>
      <c r="D25" s="50" t="s">
        <v>196</v>
      </c>
      <c r="E25" s="121" t="s">
        <v>289</v>
      </c>
      <c r="F25" s="121" t="s">
        <v>342</v>
      </c>
      <c r="G25" s="62" t="str">
        <f t="shared" si="157"/>
        <v>[effect:force_change_block, new_block:time_bomb, target:block_all, ignore01:jammer, ignore02:time_bomb, ignore03:crash, ignore04:color_break, color:block_blue, count:7, val:0.3, min_time_count:2, max_time_count:3, animation:change_block]</v>
      </c>
      <c r="H25" s="62">
        <f t="shared" si="158"/>
        <v>9</v>
      </c>
      <c r="I25" s="62">
        <f t="shared" si="159"/>
        <v>27</v>
      </c>
      <c r="J25" s="62">
        <f t="shared" si="160"/>
        <v>57</v>
      </c>
      <c r="K25" s="62">
        <f t="shared" si="161"/>
        <v>48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162"/>
        <v>[effect:force_change_block, new_block:jammer, target:block_all, ignore01:jammer, ignore02:time_bomb, ignore03:crash, ignore04:damage, count:7, val:0, animation:change_block],[effect:spread, val:0.23],[effect:enemy_message, val1:1.4, val2:2.5]</v>
      </c>
      <c r="N25" s="48" t="str">
        <f>IFERROR(LEFT(M25,FIND("],",M25)+#REF!),M25)</f>
        <v>[effect:force_change_block, new_block:jammer, target:block_all, ignore01:jammer, ignore02:time_bomb, ignore03:crash, ignore04:damage, count:7, val:0, animation:change_block],[effect:spread, val:0.23],[effect:enemy_message, val1:1.4, val2:2.5]</v>
      </c>
      <c r="O25" s="62">
        <f t="shared" si="163"/>
        <v>9</v>
      </c>
      <c r="P25" s="62">
        <f t="shared" si="164"/>
        <v>27</v>
      </c>
      <c r="Q25" s="62">
        <f t="shared" si="165"/>
        <v>54</v>
      </c>
      <c r="R25" s="62">
        <f t="shared" si="166"/>
        <v>45</v>
      </c>
      <c r="S25" s="62" t="str">
        <f>IFERROR(VLOOKUP(MID(N25,Q25,R25-Q25),[5]skilldef!$C:$D,2,FALSE),"-") &amp; " / " &amp; IFERROR(VLOOKUP(MID(N25,O25,P25-O25),[5]skilldef!$A:$B,2,FALSE),"-")</f>
        <v>- / -</v>
      </c>
      <c r="T25" s="48" t="str">
        <f t="shared" si="167"/>
        <v>[effect:spread, val:0.23],[effect:enemy_message, val1:1.4, val2:2.5]</v>
      </c>
      <c r="U25" s="62">
        <f t="shared" si="168"/>
        <v>9</v>
      </c>
      <c r="V25" s="62">
        <f t="shared" si="169"/>
        <v>15</v>
      </c>
      <c r="W25" s="62" t="e">
        <f t="shared" si="170"/>
        <v>#VALUE!</v>
      </c>
      <c r="X25" s="62">
        <f t="shared" si="171"/>
        <v>26</v>
      </c>
      <c r="Y25" s="62" t="str">
        <f>IFERROR(VLOOKUP(MID(T25,W25,X25-W25),[5]skilldef!$C:$D,2,FALSE),"-") &amp; " / " &amp; IFERROR(VLOOKUP(MID(T25,U25,V25-U25),[5]skilldef!$A:$B,2,FALSE),"-")</f>
        <v>- / 全体攻撃</v>
      </c>
      <c r="Z25" s="50"/>
      <c r="AA25" s="51"/>
      <c r="AB25" s="50"/>
    </row>
    <row r="26" spans="1:28" ht="28" customHeight="1" x14ac:dyDescent="0.15">
      <c r="A26" s="115">
        <v>13302040</v>
      </c>
      <c r="B26" s="122" t="s">
        <v>357</v>
      </c>
      <c r="C26" s="50">
        <v>1</v>
      </c>
      <c r="D26" s="50" t="s">
        <v>196</v>
      </c>
      <c r="E26" s="121" t="s">
        <v>288</v>
      </c>
      <c r="F26" s="121" t="s">
        <v>260</v>
      </c>
      <c r="G26" s="62" t="str">
        <f t="shared" si="157"/>
        <v>[effect:break_attack, target:unit_all, val:0.02, lowest_val:1220, count:-1, color:blue, block01:jammer]</v>
      </c>
      <c r="H26" s="62">
        <f t="shared" si="158"/>
        <v>9</v>
      </c>
      <c r="I26" s="62">
        <f t="shared" si="159"/>
        <v>21</v>
      </c>
      <c r="J26" s="62">
        <f t="shared" si="160"/>
        <v>30</v>
      </c>
      <c r="K26" s="62">
        <f t="shared" si="161"/>
        <v>38</v>
      </c>
      <c r="L26" s="62" t="str">
        <f>IFERROR(VLOOKUP(MID(G26,J26,K26-J26),[5]skilldef!$C:$D,2,FALSE),"-") &amp; " / " &amp; IFERROR(VLOOKUP(MID(G26,H26,I26-H26),[5]skilldef!$A:$B,2,FALSE),"-")</f>
        <v>味方全体に / -</v>
      </c>
      <c r="M26" s="62" t="str">
        <f t="shared" si="162"/>
        <v>none</v>
      </c>
      <c r="N26" s="48" t="str">
        <f>IFERROR(LEFT(M26,FIND("],",M26)+#REF!),M26)</f>
        <v>none</v>
      </c>
      <c r="O26" s="62" t="e">
        <f t="shared" si="163"/>
        <v>#VALUE!</v>
      </c>
      <c r="P26" s="62">
        <f t="shared" si="164"/>
        <v>4</v>
      </c>
      <c r="Q26" s="62" t="e">
        <f t="shared" si="165"/>
        <v>#VALUE!</v>
      </c>
      <c r="R26" s="62" t="e">
        <f t="shared" si="166"/>
        <v>#VALUE!</v>
      </c>
      <c r="S26" s="62" t="str">
        <f>IFERROR(VLOOKUP(MID(N26,Q26,R26-Q26),[5]skilldef!$C:$D,2,FALSE),"-") &amp; " / " &amp; IFERROR(VLOOKUP(MID(N26,O26,P26-O26),[5]skilldef!$A:$B,2,FALSE),"-")</f>
        <v>- / -</v>
      </c>
      <c r="T26" s="48" t="str">
        <f t="shared" si="167"/>
        <v>none</v>
      </c>
      <c r="U26" s="62" t="e">
        <f t="shared" si="168"/>
        <v>#VALUE!</v>
      </c>
      <c r="V26" s="62">
        <f t="shared" si="169"/>
        <v>4</v>
      </c>
      <c r="W26" s="62" t="e">
        <f t="shared" si="170"/>
        <v>#VALUE!</v>
      </c>
      <c r="X26" s="62" t="e">
        <f t="shared" si="171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50"/>
      <c r="AA26" s="51"/>
      <c r="AB26" s="50"/>
    </row>
    <row r="27" spans="1:28" ht="28" customHeight="1" thickBot="1" x14ac:dyDescent="0.2">
      <c r="A27" s="115">
        <v>13302041</v>
      </c>
      <c r="B27" s="122" t="s">
        <v>378</v>
      </c>
      <c r="C27" s="50">
        <v>1</v>
      </c>
      <c r="D27" s="50" t="s">
        <v>196</v>
      </c>
      <c r="E27" s="121" t="s">
        <v>285</v>
      </c>
      <c r="F27" s="121" t="s">
        <v>400</v>
      </c>
      <c r="G27" s="62" t="str">
        <f t="shared" si="157"/>
        <v>[effect:enemy_message, val1:1.3, val2:3.2]</v>
      </c>
      <c r="H27" s="62">
        <f t="shared" si="158"/>
        <v>9</v>
      </c>
      <c r="I27" s="62">
        <f t="shared" si="159"/>
        <v>22</v>
      </c>
      <c r="J27" s="62" t="e">
        <f t="shared" si="160"/>
        <v>#VALUE!</v>
      </c>
      <c r="K27" s="62">
        <f t="shared" si="161"/>
        <v>32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si="162"/>
        <v>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count:8, val:0]</v>
      </c>
      <c r="N27" s="48" t="str">
        <f>IFERROR(LEFT(M27,FIND("],",M27)+#REF!),M27)</f>
        <v>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count:8, val:0]</v>
      </c>
      <c r="O27" s="62">
        <f t="shared" si="163"/>
        <v>9</v>
      </c>
      <c r="P27" s="62">
        <f t="shared" si="164"/>
        <v>26</v>
      </c>
      <c r="Q27" s="62">
        <f t="shared" si="165"/>
        <v>35</v>
      </c>
      <c r="R27" s="62">
        <f t="shared" si="166"/>
        <v>43</v>
      </c>
      <c r="S27" s="62" t="str">
        <f>IFERROR(VLOOKUP(MID(N27,Q27,R27-Q27),[5]skilldef!$C:$D,2,FALSE),"-") &amp; " / " &amp; IFERROR(VLOOKUP(MID(N27,O27,P27-O27),[5]skilldef!$A:$B,2,FALSE),"-")</f>
        <v>味方全体に / 属性キラー</v>
      </c>
      <c r="T27" s="48" t="str">
        <f t="shared" si="167"/>
        <v>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count:8, val:0]</v>
      </c>
      <c r="U27" s="62">
        <f t="shared" si="168"/>
        <v>9</v>
      </c>
      <c r="V27" s="62">
        <f t="shared" si="169"/>
        <v>26</v>
      </c>
      <c r="W27" s="62">
        <f t="shared" si="170"/>
        <v>35</v>
      </c>
      <c r="X27" s="62">
        <f t="shared" si="171"/>
        <v>43</v>
      </c>
      <c r="Y27" s="62" t="str">
        <f>IFERROR(VLOOKUP(MID(T27,W27,X27-W27),[5]skilldef!$C:$D,2,FALSE),"-") &amp; " / " &amp; IFERROR(VLOOKUP(MID(T27,U27,V27-U27),[5]skilldef!$A:$B,2,FALSE),"-")</f>
        <v>味方全体に / 種族キラー</v>
      </c>
      <c r="Z27" s="50"/>
      <c r="AA27" s="51"/>
      <c r="AB27" s="50"/>
    </row>
    <row r="28" spans="1:28" ht="28" customHeight="1" x14ac:dyDescent="0.15">
      <c r="A28" s="115">
        <v>13302042</v>
      </c>
      <c r="B28" s="125" t="s">
        <v>402</v>
      </c>
      <c r="C28" s="50">
        <v>1</v>
      </c>
      <c r="D28" s="126" t="s">
        <v>196</v>
      </c>
      <c r="E28" s="127" t="s">
        <v>291</v>
      </c>
      <c r="F28" s="127" t="s">
        <v>267</v>
      </c>
      <c r="G28" s="62" t="str">
        <f t="shared" ref="G28" si="172">IFERROR(LEFT(B28,FIND("],",B28)),B28)</f>
        <v>[effect:enemy_message, val1:1.8, val2:3.0]</v>
      </c>
      <c r="H28" s="62">
        <f t="shared" ref="H28" si="173">FIND("effect:",G28)+7</f>
        <v>9</v>
      </c>
      <c r="I28" s="62">
        <f t="shared" ref="I28" si="174">IFERROR(FIND(",",G28),LEN(G28))</f>
        <v>22</v>
      </c>
      <c r="J28" s="62" t="e">
        <f t="shared" ref="J28" si="175">FIND("target:",G28)+7</f>
        <v>#VALUE!</v>
      </c>
      <c r="K28" s="62">
        <f t="shared" ref="K28" si="176">FIND(",",G28,I28+1)</f>
        <v>32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ref="M28" si="177">IFERROR(RIGHT(B28,LEN(B28)-FIND("],",B28)-1),"none")</f>
        <v>[effect:degrade_fever, val:300, animation:fevergauge_down],[effect:fix_speed, target:myself, turn:1],[effect:remove_enhancement, target:unit_all, target_effect:all, target_type:buff, animation:frozen_wave]</v>
      </c>
      <c r="N28" s="48" t="str">
        <f>IFERROR(LEFT(M28,FIND("],",M28)+#REF!),M28)</f>
        <v>[effect:degrade_fever, val:300, animation:fevergauge_down],[effect:fix_speed, target:myself, turn:1],[effect:remove_enhancement, target:unit_all, target_effect:all, target_type:buff, animation:frozen_wave]</v>
      </c>
      <c r="O28" s="62">
        <f t="shared" ref="O28" si="178">FIND("effect:",N28)+7</f>
        <v>9</v>
      </c>
      <c r="P28" s="62">
        <f t="shared" ref="P28" si="179">IFERROR(FIND(",",N28),LEN(N28))</f>
        <v>22</v>
      </c>
      <c r="Q28" s="62">
        <f t="shared" ref="Q28" si="180">FIND("target:",N28)+7</f>
        <v>86</v>
      </c>
      <c r="R28" s="62">
        <f t="shared" ref="R28" si="181">FIND(",",N28,P28+1)</f>
        <v>31</v>
      </c>
      <c r="S28" s="62" t="str">
        <f>IFERROR(VLOOKUP(MID(N28,Q28,R28-Q28),[5]skilldef!$C:$D,2,FALSE),"-") &amp; " / " &amp; IFERROR(VLOOKUP(MID(N28,O28,P28-O28),[5]skilldef!$A:$B,2,FALSE),"-")</f>
        <v>- / フィーバーゲージ減少</v>
      </c>
      <c r="T28" s="48" t="str">
        <f t="shared" ref="T28" si="182">IFERROR(RIGHT(M28,LEN(M28)-FIND("],",M28)-1),"none")</f>
        <v>[effect:fix_speed, target:myself, turn:1],[effect:remove_enhancement, target:unit_all, target_effect:all, target_type:buff, animation:frozen_wave]</v>
      </c>
      <c r="U28" s="62">
        <f t="shared" ref="U28" si="183">FIND("effect:",T28)+7</f>
        <v>9</v>
      </c>
      <c r="V28" s="62">
        <f t="shared" ref="V28" si="184">IFERROR(FIND(",",T28),LEN(T28))</f>
        <v>18</v>
      </c>
      <c r="W28" s="62">
        <f t="shared" ref="W28" si="185">FIND("target:",T28)+7</f>
        <v>27</v>
      </c>
      <c r="X28" s="62">
        <f t="shared" ref="X28" si="186">FIND(",",T28,V28+1)</f>
        <v>33</v>
      </c>
      <c r="Y28" s="62" t="str">
        <f>IFERROR(VLOOKUP(MID(T28,W28,X28-W28),[5]skilldef!$C:$D,2,FALSE),"-") &amp; " / " &amp; IFERROR(VLOOKUP(MID(T28,U28,V28-U28),[5]skilldef!$A:$B,2,FALSE),"-")</f>
        <v>自分自身に / 行動値設定</v>
      </c>
      <c r="Z28" s="50"/>
      <c r="AA28" s="51"/>
      <c r="AB28" s="50"/>
    </row>
    <row r="29" spans="1:28" ht="28" customHeight="1" x14ac:dyDescent="0.15">
      <c r="A29" s="115">
        <v>13302043</v>
      </c>
      <c r="B29" s="123" t="s">
        <v>266</v>
      </c>
      <c r="C29" s="50">
        <v>1</v>
      </c>
      <c r="D29" s="50" t="s">
        <v>196</v>
      </c>
      <c r="E29" s="124" t="s">
        <v>292</v>
      </c>
      <c r="F29" s="124" t="s">
        <v>262</v>
      </c>
      <c r="G29" s="62" t="str">
        <f t="shared" ref="G29:G30" si="187">IFERROR(LEFT(B29,FIND("],",B29)),B29)</f>
        <v>[effect:enhance_enemy, target:myself, turn:-1, status:attack, val:2000, calc:add, animation:enemy_enhance_attack]</v>
      </c>
      <c r="H29" s="62">
        <f t="shared" ref="H29:H30" si="188">FIND("effect:",G29)+7</f>
        <v>9</v>
      </c>
      <c r="I29" s="62">
        <f t="shared" ref="I29:I30" si="189">IFERROR(FIND(",",G29),LEN(G29))</f>
        <v>22</v>
      </c>
      <c r="J29" s="62">
        <f t="shared" ref="J29:J30" si="190">FIND("target:",G29)+7</f>
        <v>31</v>
      </c>
      <c r="K29" s="62">
        <f t="shared" ref="K29:K30" si="191">FIND(",",G29,I29+1)</f>
        <v>37</v>
      </c>
      <c r="L29" s="62" t="str">
        <f>IFERROR(VLOOKUP(MID(G29,J29,K29-J29),[5]skilldef!$C:$D,2,FALSE),"-") &amp; " / " &amp; IFERROR(VLOOKUP(MID(G29,H29,I29-H29),[5]skilldef!$A:$B,2,FALSE),"-")</f>
        <v>自分自身に / ステータス強化</v>
      </c>
      <c r="M29" s="62" t="str">
        <f t="shared" ref="M29:M30" si="192">IFERROR(RIGHT(B29,LEN(B29)-FIND("],",B29)-1),"none")</f>
        <v>[effect:force_change_block, new_block:jammer, target:block_all, ignore01:jammer, ignore02:time_bomb, ignore03:crash, ignore04:damage, count:7, val:0, animation:change_block]</v>
      </c>
      <c r="N29" s="48" t="str">
        <f>IFERROR(LEFT(M29,FIND("],",M29)+#REF!),M29)</f>
        <v>[effect:force_change_block, new_block:jammer, target:block_all, ignore01:jammer, ignore02:time_bomb, ignore03:crash, ignore04:damage, count:7, val:0, animation:change_block]</v>
      </c>
      <c r="O29" s="62">
        <f t="shared" ref="O29:O30" si="193">FIND("effect:",N29)+7</f>
        <v>9</v>
      </c>
      <c r="P29" s="62">
        <f t="shared" ref="P29:P30" si="194">IFERROR(FIND(",",N29),LEN(N29))</f>
        <v>27</v>
      </c>
      <c r="Q29" s="62">
        <f t="shared" ref="Q29:Q30" si="195">FIND("target:",N29)+7</f>
        <v>54</v>
      </c>
      <c r="R29" s="62">
        <f t="shared" ref="R29:R30" si="196">FIND(",",N29,P29+1)</f>
        <v>45</v>
      </c>
      <c r="S29" s="62" t="str">
        <f>IFERROR(VLOOKUP(MID(N29,Q29,R29-Q29),[5]skilldef!$C:$D,2,FALSE),"-") &amp; " / " &amp; IFERROR(VLOOKUP(MID(N29,O29,P29-O29),[5]skilldef!$A:$B,2,FALSE),"-")</f>
        <v>- / -</v>
      </c>
      <c r="T29" s="48" t="str">
        <f t="shared" ref="T29:T30" si="197">IFERROR(RIGHT(M29,LEN(M29)-FIND("],",M29)-1),"none")</f>
        <v>none</v>
      </c>
      <c r="U29" s="62" t="e">
        <f t="shared" ref="U29:U30" si="198">FIND("effect:",T29)+7</f>
        <v>#VALUE!</v>
      </c>
      <c r="V29" s="62">
        <f t="shared" ref="V29:V30" si="199">IFERROR(FIND(",",T29),LEN(T29))</f>
        <v>4</v>
      </c>
      <c r="W29" s="62" t="e">
        <f t="shared" ref="W29:W30" si="200">FIND("target:",T29)+7</f>
        <v>#VALUE!</v>
      </c>
      <c r="X29" s="62" t="e">
        <f t="shared" ref="X29:X30" si="201">FIND(",",T29,V29+1)</f>
        <v>#VALUE!</v>
      </c>
      <c r="Y29" s="62" t="str">
        <f>IFERROR(VLOOKUP(MID(T29,W29,X29-W29),[5]skilldef!$C:$D,2,FALSE),"-") &amp; " / " &amp; IFERROR(VLOOKUP(MID(T29,U29,V29-U29),[5]skilldef!$A:$B,2,FALSE),"-")</f>
        <v>- / -</v>
      </c>
      <c r="Z29" s="50"/>
      <c r="AA29" s="51"/>
      <c r="AB29" s="50"/>
    </row>
    <row r="30" spans="1:28" ht="28" customHeight="1" x14ac:dyDescent="0.15">
      <c r="A30" s="115">
        <v>13302044</v>
      </c>
      <c r="B30" s="122" t="s">
        <v>369</v>
      </c>
      <c r="C30" s="50">
        <v>1</v>
      </c>
      <c r="D30" s="50" t="s">
        <v>196</v>
      </c>
      <c r="E30" s="121" t="s">
        <v>293</v>
      </c>
      <c r="F30" s="121" t="s">
        <v>343</v>
      </c>
      <c r="G30" s="62" t="str">
        <f t="shared" si="187"/>
        <v>[effect:enemy_message, val1:1, val2:2.0]</v>
      </c>
      <c r="H30" s="62">
        <f t="shared" si="188"/>
        <v>9</v>
      </c>
      <c r="I30" s="62">
        <f t="shared" si="189"/>
        <v>22</v>
      </c>
      <c r="J30" s="62" t="e">
        <f t="shared" si="190"/>
        <v>#VALUE!</v>
      </c>
      <c r="K30" s="62">
        <f t="shared" si="191"/>
        <v>30</v>
      </c>
      <c r="L30" s="62" t="str">
        <f>IFERROR(VLOOKUP(MID(G30,J30,K30-J30),[5]skilldef!$C:$D,2,FALSE),"-") &amp; " / " &amp; IFERROR(VLOOKUP(MID(G30,H30,I30-H30),[5]skilldef!$A:$B,2,FALSE),"-")</f>
        <v>- / -</v>
      </c>
      <c r="M30" s="62" t="str">
        <f t="shared" si="192"/>
        <v>[effect:force_change_block, new_block:jammer, target:block_all, ignore01:block_blue, count:0, val:0],[effect:spread, val:0.29]</v>
      </c>
      <c r="N30" s="48" t="str">
        <f>IFERROR(LEFT(M30,FIND("],",M30)+#REF!),M30)</f>
        <v>[effect:force_change_block, new_block:jammer, target:block_all, ignore01:block_blue, count:0, val:0],[effect:spread, val:0.29]</v>
      </c>
      <c r="O30" s="62">
        <f t="shared" si="193"/>
        <v>9</v>
      </c>
      <c r="P30" s="62">
        <f t="shared" si="194"/>
        <v>27</v>
      </c>
      <c r="Q30" s="62">
        <f t="shared" si="195"/>
        <v>54</v>
      </c>
      <c r="R30" s="62">
        <f t="shared" si="196"/>
        <v>45</v>
      </c>
      <c r="S30" s="62" t="str">
        <f>IFERROR(VLOOKUP(MID(N30,Q30,R30-Q30),[5]skilldef!$C:$D,2,FALSE),"-") &amp; " / " &amp; IFERROR(VLOOKUP(MID(N30,O30,P30-O30),[5]skilldef!$A:$B,2,FALSE),"-")</f>
        <v>- / -</v>
      </c>
      <c r="T30" s="48" t="str">
        <f t="shared" si="197"/>
        <v>[effect:spread, val:0.29]</v>
      </c>
      <c r="U30" s="62">
        <f t="shared" si="198"/>
        <v>9</v>
      </c>
      <c r="V30" s="62">
        <f t="shared" si="199"/>
        <v>15</v>
      </c>
      <c r="W30" s="62" t="e">
        <f t="shared" si="200"/>
        <v>#VALUE!</v>
      </c>
      <c r="X30" s="62" t="e">
        <f t="shared" si="201"/>
        <v>#VALUE!</v>
      </c>
      <c r="Y30" s="62" t="str">
        <f>IFERROR(VLOOKUP(MID(T30,W30,X30-W30),[5]skilldef!$C:$D,2,FALSE),"-") &amp; " / " &amp; IFERROR(VLOOKUP(MID(T30,U30,V30-U30),[5]skilldef!$A:$B,2,FALSE),"-")</f>
        <v>- / 全体攻撃</v>
      </c>
      <c r="Z30" s="50"/>
      <c r="AA30" s="51"/>
      <c r="AB30" s="50"/>
    </row>
    <row r="31" spans="1:28" ht="28" customHeight="1" x14ac:dyDescent="0.15">
      <c r="A31" s="115">
        <v>13302045</v>
      </c>
      <c r="B31" s="123" t="s">
        <v>377</v>
      </c>
      <c r="C31" s="50">
        <v>1</v>
      </c>
      <c r="D31" s="50" t="s">
        <v>196</v>
      </c>
      <c r="E31" s="121" t="s">
        <v>294</v>
      </c>
      <c r="F31" s="124" t="s">
        <v>261</v>
      </c>
      <c r="G31" s="62" t="str">
        <f t="shared" ref="G31" si="202">IFERROR(LEFT(B31,FIND("],",B31)),B31)</f>
        <v xml:space="preserve">[effect:break_heal_ratio, target:myself, val:0.01, lowest_val:800, count:-1, block01:jammer, animation:enemy_heal]    </v>
      </c>
      <c r="H31" s="62">
        <f t="shared" ref="H31" si="203">FIND("effect:",G31)+7</f>
        <v>9</v>
      </c>
      <c r="I31" s="62">
        <f t="shared" ref="I31" si="204">IFERROR(FIND(",",G31),LEN(G31))</f>
        <v>25</v>
      </c>
      <c r="J31" s="62">
        <f t="shared" ref="J31" si="205">FIND("target:",G31)+7</f>
        <v>34</v>
      </c>
      <c r="K31" s="62">
        <f t="shared" ref="K31" si="206">FIND(",",G31,I31+1)</f>
        <v>40</v>
      </c>
      <c r="L31" s="62" t="str">
        <f>IFERROR(VLOOKUP(MID(G31,J31,K31-J31),[5]skilldef!$C:$D,2,FALSE),"-") &amp; " / " &amp; IFERROR(VLOOKUP(MID(G31,H31,I31-H31),[5]skilldef!$A:$B,2,FALSE),"-")</f>
        <v>自分自身に / -</v>
      </c>
      <c r="M31" s="62" t="str">
        <f t="shared" ref="M31" si="207">IFERROR(RIGHT(B31,LEN(B31)-FIND("],",B31)-1),"none")</f>
        <v>none</v>
      </c>
      <c r="N31" s="48" t="str">
        <f>IFERROR(LEFT(M31,FIND("],",M31)+#REF!),M31)</f>
        <v>none</v>
      </c>
      <c r="O31" s="62" t="e">
        <f t="shared" ref="O31" si="208">FIND("effect:",N31)+7</f>
        <v>#VALUE!</v>
      </c>
      <c r="P31" s="62">
        <f t="shared" ref="P31" si="209">IFERROR(FIND(",",N31),LEN(N31))</f>
        <v>4</v>
      </c>
      <c r="Q31" s="62" t="e">
        <f t="shared" ref="Q31" si="210">FIND("target:",N31)+7</f>
        <v>#VALUE!</v>
      </c>
      <c r="R31" s="62" t="e">
        <f t="shared" ref="R31" si="211">FIND(",",N31,P31+1)</f>
        <v>#VALUE!</v>
      </c>
      <c r="S31" s="62" t="str">
        <f>IFERROR(VLOOKUP(MID(N31,Q31,R31-Q31),[5]skilldef!$C:$D,2,FALSE),"-") &amp; " / " &amp; IFERROR(VLOOKUP(MID(N31,O31,P31-O31),[5]skilldef!$A:$B,2,FALSE),"-")</f>
        <v>- / -</v>
      </c>
      <c r="T31" s="48" t="str">
        <f t="shared" ref="T31" si="212">IFERROR(RIGHT(M31,LEN(M31)-FIND("],",M31)-1),"none")</f>
        <v>none</v>
      </c>
      <c r="U31" s="62" t="e">
        <f t="shared" ref="U31" si="213">FIND("effect:",T31)+7</f>
        <v>#VALUE!</v>
      </c>
      <c r="V31" s="62">
        <f t="shared" ref="V31" si="214">IFERROR(FIND(",",T31),LEN(T31))</f>
        <v>4</v>
      </c>
      <c r="W31" s="62" t="e">
        <f t="shared" ref="W31" si="215">FIND("target:",T31)+7</f>
        <v>#VALUE!</v>
      </c>
      <c r="X31" s="62" t="e">
        <f t="shared" ref="X31" si="216">FIND(",",T31,V31+1)</f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50"/>
      <c r="AA31" s="51"/>
      <c r="AB31" s="50"/>
    </row>
    <row r="32" spans="1:28" ht="28" customHeight="1" x14ac:dyDescent="0.15">
      <c r="A32" s="115">
        <v>13302046</v>
      </c>
      <c r="B32" s="122" t="s">
        <v>368</v>
      </c>
      <c r="C32" s="50">
        <v>1</v>
      </c>
      <c r="D32" s="50" t="s">
        <v>196</v>
      </c>
      <c r="E32" s="121" t="s">
        <v>295</v>
      </c>
      <c r="F32" s="121" t="s">
        <v>344</v>
      </c>
      <c r="G32" s="62" t="str">
        <f t="shared" ref="G32" si="217">IFERROR(LEFT(B32,FIND("],",B32)),B32)</f>
        <v>[effect:force_change_block, new_block:time_bomb, target:block_all, color:block_blue, count:7, val:0.25, min_time_count:2, max_time_count:2, animation:change_block]</v>
      </c>
      <c r="H32" s="62">
        <f t="shared" ref="H32" si="218">FIND("effect:",G32)+7</f>
        <v>9</v>
      </c>
      <c r="I32" s="62">
        <f t="shared" ref="I32" si="219">IFERROR(FIND(",",G32),LEN(G32))</f>
        <v>27</v>
      </c>
      <c r="J32" s="62">
        <f t="shared" ref="J32" si="220">FIND("target:",G32)+7</f>
        <v>57</v>
      </c>
      <c r="K32" s="62">
        <f t="shared" ref="K32" si="221">FIND(",",G32,I32+1)</f>
        <v>48</v>
      </c>
      <c r="L32" s="62" t="str">
        <f>IFERROR(VLOOKUP(MID(G32,J32,K32-J32),[5]skilldef!$C:$D,2,FALSE),"-") &amp; " / " &amp; IFERROR(VLOOKUP(MID(G32,H32,I32-H32),[5]skilldef!$A:$B,2,FALSE),"-")</f>
        <v>- / -</v>
      </c>
      <c r="M32" s="62" t="str">
        <f t="shared" ref="M32" si="222">IFERROR(RIGHT(B32,LEN(B32)-FIND("],",B32)-1),"none")</f>
        <v>[effect:spread, val:0.29]</v>
      </c>
      <c r="N32" s="48" t="str">
        <f>IFERROR(LEFT(M32,FIND("],",M32)+#REF!),M32)</f>
        <v>[effect:spread, val:0.29]</v>
      </c>
      <c r="O32" s="62">
        <f t="shared" ref="O32" si="223">FIND("effect:",N32)+7</f>
        <v>9</v>
      </c>
      <c r="P32" s="62">
        <f t="shared" ref="P32" si="224">IFERROR(FIND(",",N32),LEN(N32))</f>
        <v>15</v>
      </c>
      <c r="Q32" s="62" t="e">
        <f t="shared" ref="Q32" si="225">FIND("target:",N32)+7</f>
        <v>#VALUE!</v>
      </c>
      <c r="R32" s="62" t="e">
        <f t="shared" ref="R32" si="226">FIND(",",N32,P32+1)</f>
        <v>#VALUE!</v>
      </c>
      <c r="S32" s="62" t="str">
        <f>IFERROR(VLOOKUP(MID(N32,Q32,R32-Q32),[5]skilldef!$C:$D,2,FALSE),"-") &amp; " / " &amp; IFERROR(VLOOKUP(MID(N32,O32,P32-O32),[5]skilldef!$A:$B,2,FALSE),"-")</f>
        <v>- / 全体攻撃</v>
      </c>
      <c r="T32" s="48" t="str">
        <f t="shared" ref="T32" si="227">IFERROR(RIGHT(M32,LEN(M32)-FIND("],",M32)-1),"none")</f>
        <v>none</v>
      </c>
      <c r="U32" s="62" t="e">
        <f t="shared" ref="U32" si="228">FIND("effect:",T32)+7</f>
        <v>#VALUE!</v>
      </c>
      <c r="V32" s="62">
        <f t="shared" ref="V32" si="229">IFERROR(FIND(",",T32),LEN(T32))</f>
        <v>4</v>
      </c>
      <c r="W32" s="62" t="e">
        <f t="shared" ref="W32" si="230">FIND("target:",T32)+7</f>
        <v>#VALUE!</v>
      </c>
      <c r="X32" s="62" t="e">
        <f t="shared" ref="X32" si="231">FIND(",",T32,V32+1)</f>
        <v>#VALUE!</v>
      </c>
      <c r="Y32" s="62" t="str">
        <f>IFERROR(VLOOKUP(MID(T32,W32,X32-W32),[5]skilldef!$C:$D,2,FALSE),"-") &amp; " / " &amp; IFERROR(VLOOKUP(MID(T32,U32,V32-U32),[5]skilldef!$A:$B,2,FALSE),"-")</f>
        <v>- / -</v>
      </c>
      <c r="Z32" s="50"/>
      <c r="AA32" s="51"/>
      <c r="AB32" s="50"/>
    </row>
    <row r="33" spans="1:28" ht="28" customHeight="1" x14ac:dyDescent="0.15">
      <c r="A33" s="115">
        <v>13302047</v>
      </c>
      <c r="B33" s="122" t="s">
        <v>370</v>
      </c>
      <c r="C33" s="50">
        <v>1</v>
      </c>
      <c r="D33" s="111" t="s">
        <v>196</v>
      </c>
      <c r="E33" s="121" t="s">
        <v>296</v>
      </c>
      <c r="F33" s="121" t="s">
        <v>345</v>
      </c>
      <c r="G33" s="62" t="str">
        <f t="shared" ref="G33" si="232">IFERROR(LEFT(B33,FIND("],",B33)),B33)</f>
        <v>[effect:enemy_message, val1:1, val2:2.3]</v>
      </c>
      <c r="H33" s="62">
        <f t="shared" ref="H33" si="233">FIND("effect:",G33)+7</f>
        <v>9</v>
      </c>
      <c r="I33" s="62">
        <f t="shared" ref="I33" si="234">IFERROR(FIND(",",G33),LEN(G33))</f>
        <v>22</v>
      </c>
      <c r="J33" s="62" t="e">
        <f t="shared" ref="J33" si="235">FIND("target:",G33)+7</f>
        <v>#VALUE!</v>
      </c>
      <c r="K33" s="62">
        <f t="shared" ref="K33" si="236">FIND(",",G33,I33+1)</f>
        <v>30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 t="shared" ref="M33" si="237">IFERROR(RIGHT(B33,LEN(B33)-FIND("],",B33)-1),"none")</f>
        <v>[effect:break_heal_fix, target:myself, val:35000, lowest_val:800, count:2, block01:time_bomb, animation:enemy_heal]</v>
      </c>
      <c r="N33" s="48" t="str">
        <f>IFERROR(LEFT(M33,FIND("],",M33)+#REF!),M33)</f>
        <v>[effect:break_heal_fix, target:myself, val:35000, lowest_val:800, count:2, block01:time_bomb, animation:enemy_heal]</v>
      </c>
      <c r="O33" s="62">
        <f t="shared" ref="O33" si="238">FIND("effect:",N33)+7</f>
        <v>9</v>
      </c>
      <c r="P33" s="62">
        <f t="shared" ref="P33" si="239">IFERROR(FIND(",",N33),LEN(N33))</f>
        <v>23</v>
      </c>
      <c r="Q33" s="62">
        <f t="shared" ref="Q33" si="240">FIND("target:",N33)+7</f>
        <v>32</v>
      </c>
      <c r="R33" s="62">
        <f t="shared" ref="R33" si="241">FIND(",",N33,P33+1)</f>
        <v>38</v>
      </c>
      <c r="S33" s="62" t="str">
        <f>IFERROR(VLOOKUP(MID(N33,Q33,R33-Q33),[5]skilldef!$C:$D,2,FALSE),"-") &amp; " / " &amp; IFERROR(VLOOKUP(MID(N33,O33,P33-O33),[5]skilldef!$A:$B,2,FALSE),"-")</f>
        <v>自分自身に / -</v>
      </c>
      <c r="T33" s="48" t="str">
        <f t="shared" ref="T33" si="242">IFERROR(RIGHT(M33,LEN(M33)-FIND("],",M33)-1),"none")</f>
        <v>none</v>
      </c>
      <c r="U33" s="62" t="e">
        <f t="shared" ref="U33" si="243">FIND("effect:",T33)+7</f>
        <v>#VALUE!</v>
      </c>
      <c r="V33" s="62">
        <f t="shared" ref="V33" si="244">IFERROR(FIND(",",T33),LEN(T33))</f>
        <v>4</v>
      </c>
      <c r="W33" s="62" t="e">
        <f t="shared" ref="W33" si="245">FIND("target:",T33)+7</f>
        <v>#VALUE!</v>
      </c>
      <c r="X33" s="62" t="e">
        <f t="shared" ref="X33" si="246">FIND(",",T33,V33+1)</f>
        <v>#VALUE!</v>
      </c>
      <c r="Y33" s="62" t="str">
        <f>IFERROR(VLOOKUP(MID(T33,W33,X33-W33),[5]skilldef!$C:$D,2,FALSE),"-") &amp; " / " &amp; IFERROR(VLOOKUP(MID(T33,U33,V33-U33),[5]skilldef!$A:$B,2,FALSE),"-")</f>
        <v>- / -</v>
      </c>
      <c r="Z33" s="50"/>
      <c r="AA33" s="51"/>
      <c r="AB33" s="50"/>
    </row>
    <row r="34" spans="1:28" ht="28" customHeight="1" x14ac:dyDescent="0.15">
      <c r="A34" s="117">
        <v>13302050</v>
      </c>
      <c r="B34" s="117" t="s">
        <v>371</v>
      </c>
      <c r="C34" s="50">
        <v>1</v>
      </c>
      <c r="D34" s="50" t="s">
        <v>196</v>
      </c>
      <c r="E34" s="118" t="s">
        <v>271</v>
      </c>
      <c r="F34" s="118" t="s">
        <v>401</v>
      </c>
      <c r="G34" s="62" t="str">
        <f t="shared" si="157"/>
        <v>[effect:drop_block, block_type:time_bomb, block_color:block_heart, color:block_heart, val:0.49, rate:1, turn:-1, animation:time_bomb_influence04]</v>
      </c>
      <c r="H34" s="62">
        <f t="shared" si="158"/>
        <v>9</v>
      </c>
      <c r="I34" s="62">
        <f t="shared" si="159"/>
        <v>19</v>
      </c>
      <c r="J34" s="62" t="e">
        <f t="shared" si="160"/>
        <v>#VALUE!</v>
      </c>
      <c r="K34" s="62">
        <f t="shared" si="161"/>
        <v>41</v>
      </c>
      <c r="L34" s="62" t="str">
        <f>IFERROR(VLOOKUP(MID(G34,J34,K34-J34),[5]skilldef!$C:$D,2,FALSE),"-") &amp; " / " &amp; IFERROR(VLOOKUP(MID(G34,H34,I34-H34),[5]skilldef!$A:$B,2,FALSE),"-")</f>
        <v>- / 特定ブロックの割合ドロップ</v>
      </c>
      <c r="M34" s="62" t="str">
        <f t="shared" si="162"/>
        <v>[effect:enemy_message, val1:1.4, val2:2.4]</v>
      </c>
      <c r="N34" s="48" t="str">
        <f>IFERROR(LEFT(M34,FIND("],",M34)+#REF!),M34)</f>
        <v>[effect:enemy_message, val1:1.4, val2:2.4]</v>
      </c>
      <c r="O34" s="62">
        <f t="shared" si="163"/>
        <v>9</v>
      </c>
      <c r="P34" s="62">
        <f t="shared" si="164"/>
        <v>22</v>
      </c>
      <c r="Q34" s="62" t="e">
        <f t="shared" si="165"/>
        <v>#VALUE!</v>
      </c>
      <c r="R34" s="62">
        <f t="shared" si="166"/>
        <v>32</v>
      </c>
      <c r="S34" s="62" t="str">
        <f>IFERROR(VLOOKUP(MID(N34,Q34,R34-Q34),[5]skilldef!$C:$D,2,FALSE),"-") &amp; " / " &amp; IFERROR(VLOOKUP(MID(N34,O34,P34-O34),[5]skilldef!$A:$B,2,FALSE),"-")</f>
        <v>- / -</v>
      </c>
      <c r="T34" s="48" t="str">
        <f t="shared" si="167"/>
        <v>none</v>
      </c>
      <c r="U34" s="62" t="e">
        <f t="shared" si="168"/>
        <v>#VALUE!</v>
      </c>
      <c r="V34" s="62">
        <f t="shared" si="169"/>
        <v>4</v>
      </c>
      <c r="W34" s="62" t="e">
        <f t="shared" si="170"/>
        <v>#VALUE!</v>
      </c>
      <c r="X34" s="62" t="e">
        <f t="shared" si="171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50"/>
      <c r="AA34" s="51"/>
      <c r="AB34" s="50"/>
    </row>
    <row r="35" spans="1:28" ht="28" customHeight="1" x14ac:dyDescent="0.15">
      <c r="A35" s="117">
        <v>13302051</v>
      </c>
      <c r="B35" s="117" t="s">
        <v>316</v>
      </c>
      <c r="C35" s="50">
        <v>1</v>
      </c>
      <c r="D35" s="50" t="s">
        <v>196</v>
      </c>
      <c r="E35" s="118" t="s">
        <v>272</v>
      </c>
      <c r="F35" s="118" t="s">
        <v>319</v>
      </c>
      <c r="G35" s="62" t="str">
        <f t="shared" ref="G35:G36" si="247">IFERROR(LEFT(B35,FIND("],",B35)),B35)</f>
        <v>[effect:spread, val:0.25]</v>
      </c>
      <c r="H35" s="62">
        <f t="shared" ref="H35:H36" si="248">FIND("effect:",G35)+7</f>
        <v>9</v>
      </c>
      <c r="I35" s="62">
        <f t="shared" ref="I35:I36" si="249">IFERROR(FIND(",",G35),LEN(G35))</f>
        <v>15</v>
      </c>
      <c r="J35" s="62" t="e">
        <f t="shared" ref="J35:J36" si="250">FIND("target:",G35)+7</f>
        <v>#VALUE!</v>
      </c>
      <c r="K35" s="62" t="e">
        <f t="shared" ref="K35:K36" si="251">FIND(",",G35,I35+1)</f>
        <v>#VALUE!</v>
      </c>
      <c r="L35" s="62" t="str">
        <f>IFERROR(VLOOKUP(MID(G35,J35,K35-J35),[5]skilldef!$C:$D,2,FALSE),"-") &amp; " / " &amp; IFERROR(VLOOKUP(MID(G35,H35,I35-H35),[5]skilldef!$A:$B,2,FALSE),"-")</f>
        <v>- / 全体攻撃</v>
      </c>
      <c r="M35" s="62" t="str">
        <f t="shared" ref="M35:M36" si="252">IFERROR(RIGHT(B35,LEN(B35)-FIND("],",B35)-1),"none")</f>
        <v>[effect:enemy_message, val1:1.4, val2:2.4]</v>
      </c>
      <c r="N35" s="48" t="str">
        <f>IFERROR(LEFT(M35,FIND("],",M35)+#REF!),M35)</f>
        <v>[effect:enemy_message, val1:1.4, val2:2.4]</v>
      </c>
      <c r="O35" s="62">
        <f t="shared" ref="O35:O36" si="253">FIND("effect:",N35)+7</f>
        <v>9</v>
      </c>
      <c r="P35" s="62">
        <f t="shared" ref="P35:P36" si="254">IFERROR(FIND(",",N35),LEN(N35))</f>
        <v>22</v>
      </c>
      <c r="Q35" s="62" t="e">
        <f t="shared" ref="Q35:Q36" si="255">FIND("target:",N35)+7</f>
        <v>#VALUE!</v>
      </c>
      <c r="R35" s="62">
        <f t="shared" ref="R35:R36" si="256">FIND(",",N35,P35+1)</f>
        <v>32</v>
      </c>
      <c r="S35" s="62" t="str">
        <f>IFERROR(VLOOKUP(MID(N35,Q35,R35-Q35),[5]skilldef!$C:$D,2,FALSE),"-") &amp; " / " &amp; IFERROR(VLOOKUP(MID(N35,O35,P35-O35),[5]skilldef!$A:$B,2,FALSE),"-")</f>
        <v>- / -</v>
      </c>
      <c r="T35" s="48" t="str">
        <f t="shared" ref="T35:T36" si="257">IFERROR(RIGHT(M35,LEN(M35)-FIND("],",M35)-1),"none")</f>
        <v>none</v>
      </c>
      <c r="U35" s="62" t="e">
        <f t="shared" ref="U35:U36" si="258">FIND("effect:",T35)+7</f>
        <v>#VALUE!</v>
      </c>
      <c r="V35" s="62">
        <f t="shared" ref="V35:V36" si="259">IFERROR(FIND(",",T35),LEN(T35))</f>
        <v>4</v>
      </c>
      <c r="W35" s="62" t="e">
        <f t="shared" ref="W35:W36" si="260">FIND("target:",T35)+7</f>
        <v>#VALUE!</v>
      </c>
      <c r="X35" s="62" t="e">
        <f t="shared" ref="X35:X36" si="261">FIND(",",T35,V35+1)</f>
        <v>#VALUE!</v>
      </c>
      <c r="Y35" s="62" t="str">
        <f>IFERROR(VLOOKUP(MID(T35,W35,X35-W35),[5]skilldef!$C:$D,2,FALSE),"-") &amp; " / " &amp; IFERROR(VLOOKUP(MID(T35,U35,V35-U35),[5]skilldef!$A:$B,2,FALSE),"-")</f>
        <v>- / -</v>
      </c>
      <c r="Z35" s="50"/>
      <c r="AA35" s="51"/>
      <c r="AB35" s="50"/>
    </row>
    <row r="36" spans="1:28" ht="28" customHeight="1" x14ac:dyDescent="0.15">
      <c r="A36" s="116">
        <v>13302052</v>
      </c>
      <c r="B36" s="117" t="s">
        <v>356</v>
      </c>
      <c r="C36" s="50">
        <v>1</v>
      </c>
      <c r="D36" s="50" t="s">
        <v>196</v>
      </c>
      <c r="E36" s="118" t="s">
        <v>273</v>
      </c>
      <c r="F36" s="118" t="s">
        <v>346</v>
      </c>
      <c r="G36" s="62" t="str">
        <f t="shared" si="247"/>
        <v>[effect:break_attack, target:unit_one, val:0.01, lowest_val:9000, count:-1, color:red, block01:time_bomb]</v>
      </c>
      <c r="H36" s="62">
        <f t="shared" si="248"/>
        <v>9</v>
      </c>
      <c r="I36" s="62">
        <f t="shared" si="249"/>
        <v>21</v>
      </c>
      <c r="J36" s="62">
        <f t="shared" si="250"/>
        <v>30</v>
      </c>
      <c r="K36" s="62">
        <f t="shared" si="251"/>
        <v>38</v>
      </c>
      <c r="L36" s="62" t="str">
        <f>IFERROR(VLOOKUP(MID(G36,J36,K36-J36),[5]skilldef!$C:$D,2,FALSE),"-") &amp; " / " &amp; IFERROR(VLOOKUP(MID(G36,H36,I36-H36),[5]skilldef!$A:$B,2,FALSE),"-")</f>
        <v>味方単体に / -</v>
      </c>
      <c r="M36" s="62" t="str">
        <f t="shared" si="252"/>
        <v>none</v>
      </c>
      <c r="N36" s="48" t="str">
        <f>IFERROR(LEFT(M36,FIND("],",M36)+#REF!),M36)</f>
        <v>none</v>
      </c>
      <c r="O36" s="62" t="e">
        <f t="shared" si="253"/>
        <v>#VALUE!</v>
      </c>
      <c r="P36" s="62">
        <f t="shared" si="254"/>
        <v>4</v>
      </c>
      <c r="Q36" s="62" t="e">
        <f t="shared" si="255"/>
        <v>#VALUE!</v>
      </c>
      <c r="R36" s="62" t="e">
        <f t="shared" si="256"/>
        <v>#VALUE!</v>
      </c>
      <c r="S36" s="62" t="str">
        <f>IFERROR(VLOOKUP(MID(N36,Q36,R36-Q36),[5]skilldef!$C:$D,2,FALSE),"-") &amp; " / " &amp; IFERROR(VLOOKUP(MID(N36,O36,P36-O36),[5]skilldef!$A:$B,2,FALSE),"-")</f>
        <v>- / -</v>
      </c>
      <c r="T36" s="48" t="str">
        <f t="shared" si="257"/>
        <v>none</v>
      </c>
      <c r="U36" s="62" t="e">
        <f t="shared" si="258"/>
        <v>#VALUE!</v>
      </c>
      <c r="V36" s="62">
        <f t="shared" si="259"/>
        <v>4</v>
      </c>
      <c r="W36" s="62" t="e">
        <f t="shared" si="260"/>
        <v>#VALUE!</v>
      </c>
      <c r="X36" s="62" t="e">
        <f t="shared" si="261"/>
        <v>#VALUE!</v>
      </c>
      <c r="Y36" s="62" t="str">
        <f>IFERROR(VLOOKUP(MID(T36,W36,X36-W36),[5]skilldef!$C:$D,2,FALSE),"-") &amp; " / " &amp; IFERROR(VLOOKUP(MID(T36,U36,V36-U36),[5]skilldef!$A:$B,2,FALSE),"-")</f>
        <v>- / -</v>
      </c>
      <c r="Z36" s="50"/>
      <c r="AA36" s="51"/>
      <c r="AB36" s="50"/>
    </row>
    <row r="37" spans="1:28" ht="28" customHeight="1" x14ac:dyDescent="0.15">
      <c r="A37" s="116">
        <v>13302053</v>
      </c>
      <c r="B37" s="128" t="s">
        <v>317</v>
      </c>
      <c r="C37" s="50">
        <v>1</v>
      </c>
      <c r="D37" s="111" t="s">
        <v>196</v>
      </c>
      <c r="E37" s="129" t="s">
        <v>274</v>
      </c>
      <c r="F37" s="129" t="s">
        <v>347</v>
      </c>
      <c r="G37" s="62" t="str">
        <f t="shared" si="157"/>
        <v>[effect:dark, target:unit_all, turn:1, animation:enemy_dark]</v>
      </c>
      <c r="H37" s="62">
        <f t="shared" si="158"/>
        <v>9</v>
      </c>
      <c r="I37" s="62">
        <f t="shared" si="159"/>
        <v>13</v>
      </c>
      <c r="J37" s="62">
        <f t="shared" si="160"/>
        <v>22</v>
      </c>
      <c r="K37" s="62">
        <f t="shared" si="161"/>
        <v>30</v>
      </c>
      <c r="L37" s="62" t="str">
        <f>IFERROR(VLOOKUP(MID(G37,J37,K37-J37),[5]skilldef!$C:$D,2,FALSE),"-") &amp; " / " &amp; IFERROR(VLOOKUP(MID(G37,H37,I37-H37),[5]skilldef!$A:$B,2,FALSE),"-")</f>
        <v>味方全体に / 暗黒</v>
      </c>
      <c r="M37" s="62" t="str">
        <f t="shared" si="162"/>
        <v>[effect:rush, count:1, val:1],[effect:enemy_message, val1:1.4, val2:2]</v>
      </c>
      <c r="N37" s="48" t="str">
        <f>IFERROR(LEFT(M37,FIND("],",M37)+#REF!),M37)</f>
        <v>[effect:rush, count:1, val:1],[effect:enemy_message, val1:1.4, val2:2]</v>
      </c>
      <c r="O37" s="62">
        <f t="shared" si="163"/>
        <v>9</v>
      </c>
      <c r="P37" s="62">
        <f t="shared" si="164"/>
        <v>13</v>
      </c>
      <c r="Q37" s="62" t="e">
        <f t="shared" si="165"/>
        <v>#VALUE!</v>
      </c>
      <c r="R37" s="62">
        <f t="shared" si="166"/>
        <v>22</v>
      </c>
      <c r="S37" s="62" t="str">
        <f>IFERROR(VLOOKUP(MID(N37,Q37,R37-Q37),[5]skilldef!$C:$D,2,FALSE),"-") &amp; " / " &amp; IFERROR(VLOOKUP(MID(N37,O37,P37-O37),[5]skilldef!$A:$B,2,FALSE),"-")</f>
        <v>- / 連続攻撃</v>
      </c>
      <c r="T37" s="48" t="str">
        <f t="shared" si="167"/>
        <v>[effect:enemy_message, val1:1.4, val2:2]</v>
      </c>
      <c r="U37" s="62">
        <f t="shared" si="168"/>
        <v>9</v>
      </c>
      <c r="V37" s="62">
        <f t="shared" si="169"/>
        <v>22</v>
      </c>
      <c r="W37" s="62" t="e">
        <f t="shared" si="170"/>
        <v>#VALUE!</v>
      </c>
      <c r="X37" s="62">
        <f t="shared" si="171"/>
        <v>32</v>
      </c>
      <c r="Y37" s="62" t="str">
        <f>IFERROR(VLOOKUP(MID(T37,W37,X37-W37),[5]skilldef!$C:$D,2,FALSE),"-") &amp; " / " &amp; IFERROR(VLOOKUP(MID(T37,U37,V37-U37),[5]skilldef!$A:$B,2,FALSE),"-")</f>
        <v>- / -</v>
      </c>
      <c r="Z37" s="50"/>
      <c r="AA37" s="51"/>
      <c r="AB37" s="50"/>
    </row>
    <row r="38" spans="1:28" ht="28" customHeight="1" thickBot="1" x14ac:dyDescent="0.2">
      <c r="A38" s="116">
        <v>13302054</v>
      </c>
      <c r="B38" s="130" t="s">
        <v>411</v>
      </c>
      <c r="C38" s="50">
        <v>1</v>
      </c>
      <c r="D38" s="112" t="s">
        <v>196</v>
      </c>
      <c r="E38" s="131" t="s">
        <v>275</v>
      </c>
      <c r="F38" s="131" t="s">
        <v>348</v>
      </c>
      <c r="G38" s="62" t="str">
        <f t="shared" si="157"/>
        <v>[effect:degrade_fever, val:500, animation:fevergauge_down]</v>
      </c>
      <c r="H38" s="62">
        <f t="shared" si="158"/>
        <v>9</v>
      </c>
      <c r="I38" s="62">
        <f t="shared" si="159"/>
        <v>22</v>
      </c>
      <c r="J38" s="62" t="e">
        <f t="shared" si="160"/>
        <v>#VALUE!</v>
      </c>
      <c r="K38" s="62">
        <f t="shared" si="161"/>
        <v>31</v>
      </c>
      <c r="L38" s="62"/>
      <c r="M38" s="62" t="str">
        <f t="shared" si="162"/>
        <v>[effect:spread, val:0.23]</v>
      </c>
      <c r="N38" s="48"/>
      <c r="O38" s="62"/>
      <c r="P38" s="62"/>
      <c r="Q38" s="62"/>
      <c r="R38" s="62"/>
      <c r="S38" s="62"/>
      <c r="T38" s="48" t="str">
        <f t="shared" si="167"/>
        <v>none</v>
      </c>
      <c r="U38" s="62" t="e">
        <f t="shared" si="168"/>
        <v>#VALUE!</v>
      </c>
      <c r="V38" s="62">
        <f t="shared" si="169"/>
        <v>4</v>
      </c>
      <c r="W38" s="62" t="e">
        <f t="shared" si="170"/>
        <v>#VALUE!</v>
      </c>
      <c r="X38" s="62" t="e">
        <f t="shared" si="171"/>
        <v>#VALUE!</v>
      </c>
      <c r="Y38" s="62"/>
      <c r="Z38" s="50"/>
      <c r="AA38" s="51"/>
      <c r="AB38" s="50"/>
    </row>
    <row r="39" spans="1:28" ht="28" customHeight="1" x14ac:dyDescent="0.15">
      <c r="A39" s="116">
        <v>13302055</v>
      </c>
      <c r="B39" s="128" t="s">
        <v>333</v>
      </c>
      <c r="C39" s="50">
        <v>1</v>
      </c>
      <c r="D39" s="111" t="s">
        <v>196</v>
      </c>
      <c r="E39" s="129" t="s">
        <v>276</v>
      </c>
      <c r="F39" s="129" t="s">
        <v>349</v>
      </c>
      <c r="G39" s="62" t="str">
        <f t="shared" si="157"/>
        <v>[effect:change_bomb_range, target:unit_all, val:0.7, rate:1, turn:3, animation:bomb_small]</v>
      </c>
      <c r="H39" s="62">
        <f t="shared" si="158"/>
        <v>9</v>
      </c>
      <c r="I39" s="62">
        <f t="shared" si="159"/>
        <v>26</v>
      </c>
      <c r="J39" s="62">
        <f t="shared" si="160"/>
        <v>35</v>
      </c>
      <c r="K39" s="62">
        <f t="shared" si="161"/>
        <v>43</v>
      </c>
      <c r="L39" s="62" t="str">
        <f>IFERROR(VLOOKUP(MID(G39,J39,K39-J39),[5]skilldef!$C:$D,2,FALSE),"-") &amp; " / " &amp; IFERROR(VLOOKUP(MID(G39,H39,I39-H39),[5]skilldef!$A:$B,2,FALSE),"-")</f>
        <v>味方全体に / -</v>
      </c>
      <c r="M39" s="62" t="str">
        <f t="shared" si="162"/>
        <v>none</v>
      </c>
      <c r="N39" s="48" t="str">
        <f>IFERROR(LEFT(M39,FIND("],",M39)+#REF!),M39)</f>
        <v>none</v>
      </c>
      <c r="O39" s="62" t="e">
        <f t="shared" si="163"/>
        <v>#VALUE!</v>
      </c>
      <c r="P39" s="62">
        <f t="shared" si="164"/>
        <v>4</v>
      </c>
      <c r="Q39" s="62" t="e">
        <f t="shared" si="165"/>
        <v>#VALUE!</v>
      </c>
      <c r="R39" s="62" t="e">
        <f t="shared" si="166"/>
        <v>#VALUE!</v>
      </c>
      <c r="S39" s="62" t="str">
        <f>IFERROR(VLOOKUP(MID(N39,Q39,R39-Q39),[5]skilldef!$C:$D,2,FALSE),"-") &amp; " / " &amp; IFERROR(VLOOKUP(MID(N39,O39,P39-O39),[5]skilldef!$A:$B,2,FALSE),"-")</f>
        <v>- / -</v>
      </c>
      <c r="T39" s="48" t="str">
        <f t="shared" si="167"/>
        <v>none</v>
      </c>
      <c r="U39" s="62" t="e">
        <f t="shared" si="168"/>
        <v>#VALUE!</v>
      </c>
      <c r="V39" s="62">
        <f t="shared" si="169"/>
        <v>4</v>
      </c>
      <c r="W39" s="62" t="e">
        <f t="shared" si="170"/>
        <v>#VALUE!</v>
      </c>
      <c r="X39" s="62" t="e">
        <f t="shared" si="171"/>
        <v>#VALUE!</v>
      </c>
      <c r="Y39" s="62" t="str">
        <f>IFERROR(VLOOKUP(MID(T39,W39,X39-W39),[5]skilldef!$C:$D,2,FALSE),"-") &amp; " / " &amp; IFERROR(VLOOKUP(MID(T39,U39,V39-U39),[5]skilldef!$A:$B,2,FALSE),"-")</f>
        <v>- / -</v>
      </c>
      <c r="Z39" s="50"/>
      <c r="AA39" s="51"/>
      <c r="AB39" s="50"/>
    </row>
    <row r="40" spans="1:28" ht="28" customHeight="1" x14ac:dyDescent="0.15">
      <c r="A40" s="116">
        <v>13302056</v>
      </c>
      <c r="B40" s="117" t="s">
        <v>330</v>
      </c>
      <c r="C40" s="50">
        <v>1</v>
      </c>
      <c r="D40" s="50" t="s">
        <v>196</v>
      </c>
      <c r="E40" s="118" t="s">
        <v>277</v>
      </c>
      <c r="F40" s="118" t="s">
        <v>404</v>
      </c>
      <c r="G40" s="62" t="str">
        <f t="shared" si="157"/>
        <v>[effect:force_change_block, new_block:block_yellow, target:block_green, ignore01:crash, ignore02:crack_bomb, ignore03:color_break, count:3, val:0, animation:change_block]</v>
      </c>
      <c r="H40" s="62">
        <f t="shared" si="158"/>
        <v>9</v>
      </c>
      <c r="I40" s="62">
        <f t="shared" si="159"/>
        <v>27</v>
      </c>
      <c r="J40" s="62">
        <f t="shared" si="160"/>
        <v>60</v>
      </c>
      <c r="K40" s="62">
        <f t="shared" si="161"/>
        <v>51</v>
      </c>
      <c r="L40" s="62" t="str">
        <f>IFERROR(VLOOKUP(MID(G40,J40,K40-J40),[5]skilldef!$C:$D,2,FALSE),"-") &amp; " / " &amp; IFERROR(VLOOKUP(MID(G40,H40,I40-H40),[5]skilldef!$A:$B,2,FALSE),"-")</f>
        <v>- / -</v>
      </c>
      <c r="M40" s="62" t="str">
        <f t="shared" si="162"/>
        <v>[effect:spread, val:0.24]</v>
      </c>
      <c r="N40" s="48" t="str">
        <f>IFERROR(LEFT(M40,FIND("],",M40)+#REF!),M40)</f>
        <v>[effect:spread, val:0.24]</v>
      </c>
      <c r="O40" s="62">
        <f t="shared" si="163"/>
        <v>9</v>
      </c>
      <c r="P40" s="62">
        <f t="shared" si="164"/>
        <v>15</v>
      </c>
      <c r="Q40" s="62" t="e">
        <f t="shared" si="165"/>
        <v>#VALUE!</v>
      </c>
      <c r="R40" s="62" t="e">
        <f t="shared" si="166"/>
        <v>#VALUE!</v>
      </c>
      <c r="S40" s="62" t="str">
        <f>IFERROR(VLOOKUP(MID(N40,Q40,R40-Q40),[5]skilldef!$C:$D,2,FALSE),"-") &amp; " / " &amp; IFERROR(VLOOKUP(MID(N40,O40,P40-O40),[5]skilldef!$A:$B,2,FALSE),"-")</f>
        <v>- / 全体攻撃</v>
      </c>
      <c r="T40" s="48" t="str">
        <f t="shared" si="167"/>
        <v>none</v>
      </c>
      <c r="U40" s="62" t="e">
        <f t="shared" si="168"/>
        <v>#VALUE!</v>
      </c>
      <c r="V40" s="62">
        <f t="shared" si="169"/>
        <v>4</v>
      </c>
      <c r="W40" s="62" t="e">
        <f t="shared" si="170"/>
        <v>#VALUE!</v>
      </c>
      <c r="X40" s="62" t="e">
        <f t="shared" si="171"/>
        <v>#VALUE!</v>
      </c>
      <c r="Y40" s="62" t="str">
        <f>IFERROR(VLOOKUP(MID(T40,W40,X40-W40),[5]skilldef!$C:$D,2,FALSE),"-") &amp; " / " &amp; IFERROR(VLOOKUP(MID(T40,U40,V40-U40),[5]skilldef!$A:$B,2,FALSE),"-")</f>
        <v>- / -</v>
      </c>
      <c r="Z40" s="50"/>
      <c r="AA40" s="51"/>
      <c r="AB40" s="50"/>
    </row>
    <row r="41" spans="1:28" ht="28" customHeight="1" x14ac:dyDescent="0.15">
      <c r="A41" s="116">
        <v>13302057</v>
      </c>
      <c r="B41" s="117" t="s">
        <v>331</v>
      </c>
      <c r="C41" s="50">
        <v>1</v>
      </c>
      <c r="D41" s="50" t="s">
        <v>126</v>
      </c>
      <c r="E41" s="118" t="s">
        <v>278</v>
      </c>
      <c r="F41" s="118" t="s">
        <v>405</v>
      </c>
      <c r="G41" s="62" t="str">
        <f t="shared" ref="G41" si="262">IFERROR(LEFT(B41,FIND("],",B41)),B41)</f>
        <v>[effect:force_change_block, new_block:block_blue, target:block_yellow, ignore01:crash, ignore02:crack_bomb, ignore03:color_break, count:3, val:0, animation:change_block]</v>
      </c>
      <c r="H41" s="62">
        <f t="shared" ref="H41" si="263">FIND("effect:",G41)+7</f>
        <v>9</v>
      </c>
      <c r="I41" s="62">
        <f t="shared" ref="I41" si="264">IFERROR(FIND(",",G41),LEN(G41))</f>
        <v>27</v>
      </c>
      <c r="J41" s="62">
        <f t="shared" ref="J41" si="265">FIND("target:",G41)+7</f>
        <v>58</v>
      </c>
      <c r="K41" s="62">
        <f t="shared" ref="K41" si="266">FIND(",",G41,I41+1)</f>
        <v>49</v>
      </c>
      <c r="L41" s="62" t="str">
        <f>IFERROR(VLOOKUP(MID(G41,J41,K41-J41),[5]skilldef!$C:$D,2,FALSE),"-") &amp; " / " &amp; IFERROR(VLOOKUP(MID(G41,H41,I41-H41),[5]skilldef!$A:$B,2,FALSE),"-")</f>
        <v>- / -</v>
      </c>
      <c r="M41" s="62" t="str">
        <f t="shared" ref="M41" si="267">IFERROR(RIGHT(B41,LEN(B41)-FIND("],",B41)-1),"none")</f>
        <v>[effect:spread, val:0.24]</v>
      </c>
      <c r="N41" s="48" t="str">
        <f>IFERROR(LEFT(M41,FIND("],",M41)+#REF!),M41)</f>
        <v>[effect:spread, val:0.24]</v>
      </c>
      <c r="O41" s="62">
        <f t="shared" ref="O41" si="268">FIND("effect:",N41)+7</f>
        <v>9</v>
      </c>
      <c r="P41" s="62">
        <f t="shared" ref="P41" si="269">IFERROR(FIND(",",N41),LEN(N41))</f>
        <v>15</v>
      </c>
      <c r="Q41" s="62" t="e">
        <f t="shared" ref="Q41" si="270">FIND("target:",N41)+7</f>
        <v>#VALUE!</v>
      </c>
      <c r="R41" s="62" t="e">
        <f t="shared" ref="R41" si="271">FIND(",",N41,P41+1)</f>
        <v>#VALUE!</v>
      </c>
      <c r="S41" s="62" t="str">
        <f>IFERROR(VLOOKUP(MID(N41,Q41,R41-Q41),[5]skilldef!$C:$D,2,FALSE),"-") &amp; " / " &amp; IFERROR(VLOOKUP(MID(N41,O41,P41-O41),[5]skilldef!$A:$B,2,FALSE),"-")</f>
        <v>- / 全体攻撃</v>
      </c>
      <c r="T41" s="48" t="str">
        <f t="shared" ref="T41" si="272">IFERROR(RIGHT(M41,LEN(M41)-FIND("],",M41)-1),"none")</f>
        <v>none</v>
      </c>
      <c r="U41" s="62" t="e">
        <f t="shared" ref="U41" si="273">FIND("effect:",T41)+7</f>
        <v>#VALUE!</v>
      </c>
      <c r="V41" s="62">
        <f t="shared" ref="V41" si="274">IFERROR(FIND(",",T41),LEN(T41))</f>
        <v>4</v>
      </c>
      <c r="W41" s="62" t="e">
        <f t="shared" ref="W41" si="275">FIND("target:",T41)+7</f>
        <v>#VALUE!</v>
      </c>
      <c r="X41" s="62" t="e">
        <f t="shared" ref="X41" si="276">FIND(",",T41,V41+1)</f>
        <v>#VALUE!</v>
      </c>
      <c r="Y41" s="62" t="str">
        <f>IFERROR(VLOOKUP(MID(T41,W41,X41-W41),[5]skilldef!$C:$D,2,FALSE),"-") &amp; " / " &amp; IFERROR(VLOOKUP(MID(T41,U41,V41-U41),[5]skilldef!$A:$B,2,FALSE),"-")</f>
        <v>- / -</v>
      </c>
      <c r="Z41" s="50"/>
      <c r="AA41" s="51"/>
      <c r="AB41" s="50"/>
    </row>
    <row r="42" spans="1:28" ht="28" customHeight="1" x14ac:dyDescent="0.15">
      <c r="A42" s="116">
        <v>13302058</v>
      </c>
      <c r="B42" s="117" t="s">
        <v>332</v>
      </c>
      <c r="C42" s="50">
        <v>1</v>
      </c>
      <c r="D42" s="50" t="s">
        <v>126</v>
      </c>
      <c r="E42" s="118" t="s">
        <v>279</v>
      </c>
      <c r="F42" s="118" t="s">
        <v>406</v>
      </c>
      <c r="G42" s="62" t="str">
        <f t="shared" ref="G42" si="277">IFERROR(LEFT(B42,FIND("],",B42)),B42)</f>
        <v>[effect:force_change_block, new_block:block_red, target:block_blue, ignore01:crash, ignore02:crack_bomb, ignore03:color_break, count:3, val:0, animation:change_block]</v>
      </c>
      <c r="H42" s="62">
        <f t="shared" ref="H42" si="278">FIND("effect:",G42)+7</f>
        <v>9</v>
      </c>
      <c r="I42" s="62">
        <f t="shared" ref="I42" si="279">IFERROR(FIND(",",G42),LEN(G42))</f>
        <v>27</v>
      </c>
      <c r="J42" s="62">
        <f t="shared" ref="J42" si="280">FIND("target:",G42)+7</f>
        <v>57</v>
      </c>
      <c r="K42" s="62">
        <f t="shared" ref="K42" si="281">FIND(",",G42,I42+1)</f>
        <v>48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ref="M42" si="282">IFERROR(RIGHT(B42,LEN(B42)-FIND("],",B42)-1),"none")</f>
        <v>[effect:spread, val:0.24]</v>
      </c>
      <c r="N42" s="48" t="str">
        <f>IFERROR(LEFT(M42,FIND("],",M42)+#REF!),M42)</f>
        <v>[effect:spread, val:0.24]</v>
      </c>
      <c r="O42" s="62">
        <f t="shared" ref="O42" si="283">FIND("effect:",N42)+7</f>
        <v>9</v>
      </c>
      <c r="P42" s="62">
        <f t="shared" ref="P42" si="284">IFERROR(FIND(",",N42),LEN(N42))</f>
        <v>15</v>
      </c>
      <c r="Q42" s="62" t="e">
        <f t="shared" ref="Q42" si="285">FIND("target:",N42)+7</f>
        <v>#VALUE!</v>
      </c>
      <c r="R42" s="62" t="e">
        <f t="shared" ref="R42" si="286">FIND(",",N42,P42+1)</f>
        <v>#VALUE!</v>
      </c>
      <c r="S42" s="62" t="str">
        <f>IFERROR(VLOOKUP(MID(N42,Q42,R42-Q42),[5]skilldef!$C:$D,2,FALSE),"-") &amp; " / " &amp; IFERROR(VLOOKUP(MID(N42,O42,P42-O42),[5]skilldef!$A:$B,2,FALSE),"-")</f>
        <v>- / 全体攻撃</v>
      </c>
      <c r="T42" s="48" t="str">
        <f t="shared" ref="T42" si="287">IFERROR(RIGHT(M42,LEN(M42)-FIND("],",M42)-1),"none")</f>
        <v>none</v>
      </c>
      <c r="U42" s="62" t="e">
        <f t="shared" ref="U42" si="288">FIND("effect:",T42)+7</f>
        <v>#VALUE!</v>
      </c>
      <c r="V42" s="62">
        <f t="shared" ref="V42" si="289">IFERROR(FIND(",",T42),LEN(T42))</f>
        <v>4</v>
      </c>
      <c r="W42" s="62" t="e">
        <f t="shared" ref="W42" si="290">FIND("target:",T42)+7</f>
        <v>#VALUE!</v>
      </c>
      <c r="X42" s="62" t="e">
        <f t="shared" ref="X42" si="291">FIND(",",T42,V42+1)</f>
        <v>#VALUE!</v>
      </c>
      <c r="Y42" s="62" t="str">
        <f>IFERROR(VLOOKUP(MID(T42,W42,X42-W42),[5]skilldef!$C:$D,2,FALSE),"-") &amp; " / " &amp; IFERROR(VLOOKUP(MID(T42,U42,V42-U42),[5]skilldef!$A:$B,2,FALSE),"-")</f>
        <v>- / -</v>
      </c>
      <c r="Z42" s="50"/>
      <c r="AA42" s="51"/>
      <c r="AB42" s="50"/>
    </row>
    <row r="43" spans="1:28" ht="28" customHeight="1" x14ac:dyDescent="0.15">
      <c r="A43" s="116">
        <v>13302059</v>
      </c>
      <c r="B43" s="117" t="s">
        <v>329</v>
      </c>
      <c r="C43" s="50">
        <v>1</v>
      </c>
      <c r="D43" s="50" t="s">
        <v>126</v>
      </c>
      <c r="E43" s="118" t="s">
        <v>280</v>
      </c>
      <c r="F43" s="118" t="s">
        <v>407</v>
      </c>
      <c r="G43" s="62" t="str">
        <f t="shared" ref="G43" si="292">IFERROR(LEFT(B43,FIND("],",B43)),B43)</f>
        <v>[effect:force_change_block, new_block:block_green, target:block_red, ignore01:crash, ignore02:crack_bomb, ignore03:color_break, count:3, val:0, animation:change_block]</v>
      </c>
      <c r="H43" s="62">
        <f t="shared" ref="H43" si="293">FIND("effect:",G43)+7</f>
        <v>9</v>
      </c>
      <c r="I43" s="62">
        <f t="shared" ref="I43" si="294">IFERROR(FIND(",",G43),LEN(G43))</f>
        <v>27</v>
      </c>
      <c r="J43" s="62">
        <f t="shared" ref="J43" si="295">FIND("target:",G43)+7</f>
        <v>59</v>
      </c>
      <c r="K43" s="62">
        <f t="shared" ref="K43" si="296">FIND(",",G43,I43+1)</f>
        <v>50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ref="M43" si="297">IFERROR(RIGHT(B43,LEN(B43)-FIND("],",B43)-1),"none")</f>
        <v>[effect:spread, val:0.24]</v>
      </c>
      <c r="N43" s="48" t="str">
        <f>IFERROR(LEFT(M43,FIND("],",M43)+#REF!),M43)</f>
        <v>[effect:spread, val:0.24]</v>
      </c>
      <c r="O43" s="62">
        <f t="shared" ref="O43" si="298">FIND("effect:",N43)+7</f>
        <v>9</v>
      </c>
      <c r="P43" s="62">
        <f t="shared" ref="P43" si="299">IFERROR(FIND(",",N43),LEN(N43))</f>
        <v>15</v>
      </c>
      <c r="Q43" s="62" t="e">
        <f t="shared" ref="Q43" si="300">FIND("target:",N43)+7</f>
        <v>#VALUE!</v>
      </c>
      <c r="R43" s="62" t="e">
        <f t="shared" ref="R43" si="301">FIND(",",N43,P43+1)</f>
        <v>#VALUE!</v>
      </c>
      <c r="S43" s="62" t="str">
        <f>IFERROR(VLOOKUP(MID(N43,Q43,R43-Q43),[5]skilldef!$C:$D,2,FALSE),"-") &amp; " / " &amp; IFERROR(VLOOKUP(MID(N43,O43,P43-O43),[5]skilldef!$A:$B,2,FALSE),"-")</f>
        <v>- / 全体攻撃</v>
      </c>
      <c r="T43" s="48" t="str">
        <f t="shared" ref="T43" si="302">IFERROR(RIGHT(M43,LEN(M43)-FIND("],",M43)-1),"none")</f>
        <v>none</v>
      </c>
      <c r="U43" s="62" t="e">
        <f t="shared" ref="U43" si="303">FIND("effect:",T43)+7</f>
        <v>#VALUE!</v>
      </c>
      <c r="V43" s="62">
        <f t="shared" ref="V43" si="304">IFERROR(FIND(",",T43),LEN(T43))</f>
        <v>4</v>
      </c>
      <c r="W43" s="62" t="e">
        <f t="shared" ref="W43" si="305">FIND("target:",T43)+7</f>
        <v>#VALUE!</v>
      </c>
      <c r="X43" s="62" t="e">
        <f t="shared" ref="X43" si="306">FIND(",",T43,V43+1)</f>
        <v>#VALUE!</v>
      </c>
      <c r="Y43" s="62" t="str">
        <f>IFERROR(VLOOKUP(MID(T43,W43,X43-W43),[5]skilldef!$C:$D,2,FALSE),"-") &amp; " / " &amp; IFERROR(VLOOKUP(MID(T43,U43,V43-U43),[5]skilldef!$A:$B,2,FALSE),"-")</f>
        <v>- / -</v>
      </c>
      <c r="Z43" s="50"/>
      <c r="AA43" s="51"/>
      <c r="AB43" s="50"/>
    </row>
    <row r="44" spans="1:28" ht="28" customHeight="1" x14ac:dyDescent="0.15">
      <c r="A44" s="116">
        <v>13302060</v>
      </c>
      <c r="B44" s="117" t="s">
        <v>320</v>
      </c>
      <c r="C44" s="50">
        <v>1</v>
      </c>
      <c r="D44" s="50" t="s">
        <v>196</v>
      </c>
      <c r="E44" s="118" t="s">
        <v>281</v>
      </c>
      <c r="F44" s="118" t="s">
        <v>350</v>
      </c>
      <c r="G44" s="62" t="str">
        <f t="shared" si="157"/>
        <v>[effect:change_bomb_range, target:unit_all, val:0.7, rate:1, turn:1, animation:bomb_small]</v>
      </c>
      <c r="H44" s="62">
        <f t="shared" si="158"/>
        <v>9</v>
      </c>
      <c r="I44" s="62">
        <f t="shared" si="159"/>
        <v>26</v>
      </c>
      <c r="J44" s="62">
        <f t="shared" si="160"/>
        <v>35</v>
      </c>
      <c r="K44" s="62">
        <f t="shared" si="161"/>
        <v>43</v>
      </c>
      <c r="L44" s="62" t="str">
        <f>IFERROR(VLOOKUP(MID(G44,J44,K44-J44),[5]skilldef!$C:$D,2,FALSE),"-") &amp; " / " &amp; IFERROR(VLOOKUP(MID(G44,H44,I44-H44),[5]skilldef!$A:$B,2,FALSE),"-")</f>
        <v>味方全体に / -</v>
      </c>
      <c r="M44" s="62" t="str">
        <f t="shared" si="162"/>
        <v>[effect:spread, val:0.24]</v>
      </c>
      <c r="N44" s="48" t="str">
        <f>IFERROR(LEFT(M44,FIND("],",M44)+#REF!),M44)</f>
        <v>[effect:spread, val:0.24]</v>
      </c>
      <c r="O44" s="62">
        <f t="shared" si="163"/>
        <v>9</v>
      </c>
      <c r="P44" s="62">
        <f t="shared" si="164"/>
        <v>15</v>
      </c>
      <c r="Q44" s="62" t="e">
        <f t="shared" si="165"/>
        <v>#VALUE!</v>
      </c>
      <c r="R44" s="62" t="e">
        <f t="shared" si="166"/>
        <v>#VALUE!</v>
      </c>
      <c r="S44" s="62" t="str">
        <f>IFERROR(VLOOKUP(MID(N44,Q44,R44-Q44),[5]skilldef!$C:$D,2,FALSE),"-") &amp; " / " &amp; IFERROR(VLOOKUP(MID(N44,O44,P44-O44),[5]skilldef!$A:$B,2,FALSE),"-")</f>
        <v>- / 全体攻撃</v>
      </c>
      <c r="T44" s="48" t="str">
        <f t="shared" si="167"/>
        <v>none</v>
      </c>
      <c r="U44" s="62" t="e">
        <f t="shared" si="168"/>
        <v>#VALUE!</v>
      </c>
      <c r="V44" s="62">
        <f t="shared" si="169"/>
        <v>4</v>
      </c>
      <c r="W44" s="62" t="e">
        <f t="shared" si="170"/>
        <v>#VALUE!</v>
      </c>
      <c r="X44" s="62" t="e">
        <f t="shared" si="171"/>
        <v>#VALUE!</v>
      </c>
      <c r="Y44" s="62" t="str">
        <f>IFERROR(VLOOKUP(MID(T44,W44,X44-W44),[5]skilldef!$C:$D,2,FALSE),"-") &amp; " / " &amp; IFERROR(VLOOKUP(MID(T44,U44,V44-U44),[5]skilldef!$A:$B,2,FALSE),"-")</f>
        <v>- / -</v>
      </c>
      <c r="Z44" s="50"/>
      <c r="AA44" s="51"/>
      <c r="AB44" s="50"/>
    </row>
    <row r="45" spans="1:28" ht="28" customHeight="1" x14ac:dyDescent="0.15">
      <c r="A45" s="116">
        <v>13302061</v>
      </c>
      <c r="B45" s="134" t="s">
        <v>408</v>
      </c>
      <c r="C45" s="50">
        <v>1</v>
      </c>
      <c r="D45" s="50" t="s">
        <v>126</v>
      </c>
      <c r="E45" s="118" t="s">
        <v>282</v>
      </c>
      <c r="F45" s="118" t="s">
        <v>351</v>
      </c>
      <c r="G45" s="62" t="str">
        <f t="shared" ref="G45:G46" si="307">IFERROR(LEFT(B45,FIND("],",B45)),B45)</f>
        <v>[effect:spread, val:0.25]</v>
      </c>
      <c r="H45" s="62">
        <f t="shared" ref="H45:H46" si="308">FIND("effect:",G45)+7</f>
        <v>9</v>
      </c>
      <c r="I45" s="62">
        <f t="shared" ref="I45:I46" si="309">IFERROR(FIND(",",G45),LEN(G45))</f>
        <v>15</v>
      </c>
      <c r="J45" s="62" t="e">
        <f t="shared" ref="J45:J46" si="310">FIND("target:",G45)+7</f>
        <v>#VALUE!</v>
      </c>
      <c r="K45" s="62" t="e">
        <f t="shared" ref="K45:K46" si="311">FIND(",",G45,I45+1)</f>
        <v>#VALUE!</v>
      </c>
      <c r="L45" s="62" t="str">
        <f>IFERROR(VLOOKUP(MID(G45,J45,K45-J45),[5]skilldef!$C:$D,2,FALSE),"-") &amp; " / " &amp; IFERROR(VLOOKUP(MID(G45,H45,I45-H45),[5]skilldef!$A:$B,2,FALSE),"-")</f>
        <v>- / 全体攻撃</v>
      </c>
      <c r="M45" s="62" t="str">
        <f t="shared" ref="M45:M46" si="312">IFERROR(RIGHT(B45,LEN(B45)-FIND("],",B45)-1),"none")</f>
        <v>[effect:force_change_block, new_block:block_heart, target:block_all, ignore01:crash, ignore02:crack_bomb, ignore03:time_bomb, ignore04:jammer, count:12, val:0, animation:change_block],[effect:enemy_message, val1:1.4, val2:2.3]</v>
      </c>
      <c r="N45" s="48" t="str">
        <f>IFERROR(LEFT(M45,FIND("],",M45)+#REF!),M45)</f>
        <v>[effect:force_change_block, new_block:block_heart, target:block_all, ignore01:crash, ignore02:crack_bomb, ignore03:time_bomb, ignore04:jammer, count:12, val:0, animation:change_block],[effect:enemy_message, val1:1.4, val2:2.3]</v>
      </c>
      <c r="O45" s="62">
        <f t="shared" ref="O45:O46" si="313">FIND("effect:",N45)+7</f>
        <v>9</v>
      </c>
      <c r="P45" s="62">
        <f t="shared" ref="P45:P46" si="314">IFERROR(FIND(",",N45),LEN(N45))</f>
        <v>27</v>
      </c>
      <c r="Q45" s="62">
        <f t="shared" ref="Q45:Q46" si="315">FIND("target:",N45)+7</f>
        <v>59</v>
      </c>
      <c r="R45" s="62">
        <f t="shared" ref="R45:R46" si="316">FIND(",",N45,P45+1)</f>
        <v>50</v>
      </c>
      <c r="S45" s="62" t="str">
        <f>IFERROR(VLOOKUP(MID(N45,Q45,R45-Q45),[5]skilldef!$C:$D,2,FALSE),"-") &amp; " / " &amp; IFERROR(VLOOKUP(MID(N45,O45,P45-O45),[5]skilldef!$A:$B,2,FALSE),"-")</f>
        <v>- / -</v>
      </c>
      <c r="T45" s="48" t="str">
        <f t="shared" ref="T45:T46" si="317">IFERROR(RIGHT(M45,LEN(M45)-FIND("],",M45)-1),"none")</f>
        <v>[effect:enemy_message, val1:1.4, val2:2.3]</v>
      </c>
      <c r="U45" s="62">
        <f t="shared" ref="U45:U46" si="318">FIND("effect:",T45)+7</f>
        <v>9</v>
      </c>
      <c r="V45" s="62">
        <f t="shared" ref="V45:V46" si="319">IFERROR(FIND(",",T45),LEN(T45))</f>
        <v>22</v>
      </c>
      <c r="W45" s="62" t="e">
        <f t="shared" ref="W45:W46" si="320">FIND("target:",T45)+7</f>
        <v>#VALUE!</v>
      </c>
      <c r="X45" s="62">
        <f t="shared" ref="X45:X46" si="321">FIND(",",T45,V45+1)</f>
        <v>32</v>
      </c>
      <c r="Y45" s="62" t="str">
        <f>IFERROR(VLOOKUP(MID(T45,W45,X45-W45),[5]skilldef!$C:$D,2,FALSE),"-") &amp; " / " &amp; IFERROR(VLOOKUP(MID(T45,U45,V45-U45),[5]skilldef!$A:$B,2,FALSE),"-")</f>
        <v>- / -</v>
      </c>
      <c r="Z45" s="50"/>
      <c r="AA45" s="51"/>
      <c r="AB45" s="50"/>
    </row>
    <row r="46" spans="1:28" ht="28" customHeight="1" x14ac:dyDescent="0.15">
      <c r="A46" s="116">
        <v>13302062</v>
      </c>
      <c r="B46" s="117" t="s">
        <v>372</v>
      </c>
      <c r="C46" s="50">
        <v>1</v>
      </c>
      <c r="D46" s="50" t="s">
        <v>126</v>
      </c>
      <c r="E46" s="118" t="s">
        <v>283</v>
      </c>
      <c r="F46" s="118" t="s">
        <v>352</v>
      </c>
      <c r="G46" s="62" t="str">
        <f t="shared" si="307"/>
        <v>[effect:break_attack_fix, val:2500, lowest_val:4000, count:-1, block:block_heart, target:unit_all]</v>
      </c>
      <c r="H46" s="62">
        <f t="shared" si="308"/>
        <v>9</v>
      </c>
      <c r="I46" s="62">
        <f t="shared" si="309"/>
        <v>25</v>
      </c>
      <c r="J46" s="62">
        <f t="shared" si="310"/>
        <v>90</v>
      </c>
      <c r="K46" s="62">
        <f t="shared" si="311"/>
        <v>35</v>
      </c>
      <c r="L46" s="62" t="str">
        <f>IFERROR(VLOOKUP(MID(G46,J46,K46-J46),[5]skilldef!$C:$D,2,FALSE),"-") &amp; " / " &amp; IFERROR(VLOOKUP(MID(G46,H46,I46-H46),[5]skilldef!$A:$B,2,FALSE),"-")</f>
        <v>- / -</v>
      </c>
      <c r="M46" s="62" t="str">
        <f t="shared" si="312"/>
        <v>none</v>
      </c>
      <c r="N46" s="48" t="str">
        <f>IFERROR(LEFT(M46,FIND("],",M46)+#REF!),M46)</f>
        <v>none</v>
      </c>
      <c r="O46" s="62" t="e">
        <f t="shared" si="313"/>
        <v>#VALUE!</v>
      </c>
      <c r="P46" s="62">
        <f t="shared" si="314"/>
        <v>4</v>
      </c>
      <c r="Q46" s="62" t="e">
        <f t="shared" si="315"/>
        <v>#VALUE!</v>
      </c>
      <c r="R46" s="62" t="e">
        <f t="shared" si="316"/>
        <v>#VALUE!</v>
      </c>
      <c r="S46" s="62" t="str">
        <f>IFERROR(VLOOKUP(MID(N46,Q46,R46-Q46),[5]skilldef!$C:$D,2,FALSE),"-") &amp; " / " &amp; IFERROR(VLOOKUP(MID(N46,O46,P46-O46),[5]skilldef!$A:$B,2,FALSE),"-")</f>
        <v>- / -</v>
      </c>
      <c r="T46" s="48" t="str">
        <f t="shared" si="317"/>
        <v>none</v>
      </c>
      <c r="U46" s="62" t="e">
        <f t="shared" si="318"/>
        <v>#VALUE!</v>
      </c>
      <c r="V46" s="62">
        <f t="shared" si="319"/>
        <v>4</v>
      </c>
      <c r="W46" s="62" t="e">
        <f t="shared" si="320"/>
        <v>#VALUE!</v>
      </c>
      <c r="X46" s="62" t="e">
        <f t="shared" si="321"/>
        <v>#VALUE!</v>
      </c>
      <c r="Y46" s="62" t="str">
        <f>IFERROR(VLOOKUP(MID(T46,W46,X46-W46),[5]skilldef!$C:$D,2,FALSE),"-") &amp; " / " &amp; IFERROR(VLOOKUP(MID(T46,U46,V46-U46),[5]skilldef!$A:$B,2,FALSE),"-")</f>
        <v>- / -</v>
      </c>
      <c r="Z46" s="50"/>
      <c r="AA46" s="51"/>
      <c r="AB4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6"/>
  <sheetViews>
    <sheetView showGridLines="0" zoomScale="140" zoomScaleNormal="140" zoomScalePageLayoutView="14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0.33203125" style="49" customWidth="1" outlineLevel="1"/>
    <col min="5" max="5" width="10" style="49" customWidth="1" outlineLevel="1"/>
    <col min="6" max="6" width="11" style="49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13302010_13302010</v>
      </c>
      <c r="B2" s="47">
        <v>13302010</v>
      </c>
      <c r="C2" s="47">
        <v>13302010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うふふ、シビれちゃう？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状態異常耐性+_x000D_10ターンウィルス状態</v>
      </c>
      <c r="F2" s="47">
        <v>13302010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1" si="1">B3&amp;"_"&amp;C3</f>
        <v>13302010_13302011</v>
      </c>
      <c r="B3" s="47">
        <v>13302010</v>
      </c>
      <c r="C3" s="47">
        <v>13302011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ちょっと！_x000D_データ大きすぎよぉ！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(データの流れが嫌な感じだ…）</v>
      </c>
      <c r="F3" s="47">
        <v>13302011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13302010_13302012</v>
      </c>
      <c r="B4" s="47">
        <v>13302010</v>
      </c>
      <c r="C4" s="47">
        <v>13302012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トラッシュデータサイクロン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30回連続攻撃</v>
      </c>
      <c r="F4" s="47">
        <v>13302012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13302010_13302013</v>
      </c>
      <c r="B5" s="47">
        <v>13302010</v>
      </c>
      <c r="C5" s="47">
        <v>13302013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それ、交換しましょ〜？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Cパネルと黄パネル吸収攻撃+_x000D_黄の時限式ダメージパネルを2個生成</v>
      </c>
      <c r="F5" s="47">
        <v>13302013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12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12</v>
      </c>
      <c r="P5" s="47"/>
      <c r="Q5" s="47"/>
      <c r="R5" s="47"/>
    </row>
    <row r="6" spans="1:18" ht="21" customHeight="1" x14ac:dyDescent="0.15">
      <c r="A6" s="39" t="str">
        <f t="shared" si="1"/>
        <v>13302010_13302014</v>
      </c>
      <c r="B6" s="47">
        <v>13302010</v>
      </c>
      <c r="C6" s="47">
        <v>13302014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赤いのちょうだ〜い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Cパネルと赤パネル吸収攻撃+_x000D_赤の時限式ダメージパネルを3個生成</v>
      </c>
      <c r="F6" s="47">
        <v>13302014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6" s="47"/>
      <c r="Q6" s="47"/>
      <c r="R6" s="47"/>
    </row>
    <row r="7" spans="1:18" ht="21" customHeight="1" x14ac:dyDescent="0.15">
      <c r="A7" s="39" t="str">
        <f t="shared" si="1"/>
        <v>13302010_13302015</v>
      </c>
      <c r="B7" s="47">
        <v>13302010</v>
      </c>
      <c r="C7" s="47">
        <v>13302015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安らぎも必要なのよ〜ぅ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Cパネルと緑パネル吸収攻撃+_x000D_緑の時限式ダメージパネルを3個生成</v>
      </c>
      <c r="F7" s="47">
        <v>13302015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7" s="47"/>
      <c r="Q7" s="47"/>
      <c r="R7" s="47"/>
    </row>
    <row r="8" spans="1:18" ht="21" customHeight="1" x14ac:dyDescent="0.15">
      <c r="A8" s="39" t="str">
        <f t="shared" si="1"/>
        <v>13302010_13302016</v>
      </c>
      <c r="B8" s="47">
        <v>13302010</v>
      </c>
      <c r="C8" s="47">
        <v>13302016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はぅ〜癒される〜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Cパネルと青パネル吸収攻撃+_x000D_青の時限式ダメージパネルを3個生成</v>
      </c>
      <c r="F8" s="47">
        <v>13302016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8" s="47"/>
      <c r="Q8" s="47"/>
      <c r="R8" s="47"/>
    </row>
    <row r="9" spans="1:18" ht="21" customHeight="1" x14ac:dyDescent="0.15">
      <c r="A9" s="39" t="str">
        <f t="shared" si="1"/>
        <v>13302010_13302017</v>
      </c>
      <c r="B9" s="47">
        <v>13302010</v>
      </c>
      <c r="C9" s="47">
        <v>13302017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はわわ、気をつけて〜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最大3体に2ターンスキルバインド+_x000D_2回連続攻撃</v>
      </c>
      <c r="F9" s="47">
        <v>13302017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12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12</v>
      </c>
      <c r="P9" s="47"/>
      <c r="Q9" s="47"/>
      <c r="R9" s="47"/>
    </row>
    <row r="10" spans="1:18" ht="21" customHeight="1" x14ac:dyDescent="0.15">
      <c r="A10" s="39" t="str">
        <f t="shared" si="1"/>
        <v>13302010_13302018</v>
      </c>
      <c r="B10" s="47">
        <v>13302010</v>
      </c>
      <c r="C10" s="47">
        <v>13302018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はぅ…_x000D_データあふれちゃう…！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1ターン超強力なウィルス+_x000D_全体攻撃</v>
      </c>
      <c r="F10" s="47">
        <v>13302018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13302010_13302019</v>
      </c>
      <c r="B11" s="47">
        <v>13302010</v>
      </c>
      <c r="C11" s="47">
        <v>13302019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どれから消す？迷っちゃう？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時限式ダメージパネルを10個生成+_x000D_全体攻撃</v>
      </c>
      <c r="F11" s="47">
        <v>13302019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20" si="2">B12&amp;"_"&amp;C12</f>
        <v>13302012_13302021</v>
      </c>
      <c r="B12" s="47">
        <v>13302012</v>
      </c>
      <c r="C12" s="109">
        <v>13302021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あなた…私の…_x000D_邪魔する…？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ハートパネルは50％の確率で_x000D_お邪魔パネルに変換されてドロップ+状態異常耐性</v>
      </c>
      <c r="F12" s="109">
        <v>13302021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13302012_13302022</v>
      </c>
      <c r="B13" s="47">
        <v>13302012</v>
      </c>
      <c r="C13" s="109">
        <v>13302022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あなたが…悪いの…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Cパネルを全てお邪魔パネルに変換+_x000D_ダメージパネル10個生成</v>
      </c>
      <c r="F13" s="109">
        <v>13302022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13302012_13302023</v>
      </c>
      <c r="B14" s="47">
        <v>13302012</v>
      </c>
      <c r="C14" s="109">
        <v>13302023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恨みっこなし…ね？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ハートパネルを吸収して回復+_x000D_単体攻撃</v>
      </c>
      <c r="F14" s="109">
        <v>13302023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14" s="47"/>
      <c r="Q14" s="47"/>
      <c r="R14" s="47"/>
    </row>
    <row r="15" spans="1:18" ht="21" customHeight="1" x14ac:dyDescent="0.15">
      <c r="A15" s="39" t="str">
        <f t="shared" si="2"/>
        <v>13302012_13302024</v>
      </c>
      <c r="B15" s="47">
        <v>13302012</v>
      </c>
      <c r="C15" s="109">
        <v>13302024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止められない…_x000D_ごめんね…？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ダメージパネル14個生成</v>
      </c>
      <c r="F15" s="109">
        <v>13302024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5" s="47"/>
      <c r="Q15" s="47"/>
      <c r="R15" s="47"/>
    </row>
    <row r="16" spans="1:18" ht="21" customHeight="1" x14ac:dyDescent="0.15">
      <c r="A16" s="39" t="str">
        <f t="shared" si="2"/>
        <v>13302012_13302025</v>
      </c>
      <c r="B16" s="47">
        <v>13302012</v>
      </c>
      <c r="C16" s="109">
        <v>13302025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ねぇ…苦しい…？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お邪魔パネル10個生成+_x000D_全体攻撃</v>
      </c>
      <c r="F16" s="109">
        <v>13302025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6" s="47"/>
      <c r="Q16" s="47"/>
      <c r="R16" s="47"/>
    </row>
    <row r="17" spans="1:18" ht="21" customHeight="1" x14ac:dyDescent="0.15">
      <c r="A17" s="39" t="str">
        <f t="shared" si="2"/>
        <v>13302012_13302026</v>
      </c>
      <c r="B17" s="47">
        <v>13302012</v>
      </c>
      <c r="C17" s="109">
        <v>13302026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溜めて…壊す…_x000D_うふふふふふふ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お邪魔パネルと緑パネルを吸収して回復_x000D_(最大お邪魔パネル1個と緑パネル19個)</v>
      </c>
      <c r="F17" s="109">
        <v>13302026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7" s="47"/>
      <c r="Q17" s="47"/>
      <c r="R17" s="47"/>
    </row>
    <row r="18" spans="1:18" ht="21" customHeight="1" x14ac:dyDescent="0.15">
      <c r="A18" s="39" t="str">
        <f t="shared" si="2"/>
        <v>13302012_13302027</v>
      </c>
      <c r="B18" s="47">
        <v>13302012</v>
      </c>
      <c r="C18" s="109">
        <v>13302027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溜め込むと…痛い…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ダメージパネル7個生成</v>
      </c>
      <c r="F18" s="109">
        <v>13302027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18" s="47"/>
      <c r="Q18" s="47"/>
      <c r="R18" s="47"/>
    </row>
    <row r="19" spans="1:18" ht="21" customHeight="1" x14ac:dyDescent="0.15">
      <c r="A19" s="39" t="str">
        <f t="shared" si="2"/>
        <v>13302012_13302028</v>
      </c>
      <c r="B19" s="47">
        <v>13302012</v>
      </c>
      <c r="C19" s="109">
        <v>13302028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ガベージデータ・クリア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9" s="109">
        <v>13302028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47"/>
      <c r="Q19" s="47"/>
      <c r="R19" s="47"/>
    </row>
    <row r="20" spans="1:18" ht="21" customHeight="1" x14ac:dyDescent="0.15">
      <c r="A20" s="39" t="str">
        <f t="shared" si="2"/>
        <v>13302012_13302029</v>
      </c>
      <c r="B20" s="47">
        <v>13302012</v>
      </c>
      <c r="C20" s="109">
        <v>13302029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こないで…ね…？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お邪魔パネル3個生成+_x000D_全体攻撃</v>
      </c>
      <c r="F20" s="109">
        <v>13302029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:A40" si="3">B21&amp;"_"&amp;C21</f>
        <v>13302014_13302035</v>
      </c>
      <c r="B21" s="47">
        <v>13302014</v>
      </c>
      <c r="C21" s="115">
        <v>13302035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いくわよ！覚悟しなさい！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フィーバーゲージ減少+お邪魔パネルドロップ解除+_x000D_お邪魔パネルを3個生成+状態異常耐性</v>
      </c>
      <c r="F21" s="115">
        <v>13302035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13302014_13302036</v>
      </c>
      <c r="B22" s="47">
        <v>13302014</v>
      </c>
      <c r="C22" s="115">
        <v>13302036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本気、出してあげるわ…！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残りHPの80%ダメージ！</v>
      </c>
      <c r="F22" s="115">
        <v>13302036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3"/>
        <v>13302014_13302037</v>
      </c>
      <c r="B23" s="47">
        <v>13302014</v>
      </c>
      <c r="C23" s="115">
        <v>13302037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なかなかやるわね…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時限式ダメージパネル12個生成+_x000D_お邪魔パネル7個生成+全体攻撃</v>
      </c>
      <c r="F23" s="115">
        <v>13302037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10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3"/>
        <v>13302014_13302038</v>
      </c>
      <c r="B24" s="47">
        <v>13302014</v>
      </c>
      <c r="C24" s="115">
        <v>13302038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どう？つらいんじゃない？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お邪魔パネルと時限式ダメージパネルを_x000D_吸収して全体攻撃</v>
      </c>
      <c r="F24" s="115">
        <v>13302038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4" s="48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3"/>
        <v>13302014_13302039</v>
      </c>
      <c r="B25" s="47">
        <v>13302014</v>
      </c>
      <c r="C25" s="115">
        <v>13302039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手加減やめなさいよ！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時限式ダメージパネル7個生成+_x000D_お邪魔パネル7個生成+全体攻撃</v>
      </c>
      <c r="F25" s="115">
        <v>13302039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5" s="48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3"/>
        <v>13302014_13302040</v>
      </c>
      <c r="B26" s="47">
        <v>13302014</v>
      </c>
      <c r="C26" s="115">
        <v>13302040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その程度かしら？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お邪魔パネル吸収攻撃</v>
      </c>
      <c r="F26" s="115">
        <v>13302040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6" s="48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3"/>
        <v>13302014_13302041</v>
      </c>
      <c r="B27" s="47">
        <v>13302014</v>
      </c>
      <c r="C27" s="115">
        <v>13302041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ヴィアベル・クーゲル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3回連続全体攻撃（赤属性・種族アニマル・回復タイプの_x000D_ユニットに大ダメージ)+お邪魔パネルを8個生成</v>
      </c>
      <c r="F27" s="115">
        <v>13302041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31" si="4">B28&amp;"_"&amp;C28</f>
        <v>13302015_13302042</v>
      </c>
      <c r="B28" s="47">
        <v>13302015</v>
      </c>
      <c r="C28" s="115">
        <v>13302042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あたしは自由なのよ！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フィーバーゲージ減少+全てのプラス効果を解除</v>
      </c>
      <c r="F28" s="115">
        <v>13302042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4"/>
        <v>13302015_13302043</v>
      </c>
      <c r="B29" s="47">
        <v>13302015</v>
      </c>
      <c r="C29" s="115">
        <v>13302043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冷怒の相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攻撃力UP+お邪魔パネル7個生成</v>
      </c>
      <c r="F29" s="115">
        <v>13302043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13302015_13302044</v>
      </c>
      <c r="B30" s="47">
        <v>13302015</v>
      </c>
      <c r="C30" s="115">
        <v>13302044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水司の氷壁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青以外のパネルをお邪魔パネルに変換+_x000D_全体攻撃</v>
      </c>
      <c r="F30" s="115">
        <v>13302044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4"/>
        <v>13302015_13302045</v>
      </c>
      <c r="B31" s="47">
        <v>13302015</v>
      </c>
      <c r="C31" s="115">
        <v>13302045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生命の流動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31" s="115">
        <v>13302045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13302015_13302046</v>
      </c>
      <c r="B32" s="47">
        <v>13302015</v>
      </c>
      <c r="C32" s="115">
        <v>13302046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時間の衝突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時限式ダメージパネル7個生成+_x000D_全体攻撃</v>
      </c>
      <c r="F32" s="115">
        <v>13302046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13302015_13302047</v>
      </c>
      <c r="B33" s="47">
        <v>13302015</v>
      </c>
      <c r="C33" s="115">
        <v>13302047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時間の流動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時限式ダメージパネルを吸収して回復（最大2個）</v>
      </c>
      <c r="F33" s="115">
        <v>13302047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13302016_13302050</v>
      </c>
      <c r="B34" s="47">
        <v>13302016</v>
      </c>
      <c r="C34" s="117">
        <v>13302050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危険な恋をプレゼント…♪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ハートパネルは_x000D_ハートの時限式ダメージパネルとしてドロップ</v>
      </c>
      <c r="F34" s="117">
        <v>13302050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13302016_13302051</v>
      </c>
      <c r="B35" s="47">
        <v>13302016</v>
      </c>
      <c r="C35" s="117">
        <v>13302051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刺激的すぎるかい？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全体攻撃+次のターンに強力な_x000D_時限式ダメージパネル吸収攻撃！</v>
      </c>
      <c r="F35" s="117">
        <v>13302051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13302016_13302052</v>
      </c>
      <c r="B36" s="47">
        <v>13302016</v>
      </c>
      <c r="C36" s="116">
        <v>13302052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傷つくのが怖いかい？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時限式ダメージパネルを吸収して強力な攻撃</v>
      </c>
      <c r="F36" s="116">
        <v>13302052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13302016_13302053</v>
      </c>
      <c r="B37" s="47">
        <v>13302016</v>
      </c>
      <c r="C37" s="116">
        <v>13302053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盲目的な恋だね♪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1ターン暗闇+単体攻撃</v>
      </c>
      <c r="F37" s="116">
        <v>13302053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7" s="47"/>
      <c r="Q37" s="47"/>
      <c r="R37" s="47"/>
    </row>
    <row r="38" spans="1:18" ht="21" customHeight="1" x14ac:dyDescent="0.15">
      <c r="A38" s="39" t="str">
        <f t="shared" si="3"/>
        <v>13302016_13302054</v>
      </c>
      <c r="B38" s="47">
        <v>13302016</v>
      </c>
      <c r="C38" s="116">
        <v>13302054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略奪愛さ♪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フィーバーゲージ減少+全体攻撃</v>
      </c>
      <c r="F38" s="116">
        <v>13302054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13302017_13302055</v>
      </c>
      <c r="B39" s="47">
        <v>13302017</v>
      </c>
      <c r="C39" s="116">
        <v>13302055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優しさも必要さ♪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3ターンボムの爆風を30%DOWN</v>
      </c>
      <c r="F39" s="116">
        <v>13302055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13302017_13302056</v>
      </c>
      <c r="B40" s="47">
        <v>13302017</v>
      </c>
      <c r="C40" s="116">
        <v>13302056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心変わり…♪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緑を黄パネルに変換(最大3個)+_x000D_全体攻撃</v>
      </c>
      <c r="F40" s="116">
        <v>13302056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0" s="47"/>
      <c r="Q40" s="47"/>
      <c r="R40" s="47"/>
    </row>
    <row r="41" spans="1:18" ht="21" customHeight="1" x14ac:dyDescent="0.15">
      <c r="A41" s="39" t="str">
        <f t="shared" ref="A41:A44" si="5">B41&amp;"_"&amp;C41</f>
        <v>13302017_13302057</v>
      </c>
      <c r="B41" s="47">
        <v>13302017</v>
      </c>
      <c r="C41" s="116">
        <v>13302057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移り気もアリかな♪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黄を青パネルに変換(最大3個)+_x000D_全体攻撃</v>
      </c>
      <c r="F41" s="116">
        <v>13302057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1" s="47"/>
      <c r="Q41" s="47"/>
      <c r="R41" s="47"/>
    </row>
    <row r="42" spans="1:18" ht="21" customHeight="1" x14ac:dyDescent="0.15">
      <c r="A42" s="39" t="str">
        <f>B42&amp;"_"&amp;C42</f>
        <v>13302017_13302058</v>
      </c>
      <c r="B42" s="47">
        <v>13302017</v>
      </c>
      <c r="C42" s="116">
        <v>13302058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塗り替えてみせるさ！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青を赤パネルに変換(最大3個)+_x000D_全体攻撃</v>
      </c>
      <c r="F42" s="116">
        <v>13302058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2" s="47"/>
      <c r="Q42" s="47"/>
      <c r="R42" s="47"/>
    </row>
    <row r="43" spans="1:18" ht="21" customHeight="1" x14ac:dyDescent="0.15">
      <c r="A43" s="39" t="str">
        <f>B43&amp;"_"&amp;C43</f>
        <v>13302017_13302059</v>
      </c>
      <c r="B43" s="47">
        <v>13302017</v>
      </c>
      <c r="C43" s="116">
        <v>13302059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上書き保存、ってね♪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赤を緑パネルに変換(最大3個)+_x000D_全体攻撃</v>
      </c>
      <c r="F43" s="116">
        <v>13302059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3" s="47"/>
      <c r="Q43" s="47"/>
      <c r="R43" s="47"/>
    </row>
    <row r="44" spans="1:18" ht="21" customHeight="1" x14ac:dyDescent="0.15">
      <c r="A44" s="39" t="str">
        <f t="shared" si="5"/>
        <v>13302017_13302060</v>
      </c>
      <c r="B44" s="47">
        <v>13302017</v>
      </c>
      <c r="C44" s="116">
        <v>13302060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さぁ身を委ねて…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1ターンボムの爆風を30%DOWN+全体攻撃</v>
      </c>
      <c r="F44" s="116">
        <v>13302060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ref="A45:A46" si="6">B45&amp;"_"&amp;C45</f>
        <v>13302017_13302061</v>
      </c>
      <c r="B45" s="47">
        <v>13302017</v>
      </c>
      <c r="C45" s="116">
        <v>13302061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破滅的な恋なのさ！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次のターン強力なハートパネル吸収攻撃！</v>
      </c>
      <c r="F45" s="116">
        <v>13302061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6"/>
        <v>13302017_13302062</v>
      </c>
      <c r="B46" s="47">
        <v>13302017</v>
      </c>
      <c r="C46" s="116">
        <v>13302062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ラブ・バースト！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ハートパネルを吸収して強力な攻撃</v>
      </c>
      <c r="F46" s="116">
        <v>13302062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6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47">
        <v>13302010</v>
      </c>
      <c r="B2" s="47">
        <v>1</v>
      </c>
      <c r="C2" s="47" t="s">
        <v>53</v>
      </c>
      <c r="D2" s="47">
        <v>100</v>
      </c>
      <c r="E2" s="47" t="s">
        <v>53</v>
      </c>
      <c r="F2" s="47" t="s">
        <v>53</v>
      </c>
      <c r="G2" s="47">
        <v>1</v>
      </c>
      <c r="H2" s="47" t="s">
        <v>53</v>
      </c>
      <c r="I2" s="47" t="s">
        <v>53</v>
      </c>
      <c r="J2" s="48">
        <f t="shared" ref="J2" si="0">D2</f>
        <v>100</v>
      </c>
    </row>
    <row r="3" spans="1:11" ht="21" customHeight="1" x14ac:dyDescent="0.15">
      <c r="A3" s="47">
        <v>13302011</v>
      </c>
      <c r="B3" s="47">
        <v>0</v>
      </c>
      <c r="C3" s="47">
        <v>150</v>
      </c>
      <c r="D3" s="47">
        <v>100</v>
      </c>
      <c r="E3" s="47">
        <v>50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:J11" si="1">D3</f>
        <v>100</v>
      </c>
    </row>
    <row r="4" spans="1:11" ht="21" customHeight="1" x14ac:dyDescent="0.15">
      <c r="A4" s="47">
        <v>13302012</v>
      </c>
      <c r="B4" s="47">
        <v>0</v>
      </c>
      <c r="C4" s="47">
        <v>140</v>
      </c>
      <c r="D4" s="47">
        <v>100</v>
      </c>
      <c r="E4" s="47">
        <v>50</v>
      </c>
      <c r="F4" s="47" t="s">
        <v>53</v>
      </c>
      <c r="G4" s="47" t="s">
        <v>257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 x14ac:dyDescent="0.15">
      <c r="A5" s="47">
        <v>13302013</v>
      </c>
      <c r="B5" s="113">
        <v>0</v>
      </c>
      <c r="C5" s="113">
        <v>100</v>
      </c>
      <c r="D5" s="113">
        <v>12</v>
      </c>
      <c r="E5" s="113" t="s">
        <v>53</v>
      </c>
      <c r="F5" s="113" t="s">
        <v>53</v>
      </c>
      <c r="G5" s="113" t="s">
        <v>257</v>
      </c>
      <c r="H5" s="113" t="s">
        <v>53</v>
      </c>
      <c r="I5" s="113" t="s">
        <v>53</v>
      </c>
      <c r="J5" s="48">
        <f t="shared" si="1"/>
        <v>12</v>
      </c>
    </row>
    <row r="6" spans="1:11" ht="21" customHeight="1" x14ac:dyDescent="0.15">
      <c r="A6" s="47">
        <v>13302014</v>
      </c>
      <c r="B6" s="47">
        <v>0</v>
      </c>
      <c r="C6" s="47">
        <v>90</v>
      </c>
      <c r="D6" s="47">
        <v>15</v>
      </c>
      <c r="E6" s="47" t="s">
        <v>53</v>
      </c>
      <c r="F6" s="47" t="s">
        <v>53</v>
      </c>
      <c r="G6" s="47" t="s">
        <v>257</v>
      </c>
      <c r="H6" s="47" t="s">
        <v>53</v>
      </c>
      <c r="I6" s="47" t="s">
        <v>53</v>
      </c>
      <c r="J6" s="48">
        <f t="shared" si="1"/>
        <v>15</v>
      </c>
    </row>
    <row r="7" spans="1:11" ht="21" customHeight="1" x14ac:dyDescent="0.15">
      <c r="A7" s="47">
        <v>13302015</v>
      </c>
      <c r="B7" s="47">
        <v>0</v>
      </c>
      <c r="C7" s="47">
        <v>80</v>
      </c>
      <c r="D7" s="47">
        <v>15</v>
      </c>
      <c r="E7" s="47" t="s">
        <v>53</v>
      </c>
      <c r="F7" s="47" t="s">
        <v>53</v>
      </c>
      <c r="G7" s="47" t="s">
        <v>257</v>
      </c>
      <c r="H7" s="47" t="s">
        <v>53</v>
      </c>
      <c r="I7" s="47" t="s">
        <v>53</v>
      </c>
      <c r="J7" s="48">
        <f t="shared" si="1"/>
        <v>15</v>
      </c>
    </row>
    <row r="8" spans="1:11" ht="21" customHeight="1" x14ac:dyDescent="0.15">
      <c r="A8" s="47">
        <v>13302016</v>
      </c>
      <c r="B8" s="47">
        <v>0</v>
      </c>
      <c r="C8" s="47">
        <v>70</v>
      </c>
      <c r="D8" s="47">
        <v>15</v>
      </c>
      <c r="E8" s="47" t="s">
        <v>53</v>
      </c>
      <c r="F8" s="47" t="s">
        <v>53</v>
      </c>
      <c r="G8" s="47" t="s">
        <v>257</v>
      </c>
      <c r="H8" s="47" t="s">
        <v>53</v>
      </c>
      <c r="I8" s="47" t="s">
        <v>53</v>
      </c>
      <c r="J8" s="48">
        <f t="shared" si="1"/>
        <v>15</v>
      </c>
    </row>
    <row r="9" spans="1:11" ht="21" customHeight="1" x14ac:dyDescent="0.15">
      <c r="A9" s="47">
        <v>13302017</v>
      </c>
      <c r="B9" s="47">
        <v>0</v>
      </c>
      <c r="C9" s="47">
        <v>60</v>
      </c>
      <c r="D9" s="47">
        <v>12</v>
      </c>
      <c r="E9" s="47" t="s">
        <v>53</v>
      </c>
      <c r="F9" s="47" t="s">
        <v>53</v>
      </c>
      <c r="G9" s="47">
        <v>2</v>
      </c>
      <c r="H9" s="47" t="s">
        <v>53</v>
      </c>
      <c r="I9" s="47" t="s">
        <v>53</v>
      </c>
      <c r="J9" s="48">
        <f t="shared" si="1"/>
        <v>12</v>
      </c>
    </row>
    <row r="10" spans="1:11" ht="21" customHeight="1" x14ac:dyDescent="0.15">
      <c r="A10" s="47">
        <v>13302018</v>
      </c>
      <c r="B10" s="47">
        <v>0</v>
      </c>
      <c r="C10" s="47">
        <v>50</v>
      </c>
      <c r="D10" s="47">
        <v>100</v>
      </c>
      <c r="E10" s="47">
        <v>60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1"/>
        <v>100</v>
      </c>
    </row>
    <row r="11" spans="1:11" ht="21" customHeight="1" thickBot="1" x14ac:dyDescent="0.2">
      <c r="A11" s="47">
        <v>13302019</v>
      </c>
      <c r="B11" s="114">
        <v>0</v>
      </c>
      <c r="C11" s="114">
        <v>40</v>
      </c>
      <c r="D11" s="114">
        <v>100</v>
      </c>
      <c r="E11" s="114" t="s">
        <v>53</v>
      </c>
      <c r="F11" s="114" t="s">
        <v>53</v>
      </c>
      <c r="G11" s="114" t="s">
        <v>258</v>
      </c>
      <c r="H11" s="114" t="s">
        <v>53</v>
      </c>
      <c r="I11" s="114" t="s">
        <v>53</v>
      </c>
      <c r="J11" s="48">
        <f t="shared" si="1"/>
        <v>100</v>
      </c>
    </row>
    <row r="12" spans="1:11" ht="21" customHeight="1" x14ac:dyDescent="0.15">
      <c r="A12" s="109">
        <v>13302021</v>
      </c>
      <c r="B12" s="113">
        <v>1</v>
      </c>
      <c r="C12" s="113" t="s">
        <v>53</v>
      </c>
      <c r="D12" s="113">
        <v>100</v>
      </c>
      <c r="E12" s="113" t="s">
        <v>53</v>
      </c>
      <c r="F12" s="113" t="s">
        <v>53</v>
      </c>
      <c r="G12" s="113">
        <v>1</v>
      </c>
      <c r="H12" s="113" t="s">
        <v>53</v>
      </c>
      <c r="I12" s="113" t="s">
        <v>53</v>
      </c>
      <c r="J12" s="48">
        <f t="shared" ref="J12" si="2">D12</f>
        <v>100</v>
      </c>
    </row>
    <row r="13" spans="1:11" ht="21" customHeight="1" x14ac:dyDescent="0.15">
      <c r="A13" s="109">
        <v>13302022</v>
      </c>
      <c r="B13" s="113">
        <v>0</v>
      </c>
      <c r="C13" s="113">
        <v>100</v>
      </c>
      <c r="D13" s="113">
        <v>100</v>
      </c>
      <c r="E13" s="113">
        <v>50</v>
      </c>
      <c r="F13" s="113" t="s">
        <v>53</v>
      </c>
      <c r="G13" s="113">
        <v>1</v>
      </c>
      <c r="H13" s="113" t="s">
        <v>53</v>
      </c>
      <c r="I13" s="113" t="s">
        <v>53</v>
      </c>
      <c r="J13" s="48">
        <f t="shared" ref="J13" si="3">D13</f>
        <v>100</v>
      </c>
    </row>
    <row r="14" spans="1:11" ht="21" customHeight="1" x14ac:dyDescent="0.15">
      <c r="A14" s="109">
        <v>13302023</v>
      </c>
      <c r="B14" s="47">
        <v>0</v>
      </c>
      <c r="C14" s="47">
        <v>90</v>
      </c>
      <c r="D14" s="47">
        <v>15</v>
      </c>
      <c r="E14" s="47">
        <v>50</v>
      </c>
      <c r="F14" s="47" t="s">
        <v>53</v>
      </c>
      <c r="G14" s="47">
        <v>3</v>
      </c>
      <c r="H14" s="47" t="s">
        <v>53</v>
      </c>
      <c r="I14" s="47" t="s">
        <v>53</v>
      </c>
      <c r="J14" s="48">
        <f t="shared" ref="J14" si="4">D14</f>
        <v>15</v>
      </c>
    </row>
    <row r="15" spans="1:11" ht="21" customHeight="1" x14ac:dyDescent="0.15">
      <c r="A15" s="109">
        <v>13302024</v>
      </c>
      <c r="B15" s="47">
        <v>0</v>
      </c>
      <c r="C15" s="47">
        <v>80</v>
      </c>
      <c r="D15" s="47">
        <v>25</v>
      </c>
      <c r="E15" s="47">
        <v>50</v>
      </c>
      <c r="F15" s="47" t="s">
        <v>53</v>
      </c>
      <c r="G15" s="47" t="s">
        <v>53</v>
      </c>
      <c r="H15" s="47" t="s">
        <v>53</v>
      </c>
      <c r="I15" s="47" t="s">
        <v>53</v>
      </c>
      <c r="J15" s="48">
        <f t="shared" ref="J15:J20" si="5">D15</f>
        <v>25</v>
      </c>
    </row>
    <row r="16" spans="1:11" ht="21" customHeight="1" x14ac:dyDescent="0.15">
      <c r="A16" s="109">
        <v>13302025</v>
      </c>
      <c r="B16" s="47">
        <v>0</v>
      </c>
      <c r="C16" s="47">
        <v>70</v>
      </c>
      <c r="D16" s="47">
        <v>40</v>
      </c>
      <c r="E16" s="47">
        <v>50</v>
      </c>
      <c r="F16" s="47" t="s">
        <v>53</v>
      </c>
      <c r="G16" s="47" t="s">
        <v>53</v>
      </c>
      <c r="H16" s="47" t="s">
        <v>53</v>
      </c>
      <c r="I16" s="47" t="s">
        <v>53</v>
      </c>
      <c r="J16" s="48">
        <f t="shared" si="5"/>
        <v>40</v>
      </c>
    </row>
    <row r="17" spans="1:10" ht="21" customHeight="1" x14ac:dyDescent="0.15">
      <c r="A17" s="109">
        <v>13302026</v>
      </c>
      <c r="B17" s="47">
        <v>0</v>
      </c>
      <c r="C17" s="47">
        <v>60</v>
      </c>
      <c r="D17" s="47">
        <v>20</v>
      </c>
      <c r="E17" s="47" t="s">
        <v>53</v>
      </c>
      <c r="F17" s="47" t="s">
        <v>53</v>
      </c>
      <c r="G17" s="47" t="s">
        <v>326</v>
      </c>
      <c r="H17" s="47" t="s">
        <v>53</v>
      </c>
      <c r="I17" s="47" t="s">
        <v>53</v>
      </c>
      <c r="J17" s="48">
        <f t="shared" si="5"/>
        <v>20</v>
      </c>
    </row>
    <row r="18" spans="1:10" ht="21" customHeight="1" x14ac:dyDescent="0.15">
      <c r="A18" s="109">
        <v>13302027</v>
      </c>
      <c r="B18" s="113">
        <v>0</v>
      </c>
      <c r="C18" s="113">
        <v>50</v>
      </c>
      <c r="D18" s="113">
        <v>28</v>
      </c>
      <c r="E18" s="113" t="s">
        <v>53</v>
      </c>
      <c r="F18" s="113" t="s">
        <v>53</v>
      </c>
      <c r="G18" s="47" t="s">
        <v>326</v>
      </c>
      <c r="H18" s="113" t="s">
        <v>53</v>
      </c>
      <c r="I18" s="113" t="s">
        <v>53</v>
      </c>
      <c r="J18" s="48">
        <f t="shared" si="5"/>
        <v>28</v>
      </c>
    </row>
    <row r="19" spans="1:10" ht="21" customHeight="1" x14ac:dyDescent="0.15">
      <c r="A19" s="109">
        <v>13302028</v>
      </c>
      <c r="B19" s="47">
        <v>0</v>
      </c>
      <c r="C19" s="47">
        <v>40</v>
      </c>
      <c r="D19" s="47">
        <v>40</v>
      </c>
      <c r="E19" s="47" t="s">
        <v>327</v>
      </c>
      <c r="F19" s="47" t="s">
        <v>53</v>
      </c>
      <c r="G19" s="47" t="s">
        <v>326</v>
      </c>
      <c r="H19" s="47" t="s">
        <v>53</v>
      </c>
      <c r="I19" s="47" t="s">
        <v>53</v>
      </c>
      <c r="J19" s="48">
        <f t="shared" si="5"/>
        <v>40</v>
      </c>
    </row>
    <row r="20" spans="1:10" ht="21" customHeight="1" thickBot="1" x14ac:dyDescent="0.2">
      <c r="A20" s="109">
        <v>13302029</v>
      </c>
      <c r="B20" s="114">
        <v>0</v>
      </c>
      <c r="C20" s="114">
        <v>30</v>
      </c>
      <c r="D20" s="114">
        <v>100</v>
      </c>
      <c r="E20" s="114" t="s">
        <v>328</v>
      </c>
      <c r="F20" s="114" t="s">
        <v>53</v>
      </c>
      <c r="G20" s="114" t="s">
        <v>53</v>
      </c>
      <c r="H20" s="114" t="s">
        <v>53</v>
      </c>
      <c r="I20" s="114" t="s">
        <v>53</v>
      </c>
      <c r="J20" s="48">
        <f t="shared" si="5"/>
        <v>100</v>
      </c>
    </row>
    <row r="21" spans="1:10" ht="21" customHeight="1" x14ac:dyDescent="0.15">
      <c r="A21" s="115">
        <v>13302035</v>
      </c>
      <c r="B21" s="113">
        <v>1</v>
      </c>
      <c r="C21" s="113" t="s">
        <v>53</v>
      </c>
      <c r="D21" s="113">
        <v>100</v>
      </c>
      <c r="E21" s="113" t="s">
        <v>53</v>
      </c>
      <c r="F21" s="113" t="s">
        <v>53</v>
      </c>
      <c r="G21" s="113">
        <v>1</v>
      </c>
      <c r="H21" s="113" t="s">
        <v>53</v>
      </c>
      <c r="I21" s="113" t="s">
        <v>53</v>
      </c>
      <c r="J21" s="48">
        <f t="shared" ref="J21:J40" si="6">D21</f>
        <v>100</v>
      </c>
    </row>
    <row r="22" spans="1:10" ht="21" customHeight="1" x14ac:dyDescent="0.15">
      <c r="A22" s="115">
        <v>13302036</v>
      </c>
      <c r="B22" s="47">
        <v>0</v>
      </c>
      <c r="C22" s="47">
        <v>150</v>
      </c>
      <c r="D22" s="47">
        <v>100</v>
      </c>
      <c r="E22" s="47">
        <v>10</v>
      </c>
      <c r="F22" s="47" t="s">
        <v>53</v>
      </c>
      <c r="G22" s="47">
        <v>1</v>
      </c>
      <c r="H22" s="47">
        <v>1</v>
      </c>
      <c r="I22" s="47" t="s">
        <v>53</v>
      </c>
      <c r="J22" s="48">
        <f t="shared" si="6"/>
        <v>100</v>
      </c>
    </row>
    <row r="23" spans="1:10" ht="21" customHeight="1" x14ac:dyDescent="0.15">
      <c r="A23" s="115">
        <v>13302037</v>
      </c>
      <c r="B23" s="47">
        <v>0</v>
      </c>
      <c r="C23" s="47">
        <v>140</v>
      </c>
      <c r="D23" s="47">
        <v>100</v>
      </c>
      <c r="E23" s="47">
        <v>30</v>
      </c>
      <c r="F23" s="47">
        <v>10</v>
      </c>
      <c r="G23" s="47">
        <v>2</v>
      </c>
      <c r="H23" s="47">
        <v>1</v>
      </c>
      <c r="I23" s="47" t="s">
        <v>53</v>
      </c>
      <c r="J23" s="48">
        <f t="shared" si="6"/>
        <v>100</v>
      </c>
    </row>
    <row r="24" spans="1:10" ht="21" customHeight="1" x14ac:dyDescent="0.15">
      <c r="A24" s="115">
        <v>13302038</v>
      </c>
      <c r="B24" s="47">
        <v>0</v>
      </c>
      <c r="C24" s="47">
        <v>130</v>
      </c>
      <c r="D24" s="47">
        <v>100</v>
      </c>
      <c r="E24" s="47">
        <v>40</v>
      </c>
      <c r="F24" s="47">
        <v>30</v>
      </c>
      <c r="G24" s="47">
        <v>2</v>
      </c>
      <c r="H24" s="47">
        <v>1</v>
      </c>
      <c r="I24" s="47" t="s">
        <v>53</v>
      </c>
      <c r="J24" s="48">
        <f t="shared" si="6"/>
        <v>100</v>
      </c>
    </row>
    <row r="25" spans="1:10" ht="21" customHeight="1" x14ac:dyDescent="0.15">
      <c r="A25" s="115">
        <v>13302039</v>
      </c>
      <c r="B25" s="47">
        <v>0</v>
      </c>
      <c r="C25" s="47">
        <v>120</v>
      </c>
      <c r="D25" s="47">
        <v>100</v>
      </c>
      <c r="E25" s="47">
        <v>60</v>
      </c>
      <c r="F25" s="47">
        <v>40</v>
      </c>
      <c r="G25" s="47">
        <v>2</v>
      </c>
      <c r="H25" s="47">
        <v>1</v>
      </c>
      <c r="I25" s="47" t="s">
        <v>53</v>
      </c>
      <c r="J25" s="48">
        <f t="shared" si="6"/>
        <v>100</v>
      </c>
    </row>
    <row r="26" spans="1:10" ht="21" customHeight="1" x14ac:dyDescent="0.15">
      <c r="A26" s="115">
        <v>13302040</v>
      </c>
      <c r="B26" s="47">
        <v>0</v>
      </c>
      <c r="C26" s="47">
        <v>110</v>
      </c>
      <c r="D26" s="47">
        <v>100</v>
      </c>
      <c r="E26" s="47">
        <v>80</v>
      </c>
      <c r="F26" s="47">
        <v>60</v>
      </c>
      <c r="G26" s="47">
        <v>2</v>
      </c>
      <c r="H26" s="47">
        <v>1</v>
      </c>
      <c r="I26" s="47" t="s">
        <v>53</v>
      </c>
      <c r="J26" s="48">
        <f t="shared" si="6"/>
        <v>100</v>
      </c>
    </row>
    <row r="27" spans="1:10" ht="21" customHeight="1" thickBot="1" x14ac:dyDescent="0.2">
      <c r="A27" s="115">
        <v>13302041</v>
      </c>
      <c r="B27" s="114">
        <v>0</v>
      </c>
      <c r="C27" s="114">
        <v>100</v>
      </c>
      <c r="D27" s="114">
        <v>100</v>
      </c>
      <c r="E27" s="114" t="s">
        <v>53</v>
      </c>
      <c r="F27" s="114" t="s">
        <v>53</v>
      </c>
      <c r="G27" s="114" t="s">
        <v>53</v>
      </c>
      <c r="H27" s="114" t="s">
        <v>53</v>
      </c>
      <c r="I27" s="114" t="s">
        <v>53</v>
      </c>
      <c r="J27" s="48">
        <f t="shared" si="6"/>
        <v>100</v>
      </c>
    </row>
    <row r="28" spans="1:10" ht="21" customHeight="1" x14ac:dyDescent="0.15">
      <c r="A28" s="115">
        <v>13302042</v>
      </c>
      <c r="B28" s="113">
        <v>1</v>
      </c>
      <c r="C28" s="113" t="s">
        <v>264</v>
      </c>
      <c r="D28" s="113">
        <v>100</v>
      </c>
      <c r="E28" s="113" t="s">
        <v>53</v>
      </c>
      <c r="F28" s="113" t="s">
        <v>53</v>
      </c>
      <c r="G28" s="113">
        <v>1</v>
      </c>
      <c r="H28" s="113" t="s">
        <v>53</v>
      </c>
      <c r="I28" s="113" t="s">
        <v>53</v>
      </c>
      <c r="J28" s="119">
        <f t="shared" ref="J28:J31" si="7">D28</f>
        <v>100</v>
      </c>
    </row>
    <row r="29" spans="1:10" ht="21" customHeight="1" x14ac:dyDescent="0.15">
      <c r="A29" s="115">
        <v>13302043</v>
      </c>
      <c r="B29" s="47">
        <v>0</v>
      </c>
      <c r="C29" s="47">
        <v>100</v>
      </c>
      <c r="D29" s="47">
        <v>100</v>
      </c>
      <c r="E29" s="47">
        <v>50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si="7"/>
        <v>100</v>
      </c>
    </row>
    <row r="30" spans="1:10" ht="21" customHeight="1" x14ac:dyDescent="0.15">
      <c r="A30" s="115">
        <v>13302044</v>
      </c>
      <c r="B30" s="47">
        <v>0</v>
      </c>
      <c r="C30" s="47">
        <v>60</v>
      </c>
      <c r="D30" s="47">
        <v>100</v>
      </c>
      <c r="E30" s="47" t="s">
        <v>53</v>
      </c>
      <c r="F30" s="47" t="s">
        <v>53</v>
      </c>
      <c r="G30" s="47" t="s">
        <v>265</v>
      </c>
      <c r="H30" s="47">
        <v>1</v>
      </c>
      <c r="I30" s="47" t="s">
        <v>53</v>
      </c>
      <c r="J30" s="48">
        <f t="shared" si="7"/>
        <v>100</v>
      </c>
    </row>
    <row r="31" spans="1:10" ht="21" customHeight="1" x14ac:dyDescent="0.15">
      <c r="A31" s="115">
        <v>13302045</v>
      </c>
      <c r="B31" s="47">
        <v>0</v>
      </c>
      <c r="C31" s="47">
        <v>70</v>
      </c>
      <c r="D31" s="47">
        <v>100</v>
      </c>
      <c r="E31" s="47" t="s">
        <v>53</v>
      </c>
      <c r="F31" s="47" t="s">
        <v>53</v>
      </c>
      <c r="G31" s="47" t="s">
        <v>263</v>
      </c>
      <c r="H31" s="47">
        <v>2</v>
      </c>
      <c r="I31" s="47" t="s">
        <v>53</v>
      </c>
      <c r="J31" s="48">
        <f t="shared" si="7"/>
        <v>100</v>
      </c>
    </row>
    <row r="32" spans="1:10" ht="21" customHeight="1" x14ac:dyDescent="0.15">
      <c r="A32" s="115">
        <v>13302046</v>
      </c>
      <c r="B32" s="47">
        <v>0</v>
      </c>
      <c r="C32" s="47">
        <v>80</v>
      </c>
      <c r="D32" s="47">
        <v>100</v>
      </c>
      <c r="E32" s="47" t="s">
        <v>53</v>
      </c>
      <c r="F32" s="47" t="s">
        <v>53</v>
      </c>
      <c r="G32" s="47" t="s">
        <v>263</v>
      </c>
      <c r="H32" s="47">
        <v>3</v>
      </c>
      <c r="I32" s="47" t="s">
        <v>53</v>
      </c>
      <c r="J32" s="48">
        <f t="shared" ref="J32:J33" si="8">D32</f>
        <v>100</v>
      </c>
    </row>
    <row r="33" spans="1:10" ht="21" customHeight="1" x14ac:dyDescent="0.15">
      <c r="A33" s="115">
        <v>13302047</v>
      </c>
      <c r="B33" s="132">
        <v>0</v>
      </c>
      <c r="C33" s="132">
        <v>90</v>
      </c>
      <c r="D33" s="132">
        <v>100</v>
      </c>
      <c r="E33" s="132" t="s">
        <v>53</v>
      </c>
      <c r="F33" s="132" t="s">
        <v>53</v>
      </c>
      <c r="G33" s="132" t="s">
        <v>263</v>
      </c>
      <c r="H33" s="132">
        <v>4</v>
      </c>
      <c r="I33" s="132" t="s">
        <v>53</v>
      </c>
      <c r="J33" s="133">
        <f t="shared" si="8"/>
        <v>100</v>
      </c>
    </row>
    <row r="34" spans="1:10" ht="21" customHeight="1" x14ac:dyDescent="0.15">
      <c r="A34" s="117">
        <v>13302050</v>
      </c>
      <c r="B34" s="47">
        <v>1</v>
      </c>
      <c r="C34" s="47" t="s">
        <v>53</v>
      </c>
      <c r="D34" s="47">
        <v>100</v>
      </c>
      <c r="E34" s="47" t="s">
        <v>53</v>
      </c>
      <c r="F34" s="47" t="s">
        <v>53</v>
      </c>
      <c r="G34" s="47">
        <v>1</v>
      </c>
      <c r="H34" s="47" t="s">
        <v>53</v>
      </c>
      <c r="I34" s="47" t="s">
        <v>53</v>
      </c>
      <c r="J34" s="48">
        <f t="shared" si="6"/>
        <v>100</v>
      </c>
    </row>
    <row r="35" spans="1:10" ht="21" customHeight="1" x14ac:dyDescent="0.15">
      <c r="A35" s="117">
        <v>13302051</v>
      </c>
      <c r="B35" s="47">
        <v>0</v>
      </c>
      <c r="C35" s="47">
        <v>150</v>
      </c>
      <c r="D35" s="47">
        <v>100</v>
      </c>
      <c r="E35" s="47" t="s">
        <v>53</v>
      </c>
      <c r="F35" s="47" t="s">
        <v>53</v>
      </c>
      <c r="G35" s="47" t="s">
        <v>268</v>
      </c>
      <c r="H35" s="47">
        <v>3</v>
      </c>
      <c r="I35" s="47" t="s">
        <v>53</v>
      </c>
      <c r="J35" s="48">
        <f t="shared" si="6"/>
        <v>100</v>
      </c>
    </row>
    <row r="36" spans="1:10" ht="21" customHeight="1" x14ac:dyDescent="0.15">
      <c r="A36" s="116">
        <v>13302052</v>
      </c>
      <c r="B36" s="47">
        <v>0</v>
      </c>
      <c r="C36" s="47">
        <v>140</v>
      </c>
      <c r="D36" s="47">
        <v>100</v>
      </c>
      <c r="E36" s="47" t="s">
        <v>269</v>
      </c>
      <c r="F36" s="47" t="s">
        <v>53</v>
      </c>
      <c r="G36" s="47" t="s">
        <v>53</v>
      </c>
      <c r="H36" s="47">
        <v>4</v>
      </c>
      <c r="I36" s="47" t="s">
        <v>53</v>
      </c>
      <c r="J36" s="48">
        <f t="shared" si="6"/>
        <v>100</v>
      </c>
    </row>
    <row r="37" spans="1:10" ht="21" customHeight="1" x14ac:dyDescent="0.15">
      <c r="A37" s="116">
        <v>13302053</v>
      </c>
      <c r="B37" s="47">
        <v>0</v>
      </c>
      <c r="C37" s="47">
        <v>50</v>
      </c>
      <c r="D37" s="47">
        <v>33</v>
      </c>
      <c r="E37" s="47" t="s">
        <v>53</v>
      </c>
      <c r="F37" s="47" t="s">
        <v>53</v>
      </c>
      <c r="G37" s="47" t="s">
        <v>53</v>
      </c>
      <c r="H37" s="47">
        <v>1</v>
      </c>
      <c r="I37" s="47" t="s">
        <v>53</v>
      </c>
      <c r="J37" s="48">
        <f t="shared" si="6"/>
        <v>33</v>
      </c>
    </row>
    <row r="38" spans="1:10" ht="21" customHeight="1" thickBot="1" x14ac:dyDescent="0.2">
      <c r="A38" s="116">
        <v>13302054</v>
      </c>
      <c r="B38" s="114">
        <v>0</v>
      </c>
      <c r="C38" s="114">
        <v>40</v>
      </c>
      <c r="D38" s="114">
        <v>100</v>
      </c>
      <c r="E38" s="114" t="s">
        <v>53</v>
      </c>
      <c r="F38" s="114" t="s">
        <v>53</v>
      </c>
      <c r="G38" s="114" t="s">
        <v>53</v>
      </c>
      <c r="H38" s="114">
        <v>2</v>
      </c>
      <c r="I38" s="114" t="s">
        <v>53</v>
      </c>
      <c r="J38" s="120">
        <f t="shared" si="6"/>
        <v>100</v>
      </c>
    </row>
    <row r="39" spans="1:10" ht="21" customHeight="1" x14ac:dyDescent="0.15">
      <c r="A39" s="116">
        <v>13302055</v>
      </c>
      <c r="B39" s="113">
        <v>1</v>
      </c>
      <c r="C39" s="113" t="s">
        <v>270</v>
      </c>
      <c r="D39" s="113">
        <v>100</v>
      </c>
      <c r="E39" s="113" t="s">
        <v>53</v>
      </c>
      <c r="F39" s="113" t="s">
        <v>53</v>
      </c>
      <c r="G39" s="113">
        <v>1</v>
      </c>
      <c r="H39" s="113" t="s">
        <v>53</v>
      </c>
      <c r="I39" s="113" t="s">
        <v>53</v>
      </c>
      <c r="J39" s="119">
        <f t="shared" si="6"/>
        <v>100</v>
      </c>
    </row>
    <row r="40" spans="1:10" ht="21" customHeight="1" x14ac:dyDescent="0.15">
      <c r="A40" s="116">
        <v>13302056</v>
      </c>
      <c r="B40" s="47">
        <v>0</v>
      </c>
      <c r="C40" s="47">
        <v>50</v>
      </c>
      <c r="D40" s="47">
        <v>25</v>
      </c>
      <c r="E40" s="47" t="s">
        <v>53</v>
      </c>
      <c r="F40" s="47" t="s">
        <v>53</v>
      </c>
      <c r="G40" s="47" t="s">
        <v>53</v>
      </c>
      <c r="H40" s="47" t="s">
        <v>53</v>
      </c>
      <c r="I40" s="47" t="s">
        <v>53</v>
      </c>
      <c r="J40" s="48">
        <f t="shared" si="6"/>
        <v>25</v>
      </c>
    </row>
    <row r="41" spans="1:10" ht="21" customHeight="1" x14ac:dyDescent="0.15">
      <c r="A41" s="116">
        <v>13302057</v>
      </c>
      <c r="B41" s="47">
        <v>0</v>
      </c>
      <c r="C41" s="47">
        <v>40</v>
      </c>
      <c r="D41" s="47">
        <v>25</v>
      </c>
      <c r="E41" s="47" t="s">
        <v>53</v>
      </c>
      <c r="F41" s="47" t="s">
        <v>53</v>
      </c>
      <c r="G41" s="47" t="s">
        <v>53</v>
      </c>
      <c r="H41" s="47" t="s">
        <v>53</v>
      </c>
      <c r="I41" s="47" t="s">
        <v>53</v>
      </c>
      <c r="J41" s="48">
        <f t="shared" ref="J41:J44" si="9">D41</f>
        <v>25</v>
      </c>
    </row>
    <row r="42" spans="1:10" ht="21" customHeight="1" x14ac:dyDescent="0.15">
      <c r="A42" s="116">
        <v>13302058</v>
      </c>
      <c r="B42" s="47">
        <v>0</v>
      </c>
      <c r="C42" s="47">
        <v>30</v>
      </c>
      <c r="D42" s="47">
        <v>25</v>
      </c>
      <c r="E42" s="47" t="s">
        <v>53</v>
      </c>
      <c r="F42" s="47" t="s">
        <v>53</v>
      </c>
      <c r="G42" s="47" t="s">
        <v>53</v>
      </c>
      <c r="H42" s="47" t="s">
        <v>53</v>
      </c>
      <c r="I42" s="47" t="s">
        <v>53</v>
      </c>
      <c r="J42" s="48">
        <f t="shared" si="9"/>
        <v>25</v>
      </c>
    </row>
    <row r="43" spans="1:10" ht="21" customHeight="1" x14ac:dyDescent="0.15">
      <c r="A43" s="116">
        <v>13302059</v>
      </c>
      <c r="B43" s="47">
        <v>0</v>
      </c>
      <c r="C43" s="47">
        <v>20</v>
      </c>
      <c r="D43" s="47">
        <v>25</v>
      </c>
      <c r="E43" s="47" t="s">
        <v>53</v>
      </c>
      <c r="F43" s="47" t="s">
        <v>53</v>
      </c>
      <c r="G43" s="47" t="s">
        <v>53</v>
      </c>
      <c r="H43" s="47" t="s">
        <v>53</v>
      </c>
      <c r="I43" s="47" t="s">
        <v>53</v>
      </c>
      <c r="J43" s="48">
        <f t="shared" si="9"/>
        <v>25</v>
      </c>
    </row>
    <row r="44" spans="1:10" ht="21" customHeight="1" x14ac:dyDescent="0.15">
      <c r="A44" s="116">
        <v>13302060</v>
      </c>
      <c r="B44" s="47">
        <v>0</v>
      </c>
      <c r="C44" s="47">
        <v>10</v>
      </c>
      <c r="D44" s="47">
        <v>100</v>
      </c>
      <c r="E44" s="47" t="s">
        <v>53</v>
      </c>
      <c r="F44" s="47" t="s">
        <v>53</v>
      </c>
      <c r="G44" s="47" t="s">
        <v>53</v>
      </c>
      <c r="H44" s="47" t="s">
        <v>53</v>
      </c>
      <c r="I44" s="47" t="s">
        <v>53</v>
      </c>
      <c r="J44" s="48">
        <f t="shared" si="9"/>
        <v>100</v>
      </c>
    </row>
    <row r="45" spans="1:10" ht="21" customHeight="1" x14ac:dyDescent="0.15">
      <c r="A45" s="116">
        <v>13302061</v>
      </c>
      <c r="B45" s="47">
        <v>0</v>
      </c>
      <c r="C45" s="47">
        <v>150</v>
      </c>
      <c r="D45" s="47">
        <v>100</v>
      </c>
      <c r="E45" s="47">
        <v>50</v>
      </c>
      <c r="F45" s="47" t="s">
        <v>53</v>
      </c>
      <c r="G45" s="47">
        <v>1</v>
      </c>
      <c r="H45" s="47">
        <v>1</v>
      </c>
      <c r="I45" s="47" t="s">
        <v>53</v>
      </c>
      <c r="J45" s="48">
        <f t="shared" ref="J45:J46" si="10">D45</f>
        <v>100</v>
      </c>
    </row>
    <row r="46" spans="1:10" ht="21" customHeight="1" x14ac:dyDescent="0.15">
      <c r="A46" s="116">
        <v>13302062</v>
      </c>
      <c r="B46" s="47">
        <v>0</v>
      </c>
      <c r="C46" s="47">
        <v>140</v>
      </c>
      <c r="D46" s="47">
        <v>100</v>
      </c>
      <c r="E46" s="47">
        <v>50</v>
      </c>
      <c r="F46" s="47" t="s">
        <v>53</v>
      </c>
      <c r="G46" s="47">
        <v>1</v>
      </c>
      <c r="H46" s="47">
        <v>1</v>
      </c>
      <c r="I46" s="47" t="s">
        <v>53</v>
      </c>
      <c r="J46" s="48">
        <f t="shared" si="10"/>
        <v>100</v>
      </c>
    </row>
  </sheetData>
  <autoFilter ref="A1:G1"/>
  <phoneticPr fontId="5"/>
  <conditionalFormatting sqref="K47:K1048576 K1">
    <cfRule type="duplicateValues" dxfId="1" priority="3"/>
  </conditionalFormatting>
  <conditionalFormatting sqref="K2:K46">
    <cfRule type="duplicateValues" dxfId="0" priority="2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70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56">
        <v>13302</v>
      </c>
      <c r="B2" s="56">
        <v>13</v>
      </c>
      <c r="C2" s="69" t="str">
        <f t="shared" ref="C2:C10" si="0">A2&amp; "_"&amp;B2</f>
        <v>13302_13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6">
        <v>1</v>
      </c>
      <c r="F2" s="56" t="s">
        <v>253</v>
      </c>
      <c r="G2" s="56">
        <v>122</v>
      </c>
      <c r="H2" s="56">
        <v>1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20</v>
      </c>
      <c r="Q2" s="56" t="s">
        <v>167</v>
      </c>
      <c r="R2" s="56" t="s">
        <v>168</v>
      </c>
    </row>
    <row r="3" spans="1:18" x14ac:dyDescent="0.15">
      <c r="A3" s="56">
        <v>13302</v>
      </c>
      <c r="B3" s="56">
        <v>13</v>
      </c>
      <c r="C3" s="69" t="str">
        <f t="shared" si="0"/>
        <v>13302_13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6">
        <v>2</v>
      </c>
      <c r="F3" s="56" t="s">
        <v>253</v>
      </c>
      <c r="G3" s="56">
        <v>608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130</v>
      </c>
      <c r="Q3" s="56" t="s">
        <v>167</v>
      </c>
      <c r="R3" s="56" t="s">
        <v>168</v>
      </c>
    </row>
    <row r="4" spans="1:18" x14ac:dyDescent="0.15">
      <c r="A4" s="56">
        <v>13302</v>
      </c>
      <c r="B4" s="56">
        <v>13</v>
      </c>
      <c r="C4" s="69" t="str">
        <f t="shared" si="0"/>
        <v>13302_13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6">
        <v>3</v>
      </c>
      <c r="F4" s="56" t="s">
        <v>253</v>
      </c>
      <c r="G4" s="56">
        <v>612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80</v>
      </c>
      <c r="Q4" s="56" t="s">
        <v>167</v>
      </c>
      <c r="R4" s="56" t="s">
        <v>168</v>
      </c>
    </row>
    <row r="5" spans="1:18" x14ac:dyDescent="0.15">
      <c r="A5" s="56">
        <v>13302</v>
      </c>
      <c r="B5" s="56">
        <v>13</v>
      </c>
      <c r="C5" s="69" t="str">
        <f t="shared" si="0"/>
        <v>13302_13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6">
        <v>4</v>
      </c>
      <c r="F5" s="56" t="s">
        <v>253</v>
      </c>
      <c r="G5" s="56">
        <v>125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40</v>
      </c>
      <c r="Q5" s="56" t="s">
        <v>167</v>
      </c>
      <c r="R5" s="56" t="s">
        <v>168</v>
      </c>
    </row>
    <row r="6" spans="1:18" x14ac:dyDescent="0.15">
      <c r="A6" s="56">
        <v>13302</v>
      </c>
      <c r="B6" s="56">
        <v>13</v>
      </c>
      <c r="C6" s="69" t="str">
        <f t="shared" si="0"/>
        <v>13302_13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6">
        <v>5</v>
      </c>
      <c r="F6" s="56" t="s">
        <v>253</v>
      </c>
      <c r="G6" s="56">
        <v>610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30</v>
      </c>
      <c r="Q6" s="56" t="s">
        <v>167</v>
      </c>
      <c r="R6" s="56" t="s">
        <v>168</v>
      </c>
    </row>
    <row r="7" spans="1:18" x14ac:dyDescent="0.15">
      <c r="A7" s="56">
        <v>13302</v>
      </c>
      <c r="B7" s="56">
        <v>13</v>
      </c>
      <c r="C7" s="69" t="str">
        <f t="shared" si="0"/>
        <v>13302_13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6">
        <v>6</v>
      </c>
      <c r="F7" s="56" t="s">
        <v>253</v>
      </c>
      <c r="G7" s="56">
        <v>338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20</v>
      </c>
      <c r="Q7" s="56" t="s">
        <v>167</v>
      </c>
      <c r="R7" s="56" t="s">
        <v>168</v>
      </c>
    </row>
    <row r="8" spans="1:18" x14ac:dyDescent="0.15">
      <c r="A8" s="56">
        <v>13302</v>
      </c>
      <c r="B8" s="56">
        <v>13</v>
      </c>
      <c r="C8" s="69" t="str">
        <f t="shared" si="0"/>
        <v>13302_13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6">
        <v>7</v>
      </c>
      <c r="F8" s="56" t="s">
        <v>253</v>
      </c>
      <c r="G8" s="56">
        <v>339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250</v>
      </c>
      <c r="Q8" s="56" t="s">
        <v>167</v>
      </c>
      <c r="R8" s="56" t="s">
        <v>168</v>
      </c>
    </row>
    <row r="9" spans="1:18" x14ac:dyDescent="0.15">
      <c r="A9" s="56">
        <v>13302</v>
      </c>
      <c r="B9" s="56">
        <v>13</v>
      </c>
      <c r="C9" s="69" t="str">
        <f t="shared" si="0"/>
        <v>13302_13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6">
        <v>8</v>
      </c>
      <c r="F9" s="56" t="s">
        <v>254</v>
      </c>
      <c r="G9" s="56">
        <v>500</v>
      </c>
      <c r="H9" s="56" t="s">
        <v>53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380</v>
      </c>
      <c r="Q9" s="56" t="s">
        <v>167</v>
      </c>
      <c r="R9" s="56" t="s">
        <v>168</v>
      </c>
    </row>
    <row r="10" spans="1:18" x14ac:dyDescent="0.15">
      <c r="A10" s="56">
        <v>13302</v>
      </c>
      <c r="B10" s="56">
        <v>13</v>
      </c>
      <c r="C10" s="69" t="str">
        <f t="shared" si="0"/>
        <v>13302_13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6">
        <v>9</v>
      </c>
      <c r="F10" s="56" t="s">
        <v>253</v>
      </c>
      <c r="G10" s="56">
        <v>837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50</v>
      </c>
      <c r="Q10" s="56" t="s">
        <v>167</v>
      </c>
      <c r="R10" s="56" t="s">
        <v>168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186</v>
      </c>
      <c r="B1" s="71" t="s">
        <v>187</v>
      </c>
      <c r="C1" s="75" t="s">
        <v>188</v>
      </c>
      <c r="D1" s="75" t="s">
        <v>33</v>
      </c>
      <c r="E1" s="71" t="s">
        <v>189</v>
      </c>
      <c r="F1" s="75" t="s">
        <v>190</v>
      </c>
      <c r="G1" s="75" t="s">
        <v>33</v>
      </c>
      <c r="H1" s="71" t="s">
        <v>191</v>
      </c>
      <c r="I1" s="89" t="s">
        <v>193</v>
      </c>
      <c r="J1" s="77" t="s">
        <v>125</v>
      </c>
      <c r="K1" s="76" t="s">
        <v>184</v>
      </c>
      <c r="L1" s="90" t="s">
        <v>183</v>
      </c>
      <c r="M1" s="78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0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186</v>
      </c>
      <c r="B1" s="71" t="s">
        <v>149</v>
      </c>
      <c r="C1" s="75" t="s">
        <v>188</v>
      </c>
      <c r="D1" s="75" t="s">
        <v>33</v>
      </c>
      <c r="E1" s="71" t="s">
        <v>189</v>
      </c>
      <c r="F1" s="75" t="s">
        <v>18</v>
      </c>
      <c r="G1" s="75" t="s">
        <v>33</v>
      </c>
      <c r="H1" s="71" t="s">
        <v>191</v>
      </c>
      <c r="I1" s="87" t="s">
        <v>192</v>
      </c>
      <c r="J1" s="89" t="s">
        <v>193</v>
      </c>
      <c r="K1" s="77" t="s">
        <v>125</v>
      </c>
      <c r="L1" s="76" t="s">
        <v>184</v>
      </c>
      <c r="M1" s="90" t="s">
        <v>183</v>
      </c>
      <c r="N1" s="78" t="s">
        <v>194</v>
      </c>
    </row>
    <row r="2" spans="1:14" ht="42" x14ac:dyDescent="0.15">
      <c r="A2" s="79" t="s">
        <v>195</v>
      </c>
      <c r="B2" s="80">
        <v>13302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13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13階 コスト制限なし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>
        <v>1</v>
      </c>
      <c r="I2" s="88">
        <f t="shared" ref="I2:I10" si="0">ROW()-1</f>
        <v>1</v>
      </c>
      <c r="J2" s="84">
        <v>13302010</v>
      </c>
      <c r="K2" s="82" t="s">
        <v>196</v>
      </c>
      <c r="L2" s="85" t="s">
        <v>197</v>
      </c>
      <c r="M2" s="135" t="s">
        <v>379</v>
      </c>
      <c r="N2" s="56" t="s">
        <v>198</v>
      </c>
    </row>
    <row r="3" spans="1:14" ht="42" x14ac:dyDescent="0.15">
      <c r="A3" s="79" t="s">
        <v>195</v>
      </c>
      <c r="B3" s="80">
        <v>13302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13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13階 コスト制限なし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>
        <v>1</v>
      </c>
      <c r="I3" s="88">
        <f t="shared" si="0"/>
        <v>2</v>
      </c>
      <c r="J3" s="84">
        <v>13302011</v>
      </c>
      <c r="K3" s="82" t="s">
        <v>196</v>
      </c>
      <c r="L3" s="85" t="s">
        <v>197</v>
      </c>
      <c r="M3" s="135" t="s">
        <v>380</v>
      </c>
      <c r="N3" s="56" t="s">
        <v>198</v>
      </c>
    </row>
    <row r="4" spans="1:14" ht="28" x14ac:dyDescent="0.15">
      <c r="A4" s="79" t="s">
        <v>195</v>
      </c>
      <c r="B4" s="80">
        <v>13302</v>
      </c>
      <c r="C4" s="81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1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2">
        <v>13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13階 コスト制限なし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3">
        <v>1</v>
      </c>
      <c r="I4" s="88">
        <f t="shared" si="0"/>
        <v>3</v>
      </c>
      <c r="J4" s="84">
        <v>13302012</v>
      </c>
      <c r="K4" s="82" t="s">
        <v>196</v>
      </c>
      <c r="L4" s="85" t="s">
        <v>197</v>
      </c>
      <c r="M4" s="135" t="s">
        <v>385</v>
      </c>
      <c r="N4" s="56" t="s">
        <v>198</v>
      </c>
    </row>
    <row r="5" spans="1:14" ht="28" x14ac:dyDescent="0.15">
      <c r="A5" s="79" t="s">
        <v>195</v>
      </c>
      <c r="B5" s="80">
        <v>13302</v>
      </c>
      <c r="C5" s="81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1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2">
        <v>13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13階 コスト制限なし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3">
        <v>2</v>
      </c>
      <c r="I5" s="88">
        <f t="shared" si="0"/>
        <v>4</v>
      </c>
      <c r="J5" s="84">
        <v>13302013</v>
      </c>
      <c r="K5" s="82" t="s">
        <v>196</v>
      </c>
      <c r="L5" s="85" t="s">
        <v>197</v>
      </c>
      <c r="M5" s="135" t="s">
        <v>386</v>
      </c>
      <c r="N5" s="56" t="s">
        <v>198</v>
      </c>
    </row>
    <row r="6" spans="1:14" ht="56" x14ac:dyDescent="0.15">
      <c r="A6" s="79" t="s">
        <v>195</v>
      </c>
      <c r="B6" s="80">
        <v>13302</v>
      </c>
      <c r="C6" s="81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1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2">
        <v>13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13階 コスト制限なし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3">
        <v>2</v>
      </c>
      <c r="I6" s="88">
        <f t="shared" si="0"/>
        <v>5</v>
      </c>
      <c r="J6" s="84">
        <v>13302014</v>
      </c>
      <c r="K6" s="82" t="s">
        <v>196</v>
      </c>
      <c r="L6" s="85" t="s">
        <v>197</v>
      </c>
      <c r="M6" s="135" t="s">
        <v>387</v>
      </c>
      <c r="N6" s="56" t="s">
        <v>198</v>
      </c>
    </row>
    <row r="7" spans="1:14" ht="70" x14ac:dyDescent="0.15">
      <c r="A7" s="79" t="s">
        <v>195</v>
      </c>
      <c r="B7" s="80">
        <v>13302</v>
      </c>
      <c r="C7" s="81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1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2">
        <v>13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13階 コスト制限なし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3">
        <v>3</v>
      </c>
      <c r="I7" s="88">
        <f t="shared" si="0"/>
        <v>6</v>
      </c>
      <c r="J7" s="84">
        <v>13302015</v>
      </c>
      <c r="K7" s="82" t="s">
        <v>196</v>
      </c>
      <c r="L7" s="85" t="s">
        <v>197</v>
      </c>
      <c r="M7" s="135" t="s">
        <v>381</v>
      </c>
      <c r="N7" s="56" t="s">
        <v>198</v>
      </c>
    </row>
    <row r="8" spans="1:14" ht="28" x14ac:dyDescent="0.15">
      <c r="A8" s="79" t="s">
        <v>195</v>
      </c>
      <c r="B8" s="80">
        <v>13302</v>
      </c>
      <c r="C8" s="81" t="str">
        <f ca="1">VLOOKUP($B8,OFFSET([2]quests!$A$1,0,0,COUNTA([2]quests!$A:$A),MATCH(C$1,[2]quests!$1:$1,0)-MATCH($B$1,[2]quests!$1:$1,0)+1),MATCH(C$1,[2]quests!$1:$1,0)-MATCH($B$1,[2]quests!$1:$1,0)+1,FALSE)</f>
        <v>タワーオブザクイーン -アヴァルシア-</v>
      </c>
      <c r="D8" s="81" t="str">
        <f ca="1">VLOOKUP($B8,OFFSET([2]quests!$A$1,0,0,COUNTA([2]quests!$A:$A),MATCH(D$1,[2]quests!$1:$1,0)-MATCH($B$1,[2]quests!$1:$1,0)+1),MATCH(D$1,[2]quests!$1:$1,0)-MATCH($B$1,[2]quests!$1:$1,0)+1,FALSE)</f>
        <v>タワーオブザクイーン1本目</v>
      </c>
      <c r="E8" s="82">
        <v>13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13階 コスト制限なし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タワーオブザクイーン1本目</v>
      </c>
      <c r="H8" s="83">
        <v>3</v>
      </c>
      <c r="I8" s="88">
        <f t="shared" si="0"/>
        <v>7</v>
      </c>
      <c r="J8" s="84">
        <v>13302016</v>
      </c>
      <c r="K8" s="82" t="s">
        <v>196</v>
      </c>
      <c r="L8" s="85" t="s">
        <v>197</v>
      </c>
      <c r="M8" s="135" t="s">
        <v>384</v>
      </c>
      <c r="N8" s="56" t="s">
        <v>198</v>
      </c>
    </row>
    <row r="9" spans="1:14" ht="28" x14ac:dyDescent="0.15">
      <c r="A9" s="79" t="s">
        <v>195</v>
      </c>
      <c r="B9" s="80">
        <v>13302</v>
      </c>
      <c r="C9" s="81" t="str">
        <f ca="1">VLOOKUP($B9,OFFSET([2]quests!$A$1,0,0,COUNTA([2]quests!$A:$A),MATCH(C$1,[2]quests!$1:$1,0)-MATCH($B$1,[2]quests!$1:$1,0)+1),MATCH(C$1,[2]quests!$1:$1,0)-MATCH($B$1,[2]quests!$1:$1,0)+1,FALSE)</f>
        <v>タワーオブザクイーン -アヴァルシア-</v>
      </c>
      <c r="D9" s="81" t="str">
        <f ca="1">VLOOKUP($B9,OFFSET([2]quests!$A$1,0,0,COUNTA([2]quests!$A:$A),MATCH(D$1,[2]quests!$1:$1,0)-MATCH($B$1,[2]quests!$1:$1,0)+1),MATCH(D$1,[2]quests!$1:$1,0)-MATCH($B$1,[2]quests!$1:$1,0)+1,FALSE)</f>
        <v>タワーオブザクイーン1本目</v>
      </c>
      <c r="E9" s="82">
        <v>13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13階 コスト制限なし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タワーオブザクイーン1本目</v>
      </c>
      <c r="H9" s="83">
        <v>4</v>
      </c>
      <c r="I9" s="88">
        <f t="shared" si="0"/>
        <v>8</v>
      </c>
      <c r="J9" s="84">
        <v>13302017</v>
      </c>
      <c r="K9" s="82" t="s">
        <v>196</v>
      </c>
      <c r="L9" s="85" t="s">
        <v>197</v>
      </c>
      <c r="M9" s="135" t="s">
        <v>382</v>
      </c>
      <c r="N9" s="56" t="s">
        <v>198</v>
      </c>
    </row>
    <row r="10" spans="1:14" ht="70" x14ac:dyDescent="0.15">
      <c r="A10" s="79" t="s">
        <v>195</v>
      </c>
      <c r="B10" s="80">
        <v>13302</v>
      </c>
      <c r="C10" s="81" t="str">
        <f ca="1">VLOOKUP($B10,OFFSET([2]quests!$A$1,0,0,COUNTA([2]quests!$A:$A),MATCH(C$1,[2]quests!$1:$1,0)-MATCH($B$1,[2]quests!$1:$1,0)+1),MATCH(C$1,[2]quests!$1:$1,0)-MATCH($B$1,[2]quests!$1:$1,0)+1,FALSE)</f>
        <v>タワーオブザクイーン -アヴァルシア-</v>
      </c>
      <c r="D10" s="81" t="str">
        <f ca="1">VLOOKUP($B10,OFFSET([2]quests!$A$1,0,0,COUNTA([2]quests!$A:$A),MATCH(D$1,[2]quests!$1:$1,0)-MATCH($B$1,[2]quests!$1:$1,0)+1),MATCH(D$1,[2]quests!$1:$1,0)-MATCH($B$1,[2]quests!$1:$1,0)+1,FALSE)</f>
        <v>タワーオブザクイーン1本目</v>
      </c>
      <c r="E10" s="82">
        <v>13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13階 コスト制限なし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タワーオブザクイーン1本目</v>
      </c>
      <c r="H10" s="83">
        <v>4</v>
      </c>
      <c r="I10" s="88">
        <f t="shared" si="0"/>
        <v>9</v>
      </c>
      <c r="J10" s="84">
        <v>13302018</v>
      </c>
      <c r="K10" s="82" t="s">
        <v>196</v>
      </c>
      <c r="L10" s="85" t="s">
        <v>197</v>
      </c>
      <c r="M10" s="135" t="s">
        <v>383</v>
      </c>
      <c r="N10" s="56" t="s">
        <v>198</v>
      </c>
    </row>
  </sheetData>
  <phoneticPr fontId="5"/>
  <dataValidations count="1">
    <dataValidation type="list" allowBlank="1" showInputMessage="1" showErrorMessage="1" sqref="A2:A1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210</v>
      </c>
      <c r="B1" s="93" t="s">
        <v>211</v>
      </c>
      <c r="C1" s="75" t="s">
        <v>212</v>
      </c>
      <c r="D1" s="75" t="s">
        <v>33</v>
      </c>
      <c r="E1" s="93" t="s">
        <v>213</v>
      </c>
      <c r="F1" s="75" t="s">
        <v>214</v>
      </c>
      <c r="G1" s="75" t="s">
        <v>33</v>
      </c>
      <c r="H1" s="93" t="s">
        <v>215</v>
      </c>
      <c r="I1" s="93" t="s">
        <v>216</v>
      </c>
      <c r="J1" s="93" t="s">
        <v>217</v>
      </c>
      <c r="K1" s="71" t="s">
        <v>218</v>
      </c>
      <c r="L1" s="71" t="s">
        <v>219</v>
      </c>
      <c r="M1" s="71" t="s">
        <v>155</v>
      </c>
      <c r="N1" s="75" t="s">
        <v>16</v>
      </c>
      <c r="O1" s="71" t="s">
        <v>220</v>
      </c>
      <c r="P1" s="71" t="s">
        <v>57</v>
      </c>
      <c r="Q1" s="71" t="s">
        <v>221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222</v>
      </c>
      <c r="X1" s="71" t="s">
        <v>223</v>
      </c>
    </row>
    <row r="2" spans="1:24" x14ac:dyDescent="0.15">
      <c r="A2" s="94" t="str">
        <f>B2&amp;"_"&amp;E2&amp;"_"&amp;H2&amp;"_"&amp;I2&amp;"_"&amp;J2</f>
        <v>13302_13_singleonly_clear_1</v>
      </c>
      <c r="B2" s="80">
        <v>13302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13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13階 コスト制限なし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 t="s">
        <v>252</v>
      </c>
      <c r="I2" s="82" t="s">
        <v>224</v>
      </c>
      <c r="J2" s="82">
        <v>1</v>
      </c>
      <c r="K2" s="82">
        <v>450</v>
      </c>
      <c r="L2" s="82" t="s">
        <v>250</v>
      </c>
      <c r="M2" s="82">
        <v>25000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2" t="s">
        <v>251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225</v>
      </c>
      <c r="X2" s="97" t="s">
        <v>226</v>
      </c>
    </row>
    <row r="3" spans="1:24" x14ac:dyDescent="0.15">
      <c r="A3" s="94" t="str">
        <f>B3&amp;"_"&amp;E3&amp;"_"&amp;H3&amp;"_"&amp;I3&amp;"_"&amp;J3</f>
        <v>13302_13_singleonly_clear_2</v>
      </c>
      <c r="B3" s="80">
        <v>13302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13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13階 コスト制限なし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 t="s">
        <v>252</v>
      </c>
      <c r="I3" s="82" t="s">
        <v>224</v>
      </c>
      <c r="J3" s="82">
        <v>2</v>
      </c>
      <c r="K3" s="82">
        <v>550</v>
      </c>
      <c r="L3" s="82" t="s">
        <v>250</v>
      </c>
      <c r="M3" s="82">
        <v>61000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2" t="s">
        <v>251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6" t="s">
        <v>225</v>
      </c>
      <c r="X3" s="97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2016-12-02T12:24:31Z</dcterms:modified>
</cp:coreProperties>
</file>