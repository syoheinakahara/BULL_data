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7"/>
  </bookViews>
  <sheets>
    <sheet name="確率の考え方" sheetId="110" r:id="rId1"/>
    <sheet name="Sheet1" sheetId="107" r:id="rId2"/>
    <sheet name="output" sheetId="103" r:id="rId3"/>
    <sheet name="input_453010" sheetId="157" r:id="rId4"/>
    <sheet name="tables_453010" sheetId="158" r:id="rId5"/>
    <sheet name="input_453100" sheetId="153" r:id="rId6"/>
    <sheet name="tables_453100" sheetId="154" r:id="rId7"/>
    <sheet name="tables_settle_453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tables_453010!$A$1:$V$294</definedName>
    <definedName name="_xlnm._FilterDatabase" localSheetId="6" hidden="1">tables_453100!$A$1:$V$294</definedName>
    <definedName name="_xlnm._FilterDatabase" localSheetId="7" hidden="1">tables_settle_453100!$A$1:$V$1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154" l="1"/>
  <c r="Q4" i="154"/>
  <c r="Q5" i="154"/>
  <c r="Q6" i="154"/>
  <c r="Q7" i="154"/>
  <c r="Q8" i="154"/>
  <c r="Q9" i="154"/>
  <c r="Q10" i="154"/>
  <c r="Q11" i="154"/>
  <c r="Q12" i="154"/>
  <c r="Q13" i="154"/>
  <c r="Q14" i="154"/>
  <c r="Q15" i="154"/>
  <c r="Q16" i="154"/>
  <c r="Q17" i="154"/>
  <c r="Q18" i="154"/>
  <c r="Q19" i="154"/>
  <c r="Q20" i="154"/>
  <c r="Q21" i="154"/>
  <c r="Q22" i="154"/>
  <c r="Q23" i="154"/>
  <c r="Q24" i="154"/>
  <c r="Q25" i="154"/>
  <c r="Q26" i="154"/>
  <c r="Q27" i="154"/>
  <c r="Q28" i="154"/>
  <c r="Q29" i="154"/>
  <c r="Q30" i="154"/>
  <c r="Q31" i="154"/>
  <c r="Q32" i="154"/>
  <c r="Q33" i="154"/>
  <c r="Q34" i="154"/>
  <c r="Q35" i="154"/>
  <c r="Q36" i="154"/>
  <c r="Q37" i="154"/>
  <c r="Q38" i="154"/>
  <c r="Q39" i="154"/>
  <c r="Q40" i="154"/>
  <c r="Q41" i="154"/>
  <c r="Q42" i="154"/>
  <c r="Q43" i="154"/>
  <c r="Q44" i="154"/>
  <c r="Q45" i="154"/>
  <c r="Q46" i="154"/>
  <c r="Q47" i="154"/>
  <c r="Q48" i="154"/>
  <c r="Q49" i="154"/>
  <c r="Q50" i="154"/>
  <c r="Q51" i="154"/>
  <c r="Q52" i="154"/>
  <c r="Q53" i="154"/>
  <c r="Q54" i="154"/>
  <c r="Q55" i="154"/>
  <c r="Q56" i="154"/>
  <c r="Q57" i="154"/>
  <c r="Q58" i="154"/>
  <c r="Q59" i="154"/>
  <c r="Q60" i="154"/>
  <c r="Q61" i="154"/>
  <c r="Q62" i="154"/>
  <c r="Q63" i="154"/>
  <c r="Q64" i="154"/>
  <c r="Q65" i="154"/>
  <c r="Q66" i="154"/>
  <c r="Q67" i="154"/>
  <c r="Q68" i="154"/>
  <c r="Q69" i="154"/>
  <c r="Q70" i="154"/>
  <c r="Q71" i="154"/>
  <c r="Q72" i="154"/>
  <c r="Q73" i="154"/>
  <c r="Q74" i="154"/>
  <c r="Q75" i="154"/>
  <c r="Q76" i="154"/>
  <c r="Q77" i="154"/>
  <c r="Q78" i="154"/>
  <c r="Q79" i="154"/>
  <c r="Q80" i="154"/>
  <c r="Q81" i="154"/>
  <c r="Q82" i="154"/>
  <c r="Q83" i="154"/>
  <c r="Q84" i="154"/>
  <c r="Q85" i="154"/>
  <c r="Q86" i="154"/>
  <c r="Q87" i="154"/>
  <c r="Q88" i="154"/>
  <c r="Q89" i="154"/>
  <c r="Q90" i="154"/>
  <c r="Q91" i="154"/>
  <c r="Q92" i="154"/>
  <c r="Q93" i="154"/>
  <c r="Q94" i="154"/>
  <c r="Q95" i="154"/>
  <c r="Q96" i="154"/>
  <c r="Q97" i="154"/>
  <c r="Q98" i="154"/>
  <c r="Q99" i="154"/>
  <c r="Q100" i="154"/>
  <c r="Q101" i="154"/>
  <c r="Q102" i="154"/>
  <c r="Q103" i="154"/>
  <c r="Q104" i="154"/>
  <c r="Q105" i="154"/>
  <c r="Q106" i="154"/>
  <c r="Q107" i="154"/>
  <c r="Q108" i="154"/>
  <c r="Q109" i="154"/>
  <c r="Q110" i="154"/>
  <c r="Q111" i="154"/>
  <c r="Q112" i="154"/>
  <c r="Q113" i="154"/>
  <c r="Q114" i="154"/>
  <c r="Q115" i="154"/>
  <c r="Q116" i="154"/>
  <c r="Q117" i="154"/>
  <c r="Q118" i="154"/>
  <c r="Q119" i="154"/>
  <c r="Q120" i="154"/>
  <c r="Q121" i="154"/>
  <c r="Q122" i="154"/>
  <c r="Q123" i="154"/>
  <c r="Q124" i="154"/>
  <c r="Q125" i="154"/>
  <c r="Q126" i="154"/>
  <c r="Q127" i="154"/>
  <c r="Q128" i="154"/>
  <c r="Q129" i="154"/>
  <c r="Q130" i="154"/>
  <c r="Q131" i="154"/>
  <c r="Q132" i="154"/>
  <c r="Q133" i="154"/>
  <c r="Q134" i="154"/>
  <c r="Q135" i="154"/>
  <c r="Q136" i="154"/>
  <c r="Q137" i="154"/>
  <c r="Q138" i="154"/>
  <c r="Q139" i="154"/>
  <c r="Q140" i="154"/>
  <c r="Q141" i="154"/>
  <c r="Q142" i="154"/>
  <c r="Q143" i="154"/>
  <c r="Q144" i="154"/>
  <c r="Q145" i="154"/>
  <c r="Q146" i="154"/>
  <c r="Q147" i="154"/>
  <c r="Q148" i="154"/>
  <c r="Q149" i="154"/>
  <c r="Q150" i="154"/>
  <c r="Q151" i="154"/>
  <c r="Q152" i="154"/>
  <c r="Q153" i="154"/>
  <c r="Q154" i="154"/>
  <c r="Q155" i="154"/>
  <c r="Q156" i="154"/>
  <c r="Q157" i="154"/>
  <c r="Q158" i="154"/>
  <c r="Q159" i="154"/>
  <c r="Q160" i="154"/>
  <c r="Q161" i="154"/>
  <c r="Q162" i="154"/>
  <c r="Q163" i="154"/>
  <c r="Q164" i="154"/>
  <c r="Q165" i="154"/>
  <c r="Q166" i="154"/>
  <c r="Q167" i="154"/>
  <c r="Q168" i="154"/>
  <c r="Q169" i="154"/>
  <c r="Q170" i="154"/>
  <c r="Q171" i="154"/>
  <c r="Q172" i="154"/>
  <c r="Q173" i="154"/>
  <c r="Q174" i="154"/>
  <c r="Q175" i="154"/>
  <c r="Q176" i="154"/>
  <c r="Q177" i="154"/>
  <c r="Q178" i="154"/>
  <c r="Q179" i="154"/>
  <c r="Q180" i="154"/>
  <c r="Q181" i="154"/>
  <c r="Q182" i="154"/>
  <c r="Q183" i="154"/>
  <c r="Q184" i="154"/>
  <c r="Q185" i="154"/>
  <c r="Q186" i="154"/>
  <c r="Q187" i="154"/>
  <c r="Q188" i="154"/>
  <c r="Q189" i="154"/>
  <c r="Q190" i="154"/>
  <c r="Q191" i="154"/>
  <c r="Q192" i="154"/>
  <c r="Q193" i="154"/>
  <c r="Q194" i="154"/>
  <c r="Q195" i="154"/>
  <c r="Q196" i="154"/>
  <c r="Q197" i="154"/>
  <c r="Q198" i="154"/>
  <c r="Q199" i="154"/>
  <c r="Q200" i="154"/>
  <c r="Q201" i="154"/>
  <c r="Q202" i="154"/>
  <c r="Q203" i="154"/>
  <c r="Q204" i="154"/>
  <c r="Q205" i="154"/>
  <c r="Q206" i="154"/>
  <c r="Q207" i="154"/>
  <c r="Q208" i="154"/>
  <c r="Q209" i="154"/>
  <c r="Q210" i="154"/>
  <c r="Q211" i="154"/>
  <c r="Q212" i="154"/>
  <c r="Q213" i="154"/>
  <c r="Q214" i="154"/>
  <c r="Q215" i="154"/>
  <c r="Q216" i="154"/>
  <c r="Q217" i="154"/>
  <c r="Q218" i="154"/>
  <c r="Q219" i="154"/>
  <c r="Q220" i="154"/>
  <c r="Q221" i="154"/>
  <c r="Q222" i="154"/>
  <c r="Q223" i="154"/>
  <c r="Q224" i="154"/>
  <c r="Q225" i="154"/>
  <c r="Q226" i="154"/>
  <c r="Q227" i="154"/>
  <c r="Q228" i="154"/>
  <c r="Q229" i="154"/>
  <c r="Q230" i="154"/>
  <c r="Q231" i="154"/>
  <c r="Q232" i="154"/>
  <c r="Q233" i="154"/>
  <c r="Q234" i="154"/>
  <c r="Q235" i="154"/>
  <c r="Q236" i="154"/>
  <c r="Q237" i="154"/>
  <c r="Q238" i="154"/>
  <c r="Q239" i="154"/>
  <c r="Q240" i="154"/>
  <c r="Q241" i="154"/>
  <c r="Q242" i="154"/>
  <c r="Q243" i="154"/>
  <c r="Q244" i="154"/>
  <c r="Q245" i="154"/>
  <c r="Q246" i="154"/>
  <c r="Q247" i="154"/>
  <c r="Q248" i="154"/>
  <c r="Q249" i="154"/>
  <c r="Q250" i="154"/>
  <c r="Q251" i="154"/>
  <c r="Q252" i="154"/>
  <c r="Q253" i="154"/>
  <c r="Q254" i="154"/>
  <c r="Q255" i="154"/>
  <c r="Q256" i="154"/>
  <c r="Q257" i="154"/>
  <c r="Q258" i="154"/>
  <c r="Q259" i="154"/>
  <c r="Q260" i="154"/>
  <c r="Q261" i="154"/>
  <c r="Q262" i="154"/>
  <c r="Q263" i="154"/>
  <c r="Q264" i="154"/>
  <c r="Q265" i="154"/>
  <c r="Q266" i="154"/>
  <c r="Q267" i="154"/>
  <c r="Q268" i="154"/>
  <c r="Q269" i="154"/>
  <c r="Q270" i="154"/>
  <c r="Q271" i="154"/>
  <c r="Q272" i="154"/>
  <c r="Q273" i="154"/>
  <c r="Q274" i="154"/>
  <c r="Q275" i="154"/>
  <c r="Q276" i="154"/>
  <c r="Q277" i="154"/>
  <c r="Q278" i="154"/>
  <c r="Q279" i="154"/>
  <c r="Q280" i="154"/>
  <c r="Q281" i="154"/>
  <c r="Q282" i="154"/>
  <c r="Q283" i="154"/>
  <c r="Q284" i="154"/>
  <c r="Q285" i="154"/>
  <c r="Q286" i="154"/>
  <c r="Q287" i="154"/>
  <c r="Q288" i="154"/>
  <c r="Q289" i="154"/>
  <c r="Q290" i="154"/>
  <c r="Q291" i="154"/>
  <c r="Q292" i="154"/>
  <c r="Q293" i="154"/>
  <c r="Q294" i="154"/>
  <c r="Q295" i="154"/>
  <c r="Q296" i="154"/>
  <c r="Q297" i="154"/>
  <c r="Q298" i="154"/>
  <c r="Q299" i="154"/>
  <c r="Q300" i="154"/>
  <c r="Q301" i="154"/>
  <c r="Q302" i="154"/>
  <c r="Q303" i="154"/>
  <c r="Q304" i="154"/>
  <c r="Q305" i="154"/>
  <c r="Q306" i="154"/>
  <c r="Q307" i="154"/>
  <c r="Q308" i="154"/>
  <c r="Q309" i="154"/>
  <c r="Q310" i="154"/>
  <c r="Q311" i="154"/>
  <c r="Q312" i="154"/>
  <c r="Q313" i="154"/>
  <c r="Q314" i="154"/>
  <c r="Q315" i="154"/>
  <c r="Q316" i="154"/>
  <c r="Q317" i="154"/>
  <c r="Q318" i="154"/>
  <c r="Q319" i="154"/>
  <c r="Q320" i="154"/>
  <c r="Q321" i="154"/>
  <c r="Q322" i="154"/>
  <c r="Q323" i="154"/>
  <c r="Q324" i="154"/>
  <c r="Q325" i="154"/>
  <c r="Q326" i="154"/>
  <c r="Q327" i="154"/>
  <c r="Q328" i="154"/>
  <c r="Q329" i="154"/>
  <c r="Q330" i="154"/>
  <c r="Q331" i="154"/>
  <c r="Q332" i="154"/>
  <c r="Q333" i="154"/>
  <c r="Q334" i="154"/>
  <c r="Q335" i="154"/>
  <c r="Q2" i="154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Q21" i="158"/>
  <c r="Q22" i="158"/>
  <c r="Q23" i="158"/>
  <c r="Q24" i="158"/>
  <c r="Q25" i="158"/>
  <c r="Q26" i="158"/>
  <c r="Q27" i="158"/>
  <c r="Q28" i="158"/>
  <c r="Q29" i="158"/>
  <c r="Q30" i="158"/>
  <c r="Q31" i="158"/>
  <c r="Q32" i="158"/>
  <c r="Q33" i="158"/>
  <c r="Q34" i="158"/>
  <c r="Q35" i="158"/>
  <c r="Q36" i="158"/>
  <c r="Q37" i="158"/>
  <c r="Q38" i="158"/>
  <c r="Q39" i="158"/>
  <c r="Q40" i="158"/>
  <c r="Q41" i="158"/>
  <c r="Q42" i="158"/>
  <c r="Q43" i="158"/>
  <c r="Q44" i="158"/>
  <c r="Q45" i="158"/>
  <c r="Q46" i="158"/>
  <c r="Q47" i="158"/>
  <c r="Q48" i="158"/>
  <c r="Q49" i="158"/>
  <c r="Q50" i="158"/>
  <c r="Q51" i="158"/>
  <c r="Q52" i="158"/>
  <c r="Q53" i="158"/>
  <c r="Q54" i="158"/>
  <c r="Q55" i="158"/>
  <c r="Q56" i="158"/>
  <c r="Q57" i="158"/>
  <c r="Q58" i="158"/>
  <c r="Q59" i="158"/>
  <c r="Q60" i="158"/>
  <c r="Q61" i="158"/>
  <c r="Q62" i="158"/>
  <c r="Q63" i="158"/>
  <c r="Q64" i="158"/>
  <c r="Q65" i="158"/>
  <c r="Q66" i="158"/>
  <c r="Q67" i="158"/>
  <c r="Q68" i="158"/>
  <c r="Q69" i="158"/>
  <c r="Q70" i="158"/>
  <c r="Q71" i="158"/>
  <c r="Q72" i="158"/>
  <c r="Q73" i="158"/>
  <c r="Q74" i="158"/>
  <c r="Q75" i="158"/>
  <c r="Q76" i="158"/>
  <c r="Q77" i="158"/>
  <c r="Q78" i="158"/>
  <c r="Q79" i="158"/>
  <c r="Q80" i="158"/>
  <c r="Q81" i="158"/>
  <c r="Q82" i="158"/>
  <c r="Q83" i="158"/>
  <c r="Q84" i="158"/>
  <c r="Q85" i="158"/>
  <c r="Q86" i="158"/>
  <c r="Q87" i="158"/>
  <c r="Q88" i="158"/>
  <c r="Q89" i="158"/>
  <c r="Q90" i="158"/>
  <c r="Q91" i="158"/>
  <c r="Q92" i="158"/>
  <c r="Q93" i="158"/>
  <c r="Q94" i="158"/>
  <c r="Q95" i="158"/>
  <c r="Q96" i="158"/>
  <c r="Q97" i="158"/>
  <c r="Q98" i="158"/>
  <c r="Q99" i="158"/>
  <c r="Q100" i="158"/>
  <c r="Q101" i="158"/>
  <c r="Q102" i="158"/>
  <c r="Q103" i="158"/>
  <c r="Q104" i="158"/>
  <c r="Q105" i="158"/>
  <c r="Q106" i="158"/>
  <c r="Q107" i="158"/>
  <c r="Q108" i="158"/>
  <c r="Q109" i="158"/>
  <c r="Q110" i="158"/>
  <c r="Q111" i="158"/>
  <c r="Q112" i="158"/>
  <c r="Q113" i="158"/>
  <c r="Q114" i="158"/>
  <c r="Q115" i="158"/>
  <c r="Q116" i="158"/>
  <c r="Q117" i="158"/>
  <c r="Q118" i="158"/>
  <c r="Q119" i="158"/>
  <c r="Q120" i="158"/>
  <c r="Q121" i="158"/>
  <c r="Q122" i="158"/>
  <c r="Q123" i="158"/>
  <c r="Q124" i="158"/>
  <c r="Q125" i="158"/>
  <c r="Q126" i="158"/>
  <c r="Q127" i="158"/>
  <c r="Q128" i="158"/>
  <c r="Q129" i="158"/>
  <c r="Q130" i="158"/>
  <c r="Q131" i="158"/>
  <c r="Q132" i="158"/>
  <c r="Q133" i="158"/>
  <c r="Q134" i="158"/>
  <c r="Q135" i="158"/>
  <c r="Q136" i="158"/>
  <c r="Q137" i="158"/>
  <c r="Q138" i="158"/>
  <c r="Q139" i="158"/>
  <c r="Q140" i="158"/>
  <c r="Q141" i="158"/>
  <c r="Q142" i="158"/>
  <c r="Q143" i="158"/>
  <c r="Q144" i="158"/>
  <c r="Q145" i="158"/>
  <c r="Q146" i="158"/>
  <c r="Q147" i="158"/>
  <c r="Q148" i="158"/>
  <c r="Q149" i="158"/>
  <c r="Q150" i="158"/>
  <c r="Q151" i="158"/>
  <c r="Q152" i="158"/>
  <c r="Q153" i="158"/>
  <c r="Q154" i="158"/>
  <c r="Q155" i="158"/>
  <c r="Q156" i="158"/>
  <c r="Q157" i="158"/>
  <c r="Q158" i="158"/>
  <c r="Q159" i="158"/>
  <c r="Q160" i="158"/>
  <c r="Q161" i="158"/>
  <c r="Q162" i="158"/>
  <c r="Q163" i="158"/>
  <c r="Q164" i="158"/>
  <c r="Q165" i="158"/>
  <c r="Q166" i="158"/>
  <c r="Q167" i="158"/>
  <c r="Q168" i="158"/>
  <c r="Q169" i="158"/>
  <c r="Q170" i="158"/>
  <c r="Q171" i="158"/>
  <c r="Q172" i="158"/>
  <c r="Q173" i="158"/>
  <c r="Q174" i="158"/>
  <c r="Q175" i="158"/>
  <c r="Q176" i="158"/>
  <c r="Q177" i="158"/>
  <c r="Q178" i="158"/>
  <c r="Q179" i="158"/>
  <c r="Q180" i="158"/>
  <c r="Q181" i="158"/>
  <c r="Q182" i="158"/>
  <c r="Q183" i="158"/>
  <c r="Q184" i="158"/>
  <c r="Q185" i="158"/>
  <c r="Q186" i="158"/>
  <c r="Q187" i="158"/>
  <c r="Q188" i="158"/>
  <c r="Q189" i="158"/>
  <c r="Q190" i="158"/>
  <c r="Q191" i="158"/>
  <c r="Q192" i="158"/>
  <c r="Q193" i="158"/>
  <c r="Q194" i="158"/>
  <c r="Q195" i="158"/>
  <c r="Q196" i="158"/>
  <c r="Q197" i="158"/>
  <c r="Q198" i="158"/>
  <c r="Q199" i="158"/>
  <c r="Q200" i="158"/>
  <c r="Q201" i="158"/>
  <c r="Q202" i="158"/>
  <c r="Q203" i="158"/>
  <c r="Q204" i="158"/>
  <c r="Q205" i="158"/>
  <c r="Q206" i="158"/>
  <c r="Q207" i="158"/>
  <c r="Q208" i="158"/>
  <c r="Q209" i="158"/>
  <c r="Q210" i="158"/>
  <c r="Q211" i="158"/>
  <c r="Q212" i="158"/>
  <c r="Q213" i="158"/>
  <c r="Q214" i="158"/>
  <c r="Q215" i="158"/>
  <c r="Q216" i="158"/>
  <c r="Q217" i="158"/>
  <c r="Q218" i="158"/>
  <c r="Q219" i="158"/>
  <c r="Q220" i="158"/>
  <c r="Q221" i="158"/>
  <c r="Q222" i="158"/>
  <c r="Q223" i="158"/>
  <c r="Q224" i="158"/>
  <c r="Q225" i="158"/>
  <c r="Q226" i="158"/>
  <c r="Q227" i="158"/>
  <c r="Q228" i="158"/>
  <c r="Q229" i="158"/>
  <c r="Q230" i="158"/>
  <c r="Q231" i="158"/>
  <c r="Q232" i="158"/>
  <c r="Q233" i="158"/>
  <c r="Q234" i="158"/>
  <c r="Q235" i="158"/>
  <c r="Q236" i="158"/>
  <c r="Q237" i="158"/>
  <c r="Q238" i="158"/>
  <c r="Q239" i="158"/>
  <c r="Q240" i="158"/>
  <c r="Q241" i="158"/>
  <c r="Q242" i="158"/>
  <c r="Q243" i="158"/>
  <c r="Q244" i="158"/>
  <c r="Q245" i="158"/>
  <c r="Q246" i="158"/>
  <c r="Q247" i="158"/>
  <c r="Q248" i="158"/>
  <c r="Q249" i="158"/>
  <c r="Q250" i="158"/>
  <c r="Q251" i="158"/>
  <c r="Q252" i="158"/>
  <c r="Q253" i="158"/>
  <c r="Q254" i="158"/>
  <c r="Q255" i="158"/>
  <c r="Q256" i="158"/>
  <c r="Q257" i="158"/>
  <c r="Q258" i="158"/>
  <c r="Q259" i="158"/>
  <c r="Q260" i="158"/>
  <c r="Q261" i="158"/>
  <c r="Q262" i="158"/>
  <c r="Q263" i="158"/>
  <c r="Q264" i="158"/>
  <c r="Q265" i="158"/>
  <c r="Q266" i="158"/>
  <c r="Q267" i="158"/>
  <c r="Q268" i="158"/>
  <c r="Q269" i="158"/>
  <c r="Q270" i="158"/>
  <c r="Q271" i="158"/>
  <c r="Q272" i="158"/>
  <c r="Q273" i="158"/>
  <c r="Q274" i="158"/>
  <c r="Q275" i="158"/>
  <c r="Q276" i="158"/>
  <c r="Q277" i="158"/>
  <c r="Q278" i="158"/>
  <c r="Q279" i="158"/>
  <c r="Q280" i="158"/>
  <c r="Q281" i="158"/>
  <c r="Q282" i="158"/>
  <c r="Q283" i="158"/>
  <c r="Q284" i="158"/>
  <c r="Q285" i="158"/>
  <c r="Q286" i="158"/>
  <c r="Q287" i="158"/>
  <c r="Q288" i="158"/>
  <c r="Q289" i="158"/>
  <c r="Q290" i="158"/>
  <c r="Q291" i="158"/>
  <c r="Q292" i="158"/>
  <c r="Q293" i="158"/>
  <c r="Q294" i="158"/>
  <c r="Q295" i="158"/>
  <c r="Q296" i="158"/>
  <c r="Q297" i="158"/>
  <c r="Q298" i="158"/>
  <c r="Q299" i="158"/>
  <c r="Q300" i="158"/>
  <c r="Q301" i="158"/>
  <c r="Q302" i="158"/>
  <c r="Q303" i="158"/>
  <c r="Q304" i="158"/>
  <c r="Q305" i="158"/>
  <c r="Q306" i="158"/>
  <c r="Q307" i="158"/>
  <c r="Q308" i="158"/>
  <c r="Q309" i="158"/>
  <c r="Q310" i="158"/>
  <c r="Q311" i="158"/>
  <c r="Q312" i="158"/>
  <c r="Q313" i="158"/>
  <c r="Q314" i="158"/>
  <c r="Q315" i="158"/>
  <c r="Q316" i="158"/>
  <c r="Q317" i="158"/>
  <c r="Q318" i="158"/>
  <c r="Q319" i="158"/>
  <c r="Q320" i="158"/>
  <c r="Q321" i="158"/>
  <c r="Q322" i="158"/>
  <c r="Q323" i="158"/>
  <c r="Q324" i="158"/>
  <c r="Q325" i="158"/>
  <c r="Q326" i="158"/>
  <c r="Q327" i="158"/>
  <c r="Q328" i="158"/>
  <c r="Q329" i="158"/>
  <c r="Q330" i="158"/>
  <c r="Q331" i="158"/>
  <c r="Q332" i="158"/>
  <c r="Q333" i="158"/>
  <c r="Q334" i="158"/>
  <c r="Q335" i="158"/>
  <c r="Q2" i="158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D66" i="159"/>
  <c r="I67" i="159"/>
  <c r="D67" i="159"/>
  <c r="I68" i="159"/>
  <c r="D68" i="159"/>
  <c r="I69" i="159"/>
  <c r="D69" i="159"/>
  <c r="I70" i="159"/>
  <c r="D70" i="159"/>
  <c r="I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E141" i="159"/>
  <c r="E142" i="159"/>
  <c r="F140" i="159"/>
  <c r="F141" i="159"/>
  <c r="F142" i="159"/>
  <c r="J5" i="159"/>
  <c r="E5" i="159"/>
  <c r="F5" i="159"/>
  <c r="C5" i="159"/>
  <c r="H5" i="159"/>
  <c r="K5" i="159"/>
  <c r="L5" i="159"/>
  <c r="M5" i="159"/>
  <c r="N5" i="159"/>
  <c r="P5" i="159"/>
  <c r="J6" i="159"/>
  <c r="E6" i="159"/>
  <c r="F6" i="159"/>
  <c r="C6" i="159"/>
  <c r="H6" i="159"/>
  <c r="K6" i="159"/>
  <c r="L6" i="159"/>
  <c r="M6" i="159"/>
  <c r="N6" i="159"/>
  <c r="P6" i="159"/>
  <c r="J7" i="159"/>
  <c r="E7" i="159"/>
  <c r="F7" i="159"/>
  <c r="C7" i="159"/>
  <c r="H7" i="159"/>
  <c r="K7" i="159"/>
  <c r="L7" i="159"/>
  <c r="M7" i="159"/>
  <c r="N7" i="159"/>
  <c r="P7" i="159"/>
  <c r="J8" i="159"/>
  <c r="E8" i="159"/>
  <c r="F8" i="159"/>
  <c r="C8" i="159"/>
  <c r="H8" i="159"/>
  <c r="K8" i="159"/>
  <c r="L8" i="159"/>
  <c r="M8" i="159"/>
  <c r="N8" i="159"/>
  <c r="P8" i="159"/>
  <c r="J9" i="159"/>
  <c r="E9" i="159"/>
  <c r="F9" i="159"/>
  <c r="C9" i="159"/>
  <c r="H9" i="159"/>
  <c r="K9" i="159"/>
  <c r="L9" i="159"/>
  <c r="M9" i="159"/>
  <c r="N9" i="159"/>
  <c r="P9" i="159"/>
  <c r="J10" i="159"/>
  <c r="E10" i="159"/>
  <c r="F10" i="159"/>
  <c r="C10" i="159"/>
  <c r="H10" i="159"/>
  <c r="K10" i="159"/>
  <c r="L10" i="159"/>
  <c r="M10" i="159"/>
  <c r="N10" i="159"/>
  <c r="P10" i="159"/>
  <c r="J11" i="159"/>
  <c r="E11" i="159"/>
  <c r="F11" i="159"/>
  <c r="C11" i="159"/>
  <c r="H11" i="159"/>
  <c r="K11" i="159"/>
  <c r="L11" i="159"/>
  <c r="M11" i="159"/>
  <c r="N11" i="159"/>
  <c r="P11" i="159"/>
  <c r="J12" i="159"/>
  <c r="E12" i="159"/>
  <c r="F12" i="159"/>
  <c r="C12" i="159"/>
  <c r="H12" i="159"/>
  <c r="K12" i="159"/>
  <c r="L12" i="159"/>
  <c r="M12" i="159"/>
  <c r="N12" i="159"/>
  <c r="P12" i="159"/>
  <c r="J13" i="159"/>
  <c r="E13" i="159"/>
  <c r="F13" i="159"/>
  <c r="C13" i="159"/>
  <c r="H13" i="159"/>
  <c r="K13" i="159"/>
  <c r="L13" i="159"/>
  <c r="M13" i="159"/>
  <c r="N13" i="159"/>
  <c r="P13" i="159"/>
  <c r="J14" i="159"/>
  <c r="E14" i="159"/>
  <c r="F14" i="159"/>
  <c r="C14" i="159"/>
  <c r="H14" i="159"/>
  <c r="K14" i="159"/>
  <c r="L14" i="159"/>
  <c r="M14" i="159"/>
  <c r="N14" i="159"/>
  <c r="P14" i="159"/>
  <c r="J15" i="159"/>
  <c r="E15" i="159"/>
  <c r="F15" i="159"/>
  <c r="C15" i="159"/>
  <c r="H15" i="159"/>
  <c r="K15" i="159"/>
  <c r="L15" i="159"/>
  <c r="M15" i="159"/>
  <c r="N15" i="159"/>
  <c r="P15" i="159"/>
  <c r="J16" i="159"/>
  <c r="E16" i="159"/>
  <c r="F16" i="159"/>
  <c r="C16" i="159"/>
  <c r="H16" i="159"/>
  <c r="K16" i="159"/>
  <c r="L16" i="159"/>
  <c r="M16" i="159"/>
  <c r="N16" i="159"/>
  <c r="P16" i="159"/>
  <c r="J17" i="159"/>
  <c r="E17" i="159"/>
  <c r="F17" i="159"/>
  <c r="C17" i="159"/>
  <c r="H17" i="159"/>
  <c r="K17" i="159"/>
  <c r="L17" i="159"/>
  <c r="M17" i="159"/>
  <c r="N17" i="159"/>
  <c r="P17" i="159"/>
  <c r="J18" i="159"/>
  <c r="E18" i="159"/>
  <c r="F18" i="159"/>
  <c r="C18" i="159"/>
  <c r="H18" i="159"/>
  <c r="K18" i="159"/>
  <c r="L18" i="159"/>
  <c r="M18" i="159"/>
  <c r="N18" i="159"/>
  <c r="P18" i="159"/>
  <c r="J19" i="159"/>
  <c r="E19" i="159"/>
  <c r="F19" i="159"/>
  <c r="C19" i="159"/>
  <c r="H19" i="159"/>
  <c r="K19" i="159"/>
  <c r="L19" i="159"/>
  <c r="M19" i="159"/>
  <c r="N19" i="159"/>
  <c r="P19" i="159"/>
  <c r="J20" i="159"/>
  <c r="E20" i="159"/>
  <c r="F20" i="159"/>
  <c r="C20" i="159"/>
  <c r="H20" i="159"/>
  <c r="K20" i="159"/>
  <c r="L20" i="159"/>
  <c r="M20" i="159"/>
  <c r="N20" i="159"/>
  <c r="P20" i="159"/>
  <c r="J21" i="159"/>
  <c r="E21" i="159"/>
  <c r="F21" i="159"/>
  <c r="C21" i="159"/>
  <c r="H21" i="159"/>
  <c r="K21" i="159"/>
  <c r="L21" i="159"/>
  <c r="M21" i="159"/>
  <c r="N21" i="159"/>
  <c r="P21" i="159"/>
  <c r="J22" i="159"/>
  <c r="E22" i="159"/>
  <c r="F22" i="159"/>
  <c r="C22" i="159"/>
  <c r="H22" i="159"/>
  <c r="K22" i="159"/>
  <c r="L22" i="159"/>
  <c r="M22" i="159"/>
  <c r="N22" i="159"/>
  <c r="P22" i="159"/>
  <c r="J23" i="159"/>
  <c r="E23" i="159"/>
  <c r="F23" i="159"/>
  <c r="C23" i="159"/>
  <c r="H23" i="159"/>
  <c r="K23" i="159"/>
  <c r="L23" i="159"/>
  <c r="M23" i="159"/>
  <c r="N23" i="159"/>
  <c r="P23" i="159"/>
  <c r="J24" i="159"/>
  <c r="E24" i="159"/>
  <c r="F24" i="159"/>
  <c r="C24" i="159"/>
  <c r="H24" i="159"/>
  <c r="K24" i="159"/>
  <c r="L24" i="159"/>
  <c r="M24" i="159"/>
  <c r="N24" i="159"/>
  <c r="P24" i="159"/>
  <c r="J25" i="159"/>
  <c r="E25" i="159"/>
  <c r="F25" i="159"/>
  <c r="C25" i="159"/>
  <c r="H25" i="159"/>
  <c r="K25" i="159"/>
  <c r="L25" i="159"/>
  <c r="M25" i="159"/>
  <c r="N25" i="159"/>
  <c r="P25" i="159"/>
  <c r="J26" i="159"/>
  <c r="E26" i="159"/>
  <c r="F26" i="159"/>
  <c r="C26" i="159"/>
  <c r="H26" i="159"/>
  <c r="K26" i="159"/>
  <c r="L26" i="159"/>
  <c r="M26" i="159"/>
  <c r="N26" i="159"/>
  <c r="P26" i="159"/>
  <c r="J27" i="159"/>
  <c r="E27" i="159"/>
  <c r="F27" i="159"/>
  <c r="C27" i="159"/>
  <c r="H27" i="159"/>
  <c r="K27" i="159"/>
  <c r="L27" i="159"/>
  <c r="M27" i="159"/>
  <c r="N27" i="159"/>
  <c r="P27" i="159"/>
  <c r="J28" i="159"/>
  <c r="E28" i="159"/>
  <c r="F28" i="159"/>
  <c r="C28" i="159"/>
  <c r="H28" i="159"/>
  <c r="K28" i="159"/>
  <c r="L28" i="159"/>
  <c r="M28" i="159"/>
  <c r="N28" i="159"/>
  <c r="P28" i="159"/>
  <c r="J29" i="159"/>
  <c r="E29" i="159"/>
  <c r="F29" i="159"/>
  <c r="C29" i="159"/>
  <c r="H29" i="159"/>
  <c r="K29" i="159"/>
  <c r="L29" i="159"/>
  <c r="M29" i="159"/>
  <c r="N29" i="159"/>
  <c r="P29" i="159"/>
  <c r="J30" i="159"/>
  <c r="E30" i="159"/>
  <c r="F30" i="159"/>
  <c r="C30" i="159"/>
  <c r="H30" i="159"/>
  <c r="K30" i="159"/>
  <c r="L30" i="159"/>
  <c r="M30" i="159"/>
  <c r="N30" i="159"/>
  <c r="P30" i="159"/>
  <c r="J31" i="159"/>
  <c r="E31" i="159"/>
  <c r="F31" i="159"/>
  <c r="C31" i="159"/>
  <c r="H31" i="159"/>
  <c r="K31" i="159"/>
  <c r="L31" i="159"/>
  <c r="M31" i="159"/>
  <c r="N31" i="159"/>
  <c r="P31" i="159"/>
  <c r="J32" i="159"/>
  <c r="E32" i="159"/>
  <c r="F32" i="159"/>
  <c r="C32" i="159"/>
  <c r="H32" i="159"/>
  <c r="K32" i="159"/>
  <c r="L32" i="159"/>
  <c r="M32" i="159"/>
  <c r="N32" i="159"/>
  <c r="P32" i="159"/>
  <c r="J33" i="159"/>
  <c r="E33" i="159"/>
  <c r="F33" i="159"/>
  <c r="C33" i="159"/>
  <c r="H33" i="159"/>
  <c r="K33" i="159"/>
  <c r="L33" i="159"/>
  <c r="M33" i="159"/>
  <c r="N33" i="159"/>
  <c r="P33" i="159"/>
  <c r="J34" i="159"/>
  <c r="E34" i="159"/>
  <c r="F34" i="159"/>
  <c r="C34" i="159"/>
  <c r="H34" i="159"/>
  <c r="K34" i="159"/>
  <c r="L34" i="159"/>
  <c r="M34" i="159"/>
  <c r="N34" i="159"/>
  <c r="P34" i="159"/>
  <c r="J35" i="159"/>
  <c r="E35" i="159"/>
  <c r="F35" i="159"/>
  <c r="C35" i="159"/>
  <c r="H35" i="159"/>
  <c r="K35" i="159"/>
  <c r="L35" i="159"/>
  <c r="M35" i="159"/>
  <c r="N35" i="159"/>
  <c r="P35" i="159"/>
  <c r="J36" i="159"/>
  <c r="E36" i="159"/>
  <c r="F36" i="159"/>
  <c r="C36" i="159"/>
  <c r="H36" i="159"/>
  <c r="K36" i="159"/>
  <c r="L36" i="159"/>
  <c r="M36" i="159"/>
  <c r="N36" i="159"/>
  <c r="P36" i="159"/>
  <c r="J37" i="159"/>
  <c r="E37" i="159"/>
  <c r="F37" i="159"/>
  <c r="C37" i="159"/>
  <c r="H37" i="159"/>
  <c r="K37" i="159"/>
  <c r="L37" i="159"/>
  <c r="M37" i="159"/>
  <c r="N37" i="159"/>
  <c r="P37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J44" i="159"/>
  <c r="E44" i="159"/>
  <c r="F44" i="159"/>
  <c r="C44" i="159"/>
  <c r="H44" i="159"/>
  <c r="K44" i="159"/>
  <c r="L44" i="159"/>
  <c r="M44" i="159"/>
  <c r="N44" i="159"/>
  <c r="P44" i="159"/>
  <c r="J45" i="159"/>
  <c r="E45" i="159"/>
  <c r="F45" i="159"/>
  <c r="C45" i="159"/>
  <c r="H45" i="159"/>
  <c r="K45" i="159"/>
  <c r="L45" i="159"/>
  <c r="M45" i="159"/>
  <c r="N45" i="159"/>
  <c r="P45" i="159"/>
  <c r="J46" i="159"/>
  <c r="E46" i="159"/>
  <c r="F46" i="159"/>
  <c r="C46" i="159"/>
  <c r="H46" i="159"/>
  <c r="K46" i="159"/>
  <c r="L46" i="159"/>
  <c r="M46" i="159"/>
  <c r="N46" i="159"/>
  <c r="P46" i="159"/>
  <c r="J47" i="159"/>
  <c r="E47" i="159"/>
  <c r="F47" i="159"/>
  <c r="C47" i="159"/>
  <c r="H47" i="159"/>
  <c r="K47" i="159"/>
  <c r="L47" i="159"/>
  <c r="M47" i="159"/>
  <c r="N47" i="159"/>
  <c r="P47" i="159"/>
  <c r="J48" i="159"/>
  <c r="E48" i="159"/>
  <c r="F48" i="159"/>
  <c r="C48" i="159"/>
  <c r="H48" i="159"/>
  <c r="K48" i="159"/>
  <c r="L48" i="159"/>
  <c r="M48" i="159"/>
  <c r="N48" i="159"/>
  <c r="P48" i="159"/>
  <c r="J49" i="159"/>
  <c r="E49" i="159"/>
  <c r="F49" i="159"/>
  <c r="C49" i="159"/>
  <c r="H49" i="159"/>
  <c r="K49" i="159"/>
  <c r="L49" i="159"/>
  <c r="M49" i="159"/>
  <c r="N49" i="159"/>
  <c r="P49" i="159"/>
  <c r="J50" i="159"/>
  <c r="E50" i="159"/>
  <c r="F50" i="159"/>
  <c r="C50" i="159"/>
  <c r="H50" i="159"/>
  <c r="K50" i="159"/>
  <c r="L50" i="159"/>
  <c r="M50" i="159"/>
  <c r="N50" i="159"/>
  <c r="P50" i="159"/>
  <c r="J51" i="159"/>
  <c r="E51" i="159"/>
  <c r="F51" i="159"/>
  <c r="C51" i="159"/>
  <c r="H51" i="159"/>
  <c r="K51" i="159"/>
  <c r="L51" i="159"/>
  <c r="M51" i="159"/>
  <c r="N51" i="159"/>
  <c r="P51" i="159"/>
  <c r="J52" i="159"/>
  <c r="E52" i="159"/>
  <c r="F52" i="159"/>
  <c r="C52" i="159"/>
  <c r="H52" i="159"/>
  <c r="K52" i="159"/>
  <c r="L52" i="159"/>
  <c r="M52" i="159"/>
  <c r="N52" i="159"/>
  <c r="P52" i="159"/>
  <c r="J53" i="159"/>
  <c r="E53" i="159"/>
  <c r="F53" i="159"/>
  <c r="C53" i="159"/>
  <c r="H53" i="159"/>
  <c r="K53" i="159"/>
  <c r="L53" i="159"/>
  <c r="M53" i="159"/>
  <c r="N53" i="159"/>
  <c r="P53" i="159"/>
  <c r="J54" i="159"/>
  <c r="E54" i="159"/>
  <c r="F54" i="159"/>
  <c r="C54" i="159"/>
  <c r="H54" i="159"/>
  <c r="K54" i="159"/>
  <c r="L54" i="159"/>
  <c r="M54" i="159"/>
  <c r="N54" i="159"/>
  <c r="P54" i="159"/>
  <c r="J55" i="159"/>
  <c r="E55" i="159"/>
  <c r="F55" i="159"/>
  <c r="C55" i="159"/>
  <c r="H55" i="159"/>
  <c r="K55" i="159"/>
  <c r="L55" i="159"/>
  <c r="M55" i="159"/>
  <c r="N55" i="159"/>
  <c r="P55" i="159"/>
  <c r="J56" i="159"/>
  <c r="E56" i="159"/>
  <c r="F56" i="159"/>
  <c r="C56" i="159"/>
  <c r="H56" i="159"/>
  <c r="K56" i="159"/>
  <c r="L56" i="159"/>
  <c r="M56" i="159"/>
  <c r="N56" i="159"/>
  <c r="P56" i="159"/>
  <c r="J57" i="159"/>
  <c r="E57" i="159"/>
  <c r="F57" i="159"/>
  <c r="C57" i="159"/>
  <c r="H57" i="159"/>
  <c r="K57" i="159"/>
  <c r="L57" i="159"/>
  <c r="M57" i="159"/>
  <c r="N57" i="159"/>
  <c r="P57" i="159"/>
  <c r="J58" i="159"/>
  <c r="E58" i="159"/>
  <c r="F58" i="159"/>
  <c r="C58" i="159"/>
  <c r="H58" i="159"/>
  <c r="K58" i="159"/>
  <c r="L58" i="159"/>
  <c r="M58" i="159"/>
  <c r="N58" i="159"/>
  <c r="P58" i="159"/>
  <c r="J59" i="159"/>
  <c r="E59" i="159"/>
  <c r="F59" i="159"/>
  <c r="C59" i="159"/>
  <c r="H59" i="159"/>
  <c r="K59" i="159"/>
  <c r="L59" i="159"/>
  <c r="M59" i="159"/>
  <c r="N59" i="159"/>
  <c r="P59" i="159"/>
  <c r="J60" i="159"/>
  <c r="E60" i="159"/>
  <c r="F60" i="159"/>
  <c r="C60" i="159"/>
  <c r="H60" i="159"/>
  <c r="K60" i="159"/>
  <c r="L60" i="159"/>
  <c r="M60" i="159"/>
  <c r="N60" i="159"/>
  <c r="P60" i="159"/>
  <c r="J61" i="159"/>
  <c r="E61" i="159"/>
  <c r="F61" i="159"/>
  <c r="C61" i="159"/>
  <c r="H61" i="159"/>
  <c r="K61" i="159"/>
  <c r="L61" i="159"/>
  <c r="M61" i="159"/>
  <c r="N61" i="159"/>
  <c r="P61" i="159"/>
  <c r="J62" i="159"/>
  <c r="E62" i="159"/>
  <c r="F62" i="159"/>
  <c r="C62" i="159"/>
  <c r="H62" i="159"/>
  <c r="K62" i="159"/>
  <c r="L62" i="159"/>
  <c r="M62" i="159"/>
  <c r="N62" i="159"/>
  <c r="P62" i="159"/>
  <c r="J63" i="159"/>
  <c r="E63" i="159"/>
  <c r="F63" i="159"/>
  <c r="C63" i="159"/>
  <c r="H63" i="159"/>
  <c r="K63" i="159"/>
  <c r="L63" i="159"/>
  <c r="M63" i="159"/>
  <c r="N63" i="159"/>
  <c r="P63" i="159"/>
  <c r="J64" i="159"/>
  <c r="E64" i="159"/>
  <c r="F64" i="159"/>
  <c r="C64" i="159"/>
  <c r="H64" i="159"/>
  <c r="K64" i="159"/>
  <c r="L64" i="159"/>
  <c r="M64" i="159"/>
  <c r="N64" i="159"/>
  <c r="P64" i="159"/>
  <c r="J65" i="159"/>
  <c r="E65" i="159"/>
  <c r="F65" i="159"/>
  <c r="C65" i="159"/>
  <c r="H65" i="159"/>
  <c r="K65" i="159"/>
  <c r="L65" i="159"/>
  <c r="M65" i="159"/>
  <c r="N65" i="159"/>
  <c r="P65" i="159"/>
  <c r="J66" i="159"/>
  <c r="E66" i="159"/>
  <c r="F66" i="159"/>
  <c r="C66" i="159"/>
  <c r="H66" i="159"/>
  <c r="K66" i="159"/>
  <c r="L66" i="159"/>
  <c r="M66" i="159"/>
  <c r="N66" i="159"/>
  <c r="P66" i="159"/>
  <c r="J67" i="159"/>
  <c r="E67" i="159"/>
  <c r="F67" i="159"/>
  <c r="C67" i="159"/>
  <c r="H67" i="159"/>
  <c r="K67" i="159"/>
  <c r="L67" i="159"/>
  <c r="M67" i="159"/>
  <c r="N67" i="159"/>
  <c r="P67" i="159"/>
  <c r="J68" i="159"/>
  <c r="E68" i="159"/>
  <c r="F68" i="159"/>
  <c r="C68" i="159"/>
  <c r="H68" i="159"/>
  <c r="K68" i="159"/>
  <c r="L68" i="159"/>
  <c r="M68" i="159"/>
  <c r="N68" i="159"/>
  <c r="P68" i="159"/>
  <c r="J69" i="159"/>
  <c r="E69" i="159"/>
  <c r="F69" i="159"/>
  <c r="C69" i="159"/>
  <c r="H69" i="159"/>
  <c r="K69" i="159"/>
  <c r="L69" i="159"/>
  <c r="M69" i="159"/>
  <c r="N69" i="159"/>
  <c r="P69" i="159"/>
  <c r="J70" i="159"/>
  <c r="E70" i="159"/>
  <c r="F70" i="159"/>
  <c r="C70" i="159"/>
  <c r="H70" i="159"/>
  <c r="K70" i="159"/>
  <c r="L70" i="159"/>
  <c r="M70" i="159"/>
  <c r="N70" i="159"/>
  <c r="P70" i="159"/>
  <c r="J71" i="159"/>
  <c r="E71" i="159"/>
  <c r="F71" i="159"/>
  <c r="C71" i="159"/>
  <c r="H71" i="159"/>
  <c r="K71" i="159"/>
  <c r="L71" i="159"/>
  <c r="M71" i="159"/>
  <c r="N71" i="159"/>
  <c r="P71" i="159"/>
  <c r="J72" i="159"/>
  <c r="E72" i="159"/>
  <c r="F72" i="159"/>
  <c r="C72" i="159"/>
  <c r="H72" i="159"/>
  <c r="K72" i="159"/>
  <c r="L72" i="159"/>
  <c r="M72" i="159"/>
  <c r="N72" i="159"/>
  <c r="P72" i="159"/>
  <c r="J73" i="159"/>
  <c r="E73" i="159"/>
  <c r="F73" i="159"/>
  <c r="C73" i="159"/>
  <c r="H73" i="159"/>
  <c r="K73" i="159"/>
  <c r="L73" i="159"/>
  <c r="M73" i="159"/>
  <c r="N73" i="159"/>
  <c r="P73" i="159"/>
  <c r="J74" i="159"/>
  <c r="E74" i="159"/>
  <c r="F74" i="159"/>
  <c r="C74" i="159"/>
  <c r="H74" i="159"/>
  <c r="K74" i="159"/>
  <c r="L74" i="159"/>
  <c r="M74" i="159"/>
  <c r="N74" i="159"/>
  <c r="P74" i="159"/>
  <c r="J75" i="159"/>
  <c r="E75" i="159"/>
  <c r="F75" i="159"/>
  <c r="C75" i="159"/>
  <c r="H75" i="159"/>
  <c r="K75" i="159"/>
  <c r="L75" i="159"/>
  <c r="M75" i="159"/>
  <c r="N75" i="159"/>
  <c r="P75" i="159"/>
  <c r="J76" i="159"/>
  <c r="E76" i="159"/>
  <c r="F76" i="159"/>
  <c r="C76" i="159"/>
  <c r="H76" i="159"/>
  <c r="K76" i="159"/>
  <c r="L76" i="159"/>
  <c r="M76" i="159"/>
  <c r="N76" i="159"/>
  <c r="P76" i="159"/>
  <c r="J77" i="159"/>
  <c r="E77" i="159"/>
  <c r="F77" i="159"/>
  <c r="C77" i="159"/>
  <c r="H77" i="159"/>
  <c r="K77" i="159"/>
  <c r="L77" i="159"/>
  <c r="M77" i="159"/>
  <c r="N77" i="159"/>
  <c r="P77" i="159"/>
  <c r="J78" i="159"/>
  <c r="E78" i="159"/>
  <c r="F78" i="159"/>
  <c r="C78" i="159"/>
  <c r="H78" i="159"/>
  <c r="K78" i="159"/>
  <c r="L78" i="159"/>
  <c r="M78" i="159"/>
  <c r="N78" i="159"/>
  <c r="P78" i="159"/>
  <c r="J79" i="159"/>
  <c r="E79" i="159"/>
  <c r="F79" i="159"/>
  <c r="C79" i="159"/>
  <c r="H79" i="159"/>
  <c r="K79" i="159"/>
  <c r="L79" i="159"/>
  <c r="M79" i="159"/>
  <c r="N79" i="159"/>
  <c r="P79" i="159"/>
  <c r="J80" i="159"/>
  <c r="E80" i="159"/>
  <c r="F80" i="159"/>
  <c r="C80" i="159"/>
  <c r="H80" i="159"/>
  <c r="K80" i="159"/>
  <c r="L80" i="159"/>
  <c r="M80" i="159"/>
  <c r="N80" i="159"/>
  <c r="P80" i="159"/>
  <c r="J81" i="159"/>
  <c r="E81" i="159"/>
  <c r="F81" i="159"/>
  <c r="C81" i="159"/>
  <c r="H81" i="159"/>
  <c r="K81" i="159"/>
  <c r="L81" i="159"/>
  <c r="M81" i="159"/>
  <c r="N81" i="159"/>
  <c r="P81" i="159"/>
  <c r="J82" i="159"/>
  <c r="E82" i="159"/>
  <c r="F82" i="159"/>
  <c r="C82" i="159"/>
  <c r="H82" i="159"/>
  <c r="K82" i="159"/>
  <c r="L82" i="159"/>
  <c r="M82" i="159"/>
  <c r="N82" i="159"/>
  <c r="P82" i="159"/>
  <c r="J83" i="159"/>
  <c r="E83" i="159"/>
  <c r="F83" i="159"/>
  <c r="C83" i="159"/>
  <c r="H83" i="159"/>
  <c r="K83" i="159"/>
  <c r="L83" i="159"/>
  <c r="M83" i="159"/>
  <c r="N83" i="159"/>
  <c r="P83" i="159"/>
  <c r="J84" i="159"/>
  <c r="E84" i="159"/>
  <c r="F84" i="159"/>
  <c r="C84" i="159"/>
  <c r="H84" i="159"/>
  <c r="K84" i="159"/>
  <c r="L84" i="159"/>
  <c r="M84" i="159"/>
  <c r="N84" i="159"/>
  <c r="P84" i="159"/>
  <c r="J85" i="159"/>
  <c r="E85" i="159"/>
  <c r="F85" i="159"/>
  <c r="C85" i="159"/>
  <c r="H85" i="159"/>
  <c r="K85" i="159"/>
  <c r="L85" i="159"/>
  <c r="M85" i="159"/>
  <c r="N85" i="159"/>
  <c r="P85" i="159"/>
  <c r="J86" i="159"/>
  <c r="E86" i="159"/>
  <c r="F86" i="159"/>
  <c r="C86" i="159"/>
  <c r="H86" i="159"/>
  <c r="K86" i="159"/>
  <c r="L86" i="159"/>
  <c r="M86" i="159"/>
  <c r="N86" i="159"/>
  <c r="P86" i="159"/>
  <c r="J87" i="159"/>
  <c r="E87" i="159"/>
  <c r="F87" i="159"/>
  <c r="C87" i="159"/>
  <c r="H87" i="159"/>
  <c r="K87" i="159"/>
  <c r="L87" i="159"/>
  <c r="M87" i="159"/>
  <c r="N87" i="159"/>
  <c r="P87" i="159"/>
  <c r="J88" i="159"/>
  <c r="E88" i="159"/>
  <c r="F88" i="159"/>
  <c r="C88" i="159"/>
  <c r="H88" i="159"/>
  <c r="K88" i="159"/>
  <c r="L88" i="159"/>
  <c r="M88" i="159"/>
  <c r="N88" i="159"/>
  <c r="P88" i="159"/>
  <c r="J89" i="159"/>
  <c r="E89" i="159"/>
  <c r="F89" i="159"/>
  <c r="C89" i="159"/>
  <c r="H89" i="159"/>
  <c r="K89" i="159"/>
  <c r="L89" i="159"/>
  <c r="M89" i="159"/>
  <c r="N89" i="159"/>
  <c r="P89" i="159"/>
  <c r="J90" i="159"/>
  <c r="E90" i="159"/>
  <c r="F90" i="159"/>
  <c r="C90" i="159"/>
  <c r="H90" i="159"/>
  <c r="K90" i="159"/>
  <c r="L90" i="159"/>
  <c r="M90" i="159"/>
  <c r="N90" i="159"/>
  <c r="P90" i="159"/>
  <c r="J91" i="159"/>
  <c r="E91" i="159"/>
  <c r="F91" i="159"/>
  <c r="C91" i="159"/>
  <c r="H91" i="159"/>
  <c r="K91" i="159"/>
  <c r="L91" i="159"/>
  <c r="M91" i="159"/>
  <c r="N91" i="159"/>
  <c r="P91" i="159"/>
  <c r="J92" i="159"/>
  <c r="E92" i="159"/>
  <c r="F92" i="159"/>
  <c r="C92" i="159"/>
  <c r="H92" i="159"/>
  <c r="K92" i="159"/>
  <c r="L92" i="159"/>
  <c r="M92" i="159"/>
  <c r="N92" i="159"/>
  <c r="P92" i="159"/>
  <c r="J93" i="159"/>
  <c r="E93" i="159"/>
  <c r="F93" i="159"/>
  <c r="C93" i="159"/>
  <c r="H93" i="159"/>
  <c r="K93" i="159"/>
  <c r="L93" i="159"/>
  <c r="M93" i="159"/>
  <c r="N93" i="159"/>
  <c r="P93" i="159"/>
  <c r="J94" i="159"/>
  <c r="E94" i="159"/>
  <c r="F94" i="159"/>
  <c r="C94" i="159"/>
  <c r="H94" i="159"/>
  <c r="K94" i="159"/>
  <c r="L94" i="159"/>
  <c r="M94" i="159"/>
  <c r="N94" i="159"/>
  <c r="P94" i="159"/>
  <c r="J95" i="159"/>
  <c r="E95" i="159"/>
  <c r="F95" i="159"/>
  <c r="C95" i="159"/>
  <c r="H95" i="159"/>
  <c r="K95" i="159"/>
  <c r="L95" i="159"/>
  <c r="M95" i="159"/>
  <c r="N95" i="159"/>
  <c r="P95" i="159"/>
  <c r="J96" i="159"/>
  <c r="E96" i="159"/>
  <c r="F96" i="159"/>
  <c r="C96" i="159"/>
  <c r="H96" i="159"/>
  <c r="K96" i="159"/>
  <c r="L96" i="159"/>
  <c r="M96" i="159"/>
  <c r="N96" i="159"/>
  <c r="P96" i="159"/>
  <c r="J97" i="159"/>
  <c r="E97" i="159"/>
  <c r="F97" i="159"/>
  <c r="C97" i="159"/>
  <c r="H97" i="159"/>
  <c r="K97" i="159"/>
  <c r="L97" i="159"/>
  <c r="M97" i="159"/>
  <c r="N97" i="159"/>
  <c r="P97" i="159"/>
  <c r="J98" i="159"/>
  <c r="E98" i="159"/>
  <c r="F98" i="159"/>
  <c r="C98" i="159"/>
  <c r="H98" i="159"/>
  <c r="K98" i="159"/>
  <c r="L98" i="159"/>
  <c r="M98" i="159"/>
  <c r="N98" i="159"/>
  <c r="P98" i="159"/>
  <c r="J99" i="159"/>
  <c r="E99" i="159"/>
  <c r="F99" i="159"/>
  <c r="C99" i="159"/>
  <c r="H99" i="159"/>
  <c r="K99" i="159"/>
  <c r="L99" i="159"/>
  <c r="M99" i="159"/>
  <c r="N99" i="159"/>
  <c r="P99" i="159"/>
  <c r="J100" i="159"/>
  <c r="E100" i="159"/>
  <c r="F100" i="159"/>
  <c r="C100" i="159"/>
  <c r="H100" i="159"/>
  <c r="K100" i="159"/>
  <c r="L100" i="159"/>
  <c r="M100" i="159"/>
  <c r="N100" i="159"/>
  <c r="P100" i="159"/>
  <c r="J101" i="159"/>
  <c r="E101" i="159"/>
  <c r="F101" i="159"/>
  <c r="C101" i="159"/>
  <c r="H101" i="159"/>
  <c r="K101" i="159"/>
  <c r="L101" i="159"/>
  <c r="M101" i="159"/>
  <c r="N101" i="159"/>
  <c r="P101" i="159"/>
  <c r="J102" i="159"/>
  <c r="E102" i="159"/>
  <c r="F102" i="159"/>
  <c r="C102" i="159"/>
  <c r="H102" i="159"/>
  <c r="K102" i="159"/>
  <c r="L102" i="159"/>
  <c r="M102" i="159"/>
  <c r="N102" i="159"/>
  <c r="P102" i="159"/>
  <c r="J103" i="159"/>
  <c r="E103" i="159"/>
  <c r="F103" i="159"/>
  <c r="C103" i="159"/>
  <c r="H103" i="159"/>
  <c r="K103" i="159"/>
  <c r="L103" i="159"/>
  <c r="M103" i="159"/>
  <c r="N103" i="159"/>
  <c r="P103" i="159"/>
  <c r="J104" i="159"/>
  <c r="E104" i="159"/>
  <c r="F104" i="159"/>
  <c r="C104" i="159"/>
  <c r="H104" i="159"/>
  <c r="K104" i="159"/>
  <c r="L104" i="159"/>
  <c r="M104" i="159"/>
  <c r="N104" i="159"/>
  <c r="P104" i="159"/>
  <c r="J105" i="159"/>
  <c r="E105" i="159"/>
  <c r="F105" i="159"/>
  <c r="C105" i="159"/>
  <c r="H105" i="159"/>
  <c r="K105" i="159"/>
  <c r="L105" i="159"/>
  <c r="M105" i="159"/>
  <c r="N105" i="159"/>
  <c r="P105" i="159"/>
  <c r="J106" i="159"/>
  <c r="E106" i="159"/>
  <c r="F106" i="159"/>
  <c r="C106" i="159"/>
  <c r="H106" i="159"/>
  <c r="K106" i="159"/>
  <c r="L106" i="159"/>
  <c r="M106" i="159"/>
  <c r="N106" i="159"/>
  <c r="P106" i="159"/>
  <c r="J107" i="159"/>
  <c r="E107" i="159"/>
  <c r="F107" i="159"/>
  <c r="C107" i="159"/>
  <c r="H107" i="159"/>
  <c r="K107" i="159"/>
  <c r="L107" i="159"/>
  <c r="M107" i="159"/>
  <c r="N107" i="159"/>
  <c r="P107" i="159"/>
  <c r="J108" i="159"/>
  <c r="E108" i="159"/>
  <c r="F108" i="159"/>
  <c r="C108" i="159"/>
  <c r="H108" i="159"/>
  <c r="K108" i="159"/>
  <c r="L108" i="159"/>
  <c r="M108" i="159"/>
  <c r="N108" i="159"/>
  <c r="P108" i="159"/>
  <c r="J109" i="159"/>
  <c r="E109" i="159"/>
  <c r="F109" i="159"/>
  <c r="C109" i="159"/>
  <c r="H109" i="159"/>
  <c r="K109" i="159"/>
  <c r="L109" i="159"/>
  <c r="M109" i="159"/>
  <c r="N109" i="159"/>
  <c r="P109" i="159"/>
  <c r="J110" i="159"/>
  <c r="E110" i="159"/>
  <c r="F110" i="159"/>
  <c r="C110" i="159"/>
  <c r="H110" i="159"/>
  <c r="K110" i="159"/>
  <c r="L110" i="159"/>
  <c r="M110" i="159"/>
  <c r="N110" i="159"/>
  <c r="P110" i="159"/>
  <c r="J111" i="159"/>
  <c r="E111" i="159"/>
  <c r="F111" i="159"/>
  <c r="C111" i="159"/>
  <c r="H111" i="159"/>
  <c r="K111" i="159"/>
  <c r="L111" i="159"/>
  <c r="M111" i="159"/>
  <c r="N111" i="159"/>
  <c r="P111" i="159"/>
  <c r="J112" i="159"/>
  <c r="E112" i="159"/>
  <c r="F112" i="159"/>
  <c r="C112" i="159"/>
  <c r="H112" i="159"/>
  <c r="K112" i="159"/>
  <c r="L112" i="159"/>
  <c r="M112" i="159"/>
  <c r="N112" i="159"/>
  <c r="P112" i="159"/>
  <c r="J113" i="159"/>
  <c r="E113" i="159"/>
  <c r="F113" i="159"/>
  <c r="C113" i="159"/>
  <c r="H113" i="159"/>
  <c r="K113" i="159"/>
  <c r="L113" i="159"/>
  <c r="M113" i="159"/>
  <c r="N113" i="159"/>
  <c r="P113" i="159"/>
  <c r="J114" i="159"/>
  <c r="E114" i="159"/>
  <c r="F114" i="159"/>
  <c r="C114" i="159"/>
  <c r="H114" i="159"/>
  <c r="K114" i="159"/>
  <c r="L114" i="159"/>
  <c r="M114" i="159"/>
  <c r="N114" i="159"/>
  <c r="P114" i="159"/>
  <c r="J115" i="159"/>
  <c r="E115" i="159"/>
  <c r="F115" i="159"/>
  <c r="C115" i="159"/>
  <c r="H115" i="159"/>
  <c r="K115" i="159"/>
  <c r="L115" i="159"/>
  <c r="M115" i="159"/>
  <c r="N115" i="159"/>
  <c r="P115" i="159"/>
  <c r="J116" i="159"/>
  <c r="E116" i="159"/>
  <c r="F116" i="159"/>
  <c r="C116" i="159"/>
  <c r="H116" i="159"/>
  <c r="K116" i="159"/>
  <c r="L116" i="159"/>
  <c r="M116" i="159"/>
  <c r="N116" i="159"/>
  <c r="P116" i="159"/>
  <c r="J117" i="159"/>
  <c r="E117" i="159"/>
  <c r="F117" i="159"/>
  <c r="C117" i="159"/>
  <c r="H117" i="159"/>
  <c r="K117" i="159"/>
  <c r="L117" i="159"/>
  <c r="M117" i="159"/>
  <c r="N117" i="159"/>
  <c r="P117" i="159"/>
  <c r="J118" i="159"/>
  <c r="E118" i="159"/>
  <c r="F118" i="159"/>
  <c r="C118" i="159"/>
  <c r="H118" i="159"/>
  <c r="K118" i="159"/>
  <c r="L118" i="159"/>
  <c r="M118" i="159"/>
  <c r="N118" i="159"/>
  <c r="P118" i="159"/>
  <c r="J119" i="159"/>
  <c r="E119" i="159"/>
  <c r="F119" i="159"/>
  <c r="C119" i="159"/>
  <c r="H119" i="159"/>
  <c r="K119" i="159"/>
  <c r="L119" i="159"/>
  <c r="M119" i="159"/>
  <c r="N119" i="159"/>
  <c r="P119" i="159"/>
  <c r="J120" i="159"/>
  <c r="E120" i="159"/>
  <c r="F120" i="159"/>
  <c r="C120" i="159"/>
  <c r="H120" i="159"/>
  <c r="K120" i="159"/>
  <c r="L120" i="159"/>
  <c r="M120" i="159"/>
  <c r="N120" i="159"/>
  <c r="P120" i="159"/>
  <c r="J121" i="159"/>
  <c r="E121" i="159"/>
  <c r="F121" i="159"/>
  <c r="C121" i="159"/>
  <c r="H121" i="159"/>
  <c r="K121" i="159"/>
  <c r="L121" i="159"/>
  <c r="M121" i="159"/>
  <c r="N121" i="159"/>
  <c r="P121" i="159"/>
  <c r="J122" i="159"/>
  <c r="E122" i="159"/>
  <c r="F122" i="159"/>
  <c r="C122" i="159"/>
  <c r="H122" i="159"/>
  <c r="K122" i="159"/>
  <c r="L122" i="159"/>
  <c r="M122" i="159"/>
  <c r="N122" i="159"/>
  <c r="P122" i="159"/>
  <c r="J123" i="159"/>
  <c r="E123" i="159"/>
  <c r="F123" i="159"/>
  <c r="C123" i="159"/>
  <c r="H123" i="159"/>
  <c r="K123" i="159"/>
  <c r="L123" i="159"/>
  <c r="M123" i="159"/>
  <c r="N123" i="159"/>
  <c r="P123" i="159"/>
  <c r="J124" i="159"/>
  <c r="E124" i="159"/>
  <c r="F124" i="159"/>
  <c r="C124" i="159"/>
  <c r="H124" i="159"/>
  <c r="K124" i="159"/>
  <c r="L124" i="159"/>
  <c r="M124" i="159"/>
  <c r="N124" i="159"/>
  <c r="P124" i="159"/>
  <c r="J125" i="159"/>
  <c r="E125" i="159"/>
  <c r="F125" i="159"/>
  <c r="C125" i="159"/>
  <c r="H125" i="159"/>
  <c r="K125" i="159"/>
  <c r="L125" i="159"/>
  <c r="M125" i="159"/>
  <c r="N125" i="159"/>
  <c r="P125" i="159"/>
  <c r="J126" i="159"/>
  <c r="E126" i="159"/>
  <c r="F126" i="159"/>
  <c r="C126" i="159"/>
  <c r="H126" i="159"/>
  <c r="K126" i="159"/>
  <c r="L126" i="159"/>
  <c r="M126" i="159"/>
  <c r="N126" i="159"/>
  <c r="P126" i="159"/>
  <c r="J127" i="159"/>
  <c r="E127" i="159"/>
  <c r="F127" i="159"/>
  <c r="C127" i="159"/>
  <c r="H127" i="159"/>
  <c r="K127" i="159"/>
  <c r="L127" i="159"/>
  <c r="M127" i="159"/>
  <c r="N127" i="159"/>
  <c r="P127" i="159"/>
  <c r="J128" i="159"/>
  <c r="E128" i="159"/>
  <c r="F128" i="159"/>
  <c r="C128" i="159"/>
  <c r="H128" i="159"/>
  <c r="K128" i="159"/>
  <c r="L128" i="159"/>
  <c r="M128" i="159"/>
  <c r="N128" i="159"/>
  <c r="P128" i="159"/>
  <c r="J129" i="159"/>
  <c r="E129" i="159"/>
  <c r="F129" i="159"/>
  <c r="C129" i="159"/>
  <c r="H129" i="159"/>
  <c r="K129" i="159"/>
  <c r="L129" i="159"/>
  <c r="M129" i="159"/>
  <c r="N129" i="159"/>
  <c r="P129" i="159"/>
  <c r="J130" i="159"/>
  <c r="E130" i="159"/>
  <c r="F130" i="159"/>
  <c r="C130" i="159"/>
  <c r="H130" i="159"/>
  <c r="K130" i="159"/>
  <c r="L130" i="159"/>
  <c r="M130" i="159"/>
  <c r="N130" i="159"/>
  <c r="P130" i="159"/>
  <c r="J131" i="159"/>
  <c r="E131" i="159"/>
  <c r="F131" i="159"/>
  <c r="C131" i="159"/>
  <c r="H131" i="159"/>
  <c r="K131" i="159"/>
  <c r="L131" i="159"/>
  <c r="M131" i="159"/>
  <c r="N131" i="159"/>
  <c r="P131" i="159"/>
  <c r="J132" i="159"/>
  <c r="E132" i="159"/>
  <c r="F132" i="159"/>
  <c r="C132" i="159"/>
  <c r="H132" i="159"/>
  <c r="K132" i="159"/>
  <c r="L132" i="159"/>
  <c r="M132" i="159"/>
  <c r="N132" i="159"/>
  <c r="P132" i="159"/>
  <c r="J133" i="159"/>
  <c r="E133" i="159"/>
  <c r="F133" i="159"/>
  <c r="C133" i="159"/>
  <c r="H133" i="159"/>
  <c r="K133" i="159"/>
  <c r="L133" i="159"/>
  <c r="M133" i="159"/>
  <c r="N133" i="159"/>
  <c r="P133" i="159"/>
  <c r="J134" i="159"/>
  <c r="E134" i="159"/>
  <c r="F134" i="159"/>
  <c r="C134" i="159"/>
  <c r="H134" i="159"/>
  <c r="K134" i="159"/>
  <c r="L134" i="159"/>
  <c r="M134" i="159"/>
  <c r="N134" i="159"/>
  <c r="P134" i="159"/>
  <c r="J135" i="159"/>
  <c r="E135" i="159"/>
  <c r="F135" i="159"/>
  <c r="C135" i="159"/>
  <c r="H135" i="159"/>
  <c r="K135" i="159"/>
  <c r="L135" i="159"/>
  <c r="M135" i="159"/>
  <c r="N135" i="159"/>
  <c r="P135" i="159"/>
  <c r="J136" i="159"/>
  <c r="E136" i="159"/>
  <c r="F136" i="159"/>
  <c r="C136" i="159"/>
  <c r="H136" i="159"/>
  <c r="K136" i="159"/>
  <c r="L136" i="159"/>
  <c r="M136" i="159"/>
  <c r="N136" i="159"/>
  <c r="P136" i="159"/>
  <c r="J137" i="159"/>
  <c r="E137" i="159"/>
  <c r="F137" i="159"/>
  <c r="C137" i="159"/>
  <c r="H137" i="159"/>
  <c r="K137" i="159"/>
  <c r="L137" i="159"/>
  <c r="M137" i="159"/>
  <c r="N137" i="159"/>
  <c r="P137" i="159"/>
  <c r="J138" i="159"/>
  <c r="E138" i="159"/>
  <c r="F138" i="159"/>
  <c r="C138" i="159"/>
  <c r="H138" i="159"/>
  <c r="K138" i="159"/>
  <c r="L138" i="159"/>
  <c r="M138" i="159"/>
  <c r="N138" i="159"/>
  <c r="P138" i="159"/>
  <c r="J139" i="159"/>
  <c r="E139" i="159"/>
  <c r="F139" i="159"/>
  <c r="C139" i="159"/>
  <c r="H139" i="159"/>
  <c r="K139" i="159"/>
  <c r="L139" i="159"/>
  <c r="M139" i="159"/>
  <c r="N139" i="159"/>
  <c r="P139" i="159"/>
  <c r="A2" i="153"/>
  <c r="Q3" i="153"/>
  <c r="Q4" i="153"/>
  <c r="Q5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F6" i="153"/>
  <c r="E6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E5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F41" i="153"/>
  <c r="G41" i="153"/>
  <c r="F34" i="153"/>
  <c r="A2" i="157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F5" i="157"/>
  <c r="A36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F41" i="157"/>
  <c r="G41" i="157"/>
  <c r="F34" i="157"/>
  <c r="R4" i="153"/>
  <c r="R5" i="153"/>
  <c r="R3" i="153"/>
  <c r="F42" i="153"/>
  <c r="G42" i="153"/>
  <c r="B30" i="153"/>
  <c r="M8" i="153"/>
  <c r="M7" i="153"/>
  <c r="M6" i="153"/>
  <c r="M5" i="153"/>
  <c r="M4" i="153"/>
  <c r="M3" i="153"/>
  <c r="R4" i="157"/>
  <c r="R5" i="157"/>
  <c r="R3" i="157"/>
  <c r="F42" i="157"/>
  <c r="G42" i="157"/>
  <c r="R6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E3" i="159"/>
  <c r="E4" i="159"/>
  <c r="E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<sst xmlns="http://schemas.openxmlformats.org/spreadsheetml/2006/main" count="535" uniqueCount="256">
  <si>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</si>
  <si>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</si>
  <si>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</si>
  <si>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</si>
  <si>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</si>
  <si>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</si>
  <si>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</si>
  <si>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</si>
  <si>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</si>
  <si>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</si>
  <si>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</si>
  <si>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</si>
  <si>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</si>
  <si>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</si>
  <si>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</si>
  <si>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</si>
  <si>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</si>
  <si>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</si>
  <si>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</si>
  <si>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</si>
  <si>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</si>
  <si>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</si>
  <si>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</si>
  <si>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</si>
  <si>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</si>
  <si>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</si>
  <si>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</si>
  <si>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</si>
  <si>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</si>
  <si>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</si>
  <si>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</si>
  <si>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</si>
  <si>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</si>
  <si>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</si>
  <si>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</si>
  <si>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</si>
  <si>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</si>
  <si>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</si>
  <si>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</si>
  <si>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</si>
  <si>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</si>
  <si>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</si>
  <si>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</si>
  <si>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</si>
  <si>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</si>
  <si>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</si>
  <si>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</si>
  <si>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</si>
  <si>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</si>
  <si>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</si>
  <si>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</si>
  <si>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</si>
  <si>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</si>
  <si>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</si>
  <si>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</si>
  <si>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</si>
  <si>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</si>
  <si>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</si>
  <si>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</si>
  <si>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</si>
  <si>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</si>
  <si>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</si>
  <si>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</si>
  <si>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</si>
  <si>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</si>
  <si>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</si>
  <si>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</si>
  <si>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</si>
  <si>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</si>
  <si>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</si>
  <si>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</si>
  <si>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</si>
  <si>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</si>
  <si>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</si>
  <si>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</si>
  <si>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</si>
  <si>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</si>
  <si>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</si>
  <si>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</si>
  <si>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</si>
  <si>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</si>
  <si>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</si>
  <si>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</si>
  <si>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</si>
  <si>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</si>
  <si>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</si>
  <si>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</si>
  <si>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</si>
  <si>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</si>
  <si>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</si>
  <si>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</si>
  <si>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</si>
  <si>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</si>
  <si>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</si>
  <si>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</si>
  <si>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</si>
  <si>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</si>
  <si>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</si>
  <si>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</si>
  <si>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</si>
  <si>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</si>
  <si>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</si>
  <si>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</si>
  <si>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</si>
  <si>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</si>
  <si>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</si>
  <si>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</si>
  <si>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</si>
  <si>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</si>
  <si>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</si>
  <si>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</si>
  <si>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</si>
  <si>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</si>
  <si>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</si>
  <si>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</si>
  <si>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</si>
  <si>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</si>
  <si>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</si>
  <si>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</si>
  <si>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</si>
  <si>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</si>
  <si>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</si>
  <si>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</si>
  <si>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</si>
  <si>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</si>
  <si>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</si>
  <si>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</si>
  <si>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</si>
  <si>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</si>
  <si>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</si>
  <si>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</si>
  <si>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</si>
  <si>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</si>
  <si>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</si>
  <si>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</si>
  <si>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</si>
  <si>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</si>
  <si>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</si>
  <si>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</si>
  <si>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</si>
  <si>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</si>
  <si>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</si>
  <si>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</si>
  <si>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</si>
  <si>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</si>
  <si>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</si>
  <si>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</si>
  <si>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</si>
  <si>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</si>
  <si>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</si>
  <si>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</si>
  <si>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</si>
  <si>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</si>
  <si>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</si>
  <si>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</si>
  <si>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</si>
  <si>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</si>
  <si>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</si>
  <si>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</si>
  <si>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</si>
  <si>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</si>
  <si>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</si>
  <si>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</si>
  <si>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</si>
  <si>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</si>
  <si>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</si>
  <si>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</si>
  <si>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</si>
  <si>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</si>
  <si>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</si>
  <si>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</si>
  <si>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</si>
  <si>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</si>
  <si>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</si>
  <si>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</si>
  <si>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</si>
  <si>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</si>
  <si>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</si>
  <si>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</si>
  <si>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</si>
  <si>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</si>
  <si>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</si>
  <si>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</si>
  <si>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</si>
  <si>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</si>
  <si>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</si>
  <si>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</si>
  <si>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</si>
  <si>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</si>
  <si>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</si>
  <si>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</si>
  <si>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</si>
  <si>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</si>
  <si>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</si>
  <si>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</si>
  <si>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</si>
  <si>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</si>
  <si>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</si>
  <si>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</si>
  <si>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</si>
  <si>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</si>
  <si>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</si>
  <si>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</si>
  <si>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</si>
  <si>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</si>
  <si>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</si>
  <si>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</si>
  <si>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</si>
  <si>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</si>
  <si>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</si>
  <si>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</si>
  <si>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</si>
  <si>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</si>
  <si>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</si>
  <si>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</si>
  <si>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</si>
  <si>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</si>
  <si>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</si>
  <si>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</si>
  <si>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</si>
  <si>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</si>
  <si>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</si>
  <si>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</si>
  <si>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</si>
  <si>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</si>
  <si>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</si>
  <si>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</si>
  <si>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</si>
  <si>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</si>
  <si>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</si>
  <si>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</si>
  <si>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</si>
  <si>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</si>
  <si>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</si>
  <si>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</si>
  <si>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</si>
  <si>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</si>
  <si>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</si>
  <si>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</si>
  <si>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</si>
  <si>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</si>
  <si>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</si>
  <si>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</si>
  <si>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</si>
  <si>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</si>
  <si>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</si>
  <si>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</si>
  <si>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</si>
  <si>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</si>
  <si>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</si>
  <si>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</si>
  <si>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</si>
  <si>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</si>
  <si>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tables_453100</t>
  </si>
  <si>
    <t>tables_453010</t>
  </si>
  <si>
    <t>tables_settle_453100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</si>
</sst>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samurai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samurai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samurai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samurai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4</v>
          </cell>
          <cell r="J1426" t="str">
            <v>Drop2N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4</v>
          </cell>
          <cell r="J1427" t="str">
            <v>Drop2N</v>
          </cell>
          <cell r="K1427" t="str">
            <v>heal</v>
          </cell>
          <cell r="L1427" t="str">
            <v>回復タイプ</v>
          </cell>
          <cell r="M1427" t="str">
            <v>unknown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heal</v>
          </cell>
          <cell r="L1428" t="str">
            <v>回復タイプ</v>
          </cell>
          <cell r="M1428" t="str">
            <v>unknown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4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4</v>
          </cell>
          <cell r="J1431" t="str">
            <v>Drop2N</v>
          </cell>
          <cell r="K1431" t="str">
            <v>heal</v>
          </cell>
          <cell r="L1431" t="str">
            <v>回復タイプ</v>
          </cell>
          <cell r="M1431" t="str">
            <v>unknown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Drop2N</v>
          </cell>
          <cell r="K1432" t="str">
            <v>heal</v>
          </cell>
          <cell r="L1432" t="str">
            <v>回復タイプ</v>
          </cell>
          <cell r="M1432" t="str">
            <v>unknown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453100</v>
      </c>
      <c r="D2" s="19" t="s">
        <v>45</v>
      </c>
      <c r="E2" s="17" t="str">
        <f t="shared" ref="E2" si="1">B2&amp;C2&amp;D2</f>
        <v>gacha_select_tables_453100.tmp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453010</v>
      </c>
      <c r="D3" s="19" t="s">
        <v>45</v>
      </c>
      <c r="E3" s="17" t="str">
        <f t="shared" ref="E3:E10" si="3">B3&amp;C3&amp;D3</f>
        <v>gacha_select_tables_453010.tmp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453100</v>
      </c>
      <c r="D4" s="19" t="s">
        <v>250</v>
      </c>
      <c r="E4" s="17" t="str">
        <f t="shared" si="3"/>
        <v>gacha_settle_tables_453100.tmp</v>
      </c>
      <c r="F4" s="100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34" sqref="E34:F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VLOOKUP(L3,tables_453010!B:C,2,FALSE)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VLOOKUP(L4,tables_453010!B:C,2,FALSE)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0.47499999999999998</v>
      </c>
      <c r="D5" t="s">
        <v>201</v>
      </c>
      <c r="E5" s="43">
        <f>(B11-H5)/(F5-I5)</f>
        <v>8.3333333333333339E-4</v>
      </c>
      <c r="F5">
        <f>(COUNTIF(tables_453010!C:C,input_453010!A28)+COUNTIF(tables_453010!C:C,input_453010!A29))</f>
        <v>60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VLOOKUP(L5,tables_453010!B:C,2,FALSE)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1.0326086956521738E-2</v>
      </c>
      <c r="F6">
        <f>(COUNTIF(tables_453010!C:C,input_453010!A25)+COUNTIF(tables_453010!C:C,input_453010!A18)+COUNTIF(tables_453010!C:C,input_453010!A20)+COUNTIF(tables_453010!C:C,input_453010!A22))</f>
        <v>92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VLOOKUP(L6,tables_453010!B:C,2,FALSE)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VLOOKUP(L7,tables_453010!B:C,2,FALSE)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0.20032608695652174</v>
      </c>
      <c r="C17" s="85">
        <f t="shared" ref="C17:C31" si="2">SUMIF(Q:Q,A17,N:N)</f>
        <v>0</v>
      </c>
      <c r="D17" s="74">
        <f t="shared" ref="D17:D32" si="3">B17-C17</f>
        <v>0.20032608695652174</v>
      </c>
      <c r="E17">
        <f>COUNTIF(tables_453010!C:C,input_453010!A17)-COUNTIF(Q:Q,A17)</f>
        <v>20</v>
      </c>
      <c r="F17" s="43">
        <f>IFERROR(B17/E17,0)</f>
        <v>1.0016304347826088E-2</v>
      </c>
      <c r="G17">
        <f t="shared" ref="G17:G31" si="4">A$36*B17</f>
        <v>5529000</v>
      </c>
      <c r="H17">
        <f t="shared" ref="H17:H31" si="5">IFERROR(ROUND(G17/E17,5),0)</f>
        <v>276450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2.0019927536231857E-2</v>
      </c>
      <c r="C18" s="85">
        <f t="shared" si="2"/>
        <v>0</v>
      </c>
      <c r="D18" s="74">
        <f t="shared" si="3"/>
        <v>2.0019927536231857E-2</v>
      </c>
      <c r="E18">
        <f>COUNTIF(tables_453010!C:C,input_453010!A18)-COUNTIF(Q:Q,A18)</f>
        <v>20</v>
      </c>
      <c r="F18" s="43">
        <f>IFERROR(B18/E18,0)</f>
        <v>1.0009963768115929E-3</v>
      </c>
      <c r="G18">
        <f t="shared" si="4"/>
        <v>552549.9999999993</v>
      </c>
      <c r="H18">
        <f t="shared" si="5"/>
        <v>27627.5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0.25505434782608694</v>
      </c>
      <c r="C19" s="85">
        <f t="shared" si="2"/>
        <v>0</v>
      </c>
      <c r="D19" s="74">
        <f t="shared" si="3"/>
        <v>0.25505434782608694</v>
      </c>
      <c r="E19">
        <f>COUNTIF(tables_453010!C:C,input_453010!A19)-COUNTIF(Q:Q,A19)</f>
        <v>52</v>
      </c>
      <c r="F19" s="43">
        <f t="shared" ref="F19:F31" si="8">IFERROR(B19/E19,0)</f>
        <v>4.9048913043478254E-3</v>
      </c>
      <c r="G19">
        <f t="shared" si="4"/>
        <v>7039499.9999999991</v>
      </c>
      <c r="H19">
        <f t="shared" si="5"/>
        <v>135375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0.24163043478260871</v>
      </c>
      <c r="C20" s="85">
        <f t="shared" si="2"/>
        <v>0</v>
      </c>
      <c r="D20" s="74">
        <f t="shared" si="3"/>
        <v>0.24163043478260871</v>
      </c>
      <c r="E20">
        <f>COUNTIF(tables_453010!C:C,input_453010!A20)-COUNTIF(Q:Q,A20)</f>
        <v>52</v>
      </c>
      <c r="F20" s="43">
        <f t="shared" si="8"/>
        <v>4.6467391304347832E-3</v>
      </c>
      <c r="G20">
        <f t="shared" si="4"/>
        <v>6669000</v>
      </c>
      <c r="H20">
        <f t="shared" si="5"/>
        <v>128250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2.644746376811594E-2</v>
      </c>
      <c r="C21" s="85">
        <f t="shared" si="2"/>
        <v>0</v>
      </c>
      <c r="D21" s="74">
        <f t="shared" si="3"/>
        <v>2.644746376811594E-2</v>
      </c>
      <c r="E21">
        <f>COUNTIF(tables_453010!C:C,input_453010!A21)-COUNTIF(Q:Q,A21)</f>
        <v>52</v>
      </c>
      <c r="F21" s="43">
        <f t="shared" si="8"/>
        <v>5.0860507246376803E-4</v>
      </c>
      <c r="G21">
        <f t="shared" si="4"/>
        <v>729949.99999999988</v>
      </c>
      <c r="H21">
        <f t="shared" si="5"/>
        <v>14037.5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0.14817934782608694</v>
      </c>
      <c r="C22" s="85">
        <f t="shared" si="2"/>
        <v>0</v>
      </c>
      <c r="D22" s="74">
        <f t="shared" si="3"/>
        <v>0.14817934782608694</v>
      </c>
      <c r="E22">
        <f>COUNTIF(tables_453010!C:C,input_453010!A22)-COUNTIF(Q:Q,A22)</f>
        <v>16</v>
      </c>
      <c r="F22" s="43">
        <f t="shared" si="8"/>
        <v>9.2612092391304336E-3</v>
      </c>
      <c r="G22">
        <f t="shared" si="4"/>
        <v>4089749.9999999995</v>
      </c>
      <c r="H22">
        <f t="shared" si="5"/>
        <v>255609.375</v>
      </c>
      <c r="I22">
        <f t="shared" si="6"/>
        <v>0.375</v>
      </c>
      <c r="J22">
        <f t="shared" si="7"/>
        <v>2.6666666666666665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1.7038043478260868E-2</v>
      </c>
      <c r="C23" s="85">
        <f t="shared" si="2"/>
        <v>0</v>
      </c>
      <c r="D23" s="74">
        <f t="shared" si="3"/>
        <v>1.7038043478260868E-2</v>
      </c>
      <c r="E23">
        <f>COUNTIF(tables_453010!C:C,input_453010!A23)-COUNTIF(Q:Q,A23)</f>
        <v>22</v>
      </c>
      <c r="F23" s="43">
        <f t="shared" si="8"/>
        <v>7.7445652173913039E-4</v>
      </c>
      <c r="G23">
        <f t="shared" si="4"/>
        <v>470249.99999999994</v>
      </c>
      <c r="H23">
        <f t="shared" si="5"/>
        <v>21375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1.9619565217391301E-2</v>
      </c>
      <c r="C24" s="85">
        <f t="shared" si="2"/>
        <v>0</v>
      </c>
      <c r="D24" s="74">
        <f t="shared" si="3"/>
        <v>1.9619565217391301E-2</v>
      </c>
      <c r="E24">
        <f>COUNTIF(tables_453010!C:C,input_453010!A24)-COUNTIF(Q:Q,A24)</f>
        <v>4</v>
      </c>
      <c r="F24" s="43">
        <f t="shared" si="8"/>
        <v>4.9048913043478254E-3</v>
      </c>
      <c r="G24">
        <f t="shared" si="4"/>
        <v>541499.99999999988</v>
      </c>
      <c r="H24">
        <f t="shared" si="5"/>
        <v>135375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1.8586956521739129E-2</v>
      </c>
      <c r="C25" s="85">
        <f t="shared" si="2"/>
        <v>0</v>
      </c>
      <c r="D25" s="74">
        <f t="shared" si="3"/>
        <v>1.8586956521739129E-2</v>
      </c>
      <c r="E25">
        <f>COUNTIF(tables_453010!C:C,input_453010!A25)-COUNTIF(Q:Q,A25)</f>
        <v>4</v>
      </c>
      <c r="F25" s="43">
        <f t="shared" si="8"/>
        <v>4.6467391304347823E-3</v>
      </c>
      <c r="G25">
        <f t="shared" si="4"/>
        <v>512999.99999999994</v>
      </c>
      <c r="H25">
        <f t="shared" si="5"/>
        <v>128250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3.0978260869565215E-3</v>
      </c>
      <c r="C26" s="85">
        <f t="shared" si="2"/>
        <v>0</v>
      </c>
      <c r="D26" s="74">
        <f t="shared" si="3"/>
        <v>3.0978260869565215E-3</v>
      </c>
      <c r="E26">
        <f>COUNTIF(tables_453010!C:C,input_453010!A26)-COUNTIF(Q:Q,A26)</f>
        <v>4</v>
      </c>
      <c r="F26" s="43">
        <f t="shared" si="8"/>
        <v>7.7445652173913039E-4</v>
      </c>
      <c r="G26">
        <f t="shared" si="4"/>
        <v>85500</v>
      </c>
      <c r="H26">
        <f t="shared" si="5"/>
        <v>21375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2.1583333333333336E-2</v>
      </c>
      <c r="C27" s="85">
        <f t="shared" si="2"/>
        <v>0</v>
      </c>
      <c r="D27" s="74">
        <f t="shared" si="3"/>
        <v>2.1583333333333336E-2</v>
      </c>
      <c r="E27">
        <f>COUNTIF(tables_453010!C:C,input_453010!A27)-COUNTIF(Q:Q,A27)</f>
        <v>28</v>
      </c>
      <c r="F27" s="43">
        <f>IFERROR(B27/E27,0)</f>
        <v>7.7083333333333344E-4</v>
      </c>
      <c r="G27">
        <f t="shared" si="4"/>
        <v>595700.00000000012</v>
      </c>
      <c r="H27">
        <f t="shared" si="5"/>
        <v>21275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1.75E-3</v>
      </c>
      <c r="C28" s="85">
        <f t="shared" si="2"/>
        <v>0</v>
      </c>
      <c r="D28" s="74">
        <f t="shared" si="3"/>
        <v>1.75E-3</v>
      </c>
      <c r="E28">
        <f>COUNTIF(tables_453010!C:C,input_453010!A28)-COUNTIF(Q:Q,A28)</f>
        <v>28</v>
      </c>
      <c r="F28" s="43">
        <f t="shared" si="8"/>
        <v>6.2500000000000001E-5</v>
      </c>
      <c r="G28">
        <f t="shared" si="4"/>
        <v>48300</v>
      </c>
      <c r="H28">
        <f t="shared" si="5"/>
        <v>1725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2.6666666666666668E-2</v>
      </c>
      <c r="C29" s="85">
        <f t="shared" si="2"/>
        <v>0</v>
      </c>
      <c r="D29" s="74">
        <f t="shared" si="3"/>
        <v>2.6666666666666668E-2</v>
      </c>
      <c r="E29">
        <f>COUNTIF(tables_453010!C:C,input_453010!A29)-COUNTIF(Q:Q,A29)</f>
        <v>32</v>
      </c>
      <c r="F29" s="43">
        <f t="shared" si="8"/>
        <v>8.3333333333333339E-4</v>
      </c>
      <c r="G29">
        <f t="shared" si="4"/>
        <v>736000</v>
      </c>
      <c r="H29">
        <f t="shared" si="5"/>
        <v>23000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COUNTIF(tables_453010!C:C,input_453010!A30)-COUNTIF(Q:Q,A30)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COUNTIF(tables_453010!C:C,input_453010!A31)-COUNTIF(Q:Q,A31)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0.99999999999999978</v>
      </c>
      <c r="C32" s="41">
        <f>SUM(C19:C31)</f>
        <v>0</v>
      </c>
      <c r="D32" s="42">
        <f t="shared" si="3"/>
        <v>0.99999999999999978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1.3824275362318839E-2</v>
      </c>
      <c r="F34" s="55">
        <f ca="1">0.45-G41</f>
        <v>0</v>
      </c>
    </row>
    <row r="35" spans="1:7" x14ac:dyDescent="0.15">
      <c r="A35" t="s">
        <v>73</v>
      </c>
    </row>
    <row r="36" spans="1:7" x14ac:dyDescent="0.15">
      <c r="A36" s="31">
        <f>LCM(F5-I5,F6-I6)*1000*2*2*5</f>
        <v>27600000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SUMIF(tables_453010!C:C,input_453010!A40,tables_453010!O:O)</f>
        <v>7039500</v>
      </c>
      <c r="C40" s="54">
        <f t="shared" ref="C40:C46" ca="1" si="9">B40/B$47</f>
        <v>0.46673451594402765</v>
      </c>
      <c r="E40">
        <v>3</v>
      </c>
      <c r="F40">
        <f ca="1">SUMIF(tables_453010!J:J,input_453010!E40,tables_453010!O:O)</f>
        <v>13110000</v>
      </c>
      <c r="G40">
        <f ca="1">F40/A36</f>
        <v>0.47499999999999998</v>
      </c>
    </row>
    <row r="41" spans="1:7" x14ac:dyDescent="0.15">
      <c r="A41" s="33" t="s">
        <v>104</v>
      </c>
      <c r="B41">
        <f ca="1">SUMIF(tables_453010!C:C,input_453010!A41,tables_453010!O:O)</f>
        <v>6669000</v>
      </c>
      <c r="C41" s="54">
        <f t="shared" ca="1" si="9"/>
        <v>0.44216954142065779</v>
      </c>
      <c r="E41">
        <v>4</v>
      </c>
      <c r="F41">
        <f ca="1">SUMIF(tables_453010!J:J,input_453010!E41,tables_453010!O:O)</f>
        <v>12420000</v>
      </c>
      <c r="G41">
        <f ca="1">F41/A36</f>
        <v>0.45</v>
      </c>
    </row>
    <row r="42" spans="1:7" x14ac:dyDescent="0.15">
      <c r="A42" s="33" t="s">
        <v>106</v>
      </c>
      <c r="B42">
        <f ca="1">SUMIF(tables_453010!C:C,input_453010!A42,tables_453010!O:O)</f>
        <v>595700</v>
      </c>
      <c r="C42" s="54">
        <f t="shared" ca="1" si="9"/>
        <v>3.9496235691150974E-2</v>
      </c>
      <c r="E42">
        <v>5</v>
      </c>
      <c r="F42">
        <f ca="1">SUMIF(tables_453010!J:J,input_453010!E42,tables_453010!O:O)</f>
        <v>2070000</v>
      </c>
      <c r="G42">
        <f ca="1">F42/A36</f>
        <v>7.4999999999999997E-2</v>
      </c>
    </row>
    <row r="43" spans="1:7" x14ac:dyDescent="0.15">
      <c r="A43" s="33" t="s">
        <v>109</v>
      </c>
      <c r="B43">
        <f>SUMIF(tables_453010!C:C,input_453010!A43,tables_453010!O:O)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SUMIF(tables_453010!C:C,input_453010!A44,tables_453010!O:O)</f>
        <v>729950</v>
      </c>
      <c r="C44" s="54">
        <f t="shared" ca="1" si="9"/>
        <v>4.839730945569188E-2</v>
      </c>
      <c r="E44" t="s">
        <v>54</v>
      </c>
      <c r="F44" s="55"/>
    </row>
    <row r="45" spans="1:7" x14ac:dyDescent="0.15">
      <c r="A45" s="33" t="s">
        <v>107</v>
      </c>
      <c r="B45">
        <f ca="1">SUMIF(tables_453010!C:C,input_453010!A45,tables_453010!O:O)</f>
        <v>48300</v>
      </c>
      <c r="C45" s="54">
        <f t="shared" ca="1" si="9"/>
        <v>3.2023974884717006E-3</v>
      </c>
      <c r="E45" t="s">
        <v>204</v>
      </c>
      <c r="F45" s="55">
        <f ca="1">SUMIF(tables_453010!I:I,input_453010!E45,tables_453010!P:P)</f>
        <v>0.2249927536231883</v>
      </c>
    </row>
    <row r="46" spans="1:7" x14ac:dyDescent="0.15">
      <c r="A46" s="33" t="s">
        <v>108</v>
      </c>
      <c r="B46">
        <f>SUMIF(tables_453010!C:C,input_453010!A46,tables_453010!O:O)</f>
        <v>0</v>
      </c>
      <c r="C46" s="54">
        <f t="shared" ca="1" si="9"/>
        <v>0</v>
      </c>
      <c r="E46" t="s">
        <v>205</v>
      </c>
      <c r="F46" s="55">
        <f ca="1">SUMIF(tables_453010!I:I,input_453010!E46,tables_453010!P:P)</f>
        <v>0.20200226449275374</v>
      </c>
    </row>
    <row r="47" spans="1:7" x14ac:dyDescent="0.15">
      <c r="A47" s="39" t="s">
        <v>59</v>
      </c>
      <c r="B47">
        <f ca="1">SUM(B40:B46)</f>
        <v>15082450</v>
      </c>
      <c r="C47" s="55">
        <f ca="1">SUM(C40:C46)</f>
        <v>1</v>
      </c>
      <c r="E47" t="s">
        <v>206</v>
      </c>
      <c r="F47" s="55">
        <f ca="1">SUMIF(tables_453010!I:I,input_453010!E47,tables_453010!P:P)</f>
        <v>0.52300498188405808</v>
      </c>
    </row>
    <row r="48" spans="1:7" x14ac:dyDescent="0.15">
      <c r="E48" t="s">
        <v>207</v>
      </c>
      <c r="F48" s="55">
        <f ca="1">SUMIF(tables_453010!I:I,input_453010!E48,tables_453010!P:P)</f>
        <v>4.5833333333333282E-2</v>
      </c>
      <c r="G48" s="55"/>
    </row>
    <row r="49" spans="5:6" x14ac:dyDescent="0.15">
      <c r="E49" t="s">
        <v>251</v>
      </c>
      <c r="F49" s="55">
        <f ca="1">SUMIF(tables_453010!I:I,input_453010!E49,tables_453010!P:P)</f>
        <v>4.1666666666666666E-3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Q2" sqref="Q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input_453010!A$2</f>
        <v>453010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IFERROR(VLOOKUP(B2,input_453010!L:R,7,FALSE),VLOOKUP(tables_453010!C2,input_453010!A:H,8,FALSE))</f>
        <v>276450</v>
      </c>
      <c r="P2" s="46">
        <f t="shared" ref="P2:P65" ca="1" si="1">O2/SUM(O:O)</f>
        <v>1.0016304347826088E-2</v>
      </c>
      <c r="Q2" s="30">
        <f>IF(J2=3,40,IF(J2=4,60,80))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input_453010!A$2</f>
        <v>453010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IFERROR(VLOOKUP(B3,input_453010!L:R,7,FALSE),VLOOKUP(tables_453010!C3,input_453010!A:H,8,FALSE))</f>
        <v>27627.5</v>
      </c>
      <c r="P3" s="46">
        <f t="shared" ca="1" si="1"/>
        <v>1.0009963768115942E-3</v>
      </c>
      <c r="Q3" s="30">
        <f t="shared" ref="Q3:Q66" si="3">IF(J3=3,40,IF(J3=4,60,80))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input_453010!A$2</f>
        <v>453010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IFERROR(VLOOKUP(B4,input_453010!L:R,7,FALSE),VLOOKUP(tables_453010!C4,input_453010!A:H,8,FALSE))</f>
        <v>276450</v>
      </c>
      <c r="P4" s="46">
        <f t="shared" ca="1" si="1"/>
        <v>1.0016304347826088E-2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input_453010!A$2</f>
        <v>453010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IFERROR(VLOOKUP(B5,input_453010!L:R,7,FALSE),VLOOKUP(tables_453010!C5,input_453010!A:H,8,FALSE))</f>
        <v>27627.5</v>
      </c>
      <c r="P5" s="46">
        <f t="shared" ca="1" si="1"/>
        <v>1.0009963768115942E-3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input_453010!A$2</f>
        <v>453010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IFERROR(VLOOKUP(B6,input_453010!L:R,7,FALSE),VLOOKUP(tables_453010!C6,input_453010!A:H,8,FALSE))</f>
        <v>276450</v>
      </c>
      <c r="P6" s="46">
        <f t="shared" ca="1" si="1"/>
        <v>1.0016304347826088E-2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input_453010!A$2</f>
        <v>453010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IFERROR(VLOOKUP(B7,input_453010!L:R,7,FALSE),VLOOKUP(tables_453010!C7,input_453010!A:H,8,FALSE))</f>
        <v>27627.5</v>
      </c>
      <c r="P7" s="46">
        <f t="shared" ca="1" si="1"/>
        <v>1.0009963768115942E-3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input_453010!A$2</f>
        <v>453010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IFERROR(VLOOKUP(B8,input_453010!L:R,7,FALSE),VLOOKUP(tables_453010!C8,input_453010!A:H,8,FALSE))</f>
        <v>276450</v>
      </c>
      <c r="P8" s="46">
        <f t="shared" ca="1" si="1"/>
        <v>1.0016304347826088E-2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input_453010!A$2</f>
        <v>453010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IFERROR(VLOOKUP(B9,input_453010!L:R,7,FALSE),VLOOKUP(tables_453010!C9,input_453010!A:H,8,FALSE))</f>
        <v>27627.5</v>
      </c>
      <c r="P9" s="46">
        <f t="shared" ca="1" si="1"/>
        <v>1.0009963768115942E-3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input_453010!A$2</f>
        <v>453010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IFERROR(VLOOKUP(B10,input_453010!L:R,7,FALSE),VLOOKUP(tables_453010!C10,input_453010!A:H,8,FALSE))</f>
        <v>276450</v>
      </c>
      <c r="P10" s="46">
        <f t="shared" ca="1" si="1"/>
        <v>1.0016304347826088E-2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input_453010!A$2</f>
        <v>453010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IFERROR(VLOOKUP(B11,input_453010!L:R,7,FALSE),VLOOKUP(tables_453010!C11,input_453010!A:H,8,FALSE))</f>
        <v>27627.5</v>
      </c>
      <c r="P11" s="46">
        <f t="shared" ca="1" si="1"/>
        <v>1.0009963768115942E-3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input_453010!A$2</f>
        <v>453010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IFERROR(VLOOKUP(B12,input_453010!L:R,7,FALSE),VLOOKUP(tables_453010!C12,input_453010!A:H,8,FALSE))</f>
        <v>276450</v>
      </c>
      <c r="P12" s="46">
        <f t="shared" ca="1" si="1"/>
        <v>1.0016304347826088E-2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input_453010!A$2</f>
        <v>453010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IFERROR(VLOOKUP(B13,input_453010!L:R,7,FALSE),VLOOKUP(tables_453010!C13,input_453010!A:H,8,FALSE))</f>
        <v>27627.5</v>
      </c>
      <c r="P13" s="46">
        <f t="shared" ca="1" si="1"/>
        <v>1.0009963768115942E-3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input_453010!A$2</f>
        <v>453010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IFERROR(VLOOKUP(B14,input_453010!L:R,7,FALSE),VLOOKUP(tables_453010!C14,input_453010!A:H,8,FALSE))</f>
        <v>276450</v>
      </c>
      <c r="P14" s="46">
        <f t="shared" ca="1" si="1"/>
        <v>1.0016304347826088E-2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input_453010!A$2</f>
        <v>453010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IFERROR(VLOOKUP(B15,input_453010!L:R,7,FALSE),VLOOKUP(tables_453010!C15,input_453010!A:H,8,FALSE))</f>
        <v>27627.5</v>
      </c>
      <c r="P15" s="46">
        <f t="shared" ca="1" si="1"/>
        <v>1.0009963768115942E-3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input_453010!A$2</f>
        <v>453010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IFERROR(VLOOKUP(B16,input_453010!L:R,7,FALSE),VLOOKUP(tables_453010!C16,input_453010!A:H,8,FALSE))</f>
        <v>276450</v>
      </c>
      <c r="P16" s="46">
        <f t="shared" ca="1" si="1"/>
        <v>1.0016304347826088E-2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input_453010!A$2</f>
        <v>453010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IFERROR(VLOOKUP(B17,input_453010!L:R,7,FALSE),VLOOKUP(tables_453010!C17,input_453010!A:H,8,FALSE))</f>
        <v>27627.5</v>
      </c>
      <c r="P17" s="46">
        <f t="shared" ca="1" si="1"/>
        <v>1.0009963768115942E-3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input_453010!A$2</f>
        <v>453010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IFERROR(VLOOKUP(B18,input_453010!L:R,7,FALSE),VLOOKUP(tables_453010!C18,input_453010!A:H,8,FALSE))</f>
        <v>276450</v>
      </c>
      <c r="P18" s="46">
        <f t="shared" ca="1" si="1"/>
        <v>1.0016304347826088E-2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input_453010!A$2</f>
        <v>453010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IFERROR(VLOOKUP(B19,input_453010!L:R,7,FALSE),VLOOKUP(tables_453010!C19,input_453010!A:H,8,FALSE))</f>
        <v>27627.5</v>
      </c>
      <c r="P19" s="46">
        <f t="shared" ca="1" si="1"/>
        <v>1.0009963768115942E-3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input_453010!A$2</f>
        <v>453010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IFERROR(VLOOKUP(B20,input_453010!L:R,7,FALSE),VLOOKUP(tables_453010!C20,input_453010!A:H,8,FALSE))</f>
        <v>276450</v>
      </c>
      <c r="P20" s="46">
        <f t="shared" ca="1" si="1"/>
        <v>1.0016304347826088E-2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input_453010!A$2</f>
        <v>453010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IFERROR(VLOOKUP(B21,input_453010!L:R,7,FALSE),VLOOKUP(tables_453010!C21,input_453010!A:H,8,FALSE))</f>
        <v>27627.5</v>
      </c>
      <c r="P21" s="46">
        <f t="shared" ca="1" si="1"/>
        <v>1.0009963768115942E-3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input_453010!A$2</f>
        <v>453010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IFERROR(VLOOKUP(B22,input_453010!L:R,7,FALSE),VLOOKUP(tables_453010!C22,input_453010!A:H,8,FALSE))</f>
        <v>276450</v>
      </c>
      <c r="P22" s="46">
        <f t="shared" ca="1" si="1"/>
        <v>1.0016304347826088E-2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input_453010!A$2</f>
        <v>453010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IFERROR(VLOOKUP(B23,input_453010!L:R,7,FALSE),VLOOKUP(tables_453010!C23,input_453010!A:H,8,FALSE))</f>
        <v>27627.5</v>
      </c>
      <c r="P23" s="46">
        <f t="shared" ca="1" si="1"/>
        <v>1.0009963768115942E-3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input_453010!A$2</f>
        <v>453010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IFERROR(VLOOKUP(B24,input_453010!L:R,7,FALSE),VLOOKUP(tables_453010!C24,input_453010!A:H,8,FALSE))</f>
        <v>276450</v>
      </c>
      <c r="P24" s="46">
        <f t="shared" ca="1" si="1"/>
        <v>1.0016304347826088E-2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input_453010!A$2</f>
        <v>453010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IFERROR(VLOOKUP(B25,input_453010!L:R,7,FALSE),VLOOKUP(tables_453010!C25,input_453010!A:H,8,FALSE))</f>
        <v>27627.5</v>
      </c>
      <c r="P25" s="46">
        <f t="shared" ca="1" si="1"/>
        <v>1.0009963768115942E-3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input_453010!A$2</f>
        <v>453010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IFERROR(VLOOKUP(B26,input_453010!L:R,7,FALSE),VLOOKUP(tables_453010!C26,input_453010!A:H,8,FALSE))</f>
        <v>276450</v>
      </c>
      <c r="P26" s="46">
        <f t="shared" ca="1" si="1"/>
        <v>1.0016304347826088E-2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input_453010!A$2</f>
        <v>453010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IFERROR(VLOOKUP(B27,input_453010!L:R,7,FALSE),VLOOKUP(tables_453010!C27,input_453010!A:H,8,FALSE))</f>
        <v>27627.5</v>
      </c>
      <c r="P27" s="46">
        <f t="shared" ca="1" si="1"/>
        <v>1.0009963768115942E-3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input_453010!A$2</f>
        <v>453010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IFERROR(VLOOKUP(B28,input_453010!L:R,7,FALSE),VLOOKUP(tables_453010!C28,input_453010!A:H,8,FALSE))</f>
        <v>276450</v>
      </c>
      <c r="P28" s="46">
        <f t="shared" ca="1" si="1"/>
        <v>1.0016304347826088E-2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input_453010!A$2</f>
        <v>453010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IFERROR(VLOOKUP(B29,input_453010!L:R,7,FALSE),VLOOKUP(tables_453010!C29,input_453010!A:H,8,FALSE))</f>
        <v>27627.5</v>
      </c>
      <c r="P29" s="46">
        <f t="shared" ca="1" si="1"/>
        <v>1.0009963768115942E-3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input_453010!A$2</f>
        <v>453010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IFERROR(VLOOKUP(B30,input_453010!L:R,7,FALSE),VLOOKUP(tables_453010!C30,input_453010!A:H,8,FALSE))</f>
        <v>276450</v>
      </c>
      <c r="P30" s="46">
        <f t="shared" ca="1" si="1"/>
        <v>1.0016304347826088E-2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input_453010!A$2</f>
        <v>453010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IFERROR(VLOOKUP(B31,input_453010!L:R,7,FALSE),VLOOKUP(tables_453010!C31,input_453010!A:H,8,FALSE))</f>
        <v>27627.5</v>
      </c>
      <c r="P31" s="46">
        <f t="shared" ca="1" si="1"/>
        <v>1.0009963768115942E-3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input_453010!A$2</f>
        <v>453010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IFERROR(VLOOKUP(B32,input_453010!L:R,7,FALSE),VLOOKUP(tables_453010!C32,input_453010!A:H,8,FALSE))</f>
        <v>276450</v>
      </c>
      <c r="P32" s="46">
        <f t="shared" ca="1" si="1"/>
        <v>1.0016304347826088E-2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input_453010!A$2</f>
        <v>453010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IFERROR(VLOOKUP(B33,input_453010!L:R,7,FALSE),VLOOKUP(tables_453010!C33,input_453010!A:H,8,FALSE))</f>
        <v>27627.5</v>
      </c>
      <c r="P33" s="46">
        <f t="shared" ca="1" si="1"/>
        <v>1.0009963768115942E-3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input_453010!A$2</f>
        <v>453010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IFERROR(VLOOKUP(B34,input_453010!L:R,7,FALSE),VLOOKUP(tables_453010!C34,input_453010!A:H,8,FALSE))</f>
        <v>276450</v>
      </c>
      <c r="P34" s="46">
        <f t="shared" ca="1" si="1"/>
        <v>1.0016304347826088E-2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input_453010!A$2</f>
        <v>453010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IFERROR(VLOOKUP(B35,input_453010!L:R,7,FALSE),VLOOKUP(tables_453010!C35,input_453010!A:H,8,FALSE))</f>
        <v>27627.5</v>
      </c>
      <c r="P35" s="46">
        <f t="shared" ca="1" si="1"/>
        <v>1.0009963768115942E-3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input_453010!A$2</f>
        <v>453010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IFERROR(VLOOKUP(B36,input_453010!L:R,7,FALSE),VLOOKUP(tables_453010!C36,input_453010!A:H,8,FALSE))</f>
        <v>276450</v>
      </c>
      <c r="P36" s="46">
        <f t="shared" ca="1" si="1"/>
        <v>1.0016304347826088E-2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input_453010!A$2</f>
        <v>453010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IFERROR(VLOOKUP(B37,input_453010!L:R,7,FALSE),VLOOKUP(tables_453010!C37,input_453010!A:H,8,FALSE))</f>
        <v>27627.5</v>
      </c>
      <c r="P37" s="46">
        <f t="shared" ca="1" si="1"/>
        <v>1.0009963768115942E-3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input_453010!A$2</f>
        <v>453010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IFERROR(VLOOKUP(B38,input_453010!L:R,7,FALSE),VLOOKUP(tables_453010!C38,input_453010!A:H,8,FALSE))</f>
        <v>276450</v>
      </c>
      <c r="P38" s="46">
        <f t="shared" ca="1" si="1"/>
        <v>1.0016304347826088E-2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input_453010!A$2</f>
        <v>453010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IFERROR(VLOOKUP(B39,input_453010!L:R,7,FALSE),VLOOKUP(tables_453010!C39,input_453010!A:H,8,FALSE))</f>
        <v>27627.5</v>
      </c>
      <c r="P39" s="46">
        <f t="shared" ca="1" si="1"/>
        <v>1.0009963768115942E-3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input_453010!A$2</f>
        <v>453010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IFERROR(VLOOKUP(B40,input_453010!L:R,7,FALSE),VLOOKUP(tables_453010!C40,input_453010!A:H,8,FALSE))</f>
        <v>276450</v>
      </c>
      <c r="P40" s="46">
        <f t="shared" ca="1" si="1"/>
        <v>1.0016304347826088E-2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input_453010!A$2</f>
        <v>453010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IFERROR(VLOOKUP(B41,input_453010!L:R,7,FALSE),VLOOKUP(tables_453010!C41,input_453010!A:H,8,FALSE))</f>
        <v>27627.5</v>
      </c>
      <c r="P41" s="46">
        <f t="shared" ca="1" si="1"/>
        <v>1.0009963768115942E-3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input_453010!A$2</f>
        <v>453010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IFERROR(VLOOKUP(B42,input_453010!L:R,7,FALSE),VLOOKUP(tables_453010!C42,input_453010!A:H,8,FALSE))</f>
        <v>135375</v>
      </c>
      <c r="P42" s="46">
        <f t="shared" ca="1" si="1"/>
        <v>4.9048913043478262E-3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input_453010!A$2</f>
        <v>453010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IFERROR(VLOOKUP(B43,input_453010!L:R,7,FALSE),VLOOKUP(tables_453010!C43,input_453010!A:H,8,FALSE))</f>
        <v>128250</v>
      </c>
      <c r="P43" s="46">
        <f t="shared" ca="1" si="1"/>
        <v>4.6467391304347823E-3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input_453010!A$2</f>
        <v>453010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IFERROR(VLOOKUP(B44,input_453010!L:R,7,FALSE),VLOOKUP(tables_453010!C44,input_453010!A:H,8,FALSE))</f>
        <v>21375</v>
      </c>
      <c r="P44" s="46">
        <f t="shared" ca="1" si="1"/>
        <v>7.7445652173913039E-4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input_453010!A$2</f>
        <v>453010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IFERROR(VLOOKUP(B45,input_453010!L:R,7,FALSE),VLOOKUP(tables_453010!C45,input_453010!A:H,8,FALSE))</f>
        <v>135375</v>
      </c>
      <c r="P45" s="46">
        <f t="shared" ca="1" si="1"/>
        <v>4.9048913043478262E-3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input_453010!A$2</f>
        <v>453010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IFERROR(VLOOKUP(B46,input_453010!L:R,7,FALSE),VLOOKUP(tables_453010!C46,input_453010!A:H,8,FALSE))</f>
        <v>128250</v>
      </c>
      <c r="P46" s="46">
        <f t="shared" ca="1" si="1"/>
        <v>4.6467391304347823E-3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input_453010!A$2</f>
        <v>453010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IFERROR(VLOOKUP(B47,input_453010!L:R,7,FALSE),VLOOKUP(tables_453010!C47,input_453010!A:H,8,FALSE))</f>
        <v>21375</v>
      </c>
      <c r="P47" s="46">
        <f t="shared" ca="1" si="1"/>
        <v>7.7445652173913039E-4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input_453010!A$2</f>
        <v>453010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IFERROR(VLOOKUP(B48,input_453010!L:R,7,FALSE),VLOOKUP(tables_453010!C48,input_453010!A:H,8,FALSE))</f>
        <v>135375</v>
      </c>
      <c r="P48" s="46">
        <f t="shared" ca="1" si="1"/>
        <v>4.9048913043478262E-3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input_453010!A$2</f>
        <v>453010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IFERROR(VLOOKUP(B49,input_453010!L:R,7,FALSE),VLOOKUP(tables_453010!C49,input_453010!A:H,8,FALSE))</f>
        <v>128250</v>
      </c>
      <c r="P49" s="46">
        <f t="shared" ca="1" si="1"/>
        <v>4.6467391304347823E-3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input_453010!A$2</f>
        <v>453010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IFERROR(VLOOKUP(B50,input_453010!L:R,7,FALSE),VLOOKUP(tables_453010!C50,input_453010!A:H,8,FALSE))</f>
        <v>21375</v>
      </c>
      <c r="P50" s="46">
        <f t="shared" ca="1" si="1"/>
        <v>7.7445652173913039E-4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input_453010!A$2</f>
        <v>453010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IFERROR(VLOOKUP(B51,input_453010!L:R,7,FALSE),VLOOKUP(tables_453010!C51,input_453010!A:H,8,FALSE))</f>
        <v>135375</v>
      </c>
      <c r="P51" s="46">
        <f t="shared" ca="1" si="1"/>
        <v>4.9048913043478262E-3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input_453010!A$2</f>
        <v>453010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IFERROR(VLOOKUP(B52,input_453010!L:R,7,FALSE),VLOOKUP(tables_453010!C52,input_453010!A:H,8,FALSE))</f>
        <v>128250</v>
      </c>
      <c r="P52" s="46">
        <f t="shared" ca="1" si="1"/>
        <v>4.6467391304347823E-3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input_453010!A$2</f>
        <v>453010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IFERROR(VLOOKUP(B53,input_453010!L:R,7,FALSE),VLOOKUP(tables_453010!C53,input_453010!A:H,8,FALSE))</f>
        <v>14037.5</v>
      </c>
      <c r="P53" s="46">
        <f t="shared" ca="1" si="1"/>
        <v>5.0860507246376814E-4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input_453010!A$2</f>
        <v>453010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IFERROR(VLOOKUP(B54,input_453010!L:R,7,FALSE),VLOOKUP(tables_453010!C54,input_453010!A:H,8,FALSE))</f>
        <v>135375</v>
      </c>
      <c r="P54" s="46">
        <f t="shared" ca="1" si="1"/>
        <v>4.9048913043478262E-3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input_453010!A$2</f>
        <v>453010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IFERROR(VLOOKUP(B55,input_453010!L:R,7,FALSE),VLOOKUP(tables_453010!C55,input_453010!A:H,8,FALSE))</f>
        <v>128250</v>
      </c>
      <c r="P55" s="46">
        <f t="shared" ca="1" si="1"/>
        <v>4.6467391304347823E-3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input_453010!A$2</f>
        <v>453010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IFERROR(VLOOKUP(B56,input_453010!L:R,7,FALSE),VLOOKUP(tables_453010!C56,input_453010!A:H,8,FALSE))</f>
        <v>14037.5</v>
      </c>
      <c r="P56" s="46">
        <f t="shared" ca="1" si="1"/>
        <v>5.0860507246376814E-4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input_453010!A$2</f>
        <v>453010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IFERROR(VLOOKUP(B57,input_453010!L:R,7,FALSE),VLOOKUP(tables_453010!C57,input_453010!A:H,8,FALSE))</f>
        <v>135375</v>
      </c>
      <c r="P57" s="46">
        <f t="shared" ca="1" si="1"/>
        <v>4.9048913043478262E-3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input_453010!A$2</f>
        <v>453010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IFERROR(VLOOKUP(B58,input_453010!L:R,7,FALSE),VLOOKUP(tables_453010!C58,input_453010!A:H,8,FALSE))</f>
        <v>128250</v>
      </c>
      <c r="P58" s="46">
        <f t="shared" ca="1" si="1"/>
        <v>4.6467391304347823E-3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input_453010!A$2</f>
        <v>453010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IFERROR(VLOOKUP(B59,input_453010!L:R,7,FALSE),VLOOKUP(tables_453010!C59,input_453010!A:H,8,FALSE))</f>
        <v>14037.5</v>
      </c>
      <c r="P59" s="46">
        <f t="shared" ca="1" si="1"/>
        <v>5.0860507246376814E-4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input_453010!A$2</f>
        <v>453010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IFERROR(VLOOKUP(B60,input_453010!L:R,7,FALSE),VLOOKUP(tables_453010!C60,input_453010!A:H,8,FALSE))</f>
        <v>135375</v>
      </c>
      <c r="P60" s="46">
        <f t="shared" ca="1" si="1"/>
        <v>4.9048913043478262E-3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input_453010!A$2</f>
        <v>453010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IFERROR(VLOOKUP(B61,input_453010!L:R,7,FALSE),VLOOKUP(tables_453010!C61,input_453010!A:H,8,FALSE))</f>
        <v>128250</v>
      </c>
      <c r="P61" s="46">
        <f t="shared" ca="1" si="1"/>
        <v>4.6467391304347823E-3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input_453010!A$2</f>
        <v>453010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IFERROR(VLOOKUP(B62,input_453010!L:R,7,FALSE),VLOOKUP(tables_453010!C62,input_453010!A:H,8,FALSE))</f>
        <v>14037.5</v>
      </c>
      <c r="P62" s="46">
        <f t="shared" ca="1" si="1"/>
        <v>5.0860507246376814E-4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input_453010!A$2</f>
        <v>453010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IFERROR(VLOOKUP(B63,input_453010!L:R,7,FALSE),VLOOKUP(tables_453010!C63,input_453010!A:H,8,FALSE))</f>
        <v>135375</v>
      </c>
      <c r="P63" s="46">
        <f t="shared" ca="1" si="1"/>
        <v>4.9048913043478262E-3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input_453010!A$2</f>
        <v>453010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IFERROR(VLOOKUP(B64,input_453010!L:R,7,FALSE),VLOOKUP(tables_453010!C64,input_453010!A:H,8,FALSE))</f>
        <v>128250</v>
      </c>
      <c r="P64" s="46">
        <f t="shared" ca="1" si="1"/>
        <v>4.6467391304347823E-3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input_453010!A$2</f>
        <v>453010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IFERROR(VLOOKUP(B65,input_453010!L:R,7,FALSE),VLOOKUP(tables_453010!C65,input_453010!A:H,8,FALSE))</f>
        <v>14037.5</v>
      </c>
      <c r="P65" s="46">
        <f t="shared" ca="1" si="1"/>
        <v>5.0860507246376814E-4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input_453010!A$2</f>
        <v>453010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IFERROR(VLOOKUP(B66,input_453010!L:R,7,FALSE),VLOOKUP(tables_453010!C66,input_453010!A:H,8,FALSE))</f>
        <v>135375</v>
      </c>
      <c r="P66" s="46">
        <f t="shared" ref="P66:P129" ca="1" si="5">O66/SUM(O:O)</f>
        <v>4.9048913043478262E-3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input_453010!A$2</f>
        <v>453010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IFERROR(VLOOKUP(B67,input_453010!L:R,7,FALSE),VLOOKUP(tables_453010!C67,input_453010!A:H,8,FALSE))</f>
        <v>128250</v>
      </c>
      <c r="P67" s="46">
        <f t="shared" ca="1" si="5"/>
        <v>4.6467391304347823E-3</v>
      </c>
      <c r="Q67" s="30">
        <f t="shared" ref="Q67:Q130" si="7">IF(J67=3,40,IF(J67=4,60,80))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input_453010!A$2</f>
        <v>453010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IFERROR(VLOOKUP(B68,input_453010!L:R,7,FALSE),VLOOKUP(tables_453010!C68,input_453010!A:H,8,FALSE))</f>
        <v>14037.5</v>
      </c>
      <c r="P68" s="46">
        <f t="shared" ca="1" si="5"/>
        <v>5.0860507246376814E-4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input_453010!A$2</f>
        <v>453010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IFERROR(VLOOKUP(B69,input_453010!L:R,7,FALSE),VLOOKUP(tables_453010!C69,input_453010!A:H,8,FALSE))</f>
        <v>135375</v>
      </c>
      <c r="P69" s="46">
        <f t="shared" ca="1" si="5"/>
        <v>4.9048913043478262E-3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input_453010!A$2</f>
        <v>453010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IFERROR(VLOOKUP(B70,input_453010!L:R,7,FALSE),VLOOKUP(tables_453010!C70,input_453010!A:H,8,FALSE))</f>
        <v>128250</v>
      </c>
      <c r="P70" s="46">
        <f t="shared" ca="1" si="5"/>
        <v>4.6467391304347823E-3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input_453010!A$2</f>
        <v>453010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IFERROR(VLOOKUP(B71,input_453010!L:R,7,FALSE),VLOOKUP(tables_453010!C71,input_453010!A:H,8,FALSE))</f>
        <v>14037.5</v>
      </c>
      <c r="P71" s="46">
        <f t="shared" ca="1" si="5"/>
        <v>5.0860507246376814E-4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input_453010!A$2</f>
        <v>453010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IFERROR(VLOOKUP(B72,input_453010!L:R,7,FALSE),VLOOKUP(tables_453010!C72,input_453010!A:H,8,FALSE))</f>
        <v>135375</v>
      </c>
      <c r="P72" s="46">
        <f t="shared" ca="1" si="5"/>
        <v>4.9048913043478262E-3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input_453010!A$2</f>
        <v>453010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IFERROR(VLOOKUP(B73,input_453010!L:R,7,FALSE),VLOOKUP(tables_453010!C73,input_453010!A:H,8,FALSE))</f>
        <v>128250</v>
      </c>
      <c r="P73" s="46">
        <f t="shared" ca="1" si="5"/>
        <v>4.6467391304347823E-3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input_453010!A$2</f>
        <v>453010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IFERROR(VLOOKUP(B74,input_453010!L:R,7,FALSE),VLOOKUP(tables_453010!C74,input_453010!A:H,8,FALSE))</f>
        <v>14037.5</v>
      </c>
      <c r="P74" s="46">
        <f t="shared" ca="1" si="5"/>
        <v>5.0860507246376814E-4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input_453010!A$2</f>
        <v>453010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IFERROR(VLOOKUP(B75,input_453010!L:R,7,FALSE),VLOOKUP(tables_453010!C75,input_453010!A:H,8,FALSE))</f>
        <v>135375</v>
      </c>
      <c r="P75" s="46">
        <f t="shared" ca="1" si="5"/>
        <v>4.9048913043478262E-3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input_453010!A$2</f>
        <v>453010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IFERROR(VLOOKUP(B76,input_453010!L:R,7,FALSE),VLOOKUP(tables_453010!C76,input_453010!A:H,8,FALSE))</f>
        <v>128250</v>
      </c>
      <c r="P76" s="46">
        <f t="shared" ca="1" si="5"/>
        <v>4.6467391304347823E-3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input_453010!A$2</f>
        <v>453010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IFERROR(VLOOKUP(B77,input_453010!L:R,7,FALSE),VLOOKUP(tables_453010!C77,input_453010!A:H,8,FALSE))</f>
        <v>14037.5</v>
      </c>
      <c r="P77" s="46">
        <f t="shared" ca="1" si="5"/>
        <v>5.0860507246376814E-4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input_453010!A$2</f>
        <v>453010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IFERROR(VLOOKUP(B78,input_453010!L:R,7,FALSE),VLOOKUP(tables_453010!C78,input_453010!A:H,8,FALSE))</f>
        <v>135375</v>
      </c>
      <c r="P78" s="46">
        <f t="shared" ca="1" si="5"/>
        <v>4.9048913043478262E-3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input_453010!A$2</f>
        <v>453010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IFERROR(VLOOKUP(B79,input_453010!L:R,7,FALSE),VLOOKUP(tables_453010!C79,input_453010!A:H,8,FALSE))</f>
        <v>128250</v>
      </c>
      <c r="P79" s="46">
        <f t="shared" ca="1" si="5"/>
        <v>4.6467391304347823E-3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input_453010!A$2</f>
        <v>453010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IFERROR(VLOOKUP(B80,input_453010!L:R,7,FALSE),VLOOKUP(tables_453010!C80,input_453010!A:H,8,FALSE))</f>
        <v>14037.5</v>
      </c>
      <c r="P80" s="46">
        <f t="shared" ca="1" si="5"/>
        <v>5.0860507246376814E-4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input_453010!A$2</f>
        <v>453010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IFERROR(VLOOKUP(B81,input_453010!L:R,7,FALSE),VLOOKUP(tables_453010!C81,input_453010!A:H,8,FALSE))</f>
        <v>135375</v>
      </c>
      <c r="P81" s="46">
        <f t="shared" ca="1" si="5"/>
        <v>4.9048913043478262E-3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input_453010!A$2</f>
        <v>453010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IFERROR(VLOOKUP(B82,input_453010!L:R,7,FALSE),VLOOKUP(tables_453010!C82,input_453010!A:H,8,FALSE))</f>
        <v>128250</v>
      </c>
      <c r="P82" s="46">
        <f t="shared" ca="1" si="5"/>
        <v>4.6467391304347823E-3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input_453010!A$2</f>
        <v>453010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IFERROR(VLOOKUP(B83,input_453010!L:R,7,FALSE),VLOOKUP(tables_453010!C83,input_453010!A:H,8,FALSE))</f>
        <v>14037.5</v>
      </c>
      <c r="P83" s="46">
        <f t="shared" ca="1" si="5"/>
        <v>5.0860507246376814E-4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input_453010!A$2</f>
        <v>453010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IFERROR(VLOOKUP(B84,input_453010!L:R,7,FALSE),VLOOKUP(tables_453010!C84,input_453010!A:H,8,FALSE))</f>
        <v>135375</v>
      </c>
      <c r="P84" s="46">
        <f t="shared" ca="1" si="5"/>
        <v>4.9048913043478262E-3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input_453010!A$2</f>
        <v>453010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IFERROR(VLOOKUP(B85,input_453010!L:R,7,FALSE),VLOOKUP(tables_453010!C85,input_453010!A:H,8,FALSE))</f>
        <v>128250</v>
      </c>
      <c r="P85" s="46">
        <f t="shared" ca="1" si="5"/>
        <v>4.6467391304347823E-3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input_453010!A$2</f>
        <v>453010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IFERROR(VLOOKUP(B86,input_453010!L:R,7,FALSE),VLOOKUP(tables_453010!C86,input_453010!A:H,8,FALSE))</f>
        <v>14037.5</v>
      </c>
      <c r="P86" s="46">
        <f t="shared" ca="1" si="5"/>
        <v>5.0860507246376814E-4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input_453010!A$2</f>
        <v>453010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IFERROR(VLOOKUP(B87,input_453010!L:R,7,FALSE),VLOOKUP(tables_453010!C87,input_453010!A:H,8,FALSE))</f>
        <v>135375</v>
      </c>
      <c r="P87" s="46">
        <f t="shared" ca="1" si="5"/>
        <v>4.9048913043478262E-3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input_453010!A$2</f>
        <v>453010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IFERROR(VLOOKUP(B88,input_453010!L:R,7,FALSE),VLOOKUP(tables_453010!C88,input_453010!A:H,8,FALSE))</f>
        <v>128250</v>
      </c>
      <c r="P88" s="46">
        <f t="shared" ca="1" si="5"/>
        <v>4.6467391304347823E-3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input_453010!A$2</f>
        <v>453010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IFERROR(VLOOKUP(B89,input_453010!L:R,7,FALSE),VLOOKUP(tables_453010!C89,input_453010!A:H,8,FALSE))</f>
        <v>14037.5</v>
      </c>
      <c r="P89" s="46">
        <f t="shared" ca="1" si="5"/>
        <v>5.0860507246376814E-4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input_453010!A$2</f>
        <v>453010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IFERROR(VLOOKUP(B90,input_453010!L:R,7,FALSE),VLOOKUP(tables_453010!C90,input_453010!A:H,8,FALSE))</f>
        <v>135375</v>
      </c>
      <c r="P90" s="46">
        <f t="shared" ca="1" si="5"/>
        <v>4.9048913043478262E-3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input_453010!A$2</f>
        <v>453010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IFERROR(VLOOKUP(B91,input_453010!L:R,7,FALSE),VLOOKUP(tables_453010!C91,input_453010!A:H,8,FALSE))</f>
        <v>128250</v>
      </c>
      <c r="P91" s="46">
        <f t="shared" ca="1" si="5"/>
        <v>4.6467391304347823E-3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input_453010!A$2</f>
        <v>453010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IFERROR(VLOOKUP(B92,input_453010!L:R,7,FALSE),VLOOKUP(tables_453010!C92,input_453010!A:H,8,FALSE))</f>
        <v>14037.5</v>
      </c>
      <c r="P92" s="46">
        <f t="shared" ca="1" si="5"/>
        <v>5.0860507246376814E-4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input_453010!A$2</f>
        <v>453010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IFERROR(VLOOKUP(B93,input_453010!L:R,7,FALSE),VLOOKUP(tables_453010!C93,input_453010!A:H,8,FALSE))</f>
        <v>135375</v>
      </c>
      <c r="P93" s="46">
        <f t="shared" ca="1" si="5"/>
        <v>4.9048913043478262E-3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input_453010!A$2</f>
        <v>453010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IFERROR(VLOOKUP(B94,input_453010!L:R,7,FALSE),VLOOKUP(tables_453010!C94,input_453010!A:H,8,FALSE))</f>
        <v>128250</v>
      </c>
      <c r="P94" s="46">
        <f t="shared" ca="1" si="5"/>
        <v>4.6467391304347823E-3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input_453010!A$2</f>
        <v>453010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IFERROR(VLOOKUP(B95,input_453010!L:R,7,FALSE),VLOOKUP(tables_453010!C95,input_453010!A:H,8,FALSE))</f>
        <v>14037.5</v>
      </c>
      <c r="P95" s="46">
        <f t="shared" ca="1" si="5"/>
        <v>5.0860507246376814E-4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input_453010!A$2</f>
        <v>453010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IFERROR(VLOOKUP(B96,input_453010!L:R,7,FALSE),VLOOKUP(tables_453010!C96,input_453010!A:H,8,FALSE))</f>
        <v>135375</v>
      </c>
      <c r="P96" s="46">
        <f t="shared" ca="1" si="5"/>
        <v>4.9048913043478262E-3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input_453010!A$2</f>
        <v>453010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IFERROR(VLOOKUP(B97,input_453010!L:R,7,FALSE),VLOOKUP(tables_453010!C97,input_453010!A:H,8,FALSE))</f>
        <v>128250</v>
      </c>
      <c r="P97" s="46">
        <f t="shared" ca="1" si="5"/>
        <v>4.6467391304347823E-3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input_453010!A$2</f>
        <v>453010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IFERROR(VLOOKUP(B98,input_453010!L:R,7,FALSE),VLOOKUP(tables_453010!C98,input_453010!A:H,8,FALSE))</f>
        <v>14037.5</v>
      </c>
      <c r="P98" s="46">
        <f t="shared" ca="1" si="5"/>
        <v>5.0860507246376814E-4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input_453010!A$2</f>
        <v>453010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IFERROR(VLOOKUP(B99,input_453010!L:R,7,FALSE),VLOOKUP(tables_453010!C99,input_453010!A:H,8,FALSE))</f>
        <v>135375</v>
      </c>
      <c r="P99" s="46">
        <f t="shared" ca="1" si="5"/>
        <v>4.9048913043478262E-3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input_453010!A$2</f>
        <v>453010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IFERROR(VLOOKUP(B100,input_453010!L:R,7,FALSE),VLOOKUP(tables_453010!C100,input_453010!A:H,8,FALSE))</f>
        <v>128250</v>
      </c>
      <c r="P100" s="46">
        <f t="shared" ca="1" si="5"/>
        <v>4.6467391304347823E-3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input_453010!A$2</f>
        <v>453010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IFERROR(VLOOKUP(B101,input_453010!L:R,7,FALSE),VLOOKUP(tables_453010!C101,input_453010!A:H,8,FALSE))</f>
        <v>14037.5</v>
      </c>
      <c r="P101" s="46">
        <f t="shared" ca="1" si="5"/>
        <v>5.0860507246376814E-4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input_453010!A$2</f>
        <v>453010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IFERROR(VLOOKUP(B102,input_453010!L:R,7,FALSE),VLOOKUP(tables_453010!C102,input_453010!A:H,8,FALSE))</f>
        <v>135375</v>
      </c>
      <c r="P102" s="46">
        <f t="shared" ca="1" si="5"/>
        <v>4.9048913043478262E-3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input_453010!A$2</f>
        <v>453010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IFERROR(VLOOKUP(B103,input_453010!L:R,7,FALSE),VLOOKUP(tables_453010!C103,input_453010!A:H,8,FALSE))</f>
        <v>128250</v>
      </c>
      <c r="P103" s="46">
        <f t="shared" ca="1" si="5"/>
        <v>4.6467391304347823E-3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input_453010!A$2</f>
        <v>453010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IFERROR(VLOOKUP(B104,input_453010!L:R,7,FALSE),VLOOKUP(tables_453010!C104,input_453010!A:H,8,FALSE))</f>
        <v>14037.5</v>
      </c>
      <c r="P104" s="46">
        <f t="shared" ca="1" si="5"/>
        <v>5.0860507246376814E-4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input_453010!A$2</f>
        <v>453010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IFERROR(VLOOKUP(B105,input_453010!L:R,7,FALSE),VLOOKUP(tables_453010!C105,input_453010!A:H,8,FALSE))</f>
        <v>135375</v>
      </c>
      <c r="P105" s="46">
        <f t="shared" ca="1" si="5"/>
        <v>4.9048913043478262E-3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input_453010!A$2</f>
        <v>453010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IFERROR(VLOOKUP(B106,input_453010!L:R,7,FALSE),VLOOKUP(tables_453010!C106,input_453010!A:H,8,FALSE))</f>
        <v>128250</v>
      </c>
      <c r="P106" s="46">
        <f t="shared" ca="1" si="5"/>
        <v>4.6467391304347823E-3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input_453010!A$2</f>
        <v>453010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IFERROR(VLOOKUP(B107,input_453010!L:R,7,FALSE),VLOOKUP(tables_453010!C107,input_453010!A:H,8,FALSE))</f>
        <v>14037.5</v>
      </c>
      <c r="P107" s="46">
        <f t="shared" ca="1" si="5"/>
        <v>5.0860507246376814E-4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input_453010!A$2</f>
        <v>453010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IFERROR(VLOOKUP(B108,input_453010!L:R,7,FALSE),VLOOKUP(tables_453010!C108,input_453010!A:H,8,FALSE))</f>
        <v>135375</v>
      </c>
      <c r="P108" s="46">
        <f t="shared" ca="1" si="5"/>
        <v>4.9048913043478262E-3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input_453010!A$2</f>
        <v>453010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IFERROR(VLOOKUP(B109,input_453010!L:R,7,FALSE),VLOOKUP(tables_453010!C109,input_453010!A:H,8,FALSE))</f>
        <v>128250</v>
      </c>
      <c r="P109" s="46">
        <f t="shared" ca="1" si="5"/>
        <v>4.6467391304347823E-3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input_453010!A$2</f>
        <v>453010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IFERROR(VLOOKUP(B110,input_453010!L:R,7,FALSE),VLOOKUP(tables_453010!C110,input_453010!A:H,8,FALSE))</f>
        <v>14037.5</v>
      </c>
      <c r="P110" s="46">
        <f t="shared" ca="1" si="5"/>
        <v>5.0860507246376814E-4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input_453010!A$2</f>
        <v>453010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IFERROR(VLOOKUP(B111,input_453010!L:R,7,FALSE),VLOOKUP(tables_453010!C111,input_453010!A:H,8,FALSE))</f>
        <v>135375</v>
      </c>
      <c r="P111" s="46">
        <f t="shared" ca="1" si="5"/>
        <v>4.9048913043478262E-3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input_453010!A$2</f>
        <v>453010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IFERROR(VLOOKUP(B112,input_453010!L:R,7,FALSE),VLOOKUP(tables_453010!C112,input_453010!A:H,8,FALSE))</f>
        <v>128250</v>
      </c>
      <c r="P112" s="46">
        <f t="shared" ca="1" si="5"/>
        <v>4.6467391304347823E-3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input_453010!A$2</f>
        <v>453010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IFERROR(VLOOKUP(B113,input_453010!L:R,7,FALSE),VLOOKUP(tables_453010!C113,input_453010!A:H,8,FALSE))</f>
        <v>21375</v>
      </c>
      <c r="P113" s="46">
        <f t="shared" ca="1" si="5"/>
        <v>7.7445652173913039E-4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input_453010!A$2</f>
        <v>453010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IFERROR(VLOOKUP(B114,input_453010!L:R,7,FALSE),VLOOKUP(tables_453010!C114,input_453010!A:H,8,FALSE))</f>
        <v>135375</v>
      </c>
      <c r="P114" s="46">
        <f t="shared" ca="1" si="5"/>
        <v>4.9048913043478262E-3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input_453010!A$2</f>
        <v>453010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IFERROR(VLOOKUP(B115,input_453010!L:R,7,FALSE),VLOOKUP(tables_453010!C115,input_453010!A:H,8,FALSE))</f>
        <v>128250</v>
      </c>
      <c r="P115" s="46">
        <f t="shared" ca="1" si="5"/>
        <v>4.6467391304347823E-3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input_453010!A$2</f>
        <v>453010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IFERROR(VLOOKUP(B116,input_453010!L:R,7,FALSE),VLOOKUP(tables_453010!C116,input_453010!A:H,8,FALSE))</f>
        <v>14037.5</v>
      </c>
      <c r="P116" s="46">
        <f t="shared" ca="1" si="5"/>
        <v>5.0860507246376814E-4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input_453010!A$2</f>
        <v>453010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IFERROR(VLOOKUP(B117,input_453010!L:R,7,FALSE),VLOOKUP(tables_453010!C117,input_453010!A:H,8,FALSE))</f>
        <v>135375</v>
      </c>
      <c r="P117" s="46">
        <f t="shared" ca="1" si="5"/>
        <v>4.9048913043478262E-3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input_453010!A$2</f>
        <v>453010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IFERROR(VLOOKUP(B118,input_453010!L:R,7,FALSE),VLOOKUP(tables_453010!C118,input_453010!A:H,8,FALSE))</f>
        <v>128250</v>
      </c>
      <c r="P118" s="46">
        <f t="shared" ca="1" si="5"/>
        <v>4.6467391304347823E-3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input_453010!A$2</f>
        <v>453010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IFERROR(VLOOKUP(B119,input_453010!L:R,7,FALSE),VLOOKUP(tables_453010!C119,input_453010!A:H,8,FALSE))</f>
        <v>14037.5</v>
      </c>
      <c r="P119" s="46">
        <f t="shared" ca="1" si="5"/>
        <v>5.0860507246376814E-4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input_453010!A$2</f>
        <v>453010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IFERROR(VLOOKUP(B120,input_453010!L:R,7,FALSE),VLOOKUP(tables_453010!C120,input_453010!A:H,8,FALSE))</f>
        <v>135375</v>
      </c>
      <c r="P120" s="46">
        <f t="shared" ca="1" si="5"/>
        <v>4.9048913043478262E-3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input_453010!A$2</f>
        <v>453010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IFERROR(VLOOKUP(B121,input_453010!L:R,7,FALSE),VLOOKUP(tables_453010!C121,input_453010!A:H,8,FALSE))</f>
        <v>128250</v>
      </c>
      <c r="P121" s="46">
        <f t="shared" ca="1" si="5"/>
        <v>4.6467391304347823E-3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input_453010!A$2</f>
        <v>453010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IFERROR(VLOOKUP(B122,input_453010!L:R,7,FALSE),VLOOKUP(tables_453010!C122,input_453010!A:H,8,FALSE))</f>
        <v>14037.5</v>
      </c>
      <c r="P122" s="46">
        <f t="shared" ca="1" si="5"/>
        <v>5.0860507246376814E-4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input_453010!A$2</f>
        <v>453010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IFERROR(VLOOKUP(B123,input_453010!L:R,7,FALSE),VLOOKUP(tables_453010!C123,input_453010!A:H,8,FALSE))</f>
        <v>135375</v>
      </c>
      <c r="P123" s="46">
        <f t="shared" ca="1" si="5"/>
        <v>4.9048913043478262E-3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input_453010!A$2</f>
        <v>453010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IFERROR(VLOOKUP(B124,input_453010!L:R,7,FALSE),VLOOKUP(tables_453010!C124,input_453010!A:H,8,FALSE))</f>
        <v>128250</v>
      </c>
      <c r="P124" s="46">
        <f t="shared" ca="1" si="5"/>
        <v>4.6467391304347823E-3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input_453010!A$2</f>
        <v>453010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IFERROR(VLOOKUP(B125,input_453010!L:R,7,FALSE),VLOOKUP(tables_453010!C125,input_453010!A:H,8,FALSE))</f>
        <v>14037.5</v>
      </c>
      <c r="P125" s="46">
        <f t="shared" ca="1" si="5"/>
        <v>5.0860507246376814E-4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input_453010!A$2</f>
        <v>453010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IFERROR(VLOOKUP(B126,input_453010!L:R,7,FALSE),VLOOKUP(tables_453010!C126,input_453010!A:H,8,FALSE))</f>
        <v>135375</v>
      </c>
      <c r="P126" s="46">
        <f t="shared" ca="1" si="5"/>
        <v>4.9048913043478262E-3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input_453010!A$2</f>
        <v>453010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IFERROR(VLOOKUP(B127,input_453010!L:R,7,FALSE),VLOOKUP(tables_453010!C127,input_453010!A:H,8,FALSE))</f>
        <v>128250</v>
      </c>
      <c r="P127" s="46">
        <f t="shared" ca="1" si="5"/>
        <v>4.6467391304347823E-3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input_453010!A$2</f>
        <v>453010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IFERROR(VLOOKUP(B128,input_453010!L:R,7,FALSE),VLOOKUP(tables_453010!C128,input_453010!A:H,8,FALSE))</f>
        <v>14037.5</v>
      </c>
      <c r="P128" s="46">
        <f t="shared" ca="1" si="5"/>
        <v>5.0860507246376814E-4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input_453010!A$2</f>
        <v>453010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IFERROR(VLOOKUP(B129,input_453010!L:R,7,FALSE),VLOOKUP(tables_453010!C129,input_453010!A:H,8,FALSE))</f>
        <v>135375</v>
      </c>
      <c r="P129" s="46">
        <f t="shared" ca="1" si="5"/>
        <v>4.9048913043478262E-3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input_453010!A$2</f>
        <v>453010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IFERROR(VLOOKUP(B130,input_453010!L:R,7,FALSE),VLOOKUP(tables_453010!C130,input_453010!A:H,8,FALSE))</f>
        <v>128250</v>
      </c>
      <c r="P130" s="46">
        <f t="shared" ref="P130:P193" ca="1" si="9">O130/SUM(O:O)</f>
        <v>4.6467391304347823E-3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input_453010!A$2</f>
        <v>453010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IFERROR(VLOOKUP(B131,input_453010!L:R,7,FALSE),VLOOKUP(tables_453010!C131,input_453010!A:H,8,FALSE))</f>
        <v>14037.5</v>
      </c>
      <c r="P131" s="46">
        <f t="shared" ca="1" si="9"/>
        <v>5.0860507246376814E-4</v>
      </c>
      <c r="Q131" s="30">
        <f t="shared" ref="Q131:Q194" si="11">IF(J131=3,40,IF(J131=4,60,80))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input_453010!A$2</f>
        <v>453010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IFERROR(VLOOKUP(B132,input_453010!L:R,7,FALSE),VLOOKUP(tables_453010!C132,input_453010!A:H,8,FALSE))</f>
        <v>135375</v>
      </c>
      <c r="P132" s="46">
        <f t="shared" ca="1" si="9"/>
        <v>4.9048913043478262E-3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input_453010!A$2</f>
        <v>453010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IFERROR(VLOOKUP(B133,input_453010!L:R,7,FALSE),VLOOKUP(tables_453010!C133,input_453010!A:H,8,FALSE))</f>
        <v>128250</v>
      </c>
      <c r="P133" s="46">
        <f t="shared" ca="1" si="9"/>
        <v>4.6467391304347823E-3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input_453010!A$2</f>
        <v>453010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IFERROR(VLOOKUP(B134,input_453010!L:R,7,FALSE),VLOOKUP(tables_453010!C134,input_453010!A:H,8,FALSE))</f>
        <v>14037.5</v>
      </c>
      <c r="P134" s="46">
        <f t="shared" ca="1" si="9"/>
        <v>5.0860507246376814E-4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input_453010!A$2</f>
        <v>453010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IFERROR(VLOOKUP(B135,input_453010!L:R,7,FALSE),VLOOKUP(tables_453010!C135,input_453010!A:H,8,FALSE))</f>
        <v>135375</v>
      </c>
      <c r="P135" s="46">
        <f t="shared" ca="1" si="9"/>
        <v>4.9048913043478262E-3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input_453010!A$2</f>
        <v>453010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IFERROR(VLOOKUP(B136,input_453010!L:R,7,FALSE),VLOOKUP(tables_453010!C136,input_453010!A:H,8,FALSE))</f>
        <v>128250</v>
      </c>
      <c r="P136" s="46">
        <f t="shared" ca="1" si="9"/>
        <v>4.6467391304347823E-3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input_453010!A$2</f>
        <v>453010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IFERROR(VLOOKUP(B137,input_453010!L:R,7,FALSE),VLOOKUP(tables_453010!C137,input_453010!A:H,8,FALSE))</f>
        <v>14037.5</v>
      </c>
      <c r="P137" s="46">
        <f t="shared" ca="1" si="9"/>
        <v>5.0860507246376814E-4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input_453010!A$2</f>
        <v>453010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IFERROR(VLOOKUP(B138,input_453010!L:R,7,FALSE),VLOOKUP(tables_453010!C138,input_453010!A:H,8,FALSE))</f>
        <v>21275</v>
      </c>
      <c r="P138" s="46">
        <f t="shared" ca="1" si="9"/>
        <v>7.7083333333333333E-4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input_453010!A$2</f>
        <v>453010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IFERROR(VLOOKUP(B139,input_453010!L:R,7,FALSE),VLOOKUP(tables_453010!C139,input_453010!A:H,8,FALSE))</f>
        <v>1725</v>
      </c>
      <c r="P139" s="46">
        <f t="shared" ca="1" si="9"/>
        <v>6.2500000000000001E-5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input_453010!A$2</f>
        <v>453010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IFERROR(VLOOKUP(B140,input_453010!L:R,7,FALSE),VLOOKUP(tables_453010!C140,input_453010!A:H,8,FALSE))</f>
        <v>21275</v>
      </c>
      <c r="P140" s="46">
        <f t="shared" ca="1" si="9"/>
        <v>7.7083333333333333E-4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input_453010!A$2</f>
        <v>453010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IFERROR(VLOOKUP(B141,input_453010!L:R,7,FALSE),VLOOKUP(tables_453010!C141,input_453010!A:H,8,FALSE))</f>
        <v>1725</v>
      </c>
      <c r="P141" s="46">
        <f t="shared" ca="1" si="9"/>
        <v>6.2500000000000001E-5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input_453010!A$2</f>
        <v>453010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IFERROR(VLOOKUP(B142,input_453010!L:R,7,FALSE),VLOOKUP(tables_453010!C142,input_453010!A:H,8,FALSE))</f>
        <v>21275</v>
      </c>
      <c r="P142" s="46">
        <f t="shared" ca="1" si="9"/>
        <v>7.7083333333333333E-4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input_453010!A$2</f>
        <v>453010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IFERROR(VLOOKUP(B143,input_453010!L:R,7,FALSE),VLOOKUP(tables_453010!C143,input_453010!A:H,8,FALSE))</f>
        <v>1725</v>
      </c>
      <c r="P143" s="46">
        <f t="shared" ca="1" si="9"/>
        <v>6.2500000000000001E-5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input_453010!A$2</f>
        <v>453010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IFERROR(VLOOKUP(B144,input_453010!L:R,7,FALSE),VLOOKUP(tables_453010!C144,input_453010!A:H,8,FALSE))</f>
        <v>21275</v>
      </c>
      <c r="P144" s="46">
        <f t="shared" ca="1" si="9"/>
        <v>7.7083333333333333E-4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input_453010!A$2</f>
        <v>453010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IFERROR(VLOOKUP(B145,input_453010!L:R,7,FALSE),VLOOKUP(tables_453010!C145,input_453010!A:H,8,FALSE))</f>
        <v>1725</v>
      </c>
      <c r="P145" s="46">
        <f t="shared" ca="1" si="9"/>
        <v>6.2500000000000001E-5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input_453010!A$2</f>
        <v>453010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IFERROR(VLOOKUP(B146,input_453010!L:R,7,FALSE),VLOOKUP(tables_453010!C146,input_453010!A:H,8,FALSE))</f>
        <v>135375</v>
      </c>
      <c r="P146" s="46">
        <f t="shared" ca="1" si="9"/>
        <v>4.9048913043478262E-3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input_453010!A$2</f>
        <v>453010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IFERROR(VLOOKUP(B147,input_453010!L:R,7,FALSE),VLOOKUP(tables_453010!C147,input_453010!A:H,8,FALSE))</f>
        <v>128250</v>
      </c>
      <c r="P147" s="46">
        <f t="shared" ca="1" si="9"/>
        <v>4.6467391304347823E-3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input_453010!A$2</f>
        <v>453010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IFERROR(VLOOKUP(B148,input_453010!L:R,7,FALSE),VLOOKUP(tables_453010!C148,input_453010!A:H,8,FALSE))</f>
        <v>14037.5</v>
      </c>
      <c r="P148" s="46">
        <f t="shared" ca="1" si="9"/>
        <v>5.0860507246376814E-4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input_453010!A$2</f>
        <v>453010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IFERROR(VLOOKUP(B149,input_453010!L:R,7,FALSE),VLOOKUP(tables_453010!C149,input_453010!A:H,8,FALSE))</f>
        <v>21275</v>
      </c>
      <c r="P149" s="46">
        <f t="shared" ca="1" si="9"/>
        <v>7.7083333333333333E-4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input_453010!A$2</f>
        <v>453010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IFERROR(VLOOKUP(B150,input_453010!L:R,7,FALSE),VLOOKUP(tables_453010!C150,input_453010!A:H,8,FALSE))</f>
        <v>1725</v>
      </c>
      <c r="P150" s="46">
        <f t="shared" ca="1" si="9"/>
        <v>6.2500000000000001E-5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input_453010!A$2</f>
        <v>453010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IFERROR(VLOOKUP(B151,input_453010!L:R,7,FALSE),VLOOKUP(tables_453010!C151,input_453010!A:H,8,FALSE))</f>
        <v>21275</v>
      </c>
      <c r="P151" s="46">
        <f t="shared" ca="1" si="9"/>
        <v>7.7083333333333333E-4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input_453010!A$2</f>
        <v>453010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IFERROR(VLOOKUP(B152,input_453010!L:R,7,FALSE),VLOOKUP(tables_453010!C152,input_453010!A:H,8,FALSE))</f>
        <v>1725</v>
      </c>
      <c r="P152" s="46">
        <f t="shared" ca="1" si="9"/>
        <v>6.2500000000000001E-5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input_453010!A$2</f>
        <v>453010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IFERROR(VLOOKUP(B153,input_453010!L:R,7,FALSE),VLOOKUP(tables_453010!C153,input_453010!A:H,8,FALSE))</f>
        <v>135375</v>
      </c>
      <c r="P153" s="46">
        <f t="shared" ca="1" si="9"/>
        <v>4.9048913043478262E-3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input_453010!A$2</f>
        <v>453010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IFERROR(VLOOKUP(B154,input_453010!L:R,7,FALSE),VLOOKUP(tables_453010!C154,input_453010!A:H,8,FALSE))</f>
        <v>128250</v>
      </c>
      <c r="P154" s="46">
        <f t="shared" ca="1" si="9"/>
        <v>4.6467391304347823E-3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input_453010!A$2</f>
        <v>453010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IFERROR(VLOOKUP(B155,input_453010!L:R,7,FALSE),VLOOKUP(tables_453010!C155,input_453010!A:H,8,FALSE))</f>
        <v>14037.5</v>
      </c>
      <c r="P155" s="46">
        <f t="shared" ca="1" si="9"/>
        <v>5.0860507246376814E-4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input_453010!A$2</f>
        <v>453010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IFERROR(VLOOKUP(B156,input_453010!L:R,7,FALSE),VLOOKUP(tables_453010!C156,input_453010!A:H,8,FALSE))</f>
        <v>21275</v>
      </c>
      <c r="P156" s="46">
        <f t="shared" ca="1" si="9"/>
        <v>7.7083333333333333E-4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input_453010!A$2</f>
        <v>453010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IFERROR(VLOOKUP(B157,input_453010!L:R,7,FALSE),VLOOKUP(tables_453010!C157,input_453010!A:H,8,FALSE))</f>
        <v>1725</v>
      </c>
      <c r="P157" s="46">
        <f t="shared" ca="1" si="9"/>
        <v>6.2500000000000001E-5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input_453010!A$2</f>
        <v>453010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IFERROR(VLOOKUP(B158,input_453010!L:R,7,FALSE),VLOOKUP(tables_453010!C158,input_453010!A:H,8,FALSE))</f>
        <v>135375</v>
      </c>
      <c r="P158" s="46">
        <f t="shared" ca="1" si="9"/>
        <v>4.9048913043478262E-3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input_453010!A$2</f>
        <v>453010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IFERROR(VLOOKUP(B159,input_453010!L:R,7,FALSE),VLOOKUP(tables_453010!C159,input_453010!A:H,8,FALSE))</f>
        <v>128250</v>
      </c>
      <c r="P159" s="46">
        <f t="shared" ca="1" si="9"/>
        <v>4.6467391304347823E-3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input_453010!A$2</f>
        <v>453010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IFERROR(VLOOKUP(B160,input_453010!L:R,7,FALSE),VLOOKUP(tables_453010!C160,input_453010!A:H,8,FALSE))</f>
        <v>14037.5</v>
      </c>
      <c r="P160" s="46">
        <f t="shared" ca="1" si="9"/>
        <v>5.0860507246376814E-4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input_453010!A$2</f>
        <v>453010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IFERROR(VLOOKUP(B161,input_453010!L:R,7,FALSE),VLOOKUP(tables_453010!C161,input_453010!A:H,8,FALSE))</f>
        <v>135375</v>
      </c>
      <c r="P161" s="46">
        <f t="shared" ca="1" si="9"/>
        <v>4.9048913043478262E-3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input_453010!A$2</f>
        <v>453010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IFERROR(VLOOKUP(B162,input_453010!L:R,7,FALSE),VLOOKUP(tables_453010!C162,input_453010!A:H,8,FALSE))</f>
        <v>128250</v>
      </c>
      <c r="P162" s="46">
        <f t="shared" ca="1" si="9"/>
        <v>4.6467391304347823E-3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input_453010!A$2</f>
        <v>453010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IFERROR(VLOOKUP(B163,input_453010!L:R,7,FALSE),VLOOKUP(tables_453010!C163,input_453010!A:H,8,FALSE))</f>
        <v>14037.5</v>
      </c>
      <c r="P163" s="46">
        <f t="shared" ca="1" si="9"/>
        <v>5.0860507246376814E-4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input_453010!A$2</f>
        <v>453010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IFERROR(VLOOKUP(B164,input_453010!L:R,7,FALSE),VLOOKUP(tables_453010!C164,input_453010!A:H,8,FALSE))</f>
        <v>21275</v>
      </c>
      <c r="P164" s="46">
        <f t="shared" ca="1" si="9"/>
        <v>7.7083333333333333E-4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input_453010!A$2</f>
        <v>453010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IFERROR(VLOOKUP(B165,input_453010!L:R,7,FALSE),VLOOKUP(tables_453010!C165,input_453010!A:H,8,FALSE))</f>
        <v>1725</v>
      </c>
      <c r="P165" s="46">
        <f t="shared" ca="1" si="9"/>
        <v>6.2500000000000001E-5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input_453010!A$2</f>
        <v>453010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IFERROR(VLOOKUP(B166,input_453010!L:R,7,FALSE),VLOOKUP(tables_453010!C166,input_453010!A:H,8,FALSE))</f>
        <v>135375</v>
      </c>
      <c r="P166" s="46">
        <f t="shared" ca="1" si="9"/>
        <v>4.9048913043478262E-3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input_453010!A$2</f>
        <v>453010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IFERROR(VLOOKUP(B167,input_453010!L:R,7,FALSE),VLOOKUP(tables_453010!C167,input_453010!A:H,8,FALSE))</f>
        <v>128250</v>
      </c>
      <c r="P167" s="46">
        <f t="shared" ca="1" si="9"/>
        <v>4.6467391304347823E-3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input_453010!A$2</f>
        <v>453010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IFERROR(VLOOKUP(B168,input_453010!L:R,7,FALSE),VLOOKUP(tables_453010!C168,input_453010!A:H,8,FALSE))</f>
        <v>14037.5</v>
      </c>
      <c r="P168" s="46">
        <f t="shared" ca="1" si="9"/>
        <v>5.0860507246376814E-4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input_453010!A$2</f>
        <v>453010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IFERROR(VLOOKUP(B169,input_453010!L:R,7,FALSE),VLOOKUP(tables_453010!C169,input_453010!A:H,8,FALSE))</f>
        <v>21275</v>
      </c>
      <c r="P169" s="46">
        <f t="shared" ca="1" si="9"/>
        <v>7.7083333333333333E-4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input_453010!A$2</f>
        <v>453010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IFERROR(VLOOKUP(B170,input_453010!L:R,7,FALSE),VLOOKUP(tables_453010!C170,input_453010!A:H,8,FALSE))</f>
        <v>1725</v>
      </c>
      <c r="P170" s="46">
        <f t="shared" ca="1" si="9"/>
        <v>6.2500000000000001E-5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input_453010!A$2</f>
        <v>453010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IFERROR(VLOOKUP(B171,input_453010!L:R,7,FALSE),VLOOKUP(tables_453010!C171,input_453010!A:H,8,FALSE))</f>
        <v>135375</v>
      </c>
      <c r="P171" s="46">
        <f t="shared" ca="1" si="9"/>
        <v>4.9048913043478262E-3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input_453010!A$2</f>
        <v>453010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IFERROR(VLOOKUP(B172,input_453010!L:R,7,FALSE),VLOOKUP(tables_453010!C172,input_453010!A:H,8,FALSE))</f>
        <v>128250</v>
      </c>
      <c r="P172" s="46">
        <f t="shared" ca="1" si="9"/>
        <v>4.6467391304347823E-3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input_453010!A$2</f>
        <v>453010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IFERROR(VLOOKUP(B173,input_453010!L:R,7,FALSE),VLOOKUP(tables_453010!C173,input_453010!A:H,8,FALSE))</f>
        <v>14037.5</v>
      </c>
      <c r="P173" s="46">
        <f t="shared" ca="1" si="9"/>
        <v>5.0860507246376814E-4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input_453010!A$2</f>
        <v>453010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IFERROR(VLOOKUP(B174,input_453010!L:R,7,FALSE),VLOOKUP(tables_453010!C174,input_453010!A:H,8,FALSE))</f>
        <v>21275</v>
      </c>
      <c r="P174" s="46">
        <f t="shared" ca="1" si="9"/>
        <v>7.7083333333333333E-4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input_453010!A$2</f>
        <v>453010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IFERROR(VLOOKUP(B175,input_453010!L:R,7,FALSE),VLOOKUP(tables_453010!C175,input_453010!A:H,8,FALSE))</f>
        <v>1725</v>
      </c>
      <c r="P175" s="46">
        <f t="shared" ca="1" si="9"/>
        <v>6.2500000000000001E-5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input_453010!A$2</f>
        <v>453010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IFERROR(VLOOKUP(B176,input_453010!L:R,7,FALSE),VLOOKUP(tables_453010!C176,input_453010!A:H,8,FALSE))</f>
        <v>21275</v>
      </c>
      <c r="P176" s="46">
        <f t="shared" ca="1" si="9"/>
        <v>7.7083333333333333E-4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input_453010!A$2</f>
        <v>453010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IFERROR(VLOOKUP(B177,input_453010!L:R,7,FALSE),VLOOKUP(tables_453010!C177,input_453010!A:H,8,FALSE))</f>
        <v>1725</v>
      </c>
      <c r="P177" s="46">
        <f t="shared" ca="1" si="9"/>
        <v>6.2500000000000001E-5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input_453010!A$2</f>
        <v>453010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IFERROR(VLOOKUP(B178,input_453010!L:R,7,FALSE),VLOOKUP(tables_453010!C178,input_453010!A:H,8,FALSE))</f>
        <v>135375</v>
      </c>
      <c r="P178" s="46">
        <f t="shared" ca="1" si="9"/>
        <v>4.9048913043478262E-3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input_453010!A$2</f>
        <v>453010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IFERROR(VLOOKUP(B179,input_453010!L:R,7,FALSE),VLOOKUP(tables_453010!C179,input_453010!A:H,8,FALSE))</f>
        <v>128250</v>
      </c>
      <c r="P179" s="46">
        <f t="shared" ca="1" si="9"/>
        <v>4.6467391304347823E-3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input_453010!A$2</f>
        <v>453010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IFERROR(VLOOKUP(B180,input_453010!L:R,7,FALSE),VLOOKUP(tables_453010!C180,input_453010!A:H,8,FALSE))</f>
        <v>14037.5</v>
      </c>
      <c r="P180" s="46">
        <f t="shared" ca="1" si="9"/>
        <v>5.0860507246376814E-4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input_453010!A$2</f>
        <v>453010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IFERROR(VLOOKUP(B181,input_453010!L:R,7,FALSE),VLOOKUP(tables_453010!C181,input_453010!A:H,8,FALSE))</f>
        <v>135375</v>
      </c>
      <c r="P181" s="46">
        <f t="shared" ca="1" si="9"/>
        <v>4.9048913043478262E-3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input_453010!A$2</f>
        <v>453010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IFERROR(VLOOKUP(B182,input_453010!L:R,7,FALSE),VLOOKUP(tables_453010!C182,input_453010!A:H,8,FALSE))</f>
        <v>128250</v>
      </c>
      <c r="P182" s="46">
        <f t="shared" ca="1" si="9"/>
        <v>4.6467391304347823E-3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input_453010!A$2</f>
        <v>453010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IFERROR(VLOOKUP(B183,input_453010!L:R,7,FALSE),VLOOKUP(tables_453010!C183,input_453010!A:H,8,FALSE))</f>
        <v>14037.5</v>
      </c>
      <c r="P183" s="46">
        <f t="shared" ca="1" si="9"/>
        <v>5.0860507246376814E-4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input_453010!A$2</f>
        <v>453010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IFERROR(VLOOKUP(B184,input_453010!L:R,7,FALSE),VLOOKUP(tables_453010!C184,input_453010!A:H,8,FALSE))</f>
        <v>21275</v>
      </c>
      <c r="P184" s="46">
        <f t="shared" ca="1" si="9"/>
        <v>7.7083333333333333E-4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input_453010!A$2</f>
        <v>453010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IFERROR(VLOOKUP(B185,input_453010!L:R,7,FALSE),VLOOKUP(tables_453010!C185,input_453010!A:H,8,FALSE))</f>
        <v>1725</v>
      </c>
      <c r="P185" s="46">
        <f t="shared" ca="1" si="9"/>
        <v>6.2500000000000001E-5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input_453010!A$2</f>
        <v>453010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IFERROR(VLOOKUP(B186,input_453010!L:R,7,FALSE),VLOOKUP(tables_453010!C186,input_453010!A:H,8,FALSE))</f>
        <v>135375</v>
      </c>
      <c r="P186" s="46">
        <f t="shared" ca="1" si="9"/>
        <v>4.9048913043478262E-3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input_453010!A$2</f>
        <v>453010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IFERROR(VLOOKUP(B187,input_453010!L:R,7,FALSE),VLOOKUP(tables_453010!C187,input_453010!A:H,8,FALSE))</f>
        <v>128250</v>
      </c>
      <c r="P187" s="46">
        <f t="shared" ca="1" si="9"/>
        <v>4.6467391304347823E-3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input_453010!A$2</f>
        <v>453010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IFERROR(VLOOKUP(B188,input_453010!L:R,7,FALSE),VLOOKUP(tables_453010!C188,input_453010!A:H,8,FALSE))</f>
        <v>14037.5</v>
      </c>
      <c r="P188" s="46">
        <f t="shared" ca="1" si="9"/>
        <v>5.0860507246376814E-4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input_453010!A$2</f>
        <v>453010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IFERROR(VLOOKUP(B189,input_453010!L:R,7,FALSE),VLOOKUP(tables_453010!C189,input_453010!A:H,8,FALSE))</f>
        <v>21275</v>
      </c>
      <c r="P189" s="46">
        <f t="shared" ca="1" si="9"/>
        <v>7.7083333333333333E-4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input_453010!A$2</f>
        <v>453010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IFERROR(VLOOKUP(B190,input_453010!L:R,7,FALSE),VLOOKUP(tables_453010!C190,input_453010!A:H,8,FALSE))</f>
        <v>1725</v>
      </c>
      <c r="P190" s="46">
        <f t="shared" ca="1" si="9"/>
        <v>6.2500000000000001E-5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input_453010!A$2</f>
        <v>453010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IFERROR(VLOOKUP(B191,input_453010!L:R,7,FALSE),VLOOKUP(tables_453010!C191,input_453010!A:H,8,FALSE))</f>
        <v>21275</v>
      </c>
      <c r="P191" s="46">
        <f t="shared" ca="1" si="9"/>
        <v>7.7083333333333333E-4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input_453010!A$2</f>
        <v>453010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IFERROR(VLOOKUP(B192,input_453010!L:R,7,FALSE),VLOOKUP(tables_453010!C192,input_453010!A:H,8,FALSE))</f>
        <v>1725</v>
      </c>
      <c r="P192" s="46">
        <f t="shared" ca="1" si="9"/>
        <v>6.2500000000000001E-5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input_453010!A$2</f>
        <v>453010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IFERROR(VLOOKUP(B193,input_453010!L:R,7,FALSE),VLOOKUP(tables_453010!C193,input_453010!A:H,8,FALSE))</f>
        <v>135375</v>
      </c>
      <c r="P193" s="46">
        <f t="shared" ca="1" si="9"/>
        <v>4.9048913043478262E-3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input_453010!A$2</f>
        <v>453010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IFERROR(VLOOKUP(B194,input_453010!L:R,7,FALSE),VLOOKUP(tables_453010!C194,input_453010!A:H,8,FALSE))</f>
        <v>128250</v>
      </c>
      <c r="P194" s="46">
        <f t="shared" ref="P194:P257" ca="1" si="13">O194/SUM(O:O)</f>
        <v>4.6467391304347823E-3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input_453010!A$2</f>
        <v>453010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IFERROR(VLOOKUP(B195,input_453010!L:R,7,FALSE),VLOOKUP(tables_453010!C195,input_453010!A:H,8,FALSE))</f>
        <v>14037.5</v>
      </c>
      <c r="P195" s="46">
        <f t="shared" ca="1" si="13"/>
        <v>5.0860507246376814E-4</v>
      </c>
      <c r="Q195" s="30">
        <f t="shared" ref="Q195:Q258" si="15">IF(J195=3,40,IF(J195=4,60,80))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input_453010!A$2</f>
        <v>453010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IFERROR(VLOOKUP(B196,input_453010!L:R,7,FALSE),VLOOKUP(tables_453010!C196,input_453010!A:H,8,FALSE))</f>
        <v>21275</v>
      </c>
      <c r="P196" s="46">
        <f t="shared" ca="1" si="13"/>
        <v>7.7083333333333333E-4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input_453010!A$2</f>
        <v>453010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IFERROR(VLOOKUP(B197,input_453010!L:R,7,FALSE),VLOOKUP(tables_453010!C197,input_453010!A:H,8,FALSE))</f>
        <v>1725</v>
      </c>
      <c r="P197" s="46">
        <f t="shared" ca="1" si="13"/>
        <v>6.2500000000000001E-5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input_453010!A$2</f>
        <v>453010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IFERROR(VLOOKUP(B198,input_453010!L:R,7,FALSE),VLOOKUP(tables_453010!C198,input_453010!A:H,8,FALSE))</f>
        <v>135375</v>
      </c>
      <c r="P198" s="46">
        <f t="shared" ca="1" si="13"/>
        <v>4.9048913043478262E-3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input_453010!A$2</f>
        <v>453010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IFERROR(VLOOKUP(B199,input_453010!L:R,7,FALSE),VLOOKUP(tables_453010!C199,input_453010!A:H,8,FALSE))</f>
        <v>128250</v>
      </c>
      <c r="P199" s="46">
        <f t="shared" ca="1" si="13"/>
        <v>4.6467391304347823E-3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input_453010!A$2</f>
        <v>453010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IFERROR(VLOOKUP(B200,input_453010!L:R,7,FALSE),VLOOKUP(tables_453010!C200,input_453010!A:H,8,FALSE))</f>
        <v>14037.5</v>
      </c>
      <c r="P200" s="46">
        <f t="shared" ca="1" si="13"/>
        <v>5.0860507246376814E-4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input_453010!A$2</f>
        <v>453010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IFERROR(VLOOKUP(B201,input_453010!L:R,7,FALSE),VLOOKUP(tables_453010!C201,input_453010!A:H,8,FALSE))</f>
        <v>21275</v>
      </c>
      <c r="P201" s="46">
        <f t="shared" ca="1" si="13"/>
        <v>7.7083333333333333E-4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input_453010!A$2</f>
        <v>453010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IFERROR(VLOOKUP(B202,input_453010!L:R,7,FALSE),VLOOKUP(tables_453010!C202,input_453010!A:H,8,FALSE))</f>
        <v>1725</v>
      </c>
      <c r="P202" s="46">
        <f t="shared" ca="1" si="13"/>
        <v>6.2500000000000001E-5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input_453010!A$2</f>
        <v>453010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IFERROR(VLOOKUP(B203,input_453010!L:R,7,FALSE),VLOOKUP(tables_453010!C203,input_453010!A:H,8,FALSE))</f>
        <v>135375</v>
      </c>
      <c r="P203" s="46">
        <f t="shared" ca="1" si="13"/>
        <v>4.9048913043478262E-3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input_453010!A$2</f>
        <v>453010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IFERROR(VLOOKUP(B204,input_453010!L:R,7,FALSE),VLOOKUP(tables_453010!C204,input_453010!A:H,8,FALSE))</f>
        <v>128250</v>
      </c>
      <c r="P204" s="46">
        <f t="shared" ca="1" si="13"/>
        <v>4.6467391304347823E-3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input_453010!A$2</f>
        <v>453010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IFERROR(VLOOKUP(B205,input_453010!L:R,7,FALSE),VLOOKUP(tables_453010!C205,input_453010!A:H,8,FALSE))</f>
        <v>14037.5</v>
      </c>
      <c r="P205" s="46">
        <f t="shared" ca="1" si="13"/>
        <v>5.0860507246376814E-4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input_453010!A$2</f>
        <v>453010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IFERROR(VLOOKUP(B206,input_453010!L:R,7,FALSE),VLOOKUP(tables_453010!C206,input_453010!A:H,8,FALSE))</f>
        <v>21275</v>
      </c>
      <c r="P206" s="46">
        <f t="shared" ca="1" si="13"/>
        <v>7.7083333333333333E-4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input_453010!A$2</f>
        <v>453010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IFERROR(VLOOKUP(B207,input_453010!L:R,7,FALSE),VLOOKUP(tables_453010!C207,input_453010!A:H,8,FALSE))</f>
        <v>1725</v>
      </c>
      <c r="P207" s="46">
        <f t="shared" ca="1" si="13"/>
        <v>6.2500000000000001E-5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input_453010!A$2</f>
        <v>453010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IFERROR(VLOOKUP(B208,input_453010!L:R,7,FALSE),VLOOKUP(tables_453010!C208,input_453010!A:H,8,FALSE))</f>
        <v>21275</v>
      </c>
      <c r="P208" s="46">
        <f t="shared" ca="1" si="13"/>
        <v>7.7083333333333333E-4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input_453010!A$2</f>
        <v>453010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IFERROR(VLOOKUP(B209,input_453010!L:R,7,FALSE),VLOOKUP(tables_453010!C209,input_453010!A:H,8,FALSE))</f>
        <v>1725</v>
      </c>
      <c r="P209" s="46">
        <f t="shared" ca="1" si="13"/>
        <v>6.2500000000000001E-5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input_453010!A$2</f>
        <v>453010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IFERROR(VLOOKUP(B210,input_453010!L:R,7,FALSE),VLOOKUP(tables_453010!C210,input_453010!A:H,8,FALSE))</f>
        <v>135375</v>
      </c>
      <c r="P210" s="46">
        <f t="shared" ca="1" si="13"/>
        <v>4.9048913043478262E-3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input_453010!A$2</f>
        <v>453010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IFERROR(VLOOKUP(B211,input_453010!L:R,7,FALSE),VLOOKUP(tables_453010!C211,input_453010!A:H,8,FALSE))</f>
        <v>128250</v>
      </c>
      <c r="P211" s="46">
        <f t="shared" ca="1" si="13"/>
        <v>4.6467391304347823E-3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input_453010!A$2</f>
        <v>453010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IFERROR(VLOOKUP(B212,input_453010!L:R,7,FALSE),VLOOKUP(tables_453010!C212,input_453010!A:H,8,FALSE))</f>
        <v>14037.5</v>
      </c>
      <c r="P212" s="46">
        <f t="shared" ca="1" si="13"/>
        <v>5.0860507246376814E-4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input_453010!A$2</f>
        <v>453010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IFERROR(VLOOKUP(B213,input_453010!L:R,7,FALSE),VLOOKUP(tables_453010!C213,input_453010!A:H,8,FALSE))</f>
        <v>21275</v>
      </c>
      <c r="P213" s="46">
        <f t="shared" ca="1" si="13"/>
        <v>7.7083333333333333E-4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input_453010!A$2</f>
        <v>453010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IFERROR(VLOOKUP(B214,input_453010!L:R,7,FALSE),VLOOKUP(tables_453010!C214,input_453010!A:H,8,FALSE))</f>
        <v>1725</v>
      </c>
      <c r="P214" s="46">
        <f t="shared" ca="1" si="13"/>
        <v>6.2500000000000001E-5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input_453010!A$2</f>
        <v>453010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IFERROR(VLOOKUP(B215,input_453010!L:R,7,FALSE),VLOOKUP(tables_453010!C215,input_453010!A:H,8,FALSE))</f>
        <v>21375</v>
      </c>
      <c r="P215" s="46">
        <f t="shared" ca="1" si="13"/>
        <v>7.7445652173913039E-4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input_453010!A$2</f>
        <v>453010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IFERROR(VLOOKUP(B216,input_453010!L:R,7,FALSE),VLOOKUP(tables_453010!C216,input_453010!A:H,8,FALSE))</f>
        <v>21375</v>
      </c>
      <c r="P216" s="46">
        <f t="shared" ca="1" si="13"/>
        <v>7.7445652173913039E-4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input_453010!A$2</f>
        <v>453010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IFERROR(VLOOKUP(B217,input_453010!L:R,7,FALSE),VLOOKUP(tables_453010!C217,input_453010!A:H,8,FALSE))</f>
        <v>21375</v>
      </c>
      <c r="P217" s="46">
        <f t="shared" ca="1" si="13"/>
        <v>7.7445652173913039E-4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input_453010!A$2</f>
        <v>453010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IFERROR(VLOOKUP(B218,input_453010!L:R,7,FALSE),VLOOKUP(tables_453010!C218,input_453010!A:H,8,FALSE))</f>
        <v>21375</v>
      </c>
      <c r="P218" s="46">
        <f t="shared" ca="1" si="13"/>
        <v>7.7445652173913039E-4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input_453010!A$2</f>
        <v>453010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IFERROR(VLOOKUP(B219,input_453010!L:R,7,FALSE),VLOOKUP(tables_453010!C219,input_453010!A:H,8,FALSE))</f>
        <v>21375</v>
      </c>
      <c r="P219" s="46">
        <f t="shared" ca="1" si="13"/>
        <v>7.7445652173913039E-4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input_453010!A$2</f>
        <v>453010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IFERROR(VLOOKUP(B220,input_453010!L:R,7,FALSE),VLOOKUP(tables_453010!C220,input_453010!A:H,8,FALSE))</f>
        <v>21375</v>
      </c>
      <c r="P220" s="46">
        <f t="shared" ca="1" si="13"/>
        <v>7.7445652173913039E-4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input_453010!A$2</f>
        <v>453010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IFERROR(VLOOKUP(B221,input_453010!L:R,7,FALSE),VLOOKUP(tables_453010!C221,input_453010!A:H,8,FALSE))</f>
        <v>21275</v>
      </c>
      <c r="P221" s="46">
        <f t="shared" ca="1" si="13"/>
        <v>7.7083333333333333E-4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input_453010!A$2</f>
        <v>453010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IFERROR(VLOOKUP(B222,input_453010!L:R,7,FALSE),VLOOKUP(tables_453010!C222,input_453010!A:H,8,FALSE))</f>
        <v>1725</v>
      </c>
      <c r="P222" s="46">
        <f t="shared" ca="1" si="13"/>
        <v>6.2500000000000001E-5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input_453010!A$2</f>
        <v>453010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IFERROR(VLOOKUP(B223,input_453010!L:R,7,FALSE),VLOOKUP(tables_453010!C223,input_453010!A:H,8,FALSE))</f>
        <v>135375</v>
      </c>
      <c r="P223" s="46">
        <f t="shared" ca="1" si="13"/>
        <v>4.9048913043478262E-3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input_453010!A$2</f>
        <v>453010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IFERROR(VLOOKUP(B224,input_453010!L:R,7,FALSE),VLOOKUP(tables_453010!C224,input_453010!A:H,8,FALSE))</f>
        <v>128250</v>
      </c>
      <c r="P224" s="46">
        <f t="shared" ca="1" si="13"/>
        <v>4.6467391304347823E-3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input_453010!A$2</f>
        <v>453010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IFERROR(VLOOKUP(B225,input_453010!L:R,7,FALSE),VLOOKUP(tables_453010!C225,input_453010!A:H,8,FALSE))</f>
        <v>14037.5</v>
      </c>
      <c r="P225" s="46">
        <f t="shared" ca="1" si="13"/>
        <v>5.0860507246376814E-4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input_453010!A$2</f>
        <v>453010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IFERROR(VLOOKUP(B226,input_453010!L:R,7,FALSE),VLOOKUP(tables_453010!C226,input_453010!A:H,8,FALSE))</f>
        <v>135375</v>
      </c>
      <c r="P226" s="46">
        <f t="shared" ca="1" si="13"/>
        <v>4.9048913043478262E-3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input_453010!A$2</f>
        <v>453010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IFERROR(VLOOKUP(B227,input_453010!L:R,7,FALSE),VLOOKUP(tables_453010!C227,input_453010!A:H,8,FALSE))</f>
        <v>128250</v>
      </c>
      <c r="P227" s="46">
        <f t="shared" ca="1" si="13"/>
        <v>4.6467391304347823E-3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input_453010!A$2</f>
        <v>453010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IFERROR(VLOOKUP(B228,input_453010!L:R,7,FALSE),VLOOKUP(tables_453010!C228,input_453010!A:H,8,FALSE))</f>
        <v>14037.5</v>
      </c>
      <c r="P228" s="46">
        <f t="shared" ca="1" si="13"/>
        <v>5.0860507246376814E-4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input_453010!A$2</f>
        <v>453010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IFERROR(VLOOKUP(B229,input_453010!L:R,7,FALSE),VLOOKUP(tables_453010!C229,input_453010!A:H,8,FALSE))</f>
        <v>21275</v>
      </c>
      <c r="P229" s="46">
        <f t="shared" ca="1" si="13"/>
        <v>7.7083333333333333E-4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input_453010!A$2</f>
        <v>453010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IFERROR(VLOOKUP(B230,input_453010!L:R,7,FALSE),VLOOKUP(tables_453010!C230,input_453010!A:H,8,FALSE))</f>
        <v>1725</v>
      </c>
      <c r="P230" s="46">
        <f t="shared" ca="1" si="13"/>
        <v>6.2500000000000001E-5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input_453010!A$2</f>
        <v>453010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IFERROR(VLOOKUP(B231,input_453010!L:R,7,FALSE),VLOOKUP(tables_453010!C231,input_453010!A:H,8,FALSE))</f>
        <v>135375</v>
      </c>
      <c r="P231" s="46">
        <f t="shared" ca="1" si="13"/>
        <v>4.9048913043478262E-3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input_453010!A$2</f>
        <v>453010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IFERROR(VLOOKUP(B232,input_453010!L:R,7,FALSE),VLOOKUP(tables_453010!C232,input_453010!A:H,8,FALSE))</f>
        <v>128250</v>
      </c>
      <c r="P232" s="46">
        <f t="shared" ca="1" si="13"/>
        <v>4.6467391304347823E-3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input_453010!A$2</f>
        <v>453010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IFERROR(VLOOKUP(B233,input_453010!L:R,7,FALSE),VLOOKUP(tables_453010!C233,input_453010!A:H,8,FALSE))</f>
        <v>14037.5</v>
      </c>
      <c r="P233" s="46">
        <f t="shared" ca="1" si="13"/>
        <v>5.0860507246376814E-4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input_453010!A$2</f>
        <v>453010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IFERROR(VLOOKUP(B234,input_453010!L:R,7,FALSE),VLOOKUP(tables_453010!C234,input_453010!A:H,8,FALSE))</f>
        <v>135375</v>
      </c>
      <c r="P234" s="46">
        <f t="shared" ca="1" si="13"/>
        <v>4.9048913043478262E-3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input_453010!A$2</f>
        <v>453010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IFERROR(VLOOKUP(B235,input_453010!L:R,7,FALSE),VLOOKUP(tables_453010!C235,input_453010!A:H,8,FALSE))</f>
        <v>128250</v>
      </c>
      <c r="P235" s="46">
        <f t="shared" ca="1" si="13"/>
        <v>4.6467391304347823E-3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input_453010!A$2</f>
        <v>453010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IFERROR(VLOOKUP(B236,input_453010!L:R,7,FALSE),VLOOKUP(tables_453010!C236,input_453010!A:H,8,FALSE))</f>
        <v>14037.5</v>
      </c>
      <c r="P236" s="46">
        <f t="shared" ca="1" si="13"/>
        <v>5.0860507246376814E-4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input_453010!A$2</f>
        <v>453010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IFERROR(VLOOKUP(B237,input_453010!L:R,7,FALSE),VLOOKUP(tables_453010!C237,input_453010!A:H,8,FALSE))</f>
        <v>21275</v>
      </c>
      <c r="P237" s="46">
        <f t="shared" ca="1" si="13"/>
        <v>7.7083333333333333E-4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input_453010!A$2</f>
        <v>453010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IFERROR(VLOOKUP(B238,input_453010!L:R,7,FALSE),VLOOKUP(tables_453010!C238,input_453010!A:H,8,FALSE))</f>
        <v>1725</v>
      </c>
      <c r="P238" s="46">
        <f t="shared" ca="1" si="13"/>
        <v>6.2500000000000001E-5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input_453010!A$2</f>
        <v>453010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IFERROR(VLOOKUP(B239,input_453010!L:R,7,FALSE),VLOOKUP(tables_453010!C239,input_453010!A:H,8,FALSE))</f>
        <v>135375</v>
      </c>
      <c r="P239" s="46">
        <f t="shared" ca="1" si="13"/>
        <v>4.9048913043478262E-3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input_453010!A$2</f>
        <v>453010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IFERROR(VLOOKUP(B240,input_453010!L:R,7,FALSE),VLOOKUP(tables_453010!C240,input_453010!A:H,8,FALSE))</f>
        <v>128250</v>
      </c>
      <c r="P240" s="46">
        <f t="shared" ca="1" si="13"/>
        <v>4.6467391304347823E-3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input_453010!A$2</f>
        <v>453010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IFERROR(VLOOKUP(B241,input_453010!L:R,7,FALSE),VLOOKUP(tables_453010!C241,input_453010!A:H,8,FALSE))</f>
        <v>14037.5</v>
      </c>
      <c r="P241" s="46">
        <f t="shared" ca="1" si="13"/>
        <v>5.0860507246376814E-4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input_453010!A$2</f>
        <v>453010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IFERROR(VLOOKUP(B242,input_453010!L:R,7,FALSE),VLOOKUP(tables_453010!C242,input_453010!A:H,8,FALSE))</f>
        <v>21275</v>
      </c>
      <c r="P242" s="46">
        <f t="shared" ca="1" si="13"/>
        <v>7.7083333333333333E-4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input_453010!A$2</f>
        <v>453010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IFERROR(VLOOKUP(B243,input_453010!L:R,7,FALSE),VLOOKUP(tables_453010!C243,input_453010!A:H,8,FALSE))</f>
        <v>1725</v>
      </c>
      <c r="P243" s="46">
        <f t="shared" ca="1" si="13"/>
        <v>6.2500000000000001E-5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input_453010!A$2</f>
        <v>453010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IFERROR(VLOOKUP(B244,input_453010!L:R,7,FALSE),VLOOKUP(tables_453010!C244,input_453010!A:H,8,FALSE))</f>
        <v>21275</v>
      </c>
      <c r="P244" s="46">
        <f t="shared" ca="1" si="13"/>
        <v>7.7083333333333333E-4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input_453010!A$2</f>
        <v>453010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IFERROR(VLOOKUP(B245,input_453010!L:R,7,FALSE),VLOOKUP(tables_453010!C245,input_453010!A:H,8,FALSE))</f>
        <v>1725</v>
      </c>
      <c r="P245" s="46">
        <f t="shared" ca="1" si="13"/>
        <v>6.2500000000000001E-5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input_453010!A$2</f>
        <v>453010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IFERROR(VLOOKUP(B246,input_453010!L:R,7,FALSE),VLOOKUP(tables_453010!C246,input_453010!A:H,8,FALSE))</f>
        <v>135375</v>
      </c>
      <c r="P246" s="46">
        <f t="shared" ca="1" si="13"/>
        <v>4.9048913043478262E-3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input_453010!A$2</f>
        <v>453010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IFERROR(VLOOKUP(B247,input_453010!L:R,7,FALSE),VLOOKUP(tables_453010!C247,input_453010!A:H,8,FALSE))</f>
        <v>128250</v>
      </c>
      <c r="P247" s="46">
        <f t="shared" ca="1" si="13"/>
        <v>4.6467391304347823E-3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input_453010!A$2</f>
        <v>453010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IFERROR(VLOOKUP(B248,input_453010!L:R,7,FALSE),VLOOKUP(tables_453010!C248,input_453010!A:H,8,FALSE))</f>
        <v>14037.5</v>
      </c>
      <c r="P248" s="46">
        <f t="shared" ca="1" si="13"/>
        <v>5.0860507246376814E-4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input_453010!A$2</f>
        <v>453010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IFERROR(VLOOKUP(B249,input_453010!L:R,7,FALSE),VLOOKUP(tables_453010!C249,input_453010!A:H,8,FALSE))</f>
        <v>135375</v>
      </c>
      <c r="P249" s="46">
        <f t="shared" ca="1" si="13"/>
        <v>4.9048913043478262E-3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input_453010!A$2</f>
        <v>453010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IFERROR(VLOOKUP(B250,input_453010!L:R,7,FALSE),VLOOKUP(tables_453010!C250,input_453010!A:H,8,FALSE))</f>
        <v>128250</v>
      </c>
      <c r="P250" s="46">
        <f t="shared" ca="1" si="13"/>
        <v>4.6467391304347823E-3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input_453010!A$2</f>
        <v>453010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IFERROR(VLOOKUP(B251,input_453010!L:R,7,FALSE),VLOOKUP(tables_453010!C251,input_453010!A:H,8,FALSE))</f>
        <v>14037.5</v>
      </c>
      <c r="P251" s="46">
        <f t="shared" ca="1" si="13"/>
        <v>5.0860507246376814E-4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input_453010!A$2</f>
        <v>453010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IFERROR(VLOOKUP(B252,input_453010!L:R,7,FALSE),VLOOKUP(tables_453010!C252,input_453010!A:H,8,FALSE))</f>
        <v>135375</v>
      </c>
      <c r="P252" s="46">
        <f t="shared" ca="1" si="13"/>
        <v>4.9048913043478262E-3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input_453010!A$2</f>
        <v>453010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IFERROR(VLOOKUP(B253,input_453010!L:R,7,FALSE),VLOOKUP(tables_453010!C253,input_453010!A:H,8,FALSE))</f>
        <v>128250</v>
      </c>
      <c r="P253" s="46">
        <f t="shared" ca="1" si="13"/>
        <v>4.6467391304347823E-3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input_453010!A$2</f>
        <v>453010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IFERROR(VLOOKUP(B254,input_453010!L:R,7,FALSE),VLOOKUP(tables_453010!C254,input_453010!A:H,8,FALSE))</f>
        <v>14037.5</v>
      </c>
      <c r="P254" s="46">
        <f t="shared" ca="1" si="13"/>
        <v>5.0860507246376814E-4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input_453010!A$2</f>
        <v>453010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IFERROR(VLOOKUP(B255,input_453010!L:R,7,FALSE),VLOOKUP(tables_453010!C255,input_453010!A:H,8,FALSE))</f>
        <v>135375</v>
      </c>
      <c r="P255" s="46">
        <f t="shared" ca="1" si="13"/>
        <v>4.9048913043478262E-3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input_453010!A$2</f>
        <v>453010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IFERROR(VLOOKUP(B256,input_453010!L:R,7,FALSE),VLOOKUP(tables_453010!C256,input_453010!A:H,8,FALSE))</f>
        <v>128250</v>
      </c>
      <c r="P256" s="46">
        <f t="shared" ca="1" si="13"/>
        <v>4.6467391304347823E-3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input_453010!A$2</f>
        <v>453010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IFERROR(VLOOKUP(B257,input_453010!L:R,7,FALSE),VLOOKUP(tables_453010!C257,input_453010!A:H,8,FALSE))</f>
        <v>14037.5</v>
      </c>
      <c r="P257" s="46">
        <f t="shared" ca="1" si="13"/>
        <v>5.0860507246376814E-4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input_453010!A$2</f>
        <v>453010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IFERROR(VLOOKUP(B258,input_453010!L:R,7,FALSE),VLOOKUP(tables_453010!C258,input_453010!A:H,8,FALSE))</f>
        <v>21275</v>
      </c>
      <c r="P258" s="46">
        <f t="shared" ref="P258:P321" ca="1" si="17">O258/SUM(O:O)</f>
        <v>7.7083333333333333E-4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input_453010!A$2</f>
        <v>453010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IFERROR(VLOOKUP(B259,input_453010!L:R,7,FALSE),VLOOKUP(tables_453010!C259,input_453010!A:H,8,FALSE))</f>
        <v>1725</v>
      </c>
      <c r="P259" s="46">
        <f t="shared" ca="1" si="17"/>
        <v>6.2500000000000001E-5</v>
      </c>
      <c r="Q259" s="30">
        <f t="shared" ref="Q259:Q322" si="19">IF(J259=3,40,IF(J259=4,60,80))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input_453010!A$2</f>
        <v>453010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IFERROR(VLOOKUP(B260,input_453010!L:R,7,FALSE),VLOOKUP(tables_453010!C260,input_453010!A:H,8,FALSE))</f>
        <v>21275</v>
      </c>
      <c r="P260" s="46">
        <f t="shared" ca="1" si="17"/>
        <v>7.7083333333333333E-4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input_453010!A$2</f>
        <v>453010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IFERROR(VLOOKUP(B261,input_453010!L:R,7,FALSE),VLOOKUP(tables_453010!C261,input_453010!A:H,8,FALSE))</f>
        <v>1725</v>
      </c>
      <c r="P261" s="46">
        <f t="shared" ca="1" si="17"/>
        <v>6.2500000000000001E-5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input_453010!A$2</f>
        <v>453010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IFERROR(VLOOKUP(B262,input_453010!L:R,7,FALSE),VLOOKUP(tables_453010!C262,input_453010!A:H,8,FALSE))</f>
        <v>255609.375</v>
      </c>
      <c r="P262" s="46">
        <f t="shared" ca="1" si="17"/>
        <v>9.2612092391304354E-3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input_453010!A$2</f>
        <v>453010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IFERROR(VLOOKUP(B263,input_453010!L:R,7,FALSE),VLOOKUP(tables_453010!C263,input_453010!A:H,8,FALSE))</f>
        <v>21375</v>
      </c>
      <c r="P263" s="46">
        <f t="shared" ca="1" si="17"/>
        <v>7.7445652173913039E-4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input_453010!A$2</f>
        <v>453010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IFERROR(VLOOKUP(B264,input_453010!L:R,7,FALSE),VLOOKUP(tables_453010!C264,input_453010!A:H,8,FALSE))</f>
        <v>255609.375</v>
      </c>
      <c r="P264" s="46">
        <f t="shared" ca="1" si="17"/>
        <v>9.2612092391304354E-3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input_453010!A$2</f>
        <v>453010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IFERROR(VLOOKUP(B265,input_453010!L:R,7,FALSE),VLOOKUP(tables_453010!C265,input_453010!A:H,8,FALSE))</f>
        <v>21375</v>
      </c>
      <c r="P265" s="46">
        <f t="shared" ca="1" si="17"/>
        <v>7.7445652173913039E-4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input_453010!A$2</f>
        <v>453010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IFERROR(VLOOKUP(B266,input_453010!L:R,7,FALSE),VLOOKUP(tables_453010!C266,input_453010!A:H,8,FALSE))</f>
        <v>23000</v>
      </c>
      <c r="P266" s="46">
        <f t="shared" ca="1" si="17"/>
        <v>8.3333333333333339E-4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input_453010!A$2</f>
        <v>453010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IFERROR(VLOOKUP(B267,input_453010!L:R,7,FALSE),VLOOKUP(tables_453010!C267,input_453010!A:H,8,FALSE))</f>
        <v>23000</v>
      </c>
      <c r="P267" s="46">
        <f t="shared" ca="1" si="17"/>
        <v>8.3333333333333339E-4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input_453010!A$2</f>
        <v>453010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IFERROR(VLOOKUP(B268,input_453010!L:R,7,FALSE),VLOOKUP(tables_453010!C268,input_453010!A:H,8,FALSE))</f>
        <v>23000</v>
      </c>
      <c r="P268" s="46">
        <f t="shared" ca="1" si="17"/>
        <v>8.3333333333333339E-4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input_453010!A$2</f>
        <v>453010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IFERROR(VLOOKUP(B269,input_453010!L:R,7,FALSE),VLOOKUP(tables_453010!C269,input_453010!A:H,8,FALSE))</f>
        <v>23000</v>
      </c>
      <c r="P269" s="46">
        <f t="shared" ca="1" si="17"/>
        <v>8.3333333333333339E-4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input_453010!A$2</f>
        <v>453010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IFERROR(VLOOKUP(B270,input_453010!L:R,7,FALSE),VLOOKUP(tables_453010!C270,input_453010!A:H,8,FALSE))</f>
        <v>255609.375</v>
      </c>
      <c r="P270" s="46">
        <f t="shared" ca="1" si="17"/>
        <v>9.2612092391304354E-3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input_453010!A$2</f>
        <v>453010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IFERROR(VLOOKUP(B271,input_453010!L:R,7,FALSE),VLOOKUP(tables_453010!C271,input_453010!A:H,8,FALSE))</f>
        <v>21375</v>
      </c>
      <c r="P271" s="46">
        <f t="shared" ca="1" si="17"/>
        <v>7.7445652173913039E-4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input_453010!A$2</f>
        <v>453010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IFERROR(VLOOKUP(B272,input_453010!L:R,7,FALSE),VLOOKUP(tables_453010!C272,input_453010!A:H,8,FALSE))</f>
        <v>255609.375</v>
      </c>
      <c r="P272" s="46">
        <f t="shared" ca="1" si="17"/>
        <v>9.2612092391304354E-3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input_453010!A$2</f>
        <v>453010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IFERROR(VLOOKUP(B273,input_453010!L:R,7,FALSE),VLOOKUP(tables_453010!C273,input_453010!A:H,8,FALSE))</f>
        <v>21375</v>
      </c>
      <c r="P273" s="46">
        <f t="shared" ca="1" si="17"/>
        <v>7.7445652173913039E-4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input_453010!A$2</f>
        <v>453010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IFERROR(VLOOKUP(B274,input_453010!L:R,7,FALSE),VLOOKUP(tables_453010!C274,input_453010!A:H,8,FALSE))</f>
        <v>21275</v>
      </c>
      <c r="P274" s="46">
        <f t="shared" ca="1" si="17"/>
        <v>7.7083333333333333E-4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input_453010!A$2</f>
        <v>453010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IFERROR(VLOOKUP(B275,input_453010!L:R,7,FALSE),VLOOKUP(tables_453010!C275,input_453010!A:H,8,FALSE))</f>
        <v>1725</v>
      </c>
      <c r="P275" s="46">
        <f t="shared" ca="1" si="17"/>
        <v>6.2500000000000001E-5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input_453010!A$2</f>
        <v>453010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IFERROR(VLOOKUP(B276,input_453010!L:R,7,FALSE),VLOOKUP(tables_453010!C276,input_453010!A:H,8,FALSE))</f>
        <v>21275</v>
      </c>
      <c r="P276" s="46">
        <f t="shared" ca="1" si="17"/>
        <v>7.7083333333333333E-4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input_453010!A$2</f>
        <v>453010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IFERROR(VLOOKUP(B277,input_453010!L:R,7,FALSE),VLOOKUP(tables_453010!C277,input_453010!A:H,8,FALSE))</f>
        <v>1725</v>
      </c>
      <c r="P277" s="46">
        <f t="shared" ca="1" si="17"/>
        <v>6.2500000000000001E-5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input_453010!A$2</f>
        <v>453010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IFERROR(VLOOKUP(B278,input_453010!L:R,7,FALSE),VLOOKUP(tables_453010!C278,input_453010!A:H,8,FALSE))</f>
        <v>135375</v>
      </c>
      <c r="P278" s="46">
        <f t="shared" ca="1" si="17"/>
        <v>4.9048913043478262E-3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input_453010!A$2</f>
        <v>453010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IFERROR(VLOOKUP(B279,input_453010!L:R,7,FALSE),VLOOKUP(tables_453010!C279,input_453010!A:H,8,FALSE))</f>
        <v>128250</v>
      </c>
      <c r="P279" s="46">
        <f t="shared" ca="1" si="17"/>
        <v>4.6467391304347823E-3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input_453010!A$2</f>
        <v>453010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IFERROR(VLOOKUP(B280,input_453010!L:R,7,FALSE),VLOOKUP(tables_453010!C280,input_453010!A:H,8,FALSE))</f>
        <v>14037.5</v>
      </c>
      <c r="P280" s="46">
        <f t="shared" ca="1" si="17"/>
        <v>5.0860507246376814E-4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input_453010!A$2</f>
        <v>453010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IFERROR(VLOOKUP(B281,input_453010!L:R,7,FALSE),VLOOKUP(tables_453010!C281,input_453010!A:H,8,FALSE))</f>
        <v>135375</v>
      </c>
      <c r="P281" s="46">
        <f t="shared" ca="1" si="17"/>
        <v>4.9048913043478262E-3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input_453010!A$2</f>
        <v>453010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IFERROR(VLOOKUP(B282,input_453010!L:R,7,FALSE),VLOOKUP(tables_453010!C282,input_453010!A:H,8,FALSE))</f>
        <v>128250</v>
      </c>
      <c r="P282" s="46">
        <f t="shared" ca="1" si="17"/>
        <v>4.6467391304347823E-3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input_453010!A$2</f>
        <v>453010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IFERROR(VLOOKUP(B283,input_453010!L:R,7,FALSE),VLOOKUP(tables_453010!C283,input_453010!A:H,8,FALSE))</f>
        <v>14037.5</v>
      </c>
      <c r="P283" s="46">
        <f t="shared" ca="1" si="17"/>
        <v>5.0860507246376814E-4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input_453010!A$2</f>
        <v>453010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IFERROR(VLOOKUP(B284,input_453010!L:R,7,FALSE),VLOOKUP(tables_453010!C284,input_453010!A:H,8,FALSE))</f>
        <v>23000</v>
      </c>
      <c r="P284" s="46">
        <f t="shared" ca="1" si="17"/>
        <v>8.3333333333333339E-4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input_453010!A$2</f>
        <v>453010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IFERROR(VLOOKUP(B285,input_453010!L:R,7,FALSE),VLOOKUP(tables_453010!C285,input_453010!A:H,8,FALSE))</f>
        <v>23000</v>
      </c>
      <c r="P285" s="46">
        <f t="shared" ca="1" si="17"/>
        <v>8.3333333333333339E-4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input_453010!A$2</f>
        <v>453010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IFERROR(VLOOKUP(B286,input_453010!L:R,7,FALSE),VLOOKUP(tables_453010!C286,input_453010!A:H,8,FALSE))</f>
        <v>255609.375</v>
      </c>
      <c r="P286" s="46">
        <f t="shared" ca="1" si="17"/>
        <v>9.2612092391304354E-3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input_453010!A$2</f>
        <v>453010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IFERROR(VLOOKUP(B287,input_453010!L:R,7,FALSE),VLOOKUP(tables_453010!C287,input_453010!A:H,8,FALSE))</f>
        <v>21375</v>
      </c>
      <c r="P287" s="46">
        <f t="shared" ca="1" si="17"/>
        <v>7.7445652173913039E-4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input_453010!A$2</f>
        <v>453010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IFERROR(VLOOKUP(B288,input_453010!L:R,7,FALSE),VLOOKUP(tables_453010!C288,input_453010!A:H,8,FALSE))</f>
        <v>255609.375</v>
      </c>
      <c r="P288" s="46">
        <f t="shared" ca="1" si="17"/>
        <v>9.2612092391304354E-3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input_453010!A$2</f>
        <v>453010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IFERROR(VLOOKUP(B289,input_453010!L:R,7,FALSE),VLOOKUP(tables_453010!C289,input_453010!A:H,8,FALSE))</f>
        <v>21375</v>
      </c>
      <c r="P289" s="46">
        <f t="shared" ca="1" si="17"/>
        <v>7.7445652173913039E-4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input_453010!A$2</f>
        <v>453010</v>
      </c>
      <c r="B290" s="5">
        <v>862</v>
      </c>
      <c r="C290" s="7" t="str">
        <f t="shared" ref="C290:C294" si="21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IFERROR(VLOOKUP(B290,input_453010!L:R,7,FALSE),VLOOKUP(tables_453010!C290,input_453010!A:H,8,FALSE))</f>
        <v>255609.375</v>
      </c>
      <c r="P290" s="46">
        <f t="shared" ca="1" si="17"/>
        <v>9.2612092391304354E-3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input_453010!A$2</f>
        <v>453010</v>
      </c>
      <c r="B291" s="5">
        <v>863</v>
      </c>
      <c r="C291" s="7" t="str">
        <f t="shared" si="21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IFERROR(VLOOKUP(B291,input_453010!L:R,7,FALSE),VLOOKUP(tables_453010!C291,input_453010!A:H,8,FALSE))</f>
        <v>21375</v>
      </c>
      <c r="P291" s="46">
        <f t="shared" ca="1" si="17"/>
        <v>7.7445652173913039E-4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input_453010!A$2</f>
        <v>453010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IFERROR(VLOOKUP(B292,input_453010!L:R,7,FALSE),VLOOKUP(tables_453010!C292,input_453010!A:H,8,FALSE))</f>
        <v>255609.375</v>
      </c>
      <c r="P292" s="46">
        <f t="shared" ca="1" si="17"/>
        <v>9.2612092391304354E-3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input_453010!A$2</f>
        <v>453010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IFERROR(VLOOKUP(B293,input_453010!L:R,7,FALSE),VLOOKUP(tables_453010!C293,input_453010!A:H,8,FALSE))</f>
        <v>21375</v>
      </c>
      <c r="P293" s="46">
        <f t="shared" ca="1" si="17"/>
        <v>7.7445652173913039E-4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input_453010!A$2</f>
        <v>453010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IFERROR(VLOOKUP(B294,input_453010!L:R,7,FALSE),VLOOKUP(tables_453010!C294,input_453010!A:H,8,FALSE))</f>
        <v>23000</v>
      </c>
      <c r="P294" s="46">
        <f t="shared" ca="1" si="17"/>
        <v>8.3333333333333339E-4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input_453010!A$2</f>
        <v>453010</v>
      </c>
      <c r="B295" s="5">
        <v>868</v>
      </c>
      <c r="C295" s="7" t="str">
        <f t="shared" ref="C295:C299" si="22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IFERROR(VLOOKUP(B295,input_453010!L:R,7,FALSE),VLOOKUP(tables_453010!C295,input_453010!A:H,8,FALSE))</f>
        <v>23000</v>
      </c>
      <c r="P295" s="46">
        <f t="shared" ca="1" si="17"/>
        <v>8.3333333333333339E-4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input_453010!A$2</f>
        <v>453010</v>
      </c>
      <c r="B296" s="5">
        <v>937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IFERROR(VLOOKUP(B296,input_453010!L:R,7,FALSE),VLOOKUP(tables_453010!C296,input_453010!A:H,8,FALSE))</f>
        <v>23000</v>
      </c>
      <c r="P296" s="46">
        <f t="shared" ca="1" si="17"/>
        <v>8.3333333333333339E-4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input_453010!A$2</f>
        <v>453010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IFERROR(VLOOKUP(B297,input_453010!L:R,7,FALSE),VLOOKUP(tables_453010!C297,input_453010!A:H,8,FALSE))</f>
        <v>255609.375</v>
      </c>
      <c r="P297" s="46">
        <f t="shared" ca="1" si="17"/>
        <v>9.2612092391304354E-3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input_453010!A$2</f>
        <v>453010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IFERROR(VLOOKUP(B298,input_453010!L:R,7,FALSE),VLOOKUP(tables_453010!C298,input_453010!A:H,8,FALSE))</f>
        <v>21375</v>
      </c>
      <c r="P298" s="46">
        <f t="shared" ca="1" si="17"/>
        <v>7.7445652173913039E-4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input_453010!A$2</f>
        <v>453010</v>
      </c>
      <c r="B299" s="5">
        <v>941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IFERROR(VLOOKUP(B299,input_453010!L:R,7,FALSE),VLOOKUP(tables_453010!C299,input_453010!A:H,8,FALSE))</f>
        <v>23000</v>
      </c>
      <c r="P299" s="46">
        <f t="shared" ca="1" si="17"/>
        <v>8.3333333333333339E-4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input_453010!A$2</f>
        <v>453010</v>
      </c>
      <c r="B300" s="5">
        <v>943</v>
      </c>
      <c r="C300" s="7" t="str">
        <f t="shared" ref="C300:C304" si="23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IFERROR(VLOOKUP(B300,input_453010!L:R,7,FALSE),VLOOKUP(tables_453010!C300,input_453010!A:H,8,FALSE))</f>
        <v>23000</v>
      </c>
      <c r="P300" s="46">
        <f t="shared" ca="1" si="17"/>
        <v>8.3333333333333339E-4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input_453010!A$2</f>
        <v>453010</v>
      </c>
      <c r="B301" s="5">
        <v>1012</v>
      </c>
      <c r="C301" s="7" t="str">
        <f t="shared" si="23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IFERROR(VLOOKUP(B301,input_453010!L:R,7,FALSE),VLOOKUP(tables_453010!C301,input_453010!A:H,8,FALSE))</f>
        <v>23000</v>
      </c>
      <c r="P301" s="46">
        <f t="shared" ca="1" si="17"/>
        <v>8.3333333333333339E-4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input_453010!A$2</f>
        <v>453010</v>
      </c>
      <c r="B302" s="5">
        <v>1014</v>
      </c>
      <c r="C302" s="7" t="str">
        <f t="shared" si="23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IFERROR(VLOOKUP(B302,input_453010!L:R,7,FALSE),VLOOKUP(tables_453010!C302,input_453010!A:H,8,FALSE))</f>
        <v>23000</v>
      </c>
      <c r="P302" s="46">
        <f t="shared" ca="1" si="17"/>
        <v>8.3333333333333339E-4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input_453010!A$2</f>
        <v>453010</v>
      </c>
      <c r="B303" s="5">
        <v>1016</v>
      </c>
      <c r="C303" s="7" t="str">
        <f t="shared" si="23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IFERROR(VLOOKUP(B303,input_453010!L:R,7,FALSE),VLOOKUP(tables_453010!C303,input_453010!A:H,8,FALSE))</f>
        <v>255609.375</v>
      </c>
      <c r="P303" s="46">
        <f t="shared" ca="1" si="17"/>
        <v>9.2612092391304354E-3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input_453010!A$2</f>
        <v>453010</v>
      </c>
      <c r="B304" s="5">
        <v>1017</v>
      </c>
      <c r="C304" s="7" t="str">
        <f t="shared" si="23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IFERROR(VLOOKUP(B304,input_453010!L:R,7,FALSE),VLOOKUP(tables_453010!C304,input_453010!A:H,8,FALSE))</f>
        <v>21375</v>
      </c>
      <c r="P304" s="46">
        <f t="shared" ca="1" si="17"/>
        <v>7.7445652173913039E-4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input_453010!A$2</f>
        <v>453010</v>
      </c>
      <c r="B305" s="5">
        <v>1018</v>
      </c>
      <c r="C305" s="7" t="str">
        <f t="shared" ref="C305:C309" si="24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IFERROR(VLOOKUP(B305,input_453010!L:R,7,FALSE),VLOOKUP(tables_453010!C305,input_453010!A:H,8,FALSE))</f>
        <v>23000</v>
      </c>
      <c r="P305" s="46">
        <f t="shared" ca="1" si="17"/>
        <v>8.3333333333333339E-4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input_453010!A$2</f>
        <v>453010</v>
      </c>
      <c r="B306" s="5">
        <v>1026</v>
      </c>
      <c r="C306" s="7" t="str">
        <f t="shared" si="24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IFERROR(VLOOKUP(B306,input_453010!L:R,7,FALSE),VLOOKUP(tables_453010!C306,input_453010!A:H,8,FALSE))</f>
        <v>255609.375</v>
      </c>
      <c r="P306" s="46">
        <f t="shared" ca="1" si="17"/>
        <v>9.2612092391304354E-3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input_453010!A$2</f>
        <v>453010</v>
      </c>
      <c r="B307" s="5">
        <v>1027</v>
      </c>
      <c r="C307" s="7" t="str">
        <f t="shared" si="24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IFERROR(VLOOKUP(B307,input_453010!L:R,7,FALSE),VLOOKUP(tables_453010!C307,input_453010!A:H,8,FALSE))</f>
        <v>21375</v>
      </c>
      <c r="P307" s="46">
        <f t="shared" ca="1" si="17"/>
        <v>7.7445652173913039E-4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input_453010!A$2</f>
        <v>453010</v>
      </c>
      <c r="B308" s="5">
        <v>1028</v>
      </c>
      <c r="C308" s="7" t="str">
        <f t="shared" si="24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IFERROR(VLOOKUP(B308,input_453010!L:R,7,FALSE),VLOOKUP(tables_453010!C308,input_453010!A:H,8,FALSE))</f>
        <v>23000</v>
      </c>
      <c r="P308" s="46">
        <f t="shared" ca="1" si="17"/>
        <v>8.3333333333333339E-4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input_453010!A$2</f>
        <v>453010</v>
      </c>
      <c r="B309" s="5">
        <v>1031</v>
      </c>
      <c r="C309" s="7" t="str">
        <f t="shared" si="24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IFERROR(VLOOKUP(B309,input_453010!L:R,7,FALSE),VLOOKUP(tables_453010!C309,input_453010!A:H,8,FALSE))</f>
        <v>23000</v>
      </c>
      <c r="P309" s="46">
        <f t="shared" ca="1" si="17"/>
        <v>8.3333333333333339E-4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input_453010!A$2</f>
        <v>453010</v>
      </c>
      <c r="B310" s="5">
        <v>1033</v>
      </c>
      <c r="C310" s="7" t="str">
        <f t="shared" ref="C310:C314" si="25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IFERROR(VLOOKUP(B310,input_453010!L:R,7,FALSE),VLOOKUP(tables_453010!C310,input_453010!A:H,8,FALSE))</f>
        <v>23000</v>
      </c>
      <c r="P310" s="46">
        <f t="shared" ca="1" si="17"/>
        <v>8.3333333333333339E-4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input_453010!A$2</f>
        <v>453010</v>
      </c>
      <c r="B311" s="5">
        <v>1067</v>
      </c>
      <c r="C311" s="7" t="str">
        <f t="shared" si="25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IFERROR(VLOOKUP(B311,input_453010!L:R,7,FALSE),VLOOKUP(tables_453010!C311,input_453010!A:H,8,FALSE))</f>
        <v>255609.375</v>
      </c>
      <c r="P311" s="46">
        <f t="shared" ca="1" si="17"/>
        <v>9.2612092391304354E-3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input_453010!A$2</f>
        <v>453010</v>
      </c>
      <c r="B312" s="5">
        <v>1068</v>
      </c>
      <c r="C312" s="7" t="str">
        <f t="shared" si="25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IFERROR(VLOOKUP(B312,input_453010!L:R,7,FALSE),VLOOKUP(tables_453010!C312,input_453010!A:H,8,FALSE))</f>
        <v>21375</v>
      </c>
      <c r="P312" s="46">
        <f t="shared" ca="1" si="17"/>
        <v>7.7445652173913039E-4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input_453010!A$2</f>
        <v>453010</v>
      </c>
      <c r="B313" s="5">
        <v>1069</v>
      </c>
      <c r="C313" s="7" t="str">
        <f t="shared" si="25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IFERROR(VLOOKUP(B313,input_453010!L:R,7,FALSE),VLOOKUP(tables_453010!C313,input_453010!A:H,8,FALSE))</f>
        <v>23000</v>
      </c>
      <c r="P313" s="46">
        <f t="shared" ca="1" si="17"/>
        <v>8.3333333333333339E-4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input_453010!A$2</f>
        <v>453010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IFERROR(VLOOKUP(B314,input_453010!L:R,7,FALSE),VLOOKUP(tables_453010!C314,input_453010!A:H,8,FALSE))</f>
        <v>23000</v>
      </c>
      <c r="P314" s="46">
        <f t="shared" ca="1" si="17"/>
        <v>8.3333333333333339E-4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input_453010!A$2</f>
        <v>453010</v>
      </c>
      <c r="B315" s="5">
        <v>1074</v>
      </c>
      <c r="C315" s="7" t="str">
        <f t="shared" ref="C315:C319" si="26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IFERROR(VLOOKUP(B315,input_453010!L:R,7,FALSE),VLOOKUP(tables_453010!C315,input_453010!A:H,8,FALSE))</f>
        <v>23000</v>
      </c>
      <c r="P315" s="46">
        <f t="shared" ca="1" si="17"/>
        <v>8.3333333333333339E-4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input_453010!A$2</f>
        <v>453010</v>
      </c>
      <c r="B316" s="5">
        <v>1100</v>
      </c>
      <c r="C316" s="7" t="str">
        <f t="shared" si="2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IFERROR(VLOOKUP(B316,input_453010!L:R,7,FALSE),VLOOKUP(tables_453010!C316,input_453010!A:H,8,FALSE))</f>
        <v>23000</v>
      </c>
      <c r="P316" s="46">
        <f t="shared" ca="1" si="17"/>
        <v>8.3333333333333339E-4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input_453010!A$2</f>
        <v>453010</v>
      </c>
      <c r="B317" s="5">
        <v>1102</v>
      </c>
      <c r="C317" s="7" t="str">
        <f t="shared" si="2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IFERROR(VLOOKUP(B317,input_453010!L:R,7,FALSE),VLOOKUP(tables_453010!C317,input_453010!A:H,8,FALSE))</f>
        <v>23000</v>
      </c>
      <c r="P317" s="46">
        <f t="shared" ca="1" si="17"/>
        <v>8.3333333333333339E-4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input_453010!A$2</f>
        <v>453010</v>
      </c>
      <c r="B318" s="5">
        <v>1104</v>
      </c>
      <c r="C318" s="7" t="str">
        <f t="shared" si="2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IFERROR(VLOOKUP(B318,input_453010!L:R,7,FALSE),VLOOKUP(tables_453010!C318,input_453010!A:H,8,FALSE))</f>
        <v>255609.375</v>
      </c>
      <c r="P318" s="46">
        <f t="shared" ca="1" si="17"/>
        <v>9.2612092391304354E-3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input_453010!A$2</f>
        <v>453010</v>
      </c>
      <c r="B319" s="5">
        <v>1105</v>
      </c>
      <c r="C319" s="7" t="str">
        <f t="shared" si="2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IFERROR(VLOOKUP(B319,input_453010!L:R,7,FALSE),VLOOKUP(tables_453010!C319,input_453010!A:H,8,FALSE))</f>
        <v>21375</v>
      </c>
      <c r="P319" s="46">
        <f t="shared" ca="1" si="17"/>
        <v>7.7445652173913039E-4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input_453010!A$2</f>
        <v>453010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IFERROR(VLOOKUP(B320,input_453010!L:R,7,FALSE),VLOOKUP(tables_453010!C320,input_453010!A:H,8,FALSE))</f>
        <v>23000</v>
      </c>
      <c r="P320" s="46">
        <f t="shared" ca="1" si="17"/>
        <v>8.3333333333333339E-4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input_453010!A$2</f>
        <v>453010</v>
      </c>
      <c r="B321" s="5">
        <v>1137</v>
      </c>
      <c r="C321" s="7" t="str">
        <f t="shared" si="2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IFERROR(VLOOKUP(B321,input_453010!L:R,7,FALSE),VLOOKUP(tables_453010!C321,input_453010!A:H,8,FALSE))</f>
        <v>23000</v>
      </c>
      <c r="P321" s="46">
        <f t="shared" ca="1" si="17"/>
        <v>8.3333333333333339E-4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input_453010!A$2</f>
        <v>453010</v>
      </c>
      <c r="B322" s="5">
        <v>1139</v>
      </c>
      <c r="C322" s="7" t="str">
        <f t="shared" si="2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IFERROR(VLOOKUP(B322,input_453010!L:R,7,FALSE),VLOOKUP(tables_453010!C322,input_453010!A:H,8,FALSE))</f>
        <v>23000</v>
      </c>
      <c r="P322" s="46">
        <f t="shared" ref="P322:P330" ca="1" si="28">O322/SUM(O:O)</f>
        <v>8.3333333333333339E-4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input_453010!A$2</f>
        <v>453010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IFERROR(VLOOKUP(B323,input_453010!L:R,7,FALSE),VLOOKUP(tables_453010!C323,input_453010!A:H,8,FALSE))</f>
        <v>23000</v>
      </c>
      <c r="P323" s="46">
        <f t="shared" ca="1" si="28"/>
        <v>8.3333333333333339E-4</v>
      </c>
      <c r="Q323" s="30">
        <f t="shared" ref="Q323:Q335" si="30">IF(J323=3,40,IF(J323=4,60,80))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input_453010!A$2</f>
        <v>453010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IFERROR(VLOOKUP(B324,input_453010!L:R,7,FALSE),VLOOKUP(tables_453010!C324,input_453010!A:H,8,FALSE))</f>
        <v>255609.375</v>
      </c>
      <c r="P324" s="46">
        <f t="shared" ca="1" si="28"/>
        <v>9.2612092391304354E-3</v>
      </c>
      <c r="Q324" s="30">
        <f t="shared" si="30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input_453010!A$2</f>
        <v>453010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IFERROR(VLOOKUP(B325,input_453010!L:R,7,FALSE),VLOOKUP(tables_453010!C325,input_453010!A:H,8,FALSE))</f>
        <v>21375</v>
      </c>
      <c r="P325" s="46">
        <f t="shared" ca="1" si="28"/>
        <v>7.7445652173913039E-4</v>
      </c>
      <c r="Q325" s="30">
        <f t="shared" si="30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input_453010!A$2</f>
        <v>453010</v>
      </c>
      <c r="B326" s="2">
        <v>1151</v>
      </c>
      <c r="C326" s="7" t="str">
        <f t="shared" si="31"/>
        <v>Premium4R3less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IFERROR(VLOOKUP(B326,input_453010!L:R,7,FALSE),VLOOKUP(tables_453010!C326,input_453010!A:H,8,FALSE))</f>
        <v>255609.375</v>
      </c>
      <c r="P326" s="46">
        <f t="shared" ca="1" si="28"/>
        <v>9.2612092391304354E-3</v>
      </c>
      <c r="Q326" s="30">
        <f t="shared" si="30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input_453010!A$2</f>
        <v>453010</v>
      </c>
      <c r="B327" s="2">
        <v>1152</v>
      </c>
      <c r="C327" s="7" t="str">
        <f t="shared" si="31"/>
        <v>Premium5R3less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IFERROR(VLOOKUP(B327,input_453010!L:R,7,FALSE),VLOOKUP(tables_453010!C327,input_453010!A:H,8,FALSE))</f>
        <v>21375</v>
      </c>
      <c r="P327" s="46">
        <f t="shared" ca="1" si="28"/>
        <v>7.7445652173913039E-4</v>
      </c>
      <c r="Q327" s="30">
        <f t="shared" si="30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input_453010!A$2</f>
        <v>453010</v>
      </c>
      <c r="B328" s="2">
        <v>1153</v>
      </c>
      <c r="C328" s="7" t="str">
        <f t="shared" si="31"/>
        <v>PremiumSS5R5only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IFERROR(VLOOKUP(B328,input_453010!L:R,7,FALSE),VLOOKUP(tables_453010!C328,input_453010!A:H,8,FALSE))</f>
        <v>23000</v>
      </c>
      <c r="P328" s="46">
        <f t="shared" ca="1" si="28"/>
        <v>8.3333333333333339E-4</v>
      </c>
      <c r="Q328" s="30">
        <f t="shared" si="30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input_453010!A$2</f>
        <v>453010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IFERROR(VLOOKUP(B329,input_453010!L:R,7,FALSE),VLOOKUP(tables_453010!C329,input_453010!A:H,8,FALSE))</f>
        <v>23000</v>
      </c>
      <c r="P329" s="46">
        <f t="shared" ca="1" si="28"/>
        <v>8.3333333333333339E-4</v>
      </c>
      <c r="Q329" s="30">
        <f t="shared" si="30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input_453010!A$2</f>
        <v>453010</v>
      </c>
      <c r="B330" s="2">
        <v>1157</v>
      </c>
      <c r="C330" s="7" t="str">
        <f t="shared" si="31"/>
        <v>PremiumSS5R5only</v>
      </c>
      <c r="D330" s="98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IFERROR(VLOOKUP(B330,input_453010!L:R,7,FALSE),VLOOKUP(tables_453010!C330,input_453010!A:H,8,FALSE))</f>
        <v>23000</v>
      </c>
      <c r="P330" s="46">
        <f t="shared" ca="1" si="28"/>
        <v>8.3333333333333339E-4</v>
      </c>
      <c r="Q330" s="30">
        <f t="shared" si="30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input_453010!A$2</f>
        <v>453010</v>
      </c>
      <c r="B331" s="60">
        <v>1214</v>
      </c>
      <c r="C331" s="7" t="str">
        <f t="shared" ref="C331:C335" si="32">D331&amp;J331&amp;E331&amp;F331&amp;G331</f>
        <v>PremiumSS5R5only</v>
      </c>
      <c r="D331" s="98" t="str">
        <f t="shared" ref="D331:D335" si="33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IFERROR(VLOOKUP(B331,input_453010!L:R,7,FALSE),VLOOKUP(tables_453010!C331,input_453010!A:H,8,FALSE))</f>
        <v>23000</v>
      </c>
      <c r="P331" s="46">
        <f t="shared" ref="P331:P335" ca="1" si="34">O331/SUM(O:O)</f>
        <v>8.3333333333333339E-4</v>
      </c>
      <c r="Q331" s="30">
        <f t="shared" si="30"/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input_453010!A$2</f>
        <v>453010</v>
      </c>
      <c r="B332" s="60">
        <v>1212</v>
      </c>
      <c r="C332" s="7" t="str">
        <f t="shared" si="32"/>
        <v>PremiumSS5R5only</v>
      </c>
      <c r="D332" s="98" t="str">
        <f t="shared" si="3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IFERROR(VLOOKUP(B332,input_453010!L:R,7,FALSE),VLOOKUP(tables_453010!C332,input_453010!A:H,8,FALSE))</f>
        <v>23000</v>
      </c>
      <c r="P332" s="46">
        <f t="shared" ca="1" si="34"/>
        <v>8.3333333333333339E-4</v>
      </c>
      <c r="Q332" s="30">
        <f t="shared" si="30"/>
        <v>80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input_453010!A$2</f>
        <v>453010</v>
      </c>
      <c r="B333" s="60">
        <v>1208</v>
      </c>
      <c r="C333" s="7" t="str">
        <f t="shared" si="32"/>
        <v>PremiumSS5R5only</v>
      </c>
      <c r="D333" s="98" t="str">
        <f t="shared" si="3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IFERROR(VLOOKUP(B333,input_453010!L:R,7,FALSE),VLOOKUP(tables_453010!C333,input_453010!A:H,8,FALSE))</f>
        <v>23000</v>
      </c>
      <c r="P333" s="46">
        <f t="shared" ca="1" si="34"/>
        <v>8.3333333333333339E-4</v>
      </c>
      <c r="Q333" s="30">
        <f t="shared" si="30"/>
        <v>80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input_453010!A$2</f>
        <v>453010</v>
      </c>
      <c r="B334" s="93">
        <v>1210</v>
      </c>
      <c r="C334" s="7" t="str">
        <f t="shared" si="32"/>
        <v>Premium4R3less</v>
      </c>
      <c r="D334" s="98" t="str">
        <f t="shared" si="3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IFERROR(VLOOKUP(B334,input_453010!L:R,7,FALSE),VLOOKUP(tables_453010!C334,input_453010!A:H,8,FALSE))</f>
        <v>255609.375</v>
      </c>
      <c r="P334" s="46">
        <f t="shared" ca="1" si="34"/>
        <v>9.2612092391304354E-3</v>
      </c>
      <c r="Q334" s="30">
        <f t="shared" si="30"/>
        <v>60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input_453010!A$2</f>
        <v>453010</v>
      </c>
      <c r="B335" s="60">
        <v>1211</v>
      </c>
      <c r="C335" s="7" t="str">
        <f t="shared" si="32"/>
        <v>Premium5R3less</v>
      </c>
      <c r="D335" s="98" t="str">
        <f t="shared" si="3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IFERROR(VLOOKUP(B335,input_453010!L:R,7,FALSE),VLOOKUP(tables_453010!C335,input_453010!A:H,8,FALSE))</f>
        <v>21375</v>
      </c>
      <c r="P335" s="46">
        <f t="shared" ca="1" si="34"/>
        <v>7.7445652173913039E-4</v>
      </c>
      <c r="Q335" s="30">
        <f t="shared" si="30"/>
        <v>80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E10" sqref="E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VLOOKUP(L3,tables_453100!B:C,2,FALSE)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VLOOKUP(L4,tables_453100!B:C,2,FALSE)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8.3333333333333339E-4</v>
      </c>
      <c r="F5">
        <f>(COUNTIF(tables_453100!C:C,input_453100!A28)+COUNTIF(tables_453100!C:C,input_453100!A29))</f>
        <v>60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1.0326086956521738E-2</v>
      </c>
      <c r="F6">
        <f>(COUNTIF(tables_453100!C:C,input_453100!A25)+COUNTIF(tables_453100!C:C,input_453100!A18)+COUNTIF(tables_453100!C:C,input_453100!A20)+COUNTIF(tables_453100!C:C,input_453100!A22))</f>
        <v>92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COUNTIF(tables_453100!C:C,input_453100!A17)-COUNTIF(Q:Q,A17)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0.22034601449275359</v>
      </c>
      <c r="C18" s="85">
        <f t="shared" si="2"/>
        <v>0</v>
      </c>
      <c r="D18" s="74">
        <f t="shared" si="3"/>
        <v>0.22034601449275359</v>
      </c>
      <c r="E18">
        <f>COUNTIF(tables_453100!C:C,input_453100!A18)-COUNTIF(Q:Q,A18)</f>
        <v>20</v>
      </c>
      <c r="F18" s="43">
        <f>IFERROR(B18/E18,0)</f>
        <v>1.101730072463768E-2</v>
      </c>
      <c r="G18">
        <f t="shared" si="4"/>
        <v>6081549.9999999991</v>
      </c>
      <c r="H18">
        <f t="shared" si="5"/>
        <v>304077.5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COUNTIF(tables_453100!C:C,input_453100!A19)-COUNTIF(Q:Q,A19)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0.4966847826086957</v>
      </c>
      <c r="C20" s="85">
        <f t="shared" si="2"/>
        <v>0</v>
      </c>
      <c r="D20" s="74">
        <f t="shared" si="3"/>
        <v>0.4966847826086957</v>
      </c>
      <c r="E20">
        <f>COUNTIF(tables_453100!C:C,input_453100!A20)-COUNTIF(Q:Q,A20)</f>
        <v>52</v>
      </c>
      <c r="F20" s="43">
        <f t="shared" si="8"/>
        <v>9.5516304347826094E-3</v>
      </c>
      <c r="G20">
        <f t="shared" si="4"/>
        <v>13708500.000000002</v>
      </c>
      <c r="H20">
        <f t="shared" si="5"/>
        <v>263625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2.644746376811594E-2</v>
      </c>
      <c r="C21" s="85">
        <f t="shared" si="2"/>
        <v>0</v>
      </c>
      <c r="D21" s="74">
        <f t="shared" si="3"/>
        <v>2.644746376811594E-2</v>
      </c>
      <c r="E21">
        <f>COUNTIF(tables_453100!C:C,input_453100!A21)-COUNTIF(Q:Q,A21)</f>
        <v>52</v>
      </c>
      <c r="F21" s="43">
        <f t="shared" si="8"/>
        <v>5.0860507246376803E-4</v>
      </c>
      <c r="G21">
        <f t="shared" si="4"/>
        <v>729949.99999999988</v>
      </c>
      <c r="H21">
        <f t="shared" si="5"/>
        <v>14037.5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0.14817934782608694</v>
      </c>
      <c r="C22" s="85">
        <f t="shared" si="2"/>
        <v>0</v>
      </c>
      <c r="D22" s="74">
        <f t="shared" si="3"/>
        <v>0.14817934782608694</v>
      </c>
      <c r="E22">
        <f>COUNTIF(tables_453100!C:C,input_453100!A22)-COUNTIF(Q:Q,A22)</f>
        <v>16</v>
      </c>
      <c r="F22" s="43">
        <f t="shared" si="8"/>
        <v>9.2612092391304336E-3</v>
      </c>
      <c r="G22">
        <f t="shared" si="4"/>
        <v>4089749.9999999995</v>
      </c>
      <c r="H22">
        <f t="shared" si="5"/>
        <v>255609.375</v>
      </c>
      <c r="I22">
        <f t="shared" si="6"/>
        <v>0.375</v>
      </c>
      <c r="J22">
        <f t="shared" si="7"/>
        <v>2.6666666666666665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1.7038043478260868E-2</v>
      </c>
      <c r="C23" s="85">
        <f t="shared" si="2"/>
        <v>0</v>
      </c>
      <c r="D23" s="74">
        <f t="shared" si="3"/>
        <v>1.7038043478260868E-2</v>
      </c>
      <c r="E23">
        <f>COUNTIF(tables_453100!C:C,input_453100!A23)-COUNTIF(Q:Q,A23)</f>
        <v>22</v>
      </c>
      <c r="F23" s="43">
        <f t="shared" si="8"/>
        <v>7.7445652173913039E-4</v>
      </c>
      <c r="G23">
        <f t="shared" si="4"/>
        <v>470249.99999999994</v>
      </c>
      <c r="H23">
        <f t="shared" si="5"/>
        <v>21375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COUNTIF(tables_453100!C:C,input_453100!A24)-COUNTIF(Q:Q,A24)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3.8206521739130438E-2</v>
      </c>
      <c r="C25" s="85">
        <f t="shared" si="2"/>
        <v>0</v>
      </c>
      <c r="D25" s="74">
        <f t="shared" si="3"/>
        <v>3.8206521739130438E-2</v>
      </c>
      <c r="E25">
        <f>COUNTIF(tables_453100!C:C,input_453100!A25)-COUNTIF(Q:Q,A25)</f>
        <v>4</v>
      </c>
      <c r="F25" s="43">
        <f t="shared" si="8"/>
        <v>9.5516304347826094E-3</v>
      </c>
      <c r="G25">
        <f t="shared" si="4"/>
        <v>1054500</v>
      </c>
      <c r="H25">
        <f t="shared" si="5"/>
        <v>263625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3.0978260869565215E-3</v>
      </c>
      <c r="C26" s="85">
        <f t="shared" si="2"/>
        <v>0</v>
      </c>
      <c r="D26" s="74">
        <f t="shared" si="3"/>
        <v>3.0978260869565215E-3</v>
      </c>
      <c r="E26">
        <f>COUNTIF(tables_453100!C:C,input_453100!A26)-COUNTIF(Q:Q,A26)</f>
        <v>4</v>
      </c>
      <c r="F26" s="43">
        <f t="shared" si="8"/>
        <v>7.7445652173913039E-4</v>
      </c>
      <c r="G26">
        <f t="shared" si="4"/>
        <v>85500</v>
      </c>
      <c r="H26">
        <f t="shared" si="5"/>
        <v>21375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2.1583333333333336E-2</v>
      </c>
      <c r="C27" s="85">
        <f t="shared" si="2"/>
        <v>0</v>
      </c>
      <c r="D27" s="74">
        <f t="shared" si="3"/>
        <v>2.1583333333333336E-2</v>
      </c>
      <c r="E27">
        <f>COUNTIF(tables_453100!C:C,input_453100!A27)-COUNTIF(Q:Q,A27)</f>
        <v>28</v>
      </c>
      <c r="F27" s="43">
        <f>IFERROR(B27/E27,0)</f>
        <v>7.7083333333333344E-4</v>
      </c>
      <c r="G27">
        <f t="shared" si="4"/>
        <v>595700.00000000012</v>
      </c>
      <c r="H27">
        <f t="shared" si="5"/>
        <v>21275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1.75E-3</v>
      </c>
      <c r="C28" s="85">
        <f t="shared" si="2"/>
        <v>0</v>
      </c>
      <c r="D28" s="74">
        <f t="shared" si="3"/>
        <v>1.75E-3</v>
      </c>
      <c r="E28">
        <f>COUNTIF(tables_453100!C:C,input_453100!A28)-COUNTIF(Q:Q,A28)</f>
        <v>28</v>
      </c>
      <c r="F28" s="43">
        <f t="shared" si="8"/>
        <v>6.2500000000000001E-5</v>
      </c>
      <c r="G28">
        <f t="shared" si="4"/>
        <v>48300</v>
      </c>
      <c r="H28">
        <f t="shared" si="5"/>
        <v>1725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2.6666666666666668E-2</v>
      </c>
      <c r="C29" s="85">
        <f t="shared" si="2"/>
        <v>0</v>
      </c>
      <c r="D29" s="74">
        <f t="shared" si="3"/>
        <v>2.6666666666666668E-2</v>
      </c>
      <c r="E29">
        <f>COUNTIF(tables_453100!C:C,input_453100!A29)-COUNTIF(Q:Q,A29)</f>
        <v>32</v>
      </c>
      <c r="F29" s="43">
        <f t="shared" si="8"/>
        <v>8.3333333333333339E-4</v>
      </c>
      <c r="G29">
        <f t="shared" si="4"/>
        <v>736000</v>
      </c>
      <c r="H29">
        <f t="shared" si="5"/>
        <v>23000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COUNTIF(tables_453100!C:C,input_453100!A30)-COUNTIF(Q:Q,A30)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COUNTIF(tables_453100!C:C,input_453100!A31)-COUNTIF(Q:Q,A31)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1.3824275362318839E-2</v>
      </c>
      <c r="F34" s="55">
        <f ca="1">0.45-G41</f>
        <v>-0.47500000000000003</v>
      </c>
    </row>
    <row r="35" spans="1:7" x14ac:dyDescent="0.15">
      <c r="A35" t="s">
        <v>73</v>
      </c>
    </row>
    <row r="36" spans="1:7" x14ac:dyDescent="0.15">
      <c r="A36" s="31">
        <f>LCM(F5-I5,F6-I6)*1000*2*2*5</f>
        <v>27600000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SUMIF(tables_453100!C:C,input_453100!A40,tables_453100!O:O)</f>
        <v>0</v>
      </c>
      <c r="C40" s="54">
        <f t="shared" ref="C40:C46" ca="1" si="9">B40/B$47</f>
        <v>0</v>
      </c>
      <c r="E40">
        <v>3</v>
      </c>
      <c r="F40">
        <f ca="1">SUMIF(tables_453100!J:J,input_453100!E40,tables_453100!O:O)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SUMIF(tables_453100!C:C,input_453100!A41,tables_453100!O:O)</f>
        <v>13708500</v>
      </c>
      <c r="C41" s="54">
        <f t="shared" ca="1" si="9"/>
        <v>0.90890405736468549</v>
      </c>
      <c r="E41">
        <v>4</v>
      </c>
      <c r="F41">
        <f ca="1">SUMIF(tables_453100!J:J,input_453100!E41,tables_453100!O:O)</f>
        <v>25530000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SUMIF(tables_453100!C:C,input_453100!A42,tables_453100!O:O)</f>
        <v>595700</v>
      </c>
      <c r="C42" s="54">
        <f t="shared" ca="1" si="9"/>
        <v>3.9496235691150974E-2</v>
      </c>
      <c r="E42">
        <v>5</v>
      </c>
      <c r="F42">
        <f ca="1">SUMIF(tables_453100!J:J,input_453100!E42,tables_453100!O:O)</f>
        <v>2070000</v>
      </c>
      <c r="G42">
        <f ca="1">F42/A36</f>
        <v>7.4999999999999997E-2</v>
      </c>
    </row>
    <row r="43" spans="1:7" x14ac:dyDescent="0.15">
      <c r="A43" s="33" t="s">
        <v>109</v>
      </c>
      <c r="B43">
        <f>SUMIF(tables_453100!C:C,input_453100!A43,tables_453100!O:O)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SUMIF(tables_453100!C:C,input_453100!A44,tables_453100!O:O)</f>
        <v>729950</v>
      </c>
      <c r="C44" s="54">
        <f t="shared" ca="1" si="9"/>
        <v>4.839730945569188E-2</v>
      </c>
      <c r="E44" t="s">
        <v>54</v>
      </c>
      <c r="F44" s="55"/>
    </row>
    <row r="45" spans="1:7" x14ac:dyDescent="0.15">
      <c r="A45" s="33" t="s">
        <v>107</v>
      </c>
      <c r="B45">
        <f ca="1">SUMIF(tables_453100!C:C,input_453100!A45,tables_453100!O:O)</f>
        <v>48300</v>
      </c>
      <c r="C45" s="54">
        <f t="shared" ca="1" si="9"/>
        <v>3.2023974884717006E-3</v>
      </c>
      <c r="E45" t="s">
        <v>204</v>
      </c>
      <c r="F45" s="55">
        <f ca="1">SUMIF(tables_453100!I:I,input_453100!E45,tables_453100!P:P)</f>
        <v>0.22499275362318846</v>
      </c>
    </row>
    <row r="46" spans="1:7" x14ac:dyDescent="0.15">
      <c r="A46" s="33" t="s">
        <v>108</v>
      </c>
      <c r="B46">
        <f>SUMIF(tables_453100!C:C,input_453100!A46,tables_453100!O:O)</f>
        <v>0</v>
      </c>
      <c r="C46" s="54">
        <f t="shared" ca="1" si="9"/>
        <v>0</v>
      </c>
      <c r="E46" t="s">
        <v>205</v>
      </c>
      <c r="F46" s="55">
        <f ca="1">SUMIF(tables_453100!I:I,input_453100!E46,tables_453100!P:P)</f>
        <v>0.20200226449275366</v>
      </c>
    </row>
    <row r="47" spans="1:7" x14ac:dyDescent="0.15">
      <c r="A47" s="39" t="s">
        <v>59</v>
      </c>
      <c r="B47">
        <f ca="1">SUM(B40:B46)</f>
        <v>15082450</v>
      </c>
      <c r="C47" s="55">
        <f ca="1">SUM(C40:C46)</f>
        <v>1</v>
      </c>
      <c r="E47" t="s">
        <v>206</v>
      </c>
      <c r="F47" s="55">
        <f ca="1">SUMIF(tables_453100!I:I,input_453100!E47,tables_453100!P:P)</f>
        <v>0.52300498188405808</v>
      </c>
    </row>
    <row r="48" spans="1:7" x14ac:dyDescent="0.15">
      <c r="E48" t="s">
        <v>207</v>
      </c>
      <c r="F48" s="55">
        <f ca="1">SUMIF(tables_453100!I:I,input_453100!E48,tables_453100!P:P)</f>
        <v>4.5833333333333282E-2</v>
      </c>
    </row>
    <row r="49" spans="5:6" x14ac:dyDescent="0.15">
      <c r="E49" t="s">
        <v>252</v>
      </c>
      <c r="F49" s="55">
        <f ca="1">SUMIF(tables_453100!I:I,input_453100!E49,tables_453100!P:P)</f>
        <v>4.1666666666666666E-3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Q2" sqref="Q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input_453100!A$2</f>
        <v>453100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IFERROR(VLOOKUP(B2,input_453100!L:R,7,FALSE),VLOOKUP(tables_453100!C2,input_453100!A:H,8,FALSE))</f>
        <v>0</v>
      </c>
      <c r="P2" s="46">
        <f t="shared" ref="P2:P65" ca="1" si="1">O2/SUM(O:O)</f>
        <v>0</v>
      </c>
      <c r="Q2" s="30">
        <f>IF(J2=3,40,IF(J2=4,60,80))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input_453100!A$2</f>
        <v>453100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IFERROR(VLOOKUP(B3,input_453100!L:R,7,FALSE),VLOOKUP(tables_453100!C3,input_453100!A:H,8,FALSE))</f>
        <v>304077.5</v>
      </c>
      <c r="P3" s="46">
        <f t="shared" ca="1" si="1"/>
        <v>1.101730072463768E-2</v>
      </c>
      <c r="Q3" s="30">
        <f t="shared" ref="Q3:Q66" si="3">IF(J3=3,40,IF(J3=4,60,80))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input_453100!A$2</f>
        <v>453100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IFERROR(VLOOKUP(B4,input_453100!L:R,7,FALSE),VLOOKUP(tables_453100!C4,input_453100!A:H,8,FALSE))</f>
        <v>0</v>
      </c>
      <c r="P4" s="46">
        <f t="shared" ca="1" si="1"/>
        <v>0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input_453100!A$2</f>
        <v>453100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IFERROR(VLOOKUP(B5,input_453100!L:R,7,FALSE),VLOOKUP(tables_453100!C5,input_453100!A:H,8,FALSE))</f>
        <v>304077.5</v>
      </c>
      <c r="P5" s="46">
        <f t="shared" ca="1" si="1"/>
        <v>1.101730072463768E-2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input_453100!A$2</f>
        <v>453100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IFERROR(VLOOKUP(B6,input_453100!L:R,7,FALSE),VLOOKUP(tables_453100!C6,input_453100!A:H,8,FALSE))</f>
        <v>0</v>
      </c>
      <c r="P6" s="46">
        <f t="shared" ca="1" si="1"/>
        <v>0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input_453100!A$2</f>
        <v>453100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IFERROR(VLOOKUP(B7,input_453100!L:R,7,FALSE),VLOOKUP(tables_453100!C7,input_453100!A:H,8,FALSE))</f>
        <v>304077.5</v>
      </c>
      <c r="P7" s="46">
        <f t="shared" ca="1" si="1"/>
        <v>1.101730072463768E-2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input_453100!A$2</f>
        <v>453100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IFERROR(VLOOKUP(B8,input_453100!L:R,7,FALSE),VLOOKUP(tables_453100!C8,input_453100!A:H,8,FALSE))</f>
        <v>0</v>
      </c>
      <c r="P8" s="46">
        <f t="shared" ca="1" si="1"/>
        <v>0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input_453100!A$2</f>
        <v>453100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IFERROR(VLOOKUP(B9,input_453100!L:R,7,FALSE),VLOOKUP(tables_453100!C9,input_453100!A:H,8,FALSE))</f>
        <v>304077.5</v>
      </c>
      <c r="P9" s="46">
        <f t="shared" ca="1" si="1"/>
        <v>1.101730072463768E-2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input_453100!A$2</f>
        <v>453100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IFERROR(VLOOKUP(B10,input_453100!L:R,7,FALSE),VLOOKUP(tables_453100!C10,input_453100!A:H,8,FALSE))</f>
        <v>0</v>
      </c>
      <c r="P10" s="46">
        <f t="shared" ca="1" si="1"/>
        <v>0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input_453100!A$2</f>
        <v>453100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IFERROR(VLOOKUP(B11,input_453100!L:R,7,FALSE),VLOOKUP(tables_453100!C11,input_453100!A:H,8,FALSE))</f>
        <v>304077.5</v>
      </c>
      <c r="P11" s="46">
        <f t="shared" ca="1" si="1"/>
        <v>1.101730072463768E-2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input_453100!A$2</f>
        <v>453100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IFERROR(VLOOKUP(B12,input_453100!L:R,7,FALSE),VLOOKUP(tables_453100!C12,input_453100!A:H,8,FALSE))</f>
        <v>0</v>
      </c>
      <c r="P12" s="46">
        <f t="shared" ca="1" si="1"/>
        <v>0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input_453100!A$2</f>
        <v>453100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IFERROR(VLOOKUP(B13,input_453100!L:R,7,FALSE),VLOOKUP(tables_453100!C13,input_453100!A:H,8,FALSE))</f>
        <v>304077.5</v>
      </c>
      <c r="P13" s="46">
        <f t="shared" ca="1" si="1"/>
        <v>1.101730072463768E-2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input_453100!A$2</f>
        <v>453100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IFERROR(VLOOKUP(B14,input_453100!L:R,7,FALSE),VLOOKUP(tables_453100!C14,input_453100!A:H,8,FALSE))</f>
        <v>0</v>
      </c>
      <c r="P14" s="46">
        <f t="shared" ca="1" si="1"/>
        <v>0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input_453100!A$2</f>
        <v>453100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IFERROR(VLOOKUP(B15,input_453100!L:R,7,FALSE),VLOOKUP(tables_453100!C15,input_453100!A:H,8,FALSE))</f>
        <v>304077.5</v>
      </c>
      <c r="P15" s="46">
        <f t="shared" ca="1" si="1"/>
        <v>1.101730072463768E-2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input_453100!A$2</f>
        <v>453100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IFERROR(VLOOKUP(B16,input_453100!L:R,7,FALSE),VLOOKUP(tables_453100!C16,input_453100!A:H,8,FALSE))</f>
        <v>0</v>
      </c>
      <c r="P16" s="46">
        <f t="shared" ca="1" si="1"/>
        <v>0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input_453100!A$2</f>
        <v>453100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IFERROR(VLOOKUP(B17,input_453100!L:R,7,FALSE),VLOOKUP(tables_453100!C17,input_453100!A:H,8,FALSE))</f>
        <v>304077.5</v>
      </c>
      <c r="P17" s="46">
        <f t="shared" ca="1" si="1"/>
        <v>1.101730072463768E-2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input_453100!A$2</f>
        <v>453100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IFERROR(VLOOKUP(B18,input_453100!L:R,7,FALSE),VLOOKUP(tables_453100!C18,input_453100!A:H,8,FALSE))</f>
        <v>0</v>
      </c>
      <c r="P18" s="46">
        <f t="shared" ca="1" si="1"/>
        <v>0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input_453100!A$2</f>
        <v>453100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IFERROR(VLOOKUP(B19,input_453100!L:R,7,FALSE),VLOOKUP(tables_453100!C19,input_453100!A:H,8,FALSE))</f>
        <v>304077.5</v>
      </c>
      <c r="P19" s="46">
        <f t="shared" ca="1" si="1"/>
        <v>1.101730072463768E-2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input_453100!A$2</f>
        <v>453100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IFERROR(VLOOKUP(B20,input_453100!L:R,7,FALSE),VLOOKUP(tables_453100!C20,input_453100!A:H,8,FALSE))</f>
        <v>0</v>
      </c>
      <c r="P20" s="46">
        <f t="shared" ca="1" si="1"/>
        <v>0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input_453100!A$2</f>
        <v>453100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IFERROR(VLOOKUP(B21,input_453100!L:R,7,FALSE),VLOOKUP(tables_453100!C21,input_453100!A:H,8,FALSE))</f>
        <v>304077.5</v>
      </c>
      <c r="P21" s="46">
        <f t="shared" ca="1" si="1"/>
        <v>1.101730072463768E-2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input_453100!A$2</f>
        <v>453100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IFERROR(VLOOKUP(B22,input_453100!L:R,7,FALSE),VLOOKUP(tables_453100!C22,input_453100!A:H,8,FALSE))</f>
        <v>0</v>
      </c>
      <c r="P22" s="46">
        <f t="shared" ca="1" si="1"/>
        <v>0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input_453100!A$2</f>
        <v>453100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IFERROR(VLOOKUP(B23,input_453100!L:R,7,FALSE),VLOOKUP(tables_453100!C23,input_453100!A:H,8,FALSE))</f>
        <v>304077.5</v>
      </c>
      <c r="P23" s="46">
        <f t="shared" ca="1" si="1"/>
        <v>1.101730072463768E-2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input_453100!A$2</f>
        <v>453100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IFERROR(VLOOKUP(B24,input_453100!L:R,7,FALSE),VLOOKUP(tables_453100!C24,input_453100!A:H,8,FALSE))</f>
        <v>0</v>
      </c>
      <c r="P24" s="46">
        <f t="shared" ca="1" si="1"/>
        <v>0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input_453100!A$2</f>
        <v>453100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IFERROR(VLOOKUP(B25,input_453100!L:R,7,FALSE),VLOOKUP(tables_453100!C25,input_453100!A:H,8,FALSE))</f>
        <v>304077.5</v>
      </c>
      <c r="P25" s="46">
        <f t="shared" ca="1" si="1"/>
        <v>1.101730072463768E-2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input_453100!A$2</f>
        <v>453100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IFERROR(VLOOKUP(B26,input_453100!L:R,7,FALSE),VLOOKUP(tables_453100!C26,input_453100!A:H,8,FALSE))</f>
        <v>0</v>
      </c>
      <c r="P26" s="46">
        <f t="shared" ca="1" si="1"/>
        <v>0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input_453100!A$2</f>
        <v>453100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IFERROR(VLOOKUP(B27,input_453100!L:R,7,FALSE),VLOOKUP(tables_453100!C27,input_453100!A:H,8,FALSE))</f>
        <v>304077.5</v>
      </c>
      <c r="P27" s="46">
        <f t="shared" ca="1" si="1"/>
        <v>1.101730072463768E-2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input_453100!A$2</f>
        <v>453100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IFERROR(VLOOKUP(B28,input_453100!L:R,7,FALSE),VLOOKUP(tables_453100!C28,input_453100!A:H,8,FALSE))</f>
        <v>0</v>
      </c>
      <c r="P28" s="46">
        <f t="shared" ca="1" si="1"/>
        <v>0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input_453100!A$2</f>
        <v>453100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IFERROR(VLOOKUP(B29,input_453100!L:R,7,FALSE),VLOOKUP(tables_453100!C29,input_453100!A:H,8,FALSE))</f>
        <v>304077.5</v>
      </c>
      <c r="P29" s="46">
        <f t="shared" ca="1" si="1"/>
        <v>1.101730072463768E-2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input_453100!A$2</f>
        <v>453100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IFERROR(VLOOKUP(B30,input_453100!L:R,7,FALSE),VLOOKUP(tables_453100!C30,input_453100!A:H,8,FALSE))</f>
        <v>0</v>
      </c>
      <c r="P30" s="46">
        <f t="shared" ca="1" si="1"/>
        <v>0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input_453100!A$2</f>
        <v>453100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IFERROR(VLOOKUP(B31,input_453100!L:R,7,FALSE),VLOOKUP(tables_453100!C31,input_453100!A:H,8,FALSE))</f>
        <v>304077.5</v>
      </c>
      <c r="P31" s="46">
        <f t="shared" ca="1" si="1"/>
        <v>1.101730072463768E-2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input_453100!A$2</f>
        <v>453100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IFERROR(VLOOKUP(B32,input_453100!L:R,7,FALSE),VLOOKUP(tables_453100!C32,input_453100!A:H,8,FALSE))</f>
        <v>0</v>
      </c>
      <c r="P32" s="46">
        <f t="shared" ca="1" si="1"/>
        <v>0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input_453100!A$2</f>
        <v>453100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IFERROR(VLOOKUP(B33,input_453100!L:R,7,FALSE),VLOOKUP(tables_453100!C33,input_453100!A:H,8,FALSE))</f>
        <v>304077.5</v>
      </c>
      <c r="P33" s="46">
        <f t="shared" ca="1" si="1"/>
        <v>1.101730072463768E-2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input_453100!A$2</f>
        <v>453100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IFERROR(VLOOKUP(B34,input_453100!L:R,7,FALSE),VLOOKUP(tables_453100!C34,input_453100!A:H,8,FALSE))</f>
        <v>0</v>
      </c>
      <c r="P34" s="46">
        <f t="shared" ca="1" si="1"/>
        <v>0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input_453100!A$2</f>
        <v>453100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IFERROR(VLOOKUP(B35,input_453100!L:R,7,FALSE),VLOOKUP(tables_453100!C35,input_453100!A:H,8,FALSE))</f>
        <v>304077.5</v>
      </c>
      <c r="P35" s="46">
        <f t="shared" ca="1" si="1"/>
        <v>1.101730072463768E-2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input_453100!A$2</f>
        <v>453100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IFERROR(VLOOKUP(B36,input_453100!L:R,7,FALSE),VLOOKUP(tables_453100!C36,input_453100!A:H,8,FALSE))</f>
        <v>0</v>
      </c>
      <c r="P36" s="46">
        <f t="shared" ca="1" si="1"/>
        <v>0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input_453100!A$2</f>
        <v>453100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IFERROR(VLOOKUP(B37,input_453100!L:R,7,FALSE),VLOOKUP(tables_453100!C37,input_453100!A:H,8,FALSE))</f>
        <v>304077.5</v>
      </c>
      <c r="P37" s="46">
        <f t="shared" ca="1" si="1"/>
        <v>1.101730072463768E-2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input_453100!A$2</f>
        <v>453100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IFERROR(VLOOKUP(B38,input_453100!L:R,7,FALSE),VLOOKUP(tables_453100!C38,input_453100!A:H,8,FALSE))</f>
        <v>0</v>
      </c>
      <c r="P38" s="46">
        <f t="shared" ca="1" si="1"/>
        <v>0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input_453100!A$2</f>
        <v>453100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IFERROR(VLOOKUP(B39,input_453100!L:R,7,FALSE),VLOOKUP(tables_453100!C39,input_453100!A:H,8,FALSE))</f>
        <v>304077.5</v>
      </c>
      <c r="P39" s="46">
        <f t="shared" ca="1" si="1"/>
        <v>1.101730072463768E-2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input_453100!A$2</f>
        <v>453100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IFERROR(VLOOKUP(B40,input_453100!L:R,7,FALSE),VLOOKUP(tables_453100!C40,input_453100!A:H,8,FALSE))</f>
        <v>0</v>
      </c>
      <c r="P40" s="46">
        <f t="shared" ca="1" si="1"/>
        <v>0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input_453100!A$2</f>
        <v>453100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IFERROR(VLOOKUP(B41,input_453100!L:R,7,FALSE),VLOOKUP(tables_453100!C41,input_453100!A:H,8,FALSE))</f>
        <v>304077.5</v>
      </c>
      <c r="P41" s="46">
        <f t="shared" ca="1" si="1"/>
        <v>1.101730072463768E-2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input_453100!A$2</f>
        <v>453100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IFERROR(VLOOKUP(B42,input_453100!L:R,7,FALSE),VLOOKUP(tables_453100!C42,input_453100!A:H,8,FALSE))</f>
        <v>0</v>
      </c>
      <c r="P42" s="46">
        <f t="shared" ca="1" si="1"/>
        <v>0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input_453100!A$2</f>
        <v>453100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IFERROR(VLOOKUP(B43,input_453100!L:R,7,FALSE),VLOOKUP(tables_453100!C43,input_453100!A:H,8,FALSE))</f>
        <v>263625</v>
      </c>
      <c r="P43" s="46">
        <f t="shared" ca="1" si="1"/>
        <v>9.5516304347826094E-3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input_453100!A$2</f>
        <v>453100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IFERROR(VLOOKUP(B44,input_453100!L:R,7,FALSE),VLOOKUP(tables_453100!C44,input_453100!A:H,8,FALSE))</f>
        <v>21375</v>
      </c>
      <c r="P44" s="46">
        <f t="shared" ca="1" si="1"/>
        <v>7.7445652173913039E-4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input_453100!A$2</f>
        <v>453100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IFERROR(VLOOKUP(B45,input_453100!L:R,7,FALSE),VLOOKUP(tables_453100!C45,input_453100!A:H,8,FALSE))</f>
        <v>0</v>
      </c>
      <c r="P45" s="46">
        <f t="shared" ca="1" si="1"/>
        <v>0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input_453100!A$2</f>
        <v>453100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IFERROR(VLOOKUP(B46,input_453100!L:R,7,FALSE),VLOOKUP(tables_453100!C46,input_453100!A:H,8,FALSE))</f>
        <v>263625</v>
      </c>
      <c r="P46" s="46">
        <f t="shared" ca="1" si="1"/>
        <v>9.5516304347826094E-3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input_453100!A$2</f>
        <v>453100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IFERROR(VLOOKUP(B47,input_453100!L:R,7,FALSE),VLOOKUP(tables_453100!C47,input_453100!A:H,8,FALSE))</f>
        <v>21375</v>
      </c>
      <c r="P47" s="46">
        <f t="shared" ca="1" si="1"/>
        <v>7.7445652173913039E-4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input_453100!A$2</f>
        <v>453100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IFERROR(VLOOKUP(B48,input_453100!L:R,7,FALSE),VLOOKUP(tables_453100!C48,input_453100!A:H,8,FALSE))</f>
        <v>0</v>
      </c>
      <c r="P48" s="46">
        <f t="shared" ca="1" si="1"/>
        <v>0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input_453100!A$2</f>
        <v>453100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IFERROR(VLOOKUP(B49,input_453100!L:R,7,FALSE),VLOOKUP(tables_453100!C49,input_453100!A:H,8,FALSE))</f>
        <v>263625</v>
      </c>
      <c r="P49" s="46">
        <f t="shared" ca="1" si="1"/>
        <v>9.5516304347826094E-3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input_453100!A$2</f>
        <v>453100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IFERROR(VLOOKUP(B50,input_453100!L:R,7,FALSE),VLOOKUP(tables_453100!C50,input_453100!A:H,8,FALSE))</f>
        <v>21375</v>
      </c>
      <c r="P50" s="46">
        <f t="shared" ca="1" si="1"/>
        <v>7.7445652173913039E-4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input_453100!A$2</f>
        <v>453100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IFERROR(VLOOKUP(B51,input_453100!L:R,7,FALSE),VLOOKUP(tables_453100!C51,input_453100!A:H,8,FALSE))</f>
        <v>0</v>
      </c>
      <c r="P51" s="46">
        <f t="shared" ca="1" si="1"/>
        <v>0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input_453100!A$2</f>
        <v>453100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IFERROR(VLOOKUP(B52,input_453100!L:R,7,FALSE),VLOOKUP(tables_453100!C52,input_453100!A:H,8,FALSE))</f>
        <v>263625</v>
      </c>
      <c r="P52" s="46">
        <f t="shared" ca="1" si="1"/>
        <v>9.5516304347826094E-3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input_453100!A$2</f>
        <v>453100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IFERROR(VLOOKUP(B53,input_453100!L:R,7,FALSE),VLOOKUP(tables_453100!C53,input_453100!A:H,8,FALSE))</f>
        <v>14037.5</v>
      </c>
      <c r="P53" s="46">
        <f t="shared" ca="1" si="1"/>
        <v>5.0860507246376814E-4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input_453100!A$2</f>
        <v>453100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IFERROR(VLOOKUP(B54,input_453100!L:R,7,FALSE),VLOOKUP(tables_453100!C54,input_453100!A:H,8,FALSE))</f>
        <v>0</v>
      </c>
      <c r="P54" s="46">
        <f t="shared" ca="1" si="1"/>
        <v>0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input_453100!A$2</f>
        <v>453100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IFERROR(VLOOKUP(B55,input_453100!L:R,7,FALSE),VLOOKUP(tables_453100!C55,input_453100!A:H,8,FALSE))</f>
        <v>263625</v>
      </c>
      <c r="P55" s="46">
        <f t="shared" ca="1" si="1"/>
        <v>9.5516304347826094E-3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input_453100!A$2</f>
        <v>453100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IFERROR(VLOOKUP(B56,input_453100!L:R,7,FALSE),VLOOKUP(tables_453100!C56,input_453100!A:H,8,FALSE))</f>
        <v>14037.5</v>
      </c>
      <c r="P56" s="46">
        <f t="shared" ca="1" si="1"/>
        <v>5.0860507246376814E-4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input_453100!A$2</f>
        <v>453100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IFERROR(VLOOKUP(B57,input_453100!L:R,7,FALSE),VLOOKUP(tables_453100!C57,input_453100!A:H,8,FALSE))</f>
        <v>0</v>
      </c>
      <c r="P57" s="46">
        <f t="shared" ca="1" si="1"/>
        <v>0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input_453100!A$2</f>
        <v>453100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IFERROR(VLOOKUP(B58,input_453100!L:R,7,FALSE),VLOOKUP(tables_453100!C58,input_453100!A:H,8,FALSE))</f>
        <v>263625</v>
      </c>
      <c r="P58" s="46">
        <f t="shared" ca="1" si="1"/>
        <v>9.5516304347826094E-3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input_453100!A$2</f>
        <v>453100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IFERROR(VLOOKUP(B59,input_453100!L:R,7,FALSE),VLOOKUP(tables_453100!C59,input_453100!A:H,8,FALSE))</f>
        <v>14037.5</v>
      </c>
      <c r="P59" s="46">
        <f t="shared" ca="1" si="1"/>
        <v>5.0860507246376814E-4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input_453100!A$2</f>
        <v>453100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IFERROR(VLOOKUP(B60,input_453100!L:R,7,FALSE),VLOOKUP(tables_453100!C60,input_453100!A:H,8,FALSE))</f>
        <v>0</v>
      </c>
      <c r="P60" s="46">
        <f t="shared" ca="1" si="1"/>
        <v>0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input_453100!A$2</f>
        <v>453100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IFERROR(VLOOKUP(B61,input_453100!L:R,7,FALSE),VLOOKUP(tables_453100!C61,input_453100!A:H,8,FALSE))</f>
        <v>263625</v>
      </c>
      <c r="P61" s="46">
        <f t="shared" ca="1" si="1"/>
        <v>9.5516304347826094E-3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input_453100!A$2</f>
        <v>453100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IFERROR(VLOOKUP(B62,input_453100!L:R,7,FALSE),VLOOKUP(tables_453100!C62,input_453100!A:H,8,FALSE))</f>
        <v>14037.5</v>
      </c>
      <c r="P62" s="46">
        <f t="shared" ca="1" si="1"/>
        <v>5.0860507246376814E-4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input_453100!A$2</f>
        <v>453100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IFERROR(VLOOKUP(B63,input_453100!L:R,7,FALSE),VLOOKUP(tables_453100!C63,input_453100!A:H,8,FALSE))</f>
        <v>0</v>
      </c>
      <c r="P63" s="46">
        <f t="shared" ca="1" si="1"/>
        <v>0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input_453100!A$2</f>
        <v>453100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IFERROR(VLOOKUP(B64,input_453100!L:R,7,FALSE),VLOOKUP(tables_453100!C64,input_453100!A:H,8,FALSE))</f>
        <v>263625</v>
      </c>
      <c r="P64" s="46">
        <f t="shared" ca="1" si="1"/>
        <v>9.5516304347826094E-3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input_453100!A$2</f>
        <v>453100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IFERROR(VLOOKUP(B65,input_453100!L:R,7,FALSE),VLOOKUP(tables_453100!C65,input_453100!A:H,8,FALSE))</f>
        <v>14037.5</v>
      </c>
      <c r="P65" s="46">
        <f t="shared" ca="1" si="1"/>
        <v>5.0860507246376814E-4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input_453100!A$2</f>
        <v>453100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IFERROR(VLOOKUP(B66,input_453100!L:R,7,FALSE),VLOOKUP(tables_453100!C66,input_453100!A:H,8,FALSE))</f>
        <v>0</v>
      </c>
      <c r="P66" s="46">
        <f t="shared" ref="P66:P129" ca="1" si="5">O66/SUM(O:O)</f>
        <v>0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input_453100!A$2</f>
        <v>453100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IFERROR(VLOOKUP(B67,input_453100!L:R,7,FALSE),VLOOKUP(tables_453100!C67,input_453100!A:H,8,FALSE))</f>
        <v>263625</v>
      </c>
      <c r="P67" s="46">
        <f t="shared" ca="1" si="5"/>
        <v>9.5516304347826094E-3</v>
      </c>
      <c r="Q67" s="30">
        <f t="shared" ref="Q67:Q130" si="7">IF(J67=3,40,IF(J67=4,60,80))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input_453100!A$2</f>
        <v>453100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IFERROR(VLOOKUP(B68,input_453100!L:R,7,FALSE),VLOOKUP(tables_453100!C68,input_453100!A:H,8,FALSE))</f>
        <v>14037.5</v>
      </c>
      <c r="P68" s="46">
        <f t="shared" ca="1" si="5"/>
        <v>5.0860507246376814E-4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input_453100!A$2</f>
        <v>453100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IFERROR(VLOOKUP(B69,input_453100!L:R,7,FALSE),VLOOKUP(tables_453100!C69,input_453100!A:H,8,FALSE))</f>
        <v>0</v>
      </c>
      <c r="P69" s="46">
        <f t="shared" ca="1" si="5"/>
        <v>0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input_453100!A$2</f>
        <v>453100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IFERROR(VLOOKUP(B70,input_453100!L:R,7,FALSE),VLOOKUP(tables_453100!C70,input_453100!A:H,8,FALSE))</f>
        <v>263625</v>
      </c>
      <c r="P70" s="46">
        <f t="shared" ca="1" si="5"/>
        <v>9.5516304347826094E-3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input_453100!A$2</f>
        <v>453100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IFERROR(VLOOKUP(B71,input_453100!L:R,7,FALSE),VLOOKUP(tables_453100!C71,input_453100!A:H,8,FALSE))</f>
        <v>14037.5</v>
      </c>
      <c r="P71" s="46">
        <f t="shared" ca="1" si="5"/>
        <v>5.0860507246376814E-4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input_453100!A$2</f>
        <v>453100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IFERROR(VLOOKUP(B72,input_453100!L:R,7,FALSE),VLOOKUP(tables_453100!C72,input_453100!A:H,8,FALSE))</f>
        <v>0</v>
      </c>
      <c r="P72" s="46">
        <f t="shared" ca="1" si="5"/>
        <v>0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input_453100!A$2</f>
        <v>453100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IFERROR(VLOOKUP(B73,input_453100!L:R,7,FALSE),VLOOKUP(tables_453100!C73,input_453100!A:H,8,FALSE))</f>
        <v>263625</v>
      </c>
      <c r="P73" s="46">
        <f t="shared" ca="1" si="5"/>
        <v>9.5516304347826094E-3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input_453100!A$2</f>
        <v>453100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IFERROR(VLOOKUP(B74,input_453100!L:R,7,FALSE),VLOOKUP(tables_453100!C74,input_453100!A:H,8,FALSE))</f>
        <v>14037.5</v>
      </c>
      <c r="P74" s="46">
        <f t="shared" ca="1" si="5"/>
        <v>5.0860507246376814E-4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input_453100!A$2</f>
        <v>453100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IFERROR(VLOOKUP(B75,input_453100!L:R,7,FALSE),VLOOKUP(tables_453100!C75,input_453100!A:H,8,FALSE))</f>
        <v>0</v>
      </c>
      <c r="P75" s="46">
        <f t="shared" ca="1" si="5"/>
        <v>0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input_453100!A$2</f>
        <v>453100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IFERROR(VLOOKUP(B76,input_453100!L:R,7,FALSE),VLOOKUP(tables_453100!C76,input_453100!A:H,8,FALSE))</f>
        <v>263625</v>
      </c>
      <c r="P76" s="46">
        <f t="shared" ca="1" si="5"/>
        <v>9.5516304347826094E-3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input_453100!A$2</f>
        <v>453100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IFERROR(VLOOKUP(B77,input_453100!L:R,7,FALSE),VLOOKUP(tables_453100!C77,input_453100!A:H,8,FALSE))</f>
        <v>14037.5</v>
      </c>
      <c r="P77" s="46">
        <f t="shared" ca="1" si="5"/>
        <v>5.0860507246376814E-4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input_453100!A$2</f>
        <v>453100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IFERROR(VLOOKUP(B78,input_453100!L:R,7,FALSE),VLOOKUP(tables_453100!C78,input_453100!A:H,8,FALSE))</f>
        <v>0</v>
      </c>
      <c r="P78" s="46">
        <f t="shared" ca="1" si="5"/>
        <v>0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input_453100!A$2</f>
        <v>453100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IFERROR(VLOOKUP(B79,input_453100!L:R,7,FALSE),VLOOKUP(tables_453100!C79,input_453100!A:H,8,FALSE))</f>
        <v>263625</v>
      </c>
      <c r="P79" s="46">
        <f t="shared" ca="1" si="5"/>
        <v>9.5516304347826094E-3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input_453100!A$2</f>
        <v>453100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IFERROR(VLOOKUP(B80,input_453100!L:R,7,FALSE),VLOOKUP(tables_453100!C80,input_453100!A:H,8,FALSE))</f>
        <v>14037.5</v>
      </c>
      <c r="P80" s="46">
        <f t="shared" ca="1" si="5"/>
        <v>5.0860507246376814E-4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input_453100!A$2</f>
        <v>453100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IFERROR(VLOOKUP(B81,input_453100!L:R,7,FALSE),VLOOKUP(tables_453100!C81,input_453100!A:H,8,FALSE))</f>
        <v>0</v>
      </c>
      <c r="P81" s="46">
        <f t="shared" ca="1" si="5"/>
        <v>0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input_453100!A$2</f>
        <v>453100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IFERROR(VLOOKUP(B82,input_453100!L:R,7,FALSE),VLOOKUP(tables_453100!C82,input_453100!A:H,8,FALSE))</f>
        <v>263625</v>
      </c>
      <c r="P82" s="46">
        <f t="shared" ca="1" si="5"/>
        <v>9.5516304347826094E-3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input_453100!A$2</f>
        <v>453100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IFERROR(VLOOKUP(B83,input_453100!L:R,7,FALSE),VLOOKUP(tables_453100!C83,input_453100!A:H,8,FALSE))</f>
        <v>14037.5</v>
      </c>
      <c r="P83" s="46">
        <f t="shared" ca="1" si="5"/>
        <v>5.0860507246376814E-4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input_453100!A$2</f>
        <v>453100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IFERROR(VLOOKUP(B84,input_453100!L:R,7,FALSE),VLOOKUP(tables_453100!C84,input_453100!A:H,8,FALSE))</f>
        <v>0</v>
      </c>
      <c r="P84" s="46">
        <f t="shared" ca="1" si="5"/>
        <v>0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input_453100!A$2</f>
        <v>453100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IFERROR(VLOOKUP(B85,input_453100!L:R,7,FALSE),VLOOKUP(tables_453100!C85,input_453100!A:H,8,FALSE))</f>
        <v>263625</v>
      </c>
      <c r="P85" s="46">
        <f t="shared" ca="1" si="5"/>
        <v>9.5516304347826094E-3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input_453100!A$2</f>
        <v>453100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IFERROR(VLOOKUP(B86,input_453100!L:R,7,FALSE),VLOOKUP(tables_453100!C86,input_453100!A:H,8,FALSE))</f>
        <v>14037.5</v>
      </c>
      <c r="P86" s="46">
        <f t="shared" ca="1" si="5"/>
        <v>5.0860507246376814E-4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input_453100!A$2</f>
        <v>453100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IFERROR(VLOOKUP(B87,input_453100!L:R,7,FALSE),VLOOKUP(tables_453100!C87,input_453100!A:H,8,FALSE))</f>
        <v>0</v>
      </c>
      <c r="P87" s="46">
        <f t="shared" ca="1" si="5"/>
        <v>0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input_453100!A$2</f>
        <v>453100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IFERROR(VLOOKUP(B88,input_453100!L:R,7,FALSE),VLOOKUP(tables_453100!C88,input_453100!A:H,8,FALSE))</f>
        <v>263625</v>
      </c>
      <c r="P88" s="46">
        <f t="shared" ca="1" si="5"/>
        <v>9.5516304347826094E-3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input_453100!A$2</f>
        <v>453100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IFERROR(VLOOKUP(B89,input_453100!L:R,7,FALSE),VLOOKUP(tables_453100!C89,input_453100!A:H,8,FALSE))</f>
        <v>14037.5</v>
      </c>
      <c r="P89" s="46">
        <f t="shared" ca="1" si="5"/>
        <v>5.0860507246376814E-4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input_453100!A$2</f>
        <v>453100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IFERROR(VLOOKUP(B90,input_453100!L:R,7,FALSE),VLOOKUP(tables_453100!C90,input_453100!A:H,8,FALSE))</f>
        <v>0</v>
      </c>
      <c r="P90" s="46">
        <f t="shared" ca="1" si="5"/>
        <v>0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input_453100!A$2</f>
        <v>453100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IFERROR(VLOOKUP(B91,input_453100!L:R,7,FALSE),VLOOKUP(tables_453100!C91,input_453100!A:H,8,FALSE))</f>
        <v>263625</v>
      </c>
      <c r="P91" s="46">
        <f t="shared" ca="1" si="5"/>
        <v>9.5516304347826094E-3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input_453100!A$2</f>
        <v>453100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IFERROR(VLOOKUP(B92,input_453100!L:R,7,FALSE),VLOOKUP(tables_453100!C92,input_453100!A:H,8,FALSE))</f>
        <v>14037.5</v>
      </c>
      <c r="P92" s="46">
        <f t="shared" ca="1" si="5"/>
        <v>5.0860507246376814E-4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input_453100!A$2</f>
        <v>453100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IFERROR(VLOOKUP(B93,input_453100!L:R,7,FALSE),VLOOKUP(tables_453100!C93,input_453100!A:H,8,FALSE))</f>
        <v>0</v>
      </c>
      <c r="P93" s="46">
        <f t="shared" ca="1" si="5"/>
        <v>0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input_453100!A$2</f>
        <v>453100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IFERROR(VLOOKUP(B94,input_453100!L:R,7,FALSE),VLOOKUP(tables_453100!C94,input_453100!A:H,8,FALSE))</f>
        <v>263625</v>
      </c>
      <c r="P94" s="46">
        <f t="shared" ca="1" si="5"/>
        <v>9.5516304347826094E-3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input_453100!A$2</f>
        <v>453100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IFERROR(VLOOKUP(B95,input_453100!L:R,7,FALSE),VLOOKUP(tables_453100!C95,input_453100!A:H,8,FALSE))</f>
        <v>14037.5</v>
      </c>
      <c r="P95" s="46">
        <f t="shared" ca="1" si="5"/>
        <v>5.0860507246376814E-4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input_453100!A$2</f>
        <v>453100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IFERROR(VLOOKUP(B96,input_453100!L:R,7,FALSE),VLOOKUP(tables_453100!C96,input_453100!A:H,8,FALSE))</f>
        <v>0</v>
      </c>
      <c r="P96" s="46">
        <f t="shared" ca="1" si="5"/>
        <v>0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input_453100!A$2</f>
        <v>453100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IFERROR(VLOOKUP(B97,input_453100!L:R,7,FALSE),VLOOKUP(tables_453100!C97,input_453100!A:H,8,FALSE))</f>
        <v>263625</v>
      </c>
      <c r="P97" s="46">
        <f t="shared" ca="1" si="5"/>
        <v>9.5516304347826094E-3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input_453100!A$2</f>
        <v>453100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IFERROR(VLOOKUP(B98,input_453100!L:R,7,FALSE),VLOOKUP(tables_453100!C98,input_453100!A:H,8,FALSE))</f>
        <v>14037.5</v>
      </c>
      <c r="P98" s="46">
        <f t="shared" ca="1" si="5"/>
        <v>5.0860507246376814E-4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input_453100!A$2</f>
        <v>453100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IFERROR(VLOOKUP(B99,input_453100!L:R,7,FALSE),VLOOKUP(tables_453100!C99,input_453100!A:H,8,FALSE))</f>
        <v>0</v>
      </c>
      <c r="P99" s="46">
        <f t="shared" ca="1" si="5"/>
        <v>0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input_453100!A$2</f>
        <v>453100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IFERROR(VLOOKUP(B100,input_453100!L:R,7,FALSE),VLOOKUP(tables_453100!C100,input_453100!A:H,8,FALSE))</f>
        <v>263625</v>
      </c>
      <c r="P100" s="46">
        <f t="shared" ca="1" si="5"/>
        <v>9.5516304347826094E-3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input_453100!A$2</f>
        <v>453100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IFERROR(VLOOKUP(B101,input_453100!L:R,7,FALSE),VLOOKUP(tables_453100!C101,input_453100!A:H,8,FALSE))</f>
        <v>14037.5</v>
      </c>
      <c r="P101" s="46">
        <f t="shared" ca="1" si="5"/>
        <v>5.0860507246376814E-4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input_453100!A$2</f>
        <v>453100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IFERROR(VLOOKUP(B102,input_453100!L:R,7,FALSE),VLOOKUP(tables_453100!C102,input_453100!A:H,8,FALSE))</f>
        <v>0</v>
      </c>
      <c r="P102" s="46">
        <f t="shared" ca="1" si="5"/>
        <v>0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input_453100!A$2</f>
        <v>453100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IFERROR(VLOOKUP(B103,input_453100!L:R,7,FALSE),VLOOKUP(tables_453100!C103,input_453100!A:H,8,FALSE))</f>
        <v>263625</v>
      </c>
      <c r="P103" s="46">
        <f t="shared" ca="1" si="5"/>
        <v>9.5516304347826094E-3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input_453100!A$2</f>
        <v>453100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IFERROR(VLOOKUP(B104,input_453100!L:R,7,FALSE),VLOOKUP(tables_453100!C104,input_453100!A:H,8,FALSE))</f>
        <v>14037.5</v>
      </c>
      <c r="P104" s="46">
        <f t="shared" ca="1" si="5"/>
        <v>5.0860507246376814E-4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input_453100!A$2</f>
        <v>453100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IFERROR(VLOOKUP(B105,input_453100!L:R,7,FALSE),VLOOKUP(tables_453100!C105,input_453100!A:H,8,FALSE))</f>
        <v>0</v>
      </c>
      <c r="P105" s="46">
        <f t="shared" ca="1" si="5"/>
        <v>0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input_453100!A$2</f>
        <v>453100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IFERROR(VLOOKUP(B106,input_453100!L:R,7,FALSE),VLOOKUP(tables_453100!C106,input_453100!A:H,8,FALSE))</f>
        <v>263625</v>
      </c>
      <c r="P106" s="46">
        <f t="shared" ca="1" si="5"/>
        <v>9.5516304347826094E-3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input_453100!A$2</f>
        <v>453100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IFERROR(VLOOKUP(B107,input_453100!L:R,7,FALSE),VLOOKUP(tables_453100!C107,input_453100!A:H,8,FALSE))</f>
        <v>14037.5</v>
      </c>
      <c r="P107" s="46">
        <f t="shared" ca="1" si="5"/>
        <v>5.0860507246376814E-4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input_453100!A$2</f>
        <v>453100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IFERROR(VLOOKUP(B108,input_453100!L:R,7,FALSE),VLOOKUP(tables_453100!C108,input_453100!A:H,8,FALSE))</f>
        <v>0</v>
      </c>
      <c r="P108" s="46">
        <f t="shared" ca="1" si="5"/>
        <v>0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input_453100!A$2</f>
        <v>453100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IFERROR(VLOOKUP(B109,input_453100!L:R,7,FALSE),VLOOKUP(tables_453100!C109,input_453100!A:H,8,FALSE))</f>
        <v>263625</v>
      </c>
      <c r="P109" s="46">
        <f t="shared" ca="1" si="5"/>
        <v>9.5516304347826094E-3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input_453100!A$2</f>
        <v>453100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IFERROR(VLOOKUP(B110,input_453100!L:R,7,FALSE),VLOOKUP(tables_453100!C110,input_453100!A:H,8,FALSE))</f>
        <v>14037.5</v>
      </c>
      <c r="P110" s="46">
        <f t="shared" ca="1" si="5"/>
        <v>5.0860507246376814E-4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input_453100!A$2</f>
        <v>453100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IFERROR(VLOOKUP(B111,input_453100!L:R,7,FALSE),VLOOKUP(tables_453100!C111,input_453100!A:H,8,FALSE))</f>
        <v>0</v>
      </c>
      <c r="P111" s="46">
        <f t="shared" ca="1" si="5"/>
        <v>0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input_453100!A$2</f>
        <v>453100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IFERROR(VLOOKUP(B112,input_453100!L:R,7,FALSE),VLOOKUP(tables_453100!C112,input_453100!A:H,8,FALSE))</f>
        <v>263625</v>
      </c>
      <c r="P112" s="46">
        <f t="shared" ca="1" si="5"/>
        <v>9.5516304347826094E-3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input_453100!A$2</f>
        <v>453100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IFERROR(VLOOKUP(B113,input_453100!L:R,7,FALSE),VLOOKUP(tables_453100!C113,input_453100!A:H,8,FALSE))</f>
        <v>21375</v>
      </c>
      <c r="P113" s="46">
        <f t="shared" ca="1" si="5"/>
        <v>7.7445652173913039E-4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input_453100!A$2</f>
        <v>453100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IFERROR(VLOOKUP(B114,input_453100!L:R,7,FALSE),VLOOKUP(tables_453100!C114,input_453100!A:H,8,FALSE))</f>
        <v>0</v>
      </c>
      <c r="P114" s="46">
        <f t="shared" ca="1" si="5"/>
        <v>0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input_453100!A$2</f>
        <v>453100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IFERROR(VLOOKUP(B115,input_453100!L:R,7,FALSE),VLOOKUP(tables_453100!C115,input_453100!A:H,8,FALSE))</f>
        <v>263625</v>
      </c>
      <c r="P115" s="46">
        <f t="shared" ca="1" si="5"/>
        <v>9.5516304347826094E-3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input_453100!A$2</f>
        <v>453100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IFERROR(VLOOKUP(B116,input_453100!L:R,7,FALSE),VLOOKUP(tables_453100!C116,input_453100!A:H,8,FALSE))</f>
        <v>14037.5</v>
      </c>
      <c r="P116" s="46">
        <f t="shared" ca="1" si="5"/>
        <v>5.0860507246376814E-4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input_453100!A$2</f>
        <v>453100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IFERROR(VLOOKUP(B117,input_453100!L:R,7,FALSE),VLOOKUP(tables_453100!C117,input_453100!A:H,8,FALSE))</f>
        <v>0</v>
      </c>
      <c r="P117" s="46">
        <f t="shared" ca="1" si="5"/>
        <v>0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input_453100!A$2</f>
        <v>453100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IFERROR(VLOOKUP(B118,input_453100!L:R,7,FALSE),VLOOKUP(tables_453100!C118,input_453100!A:H,8,FALSE))</f>
        <v>263625</v>
      </c>
      <c r="P118" s="46">
        <f t="shared" ca="1" si="5"/>
        <v>9.5516304347826094E-3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input_453100!A$2</f>
        <v>453100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IFERROR(VLOOKUP(B119,input_453100!L:R,7,FALSE),VLOOKUP(tables_453100!C119,input_453100!A:H,8,FALSE))</f>
        <v>14037.5</v>
      </c>
      <c r="P119" s="46">
        <f t="shared" ca="1" si="5"/>
        <v>5.0860507246376814E-4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input_453100!A$2</f>
        <v>453100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IFERROR(VLOOKUP(B120,input_453100!L:R,7,FALSE),VLOOKUP(tables_453100!C120,input_453100!A:H,8,FALSE))</f>
        <v>0</v>
      </c>
      <c r="P120" s="46">
        <f t="shared" ca="1" si="5"/>
        <v>0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input_453100!A$2</f>
        <v>453100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IFERROR(VLOOKUP(B121,input_453100!L:R,7,FALSE),VLOOKUP(tables_453100!C121,input_453100!A:H,8,FALSE))</f>
        <v>263625</v>
      </c>
      <c r="P121" s="46">
        <f t="shared" ca="1" si="5"/>
        <v>9.5516304347826094E-3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input_453100!A$2</f>
        <v>453100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IFERROR(VLOOKUP(B122,input_453100!L:R,7,FALSE),VLOOKUP(tables_453100!C122,input_453100!A:H,8,FALSE))</f>
        <v>14037.5</v>
      </c>
      <c r="P122" s="46">
        <f t="shared" ca="1" si="5"/>
        <v>5.0860507246376814E-4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input_453100!A$2</f>
        <v>453100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IFERROR(VLOOKUP(B123,input_453100!L:R,7,FALSE),VLOOKUP(tables_453100!C123,input_453100!A:H,8,FALSE))</f>
        <v>0</v>
      </c>
      <c r="P123" s="46">
        <f t="shared" ca="1" si="5"/>
        <v>0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input_453100!A$2</f>
        <v>453100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IFERROR(VLOOKUP(B124,input_453100!L:R,7,FALSE),VLOOKUP(tables_453100!C124,input_453100!A:H,8,FALSE))</f>
        <v>263625</v>
      </c>
      <c r="P124" s="46">
        <f t="shared" ca="1" si="5"/>
        <v>9.5516304347826094E-3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input_453100!A$2</f>
        <v>453100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IFERROR(VLOOKUP(B125,input_453100!L:R,7,FALSE),VLOOKUP(tables_453100!C125,input_453100!A:H,8,FALSE))</f>
        <v>14037.5</v>
      </c>
      <c r="P125" s="46">
        <f t="shared" ca="1" si="5"/>
        <v>5.0860507246376814E-4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input_453100!A$2</f>
        <v>453100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IFERROR(VLOOKUP(B126,input_453100!L:R,7,FALSE),VLOOKUP(tables_453100!C126,input_453100!A:H,8,FALSE))</f>
        <v>0</v>
      </c>
      <c r="P126" s="46">
        <f t="shared" ca="1" si="5"/>
        <v>0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input_453100!A$2</f>
        <v>453100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IFERROR(VLOOKUP(B127,input_453100!L:R,7,FALSE),VLOOKUP(tables_453100!C127,input_453100!A:H,8,FALSE))</f>
        <v>263625</v>
      </c>
      <c r="P127" s="46">
        <f t="shared" ca="1" si="5"/>
        <v>9.5516304347826094E-3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input_453100!A$2</f>
        <v>453100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IFERROR(VLOOKUP(B128,input_453100!L:R,7,FALSE),VLOOKUP(tables_453100!C128,input_453100!A:H,8,FALSE))</f>
        <v>14037.5</v>
      </c>
      <c r="P128" s="46">
        <f t="shared" ca="1" si="5"/>
        <v>5.0860507246376814E-4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input_453100!A$2</f>
        <v>453100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IFERROR(VLOOKUP(B129,input_453100!L:R,7,FALSE),VLOOKUP(tables_453100!C129,input_453100!A:H,8,FALSE))</f>
        <v>0</v>
      </c>
      <c r="P129" s="46">
        <f t="shared" ca="1" si="5"/>
        <v>0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input_453100!A$2</f>
        <v>453100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IFERROR(VLOOKUP(B130,input_453100!L:R,7,FALSE),VLOOKUP(tables_453100!C130,input_453100!A:H,8,FALSE))</f>
        <v>263625</v>
      </c>
      <c r="P130" s="46">
        <f t="shared" ref="P130:P193" ca="1" si="9">O130/SUM(O:O)</f>
        <v>9.5516304347826094E-3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input_453100!A$2</f>
        <v>453100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IFERROR(VLOOKUP(B131,input_453100!L:R,7,FALSE),VLOOKUP(tables_453100!C131,input_453100!A:H,8,FALSE))</f>
        <v>14037.5</v>
      </c>
      <c r="P131" s="46">
        <f t="shared" ca="1" si="9"/>
        <v>5.0860507246376814E-4</v>
      </c>
      <c r="Q131" s="30">
        <f t="shared" ref="Q131:Q194" si="11">IF(J131=3,40,IF(J131=4,60,80))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input_453100!A$2</f>
        <v>453100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IFERROR(VLOOKUP(B132,input_453100!L:R,7,FALSE),VLOOKUP(tables_453100!C132,input_453100!A:H,8,FALSE))</f>
        <v>0</v>
      </c>
      <c r="P132" s="46">
        <f t="shared" ca="1" si="9"/>
        <v>0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input_453100!A$2</f>
        <v>453100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IFERROR(VLOOKUP(B133,input_453100!L:R,7,FALSE),VLOOKUP(tables_453100!C133,input_453100!A:H,8,FALSE))</f>
        <v>263625</v>
      </c>
      <c r="P133" s="46">
        <f t="shared" ca="1" si="9"/>
        <v>9.5516304347826094E-3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input_453100!A$2</f>
        <v>453100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IFERROR(VLOOKUP(B134,input_453100!L:R,7,FALSE),VLOOKUP(tables_453100!C134,input_453100!A:H,8,FALSE))</f>
        <v>14037.5</v>
      </c>
      <c r="P134" s="46">
        <f t="shared" ca="1" si="9"/>
        <v>5.0860507246376814E-4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input_453100!A$2</f>
        <v>453100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IFERROR(VLOOKUP(B135,input_453100!L:R,7,FALSE),VLOOKUP(tables_453100!C135,input_453100!A:H,8,FALSE))</f>
        <v>0</v>
      </c>
      <c r="P135" s="46">
        <f t="shared" ca="1" si="9"/>
        <v>0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input_453100!A$2</f>
        <v>453100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IFERROR(VLOOKUP(B136,input_453100!L:R,7,FALSE),VLOOKUP(tables_453100!C136,input_453100!A:H,8,FALSE))</f>
        <v>263625</v>
      </c>
      <c r="P136" s="46">
        <f t="shared" ca="1" si="9"/>
        <v>9.5516304347826094E-3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input_453100!A$2</f>
        <v>453100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IFERROR(VLOOKUP(B137,input_453100!L:R,7,FALSE),VLOOKUP(tables_453100!C137,input_453100!A:H,8,FALSE))</f>
        <v>14037.5</v>
      </c>
      <c r="P137" s="46">
        <f t="shared" ca="1" si="9"/>
        <v>5.0860507246376814E-4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input_453100!A$2</f>
        <v>453100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IFERROR(VLOOKUP(B138,input_453100!L:R,7,FALSE),VLOOKUP(tables_453100!C138,input_453100!A:H,8,FALSE))</f>
        <v>21275</v>
      </c>
      <c r="P138" s="46">
        <f t="shared" ca="1" si="9"/>
        <v>7.7083333333333333E-4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input_453100!A$2</f>
        <v>453100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IFERROR(VLOOKUP(B139,input_453100!L:R,7,FALSE),VLOOKUP(tables_453100!C139,input_453100!A:H,8,FALSE))</f>
        <v>1725</v>
      </c>
      <c r="P139" s="46">
        <f t="shared" ca="1" si="9"/>
        <v>6.2500000000000001E-5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input_453100!A$2</f>
        <v>453100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IFERROR(VLOOKUP(B140,input_453100!L:R,7,FALSE),VLOOKUP(tables_453100!C140,input_453100!A:H,8,FALSE))</f>
        <v>21275</v>
      </c>
      <c r="P140" s="46">
        <f t="shared" ca="1" si="9"/>
        <v>7.7083333333333333E-4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input_453100!A$2</f>
        <v>453100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IFERROR(VLOOKUP(B141,input_453100!L:R,7,FALSE),VLOOKUP(tables_453100!C141,input_453100!A:H,8,FALSE))</f>
        <v>1725</v>
      </c>
      <c r="P141" s="46">
        <f t="shared" ca="1" si="9"/>
        <v>6.2500000000000001E-5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input_453100!A$2</f>
        <v>453100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IFERROR(VLOOKUP(B142,input_453100!L:R,7,FALSE),VLOOKUP(tables_453100!C142,input_453100!A:H,8,FALSE))</f>
        <v>21275</v>
      </c>
      <c r="P142" s="46">
        <f t="shared" ca="1" si="9"/>
        <v>7.7083333333333333E-4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input_453100!A$2</f>
        <v>453100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IFERROR(VLOOKUP(B143,input_453100!L:R,7,FALSE),VLOOKUP(tables_453100!C143,input_453100!A:H,8,FALSE))</f>
        <v>1725</v>
      </c>
      <c r="P143" s="46">
        <f t="shared" ca="1" si="9"/>
        <v>6.2500000000000001E-5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input_453100!A$2</f>
        <v>453100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IFERROR(VLOOKUP(B144,input_453100!L:R,7,FALSE),VLOOKUP(tables_453100!C144,input_453100!A:H,8,FALSE))</f>
        <v>21275</v>
      </c>
      <c r="P144" s="46">
        <f t="shared" ca="1" si="9"/>
        <v>7.7083333333333333E-4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input_453100!A$2</f>
        <v>453100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IFERROR(VLOOKUP(B145,input_453100!L:R,7,FALSE),VLOOKUP(tables_453100!C145,input_453100!A:H,8,FALSE))</f>
        <v>1725</v>
      </c>
      <c r="P145" s="46">
        <f t="shared" ca="1" si="9"/>
        <v>6.2500000000000001E-5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input_453100!A$2</f>
        <v>453100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IFERROR(VLOOKUP(B146,input_453100!L:R,7,FALSE),VLOOKUP(tables_453100!C146,input_453100!A:H,8,FALSE))</f>
        <v>0</v>
      </c>
      <c r="P146" s="46">
        <f t="shared" ca="1" si="9"/>
        <v>0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input_453100!A$2</f>
        <v>453100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IFERROR(VLOOKUP(B147,input_453100!L:R,7,FALSE),VLOOKUP(tables_453100!C147,input_453100!A:H,8,FALSE))</f>
        <v>263625</v>
      </c>
      <c r="P147" s="46">
        <f t="shared" ca="1" si="9"/>
        <v>9.5516304347826094E-3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input_453100!A$2</f>
        <v>453100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IFERROR(VLOOKUP(B148,input_453100!L:R,7,FALSE),VLOOKUP(tables_453100!C148,input_453100!A:H,8,FALSE))</f>
        <v>14037.5</v>
      </c>
      <c r="P148" s="46">
        <f t="shared" ca="1" si="9"/>
        <v>5.0860507246376814E-4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input_453100!A$2</f>
        <v>453100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IFERROR(VLOOKUP(B149,input_453100!L:R,7,FALSE),VLOOKUP(tables_453100!C149,input_453100!A:H,8,FALSE))</f>
        <v>21275</v>
      </c>
      <c r="P149" s="46">
        <f t="shared" ca="1" si="9"/>
        <v>7.7083333333333333E-4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input_453100!A$2</f>
        <v>453100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IFERROR(VLOOKUP(B150,input_453100!L:R,7,FALSE),VLOOKUP(tables_453100!C150,input_453100!A:H,8,FALSE))</f>
        <v>1725</v>
      </c>
      <c r="P150" s="46">
        <f t="shared" ca="1" si="9"/>
        <v>6.2500000000000001E-5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input_453100!A$2</f>
        <v>453100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IFERROR(VLOOKUP(B151,input_453100!L:R,7,FALSE),VLOOKUP(tables_453100!C151,input_453100!A:H,8,FALSE))</f>
        <v>21275</v>
      </c>
      <c r="P151" s="46">
        <f t="shared" ca="1" si="9"/>
        <v>7.7083333333333333E-4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input_453100!A$2</f>
        <v>453100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IFERROR(VLOOKUP(B152,input_453100!L:R,7,FALSE),VLOOKUP(tables_453100!C152,input_453100!A:H,8,FALSE))</f>
        <v>1725</v>
      </c>
      <c r="P152" s="46">
        <f t="shared" ca="1" si="9"/>
        <v>6.2500000000000001E-5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input_453100!A$2</f>
        <v>453100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IFERROR(VLOOKUP(B153,input_453100!L:R,7,FALSE),VLOOKUP(tables_453100!C153,input_453100!A:H,8,FALSE))</f>
        <v>0</v>
      </c>
      <c r="P153" s="46">
        <f t="shared" ca="1" si="9"/>
        <v>0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input_453100!A$2</f>
        <v>453100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IFERROR(VLOOKUP(B154,input_453100!L:R,7,FALSE),VLOOKUP(tables_453100!C154,input_453100!A:H,8,FALSE))</f>
        <v>263625</v>
      </c>
      <c r="P154" s="46">
        <f t="shared" ca="1" si="9"/>
        <v>9.5516304347826094E-3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input_453100!A$2</f>
        <v>453100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IFERROR(VLOOKUP(B155,input_453100!L:R,7,FALSE),VLOOKUP(tables_453100!C155,input_453100!A:H,8,FALSE))</f>
        <v>14037.5</v>
      </c>
      <c r="P155" s="46">
        <f t="shared" ca="1" si="9"/>
        <v>5.0860507246376814E-4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input_453100!A$2</f>
        <v>453100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IFERROR(VLOOKUP(B156,input_453100!L:R,7,FALSE),VLOOKUP(tables_453100!C156,input_453100!A:H,8,FALSE))</f>
        <v>21275</v>
      </c>
      <c r="P156" s="46">
        <f t="shared" ca="1" si="9"/>
        <v>7.7083333333333333E-4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input_453100!A$2</f>
        <v>453100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IFERROR(VLOOKUP(B157,input_453100!L:R,7,FALSE),VLOOKUP(tables_453100!C157,input_453100!A:H,8,FALSE))</f>
        <v>1725</v>
      </c>
      <c r="P157" s="46">
        <f t="shared" ca="1" si="9"/>
        <v>6.2500000000000001E-5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input_453100!A$2</f>
        <v>453100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IFERROR(VLOOKUP(B158,input_453100!L:R,7,FALSE),VLOOKUP(tables_453100!C158,input_453100!A:H,8,FALSE))</f>
        <v>0</v>
      </c>
      <c r="P158" s="46">
        <f t="shared" ca="1" si="9"/>
        <v>0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input_453100!A$2</f>
        <v>453100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IFERROR(VLOOKUP(B159,input_453100!L:R,7,FALSE),VLOOKUP(tables_453100!C159,input_453100!A:H,8,FALSE))</f>
        <v>263625</v>
      </c>
      <c r="P159" s="46">
        <f t="shared" ca="1" si="9"/>
        <v>9.5516304347826094E-3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input_453100!A$2</f>
        <v>453100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IFERROR(VLOOKUP(B160,input_453100!L:R,7,FALSE),VLOOKUP(tables_453100!C160,input_453100!A:H,8,FALSE))</f>
        <v>14037.5</v>
      </c>
      <c r="P160" s="46">
        <f t="shared" ca="1" si="9"/>
        <v>5.0860507246376814E-4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input_453100!A$2</f>
        <v>453100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IFERROR(VLOOKUP(B161,input_453100!L:R,7,FALSE),VLOOKUP(tables_453100!C161,input_453100!A:H,8,FALSE))</f>
        <v>0</v>
      </c>
      <c r="P161" s="46">
        <f t="shared" ca="1" si="9"/>
        <v>0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input_453100!A$2</f>
        <v>453100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IFERROR(VLOOKUP(B162,input_453100!L:R,7,FALSE),VLOOKUP(tables_453100!C162,input_453100!A:H,8,FALSE))</f>
        <v>263625</v>
      </c>
      <c r="P162" s="46">
        <f t="shared" ca="1" si="9"/>
        <v>9.5516304347826094E-3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input_453100!A$2</f>
        <v>453100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IFERROR(VLOOKUP(B163,input_453100!L:R,7,FALSE),VLOOKUP(tables_453100!C163,input_453100!A:H,8,FALSE))</f>
        <v>14037.5</v>
      </c>
      <c r="P163" s="46">
        <f t="shared" ca="1" si="9"/>
        <v>5.0860507246376814E-4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input_453100!A$2</f>
        <v>453100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IFERROR(VLOOKUP(B164,input_453100!L:R,7,FALSE),VLOOKUP(tables_453100!C164,input_453100!A:H,8,FALSE))</f>
        <v>21275</v>
      </c>
      <c r="P164" s="46">
        <f t="shared" ca="1" si="9"/>
        <v>7.7083333333333333E-4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input_453100!A$2</f>
        <v>453100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IFERROR(VLOOKUP(B165,input_453100!L:R,7,FALSE),VLOOKUP(tables_453100!C165,input_453100!A:H,8,FALSE))</f>
        <v>1725</v>
      </c>
      <c r="P165" s="46">
        <f t="shared" ca="1" si="9"/>
        <v>6.2500000000000001E-5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input_453100!A$2</f>
        <v>453100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IFERROR(VLOOKUP(B166,input_453100!L:R,7,FALSE),VLOOKUP(tables_453100!C166,input_453100!A:H,8,FALSE))</f>
        <v>0</v>
      </c>
      <c r="P166" s="46">
        <f t="shared" ca="1" si="9"/>
        <v>0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input_453100!A$2</f>
        <v>453100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IFERROR(VLOOKUP(B167,input_453100!L:R,7,FALSE),VLOOKUP(tables_453100!C167,input_453100!A:H,8,FALSE))</f>
        <v>263625</v>
      </c>
      <c r="P167" s="46">
        <f t="shared" ca="1" si="9"/>
        <v>9.5516304347826094E-3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input_453100!A$2</f>
        <v>453100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IFERROR(VLOOKUP(B168,input_453100!L:R,7,FALSE),VLOOKUP(tables_453100!C168,input_453100!A:H,8,FALSE))</f>
        <v>14037.5</v>
      </c>
      <c r="P168" s="46">
        <f t="shared" ca="1" si="9"/>
        <v>5.0860507246376814E-4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input_453100!A$2</f>
        <v>453100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IFERROR(VLOOKUP(B169,input_453100!L:R,7,FALSE),VLOOKUP(tables_453100!C169,input_453100!A:H,8,FALSE))</f>
        <v>21275</v>
      </c>
      <c r="P169" s="46">
        <f t="shared" ca="1" si="9"/>
        <v>7.7083333333333333E-4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input_453100!A$2</f>
        <v>453100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IFERROR(VLOOKUP(B170,input_453100!L:R,7,FALSE),VLOOKUP(tables_453100!C170,input_453100!A:H,8,FALSE))</f>
        <v>1725</v>
      </c>
      <c r="P170" s="46">
        <f t="shared" ca="1" si="9"/>
        <v>6.2500000000000001E-5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input_453100!A$2</f>
        <v>453100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IFERROR(VLOOKUP(B171,input_453100!L:R,7,FALSE),VLOOKUP(tables_453100!C171,input_453100!A:H,8,FALSE))</f>
        <v>0</v>
      </c>
      <c r="P171" s="46">
        <f t="shared" ca="1" si="9"/>
        <v>0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input_453100!A$2</f>
        <v>453100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IFERROR(VLOOKUP(B172,input_453100!L:R,7,FALSE),VLOOKUP(tables_453100!C172,input_453100!A:H,8,FALSE))</f>
        <v>263625</v>
      </c>
      <c r="P172" s="46">
        <f t="shared" ca="1" si="9"/>
        <v>9.5516304347826094E-3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input_453100!A$2</f>
        <v>453100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IFERROR(VLOOKUP(B173,input_453100!L:R,7,FALSE),VLOOKUP(tables_453100!C173,input_453100!A:H,8,FALSE))</f>
        <v>14037.5</v>
      </c>
      <c r="P173" s="46">
        <f t="shared" ca="1" si="9"/>
        <v>5.0860507246376814E-4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input_453100!A$2</f>
        <v>453100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IFERROR(VLOOKUP(B174,input_453100!L:R,7,FALSE),VLOOKUP(tables_453100!C174,input_453100!A:H,8,FALSE))</f>
        <v>21275</v>
      </c>
      <c r="P174" s="46">
        <f t="shared" ca="1" si="9"/>
        <v>7.7083333333333333E-4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input_453100!A$2</f>
        <v>453100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IFERROR(VLOOKUP(B175,input_453100!L:R,7,FALSE),VLOOKUP(tables_453100!C175,input_453100!A:H,8,FALSE))</f>
        <v>1725</v>
      </c>
      <c r="P175" s="46">
        <f t="shared" ca="1" si="9"/>
        <v>6.2500000000000001E-5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input_453100!A$2</f>
        <v>453100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IFERROR(VLOOKUP(B176,input_453100!L:R,7,FALSE),VLOOKUP(tables_453100!C176,input_453100!A:H,8,FALSE))</f>
        <v>21275</v>
      </c>
      <c r="P176" s="46">
        <f t="shared" ca="1" si="9"/>
        <v>7.7083333333333333E-4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input_453100!A$2</f>
        <v>453100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IFERROR(VLOOKUP(B177,input_453100!L:R,7,FALSE),VLOOKUP(tables_453100!C177,input_453100!A:H,8,FALSE))</f>
        <v>1725</v>
      </c>
      <c r="P177" s="46">
        <f t="shared" ca="1" si="9"/>
        <v>6.2500000000000001E-5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input_453100!A$2</f>
        <v>453100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IFERROR(VLOOKUP(B178,input_453100!L:R,7,FALSE),VLOOKUP(tables_453100!C178,input_453100!A:H,8,FALSE))</f>
        <v>0</v>
      </c>
      <c r="P178" s="46">
        <f t="shared" ca="1" si="9"/>
        <v>0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input_453100!A$2</f>
        <v>453100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IFERROR(VLOOKUP(B179,input_453100!L:R,7,FALSE),VLOOKUP(tables_453100!C179,input_453100!A:H,8,FALSE))</f>
        <v>263625</v>
      </c>
      <c r="P179" s="46">
        <f t="shared" ca="1" si="9"/>
        <v>9.5516304347826094E-3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input_453100!A$2</f>
        <v>453100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IFERROR(VLOOKUP(B180,input_453100!L:R,7,FALSE),VLOOKUP(tables_453100!C180,input_453100!A:H,8,FALSE))</f>
        <v>14037.5</v>
      </c>
      <c r="P180" s="46">
        <f t="shared" ca="1" si="9"/>
        <v>5.0860507246376814E-4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input_453100!A$2</f>
        <v>453100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IFERROR(VLOOKUP(B181,input_453100!L:R,7,FALSE),VLOOKUP(tables_453100!C181,input_453100!A:H,8,FALSE))</f>
        <v>0</v>
      </c>
      <c r="P181" s="46">
        <f t="shared" ca="1" si="9"/>
        <v>0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input_453100!A$2</f>
        <v>453100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IFERROR(VLOOKUP(B182,input_453100!L:R,7,FALSE),VLOOKUP(tables_453100!C182,input_453100!A:H,8,FALSE))</f>
        <v>263625</v>
      </c>
      <c r="P182" s="46">
        <f t="shared" ca="1" si="9"/>
        <v>9.5516304347826094E-3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input_453100!A$2</f>
        <v>453100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IFERROR(VLOOKUP(B183,input_453100!L:R,7,FALSE),VLOOKUP(tables_453100!C183,input_453100!A:H,8,FALSE))</f>
        <v>14037.5</v>
      </c>
      <c r="P183" s="46">
        <f t="shared" ca="1" si="9"/>
        <v>5.0860507246376814E-4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input_453100!A$2</f>
        <v>453100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IFERROR(VLOOKUP(B184,input_453100!L:R,7,FALSE),VLOOKUP(tables_453100!C184,input_453100!A:H,8,FALSE))</f>
        <v>21275</v>
      </c>
      <c r="P184" s="46">
        <f t="shared" ca="1" si="9"/>
        <v>7.7083333333333333E-4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input_453100!A$2</f>
        <v>453100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IFERROR(VLOOKUP(B185,input_453100!L:R,7,FALSE),VLOOKUP(tables_453100!C185,input_453100!A:H,8,FALSE))</f>
        <v>1725</v>
      </c>
      <c r="P185" s="46">
        <f t="shared" ca="1" si="9"/>
        <v>6.2500000000000001E-5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input_453100!A$2</f>
        <v>453100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IFERROR(VLOOKUP(B186,input_453100!L:R,7,FALSE),VLOOKUP(tables_453100!C186,input_453100!A:H,8,FALSE))</f>
        <v>0</v>
      </c>
      <c r="P186" s="46">
        <f t="shared" ca="1" si="9"/>
        <v>0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input_453100!A$2</f>
        <v>453100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IFERROR(VLOOKUP(B187,input_453100!L:R,7,FALSE),VLOOKUP(tables_453100!C187,input_453100!A:H,8,FALSE))</f>
        <v>263625</v>
      </c>
      <c r="P187" s="46">
        <f t="shared" ca="1" si="9"/>
        <v>9.5516304347826094E-3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input_453100!A$2</f>
        <v>453100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IFERROR(VLOOKUP(B188,input_453100!L:R,7,FALSE),VLOOKUP(tables_453100!C188,input_453100!A:H,8,FALSE))</f>
        <v>14037.5</v>
      </c>
      <c r="P188" s="46">
        <f t="shared" ca="1" si="9"/>
        <v>5.0860507246376814E-4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input_453100!A$2</f>
        <v>453100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IFERROR(VLOOKUP(B189,input_453100!L:R,7,FALSE),VLOOKUP(tables_453100!C189,input_453100!A:H,8,FALSE))</f>
        <v>21275</v>
      </c>
      <c r="P189" s="46">
        <f t="shared" ca="1" si="9"/>
        <v>7.7083333333333333E-4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input_453100!A$2</f>
        <v>453100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IFERROR(VLOOKUP(B190,input_453100!L:R,7,FALSE),VLOOKUP(tables_453100!C190,input_453100!A:H,8,FALSE))</f>
        <v>1725</v>
      </c>
      <c r="P190" s="46">
        <f t="shared" ca="1" si="9"/>
        <v>6.2500000000000001E-5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input_453100!A$2</f>
        <v>453100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IFERROR(VLOOKUP(B191,input_453100!L:R,7,FALSE),VLOOKUP(tables_453100!C191,input_453100!A:H,8,FALSE))</f>
        <v>21275</v>
      </c>
      <c r="P191" s="46">
        <f t="shared" ca="1" si="9"/>
        <v>7.7083333333333333E-4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input_453100!A$2</f>
        <v>453100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IFERROR(VLOOKUP(B192,input_453100!L:R,7,FALSE),VLOOKUP(tables_453100!C192,input_453100!A:H,8,FALSE))</f>
        <v>1725</v>
      </c>
      <c r="P192" s="46">
        <f t="shared" ca="1" si="9"/>
        <v>6.2500000000000001E-5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input_453100!A$2</f>
        <v>453100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IFERROR(VLOOKUP(B193,input_453100!L:R,7,FALSE),VLOOKUP(tables_453100!C193,input_453100!A:H,8,FALSE))</f>
        <v>0</v>
      </c>
      <c r="P193" s="46">
        <f t="shared" ca="1" si="9"/>
        <v>0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input_453100!A$2</f>
        <v>453100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IFERROR(VLOOKUP(B194,input_453100!L:R,7,FALSE),VLOOKUP(tables_453100!C194,input_453100!A:H,8,FALSE))</f>
        <v>263625</v>
      </c>
      <c r="P194" s="46">
        <f t="shared" ref="P194:P257" ca="1" si="13">O194/SUM(O:O)</f>
        <v>9.5516304347826094E-3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input_453100!A$2</f>
        <v>453100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IFERROR(VLOOKUP(B195,input_453100!L:R,7,FALSE),VLOOKUP(tables_453100!C195,input_453100!A:H,8,FALSE))</f>
        <v>14037.5</v>
      </c>
      <c r="P195" s="46">
        <f t="shared" ca="1" si="13"/>
        <v>5.0860507246376814E-4</v>
      </c>
      <c r="Q195" s="30">
        <f t="shared" ref="Q195:Q258" si="15">IF(J195=3,40,IF(J195=4,60,80))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input_453100!A$2</f>
        <v>453100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IFERROR(VLOOKUP(B196,input_453100!L:R,7,FALSE),VLOOKUP(tables_453100!C196,input_453100!A:H,8,FALSE))</f>
        <v>21275</v>
      </c>
      <c r="P196" s="46">
        <f t="shared" ca="1" si="13"/>
        <v>7.7083333333333333E-4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input_453100!A$2</f>
        <v>453100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IFERROR(VLOOKUP(B197,input_453100!L:R,7,FALSE),VLOOKUP(tables_453100!C197,input_453100!A:H,8,FALSE))</f>
        <v>1725</v>
      </c>
      <c r="P197" s="46">
        <f t="shared" ca="1" si="13"/>
        <v>6.2500000000000001E-5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input_453100!A$2</f>
        <v>453100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IFERROR(VLOOKUP(B198,input_453100!L:R,7,FALSE),VLOOKUP(tables_453100!C198,input_453100!A:H,8,FALSE))</f>
        <v>0</v>
      </c>
      <c r="P198" s="46">
        <f t="shared" ca="1" si="13"/>
        <v>0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input_453100!A$2</f>
        <v>453100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IFERROR(VLOOKUP(B199,input_453100!L:R,7,FALSE),VLOOKUP(tables_453100!C199,input_453100!A:H,8,FALSE))</f>
        <v>263625</v>
      </c>
      <c r="P199" s="46">
        <f t="shared" ca="1" si="13"/>
        <v>9.5516304347826094E-3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input_453100!A$2</f>
        <v>453100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IFERROR(VLOOKUP(B200,input_453100!L:R,7,FALSE),VLOOKUP(tables_453100!C200,input_453100!A:H,8,FALSE))</f>
        <v>14037.5</v>
      </c>
      <c r="P200" s="46">
        <f t="shared" ca="1" si="13"/>
        <v>5.0860507246376814E-4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input_453100!A$2</f>
        <v>453100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IFERROR(VLOOKUP(B201,input_453100!L:R,7,FALSE),VLOOKUP(tables_453100!C201,input_453100!A:H,8,FALSE))</f>
        <v>21275</v>
      </c>
      <c r="P201" s="46">
        <f t="shared" ca="1" si="13"/>
        <v>7.7083333333333333E-4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input_453100!A$2</f>
        <v>453100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IFERROR(VLOOKUP(B202,input_453100!L:R,7,FALSE),VLOOKUP(tables_453100!C202,input_453100!A:H,8,FALSE))</f>
        <v>1725</v>
      </c>
      <c r="P202" s="46">
        <f t="shared" ca="1" si="13"/>
        <v>6.2500000000000001E-5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input_453100!A$2</f>
        <v>453100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IFERROR(VLOOKUP(B203,input_453100!L:R,7,FALSE),VLOOKUP(tables_453100!C203,input_453100!A:H,8,FALSE))</f>
        <v>0</v>
      </c>
      <c r="P203" s="46">
        <f t="shared" ca="1" si="13"/>
        <v>0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input_453100!A$2</f>
        <v>453100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IFERROR(VLOOKUP(B204,input_453100!L:R,7,FALSE),VLOOKUP(tables_453100!C204,input_453100!A:H,8,FALSE))</f>
        <v>263625</v>
      </c>
      <c r="P204" s="46">
        <f t="shared" ca="1" si="13"/>
        <v>9.5516304347826094E-3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input_453100!A$2</f>
        <v>453100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IFERROR(VLOOKUP(B205,input_453100!L:R,7,FALSE),VLOOKUP(tables_453100!C205,input_453100!A:H,8,FALSE))</f>
        <v>14037.5</v>
      </c>
      <c r="P205" s="46">
        <f t="shared" ca="1" si="13"/>
        <v>5.0860507246376814E-4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input_453100!A$2</f>
        <v>453100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IFERROR(VLOOKUP(B206,input_453100!L:R,7,FALSE),VLOOKUP(tables_453100!C206,input_453100!A:H,8,FALSE))</f>
        <v>21275</v>
      </c>
      <c r="P206" s="46">
        <f t="shared" ca="1" si="13"/>
        <v>7.7083333333333333E-4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input_453100!A$2</f>
        <v>453100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IFERROR(VLOOKUP(B207,input_453100!L:R,7,FALSE),VLOOKUP(tables_453100!C207,input_453100!A:H,8,FALSE))</f>
        <v>1725</v>
      </c>
      <c r="P207" s="46">
        <f t="shared" ca="1" si="13"/>
        <v>6.2500000000000001E-5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input_453100!A$2</f>
        <v>453100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IFERROR(VLOOKUP(B208,input_453100!L:R,7,FALSE),VLOOKUP(tables_453100!C208,input_453100!A:H,8,FALSE))</f>
        <v>21275</v>
      </c>
      <c r="P208" s="46">
        <f t="shared" ca="1" si="13"/>
        <v>7.7083333333333333E-4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input_453100!A$2</f>
        <v>453100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IFERROR(VLOOKUP(B209,input_453100!L:R,7,FALSE),VLOOKUP(tables_453100!C209,input_453100!A:H,8,FALSE))</f>
        <v>1725</v>
      </c>
      <c r="P209" s="46">
        <f t="shared" ca="1" si="13"/>
        <v>6.2500000000000001E-5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input_453100!A$2</f>
        <v>453100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IFERROR(VLOOKUP(B210,input_453100!L:R,7,FALSE),VLOOKUP(tables_453100!C210,input_453100!A:H,8,FALSE))</f>
        <v>0</v>
      </c>
      <c r="P210" s="46">
        <f t="shared" ca="1" si="13"/>
        <v>0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input_453100!A$2</f>
        <v>453100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IFERROR(VLOOKUP(B211,input_453100!L:R,7,FALSE),VLOOKUP(tables_453100!C211,input_453100!A:H,8,FALSE))</f>
        <v>263625</v>
      </c>
      <c r="P211" s="46">
        <f t="shared" ca="1" si="13"/>
        <v>9.5516304347826094E-3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input_453100!A$2</f>
        <v>453100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IFERROR(VLOOKUP(B212,input_453100!L:R,7,FALSE),VLOOKUP(tables_453100!C212,input_453100!A:H,8,FALSE))</f>
        <v>14037.5</v>
      </c>
      <c r="P212" s="46">
        <f t="shared" ca="1" si="13"/>
        <v>5.0860507246376814E-4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input_453100!A$2</f>
        <v>453100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IFERROR(VLOOKUP(B213,input_453100!L:R,7,FALSE),VLOOKUP(tables_453100!C213,input_453100!A:H,8,FALSE))</f>
        <v>21275</v>
      </c>
      <c r="P213" s="46">
        <f t="shared" ca="1" si="13"/>
        <v>7.7083333333333333E-4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input_453100!A$2</f>
        <v>453100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IFERROR(VLOOKUP(B214,input_453100!L:R,7,FALSE),VLOOKUP(tables_453100!C214,input_453100!A:H,8,FALSE))</f>
        <v>1725</v>
      </c>
      <c r="P214" s="46">
        <f t="shared" ca="1" si="13"/>
        <v>6.2500000000000001E-5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input_453100!A$2</f>
        <v>453100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IFERROR(VLOOKUP(B215,input_453100!L:R,7,FALSE),VLOOKUP(tables_453100!C215,input_453100!A:H,8,FALSE))</f>
        <v>21375</v>
      </c>
      <c r="P215" s="46">
        <f t="shared" ca="1" si="13"/>
        <v>7.7445652173913039E-4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input_453100!A$2</f>
        <v>453100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IFERROR(VLOOKUP(B216,input_453100!L:R,7,FALSE),VLOOKUP(tables_453100!C216,input_453100!A:H,8,FALSE))</f>
        <v>21375</v>
      </c>
      <c r="P216" s="46">
        <f t="shared" ca="1" si="13"/>
        <v>7.7445652173913039E-4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input_453100!A$2</f>
        <v>453100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IFERROR(VLOOKUP(B217,input_453100!L:R,7,FALSE),VLOOKUP(tables_453100!C217,input_453100!A:H,8,FALSE))</f>
        <v>21375</v>
      </c>
      <c r="P217" s="46">
        <f t="shared" ca="1" si="13"/>
        <v>7.7445652173913039E-4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input_453100!A$2</f>
        <v>453100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IFERROR(VLOOKUP(B218,input_453100!L:R,7,FALSE),VLOOKUP(tables_453100!C218,input_453100!A:H,8,FALSE))</f>
        <v>21375</v>
      </c>
      <c r="P218" s="46">
        <f t="shared" ca="1" si="13"/>
        <v>7.7445652173913039E-4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input_453100!A$2</f>
        <v>453100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IFERROR(VLOOKUP(B219,input_453100!L:R,7,FALSE),VLOOKUP(tables_453100!C219,input_453100!A:H,8,FALSE))</f>
        <v>21375</v>
      </c>
      <c r="P219" s="46">
        <f t="shared" ca="1" si="13"/>
        <v>7.7445652173913039E-4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input_453100!A$2</f>
        <v>453100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IFERROR(VLOOKUP(B220,input_453100!L:R,7,FALSE),VLOOKUP(tables_453100!C220,input_453100!A:H,8,FALSE))</f>
        <v>21375</v>
      </c>
      <c r="P220" s="46">
        <f t="shared" ca="1" si="13"/>
        <v>7.7445652173913039E-4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input_453100!A$2</f>
        <v>453100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IFERROR(VLOOKUP(B221,input_453100!L:R,7,FALSE),VLOOKUP(tables_453100!C221,input_453100!A:H,8,FALSE))</f>
        <v>21275</v>
      </c>
      <c r="P221" s="46">
        <f t="shared" ca="1" si="13"/>
        <v>7.7083333333333333E-4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input_453100!A$2</f>
        <v>453100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IFERROR(VLOOKUP(B222,input_453100!L:R,7,FALSE),VLOOKUP(tables_453100!C222,input_453100!A:H,8,FALSE))</f>
        <v>1725</v>
      </c>
      <c r="P222" s="46">
        <f t="shared" ca="1" si="13"/>
        <v>6.2500000000000001E-5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input_453100!A$2</f>
        <v>453100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IFERROR(VLOOKUP(B223,input_453100!L:R,7,FALSE),VLOOKUP(tables_453100!C223,input_453100!A:H,8,FALSE))</f>
        <v>0</v>
      </c>
      <c r="P223" s="46">
        <f t="shared" ca="1" si="13"/>
        <v>0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input_453100!A$2</f>
        <v>453100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IFERROR(VLOOKUP(B224,input_453100!L:R,7,FALSE),VLOOKUP(tables_453100!C224,input_453100!A:H,8,FALSE))</f>
        <v>263625</v>
      </c>
      <c r="P224" s="46">
        <f t="shared" ca="1" si="13"/>
        <v>9.5516304347826094E-3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input_453100!A$2</f>
        <v>453100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IFERROR(VLOOKUP(B225,input_453100!L:R,7,FALSE),VLOOKUP(tables_453100!C225,input_453100!A:H,8,FALSE))</f>
        <v>14037.5</v>
      </c>
      <c r="P225" s="46">
        <f t="shared" ca="1" si="13"/>
        <v>5.0860507246376814E-4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input_453100!A$2</f>
        <v>453100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IFERROR(VLOOKUP(B226,input_453100!L:R,7,FALSE),VLOOKUP(tables_453100!C226,input_453100!A:H,8,FALSE))</f>
        <v>0</v>
      </c>
      <c r="P226" s="46">
        <f t="shared" ca="1" si="13"/>
        <v>0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input_453100!A$2</f>
        <v>453100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IFERROR(VLOOKUP(B227,input_453100!L:R,7,FALSE),VLOOKUP(tables_453100!C227,input_453100!A:H,8,FALSE))</f>
        <v>263625</v>
      </c>
      <c r="P227" s="46">
        <f t="shared" ca="1" si="13"/>
        <v>9.5516304347826094E-3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input_453100!A$2</f>
        <v>453100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IFERROR(VLOOKUP(B228,input_453100!L:R,7,FALSE),VLOOKUP(tables_453100!C228,input_453100!A:H,8,FALSE))</f>
        <v>14037.5</v>
      </c>
      <c r="P228" s="46">
        <f t="shared" ca="1" si="13"/>
        <v>5.0860507246376814E-4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input_453100!A$2</f>
        <v>453100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IFERROR(VLOOKUP(B229,input_453100!L:R,7,FALSE),VLOOKUP(tables_453100!C229,input_453100!A:H,8,FALSE))</f>
        <v>21275</v>
      </c>
      <c r="P229" s="46">
        <f t="shared" ca="1" si="13"/>
        <v>7.7083333333333333E-4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input_453100!A$2</f>
        <v>453100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IFERROR(VLOOKUP(B230,input_453100!L:R,7,FALSE),VLOOKUP(tables_453100!C230,input_453100!A:H,8,FALSE))</f>
        <v>1725</v>
      </c>
      <c r="P230" s="46">
        <f t="shared" ca="1" si="13"/>
        <v>6.2500000000000001E-5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input_453100!A$2</f>
        <v>453100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IFERROR(VLOOKUP(B231,input_453100!L:R,7,FALSE),VLOOKUP(tables_453100!C231,input_453100!A:H,8,FALSE))</f>
        <v>0</v>
      </c>
      <c r="P231" s="46">
        <f t="shared" ca="1" si="13"/>
        <v>0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input_453100!A$2</f>
        <v>453100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IFERROR(VLOOKUP(B232,input_453100!L:R,7,FALSE),VLOOKUP(tables_453100!C232,input_453100!A:H,8,FALSE))</f>
        <v>263625</v>
      </c>
      <c r="P232" s="46">
        <f t="shared" ca="1" si="13"/>
        <v>9.5516304347826094E-3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input_453100!A$2</f>
        <v>453100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IFERROR(VLOOKUP(B233,input_453100!L:R,7,FALSE),VLOOKUP(tables_453100!C233,input_453100!A:H,8,FALSE))</f>
        <v>14037.5</v>
      </c>
      <c r="P233" s="46">
        <f t="shared" ca="1" si="13"/>
        <v>5.0860507246376814E-4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input_453100!A$2</f>
        <v>453100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IFERROR(VLOOKUP(B234,input_453100!L:R,7,FALSE),VLOOKUP(tables_453100!C234,input_453100!A:H,8,FALSE))</f>
        <v>0</v>
      </c>
      <c r="P234" s="46">
        <f t="shared" ca="1" si="13"/>
        <v>0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input_453100!A$2</f>
        <v>453100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IFERROR(VLOOKUP(B235,input_453100!L:R,7,FALSE),VLOOKUP(tables_453100!C235,input_453100!A:H,8,FALSE))</f>
        <v>263625</v>
      </c>
      <c r="P235" s="46">
        <f t="shared" ca="1" si="13"/>
        <v>9.5516304347826094E-3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input_453100!A$2</f>
        <v>453100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IFERROR(VLOOKUP(B236,input_453100!L:R,7,FALSE),VLOOKUP(tables_453100!C236,input_453100!A:H,8,FALSE))</f>
        <v>14037.5</v>
      </c>
      <c r="P236" s="46">
        <f t="shared" ca="1" si="13"/>
        <v>5.0860507246376814E-4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input_453100!A$2</f>
        <v>453100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IFERROR(VLOOKUP(B237,input_453100!L:R,7,FALSE),VLOOKUP(tables_453100!C237,input_453100!A:H,8,FALSE))</f>
        <v>21275</v>
      </c>
      <c r="P237" s="46">
        <f t="shared" ca="1" si="13"/>
        <v>7.7083333333333333E-4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input_453100!A$2</f>
        <v>453100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IFERROR(VLOOKUP(B238,input_453100!L:R,7,FALSE),VLOOKUP(tables_453100!C238,input_453100!A:H,8,FALSE))</f>
        <v>1725</v>
      </c>
      <c r="P238" s="46">
        <f t="shared" ca="1" si="13"/>
        <v>6.2500000000000001E-5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input_453100!A$2</f>
        <v>453100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IFERROR(VLOOKUP(B239,input_453100!L:R,7,FALSE),VLOOKUP(tables_453100!C239,input_453100!A:H,8,FALSE))</f>
        <v>0</v>
      </c>
      <c r="P239" s="46">
        <f t="shared" ca="1" si="13"/>
        <v>0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input_453100!A$2</f>
        <v>453100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IFERROR(VLOOKUP(B240,input_453100!L:R,7,FALSE),VLOOKUP(tables_453100!C240,input_453100!A:H,8,FALSE))</f>
        <v>263625</v>
      </c>
      <c r="P240" s="46">
        <f t="shared" ca="1" si="13"/>
        <v>9.5516304347826094E-3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input_453100!A$2</f>
        <v>453100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IFERROR(VLOOKUP(B241,input_453100!L:R,7,FALSE),VLOOKUP(tables_453100!C241,input_453100!A:H,8,FALSE))</f>
        <v>14037.5</v>
      </c>
      <c r="P241" s="46">
        <f t="shared" ca="1" si="13"/>
        <v>5.0860507246376814E-4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input_453100!A$2</f>
        <v>453100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IFERROR(VLOOKUP(B242,input_453100!L:R,7,FALSE),VLOOKUP(tables_453100!C242,input_453100!A:H,8,FALSE))</f>
        <v>21275</v>
      </c>
      <c r="P242" s="46">
        <f t="shared" ca="1" si="13"/>
        <v>7.7083333333333333E-4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input_453100!A$2</f>
        <v>453100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IFERROR(VLOOKUP(B243,input_453100!L:R,7,FALSE),VLOOKUP(tables_453100!C243,input_453100!A:H,8,FALSE))</f>
        <v>1725</v>
      </c>
      <c r="P243" s="46">
        <f t="shared" ca="1" si="13"/>
        <v>6.2500000000000001E-5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input_453100!A$2</f>
        <v>453100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IFERROR(VLOOKUP(B244,input_453100!L:R,7,FALSE),VLOOKUP(tables_453100!C244,input_453100!A:H,8,FALSE))</f>
        <v>21275</v>
      </c>
      <c r="P244" s="46">
        <f t="shared" ca="1" si="13"/>
        <v>7.7083333333333333E-4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input_453100!A$2</f>
        <v>453100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IFERROR(VLOOKUP(B245,input_453100!L:R,7,FALSE),VLOOKUP(tables_453100!C245,input_453100!A:H,8,FALSE))</f>
        <v>1725</v>
      </c>
      <c r="P245" s="46">
        <f t="shared" ca="1" si="13"/>
        <v>6.2500000000000001E-5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input_453100!A$2</f>
        <v>453100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IFERROR(VLOOKUP(B246,input_453100!L:R,7,FALSE),VLOOKUP(tables_453100!C246,input_453100!A:H,8,FALSE))</f>
        <v>0</v>
      </c>
      <c r="P246" s="46">
        <f t="shared" ca="1" si="13"/>
        <v>0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input_453100!A$2</f>
        <v>453100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IFERROR(VLOOKUP(B247,input_453100!L:R,7,FALSE),VLOOKUP(tables_453100!C247,input_453100!A:H,8,FALSE))</f>
        <v>263625</v>
      </c>
      <c r="P247" s="46">
        <f t="shared" ca="1" si="13"/>
        <v>9.5516304347826094E-3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input_453100!A$2</f>
        <v>453100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IFERROR(VLOOKUP(B248,input_453100!L:R,7,FALSE),VLOOKUP(tables_453100!C248,input_453100!A:H,8,FALSE))</f>
        <v>14037.5</v>
      </c>
      <c r="P248" s="46">
        <f t="shared" ca="1" si="13"/>
        <v>5.0860507246376814E-4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input_453100!A$2</f>
        <v>453100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IFERROR(VLOOKUP(B249,input_453100!L:R,7,FALSE),VLOOKUP(tables_453100!C249,input_453100!A:H,8,FALSE))</f>
        <v>0</v>
      </c>
      <c r="P249" s="46">
        <f t="shared" ca="1" si="13"/>
        <v>0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input_453100!A$2</f>
        <v>453100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IFERROR(VLOOKUP(B250,input_453100!L:R,7,FALSE),VLOOKUP(tables_453100!C250,input_453100!A:H,8,FALSE))</f>
        <v>263625</v>
      </c>
      <c r="P250" s="46">
        <f t="shared" ca="1" si="13"/>
        <v>9.5516304347826094E-3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input_453100!A$2</f>
        <v>453100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IFERROR(VLOOKUP(B251,input_453100!L:R,7,FALSE),VLOOKUP(tables_453100!C251,input_453100!A:H,8,FALSE))</f>
        <v>14037.5</v>
      </c>
      <c r="P251" s="46">
        <f t="shared" ca="1" si="13"/>
        <v>5.0860507246376814E-4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input_453100!A$2</f>
        <v>453100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IFERROR(VLOOKUP(B252,input_453100!L:R,7,FALSE),VLOOKUP(tables_453100!C252,input_453100!A:H,8,FALSE))</f>
        <v>0</v>
      </c>
      <c r="P252" s="46">
        <f t="shared" ca="1" si="13"/>
        <v>0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input_453100!A$2</f>
        <v>453100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IFERROR(VLOOKUP(B253,input_453100!L:R,7,FALSE),VLOOKUP(tables_453100!C253,input_453100!A:H,8,FALSE))</f>
        <v>263625</v>
      </c>
      <c r="P253" s="46">
        <f t="shared" ca="1" si="13"/>
        <v>9.5516304347826094E-3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input_453100!A$2</f>
        <v>453100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IFERROR(VLOOKUP(B254,input_453100!L:R,7,FALSE),VLOOKUP(tables_453100!C254,input_453100!A:H,8,FALSE))</f>
        <v>14037.5</v>
      </c>
      <c r="P254" s="46">
        <f t="shared" ca="1" si="13"/>
        <v>5.0860507246376814E-4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input_453100!A$2</f>
        <v>453100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IFERROR(VLOOKUP(B255,input_453100!L:R,7,FALSE),VLOOKUP(tables_453100!C255,input_453100!A:H,8,FALSE))</f>
        <v>0</v>
      </c>
      <c r="P255" s="46">
        <f t="shared" ca="1" si="13"/>
        <v>0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input_453100!A$2</f>
        <v>453100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IFERROR(VLOOKUP(B256,input_453100!L:R,7,FALSE),VLOOKUP(tables_453100!C256,input_453100!A:H,8,FALSE))</f>
        <v>263625</v>
      </c>
      <c r="P256" s="46">
        <f t="shared" ca="1" si="13"/>
        <v>9.5516304347826094E-3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input_453100!A$2</f>
        <v>453100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IFERROR(VLOOKUP(B257,input_453100!L:R,7,FALSE),VLOOKUP(tables_453100!C257,input_453100!A:H,8,FALSE))</f>
        <v>14037.5</v>
      </c>
      <c r="P257" s="46">
        <f t="shared" ca="1" si="13"/>
        <v>5.0860507246376814E-4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input_453100!A$2</f>
        <v>453100</v>
      </c>
      <c r="B258" s="60">
        <v>674</v>
      </c>
      <c r="C258" s="7" t="str">
        <f t="shared" ref="C258:C283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IFERROR(VLOOKUP(B258,input_453100!L:R,7,FALSE),VLOOKUP(tables_453100!C258,input_453100!A:H,8,FALSE))</f>
        <v>21275</v>
      </c>
      <c r="P258" s="46">
        <f t="shared" ref="P258:P294" ca="1" si="17">O258/SUM(O:O)</f>
        <v>7.7083333333333333E-4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input_453100!A$2</f>
        <v>453100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IFERROR(VLOOKUP(B259,input_453100!L:R,7,FALSE),VLOOKUP(tables_453100!C259,input_453100!A:H,8,FALSE))</f>
        <v>1725</v>
      </c>
      <c r="P259" s="46">
        <f t="shared" ca="1" si="17"/>
        <v>6.2500000000000001E-5</v>
      </c>
      <c r="Q259" s="30">
        <f t="shared" ref="Q259:Q322" si="19">IF(J259=3,40,IF(J259=4,60,80))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input_453100!A$2</f>
        <v>453100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IFERROR(VLOOKUP(B260,input_453100!L:R,7,FALSE),VLOOKUP(tables_453100!C260,input_453100!A:H,8,FALSE))</f>
        <v>21275</v>
      </c>
      <c r="P260" s="46">
        <f t="shared" ca="1" si="17"/>
        <v>7.7083333333333333E-4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input_453100!A$2</f>
        <v>453100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IFERROR(VLOOKUP(B261,input_453100!L:R,7,FALSE),VLOOKUP(tables_453100!C261,input_453100!A:H,8,FALSE))</f>
        <v>1725</v>
      </c>
      <c r="P261" s="46">
        <f t="shared" ca="1" si="17"/>
        <v>6.2500000000000001E-5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input_453100!A$2</f>
        <v>453100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IFERROR(VLOOKUP(B262,input_453100!L:R,7,FALSE),VLOOKUP(tables_453100!C262,input_453100!A:H,8,FALSE))</f>
        <v>255609.375</v>
      </c>
      <c r="P262" s="46">
        <f t="shared" ca="1" si="17"/>
        <v>9.2612092391304354E-3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input_453100!A$2</f>
        <v>453100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IFERROR(VLOOKUP(B263,input_453100!L:R,7,FALSE),VLOOKUP(tables_453100!C263,input_453100!A:H,8,FALSE))</f>
        <v>21375</v>
      </c>
      <c r="P263" s="46">
        <f t="shared" ca="1" si="17"/>
        <v>7.7445652173913039E-4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input_453100!A$2</f>
        <v>453100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IFERROR(VLOOKUP(B264,input_453100!L:R,7,FALSE),VLOOKUP(tables_453100!C264,input_453100!A:H,8,FALSE))</f>
        <v>255609.375</v>
      </c>
      <c r="P264" s="46">
        <f t="shared" ca="1" si="17"/>
        <v>9.2612092391304354E-3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input_453100!A$2</f>
        <v>453100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IFERROR(VLOOKUP(B265,input_453100!L:R,7,FALSE),VLOOKUP(tables_453100!C265,input_453100!A:H,8,FALSE))</f>
        <v>21375</v>
      </c>
      <c r="P265" s="46">
        <f t="shared" ca="1" si="17"/>
        <v>7.7445652173913039E-4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input_453100!A$2</f>
        <v>453100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IFERROR(VLOOKUP(B266,input_453100!L:R,7,FALSE),VLOOKUP(tables_453100!C266,input_453100!A:H,8,FALSE))</f>
        <v>23000</v>
      </c>
      <c r="P266" s="46">
        <f t="shared" ca="1" si="17"/>
        <v>8.3333333333333339E-4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input_453100!A$2</f>
        <v>453100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IFERROR(VLOOKUP(B267,input_453100!L:R,7,FALSE),VLOOKUP(tables_453100!C267,input_453100!A:H,8,FALSE))</f>
        <v>23000</v>
      </c>
      <c r="P267" s="46">
        <f t="shared" ca="1" si="17"/>
        <v>8.3333333333333339E-4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input_453100!A$2</f>
        <v>453100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IFERROR(VLOOKUP(B268,input_453100!L:R,7,FALSE),VLOOKUP(tables_453100!C268,input_453100!A:H,8,FALSE))</f>
        <v>23000</v>
      </c>
      <c r="P268" s="46">
        <f t="shared" ca="1" si="17"/>
        <v>8.3333333333333339E-4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input_453100!A$2</f>
        <v>453100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IFERROR(VLOOKUP(B269,input_453100!L:R,7,FALSE),VLOOKUP(tables_453100!C269,input_453100!A:H,8,FALSE))</f>
        <v>23000</v>
      </c>
      <c r="P269" s="46">
        <f t="shared" ca="1" si="17"/>
        <v>8.3333333333333339E-4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input_453100!A$2</f>
        <v>453100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IFERROR(VLOOKUP(B270,input_453100!L:R,7,FALSE),VLOOKUP(tables_453100!C270,input_453100!A:H,8,FALSE))</f>
        <v>255609.375</v>
      </c>
      <c r="P270" s="46">
        <f t="shared" ca="1" si="17"/>
        <v>9.2612092391304354E-3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input_453100!A$2</f>
        <v>453100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IFERROR(VLOOKUP(B271,input_453100!L:R,7,FALSE),VLOOKUP(tables_453100!C271,input_453100!A:H,8,FALSE))</f>
        <v>21375</v>
      </c>
      <c r="P271" s="46">
        <f t="shared" ca="1" si="17"/>
        <v>7.7445652173913039E-4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input_453100!A$2</f>
        <v>453100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IFERROR(VLOOKUP(B272,input_453100!L:R,7,FALSE),VLOOKUP(tables_453100!C272,input_453100!A:H,8,FALSE))</f>
        <v>255609.375</v>
      </c>
      <c r="P272" s="46">
        <f t="shared" ca="1" si="17"/>
        <v>9.2612092391304354E-3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input_453100!A$2</f>
        <v>453100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IFERROR(VLOOKUP(B273,input_453100!L:R,7,FALSE),VLOOKUP(tables_453100!C273,input_453100!A:H,8,FALSE))</f>
        <v>21375</v>
      </c>
      <c r="P273" s="46">
        <f t="shared" ca="1" si="17"/>
        <v>7.7445652173913039E-4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input_453100!A$2</f>
        <v>453100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IFERROR(VLOOKUP(B274,input_453100!L:R,7,FALSE),VLOOKUP(tables_453100!C274,input_453100!A:H,8,FALSE))</f>
        <v>21275</v>
      </c>
      <c r="P274" s="46">
        <f t="shared" ca="1" si="17"/>
        <v>7.7083333333333333E-4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input_453100!A$2</f>
        <v>453100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IFERROR(VLOOKUP(B275,input_453100!L:R,7,FALSE),VLOOKUP(tables_453100!C275,input_453100!A:H,8,FALSE))</f>
        <v>1725</v>
      </c>
      <c r="P275" s="46">
        <f t="shared" ca="1" si="17"/>
        <v>6.2500000000000001E-5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input_453100!A$2</f>
        <v>453100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IFERROR(VLOOKUP(B276,input_453100!L:R,7,FALSE),VLOOKUP(tables_453100!C276,input_453100!A:H,8,FALSE))</f>
        <v>21275</v>
      </c>
      <c r="P276" s="46">
        <f t="shared" ca="1" si="17"/>
        <v>7.7083333333333333E-4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input_453100!A$2</f>
        <v>453100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IFERROR(VLOOKUP(B277,input_453100!L:R,7,FALSE),VLOOKUP(tables_453100!C277,input_453100!A:H,8,FALSE))</f>
        <v>1725</v>
      </c>
      <c r="P277" s="46">
        <f t="shared" ca="1" si="17"/>
        <v>6.2500000000000001E-5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input_453100!A$2</f>
        <v>453100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IFERROR(VLOOKUP(B278,input_453100!L:R,7,FALSE),VLOOKUP(tables_453100!C278,input_453100!A:H,8,FALSE))</f>
        <v>0</v>
      </c>
      <c r="P278" s="46">
        <f t="shared" ca="1" si="17"/>
        <v>0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input_453100!A$2</f>
        <v>453100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IFERROR(VLOOKUP(B279,input_453100!L:R,7,FALSE),VLOOKUP(tables_453100!C279,input_453100!A:H,8,FALSE))</f>
        <v>263625</v>
      </c>
      <c r="P279" s="46">
        <f t="shared" ca="1" si="17"/>
        <v>9.5516304347826094E-3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input_453100!A$2</f>
        <v>453100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IFERROR(VLOOKUP(B280,input_453100!L:R,7,FALSE),VLOOKUP(tables_453100!C280,input_453100!A:H,8,FALSE))</f>
        <v>14037.5</v>
      </c>
      <c r="P280" s="46">
        <f t="shared" ca="1" si="17"/>
        <v>5.0860507246376814E-4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input_453100!A$2</f>
        <v>453100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IFERROR(VLOOKUP(B281,input_453100!L:R,7,FALSE),VLOOKUP(tables_453100!C281,input_453100!A:H,8,FALSE))</f>
        <v>0</v>
      </c>
      <c r="P281" s="46">
        <f t="shared" ca="1" si="17"/>
        <v>0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input_453100!A$2</f>
        <v>453100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IFERROR(VLOOKUP(B282,input_453100!L:R,7,FALSE),VLOOKUP(tables_453100!C282,input_453100!A:H,8,FALSE))</f>
        <v>263625</v>
      </c>
      <c r="P282" s="46">
        <f t="shared" ca="1" si="17"/>
        <v>9.5516304347826094E-3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input_453100!A$2</f>
        <v>453100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IFERROR(VLOOKUP(B283,input_453100!L:R,7,FALSE),VLOOKUP(tables_453100!C283,input_453100!A:H,8,FALSE))</f>
        <v>14037.5</v>
      </c>
      <c r="P283" s="46">
        <f t="shared" ca="1" si="17"/>
        <v>5.0860507246376814E-4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input_453100!A$2</f>
        <v>453100</v>
      </c>
      <c r="B284" s="5">
        <v>848</v>
      </c>
      <c r="C284" s="7" t="str">
        <f t="shared" ref="C284" si="20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IFERROR(VLOOKUP(B284,input_453100!L:R,7,FALSE),VLOOKUP(tables_453100!C284,input_453100!A:H,8,FALSE))</f>
        <v>23000</v>
      </c>
      <c r="P284" s="46">
        <f t="shared" ca="1" si="17"/>
        <v>8.3333333333333339E-4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input_453100!A$2</f>
        <v>453100</v>
      </c>
      <c r="B285" s="5">
        <v>850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IFERROR(VLOOKUP(B285,input_453100!L:R,7,FALSE),VLOOKUP(tables_453100!C285,input_453100!A:H,8,FALSE))</f>
        <v>23000</v>
      </c>
      <c r="P285" s="46">
        <f t="shared" ca="1" si="17"/>
        <v>8.3333333333333339E-4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input_453100!A$2</f>
        <v>453100</v>
      </c>
      <c r="B286" s="5">
        <v>852</v>
      </c>
      <c r="C286" s="7" t="str">
        <f t="shared" si="21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IFERROR(VLOOKUP(B286,input_453100!L:R,7,FALSE),VLOOKUP(tables_453100!C286,input_453100!A:H,8,FALSE))</f>
        <v>255609.375</v>
      </c>
      <c r="P286" s="46">
        <f t="shared" ca="1" si="17"/>
        <v>9.2612092391304354E-3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input_453100!A$2</f>
        <v>453100</v>
      </c>
      <c r="B287" s="5">
        <v>853</v>
      </c>
      <c r="C287" s="7" t="str">
        <f t="shared" ref="C287:C289" si="22">D287&amp;J287&amp;E287&amp;F287&amp;G287</f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IFERROR(VLOOKUP(B287,input_453100!L:R,7,FALSE),VLOOKUP(tables_453100!C287,input_453100!A:H,8,FALSE))</f>
        <v>21375</v>
      </c>
      <c r="P287" s="46">
        <f t="shared" ca="1" si="17"/>
        <v>7.7445652173913039E-4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input_453100!A$2</f>
        <v>453100</v>
      </c>
      <c r="B288" s="5">
        <v>854</v>
      </c>
      <c r="C288" s="7" t="str">
        <f t="shared" si="22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IFERROR(VLOOKUP(B288,input_453100!L:R,7,FALSE),VLOOKUP(tables_453100!C288,input_453100!A:H,8,FALSE))</f>
        <v>255609.375</v>
      </c>
      <c r="P288" s="46">
        <f t="shared" ca="1" si="17"/>
        <v>9.2612092391304354E-3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input_453100!A$2</f>
        <v>453100</v>
      </c>
      <c r="B289" s="5">
        <v>855</v>
      </c>
      <c r="C289" s="7" t="str">
        <f t="shared" si="22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IFERROR(VLOOKUP(B289,input_453100!L:R,7,FALSE),VLOOKUP(tables_453100!C289,input_453100!A:H,8,FALSE))</f>
        <v>21375</v>
      </c>
      <c r="P289" s="46">
        <f t="shared" ca="1" si="17"/>
        <v>7.7445652173913039E-4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input_453100!A$2</f>
        <v>453100</v>
      </c>
      <c r="B290" s="5">
        <v>862</v>
      </c>
      <c r="C290" s="7" t="str">
        <f t="shared" ref="C290:C294" si="23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IFERROR(VLOOKUP(B290,input_453100!L:R,7,FALSE),VLOOKUP(tables_453100!C290,input_453100!A:H,8,FALSE))</f>
        <v>255609.375</v>
      </c>
      <c r="P290" s="46">
        <f t="shared" ca="1" si="17"/>
        <v>9.2612092391304354E-3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input_453100!A$2</f>
        <v>453100</v>
      </c>
      <c r="B291" s="5">
        <v>863</v>
      </c>
      <c r="C291" s="7" t="str">
        <f t="shared" si="23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IFERROR(VLOOKUP(B291,input_453100!L:R,7,FALSE),VLOOKUP(tables_453100!C291,input_453100!A:H,8,FALSE))</f>
        <v>21375</v>
      </c>
      <c r="P291" s="46">
        <f t="shared" ca="1" si="17"/>
        <v>7.7445652173913039E-4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input_453100!A$2</f>
        <v>453100</v>
      </c>
      <c r="B292" s="5">
        <v>864</v>
      </c>
      <c r="C292" s="7" t="str">
        <f t="shared" si="23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IFERROR(VLOOKUP(B292,input_453100!L:R,7,FALSE),VLOOKUP(tables_453100!C292,input_453100!A:H,8,FALSE))</f>
        <v>255609.375</v>
      </c>
      <c r="P292" s="46">
        <f t="shared" ca="1" si="17"/>
        <v>9.2612092391304354E-3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input_453100!A$2</f>
        <v>453100</v>
      </c>
      <c r="B293" s="5">
        <v>865</v>
      </c>
      <c r="C293" s="7" t="str">
        <f t="shared" si="23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IFERROR(VLOOKUP(B293,input_453100!L:R,7,FALSE),VLOOKUP(tables_453100!C293,input_453100!A:H,8,FALSE))</f>
        <v>21375</v>
      </c>
      <c r="P293" s="46">
        <f t="shared" ca="1" si="17"/>
        <v>7.7445652173913039E-4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input_453100!A$2</f>
        <v>453100</v>
      </c>
      <c r="B294" s="5">
        <v>866</v>
      </c>
      <c r="C294" s="7" t="str">
        <f t="shared" si="23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IFERROR(VLOOKUP(B294,input_453100!L:R,7,FALSE),VLOOKUP(tables_453100!C294,input_453100!A:H,8,FALSE))</f>
        <v>23000</v>
      </c>
      <c r="P294" s="46">
        <f t="shared" ca="1" si="17"/>
        <v>8.3333333333333339E-4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input_453100!A$2</f>
        <v>453100</v>
      </c>
      <c r="B295" s="5">
        <v>868</v>
      </c>
      <c r="C295" s="7" t="str">
        <f t="shared" ref="C295:C299" si="24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IFERROR(VLOOKUP(B295,input_453100!L:R,7,FALSE),VLOOKUP(tables_453100!C295,input_453100!A:H,8,FALSE))</f>
        <v>23000</v>
      </c>
      <c r="P295" s="46">
        <f t="shared" ref="P295:P299" ca="1" si="25">O295/SUM(O:O)</f>
        <v>8.3333333333333339E-4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input_453100!A$2</f>
        <v>453100</v>
      </c>
      <c r="B296" s="5">
        <v>937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IFERROR(VLOOKUP(B296,input_453100!L:R,7,FALSE),VLOOKUP(tables_453100!C296,input_453100!A:H,8,FALSE))</f>
        <v>23000</v>
      </c>
      <c r="P296" s="46">
        <f t="shared" ca="1" si="25"/>
        <v>8.3333333333333339E-4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input_453100!A$2</f>
        <v>453100</v>
      </c>
      <c r="B297" s="5">
        <v>939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IFERROR(VLOOKUP(B297,input_453100!L:R,7,FALSE),VLOOKUP(tables_453100!C297,input_453100!A:H,8,FALSE))</f>
        <v>255609.375</v>
      </c>
      <c r="P297" s="46">
        <f t="shared" ca="1" si="25"/>
        <v>9.2612092391304354E-3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input_453100!A$2</f>
        <v>453100</v>
      </c>
      <c r="B298" s="5">
        <v>940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IFERROR(VLOOKUP(B298,input_453100!L:R,7,FALSE),VLOOKUP(tables_453100!C298,input_453100!A:H,8,FALSE))</f>
        <v>21375</v>
      </c>
      <c r="P298" s="46">
        <f t="shared" ca="1" si="25"/>
        <v>7.7445652173913039E-4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input_453100!A$2</f>
        <v>453100</v>
      </c>
      <c r="B299" s="5">
        <v>941</v>
      </c>
      <c r="C299" s="7" t="str">
        <f t="shared" si="24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IFERROR(VLOOKUP(B299,input_453100!L:R,7,FALSE),VLOOKUP(tables_453100!C299,input_453100!A:H,8,FALSE))</f>
        <v>23000</v>
      </c>
      <c r="P299" s="46">
        <f t="shared" ca="1" si="25"/>
        <v>8.3333333333333339E-4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input_453100!A$2</f>
        <v>453100</v>
      </c>
      <c r="B300" s="5">
        <v>943</v>
      </c>
      <c r="C300" s="7" t="str">
        <f t="shared" ref="C300:C304" si="26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IFERROR(VLOOKUP(B300,input_453100!L:R,7,FALSE),VLOOKUP(tables_453100!C300,input_453100!A:H,8,FALSE))</f>
        <v>23000</v>
      </c>
      <c r="P300" s="46">
        <f t="shared" ref="P300:P304" ca="1" si="27">O300/SUM(O:O)</f>
        <v>8.3333333333333339E-4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input_453100!A$2</f>
        <v>453100</v>
      </c>
      <c r="B301" s="5">
        <v>1012</v>
      </c>
      <c r="C301" s="7" t="str">
        <f t="shared" si="2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IFERROR(VLOOKUP(B301,input_453100!L:R,7,FALSE),VLOOKUP(tables_453100!C301,input_453100!A:H,8,FALSE))</f>
        <v>23000</v>
      </c>
      <c r="P301" s="46">
        <f t="shared" ca="1" si="27"/>
        <v>8.3333333333333339E-4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input_453100!A$2</f>
        <v>453100</v>
      </c>
      <c r="B302" s="5">
        <v>1014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IFERROR(VLOOKUP(B302,input_453100!L:R,7,FALSE),VLOOKUP(tables_453100!C302,input_453100!A:H,8,FALSE))</f>
        <v>23000</v>
      </c>
      <c r="P302" s="46">
        <f t="shared" ca="1" si="27"/>
        <v>8.3333333333333339E-4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input_453100!A$2</f>
        <v>453100</v>
      </c>
      <c r="B303" s="5">
        <v>1016</v>
      </c>
      <c r="C303" s="7" t="str">
        <f t="shared" si="2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IFERROR(VLOOKUP(B303,input_453100!L:R,7,FALSE),VLOOKUP(tables_453100!C303,input_453100!A:H,8,FALSE))</f>
        <v>255609.375</v>
      </c>
      <c r="P303" s="46">
        <f t="shared" ca="1" si="27"/>
        <v>9.2612092391304354E-3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input_453100!A$2</f>
        <v>453100</v>
      </c>
      <c r="B304" s="5">
        <v>1017</v>
      </c>
      <c r="C304" s="7" t="str">
        <f t="shared" si="2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IFERROR(VLOOKUP(B304,input_453100!L:R,7,FALSE),VLOOKUP(tables_453100!C304,input_453100!A:H,8,FALSE))</f>
        <v>21375</v>
      </c>
      <c r="P304" s="46">
        <f t="shared" ca="1" si="27"/>
        <v>7.7445652173913039E-4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input_453100!A$2</f>
        <v>453100</v>
      </c>
      <c r="B305" s="5">
        <v>1018</v>
      </c>
      <c r="C305" s="7" t="str">
        <f t="shared" ref="C305:C308" si="28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IFERROR(VLOOKUP(B305,input_453100!L:R,7,FALSE),VLOOKUP(tables_453100!C305,input_453100!A:H,8,FALSE))</f>
        <v>23000</v>
      </c>
      <c r="P305" s="46">
        <f t="shared" ref="P305:P308" ca="1" si="29">O305/SUM(O:O)</f>
        <v>8.3333333333333339E-4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input_453100!A$2</f>
        <v>453100</v>
      </c>
      <c r="B306" s="5">
        <v>1026</v>
      </c>
      <c r="C306" s="7" t="str">
        <f t="shared" si="28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IFERROR(VLOOKUP(B306,input_453100!L:R,7,FALSE),VLOOKUP(tables_453100!C306,input_453100!A:H,8,FALSE))</f>
        <v>255609.375</v>
      </c>
      <c r="P306" s="46">
        <f t="shared" ca="1" si="29"/>
        <v>9.2612092391304354E-3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input_453100!A$2</f>
        <v>453100</v>
      </c>
      <c r="B307" s="5">
        <v>1027</v>
      </c>
      <c r="C307" s="7" t="str">
        <f t="shared" si="28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IFERROR(VLOOKUP(B307,input_453100!L:R,7,FALSE),VLOOKUP(tables_453100!C307,input_453100!A:H,8,FALSE))</f>
        <v>21375</v>
      </c>
      <c r="P307" s="46">
        <f t="shared" ca="1" si="29"/>
        <v>7.7445652173913039E-4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input_453100!A$2</f>
        <v>453100</v>
      </c>
      <c r="B308" s="5">
        <v>1028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IFERROR(VLOOKUP(B308,input_453100!L:R,7,FALSE),VLOOKUP(tables_453100!C308,input_453100!A:H,8,FALSE))</f>
        <v>23000</v>
      </c>
      <c r="P308" s="46">
        <f t="shared" ca="1" si="29"/>
        <v>8.3333333333333339E-4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input_453100!A$2</f>
        <v>453100</v>
      </c>
      <c r="B309" s="5">
        <v>1031</v>
      </c>
      <c r="C309" s="7" t="str">
        <f t="shared" ref="C309" si="30">D309&amp;J309&amp;E309&amp;F309&amp;G309</f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IFERROR(VLOOKUP(B309,input_453100!L:R,7,FALSE),VLOOKUP(tables_453100!C309,input_453100!A:H,8,FALSE))</f>
        <v>23000</v>
      </c>
      <c r="P309" s="46">
        <f t="shared" ref="P309" ca="1" si="31">O309/SUM(O:O)</f>
        <v>8.3333333333333339E-4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input_453100!A$2</f>
        <v>453100</v>
      </c>
      <c r="B310" s="5">
        <v>1033</v>
      </c>
      <c r="C310" s="7" t="str">
        <f t="shared" ref="C310:C314" si="32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IFERROR(VLOOKUP(B310,input_453100!L:R,7,FALSE),VLOOKUP(tables_453100!C310,input_453100!A:H,8,FALSE))</f>
        <v>23000</v>
      </c>
      <c r="P310" s="46">
        <f t="shared" ref="P310:P314" ca="1" si="33">O310/SUM(O:O)</f>
        <v>8.3333333333333339E-4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input_453100!A$2</f>
        <v>453100</v>
      </c>
      <c r="B311" s="5">
        <v>1067</v>
      </c>
      <c r="C311" s="7" t="str">
        <f t="shared" si="32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IFERROR(VLOOKUP(B311,input_453100!L:R,7,FALSE),VLOOKUP(tables_453100!C311,input_453100!A:H,8,FALSE))</f>
        <v>255609.375</v>
      </c>
      <c r="P311" s="46">
        <f t="shared" ca="1" si="33"/>
        <v>9.2612092391304354E-3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input_453100!A$2</f>
        <v>453100</v>
      </c>
      <c r="B312" s="5">
        <v>1068</v>
      </c>
      <c r="C312" s="7" t="str">
        <f t="shared" si="32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IFERROR(VLOOKUP(B312,input_453100!L:R,7,FALSE),VLOOKUP(tables_453100!C312,input_453100!A:H,8,FALSE))</f>
        <v>21375</v>
      </c>
      <c r="P312" s="46">
        <f t="shared" ca="1" si="33"/>
        <v>7.7445652173913039E-4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input_453100!A$2</f>
        <v>453100</v>
      </c>
      <c r="B313" s="5">
        <v>1069</v>
      </c>
      <c r="C313" s="7" t="str">
        <f t="shared" si="32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IFERROR(VLOOKUP(B313,input_453100!L:R,7,FALSE),VLOOKUP(tables_453100!C313,input_453100!A:H,8,FALSE))</f>
        <v>23000</v>
      </c>
      <c r="P313" s="46">
        <f t="shared" ca="1" si="33"/>
        <v>8.3333333333333339E-4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input_453100!A$2</f>
        <v>453100</v>
      </c>
      <c r="B314" s="5">
        <v>1072</v>
      </c>
      <c r="C314" s="7" t="str">
        <f t="shared" si="32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IFERROR(VLOOKUP(B314,input_453100!L:R,7,FALSE),VLOOKUP(tables_453100!C314,input_453100!A:H,8,FALSE))</f>
        <v>23000</v>
      </c>
      <c r="P314" s="46">
        <f t="shared" ca="1" si="33"/>
        <v>8.3333333333333339E-4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input_453100!A$2</f>
        <v>453100</v>
      </c>
      <c r="B315" s="5">
        <v>1074</v>
      </c>
      <c r="C315" s="7" t="str">
        <f t="shared" ref="C315:C319" si="34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IFERROR(VLOOKUP(B315,input_453100!L:R,7,FALSE),VLOOKUP(tables_453100!C315,input_453100!A:H,8,FALSE))</f>
        <v>23000</v>
      </c>
      <c r="P315" s="46">
        <f t="shared" ref="P315:P319" ca="1" si="35">O315/SUM(O:O)</f>
        <v>8.3333333333333339E-4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input_453100!A$2</f>
        <v>453100</v>
      </c>
      <c r="B316" s="5">
        <v>1100</v>
      </c>
      <c r="C316" s="7" t="str">
        <f t="shared" si="34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IFERROR(VLOOKUP(B316,input_453100!L:R,7,FALSE),VLOOKUP(tables_453100!C316,input_453100!A:H,8,FALSE))</f>
        <v>23000</v>
      </c>
      <c r="P316" s="46">
        <f t="shared" ca="1" si="35"/>
        <v>8.3333333333333339E-4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input_453100!A$2</f>
        <v>453100</v>
      </c>
      <c r="B317" s="5">
        <v>1102</v>
      </c>
      <c r="C317" s="7" t="str">
        <f t="shared" si="34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IFERROR(VLOOKUP(B317,input_453100!L:R,7,FALSE),VLOOKUP(tables_453100!C317,input_453100!A:H,8,FALSE))</f>
        <v>23000</v>
      </c>
      <c r="P317" s="46">
        <f t="shared" ca="1" si="35"/>
        <v>8.3333333333333339E-4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input_453100!A$2</f>
        <v>453100</v>
      </c>
      <c r="B318" s="5">
        <v>1104</v>
      </c>
      <c r="C318" s="7" t="str">
        <f t="shared" si="34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IFERROR(VLOOKUP(B318,input_453100!L:R,7,FALSE),VLOOKUP(tables_453100!C318,input_453100!A:H,8,FALSE))</f>
        <v>255609.375</v>
      </c>
      <c r="P318" s="46">
        <f t="shared" ca="1" si="35"/>
        <v>9.2612092391304354E-3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input_453100!A$2</f>
        <v>453100</v>
      </c>
      <c r="B319" s="5">
        <v>1105</v>
      </c>
      <c r="C319" s="7" t="str">
        <f t="shared" si="34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IFERROR(VLOOKUP(B319,input_453100!L:R,7,FALSE),VLOOKUP(tables_453100!C319,input_453100!A:H,8,FALSE))</f>
        <v>21375</v>
      </c>
      <c r="P319" s="46">
        <f t="shared" ca="1" si="35"/>
        <v>7.7445652173913039E-4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input_453100!A$2</f>
        <v>453100</v>
      </c>
      <c r="B320" s="5">
        <v>1106</v>
      </c>
      <c r="C320" s="7" t="str">
        <f t="shared" ref="C320:C324" si="36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IFERROR(VLOOKUP(B320,input_453100!L:R,7,FALSE),VLOOKUP(tables_453100!C320,input_453100!A:H,8,FALSE))</f>
        <v>23000</v>
      </c>
      <c r="P320" s="46">
        <f t="shared" ref="P320:P324" ca="1" si="37">O320/SUM(O:O)</f>
        <v>8.3333333333333339E-4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input_453100!A$2</f>
        <v>453100</v>
      </c>
      <c r="B321" s="5">
        <v>1137</v>
      </c>
      <c r="C321" s="7" t="str">
        <f t="shared" si="3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IFERROR(VLOOKUP(B321,input_453100!L:R,7,FALSE),VLOOKUP(tables_453100!C321,input_453100!A:H,8,FALSE))</f>
        <v>23000</v>
      </c>
      <c r="P321" s="46">
        <f t="shared" ca="1" si="37"/>
        <v>8.3333333333333339E-4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input_453100!A$2</f>
        <v>453100</v>
      </c>
      <c r="B322" s="5">
        <v>1139</v>
      </c>
      <c r="C322" s="7" t="str">
        <f t="shared" si="36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IFERROR(VLOOKUP(B322,input_453100!L:R,7,FALSE),VLOOKUP(tables_453100!C322,input_453100!A:H,8,FALSE))</f>
        <v>23000</v>
      </c>
      <c r="P322" s="46">
        <f t="shared" ca="1" si="37"/>
        <v>8.3333333333333339E-4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input_453100!A$2</f>
        <v>453100</v>
      </c>
      <c r="B323" s="5">
        <v>1141</v>
      </c>
      <c r="C323" s="7" t="str">
        <f t="shared" si="36"/>
        <v>PremiumSS5R5only</v>
      </c>
      <c r="D323" s="7" t="str">
        <f t="shared" ref="D323:D330" si="3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IFERROR(VLOOKUP(B323,input_453100!L:R,7,FALSE),VLOOKUP(tables_453100!C323,input_453100!A:H,8,FALSE))</f>
        <v>23000</v>
      </c>
      <c r="P323" s="46">
        <f t="shared" ca="1" si="37"/>
        <v>8.3333333333333339E-4</v>
      </c>
      <c r="Q323" s="30">
        <f t="shared" ref="Q323:Q335" si="39">IF(J323=3,40,IF(J323=4,60,80))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input_453100!A$2</f>
        <v>453100</v>
      </c>
      <c r="B324" s="2">
        <v>1143</v>
      </c>
      <c r="C324" s="7" t="str">
        <f t="shared" si="36"/>
        <v>Premium4R3less</v>
      </c>
      <c r="D324" s="7" t="str">
        <f t="shared" si="3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IFERROR(VLOOKUP(B324,input_453100!L:R,7,FALSE),VLOOKUP(tables_453100!C324,input_453100!A:H,8,FALSE))</f>
        <v>255609.375</v>
      </c>
      <c r="P324" s="46">
        <f t="shared" ca="1" si="37"/>
        <v>9.2612092391304354E-3</v>
      </c>
      <c r="Q324" s="30">
        <f t="shared" si="39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input_453100!A$2</f>
        <v>453100</v>
      </c>
      <c r="B325" s="2">
        <v>1144</v>
      </c>
      <c r="C325" s="7" t="str">
        <f t="shared" ref="C325:C330" si="40">D325&amp;J325&amp;E325&amp;F325&amp;G325</f>
        <v>Premium5R3less</v>
      </c>
      <c r="D325" s="7" t="str">
        <f t="shared" si="3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IFERROR(VLOOKUP(B325,input_453100!L:R,7,FALSE),VLOOKUP(tables_453100!C325,input_453100!A:H,8,FALSE))</f>
        <v>21375</v>
      </c>
      <c r="P325" s="46">
        <f t="shared" ref="P325:P330" ca="1" si="41">O325/SUM(O:O)</f>
        <v>7.7445652173913039E-4</v>
      </c>
      <c r="Q325" s="30">
        <f t="shared" si="39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input_453100!A$2</f>
        <v>453100</v>
      </c>
      <c r="B326" s="2">
        <v>1151</v>
      </c>
      <c r="C326" s="7" t="str">
        <f t="shared" si="40"/>
        <v>Premium4R3less</v>
      </c>
      <c r="D326" s="7" t="str">
        <f t="shared" si="3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IFERROR(VLOOKUP(B326,input_453100!L:R,7,FALSE),VLOOKUP(tables_453100!C326,input_453100!A:H,8,FALSE))</f>
        <v>255609.375</v>
      </c>
      <c r="P326" s="46">
        <f t="shared" ca="1" si="41"/>
        <v>9.2612092391304354E-3</v>
      </c>
      <c r="Q326" s="30">
        <f t="shared" si="39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input_453100!A$2</f>
        <v>453100</v>
      </c>
      <c r="B327" s="2">
        <v>1152</v>
      </c>
      <c r="C327" s="7" t="str">
        <f t="shared" si="40"/>
        <v>Premium5R3less</v>
      </c>
      <c r="D327" s="7" t="str">
        <f t="shared" si="3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IFERROR(VLOOKUP(B327,input_453100!L:R,7,FALSE),VLOOKUP(tables_453100!C327,input_453100!A:H,8,FALSE))</f>
        <v>21375</v>
      </c>
      <c r="P327" s="46">
        <f t="shared" ca="1" si="41"/>
        <v>7.7445652173913039E-4</v>
      </c>
      <c r="Q327" s="30">
        <f t="shared" si="39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input_453100!A$2</f>
        <v>453100</v>
      </c>
      <c r="B328" s="2">
        <v>1153</v>
      </c>
      <c r="C328" s="7" t="str">
        <f t="shared" si="40"/>
        <v>PremiumSS5R5only</v>
      </c>
      <c r="D328" s="7" t="str">
        <f t="shared" si="3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IFERROR(VLOOKUP(B328,input_453100!L:R,7,FALSE),VLOOKUP(tables_453100!C328,input_453100!A:H,8,FALSE))</f>
        <v>23000</v>
      </c>
      <c r="P328" s="46">
        <f t="shared" ca="1" si="41"/>
        <v>8.3333333333333339E-4</v>
      </c>
      <c r="Q328" s="30">
        <f t="shared" si="39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input_453100!A$2</f>
        <v>453100</v>
      </c>
      <c r="B329" s="2">
        <v>1155</v>
      </c>
      <c r="C329" s="7" t="str">
        <f t="shared" si="40"/>
        <v>PremiumSS5R5only</v>
      </c>
      <c r="D329" s="7" t="str">
        <f t="shared" si="3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IFERROR(VLOOKUP(B329,input_453100!L:R,7,FALSE),VLOOKUP(tables_453100!C329,input_453100!A:H,8,FALSE))</f>
        <v>23000</v>
      </c>
      <c r="P329" s="46">
        <f t="shared" ca="1" si="41"/>
        <v>8.3333333333333339E-4</v>
      </c>
      <c r="Q329" s="30">
        <f t="shared" si="39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input_453100!A$2</f>
        <v>453100</v>
      </c>
      <c r="B330" s="2">
        <v>1157</v>
      </c>
      <c r="C330" s="7" t="str">
        <f t="shared" si="40"/>
        <v>PremiumSS5R5only</v>
      </c>
      <c r="D330" s="98" t="str">
        <f t="shared" si="3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IFERROR(VLOOKUP(B330,input_453100!L:R,7,FALSE),VLOOKUP(tables_453100!C330,input_453100!A:H,8,FALSE))</f>
        <v>23000</v>
      </c>
      <c r="P330" s="46">
        <f t="shared" ca="1" si="41"/>
        <v>8.3333333333333339E-4</v>
      </c>
      <c r="Q330" s="30">
        <f t="shared" si="39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input_453100!A$2</f>
        <v>453100</v>
      </c>
      <c r="B331" s="60">
        <v>1214</v>
      </c>
      <c r="C331" s="7" t="str">
        <f t="shared" ref="C331:C335" si="42">D331&amp;J331&amp;E331&amp;F331&amp;G331</f>
        <v>PremiumSS5R5only</v>
      </c>
      <c r="D331" s="98" t="str">
        <f t="shared" ref="D331:D335" si="43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IFERROR(VLOOKUP(B331,input_453100!L:R,7,FALSE),VLOOKUP(tables_453100!C331,input_453100!A:H,8,FALSE))</f>
        <v>23000</v>
      </c>
      <c r="P331" s="46">
        <f t="shared" ref="P331:P335" ca="1" si="44">O331/SUM(O:O)</f>
        <v>8.3333333333333339E-4</v>
      </c>
      <c r="Q331" s="30">
        <f t="shared" si="39"/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input_453100!A$2</f>
        <v>453100</v>
      </c>
      <c r="B332" s="60">
        <v>1212</v>
      </c>
      <c r="C332" s="7" t="str">
        <f t="shared" si="42"/>
        <v>PremiumSS5R5only</v>
      </c>
      <c r="D332" s="98" t="str">
        <f t="shared" si="4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IFERROR(VLOOKUP(B332,input_453100!L:R,7,FALSE),VLOOKUP(tables_453100!C332,input_453100!A:H,8,FALSE))</f>
        <v>23000</v>
      </c>
      <c r="P332" s="46">
        <f t="shared" ca="1" si="44"/>
        <v>8.3333333333333339E-4</v>
      </c>
      <c r="Q332" s="30">
        <f t="shared" si="39"/>
        <v>80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input_453100!A$2</f>
        <v>453100</v>
      </c>
      <c r="B333" s="60">
        <v>1208</v>
      </c>
      <c r="C333" s="7" t="str">
        <f t="shared" si="42"/>
        <v>PremiumSS5R5only</v>
      </c>
      <c r="D333" s="98" t="str">
        <f t="shared" si="4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IFERROR(VLOOKUP(B333,input_453100!L:R,7,FALSE),VLOOKUP(tables_453100!C333,input_453100!A:H,8,FALSE))</f>
        <v>23000</v>
      </c>
      <c r="P333" s="46">
        <f t="shared" ca="1" si="44"/>
        <v>8.3333333333333339E-4</v>
      </c>
      <c r="Q333" s="30">
        <f t="shared" si="39"/>
        <v>80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input_453100!A$2</f>
        <v>453100</v>
      </c>
      <c r="B334" s="93">
        <v>1210</v>
      </c>
      <c r="C334" s="7" t="str">
        <f t="shared" si="42"/>
        <v>Premium4R3less</v>
      </c>
      <c r="D334" s="98" t="str">
        <f t="shared" si="4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IFERROR(VLOOKUP(B334,input_453100!L:R,7,FALSE),VLOOKUP(tables_453100!C334,input_453100!A:H,8,FALSE))</f>
        <v>255609.375</v>
      </c>
      <c r="P334" s="46">
        <f t="shared" ca="1" si="44"/>
        <v>9.2612092391304354E-3</v>
      </c>
      <c r="Q334" s="30">
        <f t="shared" si="39"/>
        <v>60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input_453100!A$2</f>
        <v>453100</v>
      </c>
      <c r="B335" s="60">
        <v>1211</v>
      </c>
      <c r="C335" s="7" t="str">
        <f t="shared" si="42"/>
        <v>Premium5R3less</v>
      </c>
      <c r="D335" s="98" t="str">
        <f t="shared" si="4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IFERROR(VLOOKUP(B335,input_453100!L:R,7,FALSE),VLOOKUP(tables_453100!C335,input_453100!A:H,8,FALSE))</f>
        <v>21375</v>
      </c>
      <c r="P335" s="46">
        <f t="shared" ca="1" si="44"/>
        <v>7.7445652173913039E-4</v>
      </c>
      <c r="Q335" s="30">
        <f t="shared" si="39"/>
        <v>80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2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H39" sqref="H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453100</v>
      </c>
      <c r="B2" s="60">
        <v>168</v>
      </c>
      <c r="C2" s="7" t="str">
        <f t="shared" ref="C2:C4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190</v>
      </c>
      <c r="P2" s="46">
        <f t="shared" ref="P2:P33" si="1">O2/SUM(O:O)</f>
        <v>1.217948717948718E-2</v>
      </c>
      <c r="Q2" s="30">
        <v>80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453100</v>
      </c>
      <c r="B3" s="60">
        <v>171</v>
      </c>
      <c r="C3" s="7" t="str">
        <f t="shared" si="0"/>
        <v>Premium5R6release</v>
      </c>
      <c r="D3" s="7" t="str">
        <f t="shared" ref="D3:D4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190</v>
      </c>
      <c r="P3" s="46">
        <f t="shared" si="1"/>
        <v>1.217948717948718E-2</v>
      </c>
      <c r="Q3" s="30">
        <v>80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453100</v>
      </c>
      <c r="B4" s="60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190</v>
      </c>
      <c r="P4" s="46">
        <f t="shared" si="1"/>
        <v>1.217948717948718E-2</v>
      </c>
      <c r="Q4" s="30">
        <v>80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453100</v>
      </c>
      <c r="B5" s="86">
        <v>177</v>
      </c>
      <c r="C5" s="7" t="str">
        <f t="shared" ref="C5:C68" si="3">D5&amp;J5&amp;E5&amp;F5&amp;G5</f>
        <v>Premium5</v>
      </c>
      <c r="D5" s="7" t="str">
        <f t="shared" ref="D5:D68" si="4">IF(OR(I5="PremiumSS",I5="PremiumSSw"),"PremiumSS",IF(I5="PremiumSSS",I5,IF(I5="PremiumW",I5,"Premium")))</f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190</v>
      </c>
      <c r="P5" s="46">
        <f t="shared" si="1"/>
        <v>1.217948717948718E-2</v>
      </c>
      <c r="Q5" s="30">
        <v>80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453100</v>
      </c>
      <c r="B6" s="86">
        <v>180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v>190</v>
      </c>
      <c r="P6" s="46">
        <f t="shared" si="1"/>
        <v>1.217948717948718E-2</v>
      </c>
      <c r="Q6" s="30">
        <v>80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453100</v>
      </c>
      <c r="B7" s="86">
        <v>183</v>
      </c>
      <c r="C7" s="7" t="str">
        <f t="shared" si="3"/>
        <v>Premium5</v>
      </c>
      <c r="D7" s="7" t="str">
        <f t="shared" si="4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v>190</v>
      </c>
      <c r="P7" s="46">
        <f t="shared" si="1"/>
        <v>1.217948717948718E-2</v>
      </c>
      <c r="Q7" s="30">
        <v>80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453100</v>
      </c>
      <c r="B8" s="86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v>190</v>
      </c>
      <c r="P8" s="46">
        <f t="shared" si="1"/>
        <v>1.217948717948718E-2</v>
      </c>
      <c r="Q8" s="30">
        <v>80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453100</v>
      </c>
      <c r="B9" s="86">
        <v>189</v>
      </c>
      <c r="C9" s="7" t="str">
        <f t="shared" si="3"/>
        <v>Premium5</v>
      </c>
      <c r="D9" s="7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v>190</v>
      </c>
      <c r="P9" s="46">
        <f t="shared" si="1"/>
        <v>1.217948717948718E-2</v>
      </c>
      <c r="Q9" s="30">
        <v>80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453100</v>
      </c>
      <c r="B10" s="86">
        <v>192</v>
      </c>
      <c r="C10" s="7" t="str">
        <f t="shared" si="3"/>
        <v>Premium5</v>
      </c>
      <c r="D10" s="7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190</v>
      </c>
      <c r="P10" s="46">
        <f t="shared" si="1"/>
        <v>1.217948717948718E-2</v>
      </c>
      <c r="Q10" s="30">
        <v>80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453100</v>
      </c>
      <c r="B11" s="86">
        <v>195</v>
      </c>
      <c r="C11" s="7" t="str">
        <f t="shared" si="3"/>
        <v>Premium5</v>
      </c>
      <c r="D11" s="7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190</v>
      </c>
      <c r="P11" s="46">
        <f t="shared" si="1"/>
        <v>1.217948717948718E-2</v>
      </c>
      <c r="Q11" s="30">
        <v>80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453100</v>
      </c>
      <c r="B12" s="86">
        <v>198</v>
      </c>
      <c r="C12" s="7" t="str">
        <f t="shared" si="3"/>
        <v>Premium5</v>
      </c>
      <c r="D12" s="7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190</v>
      </c>
      <c r="P12" s="46">
        <f t="shared" si="1"/>
        <v>1.217948717948718E-2</v>
      </c>
      <c r="Q12" s="30">
        <v>80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453100</v>
      </c>
      <c r="B13" s="86">
        <v>201</v>
      </c>
      <c r="C13" s="7" t="str">
        <f t="shared" si="3"/>
        <v>Premium5</v>
      </c>
      <c r="D13" s="7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190</v>
      </c>
      <c r="P13" s="46">
        <f t="shared" si="1"/>
        <v>1.217948717948718E-2</v>
      </c>
      <c r="Q13" s="30">
        <v>80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453100</v>
      </c>
      <c r="B14" s="86">
        <v>204</v>
      </c>
      <c r="C14" s="7" t="str">
        <f t="shared" si="3"/>
        <v>Premium5</v>
      </c>
      <c r="D14" s="7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v>190</v>
      </c>
      <c r="P14" s="46">
        <f t="shared" si="1"/>
        <v>1.217948717948718E-2</v>
      </c>
      <c r="Q14" s="30">
        <v>80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453100</v>
      </c>
      <c r="B15" s="86">
        <v>207</v>
      </c>
      <c r="C15" s="7" t="str">
        <f t="shared" si="3"/>
        <v>Premium5</v>
      </c>
      <c r="D15" s="7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v>190</v>
      </c>
      <c r="P15" s="46">
        <f t="shared" si="1"/>
        <v>1.217948717948718E-2</v>
      </c>
      <c r="Q15" s="30">
        <v>80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453100</v>
      </c>
      <c r="B16" s="86">
        <v>210</v>
      </c>
      <c r="C16" s="7" t="str">
        <f t="shared" si="3"/>
        <v>Premium5</v>
      </c>
      <c r="D16" s="7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v>190</v>
      </c>
      <c r="P16" s="46">
        <f t="shared" si="1"/>
        <v>1.217948717948718E-2</v>
      </c>
      <c r="Q16" s="30">
        <v>80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453100</v>
      </c>
      <c r="B17" s="86">
        <v>213</v>
      </c>
      <c r="C17" s="7" t="str">
        <f t="shared" si="3"/>
        <v>Premium5</v>
      </c>
      <c r="D17" s="7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v>190</v>
      </c>
      <c r="P17" s="46">
        <f t="shared" si="1"/>
        <v>1.217948717948718E-2</v>
      </c>
      <c r="Q17" s="30">
        <v>80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453100</v>
      </c>
      <c r="B18" s="86">
        <v>216</v>
      </c>
      <c r="C18" s="7" t="str">
        <f t="shared" si="3"/>
        <v>Premium5</v>
      </c>
      <c r="D18" s="7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v>190</v>
      </c>
      <c r="P18" s="46">
        <f t="shared" si="1"/>
        <v>1.217948717948718E-2</v>
      </c>
      <c r="Q18" s="30">
        <v>80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453100</v>
      </c>
      <c r="B19" s="86">
        <v>219</v>
      </c>
      <c r="C19" s="7" t="str">
        <f t="shared" si="3"/>
        <v>Premium5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v>190</v>
      </c>
      <c r="P19" s="46">
        <f t="shared" si="1"/>
        <v>1.217948717948718E-2</v>
      </c>
      <c r="Q19" s="30">
        <v>80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453100</v>
      </c>
      <c r="B20" s="86">
        <v>222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v>190</v>
      </c>
      <c r="P20" s="46">
        <f t="shared" si="1"/>
        <v>1.217948717948718E-2</v>
      </c>
      <c r="Q20" s="30">
        <v>80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453100</v>
      </c>
      <c r="B21" s="86">
        <v>225</v>
      </c>
      <c r="C21" s="7" t="str">
        <f t="shared" si="3"/>
        <v>Premium5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v>190</v>
      </c>
      <c r="P21" s="46">
        <f t="shared" si="1"/>
        <v>1.217948717948718E-2</v>
      </c>
      <c r="Q21" s="30">
        <v>80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453100</v>
      </c>
      <c r="B22" s="86">
        <v>228</v>
      </c>
      <c r="C22" s="7" t="str">
        <f t="shared" si="3"/>
        <v>Premium5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v>190</v>
      </c>
      <c r="P22" s="46">
        <f t="shared" si="1"/>
        <v>1.217948717948718E-2</v>
      </c>
      <c r="Q22" s="30">
        <v>80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453100</v>
      </c>
      <c r="B23" s="86">
        <v>231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v>190</v>
      </c>
      <c r="P23" s="46">
        <f t="shared" si="1"/>
        <v>1.217948717948718E-2</v>
      </c>
      <c r="Q23" s="30">
        <v>80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453100</v>
      </c>
      <c r="B24" s="86">
        <v>234</v>
      </c>
      <c r="C24" s="7" t="str">
        <f t="shared" si="3"/>
        <v>Premium5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190</v>
      </c>
      <c r="P24" s="46">
        <f t="shared" si="1"/>
        <v>1.217948717948718E-2</v>
      </c>
      <c r="Q24" s="30">
        <v>80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453100</v>
      </c>
      <c r="B25" s="86">
        <v>237</v>
      </c>
      <c r="C25" s="7" t="str">
        <f t="shared" si="3"/>
        <v>Premium5R6release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v>190</v>
      </c>
      <c r="P25" s="46">
        <f t="shared" si="1"/>
        <v>1.217948717948718E-2</v>
      </c>
      <c r="Q25" s="30">
        <v>80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453100</v>
      </c>
      <c r="B26" s="86">
        <v>240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v>190</v>
      </c>
      <c r="P26" s="46">
        <f t="shared" si="1"/>
        <v>1.217948717948718E-2</v>
      </c>
      <c r="Q26" s="30">
        <v>80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453100</v>
      </c>
      <c r="B27" s="86">
        <v>243</v>
      </c>
      <c r="C27" s="7" t="str">
        <f t="shared" si="3"/>
        <v>Premium5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v>190</v>
      </c>
      <c r="P27" s="46">
        <f t="shared" si="1"/>
        <v>1.217948717948718E-2</v>
      </c>
      <c r="Q27" s="30">
        <v>80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453100</v>
      </c>
      <c r="B28" s="86">
        <v>246</v>
      </c>
      <c r="C28" s="7" t="str">
        <f t="shared" si="3"/>
        <v>Premium5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v>190</v>
      </c>
      <c r="P28" s="46">
        <f t="shared" si="1"/>
        <v>1.217948717948718E-2</v>
      </c>
      <c r="Q28" s="30">
        <v>80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453100</v>
      </c>
      <c r="B29" s="86">
        <v>249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v>190</v>
      </c>
      <c r="P29" s="46">
        <f t="shared" si="1"/>
        <v>1.217948717948718E-2</v>
      </c>
      <c r="Q29" s="30">
        <v>80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453100</v>
      </c>
      <c r="B30" s="86">
        <v>252</v>
      </c>
      <c r="C30" s="7" t="str">
        <f t="shared" si="3"/>
        <v>Premium5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v>190</v>
      </c>
      <c r="P30" s="46">
        <f t="shared" si="1"/>
        <v>1.217948717948718E-2</v>
      </c>
      <c r="Q30" s="30">
        <v>80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453100</v>
      </c>
      <c r="B31" s="86">
        <v>255</v>
      </c>
      <c r="C31" s="7" t="str">
        <f t="shared" si="3"/>
        <v>Premium5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v>190</v>
      </c>
      <c r="P31" s="46">
        <f t="shared" si="1"/>
        <v>1.217948717948718E-2</v>
      </c>
      <c r="Q31" s="30">
        <v>80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453100</v>
      </c>
      <c r="B32" s="86">
        <v>258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v>190</v>
      </c>
      <c r="P32" s="46">
        <f t="shared" si="1"/>
        <v>1.217948717948718E-2</v>
      </c>
      <c r="Q32" s="30">
        <v>80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453100</v>
      </c>
      <c r="B33" s="86">
        <v>261</v>
      </c>
      <c r="C33" s="7" t="str">
        <f t="shared" si="3"/>
        <v>Premium5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v>190</v>
      </c>
      <c r="P33" s="46">
        <f t="shared" si="1"/>
        <v>1.217948717948718E-2</v>
      </c>
      <c r="Q33" s="30">
        <v>80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453100</v>
      </c>
      <c r="B34" s="86">
        <v>321</v>
      </c>
      <c r="C34" s="7" t="str">
        <f t="shared" si="3"/>
        <v>PremiumSS5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v>13</v>
      </c>
      <c r="P34" s="46">
        <f t="shared" ref="P34:P65" si="5">O34/SUM(O:O)</f>
        <v>8.3333333333333339E-4</v>
      </c>
      <c r="Q34" s="30">
        <v>80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453100</v>
      </c>
      <c r="B35" s="86">
        <v>323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v>13</v>
      </c>
      <c r="P35" s="46">
        <f t="shared" si="5"/>
        <v>8.3333333333333339E-4</v>
      </c>
      <c r="Q35" s="30">
        <v>80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453100</v>
      </c>
      <c r="B36" s="86">
        <v>325</v>
      </c>
      <c r="C36" s="7" t="str">
        <f t="shared" si="3"/>
        <v>PremiumSS5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13</v>
      </c>
      <c r="P36" s="46">
        <f t="shared" si="5"/>
        <v>8.3333333333333339E-4</v>
      </c>
      <c r="Q36" s="30">
        <v>80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453100</v>
      </c>
      <c r="B37" s="86">
        <v>327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13</v>
      </c>
      <c r="P37" s="46">
        <f t="shared" si="5"/>
        <v>8.3333333333333339E-4</v>
      </c>
      <c r="Q37" s="30">
        <v>80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453100</v>
      </c>
      <c r="B38" s="86">
        <v>382</v>
      </c>
      <c r="C38" s="7" t="str">
        <f t="shared" si="3"/>
        <v>Premium5</v>
      </c>
      <c r="D38" s="7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v>190</v>
      </c>
      <c r="P38" s="46">
        <f t="shared" si="5"/>
        <v>1.217948717948718E-2</v>
      </c>
      <c r="Q38" s="30">
        <v>80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453100</v>
      </c>
      <c r="B39" s="86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v>13</v>
      </c>
      <c r="P39" s="46">
        <f t="shared" si="5"/>
        <v>8.3333333333333339E-4</v>
      </c>
      <c r="Q39" s="30">
        <v>80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453100</v>
      </c>
      <c r="B40" s="86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v>13</v>
      </c>
      <c r="P40" s="46">
        <f t="shared" si="5"/>
        <v>8.3333333333333339E-4</v>
      </c>
      <c r="Q40" s="30">
        <v>80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453100</v>
      </c>
      <c r="B41" s="86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v>190</v>
      </c>
      <c r="P41" s="46">
        <f t="shared" si="5"/>
        <v>1.217948717948718E-2</v>
      </c>
      <c r="Q41" s="30">
        <v>80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453100</v>
      </c>
      <c r="B42" s="86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13</v>
      </c>
      <c r="P42" s="46">
        <f t="shared" si="5"/>
        <v>8.3333333333333339E-4</v>
      </c>
      <c r="Q42" s="30">
        <v>80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453100</v>
      </c>
      <c r="B43" s="86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190</v>
      </c>
      <c r="P43" s="46">
        <f t="shared" si="5"/>
        <v>1.217948717948718E-2</v>
      </c>
      <c r="Q43" s="30">
        <v>80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453100</v>
      </c>
      <c r="B44" s="86">
        <v>397</v>
      </c>
      <c r="C44" s="7" t="str">
        <f t="shared" si="3"/>
        <v>Premium5</v>
      </c>
      <c r="D44" s="7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v>190</v>
      </c>
      <c r="P44" s="46">
        <f t="shared" si="5"/>
        <v>1.217948717948718E-2</v>
      </c>
      <c r="Q44" s="30"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453100</v>
      </c>
      <c r="B45" s="86">
        <v>399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v>13</v>
      </c>
      <c r="P45" s="46">
        <f t="shared" si="5"/>
        <v>8.3333333333333339E-4</v>
      </c>
      <c r="Q45" s="30">
        <v>80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453100</v>
      </c>
      <c r="B46" s="86">
        <v>402</v>
      </c>
      <c r="C46" s="7" t="str">
        <f t="shared" si="3"/>
        <v>Premium5</v>
      </c>
      <c r="D46" s="7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190</v>
      </c>
      <c r="P46" s="46">
        <f t="shared" si="5"/>
        <v>1.217948717948718E-2</v>
      </c>
      <c r="Q46" s="30">
        <v>80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453100</v>
      </c>
      <c r="B47" s="86">
        <v>404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13</v>
      </c>
      <c r="P47" s="46">
        <f t="shared" si="5"/>
        <v>8.3333333333333339E-4</v>
      </c>
      <c r="Q47" s="30"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453100</v>
      </c>
      <c r="B48" s="86">
        <v>407</v>
      </c>
      <c r="C48" s="7" t="str">
        <f t="shared" si="3"/>
        <v>Premium5</v>
      </c>
      <c r="D48" s="7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v>190</v>
      </c>
      <c r="P48" s="46">
        <f t="shared" si="5"/>
        <v>1.217948717948718E-2</v>
      </c>
      <c r="Q48" s="30">
        <v>80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453100</v>
      </c>
      <c r="B49" s="86">
        <v>409</v>
      </c>
      <c r="C49" s="7" t="str">
        <f t="shared" si="3"/>
        <v>PremiumSS5</v>
      </c>
      <c r="D49" s="7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</v>
      </c>
      <c r="P49" s="46">
        <f t="shared" si="5"/>
        <v>8.3333333333333339E-4</v>
      </c>
      <c r="Q49" s="30">
        <v>80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453100</v>
      </c>
      <c r="B50" s="86">
        <v>435</v>
      </c>
      <c r="C50" s="7" t="str">
        <f t="shared" si="3"/>
        <v>PremiumSS5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v>13</v>
      </c>
      <c r="P50" s="46">
        <f t="shared" si="5"/>
        <v>8.3333333333333339E-4</v>
      </c>
      <c r="Q50" s="30"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453100</v>
      </c>
      <c r="B51" s="86">
        <v>438</v>
      </c>
      <c r="C51" s="7" t="str">
        <f t="shared" si="3"/>
        <v>Premium5</v>
      </c>
      <c r="D51" s="7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190</v>
      </c>
      <c r="P51" s="46">
        <f t="shared" si="5"/>
        <v>1.217948717948718E-2</v>
      </c>
      <c r="Q51" s="30">
        <v>80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453100</v>
      </c>
      <c r="B52" s="86">
        <v>441</v>
      </c>
      <c r="C52" s="7" t="str">
        <f t="shared" si="3"/>
        <v>Premium5</v>
      </c>
      <c r="D52" s="7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v>190</v>
      </c>
      <c r="P52" s="46">
        <f t="shared" si="5"/>
        <v>1.217948717948718E-2</v>
      </c>
      <c r="Q52" s="30">
        <v>80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453100</v>
      </c>
      <c r="B53" s="86">
        <v>443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v>13</v>
      </c>
      <c r="P53" s="46">
        <f t="shared" si="5"/>
        <v>8.3333333333333339E-4</v>
      </c>
      <c r="Q53" s="30"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453100</v>
      </c>
      <c r="B54" s="86">
        <v>464</v>
      </c>
      <c r="C54" s="7" t="str">
        <f t="shared" si="3"/>
        <v>Premium5</v>
      </c>
      <c r="D54" s="7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190</v>
      </c>
      <c r="P54" s="46">
        <f t="shared" si="5"/>
        <v>1.217948717948718E-2</v>
      </c>
      <c r="Q54" s="30">
        <v>80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453100</v>
      </c>
      <c r="B55" s="86">
        <v>466</v>
      </c>
      <c r="C55" s="7" t="str">
        <f t="shared" si="3"/>
        <v>PremiumSS5</v>
      </c>
      <c r="D55" s="7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13</v>
      </c>
      <c r="P55" s="46">
        <f t="shared" si="5"/>
        <v>8.3333333333333339E-4</v>
      </c>
      <c r="Q55" s="30">
        <v>80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453100</v>
      </c>
      <c r="B56" s="86">
        <v>468</v>
      </c>
      <c r="C56" s="7" t="str">
        <f t="shared" si="3"/>
        <v>PremiumSS5</v>
      </c>
      <c r="D56" s="7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v>13</v>
      </c>
      <c r="P56" s="46">
        <f t="shared" si="5"/>
        <v>8.3333333333333339E-4</v>
      </c>
      <c r="Q56" s="30"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453100</v>
      </c>
      <c r="B57" s="86">
        <v>471</v>
      </c>
      <c r="C57" s="7" t="str">
        <f t="shared" si="3"/>
        <v>Premium5</v>
      </c>
      <c r="D57" s="7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190</v>
      </c>
      <c r="P57" s="46">
        <f t="shared" si="5"/>
        <v>1.217948717948718E-2</v>
      </c>
      <c r="Q57" s="30">
        <v>80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453100</v>
      </c>
      <c r="B58" s="86">
        <v>475</v>
      </c>
      <c r="C58" s="7" t="str">
        <f t="shared" si="3"/>
        <v>PremiumSS5</v>
      </c>
      <c r="D58" s="7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v>13</v>
      </c>
      <c r="P58" s="46">
        <f t="shared" si="5"/>
        <v>8.3333333333333339E-4</v>
      </c>
      <c r="Q58" s="30">
        <v>80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453100</v>
      </c>
      <c r="B59" s="86">
        <v>478</v>
      </c>
      <c r="C59" s="7" t="str">
        <f t="shared" si="3"/>
        <v>Premium5</v>
      </c>
      <c r="D59" s="7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v>190</v>
      </c>
      <c r="P59" s="46">
        <f t="shared" si="5"/>
        <v>1.217948717948718E-2</v>
      </c>
      <c r="Q59" s="30"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453100</v>
      </c>
      <c r="B60" s="86">
        <v>480</v>
      </c>
      <c r="C60" s="7" t="str">
        <f t="shared" si="3"/>
        <v>PremiumSS5</v>
      </c>
      <c r="D60" s="7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v>13</v>
      </c>
      <c r="P60" s="46">
        <f t="shared" si="5"/>
        <v>8.3333333333333339E-4</v>
      </c>
      <c r="Q60" s="30">
        <v>80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453100</v>
      </c>
      <c r="B61" s="86">
        <v>483</v>
      </c>
      <c r="C61" s="7" t="str">
        <f t="shared" si="3"/>
        <v>Premium5</v>
      </c>
      <c r="D61" s="7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190</v>
      </c>
      <c r="P61" s="46">
        <f t="shared" si="5"/>
        <v>1.217948717948718E-2</v>
      </c>
      <c r="Q61" s="30">
        <v>80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453100</v>
      </c>
      <c r="B62" s="86">
        <v>493</v>
      </c>
      <c r="C62" s="7" t="str">
        <f t="shared" si="3"/>
        <v>PremiumSS5</v>
      </c>
      <c r="D62" s="7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v>13</v>
      </c>
      <c r="P62" s="46">
        <f t="shared" si="5"/>
        <v>8.3333333333333339E-4</v>
      </c>
      <c r="Q62" s="30"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453100</v>
      </c>
      <c r="B63" s="86">
        <v>495</v>
      </c>
      <c r="C63" s="7" t="str">
        <f t="shared" si="3"/>
        <v>PremiumSS5</v>
      </c>
      <c r="D63" s="7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13</v>
      </c>
      <c r="P63" s="46">
        <f t="shared" si="5"/>
        <v>8.3333333333333339E-4</v>
      </c>
      <c r="Q63" s="30">
        <v>80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453100</v>
      </c>
      <c r="B64" s="86">
        <v>498</v>
      </c>
      <c r="C64" s="7" t="str">
        <f t="shared" si="3"/>
        <v>Premium5</v>
      </c>
      <c r="D64" s="7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190</v>
      </c>
      <c r="P64" s="46">
        <f t="shared" si="5"/>
        <v>1.217948717948718E-2</v>
      </c>
      <c r="Q64" s="30">
        <v>80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453100</v>
      </c>
      <c r="B65" s="86">
        <v>500</v>
      </c>
      <c r="C65" s="7" t="str">
        <f t="shared" si="3"/>
        <v>PremiumSS5</v>
      </c>
      <c r="D65" s="7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v>13</v>
      </c>
      <c r="P65" s="46">
        <f t="shared" si="5"/>
        <v>8.3333333333333339E-4</v>
      </c>
      <c r="Q65" s="30"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453100</v>
      </c>
      <c r="B66" s="86">
        <v>560</v>
      </c>
      <c r="C66" s="7" t="str">
        <f t="shared" si="3"/>
        <v>PremiumW5R3less</v>
      </c>
      <c r="D66" s="7" t="str">
        <f t="shared" si="4"/>
        <v>PremiumW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v>190</v>
      </c>
      <c r="P66" s="46">
        <f t="shared" ref="P66:P97" si="6">O66/SUM(O:O)</f>
        <v>1.217948717948718E-2</v>
      </c>
      <c r="Q66" s="30">
        <v>80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453100</v>
      </c>
      <c r="B67" s="86">
        <v>561</v>
      </c>
      <c r="C67" s="7" t="str">
        <f t="shared" si="3"/>
        <v>PremiumW5R3less</v>
      </c>
      <c r="D67" s="7" t="str">
        <f t="shared" si="4"/>
        <v>PremiumW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v>190</v>
      </c>
      <c r="P67" s="46">
        <f t="shared" si="6"/>
        <v>1.217948717948718E-2</v>
      </c>
      <c r="Q67" s="30">
        <v>80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453100</v>
      </c>
      <c r="B68" s="86">
        <v>562</v>
      </c>
      <c r="C68" s="7" t="str">
        <f t="shared" si="3"/>
        <v>PremiumW5R3less</v>
      </c>
      <c r="D68" s="7" t="str">
        <f t="shared" si="4"/>
        <v>PremiumW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v>190</v>
      </c>
      <c r="P68" s="46">
        <f t="shared" si="6"/>
        <v>1.217948717948718E-2</v>
      </c>
      <c r="Q68" s="30"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453100</v>
      </c>
      <c r="B69" s="86">
        <v>563</v>
      </c>
      <c r="C69" s="7" t="str">
        <f t="shared" ref="C69:C132" si="7">D69&amp;J69&amp;E69&amp;F69&amp;G69</f>
        <v>PremiumW5R3less</v>
      </c>
      <c r="D69" s="7" t="str">
        <f t="shared" ref="D69:D132" si="8">IF(OR(I69="PremiumSS",I69="PremiumSSw"),"PremiumSS",IF(I69="PremiumSSS",I69,IF(I69="PremiumW",I69,"Premium")))</f>
        <v>PremiumW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v>190</v>
      </c>
      <c r="P69" s="46">
        <f t="shared" si="6"/>
        <v>1.217948717948718E-2</v>
      </c>
      <c r="Q69" s="30">
        <v>80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453100</v>
      </c>
      <c r="B70" s="86">
        <v>566</v>
      </c>
      <c r="C70" s="7" t="str">
        <f t="shared" si="7"/>
        <v>PremiumW5R3less</v>
      </c>
      <c r="D70" s="7" t="str">
        <f t="shared" si="8"/>
        <v>PremiumW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190</v>
      </c>
      <c r="P70" s="46">
        <f t="shared" si="6"/>
        <v>1.217948717948718E-2</v>
      </c>
      <c r="Q70" s="30">
        <v>80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453100</v>
      </c>
      <c r="B71" s="86">
        <v>567</v>
      </c>
      <c r="C71" s="7" t="str">
        <f t="shared" si="7"/>
        <v>PremiumW5R3less</v>
      </c>
      <c r="D71" s="7" t="str">
        <f t="shared" si="8"/>
        <v>PremiumW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190</v>
      </c>
      <c r="P71" s="46">
        <f t="shared" si="6"/>
        <v>1.217948717948718E-2</v>
      </c>
      <c r="Q71" s="30"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453100</v>
      </c>
      <c r="B72" s="86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v>13</v>
      </c>
      <c r="P72" s="46">
        <f t="shared" si="6"/>
        <v>8.3333333333333339E-4</v>
      </c>
      <c r="Q72" s="30">
        <v>80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453100</v>
      </c>
      <c r="B73" s="86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v>190</v>
      </c>
      <c r="P73" s="46">
        <f t="shared" si="6"/>
        <v>1.217948717948718E-2</v>
      </c>
      <c r="Q73" s="30">
        <v>80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453100</v>
      </c>
      <c r="B74" s="86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v>190</v>
      </c>
      <c r="P74" s="46">
        <f t="shared" si="6"/>
        <v>1.217948717948718E-2</v>
      </c>
      <c r="Q74" s="30"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453100</v>
      </c>
      <c r="B75" s="86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v>13</v>
      </c>
      <c r="P75" s="46">
        <f t="shared" si="6"/>
        <v>8.3333333333333339E-4</v>
      </c>
      <c r="Q75" s="30">
        <v>80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453100</v>
      </c>
      <c r="B76" s="86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v>190</v>
      </c>
      <c r="P76" s="46">
        <f t="shared" si="6"/>
        <v>1.217948717948718E-2</v>
      </c>
      <c r="Q76" s="30">
        <v>80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453100</v>
      </c>
      <c r="B77" s="86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v>190</v>
      </c>
      <c r="P77" s="46">
        <f t="shared" si="6"/>
        <v>1.217948717948718E-2</v>
      </c>
      <c r="Q77" s="30"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453100</v>
      </c>
      <c r="B78" s="86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v>13</v>
      </c>
      <c r="P78" s="46">
        <f t="shared" si="6"/>
        <v>8.3333333333333339E-4</v>
      </c>
      <c r="Q78" s="30">
        <v>80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453100</v>
      </c>
      <c r="B79" s="86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v>190</v>
      </c>
      <c r="P79" s="46">
        <f t="shared" si="6"/>
        <v>1.217948717948718E-2</v>
      </c>
      <c r="Q79" s="30">
        <v>80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453100</v>
      </c>
      <c r="B80" s="86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v>13</v>
      </c>
      <c r="P80" s="46">
        <f t="shared" si="6"/>
        <v>8.3333333333333339E-4</v>
      </c>
      <c r="Q80" s="30"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453100</v>
      </c>
      <c r="B81" s="86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v>13</v>
      </c>
      <c r="P81" s="46">
        <f t="shared" si="6"/>
        <v>8.3333333333333339E-4</v>
      </c>
      <c r="Q81" s="30">
        <v>80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453100</v>
      </c>
      <c r="B82" s="86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v>190</v>
      </c>
      <c r="P82" s="46">
        <f t="shared" si="6"/>
        <v>1.217948717948718E-2</v>
      </c>
      <c r="Q82" s="30">
        <v>80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453100</v>
      </c>
      <c r="B83" s="86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v>190</v>
      </c>
      <c r="P83" s="46">
        <f t="shared" si="6"/>
        <v>1.217948717948718E-2</v>
      </c>
      <c r="Q83" s="30"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453100</v>
      </c>
      <c r="B84" s="86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v>190</v>
      </c>
      <c r="P84" s="46">
        <f t="shared" si="6"/>
        <v>1.217948717948718E-2</v>
      </c>
      <c r="Q84" s="30">
        <v>80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453100</v>
      </c>
      <c r="B85" s="86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v>190</v>
      </c>
      <c r="P85" s="46">
        <f t="shared" si="6"/>
        <v>1.217948717948718E-2</v>
      </c>
      <c r="Q85" s="30">
        <v>80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453100</v>
      </c>
      <c r="B86" s="86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v>13</v>
      </c>
      <c r="P86" s="46">
        <f t="shared" si="6"/>
        <v>8.3333333333333339E-4</v>
      </c>
      <c r="Q86" s="30"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453100</v>
      </c>
      <c r="B87" s="86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v>13</v>
      </c>
      <c r="P87" s="46">
        <f t="shared" si="6"/>
        <v>8.3333333333333339E-4</v>
      </c>
      <c r="Q87" s="30">
        <v>80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453100</v>
      </c>
      <c r="B88" s="86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v>190</v>
      </c>
      <c r="P88" s="46">
        <f t="shared" si="6"/>
        <v>1.217948717948718E-2</v>
      </c>
      <c r="Q88" s="30">
        <v>80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453100</v>
      </c>
      <c r="B89" s="86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v>190</v>
      </c>
      <c r="P89" s="46">
        <f t="shared" si="6"/>
        <v>1.217948717948718E-2</v>
      </c>
      <c r="Q89" s="30"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453100</v>
      </c>
      <c r="B90" s="86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v>13</v>
      </c>
      <c r="P90" s="46">
        <f t="shared" si="6"/>
        <v>8.3333333333333339E-4</v>
      </c>
      <c r="Q90" s="30">
        <v>80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v>453100</v>
      </c>
      <c r="B91" s="86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v>13</v>
      </c>
      <c r="P91" s="46">
        <f t="shared" si="6"/>
        <v>8.3333333333333339E-4</v>
      </c>
      <c r="Q91" s="30">
        <v>80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v>453100</v>
      </c>
      <c r="B92" s="86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v>13</v>
      </c>
      <c r="P92" s="46">
        <f t="shared" si="6"/>
        <v>8.3333333333333339E-4</v>
      </c>
      <c r="Q92" s="30"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v>453100</v>
      </c>
      <c r="B93" s="86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v>13</v>
      </c>
      <c r="P93" s="46">
        <f t="shared" si="6"/>
        <v>8.3333333333333339E-4</v>
      </c>
      <c r="Q93" s="30">
        <v>80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v>453100</v>
      </c>
      <c r="B94" s="86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v>190</v>
      </c>
      <c r="P94" s="46">
        <f t="shared" si="6"/>
        <v>1.217948717948718E-2</v>
      </c>
      <c r="Q94" s="30">
        <v>80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v>453100</v>
      </c>
      <c r="B95" s="86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v>190</v>
      </c>
      <c r="P95" s="46">
        <f t="shared" si="6"/>
        <v>1.217948717948718E-2</v>
      </c>
      <c r="Q95" s="30"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v>453100</v>
      </c>
      <c r="B96" s="86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v>13</v>
      </c>
      <c r="P96" s="46">
        <f t="shared" si="6"/>
        <v>8.3333333333333339E-4</v>
      </c>
      <c r="Q96" s="30">
        <v>80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v>453100</v>
      </c>
      <c r="B97" s="86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v>13</v>
      </c>
      <c r="P97" s="46">
        <f t="shared" si="6"/>
        <v>8.3333333333333339E-4</v>
      </c>
      <c r="Q97" s="30">
        <v>80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v>453100</v>
      </c>
      <c r="B98" s="86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v>190</v>
      </c>
      <c r="P98" s="46">
        <f t="shared" ref="P98:P129" si="9">O98/SUM(O:O)</f>
        <v>1.217948717948718E-2</v>
      </c>
      <c r="Q98" s="30"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v>453100</v>
      </c>
      <c r="B99" s="86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v>190</v>
      </c>
      <c r="P99" s="46">
        <f t="shared" si="9"/>
        <v>1.217948717948718E-2</v>
      </c>
      <c r="Q99" s="30">
        <v>80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v>453100</v>
      </c>
      <c r="B100" s="86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v>13</v>
      </c>
      <c r="P100" s="46">
        <f t="shared" si="9"/>
        <v>8.3333333333333339E-4</v>
      </c>
      <c r="Q100" s="30">
        <v>80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v>453100</v>
      </c>
      <c r="B101" s="86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v>13</v>
      </c>
      <c r="P101" s="46">
        <f t="shared" si="9"/>
        <v>8.3333333333333339E-4</v>
      </c>
      <c r="Q101" s="30"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v>453100</v>
      </c>
      <c r="B102" s="86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v>190</v>
      </c>
      <c r="P102" s="46">
        <f t="shared" si="9"/>
        <v>1.217948717948718E-2</v>
      </c>
      <c r="Q102" s="30">
        <v>80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v>453100</v>
      </c>
      <c r="B103" s="86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v>190</v>
      </c>
      <c r="P103" s="46">
        <f t="shared" si="9"/>
        <v>1.217948717948718E-2</v>
      </c>
      <c r="Q103" s="30">
        <v>80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v>453100</v>
      </c>
      <c r="B104" s="86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v>190</v>
      </c>
      <c r="P104" s="46">
        <f t="shared" si="9"/>
        <v>1.217948717948718E-2</v>
      </c>
      <c r="Q104" s="30"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v>453100</v>
      </c>
      <c r="B105" s="86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v>190</v>
      </c>
      <c r="P105" s="46">
        <f t="shared" si="9"/>
        <v>1.217948717948718E-2</v>
      </c>
      <c r="Q105" s="30">
        <v>80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v>453100</v>
      </c>
      <c r="B106" s="86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v>13</v>
      </c>
      <c r="P106" s="46">
        <f t="shared" si="9"/>
        <v>8.3333333333333339E-4</v>
      </c>
      <c r="Q106" s="30">
        <v>80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v>453100</v>
      </c>
      <c r="B107" s="86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v>13</v>
      </c>
      <c r="P107" s="46">
        <f t="shared" si="9"/>
        <v>8.3333333333333339E-4</v>
      </c>
      <c r="Q107" s="30"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v>453100</v>
      </c>
      <c r="B108" s="86">
        <v>937</v>
      </c>
      <c r="C108" s="7" t="str">
        <f t="shared" si="7"/>
        <v>PremiumSS5R5only</v>
      </c>
      <c r="D108" s="7" t="str">
        <f t="shared" si="8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v>13</v>
      </c>
      <c r="P108" s="46">
        <f t="shared" si="9"/>
        <v>8.3333333333333339E-4</v>
      </c>
      <c r="Q108" s="30">
        <v>80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v>453100</v>
      </c>
      <c r="B109" s="86">
        <v>940</v>
      </c>
      <c r="C109" s="7" t="str">
        <f t="shared" si="7"/>
        <v>Premium5R3less</v>
      </c>
      <c r="D109" s="7" t="str">
        <f t="shared" si="8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v>190</v>
      </c>
      <c r="P109" s="46">
        <f t="shared" si="9"/>
        <v>1.217948717948718E-2</v>
      </c>
      <c r="Q109" s="30">
        <v>80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v>453100</v>
      </c>
      <c r="B110" s="86">
        <v>941</v>
      </c>
      <c r="C110" s="7" t="str">
        <f t="shared" si="7"/>
        <v>PremiumSS5R5only</v>
      </c>
      <c r="D110" s="7" t="str">
        <f t="shared" si="8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v>13</v>
      </c>
      <c r="P110" s="46">
        <f t="shared" si="9"/>
        <v>8.3333333333333339E-4</v>
      </c>
      <c r="Q110" s="30"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v>453100</v>
      </c>
      <c r="B111" s="86">
        <v>943</v>
      </c>
      <c r="C111" s="7" t="str">
        <f t="shared" si="7"/>
        <v>PremiumSS5R5only</v>
      </c>
      <c r="D111" s="7" t="str">
        <f t="shared" si="8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v>13</v>
      </c>
      <c r="P111" s="46">
        <f t="shared" si="9"/>
        <v>8.3333333333333339E-4</v>
      </c>
      <c r="Q111" s="30">
        <v>80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v>453100</v>
      </c>
      <c r="B112" s="86">
        <v>1012</v>
      </c>
      <c r="C112" s="7" t="str">
        <f t="shared" si="7"/>
        <v>PremiumSS5R5only</v>
      </c>
      <c r="D112" s="7" t="str">
        <f t="shared" si="8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v>13</v>
      </c>
      <c r="P112" s="46">
        <f t="shared" si="9"/>
        <v>8.3333333333333339E-4</v>
      </c>
      <c r="Q112" s="30">
        <v>80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v>453100</v>
      </c>
      <c r="B113" s="86">
        <v>1014</v>
      </c>
      <c r="C113" s="7" t="str">
        <f t="shared" si="7"/>
        <v>PremiumSS5R5only</v>
      </c>
      <c r="D113" s="7" t="str">
        <f t="shared" si="8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v>13</v>
      </c>
      <c r="P113" s="46">
        <f t="shared" si="9"/>
        <v>8.3333333333333339E-4</v>
      </c>
      <c r="Q113" s="30"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v>453100</v>
      </c>
      <c r="B114" s="86">
        <v>1017</v>
      </c>
      <c r="C114" s="7" t="str">
        <f t="shared" si="7"/>
        <v>Premium5R3less</v>
      </c>
      <c r="D114" s="7" t="str">
        <f t="shared" si="8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v>190</v>
      </c>
      <c r="P114" s="46">
        <f t="shared" si="9"/>
        <v>1.217948717948718E-2</v>
      </c>
      <c r="Q114" s="30">
        <v>80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v>453100</v>
      </c>
      <c r="B115" s="86">
        <v>1018</v>
      </c>
      <c r="C115" s="7" t="str">
        <f t="shared" si="7"/>
        <v>PremiumSS5R5only</v>
      </c>
      <c r="D115" s="7" t="str">
        <f t="shared" si="8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v>13</v>
      </c>
      <c r="P115" s="46">
        <f t="shared" si="9"/>
        <v>8.3333333333333339E-4</v>
      </c>
      <c r="Q115" s="30">
        <v>80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v>453100</v>
      </c>
      <c r="B116" s="86">
        <v>1027</v>
      </c>
      <c r="C116" s="7" t="str">
        <f t="shared" si="7"/>
        <v>Premium5R3less</v>
      </c>
      <c r="D116" s="7" t="str">
        <f t="shared" si="8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v>190</v>
      </c>
      <c r="P116" s="46">
        <f t="shared" si="9"/>
        <v>1.217948717948718E-2</v>
      </c>
      <c r="Q116" s="30"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v>453100</v>
      </c>
      <c r="B117" s="86">
        <v>1028</v>
      </c>
      <c r="C117" s="7" t="str">
        <f t="shared" si="7"/>
        <v>PremiumSS5R5only</v>
      </c>
      <c r="D117" s="7" t="str">
        <f t="shared" si="8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v>13</v>
      </c>
      <c r="P117" s="46">
        <f t="shared" si="9"/>
        <v>8.3333333333333339E-4</v>
      </c>
      <c r="Q117" s="30">
        <v>80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v>453100</v>
      </c>
      <c r="B118" s="86">
        <v>1031</v>
      </c>
      <c r="C118" s="7" t="str">
        <f t="shared" si="7"/>
        <v>PremiumSS5R5only</v>
      </c>
      <c r="D118" s="7" t="str">
        <f t="shared" si="8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v>13</v>
      </c>
      <c r="P118" s="46">
        <f t="shared" si="9"/>
        <v>8.3333333333333339E-4</v>
      </c>
      <c r="Q118" s="30">
        <v>80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v>453100</v>
      </c>
      <c r="B119" s="86">
        <v>1033</v>
      </c>
      <c r="C119" s="7" t="str">
        <f t="shared" si="7"/>
        <v>PremiumSS5R5only</v>
      </c>
      <c r="D119" s="7" t="str">
        <f t="shared" si="8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v>13</v>
      </c>
      <c r="P119" s="46">
        <f t="shared" si="9"/>
        <v>8.3333333333333339E-4</v>
      </c>
      <c r="Q119" s="30"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v>453100</v>
      </c>
      <c r="B120" s="86">
        <v>1068</v>
      </c>
      <c r="C120" s="7" t="str">
        <f t="shared" si="7"/>
        <v>Premium5R3less</v>
      </c>
      <c r="D120" s="7" t="str">
        <f t="shared" si="8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v>190</v>
      </c>
      <c r="P120" s="46">
        <f t="shared" si="9"/>
        <v>1.217948717948718E-2</v>
      </c>
      <c r="Q120" s="30">
        <v>80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v>453100</v>
      </c>
      <c r="B121" s="86">
        <v>1069</v>
      </c>
      <c r="C121" s="7" t="str">
        <f t="shared" si="7"/>
        <v>PremiumSS5R5only</v>
      </c>
      <c r="D121" s="7" t="str">
        <f t="shared" si="8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v>13</v>
      </c>
      <c r="P121" s="46">
        <f t="shared" si="9"/>
        <v>8.3333333333333339E-4</v>
      </c>
      <c r="Q121" s="30">
        <v>80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v>453100</v>
      </c>
      <c r="B122" s="86">
        <v>1072</v>
      </c>
      <c r="C122" s="7" t="str">
        <f t="shared" si="7"/>
        <v>PremiumSS5R5only</v>
      </c>
      <c r="D122" s="7" t="str">
        <f t="shared" si="8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v>13</v>
      </c>
      <c r="P122" s="46">
        <f t="shared" si="9"/>
        <v>8.3333333333333339E-4</v>
      </c>
      <c r="Q122" s="30"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v>453100</v>
      </c>
      <c r="B123" s="86">
        <v>1074</v>
      </c>
      <c r="C123" s="7" t="str">
        <f t="shared" si="7"/>
        <v>PremiumSS5R5only</v>
      </c>
      <c r="D123" s="7" t="str">
        <f t="shared" si="8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v>13</v>
      </c>
      <c r="P123" s="46">
        <f t="shared" si="9"/>
        <v>8.3333333333333339E-4</v>
      </c>
      <c r="Q123" s="30">
        <v>80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v>453100</v>
      </c>
      <c r="B124" s="86">
        <v>1100</v>
      </c>
      <c r="C124" s="7" t="str">
        <f t="shared" si="7"/>
        <v>PremiumSS5R5only</v>
      </c>
      <c r="D124" s="7" t="str">
        <f t="shared" si="8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v>13</v>
      </c>
      <c r="P124" s="46">
        <f t="shared" si="9"/>
        <v>8.3333333333333339E-4</v>
      </c>
      <c r="Q124" s="30">
        <v>80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v>453100</v>
      </c>
      <c r="B125" s="86">
        <v>1102</v>
      </c>
      <c r="C125" s="7" t="str">
        <f t="shared" si="7"/>
        <v>PremiumSS5R5only</v>
      </c>
      <c r="D125" s="7" t="str">
        <f t="shared" si="8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v>13</v>
      </c>
      <c r="P125" s="46">
        <f t="shared" si="9"/>
        <v>8.3333333333333339E-4</v>
      </c>
      <c r="Q125" s="30"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v>453100</v>
      </c>
      <c r="B126" s="86">
        <v>1105</v>
      </c>
      <c r="C126" s="7" t="str">
        <f t="shared" si="7"/>
        <v>Premium5R3less</v>
      </c>
      <c r="D126" s="7" t="str">
        <f t="shared" si="8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v>190</v>
      </c>
      <c r="P126" s="46">
        <f t="shared" si="9"/>
        <v>1.217948717948718E-2</v>
      </c>
      <c r="Q126" s="30">
        <v>80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v>453100</v>
      </c>
      <c r="B127" s="86">
        <v>1106</v>
      </c>
      <c r="C127" s="7" t="str">
        <f t="shared" si="7"/>
        <v>PremiumSS5R5only</v>
      </c>
      <c r="D127" s="7" t="str">
        <f t="shared" si="8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v>13</v>
      </c>
      <c r="P127" s="46">
        <f t="shared" si="9"/>
        <v>8.3333333333333339E-4</v>
      </c>
      <c r="Q127" s="30">
        <v>80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v>453100</v>
      </c>
      <c r="B128" s="86">
        <v>1137</v>
      </c>
      <c r="C128" s="7" t="str">
        <f t="shared" si="7"/>
        <v>PremiumSS5R5only</v>
      </c>
      <c r="D128" s="7" t="str">
        <f t="shared" si="8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v>13</v>
      </c>
      <c r="P128" s="46">
        <f t="shared" si="9"/>
        <v>8.3333333333333339E-4</v>
      </c>
      <c r="Q128" s="30"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v>453100</v>
      </c>
      <c r="B129" s="86">
        <v>1139</v>
      </c>
      <c r="C129" s="7" t="str">
        <f t="shared" si="7"/>
        <v>PremiumSS5R5only</v>
      </c>
      <c r="D129" s="7" t="str">
        <f t="shared" si="8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v>13</v>
      </c>
      <c r="P129" s="46">
        <f t="shared" si="9"/>
        <v>8.3333333333333339E-4</v>
      </c>
      <c r="Q129" s="30">
        <v>80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v>453100</v>
      </c>
      <c r="B130" s="86">
        <v>1141</v>
      </c>
      <c r="C130" s="7" t="str">
        <f t="shared" si="7"/>
        <v>PremiumSS5R5only</v>
      </c>
      <c r="D130" s="7" t="str">
        <f t="shared" si="8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v>13</v>
      </c>
      <c r="P130" s="46">
        <f t="shared" ref="P130:P161" si="10">O130/SUM(O:O)</f>
        <v>8.3333333333333339E-4</v>
      </c>
      <c r="Q130" s="30">
        <v>80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v>453100</v>
      </c>
      <c r="B131" s="86">
        <v>1144</v>
      </c>
      <c r="C131" s="7" t="str">
        <f t="shared" si="7"/>
        <v>Premium5R3less</v>
      </c>
      <c r="D131" s="7" t="str">
        <f t="shared" si="8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v>190</v>
      </c>
      <c r="P131" s="46">
        <f t="shared" si="10"/>
        <v>1.217948717948718E-2</v>
      </c>
      <c r="Q131" s="30"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v>453100</v>
      </c>
      <c r="B132" s="86">
        <v>1152</v>
      </c>
      <c r="C132" s="7" t="str">
        <f t="shared" si="7"/>
        <v>Premium5R3less</v>
      </c>
      <c r="D132" s="7" t="str">
        <f t="shared" si="8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v>190</v>
      </c>
      <c r="P132" s="46">
        <f t="shared" si="10"/>
        <v>1.217948717948718E-2</v>
      </c>
      <c r="Q132" s="30">
        <v>80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v>453100</v>
      </c>
      <c r="B133" s="86">
        <v>1153</v>
      </c>
      <c r="C133" s="7" t="str">
        <f t="shared" ref="C133:C139" si="11">D133&amp;J133&amp;E133&amp;F133&amp;G133</f>
        <v>PremiumSS5R5only</v>
      </c>
      <c r="D133" s="7" t="str">
        <f t="shared" ref="D133:D139" si="12">IF(OR(I133="PremiumSS",I133="PremiumSSw"),"PremiumSS",IF(I133="PremiumSSS",I133,IF(I133="PremiumW",I133,"Premium")))</f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v>13</v>
      </c>
      <c r="P133" s="46">
        <f t="shared" si="10"/>
        <v>8.3333333333333339E-4</v>
      </c>
      <c r="Q133" s="30">
        <v>80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v>453100</v>
      </c>
      <c r="B134" s="1">
        <v>1155</v>
      </c>
      <c r="C134" s="7" t="str">
        <f t="shared" si="11"/>
        <v>PremiumSS5R5only</v>
      </c>
      <c r="D134" s="7" t="str">
        <f t="shared" si="12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v>13</v>
      </c>
      <c r="P134" s="46">
        <f t="shared" si="10"/>
        <v>8.3333333333333339E-4</v>
      </c>
      <c r="Q134" s="30"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v>453100</v>
      </c>
      <c r="B135" s="1">
        <v>1157</v>
      </c>
      <c r="C135" s="7" t="str">
        <f t="shared" si="11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v>13</v>
      </c>
      <c r="P135" s="46">
        <f t="shared" si="10"/>
        <v>8.3333333333333339E-4</v>
      </c>
      <c r="Q135" s="30">
        <v>80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v>453100</v>
      </c>
      <c r="B136" s="1">
        <v>1214</v>
      </c>
      <c r="C136" s="7" t="str">
        <f t="shared" si="11"/>
        <v>PremiumSS5R5only</v>
      </c>
      <c r="D136" s="7" t="str">
        <f t="shared" si="12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v>13</v>
      </c>
      <c r="P136" s="46">
        <f t="shared" si="10"/>
        <v>8.3333333333333339E-4</v>
      </c>
      <c r="Q136" s="30">
        <v>80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v>453100</v>
      </c>
      <c r="B137" s="1">
        <v>1212</v>
      </c>
      <c r="C137" s="7" t="str">
        <f t="shared" si="11"/>
        <v>PremiumSS5R5only</v>
      </c>
      <c r="D137" s="7" t="str">
        <f t="shared" si="12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v>13</v>
      </c>
      <c r="P137" s="46">
        <f t="shared" si="10"/>
        <v>8.3333333333333339E-4</v>
      </c>
      <c r="Q137" s="30"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v>453100</v>
      </c>
      <c r="B138" s="1">
        <v>1208</v>
      </c>
      <c r="C138" s="7" t="str">
        <f t="shared" si="11"/>
        <v>PremiumSS5R5only</v>
      </c>
      <c r="D138" s="7" t="str">
        <f t="shared" si="12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v>13</v>
      </c>
      <c r="P138" s="46">
        <f t="shared" si="10"/>
        <v>8.3333333333333339E-4</v>
      </c>
      <c r="Q138" s="30">
        <v>80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v>453100</v>
      </c>
      <c r="B139" s="1">
        <v>1211</v>
      </c>
      <c r="C139" s="7" t="str">
        <f t="shared" si="11"/>
        <v>Premium5R3less</v>
      </c>
      <c r="D139" s="7" t="str">
        <f t="shared" si="12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v>190</v>
      </c>
      <c r="P139" s="46">
        <f t="shared" si="10"/>
        <v>1.217948717948718E-2</v>
      </c>
      <c r="Q139" s="30"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E140" s="1">
        <v>78</v>
      </c>
      <c r="F140" s="1">
        <f>E142*0.95/E140</f>
        <v>190</v>
      </c>
    </row>
    <row r="141" spans="1:22" ht="21" customHeight="1" x14ac:dyDescent="0.15">
      <c r="E141" s="1">
        <f>COUNTIF(D:D,"PremiumSS")</f>
        <v>60</v>
      </c>
      <c r="F141" s="1">
        <f>E142*0.05/E141</f>
        <v>13</v>
      </c>
    </row>
    <row r="142" spans="1:22" ht="21" customHeight="1" x14ac:dyDescent="0.15">
      <c r="E142" s="1">
        <f>E140*E141*95*5*2/285</f>
        <v>15600</v>
      </c>
      <c r="F142" s="1">
        <f>GCD(F140,F141)</f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input_453010</vt:lpstr>
      <vt:lpstr>tables_453010</vt:lpstr>
      <vt:lpstr>input_453100</vt:lpstr>
      <vt:lpstr>tables_453100</vt:lpstr>
      <vt:lpstr>tables_settle_453100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2016-11-10T08:19:41Z</dcterms:modified>
</cp:coreProperties>
</file>