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560" yWindow="560" windowWidth="25040" windowHeight="15500" tabRatio="943" activeTab="3"/>
  </bookViews>
  <sheets>
    <sheet name="output" sheetId="103" r:id="rId1"/>
    <sheet name="gacha_149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gacha_149_base!$A$35:$B$61</definedName>
    <definedName name="_xlnm._FilterDatabase" localSheetId="4" hidden="1">gacha_bonus_tables!$B$1:$G$2</definedName>
    <definedName name="_xlnm._FilterDatabase" localSheetId="2" hidden="1">gacha_select_tables!$B$1:$M$190</definedName>
    <definedName name="_xlnm._FilterDatabase" localSheetId="3" hidden="1">gacha_settle_tables!$B$1:$M$15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96" l="1"/>
  <c r="M9" i="96"/>
  <c r="M8" i="96"/>
  <c r="M7" i="96"/>
  <c r="M6" i="96"/>
  <c r="M5" i="96"/>
  <c r="M4" i="96"/>
  <c r="M3" i="96"/>
  <c r="M2" i="96"/>
  <c r="K9" i="96"/>
  <c r="J9" i="96"/>
  <c r="I9" i="96"/>
  <c r="H9" i="96"/>
  <c r="G9" i="96"/>
  <c r="F9" i="96"/>
  <c r="C9" i="96"/>
  <c r="K7" i="96"/>
  <c r="J7" i="96"/>
  <c r="I7" i="96"/>
  <c r="H7" i="96"/>
  <c r="G7" i="96"/>
  <c r="F7" i="96"/>
  <c r="C7" i="96"/>
  <c r="A7" i="96"/>
  <c r="K5" i="96"/>
  <c r="J5" i="96"/>
  <c r="I5" i="96"/>
  <c r="H5" i="96"/>
  <c r="G5" i="96"/>
  <c r="F5" i="96"/>
  <c r="C5" i="96"/>
  <c r="A5" i="96"/>
  <c r="K3" i="96"/>
  <c r="J3" i="96"/>
  <c r="I3" i="96"/>
  <c r="H3" i="96"/>
  <c r="G3" i="96"/>
  <c r="F3" i="96"/>
  <c r="C3" i="96"/>
  <c r="A3" i="96"/>
  <c r="N194" i="82"/>
  <c r="N193" i="82"/>
  <c r="N192" i="82"/>
  <c r="N191" i="82"/>
  <c r="H190" i="82"/>
  <c r="I190" i="82"/>
  <c r="D190" i="82"/>
  <c r="N190" i="82"/>
  <c r="H189" i="82"/>
  <c r="I189" i="82"/>
  <c r="D189" i="82"/>
  <c r="N189" i="82"/>
  <c r="B194" i="82"/>
  <c r="B193" i="82"/>
  <c r="B192" i="82"/>
  <c r="B191" i="82"/>
  <c r="H68" i="82"/>
  <c r="I68" i="82"/>
  <c r="D68" i="82"/>
  <c r="H67" i="82"/>
  <c r="I67" i="82"/>
  <c r="D67" i="82"/>
  <c r="H64" i="82"/>
  <c r="I64" i="82"/>
  <c r="D64" i="82"/>
  <c r="H62" i="82"/>
  <c r="I62" i="82"/>
  <c r="D62" i="82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3" i="94"/>
  <c r="A2" i="94"/>
  <c r="N68" i="82"/>
  <c r="L68" i="82"/>
  <c r="K68" i="82"/>
  <c r="J68" i="82"/>
  <c r="G68" i="82"/>
  <c r="C68" i="82"/>
  <c r="B68" i="82"/>
  <c r="A68" i="82"/>
  <c r="A8" i="96"/>
  <c r="A6" i="96"/>
  <c r="A4" i="96"/>
  <c r="A2" i="96"/>
  <c r="G8" i="96"/>
  <c r="H8" i="96"/>
  <c r="C8" i="96"/>
  <c r="G6" i="96"/>
  <c r="H6" i="96"/>
  <c r="C6" i="96"/>
  <c r="G4" i="96"/>
  <c r="H4" i="96"/>
  <c r="C4" i="96"/>
  <c r="G2" i="96"/>
  <c r="H2" i="96"/>
  <c r="C2" i="96"/>
  <c r="K8" i="96"/>
  <c r="K6" i="96"/>
  <c r="K4" i="96"/>
  <c r="K2" i="96"/>
  <c r="J8" i="96"/>
  <c r="J6" i="96"/>
  <c r="J4" i="96"/>
  <c r="J2" i="96"/>
  <c r="I8" i="96"/>
  <c r="I6" i="96"/>
  <c r="I4" i="96"/>
  <c r="I2" i="96"/>
  <c r="F8" i="96"/>
  <c r="F6" i="96"/>
  <c r="F4" i="96"/>
  <c r="F2" i="96"/>
  <c r="B172" i="82"/>
  <c r="H66" i="82"/>
  <c r="I66" i="82"/>
  <c r="D66" i="82"/>
  <c r="H65" i="82"/>
  <c r="I65" i="82"/>
  <c r="D65" i="82"/>
  <c r="H63" i="82"/>
  <c r="I63" i="82"/>
  <c r="D63" i="82"/>
  <c r="H61" i="82"/>
  <c r="I61" i="82"/>
  <c r="D61" i="82"/>
  <c r="H188" i="82"/>
  <c r="I188" i="82"/>
  <c r="D188" i="82"/>
  <c r="H185" i="82"/>
  <c r="I185" i="82"/>
  <c r="D185" i="82"/>
  <c r="H184" i="82"/>
  <c r="I184" i="82"/>
  <c r="D184" i="82"/>
  <c r="H183" i="82"/>
  <c r="I183" i="82"/>
  <c r="D183" i="82"/>
  <c r="H182" i="82"/>
  <c r="I182" i="82"/>
  <c r="D182" i="82"/>
  <c r="H2" i="82"/>
  <c r="I2" i="82"/>
  <c r="D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9" i="82"/>
  <c r="I69" i="82"/>
  <c r="D69" i="82"/>
  <c r="H70" i="82"/>
  <c r="I70" i="82"/>
  <c r="D70" i="82"/>
  <c r="H72" i="82"/>
  <c r="I72" i="82"/>
  <c r="D72" i="82"/>
  <c r="H74" i="82"/>
  <c r="I74" i="82"/>
  <c r="D74" i="82"/>
  <c r="H76" i="82"/>
  <c r="I76" i="82"/>
  <c r="D76" i="82"/>
  <c r="H78" i="82"/>
  <c r="I78" i="82"/>
  <c r="D78" i="82"/>
  <c r="H80" i="82"/>
  <c r="I80" i="82"/>
  <c r="D80" i="82"/>
  <c r="H82" i="82"/>
  <c r="I82" i="82"/>
  <c r="D82" i="82"/>
  <c r="H84" i="82"/>
  <c r="I84" i="82"/>
  <c r="D84" i="82"/>
  <c r="H86" i="82"/>
  <c r="I86" i="82"/>
  <c r="D86" i="82"/>
  <c r="H88" i="82"/>
  <c r="I88" i="82"/>
  <c r="D88" i="82"/>
  <c r="H90" i="82"/>
  <c r="I90" i="82"/>
  <c r="D90" i="82"/>
  <c r="H92" i="82"/>
  <c r="I92" i="82"/>
  <c r="D92" i="82"/>
  <c r="H94" i="82"/>
  <c r="I94" i="82"/>
  <c r="D94" i="82"/>
  <c r="H96" i="82"/>
  <c r="I96" i="82"/>
  <c r="D96" i="82"/>
  <c r="H98" i="82"/>
  <c r="I98" i="82"/>
  <c r="D98" i="82"/>
  <c r="H100" i="82"/>
  <c r="I100" i="82"/>
  <c r="D100" i="82"/>
  <c r="H102" i="82"/>
  <c r="I102" i="82"/>
  <c r="D102" i="82"/>
  <c r="H104" i="82"/>
  <c r="I104" i="82"/>
  <c r="D104" i="82"/>
  <c r="H106" i="82"/>
  <c r="I106" i="82"/>
  <c r="D106" i="82"/>
  <c r="H108" i="82"/>
  <c r="I108" i="82"/>
  <c r="D108" i="82"/>
  <c r="H110" i="82"/>
  <c r="I110" i="82"/>
  <c r="D110" i="82"/>
  <c r="H112" i="82"/>
  <c r="I112" i="82"/>
  <c r="D112" i="82"/>
  <c r="H114" i="82"/>
  <c r="I114" i="82"/>
  <c r="D114" i="82"/>
  <c r="H116" i="82"/>
  <c r="I116" i="82"/>
  <c r="D116" i="82"/>
  <c r="H118" i="82"/>
  <c r="I118" i="82"/>
  <c r="D118" i="82"/>
  <c r="H120" i="82"/>
  <c r="I120" i="82"/>
  <c r="D120" i="82"/>
  <c r="H122" i="82"/>
  <c r="I122" i="82"/>
  <c r="D122" i="82"/>
  <c r="H124" i="82"/>
  <c r="I124" i="82"/>
  <c r="D124" i="82"/>
  <c r="H126" i="82"/>
  <c r="I126" i="82"/>
  <c r="D126" i="82"/>
  <c r="H128" i="82"/>
  <c r="I128" i="82"/>
  <c r="D128" i="82"/>
  <c r="H130" i="82"/>
  <c r="I130" i="82"/>
  <c r="D130" i="82"/>
  <c r="H132" i="82"/>
  <c r="I132" i="82"/>
  <c r="D132" i="82"/>
  <c r="H134" i="82"/>
  <c r="I134" i="82"/>
  <c r="D134" i="82"/>
  <c r="H136" i="82"/>
  <c r="I136" i="82"/>
  <c r="D136" i="82"/>
  <c r="H138" i="82"/>
  <c r="I138" i="82"/>
  <c r="D138" i="82"/>
  <c r="H140" i="82"/>
  <c r="I140" i="82"/>
  <c r="D140" i="82"/>
  <c r="H142" i="82"/>
  <c r="I142" i="82"/>
  <c r="D142" i="82"/>
  <c r="H144" i="82"/>
  <c r="I144" i="82"/>
  <c r="D144" i="82"/>
  <c r="H146" i="82"/>
  <c r="I146" i="82"/>
  <c r="D146" i="82"/>
  <c r="H148" i="82"/>
  <c r="I148" i="82"/>
  <c r="D148" i="82"/>
  <c r="H150" i="82"/>
  <c r="I150" i="82"/>
  <c r="D150" i="82"/>
  <c r="H152" i="82"/>
  <c r="I152" i="82"/>
  <c r="D152" i="82"/>
  <c r="H154" i="82"/>
  <c r="I154" i="82"/>
  <c r="D154" i="82"/>
  <c r="H156" i="82"/>
  <c r="I156" i="82"/>
  <c r="D156" i="82"/>
  <c r="H71" i="82"/>
  <c r="I71" i="82"/>
  <c r="D71" i="82"/>
  <c r="H73" i="82"/>
  <c r="I73" i="82"/>
  <c r="D73" i="82"/>
  <c r="H75" i="82"/>
  <c r="I75" i="82"/>
  <c r="D75" i="82"/>
  <c r="H77" i="82"/>
  <c r="I77" i="82"/>
  <c r="D77" i="82"/>
  <c r="H79" i="82"/>
  <c r="I79" i="82"/>
  <c r="D79" i="82"/>
  <c r="H81" i="82"/>
  <c r="I81" i="82"/>
  <c r="D81" i="82"/>
  <c r="H83" i="82"/>
  <c r="I83" i="82"/>
  <c r="D83" i="82"/>
  <c r="H85" i="82"/>
  <c r="I85" i="82"/>
  <c r="D85" i="82"/>
  <c r="H87" i="82"/>
  <c r="I87" i="82"/>
  <c r="D87" i="82"/>
  <c r="H89" i="82"/>
  <c r="I89" i="82"/>
  <c r="D89" i="82"/>
  <c r="H91" i="82"/>
  <c r="I91" i="82"/>
  <c r="D91" i="82"/>
  <c r="H93" i="82"/>
  <c r="I93" i="82"/>
  <c r="D93" i="82"/>
  <c r="H95" i="82"/>
  <c r="I95" i="82"/>
  <c r="D95" i="82"/>
  <c r="H97" i="82"/>
  <c r="I97" i="82"/>
  <c r="D97" i="82"/>
  <c r="H99" i="82"/>
  <c r="I99" i="82"/>
  <c r="D99" i="82"/>
  <c r="H101" i="82"/>
  <c r="I101" i="82"/>
  <c r="D101" i="82"/>
  <c r="H103" i="82"/>
  <c r="I103" i="82"/>
  <c r="D103" i="82"/>
  <c r="H105" i="82"/>
  <c r="I105" i="82"/>
  <c r="D105" i="82"/>
  <c r="H107" i="82"/>
  <c r="I107" i="82"/>
  <c r="D107" i="82"/>
  <c r="H109" i="82"/>
  <c r="I109" i="82"/>
  <c r="D109" i="82"/>
  <c r="H111" i="82"/>
  <c r="I111" i="82"/>
  <c r="D111" i="82"/>
  <c r="H113" i="82"/>
  <c r="I113" i="82"/>
  <c r="D113" i="82"/>
  <c r="H115" i="82"/>
  <c r="I115" i="82"/>
  <c r="D115" i="82"/>
  <c r="H117" i="82"/>
  <c r="I117" i="82"/>
  <c r="D117" i="82"/>
  <c r="H119" i="82"/>
  <c r="I119" i="82"/>
  <c r="D119" i="82"/>
  <c r="H121" i="82"/>
  <c r="I121" i="82"/>
  <c r="D121" i="82"/>
  <c r="H123" i="82"/>
  <c r="I123" i="82"/>
  <c r="D123" i="82"/>
  <c r="H125" i="82"/>
  <c r="I125" i="82"/>
  <c r="D125" i="82"/>
  <c r="H127" i="82"/>
  <c r="I127" i="82"/>
  <c r="D127" i="82"/>
  <c r="H129" i="82"/>
  <c r="I129" i="82"/>
  <c r="D129" i="82"/>
  <c r="H131" i="82"/>
  <c r="I131" i="82"/>
  <c r="D131" i="82"/>
  <c r="H133" i="82"/>
  <c r="I133" i="82"/>
  <c r="D133" i="82"/>
  <c r="H135" i="82"/>
  <c r="I135" i="82"/>
  <c r="D135" i="82"/>
  <c r="H137" i="82"/>
  <c r="I137" i="82"/>
  <c r="D137" i="82"/>
  <c r="H139" i="82"/>
  <c r="I139" i="82"/>
  <c r="D139" i="82"/>
  <c r="H141" i="82"/>
  <c r="I141" i="82"/>
  <c r="D141" i="82"/>
  <c r="H143" i="82"/>
  <c r="I143" i="82"/>
  <c r="D143" i="82"/>
  <c r="H145" i="82"/>
  <c r="I145" i="82"/>
  <c r="D145" i="82"/>
  <c r="H147" i="82"/>
  <c r="I147" i="82"/>
  <c r="D147" i="82"/>
  <c r="H149" i="82"/>
  <c r="I149" i="82"/>
  <c r="D149" i="82"/>
  <c r="H151" i="82"/>
  <c r="I151" i="82"/>
  <c r="D151" i="82"/>
  <c r="H153" i="82"/>
  <c r="I153" i="82"/>
  <c r="D153" i="82"/>
  <c r="H155" i="82"/>
  <c r="I155" i="82"/>
  <c r="D155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6" i="82"/>
  <c r="I186" i="82"/>
  <c r="D186" i="82"/>
  <c r="H187" i="82"/>
  <c r="I187" i="82"/>
  <c r="D187" i="82"/>
  <c r="B74" i="82"/>
  <c r="B76" i="82"/>
  <c r="B78" i="82"/>
  <c r="B80" i="82"/>
  <c r="B82" i="82"/>
  <c r="B84" i="82"/>
  <c r="B86" i="82"/>
  <c r="B88" i="82"/>
  <c r="B90" i="82"/>
  <c r="B92" i="82"/>
  <c r="B94" i="82"/>
  <c r="B96" i="82"/>
  <c r="B98" i="82"/>
  <c r="B100" i="82"/>
  <c r="B102" i="82"/>
  <c r="B104" i="82"/>
  <c r="B106" i="82"/>
  <c r="B108" i="82"/>
  <c r="B110" i="82"/>
  <c r="B112" i="82"/>
  <c r="B114" i="82"/>
  <c r="B116" i="82"/>
  <c r="B118" i="82"/>
  <c r="B120" i="82"/>
  <c r="B122" i="82"/>
  <c r="B124" i="82"/>
  <c r="B126" i="82"/>
  <c r="B128" i="82"/>
  <c r="B130" i="82"/>
  <c r="B132" i="82"/>
  <c r="B134" i="82"/>
  <c r="B136" i="82"/>
  <c r="B138" i="82"/>
  <c r="B140" i="82"/>
  <c r="B142" i="82"/>
  <c r="B144" i="82"/>
  <c r="B146" i="82"/>
  <c r="B148" i="82"/>
  <c r="B150" i="82"/>
  <c r="B152" i="82"/>
  <c r="B154" i="82"/>
  <c r="B156" i="82"/>
  <c r="B71" i="82"/>
  <c r="B73" i="82"/>
  <c r="B75" i="82"/>
  <c r="B77" i="82"/>
  <c r="B79" i="82"/>
  <c r="B81" i="82"/>
  <c r="B83" i="82"/>
  <c r="B85" i="82"/>
  <c r="B87" i="82"/>
  <c r="B89" i="82"/>
  <c r="B91" i="82"/>
  <c r="B93" i="82"/>
  <c r="B95" i="82"/>
  <c r="B97" i="82"/>
  <c r="B99" i="82"/>
  <c r="B101" i="82"/>
  <c r="B103" i="82"/>
  <c r="B105" i="82"/>
  <c r="B107" i="82"/>
  <c r="B109" i="82"/>
  <c r="B111" i="82"/>
  <c r="B113" i="82"/>
  <c r="B115" i="82"/>
  <c r="B117" i="82"/>
  <c r="B119" i="82"/>
  <c r="B121" i="82"/>
  <c r="B123" i="82"/>
  <c r="B125" i="82"/>
  <c r="B127" i="82"/>
  <c r="B129" i="82"/>
  <c r="B131" i="82"/>
  <c r="B133" i="82"/>
  <c r="B135" i="82"/>
  <c r="B137" i="82"/>
  <c r="B139" i="82"/>
  <c r="B141" i="82"/>
  <c r="B143" i="82"/>
  <c r="B145" i="82"/>
  <c r="B147" i="82"/>
  <c r="B149" i="82"/>
  <c r="B151" i="82"/>
  <c r="B153" i="82"/>
  <c r="B155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72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9" i="82"/>
  <c r="B3" i="82"/>
  <c r="L190" i="82"/>
  <c r="K190" i="82"/>
  <c r="J190" i="82"/>
  <c r="G190" i="82"/>
  <c r="C190" i="82"/>
  <c r="A190" i="82"/>
  <c r="L189" i="82"/>
  <c r="K189" i="82"/>
  <c r="J189" i="82"/>
  <c r="G189" i="82"/>
  <c r="C189" i="82"/>
  <c r="A189" i="82"/>
  <c r="N188" i="82"/>
  <c r="L188" i="82"/>
  <c r="K188" i="82"/>
  <c r="J188" i="82"/>
  <c r="G188" i="82"/>
  <c r="C188" i="82"/>
  <c r="A188" i="82"/>
  <c r="N187" i="82"/>
  <c r="L187" i="82"/>
  <c r="K187" i="82"/>
  <c r="J187" i="82"/>
  <c r="G187" i="82"/>
  <c r="C187" i="82"/>
  <c r="A187" i="82"/>
  <c r="N186" i="82"/>
  <c r="L186" i="82"/>
  <c r="K186" i="82"/>
  <c r="J186" i="82"/>
  <c r="G186" i="82"/>
  <c r="C186" i="82"/>
  <c r="A186" i="82"/>
  <c r="N185" i="82"/>
  <c r="L185" i="82"/>
  <c r="K185" i="82"/>
  <c r="J185" i="82"/>
  <c r="G185" i="82"/>
  <c r="C185" i="82"/>
  <c r="A185" i="82"/>
  <c r="N184" i="82"/>
  <c r="L184" i="82"/>
  <c r="K184" i="82"/>
  <c r="J184" i="82"/>
  <c r="G184" i="82"/>
  <c r="C184" i="82"/>
  <c r="A184" i="82"/>
  <c r="N183" i="82"/>
  <c r="L183" i="82"/>
  <c r="K183" i="82"/>
  <c r="J183" i="82"/>
  <c r="G183" i="82"/>
  <c r="C183" i="82"/>
  <c r="A183" i="82"/>
  <c r="N182" i="82"/>
  <c r="L182" i="82"/>
  <c r="K182" i="82"/>
  <c r="J182" i="82"/>
  <c r="G182" i="82"/>
  <c r="C182" i="82"/>
  <c r="A182" i="82"/>
  <c r="N181" i="82"/>
  <c r="L181" i="82"/>
  <c r="K181" i="82"/>
  <c r="J181" i="82"/>
  <c r="G181" i="82"/>
  <c r="C181" i="82"/>
  <c r="A181" i="82"/>
  <c r="N180" i="82"/>
  <c r="L180" i="82"/>
  <c r="K180" i="82"/>
  <c r="J180" i="82"/>
  <c r="G180" i="82"/>
  <c r="C180" i="82"/>
  <c r="A180" i="82"/>
  <c r="N179" i="82"/>
  <c r="L179" i="82"/>
  <c r="K179" i="82"/>
  <c r="J179" i="82"/>
  <c r="G179" i="82"/>
  <c r="C179" i="82"/>
  <c r="A179" i="82"/>
  <c r="N178" i="82"/>
  <c r="L178" i="82"/>
  <c r="K178" i="82"/>
  <c r="J178" i="82"/>
  <c r="G178" i="82"/>
  <c r="C178" i="82"/>
  <c r="A178" i="82"/>
  <c r="N177" i="82"/>
  <c r="L177" i="82"/>
  <c r="K177" i="82"/>
  <c r="J177" i="82"/>
  <c r="G177" i="82"/>
  <c r="C177" i="82"/>
  <c r="A177" i="82"/>
  <c r="N176" i="82"/>
  <c r="L176" i="82"/>
  <c r="K176" i="82"/>
  <c r="J176" i="82"/>
  <c r="G176" i="82"/>
  <c r="C176" i="82"/>
  <c r="A176" i="82"/>
  <c r="N175" i="82"/>
  <c r="L175" i="82"/>
  <c r="K175" i="82"/>
  <c r="J175" i="82"/>
  <c r="G175" i="82"/>
  <c r="C175" i="82"/>
  <c r="A175" i="82"/>
  <c r="N174" i="82"/>
  <c r="L174" i="82"/>
  <c r="K174" i="82"/>
  <c r="J174" i="82"/>
  <c r="G174" i="82"/>
  <c r="C174" i="82"/>
  <c r="A174" i="82"/>
  <c r="N173" i="82"/>
  <c r="L173" i="82"/>
  <c r="K173" i="82"/>
  <c r="J173" i="82"/>
  <c r="G173" i="82"/>
  <c r="C173" i="82"/>
  <c r="A173" i="82"/>
  <c r="N172" i="82"/>
  <c r="L172" i="82"/>
  <c r="K172" i="82"/>
  <c r="J172" i="82"/>
  <c r="G172" i="82"/>
  <c r="C172" i="82"/>
  <c r="A172" i="82"/>
  <c r="N171" i="82"/>
  <c r="L171" i="82"/>
  <c r="K171" i="82"/>
  <c r="J171" i="82"/>
  <c r="G171" i="82"/>
  <c r="C171" i="82"/>
  <c r="A171" i="82"/>
  <c r="N170" i="82"/>
  <c r="L170" i="82"/>
  <c r="K170" i="82"/>
  <c r="J170" i="82"/>
  <c r="G170" i="82"/>
  <c r="C170" i="82"/>
  <c r="A170" i="82"/>
  <c r="N169" i="82"/>
  <c r="L169" i="82"/>
  <c r="K169" i="82"/>
  <c r="J169" i="82"/>
  <c r="G169" i="82"/>
  <c r="C169" i="82"/>
  <c r="A169" i="82"/>
  <c r="N168" i="82"/>
  <c r="L168" i="82"/>
  <c r="K168" i="82"/>
  <c r="J168" i="82"/>
  <c r="G168" i="82"/>
  <c r="C168" i="82"/>
  <c r="A168" i="82"/>
  <c r="N167" i="82"/>
  <c r="L167" i="82"/>
  <c r="K167" i="82"/>
  <c r="J167" i="82"/>
  <c r="G167" i="82"/>
  <c r="C167" i="82"/>
  <c r="A167" i="82"/>
  <c r="N166" i="82"/>
  <c r="L166" i="82"/>
  <c r="K166" i="82"/>
  <c r="J166" i="82"/>
  <c r="G166" i="82"/>
  <c r="C166" i="82"/>
  <c r="A166" i="82"/>
  <c r="N165" i="82"/>
  <c r="L165" i="82"/>
  <c r="K165" i="82"/>
  <c r="J165" i="82"/>
  <c r="G165" i="82"/>
  <c r="C165" i="82"/>
  <c r="A165" i="82"/>
  <c r="N164" i="82"/>
  <c r="L164" i="82"/>
  <c r="K164" i="82"/>
  <c r="J164" i="82"/>
  <c r="G164" i="82"/>
  <c r="C164" i="82"/>
  <c r="A164" i="82"/>
  <c r="N163" i="82"/>
  <c r="L163" i="82"/>
  <c r="K163" i="82"/>
  <c r="J163" i="82"/>
  <c r="G163" i="82"/>
  <c r="C163" i="82"/>
  <c r="A163" i="82"/>
  <c r="N162" i="82"/>
  <c r="L162" i="82"/>
  <c r="K162" i="82"/>
  <c r="J162" i="82"/>
  <c r="G162" i="82"/>
  <c r="C162" i="82"/>
  <c r="A162" i="82"/>
  <c r="N161" i="82"/>
  <c r="L161" i="82"/>
  <c r="K161" i="82"/>
  <c r="J161" i="82"/>
  <c r="G161" i="82"/>
  <c r="C161" i="82"/>
  <c r="A161" i="82"/>
  <c r="N160" i="82"/>
  <c r="L160" i="82"/>
  <c r="K160" i="82"/>
  <c r="J160" i="82"/>
  <c r="G160" i="82"/>
  <c r="C160" i="82"/>
  <c r="A160" i="82"/>
  <c r="N159" i="82"/>
  <c r="L159" i="82"/>
  <c r="K159" i="82"/>
  <c r="J159" i="82"/>
  <c r="G159" i="82"/>
  <c r="C159" i="82"/>
  <c r="A159" i="82"/>
  <c r="N158" i="82"/>
  <c r="L158" i="82"/>
  <c r="K158" i="82"/>
  <c r="J158" i="82"/>
  <c r="G158" i="82"/>
  <c r="C158" i="82"/>
  <c r="A158" i="82"/>
  <c r="N157" i="82"/>
  <c r="L157" i="82"/>
  <c r="K157" i="82"/>
  <c r="J157" i="82"/>
  <c r="G157" i="82"/>
  <c r="C157" i="82"/>
  <c r="A157" i="82"/>
  <c r="N155" i="82"/>
  <c r="L155" i="82"/>
  <c r="K155" i="82"/>
  <c r="J155" i="82"/>
  <c r="G155" i="82"/>
  <c r="C155" i="82"/>
  <c r="A155" i="82"/>
  <c r="N153" i="82"/>
  <c r="L153" i="82"/>
  <c r="K153" i="82"/>
  <c r="J153" i="82"/>
  <c r="G153" i="82"/>
  <c r="C153" i="82"/>
  <c r="A153" i="82"/>
  <c r="N151" i="82"/>
  <c r="L151" i="82"/>
  <c r="K151" i="82"/>
  <c r="J151" i="82"/>
  <c r="G151" i="82"/>
  <c r="C151" i="82"/>
  <c r="A151" i="82"/>
  <c r="N149" i="82"/>
  <c r="L149" i="82"/>
  <c r="K149" i="82"/>
  <c r="J149" i="82"/>
  <c r="G149" i="82"/>
  <c r="C149" i="82"/>
  <c r="A149" i="82"/>
  <c r="N147" i="82"/>
  <c r="L147" i="82"/>
  <c r="K147" i="82"/>
  <c r="J147" i="82"/>
  <c r="G147" i="82"/>
  <c r="C147" i="82"/>
  <c r="A147" i="82"/>
  <c r="N145" i="82"/>
  <c r="L145" i="82"/>
  <c r="K145" i="82"/>
  <c r="J145" i="82"/>
  <c r="G145" i="82"/>
  <c r="C145" i="82"/>
  <c r="A145" i="82"/>
  <c r="N143" i="82"/>
  <c r="L143" i="82"/>
  <c r="K143" i="82"/>
  <c r="J143" i="82"/>
  <c r="G143" i="82"/>
  <c r="C143" i="82"/>
  <c r="A143" i="82"/>
  <c r="N141" i="82"/>
  <c r="L141" i="82"/>
  <c r="K141" i="82"/>
  <c r="J141" i="82"/>
  <c r="G141" i="82"/>
  <c r="C141" i="82"/>
  <c r="A141" i="82"/>
  <c r="N139" i="82"/>
  <c r="L139" i="82"/>
  <c r="K139" i="82"/>
  <c r="J139" i="82"/>
  <c r="G139" i="82"/>
  <c r="C139" i="82"/>
  <c r="A139" i="82"/>
  <c r="N137" i="82"/>
  <c r="L137" i="82"/>
  <c r="K137" i="82"/>
  <c r="J137" i="82"/>
  <c r="G137" i="82"/>
  <c r="C137" i="82"/>
  <c r="A137" i="82"/>
  <c r="N135" i="82"/>
  <c r="L135" i="82"/>
  <c r="K135" i="82"/>
  <c r="J135" i="82"/>
  <c r="G135" i="82"/>
  <c r="C135" i="82"/>
  <c r="A135" i="82"/>
  <c r="N133" i="82"/>
  <c r="L133" i="82"/>
  <c r="K133" i="82"/>
  <c r="J133" i="82"/>
  <c r="G133" i="82"/>
  <c r="C133" i="82"/>
  <c r="A133" i="82"/>
  <c r="N131" i="82"/>
  <c r="L131" i="82"/>
  <c r="K131" i="82"/>
  <c r="J131" i="82"/>
  <c r="G131" i="82"/>
  <c r="C131" i="82"/>
  <c r="A131" i="82"/>
  <c r="N129" i="82"/>
  <c r="L129" i="82"/>
  <c r="K129" i="82"/>
  <c r="J129" i="82"/>
  <c r="G129" i="82"/>
  <c r="C129" i="82"/>
  <c r="A129" i="82"/>
  <c r="N127" i="82"/>
  <c r="L127" i="82"/>
  <c r="K127" i="82"/>
  <c r="J127" i="82"/>
  <c r="G127" i="82"/>
  <c r="C127" i="82"/>
  <c r="A127" i="82"/>
  <c r="N125" i="82"/>
  <c r="L125" i="82"/>
  <c r="K125" i="82"/>
  <c r="J125" i="82"/>
  <c r="G125" i="82"/>
  <c r="C125" i="82"/>
  <c r="A125" i="82"/>
  <c r="N123" i="82"/>
  <c r="L123" i="82"/>
  <c r="K123" i="82"/>
  <c r="J123" i="82"/>
  <c r="G123" i="82"/>
  <c r="C123" i="82"/>
  <c r="A123" i="82"/>
  <c r="N121" i="82"/>
  <c r="L121" i="82"/>
  <c r="K121" i="82"/>
  <c r="J121" i="82"/>
  <c r="G121" i="82"/>
  <c r="C121" i="82"/>
  <c r="A121" i="82"/>
  <c r="N119" i="82"/>
  <c r="L119" i="82"/>
  <c r="K119" i="82"/>
  <c r="J119" i="82"/>
  <c r="G119" i="82"/>
  <c r="C119" i="82"/>
  <c r="A119" i="82"/>
  <c r="N117" i="82"/>
  <c r="L117" i="82"/>
  <c r="K117" i="82"/>
  <c r="J117" i="82"/>
  <c r="G117" i="82"/>
  <c r="C117" i="82"/>
  <c r="A117" i="82"/>
  <c r="N115" i="82"/>
  <c r="L115" i="82"/>
  <c r="K115" i="82"/>
  <c r="J115" i="82"/>
  <c r="G115" i="82"/>
  <c r="C115" i="82"/>
  <c r="A115" i="82"/>
  <c r="N113" i="82"/>
  <c r="L113" i="82"/>
  <c r="K113" i="82"/>
  <c r="J113" i="82"/>
  <c r="G113" i="82"/>
  <c r="C113" i="82"/>
  <c r="A113" i="82"/>
  <c r="N111" i="82"/>
  <c r="L111" i="82"/>
  <c r="K111" i="82"/>
  <c r="J111" i="82"/>
  <c r="G111" i="82"/>
  <c r="C111" i="82"/>
  <c r="A111" i="82"/>
  <c r="N109" i="82"/>
  <c r="L109" i="82"/>
  <c r="K109" i="82"/>
  <c r="J109" i="82"/>
  <c r="G109" i="82"/>
  <c r="C109" i="82"/>
  <c r="A109" i="82"/>
  <c r="N107" i="82"/>
  <c r="L107" i="82"/>
  <c r="K107" i="82"/>
  <c r="J107" i="82"/>
  <c r="G107" i="82"/>
  <c r="C107" i="82"/>
  <c r="A107" i="82"/>
  <c r="N105" i="82"/>
  <c r="L105" i="82"/>
  <c r="K105" i="82"/>
  <c r="J105" i="82"/>
  <c r="G105" i="82"/>
  <c r="C105" i="82"/>
  <c r="A105" i="82"/>
  <c r="N103" i="82"/>
  <c r="L103" i="82"/>
  <c r="K103" i="82"/>
  <c r="J103" i="82"/>
  <c r="G103" i="82"/>
  <c r="C103" i="82"/>
  <c r="A103" i="82"/>
  <c r="N101" i="82"/>
  <c r="L101" i="82"/>
  <c r="K101" i="82"/>
  <c r="J101" i="82"/>
  <c r="G101" i="82"/>
  <c r="C101" i="82"/>
  <c r="A101" i="82"/>
  <c r="N99" i="82"/>
  <c r="L99" i="82"/>
  <c r="K99" i="82"/>
  <c r="J99" i="82"/>
  <c r="G99" i="82"/>
  <c r="C99" i="82"/>
  <c r="A99" i="82"/>
  <c r="N97" i="82"/>
  <c r="L97" i="82"/>
  <c r="K97" i="82"/>
  <c r="J97" i="82"/>
  <c r="G97" i="82"/>
  <c r="C97" i="82"/>
  <c r="A97" i="82"/>
  <c r="N95" i="82"/>
  <c r="L95" i="82"/>
  <c r="K95" i="82"/>
  <c r="J95" i="82"/>
  <c r="G95" i="82"/>
  <c r="C95" i="82"/>
  <c r="A95" i="82"/>
  <c r="N93" i="82"/>
  <c r="L93" i="82"/>
  <c r="K93" i="82"/>
  <c r="J93" i="82"/>
  <c r="G93" i="82"/>
  <c r="C93" i="82"/>
  <c r="A93" i="82"/>
  <c r="N91" i="82"/>
  <c r="L91" i="82"/>
  <c r="K91" i="82"/>
  <c r="J91" i="82"/>
  <c r="G91" i="82"/>
  <c r="C91" i="82"/>
  <c r="A91" i="82"/>
  <c r="N89" i="82"/>
  <c r="L89" i="82"/>
  <c r="K89" i="82"/>
  <c r="J89" i="82"/>
  <c r="G89" i="82"/>
  <c r="C89" i="82"/>
  <c r="A89" i="82"/>
  <c r="N87" i="82"/>
  <c r="L87" i="82"/>
  <c r="K87" i="82"/>
  <c r="J87" i="82"/>
  <c r="G87" i="82"/>
  <c r="C87" i="82"/>
  <c r="A87" i="82"/>
  <c r="N85" i="82"/>
  <c r="L85" i="82"/>
  <c r="K85" i="82"/>
  <c r="J85" i="82"/>
  <c r="G85" i="82"/>
  <c r="C85" i="82"/>
  <c r="A85" i="82"/>
  <c r="N83" i="82"/>
  <c r="L83" i="82"/>
  <c r="K83" i="82"/>
  <c r="J83" i="82"/>
  <c r="G83" i="82"/>
  <c r="C83" i="82"/>
  <c r="A83" i="82"/>
  <c r="N81" i="82"/>
  <c r="L81" i="82"/>
  <c r="K81" i="82"/>
  <c r="J81" i="82"/>
  <c r="G81" i="82"/>
  <c r="C81" i="82"/>
  <c r="A81" i="82"/>
  <c r="N79" i="82"/>
  <c r="L79" i="82"/>
  <c r="K79" i="82"/>
  <c r="J79" i="82"/>
  <c r="G79" i="82"/>
  <c r="C79" i="82"/>
  <c r="A79" i="82"/>
  <c r="N77" i="82"/>
  <c r="L77" i="82"/>
  <c r="K77" i="82"/>
  <c r="J77" i="82"/>
  <c r="G77" i="82"/>
  <c r="C77" i="82"/>
  <c r="A77" i="82"/>
  <c r="N75" i="82"/>
  <c r="L75" i="82"/>
  <c r="K75" i="82"/>
  <c r="J75" i="82"/>
  <c r="G75" i="82"/>
  <c r="C75" i="82"/>
  <c r="A75" i="82"/>
  <c r="N73" i="82"/>
  <c r="L73" i="82"/>
  <c r="K73" i="82"/>
  <c r="J73" i="82"/>
  <c r="G73" i="82"/>
  <c r="C73" i="82"/>
  <c r="A73" i="82"/>
  <c r="N71" i="82"/>
  <c r="L71" i="82"/>
  <c r="K71" i="82"/>
  <c r="J71" i="82"/>
  <c r="G71" i="82"/>
  <c r="C71" i="82"/>
  <c r="A71" i="82"/>
  <c r="N156" i="82"/>
  <c r="L156" i="82"/>
  <c r="K156" i="82"/>
  <c r="J156" i="82"/>
  <c r="G156" i="82"/>
  <c r="C156" i="82"/>
  <c r="A156" i="82"/>
  <c r="N154" i="82"/>
  <c r="L154" i="82"/>
  <c r="K154" i="82"/>
  <c r="J154" i="82"/>
  <c r="G154" i="82"/>
  <c r="C154" i="82"/>
  <c r="A154" i="82"/>
  <c r="N152" i="82"/>
  <c r="L152" i="82"/>
  <c r="K152" i="82"/>
  <c r="J152" i="82"/>
  <c r="G152" i="82"/>
  <c r="C152" i="82"/>
  <c r="A152" i="82"/>
  <c r="N150" i="82"/>
  <c r="L150" i="82"/>
  <c r="K150" i="82"/>
  <c r="J150" i="82"/>
  <c r="G150" i="82"/>
  <c r="C150" i="82"/>
  <c r="A150" i="82"/>
  <c r="N148" i="82"/>
  <c r="L148" i="82"/>
  <c r="K148" i="82"/>
  <c r="J148" i="82"/>
  <c r="G148" i="82"/>
  <c r="C148" i="82"/>
  <c r="A148" i="82"/>
  <c r="N146" i="82"/>
  <c r="L146" i="82"/>
  <c r="K146" i="82"/>
  <c r="J146" i="82"/>
  <c r="G146" i="82"/>
  <c r="C146" i="82"/>
  <c r="A146" i="82"/>
  <c r="N144" i="82"/>
  <c r="L144" i="82"/>
  <c r="K144" i="82"/>
  <c r="J144" i="82"/>
  <c r="G144" i="82"/>
  <c r="C144" i="82"/>
  <c r="A144" i="82"/>
  <c r="N142" i="82"/>
  <c r="L142" i="82"/>
  <c r="K142" i="82"/>
  <c r="J142" i="82"/>
  <c r="G142" i="82"/>
  <c r="C142" i="82"/>
  <c r="A142" i="82"/>
  <c r="N140" i="82"/>
  <c r="L140" i="82"/>
  <c r="K140" i="82"/>
  <c r="J140" i="82"/>
  <c r="G140" i="82"/>
  <c r="C140" i="82"/>
  <c r="A140" i="82"/>
  <c r="N138" i="82"/>
  <c r="L138" i="82"/>
  <c r="K138" i="82"/>
  <c r="J138" i="82"/>
  <c r="G138" i="82"/>
  <c r="C138" i="82"/>
  <c r="A138" i="82"/>
  <c r="N136" i="82"/>
  <c r="L136" i="82"/>
  <c r="K136" i="82"/>
  <c r="J136" i="82"/>
  <c r="G136" i="82"/>
  <c r="C136" i="82"/>
  <c r="A136" i="82"/>
  <c r="N134" i="82"/>
  <c r="L134" i="82"/>
  <c r="K134" i="82"/>
  <c r="J134" i="82"/>
  <c r="G134" i="82"/>
  <c r="C134" i="82"/>
  <c r="A134" i="82"/>
  <c r="N132" i="82"/>
  <c r="L132" i="82"/>
  <c r="K132" i="82"/>
  <c r="J132" i="82"/>
  <c r="G132" i="82"/>
  <c r="C132" i="82"/>
  <c r="A132" i="82"/>
  <c r="N130" i="82"/>
  <c r="L130" i="82"/>
  <c r="K130" i="82"/>
  <c r="J130" i="82"/>
  <c r="G130" i="82"/>
  <c r="C130" i="82"/>
  <c r="A130" i="82"/>
  <c r="N128" i="82"/>
  <c r="L128" i="82"/>
  <c r="K128" i="82"/>
  <c r="J128" i="82"/>
  <c r="G128" i="82"/>
  <c r="C128" i="82"/>
  <c r="A128" i="82"/>
  <c r="N126" i="82"/>
  <c r="L126" i="82"/>
  <c r="K126" i="82"/>
  <c r="J126" i="82"/>
  <c r="G126" i="82"/>
  <c r="C126" i="82"/>
  <c r="A126" i="82"/>
  <c r="N124" i="82"/>
  <c r="L124" i="82"/>
  <c r="K124" i="82"/>
  <c r="J124" i="82"/>
  <c r="G124" i="82"/>
  <c r="C124" i="82"/>
  <c r="A124" i="82"/>
  <c r="N122" i="82"/>
  <c r="L122" i="82"/>
  <c r="K122" i="82"/>
  <c r="J122" i="82"/>
  <c r="G122" i="82"/>
  <c r="C122" i="82"/>
  <c r="A122" i="82"/>
  <c r="N120" i="82"/>
  <c r="L120" i="82"/>
  <c r="K120" i="82"/>
  <c r="J120" i="82"/>
  <c r="G120" i="82"/>
  <c r="C120" i="82"/>
  <c r="A120" i="82"/>
  <c r="N118" i="82"/>
  <c r="L118" i="82"/>
  <c r="K118" i="82"/>
  <c r="J118" i="82"/>
  <c r="G118" i="82"/>
  <c r="C118" i="82"/>
  <c r="A118" i="82"/>
  <c r="N116" i="82"/>
  <c r="L116" i="82"/>
  <c r="K116" i="82"/>
  <c r="J116" i="82"/>
  <c r="G116" i="82"/>
  <c r="C116" i="82"/>
  <c r="A116" i="82"/>
  <c r="N114" i="82"/>
  <c r="L114" i="82"/>
  <c r="K114" i="82"/>
  <c r="J114" i="82"/>
  <c r="G114" i="82"/>
  <c r="C114" i="82"/>
  <c r="A114" i="82"/>
  <c r="N112" i="82"/>
  <c r="L112" i="82"/>
  <c r="K112" i="82"/>
  <c r="J112" i="82"/>
  <c r="G112" i="82"/>
  <c r="C112" i="82"/>
  <c r="A112" i="82"/>
  <c r="N110" i="82"/>
  <c r="L110" i="82"/>
  <c r="K110" i="82"/>
  <c r="J110" i="82"/>
  <c r="G110" i="82"/>
  <c r="C110" i="82"/>
  <c r="A110" i="82"/>
  <c r="N108" i="82"/>
  <c r="L108" i="82"/>
  <c r="K108" i="82"/>
  <c r="J108" i="82"/>
  <c r="G108" i="82"/>
  <c r="C108" i="82"/>
  <c r="A108" i="82"/>
  <c r="N106" i="82"/>
  <c r="L106" i="82"/>
  <c r="K106" i="82"/>
  <c r="J106" i="82"/>
  <c r="G106" i="82"/>
  <c r="C106" i="82"/>
  <c r="A106" i="82"/>
  <c r="N104" i="82"/>
  <c r="L104" i="82"/>
  <c r="K104" i="82"/>
  <c r="J104" i="82"/>
  <c r="G104" i="82"/>
  <c r="C104" i="82"/>
  <c r="A104" i="82"/>
  <c r="N102" i="82"/>
  <c r="L102" i="82"/>
  <c r="K102" i="82"/>
  <c r="J102" i="82"/>
  <c r="G102" i="82"/>
  <c r="C102" i="82"/>
  <c r="A102" i="82"/>
  <c r="N100" i="82"/>
  <c r="L100" i="82"/>
  <c r="K100" i="82"/>
  <c r="J100" i="82"/>
  <c r="G100" i="82"/>
  <c r="C100" i="82"/>
  <c r="A100" i="82"/>
  <c r="N98" i="82"/>
  <c r="L98" i="82"/>
  <c r="K98" i="82"/>
  <c r="J98" i="82"/>
  <c r="G98" i="82"/>
  <c r="C98" i="82"/>
  <c r="A98" i="82"/>
  <c r="N96" i="82"/>
  <c r="L96" i="82"/>
  <c r="K96" i="82"/>
  <c r="J96" i="82"/>
  <c r="G96" i="82"/>
  <c r="C96" i="82"/>
  <c r="A96" i="82"/>
  <c r="N94" i="82"/>
  <c r="L94" i="82"/>
  <c r="K94" i="82"/>
  <c r="J94" i="82"/>
  <c r="G94" i="82"/>
  <c r="C94" i="82"/>
  <c r="A94" i="82"/>
  <c r="N92" i="82"/>
  <c r="L92" i="82"/>
  <c r="K92" i="82"/>
  <c r="J92" i="82"/>
  <c r="G92" i="82"/>
  <c r="C92" i="82"/>
  <c r="A92" i="82"/>
  <c r="N90" i="82"/>
  <c r="L90" i="82"/>
  <c r="K90" i="82"/>
  <c r="J90" i="82"/>
  <c r="G90" i="82"/>
  <c r="C90" i="82"/>
  <c r="A90" i="82"/>
  <c r="N88" i="82"/>
  <c r="L88" i="82"/>
  <c r="K88" i="82"/>
  <c r="J88" i="82"/>
  <c r="G88" i="82"/>
  <c r="C88" i="82"/>
  <c r="A88" i="82"/>
  <c r="N86" i="82"/>
  <c r="L86" i="82"/>
  <c r="K86" i="82"/>
  <c r="J86" i="82"/>
  <c r="G86" i="82"/>
  <c r="C86" i="82"/>
  <c r="A86" i="82"/>
  <c r="N84" i="82"/>
  <c r="L84" i="82"/>
  <c r="K84" i="82"/>
  <c r="J84" i="82"/>
  <c r="G84" i="82"/>
  <c r="C84" i="82"/>
  <c r="A84" i="82"/>
  <c r="N82" i="82"/>
  <c r="L82" i="82"/>
  <c r="K82" i="82"/>
  <c r="J82" i="82"/>
  <c r="G82" i="82"/>
  <c r="C82" i="82"/>
  <c r="A82" i="82"/>
  <c r="N80" i="82"/>
  <c r="L80" i="82"/>
  <c r="K80" i="82"/>
  <c r="J80" i="82"/>
  <c r="G80" i="82"/>
  <c r="C80" i="82"/>
  <c r="A80" i="82"/>
  <c r="N78" i="82"/>
  <c r="L78" i="82"/>
  <c r="K78" i="82"/>
  <c r="J78" i="82"/>
  <c r="G78" i="82"/>
  <c r="C78" i="82"/>
  <c r="A78" i="82"/>
  <c r="N76" i="82"/>
  <c r="L76" i="82"/>
  <c r="K76" i="82"/>
  <c r="J76" i="82"/>
  <c r="G76" i="82"/>
  <c r="C76" i="82"/>
  <c r="A76" i="82"/>
  <c r="N74" i="82"/>
  <c r="L74" i="82"/>
  <c r="K74" i="82"/>
  <c r="J74" i="82"/>
  <c r="G74" i="82"/>
  <c r="C74" i="82"/>
  <c r="A74" i="82"/>
  <c r="N72" i="82"/>
  <c r="L72" i="82"/>
  <c r="K72" i="82"/>
  <c r="J72" i="82"/>
  <c r="G72" i="82"/>
  <c r="C72" i="82"/>
  <c r="A72" i="82"/>
  <c r="N70" i="82"/>
  <c r="L70" i="82"/>
  <c r="K70" i="82"/>
  <c r="J70" i="82"/>
  <c r="G70" i="82"/>
  <c r="C70" i="82"/>
  <c r="A70" i="82"/>
  <c r="N69" i="82"/>
  <c r="L69" i="82"/>
  <c r="K69" i="82"/>
  <c r="J69" i="82"/>
  <c r="G69" i="82"/>
  <c r="C69" i="82"/>
  <c r="A69" i="82"/>
  <c r="N67" i="82"/>
  <c r="L67" i="82"/>
  <c r="K67" i="82"/>
  <c r="J67" i="82"/>
  <c r="G67" i="82"/>
  <c r="C67" i="82"/>
  <c r="A67" i="82"/>
  <c r="N66" i="82"/>
  <c r="L66" i="82"/>
  <c r="K66" i="82"/>
  <c r="J66" i="82"/>
  <c r="G66" i="82"/>
  <c r="C66" i="82"/>
  <c r="A66" i="82"/>
  <c r="N65" i="82"/>
  <c r="L65" i="82"/>
  <c r="K65" i="82"/>
  <c r="J65" i="82"/>
  <c r="G65" i="82"/>
  <c r="C65" i="82"/>
  <c r="A65" i="82"/>
  <c r="N64" i="82"/>
  <c r="L64" i="82"/>
  <c r="K64" i="82"/>
  <c r="J64" i="82"/>
  <c r="G64" i="82"/>
  <c r="C64" i="82"/>
  <c r="A64" i="82"/>
  <c r="N63" i="82"/>
  <c r="L63" i="82"/>
  <c r="K63" i="82"/>
  <c r="J63" i="82"/>
  <c r="G63" i="82"/>
  <c r="C63" i="82"/>
  <c r="A63" i="82"/>
  <c r="N62" i="82"/>
  <c r="L62" i="82"/>
  <c r="K62" i="82"/>
  <c r="J62" i="82"/>
  <c r="G62" i="82"/>
  <c r="C62" i="82"/>
  <c r="A62" i="82"/>
  <c r="N61" i="82"/>
  <c r="L61" i="82"/>
  <c r="K61" i="82"/>
  <c r="J61" i="82"/>
  <c r="G61" i="82"/>
  <c r="C61" i="82"/>
  <c r="A61" i="82"/>
  <c r="N60" i="82"/>
  <c r="L60" i="82"/>
  <c r="K60" i="82"/>
  <c r="J60" i="82"/>
  <c r="G60" i="82"/>
  <c r="C60" i="82"/>
  <c r="A60" i="82"/>
  <c r="N59" i="82"/>
  <c r="L59" i="82"/>
  <c r="K59" i="82"/>
  <c r="J59" i="82"/>
  <c r="G59" i="82"/>
  <c r="C59" i="82"/>
  <c r="A59" i="82"/>
  <c r="N58" i="82"/>
  <c r="L58" i="82"/>
  <c r="K58" i="82"/>
  <c r="J58" i="82"/>
  <c r="G58" i="82"/>
  <c r="C58" i="82"/>
  <c r="A58" i="82"/>
  <c r="N57" i="82"/>
  <c r="L57" i="82"/>
  <c r="K57" i="82"/>
  <c r="J57" i="82"/>
  <c r="G57" i="82"/>
  <c r="C57" i="82"/>
  <c r="A57" i="82"/>
  <c r="N56" i="82"/>
  <c r="L56" i="82"/>
  <c r="K56" i="82"/>
  <c r="J56" i="82"/>
  <c r="G56" i="82"/>
  <c r="C56" i="82"/>
  <c r="A56" i="82"/>
  <c r="N55" i="82"/>
  <c r="L55" i="82"/>
  <c r="K55" i="82"/>
  <c r="J55" i="82"/>
  <c r="G55" i="82"/>
  <c r="C55" i="82"/>
  <c r="A55" i="82"/>
  <c r="N54" i="82"/>
  <c r="L54" i="82"/>
  <c r="K54" i="82"/>
  <c r="J54" i="82"/>
  <c r="G54" i="82"/>
  <c r="C54" i="82"/>
  <c r="A54" i="82"/>
  <c r="N53" i="82"/>
  <c r="L53" i="82"/>
  <c r="K53" i="82"/>
  <c r="J53" i="82"/>
  <c r="G53" i="82"/>
  <c r="C53" i="82"/>
  <c r="A53" i="82"/>
  <c r="N52" i="82"/>
  <c r="L52" i="82"/>
  <c r="K52" i="82"/>
  <c r="J52" i="82"/>
  <c r="G52" i="82"/>
  <c r="C52" i="82"/>
  <c r="A52" i="82"/>
  <c r="N51" i="82"/>
  <c r="L51" i="82"/>
  <c r="K51" i="82"/>
  <c r="J51" i="82"/>
  <c r="G51" i="82"/>
  <c r="C51" i="82"/>
  <c r="A51" i="82"/>
  <c r="N50" i="82"/>
  <c r="L50" i="82"/>
  <c r="K50" i="82"/>
  <c r="J50" i="82"/>
  <c r="G50" i="82"/>
  <c r="C50" i="82"/>
  <c r="A50" i="82"/>
  <c r="N49" i="82"/>
  <c r="L49" i="82"/>
  <c r="K49" i="82"/>
  <c r="J49" i="82"/>
  <c r="G49" i="82"/>
  <c r="C49" i="82"/>
  <c r="A49" i="82"/>
  <c r="N48" i="82"/>
  <c r="L48" i="82"/>
  <c r="K48" i="82"/>
  <c r="J48" i="82"/>
  <c r="G48" i="82"/>
  <c r="C48" i="82"/>
  <c r="A48" i="82"/>
  <c r="N47" i="82"/>
  <c r="L47" i="82"/>
  <c r="K47" i="82"/>
  <c r="J47" i="82"/>
  <c r="G47" i="82"/>
  <c r="C47" i="82"/>
  <c r="A47" i="82"/>
  <c r="N46" i="82"/>
  <c r="L46" i="82"/>
  <c r="K46" i="82"/>
  <c r="J46" i="82"/>
  <c r="G46" i="82"/>
  <c r="C46" i="82"/>
  <c r="A46" i="82"/>
  <c r="N45" i="82"/>
  <c r="L45" i="82"/>
  <c r="K45" i="82"/>
  <c r="J45" i="82"/>
  <c r="G45" i="82"/>
  <c r="C45" i="82"/>
  <c r="A45" i="82"/>
  <c r="N44" i="82"/>
  <c r="L44" i="82"/>
  <c r="K44" i="82"/>
  <c r="J44" i="82"/>
  <c r="G44" i="82"/>
  <c r="C44" i="82"/>
  <c r="A44" i="82"/>
  <c r="N43" i="82"/>
  <c r="L43" i="82"/>
  <c r="K43" i="82"/>
  <c r="J43" i="82"/>
  <c r="G43" i="82"/>
  <c r="C43" i="82"/>
  <c r="A43" i="82"/>
  <c r="N42" i="82"/>
  <c r="L42" i="82"/>
  <c r="K42" i="82"/>
  <c r="J42" i="82"/>
  <c r="G42" i="82"/>
  <c r="C42" i="82"/>
  <c r="A42" i="82"/>
  <c r="N41" i="82"/>
  <c r="L41" i="82"/>
  <c r="K41" i="82"/>
  <c r="J41" i="82"/>
  <c r="G41" i="82"/>
  <c r="C41" i="82"/>
  <c r="A41" i="82"/>
  <c r="N40" i="82"/>
  <c r="L40" i="82"/>
  <c r="K40" i="82"/>
  <c r="J40" i="82"/>
  <c r="G40" i="82"/>
  <c r="C40" i="82"/>
  <c r="A40" i="82"/>
  <c r="N39" i="82"/>
  <c r="L39" i="82"/>
  <c r="K39" i="82"/>
  <c r="J39" i="82"/>
  <c r="G39" i="82"/>
  <c r="C39" i="82"/>
  <c r="A39" i="82"/>
  <c r="N38" i="82"/>
  <c r="L38" i="82"/>
  <c r="K38" i="82"/>
  <c r="J38" i="82"/>
  <c r="G38" i="82"/>
  <c r="C38" i="82"/>
  <c r="A38" i="82"/>
  <c r="N37" i="82"/>
  <c r="L37" i="82"/>
  <c r="K37" i="82"/>
  <c r="J37" i="82"/>
  <c r="G37" i="82"/>
  <c r="C37" i="82"/>
  <c r="A37" i="82"/>
  <c r="N36" i="82"/>
  <c r="L36" i="82"/>
  <c r="K36" i="82"/>
  <c r="J36" i="82"/>
  <c r="G36" i="82"/>
  <c r="C36" i="82"/>
  <c r="A36" i="82"/>
  <c r="N35" i="82"/>
  <c r="L35" i="82"/>
  <c r="K35" i="82"/>
  <c r="J35" i="82"/>
  <c r="G35" i="82"/>
  <c r="C35" i="82"/>
  <c r="A35" i="82"/>
  <c r="N34" i="82"/>
  <c r="L34" i="82"/>
  <c r="K34" i="82"/>
  <c r="J34" i="82"/>
  <c r="G34" i="82"/>
  <c r="C34" i="82"/>
  <c r="A34" i="82"/>
  <c r="N33" i="82"/>
  <c r="L33" i="82"/>
  <c r="K33" i="82"/>
  <c r="J33" i="82"/>
  <c r="G33" i="82"/>
  <c r="C33" i="82"/>
  <c r="A33" i="82"/>
  <c r="N32" i="82"/>
  <c r="L32" i="82"/>
  <c r="K32" i="82"/>
  <c r="J32" i="82"/>
  <c r="G32" i="82"/>
  <c r="C32" i="82"/>
  <c r="A32" i="82"/>
  <c r="N31" i="82"/>
  <c r="L31" i="82"/>
  <c r="K31" i="82"/>
  <c r="J31" i="82"/>
  <c r="G31" i="82"/>
  <c r="C31" i="82"/>
  <c r="A31" i="82"/>
  <c r="N30" i="82"/>
  <c r="L30" i="82"/>
  <c r="K30" i="82"/>
  <c r="J30" i="82"/>
  <c r="G30" i="82"/>
  <c r="C30" i="82"/>
  <c r="A30" i="82"/>
  <c r="N29" i="82"/>
  <c r="L29" i="82"/>
  <c r="K29" i="82"/>
  <c r="J29" i="82"/>
  <c r="G29" i="82"/>
  <c r="C29" i="82"/>
  <c r="A29" i="82"/>
  <c r="N28" i="82"/>
  <c r="L28" i="82"/>
  <c r="K28" i="82"/>
  <c r="J28" i="82"/>
  <c r="G28" i="82"/>
  <c r="C28" i="82"/>
  <c r="A28" i="82"/>
  <c r="N27" i="82"/>
  <c r="L27" i="82"/>
  <c r="K27" i="82"/>
  <c r="J27" i="82"/>
  <c r="G27" i="82"/>
  <c r="C27" i="82"/>
  <c r="A27" i="82"/>
  <c r="N26" i="82"/>
  <c r="L26" i="82"/>
  <c r="K26" i="82"/>
  <c r="J26" i="82"/>
  <c r="G26" i="82"/>
  <c r="C26" i="82"/>
  <c r="A26" i="82"/>
  <c r="N25" i="82"/>
  <c r="L25" i="82"/>
  <c r="K25" i="82"/>
  <c r="J25" i="82"/>
  <c r="G25" i="82"/>
  <c r="C25" i="82"/>
  <c r="A25" i="82"/>
  <c r="N24" i="82"/>
  <c r="L24" i="82"/>
  <c r="K24" i="82"/>
  <c r="J24" i="82"/>
  <c r="G24" i="82"/>
  <c r="C24" i="82"/>
  <c r="A24" i="82"/>
  <c r="N23" i="82"/>
  <c r="L23" i="82"/>
  <c r="K23" i="82"/>
  <c r="J23" i="82"/>
  <c r="G23" i="82"/>
  <c r="C23" i="82"/>
  <c r="A23" i="82"/>
  <c r="N22" i="82"/>
  <c r="L22" i="82"/>
  <c r="K22" i="82"/>
  <c r="J22" i="82"/>
  <c r="G22" i="82"/>
  <c r="C22" i="82"/>
  <c r="A22" i="82"/>
  <c r="N21" i="82"/>
  <c r="L21" i="82"/>
  <c r="K21" i="82"/>
  <c r="J21" i="82"/>
  <c r="G21" i="82"/>
  <c r="C21" i="82"/>
  <c r="A21" i="82"/>
  <c r="N20" i="82"/>
  <c r="L20" i="82"/>
  <c r="K20" i="82"/>
  <c r="J20" i="82"/>
  <c r="G20" i="82"/>
  <c r="C20" i="82"/>
  <c r="A20" i="82"/>
  <c r="N19" i="82"/>
  <c r="L19" i="82"/>
  <c r="K19" i="82"/>
  <c r="J19" i="82"/>
  <c r="G19" i="82"/>
  <c r="C19" i="82"/>
  <c r="A19" i="82"/>
  <c r="N18" i="82"/>
  <c r="L18" i="82"/>
  <c r="K18" i="82"/>
  <c r="J18" i="82"/>
  <c r="G18" i="82"/>
  <c r="C18" i="82"/>
  <c r="A18" i="82"/>
  <c r="N17" i="82"/>
  <c r="L17" i="82"/>
  <c r="K17" i="82"/>
  <c r="J17" i="82"/>
  <c r="G17" i="82"/>
  <c r="C17" i="82"/>
  <c r="A17" i="82"/>
  <c r="N16" i="82"/>
  <c r="L16" i="82"/>
  <c r="K16" i="82"/>
  <c r="J16" i="82"/>
  <c r="G16" i="82"/>
  <c r="C16" i="82"/>
  <c r="A16" i="82"/>
  <c r="N15" i="82"/>
  <c r="L15" i="82"/>
  <c r="K15" i="82"/>
  <c r="J15" i="82"/>
  <c r="G15" i="82"/>
  <c r="C15" i="82"/>
  <c r="A15" i="82"/>
  <c r="N14" i="82"/>
  <c r="L14" i="82"/>
  <c r="K14" i="82"/>
  <c r="J14" i="82"/>
  <c r="G14" i="82"/>
  <c r="C14" i="82"/>
  <c r="A14" i="82"/>
  <c r="N13" i="82"/>
  <c r="L13" i="82"/>
  <c r="K13" i="82"/>
  <c r="J13" i="82"/>
  <c r="G13" i="82"/>
  <c r="C13" i="82"/>
  <c r="A13" i="82"/>
  <c r="N12" i="82"/>
  <c r="L12" i="82"/>
  <c r="K12" i="82"/>
  <c r="J12" i="82"/>
  <c r="G12" i="82"/>
  <c r="C12" i="82"/>
  <c r="A12" i="82"/>
  <c r="N11" i="82"/>
  <c r="L11" i="82"/>
  <c r="K11" i="82"/>
  <c r="J11" i="82"/>
  <c r="G11" i="82"/>
  <c r="C11" i="82"/>
  <c r="A11" i="82"/>
  <c r="N10" i="82"/>
  <c r="L10" i="82"/>
  <c r="K10" i="82"/>
  <c r="J10" i="82"/>
  <c r="G10" i="82"/>
  <c r="C10" i="82"/>
  <c r="A10" i="82"/>
  <c r="N9" i="82"/>
  <c r="L9" i="82"/>
  <c r="K9" i="82"/>
  <c r="J9" i="82"/>
  <c r="G9" i="82"/>
  <c r="C9" i="82"/>
  <c r="A9" i="82"/>
  <c r="N8" i="82"/>
  <c r="L8" i="82"/>
  <c r="K8" i="82"/>
  <c r="J8" i="82"/>
  <c r="G8" i="82"/>
  <c r="C8" i="82"/>
  <c r="A8" i="82"/>
  <c r="N7" i="82"/>
  <c r="L7" i="82"/>
  <c r="K7" i="82"/>
  <c r="J7" i="82"/>
  <c r="G7" i="82"/>
  <c r="C7" i="82"/>
  <c r="A7" i="82"/>
  <c r="N6" i="82"/>
  <c r="L6" i="82"/>
  <c r="K6" i="82"/>
  <c r="J6" i="82"/>
  <c r="G6" i="82"/>
  <c r="C6" i="82"/>
  <c r="A6" i="82"/>
  <c r="N5" i="82"/>
  <c r="L5" i="82"/>
  <c r="K5" i="82"/>
  <c r="J5" i="82"/>
  <c r="G5" i="82"/>
  <c r="C5" i="82"/>
  <c r="A5" i="82"/>
  <c r="N4" i="82"/>
  <c r="L4" i="82"/>
  <c r="K4" i="82"/>
  <c r="J4" i="82"/>
  <c r="G4" i="82"/>
  <c r="C4" i="82"/>
  <c r="A4" i="82"/>
  <c r="N3" i="82"/>
  <c r="L3" i="82"/>
  <c r="K3" i="82"/>
  <c r="J3" i="82"/>
  <c r="G3" i="82"/>
  <c r="C3" i="82"/>
  <c r="A3" i="82"/>
  <c r="N2" i="82"/>
  <c r="L2" i="82"/>
  <c r="K2" i="82"/>
  <c r="J2" i="82"/>
  <c r="G2" i="82"/>
  <c r="C2" i="82"/>
  <c r="A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<sst xmlns="http://schemas.openxmlformats.org/spreadsheetml/2006/main" count="166" uniqueCount="104">
  <si>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</si>
  <si>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</si>
  <si>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</si>
  <si>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</si>
  <si>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</si>
  <si>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</si>
  <si>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</si>
  <si>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</si>
  <si>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</si>
  <si>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</si>
  <si>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</si>
  <si>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</si>
  <si>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</si>
  <si>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</si>
  <si>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</si>
  <si>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</si>
  <si>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</si>
  <si>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</si>
  <si>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</si>
  <si>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</si>
  <si>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</si>
  <si>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</si>
  <si>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</si>
  <si>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</si>
  <si>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</si>
  <si>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</si>
  <si>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</si>
  <si>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</si>
  <si>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</si>
  <si>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</si>
  <si>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</si>
  <si>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</si>
  <si>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</si>
  <si>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</si>
  <si>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</si>
  <si>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</si>
  <si>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</si>
  <si>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</si>
  <si>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</si>
  <si>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</si>
  <si>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</si>
  <si>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</si>
  <si>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</si>
  <si>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</si>
  <si>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</si>
  <si>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</si>
  <si>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</si>
  <si>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</si>
  <si>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</si>
  <si>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</si>
  <si>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</si>
  <si>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</si>
  <si>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</si>
  <si>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</si>
  <si>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</si>
  <si>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</si>
  <si>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</si>
  <si>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</si>
  <si>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</si>
  <si>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</si>
  <si>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</si>
  <si>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</si>
  <si>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</si>
  <si>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</si>
  <si>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</si>
  <si>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</si>
  <si>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</si>
  <si>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</si>
  <si>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</si>
  <si>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</si>
  <si>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</si>
  <si>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</si>
  <si>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</si>
  <si>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</si>
  <si>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</si>
  <si>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</si>
  <si>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</si>
  <si>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PremiumNpick</t>
  </si>
  <si>
    <t>PremiumSpick</t>
  </si>
  <si>
    <t>PremiumSSpick</t>
  </si>
  <si>
    <t>14901240</t>
  </si>
  <si>
    <t>1PremiumS5</t>
  </si>
  <si>
    <t>1PremiumSpick5</t>
  </si>
  <si>
    <t>轟炎の天使 ウリエル・スレイヤー</t>
  </si>
  <si>
    <t>red</t>
  </si>
  <si>
    <t>hp</t>
  </si>
  <si>
    <t>machine</t>
  </si>
  <si>
    <t>14901246</t>
  </si>
  <si>
    <t>真癒の天使 ラファエル・メディカ</t>
  </si>
  <si>
    <t>blue</t>
  </si>
  <si>
    <t>balance</t>
  </si>
  <si>
    <t>14901384</t>
  </si>
  <si>
    <t>1PremiumSS5</t>
  </si>
  <si>
    <t>1PremiumSSpick5</t>
  </si>
  <si>
    <t>破国の呑龍 ヤマタノオロチ</t>
  </si>
  <si>
    <t>green</t>
  </si>
  <si>
    <t>dragon</t>
  </si>
  <si>
    <t>14901189</t>
  </si>
  <si>
    <t>1PremiumN5</t>
  </si>
  <si>
    <t>1PremiumNpick5</t>
  </si>
  <si>
    <t>迅雷の王禽 ホルス</t>
  </si>
  <si>
    <t>yellow</t>
  </si>
  <si>
    <t>attack</t>
  </si>
  <si>
    <t>animal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</si>
</sst>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137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38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6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4" borderId="16" xfId="2" applyFont="1" applyFill="1" applyBorder="1" applyAlignment="1">
      <alignment vertical="center"/>
    </xf>
    <xf numFmtId="0" fontId="15" fillId="4" borderId="16" xfId="0" applyFont="1" applyFill="1" applyBorder="1" applyAlignment="1">
      <alignment horizontal="right" vertical="center"/>
    </xf>
    <xf numFmtId="0" fontId="16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6" fillId="0" borderId="17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6" fillId="0" borderId="12" xfId="2" applyFont="1" applyBorder="1" applyAlignment="1">
      <alignment vertical="center"/>
    </xf>
    <xf numFmtId="0" fontId="16" fillId="4" borderId="18" xfId="2" applyFont="1" applyFill="1" applyBorder="1" applyAlignment="1">
      <alignment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0" fillId="4" borderId="12" xfId="0" applyFill="1" applyBorder="1"/>
    <xf numFmtId="0" fontId="18" fillId="24" borderId="1" xfId="0" applyFont="1" applyFill="1" applyBorder="1"/>
    <xf numFmtId="0" fontId="2" fillId="0" borderId="1" xfId="3036" applyFont="1" applyBorder="1"/>
    <xf numFmtId="0" fontId="0" fillId="0" borderId="1" xfId="0" applyFill="1" applyBorder="1" applyAlignment="1">
      <alignment wrapText="1"/>
    </xf>
    <xf numFmtId="38" fontId="0" fillId="4" borderId="1" xfId="3113" applyFont="1" applyFill="1" applyBorder="1"/>
    <xf numFmtId="10" fontId="16" fillId="0" borderId="0" xfId="3114" applyNumberFormat="1" applyFont="1" applyAlignment="1">
      <alignment vertical="center"/>
    </xf>
  </cellXfs>
  <cellStyles count="3137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114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桁区切り" xfId="3113" builtinId="6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NULL</v>
          </cell>
          <cell r="U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NULL</v>
          </cell>
          <cell r="U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NULL</v>
          </cell>
          <cell r="U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NULL</v>
          </cell>
          <cell r="U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NULL</v>
          </cell>
          <cell r="U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NULL</v>
          </cell>
          <cell r="U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NULL</v>
          </cell>
          <cell r="U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NULL</v>
          </cell>
          <cell r="U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NULL</v>
          </cell>
          <cell r="U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NULL</v>
          </cell>
          <cell r="U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NULL</v>
          </cell>
          <cell r="U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NULL</v>
          </cell>
          <cell r="U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NULL</v>
          </cell>
          <cell r="U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NULL</v>
          </cell>
          <cell r="U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NULL</v>
          </cell>
          <cell r="U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NULL</v>
          </cell>
          <cell r="U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NULL</v>
          </cell>
          <cell r="U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NULL</v>
          </cell>
          <cell r="U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NULL</v>
          </cell>
          <cell r="U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NULL</v>
          </cell>
          <cell r="U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NULL</v>
          </cell>
          <cell r="U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NULL</v>
          </cell>
          <cell r="U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NULL</v>
          </cell>
          <cell r="U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NULL</v>
          </cell>
          <cell r="U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NULL</v>
          </cell>
          <cell r="U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NULL</v>
          </cell>
          <cell r="U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NULL</v>
          </cell>
          <cell r="U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NULL</v>
          </cell>
          <cell r="U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NULL</v>
          </cell>
          <cell r="U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NULL</v>
          </cell>
          <cell r="U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NULL</v>
          </cell>
          <cell r="U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NULL</v>
          </cell>
          <cell r="U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NULL</v>
          </cell>
          <cell r="U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NULL</v>
          </cell>
          <cell r="U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NULL</v>
          </cell>
          <cell r="U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NULL</v>
          </cell>
          <cell r="U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NULL</v>
          </cell>
          <cell r="U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NULL</v>
          </cell>
          <cell r="U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NULL</v>
          </cell>
          <cell r="U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NULL</v>
          </cell>
          <cell r="U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NULL</v>
          </cell>
          <cell r="U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NULL</v>
          </cell>
          <cell r="U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NULL</v>
          </cell>
          <cell r="U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NULL</v>
          </cell>
          <cell r="U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NULL</v>
          </cell>
          <cell r="U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NULL</v>
          </cell>
          <cell r="U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NULL</v>
          </cell>
          <cell r="U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NULL</v>
          </cell>
          <cell r="U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NULL</v>
          </cell>
          <cell r="U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NULL</v>
          </cell>
          <cell r="U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NULL</v>
          </cell>
          <cell r="U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NULL</v>
          </cell>
          <cell r="U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NULL</v>
          </cell>
          <cell r="U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NULL</v>
          </cell>
          <cell r="U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NULL</v>
          </cell>
          <cell r="U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NULL</v>
          </cell>
          <cell r="U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NULL</v>
          </cell>
          <cell r="U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NULL</v>
          </cell>
          <cell r="U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NULL</v>
          </cell>
          <cell r="U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NULL</v>
          </cell>
          <cell r="U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NULL</v>
          </cell>
          <cell r="U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NULL</v>
          </cell>
          <cell r="U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NULL</v>
          </cell>
          <cell r="U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NULL</v>
          </cell>
          <cell r="U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NULL</v>
          </cell>
          <cell r="U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NULL</v>
          </cell>
          <cell r="U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NULL</v>
          </cell>
          <cell r="U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NULL</v>
          </cell>
          <cell r="U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NULL</v>
          </cell>
          <cell r="U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NULL</v>
          </cell>
          <cell r="U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NULL</v>
          </cell>
          <cell r="U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NULL</v>
          </cell>
          <cell r="U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NULL</v>
          </cell>
          <cell r="U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NULL</v>
          </cell>
          <cell r="U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NULL</v>
          </cell>
          <cell r="U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NULL</v>
          </cell>
          <cell r="U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NULL</v>
          </cell>
          <cell r="U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NULL</v>
          </cell>
          <cell r="U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NULL</v>
          </cell>
          <cell r="U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NULL</v>
          </cell>
          <cell r="U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NULL</v>
          </cell>
          <cell r="U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NULL</v>
          </cell>
          <cell r="U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NULL</v>
          </cell>
          <cell r="U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NULL</v>
          </cell>
          <cell r="U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NULL</v>
          </cell>
          <cell r="U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NULL</v>
          </cell>
          <cell r="U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NULL</v>
          </cell>
          <cell r="U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NULL</v>
          </cell>
          <cell r="U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NULL</v>
          </cell>
          <cell r="U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NULL</v>
          </cell>
          <cell r="U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NULL</v>
          </cell>
          <cell r="U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NULL</v>
          </cell>
          <cell r="U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NULL</v>
          </cell>
          <cell r="U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NULL</v>
          </cell>
          <cell r="U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NULL</v>
          </cell>
          <cell r="U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NULL</v>
          </cell>
          <cell r="U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NULL</v>
          </cell>
          <cell r="U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NULL</v>
          </cell>
          <cell r="U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NULL</v>
          </cell>
          <cell r="U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NULL</v>
          </cell>
          <cell r="U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NULL</v>
          </cell>
          <cell r="U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NULL</v>
          </cell>
          <cell r="U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NULL</v>
          </cell>
          <cell r="U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NULL</v>
          </cell>
          <cell r="U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NULL</v>
          </cell>
          <cell r="U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NULL</v>
          </cell>
          <cell r="U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NULL</v>
          </cell>
          <cell r="U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NULL</v>
          </cell>
          <cell r="U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NULL</v>
          </cell>
          <cell r="U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NULL</v>
          </cell>
          <cell r="U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NULL</v>
          </cell>
          <cell r="U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NULL</v>
          </cell>
          <cell r="U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NULL</v>
          </cell>
          <cell r="U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NULL</v>
          </cell>
          <cell r="U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NULL</v>
          </cell>
          <cell r="U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NULL</v>
          </cell>
          <cell r="U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NULL</v>
          </cell>
          <cell r="U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NULL</v>
          </cell>
          <cell r="U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NULL</v>
          </cell>
          <cell r="U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NULL</v>
          </cell>
          <cell r="U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NULL</v>
          </cell>
          <cell r="U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NULL</v>
          </cell>
          <cell r="U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NULL</v>
          </cell>
          <cell r="U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NULL</v>
          </cell>
          <cell r="U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NULL</v>
          </cell>
          <cell r="U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NULL</v>
          </cell>
          <cell r="U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NULL</v>
          </cell>
          <cell r="U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NULL</v>
          </cell>
          <cell r="U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NULL</v>
          </cell>
          <cell r="U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NULL</v>
          </cell>
          <cell r="U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NULL</v>
          </cell>
          <cell r="U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NULL</v>
          </cell>
          <cell r="U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NULL</v>
          </cell>
          <cell r="U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NULL</v>
          </cell>
          <cell r="U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NULL</v>
          </cell>
          <cell r="U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NULL</v>
          </cell>
          <cell r="U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NULL</v>
          </cell>
          <cell r="U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NULL</v>
          </cell>
          <cell r="U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NULL</v>
          </cell>
          <cell r="U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NULL</v>
          </cell>
          <cell r="U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NULL</v>
          </cell>
          <cell r="U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NULL</v>
          </cell>
          <cell r="U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NULL</v>
          </cell>
          <cell r="U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NULL</v>
          </cell>
          <cell r="U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NULL</v>
          </cell>
          <cell r="U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NULL</v>
          </cell>
          <cell r="U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NULL</v>
          </cell>
          <cell r="U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NULL</v>
          </cell>
          <cell r="U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NULL</v>
          </cell>
          <cell r="U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NULL</v>
          </cell>
          <cell r="U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NULL</v>
          </cell>
          <cell r="U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NULL</v>
          </cell>
          <cell r="U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NULL</v>
          </cell>
          <cell r="U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NULL</v>
          </cell>
          <cell r="U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NULL</v>
          </cell>
          <cell r="U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NULL</v>
          </cell>
          <cell r="U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NULL</v>
          </cell>
          <cell r="U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NULL</v>
          </cell>
          <cell r="U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NULL</v>
          </cell>
          <cell r="U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NULL</v>
          </cell>
          <cell r="U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NULL</v>
          </cell>
          <cell r="U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NULL</v>
          </cell>
          <cell r="U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NULL</v>
          </cell>
          <cell r="U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NULL</v>
          </cell>
          <cell r="U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NULL</v>
          </cell>
          <cell r="U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NULL</v>
          </cell>
          <cell r="U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NULL</v>
          </cell>
          <cell r="U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NULL</v>
          </cell>
          <cell r="U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NULL</v>
          </cell>
          <cell r="U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NULL</v>
          </cell>
          <cell r="U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NULL</v>
          </cell>
          <cell r="U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NULL</v>
          </cell>
          <cell r="U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NULL</v>
          </cell>
          <cell r="U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NULL</v>
          </cell>
          <cell r="U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NULL</v>
          </cell>
          <cell r="U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NULL</v>
          </cell>
          <cell r="U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NULL</v>
          </cell>
          <cell r="U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NULL</v>
          </cell>
          <cell r="U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NULL</v>
          </cell>
          <cell r="U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NULL</v>
          </cell>
          <cell r="U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NULL</v>
          </cell>
          <cell r="U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NULL</v>
          </cell>
          <cell r="U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NULL</v>
          </cell>
          <cell r="U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NULL</v>
          </cell>
          <cell r="U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NULL</v>
          </cell>
          <cell r="U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NULL</v>
          </cell>
          <cell r="U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NULL</v>
          </cell>
          <cell r="U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NULL</v>
          </cell>
          <cell r="U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NULL</v>
          </cell>
          <cell r="U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NULL</v>
          </cell>
          <cell r="U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NULL</v>
          </cell>
          <cell r="U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NULL</v>
          </cell>
          <cell r="U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NULL</v>
          </cell>
          <cell r="U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NULL</v>
          </cell>
          <cell r="U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NULL</v>
          </cell>
          <cell r="U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NULL</v>
          </cell>
          <cell r="U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NULL</v>
          </cell>
          <cell r="U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NULL</v>
          </cell>
          <cell r="U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NULL</v>
          </cell>
          <cell r="U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NULL</v>
          </cell>
          <cell r="U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NULL</v>
          </cell>
          <cell r="U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NULL</v>
          </cell>
          <cell r="U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NULL</v>
          </cell>
          <cell r="U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NULL</v>
          </cell>
          <cell r="U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NULL</v>
          </cell>
          <cell r="U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NULL</v>
          </cell>
          <cell r="U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NULL</v>
          </cell>
          <cell r="U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NULL</v>
          </cell>
          <cell r="U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NULL</v>
          </cell>
          <cell r="U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NULL</v>
          </cell>
          <cell r="U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NULL</v>
          </cell>
          <cell r="U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NULL</v>
          </cell>
          <cell r="U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NULL</v>
          </cell>
          <cell r="U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NULL</v>
          </cell>
          <cell r="U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NULL</v>
          </cell>
          <cell r="U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NULL</v>
          </cell>
          <cell r="U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NULL</v>
          </cell>
          <cell r="U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NULL</v>
          </cell>
          <cell r="U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NULL</v>
          </cell>
          <cell r="U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NULL</v>
          </cell>
          <cell r="U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NULL</v>
          </cell>
          <cell r="U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NULL</v>
          </cell>
          <cell r="U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NULL</v>
          </cell>
          <cell r="U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NULL</v>
          </cell>
          <cell r="U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NULL</v>
          </cell>
          <cell r="U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NULL</v>
          </cell>
          <cell r="U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NULL</v>
          </cell>
          <cell r="U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NULL</v>
          </cell>
          <cell r="U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NULL</v>
          </cell>
          <cell r="U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NULL</v>
          </cell>
          <cell r="U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NULL</v>
          </cell>
          <cell r="U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NULL</v>
          </cell>
          <cell r="U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NULL</v>
          </cell>
          <cell r="U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NULL</v>
          </cell>
          <cell r="U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NULL</v>
          </cell>
          <cell r="U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NULL</v>
          </cell>
          <cell r="U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NULL</v>
          </cell>
          <cell r="U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NULL</v>
          </cell>
          <cell r="U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NULL</v>
          </cell>
          <cell r="U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NULL</v>
          </cell>
          <cell r="U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NULL</v>
          </cell>
          <cell r="U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NULL</v>
          </cell>
          <cell r="U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NULL</v>
          </cell>
          <cell r="U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NULL</v>
          </cell>
          <cell r="U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NULL</v>
          </cell>
          <cell r="U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NULL</v>
          </cell>
          <cell r="U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NULL</v>
          </cell>
          <cell r="U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NULL</v>
          </cell>
          <cell r="U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NULL</v>
          </cell>
          <cell r="U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NULL</v>
          </cell>
          <cell r="U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NULL</v>
          </cell>
          <cell r="U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NULL</v>
          </cell>
          <cell r="U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NULL</v>
          </cell>
          <cell r="U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NULL</v>
          </cell>
          <cell r="U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NULL</v>
          </cell>
          <cell r="U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NULL</v>
          </cell>
          <cell r="U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NULL</v>
          </cell>
          <cell r="U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NULL</v>
          </cell>
          <cell r="U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NULL</v>
          </cell>
          <cell r="U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NULL</v>
          </cell>
          <cell r="U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NULL</v>
          </cell>
          <cell r="U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NULL</v>
          </cell>
          <cell r="U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NULL</v>
          </cell>
          <cell r="U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NULL</v>
          </cell>
          <cell r="U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NULL</v>
          </cell>
          <cell r="U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NULL</v>
          </cell>
          <cell r="U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NULL</v>
          </cell>
          <cell r="U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NULL</v>
          </cell>
          <cell r="U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NULL</v>
          </cell>
          <cell r="U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NULL</v>
          </cell>
          <cell r="U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NULL</v>
          </cell>
          <cell r="U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NULL</v>
          </cell>
          <cell r="U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NULL</v>
          </cell>
          <cell r="U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NULL</v>
          </cell>
          <cell r="U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NULL</v>
          </cell>
          <cell r="U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NULL</v>
          </cell>
          <cell r="U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NULL</v>
          </cell>
          <cell r="U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NULL</v>
          </cell>
          <cell r="U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NULL</v>
          </cell>
          <cell r="U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NULL</v>
          </cell>
          <cell r="U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NULL</v>
          </cell>
          <cell r="U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NULL</v>
          </cell>
          <cell r="U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NULL</v>
          </cell>
          <cell r="U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NULL</v>
          </cell>
          <cell r="U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NULL</v>
          </cell>
          <cell r="U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NULL</v>
          </cell>
          <cell r="U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NULL</v>
          </cell>
          <cell r="U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NULL</v>
          </cell>
          <cell r="U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NULL</v>
          </cell>
          <cell r="U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NULL</v>
          </cell>
          <cell r="U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NULL</v>
          </cell>
          <cell r="U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NULL</v>
          </cell>
          <cell r="U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NULL</v>
          </cell>
          <cell r="U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NULL</v>
          </cell>
          <cell r="U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NULL</v>
          </cell>
          <cell r="U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NULL</v>
          </cell>
          <cell r="U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NULL</v>
          </cell>
          <cell r="U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NULL</v>
          </cell>
          <cell r="U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NULL</v>
          </cell>
          <cell r="U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NULL</v>
          </cell>
          <cell r="U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NULL</v>
          </cell>
          <cell r="U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NULL</v>
          </cell>
          <cell r="U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NULL</v>
          </cell>
          <cell r="U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NULL</v>
          </cell>
          <cell r="U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NULL</v>
          </cell>
          <cell r="U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NULL</v>
          </cell>
          <cell r="U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NULL</v>
          </cell>
          <cell r="U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NULL</v>
          </cell>
          <cell r="U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NULL</v>
          </cell>
          <cell r="U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NULL</v>
          </cell>
          <cell r="U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NULL</v>
          </cell>
          <cell r="U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NULL</v>
          </cell>
          <cell r="U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NULL</v>
          </cell>
          <cell r="U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NULL</v>
          </cell>
          <cell r="U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NULL</v>
          </cell>
          <cell r="U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NULL</v>
          </cell>
          <cell r="U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NULL</v>
          </cell>
          <cell r="U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NULL</v>
          </cell>
          <cell r="U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NULL</v>
          </cell>
          <cell r="U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NULL</v>
          </cell>
          <cell r="U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NULL</v>
          </cell>
          <cell r="U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NULL</v>
          </cell>
          <cell r="U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NULL</v>
          </cell>
          <cell r="U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NULL</v>
          </cell>
          <cell r="U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NULL</v>
          </cell>
          <cell r="U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NULL</v>
          </cell>
          <cell r="U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NULL</v>
          </cell>
          <cell r="U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NULL</v>
          </cell>
          <cell r="U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NULL</v>
          </cell>
          <cell r="U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  <cell r="N331" t="str">
            <v>Unknown</v>
          </cell>
          <cell r="O331" t="str">
            <v>none</v>
          </cell>
          <cell r="P331" t="str">
            <v>種族なし</v>
          </cell>
          <cell r="R331">
            <v>1</v>
          </cell>
          <cell r="S331" t="str">
            <v>NULL</v>
          </cell>
          <cell r="T331" t="str">
            <v>NULL</v>
          </cell>
          <cell r="U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1</v>
          </cell>
          <cell r="S332" t="str">
            <v>NULL</v>
          </cell>
          <cell r="T332" t="str">
            <v>NULL</v>
          </cell>
          <cell r="U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NULL</v>
          </cell>
          <cell r="U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NULL</v>
          </cell>
          <cell r="U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NULL</v>
          </cell>
          <cell r="U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NULL</v>
          </cell>
          <cell r="U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NULL</v>
          </cell>
          <cell r="U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NULL</v>
          </cell>
          <cell r="U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NULL</v>
          </cell>
          <cell r="U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NULL</v>
          </cell>
          <cell r="U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NULL</v>
          </cell>
          <cell r="U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NULL</v>
          </cell>
          <cell r="U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NULL</v>
          </cell>
          <cell r="U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NULL</v>
          </cell>
          <cell r="U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NULL</v>
          </cell>
          <cell r="U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NULL</v>
          </cell>
          <cell r="U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NULL</v>
          </cell>
          <cell r="U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NULL</v>
          </cell>
          <cell r="U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NULL</v>
          </cell>
          <cell r="U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NULL</v>
          </cell>
          <cell r="U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NULL</v>
          </cell>
          <cell r="U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NULL</v>
          </cell>
          <cell r="U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NULL</v>
          </cell>
          <cell r="U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NULL</v>
          </cell>
          <cell r="U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NULL</v>
          </cell>
          <cell r="U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NULL</v>
          </cell>
          <cell r="U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1</v>
          </cell>
          <cell r="S357" t="str">
            <v>NULL</v>
          </cell>
          <cell r="T357" t="str">
            <v>NULL</v>
          </cell>
          <cell r="U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NULL</v>
          </cell>
          <cell r="U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1</v>
          </cell>
          <cell r="S359" t="str">
            <v>NULL</v>
          </cell>
          <cell r="T359" t="str">
            <v>NULL</v>
          </cell>
          <cell r="U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1</v>
          </cell>
          <cell r="S360" t="str">
            <v>NULL</v>
          </cell>
          <cell r="T360" t="str">
            <v>NULL</v>
          </cell>
          <cell r="U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NULL</v>
          </cell>
          <cell r="U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NULL</v>
          </cell>
          <cell r="U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NULL</v>
          </cell>
          <cell r="U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NULL</v>
          </cell>
          <cell r="U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NULL</v>
          </cell>
          <cell r="U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NULL</v>
          </cell>
          <cell r="U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NULL</v>
          </cell>
          <cell r="U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NULL</v>
          </cell>
          <cell r="U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NULL</v>
          </cell>
          <cell r="U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NULL</v>
          </cell>
          <cell r="U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  <cell r="N371" t="str">
            <v>ヒューマン</v>
          </cell>
          <cell r="O371" t="str">
            <v>none</v>
          </cell>
          <cell r="P371" t="str">
            <v>種族なし</v>
          </cell>
          <cell r="R371">
            <v>1</v>
          </cell>
          <cell r="S371" t="str">
            <v>NULL</v>
          </cell>
          <cell r="T371" t="str">
            <v>NULL</v>
          </cell>
          <cell r="U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  <cell r="N372" t="str">
            <v>ヒューマン</v>
          </cell>
          <cell r="O372" t="str">
            <v>none</v>
          </cell>
          <cell r="P372" t="str">
            <v>種族なし</v>
          </cell>
          <cell r="R372">
            <v>1</v>
          </cell>
          <cell r="S372" t="str">
            <v>NULL</v>
          </cell>
          <cell r="T372" t="str">
            <v>NULL</v>
          </cell>
          <cell r="U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  <cell r="N373" t="str">
            <v>ヒューマン</v>
          </cell>
          <cell r="O373" t="str">
            <v>none</v>
          </cell>
          <cell r="P373" t="str">
            <v>種族なし</v>
          </cell>
          <cell r="R373">
            <v>1</v>
          </cell>
          <cell r="S373" t="str">
            <v>NULL</v>
          </cell>
          <cell r="T373" t="str">
            <v>NULL</v>
          </cell>
          <cell r="U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  <cell r="N374" t="str">
            <v>ヒューマン</v>
          </cell>
          <cell r="O374" t="str">
            <v>none</v>
          </cell>
          <cell r="P374" t="str">
            <v>種族なし</v>
          </cell>
          <cell r="R374">
            <v>1</v>
          </cell>
          <cell r="S374" t="str">
            <v>NULL</v>
          </cell>
          <cell r="T374" t="str">
            <v>NULL</v>
          </cell>
          <cell r="U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  <cell r="N375" t="str">
            <v>ヒューマン</v>
          </cell>
          <cell r="O375" t="str">
            <v>none</v>
          </cell>
          <cell r="P375" t="str">
            <v>種族なし</v>
          </cell>
          <cell r="R375">
            <v>1</v>
          </cell>
          <cell r="S375" t="str">
            <v>NULL</v>
          </cell>
          <cell r="T375" t="str">
            <v>NULL</v>
          </cell>
          <cell r="U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  <cell r="N376" t="str">
            <v>ヒューマン</v>
          </cell>
          <cell r="O376" t="str">
            <v>none</v>
          </cell>
          <cell r="P376" t="str">
            <v>種族なし</v>
          </cell>
          <cell r="R376">
            <v>1</v>
          </cell>
          <cell r="S376" t="str">
            <v>NULL</v>
          </cell>
          <cell r="T376" t="str">
            <v>NULL</v>
          </cell>
          <cell r="U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  <cell r="N377" t="str">
            <v>ヒューマン</v>
          </cell>
          <cell r="O377" t="str">
            <v>none</v>
          </cell>
          <cell r="P377" t="str">
            <v>種族なし</v>
          </cell>
          <cell r="R377">
            <v>1</v>
          </cell>
          <cell r="S377" t="str">
            <v>NULL</v>
          </cell>
          <cell r="T377" t="str">
            <v>NULL</v>
          </cell>
          <cell r="U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  <cell r="N378" t="str">
            <v>ヒューマン</v>
          </cell>
          <cell r="O378" t="str">
            <v>none</v>
          </cell>
          <cell r="P378" t="str">
            <v>種族なし</v>
          </cell>
          <cell r="R378">
            <v>1</v>
          </cell>
          <cell r="S378" t="str">
            <v>NULL</v>
          </cell>
          <cell r="T378" t="str">
            <v>NULL</v>
          </cell>
          <cell r="U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NULL</v>
          </cell>
          <cell r="U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NULL</v>
          </cell>
          <cell r="U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NULL</v>
          </cell>
          <cell r="U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NULL</v>
          </cell>
          <cell r="U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NULL</v>
          </cell>
          <cell r="U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NULL</v>
          </cell>
          <cell r="U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NULL</v>
          </cell>
          <cell r="U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NULL</v>
          </cell>
          <cell r="U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NULL</v>
          </cell>
          <cell r="U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NULL</v>
          </cell>
          <cell r="U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NULL</v>
          </cell>
          <cell r="U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NULL</v>
          </cell>
          <cell r="U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NULL</v>
          </cell>
          <cell r="U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NULL</v>
          </cell>
          <cell r="U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NULL</v>
          </cell>
          <cell r="U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NULL</v>
          </cell>
          <cell r="U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NULL</v>
          </cell>
          <cell r="U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NULL</v>
          </cell>
          <cell r="U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NULL</v>
          </cell>
          <cell r="U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NULL</v>
          </cell>
          <cell r="U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NULL</v>
          </cell>
          <cell r="U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NULL</v>
          </cell>
          <cell r="U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NULL</v>
          </cell>
          <cell r="U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NULL</v>
          </cell>
          <cell r="U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NULL</v>
          </cell>
          <cell r="U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NULL</v>
          </cell>
          <cell r="U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NULL</v>
          </cell>
          <cell r="U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NULL</v>
          </cell>
          <cell r="U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NULL</v>
          </cell>
          <cell r="U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NULL</v>
          </cell>
          <cell r="U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NULL</v>
          </cell>
          <cell r="U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NULL</v>
          </cell>
          <cell r="U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  <cell r="N411" t="str">
            <v>Unknown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1</v>
          </cell>
          <cell r="S411" t="str">
            <v>NULL</v>
          </cell>
          <cell r="T411" t="str">
            <v>NULL</v>
          </cell>
          <cell r="U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  <cell r="N412" t="str">
            <v>Unknown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1</v>
          </cell>
          <cell r="S412" t="str">
            <v>NULL</v>
          </cell>
          <cell r="T412" t="str">
            <v>NULL</v>
          </cell>
          <cell r="U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1</v>
          </cell>
          <cell r="S413" t="str">
            <v>NULL</v>
          </cell>
          <cell r="T413" t="str">
            <v>NULL</v>
          </cell>
          <cell r="U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1</v>
          </cell>
          <cell r="S414" t="str">
            <v>NULL</v>
          </cell>
          <cell r="T414" t="str">
            <v>NULL</v>
          </cell>
          <cell r="U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アタッカー</v>
          </cell>
          <cell r="R415">
            <v>1</v>
          </cell>
          <cell r="S415" t="str">
            <v>NULL</v>
          </cell>
          <cell r="T415" t="str">
            <v>NULL</v>
          </cell>
          <cell r="U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アタッカー</v>
          </cell>
          <cell r="R416">
            <v>1</v>
          </cell>
          <cell r="S416" t="str">
            <v>NULL</v>
          </cell>
          <cell r="T416" t="str">
            <v>NULL</v>
          </cell>
          <cell r="U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アタッカー</v>
          </cell>
          <cell r="R417">
            <v>1</v>
          </cell>
          <cell r="S417" t="str">
            <v>NULL</v>
          </cell>
          <cell r="T417" t="str">
            <v>NULL</v>
          </cell>
          <cell r="U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アタッカー</v>
          </cell>
          <cell r="R418">
            <v>1</v>
          </cell>
          <cell r="S418" t="str">
            <v>NULL</v>
          </cell>
          <cell r="T418" t="str">
            <v>NULL</v>
          </cell>
          <cell r="U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NULL</v>
          </cell>
          <cell r="U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NULL</v>
          </cell>
          <cell r="U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NULL</v>
          </cell>
          <cell r="U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NULL</v>
          </cell>
          <cell r="U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NULL</v>
          </cell>
          <cell r="U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NULL</v>
          </cell>
          <cell r="U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NULL</v>
          </cell>
          <cell r="U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NULL</v>
          </cell>
          <cell r="U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NULL</v>
          </cell>
          <cell r="U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NULL</v>
          </cell>
          <cell r="U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NULL</v>
          </cell>
          <cell r="U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NULL</v>
          </cell>
          <cell r="U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1</v>
          </cell>
          <cell r="S431" t="str">
            <v>NULL</v>
          </cell>
          <cell r="T431" t="str">
            <v>NULL</v>
          </cell>
          <cell r="U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1</v>
          </cell>
          <cell r="S432" t="str">
            <v>NULL</v>
          </cell>
          <cell r="T432" t="str">
            <v>NULL</v>
          </cell>
          <cell r="U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NULL</v>
          </cell>
          <cell r="U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NULL</v>
          </cell>
          <cell r="U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NULL</v>
          </cell>
          <cell r="U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NULL</v>
          </cell>
          <cell r="U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NULL</v>
          </cell>
          <cell r="U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NULL</v>
          </cell>
          <cell r="U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NULL</v>
          </cell>
          <cell r="U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NULL</v>
          </cell>
          <cell r="U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NULL</v>
          </cell>
          <cell r="U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NULL</v>
          </cell>
          <cell r="U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NULL</v>
          </cell>
          <cell r="U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NULL</v>
          </cell>
          <cell r="U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  <cell r="N445" t="str">
            <v>ヒューマン</v>
          </cell>
          <cell r="O445" t="str">
            <v>none</v>
          </cell>
          <cell r="P445" t="str">
            <v>種族なし</v>
          </cell>
          <cell r="Q445" t="str">
            <v>アタッカー</v>
          </cell>
          <cell r="R445">
            <v>1</v>
          </cell>
          <cell r="S445" t="str">
            <v>NULL</v>
          </cell>
          <cell r="T445" t="str">
            <v>NULL</v>
          </cell>
          <cell r="U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  <cell r="N446" t="str">
            <v>ヒューマン</v>
          </cell>
          <cell r="O446" t="str">
            <v>none</v>
          </cell>
          <cell r="P446" t="str">
            <v>種族なし</v>
          </cell>
          <cell r="Q446" t="str">
            <v>アタッカー</v>
          </cell>
          <cell r="R446">
            <v>1</v>
          </cell>
          <cell r="S446" t="str">
            <v>NULL</v>
          </cell>
          <cell r="T446" t="str">
            <v>NULL</v>
          </cell>
          <cell r="U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  <cell r="N447" t="str">
            <v>ヒューマン</v>
          </cell>
          <cell r="O447" t="str">
            <v>none</v>
          </cell>
          <cell r="P447" t="str">
            <v>種族なし</v>
          </cell>
          <cell r="Q447" t="str">
            <v>アタッカー</v>
          </cell>
          <cell r="R447">
            <v>1</v>
          </cell>
          <cell r="S447" t="str">
            <v>NULL</v>
          </cell>
          <cell r="T447" t="str">
            <v>NULL</v>
          </cell>
          <cell r="U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  <cell r="N448" t="str">
            <v>ヒューマン</v>
          </cell>
          <cell r="O448" t="str">
            <v>none</v>
          </cell>
          <cell r="P448" t="str">
            <v>種族なし</v>
          </cell>
          <cell r="Q448" t="str">
            <v>アタッカー</v>
          </cell>
          <cell r="R448">
            <v>1</v>
          </cell>
          <cell r="S448" t="str">
            <v>NULL</v>
          </cell>
          <cell r="T448" t="str">
            <v>NULL</v>
          </cell>
          <cell r="U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1</v>
          </cell>
          <cell r="S449" t="str">
            <v>NULL</v>
          </cell>
          <cell r="T449" t="str">
            <v>NULL</v>
          </cell>
          <cell r="U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NULL</v>
          </cell>
          <cell r="U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NULL</v>
          </cell>
          <cell r="U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1</v>
          </cell>
          <cell r="S452" t="str">
            <v>NULL</v>
          </cell>
          <cell r="T452" t="str">
            <v>NULL</v>
          </cell>
          <cell r="U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1</v>
          </cell>
          <cell r="S453" t="str">
            <v>NULL</v>
          </cell>
          <cell r="T453" t="str">
            <v>NULL</v>
          </cell>
          <cell r="U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1</v>
          </cell>
          <cell r="S454" t="str">
            <v>NULL</v>
          </cell>
          <cell r="T454" t="str">
            <v>NULL</v>
          </cell>
          <cell r="U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1</v>
          </cell>
          <cell r="S455" t="str">
            <v>NULL</v>
          </cell>
          <cell r="T455" t="str">
            <v>NULL</v>
          </cell>
          <cell r="U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1</v>
          </cell>
          <cell r="S456" t="str">
            <v>NULL</v>
          </cell>
          <cell r="T456" t="str">
            <v>NULL</v>
          </cell>
          <cell r="U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1</v>
          </cell>
          <cell r="S457" t="str">
            <v>NULL</v>
          </cell>
          <cell r="T457" t="str">
            <v>NULL</v>
          </cell>
          <cell r="U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1</v>
          </cell>
          <cell r="S458" t="str">
            <v>NULL</v>
          </cell>
          <cell r="T458" t="str">
            <v>NULL</v>
          </cell>
          <cell r="U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1</v>
          </cell>
          <cell r="S459" t="str">
            <v>NULL</v>
          </cell>
          <cell r="T459" t="str">
            <v>NULL</v>
          </cell>
          <cell r="U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1</v>
          </cell>
          <cell r="S460" t="str">
            <v>NULL</v>
          </cell>
          <cell r="T460" t="str">
            <v>NULL</v>
          </cell>
          <cell r="U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1</v>
          </cell>
          <cell r="S461" t="str">
            <v>NULL</v>
          </cell>
          <cell r="T461" t="str">
            <v>NULL</v>
          </cell>
          <cell r="U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1</v>
          </cell>
          <cell r="S462" t="str">
            <v>NULL</v>
          </cell>
          <cell r="T462" t="str">
            <v>NULL</v>
          </cell>
          <cell r="U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1</v>
          </cell>
          <cell r="S463" t="str">
            <v>NULL</v>
          </cell>
          <cell r="T463" t="str">
            <v>NULL</v>
          </cell>
          <cell r="U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1</v>
          </cell>
          <cell r="S464" t="str">
            <v>NULL</v>
          </cell>
          <cell r="T464" t="str">
            <v>NULL</v>
          </cell>
          <cell r="U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1</v>
          </cell>
          <cell r="S465" t="str">
            <v>NULL</v>
          </cell>
          <cell r="T465" t="str">
            <v>NULL</v>
          </cell>
          <cell r="U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1</v>
          </cell>
          <cell r="S466" t="str">
            <v>NULL</v>
          </cell>
          <cell r="T466" t="str">
            <v>NULL</v>
          </cell>
          <cell r="U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1</v>
          </cell>
          <cell r="S467" t="str">
            <v>NULL</v>
          </cell>
          <cell r="T467" t="str">
            <v>NULL</v>
          </cell>
          <cell r="U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1</v>
          </cell>
          <cell r="S468" t="str">
            <v>NULL</v>
          </cell>
          <cell r="T468" t="str">
            <v>NULL</v>
          </cell>
          <cell r="U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1</v>
          </cell>
          <cell r="S469" t="str">
            <v>NULL</v>
          </cell>
          <cell r="T469" t="str">
            <v>NULL</v>
          </cell>
          <cell r="U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1</v>
          </cell>
          <cell r="S470" t="str">
            <v>NULL</v>
          </cell>
          <cell r="T470" t="str">
            <v>NULL</v>
          </cell>
          <cell r="U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1</v>
          </cell>
          <cell r="S471" t="str">
            <v>NULL</v>
          </cell>
          <cell r="T471" t="str">
            <v>NULL</v>
          </cell>
          <cell r="U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1</v>
          </cell>
          <cell r="S472" t="str">
            <v>NULL</v>
          </cell>
          <cell r="T472" t="str">
            <v>NULL</v>
          </cell>
          <cell r="U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1</v>
          </cell>
          <cell r="S473" t="str">
            <v>NULL</v>
          </cell>
          <cell r="T473" t="str">
            <v>NULL</v>
          </cell>
          <cell r="U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1</v>
          </cell>
          <cell r="S474" t="str">
            <v>NULL</v>
          </cell>
          <cell r="T474" t="str">
            <v>NULL</v>
          </cell>
          <cell r="U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  <cell r="N475" t="str">
            <v>ヒューマン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1</v>
          </cell>
          <cell r="S475" t="str">
            <v>NULL</v>
          </cell>
          <cell r="T475" t="str">
            <v>NULL</v>
          </cell>
          <cell r="U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  <cell r="N476" t="str">
            <v>ヒューマン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1</v>
          </cell>
          <cell r="S476" t="str">
            <v>NULL</v>
          </cell>
          <cell r="T476" t="str">
            <v>NULL</v>
          </cell>
          <cell r="U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  <cell r="N477" t="str">
            <v>ヒューマン</v>
          </cell>
          <cell r="O477" t="str">
            <v>animal</v>
          </cell>
          <cell r="P477" t="str">
            <v>アニマル</v>
          </cell>
          <cell r="Q477" t="str">
            <v>アタッカー</v>
          </cell>
          <cell r="R477">
            <v>1</v>
          </cell>
          <cell r="S477" t="str">
            <v>NULL</v>
          </cell>
          <cell r="T477" t="str">
            <v>NULL</v>
          </cell>
          <cell r="U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  <cell r="N478" t="str">
            <v>ヒューマン</v>
          </cell>
          <cell r="O478" t="str">
            <v>machine</v>
          </cell>
          <cell r="P478" t="str">
            <v>マシン</v>
          </cell>
          <cell r="Q478" t="str">
            <v>アタッカー</v>
          </cell>
          <cell r="R478">
            <v>1</v>
          </cell>
          <cell r="S478" t="str">
            <v>NULL</v>
          </cell>
          <cell r="T478" t="str">
            <v>NULL</v>
          </cell>
          <cell r="U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  <cell r="N479" t="str">
            <v>ヒューマン</v>
          </cell>
          <cell r="O479" t="str">
            <v>animal</v>
          </cell>
          <cell r="P479" t="str">
            <v>アニマル</v>
          </cell>
          <cell r="Q479" t="str">
            <v>アタッカー</v>
          </cell>
          <cell r="R479">
            <v>1</v>
          </cell>
          <cell r="S479" t="str">
            <v>NULL</v>
          </cell>
          <cell r="T479" t="str">
            <v>NULL</v>
          </cell>
          <cell r="U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  <cell r="N480" t="str">
            <v>ヒューマン</v>
          </cell>
          <cell r="O480" t="str">
            <v>unknown</v>
          </cell>
          <cell r="P480" t="str">
            <v>Unknown</v>
          </cell>
          <cell r="Q480" t="str">
            <v>アタッカー</v>
          </cell>
          <cell r="R480">
            <v>1</v>
          </cell>
          <cell r="S480" t="str">
            <v>NULL</v>
          </cell>
          <cell r="T480" t="str">
            <v>NULL</v>
          </cell>
          <cell r="U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  <cell r="N481" t="str">
            <v>ドラゴン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1</v>
          </cell>
          <cell r="S481" t="str">
            <v>NULL</v>
          </cell>
          <cell r="T481" t="str">
            <v>NULL</v>
          </cell>
          <cell r="U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  <cell r="N482" t="str">
            <v>ドラゴン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1</v>
          </cell>
          <cell r="S482" t="str">
            <v>NULL</v>
          </cell>
          <cell r="T482" t="str">
            <v>NULL</v>
          </cell>
          <cell r="U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  <cell r="N483" t="str">
            <v>Unknown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1</v>
          </cell>
          <cell r="S483" t="str">
            <v>NULL</v>
          </cell>
          <cell r="T483" t="str">
            <v>NULL</v>
          </cell>
          <cell r="U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  <cell r="N484" t="str">
            <v>Unknown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1</v>
          </cell>
          <cell r="S484" t="str">
            <v>NULL</v>
          </cell>
          <cell r="T484" t="str">
            <v>NULL</v>
          </cell>
          <cell r="U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  <cell r="N485" t="str">
            <v>Unknown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1</v>
          </cell>
          <cell r="S485" t="str">
            <v>NULL</v>
          </cell>
          <cell r="T485" t="str">
            <v>NULL</v>
          </cell>
          <cell r="U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  <cell r="N486" t="str">
            <v>ゴッド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1</v>
          </cell>
          <cell r="S486" t="str">
            <v>NULL</v>
          </cell>
          <cell r="T486" t="str">
            <v>NULL</v>
          </cell>
          <cell r="U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  <cell r="N487" t="str">
            <v>ゴッド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1</v>
          </cell>
          <cell r="S487" t="str">
            <v>NULL</v>
          </cell>
          <cell r="T487" t="str">
            <v>NULL</v>
          </cell>
          <cell r="U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  <cell r="N488" t="str">
            <v>ヒューマン</v>
          </cell>
          <cell r="O488" t="str">
            <v>none</v>
          </cell>
          <cell r="P488" t="str">
            <v>種族なし</v>
          </cell>
          <cell r="Q488" t="str">
            <v>アタッカー</v>
          </cell>
          <cell r="R488">
            <v>1</v>
          </cell>
          <cell r="S488" t="str">
            <v>NULL</v>
          </cell>
          <cell r="T488" t="str">
            <v>NULL</v>
          </cell>
          <cell r="U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1</v>
          </cell>
          <cell r="S489" t="str">
            <v>NULL</v>
          </cell>
          <cell r="T489" t="str">
            <v>NULL</v>
          </cell>
          <cell r="U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1</v>
          </cell>
          <cell r="S490" t="str">
            <v>NULL</v>
          </cell>
          <cell r="T490" t="str">
            <v>NULL</v>
          </cell>
          <cell r="U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イル・グリム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  <cell r="N491" t="str">
            <v>ヒューマン</v>
          </cell>
          <cell r="O491" t="str">
            <v>none</v>
          </cell>
          <cell r="P491" t="str">
            <v>種族なし</v>
          </cell>
          <cell r="Q491" t="str">
            <v>アタッカー</v>
          </cell>
          <cell r="R491">
            <v>0</v>
          </cell>
          <cell r="S491" t="str">
            <v>NULL</v>
          </cell>
          <cell r="T491" t="str">
            <v>NULL</v>
          </cell>
          <cell r="U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収魂の操軍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  <cell r="N492" t="str">
            <v>ヒューマン</v>
          </cell>
          <cell r="O492" t="str">
            <v>none</v>
          </cell>
          <cell r="P492" t="str">
            <v>種族なし</v>
          </cell>
          <cell r="Q492" t="str">
            <v>アタッカー</v>
          </cell>
          <cell r="R492">
            <v>0</v>
          </cell>
          <cell r="S492" t="str">
            <v>NULL</v>
          </cell>
          <cell r="T492" t="str">
            <v>NULL</v>
          </cell>
          <cell r="U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  <cell r="N493" t="str">
            <v>ヒューマン</v>
          </cell>
          <cell r="O493" t="str">
            <v>none</v>
          </cell>
          <cell r="P493" t="str">
            <v>種族なし</v>
          </cell>
          <cell r="Q493" t="str">
            <v>アタッカー</v>
          </cell>
          <cell r="R493">
            <v>0</v>
          </cell>
          <cell r="S493" t="str">
            <v>NULL</v>
          </cell>
          <cell r="T493" t="str">
            <v>NULL</v>
          </cell>
          <cell r="U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  <cell r="N494" t="str">
            <v>ヒューマン</v>
          </cell>
          <cell r="O494" t="str">
            <v>none</v>
          </cell>
          <cell r="P494" t="str">
            <v>種族なし</v>
          </cell>
          <cell r="Q494" t="str">
            <v>アタッカー</v>
          </cell>
          <cell r="R494">
            <v>0</v>
          </cell>
          <cell r="S494" t="str">
            <v>NULL</v>
          </cell>
          <cell r="T494" t="str">
            <v>NULL</v>
          </cell>
          <cell r="U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パイパー・オブ・ハーメルン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0</v>
          </cell>
          <cell r="S495" t="str">
            <v>NULL</v>
          </cell>
          <cell r="T495" t="str">
            <v>NULL</v>
          </cell>
          <cell r="U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 パイパー・オブ・ハーメルン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0</v>
          </cell>
          <cell r="S496" t="str">
            <v>NULL</v>
          </cell>
          <cell r="T496" t="str">
            <v>NULL</v>
          </cell>
          <cell r="U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none</v>
          </cell>
          <cell r="P497" t="str">
            <v>種族なし</v>
          </cell>
          <cell r="Q497" t="str">
            <v>アタッカー</v>
          </cell>
          <cell r="R497">
            <v>0</v>
          </cell>
          <cell r="S497" t="str">
            <v>NULL</v>
          </cell>
          <cell r="T497" t="str">
            <v>NULL</v>
          </cell>
          <cell r="U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none</v>
          </cell>
          <cell r="P498" t="str">
            <v>種族なし</v>
          </cell>
          <cell r="Q498" t="str">
            <v>アタッカー</v>
          </cell>
          <cell r="R498">
            <v>0</v>
          </cell>
          <cell r="S498" t="str">
            <v>NULL</v>
          </cell>
          <cell r="T498" t="str">
            <v>NULL</v>
          </cell>
          <cell r="U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none</v>
          </cell>
          <cell r="P499" t="str">
            <v>種族なし</v>
          </cell>
          <cell r="Q499" t="str">
            <v>アタッカー</v>
          </cell>
          <cell r="R499">
            <v>0</v>
          </cell>
          <cell r="S499" t="str">
            <v>NULL</v>
          </cell>
          <cell r="T499" t="str">
            <v>NULL</v>
          </cell>
          <cell r="U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0</v>
          </cell>
          <cell r="S500" t="str">
            <v>NULL</v>
          </cell>
          <cell r="T500" t="str">
            <v>NULL</v>
          </cell>
          <cell r="U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0</v>
          </cell>
          <cell r="S501" t="str">
            <v>NULL</v>
          </cell>
          <cell r="T501" t="str">
            <v>NULL</v>
          </cell>
          <cell r="U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NULL</v>
          </cell>
          <cell r="U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none</v>
          </cell>
          <cell r="P503" t="str">
            <v>種族なし</v>
          </cell>
          <cell r="Q503" t="str">
            <v>アタッカー</v>
          </cell>
          <cell r="R503">
            <v>0</v>
          </cell>
          <cell r="S503" t="str">
            <v>NULL</v>
          </cell>
          <cell r="T503" t="str">
            <v>NULL</v>
          </cell>
          <cell r="U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none</v>
          </cell>
          <cell r="P504" t="str">
            <v>種族なし</v>
          </cell>
          <cell r="Q504" t="str">
            <v>アタッカー</v>
          </cell>
          <cell r="R504">
            <v>0</v>
          </cell>
          <cell r="S504" t="str">
            <v>NULL</v>
          </cell>
          <cell r="T504" t="str">
            <v>NULL</v>
          </cell>
          <cell r="U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  <cell r="N505" t="str">
            <v>ヒューマン</v>
          </cell>
          <cell r="O505" t="str">
            <v>none</v>
          </cell>
          <cell r="P505" t="str">
            <v>種族なし</v>
          </cell>
          <cell r="Q505" t="str">
            <v>アタッカー</v>
          </cell>
          <cell r="R505">
            <v>0</v>
          </cell>
          <cell r="S505" t="str">
            <v>NULL</v>
          </cell>
          <cell r="T505" t="str">
            <v>NULL</v>
          </cell>
          <cell r="U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  <cell r="N506" t="str">
            <v>ヒューマン</v>
          </cell>
          <cell r="O506" t="str">
            <v>none</v>
          </cell>
          <cell r="P506" t="str">
            <v>種族なし</v>
          </cell>
          <cell r="Q506" t="str">
            <v>アタッカー</v>
          </cell>
          <cell r="R506">
            <v>0</v>
          </cell>
          <cell r="S506" t="str">
            <v>NULL</v>
          </cell>
          <cell r="T506" t="str">
            <v>NULL</v>
          </cell>
          <cell r="U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  <cell r="N507" t="str">
            <v>ヒューマン</v>
          </cell>
          <cell r="O507" t="str">
            <v>none</v>
          </cell>
          <cell r="P507" t="str">
            <v>種族なし</v>
          </cell>
          <cell r="Q507" t="str">
            <v>アタッカー</v>
          </cell>
          <cell r="R507">
            <v>0</v>
          </cell>
          <cell r="S507" t="str">
            <v>NULL</v>
          </cell>
          <cell r="T507" t="str">
            <v>NULL</v>
          </cell>
          <cell r="U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  <cell r="N508" t="str">
            <v>ヒューマン</v>
          </cell>
          <cell r="O508" t="str">
            <v>none</v>
          </cell>
          <cell r="P508" t="str">
            <v>種族なし</v>
          </cell>
          <cell r="Q508" t="str">
            <v>アタッカー</v>
          </cell>
          <cell r="R508">
            <v>0</v>
          </cell>
          <cell r="S508" t="str">
            <v>NULL</v>
          </cell>
          <cell r="T508" t="str">
            <v>NULL</v>
          </cell>
          <cell r="U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  <cell r="N509" t="str">
            <v>ヒューマン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0</v>
          </cell>
          <cell r="S509" t="str">
            <v>NULL</v>
          </cell>
          <cell r="T509" t="str">
            <v>NULL</v>
          </cell>
          <cell r="U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  <cell r="N510" t="str">
            <v>ヒューマン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0</v>
          </cell>
          <cell r="S510" t="str">
            <v>NULL</v>
          </cell>
          <cell r="T510" t="str">
            <v>NULL</v>
          </cell>
          <cell r="U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  <cell r="N511" t="str">
            <v>ヒューマン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0</v>
          </cell>
          <cell r="S511" t="str">
            <v>NULL</v>
          </cell>
          <cell r="T511" t="str">
            <v>NULL</v>
          </cell>
          <cell r="U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突全着火 スペリオル・ヒュウガ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  <cell r="N512" t="str">
            <v>ヒューマン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0</v>
          </cell>
          <cell r="S512" t="str">
            <v>NULL</v>
          </cell>
          <cell r="T512" t="str">
            <v>NULL</v>
          </cell>
          <cell r="U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yellow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1</v>
          </cell>
          <cell r="S513" t="str">
            <v>NULL</v>
          </cell>
          <cell r="T513" t="str">
            <v>NULL</v>
          </cell>
          <cell r="U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yellow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1</v>
          </cell>
          <cell r="S514" t="str">
            <v>NULL</v>
          </cell>
          <cell r="T514" t="str">
            <v>NULL</v>
          </cell>
          <cell r="U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yellow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1</v>
          </cell>
          <cell r="S515" t="str">
            <v>NULL</v>
          </cell>
          <cell r="T515" t="str">
            <v>NULL</v>
          </cell>
          <cell r="U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yellow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1</v>
          </cell>
          <cell r="S516" t="str">
            <v>NULL</v>
          </cell>
          <cell r="T516" t="str">
            <v>NULL</v>
          </cell>
          <cell r="U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サンタマリア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yellow</v>
          </cell>
          <cell r="I517">
            <v>4</v>
          </cell>
          <cell r="J517" t="str">
            <v>PremiumSS</v>
          </cell>
          <cell r="K517" t="str">
            <v>attack</v>
          </cell>
          <cell r="L517" t="str">
            <v>攻撃タイプ</v>
          </cell>
          <cell r="M517" t="str">
            <v>god</v>
          </cell>
          <cell r="N517" t="str">
            <v>ゴッド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1</v>
          </cell>
          <cell r="S517" t="str">
            <v>NULL</v>
          </cell>
          <cell r="T517" t="str">
            <v>NULL</v>
          </cell>
          <cell r="U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サンタマリア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yellow</v>
          </cell>
          <cell r="I518">
            <v>5</v>
          </cell>
          <cell r="J518" t="str">
            <v>PremiumSS</v>
          </cell>
          <cell r="K518" t="str">
            <v>attack</v>
          </cell>
          <cell r="L518" t="str">
            <v>攻撃タイプ</v>
          </cell>
          <cell r="M518" t="str">
            <v>god</v>
          </cell>
          <cell r="N518" t="str">
            <v>ゴッド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1</v>
          </cell>
          <cell r="S518" t="str">
            <v>NULL</v>
          </cell>
          <cell r="T518" t="str">
            <v>NULL</v>
          </cell>
          <cell r="U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none</v>
          </cell>
          <cell r="P519" t="str">
            <v>種族なし</v>
          </cell>
          <cell r="Q519" t="str">
            <v>アタッカー</v>
          </cell>
          <cell r="R519">
            <v>1</v>
          </cell>
          <cell r="S519" t="str">
            <v>NULL</v>
          </cell>
          <cell r="T519" t="str">
            <v>NULL</v>
          </cell>
          <cell r="U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none</v>
          </cell>
          <cell r="P520" t="str">
            <v>種族なし</v>
          </cell>
          <cell r="Q520" t="str">
            <v>アタッカー</v>
          </cell>
          <cell r="R520">
            <v>1</v>
          </cell>
          <cell r="S520" t="str">
            <v>NULL</v>
          </cell>
          <cell r="T520" t="str">
            <v>NULL</v>
          </cell>
          <cell r="U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6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1</v>
          </cell>
          <cell r="S521" t="str">
            <v>NULL</v>
          </cell>
          <cell r="T521" t="str">
            <v>NULL</v>
          </cell>
          <cell r="U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6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1</v>
          </cell>
          <cell r="S522" t="str">
            <v>NULL</v>
          </cell>
          <cell r="T522" t="str">
            <v>NULL</v>
          </cell>
          <cell r="U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6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1</v>
          </cell>
          <cell r="S523" t="str">
            <v>NULL</v>
          </cell>
          <cell r="T523" t="str">
            <v>NULL</v>
          </cell>
          <cell r="U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6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1</v>
          </cell>
          <cell r="S524" t="str">
            <v>NULL</v>
          </cell>
          <cell r="T524" t="str">
            <v>NULL</v>
          </cell>
          <cell r="U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  <cell r="N525" t="str">
            <v>ヒューマン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0</v>
          </cell>
          <cell r="S525" t="str">
            <v>NULL</v>
          </cell>
          <cell r="T525" t="str">
            <v>NULL</v>
          </cell>
          <cell r="U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  <cell r="N526" t="str">
            <v>ヒューマン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0</v>
          </cell>
          <cell r="S526" t="str">
            <v>NULL</v>
          </cell>
          <cell r="T526" t="str">
            <v>NULL</v>
          </cell>
          <cell r="U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  <cell r="N527" t="str">
            <v>ヒューマン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0</v>
          </cell>
          <cell r="S527" t="str">
            <v>NULL</v>
          </cell>
          <cell r="T527" t="str">
            <v>NULL</v>
          </cell>
          <cell r="U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  <cell r="N528" t="str">
            <v>ヒューマン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0</v>
          </cell>
          <cell r="S528" t="str">
            <v>NULL</v>
          </cell>
          <cell r="T528" t="str">
            <v>NULL</v>
          </cell>
          <cell r="U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  <cell r="N529" t="str">
            <v>ヒューマン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0</v>
          </cell>
          <cell r="S529" t="str">
            <v>NULL</v>
          </cell>
          <cell r="T529" t="str">
            <v>NULL</v>
          </cell>
          <cell r="U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  <cell r="N530" t="str">
            <v>ヒューマン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0</v>
          </cell>
          <cell r="S530" t="str">
            <v>NULL</v>
          </cell>
          <cell r="T530" t="str">
            <v>NULL</v>
          </cell>
          <cell r="U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  <cell r="N531" t="str">
            <v>ヒューマン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0</v>
          </cell>
          <cell r="S531" t="str">
            <v>NULL</v>
          </cell>
          <cell r="T531" t="str">
            <v>NULL</v>
          </cell>
          <cell r="U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  <cell r="N532" t="str">
            <v>ヒューマン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0</v>
          </cell>
          <cell r="S532" t="str">
            <v>NULL</v>
          </cell>
          <cell r="T532" t="str">
            <v>NULL</v>
          </cell>
          <cell r="U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  <cell r="N533" t="str">
            <v>ヒューマン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0</v>
          </cell>
          <cell r="S533" t="str">
            <v>NULL</v>
          </cell>
          <cell r="T533" t="str">
            <v>NULL</v>
          </cell>
          <cell r="U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0</v>
          </cell>
          <cell r="S534" t="str">
            <v>NULL</v>
          </cell>
          <cell r="T534" t="str">
            <v>NULL</v>
          </cell>
          <cell r="U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  <cell r="N535" t="str">
            <v>ヒューマン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0</v>
          </cell>
          <cell r="S535" t="str">
            <v>NULL</v>
          </cell>
          <cell r="T535" t="str">
            <v>NULL</v>
          </cell>
          <cell r="U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  <cell r="N536" t="str">
            <v>ヒューマン</v>
          </cell>
          <cell r="O536" t="str">
            <v>none</v>
          </cell>
          <cell r="P536" t="str">
            <v>種族なし</v>
          </cell>
          <cell r="Q536" t="str">
            <v>アタッカー</v>
          </cell>
          <cell r="R536">
            <v>0</v>
          </cell>
          <cell r="S536" t="str">
            <v>NULL</v>
          </cell>
          <cell r="T536" t="str">
            <v>NULL</v>
          </cell>
          <cell r="U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  <cell r="N537" t="str">
            <v>ヒューマン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0</v>
          </cell>
          <cell r="S537" t="str">
            <v>NULL</v>
          </cell>
          <cell r="T537" t="str">
            <v>NULL</v>
          </cell>
          <cell r="U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  <cell r="N538" t="str">
            <v>ヒューマン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0</v>
          </cell>
          <cell r="S538" t="str">
            <v>NULL</v>
          </cell>
          <cell r="T538" t="str">
            <v>NULL</v>
          </cell>
          <cell r="U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  <cell r="N539" t="str">
            <v>ヒューマン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0</v>
          </cell>
          <cell r="S539" t="str">
            <v>NULL</v>
          </cell>
          <cell r="T539" t="str">
            <v>NULL</v>
          </cell>
          <cell r="U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  <cell r="N540" t="str">
            <v>ヒューマン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0</v>
          </cell>
          <cell r="S540" t="str">
            <v>NULL</v>
          </cell>
          <cell r="T540" t="str">
            <v>NULL</v>
          </cell>
          <cell r="U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  <cell r="N541" t="str">
            <v>ヒューマン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0</v>
          </cell>
          <cell r="S541" t="str">
            <v>NULL</v>
          </cell>
          <cell r="T541" t="str">
            <v>NULL</v>
          </cell>
          <cell r="U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  <cell r="N542" t="str">
            <v>ヒューマン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0</v>
          </cell>
          <cell r="S542" t="str">
            <v>NULL</v>
          </cell>
          <cell r="T542" t="str">
            <v>NULL</v>
          </cell>
          <cell r="U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  <cell r="N543" t="str">
            <v>ヒューマン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0</v>
          </cell>
          <cell r="S543" t="str">
            <v>NULL</v>
          </cell>
          <cell r="T543" t="str">
            <v>NULL</v>
          </cell>
          <cell r="U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  <cell r="N544" t="str">
            <v>ヒューマン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0</v>
          </cell>
          <cell r="S544" t="str">
            <v>NULL</v>
          </cell>
          <cell r="T544" t="str">
            <v>NULL</v>
          </cell>
          <cell r="U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  <cell r="N545" t="str">
            <v>ヒューマン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0</v>
          </cell>
          <cell r="S545" t="str">
            <v>NULL</v>
          </cell>
          <cell r="T545" t="str">
            <v>NULL</v>
          </cell>
          <cell r="U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  <cell r="N546" t="str">
            <v>ヒューマン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0</v>
          </cell>
          <cell r="S546" t="str">
            <v>NULL</v>
          </cell>
          <cell r="T546" t="str">
            <v>NULL</v>
          </cell>
          <cell r="U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  <cell r="N547" t="str">
            <v>ヒューマン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0</v>
          </cell>
          <cell r="S547" t="str">
            <v>NULL</v>
          </cell>
          <cell r="T547" t="str">
            <v>NULL</v>
          </cell>
          <cell r="U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  <cell r="N548" t="str">
            <v>ヒューマン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0</v>
          </cell>
          <cell r="S548" t="str">
            <v>NULL</v>
          </cell>
          <cell r="T548" t="str">
            <v>NULL</v>
          </cell>
          <cell r="U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  <cell r="N549" t="str">
            <v>ヒューマン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0</v>
          </cell>
          <cell r="S549" t="str">
            <v>NULL</v>
          </cell>
          <cell r="T549" t="str">
            <v>NULL</v>
          </cell>
          <cell r="U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  <cell r="N550" t="str">
            <v>ヒューマン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0</v>
          </cell>
          <cell r="S550" t="str">
            <v>NULL</v>
          </cell>
          <cell r="T550" t="str">
            <v>NULL</v>
          </cell>
          <cell r="U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  <cell r="N551" t="str">
            <v>ヒューマン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0</v>
          </cell>
          <cell r="S551" t="str">
            <v>NULL</v>
          </cell>
          <cell r="T551" t="str">
            <v>NULL</v>
          </cell>
          <cell r="U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  <cell r="N552" t="str">
            <v>ヒューマン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0</v>
          </cell>
          <cell r="S552" t="str">
            <v>NULL</v>
          </cell>
          <cell r="T552" t="str">
            <v>NULL</v>
          </cell>
          <cell r="U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  <cell r="N553" t="str">
            <v>ヒューマン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0</v>
          </cell>
          <cell r="S553" t="str">
            <v>NULL</v>
          </cell>
          <cell r="T553" t="str">
            <v>NULL</v>
          </cell>
          <cell r="U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  <cell r="N554" t="str">
            <v>ヒューマン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0</v>
          </cell>
          <cell r="S554" t="str">
            <v>NULL</v>
          </cell>
          <cell r="T554" t="str">
            <v>NULL</v>
          </cell>
          <cell r="U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  <cell r="N555" t="str">
            <v>ヒューマン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0</v>
          </cell>
          <cell r="S555" t="str">
            <v>NULL</v>
          </cell>
          <cell r="T555" t="str">
            <v>NULL</v>
          </cell>
          <cell r="U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  <cell r="N556" t="str">
            <v>ヒューマン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0</v>
          </cell>
          <cell r="S556" t="str">
            <v>NULL</v>
          </cell>
          <cell r="T556" t="str">
            <v>NULL</v>
          </cell>
          <cell r="U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  <cell r="N557" t="str">
            <v>ヒューマン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0</v>
          </cell>
          <cell r="S557" t="str">
            <v>NULL</v>
          </cell>
          <cell r="T557" t="str">
            <v>NULL</v>
          </cell>
          <cell r="U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  <cell r="N558" t="str">
            <v>ヒューマン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0</v>
          </cell>
          <cell r="S558" t="str">
            <v>NULL</v>
          </cell>
          <cell r="T558" t="str">
            <v>NULL</v>
          </cell>
          <cell r="U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  <cell r="N559" t="str">
            <v>ヒューマン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0</v>
          </cell>
          <cell r="S559" t="str">
            <v>NULL</v>
          </cell>
          <cell r="T559" t="str">
            <v>NULL</v>
          </cell>
          <cell r="U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  <cell r="N560" t="str">
            <v>ヒューマン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0</v>
          </cell>
          <cell r="S560" t="str">
            <v>NULL</v>
          </cell>
          <cell r="T560" t="str">
            <v>NULL</v>
          </cell>
          <cell r="U560" t="str">
            <v>NULL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opLeftCell="E1" workbookViewId="0">
      <selection activeCell="L18" sqref="L18"/>
    </sheetView>
  </sheetViews>
  <sheetFormatPr baseColWidth="12" defaultRowHeight="18" x14ac:dyDescent="0"/>
  <cols>
    <col min="1" max="1" width="12.83203125" style="40"/>
    <col min="2" max="2" width="14.83203125" style="40" bestFit="1" customWidth="1"/>
    <col min="3" max="4" width="12.83203125" style="40"/>
    <col min="5" max="5" width="17.6640625" style="40" bestFit="1" customWidth="1"/>
    <col min="6" max="6" width="22.1640625" style="40" bestFit="1" customWidth="1"/>
    <col min="7" max="16384" width="12.83203125" style="40"/>
  </cols>
  <sheetData>
    <row r="1" spans="1:15">
      <c r="A1" s="51" t="s">
        <v>71</v>
      </c>
      <c r="B1" s="38" t="s">
        <v>55</v>
      </c>
      <c r="C1" s="38" t="s">
        <v>56</v>
      </c>
      <c r="D1" s="38" t="s">
        <v>57</v>
      </c>
      <c r="E1" s="38" t="s">
        <v>58</v>
      </c>
      <c r="F1" s="38" t="s">
        <v>59</v>
      </c>
      <c r="G1" s="38" t="s">
        <v>60</v>
      </c>
      <c r="H1" s="38"/>
      <c r="I1" s="38"/>
      <c r="J1" s="38"/>
      <c r="K1" s="38"/>
      <c r="L1" s="39"/>
      <c r="M1" s="39"/>
      <c r="N1" s="39"/>
      <c r="O1" s="39"/>
    </row>
    <row r="2" spans="1:15">
      <c r="A2" s="52" t="s">
        <v>72</v>
      </c>
      <c r="B2" s="41" t="s">
        <v>68</v>
      </c>
      <c r="C2" s="41" t="str">
        <f ca="1">MID(
  CELL("filename",B1),
  FIND("New_",CELL("filename",B1))+4,
  FIND(".xlsm",CELL("filename",B1))-FIND("New_",CELL("filename",B1))-4
)</f>
        <v>149</v>
      </c>
      <c r="D2" s="41" t="s">
        <v>61</v>
      </c>
      <c r="E2" s="39" t="str">
        <f ca="1">B2&amp;C2&amp;D2</f>
        <v>gacha_select_tables_149.tmp</v>
      </c>
      <c r="F2" s="41" t="s">
        <v>63</v>
      </c>
      <c r="G2" s="43" t="s">
        <v>21</v>
      </c>
      <c r="H2" s="44" t="s">
        <v>0</v>
      </c>
      <c r="I2" s="44" t="s">
        <v>11</v>
      </c>
      <c r="J2" s="44" t="s">
        <v>12</v>
      </c>
      <c r="K2" s="44" t="s">
        <v>13</v>
      </c>
      <c r="L2" s="44" t="s">
        <v>14</v>
      </c>
      <c r="M2" s="44" t="s">
        <v>15</v>
      </c>
      <c r="N2" s="44" t="s">
        <v>16</v>
      </c>
      <c r="O2" s="44" t="s">
        <v>17</v>
      </c>
    </row>
    <row r="3" spans="1:15">
      <c r="A3" s="52" t="s">
        <v>72</v>
      </c>
      <c r="B3" s="49" t="s">
        <v>69</v>
      </c>
      <c r="C3" s="41" t="str">
        <f ca="1">MID(
  CELL("filename",B2),
  FIND("New_",CELL("filename",B2))+4,
  FIND(".xlsm",CELL("filename",B2))-FIND("New_",CELL("filename",B2))-4
)</f>
        <v>149</v>
      </c>
      <c r="D3" s="41" t="s">
        <v>62</v>
      </c>
      <c r="E3" s="39" t="str">
        <f ca="1">B3&amp;C3&amp;D3</f>
        <v>gacha_settle_tables_149.tmp</v>
      </c>
      <c r="F3" s="41" t="s">
        <v>64</v>
      </c>
      <c r="G3" s="43" t="s">
        <v>21</v>
      </c>
      <c r="H3" s="44" t="s">
        <v>0</v>
      </c>
      <c r="I3" s="44" t="s">
        <v>11</v>
      </c>
      <c r="J3" s="44" t="s">
        <v>12</v>
      </c>
      <c r="K3" s="44" t="s">
        <v>13</v>
      </c>
      <c r="L3" s="44" t="s">
        <v>14</v>
      </c>
      <c r="M3" s="44" t="s">
        <v>15</v>
      </c>
      <c r="N3" s="44" t="s">
        <v>16</v>
      </c>
      <c r="O3" s="44" t="s">
        <v>17</v>
      </c>
    </row>
    <row r="4" spans="1:15">
      <c r="A4" s="52" t="s">
        <v>72</v>
      </c>
      <c r="B4" s="49" t="s">
        <v>70</v>
      </c>
      <c r="C4" s="41" t="str">
        <f ca="1">MID(
  CELL("filename",B3),
  FIND("New_",CELL("filename",B3))+4,
  FIND(".xlsm",CELL("filename",B3))-FIND("New_",CELL("filename",B3))-4
)</f>
        <v>149</v>
      </c>
      <c r="D4" s="41" t="s">
        <v>62</v>
      </c>
      <c r="E4" s="39" t="str">
        <f ca="1">B4&amp;C4&amp;D4</f>
        <v>gacha_bonus_tables_149.tmp</v>
      </c>
      <c r="F4" s="41" t="s">
        <v>65</v>
      </c>
      <c r="G4" s="43" t="s">
        <v>23</v>
      </c>
      <c r="H4" s="45" t="s">
        <v>26</v>
      </c>
      <c r="I4" s="43" t="s">
        <v>24</v>
      </c>
      <c r="J4" s="42"/>
      <c r="K4" s="42"/>
      <c r="L4" s="42"/>
      <c r="M4" s="42"/>
      <c r="N4" s="42"/>
      <c r="O4" s="42"/>
    </row>
    <row r="5" spans="1:15">
      <c r="A5" s="52" t="s">
        <v>72</v>
      </c>
      <c r="B5" s="41" t="s">
        <v>66</v>
      </c>
      <c r="C5" s="41" t="str">
        <f ca="1">MID(
  CELL("filename",B4),
  FIND("New_",CELL("filename",B4))+4,
  FIND(".xlsm",CELL("filename",B4))-FIND("New_",CELL("filename",B4))-4
)</f>
        <v>149</v>
      </c>
      <c r="D5" s="41" t="s">
        <v>62</v>
      </c>
      <c r="E5" s="39" t="str">
        <f ca="1">B5&amp;C5&amp;D5</f>
        <v>gifts_tmp_149.tmp</v>
      </c>
      <c r="F5" s="41" t="s">
        <v>65</v>
      </c>
      <c r="G5" s="45" t="s">
        <v>34</v>
      </c>
      <c r="H5" s="46" t="s">
        <v>42</v>
      </c>
      <c r="I5" s="45" t="s">
        <v>35</v>
      </c>
      <c r="J5" s="45" t="s">
        <v>36</v>
      </c>
      <c r="K5" s="45" t="s">
        <v>36</v>
      </c>
      <c r="L5" s="45" t="s">
        <v>37</v>
      </c>
      <c r="M5" s="45" t="s">
        <v>37</v>
      </c>
      <c r="N5" s="45" t="s">
        <v>37</v>
      </c>
      <c r="O5" s="41"/>
    </row>
    <row r="6" spans="1:15">
      <c r="A6" s="52" t="s">
        <v>72</v>
      </c>
      <c r="B6" s="41" t="s">
        <v>67</v>
      </c>
      <c r="C6" s="41" t="str">
        <f ca="1">MID(
  CELL("filename",B5),
  FIND("New_",CELL("filename",B5))+4,
  FIND(".xlsm",CELL("filename",B5))-FIND("New_",CELL("filename",B5))-4
)</f>
        <v>149</v>
      </c>
      <c r="D6" s="41" t="s">
        <v>62</v>
      </c>
      <c r="E6" s="39" t="str">
        <f ca="1">B6&amp;C6&amp;D6</f>
        <v>gifts_i18n_149.tmp</v>
      </c>
      <c r="F6" s="41" t="s">
        <v>65</v>
      </c>
      <c r="G6" s="45" t="s">
        <v>25</v>
      </c>
      <c r="H6" s="47" t="s">
        <v>38</v>
      </c>
      <c r="I6" s="47" t="s">
        <v>39</v>
      </c>
      <c r="J6" s="47" t="s">
        <v>40</v>
      </c>
      <c r="K6" s="47" t="s">
        <v>41</v>
      </c>
      <c r="L6" s="48"/>
      <c r="M6" s="45"/>
      <c r="N6" s="45"/>
      <c r="O6" s="41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F24"/>
  <sheetViews>
    <sheetView workbookViewId="0">
      <selection activeCell="C20" sqref="C20"/>
    </sheetView>
  </sheetViews>
  <sheetFormatPr baseColWidth="12" defaultRowHeight="14" x14ac:dyDescent="0"/>
  <cols>
    <col min="1" max="1" width="15.1640625" customWidth="1"/>
  </cols>
  <sheetData>
    <row r="1" spans="1:6">
      <c r="A1" t="s">
        <v>18</v>
      </c>
      <c r="B1" t="s">
        <v>12</v>
      </c>
    </row>
    <row r="2" spans="1:6">
      <c r="A2" s="27" t="str">
        <f>F2&amp;C2&amp;E2</f>
        <v>0PremiumW3</v>
      </c>
      <c r="B2">
        <v>1201</v>
      </c>
      <c r="C2" t="s">
        <v>73</v>
      </c>
      <c r="D2">
        <v>1201</v>
      </c>
      <c r="E2">
        <v>3</v>
      </c>
      <c r="F2">
        <v>0</v>
      </c>
    </row>
    <row r="3" spans="1:6">
      <c r="A3" s="27" t="str">
        <f t="shared" ref="A3:A24" si="0">F3&amp;C3&amp;E3</f>
        <v>0PremiumN3</v>
      </c>
      <c r="B3">
        <v>1189</v>
      </c>
      <c r="C3" t="s">
        <v>74</v>
      </c>
      <c r="D3">
        <v>1189</v>
      </c>
      <c r="E3">
        <v>3</v>
      </c>
      <c r="F3">
        <v>0</v>
      </c>
    </row>
    <row r="4" spans="1:6">
      <c r="A4" s="27" t="str">
        <f t="shared" si="0"/>
        <v>0PremiumS3</v>
      </c>
      <c r="B4">
        <v>1784</v>
      </c>
      <c r="C4" t="s">
        <v>75</v>
      </c>
      <c r="D4">
        <v>1784</v>
      </c>
      <c r="E4">
        <v>3</v>
      </c>
      <c r="F4">
        <v>0</v>
      </c>
    </row>
    <row r="5" spans="1:6">
      <c r="A5" s="27" t="str">
        <f t="shared" si="0"/>
        <v>0PremiumW4</v>
      </c>
      <c r="B5">
        <v>400</v>
      </c>
      <c r="C5" t="s">
        <v>73</v>
      </c>
      <c r="D5">
        <v>400</v>
      </c>
      <c r="E5">
        <v>4</v>
      </c>
      <c r="F5">
        <v>0</v>
      </c>
    </row>
    <row r="6" spans="1:6">
      <c r="A6" s="27" t="str">
        <f t="shared" si="0"/>
        <v>0PremiumN4</v>
      </c>
      <c r="B6">
        <v>396</v>
      </c>
      <c r="C6" t="s">
        <v>74</v>
      </c>
      <c r="D6">
        <v>396</v>
      </c>
      <c r="E6">
        <v>4</v>
      </c>
      <c r="F6">
        <v>0</v>
      </c>
    </row>
    <row r="7" spans="1:6">
      <c r="A7" s="27" t="str">
        <f t="shared" si="0"/>
        <v>0PremiumS4</v>
      </c>
      <c r="B7">
        <v>595</v>
      </c>
      <c r="C7" t="s">
        <v>75</v>
      </c>
      <c r="D7">
        <v>595</v>
      </c>
      <c r="E7">
        <v>4</v>
      </c>
      <c r="F7">
        <v>0</v>
      </c>
    </row>
    <row r="8" spans="1:6">
      <c r="A8" s="27" t="str">
        <f t="shared" si="0"/>
        <v>0PremiumSS4</v>
      </c>
      <c r="B8">
        <v>421</v>
      </c>
      <c r="C8" t="s">
        <v>76</v>
      </c>
      <c r="D8">
        <v>421</v>
      </c>
      <c r="E8">
        <v>4</v>
      </c>
      <c r="F8">
        <v>0</v>
      </c>
    </row>
    <row r="9" spans="1:6">
      <c r="A9" s="27" t="str">
        <f t="shared" si="0"/>
        <v>0PremiumN5</v>
      </c>
      <c r="B9">
        <v>16</v>
      </c>
      <c r="C9" t="s">
        <v>74</v>
      </c>
      <c r="D9">
        <v>16</v>
      </c>
      <c r="E9">
        <v>5</v>
      </c>
      <c r="F9">
        <v>0</v>
      </c>
    </row>
    <row r="10" spans="1:6">
      <c r="A10" s="27" t="str">
        <f t="shared" si="0"/>
        <v>0PremiumNpick5</v>
      </c>
      <c r="B10">
        <v>2830</v>
      </c>
      <c r="C10" t="s">
        <v>77</v>
      </c>
      <c r="D10">
        <v>2830</v>
      </c>
      <c r="E10">
        <v>5</v>
      </c>
      <c r="F10">
        <v>0</v>
      </c>
    </row>
    <row r="11" spans="1:6">
      <c r="A11" s="27" t="str">
        <f t="shared" si="0"/>
        <v>0PremiumS5</v>
      </c>
      <c r="B11">
        <v>24</v>
      </c>
      <c r="C11" t="s">
        <v>75</v>
      </c>
      <c r="D11">
        <v>24</v>
      </c>
      <c r="E11">
        <v>5</v>
      </c>
      <c r="F11">
        <v>0</v>
      </c>
    </row>
    <row r="12" spans="1:6">
      <c r="A12" s="27" t="str">
        <f t="shared" si="0"/>
        <v>0PremiumSpick5</v>
      </c>
      <c r="B12">
        <v>2830</v>
      </c>
      <c r="C12" t="s">
        <v>78</v>
      </c>
      <c r="D12">
        <v>2830</v>
      </c>
      <c r="E12">
        <v>5</v>
      </c>
      <c r="F12">
        <v>0</v>
      </c>
    </row>
    <row r="13" spans="1:6">
      <c r="A13" s="27" t="str">
        <f t="shared" si="0"/>
        <v>0PremiumSS5</v>
      </c>
      <c r="B13">
        <v>17</v>
      </c>
      <c r="C13" t="s">
        <v>76</v>
      </c>
      <c r="D13">
        <v>17</v>
      </c>
      <c r="E13">
        <v>5</v>
      </c>
      <c r="F13">
        <v>0</v>
      </c>
    </row>
    <row r="14" spans="1:6">
      <c r="A14" s="27" t="str">
        <f t="shared" si="0"/>
        <v>0PremiumSSpick5</v>
      </c>
      <c r="B14">
        <v>1510</v>
      </c>
      <c r="C14" t="s">
        <v>79</v>
      </c>
      <c r="D14">
        <v>1510</v>
      </c>
      <c r="E14">
        <v>5</v>
      </c>
      <c r="F14">
        <v>0</v>
      </c>
    </row>
    <row r="15" spans="1:6">
      <c r="A15" s="27" t="str">
        <f t="shared" si="0"/>
        <v>1PremiumW4</v>
      </c>
      <c r="B15">
        <v>1602</v>
      </c>
      <c r="C15" t="s">
        <v>73</v>
      </c>
      <c r="D15">
        <v>1602</v>
      </c>
      <c r="E15">
        <v>4</v>
      </c>
      <c r="F15">
        <v>1</v>
      </c>
    </row>
    <row r="16" spans="1:6">
      <c r="A16" s="27" t="str">
        <f t="shared" si="0"/>
        <v>1PremiumN4</v>
      </c>
      <c r="B16">
        <v>1586</v>
      </c>
      <c r="C16" t="s">
        <v>74</v>
      </c>
      <c r="D16">
        <v>1586</v>
      </c>
      <c r="E16">
        <v>4</v>
      </c>
      <c r="F16">
        <v>1</v>
      </c>
    </row>
    <row r="17" spans="1:6">
      <c r="A17" s="27" t="str">
        <f t="shared" si="0"/>
        <v>1PremiumS4</v>
      </c>
      <c r="B17">
        <v>1586</v>
      </c>
      <c r="C17" t="s">
        <v>75</v>
      </c>
      <c r="D17">
        <v>1586</v>
      </c>
      <c r="E17">
        <v>4</v>
      </c>
      <c r="F17">
        <v>1</v>
      </c>
    </row>
    <row r="18" spans="1:6">
      <c r="A18" s="27" t="str">
        <f t="shared" si="0"/>
        <v>1PremiumSS4</v>
      </c>
      <c r="B18">
        <v>433</v>
      </c>
      <c r="C18" t="s">
        <v>76</v>
      </c>
      <c r="D18">
        <v>433</v>
      </c>
      <c r="E18">
        <v>4</v>
      </c>
      <c r="F18">
        <v>1</v>
      </c>
    </row>
    <row r="19" spans="1:6">
      <c r="A19" s="27" t="str">
        <f t="shared" si="0"/>
        <v>1PremiumN5</v>
      </c>
      <c r="B19">
        <v>30</v>
      </c>
      <c r="C19" t="s">
        <v>74</v>
      </c>
      <c r="D19">
        <v>30</v>
      </c>
      <c r="E19">
        <v>5</v>
      </c>
      <c r="F19">
        <v>1</v>
      </c>
    </row>
    <row r="20" spans="1:6">
      <c r="A20" s="27" t="str">
        <f t="shared" si="0"/>
        <v>1PremiumNpick5</v>
      </c>
      <c r="B20">
        <v>2830</v>
      </c>
      <c r="C20" t="s">
        <v>77</v>
      </c>
      <c r="D20">
        <v>2830</v>
      </c>
      <c r="E20">
        <v>5</v>
      </c>
      <c r="F20">
        <v>1</v>
      </c>
    </row>
    <row r="21" spans="1:6">
      <c r="A21" s="27" t="str">
        <f t="shared" si="0"/>
        <v>1PremiumS5</v>
      </c>
      <c r="B21">
        <v>24</v>
      </c>
      <c r="C21" t="s">
        <v>75</v>
      </c>
      <c r="D21">
        <v>24</v>
      </c>
      <c r="E21">
        <v>5</v>
      </c>
      <c r="F21">
        <v>1</v>
      </c>
    </row>
    <row r="22" spans="1:6">
      <c r="A22" s="27" t="str">
        <f t="shared" si="0"/>
        <v>1PremiumSpick5</v>
      </c>
      <c r="B22">
        <v>2830</v>
      </c>
      <c r="C22" t="s">
        <v>78</v>
      </c>
      <c r="D22">
        <v>2830</v>
      </c>
      <c r="E22">
        <v>5</v>
      </c>
      <c r="F22">
        <v>1</v>
      </c>
    </row>
    <row r="23" spans="1:6">
      <c r="A23" s="27" t="str">
        <f t="shared" si="0"/>
        <v>1PremiumSS5</v>
      </c>
      <c r="B23">
        <v>4</v>
      </c>
      <c r="C23" t="s">
        <v>76</v>
      </c>
      <c r="D23">
        <v>4</v>
      </c>
      <c r="E23">
        <v>5</v>
      </c>
      <c r="F23">
        <v>1</v>
      </c>
    </row>
    <row r="24" spans="1:6">
      <c r="A24" s="27" t="str">
        <f t="shared" si="0"/>
        <v>1PremiumSSpick5</v>
      </c>
      <c r="B24">
        <v>1510</v>
      </c>
      <c r="C24" t="s">
        <v>79</v>
      </c>
      <c r="D24">
        <v>1510</v>
      </c>
      <c r="E24">
        <v>5</v>
      </c>
      <c r="F24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95"/>
  <sheetViews>
    <sheetView showGridLines="0" zoomScale="75" zoomScaleNormal="75" zoomScalePageLayoutView="75" workbookViewId="0">
      <pane ySplit="1" topLeftCell="A25" activePane="bottomLeft" state="frozen"/>
      <selection activeCell="M24" sqref="M24"/>
      <selection pane="bottomLeft" activeCell="G37" sqref="G37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29" t="s">
        <v>20</v>
      </c>
      <c r="C1" s="3" t="s">
        <v>43</v>
      </c>
      <c r="D1" s="3" t="s">
        <v>44</v>
      </c>
      <c r="E1" s="35" t="s">
        <v>45</v>
      </c>
      <c r="F1" s="35" t="s">
        <v>46</v>
      </c>
      <c r="G1" s="3" t="s">
        <v>47</v>
      </c>
      <c r="H1" s="3" t="s">
        <v>48</v>
      </c>
      <c r="I1" s="3" t="s">
        <v>49</v>
      </c>
      <c r="J1" s="3" t="s">
        <v>50</v>
      </c>
      <c r="K1" s="3" t="s">
        <v>51</v>
      </c>
      <c r="L1" s="3" t="s">
        <v>52</v>
      </c>
      <c r="M1" s="35" t="s">
        <v>53</v>
      </c>
      <c r="N1" s="35" t="s">
        <v>54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 t="shared" ref="A2:A33" si="0">B2&amp;F2</f>
        <v>14901127</v>
      </c>
      <c r="B2" s="36">
        <v>14901</v>
      </c>
      <c r="C2" s="12" t="str">
        <f t="shared" ref="C2:C33" si="1">E2&amp;H2&amp;I2</f>
        <v>1PremiumW4</v>
      </c>
      <c r="D2" s="8" t="str">
        <f t="shared" ref="D2:D33" si="2">E2&amp;H2&amp;I2</f>
        <v>1PremiumW4</v>
      </c>
      <c r="E2" s="13">
        <v>1</v>
      </c>
      <c r="F2" s="18">
        <v>127</v>
      </c>
      <c r="G2" s="12" t="str">
        <f>VLOOKUP(F2,[1]characters!$A:$C,3,FALSE)</f>
        <v>狂喜の賢者 ユノ</v>
      </c>
      <c r="H2" s="12" t="str">
        <f>VLOOKUP(F2,[1]characters!$A:$J,10,FALSE)</f>
        <v>PremiumW</v>
      </c>
      <c r="I2" s="12">
        <f>VLOOKUP(F2,[1]characters!$A:$I,9,FALSE)</f>
        <v>4</v>
      </c>
      <c r="J2" s="12" t="str">
        <f>VLOOKUP(F2,[1]characters!$A:$H,8,FALSE)</f>
        <v>red</v>
      </c>
      <c r="K2" s="12" t="str">
        <f>VLOOKUP(F2,[1]characters!$A:$K,11,FALSE)</f>
        <v>attack</v>
      </c>
      <c r="L2" s="12" t="str">
        <f>VLOOKUP(F2,[1]characters!$A:$M,13,FALSE)</f>
        <v>human</v>
      </c>
      <c r="M2" s="13">
        <v>1</v>
      </c>
      <c r="N2" s="50">
        <f>VLOOKUP(D2,gacha_149_base!A:B,2,FALSE)</f>
        <v>1602</v>
      </c>
      <c r="O2" s="10">
        <v>0</v>
      </c>
      <c r="P2" s="19">
        <v>0</v>
      </c>
      <c r="Q2" s="10">
        <v>0</v>
      </c>
      <c r="R2" s="10">
        <v>0</v>
      </c>
      <c r="S2" s="10">
        <v>1</v>
      </c>
    </row>
    <row r="3" spans="1:19" ht="21" customHeight="1">
      <c r="A3" s="7" t="str">
        <f t="shared" si="0"/>
        <v>14901129</v>
      </c>
      <c r="B3" s="2">
        <f t="shared" ref="B3:B34" si="3">$B$2</f>
        <v>14901</v>
      </c>
      <c r="C3" s="8" t="str">
        <f t="shared" si="1"/>
        <v>1PremiumW4</v>
      </c>
      <c r="D3" s="8" t="str">
        <f t="shared" si="2"/>
        <v>1PremiumW4</v>
      </c>
      <c r="E3" s="5">
        <v>1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8">
        <f>VLOOKUP(D3,gacha_149_base!A:B,2,FALSE)</f>
        <v>1602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0"/>
        <v>14901131</v>
      </c>
      <c r="B4" s="2">
        <f t="shared" si="3"/>
        <v>14901</v>
      </c>
      <c r="C4" s="8" t="str">
        <f t="shared" si="1"/>
        <v>1PremiumW4</v>
      </c>
      <c r="D4" s="8" t="str">
        <f t="shared" si="2"/>
        <v>1PremiumW4</v>
      </c>
      <c r="E4" s="5">
        <v>1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8">
        <f>VLOOKUP(D4,gacha_149_base!A:B,2,FALSE)</f>
        <v>1602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0"/>
        <v>14901133</v>
      </c>
      <c r="B5" s="2">
        <f t="shared" si="3"/>
        <v>14901</v>
      </c>
      <c r="C5" s="8" t="str">
        <f t="shared" si="1"/>
        <v>1PremiumW4</v>
      </c>
      <c r="D5" s="8" t="str">
        <f t="shared" si="2"/>
        <v>1PremiumW4</v>
      </c>
      <c r="E5" s="5">
        <v>1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8">
        <f>VLOOKUP(D5,gacha_149_base!A:B,2,FALSE)</f>
        <v>1602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0"/>
        <v>14901135</v>
      </c>
      <c r="B6" s="2">
        <f t="shared" si="3"/>
        <v>14901</v>
      </c>
      <c r="C6" s="8" t="str">
        <f t="shared" si="1"/>
        <v>1PremiumW4</v>
      </c>
      <c r="D6" s="8" t="str">
        <f t="shared" si="2"/>
        <v>1PremiumW4</v>
      </c>
      <c r="E6" s="5">
        <v>1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8">
        <f>VLOOKUP(D6,gacha_149_base!A:B,2,FALSE)</f>
        <v>1602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0"/>
        <v>14901137</v>
      </c>
      <c r="B7" s="2">
        <f t="shared" si="3"/>
        <v>14901</v>
      </c>
      <c r="C7" s="8" t="str">
        <f t="shared" si="1"/>
        <v>1PremiumW4</v>
      </c>
      <c r="D7" s="8" t="str">
        <f t="shared" si="2"/>
        <v>1PremiumW4</v>
      </c>
      <c r="E7" s="5">
        <v>1</v>
      </c>
      <c r="F7" s="6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8">
        <f>VLOOKUP(D7,gacha_149_base!A:B,2,FALSE)</f>
        <v>1602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0"/>
        <v>14901139</v>
      </c>
      <c r="B8" s="2">
        <f t="shared" si="3"/>
        <v>14901</v>
      </c>
      <c r="C8" s="8" t="str">
        <f t="shared" si="1"/>
        <v>1PremiumW4</v>
      </c>
      <c r="D8" s="8" t="str">
        <f t="shared" si="2"/>
        <v>1PremiumW4</v>
      </c>
      <c r="E8" s="5">
        <v>1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8">
        <f>VLOOKUP(D8,gacha_149_base!A:B,2,FALSE)</f>
        <v>1602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0"/>
        <v>14901141</v>
      </c>
      <c r="B9" s="2">
        <f t="shared" si="3"/>
        <v>14901</v>
      </c>
      <c r="C9" s="8" t="str">
        <f t="shared" si="1"/>
        <v>1PremiumW4</v>
      </c>
      <c r="D9" s="8" t="str">
        <f t="shared" si="2"/>
        <v>1PremiumW4</v>
      </c>
      <c r="E9" s="5">
        <v>1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8">
        <f>VLOOKUP(D9,gacha_149_base!A:B,2,FALSE)</f>
        <v>1602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si="0"/>
        <v>14901143</v>
      </c>
      <c r="B10" s="2">
        <f t="shared" si="3"/>
        <v>14901</v>
      </c>
      <c r="C10" s="8" t="str">
        <f t="shared" si="1"/>
        <v>1PremiumW4</v>
      </c>
      <c r="D10" s="8" t="str">
        <f t="shared" si="2"/>
        <v>1PremiumW4</v>
      </c>
      <c r="E10" s="5">
        <v>1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8">
        <f>VLOOKUP(D10,gacha_149_base!A:B,2,FALSE)</f>
        <v>1602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0"/>
        <v>14901145</v>
      </c>
      <c r="B11" s="2">
        <f t="shared" si="3"/>
        <v>14901</v>
      </c>
      <c r="C11" s="8" t="str">
        <f t="shared" si="1"/>
        <v>1PremiumW4</v>
      </c>
      <c r="D11" s="8" t="str">
        <f t="shared" si="2"/>
        <v>1PremiumW4</v>
      </c>
      <c r="E11" s="5">
        <v>1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8">
        <f>VLOOKUP(D11,gacha_149_base!A:B,2,FALSE)</f>
        <v>1602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0"/>
        <v>14901147</v>
      </c>
      <c r="B12" s="2">
        <f t="shared" si="3"/>
        <v>14901</v>
      </c>
      <c r="C12" s="8" t="str">
        <f t="shared" si="1"/>
        <v>1PremiumW4</v>
      </c>
      <c r="D12" s="8" t="str">
        <f t="shared" si="2"/>
        <v>1PremiumW4</v>
      </c>
      <c r="E12" s="5">
        <v>1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8">
        <f>VLOOKUP(D12,gacha_149_base!A:B,2,FALSE)</f>
        <v>1602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0"/>
        <v>14901149</v>
      </c>
      <c r="B13" s="2">
        <f t="shared" si="3"/>
        <v>14901</v>
      </c>
      <c r="C13" s="8" t="str">
        <f t="shared" si="1"/>
        <v>1PremiumW4</v>
      </c>
      <c r="D13" s="8" t="str">
        <f t="shared" si="2"/>
        <v>1PremiumW4</v>
      </c>
      <c r="E13" s="5">
        <v>1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8">
        <f>VLOOKUP(D13,gacha_149_base!A:B,2,FALSE)</f>
        <v>1602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0"/>
        <v>14901151</v>
      </c>
      <c r="B14" s="2">
        <f t="shared" si="3"/>
        <v>14901</v>
      </c>
      <c r="C14" s="8" t="str">
        <f t="shared" si="1"/>
        <v>1PremiumW4</v>
      </c>
      <c r="D14" s="8" t="str">
        <f t="shared" si="2"/>
        <v>1PremiumW4</v>
      </c>
      <c r="E14" s="5">
        <v>1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8">
        <f>VLOOKUP(D14,gacha_149_base!A:B,2,FALSE)</f>
        <v>1602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0"/>
        <v>14901153</v>
      </c>
      <c r="B15" s="2">
        <f t="shared" si="3"/>
        <v>14901</v>
      </c>
      <c r="C15" s="8" t="str">
        <f t="shared" si="1"/>
        <v>1PremiumW4</v>
      </c>
      <c r="D15" s="8" t="str">
        <f t="shared" si="2"/>
        <v>1PremiumW4</v>
      </c>
      <c r="E15" s="5">
        <v>1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8">
        <f>VLOOKUP(D15,gacha_149_base!A:B,2,FALSE)</f>
        <v>1602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0"/>
        <v>14901155</v>
      </c>
      <c r="B16" s="2">
        <f t="shared" si="3"/>
        <v>14901</v>
      </c>
      <c r="C16" s="8" t="str">
        <f t="shared" si="1"/>
        <v>1PremiumW4</v>
      </c>
      <c r="D16" s="8" t="str">
        <f t="shared" si="2"/>
        <v>1PremiumW4</v>
      </c>
      <c r="E16" s="5">
        <v>1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8">
        <f>VLOOKUP(D16,gacha_149_base!A:B,2,FALSE)</f>
        <v>1602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0"/>
        <v>14901157</v>
      </c>
      <c r="B17" s="2">
        <f t="shared" si="3"/>
        <v>14901</v>
      </c>
      <c r="C17" s="8" t="str">
        <f t="shared" si="1"/>
        <v>1PremiumW4</v>
      </c>
      <c r="D17" s="8" t="str">
        <f t="shared" si="2"/>
        <v>1PremiumW4</v>
      </c>
      <c r="E17" s="5">
        <v>1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8">
        <f>VLOOKUP(D17,gacha_149_base!A:B,2,FALSE)</f>
        <v>1602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si="0"/>
        <v>14901159</v>
      </c>
      <c r="B18" s="2">
        <f t="shared" si="3"/>
        <v>14901</v>
      </c>
      <c r="C18" s="8" t="str">
        <f t="shared" si="1"/>
        <v>1PremiumW4</v>
      </c>
      <c r="D18" s="8" t="str">
        <f t="shared" si="2"/>
        <v>1PremiumW4</v>
      </c>
      <c r="E18" s="5">
        <v>1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8">
        <f>VLOOKUP(D18,gacha_149_base!A:B,2,FALSE)</f>
        <v>1602</v>
      </c>
      <c r="O18" s="19">
        <v>0</v>
      </c>
      <c r="P18" s="19">
        <v>0</v>
      </c>
      <c r="Q18" s="19">
        <v>0</v>
      </c>
      <c r="R18" s="19">
        <v>0</v>
      </c>
      <c r="S18" s="19">
        <v>1</v>
      </c>
    </row>
    <row r="19" spans="1:19" ht="21" customHeight="1">
      <c r="A19" s="7" t="str">
        <f t="shared" si="0"/>
        <v>14901161</v>
      </c>
      <c r="B19" s="2">
        <f t="shared" si="3"/>
        <v>14901</v>
      </c>
      <c r="C19" s="8" t="str">
        <f t="shared" si="1"/>
        <v>1PremiumW4</v>
      </c>
      <c r="D19" s="8" t="str">
        <f t="shared" si="2"/>
        <v>1PremiumW4</v>
      </c>
      <c r="E19" s="5">
        <v>1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8">
        <f>VLOOKUP(D19,gacha_149_base!A:B,2,FALSE)</f>
        <v>1602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ht="21" customHeight="1">
      <c r="A20" s="7" t="str">
        <f t="shared" si="0"/>
        <v>14901163</v>
      </c>
      <c r="B20" s="2">
        <f t="shared" si="3"/>
        <v>14901</v>
      </c>
      <c r="C20" s="8" t="str">
        <f t="shared" si="1"/>
        <v>1PremiumW4</v>
      </c>
      <c r="D20" s="8" t="str">
        <f t="shared" si="2"/>
        <v>1PremiumW4</v>
      </c>
      <c r="E20" s="5">
        <v>1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8">
        <f>VLOOKUP(D20,gacha_149_base!A:B,2,FALSE)</f>
        <v>1602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0"/>
        <v>14901165</v>
      </c>
      <c r="B21" s="2">
        <f t="shared" si="3"/>
        <v>14901</v>
      </c>
      <c r="C21" s="8" t="str">
        <f t="shared" si="1"/>
        <v>1PremiumW4</v>
      </c>
      <c r="D21" s="8" t="str">
        <f t="shared" si="2"/>
        <v>1PremiumW4</v>
      </c>
      <c r="E21" s="5">
        <v>1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8">
        <f>VLOOKUP(D21,gacha_149_base!A:B,2,FALSE)</f>
        <v>1602</v>
      </c>
      <c r="O21" s="19">
        <v>0</v>
      </c>
      <c r="P21" s="19">
        <v>0</v>
      </c>
      <c r="Q21" s="19">
        <v>0</v>
      </c>
      <c r="R21" s="19">
        <v>0</v>
      </c>
      <c r="S21" s="19">
        <v>1</v>
      </c>
    </row>
    <row r="22" spans="1:19" ht="21" customHeight="1">
      <c r="A22" s="7" t="str">
        <f t="shared" si="0"/>
        <v>14901167</v>
      </c>
      <c r="B22" s="2">
        <f t="shared" si="3"/>
        <v>14901</v>
      </c>
      <c r="C22" s="8" t="str">
        <f t="shared" si="1"/>
        <v>1PremiumN4</v>
      </c>
      <c r="D22" s="8" t="str">
        <f t="shared" si="2"/>
        <v>1PremiumN4</v>
      </c>
      <c r="E22" s="5">
        <v>1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8">
        <f>VLOOKUP(D22,gacha_149_base!A:B,2,FALSE)</f>
        <v>1586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0"/>
        <v>14901170</v>
      </c>
      <c r="B23" s="2">
        <f t="shared" si="3"/>
        <v>14901</v>
      </c>
      <c r="C23" s="8" t="str">
        <f t="shared" si="1"/>
        <v>1PremiumN4</v>
      </c>
      <c r="D23" s="8" t="str">
        <f t="shared" si="2"/>
        <v>1PremiumN4</v>
      </c>
      <c r="E23" s="5">
        <v>1</v>
      </c>
      <c r="F23" s="6">
        <v>170</v>
      </c>
      <c r="G23" s="8" t="str">
        <f>VLOOKUP(F23,[1]characters!$A:$C,3,FALSE)</f>
        <v>識徒 オセ</v>
      </c>
      <c r="H23" s="8" t="str">
        <f>VLOOKUP(F23,[1]characters!$A:$J,10,FALSE)</f>
        <v>PremiumN</v>
      </c>
      <c r="I23" s="8">
        <f>VLOOKUP(F23,[1]characters!$A:$I,9,FALSE)</f>
        <v>4</v>
      </c>
      <c r="J23" s="8" t="str">
        <f>VLOOKUP(F23,[1]characters!$A:$H,8,FALSE)</f>
        <v>green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8">
        <f>VLOOKUP(D23,gacha_149_base!A:B,2,FALSE)</f>
        <v>1586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0"/>
        <v>14901173</v>
      </c>
      <c r="B24" s="2">
        <f t="shared" si="3"/>
        <v>14901</v>
      </c>
      <c r="C24" s="8" t="str">
        <f t="shared" si="1"/>
        <v>1PremiumN4</v>
      </c>
      <c r="D24" s="8" t="str">
        <f t="shared" si="2"/>
        <v>1PremiumN4</v>
      </c>
      <c r="E24" s="5">
        <v>1</v>
      </c>
      <c r="F24" s="6">
        <v>173</v>
      </c>
      <c r="G24" s="8" t="str">
        <f>VLOOKUP(F24,[1]characters!$A:$C,3,FALSE)</f>
        <v>公爵 フォルネウス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blue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8">
        <f>VLOOKUP(D24,gacha_149_base!A:B,2,FALSE)</f>
        <v>1586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0"/>
        <v>14901176</v>
      </c>
      <c r="B25" s="2">
        <f t="shared" si="3"/>
        <v>14901</v>
      </c>
      <c r="C25" s="8" t="str">
        <f t="shared" si="1"/>
        <v>1PremiumN4</v>
      </c>
      <c r="D25" s="8" t="str">
        <f t="shared" si="2"/>
        <v>1PremiumN4</v>
      </c>
      <c r="E25" s="5">
        <v>1</v>
      </c>
      <c r="F25" s="6">
        <v>176</v>
      </c>
      <c r="G25" s="8" t="str">
        <f>VLOOKUP(F25,[1]characters!$A:$C,3,FALSE)</f>
        <v>異教徒 バフォメット</v>
      </c>
      <c r="H25" s="8" t="str">
        <f>VLOOKUP(F25,[1]characters!$A:$J,10,FALSE)</f>
        <v>PremiumN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8">
        <f>VLOOKUP(D25,gacha_149_base!A:B,2,FALSE)</f>
        <v>1586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0"/>
        <v>14901179</v>
      </c>
      <c r="B26" s="2">
        <f t="shared" si="3"/>
        <v>14901</v>
      </c>
      <c r="C26" s="8" t="str">
        <f t="shared" si="1"/>
        <v>1PremiumN4</v>
      </c>
      <c r="D26" s="8" t="str">
        <f t="shared" si="2"/>
        <v>1PremiumN4</v>
      </c>
      <c r="E26" s="5">
        <v>1</v>
      </c>
      <c r="F26" s="6">
        <v>179</v>
      </c>
      <c r="G26" s="8" t="str">
        <f>VLOOKUP(F26,[1]characters!$A:$C,3,FALSE)</f>
        <v>番犬 ケルベロス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red</v>
      </c>
      <c r="K26" s="8" t="str">
        <f>VLOOKUP(F26,[1]characters!$A:$K,11,FALSE)</f>
        <v>balance</v>
      </c>
      <c r="L26" s="8" t="str">
        <f>VLOOKUP(F26,[1]characters!$A:$M,13,FALSE)</f>
        <v>animal</v>
      </c>
      <c r="M26" s="5">
        <v>1</v>
      </c>
      <c r="N26" s="28">
        <f>VLOOKUP(D26,gacha_149_base!A:B,2,FALSE)</f>
        <v>1586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0"/>
        <v>14901182</v>
      </c>
      <c r="B27" s="2">
        <f t="shared" si="3"/>
        <v>14901</v>
      </c>
      <c r="C27" s="8" t="str">
        <f t="shared" si="1"/>
        <v>1PremiumN4</v>
      </c>
      <c r="D27" s="8" t="str">
        <f t="shared" si="2"/>
        <v>1PremiumN4</v>
      </c>
      <c r="E27" s="5">
        <v>1</v>
      </c>
      <c r="F27" s="6">
        <v>182</v>
      </c>
      <c r="G27" s="8" t="str">
        <f>VLOOKUP(F27,[1]characters!$A:$C,3,FALSE)</f>
        <v>放蕩者 ベヒモス</v>
      </c>
      <c r="H27" s="8" t="str">
        <f>VLOOKUP(F27,[1]characters!$A:$J,10,FALSE)</f>
        <v>PremiumN</v>
      </c>
      <c r="I27" s="8">
        <f>VLOOKUP(F27,[1]characters!$A:$I,9,FALSE)</f>
        <v>4</v>
      </c>
      <c r="J27" s="8" t="str">
        <f>VLOOKUP(F27,[1]characters!$A:$H,8,FALSE)</f>
        <v>green</v>
      </c>
      <c r="K27" s="8" t="str">
        <f>VLOOKUP(F27,[1]characters!$A:$K,11,FALSE)</f>
        <v>hp</v>
      </c>
      <c r="L27" s="8" t="str">
        <f>VLOOKUP(F27,[1]characters!$A:$M,13,FALSE)</f>
        <v>animal</v>
      </c>
      <c r="M27" s="5">
        <v>1</v>
      </c>
      <c r="N27" s="28">
        <f>VLOOKUP(D27,gacha_149_base!A:B,2,FALSE)</f>
        <v>1586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0"/>
        <v>14901185</v>
      </c>
      <c r="B28" s="2">
        <f t="shared" si="3"/>
        <v>14901</v>
      </c>
      <c r="C28" s="8" t="str">
        <f t="shared" si="1"/>
        <v>1PremiumN4</v>
      </c>
      <c r="D28" s="8" t="str">
        <f t="shared" si="2"/>
        <v>1PremiumN4</v>
      </c>
      <c r="E28" s="5">
        <v>1</v>
      </c>
      <c r="F28" s="6">
        <v>185</v>
      </c>
      <c r="G28" s="8" t="str">
        <f>VLOOKUP(F28,[1]characters!$A:$C,3,FALSE)</f>
        <v>海姫 クラーケン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blue</v>
      </c>
      <c r="K28" s="8" t="str">
        <f>VLOOKUP(F28,[1]characters!$A:$K,11,FALSE)</f>
        <v>heal</v>
      </c>
      <c r="L28" s="8" t="str">
        <f>VLOOKUP(F28,[1]characters!$A:$M,13,FALSE)</f>
        <v>animal</v>
      </c>
      <c r="M28" s="5">
        <v>1</v>
      </c>
      <c r="N28" s="28">
        <f>VLOOKUP(D28,gacha_149_base!A:B,2,FALSE)</f>
        <v>1586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0"/>
        <v>14901188</v>
      </c>
      <c r="B29" s="2">
        <f t="shared" si="3"/>
        <v>14901</v>
      </c>
      <c r="C29" s="8" t="str">
        <f t="shared" si="1"/>
        <v>1PremiumN4</v>
      </c>
      <c r="D29" s="8" t="str">
        <f t="shared" si="2"/>
        <v>1PremiumN4</v>
      </c>
      <c r="E29" s="5">
        <v>1</v>
      </c>
      <c r="F29" s="6">
        <v>188</v>
      </c>
      <c r="G29" s="8" t="str">
        <f>VLOOKUP(F29,[1]characters!$A:$C,3,FALSE)</f>
        <v>猛禽 ホルス</v>
      </c>
      <c r="H29" s="8" t="str">
        <f>VLOOKUP(F29,[1]characters!$A:$J,10,FALSE)</f>
        <v>PremiumN</v>
      </c>
      <c r="I29" s="8">
        <f>VLOOKUP(F29,[1]characters!$A:$I,9,FALSE)</f>
        <v>4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animal</v>
      </c>
      <c r="M29" s="5">
        <v>1</v>
      </c>
      <c r="N29" s="28">
        <f>VLOOKUP(D29,gacha_149_base!A:B,2,FALSE)</f>
        <v>1586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0"/>
        <v>14901191</v>
      </c>
      <c r="B30" s="2">
        <f t="shared" si="3"/>
        <v>14901</v>
      </c>
      <c r="C30" s="8" t="str">
        <f t="shared" si="1"/>
        <v>1PremiumN4</v>
      </c>
      <c r="D30" s="8" t="str">
        <f t="shared" si="2"/>
        <v>1PremiumN4</v>
      </c>
      <c r="E30" s="5">
        <v>1</v>
      </c>
      <c r="F30" s="6">
        <v>191</v>
      </c>
      <c r="G30" s="8" t="str">
        <f>VLOOKUP(F30,[1]characters!$A:$C,3,FALSE)</f>
        <v>始祖 卑弥呼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human</v>
      </c>
      <c r="M30" s="5">
        <v>1</v>
      </c>
      <c r="N30" s="28">
        <f>VLOOKUP(D30,gacha_149_base!A:B,2,FALSE)</f>
        <v>1586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0"/>
        <v>14901194</v>
      </c>
      <c r="B31" s="2">
        <f t="shared" si="3"/>
        <v>14901</v>
      </c>
      <c r="C31" s="8" t="str">
        <f t="shared" si="1"/>
        <v>1PremiumN4</v>
      </c>
      <c r="D31" s="8" t="str">
        <f t="shared" si="2"/>
        <v>1PremiumN4</v>
      </c>
      <c r="E31" s="5">
        <v>1</v>
      </c>
      <c r="F31" s="6">
        <v>194</v>
      </c>
      <c r="G31" s="8" t="str">
        <f>VLOOKUP(F31,[1]characters!$A:$C,3,FALSE)</f>
        <v>スナイパー ロビンフッド</v>
      </c>
      <c r="H31" s="8" t="str">
        <f>VLOOKUP(F31,[1]characters!$A:$J,10,FALSE)</f>
        <v>PremiumN</v>
      </c>
      <c r="I31" s="8">
        <f>VLOOKUP(F31,[1]characters!$A:$I,9,FALSE)</f>
        <v>4</v>
      </c>
      <c r="J31" s="8" t="str">
        <f>VLOOKUP(F31,[1]characters!$A:$H,8,FALSE)</f>
        <v>green</v>
      </c>
      <c r="K31" s="8" t="str">
        <f>VLOOKUP(F31,[1]characters!$A:$K,11,FALSE)</f>
        <v>balance</v>
      </c>
      <c r="L31" s="8" t="str">
        <f>VLOOKUP(F31,[1]characters!$A:$M,13,FALSE)</f>
        <v>human</v>
      </c>
      <c r="M31" s="5">
        <v>1</v>
      </c>
      <c r="N31" s="28">
        <f>VLOOKUP(D31,gacha_149_base!A:B,2,FALSE)</f>
        <v>1586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0"/>
        <v>14901197</v>
      </c>
      <c r="B32" s="2">
        <f t="shared" si="3"/>
        <v>14901</v>
      </c>
      <c r="C32" s="8" t="str">
        <f t="shared" si="1"/>
        <v>1PremiumN4</v>
      </c>
      <c r="D32" s="8" t="str">
        <f t="shared" si="2"/>
        <v>1PremiumN4</v>
      </c>
      <c r="E32" s="5">
        <v>1</v>
      </c>
      <c r="F32" s="6">
        <v>197</v>
      </c>
      <c r="G32" s="8" t="str">
        <f>VLOOKUP(F32,[1]characters!$A:$C,3,FALSE)</f>
        <v>鉄腕 アキレス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yellow</v>
      </c>
      <c r="K32" s="8" t="str">
        <f>VLOOKUP(F32,[1]characters!$A:$K,11,FALSE)</f>
        <v>balance</v>
      </c>
      <c r="L32" s="8" t="str">
        <f>VLOOKUP(F32,[1]characters!$A:$M,13,FALSE)</f>
        <v>human</v>
      </c>
      <c r="M32" s="5">
        <v>1</v>
      </c>
      <c r="N32" s="28">
        <f>VLOOKUP(D32,gacha_149_base!A:B,2,FALSE)</f>
        <v>1586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0"/>
        <v>14901200</v>
      </c>
      <c r="B33" s="2">
        <f t="shared" si="3"/>
        <v>14901</v>
      </c>
      <c r="C33" s="8" t="str">
        <f t="shared" si="1"/>
        <v>1PremiumN4</v>
      </c>
      <c r="D33" s="8" t="str">
        <f t="shared" si="2"/>
        <v>1PremiumN4</v>
      </c>
      <c r="E33" s="5">
        <v>1</v>
      </c>
      <c r="F33" s="6">
        <v>200</v>
      </c>
      <c r="G33" s="8" t="str">
        <f>VLOOKUP(F33,[1]characters!$A:$C,3,FALSE)</f>
        <v>大剣士 ジークフリート</v>
      </c>
      <c r="H33" s="8" t="str">
        <f>VLOOKUP(F33,[1]characters!$A:$J,10,FALSE)</f>
        <v>PremiumN</v>
      </c>
      <c r="I33" s="8">
        <f>VLOOKUP(F33,[1]characters!$A:$I,9,FALSE)</f>
        <v>4</v>
      </c>
      <c r="J33" s="8" t="str">
        <f>VLOOKUP(F33,[1]characters!$A:$H,8,FALSE)</f>
        <v>blue</v>
      </c>
      <c r="K33" s="8" t="str">
        <f>VLOOKUP(F33,[1]characters!$A:$K,11,FALSE)</f>
        <v>balance</v>
      </c>
      <c r="L33" s="8" t="str">
        <f>VLOOKUP(F33,[1]characters!$A:$M,13,FALSE)</f>
        <v>human</v>
      </c>
      <c r="M33" s="5">
        <v>1</v>
      </c>
      <c r="N33" s="28">
        <f>VLOOKUP(D33,gacha_149_base!A:B,2,FALSE)</f>
        <v>1586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ref="A34:A65" si="4">B34&amp;F34</f>
        <v>14901203</v>
      </c>
      <c r="B34" s="2">
        <f t="shared" si="3"/>
        <v>14901</v>
      </c>
      <c r="C34" s="8" t="str">
        <f t="shared" ref="C34:C65" si="5">E34&amp;H34&amp;I34</f>
        <v>1PremiumN4</v>
      </c>
      <c r="D34" s="8" t="str">
        <f t="shared" ref="D34:D65" si="6">E34&amp;H34&amp;I34</f>
        <v>1PremiumN4</v>
      </c>
      <c r="E34" s="5">
        <v>1</v>
      </c>
      <c r="F34" s="6">
        <v>203</v>
      </c>
      <c r="G34" s="8" t="str">
        <f>VLOOKUP(F34,[1]characters!$A:$C,3,FALSE)</f>
        <v>焔神 プロメテウス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red</v>
      </c>
      <c r="K34" s="8" t="str">
        <f>VLOOKUP(F34,[1]characters!$A:$K,11,FALSE)</f>
        <v>hp</v>
      </c>
      <c r="L34" s="8" t="str">
        <f>VLOOKUP(F34,[1]characters!$A:$M,13,FALSE)</f>
        <v>god</v>
      </c>
      <c r="M34" s="5">
        <v>1</v>
      </c>
      <c r="N34" s="28">
        <f>VLOOKUP(D34,gacha_149_base!A:B,2,FALSE)</f>
        <v>1586</v>
      </c>
      <c r="O34" s="19">
        <v>0</v>
      </c>
      <c r="P34" s="19">
        <v>0</v>
      </c>
      <c r="Q34" s="19">
        <v>0</v>
      </c>
      <c r="R34" s="19">
        <v>0</v>
      </c>
      <c r="S34" s="19">
        <v>1</v>
      </c>
    </row>
    <row r="35" spans="1:19" ht="21" customHeight="1">
      <c r="A35" s="7" t="str">
        <f t="shared" si="4"/>
        <v>14901206</v>
      </c>
      <c r="B35" s="2">
        <f t="shared" ref="B35:B69" si="7">$B$2</f>
        <v>14901</v>
      </c>
      <c r="C35" s="8" t="str">
        <f t="shared" si="5"/>
        <v>1PremiumN4</v>
      </c>
      <c r="D35" s="8" t="str">
        <f t="shared" si="6"/>
        <v>1PremiumN4</v>
      </c>
      <c r="E35" s="5">
        <v>1</v>
      </c>
      <c r="F35" s="6">
        <v>206</v>
      </c>
      <c r="G35" s="8" t="str">
        <f>VLOOKUP(F35,[1]characters!$A:$C,3,FALSE)</f>
        <v>美神 アフロディーテ</v>
      </c>
      <c r="H35" s="8" t="str">
        <f>VLOOKUP(F35,[1]characters!$A:$J,10,FALSE)</f>
        <v>PremiumN</v>
      </c>
      <c r="I35" s="8">
        <f>VLOOKUP(F35,[1]characters!$A:$I,9,FALSE)</f>
        <v>4</v>
      </c>
      <c r="J35" s="8" t="str">
        <f>VLOOKUP(F35,[1]characters!$A:$H,8,FALSE)</f>
        <v>green</v>
      </c>
      <c r="K35" s="8" t="str">
        <f>VLOOKUP(F35,[1]characters!$A:$K,11,FALSE)</f>
        <v>hp</v>
      </c>
      <c r="L35" s="8" t="str">
        <f>VLOOKUP(F35,[1]characters!$A:$M,13,FALSE)</f>
        <v>god</v>
      </c>
      <c r="M35" s="5">
        <v>1</v>
      </c>
      <c r="N35" s="28">
        <f>VLOOKUP(D35,gacha_149_base!A:B,2,FALSE)</f>
        <v>1586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4"/>
        <v>14901209</v>
      </c>
      <c r="B36" s="2">
        <f t="shared" si="7"/>
        <v>14901</v>
      </c>
      <c r="C36" s="8" t="str">
        <f t="shared" si="5"/>
        <v>1PremiumN4</v>
      </c>
      <c r="D36" s="8" t="str">
        <f t="shared" si="6"/>
        <v>1PremiumN4</v>
      </c>
      <c r="E36" s="5">
        <v>1</v>
      </c>
      <c r="F36" s="6">
        <v>209</v>
      </c>
      <c r="G36" s="8" t="str">
        <f>VLOOKUP(F36,[1]characters!$A:$C,3,FALSE)</f>
        <v>孤神 テティス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blue</v>
      </c>
      <c r="K36" s="8" t="str">
        <f>VLOOKUP(F36,[1]characters!$A:$K,11,FALSE)</f>
        <v>hp</v>
      </c>
      <c r="L36" s="8" t="str">
        <f>VLOOKUP(F36,[1]characters!$A:$M,13,FALSE)</f>
        <v>god</v>
      </c>
      <c r="M36" s="5">
        <v>1</v>
      </c>
      <c r="N36" s="28">
        <f>VLOOKUP(D36,gacha_149_base!A:B,2,FALSE)</f>
        <v>1586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4"/>
        <v>14901212</v>
      </c>
      <c r="B37" s="2">
        <f t="shared" si="7"/>
        <v>14901</v>
      </c>
      <c r="C37" s="8" t="str">
        <f t="shared" si="5"/>
        <v>1PremiumN4</v>
      </c>
      <c r="D37" s="8" t="str">
        <f t="shared" si="6"/>
        <v>1PremiumN4</v>
      </c>
      <c r="E37" s="5">
        <v>1</v>
      </c>
      <c r="F37" s="6">
        <v>212</v>
      </c>
      <c r="G37" s="8" t="str">
        <f>VLOOKUP(F37,[1]characters!$A:$C,3,FALSE)</f>
        <v>星神 アストライアー</v>
      </c>
      <c r="H37" s="8" t="str">
        <f>VLOOKUP(F37,[1]characters!$A:$J,10,FALSE)</f>
        <v>PremiumN</v>
      </c>
      <c r="I37" s="8">
        <f>VLOOKUP(F37,[1]characters!$A:$I,9,FALSE)</f>
        <v>4</v>
      </c>
      <c r="J37" s="8" t="str">
        <f>VLOOKUP(F37,[1]characters!$A:$H,8,FALSE)</f>
        <v>yellow</v>
      </c>
      <c r="K37" s="8" t="str">
        <f>VLOOKUP(F37,[1]characters!$A:$K,11,FALSE)</f>
        <v>balance</v>
      </c>
      <c r="L37" s="8" t="str">
        <f>VLOOKUP(F37,[1]characters!$A:$M,13,FALSE)</f>
        <v>god</v>
      </c>
      <c r="M37" s="5">
        <v>1</v>
      </c>
      <c r="N37" s="28">
        <f>VLOOKUP(D37,gacha_149_base!A:B,2,FALSE)</f>
        <v>1586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ht="21" customHeight="1">
      <c r="A38" s="7" t="str">
        <f t="shared" si="4"/>
        <v>14901215</v>
      </c>
      <c r="B38" s="2">
        <f t="shared" si="7"/>
        <v>14901</v>
      </c>
      <c r="C38" s="8" t="str">
        <f t="shared" si="5"/>
        <v>1PremiumN4</v>
      </c>
      <c r="D38" s="8" t="str">
        <f t="shared" si="6"/>
        <v>1PremiumN4</v>
      </c>
      <c r="E38" s="5">
        <v>1</v>
      </c>
      <c r="F38" s="6">
        <v>215</v>
      </c>
      <c r="G38" s="8" t="str">
        <f>VLOOKUP(F38,[1]characters!$A:$C,3,FALSE)</f>
        <v>死導者 アズラエル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god</v>
      </c>
      <c r="M38" s="5">
        <v>1</v>
      </c>
      <c r="N38" s="28">
        <f>VLOOKUP(D38,gacha_149_base!A:B,2,FALSE)</f>
        <v>1586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4"/>
        <v>14901218</v>
      </c>
      <c r="B39" s="2">
        <f t="shared" si="7"/>
        <v>14901</v>
      </c>
      <c r="C39" s="8" t="str">
        <f t="shared" si="5"/>
        <v>1PremiumN4</v>
      </c>
      <c r="D39" s="8" t="str">
        <f t="shared" si="6"/>
        <v>1PremiumN4</v>
      </c>
      <c r="E39" s="5">
        <v>1</v>
      </c>
      <c r="F39" s="6">
        <v>218</v>
      </c>
      <c r="G39" s="8" t="str">
        <f>VLOOKUP(F39,[1]characters!$A:$C,3,FALSE)</f>
        <v>聖蛇 ケツァクアトル</v>
      </c>
      <c r="H39" s="8" t="str">
        <f>VLOOKUP(F39,[1]characters!$A:$J,10,FALSE)</f>
        <v>PremiumN</v>
      </c>
      <c r="I39" s="8">
        <f>VLOOKUP(F39,[1]characters!$A:$I,9,FALSE)</f>
        <v>4</v>
      </c>
      <c r="J39" s="8" t="str">
        <f>VLOOKUP(F39,[1]characters!$A:$H,8,FALSE)</f>
        <v>green</v>
      </c>
      <c r="K39" s="8" t="str">
        <f>VLOOKUP(F39,[1]characters!$A:$K,11,FALSE)</f>
        <v>hp</v>
      </c>
      <c r="L39" s="8" t="str">
        <f>VLOOKUP(F39,[1]characters!$A:$M,13,FALSE)</f>
        <v>dragon</v>
      </c>
      <c r="M39" s="5">
        <v>1</v>
      </c>
      <c r="N39" s="28">
        <f>VLOOKUP(D39,gacha_149_base!A:B,2,FALSE)</f>
        <v>1586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4"/>
        <v>14901221</v>
      </c>
      <c r="B40" s="2">
        <f t="shared" si="7"/>
        <v>14901</v>
      </c>
      <c r="C40" s="8" t="str">
        <f t="shared" si="5"/>
        <v>1PremiumN4</v>
      </c>
      <c r="D40" s="8" t="str">
        <f t="shared" si="6"/>
        <v>1PremiumN4</v>
      </c>
      <c r="E40" s="5">
        <v>1</v>
      </c>
      <c r="F40" s="6">
        <v>221</v>
      </c>
      <c r="G40" s="8" t="str">
        <f>VLOOKUP(F40,[1]characters!$A:$C,3,FALSE)</f>
        <v>宰相 ルキフグス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blue</v>
      </c>
      <c r="K40" s="8" t="str">
        <f>VLOOKUP(F40,[1]characters!$A:$K,11,FALSE)</f>
        <v>balance</v>
      </c>
      <c r="L40" s="8" t="str">
        <f>VLOOKUP(F40,[1]characters!$A:$M,13,FALSE)</f>
        <v>god</v>
      </c>
      <c r="M40" s="5">
        <v>1</v>
      </c>
      <c r="N40" s="28">
        <f>VLOOKUP(D40,gacha_149_base!A:B,2,FALSE)</f>
        <v>1586</v>
      </c>
      <c r="O40" s="19">
        <v>0</v>
      </c>
      <c r="P40" s="19">
        <v>0</v>
      </c>
      <c r="Q40" s="19">
        <v>0</v>
      </c>
      <c r="R40" s="19">
        <v>0</v>
      </c>
      <c r="S40" s="19">
        <v>1</v>
      </c>
    </row>
    <row r="41" spans="1:19" ht="21" customHeight="1">
      <c r="A41" s="7" t="str">
        <f t="shared" si="4"/>
        <v>14901224</v>
      </c>
      <c r="B41" s="2">
        <f t="shared" si="7"/>
        <v>14901</v>
      </c>
      <c r="C41" s="8" t="str">
        <f t="shared" si="5"/>
        <v>1PremiumN4</v>
      </c>
      <c r="D41" s="8" t="str">
        <f t="shared" si="6"/>
        <v>1PremiumN4</v>
      </c>
      <c r="E41" s="5">
        <v>1</v>
      </c>
      <c r="F41" s="6">
        <v>224</v>
      </c>
      <c r="G41" s="8" t="str">
        <f>VLOOKUP(F41,[1]characters!$A:$C,3,FALSE)</f>
        <v>巨腕 ヘラクレス</v>
      </c>
      <c r="H41" s="8" t="str">
        <f>VLOOKUP(F41,[1]characters!$A:$J,10,FALSE)</f>
        <v>PremiumN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8">
        <f>VLOOKUP(D41,gacha_149_base!A:B,2,FALSE)</f>
        <v>1586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4"/>
        <v>14901227</v>
      </c>
      <c r="B42" s="2">
        <f t="shared" si="7"/>
        <v>14901</v>
      </c>
      <c r="C42" s="8" t="str">
        <f t="shared" si="5"/>
        <v>1PremiumS4</v>
      </c>
      <c r="D42" s="8" t="str">
        <f t="shared" si="6"/>
        <v>1PremiumS4</v>
      </c>
      <c r="E42" s="5">
        <v>1</v>
      </c>
      <c r="F42" s="6">
        <v>227</v>
      </c>
      <c r="G42" s="8" t="str">
        <f>VLOOKUP(F42,[1]characters!$A:$C,3,FALSE)</f>
        <v>滅弾 アレス</v>
      </c>
      <c r="H42" s="8" t="str">
        <f>VLOOKUP(F42,[1]characters!$A:$J,10,FALSE)</f>
        <v>PremiumS</v>
      </c>
      <c r="I42" s="8">
        <f>VLOOKUP(F42,[1]characters!$A:$I,9,FALSE)</f>
        <v>4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28">
        <f>VLOOKUP(D42,gacha_149_base!A:B,2,FALSE)</f>
        <v>1586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4"/>
        <v>14901230</v>
      </c>
      <c r="B43" s="2">
        <f t="shared" si="7"/>
        <v>14901</v>
      </c>
      <c r="C43" s="8" t="str">
        <f t="shared" si="5"/>
        <v>1PremiumS4</v>
      </c>
      <c r="D43" s="8" t="str">
        <f t="shared" si="6"/>
        <v>1PremiumS4</v>
      </c>
      <c r="E43" s="5">
        <v>1</v>
      </c>
      <c r="F43" s="6">
        <v>230</v>
      </c>
      <c r="G43" s="8" t="str">
        <f>VLOOKUP(F43,[1]characters!$A:$C,3,FALSE)</f>
        <v>毒銃 ヨルムンガンド</v>
      </c>
      <c r="H43" s="8" t="str">
        <f>VLOOKUP(F43,[1]characters!$A:$J,10,FALSE)</f>
        <v>PremiumS</v>
      </c>
      <c r="I43" s="8">
        <f>VLOOKUP(F43,[1]characters!$A:$I,9,FALSE)</f>
        <v>4</v>
      </c>
      <c r="J43" s="8" t="str">
        <f>VLOOKUP(F43,[1]characters!$A:$H,8,FALSE)</f>
        <v>green</v>
      </c>
      <c r="K43" s="8" t="str">
        <f>VLOOKUP(F43,[1]characters!$A:$K,11,FALSE)</f>
        <v>technical</v>
      </c>
      <c r="L43" s="8" t="str">
        <f>VLOOKUP(F43,[1]characters!$A:$M,13,FALSE)</f>
        <v>dragon</v>
      </c>
      <c r="M43" s="5">
        <v>1</v>
      </c>
      <c r="N43" s="28">
        <f>VLOOKUP(D43,gacha_149_base!A:B,2,FALSE)</f>
        <v>1586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4"/>
        <v>14901233</v>
      </c>
      <c r="B44" s="2">
        <f t="shared" si="7"/>
        <v>14901</v>
      </c>
      <c r="C44" s="8" t="str">
        <f t="shared" si="5"/>
        <v>1PremiumS4</v>
      </c>
      <c r="D44" s="8" t="str">
        <f t="shared" si="6"/>
        <v>1PremiumS4</v>
      </c>
      <c r="E44" s="5">
        <v>1</v>
      </c>
      <c r="F44" s="6">
        <v>233</v>
      </c>
      <c r="G44" s="8" t="str">
        <f>VLOOKUP(F44,[1]characters!$A:$C,3,FALSE)</f>
        <v>遂行 パーシヴァル</v>
      </c>
      <c r="H44" s="8" t="str">
        <f>VLOOKUP(F44,[1]characters!$A:$J,10,FALSE)</f>
        <v>PremiumS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technical</v>
      </c>
      <c r="L44" s="8" t="str">
        <f>VLOOKUP(F44,[1]characters!$A:$M,13,FALSE)</f>
        <v>human</v>
      </c>
      <c r="M44" s="5">
        <v>1</v>
      </c>
      <c r="N44" s="28">
        <f>VLOOKUP(D44,gacha_149_base!A:B,2,FALSE)</f>
        <v>1586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4"/>
        <v>14901236</v>
      </c>
      <c r="B45" s="2">
        <f t="shared" si="7"/>
        <v>14901</v>
      </c>
      <c r="C45" s="8" t="str">
        <f t="shared" si="5"/>
        <v>1PremiumS4</v>
      </c>
      <c r="D45" s="8" t="str">
        <f t="shared" si="6"/>
        <v>1PremiumS4</v>
      </c>
      <c r="E45" s="5">
        <v>1</v>
      </c>
      <c r="F45" s="6">
        <v>236</v>
      </c>
      <c r="G45" s="8" t="str">
        <f>VLOOKUP(F45,[1]characters!$A:$C,3,FALSE)</f>
        <v>神産 イザナミ</v>
      </c>
      <c r="H45" s="8" t="str">
        <f>VLOOKUP(F45,[1]characters!$A:$J,10,FALSE)</f>
        <v>PremiumS</v>
      </c>
      <c r="I45" s="8">
        <f>VLOOKUP(F45,[1]characters!$A:$I,9,FALSE)</f>
        <v>4</v>
      </c>
      <c r="J45" s="8" t="str">
        <f>VLOOKUP(F45,[1]characters!$A:$H,8,FALSE)</f>
        <v>yellow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28">
        <f>VLOOKUP(D45,gacha_149_base!A:B,2,FALSE)</f>
        <v>1586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si="4"/>
        <v>14901239</v>
      </c>
      <c r="B46" s="2">
        <f t="shared" si="7"/>
        <v>14901</v>
      </c>
      <c r="C46" s="8" t="str">
        <f t="shared" si="5"/>
        <v>1PremiumS4</v>
      </c>
      <c r="D46" s="8" t="str">
        <f t="shared" si="6"/>
        <v>1PremiumS4</v>
      </c>
      <c r="E46" s="5">
        <v>1</v>
      </c>
      <c r="F46" s="11">
        <v>239</v>
      </c>
      <c r="G46" s="8" t="str">
        <f>VLOOKUP(F46,[1]characters!$A:$C,3,FALSE)</f>
        <v>豪炎の天使 ウリエル</v>
      </c>
      <c r="H46" s="8" t="str">
        <f>VLOOKUP(F46,[1]characters!$A:$J,10,FALSE)</f>
        <v>PremiumS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machine</v>
      </c>
      <c r="M46" s="5">
        <v>1</v>
      </c>
      <c r="N46" s="28">
        <f>VLOOKUP(D46,gacha_149_base!A:B,2,FALSE)</f>
        <v>1586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4"/>
        <v>14901242</v>
      </c>
      <c r="B47" s="2">
        <f t="shared" si="7"/>
        <v>14901</v>
      </c>
      <c r="C47" s="8" t="str">
        <f t="shared" si="5"/>
        <v>1PremiumS4</v>
      </c>
      <c r="D47" s="8" t="str">
        <f t="shared" si="6"/>
        <v>1PremiumS4</v>
      </c>
      <c r="E47" s="5">
        <v>1</v>
      </c>
      <c r="F47" s="11">
        <v>242</v>
      </c>
      <c r="G47" s="8" t="str">
        <f>VLOOKUP(F47,[1]characters!$A:$C,3,FALSE)</f>
        <v>百花の天使 ガブリエル</v>
      </c>
      <c r="H47" s="8" t="str">
        <f>VLOOKUP(F47,[1]characters!$A:$J,10,FALSE)</f>
        <v>PremiumS</v>
      </c>
      <c r="I47" s="8">
        <f>VLOOKUP(F47,[1]characters!$A:$I,9,FALSE)</f>
        <v>4</v>
      </c>
      <c r="J47" s="8" t="str">
        <f>VLOOKUP(F47,[1]characters!$A:$H,8,FALSE)</f>
        <v>green</v>
      </c>
      <c r="K47" s="8" t="str">
        <f>VLOOKUP(F47,[1]characters!$A:$K,11,FALSE)</f>
        <v>balance</v>
      </c>
      <c r="L47" s="8" t="str">
        <f>VLOOKUP(F47,[1]characters!$A:$M,13,FALSE)</f>
        <v>machine</v>
      </c>
      <c r="M47" s="5">
        <v>1</v>
      </c>
      <c r="N47" s="28">
        <f>VLOOKUP(D47,gacha_149_base!A:B,2,FALSE)</f>
        <v>1586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si="4"/>
        <v>14901245</v>
      </c>
      <c r="B48" s="2">
        <f t="shared" si="7"/>
        <v>14901</v>
      </c>
      <c r="C48" s="8" t="str">
        <f t="shared" si="5"/>
        <v>1PremiumS4</v>
      </c>
      <c r="D48" s="8" t="str">
        <f t="shared" si="6"/>
        <v>1PremiumS4</v>
      </c>
      <c r="E48" s="5">
        <v>1</v>
      </c>
      <c r="F48" s="11">
        <v>245</v>
      </c>
      <c r="G48" s="8" t="str">
        <f>VLOOKUP(F48,[1]characters!$A:$C,3,FALSE)</f>
        <v>鎮癒の天使 ラファエル</v>
      </c>
      <c r="H48" s="8" t="str">
        <f>VLOOKUP(F48,[1]characters!$A:$J,10,FALSE)</f>
        <v>PremiumS</v>
      </c>
      <c r="I48" s="8">
        <f>VLOOKUP(F48,[1]characters!$A:$I,9,FALSE)</f>
        <v>4</v>
      </c>
      <c r="J48" s="8" t="str">
        <f>VLOOKUP(F48,[1]characters!$A:$H,8,FALSE)</f>
        <v>blue</v>
      </c>
      <c r="K48" s="8" t="str">
        <f>VLOOKUP(F48,[1]characters!$A:$K,11,FALSE)</f>
        <v>balance</v>
      </c>
      <c r="L48" s="8" t="str">
        <f>VLOOKUP(F48,[1]characters!$A:$M,13,FALSE)</f>
        <v>machine</v>
      </c>
      <c r="M48" s="5">
        <v>1</v>
      </c>
      <c r="N48" s="28">
        <f>VLOOKUP(D48,gacha_149_base!A:B,2,FALSE)</f>
        <v>1586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4"/>
        <v>14901248</v>
      </c>
      <c r="B49" s="2">
        <f t="shared" si="7"/>
        <v>14901</v>
      </c>
      <c r="C49" s="8" t="str">
        <f t="shared" si="5"/>
        <v>1PremiumS4</v>
      </c>
      <c r="D49" s="8" t="str">
        <f t="shared" si="6"/>
        <v>1PremiumS4</v>
      </c>
      <c r="E49" s="5">
        <v>1</v>
      </c>
      <c r="F49" s="11">
        <v>248</v>
      </c>
      <c r="G49" s="8" t="str">
        <f>VLOOKUP(F49,[1]characters!$A:$C,3,FALSE)</f>
        <v>彩電の天使 ミカエル</v>
      </c>
      <c r="H49" s="8" t="str">
        <f>VLOOKUP(F49,[1]characters!$A:$J,10,FALSE)</f>
        <v>PremiumS</v>
      </c>
      <c r="I49" s="8">
        <f>VLOOKUP(F49,[1]characters!$A:$I,9,FALSE)</f>
        <v>4</v>
      </c>
      <c r="J49" s="8" t="str">
        <f>VLOOKUP(F49,[1]characters!$A:$H,8,FALSE)</f>
        <v>yellow</v>
      </c>
      <c r="K49" s="8" t="str">
        <f>VLOOKUP(F49,[1]characters!$A:$K,11,FALSE)</f>
        <v>attack</v>
      </c>
      <c r="L49" s="8" t="str">
        <f>VLOOKUP(F49,[1]characters!$A:$M,13,FALSE)</f>
        <v>machine</v>
      </c>
      <c r="M49" s="5">
        <v>1</v>
      </c>
      <c r="N49" s="28">
        <f>VLOOKUP(D49,gacha_149_base!A:B,2,FALSE)</f>
        <v>1586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4"/>
        <v>14901251</v>
      </c>
      <c r="B50" s="2">
        <f t="shared" si="7"/>
        <v>14901</v>
      </c>
      <c r="C50" s="8" t="str">
        <f t="shared" si="5"/>
        <v>1PremiumS4</v>
      </c>
      <c r="D50" s="8" t="str">
        <f t="shared" si="6"/>
        <v>1PremiumS4</v>
      </c>
      <c r="E50" s="5">
        <v>1</v>
      </c>
      <c r="F50" s="6">
        <v>251</v>
      </c>
      <c r="G50" s="8" t="str">
        <f>VLOOKUP(F50,[1]characters!$A:$C,3,FALSE)</f>
        <v>強欲 マンモン</v>
      </c>
      <c r="H50" s="8" t="str">
        <f>VLOOKUP(F50,[1]characters!$A:$J,10,FALSE)</f>
        <v>PremiumS</v>
      </c>
      <c r="I50" s="8">
        <f>VLOOKUP(F50,[1]characters!$A:$I,9,FALSE)</f>
        <v>4</v>
      </c>
      <c r="J50" s="8" t="str">
        <f>VLOOKUP(F50,[1]characters!$A:$H,8,FALSE)</f>
        <v>red</v>
      </c>
      <c r="K50" s="8" t="str">
        <f>VLOOKUP(F50,[1]characters!$A:$K,11,FALSE)</f>
        <v>balance</v>
      </c>
      <c r="L50" s="8" t="str">
        <f>VLOOKUP(F50,[1]characters!$A:$M,13,FALSE)</f>
        <v>god</v>
      </c>
      <c r="M50" s="5">
        <v>1</v>
      </c>
      <c r="N50" s="28">
        <f>VLOOKUP(D50,gacha_149_base!A:B,2,FALSE)</f>
        <v>1586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4"/>
        <v>14901254</v>
      </c>
      <c r="B51" s="2">
        <f t="shared" si="7"/>
        <v>14901</v>
      </c>
      <c r="C51" s="8" t="str">
        <f t="shared" si="5"/>
        <v>1PremiumS4</v>
      </c>
      <c r="D51" s="8" t="str">
        <f t="shared" si="6"/>
        <v>1PremiumS4</v>
      </c>
      <c r="E51" s="5">
        <v>1</v>
      </c>
      <c r="F51" s="6">
        <v>254</v>
      </c>
      <c r="G51" s="8" t="str">
        <f>VLOOKUP(F51,[1]characters!$A:$C,3,FALSE)</f>
        <v>怠惰 ベルフェゴール</v>
      </c>
      <c r="H51" s="8" t="str">
        <f>VLOOKUP(F51,[1]characters!$A:$J,10,FALSE)</f>
        <v>PremiumS</v>
      </c>
      <c r="I51" s="8">
        <f>VLOOKUP(F51,[1]characters!$A:$I,9,FALSE)</f>
        <v>4</v>
      </c>
      <c r="J51" s="8" t="str">
        <f>VLOOKUP(F51,[1]characters!$A:$H,8,FALSE)</f>
        <v>green</v>
      </c>
      <c r="K51" s="8" t="str">
        <f>VLOOKUP(F51,[1]characters!$A:$K,11,FALSE)</f>
        <v>technical</v>
      </c>
      <c r="L51" s="8" t="str">
        <f>VLOOKUP(F51,[1]characters!$A:$M,13,FALSE)</f>
        <v>god</v>
      </c>
      <c r="M51" s="5">
        <v>1</v>
      </c>
      <c r="N51" s="28">
        <f>VLOOKUP(D51,gacha_149_base!A:B,2,FALSE)</f>
        <v>1586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4"/>
        <v>14901257</v>
      </c>
      <c r="B52" s="2">
        <f t="shared" si="7"/>
        <v>14901</v>
      </c>
      <c r="C52" s="8" t="str">
        <f t="shared" si="5"/>
        <v>1PremiumS4</v>
      </c>
      <c r="D52" s="8" t="str">
        <f t="shared" si="6"/>
        <v>1PremiumS4</v>
      </c>
      <c r="E52" s="5">
        <v>1</v>
      </c>
      <c r="F52" s="6">
        <v>257</v>
      </c>
      <c r="G52" s="8" t="str">
        <f>VLOOKUP(F52,[1]characters!$A:$C,3,FALSE)</f>
        <v>色欲 アスモデウス</v>
      </c>
      <c r="H52" s="8" t="str">
        <f>VLOOKUP(F52,[1]characters!$A:$J,10,FALSE)</f>
        <v>PremiumS</v>
      </c>
      <c r="I52" s="8">
        <f>VLOOKUP(F52,[1]characters!$A:$I,9,FALSE)</f>
        <v>4</v>
      </c>
      <c r="J52" s="8" t="str">
        <f>VLOOKUP(F52,[1]characters!$A:$H,8,FALSE)</f>
        <v>blue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28">
        <f>VLOOKUP(D52,gacha_149_base!A:B,2,FALSE)</f>
        <v>1586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4"/>
        <v>14901260</v>
      </c>
      <c r="B53" s="2">
        <f t="shared" si="7"/>
        <v>14901</v>
      </c>
      <c r="C53" s="8" t="str">
        <f t="shared" si="5"/>
        <v>1PremiumS4</v>
      </c>
      <c r="D53" s="8" t="str">
        <f t="shared" si="6"/>
        <v>1PremiumS4</v>
      </c>
      <c r="E53" s="5">
        <v>1</v>
      </c>
      <c r="F53" s="6">
        <v>260</v>
      </c>
      <c r="G53" s="8" t="str">
        <f>VLOOKUP(F53,[1]characters!$A:$C,3,FALSE)</f>
        <v>輪廻 ウロボロス</v>
      </c>
      <c r="H53" s="8" t="str">
        <f>VLOOKUP(F53,[1]characters!$A:$J,10,FALSE)</f>
        <v>PremiumS</v>
      </c>
      <c r="I53" s="8">
        <f>VLOOKUP(F53,[1]characters!$A:$I,9,FALSE)</f>
        <v>4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dragon</v>
      </c>
      <c r="M53" s="5">
        <v>1</v>
      </c>
      <c r="N53" s="28">
        <f>VLOOKUP(D53,gacha_149_base!A:B,2,FALSE)</f>
        <v>1586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4"/>
        <v>14901320</v>
      </c>
      <c r="B54" s="2">
        <f t="shared" si="7"/>
        <v>14901</v>
      </c>
      <c r="C54" s="8" t="str">
        <f t="shared" si="5"/>
        <v>1PremiumSS4</v>
      </c>
      <c r="D54" s="8" t="str">
        <f t="shared" si="6"/>
        <v>1PremiumSS4</v>
      </c>
      <c r="E54" s="13">
        <v>1</v>
      </c>
      <c r="F54" s="18">
        <v>320</v>
      </c>
      <c r="G54" s="8" t="str">
        <f>VLOOKUP(F54,[1]characters!$A:$C,3,FALSE)</f>
        <v>烈志士 近藤勇</v>
      </c>
      <c r="H54" s="8" t="str">
        <f>VLOOKUP(F54,[1]characters!$A:$J,10,FALSE)</f>
        <v>PremiumSS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hp</v>
      </c>
      <c r="L54" s="8" t="str">
        <f>VLOOKUP(F54,[1]characters!$A:$M,13,FALSE)</f>
        <v>human</v>
      </c>
      <c r="M54" s="13">
        <v>1</v>
      </c>
      <c r="N54" s="28">
        <f>VLOOKUP(D54,gacha_149_base!A:B,2,FALSE)</f>
        <v>433</v>
      </c>
      <c r="O54" s="10">
        <v>0</v>
      </c>
      <c r="P54" s="19">
        <v>0</v>
      </c>
      <c r="Q54" s="10">
        <v>0</v>
      </c>
      <c r="R54" s="10">
        <v>0</v>
      </c>
      <c r="S54" s="10">
        <v>1</v>
      </c>
    </row>
    <row r="55" spans="1:19" ht="21" customHeight="1">
      <c r="A55" s="7" t="str">
        <f t="shared" si="4"/>
        <v>14901322</v>
      </c>
      <c r="B55" s="2">
        <f t="shared" si="7"/>
        <v>14901</v>
      </c>
      <c r="C55" s="8" t="str">
        <f t="shared" si="5"/>
        <v>1PremiumSS4</v>
      </c>
      <c r="D55" s="8" t="str">
        <f t="shared" si="6"/>
        <v>1PremiumSS4</v>
      </c>
      <c r="E55" s="5">
        <v>1</v>
      </c>
      <c r="F55" s="6">
        <v>322</v>
      </c>
      <c r="G55" s="8" t="str">
        <f>VLOOKUP(F55,[1]characters!$A:$C,3,FALSE)</f>
        <v>愛志士 土方歳三</v>
      </c>
      <c r="H55" s="8" t="str">
        <f>VLOOKUP(F55,[1]characters!$A:$J,10,FALSE)</f>
        <v>PremiumSS</v>
      </c>
      <c r="I55" s="8">
        <f>VLOOKUP(F55,[1]characters!$A:$I,9,FALSE)</f>
        <v>4</v>
      </c>
      <c r="J55" s="8" t="str">
        <f>VLOOKUP(F55,[1]characters!$A:$H,8,FALSE)</f>
        <v>green</v>
      </c>
      <c r="K55" s="8" t="str">
        <f>VLOOKUP(F55,[1]characters!$A:$K,11,FALSE)</f>
        <v>attack</v>
      </c>
      <c r="L55" s="8" t="str">
        <f>VLOOKUP(F55,[1]characters!$A:$M,13,FALSE)</f>
        <v>human</v>
      </c>
      <c r="M55" s="5">
        <v>1</v>
      </c>
      <c r="N55" s="28">
        <f>VLOOKUP(D55,gacha_149_base!A:B,2,FALSE)</f>
        <v>433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4"/>
        <v>14901324</v>
      </c>
      <c r="B56" s="2">
        <f t="shared" si="7"/>
        <v>14901</v>
      </c>
      <c r="C56" s="8" t="str">
        <f t="shared" si="5"/>
        <v>1PremiumSS4</v>
      </c>
      <c r="D56" s="8" t="str">
        <f t="shared" si="6"/>
        <v>1PremiumSS4</v>
      </c>
      <c r="E56" s="5">
        <v>1</v>
      </c>
      <c r="F56" s="6">
        <v>324</v>
      </c>
      <c r="G56" s="8" t="str">
        <f>VLOOKUP(F56,[1]characters!$A:$C,3,FALSE)</f>
        <v>凛志士 沖田総司</v>
      </c>
      <c r="H56" s="8" t="str">
        <f>VLOOKUP(F56,[1]characters!$A:$J,10,FALSE)</f>
        <v>PremiumSS</v>
      </c>
      <c r="I56" s="8">
        <f>VLOOKUP(F56,[1]characters!$A:$I,9,FALSE)</f>
        <v>4</v>
      </c>
      <c r="J56" s="8" t="str">
        <f>VLOOKUP(F56,[1]characters!$A:$H,8,FALSE)</f>
        <v>blue</v>
      </c>
      <c r="K56" s="8" t="str">
        <f>VLOOKUP(F56,[1]characters!$A:$K,11,FALSE)</f>
        <v>balance</v>
      </c>
      <c r="L56" s="8" t="str">
        <f>VLOOKUP(F56,[1]characters!$A:$M,13,FALSE)</f>
        <v>human</v>
      </c>
      <c r="M56" s="5">
        <v>1</v>
      </c>
      <c r="N56" s="28">
        <f>VLOOKUP(D56,gacha_149_base!A:B,2,FALSE)</f>
        <v>433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4"/>
        <v>14901326</v>
      </c>
      <c r="B57" s="2">
        <f t="shared" si="7"/>
        <v>14901</v>
      </c>
      <c r="C57" s="8" t="str">
        <f t="shared" si="5"/>
        <v>1PremiumSS4</v>
      </c>
      <c r="D57" s="8" t="str">
        <f t="shared" si="6"/>
        <v>1PremiumSS4</v>
      </c>
      <c r="E57" s="22">
        <v>1</v>
      </c>
      <c r="F57" s="23">
        <v>326</v>
      </c>
      <c r="G57" s="8" t="str">
        <f>VLOOKUP(F57,[1]characters!$A:$C,3,FALSE)</f>
        <v>妖志士 斎藤一</v>
      </c>
      <c r="H57" s="8" t="str">
        <f>VLOOKUP(F57,[1]characters!$A:$J,10,FALSE)</f>
        <v>PremiumSS</v>
      </c>
      <c r="I57" s="8">
        <f>VLOOKUP(F57,[1]characters!$A:$I,9,FALSE)</f>
        <v>4</v>
      </c>
      <c r="J57" s="8" t="str">
        <f>VLOOKUP(F57,[1]characters!$A:$H,8,FALSE)</f>
        <v>yellow</v>
      </c>
      <c r="K57" s="8" t="str">
        <f>VLOOKUP(F57,[1]characters!$A:$K,11,FALSE)</f>
        <v>technical</v>
      </c>
      <c r="L57" s="8" t="str">
        <f>VLOOKUP(F57,[1]characters!$A:$M,13,FALSE)</f>
        <v>human</v>
      </c>
      <c r="M57" s="22">
        <v>1</v>
      </c>
      <c r="N57" s="28">
        <f>VLOOKUP(D57,gacha_149_base!A:B,2,FALSE)</f>
        <v>433</v>
      </c>
      <c r="O57" s="25">
        <v>0</v>
      </c>
      <c r="P57" s="19">
        <v>0</v>
      </c>
      <c r="Q57" s="25">
        <v>0</v>
      </c>
      <c r="R57" s="25">
        <v>0</v>
      </c>
      <c r="S57" s="25">
        <v>1</v>
      </c>
    </row>
    <row r="58" spans="1:19" ht="21" customHeight="1">
      <c r="A58" s="7" t="str">
        <f t="shared" si="4"/>
        <v>14901381</v>
      </c>
      <c r="B58" s="2">
        <f t="shared" si="7"/>
        <v>14901</v>
      </c>
      <c r="C58" s="8" t="str">
        <f t="shared" si="5"/>
        <v>1PremiumS4</v>
      </c>
      <c r="D58" s="8" t="str">
        <f t="shared" si="6"/>
        <v>1PremiumS4</v>
      </c>
      <c r="E58" s="5">
        <v>1</v>
      </c>
      <c r="F58" s="18">
        <v>381</v>
      </c>
      <c r="G58" s="8" t="str">
        <f>VLOOKUP(F58,[1]characters!$A:$C,3,FALSE)</f>
        <v>肉食の恋火 バハムート</v>
      </c>
      <c r="H58" s="8" t="str">
        <f>VLOOKUP(F58,[1]characters!$A:$J,10,FALSE)</f>
        <v>PremiumS</v>
      </c>
      <c r="I58" s="8">
        <f>VLOOKUP(F58,[1]characters!$A:$I,9,FALSE)</f>
        <v>4</v>
      </c>
      <c r="J58" s="8" t="str">
        <f>VLOOKUP(F58,[1]characters!$A:$H,8,FALSE)</f>
        <v>red</v>
      </c>
      <c r="K58" s="8" t="str">
        <f>VLOOKUP(F58,[1]characters!$A:$K,11,FALSE)</f>
        <v>technical</v>
      </c>
      <c r="L58" s="8" t="str">
        <f>VLOOKUP(F58,[1]characters!$A:$M,13,FALSE)</f>
        <v>dragon</v>
      </c>
      <c r="M58" s="5">
        <v>1</v>
      </c>
      <c r="N58" s="28">
        <f>VLOOKUP(D58,gacha_149_base!A:B,2,FALSE)</f>
        <v>1586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si="4"/>
        <v>14901383</v>
      </c>
      <c r="B59" s="2">
        <f t="shared" si="7"/>
        <v>14901</v>
      </c>
      <c r="C59" s="8" t="str">
        <f t="shared" si="5"/>
        <v>1PremiumSS4</v>
      </c>
      <c r="D59" s="8" t="str">
        <f t="shared" si="6"/>
        <v>1PremiumSS4</v>
      </c>
      <c r="E59" s="5">
        <v>1</v>
      </c>
      <c r="F59" s="18">
        <v>383</v>
      </c>
      <c r="G59" s="8" t="str">
        <f>VLOOKUP(F59,[1]characters!$A:$C,3,FALSE)</f>
        <v>酒宴の蟒蛇 ヤマタノオロチ</v>
      </c>
      <c r="H59" s="8" t="str">
        <f>VLOOKUP(F59,[1]characters!$A:$J,10,FALSE)</f>
        <v>PremiumSS</v>
      </c>
      <c r="I59" s="8">
        <f>VLOOKUP(F59,[1]characters!$A:$I,9,FALSE)</f>
        <v>4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dragon</v>
      </c>
      <c r="M59" s="5">
        <v>1</v>
      </c>
      <c r="N59" s="28">
        <f>VLOOKUP(D59,gacha_149_base!A:B,2,FALSE)</f>
        <v>433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4"/>
        <v>14901385</v>
      </c>
      <c r="B60" s="2">
        <f t="shared" si="7"/>
        <v>14901</v>
      </c>
      <c r="C60" s="8" t="str">
        <f t="shared" si="5"/>
        <v>1PremiumSS4</v>
      </c>
      <c r="D60" s="8" t="str">
        <f t="shared" si="6"/>
        <v>1PremiumSS4</v>
      </c>
      <c r="E60" s="5">
        <v>1</v>
      </c>
      <c r="F60" s="18">
        <v>385</v>
      </c>
      <c r="G60" s="8" t="str">
        <f>VLOOKUP(F60,[1]characters!$A:$C,3,FALSE)</f>
        <v>波烈の出奔 リヴァイアサン</v>
      </c>
      <c r="H60" s="8" t="str">
        <f>VLOOKUP(F60,[1]characters!$A:$J,10,FALSE)</f>
        <v>PremiumSS</v>
      </c>
      <c r="I60" s="8">
        <f>VLOOKUP(F60,[1]characters!$A:$I,9,FALSE)</f>
        <v>4</v>
      </c>
      <c r="J60" s="8" t="str">
        <f>VLOOKUP(F60,[1]characters!$A:$H,8,FALSE)</f>
        <v>blue</v>
      </c>
      <c r="K60" s="8" t="str">
        <f>VLOOKUP(F60,[1]characters!$A:$K,11,FALSE)</f>
        <v>balance</v>
      </c>
      <c r="L60" s="8" t="str">
        <f>VLOOKUP(F60,[1]characters!$A:$M,13,FALSE)</f>
        <v>dragon</v>
      </c>
      <c r="M60" s="5">
        <v>1</v>
      </c>
      <c r="N60" s="28">
        <f>VLOOKUP(D60,gacha_149_base!A:B,2,FALSE)</f>
        <v>433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4"/>
        <v>14901388</v>
      </c>
      <c r="B61" s="2">
        <f t="shared" si="7"/>
        <v>14901</v>
      </c>
      <c r="C61" s="8" t="str">
        <f t="shared" si="5"/>
        <v>1PremiumS4</v>
      </c>
      <c r="D61" s="8" t="str">
        <f t="shared" si="6"/>
        <v>1PremiumS4</v>
      </c>
      <c r="E61" s="22">
        <v>1</v>
      </c>
      <c r="F61" s="23">
        <v>388</v>
      </c>
      <c r="G61" s="8" t="str">
        <f>VLOOKUP(F61,[1]characters!$A:$C,3,FALSE)</f>
        <v>神円の恋姫 スフィンクス</v>
      </c>
      <c r="H61" s="8" t="str">
        <f>VLOOKUP(F61,[1]characters!$A:$J,10,FALSE)</f>
        <v>PremiumS</v>
      </c>
      <c r="I61" s="8">
        <f>VLOOKUP(F61,[1]characters!$A:$I,9,FALSE)</f>
        <v>4</v>
      </c>
      <c r="J61" s="8" t="str">
        <f>VLOOKUP(F61,[1]characters!$A:$H,8,FALSE)</f>
        <v>yellow</v>
      </c>
      <c r="K61" s="8" t="str">
        <f>VLOOKUP(F61,[1]characters!$A:$K,11,FALSE)</f>
        <v>heal</v>
      </c>
      <c r="L61" s="8" t="str">
        <f>VLOOKUP(F61,[1]characters!$A:$M,13,FALSE)</f>
        <v>animal</v>
      </c>
      <c r="M61" s="22">
        <v>1</v>
      </c>
      <c r="N61" s="28">
        <f>VLOOKUP(D61,gacha_149_base!A:B,2,FALSE)</f>
        <v>1586</v>
      </c>
      <c r="O61" s="25">
        <v>0</v>
      </c>
      <c r="P61" s="19">
        <v>0</v>
      </c>
      <c r="Q61" s="25">
        <v>0</v>
      </c>
      <c r="R61" s="25">
        <v>0</v>
      </c>
      <c r="S61" s="25">
        <v>1</v>
      </c>
    </row>
    <row r="62" spans="1:19" s="26" customFormat="1" ht="21" customHeight="1" thickBot="1">
      <c r="A62" s="7" t="str">
        <f t="shared" si="4"/>
        <v>14901240</v>
      </c>
      <c r="B62" s="2">
        <f t="shared" si="7"/>
        <v>14901</v>
      </c>
      <c r="C62" s="8" t="str">
        <f t="shared" si="5"/>
        <v>1PremiumS5</v>
      </c>
      <c r="D62" s="8" t="str">
        <f>E62&amp;H62&amp;"pick"&amp;I62</f>
        <v>1PremiumSpick5</v>
      </c>
      <c r="E62" s="5">
        <v>1</v>
      </c>
      <c r="F62" s="6">
        <v>240</v>
      </c>
      <c r="G62" s="8" t="str">
        <f>VLOOKUP(F62,[1]characters!$A:$C,3,FALSE)</f>
        <v>轟炎の天使 ウリエル・スレイヤー</v>
      </c>
      <c r="H62" s="8" t="str">
        <f>VLOOKUP(F62,[1]characters!$A:$J,10,FALSE)</f>
        <v>PremiumS</v>
      </c>
      <c r="I62" s="8">
        <f>VLOOKUP(F62,[1]characters!$A:$I,9,FALSE)</f>
        <v>5</v>
      </c>
      <c r="J62" s="8" t="str">
        <f>VLOOKUP(F62,[1]characters!$A:$H,8,FALSE)</f>
        <v>red</v>
      </c>
      <c r="K62" s="8" t="str">
        <f>VLOOKUP(F62,[1]characters!$A:$K,11,FALSE)</f>
        <v>hp</v>
      </c>
      <c r="L62" s="8" t="str">
        <f>VLOOKUP(F62,[1]characters!$A:$M,13,FALSE)</f>
        <v>machine</v>
      </c>
      <c r="M62" s="5">
        <v>1</v>
      </c>
      <c r="N62" s="28">
        <f>VLOOKUP(D62,gacha_149_base!A:B,2,FALSE)</f>
        <v>2830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4"/>
        <v>14901390</v>
      </c>
      <c r="B63" s="2">
        <f t="shared" si="7"/>
        <v>14901</v>
      </c>
      <c r="C63" s="8" t="str">
        <f t="shared" si="5"/>
        <v>1PremiumSS4</v>
      </c>
      <c r="D63" s="8" t="str">
        <f t="shared" si="6"/>
        <v>1PremiumSS4</v>
      </c>
      <c r="E63" s="13">
        <v>1</v>
      </c>
      <c r="F63" s="21">
        <v>390</v>
      </c>
      <c r="G63" s="8" t="str">
        <f>VLOOKUP(F63,[1]characters!$A:$C,3,FALSE)</f>
        <v>華環の旅客 親指姫</v>
      </c>
      <c r="H63" s="8" t="str">
        <f>VLOOKUP(F63,[1]characters!$A:$J,10,FALSE)</f>
        <v>PremiumSS</v>
      </c>
      <c r="I63" s="8">
        <f>VLOOKUP(F63,[1]characters!$A:$I,9,FALSE)</f>
        <v>4</v>
      </c>
      <c r="J63" s="8" t="str">
        <f>VLOOKUP(F63,[1]characters!$A:$H,8,FALSE)</f>
        <v>red</v>
      </c>
      <c r="K63" s="8" t="str">
        <f>VLOOKUP(F63,[1]characters!$A:$K,11,FALSE)</f>
        <v>heal</v>
      </c>
      <c r="L63" s="8" t="str">
        <f>VLOOKUP(F63,[1]characters!$A:$M,13,FALSE)</f>
        <v>human</v>
      </c>
      <c r="M63" s="13">
        <v>1</v>
      </c>
      <c r="N63" s="28">
        <f>VLOOKUP(D63,gacha_149_base!A:B,2,FALSE)</f>
        <v>433</v>
      </c>
      <c r="O63" s="10">
        <v>0</v>
      </c>
      <c r="P63" s="19">
        <v>0</v>
      </c>
      <c r="Q63" s="10">
        <v>0</v>
      </c>
      <c r="R63" s="10">
        <v>0</v>
      </c>
      <c r="S63" s="10">
        <v>1</v>
      </c>
    </row>
    <row r="64" spans="1:19" ht="21" customHeight="1">
      <c r="A64" s="7" t="str">
        <f t="shared" si="4"/>
        <v>14901246</v>
      </c>
      <c r="B64" s="2">
        <f t="shared" si="7"/>
        <v>14901</v>
      </c>
      <c r="C64" s="8" t="str">
        <f t="shared" si="5"/>
        <v>1PremiumS5</v>
      </c>
      <c r="D64" s="8" t="str">
        <f>E64&amp;H64&amp;"pick"&amp;I64</f>
        <v>1PremiumSpick5</v>
      </c>
      <c r="E64" s="5">
        <v>1</v>
      </c>
      <c r="F64" s="6">
        <v>246</v>
      </c>
      <c r="G64" s="8" t="str">
        <f>VLOOKUP(F64,[1]characters!$A:$C,3,FALSE)</f>
        <v>真癒の天使 ラファエル・メディカ</v>
      </c>
      <c r="H64" s="8" t="str">
        <f>VLOOKUP(F64,[1]characters!$A:$J,10,FALSE)</f>
        <v>PremiumS</v>
      </c>
      <c r="I64" s="8">
        <f>VLOOKUP(F64,[1]characters!$A:$I,9,FALSE)</f>
        <v>5</v>
      </c>
      <c r="J64" s="8" t="str">
        <f>VLOOKUP(F64,[1]characters!$A:$H,8,FALSE)</f>
        <v>blue</v>
      </c>
      <c r="K64" s="8" t="str">
        <f>VLOOKUP(F64,[1]characters!$A:$K,11,FALSE)</f>
        <v>balance</v>
      </c>
      <c r="L64" s="8" t="str">
        <f>VLOOKUP(F64,[1]characters!$A:$M,13,FALSE)</f>
        <v>machine</v>
      </c>
      <c r="M64" s="5">
        <v>1</v>
      </c>
      <c r="N64" s="28">
        <f>VLOOKUP(D64,gacha_149_base!A:B,2,FALSE)</f>
        <v>2830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si="4"/>
        <v>14901393</v>
      </c>
      <c r="B65" s="2">
        <f t="shared" si="7"/>
        <v>14901</v>
      </c>
      <c r="C65" s="8" t="str">
        <f t="shared" si="5"/>
        <v>1PremiumS4</v>
      </c>
      <c r="D65" s="8" t="str">
        <f t="shared" si="6"/>
        <v>1PremiumS4</v>
      </c>
      <c r="E65" s="5">
        <v>1</v>
      </c>
      <c r="F65" s="6">
        <v>393</v>
      </c>
      <c r="G65" s="8" t="str">
        <f>VLOOKUP(F65,[1]characters!$A:$C,3,FALSE)</f>
        <v>影縫い ピーターパン</v>
      </c>
      <c r="H65" s="8" t="str">
        <f>VLOOKUP(F65,[1]characters!$A:$J,10,FALSE)</f>
        <v>PremiumS</v>
      </c>
      <c r="I65" s="8">
        <f>VLOOKUP(F65,[1]characters!$A:$I,9,FALSE)</f>
        <v>4</v>
      </c>
      <c r="J65" s="8" t="str">
        <f>VLOOKUP(F65,[1]characters!$A:$H,8,FALSE)</f>
        <v>green</v>
      </c>
      <c r="K65" s="8" t="str">
        <f>VLOOKUP(F65,[1]characters!$A:$K,11,FALSE)</f>
        <v>attack</v>
      </c>
      <c r="L65" s="8" t="str">
        <f>VLOOKUP(F65,[1]characters!$A:$M,13,FALSE)</f>
        <v>human</v>
      </c>
      <c r="M65" s="5">
        <v>1</v>
      </c>
      <c r="N65" s="28">
        <f>VLOOKUP(D65,gacha_149_base!A:B,2,FALSE)</f>
        <v>1586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ht="21" customHeight="1">
      <c r="A66" s="7" t="str">
        <f t="shared" ref="A66:A97" si="8">B66&amp;F66</f>
        <v>14901396</v>
      </c>
      <c r="B66" s="2">
        <f t="shared" si="7"/>
        <v>14901</v>
      </c>
      <c r="C66" s="8" t="str">
        <f t="shared" ref="C66:C97" si="9">E66&amp;H66&amp;I66</f>
        <v>1PremiumS4</v>
      </c>
      <c r="D66" s="8" t="str">
        <f t="shared" ref="D66:D97" si="10">E66&amp;H66&amp;I66</f>
        <v>1PremiumS4</v>
      </c>
      <c r="E66" s="5">
        <v>1</v>
      </c>
      <c r="F66" s="6">
        <v>396</v>
      </c>
      <c r="G66" s="8" t="str">
        <f>VLOOKUP(F66,[1]characters!$A:$C,3,FALSE)</f>
        <v>竜宮の水雷 乙姫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hp</v>
      </c>
      <c r="L66" s="8" t="str">
        <f>VLOOKUP(F66,[1]characters!$A:$M,13,FALSE)</f>
        <v>human</v>
      </c>
      <c r="M66" s="5">
        <v>1</v>
      </c>
      <c r="N66" s="28">
        <f>VLOOKUP(D66,gacha_149_base!A:B,2,FALSE)</f>
        <v>1586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s="26" customFormat="1" ht="21" customHeight="1" thickBot="1">
      <c r="A67" s="7" t="str">
        <f t="shared" si="8"/>
        <v>14901384</v>
      </c>
      <c r="B67" s="2">
        <f t="shared" si="7"/>
        <v>14901</v>
      </c>
      <c r="C67" s="8" t="str">
        <f t="shared" si="9"/>
        <v>1PremiumSS5</v>
      </c>
      <c r="D67" s="8" t="str">
        <f>E67&amp;H67&amp;"pick"&amp;I67</f>
        <v>1PremiumSSpick5</v>
      </c>
      <c r="E67" s="5">
        <v>1</v>
      </c>
      <c r="F67" s="6">
        <v>384</v>
      </c>
      <c r="G67" s="8" t="str">
        <f>VLOOKUP(F67,[1]characters!$A:$C,3,FALSE)</f>
        <v>破国の呑龍 ヤマタノオロチ</v>
      </c>
      <c r="H67" s="8" t="str">
        <f>VLOOKUP(F67,[1]characters!$A:$J,10,FALSE)</f>
        <v>PremiumSS</v>
      </c>
      <c r="I67" s="8">
        <f>VLOOKUP(F67,[1]characters!$A:$I,9,FALSE)</f>
        <v>5</v>
      </c>
      <c r="J67" s="8" t="str">
        <f>VLOOKUP(F67,[1]characters!$A:$H,8,FALSE)</f>
        <v>green</v>
      </c>
      <c r="K67" s="8" t="str">
        <f>VLOOKUP(F67,[1]characters!$A:$K,11,FALSE)</f>
        <v>hp</v>
      </c>
      <c r="L67" s="8" t="str">
        <f>VLOOKUP(F67,[1]characters!$A:$M,13,FALSE)</f>
        <v>dragon</v>
      </c>
      <c r="M67" s="5">
        <v>1</v>
      </c>
      <c r="N67" s="28">
        <f>VLOOKUP(D67,gacha_149_base!A:B,2,FALSE)</f>
        <v>1510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s="26" customFormat="1" ht="21" customHeight="1" thickBot="1">
      <c r="A68" s="7" t="str">
        <f t="shared" si="8"/>
        <v>14901189</v>
      </c>
      <c r="B68" s="2">
        <f t="shared" si="7"/>
        <v>14901</v>
      </c>
      <c r="C68" s="8" t="str">
        <f t="shared" si="9"/>
        <v>1PremiumN5</v>
      </c>
      <c r="D68" s="8" t="str">
        <f>E68&amp;H68&amp;"pick"&amp;I68</f>
        <v>1PremiumNpick5</v>
      </c>
      <c r="E68" s="5">
        <v>1</v>
      </c>
      <c r="F68" s="6">
        <v>189</v>
      </c>
      <c r="G68" s="8" t="str">
        <f>VLOOKUP(F68,[1]characters!$A:$C,3,FALSE)</f>
        <v>迅雷の王禽 ホルス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animal</v>
      </c>
      <c r="M68" s="5">
        <v>1</v>
      </c>
      <c r="N68" s="28">
        <f>VLOOKUP(D68,gacha_149_base!A:B,2,FALSE)</f>
        <v>2830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ht="21" customHeight="1">
      <c r="A69" s="7" t="str">
        <f t="shared" si="8"/>
        <v>14901398</v>
      </c>
      <c r="B69" s="2">
        <f t="shared" si="7"/>
        <v>14901</v>
      </c>
      <c r="C69" s="8" t="str">
        <f t="shared" si="9"/>
        <v>1PremiumSS4</v>
      </c>
      <c r="D69" s="8" t="str">
        <f t="shared" si="10"/>
        <v>1PremiumSS4</v>
      </c>
      <c r="E69" s="5">
        <v>1</v>
      </c>
      <c r="F69" s="6">
        <v>398</v>
      </c>
      <c r="G69" s="8" t="str">
        <f>VLOOKUP(F69,[1]characters!$A:$C,3,FALSE)</f>
        <v>ヘンゼル＆グレーテル</v>
      </c>
      <c r="H69" s="8" t="str">
        <f>VLOOKUP(F69,[1]characters!$A:$J,10,FALSE)</f>
        <v>PremiumSS</v>
      </c>
      <c r="I69" s="8">
        <f>VLOOKUP(F69,[1]characters!$A:$I,9,FALSE)</f>
        <v>4</v>
      </c>
      <c r="J69" s="8" t="str">
        <f>VLOOKUP(F69,[1]characters!$A:$H,8,FALSE)</f>
        <v>yellow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28">
        <f>VLOOKUP(D69,gacha_149_base!A:B,2,FALSE)</f>
        <v>433</v>
      </c>
      <c r="O69" s="19">
        <v>0</v>
      </c>
      <c r="P69" s="19">
        <v>0</v>
      </c>
      <c r="Q69" s="19">
        <v>0</v>
      </c>
      <c r="R69" s="19">
        <v>0</v>
      </c>
      <c r="S69" s="19">
        <v>1</v>
      </c>
    </row>
    <row r="70" spans="1:19" ht="21" customHeight="1">
      <c r="A70" s="7" t="str">
        <f t="shared" si="8"/>
        <v>14902126</v>
      </c>
      <c r="B70" s="36">
        <v>14902</v>
      </c>
      <c r="C70" s="12" t="str">
        <f t="shared" si="9"/>
        <v>0PremiumW3</v>
      </c>
      <c r="D70" s="12" t="str">
        <f t="shared" si="10"/>
        <v>0PremiumW3</v>
      </c>
      <c r="E70" s="13">
        <v>0</v>
      </c>
      <c r="F70" s="18">
        <v>126</v>
      </c>
      <c r="G70" s="12" t="str">
        <f>VLOOKUP(F70,[1]characters!$A:$C,3,FALSE)</f>
        <v>骨器使い ユノ</v>
      </c>
      <c r="H70" s="12" t="str">
        <f>VLOOKUP(F70,[1]characters!$A:$J,10,FALSE)</f>
        <v>PremiumW</v>
      </c>
      <c r="I70" s="12">
        <f>VLOOKUP(F70,[1]characters!$A:$I,9,FALSE)</f>
        <v>3</v>
      </c>
      <c r="J70" s="12" t="str">
        <f>VLOOKUP(F70,[1]characters!$A:$H,8,FALSE)</f>
        <v>red</v>
      </c>
      <c r="K70" s="12" t="str">
        <f>VLOOKUP(F70,[1]characters!$A:$K,11,FALSE)</f>
        <v>attack</v>
      </c>
      <c r="L70" s="12" t="str">
        <f>VLOOKUP(F70,[1]characters!$A:$M,13,FALSE)</f>
        <v>human</v>
      </c>
      <c r="M70" s="13">
        <v>1</v>
      </c>
      <c r="N70" s="50">
        <f>VLOOKUP(D70,gacha_149_base!A:B,2,FALSE)</f>
        <v>1201</v>
      </c>
      <c r="O70" s="10">
        <v>0</v>
      </c>
      <c r="P70" s="10">
        <v>0</v>
      </c>
      <c r="Q70" s="10">
        <v>0</v>
      </c>
      <c r="R70" s="10">
        <v>0</v>
      </c>
      <c r="S70" s="10">
        <v>1</v>
      </c>
    </row>
    <row r="71" spans="1:19" ht="21" customHeight="1">
      <c r="A71" s="7" t="str">
        <f t="shared" si="8"/>
        <v>14902127</v>
      </c>
      <c r="B71" s="2">
        <f t="shared" ref="B71:B102" si="11">$B$70</f>
        <v>14902</v>
      </c>
      <c r="C71" s="8" t="str">
        <f t="shared" si="9"/>
        <v>0PremiumW4</v>
      </c>
      <c r="D71" s="8" t="str">
        <f t="shared" si="10"/>
        <v>0PremiumW4</v>
      </c>
      <c r="E71" s="13">
        <v>0</v>
      </c>
      <c r="F71" s="18">
        <v>127</v>
      </c>
      <c r="G71" s="8" t="str">
        <f>VLOOKUP(F71,[1]characters!$A:$C,3,FALSE)</f>
        <v>狂喜の賢者 ユノ</v>
      </c>
      <c r="H71" s="8" t="str">
        <f>VLOOKUP(F71,[1]characters!$A:$J,10,FALSE)</f>
        <v>PremiumW</v>
      </c>
      <c r="I71" s="8">
        <f>VLOOKUP(F71,[1]characters!$A:$I,9,FALSE)</f>
        <v>4</v>
      </c>
      <c r="J71" s="8" t="str">
        <f>VLOOKUP(F71,[1]characters!$A:$H,8,FALSE)</f>
        <v>red</v>
      </c>
      <c r="K71" s="8" t="str">
        <f>VLOOKUP(F71,[1]characters!$A:$K,11,FALSE)</f>
        <v>attack</v>
      </c>
      <c r="L71" s="8" t="str">
        <f>VLOOKUP(F71,[1]characters!$A:$M,13,FALSE)</f>
        <v>human</v>
      </c>
      <c r="M71" s="13">
        <v>1</v>
      </c>
      <c r="N71" s="28">
        <f>VLOOKUP(D71,gacha_149_base!A:B,2,FALSE)</f>
        <v>400</v>
      </c>
      <c r="O71" s="10">
        <v>0</v>
      </c>
      <c r="P71" s="19">
        <v>0</v>
      </c>
      <c r="Q71" s="10">
        <v>0</v>
      </c>
      <c r="R71" s="10">
        <v>0</v>
      </c>
      <c r="S71" s="10">
        <v>1</v>
      </c>
    </row>
    <row r="72" spans="1:19" ht="21" customHeight="1">
      <c r="A72" s="7" t="str">
        <f t="shared" si="8"/>
        <v>14902128</v>
      </c>
      <c r="B72" s="2">
        <f t="shared" si="11"/>
        <v>14902</v>
      </c>
      <c r="C72" s="8" t="str">
        <f t="shared" si="9"/>
        <v>0PremiumW3</v>
      </c>
      <c r="D72" s="8" t="str">
        <f t="shared" si="10"/>
        <v>0PremiumW3</v>
      </c>
      <c r="E72" s="5">
        <v>0</v>
      </c>
      <c r="F72" s="6">
        <v>128</v>
      </c>
      <c r="G72" s="8" t="str">
        <f>VLOOKUP(F72,[1]characters!$A:$C,3,FALSE)</f>
        <v>野生児 アマラ</v>
      </c>
      <c r="H72" s="8" t="str">
        <f>VLOOKUP(F72,[1]characters!$A:$J,10,FALSE)</f>
        <v>PremiumW</v>
      </c>
      <c r="I72" s="8">
        <f>VLOOKUP(F72,[1]characters!$A:$I,9,FALSE)</f>
        <v>3</v>
      </c>
      <c r="J72" s="8" t="str">
        <f>VLOOKUP(F72,[1]characters!$A:$H,8,FALSE)</f>
        <v>green</v>
      </c>
      <c r="K72" s="8" t="str">
        <f>VLOOKUP(F72,[1]characters!$A:$K,11,FALSE)</f>
        <v>attack</v>
      </c>
      <c r="L72" s="8" t="str">
        <f>VLOOKUP(F72,[1]characters!$A:$M,13,FALSE)</f>
        <v>human</v>
      </c>
      <c r="M72" s="5">
        <v>1</v>
      </c>
      <c r="N72" s="28">
        <f>VLOOKUP(D72,gacha_149_base!A:B,2,FALSE)</f>
        <v>1201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8"/>
        <v>14902129</v>
      </c>
      <c r="B73" s="2">
        <f t="shared" si="11"/>
        <v>14902</v>
      </c>
      <c r="C73" s="8" t="str">
        <f t="shared" si="9"/>
        <v>0PremiumW4</v>
      </c>
      <c r="D73" s="8" t="str">
        <f t="shared" si="10"/>
        <v>0PremiumW4</v>
      </c>
      <c r="E73" s="5">
        <v>0</v>
      </c>
      <c r="F73" s="6">
        <v>129</v>
      </c>
      <c r="G73" s="8" t="str">
        <f>VLOOKUP(F73,[1]characters!$A:$C,3,FALSE)</f>
        <v>孤高の狼憑き アマラ</v>
      </c>
      <c r="H73" s="8" t="str">
        <f>VLOOKUP(F73,[1]characters!$A:$J,10,FALSE)</f>
        <v>PremiumW</v>
      </c>
      <c r="I73" s="8">
        <f>VLOOKUP(F73,[1]characters!$A:$I,9,FALSE)</f>
        <v>4</v>
      </c>
      <c r="J73" s="8" t="str">
        <f>VLOOKUP(F73,[1]characters!$A:$H,8,FALSE)</f>
        <v>green</v>
      </c>
      <c r="K73" s="8" t="str">
        <f>VLOOKUP(F73,[1]characters!$A:$K,11,FALSE)</f>
        <v>attack</v>
      </c>
      <c r="L73" s="8" t="str">
        <f>VLOOKUP(F73,[1]characters!$A:$M,13,FALSE)</f>
        <v>human</v>
      </c>
      <c r="M73" s="5">
        <v>1</v>
      </c>
      <c r="N73" s="28">
        <f>VLOOKUP(D73,gacha_149_base!A:B,2,FALSE)</f>
        <v>400</v>
      </c>
      <c r="O73" s="19">
        <v>0</v>
      </c>
      <c r="P73" s="19">
        <v>0</v>
      </c>
      <c r="Q73" s="19">
        <v>0</v>
      </c>
      <c r="R73" s="19">
        <v>0</v>
      </c>
      <c r="S73" s="19">
        <v>1</v>
      </c>
    </row>
    <row r="74" spans="1:19" ht="21" customHeight="1">
      <c r="A74" s="7" t="str">
        <f t="shared" si="8"/>
        <v>14902130</v>
      </c>
      <c r="B74" s="2">
        <f t="shared" si="11"/>
        <v>14902</v>
      </c>
      <c r="C74" s="8" t="str">
        <f t="shared" si="9"/>
        <v>0PremiumW3</v>
      </c>
      <c r="D74" s="8" t="str">
        <f t="shared" si="10"/>
        <v>0PremiumW3</v>
      </c>
      <c r="E74" s="5">
        <v>0</v>
      </c>
      <c r="F74" s="6">
        <v>130</v>
      </c>
      <c r="G74" s="8" t="str">
        <f>VLOOKUP(F74,[1]characters!$A:$C,3,FALSE)</f>
        <v>狼男 ローレンス</v>
      </c>
      <c r="H74" s="8" t="str">
        <f>VLOOKUP(F74,[1]characters!$A:$J,10,FALSE)</f>
        <v>PremiumW</v>
      </c>
      <c r="I74" s="8">
        <f>VLOOKUP(F74,[1]characters!$A:$I,9,FALSE)</f>
        <v>3</v>
      </c>
      <c r="J74" s="8" t="str">
        <f>VLOOKUP(F74,[1]characters!$A:$H,8,FALSE)</f>
        <v>blue</v>
      </c>
      <c r="K74" s="8" t="str">
        <f>VLOOKUP(F74,[1]characters!$A:$K,11,FALSE)</f>
        <v>attack</v>
      </c>
      <c r="L74" s="8" t="str">
        <f>VLOOKUP(F74,[1]characters!$A:$M,13,FALSE)</f>
        <v>animal</v>
      </c>
      <c r="M74" s="5">
        <v>1</v>
      </c>
      <c r="N74" s="28">
        <f>VLOOKUP(D74,gacha_149_base!A:B,2,FALSE)</f>
        <v>1201</v>
      </c>
      <c r="O74" s="19">
        <v>0</v>
      </c>
      <c r="P74" s="19">
        <v>0</v>
      </c>
      <c r="Q74" s="19">
        <v>0</v>
      </c>
      <c r="R74" s="19">
        <v>0</v>
      </c>
      <c r="S74" s="19">
        <v>1</v>
      </c>
    </row>
    <row r="75" spans="1:19" ht="21" customHeight="1">
      <c r="A75" s="7" t="str">
        <f t="shared" si="8"/>
        <v>14902131</v>
      </c>
      <c r="B75" s="2">
        <f t="shared" si="11"/>
        <v>14902</v>
      </c>
      <c r="C75" s="8" t="str">
        <f t="shared" si="9"/>
        <v>0PremiumW4</v>
      </c>
      <c r="D75" s="8" t="str">
        <f t="shared" si="10"/>
        <v>0PremiumW4</v>
      </c>
      <c r="E75" s="5">
        <v>0</v>
      </c>
      <c r="F75" s="6">
        <v>131</v>
      </c>
      <c r="G75" s="8" t="str">
        <f>VLOOKUP(F75,[1]characters!$A:$C,3,FALSE)</f>
        <v>月下の人狼 ローレンス</v>
      </c>
      <c r="H75" s="8" t="str">
        <f>VLOOKUP(F75,[1]characters!$A:$J,10,FALSE)</f>
        <v>PremiumW</v>
      </c>
      <c r="I75" s="8">
        <f>VLOOKUP(F75,[1]characters!$A:$I,9,FALSE)</f>
        <v>4</v>
      </c>
      <c r="J75" s="8" t="str">
        <f>VLOOKUP(F75,[1]characters!$A:$H,8,FALSE)</f>
        <v>blue</v>
      </c>
      <c r="K75" s="8" t="str">
        <f>VLOOKUP(F75,[1]characters!$A:$K,11,FALSE)</f>
        <v>attack</v>
      </c>
      <c r="L75" s="8" t="str">
        <f>VLOOKUP(F75,[1]characters!$A:$M,13,FALSE)</f>
        <v>animal</v>
      </c>
      <c r="M75" s="5">
        <v>1</v>
      </c>
      <c r="N75" s="28">
        <f>VLOOKUP(D75,gacha_149_base!A:B,2,FALSE)</f>
        <v>400</v>
      </c>
      <c r="O75" s="19">
        <v>0</v>
      </c>
      <c r="P75" s="19">
        <v>0</v>
      </c>
      <c r="Q75" s="19">
        <v>0</v>
      </c>
      <c r="R75" s="19">
        <v>0</v>
      </c>
      <c r="S75" s="19">
        <v>1</v>
      </c>
    </row>
    <row r="76" spans="1:19" ht="21" customHeight="1">
      <c r="A76" s="7" t="str">
        <f t="shared" si="8"/>
        <v>14902132</v>
      </c>
      <c r="B76" s="2">
        <f t="shared" si="11"/>
        <v>14902</v>
      </c>
      <c r="C76" s="8" t="str">
        <f t="shared" si="9"/>
        <v>0PremiumW3</v>
      </c>
      <c r="D76" s="8" t="str">
        <f t="shared" si="10"/>
        <v>0PremiumW3</v>
      </c>
      <c r="E76" s="5">
        <v>0</v>
      </c>
      <c r="F76" s="6">
        <v>132</v>
      </c>
      <c r="G76" s="8" t="str">
        <f>VLOOKUP(F76,[1]characters!$A:$C,3,FALSE)</f>
        <v>鳥人ハヤト</v>
      </c>
      <c r="H76" s="8" t="str">
        <f>VLOOKUP(F76,[1]characters!$A:$J,10,FALSE)</f>
        <v>PremiumW</v>
      </c>
      <c r="I76" s="8">
        <f>VLOOKUP(F76,[1]characters!$A:$I,9,FALSE)</f>
        <v>3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human</v>
      </c>
      <c r="M76" s="5">
        <v>1</v>
      </c>
      <c r="N76" s="28">
        <f>VLOOKUP(D76,gacha_149_base!A:B,2,FALSE)</f>
        <v>1201</v>
      </c>
      <c r="O76" s="19">
        <v>0</v>
      </c>
      <c r="P76" s="19">
        <v>0</v>
      </c>
      <c r="Q76" s="19">
        <v>0</v>
      </c>
      <c r="R76" s="19">
        <v>0</v>
      </c>
      <c r="S76" s="19">
        <v>1</v>
      </c>
    </row>
    <row r="77" spans="1:19" ht="21" customHeight="1">
      <c r="A77" s="7" t="str">
        <f t="shared" si="8"/>
        <v>14902133</v>
      </c>
      <c r="B77" s="2">
        <f t="shared" si="11"/>
        <v>14902</v>
      </c>
      <c r="C77" s="8" t="str">
        <f t="shared" si="9"/>
        <v>0PremiumW4</v>
      </c>
      <c r="D77" s="8" t="str">
        <f t="shared" si="10"/>
        <v>0PremiumW4</v>
      </c>
      <c r="E77" s="5">
        <v>0</v>
      </c>
      <c r="F77" s="6">
        <v>133</v>
      </c>
      <c r="G77" s="8" t="str">
        <f>VLOOKUP(F77,[1]characters!$A:$C,3,FALSE)</f>
        <v>迅雷の刀剣 ハヤト</v>
      </c>
      <c r="H77" s="8" t="str">
        <f>VLOOKUP(F77,[1]characters!$A:$J,10,FALSE)</f>
        <v>PremiumW</v>
      </c>
      <c r="I77" s="8">
        <f>VLOOKUP(F77,[1]characters!$A:$I,9,FALSE)</f>
        <v>4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human</v>
      </c>
      <c r="M77" s="5">
        <v>1</v>
      </c>
      <c r="N77" s="28">
        <f>VLOOKUP(D77,gacha_149_base!A:B,2,FALSE)</f>
        <v>400</v>
      </c>
      <c r="O77" s="19">
        <v>0</v>
      </c>
      <c r="P77" s="19">
        <v>0</v>
      </c>
      <c r="Q77" s="19">
        <v>0</v>
      </c>
      <c r="R77" s="19">
        <v>0</v>
      </c>
      <c r="S77" s="19">
        <v>1</v>
      </c>
    </row>
    <row r="78" spans="1:19" ht="21" customHeight="1">
      <c r="A78" s="7" t="str">
        <f t="shared" si="8"/>
        <v>14902134</v>
      </c>
      <c r="B78" s="2">
        <f t="shared" si="11"/>
        <v>14902</v>
      </c>
      <c r="C78" s="8" t="str">
        <f t="shared" si="9"/>
        <v>0PremiumW3</v>
      </c>
      <c r="D78" s="8" t="str">
        <f t="shared" si="10"/>
        <v>0PremiumW3</v>
      </c>
      <c r="E78" s="5">
        <v>0</v>
      </c>
      <c r="F78" s="6">
        <v>134</v>
      </c>
      <c r="G78" s="8" t="str">
        <f>VLOOKUP(F78,[1]characters!$A:$C,3,FALSE)</f>
        <v>妖炎の夕霧</v>
      </c>
      <c r="H78" s="8" t="str">
        <f>VLOOKUP(F78,[1]characters!$A:$J,10,FALSE)</f>
        <v>PremiumW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human</v>
      </c>
      <c r="M78" s="5">
        <v>1</v>
      </c>
      <c r="N78" s="28">
        <f>VLOOKUP(D78,gacha_149_base!A:B,2,FALSE)</f>
        <v>1201</v>
      </c>
      <c r="O78" s="19">
        <v>0</v>
      </c>
      <c r="P78" s="19">
        <v>0</v>
      </c>
      <c r="Q78" s="19">
        <v>0</v>
      </c>
      <c r="R78" s="19">
        <v>0</v>
      </c>
      <c r="S78" s="19">
        <v>1</v>
      </c>
    </row>
    <row r="79" spans="1:19" ht="21" customHeight="1">
      <c r="A79" s="7" t="str">
        <f t="shared" si="8"/>
        <v>14902135</v>
      </c>
      <c r="B79" s="2">
        <f t="shared" si="11"/>
        <v>14902</v>
      </c>
      <c r="C79" s="8" t="str">
        <f t="shared" si="9"/>
        <v>0PremiumW4</v>
      </c>
      <c r="D79" s="8" t="str">
        <f t="shared" si="10"/>
        <v>0PremiumW4</v>
      </c>
      <c r="E79" s="5">
        <v>0</v>
      </c>
      <c r="F79" s="6">
        <v>135</v>
      </c>
      <c r="G79" s="8" t="str">
        <f>VLOOKUP(F79,[1]characters!$A:$C,3,FALSE)</f>
        <v>京の炎華夕霧</v>
      </c>
      <c r="H79" s="8" t="str">
        <f>VLOOKUP(F79,[1]characters!$A:$J,10,FALSE)</f>
        <v>PremiumW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human</v>
      </c>
      <c r="M79" s="5">
        <v>1</v>
      </c>
      <c r="N79" s="28">
        <f>VLOOKUP(D79,gacha_149_base!A:B,2,FALSE)</f>
        <v>400</v>
      </c>
      <c r="O79" s="19">
        <v>0</v>
      </c>
      <c r="P79" s="19">
        <v>0</v>
      </c>
      <c r="Q79" s="19">
        <v>0</v>
      </c>
      <c r="R79" s="19">
        <v>0</v>
      </c>
      <c r="S79" s="19">
        <v>1</v>
      </c>
    </row>
    <row r="80" spans="1:19" ht="21" customHeight="1">
      <c r="A80" s="7" t="str">
        <f t="shared" si="8"/>
        <v>14902136</v>
      </c>
      <c r="B80" s="2">
        <f t="shared" si="11"/>
        <v>14902</v>
      </c>
      <c r="C80" s="8" t="str">
        <f t="shared" si="9"/>
        <v>0PremiumW3</v>
      </c>
      <c r="D80" s="8" t="str">
        <f t="shared" si="10"/>
        <v>0PremiumW3</v>
      </c>
      <c r="E80" s="5">
        <v>0</v>
      </c>
      <c r="F80" s="6">
        <v>136</v>
      </c>
      <c r="G80" s="8" t="str">
        <f>VLOOKUP(F80,[1]characters!$A:$C,3,FALSE)</f>
        <v>お針子チハヤ</v>
      </c>
      <c r="H80" s="8" t="str">
        <f>VLOOKUP(F80,[1]characters!$A:$J,10,FALSE)</f>
        <v>PremiumW</v>
      </c>
      <c r="I80" s="8">
        <f>VLOOKUP(F80,[1]characters!$A:$I,9,FALSE)</f>
        <v>3</v>
      </c>
      <c r="J80" s="8" t="str">
        <f>VLOOKUP(F80,[1]characters!$A:$H,8,FALSE)</f>
        <v>green</v>
      </c>
      <c r="K80" s="8" t="str">
        <f>VLOOKUP(F80,[1]characters!$A:$K,11,FALSE)</f>
        <v>balance</v>
      </c>
      <c r="L80" s="8" t="str">
        <f>VLOOKUP(F80,[1]characters!$A:$M,13,FALSE)</f>
        <v>human</v>
      </c>
      <c r="M80" s="5">
        <v>1</v>
      </c>
      <c r="N80" s="28">
        <f>VLOOKUP(D80,gacha_149_base!A:B,2,FALSE)</f>
        <v>1201</v>
      </c>
      <c r="O80" s="19">
        <v>0</v>
      </c>
      <c r="P80" s="19">
        <v>0</v>
      </c>
      <c r="Q80" s="19">
        <v>0</v>
      </c>
      <c r="R80" s="19">
        <v>0</v>
      </c>
      <c r="S80" s="19">
        <v>1</v>
      </c>
    </row>
    <row r="81" spans="1:19" ht="21" customHeight="1">
      <c r="A81" s="7" t="str">
        <f t="shared" si="8"/>
        <v>14902137</v>
      </c>
      <c r="B81" s="2">
        <f t="shared" si="11"/>
        <v>14902</v>
      </c>
      <c r="C81" s="8" t="str">
        <f t="shared" si="9"/>
        <v>0PremiumW4</v>
      </c>
      <c r="D81" s="8" t="str">
        <f t="shared" si="10"/>
        <v>0PremiumW4</v>
      </c>
      <c r="E81" s="5">
        <v>0</v>
      </c>
      <c r="F81" s="6">
        <v>137</v>
      </c>
      <c r="G81" s="8" t="str">
        <f>VLOOKUP(F81,[1]characters!$A:$C,3,FALSE)</f>
        <v>清福の仕立屋 チハヤ</v>
      </c>
      <c r="H81" s="8" t="str">
        <f>VLOOKUP(F81,[1]characters!$A:$J,10,FALSE)</f>
        <v>PremiumW</v>
      </c>
      <c r="I81" s="8">
        <f>VLOOKUP(F81,[1]characters!$A:$I,9,FALSE)</f>
        <v>4</v>
      </c>
      <c r="J81" s="8" t="str">
        <f>VLOOKUP(F81,[1]characters!$A:$H,8,FALSE)</f>
        <v>green</v>
      </c>
      <c r="K81" s="8" t="str">
        <f>VLOOKUP(F81,[1]characters!$A:$K,11,FALSE)</f>
        <v>balance</v>
      </c>
      <c r="L81" s="8" t="str">
        <f>VLOOKUP(F81,[1]characters!$A:$M,13,FALSE)</f>
        <v>human</v>
      </c>
      <c r="M81" s="5">
        <v>1</v>
      </c>
      <c r="N81" s="28">
        <f>VLOOKUP(D81,gacha_149_base!A:B,2,FALSE)</f>
        <v>400</v>
      </c>
      <c r="O81" s="19">
        <v>0</v>
      </c>
      <c r="P81" s="19">
        <v>0</v>
      </c>
      <c r="Q81" s="19">
        <v>0</v>
      </c>
      <c r="R81" s="19">
        <v>0</v>
      </c>
      <c r="S81" s="19">
        <v>1</v>
      </c>
    </row>
    <row r="82" spans="1:19" ht="21" customHeight="1">
      <c r="A82" s="7" t="str">
        <f t="shared" si="8"/>
        <v>14902138</v>
      </c>
      <c r="B82" s="2">
        <f t="shared" si="11"/>
        <v>14902</v>
      </c>
      <c r="C82" s="8" t="str">
        <f t="shared" si="9"/>
        <v>0PremiumW3</v>
      </c>
      <c r="D82" s="8" t="str">
        <f t="shared" si="10"/>
        <v>0PremiumW3</v>
      </c>
      <c r="E82" s="5">
        <v>0</v>
      </c>
      <c r="F82" s="6">
        <v>138</v>
      </c>
      <c r="G82" s="8" t="str">
        <f>VLOOKUP(F82,[1]characters!$A:$C,3,FALSE)</f>
        <v>蒼薙のトモエ</v>
      </c>
      <c r="H82" s="8" t="str">
        <f>VLOOKUP(F82,[1]characters!$A:$J,10,FALSE)</f>
        <v>PremiumW</v>
      </c>
      <c r="I82" s="8">
        <f>VLOOKUP(F82,[1]characters!$A:$I,9,FALSE)</f>
        <v>3</v>
      </c>
      <c r="J82" s="8" t="str">
        <f>VLOOKUP(F82,[1]characters!$A:$H,8,FALSE)</f>
        <v>blue</v>
      </c>
      <c r="K82" s="8" t="str">
        <f>VLOOKUP(F82,[1]characters!$A:$K,11,FALSE)</f>
        <v>balance</v>
      </c>
      <c r="L82" s="8" t="str">
        <f>VLOOKUP(F82,[1]characters!$A:$M,13,FALSE)</f>
        <v>human</v>
      </c>
      <c r="M82" s="5">
        <v>1</v>
      </c>
      <c r="N82" s="28">
        <f>VLOOKUP(D82,gacha_149_base!A:B,2,FALSE)</f>
        <v>1201</v>
      </c>
      <c r="O82" s="19">
        <v>0</v>
      </c>
      <c r="P82" s="19">
        <v>0</v>
      </c>
      <c r="Q82" s="19">
        <v>0</v>
      </c>
      <c r="R82" s="19">
        <v>0</v>
      </c>
      <c r="S82" s="19">
        <v>1</v>
      </c>
    </row>
    <row r="83" spans="1:19" ht="21" customHeight="1">
      <c r="A83" s="7" t="str">
        <f t="shared" si="8"/>
        <v>14902139</v>
      </c>
      <c r="B83" s="2">
        <f t="shared" si="11"/>
        <v>14902</v>
      </c>
      <c r="C83" s="8" t="str">
        <f t="shared" si="9"/>
        <v>0PremiumW4</v>
      </c>
      <c r="D83" s="8" t="str">
        <f t="shared" si="10"/>
        <v>0PremiumW4</v>
      </c>
      <c r="E83" s="5">
        <v>0</v>
      </c>
      <c r="F83" s="6">
        <v>139</v>
      </c>
      <c r="G83" s="8" t="str">
        <f>VLOOKUP(F83,[1]characters!$A:$C,3,FALSE)</f>
        <v>蒼昇刃姫 トモエ</v>
      </c>
      <c r="H83" s="8" t="str">
        <f>VLOOKUP(F83,[1]characters!$A:$J,10,FALSE)</f>
        <v>PremiumW</v>
      </c>
      <c r="I83" s="8">
        <f>VLOOKUP(F83,[1]characters!$A:$I,9,FALSE)</f>
        <v>4</v>
      </c>
      <c r="J83" s="8" t="str">
        <f>VLOOKUP(F83,[1]characters!$A:$H,8,FALSE)</f>
        <v>blue</v>
      </c>
      <c r="K83" s="8" t="str">
        <f>VLOOKUP(F83,[1]characters!$A:$K,11,FALSE)</f>
        <v>balance</v>
      </c>
      <c r="L83" s="8" t="str">
        <f>VLOOKUP(F83,[1]characters!$A:$M,13,FALSE)</f>
        <v>human</v>
      </c>
      <c r="M83" s="5">
        <v>1</v>
      </c>
      <c r="N83" s="28">
        <f>VLOOKUP(D83,gacha_149_base!A:B,2,FALSE)</f>
        <v>400</v>
      </c>
      <c r="O83" s="19">
        <v>0</v>
      </c>
      <c r="P83" s="19">
        <v>0</v>
      </c>
      <c r="Q83" s="19">
        <v>0</v>
      </c>
      <c r="R83" s="19">
        <v>0</v>
      </c>
      <c r="S83" s="19">
        <v>1</v>
      </c>
    </row>
    <row r="84" spans="1:19" ht="21" customHeight="1">
      <c r="A84" s="7" t="str">
        <f t="shared" si="8"/>
        <v>14902140</v>
      </c>
      <c r="B84" s="2">
        <f t="shared" si="11"/>
        <v>14902</v>
      </c>
      <c r="C84" s="8" t="str">
        <f t="shared" si="9"/>
        <v>0PremiumW3</v>
      </c>
      <c r="D84" s="8" t="str">
        <f t="shared" si="10"/>
        <v>0PremiumW3</v>
      </c>
      <c r="E84" s="5">
        <v>0</v>
      </c>
      <c r="F84" s="6">
        <v>140</v>
      </c>
      <c r="G84" s="8" t="str">
        <f>VLOOKUP(F84,[1]characters!$A:$C,3,FALSE)</f>
        <v>秋祭のタマモ</v>
      </c>
      <c r="H84" s="8" t="str">
        <f>VLOOKUP(F84,[1]characters!$A:$J,10,FALSE)</f>
        <v>PremiumW</v>
      </c>
      <c r="I84" s="8">
        <f>VLOOKUP(F84,[1]characters!$A:$I,9,FALSE)</f>
        <v>3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animal</v>
      </c>
      <c r="M84" s="5">
        <v>1</v>
      </c>
      <c r="N84" s="28">
        <f>VLOOKUP(D84,gacha_149_base!A:B,2,FALSE)</f>
        <v>1201</v>
      </c>
      <c r="O84" s="19">
        <v>0</v>
      </c>
      <c r="P84" s="19">
        <v>0</v>
      </c>
      <c r="Q84" s="19">
        <v>0</v>
      </c>
      <c r="R84" s="19">
        <v>0</v>
      </c>
      <c r="S84" s="19">
        <v>1</v>
      </c>
    </row>
    <row r="85" spans="1:19" ht="21" customHeight="1">
      <c r="A85" s="7" t="str">
        <f t="shared" si="8"/>
        <v>14902141</v>
      </c>
      <c r="B85" s="2">
        <f t="shared" si="11"/>
        <v>14902</v>
      </c>
      <c r="C85" s="8" t="str">
        <f t="shared" si="9"/>
        <v>0PremiumW4</v>
      </c>
      <c r="D85" s="8" t="str">
        <f t="shared" si="10"/>
        <v>0PremiumW4</v>
      </c>
      <c r="E85" s="5">
        <v>0</v>
      </c>
      <c r="F85" s="6">
        <v>141</v>
      </c>
      <c r="G85" s="8" t="str">
        <f>VLOOKUP(F85,[1]characters!$A:$C,3,FALSE)</f>
        <v>妖狐演舞 タマモ</v>
      </c>
      <c r="H85" s="8" t="str">
        <f>VLOOKUP(F85,[1]characters!$A:$J,10,FALSE)</f>
        <v>PremiumW</v>
      </c>
      <c r="I85" s="8">
        <f>VLOOKUP(F85,[1]characters!$A:$I,9,FALSE)</f>
        <v>4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animal</v>
      </c>
      <c r="M85" s="5">
        <v>1</v>
      </c>
      <c r="N85" s="28">
        <f>VLOOKUP(D85,gacha_149_base!A:B,2,FALSE)</f>
        <v>400</v>
      </c>
      <c r="O85" s="19">
        <v>0</v>
      </c>
      <c r="P85" s="19">
        <v>0</v>
      </c>
      <c r="Q85" s="19">
        <v>0</v>
      </c>
      <c r="R85" s="19">
        <v>0</v>
      </c>
      <c r="S85" s="19">
        <v>1</v>
      </c>
    </row>
    <row r="86" spans="1:19" ht="21" customHeight="1">
      <c r="A86" s="7" t="str">
        <f t="shared" si="8"/>
        <v>14902142</v>
      </c>
      <c r="B86" s="2">
        <f t="shared" si="11"/>
        <v>14902</v>
      </c>
      <c r="C86" s="8" t="str">
        <f t="shared" si="9"/>
        <v>0PremiumW3</v>
      </c>
      <c r="D86" s="8" t="str">
        <f t="shared" si="10"/>
        <v>0PremiumW3</v>
      </c>
      <c r="E86" s="5">
        <v>0</v>
      </c>
      <c r="F86" s="6">
        <v>142</v>
      </c>
      <c r="G86" s="8" t="str">
        <f>VLOOKUP(F86,[1]characters!$A:$C,3,FALSE)</f>
        <v>赤ずきん</v>
      </c>
      <c r="H86" s="8" t="str">
        <f>VLOOKUP(F86,[1]characters!$A:$J,10,FALSE)</f>
        <v>PremiumW</v>
      </c>
      <c r="I86" s="8">
        <f>VLOOKUP(F86,[1]characters!$A:$I,9,FALSE)</f>
        <v>3</v>
      </c>
      <c r="J86" s="8" t="str">
        <f>VLOOKUP(F86,[1]characters!$A:$H,8,FALSE)</f>
        <v>red</v>
      </c>
      <c r="K86" s="8" t="str">
        <f>VLOOKUP(F86,[1]characters!$A:$K,11,FALSE)</f>
        <v>balance</v>
      </c>
      <c r="L86" s="8" t="str">
        <f>VLOOKUP(F86,[1]characters!$A:$M,13,FALSE)</f>
        <v>human</v>
      </c>
      <c r="M86" s="5">
        <v>1</v>
      </c>
      <c r="N86" s="28">
        <f>VLOOKUP(D86,gacha_149_base!A:B,2,FALSE)</f>
        <v>1201</v>
      </c>
      <c r="O86" s="19">
        <v>0</v>
      </c>
      <c r="P86" s="19">
        <v>0</v>
      </c>
      <c r="Q86" s="19">
        <v>0</v>
      </c>
      <c r="R86" s="19">
        <v>0</v>
      </c>
      <c r="S86" s="19">
        <v>1</v>
      </c>
    </row>
    <row r="87" spans="1:19" ht="21" customHeight="1">
      <c r="A87" s="7" t="str">
        <f t="shared" si="8"/>
        <v>14902143</v>
      </c>
      <c r="B87" s="2">
        <f t="shared" si="11"/>
        <v>14902</v>
      </c>
      <c r="C87" s="8" t="str">
        <f t="shared" si="9"/>
        <v>0PremiumW4</v>
      </c>
      <c r="D87" s="8" t="str">
        <f t="shared" si="10"/>
        <v>0PremiumW4</v>
      </c>
      <c r="E87" s="5">
        <v>0</v>
      </c>
      <c r="F87" s="6">
        <v>143</v>
      </c>
      <c r="G87" s="8" t="str">
        <f>VLOOKUP(F87,[1]characters!$A:$C,3,FALSE)</f>
        <v>深紅の死神 赤ずきん</v>
      </c>
      <c r="H87" s="8" t="str">
        <f>VLOOKUP(F87,[1]characters!$A:$J,10,FALSE)</f>
        <v>PremiumW</v>
      </c>
      <c r="I87" s="8">
        <f>VLOOKUP(F87,[1]characters!$A:$I,9,FALSE)</f>
        <v>4</v>
      </c>
      <c r="J87" s="8" t="str">
        <f>VLOOKUP(F87,[1]characters!$A:$H,8,FALSE)</f>
        <v>red</v>
      </c>
      <c r="K87" s="8" t="str">
        <f>VLOOKUP(F87,[1]characters!$A:$K,11,FALSE)</f>
        <v>balance</v>
      </c>
      <c r="L87" s="8" t="str">
        <f>VLOOKUP(F87,[1]characters!$A:$M,13,FALSE)</f>
        <v>human</v>
      </c>
      <c r="M87" s="5">
        <v>1</v>
      </c>
      <c r="N87" s="28">
        <f>VLOOKUP(D87,gacha_149_base!A:B,2,FALSE)</f>
        <v>400</v>
      </c>
      <c r="O87" s="19">
        <v>0</v>
      </c>
      <c r="P87" s="19">
        <v>0</v>
      </c>
      <c r="Q87" s="19">
        <v>0</v>
      </c>
      <c r="R87" s="19">
        <v>0</v>
      </c>
      <c r="S87" s="19">
        <v>1</v>
      </c>
    </row>
    <row r="88" spans="1:19" ht="21" customHeight="1">
      <c r="A88" s="7" t="str">
        <f t="shared" si="8"/>
        <v>14902144</v>
      </c>
      <c r="B88" s="2">
        <f t="shared" si="11"/>
        <v>14902</v>
      </c>
      <c r="C88" s="8" t="str">
        <f t="shared" si="9"/>
        <v>0PremiumW3</v>
      </c>
      <c r="D88" s="8" t="str">
        <f t="shared" si="10"/>
        <v>0PremiumW3</v>
      </c>
      <c r="E88" s="5">
        <v>0</v>
      </c>
      <c r="F88" s="6">
        <v>144</v>
      </c>
      <c r="G88" s="8" t="str">
        <f>VLOOKUP(F88,[1]characters!$A:$C,3,FALSE)</f>
        <v>かぐや</v>
      </c>
      <c r="H88" s="8" t="str">
        <f>VLOOKUP(F88,[1]characters!$A:$J,10,FALSE)</f>
        <v>PremiumW</v>
      </c>
      <c r="I88" s="8">
        <f>VLOOKUP(F88,[1]characters!$A:$I,9,FALSE)</f>
        <v>3</v>
      </c>
      <c r="J88" s="8" t="str">
        <f>VLOOKUP(F88,[1]characters!$A:$H,8,FALSE)</f>
        <v>green</v>
      </c>
      <c r="K88" s="8" t="str">
        <f>VLOOKUP(F88,[1]characters!$A:$K,11,FALSE)</f>
        <v>hp</v>
      </c>
      <c r="L88" s="8" t="str">
        <f>VLOOKUP(F88,[1]characters!$A:$M,13,FALSE)</f>
        <v>human</v>
      </c>
      <c r="M88" s="5">
        <v>1</v>
      </c>
      <c r="N88" s="28">
        <f>VLOOKUP(D88,gacha_149_base!A:B,2,FALSE)</f>
        <v>1201</v>
      </c>
      <c r="O88" s="19">
        <v>0</v>
      </c>
      <c r="P88" s="19">
        <v>0</v>
      </c>
      <c r="Q88" s="19">
        <v>0</v>
      </c>
      <c r="R88" s="19">
        <v>0</v>
      </c>
      <c r="S88" s="19">
        <v>1</v>
      </c>
    </row>
    <row r="89" spans="1:19" ht="21" customHeight="1">
      <c r="A89" s="7" t="str">
        <f t="shared" si="8"/>
        <v>14902145</v>
      </c>
      <c r="B89" s="2">
        <f t="shared" si="11"/>
        <v>14902</v>
      </c>
      <c r="C89" s="8" t="str">
        <f t="shared" si="9"/>
        <v>0PremiumW4</v>
      </c>
      <c r="D89" s="8" t="str">
        <f t="shared" si="10"/>
        <v>0PremiumW4</v>
      </c>
      <c r="E89" s="5">
        <v>0</v>
      </c>
      <c r="F89" s="6">
        <v>145</v>
      </c>
      <c r="G89" s="8" t="str">
        <f>VLOOKUP(F89,[1]characters!$A:$C,3,FALSE)</f>
        <v>魔性妖艶 かぐや</v>
      </c>
      <c r="H89" s="8" t="str">
        <f>VLOOKUP(F89,[1]characters!$A:$J,10,FALSE)</f>
        <v>PremiumW</v>
      </c>
      <c r="I89" s="8">
        <f>VLOOKUP(F89,[1]characters!$A:$I,9,FALSE)</f>
        <v>4</v>
      </c>
      <c r="J89" s="8" t="str">
        <f>VLOOKUP(F89,[1]characters!$A:$H,8,FALSE)</f>
        <v>green</v>
      </c>
      <c r="K89" s="8" t="str">
        <f>VLOOKUP(F89,[1]characters!$A:$K,11,FALSE)</f>
        <v>hp</v>
      </c>
      <c r="L89" s="8" t="str">
        <f>VLOOKUP(F89,[1]characters!$A:$M,13,FALSE)</f>
        <v>human</v>
      </c>
      <c r="M89" s="5">
        <v>1</v>
      </c>
      <c r="N89" s="28">
        <f>VLOOKUP(D89,gacha_149_base!A:B,2,FALSE)</f>
        <v>400</v>
      </c>
      <c r="O89" s="19">
        <v>0</v>
      </c>
      <c r="P89" s="19">
        <v>0</v>
      </c>
      <c r="Q89" s="19">
        <v>0</v>
      </c>
      <c r="R89" s="19">
        <v>0</v>
      </c>
      <c r="S89" s="19">
        <v>1</v>
      </c>
    </row>
    <row r="90" spans="1:19" ht="21" customHeight="1">
      <c r="A90" s="7" t="str">
        <f t="shared" si="8"/>
        <v>14902146</v>
      </c>
      <c r="B90" s="2">
        <f t="shared" si="11"/>
        <v>14902</v>
      </c>
      <c r="C90" s="8" t="str">
        <f t="shared" si="9"/>
        <v>0PremiumW3</v>
      </c>
      <c r="D90" s="8" t="str">
        <f t="shared" si="10"/>
        <v>0PremiumW3</v>
      </c>
      <c r="E90" s="5">
        <v>0</v>
      </c>
      <c r="F90" s="6">
        <v>146</v>
      </c>
      <c r="G90" s="8" t="str">
        <f>VLOOKUP(F90,[1]characters!$A:$C,3,FALSE)</f>
        <v>マーメイド</v>
      </c>
      <c r="H90" s="8" t="str">
        <f>VLOOKUP(F90,[1]characters!$A:$J,10,FALSE)</f>
        <v>PremiumW</v>
      </c>
      <c r="I90" s="8">
        <f>VLOOKUP(F90,[1]characters!$A:$I,9,FALSE)</f>
        <v>3</v>
      </c>
      <c r="J90" s="8" t="str">
        <f>VLOOKUP(F90,[1]characters!$A:$H,8,FALSE)</f>
        <v>blue</v>
      </c>
      <c r="K90" s="8" t="str">
        <f>VLOOKUP(F90,[1]characters!$A:$K,11,FALSE)</f>
        <v>hp</v>
      </c>
      <c r="L90" s="8" t="str">
        <f>VLOOKUP(F90,[1]characters!$A:$M,13,FALSE)</f>
        <v>human</v>
      </c>
      <c r="M90" s="5">
        <v>1</v>
      </c>
      <c r="N90" s="28">
        <f>VLOOKUP(D90,gacha_149_base!A:B,2,FALSE)</f>
        <v>1201</v>
      </c>
      <c r="O90" s="19">
        <v>0</v>
      </c>
      <c r="P90" s="19">
        <v>0</v>
      </c>
      <c r="Q90" s="19">
        <v>0</v>
      </c>
      <c r="R90" s="19">
        <v>0</v>
      </c>
      <c r="S90" s="19">
        <v>1</v>
      </c>
    </row>
    <row r="91" spans="1:19" ht="21" customHeight="1">
      <c r="A91" s="7" t="str">
        <f t="shared" si="8"/>
        <v>14902147</v>
      </c>
      <c r="B91" s="2">
        <f t="shared" si="11"/>
        <v>14902</v>
      </c>
      <c r="C91" s="8" t="str">
        <f t="shared" si="9"/>
        <v>0PremiumW4</v>
      </c>
      <c r="D91" s="8" t="str">
        <f t="shared" si="10"/>
        <v>0PremiumW4</v>
      </c>
      <c r="E91" s="5">
        <v>0</v>
      </c>
      <c r="F91" s="6">
        <v>147</v>
      </c>
      <c r="G91" s="8" t="str">
        <f>VLOOKUP(F91,[1]characters!$A:$C,3,FALSE)</f>
        <v>蒼き閃光 元マーメイド</v>
      </c>
      <c r="H91" s="8" t="str">
        <f>VLOOKUP(F91,[1]characters!$A:$J,10,FALSE)</f>
        <v>PremiumW</v>
      </c>
      <c r="I91" s="8">
        <f>VLOOKUP(F91,[1]characters!$A:$I,9,FALSE)</f>
        <v>4</v>
      </c>
      <c r="J91" s="8" t="str">
        <f>VLOOKUP(F91,[1]characters!$A:$H,8,FALSE)</f>
        <v>blue</v>
      </c>
      <c r="K91" s="8" t="str">
        <f>VLOOKUP(F91,[1]characters!$A:$K,11,FALSE)</f>
        <v>hp</v>
      </c>
      <c r="L91" s="8" t="str">
        <f>VLOOKUP(F91,[1]characters!$A:$M,13,FALSE)</f>
        <v>human</v>
      </c>
      <c r="M91" s="5">
        <v>1</v>
      </c>
      <c r="N91" s="28">
        <f>VLOOKUP(D91,gacha_149_base!A:B,2,FALSE)</f>
        <v>400</v>
      </c>
      <c r="O91" s="19">
        <v>0</v>
      </c>
      <c r="P91" s="19">
        <v>0</v>
      </c>
      <c r="Q91" s="19">
        <v>0</v>
      </c>
      <c r="R91" s="19">
        <v>0</v>
      </c>
      <c r="S91" s="19">
        <v>1</v>
      </c>
    </row>
    <row r="92" spans="1:19" ht="21" customHeight="1">
      <c r="A92" s="7" t="str">
        <f t="shared" si="8"/>
        <v>14902148</v>
      </c>
      <c r="B92" s="2">
        <f t="shared" si="11"/>
        <v>14902</v>
      </c>
      <c r="C92" s="8" t="str">
        <f t="shared" si="9"/>
        <v>0PremiumW3</v>
      </c>
      <c r="D92" s="8" t="str">
        <f t="shared" si="10"/>
        <v>0PremiumW3</v>
      </c>
      <c r="E92" s="5">
        <v>0</v>
      </c>
      <c r="F92" s="6">
        <v>148</v>
      </c>
      <c r="G92" s="8" t="str">
        <f>VLOOKUP(F92,[1]characters!$A:$C,3,FALSE)</f>
        <v>シンデレラ</v>
      </c>
      <c r="H92" s="8" t="str">
        <f>VLOOKUP(F92,[1]characters!$A:$J,10,FALSE)</f>
        <v>PremiumW</v>
      </c>
      <c r="I92" s="8">
        <f>VLOOKUP(F92,[1]characters!$A:$I,9,FALSE)</f>
        <v>3</v>
      </c>
      <c r="J92" s="8" t="str">
        <f>VLOOKUP(F92,[1]characters!$A:$H,8,FALSE)</f>
        <v>yellow</v>
      </c>
      <c r="K92" s="8" t="str">
        <f>VLOOKUP(F92,[1]characters!$A:$K,11,FALSE)</f>
        <v>balance</v>
      </c>
      <c r="L92" s="8" t="str">
        <f>VLOOKUP(F92,[1]characters!$A:$M,13,FALSE)</f>
        <v>human</v>
      </c>
      <c r="M92" s="5">
        <v>1</v>
      </c>
      <c r="N92" s="28">
        <f>VLOOKUP(D92,gacha_149_base!A:B,2,FALSE)</f>
        <v>1201</v>
      </c>
      <c r="O92" s="19">
        <v>0</v>
      </c>
      <c r="P92" s="19">
        <v>0</v>
      </c>
      <c r="Q92" s="19">
        <v>0</v>
      </c>
      <c r="R92" s="19">
        <v>0</v>
      </c>
      <c r="S92" s="19">
        <v>1</v>
      </c>
    </row>
    <row r="93" spans="1:19" ht="21" customHeight="1">
      <c r="A93" s="7" t="str">
        <f t="shared" si="8"/>
        <v>14902149</v>
      </c>
      <c r="B93" s="2">
        <f t="shared" si="11"/>
        <v>14902</v>
      </c>
      <c r="C93" s="8" t="str">
        <f t="shared" si="9"/>
        <v>0PremiumW4</v>
      </c>
      <c r="D93" s="8" t="str">
        <f t="shared" si="10"/>
        <v>0PremiumW4</v>
      </c>
      <c r="E93" s="5">
        <v>0</v>
      </c>
      <c r="F93" s="6">
        <v>149</v>
      </c>
      <c r="G93" s="8" t="str">
        <f>VLOOKUP(F93,[1]characters!$A:$C,3,FALSE)</f>
        <v>雷撃蹴技を極めし者 シンデレラ</v>
      </c>
      <c r="H93" s="8" t="str">
        <f>VLOOKUP(F93,[1]characters!$A:$J,10,FALSE)</f>
        <v>PremiumW</v>
      </c>
      <c r="I93" s="8">
        <f>VLOOKUP(F93,[1]characters!$A:$I,9,FALSE)</f>
        <v>4</v>
      </c>
      <c r="J93" s="8" t="str">
        <f>VLOOKUP(F93,[1]characters!$A:$H,8,FALSE)</f>
        <v>yellow</v>
      </c>
      <c r="K93" s="8" t="str">
        <f>VLOOKUP(F93,[1]characters!$A:$K,11,FALSE)</f>
        <v>balance</v>
      </c>
      <c r="L93" s="8" t="str">
        <f>VLOOKUP(F93,[1]characters!$A:$M,13,FALSE)</f>
        <v>human</v>
      </c>
      <c r="M93" s="5">
        <v>1</v>
      </c>
      <c r="N93" s="28">
        <f>VLOOKUP(D93,gacha_149_base!A:B,2,FALSE)</f>
        <v>400</v>
      </c>
      <c r="O93" s="19">
        <v>0</v>
      </c>
      <c r="P93" s="19">
        <v>0</v>
      </c>
      <c r="Q93" s="19">
        <v>0</v>
      </c>
      <c r="R93" s="19">
        <v>0</v>
      </c>
      <c r="S93" s="19">
        <v>1</v>
      </c>
    </row>
    <row r="94" spans="1:19" ht="21" customHeight="1">
      <c r="A94" s="7" t="str">
        <f t="shared" si="8"/>
        <v>14902150</v>
      </c>
      <c r="B94" s="2">
        <f t="shared" si="11"/>
        <v>14902</v>
      </c>
      <c r="C94" s="8" t="str">
        <f t="shared" si="9"/>
        <v>0PremiumW3</v>
      </c>
      <c r="D94" s="8" t="str">
        <f t="shared" si="10"/>
        <v>0PremiumW3</v>
      </c>
      <c r="E94" s="5">
        <v>0</v>
      </c>
      <c r="F94" s="6">
        <v>150</v>
      </c>
      <c r="G94" s="8" t="str">
        <f>VLOOKUP(F94,[1]characters!$A:$C,3,FALSE)</f>
        <v>ポイズンマスターサキ</v>
      </c>
      <c r="H94" s="8" t="str">
        <f>VLOOKUP(F94,[1]characters!$A:$J,10,FALSE)</f>
        <v>PremiumW</v>
      </c>
      <c r="I94" s="8">
        <f>VLOOKUP(F94,[1]characters!$A:$I,9,FALSE)</f>
        <v>3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human</v>
      </c>
      <c r="M94" s="5">
        <v>1</v>
      </c>
      <c r="N94" s="28">
        <f>VLOOKUP(D94,gacha_149_base!A:B,2,FALSE)</f>
        <v>1201</v>
      </c>
      <c r="O94" s="19">
        <v>0</v>
      </c>
      <c r="P94" s="19">
        <v>0</v>
      </c>
      <c r="Q94" s="19">
        <v>0</v>
      </c>
      <c r="R94" s="19">
        <v>0</v>
      </c>
      <c r="S94" s="19">
        <v>1</v>
      </c>
    </row>
    <row r="95" spans="1:19" ht="21" customHeight="1">
      <c r="A95" s="7" t="str">
        <f t="shared" si="8"/>
        <v>14902151</v>
      </c>
      <c r="B95" s="2">
        <f t="shared" si="11"/>
        <v>14902</v>
      </c>
      <c r="C95" s="8" t="str">
        <f t="shared" si="9"/>
        <v>0PremiumW4</v>
      </c>
      <c r="D95" s="8" t="str">
        <f t="shared" si="10"/>
        <v>0PremiumW4</v>
      </c>
      <c r="E95" s="5">
        <v>0</v>
      </c>
      <c r="F95" s="6">
        <v>151</v>
      </c>
      <c r="G95" s="8" t="str">
        <f>VLOOKUP(F95,[1]characters!$A:$C,3,FALSE)</f>
        <v>毒煙の処刑人サキ</v>
      </c>
      <c r="H95" s="8" t="str">
        <f>VLOOKUP(F95,[1]characters!$A:$J,10,FALSE)</f>
        <v>PremiumW</v>
      </c>
      <c r="I95" s="8">
        <f>VLOOKUP(F95,[1]characters!$A:$I,9,FALSE)</f>
        <v>4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human</v>
      </c>
      <c r="M95" s="5">
        <v>1</v>
      </c>
      <c r="N95" s="28">
        <f>VLOOKUP(D95,gacha_149_base!A:B,2,FALSE)</f>
        <v>400</v>
      </c>
      <c r="O95" s="19">
        <v>0</v>
      </c>
      <c r="P95" s="19">
        <v>0</v>
      </c>
      <c r="Q95" s="19">
        <v>0</v>
      </c>
      <c r="R95" s="19">
        <v>0</v>
      </c>
      <c r="S95" s="19">
        <v>1</v>
      </c>
    </row>
    <row r="96" spans="1:19" ht="21" customHeight="1">
      <c r="A96" s="7" t="str">
        <f t="shared" si="8"/>
        <v>14902152</v>
      </c>
      <c r="B96" s="2">
        <f t="shared" si="11"/>
        <v>14902</v>
      </c>
      <c r="C96" s="8" t="str">
        <f t="shared" si="9"/>
        <v>0PremiumW3</v>
      </c>
      <c r="D96" s="8" t="str">
        <f t="shared" si="10"/>
        <v>0PremiumW3</v>
      </c>
      <c r="E96" s="5">
        <v>0</v>
      </c>
      <c r="F96" s="6">
        <v>152</v>
      </c>
      <c r="G96" s="8" t="str">
        <f>VLOOKUP(F96,[1]characters!$A:$C,3,FALSE)</f>
        <v>功夫少女ランラン</v>
      </c>
      <c r="H96" s="8" t="str">
        <f>VLOOKUP(F96,[1]characters!$A:$J,10,FALSE)</f>
        <v>PremiumW</v>
      </c>
      <c r="I96" s="8">
        <f>VLOOKUP(F96,[1]characters!$A:$I,9,FALSE)</f>
        <v>3</v>
      </c>
      <c r="J96" s="8" t="str">
        <f>VLOOKUP(F96,[1]characters!$A:$H,8,FALSE)</f>
        <v>green</v>
      </c>
      <c r="K96" s="8" t="str">
        <f>VLOOKUP(F96,[1]characters!$A:$K,11,FALSE)</f>
        <v>heal</v>
      </c>
      <c r="L96" s="8" t="str">
        <f>VLOOKUP(F96,[1]characters!$A:$M,13,FALSE)</f>
        <v>human</v>
      </c>
      <c r="M96" s="5">
        <v>1</v>
      </c>
      <c r="N96" s="28">
        <f>VLOOKUP(D96,gacha_149_base!A:B,2,FALSE)</f>
        <v>1201</v>
      </c>
      <c r="O96" s="19">
        <v>0</v>
      </c>
      <c r="P96" s="19">
        <v>0</v>
      </c>
      <c r="Q96" s="19">
        <v>0</v>
      </c>
      <c r="R96" s="19">
        <v>0</v>
      </c>
      <c r="S96" s="19">
        <v>1</v>
      </c>
    </row>
    <row r="97" spans="1:19" ht="21" customHeight="1">
      <c r="A97" s="7" t="str">
        <f t="shared" si="8"/>
        <v>14902153</v>
      </c>
      <c r="B97" s="2">
        <f t="shared" si="11"/>
        <v>14902</v>
      </c>
      <c r="C97" s="8" t="str">
        <f t="shared" si="9"/>
        <v>0PremiumW4</v>
      </c>
      <c r="D97" s="8" t="str">
        <f t="shared" si="10"/>
        <v>0PremiumW4</v>
      </c>
      <c r="E97" s="5">
        <v>0</v>
      </c>
      <c r="F97" s="6">
        <v>153</v>
      </c>
      <c r="G97" s="8" t="str">
        <f>VLOOKUP(F97,[1]characters!$A:$C,3,FALSE)</f>
        <v>拳聖ランラン</v>
      </c>
      <c r="H97" s="8" t="str">
        <f>VLOOKUP(F97,[1]characters!$A:$J,10,FALSE)</f>
        <v>PremiumW</v>
      </c>
      <c r="I97" s="8">
        <f>VLOOKUP(F97,[1]characters!$A:$I,9,FALSE)</f>
        <v>4</v>
      </c>
      <c r="J97" s="8" t="str">
        <f>VLOOKUP(F97,[1]characters!$A:$H,8,FALSE)</f>
        <v>green</v>
      </c>
      <c r="K97" s="8" t="str">
        <f>VLOOKUP(F97,[1]characters!$A:$K,11,FALSE)</f>
        <v>heal</v>
      </c>
      <c r="L97" s="8" t="str">
        <f>VLOOKUP(F97,[1]characters!$A:$M,13,FALSE)</f>
        <v>human</v>
      </c>
      <c r="M97" s="5">
        <v>1</v>
      </c>
      <c r="N97" s="28">
        <f>VLOOKUP(D97,gacha_149_base!A:B,2,FALSE)</f>
        <v>400</v>
      </c>
      <c r="O97" s="19">
        <v>0</v>
      </c>
      <c r="P97" s="19">
        <v>0</v>
      </c>
      <c r="Q97" s="19">
        <v>0</v>
      </c>
      <c r="R97" s="19">
        <v>0</v>
      </c>
      <c r="S97" s="19">
        <v>1</v>
      </c>
    </row>
    <row r="98" spans="1:19" ht="21" customHeight="1">
      <c r="A98" s="7" t="str">
        <f t="shared" ref="A98:A129" si="12">B98&amp;F98</f>
        <v>14902154</v>
      </c>
      <c r="B98" s="2">
        <f t="shared" si="11"/>
        <v>14902</v>
      </c>
      <c r="C98" s="8" t="str">
        <f t="shared" ref="C98:C129" si="13">E98&amp;H98&amp;I98</f>
        <v>0PremiumW3</v>
      </c>
      <c r="D98" s="8" t="str">
        <f t="shared" ref="D98:D129" si="14">E98&amp;H98&amp;I98</f>
        <v>0PremiumW3</v>
      </c>
      <c r="E98" s="5">
        <v>0</v>
      </c>
      <c r="F98" s="6">
        <v>154</v>
      </c>
      <c r="G98" s="8" t="str">
        <f>VLOOKUP(F98,[1]characters!$A:$C,3,FALSE)</f>
        <v>始末屋 ハンナ</v>
      </c>
      <c r="H98" s="8" t="str">
        <f>VLOOKUP(F98,[1]characters!$A:$J,10,FALSE)</f>
        <v>PremiumW</v>
      </c>
      <c r="I98" s="8">
        <f>VLOOKUP(F98,[1]characters!$A:$I,9,FALSE)</f>
        <v>3</v>
      </c>
      <c r="J98" s="8" t="str">
        <f>VLOOKUP(F98,[1]characters!$A:$H,8,FALSE)</f>
        <v>blue</v>
      </c>
      <c r="K98" s="8" t="str">
        <f>VLOOKUP(F98,[1]characters!$A:$K,11,FALSE)</f>
        <v>heal</v>
      </c>
      <c r="L98" s="8" t="str">
        <f>VLOOKUP(F98,[1]characters!$A:$M,13,FALSE)</f>
        <v>human</v>
      </c>
      <c r="M98" s="5">
        <v>1</v>
      </c>
      <c r="N98" s="28">
        <f>VLOOKUP(D98,gacha_149_base!A:B,2,FALSE)</f>
        <v>1201</v>
      </c>
      <c r="O98" s="19">
        <v>0</v>
      </c>
      <c r="P98" s="19">
        <v>0</v>
      </c>
      <c r="Q98" s="19">
        <v>0</v>
      </c>
      <c r="R98" s="19">
        <v>0</v>
      </c>
      <c r="S98" s="19">
        <v>1</v>
      </c>
    </row>
    <row r="99" spans="1:19" ht="21" customHeight="1">
      <c r="A99" s="7" t="str">
        <f t="shared" si="12"/>
        <v>14902155</v>
      </c>
      <c r="B99" s="2">
        <f t="shared" si="11"/>
        <v>14902</v>
      </c>
      <c r="C99" s="8" t="str">
        <f t="shared" si="13"/>
        <v>0PremiumW4</v>
      </c>
      <c r="D99" s="8" t="str">
        <f t="shared" si="14"/>
        <v>0PremiumW4</v>
      </c>
      <c r="E99" s="5">
        <v>0</v>
      </c>
      <c r="F99" s="6">
        <v>155</v>
      </c>
      <c r="G99" s="8" t="str">
        <f>VLOOKUP(F99,[1]characters!$A:$C,3,FALSE)</f>
        <v>隻眼の掃除屋 ハンナ</v>
      </c>
      <c r="H99" s="8" t="str">
        <f>VLOOKUP(F99,[1]characters!$A:$J,10,FALSE)</f>
        <v>PremiumW</v>
      </c>
      <c r="I99" s="8">
        <f>VLOOKUP(F99,[1]characters!$A:$I,9,FALSE)</f>
        <v>4</v>
      </c>
      <c r="J99" s="8" t="str">
        <f>VLOOKUP(F99,[1]characters!$A:$H,8,FALSE)</f>
        <v>blue</v>
      </c>
      <c r="K99" s="8" t="str">
        <f>VLOOKUP(F99,[1]characters!$A:$K,11,FALSE)</f>
        <v>heal</v>
      </c>
      <c r="L99" s="8" t="str">
        <f>VLOOKUP(F99,[1]characters!$A:$M,13,FALSE)</f>
        <v>human</v>
      </c>
      <c r="M99" s="5">
        <v>1</v>
      </c>
      <c r="N99" s="28">
        <f>VLOOKUP(D99,gacha_149_base!A:B,2,FALSE)</f>
        <v>400</v>
      </c>
      <c r="O99" s="19">
        <v>0</v>
      </c>
      <c r="P99" s="19">
        <v>0</v>
      </c>
      <c r="Q99" s="19">
        <v>0</v>
      </c>
      <c r="R99" s="19">
        <v>0</v>
      </c>
      <c r="S99" s="19">
        <v>1</v>
      </c>
    </row>
    <row r="100" spans="1:19" ht="21" customHeight="1">
      <c r="A100" s="7" t="str">
        <f t="shared" si="12"/>
        <v>14902156</v>
      </c>
      <c r="B100" s="2">
        <f t="shared" si="11"/>
        <v>14902</v>
      </c>
      <c r="C100" s="8" t="str">
        <f t="shared" si="13"/>
        <v>0PremiumW3</v>
      </c>
      <c r="D100" s="8" t="str">
        <f t="shared" si="14"/>
        <v>0PremiumW3</v>
      </c>
      <c r="E100" s="5">
        <v>0</v>
      </c>
      <c r="F100" s="6">
        <v>156</v>
      </c>
      <c r="G100" s="8" t="str">
        <f>VLOOKUP(F100,[1]characters!$A:$C,3,FALSE)</f>
        <v>踊り子 エレナ</v>
      </c>
      <c r="H100" s="8" t="str">
        <f>VLOOKUP(F100,[1]characters!$A:$J,10,FALSE)</f>
        <v>PremiumW</v>
      </c>
      <c r="I100" s="8">
        <f>VLOOKUP(F100,[1]characters!$A:$I,9,FALSE)</f>
        <v>3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human</v>
      </c>
      <c r="M100" s="5">
        <v>1</v>
      </c>
      <c r="N100" s="28">
        <f>VLOOKUP(D100,gacha_149_base!A:B,2,FALSE)</f>
        <v>1201</v>
      </c>
      <c r="O100" s="19">
        <v>0</v>
      </c>
      <c r="P100" s="19">
        <v>0</v>
      </c>
      <c r="Q100" s="19">
        <v>0</v>
      </c>
      <c r="R100" s="19">
        <v>0</v>
      </c>
      <c r="S100" s="19">
        <v>1</v>
      </c>
    </row>
    <row r="101" spans="1:19" ht="21" customHeight="1">
      <c r="A101" s="7" t="str">
        <f t="shared" si="12"/>
        <v>14902157</v>
      </c>
      <c r="B101" s="2">
        <f t="shared" si="11"/>
        <v>14902</v>
      </c>
      <c r="C101" s="8" t="str">
        <f t="shared" si="13"/>
        <v>0PremiumW4</v>
      </c>
      <c r="D101" s="8" t="str">
        <f t="shared" si="14"/>
        <v>0PremiumW4</v>
      </c>
      <c r="E101" s="5">
        <v>0</v>
      </c>
      <c r="F101" s="6">
        <v>157</v>
      </c>
      <c r="G101" s="8" t="str">
        <f>VLOOKUP(F101,[1]characters!$A:$C,3,FALSE)</f>
        <v>雷光舞姫 エレナ</v>
      </c>
      <c r="H101" s="8" t="str">
        <f>VLOOKUP(F101,[1]characters!$A:$J,10,FALSE)</f>
        <v>PremiumW</v>
      </c>
      <c r="I101" s="8">
        <f>VLOOKUP(F101,[1]characters!$A:$I,9,FALSE)</f>
        <v>4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human</v>
      </c>
      <c r="M101" s="5">
        <v>1</v>
      </c>
      <c r="N101" s="28">
        <f>VLOOKUP(D101,gacha_149_base!A:B,2,FALSE)</f>
        <v>400</v>
      </c>
      <c r="O101" s="19">
        <v>0</v>
      </c>
      <c r="P101" s="19">
        <v>0</v>
      </c>
      <c r="Q101" s="19">
        <v>0</v>
      </c>
      <c r="R101" s="19">
        <v>0</v>
      </c>
      <c r="S101" s="19">
        <v>1</v>
      </c>
    </row>
    <row r="102" spans="1:19" ht="21" customHeight="1">
      <c r="A102" s="7" t="str">
        <f t="shared" si="12"/>
        <v>14902158</v>
      </c>
      <c r="B102" s="2">
        <f t="shared" si="11"/>
        <v>14902</v>
      </c>
      <c r="C102" s="8" t="str">
        <f t="shared" si="13"/>
        <v>0PremiumW3</v>
      </c>
      <c r="D102" s="8" t="str">
        <f t="shared" si="14"/>
        <v>0PremiumW3</v>
      </c>
      <c r="E102" s="5">
        <v>0</v>
      </c>
      <c r="F102" s="6">
        <v>158</v>
      </c>
      <c r="G102" s="8" t="str">
        <f>VLOOKUP(F102,[1]characters!$A:$C,3,FALSE)</f>
        <v>シスター シャルロッテ</v>
      </c>
      <c r="H102" s="8" t="str">
        <f>VLOOKUP(F102,[1]characters!$A:$J,10,FALSE)</f>
        <v>PremiumW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5">
        <v>1</v>
      </c>
      <c r="N102" s="28">
        <f>VLOOKUP(D102,gacha_149_base!A:B,2,FALSE)</f>
        <v>1201</v>
      </c>
      <c r="O102" s="19">
        <v>0</v>
      </c>
      <c r="P102" s="19">
        <v>0</v>
      </c>
      <c r="Q102" s="19">
        <v>0</v>
      </c>
      <c r="R102" s="19">
        <v>0</v>
      </c>
      <c r="S102" s="19">
        <v>1</v>
      </c>
    </row>
    <row r="103" spans="1:19" ht="21" customHeight="1">
      <c r="A103" s="7" t="str">
        <f t="shared" si="12"/>
        <v>14902159</v>
      </c>
      <c r="B103" s="2">
        <f t="shared" ref="B103:B134" si="15">$B$70</f>
        <v>14902</v>
      </c>
      <c r="C103" s="8" t="str">
        <f t="shared" si="13"/>
        <v>0PremiumW4</v>
      </c>
      <c r="D103" s="8" t="str">
        <f t="shared" si="14"/>
        <v>0PremiumW4</v>
      </c>
      <c r="E103" s="5">
        <v>0</v>
      </c>
      <c r="F103" s="6">
        <v>159</v>
      </c>
      <c r="G103" s="8" t="str">
        <f>VLOOKUP(F103,[1]characters!$A:$C,3,FALSE)</f>
        <v>邪を狩りし者 シャルロッテ</v>
      </c>
      <c r="H103" s="8" t="str">
        <f>VLOOKUP(F103,[1]characters!$A:$J,10,FALSE)</f>
        <v>PremiumW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5">
        <v>1</v>
      </c>
      <c r="N103" s="28">
        <f>VLOOKUP(D103,gacha_149_base!A:B,2,FALSE)</f>
        <v>400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7" t="str">
        <f t="shared" si="12"/>
        <v>14902160</v>
      </c>
      <c r="B104" s="2">
        <f t="shared" si="15"/>
        <v>14902</v>
      </c>
      <c r="C104" s="8" t="str">
        <f t="shared" si="13"/>
        <v>0PremiumW3</v>
      </c>
      <c r="D104" s="8" t="str">
        <f t="shared" si="14"/>
        <v>0PremiumW3</v>
      </c>
      <c r="E104" s="5">
        <v>0</v>
      </c>
      <c r="F104" s="6">
        <v>160</v>
      </c>
      <c r="G104" s="8" t="str">
        <f>VLOOKUP(F104,[1]characters!$A:$C,3,FALSE)</f>
        <v>反逆者 クリエ</v>
      </c>
      <c r="H104" s="8" t="str">
        <f>VLOOKUP(F104,[1]characters!$A:$J,10,FALSE)</f>
        <v>PremiumW</v>
      </c>
      <c r="I104" s="8">
        <f>VLOOKUP(F104,[1]characters!$A:$I,9,FALSE)</f>
        <v>3</v>
      </c>
      <c r="J104" s="8" t="str">
        <f>VLOOKUP(F104,[1]characters!$A:$H,8,FALSE)</f>
        <v>green</v>
      </c>
      <c r="K104" s="8" t="str">
        <f>VLOOKUP(F104,[1]characters!$A:$K,11,FALSE)</f>
        <v>balance</v>
      </c>
      <c r="L104" s="8" t="str">
        <f>VLOOKUP(F104,[1]characters!$A:$M,13,FALSE)</f>
        <v>human</v>
      </c>
      <c r="M104" s="5">
        <v>1</v>
      </c>
      <c r="N104" s="28">
        <f>VLOOKUP(D104,gacha_149_base!A:B,2,FALSE)</f>
        <v>1201</v>
      </c>
      <c r="O104" s="19">
        <v>0</v>
      </c>
      <c r="P104" s="19">
        <v>0</v>
      </c>
      <c r="Q104" s="19">
        <v>0</v>
      </c>
      <c r="R104" s="19">
        <v>0</v>
      </c>
      <c r="S104" s="19">
        <v>1</v>
      </c>
    </row>
    <row r="105" spans="1:19" ht="21" customHeight="1">
      <c r="A105" s="7" t="str">
        <f t="shared" si="12"/>
        <v>14902161</v>
      </c>
      <c r="B105" s="2">
        <f t="shared" si="15"/>
        <v>14902</v>
      </c>
      <c r="C105" s="8" t="str">
        <f t="shared" si="13"/>
        <v>0PremiumW4</v>
      </c>
      <c r="D105" s="8" t="str">
        <f t="shared" si="14"/>
        <v>0PremiumW4</v>
      </c>
      <c r="E105" s="5">
        <v>0</v>
      </c>
      <c r="F105" s="6">
        <v>161</v>
      </c>
      <c r="G105" s="8" t="str">
        <f>VLOOKUP(F105,[1]characters!$A:$C,3,FALSE)</f>
        <v>咆哮の先導者 クリエ</v>
      </c>
      <c r="H105" s="8" t="str">
        <f>VLOOKUP(F105,[1]characters!$A:$J,10,FALSE)</f>
        <v>PremiumW</v>
      </c>
      <c r="I105" s="8">
        <f>VLOOKUP(F105,[1]characters!$A:$I,9,FALSE)</f>
        <v>4</v>
      </c>
      <c r="J105" s="8" t="str">
        <f>VLOOKUP(F105,[1]characters!$A:$H,8,FALSE)</f>
        <v>green</v>
      </c>
      <c r="K105" s="8" t="str">
        <f>VLOOKUP(F105,[1]characters!$A:$K,11,FALSE)</f>
        <v>balance</v>
      </c>
      <c r="L105" s="8" t="str">
        <f>VLOOKUP(F105,[1]characters!$A:$M,13,FALSE)</f>
        <v>human</v>
      </c>
      <c r="M105" s="5">
        <v>1</v>
      </c>
      <c r="N105" s="28">
        <f>VLOOKUP(D105,gacha_149_base!A:B,2,FALSE)</f>
        <v>400</v>
      </c>
      <c r="O105" s="19">
        <v>0</v>
      </c>
      <c r="P105" s="19">
        <v>0</v>
      </c>
      <c r="Q105" s="19">
        <v>0</v>
      </c>
      <c r="R105" s="19">
        <v>0</v>
      </c>
      <c r="S105" s="19">
        <v>1</v>
      </c>
    </row>
    <row r="106" spans="1:19" ht="21" customHeight="1">
      <c r="A106" s="7" t="str">
        <f t="shared" si="12"/>
        <v>14902162</v>
      </c>
      <c r="B106" s="2">
        <f t="shared" si="15"/>
        <v>14902</v>
      </c>
      <c r="C106" s="8" t="str">
        <f t="shared" si="13"/>
        <v>0PremiumW3</v>
      </c>
      <c r="D106" s="8" t="str">
        <f t="shared" si="14"/>
        <v>0PremiumW3</v>
      </c>
      <c r="E106" s="5">
        <v>0</v>
      </c>
      <c r="F106" s="6">
        <v>162</v>
      </c>
      <c r="G106" s="8" t="str">
        <f>VLOOKUP(F106,[1]characters!$A:$C,3,FALSE)</f>
        <v>狂女 クララ</v>
      </c>
      <c r="H106" s="8" t="str">
        <f>VLOOKUP(F106,[1]characters!$A:$J,10,FALSE)</f>
        <v>PremiumW</v>
      </c>
      <c r="I106" s="8">
        <f>VLOOKUP(F106,[1]characters!$A:$I,9,FALSE)</f>
        <v>3</v>
      </c>
      <c r="J106" s="8" t="str">
        <f>VLOOKUP(F106,[1]characters!$A:$H,8,FALSE)</f>
        <v>blue</v>
      </c>
      <c r="K106" s="8" t="str">
        <f>VLOOKUP(F106,[1]characters!$A:$K,11,FALSE)</f>
        <v>attack</v>
      </c>
      <c r="L106" s="8" t="str">
        <f>VLOOKUP(F106,[1]characters!$A:$M,13,FALSE)</f>
        <v>human</v>
      </c>
      <c r="M106" s="5">
        <v>1</v>
      </c>
      <c r="N106" s="28">
        <f>VLOOKUP(D106,gacha_149_base!A:B,2,FALSE)</f>
        <v>1201</v>
      </c>
      <c r="O106" s="19">
        <v>0</v>
      </c>
      <c r="P106" s="19">
        <v>0</v>
      </c>
      <c r="Q106" s="19">
        <v>0</v>
      </c>
      <c r="R106" s="19">
        <v>0</v>
      </c>
      <c r="S106" s="19">
        <v>1</v>
      </c>
    </row>
    <row r="107" spans="1:19" ht="21" customHeight="1">
      <c r="A107" s="7" t="str">
        <f t="shared" si="12"/>
        <v>14902163</v>
      </c>
      <c r="B107" s="2">
        <f t="shared" si="15"/>
        <v>14902</v>
      </c>
      <c r="C107" s="8" t="str">
        <f t="shared" si="13"/>
        <v>0PremiumW4</v>
      </c>
      <c r="D107" s="8" t="str">
        <f t="shared" si="14"/>
        <v>0PremiumW4</v>
      </c>
      <c r="E107" s="5">
        <v>0</v>
      </c>
      <c r="F107" s="6">
        <v>163</v>
      </c>
      <c r="G107" s="8" t="str">
        <f>VLOOKUP(F107,[1]characters!$A:$C,3,FALSE)</f>
        <v>冷酷な狂嬢 クララ</v>
      </c>
      <c r="H107" s="8" t="str">
        <f>VLOOKUP(F107,[1]characters!$A:$J,10,FALSE)</f>
        <v>PremiumW</v>
      </c>
      <c r="I107" s="8">
        <f>VLOOKUP(F107,[1]characters!$A:$I,9,FALSE)</f>
        <v>4</v>
      </c>
      <c r="J107" s="8" t="str">
        <f>VLOOKUP(F107,[1]characters!$A:$H,8,FALSE)</f>
        <v>blue</v>
      </c>
      <c r="K107" s="8" t="str">
        <f>VLOOKUP(F107,[1]characters!$A:$K,11,FALSE)</f>
        <v>attack</v>
      </c>
      <c r="L107" s="8" t="str">
        <f>VLOOKUP(F107,[1]characters!$A:$M,13,FALSE)</f>
        <v>human</v>
      </c>
      <c r="M107" s="5">
        <v>1</v>
      </c>
      <c r="N107" s="28">
        <f>VLOOKUP(D107,gacha_149_base!A:B,2,FALSE)</f>
        <v>400</v>
      </c>
      <c r="O107" s="19">
        <v>0</v>
      </c>
      <c r="P107" s="19">
        <v>0</v>
      </c>
      <c r="Q107" s="19">
        <v>0</v>
      </c>
      <c r="R107" s="19">
        <v>0</v>
      </c>
      <c r="S107" s="19">
        <v>1</v>
      </c>
    </row>
    <row r="108" spans="1:19" ht="21" customHeight="1">
      <c r="A108" s="7" t="str">
        <f t="shared" si="12"/>
        <v>14902164</v>
      </c>
      <c r="B108" s="2">
        <f t="shared" si="15"/>
        <v>14902</v>
      </c>
      <c r="C108" s="8" t="str">
        <f t="shared" si="13"/>
        <v>0PremiumW3</v>
      </c>
      <c r="D108" s="8" t="str">
        <f t="shared" si="14"/>
        <v>0PremiumW3</v>
      </c>
      <c r="E108" s="5">
        <v>0</v>
      </c>
      <c r="F108" s="6">
        <v>164</v>
      </c>
      <c r="G108" s="8" t="str">
        <f>VLOOKUP(F108,[1]characters!$A:$C,3,FALSE)</f>
        <v>イブとトモダチ</v>
      </c>
      <c r="H108" s="8" t="str">
        <f>VLOOKUP(F108,[1]characters!$A:$J,10,FALSE)</f>
        <v>PremiumW</v>
      </c>
      <c r="I108" s="8">
        <f>VLOOKUP(F108,[1]characters!$A:$I,9,FALSE)</f>
        <v>3</v>
      </c>
      <c r="J108" s="8" t="str">
        <f>VLOOKUP(F108,[1]characters!$A:$H,8,FALSE)</f>
        <v>yellow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28">
        <f>VLOOKUP(D108,gacha_149_base!A:B,2,FALSE)</f>
        <v>1201</v>
      </c>
      <c r="O108" s="19">
        <v>0</v>
      </c>
      <c r="P108" s="19">
        <v>0</v>
      </c>
      <c r="Q108" s="19">
        <v>0</v>
      </c>
      <c r="R108" s="19">
        <v>0</v>
      </c>
      <c r="S108" s="19">
        <v>1</v>
      </c>
    </row>
    <row r="109" spans="1:19" ht="21" customHeight="1">
      <c r="A109" s="7" t="str">
        <f t="shared" si="12"/>
        <v>14902165</v>
      </c>
      <c r="B109" s="2">
        <f t="shared" si="15"/>
        <v>14902</v>
      </c>
      <c r="C109" s="8" t="str">
        <f t="shared" si="13"/>
        <v>0PremiumW4</v>
      </c>
      <c r="D109" s="8" t="str">
        <f t="shared" si="14"/>
        <v>0PremiumW4</v>
      </c>
      <c r="E109" s="5">
        <v>0</v>
      </c>
      <c r="F109" s="6">
        <v>165</v>
      </c>
      <c r="G109" s="8" t="str">
        <f>VLOOKUP(F109,[1]characters!$A:$C,3,FALSE)</f>
        <v>イブとたったひとりのトモダチ</v>
      </c>
      <c r="H109" s="8" t="str">
        <f>VLOOKUP(F109,[1]characters!$A:$J,10,FALSE)</f>
        <v>PremiumW</v>
      </c>
      <c r="I109" s="8">
        <f>VLOOKUP(F109,[1]characters!$A:$I,9,FALSE)</f>
        <v>4</v>
      </c>
      <c r="J109" s="8" t="str">
        <f>VLOOKUP(F109,[1]characters!$A:$H,8,FALSE)</f>
        <v>yellow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28">
        <f>VLOOKUP(D109,gacha_149_base!A:B,2,FALSE)</f>
        <v>400</v>
      </c>
      <c r="O109" s="19">
        <v>0</v>
      </c>
      <c r="P109" s="19">
        <v>0</v>
      </c>
      <c r="Q109" s="19">
        <v>0</v>
      </c>
      <c r="R109" s="19">
        <v>0</v>
      </c>
      <c r="S109" s="19">
        <v>1</v>
      </c>
    </row>
    <row r="110" spans="1:19" ht="21" customHeight="1">
      <c r="A110" s="7" t="str">
        <f t="shared" si="12"/>
        <v>14902166</v>
      </c>
      <c r="B110" s="2">
        <f t="shared" si="15"/>
        <v>14902</v>
      </c>
      <c r="C110" s="8" t="str">
        <f t="shared" si="13"/>
        <v>0PremiumN3</v>
      </c>
      <c r="D110" s="8" t="str">
        <f t="shared" si="14"/>
        <v>0PremiumN3</v>
      </c>
      <c r="E110" s="5">
        <v>0</v>
      </c>
      <c r="F110" s="6">
        <v>166</v>
      </c>
      <c r="G110" s="8" t="str">
        <f>VLOOKUP(F110,[1]characters!$A:$C,3,FALSE)</f>
        <v>ベリアル</v>
      </c>
      <c r="H110" s="8" t="str">
        <f>VLOOKUP(F110,[1]characters!$A:$J,10,FALSE)</f>
        <v>PremiumN</v>
      </c>
      <c r="I110" s="8">
        <f>VLOOKUP(F110,[1]characters!$A:$I,9,FALSE)</f>
        <v>3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god</v>
      </c>
      <c r="M110" s="5">
        <v>1</v>
      </c>
      <c r="N110" s="28">
        <f>VLOOKUP(D110,gacha_149_base!A:B,2,FALSE)</f>
        <v>1189</v>
      </c>
      <c r="O110" s="19">
        <v>0</v>
      </c>
      <c r="P110" s="19">
        <v>0</v>
      </c>
      <c r="Q110" s="19">
        <v>0</v>
      </c>
      <c r="R110" s="19">
        <v>0</v>
      </c>
      <c r="S110" s="19">
        <v>1</v>
      </c>
    </row>
    <row r="111" spans="1:19" ht="21" customHeight="1">
      <c r="A111" s="7" t="str">
        <f t="shared" si="12"/>
        <v>14902167</v>
      </c>
      <c r="B111" s="2">
        <f t="shared" si="15"/>
        <v>14902</v>
      </c>
      <c r="C111" s="8" t="str">
        <f t="shared" si="13"/>
        <v>0PremiumN4</v>
      </c>
      <c r="D111" s="8" t="str">
        <f t="shared" si="14"/>
        <v>0PremiumN4</v>
      </c>
      <c r="E111" s="5">
        <v>0</v>
      </c>
      <c r="F111" s="6">
        <v>167</v>
      </c>
      <c r="G111" s="8" t="str">
        <f>VLOOKUP(F111,[1]characters!$A:$C,3,FALSE)</f>
        <v>逆徒 ベリアル</v>
      </c>
      <c r="H111" s="8" t="str">
        <f>VLOOKUP(F111,[1]characters!$A:$J,10,FALSE)</f>
        <v>PremiumN</v>
      </c>
      <c r="I111" s="8">
        <f>VLOOKUP(F111,[1]characters!$A:$I,9,FALSE)</f>
        <v>4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28">
        <f>VLOOKUP(D111,gacha_149_base!A:B,2,FALSE)</f>
        <v>396</v>
      </c>
      <c r="O111" s="19">
        <v>0</v>
      </c>
      <c r="P111" s="19">
        <v>0</v>
      </c>
      <c r="Q111" s="19">
        <v>0</v>
      </c>
      <c r="R111" s="19">
        <v>0</v>
      </c>
      <c r="S111" s="19">
        <v>1</v>
      </c>
    </row>
    <row r="112" spans="1:19" ht="21" customHeight="1">
      <c r="A112" s="7" t="str">
        <f t="shared" si="12"/>
        <v>14902169</v>
      </c>
      <c r="B112" s="2">
        <f t="shared" si="15"/>
        <v>14902</v>
      </c>
      <c r="C112" s="8" t="str">
        <f t="shared" si="13"/>
        <v>0PremiumN3</v>
      </c>
      <c r="D112" s="8" t="str">
        <f t="shared" si="14"/>
        <v>0PremiumN3</v>
      </c>
      <c r="E112" s="5">
        <v>0</v>
      </c>
      <c r="F112" s="6">
        <v>169</v>
      </c>
      <c r="G112" s="8" t="str">
        <f>VLOOKUP(F112,[1]characters!$A:$C,3,FALSE)</f>
        <v>オセ</v>
      </c>
      <c r="H112" s="8" t="str">
        <f>VLOOKUP(F112,[1]characters!$A:$J,10,FALSE)</f>
        <v>PremiumN</v>
      </c>
      <c r="I112" s="8">
        <f>VLOOKUP(F112,[1]characters!$A:$I,9,FALSE)</f>
        <v>3</v>
      </c>
      <c r="J112" s="8" t="str">
        <f>VLOOKUP(F112,[1]characters!$A:$H,8,FALSE)</f>
        <v>green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28">
        <f>VLOOKUP(D112,gacha_149_base!A:B,2,FALSE)</f>
        <v>1189</v>
      </c>
      <c r="O112" s="19">
        <v>0</v>
      </c>
      <c r="P112" s="19">
        <v>0</v>
      </c>
      <c r="Q112" s="19">
        <v>0</v>
      </c>
      <c r="R112" s="19">
        <v>0</v>
      </c>
      <c r="S112" s="19">
        <v>1</v>
      </c>
    </row>
    <row r="113" spans="1:19" ht="21" customHeight="1">
      <c r="A113" s="7" t="str">
        <f t="shared" si="12"/>
        <v>14902170</v>
      </c>
      <c r="B113" s="2">
        <f t="shared" si="15"/>
        <v>14902</v>
      </c>
      <c r="C113" s="8" t="str">
        <f t="shared" si="13"/>
        <v>0PremiumN4</v>
      </c>
      <c r="D113" s="8" t="str">
        <f t="shared" si="14"/>
        <v>0PremiumN4</v>
      </c>
      <c r="E113" s="5">
        <v>0</v>
      </c>
      <c r="F113" s="6">
        <v>170</v>
      </c>
      <c r="G113" s="8" t="str">
        <f>VLOOKUP(F113,[1]characters!$A:$C,3,FALSE)</f>
        <v>識徒 オセ</v>
      </c>
      <c r="H113" s="8" t="str">
        <f>VLOOKUP(F113,[1]characters!$A:$J,10,FALSE)</f>
        <v>PremiumN</v>
      </c>
      <c r="I113" s="8">
        <f>VLOOKUP(F113,[1]characters!$A:$I,9,FALSE)</f>
        <v>4</v>
      </c>
      <c r="J113" s="8" t="str">
        <f>VLOOKUP(F113,[1]characters!$A:$H,8,FALSE)</f>
        <v>green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28">
        <f>VLOOKUP(D113,gacha_149_base!A:B,2,FALSE)</f>
        <v>396</v>
      </c>
      <c r="O113" s="19">
        <v>0</v>
      </c>
      <c r="P113" s="19">
        <v>0</v>
      </c>
      <c r="Q113" s="19">
        <v>0</v>
      </c>
      <c r="R113" s="19">
        <v>0</v>
      </c>
      <c r="S113" s="19">
        <v>1</v>
      </c>
    </row>
    <row r="114" spans="1:19" ht="21" customHeight="1">
      <c r="A114" s="7" t="str">
        <f t="shared" si="12"/>
        <v>14902172</v>
      </c>
      <c r="B114" s="2">
        <f t="shared" si="15"/>
        <v>14902</v>
      </c>
      <c r="C114" s="8" t="str">
        <f t="shared" si="13"/>
        <v>0PremiumN3</v>
      </c>
      <c r="D114" s="8" t="str">
        <f t="shared" si="14"/>
        <v>0PremiumN3</v>
      </c>
      <c r="E114" s="5">
        <v>0</v>
      </c>
      <c r="F114" s="6">
        <v>172</v>
      </c>
      <c r="G114" s="8" t="str">
        <f>VLOOKUP(F114,[1]characters!$A:$C,3,FALSE)</f>
        <v>フォルネウス</v>
      </c>
      <c r="H114" s="8" t="str">
        <f>VLOOKUP(F114,[1]characters!$A:$J,10,FALSE)</f>
        <v>PremiumN</v>
      </c>
      <c r="I114" s="8">
        <f>VLOOKUP(F114,[1]characters!$A:$I,9,FALSE)</f>
        <v>3</v>
      </c>
      <c r="J114" s="8" t="str">
        <f>VLOOKUP(F114,[1]characters!$A:$H,8,FALSE)</f>
        <v>blue</v>
      </c>
      <c r="K114" s="8" t="str">
        <f>VLOOKUP(F114,[1]characters!$A:$K,11,FALSE)</f>
        <v>attack</v>
      </c>
      <c r="L114" s="8" t="str">
        <f>VLOOKUP(F114,[1]characters!$A:$M,13,FALSE)</f>
        <v>god</v>
      </c>
      <c r="M114" s="5">
        <v>1</v>
      </c>
      <c r="N114" s="28">
        <f>VLOOKUP(D114,gacha_149_base!A:B,2,FALSE)</f>
        <v>1189</v>
      </c>
      <c r="O114" s="19">
        <v>0</v>
      </c>
      <c r="P114" s="19">
        <v>0</v>
      </c>
      <c r="Q114" s="19">
        <v>0</v>
      </c>
      <c r="R114" s="19">
        <v>0</v>
      </c>
      <c r="S114" s="19">
        <v>1</v>
      </c>
    </row>
    <row r="115" spans="1:19" ht="21" customHeight="1">
      <c r="A115" s="7" t="str">
        <f t="shared" si="12"/>
        <v>14902173</v>
      </c>
      <c r="B115" s="2">
        <f t="shared" si="15"/>
        <v>14902</v>
      </c>
      <c r="C115" s="8" t="str">
        <f t="shared" si="13"/>
        <v>0PremiumN4</v>
      </c>
      <c r="D115" s="8" t="str">
        <f t="shared" si="14"/>
        <v>0PremiumN4</v>
      </c>
      <c r="E115" s="5">
        <v>0</v>
      </c>
      <c r="F115" s="6">
        <v>173</v>
      </c>
      <c r="G115" s="8" t="str">
        <f>VLOOKUP(F115,[1]characters!$A:$C,3,FALSE)</f>
        <v>公爵 フォルネウス</v>
      </c>
      <c r="H115" s="8" t="str">
        <f>VLOOKUP(F115,[1]characters!$A:$J,10,FALSE)</f>
        <v>PremiumN</v>
      </c>
      <c r="I115" s="8">
        <f>VLOOKUP(F115,[1]characters!$A:$I,9,FALSE)</f>
        <v>4</v>
      </c>
      <c r="J115" s="8" t="str">
        <f>VLOOKUP(F115,[1]characters!$A:$H,8,FALSE)</f>
        <v>blue</v>
      </c>
      <c r="K115" s="8" t="str">
        <f>VLOOKUP(F115,[1]characters!$A:$K,11,FALSE)</f>
        <v>attack</v>
      </c>
      <c r="L115" s="8" t="str">
        <f>VLOOKUP(F115,[1]characters!$A:$M,13,FALSE)</f>
        <v>god</v>
      </c>
      <c r="M115" s="5">
        <v>1</v>
      </c>
      <c r="N115" s="28">
        <f>VLOOKUP(D115,gacha_149_base!A:B,2,FALSE)</f>
        <v>396</v>
      </c>
      <c r="O115" s="19">
        <v>0</v>
      </c>
      <c r="P115" s="19">
        <v>0</v>
      </c>
      <c r="Q115" s="19">
        <v>0</v>
      </c>
      <c r="R115" s="19">
        <v>0</v>
      </c>
      <c r="S115" s="19">
        <v>1</v>
      </c>
    </row>
    <row r="116" spans="1:19" ht="21" customHeight="1">
      <c r="A116" s="7" t="str">
        <f t="shared" si="12"/>
        <v>14902175</v>
      </c>
      <c r="B116" s="2">
        <f t="shared" si="15"/>
        <v>14902</v>
      </c>
      <c r="C116" s="8" t="str">
        <f t="shared" si="13"/>
        <v>0PremiumN3</v>
      </c>
      <c r="D116" s="8" t="str">
        <f t="shared" si="14"/>
        <v>0PremiumN3</v>
      </c>
      <c r="E116" s="5">
        <v>0</v>
      </c>
      <c r="F116" s="6">
        <v>175</v>
      </c>
      <c r="G116" s="8" t="str">
        <f>VLOOKUP(F116,[1]characters!$A:$C,3,FALSE)</f>
        <v>バフォメット</v>
      </c>
      <c r="H116" s="8" t="str">
        <f>VLOOKUP(F116,[1]characters!$A:$J,10,FALSE)</f>
        <v>PremiumN</v>
      </c>
      <c r="I116" s="8">
        <f>VLOOKUP(F116,[1]characters!$A:$I,9,FALSE)</f>
        <v>3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5">
        <v>1</v>
      </c>
      <c r="N116" s="28">
        <f>VLOOKUP(D116,gacha_149_base!A:B,2,FALSE)</f>
        <v>1189</v>
      </c>
      <c r="O116" s="19">
        <v>0</v>
      </c>
      <c r="P116" s="19">
        <v>0</v>
      </c>
      <c r="Q116" s="19">
        <v>0</v>
      </c>
      <c r="R116" s="19">
        <v>0</v>
      </c>
      <c r="S116" s="19">
        <v>1</v>
      </c>
    </row>
    <row r="117" spans="1:19" ht="21" customHeight="1">
      <c r="A117" s="7" t="str">
        <f t="shared" si="12"/>
        <v>14902176</v>
      </c>
      <c r="B117" s="2">
        <f t="shared" si="15"/>
        <v>14902</v>
      </c>
      <c r="C117" s="8" t="str">
        <f t="shared" si="13"/>
        <v>0PremiumN4</v>
      </c>
      <c r="D117" s="8" t="str">
        <f t="shared" si="14"/>
        <v>0PremiumN4</v>
      </c>
      <c r="E117" s="5">
        <v>0</v>
      </c>
      <c r="F117" s="6">
        <v>176</v>
      </c>
      <c r="G117" s="8" t="str">
        <f>VLOOKUP(F117,[1]characters!$A:$C,3,FALSE)</f>
        <v>異教徒 バフォメット</v>
      </c>
      <c r="H117" s="8" t="str">
        <f>VLOOKUP(F117,[1]characters!$A:$J,10,FALSE)</f>
        <v>PremiumN</v>
      </c>
      <c r="I117" s="8">
        <f>VLOOKUP(F117,[1]characters!$A:$I,9,FALSE)</f>
        <v>4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5">
        <v>1</v>
      </c>
      <c r="N117" s="28">
        <f>VLOOKUP(D117,gacha_149_base!A:B,2,FALSE)</f>
        <v>396</v>
      </c>
      <c r="O117" s="19">
        <v>0</v>
      </c>
      <c r="P117" s="19">
        <v>0</v>
      </c>
      <c r="Q117" s="19">
        <v>0</v>
      </c>
      <c r="R117" s="19">
        <v>0</v>
      </c>
      <c r="S117" s="19">
        <v>1</v>
      </c>
    </row>
    <row r="118" spans="1:19" ht="21" customHeight="1">
      <c r="A118" s="7" t="str">
        <f t="shared" si="12"/>
        <v>14902178</v>
      </c>
      <c r="B118" s="2">
        <f t="shared" si="15"/>
        <v>14902</v>
      </c>
      <c r="C118" s="8" t="str">
        <f t="shared" si="13"/>
        <v>0PremiumN3</v>
      </c>
      <c r="D118" s="8" t="str">
        <f t="shared" si="14"/>
        <v>0PremiumN3</v>
      </c>
      <c r="E118" s="5">
        <v>0</v>
      </c>
      <c r="F118" s="6">
        <v>178</v>
      </c>
      <c r="G118" s="8" t="str">
        <f>VLOOKUP(F118,[1]characters!$A:$C,3,FALSE)</f>
        <v>ケルベロス</v>
      </c>
      <c r="H118" s="8" t="str">
        <f>VLOOKUP(F118,[1]characters!$A:$J,10,FALSE)</f>
        <v>PremiumN</v>
      </c>
      <c r="I118" s="8">
        <f>VLOOKUP(F118,[1]characters!$A:$I,9,FALSE)</f>
        <v>3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animal</v>
      </c>
      <c r="M118" s="5">
        <v>1</v>
      </c>
      <c r="N118" s="28">
        <f>VLOOKUP(D118,gacha_149_base!A:B,2,FALSE)</f>
        <v>1189</v>
      </c>
      <c r="O118" s="19">
        <v>0</v>
      </c>
      <c r="P118" s="19">
        <v>0</v>
      </c>
      <c r="Q118" s="19">
        <v>0</v>
      </c>
      <c r="R118" s="19">
        <v>0</v>
      </c>
      <c r="S118" s="19">
        <v>1</v>
      </c>
    </row>
    <row r="119" spans="1:19" ht="21" customHeight="1">
      <c r="A119" s="7" t="str">
        <f t="shared" si="12"/>
        <v>14902179</v>
      </c>
      <c r="B119" s="2">
        <f t="shared" si="15"/>
        <v>14902</v>
      </c>
      <c r="C119" s="8" t="str">
        <f t="shared" si="13"/>
        <v>0PremiumN4</v>
      </c>
      <c r="D119" s="8" t="str">
        <f t="shared" si="14"/>
        <v>0PremiumN4</v>
      </c>
      <c r="E119" s="5">
        <v>0</v>
      </c>
      <c r="F119" s="6">
        <v>179</v>
      </c>
      <c r="G119" s="8" t="str">
        <f>VLOOKUP(F119,[1]characters!$A:$C,3,FALSE)</f>
        <v>番犬 ケルベロス</v>
      </c>
      <c r="H119" s="8" t="str">
        <f>VLOOKUP(F119,[1]characters!$A:$J,10,FALSE)</f>
        <v>PremiumN</v>
      </c>
      <c r="I119" s="8">
        <f>VLOOKUP(F119,[1]characters!$A:$I,9,FALSE)</f>
        <v>4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animal</v>
      </c>
      <c r="M119" s="5">
        <v>1</v>
      </c>
      <c r="N119" s="28">
        <f>VLOOKUP(D119,gacha_149_base!A:B,2,FALSE)</f>
        <v>396</v>
      </c>
      <c r="O119" s="19">
        <v>0</v>
      </c>
      <c r="P119" s="19">
        <v>0</v>
      </c>
      <c r="Q119" s="19">
        <v>0</v>
      </c>
      <c r="R119" s="19">
        <v>0</v>
      </c>
      <c r="S119" s="19">
        <v>1</v>
      </c>
    </row>
    <row r="120" spans="1:19" ht="21" customHeight="1">
      <c r="A120" s="7" t="str">
        <f t="shared" si="12"/>
        <v>14902181</v>
      </c>
      <c r="B120" s="2">
        <f t="shared" si="15"/>
        <v>14902</v>
      </c>
      <c r="C120" s="8" t="str">
        <f t="shared" si="13"/>
        <v>0PremiumN3</v>
      </c>
      <c r="D120" s="8" t="str">
        <f t="shared" si="14"/>
        <v>0PremiumN3</v>
      </c>
      <c r="E120" s="5">
        <v>0</v>
      </c>
      <c r="F120" s="6">
        <v>181</v>
      </c>
      <c r="G120" s="8" t="str">
        <f>VLOOKUP(F120,[1]characters!$A:$C,3,FALSE)</f>
        <v>ベヒモス</v>
      </c>
      <c r="H120" s="8" t="str">
        <f>VLOOKUP(F120,[1]characters!$A:$J,10,FALSE)</f>
        <v>PremiumN</v>
      </c>
      <c r="I120" s="8">
        <f>VLOOKUP(F120,[1]characters!$A:$I,9,FALSE)</f>
        <v>3</v>
      </c>
      <c r="J120" s="8" t="str">
        <f>VLOOKUP(F120,[1]characters!$A:$H,8,FALSE)</f>
        <v>green</v>
      </c>
      <c r="K120" s="8" t="str">
        <f>VLOOKUP(F120,[1]characters!$A:$K,11,FALSE)</f>
        <v>hp</v>
      </c>
      <c r="L120" s="8" t="str">
        <f>VLOOKUP(F120,[1]characters!$A:$M,13,FALSE)</f>
        <v>animal</v>
      </c>
      <c r="M120" s="5">
        <v>1</v>
      </c>
      <c r="N120" s="28">
        <f>VLOOKUP(D120,gacha_149_base!A:B,2,FALSE)</f>
        <v>1189</v>
      </c>
      <c r="O120" s="19">
        <v>0</v>
      </c>
      <c r="P120" s="19">
        <v>0</v>
      </c>
      <c r="Q120" s="19">
        <v>0</v>
      </c>
      <c r="R120" s="19">
        <v>0</v>
      </c>
      <c r="S120" s="19">
        <v>1</v>
      </c>
    </row>
    <row r="121" spans="1:19" ht="21" customHeight="1">
      <c r="A121" s="7" t="str">
        <f t="shared" si="12"/>
        <v>14902182</v>
      </c>
      <c r="B121" s="2">
        <f t="shared" si="15"/>
        <v>14902</v>
      </c>
      <c r="C121" s="8" t="str">
        <f t="shared" si="13"/>
        <v>0PremiumN4</v>
      </c>
      <c r="D121" s="8" t="str">
        <f t="shared" si="14"/>
        <v>0PremiumN4</v>
      </c>
      <c r="E121" s="5">
        <v>0</v>
      </c>
      <c r="F121" s="6">
        <v>182</v>
      </c>
      <c r="G121" s="8" t="str">
        <f>VLOOKUP(F121,[1]characters!$A:$C,3,FALSE)</f>
        <v>放蕩者 ベヒモス</v>
      </c>
      <c r="H121" s="8" t="str">
        <f>VLOOKUP(F121,[1]characters!$A:$J,10,FALSE)</f>
        <v>PremiumN</v>
      </c>
      <c r="I121" s="8">
        <f>VLOOKUP(F121,[1]characters!$A:$I,9,FALSE)</f>
        <v>4</v>
      </c>
      <c r="J121" s="8" t="str">
        <f>VLOOKUP(F121,[1]characters!$A:$H,8,FALSE)</f>
        <v>green</v>
      </c>
      <c r="K121" s="8" t="str">
        <f>VLOOKUP(F121,[1]characters!$A:$K,11,FALSE)</f>
        <v>hp</v>
      </c>
      <c r="L121" s="8" t="str">
        <f>VLOOKUP(F121,[1]characters!$A:$M,13,FALSE)</f>
        <v>animal</v>
      </c>
      <c r="M121" s="5">
        <v>1</v>
      </c>
      <c r="N121" s="28">
        <f>VLOOKUP(D121,gacha_149_base!A:B,2,FALSE)</f>
        <v>396</v>
      </c>
      <c r="O121" s="19">
        <v>0</v>
      </c>
      <c r="P121" s="19">
        <v>0</v>
      </c>
      <c r="Q121" s="19">
        <v>0</v>
      </c>
      <c r="R121" s="19">
        <v>0</v>
      </c>
      <c r="S121" s="19">
        <v>1</v>
      </c>
    </row>
    <row r="122" spans="1:19" ht="21" customHeight="1">
      <c r="A122" s="7" t="str">
        <f t="shared" si="12"/>
        <v>14902184</v>
      </c>
      <c r="B122" s="2">
        <f t="shared" si="15"/>
        <v>14902</v>
      </c>
      <c r="C122" s="8" t="str">
        <f t="shared" si="13"/>
        <v>0PremiumN3</v>
      </c>
      <c r="D122" s="8" t="str">
        <f t="shared" si="14"/>
        <v>0PremiumN3</v>
      </c>
      <c r="E122" s="5">
        <v>0</v>
      </c>
      <c r="F122" s="6">
        <v>184</v>
      </c>
      <c r="G122" s="8" t="str">
        <f>VLOOKUP(F122,[1]characters!$A:$C,3,FALSE)</f>
        <v>クラーケン</v>
      </c>
      <c r="H122" s="8" t="str">
        <f>VLOOKUP(F122,[1]characters!$A:$J,10,FALSE)</f>
        <v>PremiumN</v>
      </c>
      <c r="I122" s="8">
        <f>VLOOKUP(F122,[1]characters!$A:$I,9,FALSE)</f>
        <v>3</v>
      </c>
      <c r="J122" s="8" t="str">
        <f>VLOOKUP(F122,[1]characters!$A:$H,8,FALSE)</f>
        <v>blue</v>
      </c>
      <c r="K122" s="8" t="str">
        <f>VLOOKUP(F122,[1]characters!$A:$K,11,FALSE)</f>
        <v>heal</v>
      </c>
      <c r="L122" s="8" t="str">
        <f>VLOOKUP(F122,[1]characters!$A:$M,13,FALSE)</f>
        <v>animal</v>
      </c>
      <c r="M122" s="5">
        <v>1</v>
      </c>
      <c r="N122" s="28">
        <f>VLOOKUP(D122,gacha_149_base!A:B,2,FALSE)</f>
        <v>1189</v>
      </c>
      <c r="O122" s="19">
        <v>0</v>
      </c>
      <c r="P122" s="19">
        <v>0</v>
      </c>
      <c r="Q122" s="19">
        <v>0</v>
      </c>
      <c r="R122" s="19">
        <v>0</v>
      </c>
      <c r="S122" s="19">
        <v>1</v>
      </c>
    </row>
    <row r="123" spans="1:19" ht="21" customHeight="1">
      <c r="A123" s="7" t="str">
        <f t="shared" si="12"/>
        <v>14902185</v>
      </c>
      <c r="B123" s="2">
        <f t="shared" si="15"/>
        <v>14902</v>
      </c>
      <c r="C123" s="8" t="str">
        <f t="shared" si="13"/>
        <v>0PremiumN4</v>
      </c>
      <c r="D123" s="8" t="str">
        <f t="shared" si="14"/>
        <v>0PremiumN4</v>
      </c>
      <c r="E123" s="5">
        <v>0</v>
      </c>
      <c r="F123" s="6">
        <v>185</v>
      </c>
      <c r="G123" s="8" t="str">
        <f>VLOOKUP(F123,[1]characters!$A:$C,3,FALSE)</f>
        <v>海姫 クラーケン</v>
      </c>
      <c r="H123" s="8" t="str">
        <f>VLOOKUP(F123,[1]characters!$A:$J,10,FALSE)</f>
        <v>PremiumN</v>
      </c>
      <c r="I123" s="8">
        <f>VLOOKUP(F123,[1]characters!$A:$I,9,FALSE)</f>
        <v>4</v>
      </c>
      <c r="J123" s="8" t="str">
        <f>VLOOKUP(F123,[1]characters!$A:$H,8,FALSE)</f>
        <v>blue</v>
      </c>
      <c r="K123" s="8" t="str">
        <f>VLOOKUP(F123,[1]characters!$A:$K,11,FALSE)</f>
        <v>heal</v>
      </c>
      <c r="L123" s="8" t="str">
        <f>VLOOKUP(F123,[1]characters!$A:$M,13,FALSE)</f>
        <v>animal</v>
      </c>
      <c r="M123" s="5">
        <v>1</v>
      </c>
      <c r="N123" s="28">
        <f>VLOOKUP(D123,gacha_149_base!A:B,2,FALSE)</f>
        <v>396</v>
      </c>
      <c r="O123" s="19">
        <v>0</v>
      </c>
      <c r="P123" s="19">
        <v>0</v>
      </c>
      <c r="Q123" s="19">
        <v>0</v>
      </c>
      <c r="R123" s="19">
        <v>0</v>
      </c>
      <c r="S123" s="19">
        <v>1</v>
      </c>
    </row>
    <row r="124" spans="1:19" ht="21" customHeight="1">
      <c r="A124" s="7" t="str">
        <f t="shared" si="12"/>
        <v>14902187</v>
      </c>
      <c r="B124" s="2">
        <f t="shared" si="15"/>
        <v>14902</v>
      </c>
      <c r="C124" s="8" t="str">
        <f t="shared" si="13"/>
        <v>0PremiumN3</v>
      </c>
      <c r="D124" s="8" t="str">
        <f t="shared" si="14"/>
        <v>0PremiumN3</v>
      </c>
      <c r="E124" s="5">
        <v>0</v>
      </c>
      <c r="F124" s="6">
        <v>187</v>
      </c>
      <c r="G124" s="8" t="str">
        <f>VLOOKUP(F124,[1]characters!$A:$C,3,FALSE)</f>
        <v>ホルス</v>
      </c>
      <c r="H124" s="8" t="str">
        <f>VLOOKUP(F124,[1]characters!$A:$J,10,FALSE)</f>
        <v>PremiumN</v>
      </c>
      <c r="I124" s="8">
        <f>VLOOKUP(F124,[1]characters!$A:$I,9,FALSE)</f>
        <v>3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animal</v>
      </c>
      <c r="M124" s="5">
        <v>1</v>
      </c>
      <c r="N124" s="28">
        <f>VLOOKUP(D124,gacha_149_base!A:B,2,FALSE)</f>
        <v>1189</v>
      </c>
      <c r="O124" s="19">
        <v>0</v>
      </c>
      <c r="P124" s="19">
        <v>0</v>
      </c>
      <c r="Q124" s="19">
        <v>0</v>
      </c>
      <c r="R124" s="19">
        <v>0</v>
      </c>
      <c r="S124" s="19">
        <v>1</v>
      </c>
    </row>
    <row r="125" spans="1:19" ht="21" customHeight="1">
      <c r="A125" s="7" t="str">
        <f t="shared" si="12"/>
        <v>14902188</v>
      </c>
      <c r="B125" s="2">
        <f t="shared" si="15"/>
        <v>14902</v>
      </c>
      <c r="C125" s="8" t="str">
        <f t="shared" si="13"/>
        <v>0PremiumN4</v>
      </c>
      <c r="D125" s="8" t="str">
        <f t="shared" si="14"/>
        <v>0PremiumN4</v>
      </c>
      <c r="E125" s="5">
        <v>0</v>
      </c>
      <c r="F125" s="6">
        <v>188</v>
      </c>
      <c r="G125" s="8" t="str">
        <f>VLOOKUP(F125,[1]characters!$A:$C,3,FALSE)</f>
        <v>猛禽 ホルス</v>
      </c>
      <c r="H125" s="8" t="str">
        <f>VLOOKUP(F125,[1]characters!$A:$J,10,FALSE)</f>
        <v>PremiumN</v>
      </c>
      <c r="I125" s="8">
        <f>VLOOKUP(F125,[1]characters!$A:$I,9,FALSE)</f>
        <v>4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animal</v>
      </c>
      <c r="M125" s="5">
        <v>1</v>
      </c>
      <c r="N125" s="28">
        <f>VLOOKUP(D125,gacha_149_base!A:B,2,FALSE)</f>
        <v>396</v>
      </c>
      <c r="O125" s="19">
        <v>0</v>
      </c>
      <c r="P125" s="19">
        <v>0</v>
      </c>
      <c r="Q125" s="19">
        <v>0</v>
      </c>
      <c r="R125" s="19">
        <v>0</v>
      </c>
      <c r="S125" s="19">
        <v>1</v>
      </c>
    </row>
    <row r="126" spans="1:19" ht="21" customHeight="1">
      <c r="A126" s="7" t="str">
        <f t="shared" si="12"/>
        <v>14902190</v>
      </c>
      <c r="B126" s="2">
        <f t="shared" si="15"/>
        <v>14902</v>
      </c>
      <c r="C126" s="8" t="str">
        <f t="shared" si="13"/>
        <v>0PremiumN3</v>
      </c>
      <c r="D126" s="8" t="str">
        <f t="shared" si="14"/>
        <v>0PremiumN3</v>
      </c>
      <c r="E126" s="5">
        <v>0</v>
      </c>
      <c r="F126" s="6">
        <v>190</v>
      </c>
      <c r="G126" s="8" t="str">
        <f>VLOOKUP(F126,[1]characters!$A:$C,3,FALSE)</f>
        <v>卑弥呼</v>
      </c>
      <c r="H126" s="8" t="str">
        <f>VLOOKUP(F126,[1]characters!$A:$J,10,FALSE)</f>
        <v>PremiumN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human</v>
      </c>
      <c r="M126" s="5">
        <v>1</v>
      </c>
      <c r="N126" s="28">
        <f>VLOOKUP(D126,gacha_149_base!A:B,2,FALSE)</f>
        <v>1189</v>
      </c>
      <c r="O126" s="19">
        <v>0</v>
      </c>
      <c r="P126" s="19">
        <v>0</v>
      </c>
      <c r="Q126" s="19">
        <v>0</v>
      </c>
      <c r="R126" s="19">
        <v>0</v>
      </c>
      <c r="S126" s="19">
        <v>1</v>
      </c>
    </row>
    <row r="127" spans="1:19" ht="21" customHeight="1">
      <c r="A127" s="7" t="str">
        <f t="shared" si="12"/>
        <v>14902191</v>
      </c>
      <c r="B127" s="2">
        <f t="shared" si="15"/>
        <v>14902</v>
      </c>
      <c r="C127" s="8" t="str">
        <f t="shared" si="13"/>
        <v>0PremiumN4</v>
      </c>
      <c r="D127" s="8" t="str">
        <f t="shared" si="14"/>
        <v>0PremiumN4</v>
      </c>
      <c r="E127" s="5">
        <v>0</v>
      </c>
      <c r="F127" s="6">
        <v>191</v>
      </c>
      <c r="G127" s="8" t="str">
        <f>VLOOKUP(F127,[1]characters!$A:$C,3,FALSE)</f>
        <v>始祖 卑弥呼</v>
      </c>
      <c r="H127" s="8" t="str">
        <f>VLOOKUP(F127,[1]characters!$A:$J,10,FALSE)</f>
        <v>PremiumN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human</v>
      </c>
      <c r="M127" s="5">
        <v>1</v>
      </c>
      <c r="N127" s="28">
        <f>VLOOKUP(D127,gacha_149_base!A:B,2,FALSE)</f>
        <v>396</v>
      </c>
      <c r="O127" s="19">
        <v>0</v>
      </c>
      <c r="P127" s="19">
        <v>0</v>
      </c>
      <c r="Q127" s="19">
        <v>0</v>
      </c>
      <c r="R127" s="19">
        <v>0</v>
      </c>
      <c r="S127" s="19">
        <v>1</v>
      </c>
    </row>
    <row r="128" spans="1:19" ht="21" customHeight="1">
      <c r="A128" s="7" t="str">
        <f t="shared" si="12"/>
        <v>14902193</v>
      </c>
      <c r="B128" s="2">
        <f t="shared" si="15"/>
        <v>14902</v>
      </c>
      <c r="C128" s="8" t="str">
        <f t="shared" si="13"/>
        <v>0PremiumN3</v>
      </c>
      <c r="D128" s="8" t="str">
        <f t="shared" si="14"/>
        <v>0PremiumN3</v>
      </c>
      <c r="E128" s="5">
        <v>0</v>
      </c>
      <c r="F128" s="6">
        <v>193</v>
      </c>
      <c r="G128" s="8" t="str">
        <f>VLOOKUP(F128,[1]characters!$A:$C,3,FALSE)</f>
        <v>ロビンフッド</v>
      </c>
      <c r="H128" s="8" t="str">
        <f>VLOOKUP(F128,[1]characters!$A:$J,10,FALSE)</f>
        <v>PremiumN</v>
      </c>
      <c r="I128" s="8">
        <f>VLOOKUP(F128,[1]characters!$A:$I,9,FALSE)</f>
        <v>3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5">
        <v>1</v>
      </c>
      <c r="N128" s="28">
        <f>VLOOKUP(D128,gacha_149_base!A:B,2,FALSE)</f>
        <v>1189</v>
      </c>
      <c r="O128" s="19">
        <v>0</v>
      </c>
      <c r="P128" s="19">
        <v>0</v>
      </c>
      <c r="Q128" s="19">
        <v>0</v>
      </c>
      <c r="R128" s="19">
        <v>0</v>
      </c>
      <c r="S128" s="19">
        <v>1</v>
      </c>
    </row>
    <row r="129" spans="1:19" ht="21" customHeight="1">
      <c r="A129" s="7" t="str">
        <f t="shared" si="12"/>
        <v>14902194</v>
      </c>
      <c r="B129" s="2">
        <f t="shared" si="15"/>
        <v>14902</v>
      </c>
      <c r="C129" s="8" t="str">
        <f t="shared" si="13"/>
        <v>0PremiumN4</v>
      </c>
      <c r="D129" s="8" t="str">
        <f t="shared" si="14"/>
        <v>0PremiumN4</v>
      </c>
      <c r="E129" s="5">
        <v>0</v>
      </c>
      <c r="F129" s="6">
        <v>194</v>
      </c>
      <c r="G129" s="8" t="str">
        <f>VLOOKUP(F129,[1]characters!$A:$C,3,FALSE)</f>
        <v>スナイパー ロビンフッド</v>
      </c>
      <c r="H129" s="8" t="str">
        <f>VLOOKUP(F129,[1]characters!$A:$J,10,FALSE)</f>
        <v>PremiumN</v>
      </c>
      <c r="I129" s="8">
        <f>VLOOKUP(F129,[1]characters!$A:$I,9,FALSE)</f>
        <v>4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5">
        <v>1</v>
      </c>
      <c r="N129" s="28">
        <f>VLOOKUP(D129,gacha_149_base!A:B,2,FALSE)</f>
        <v>396</v>
      </c>
      <c r="O129" s="19">
        <v>0</v>
      </c>
      <c r="P129" s="19">
        <v>0</v>
      </c>
      <c r="Q129" s="19">
        <v>0</v>
      </c>
      <c r="R129" s="19">
        <v>0</v>
      </c>
      <c r="S129" s="19">
        <v>1</v>
      </c>
    </row>
    <row r="130" spans="1:19" ht="21" customHeight="1">
      <c r="A130" s="7" t="str">
        <f t="shared" ref="A130:A161" si="16">B130&amp;F130</f>
        <v>14902196</v>
      </c>
      <c r="B130" s="2">
        <f t="shared" si="15"/>
        <v>14902</v>
      </c>
      <c r="C130" s="8" t="str">
        <f t="shared" ref="C130:C161" si="17">E130&amp;H130&amp;I130</f>
        <v>0PremiumN3</v>
      </c>
      <c r="D130" s="8" t="str">
        <f t="shared" ref="D130:D161" si="18">E130&amp;H130&amp;I130</f>
        <v>0PremiumN3</v>
      </c>
      <c r="E130" s="5">
        <v>0</v>
      </c>
      <c r="F130" s="6">
        <v>196</v>
      </c>
      <c r="G130" s="8" t="str">
        <f>VLOOKUP(F130,[1]characters!$A:$C,3,FALSE)</f>
        <v>アキレス</v>
      </c>
      <c r="H130" s="8" t="str">
        <f>VLOOKUP(F130,[1]characters!$A:$J,10,FALSE)</f>
        <v>PremiumN</v>
      </c>
      <c r="I130" s="8">
        <f>VLOOKUP(F130,[1]characters!$A:$I,9,FALSE)</f>
        <v>3</v>
      </c>
      <c r="J130" s="8" t="str">
        <f>VLOOKUP(F130,[1]characters!$A:$H,8,FALSE)</f>
        <v>yellow</v>
      </c>
      <c r="K130" s="8" t="str">
        <f>VLOOKUP(F130,[1]characters!$A:$K,11,FALSE)</f>
        <v>balance</v>
      </c>
      <c r="L130" s="8" t="str">
        <f>VLOOKUP(F130,[1]characters!$A:$M,13,FALSE)</f>
        <v>human</v>
      </c>
      <c r="M130" s="5">
        <v>1</v>
      </c>
      <c r="N130" s="28">
        <f>VLOOKUP(D130,gacha_149_base!A:B,2,FALSE)</f>
        <v>1189</v>
      </c>
      <c r="O130" s="19">
        <v>0</v>
      </c>
      <c r="P130" s="19">
        <v>0</v>
      </c>
      <c r="Q130" s="19">
        <v>0</v>
      </c>
      <c r="R130" s="19">
        <v>0</v>
      </c>
      <c r="S130" s="19">
        <v>1</v>
      </c>
    </row>
    <row r="131" spans="1:19" ht="21" customHeight="1">
      <c r="A131" s="7" t="str">
        <f t="shared" si="16"/>
        <v>14902197</v>
      </c>
      <c r="B131" s="2">
        <f t="shared" si="15"/>
        <v>14902</v>
      </c>
      <c r="C131" s="8" t="str">
        <f t="shared" si="17"/>
        <v>0PremiumN4</v>
      </c>
      <c r="D131" s="8" t="str">
        <f t="shared" si="18"/>
        <v>0PremiumN4</v>
      </c>
      <c r="E131" s="5">
        <v>0</v>
      </c>
      <c r="F131" s="6">
        <v>197</v>
      </c>
      <c r="G131" s="8" t="str">
        <f>VLOOKUP(F131,[1]characters!$A:$C,3,FALSE)</f>
        <v>鉄腕 アキレス</v>
      </c>
      <c r="H131" s="8" t="str">
        <f>VLOOKUP(F131,[1]characters!$A:$J,10,FALSE)</f>
        <v>PremiumN</v>
      </c>
      <c r="I131" s="8">
        <f>VLOOKUP(F131,[1]characters!$A:$I,9,FALSE)</f>
        <v>4</v>
      </c>
      <c r="J131" s="8" t="str">
        <f>VLOOKUP(F131,[1]characters!$A:$H,8,FALSE)</f>
        <v>yellow</v>
      </c>
      <c r="K131" s="8" t="str">
        <f>VLOOKUP(F131,[1]characters!$A:$K,11,FALSE)</f>
        <v>balance</v>
      </c>
      <c r="L131" s="8" t="str">
        <f>VLOOKUP(F131,[1]characters!$A:$M,13,FALSE)</f>
        <v>human</v>
      </c>
      <c r="M131" s="5">
        <v>1</v>
      </c>
      <c r="N131" s="28">
        <f>VLOOKUP(D131,gacha_149_base!A:B,2,FALSE)</f>
        <v>396</v>
      </c>
      <c r="O131" s="19">
        <v>0</v>
      </c>
      <c r="P131" s="19">
        <v>0</v>
      </c>
      <c r="Q131" s="19">
        <v>0</v>
      </c>
      <c r="R131" s="19">
        <v>0</v>
      </c>
      <c r="S131" s="19">
        <v>1</v>
      </c>
    </row>
    <row r="132" spans="1:19" ht="21" customHeight="1">
      <c r="A132" s="7" t="str">
        <f t="shared" si="16"/>
        <v>14902199</v>
      </c>
      <c r="B132" s="2">
        <f t="shared" si="15"/>
        <v>14902</v>
      </c>
      <c r="C132" s="8" t="str">
        <f t="shared" si="17"/>
        <v>0PremiumN3</v>
      </c>
      <c r="D132" s="8" t="str">
        <f t="shared" si="18"/>
        <v>0PremiumN3</v>
      </c>
      <c r="E132" s="5">
        <v>0</v>
      </c>
      <c r="F132" s="6">
        <v>199</v>
      </c>
      <c r="G132" s="8" t="str">
        <f>VLOOKUP(F132,[1]characters!$A:$C,3,FALSE)</f>
        <v>ジークフリート</v>
      </c>
      <c r="H132" s="8" t="str">
        <f>VLOOKUP(F132,[1]characters!$A:$J,10,FALSE)</f>
        <v>PremiumN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balance</v>
      </c>
      <c r="L132" s="8" t="str">
        <f>VLOOKUP(F132,[1]characters!$A:$M,13,FALSE)</f>
        <v>human</v>
      </c>
      <c r="M132" s="5">
        <v>1</v>
      </c>
      <c r="N132" s="28">
        <f>VLOOKUP(D132,gacha_149_base!A:B,2,FALSE)</f>
        <v>1189</v>
      </c>
      <c r="O132" s="19">
        <v>0</v>
      </c>
      <c r="P132" s="19">
        <v>0</v>
      </c>
      <c r="Q132" s="19">
        <v>0</v>
      </c>
      <c r="R132" s="19">
        <v>0</v>
      </c>
      <c r="S132" s="19">
        <v>1</v>
      </c>
    </row>
    <row r="133" spans="1:19" ht="21" customHeight="1">
      <c r="A133" s="7" t="str">
        <f t="shared" si="16"/>
        <v>14902200</v>
      </c>
      <c r="B133" s="2">
        <f t="shared" si="15"/>
        <v>14902</v>
      </c>
      <c r="C133" s="8" t="str">
        <f t="shared" si="17"/>
        <v>0PremiumN4</v>
      </c>
      <c r="D133" s="8" t="str">
        <f t="shared" si="18"/>
        <v>0PremiumN4</v>
      </c>
      <c r="E133" s="5">
        <v>0</v>
      </c>
      <c r="F133" s="6">
        <v>200</v>
      </c>
      <c r="G133" s="8" t="str">
        <f>VLOOKUP(F133,[1]characters!$A:$C,3,FALSE)</f>
        <v>大剣士 ジークフリート</v>
      </c>
      <c r="H133" s="8" t="str">
        <f>VLOOKUP(F133,[1]characters!$A:$J,10,FALSE)</f>
        <v>PremiumN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balance</v>
      </c>
      <c r="L133" s="8" t="str">
        <f>VLOOKUP(F133,[1]characters!$A:$M,13,FALSE)</f>
        <v>human</v>
      </c>
      <c r="M133" s="5">
        <v>1</v>
      </c>
      <c r="N133" s="28">
        <f>VLOOKUP(D133,gacha_149_base!A:B,2,FALSE)</f>
        <v>396</v>
      </c>
      <c r="O133" s="19">
        <v>0</v>
      </c>
      <c r="P133" s="19">
        <v>0</v>
      </c>
      <c r="Q133" s="19">
        <v>0</v>
      </c>
      <c r="R133" s="19">
        <v>0</v>
      </c>
      <c r="S133" s="19">
        <v>1</v>
      </c>
    </row>
    <row r="134" spans="1:19" ht="21" customHeight="1">
      <c r="A134" s="7" t="str">
        <f t="shared" si="16"/>
        <v>14902202</v>
      </c>
      <c r="B134" s="2">
        <f t="shared" si="15"/>
        <v>14902</v>
      </c>
      <c r="C134" s="8" t="str">
        <f t="shared" si="17"/>
        <v>0PremiumN3</v>
      </c>
      <c r="D134" s="8" t="str">
        <f t="shared" si="18"/>
        <v>0PremiumN3</v>
      </c>
      <c r="E134" s="5">
        <v>0</v>
      </c>
      <c r="F134" s="6">
        <v>202</v>
      </c>
      <c r="G134" s="8" t="str">
        <f>VLOOKUP(F134,[1]characters!$A:$C,3,FALSE)</f>
        <v>プロメテウス</v>
      </c>
      <c r="H134" s="8" t="str">
        <f>VLOOKUP(F134,[1]characters!$A:$J,10,FALSE)</f>
        <v>PremiumN</v>
      </c>
      <c r="I134" s="8">
        <f>VLOOKUP(F134,[1]characters!$A:$I,9,FALSE)</f>
        <v>3</v>
      </c>
      <c r="J134" s="8" t="str">
        <f>VLOOKUP(F134,[1]characters!$A:$H,8,FALSE)</f>
        <v>red</v>
      </c>
      <c r="K134" s="8" t="str">
        <f>VLOOKUP(F134,[1]characters!$A:$K,11,FALSE)</f>
        <v>hp</v>
      </c>
      <c r="L134" s="8" t="str">
        <f>VLOOKUP(F134,[1]characters!$A:$M,13,FALSE)</f>
        <v>god</v>
      </c>
      <c r="M134" s="5">
        <v>1</v>
      </c>
      <c r="N134" s="28">
        <f>VLOOKUP(D134,gacha_149_base!A:B,2,FALSE)</f>
        <v>1189</v>
      </c>
      <c r="O134" s="19">
        <v>0</v>
      </c>
      <c r="P134" s="19">
        <v>0</v>
      </c>
      <c r="Q134" s="19">
        <v>0</v>
      </c>
      <c r="R134" s="19">
        <v>0</v>
      </c>
      <c r="S134" s="19">
        <v>1</v>
      </c>
    </row>
    <row r="135" spans="1:19" ht="21" customHeight="1">
      <c r="A135" s="7" t="str">
        <f t="shared" si="16"/>
        <v>14902203</v>
      </c>
      <c r="B135" s="2">
        <f t="shared" ref="B135:B166" si="19">$B$70</f>
        <v>14902</v>
      </c>
      <c r="C135" s="8" t="str">
        <f t="shared" si="17"/>
        <v>0PremiumN4</v>
      </c>
      <c r="D135" s="8" t="str">
        <f t="shared" si="18"/>
        <v>0PremiumN4</v>
      </c>
      <c r="E135" s="5">
        <v>0</v>
      </c>
      <c r="F135" s="6">
        <v>203</v>
      </c>
      <c r="G135" s="8" t="str">
        <f>VLOOKUP(F135,[1]characters!$A:$C,3,FALSE)</f>
        <v>焔神 プロメテウス</v>
      </c>
      <c r="H135" s="8" t="str">
        <f>VLOOKUP(F135,[1]characters!$A:$J,10,FALSE)</f>
        <v>PremiumN</v>
      </c>
      <c r="I135" s="8">
        <f>VLOOKUP(F135,[1]characters!$A:$I,9,FALSE)</f>
        <v>4</v>
      </c>
      <c r="J135" s="8" t="str">
        <f>VLOOKUP(F135,[1]characters!$A:$H,8,FALSE)</f>
        <v>red</v>
      </c>
      <c r="K135" s="8" t="str">
        <f>VLOOKUP(F135,[1]characters!$A:$K,11,FALSE)</f>
        <v>hp</v>
      </c>
      <c r="L135" s="8" t="str">
        <f>VLOOKUP(F135,[1]characters!$A:$M,13,FALSE)</f>
        <v>god</v>
      </c>
      <c r="M135" s="5">
        <v>1</v>
      </c>
      <c r="N135" s="28">
        <f>VLOOKUP(D135,gacha_149_base!A:B,2,FALSE)</f>
        <v>396</v>
      </c>
      <c r="O135" s="19">
        <v>0</v>
      </c>
      <c r="P135" s="19">
        <v>0</v>
      </c>
      <c r="Q135" s="19">
        <v>0</v>
      </c>
      <c r="R135" s="19">
        <v>0</v>
      </c>
      <c r="S135" s="19">
        <v>1</v>
      </c>
    </row>
    <row r="136" spans="1:19" ht="21" customHeight="1">
      <c r="A136" s="7" t="str">
        <f t="shared" si="16"/>
        <v>14902205</v>
      </c>
      <c r="B136" s="2">
        <f t="shared" si="19"/>
        <v>14902</v>
      </c>
      <c r="C136" s="8" t="str">
        <f t="shared" si="17"/>
        <v>0PremiumN3</v>
      </c>
      <c r="D136" s="8" t="str">
        <f t="shared" si="18"/>
        <v>0PremiumN3</v>
      </c>
      <c r="E136" s="5">
        <v>0</v>
      </c>
      <c r="F136" s="6">
        <v>205</v>
      </c>
      <c r="G136" s="8" t="str">
        <f>VLOOKUP(F136,[1]characters!$A:$C,3,FALSE)</f>
        <v>アフロディーテ</v>
      </c>
      <c r="H136" s="8" t="str">
        <f>VLOOKUP(F136,[1]characters!$A:$J,10,FALSE)</f>
        <v>PremiumN</v>
      </c>
      <c r="I136" s="8">
        <f>VLOOKUP(F136,[1]characters!$A:$I,9,FALSE)</f>
        <v>3</v>
      </c>
      <c r="J136" s="8" t="str">
        <f>VLOOKUP(F136,[1]characters!$A:$H,8,FALSE)</f>
        <v>green</v>
      </c>
      <c r="K136" s="8" t="str">
        <f>VLOOKUP(F136,[1]characters!$A:$K,11,FALSE)</f>
        <v>hp</v>
      </c>
      <c r="L136" s="8" t="str">
        <f>VLOOKUP(F136,[1]characters!$A:$M,13,FALSE)</f>
        <v>god</v>
      </c>
      <c r="M136" s="5">
        <v>1</v>
      </c>
      <c r="N136" s="28">
        <f>VLOOKUP(D136,gacha_149_base!A:B,2,FALSE)</f>
        <v>1189</v>
      </c>
      <c r="O136" s="19">
        <v>0</v>
      </c>
      <c r="P136" s="19">
        <v>0</v>
      </c>
      <c r="Q136" s="19">
        <v>0</v>
      </c>
      <c r="R136" s="19">
        <v>0</v>
      </c>
      <c r="S136" s="19">
        <v>1</v>
      </c>
    </row>
    <row r="137" spans="1:19" ht="21" customHeight="1">
      <c r="A137" s="7" t="str">
        <f t="shared" si="16"/>
        <v>14902206</v>
      </c>
      <c r="B137" s="2">
        <f t="shared" si="19"/>
        <v>14902</v>
      </c>
      <c r="C137" s="8" t="str">
        <f t="shared" si="17"/>
        <v>0PremiumN4</v>
      </c>
      <c r="D137" s="8" t="str">
        <f t="shared" si="18"/>
        <v>0PremiumN4</v>
      </c>
      <c r="E137" s="5">
        <v>0</v>
      </c>
      <c r="F137" s="6">
        <v>206</v>
      </c>
      <c r="G137" s="8" t="str">
        <f>VLOOKUP(F137,[1]characters!$A:$C,3,FALSE)</f>
        <v>美神 アフロディーテ</v>
      </c>
      <c r="H137" s="8" t="str">
        <f>VLOOKUP(F137,[1]characters!$A:$J,10,FALSE)</f>
        <v>PremiumN</v>
      </c>
      <c r="I137" s="8">
        <f>VLOOKUP(F137,[1]characters!$A:$I,9,FALSE)</f>
        <v>4</v>
      </c>
      <c r="J137" s="8" t="str">
        <f>VLOOKUP(F137,[1]characters!$A:$H,8,FALSE)</f>
        <v>green</v>
      </c>
      <c r="K137" s="8" t="str">
        <f>VLOOKUP(F137,[1]characters!$A:$K,11,FALSE)</f>
        <v>hp</v>
      </c>
      <c r="L137" s="8" t="str">
        <f>VLOOKUP(F137,[1]characters!$A:$M,13,FALSE)</f>
        <v>god</v>
      </c>
      <c r="M137" s="5">
        <v>1</v>
      </c>
      <c r="N137" s="28">
        <f>VLOOKUP(D137,gacha_149_base!A:B,2,FALSE)</f>
        <v>396</v>
      </c>
      <c r="O137" s="19">
        <v>0</v>
      </c>
      <c r="P137" s="19">
        <v>0</v>
      </c>
      <c r="Q137" s="19">
        <v>0</v>
      </c>
      <c r="R137" s="19">
        <v>0</v>
      </c>
      <c r="S137" s="19">
        <v>1</v>
      </c>
    </row>
    <row r="138" spans="1:19" ht="21" customHeight="1">
      <c r="A138" s="7" t="str">
        <f t="shared" si="16"/>
        <v>14902208</v>
      </c>
      <c r="B138" s="2">
        <f t="shared" si="19"/>
        <v>14902</v>
      </c>
      <c r="C138" s="8" t="str">
        <f t="shared" si="17"/>
        <v>0PremiumN3</v>
      </c>
      <c r="D138" s="8" t="str">
        <f t="shared" si="18"/>
        <v>0PremiumN3</v>
      </c>
      <c r="E138" s="5">
        <v>0</v>
      </c>
      <c r="F138" s="6">
        <v>208</v>
      </c>
      <c r="G138" s="8" t="str">
        <f>VLOOKUP(F138,[1]characters!$A:$C,3,FALSE)</f>
        <v>テティス</v>
      </c>
      <c r="H138" s="8" t="str">
        <f>VLOOKUP(F138,[1]characters!$A:$J,10,FALSE)</f>
        <v>PremiumN</v>
      </c>
      <c r="I138" s="8">
        <f>VLOOKUP(F138,[1]characters!$A:$I,9,FALSE)</f>
        <v>3</v>
      </c>
      <c r="J138" s="8" t="str">
        <f>VLOOKUP(F138,[1]characters!$A:$H,8,FALSE)</f>
        <v>blue</v>
      </c>
      <c r="K138" s="8" t="str">
        <f>VLOOKUP(F138,[1]characters!$A:$K,11,FALSE)</f>
        <v>hp</v>
      </c>
      <c r="L138" s="8" t="str">
        <f>VLOOKUP(F138,[1]characters!$A:$M,13,FALSE)</f>
        <v>god</v>
      </c>
      <c r="M138" s="5">
        <v>1</v>
      </c>
      <c r="N138" s="28">
        <f>VLOOKUP(D138,gacha_149_base!A:B,2,FALSE)</f>
        <v>1189</v>
      </c>
      <c r="O138" s="19">
        <v>0</v>
      </c>
      <c r="P138" s="19">
        <v>0</v>
      </c>
      <c r="Q138" s="19">
        <v>0</v>
      </c>
      <c r="R138" s="19">
        <v>0</v>
      </c>
      <c r="S138" s="19">
        <v>1</v>
      </c>
    </row>
    <row r="139" spans="1:19" ht="21" customHeight="1">
      <c r="A139" s="7" t="str">
        <f t="shared" si="16"/>
        <v>14902209</v>
      </c>
      <c r="B139" s="2">
        <f t="shared" si="19"/>
        <v>14902</v>
      </c>
      <c r="C139" s="8" t="str">
        <f t="shared" si="17"/>
        <v>0PremiumN4</v>
      </c>
      <c r="D139" s="8" t="str">
        <f t="shared" si="18"/>
        <v>0PremiumN4</v>
      </c>
      <c r="E139" s="5">
        <v>0</v>
      </c>
      <c r="F139" s="6">
        <v>209</v>
      </c>
      <c r="G139" s="8" t="str">
        <f>VLOOKUP(F139,[1]characters!$A:$C,3,FALSE)</f>
        <v>孤神 テティス</v>
      </c>
      <c r="H139" s="8" t="str">
        <f>VLOOKUP(F139,[1]characters!$A:$J,10,FALSE)</f>
        <v>PremiumN</v>
      </c>
      <c r="I139" s="8">
        <f>VLOOKUP(F139,[1]characters!$A:$I,9,FALSE)</f>
        <v>4</v>
      </c>
      <c r="J139" s="8" t="str">
        <f>VLOOKUP(F139,[1]characters!$A:$H,8,FALSE)</f>
        <v>blue</v>
      </c>
      <c r="K139" s="8" t="str">
        <f>VLOOKUP(F139,[1]characters!$A:$K,11,FALSE)</f>
        <v>hp</v>
      </c>
      <c r="L139" s="8" t="str">
        <f>VLOOKUP(F139,[1]characters!$A:$M,13,FALSE)</f>
        <v>god</v>
      </c>
      <c r="M139" s="5">
        <v>1</v>
      </c>
      <c r="N139" s="28">
        <f>VLOOKUP(D139,gacha_149_base!A:B,2,FALSE)</f>
        <v>396</v>
      </c>
      <c r="O139" s="19">
        <v>0</v>
      </c>
      <c r="P139" s="19">
        <v>0</v>
      </c>
      <c r="Q139" s="19">
        <v>0</v>
      </c>
      <c r="R139" s="19">
        <v>0</v>
      </c>
      <c r="S139" s="19">
        <v>1</v>
      </c>
    </row>
    <row r="140" spans="1:19" ht="21" customHeight="1">
      <c r="A140" s="7" t="str">
        <f t="shared" si="16"/>
        <v>14902211</v>
      </c>
      <c r="B140" s="2">
        <f t="shared" si="19"/>
        <v>14902</v>
      </c>
      <c r="C140" s="8" t="str">
        <f t="shared" si="17"/>
        <v>0PremiumN3</v>
      </c>
      <c r="D140" s="8" t="str">
        <f t="shared" si="18"/>
        <v>0PremiumN3</v>
      </c>
      <c r="E140" s="5">
        <v>0</v>
      </c>
      <c r="F140" s="6">
        <v>211</v>
      </c>
      <c r="G140" s="8" t="str">
        <f>VLOOKUP(F140,[1]characters!$A:$C,3,FALSE)</f>
        <v>アストライアー</v>
      </c>
      <c r="H140" s="8" t="str">
        <f>VLOOKUP(F140,[1]characters!$A:$J,10,FALSE)</f>
        <v>PremiumN</v>
      </c>
      <c r="I140" s="8">
        <f>VLOOKUP(F140,[1]characters!$A:$I,9,FALSE)</f>
        <v>3</v>
      </c>
      <c r="J140" s="8" t="str">
        <f>VLOOKUP(F140,[1]characters!$A:$H,8,FALSE)</f>
        <v>yellow</v>
      </c>
      <c r="K140" s="8" t="str">
        <f>VLOOKUP(F140,[1]characters!$A:$K,11,FALSE)</f>
        <v>balance</v>
      </c>
      <c r="L140" s="8" t="str">
        <f>VLOOKUP(F140,[1]characters!$A:$M,13,FALSE)</f>
        <v>god</v>
      </c>
      <c r="M140" s="5">
        <v>1</v>
      </c>
      <c r="N140" s="28">
        <f>VLOOKUP(D140,gacha_149_base!A:B,2,FALSE)</f>
        <v>1189</v>
      </c>
      <c r="O140" s="19">
        <v>0</v>
      </c>
      <c r="P140" s="19">
        <v>0</v>
      </c>
      <c r="Q140" s="19">
        <v>0</v>
      </c>
      <c r="R140" s="19">
        <v>0</v>
      </c>
      <c r="S140" s="19">
        <v>1</v>
      </c>
    </row>
    <row r="141" spans="1:19" ht="21" customHeight="1">
      <c r="A141" s="7" t="str">
        <f t="shared" si="16"/>
        <v>14902212</v>
      </c>
      <c r="B141" s="2">
        <f t="shared" si="19"/>
        <v>14902</v>
      </c>
      <c r="C141" s="8" t="str">
        <f t="shared" si="17"/>
        <v>0PremiumN4</v>
      </c>
      <c r="D141" s="8" t="str">
        <f t="shared" si="18"/>
        <v>0PremiumN4</v>
      </c>
      <c r="E141" s="5">
        <v>0</v>
      </c>
      <c r="F141" s="6">
        <v>212</v>
      </c>
      <c r="G141" s="8" t="str">
        <f>VLOOKUP(F141,[1]characters!$A:$C,3,FALSE)</f>
        <v>星神 アストライアー</v>
      </c>
      <c r="H141" s="8" t="str">
        <f>VLOOKUP(F141,[1]characters!$A:$J,10,FALSE)</f>
        <v>PremiumN</v>
      </c>
      <c r="I141" s="8">
        <f>VLOOKUP(F141,[1]characters!$A:$I,9,FALSE)</f>
        <v>4</v>
      </c>
      <c r="J141" s="8" t="str">
        <f>VLOOKUP(F141,[1]characters!$A:$H,8,FALSE)</f>
        <v>yellow</v>
      </c>
      <c r="K141" s="8" t="str">
        <f>VLOOKUP(F141,[1]characters!$A:$K,11,FALSE)</f>
        <v>balance</v>
      </c>
      <c r="L141" s="8" t="str">
        <f>VLOOKUP(F141,[1]characters!$A:$M,13,FALSE)</f>
        <v>god</v>
      </c>
      <c r="M141" s="5">
        <v>1</v>
      </c>
      <c r="N141" s="28">
        <f>VLOOKUP(D141,gacha_149_base!A:B,2,FALSE)</f>
        <v>396</v>
      </c>
      <c r="O141" s="19">
        <v>0</v>
      </c>
      <c r="P141" s="19">
        <v>0</v>
      </c>
      <c r="Q141" s="19">
        <v>0</v>
      </c>
      <c r="R141" s="19">
        <v>0</v>
      </c>
      <c r="S141" s="19">
        <v>1</v>
      </c>
    </row>
    <row r="142" spans="1:19" ht="21" customHeight="1">
      <c r="A142" s="7" t="str">
        <f t="shared" si="16"/>
        <v>14902214</v>
      </c>
      <c r="B142" s="2">
        <f t="shared" si="19"/>
        <v>14902</v>
      </c>
      <c r="C142" s="8" t="str">
        <f t="shared" si="17"/>
        <v>0PremiumN3</v>
      </c>
      <c r="D142" s="8" t="str">
        <f t="shared" si="18"/>
        <v>0PremiumN3</v>
      </c>
      <c r="E142" s="5">
        <v>0</v>
      </c>
      <c r="F142" s="6">
        <v>214</v>
      </c>
      <c r="G142" s="8" t="str">
        <f>VLOOKUP(F142,[1]characters!$A:$C,3,FALSE)</f>
        <v>アズラエル</v>
      </c>
      <c r="H142" s="8" t="str">
        <f>VLOOKUP(F142,[1]characters!$A:$J,10,FALSE)</f>
        <v>PremiumN</v>
      </c>
      <c r="I142" s="8">
        <f>VLOOKUP(F142,[1]characters!$A:$I,9,FALSE)</f>
        <v>3</v>
      </c>
      <c r="J142" s="8" t="str">
        <f>VLOOKUP(F142,[1]characters!$A:$H,8,FALSE)</f>
        <v>red</v>
      </c>
      <c r="K142" s="8" t="str">
        <f>VLOOKUP(F142,[1]characters!$A:$K,11,FALSE)</f>
        <v>balance</v>
      </c>
      <c r="L142" s="8" t="str">
        <f>VLOOKUP(F142,[1]characters!$A:$M,13,FALSE)</f>
        <v>god</v>
      </c>
      <c r="M142" s="5">
        <v>1</v>
      </c>
      <c r="N142" s="28">
        <f>VLOOKUP(D142,gacha_149_base!A:B,2,FALSE)</f>
        <v>1189</v>
      </c>
      <c r="O142" s="19">
        <v>0</v>
      </c>
      <c r="P142" s="19">
        <v>0</v>
      </c>
      <c r="Q142" s="19">
        <v>0</v>
      </c>
      <c r="R142" s="19">
        <v>0</v>
      </c>
      <c r="S142" s="19">
        <v>1</v>
      </c>
    </row>
    <row r="143" spans="1:19" ht="21" customHeight="1">
      <c r="A143" s="7" t="str">
        <f t="shared" si="16"/>
        <v>14902215</v>
      </c>
      <c r="B143" s="2">
        <f t="shared" si="19"/>
        <v>14902</v>
      </c>
      <c r="C143" s="8" t="str">
        <f t="shared" si="17"/>
        <v>0PremiumN4</v>
      </c>
      <c r="D143" s="8" t="str">
        <f t="shared" si="18"/>
        <v>0PremiumN4</v>
      </c>
      <c r="E143" s="5">
        <v>0</v>
      </c>
      <c r="F143" s="6">
        <v>215</v>
      </c>
      <c r="G143" s="8" t="str">
        <f>VLOOKUP(F143,[1]characters!$A:$C,3,FALSE)</f>
        <v>死導者 アズラエル</v>
      </c>
      <c r="H143" s="8" t="str">
        <f>VLOOKUP(F143,[1]characters!$A:$J,10,FALSE)</f>
        <v>PremiumN</v>
      </c>
      <c r="I143" s="8">
        <f>VLOOKUP(F143,[1]characters!$A:$I,9,FALSE)</f>
        <v>4</v>
      </c>
      <c r="J143" s="8" t="str">
        <f>VLOOKUP(F143,[1]characters!$A:$H,8,FALSE)</f>
        <v>red</v>
      </c>
      <c r="K143" s="8" t="str">
        <f>VLOOKUP(F143,[1]characters!$A:$K,11,FALSE)</f>
        <v>balance</v>
      </c>
      <c r="L143" s="8" t="str">
        <f>VLOOKUP(F143,[1]characters!$A:$M,13,FALSE)</f>
        <v>god</v>
      </c>
      <c r="M143" s="5">
        <v>1</v>
      </c>
      <c r="N143" s="28">
        <f>VLOOKUP(D143,gacha_149_base!A:B,2,FALSE)</f>
        <v>396</v>
      </c>
      <c r="O143" s="19">
        <v>0</v>
      </c>
      <c r="P143" s="19">
        <v>0</v>
      </c>
      <c r="Q143" s="19">
        <v>0</v>
      </c>
      <c r="R143" s="19">
        <v>0</v>
      </c>
      <c r="S143" s="19">
        <v>1</v>
      </c>
    </row>
    <row r="144" spans="1:19" ht="21" customHeight="1">
      <c r="A144" s="7" t="str">
        <f t="shared" si="16"/>
        <v>14902217</v>
      </c>
      <c r="B144" s="2">
        <f t="shared" si="19"/>
        <v>14902</v>
      </c>
      <c r="C144" s="8" t="str">
        <f t="shared" si="17"/>
        <v>0PremiumN3</v>
      </c>
      <c r="D144" s="8" t="str">
        <f t="shared" si="18"/>
        <v>0PremiumN3</v>
      </c>
      <c r="E144" s="5">
        <v>0</v>
      </c>
      <c r="F144" s="6">
        <v>217</v>
      </c>
      <c r="G144" s="8" t="str">
        <f>VLOOKUP(F144,[1]characters!$A:$C,3,FALSE)</f>
        <v>ケツァクアトル</v>
      </c>
      <c r="H144" s="8" t="str">
        <f>VLOOKUP(F144,[1]characters!$A:$J,10,FALSE)</f>
        <v>PremiumN</v>
      </c>
      <c r="I144" s="8">
        <f>VLOOKUP(F144,[1]characters!$A:$I,9,FALSE)</f>
        <v>3</v>
      </c>
      <c r="J144" s="8" t="str">
        <f>VLOOKUP(F144,[1]characters!$A:$H,8,FALSE)</f>
        <v>green</v>
      </c>
      <c r="K144" s="8" t="str">
        <f>VLOOKUP(F144,[1]characters!$A:$K,11,FALSE)</f>
        <v>hp</v>
      </c>
      <c r="L144" s="8" t="str">
        <f>VLOOKUP(F144,[1]characters!$A:$M,13,FALSE)</f>
        <v>dragon</v>
      </c>
      <c r="M144" s="5">
        <v>1</v>
      </c>
      <c r="N144" s="28">
        <f>VLOOKUP(D144,gacha_149_base!A:B,2,FALSE)</f>
        <v>1189</v>
      </c>
      <c r="O144" s="19">
        <v>0</v>
      </c>
      <c r="P144" s="19">
        <v>0</v>
      </c>
      <c r="Q144" s="19">
        <v>0</v>
      </c>
      <c r="R144" s="19">
        <v>0</v>
      </c>
      <c r="S144" s="19">
        <v>1</v>
      </c>
    </row>
    <row r="145" spans="1:19" ht="21" customHeight="1">
      <c r="A145" s="7" t="str">
        <f t="shared" si="16"/>
        <v>14902218</v>
      </c>
      <c r="B145" s="2">
        <f t="shared" si="19"/>
        <v>14902</v>
      </c>
      <c r="C145" s="8" t="str">
        <f t="shared" si="17"/>
        <v>0PremiumN4</v>
      </c>
      <c r="D145" s="8" t="str">
        <f t="shared" si="18"/>
        <v>0PremiumN4</v>
      </c>
      <c r="E145" s="5">
        <v>0</v>
      </c>
      <c r="F145" s="6">
        <v>218</v>
      </c>
      <c r="G145" s="8" t="str">
        <f>VLOOKUP(F145,[1]characters!$A:$C,3,FALSE)</f>
        <v>聖蛇 ケツァクアトル</v>
      </c>
      <c r="H145" s="8" t="str">
        <f>VLOOKUP(F145,[1]characters!$A:$J,10,FALSE)</f>
        <v>PremiumN</v>
      </c>
      <c r="I145" s="8">
        <f>VLOOKUP(F145,[1]characters!$A:$I,9,FALSE)</f>
        <v>4</v>
      </c>
      <c r="J145" s="8" t="str">
        <f>VLOOKUP(F145,[1]characters!$A:$H,8,FALSE)</f>
        <v>green</v>
      </c>
      <c r="K145" s="8" t="str">
        <f>VLOOKUP(F145,[1]characters!$A:$K,11,FALSE)</f>
        <v>hp</v>
      </c>
      <c r="L145" s="8" t="str">
        <f>VLOOKUP(F145,[1]characters!$A:$M,13,FALSE)</f>
        <v>dragon</v>
      </c>
      <c r="M145" s="5">
        <v>1</v>
      </c>
      <c r="N145" s="28">
        <f>VLOOKUP(D145,gacha_149_base!A:B,2,FALSE)</f>
        <v>396</v>
      </c>
      <c r="O145" s="19">
        <v>0</v>
      </c>
      <c r="P145" s="19">
        <v>0</v>
      </c>
      <c r="Q145" s="19">
        <v>0</v>
      </c>
      <c r="R145" s="19">
        <v>0</v>
      </c>
      <c r="S145" s="19">
        <v>1</v>
      </c>
    </row>
    <row r="146" spans="1:19" ht="21" customHeight="1">
      <c r="A146" s="7" t="str">
        <f t="shared" si="16"/>
        <v>14902220</v>
      </c>
      <c r="B146" s="2">
        <f t="shared" si="19"/>
        <v>14902</v>
      </c>
      <c r="C146" s="8" t="str">
        <f t="shared" si="17"/>
        <v>0PremiumN3</v>
      </c>
      <c r="D146" s="8" t="str">
        <f t="shared" si="18"/>
        <v>0PremiumN3</v>
      </c>
      <c r="E146" s="5">
        <v>0</v>
      </c>
      <c r="F146" s="6">
        <v>220</v>
      </c>
      <c r="G146" s="8" t="str">
        <f>VLOOKUP(F146,[1]characters!$A:$C,3,FALSE)</f>
        <v>ルキフグス</v>
      </c>
      <c r="H146" s="8" t="str">
        <f>VLOOKUP(F146,[1]characters!$A:$J,10,FALSE)</f>
        <v>PremiumN</v>
      </c>
      <c r="I146" s="8">
        <f>VLOOKUP(F146,[1]characters!$A:$I,9,FALSE)</f>
        <v>3</v>
      </c>
      <c r="J146" s="8" t="str">
        <f>VLOOKUP(F146,[1]characters!$A:$H,8,FALSE)</f>
        <v>blue</v>
      </c>
      <c r="K146" s="8" t="str">
        <f>VLOOKUP(F146,[1]characters!$A:$K,11,FALSE)</f>
        <v>balance</v>
      </c>
      <c r="L146" s="8" t="str">
        <f>VLOOKUP(F146,[1]characters!$A:$M,13,FALSE)</f>
        <v>god</v>
      </c>
      <c r="M146" s="5">
        <v>1</v>
      </c>
      <c r="N146" s="28">
        <f>VLOOKUP(D146,gacha_149_base!A:B,2,FALSE)</f>
        <v>1189</v>
      </c>
      <c r="O146" s="19">
        <v>0</v>
      </c>
      <c r="P146" s="19">
        <v>0</v>
      </c>
      <c r="Q146" s="19">
        <v>0</v>
      </c>
      <c r="R146" s="19">
        <v>0</v>
      </c>
      <c r="S146" s="19">
        <v>1</v>
      </c>
    </row>
    <row r="147" spans="1:19" ht="21" customHeight="1">
      <c r="A147" s="7" t="str">
        <f t="shared" si="16"/>
        <v>14902221</v>
      </c>
      <c r="B147" s="2">
        <f t="shared" si="19"/>
        <v>14902</v>
      </c>
      <c r="C147" s="8" t="str">
        <f t="shared" si="17"/>
        <v>0PremiumN4</v>
      </c>
      <c r="D147" s="8" t="str">
        <f t="shared" si="18"/>
        <v>0PremiumN4</v>
      </c>
      <c r="E147" s="5">
        <v>0</v>
      </c>
      <c r="F147" s="6">
        <v>221</v>
      </c>
      <c r="G147" s="8" t="str">
        <f>VLOOKUP(F147,[1]characters!$A:$C,3,FALSE)</f>
        <v>宰相 ルキフグス</v>
      </c>
      <c r="H147" s="8" t="str">
        <f>VLOOKUP(F147,[1]characters!$A:$J,10,FALSE)</f>
        <v>PremiumN</v>
      </c>
      <c r="I147" s="8">
        <f>VLOOKUP(F147,[1]characters!$A:$I,9,FALSE)</f>
        <v>4</v>
      </c>
      <c r="J147" s="8" t="str">
        <f>VLOOKUP(F147,[1]characters!$A:$H,8,FALSE)</f>
        <v>blue</v>
      </c>
      <c r="K147" s="8" t="str">
        <f>VLOOKUP(F147,[1]characters!$A:$K,11,FALSE)</f>
        <v>balance</v>
      </c>
      <c r="L147" s="8" t="str">
        <f>VLOOKUP(F147,[1]characters!$A:$M,13,FALSE)</f>
        <v>god</v>
      </c>
      <c r="M147" s="5">
        <v>1</v>
      </c>
      <c r="N147" s="28">
        <f>VLOOKUP(D147,gacha_149_base!A:B,2,FALSE)</f>
        <v>396</v>
      </c>
      <c r="O147" s="19">
        <v>0</v>
      </c>
      <c r="P147" s="19">
        <v>0</v>
      </c>
      <c r="Q147" s="19">
        <v>0</v>
      </c>
      <c r="R147" s="19">
        <v>0</v>
      </c>
      <c r="S147" s="19">
        <v>1</v>
      </c>
    </row>
    <row r="148" spans="1:19" ht="21" customHeight="1">
      <c r="A148" s="7" t="str">
        <f t="shared" si="16"/>
        <v>14902223</v>
      </c>
      <c r="B148" s="2">
        <f t="shared" si="19"/>
        <v>14902</v>
      </c>
      <c r="C148" s="8" t="str">
        <f t="shared" si="17"/>
        <v>0PremiumN3</v>
      </c>
      <c r="D148" s="8" t="str">
        <f t="shared" si="18"/>
        <v>0PremiumN3</v>
      </c>
      <c r="E148" s="5">
        <v>0</v>
      </c>
      <c r="F148" s="6">
        <v>223</v>
      </c>
      <c r="G148" s="8" t="str">
        <f>VLOOKUP(F148,[1]characters!$A:$C,3,FALSE)</f>
        <v>ヘラクレス</v>
      </c>
      <c r="H148" s="8" t="str">
        <f>VLOOKUP(F148,[1]characters!$A:$J,10,FALSE)</f>
        <v>PremiumN</v>
      </c>
      <c r="I148" s="8">
        <f>VLOOKUP(F148,[1]characters!$A:$I,9,FALSE)</f>
        <v>3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5">
        <v>1</v>
      </c>
      <c r="N148" s="28">
        <f>VLOOKUP(D148,gacha_149_base!A:B,2,FALSE)</f>
        <v>1189</v>
      </c>
      <c r="O148" s="19">
        <v>0</v>
      </c>
      <c r="P148" s="19">
        <v>0</v>
      </c>
      <c r="Q148" s="19">
        <v>0</v>
      </c>
      <c r="R148" s="19">
        <v>0</v>
      </c>
      <c r="S148" s="19">
        <v>1</v>
      </c>
    </row>
    <row r="149" spans="1:19" ht="21" customHeight="1">
      <c r="A149" s="7" t="str">
        <f t="shared" si="16"/>
        <v>14902224</v>
      </c>
      <c r="B149" s="2">
        <f t="shared" si="19"/>
        <v>14902</v>
      </c>
      <c r="C149" s="8" t="str">
        <f t="shared" si="17"/>
        <v>0PremiumN4</v>
      </c>
      <c r="D149" s="8" t="str">
        <f t="shared" si="18"/>
        <v>0PremiumN4</v>
      </c>
      <c r="E149" s="5">
        <v>0</v>
      </c>
      <c r="F149" s="6">
        <v>224</v>
      </c>
      <c r="G149" s="8" t="str">
        <f>VLOOKUP(F149,[1]characters!$A:$C,3,FALSE)</f>
        <v>巨腕 ヘラクレス</v>
      </c>
      <c r="H149" s="8" t="str">
        <f>VLOOKUP(F149,[1]characters!$A:$J,10,FALSE)</f>
        <v>PremiumN</v>
      </c>
      <c r="I149" s="8">
        <f>VLOOKUP(F149,[1]characters!$A:$I,9,FALSE)</f>
        <v>4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5">
        <v>1</v>
      </c>
      <c r="N149" s="28">
        <f>VLOOKUP(D149,gacha_149_base!A:B,2,FALSE)</f>
        <v>396</v>
      </c>
      <c r="O149" s="19">
        <v>0</v>
      </c>
      <c r="P149" s="19">
        <v>0</v>
      </c>
      <c r="Q149" s="19">
        <v>0</v>
      </c>
      <c r="R149" s="19">
        <v>0</v>
      </c>
      <c r="S149" s="19">
        <v>1</v>
      </c>
    </row>
    <row r="150" spans="1:19" ht="21" customHeight="1">
      <c r="A150" s="7" t="str">
        <f t="shared" si="16"/>
        <v>14902226</v>
      </c>
      <c r="B150" s="2">
        <f t="shared" si="19"/>
        <v>14902</v>
      </c>
      <c r="C150" s="8" t="str">
        <f t="shared" si="17"/>
        <v>0PremiumS3</v>
      </c>
      <c r="D150" s="8" t="str">
        <f t="shared" si="18"/>
        <v>0PremiumS3</v>
      </c>
      <c r="E150" s="5">
        <v>0</v>
      </c>
      <c r="F150" s="6">
        <v>226</v>
      </c>
      <c r="G150" s="8" t="str">
        <f>VLOOKUP(F150,[1]characters!$A:$C,3,FALSE)</f>
        <v>アレス</v>
      </c>
      <c r="H150" s="8" t="str">
        <f>VLOOKUP(F150,[1]characters!$A:$J,10,FALSE)</f>
        <v>PremiumS</v>
      </c>
      <c r="I150" s="8">
        <f>VLOOKUP(F150,[1]characters!$A:$I,9,FALSE)</f>
        <v>3</v>
      </c>
      <c r="J150" s="8" t="str">
        <f>VLOOKUP(F150,[1]characters!$A:$H,8,FALSE)</f>
        <v>red</v>
      </c>
      <c r="K150" s="8" t="str">
        <f>VLOOKUP(F150,[1]characters!$A:$K,11,FALSE)</f>
        <v>attack</v>
      </c>
      <c r="L150" s="8" t="str">
        <f>VLOOKUP(F150,[1]characters!$A:$M,13,FALSE)</f>
        <v>god</v>
      </c>
      <c r="M150" s="5">
        <v>1</v>
      </c>
      <c r="N150" s="28">
        <f>VLOOKUP(D150,gacha_149_base!A:B,2,FALSE)</f>
        <v>1784</v>
      </c>
      <c r="O150" s="19">
        <v>0</v>
      </c>
      <c r="P150" s="19">
        <v>0</v>
      </c>
      <c r="Q150" s="19">
        <v>0</v>
      </c>
      <c r="R150" s="19">
        <v>0</v>
      </c>
      <c r="S150" s="19">
        <v>1</v>
      </c>
    </row>
    <row r="151" spans="1:19" ht="21" customHeight="1">
      <c r="A151" s="7" t="str">
        <f t="shared" si="16"/>
        <v>14902227</v>
      </c>
      <c r="B151" s="2">
        <f t="shared" si="19"/>
        <v>14902</v>
      </c>
      <c r="C151" s="8" t="str">
        <f t="shared" si="17"/>
        <v>0PremiumS4</v>
      </c>
      <c r="D151" s="8" t="str">
        <f t="shared" si="18"/>
        <v>0PremiumS4</v>
      </c>
      <c r="E151" s="5">
        <v>0</v>
      </c>
      <c r="F151" s="6">
        <v>227</v>
      </c>
      <c r="G151" s="8" t="str">
        <f>VLOOKUP(F151,[1]characters!$A:$C,3,FALSE)</f>
        <v>滅弾 アレス</v>
      </c>
      <c r="H151" s="8" t="str">
        <f>VLOOKUP(F151,[1]characters!$A:$J,10,FALSE)</f>
        <v>PremiumS</v>
      </c>
      <c r="I151" s="8">
        <f>VLOOKUP(F151,[1]characters!$A:$I,9,FALSE)</f>
        <v>4</v>
      </c>
      <c r="J151" s="8" t="str">
        <f>VLOOKUP(F151,[1]characters!$A:$H,8,FALSE)</f>
        <v>red</v>
      </c>
      <c r="K151" s="8" t="str">
        <f>VLOOKUP(F151,[1]characters!$A:$K,11,FALSE)</f>
        <v>attack</v>
      </c>
      <c r="L151" s="8" t="str">
        <f>VLOOKUP(F151,[1]characters!$A:$M,13,FALSE)</f>
        <v>god</v>
      </c>
      <c r="M151" s="5">
        <v>1</v>
      </c>
      <c r="N151" s="28">
        <f>VLOOKUP(D151,gacha_149_base!A:B,2,FALSE)</f>
        <v>595</v>
      </c>
      <c r="O151" s="19">
        <v>0</v>
      </c>
      <c r="P151" s="19">
        <v>0</v>
      </c>
      <c r="Q151" s="19">
        <v>0</v>
      </c>
      <c r="R151" s="19">
        <v>0</v>
      </c>
      <c r="S151" s="19">
        <v>1</v>
      </c>
    </row>
    <row r="152" spans="1:19" ht="21" customHeight="1">
      <c r="A152" s="7" t="str">
        <f t="shared" si="16"/>
        <v>14902229</v>
      </c>
      <c r="B152" s="2">
        <f t="shared" si="19"/>
        <v>14902</v>
      </c>
      <c r="C152" s="8" t="str">
        <f t="shared" si="17"/>
        <v>0PremiumS3</v>
      </c>
      <c r="D152" s="8" t="str">
        <f t="shared" si="18"/>
        <v>0PremiumS3</v>
      </c>
      <c r="E152" s="5">
        <v>0</v>
      </c>
      <c r="F152" s="6">
        <v>229</v>
      </c>
      <c r="G152" s="8" t="str">
        <f>VLOOKUP(F152,[1]characters!$A:$C,3,FALSE)</f>
        <v>ヨルムンガンド</v>
      </c>
      <c r="H152" s="8" t="str">
        <f>VLOOKUP(F152,[1]characters!$A:$J,10,FALSE)</f>
        <v>PremiumS</v>
      </c>
      <c r="I152" s="8">
        <f>VLOOKUP(F152,[1]characters!$A:$I,9,FALSE)</f>
        <v>3</v>
      </c>
      <c r="J152" s="8" t="str">
        <f>VLOOKUP(F152,[1]characters!$A:$H,8,FALSE)</f>
        <v>green</v>
      </c>
      <c r="K152" s="8" t="str">
        <f>VLOOKUP(F152,[1]characters!$A:$K,11,FALSE)</f>
        <v>technical</v>
      </c>
      <c r="L152" s="8" t="str">
        <f>VLOOKUP(F152,[1]characters!$A:$M,13,FALSE)</f>
        <v>dragon</v>
      </c>
      <c r="M152" s="5">
        <v>1</v>
      </c>
      <c r="N152" s="28">
        <f>VLOOKUP(D152,gacha_149_base!A:B,2,FALSE)</f>
        <v>1784</v>
      </c>
      <c r="O152" s="19">
        <v>0</v>
      </c>
      <c r="P152" s="19">
        <v>0</v>
      </c>
      <c r="Q152" s="19">
        <v>0</v>
      </c>
      <c r="R152" s="19">
        <v>0</v>
      </c>
      <c r="S152" s="19">
        <v>1</v>
      </c>
    </row>
    <row r="153" spans="1:19" ht="21" customHeight="1">
      <c r="A153" s="7" t="str">
        <f t="shared" si="16"/>
        <v>14902230</v>
      </c>
      <c r="B153" s="2">
        <f t="shared" si="19"/>
        <v>14902</v>
      </c>
      <c r="C153" s="8" t="str">
        <f t="shared" si="17"/>
        <v>0PremiumS4</v>
      </c>
      <c r="D153" s="8" t="str">
        <f t="shared" si="18"/>
        <v>0PremiumS4</v>
      </c>
      <c r="E153" s="5">
        <v>0</v>
      </c>
      <c r="F153" s="6">
        <v>230</v>
      </c>
      <c r="G153" s="8" t="str">
        <f>VLOOKUP(F153,[1]characters!$A:$C,3,FALSE)</f>
        <v>毒銃 ヨルムンガンド</v>
      </c>
      <c r="H153" s="8" t="str">
        <f>VLOOKUP(F153,[1]characters!$A:$J,10,FALSE)</f>
        <v>PremiumS</v>
      </c>
      <c r="I153" s="8">
        <f>VLOOKUP(F153,[1]characters!$A:$I,9,FALSE)</f>
        <v>4</v>
      </c>
      <c r="J153" s="8" t="str">
        <f>VLOOKUP(F153,[1]characters!$A:$H,8,FALSE)</f>
        <v>green</v>
      </c>
      <c r="K153" s="8" t="str">
        <f>VLOOKUP(F153,[1]characters!$A:$K,11,FALSE)</f>
        <v>technical</v>
      </c>
      <c r="L153" s="8" t="str">
        <f>VLOOKUP(F153,[1]characters!$A:$M,13,FALSE)</f>
        <v>dragon</v>
      </c>
      <c r="M153" s="5">
        <v>1</v>
      </c>
      <c r="N153" s="28">
        <f>VLOOKUP(D153,gacha_149_base!A:B,2,FALSE)</f>
        <v>595</v>
      </c>
      <c r="O153" s="19">
        <v>0</v>
      </c>
      <c r="P153" s="19">
        <v>0</v>
      </c>
      <c r="Q153" s="19">
        <v>0</v>
      </c>
      <c r="R153" s="19">
        <v>0</v>
      </c>
      <c r="S153" s="19">
        <v>1</v>
      </c>
    </row>
    <row r="154" spans="1:19" ht="21" customHeight="1">
      <c r="A154" s="7" t="str">
        <f t="shared" si="16"/>
        <v>14902232</v>
      </c>
      <c r="B154" s="2">
        <f t="shared" si="19"/>
        <v>14902</v>
      </c>
      <c r="C154" s="8" t="str">
        <f t="shared" si="17"/>
        <v>0PremiumS3</v>
      </c>
      <c r="D154" s="8" t="str">
        <f t="shared" si="18"/>
        <v>0PremiumS3</v>
      </c>
      <c r="E154" s="5">
        <v>0</v>
      </c>
      <c r="F154" s="6">
        <v>232</v>
      </c>
      <c r="G154" s="8" t="str">
        <f>VLOOKUP(F154,[1]characters!$A:$C,3,FALSE)</f>
        <v>パーシヴァル</v>
      </c>
      <c r="H154" s="8" t="str">
        <f>VLOOKUP(F154,[1]characters!$A:$J,10,FALSE)</f>
        <v>PremiumS</v>
      </c>
      <c r="I154" s="8">
        <f>VLOOKUP(F154,[1]characters!$A:$I,9,FALSE)</f>
        <v>3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human</v>
      </c>
      <c r="M154" s="5">
        <v>1</v>
      </c>
      <c r="N154" s="28">
        <f>VLOOKUP(D154,gacha_149_base!A:B,2,FALSE)</f>
        <v>1784</v>
      </c>
      <c r="O154" s="19">
        <v>0</v>
      </c>
      <c r="P154" s="19">
        <v>0</v>
      </c>
      <c r="Q154" s="19">
        <v>0</v>
      </c>
      <c r="R154" s="19">
        <v>0</v>
      </c>
      <c r="S154" s="19">
        <v>1</v>
      </c>
    </row>
    <row r="155" spans="1:19" ht="21" customHeight="1">
      <c r="A155" s="7" t="str">
        <f t="shared" si="16"/>
        <v>14902233</v>
      </c>
      <c r="B155" s="2">
        <f t="shared" si="19"/>
        <v>14902</v>
      </c>
      <c r="C155" s="8" t="str">
        <f t="shared" si="17"/>
        <v>0PremiumS4</v>
      </c>
      <c r="D155" s="8" t="str">
        <f t="shared" si="18"/>
        <v>0PremiumS4</v>
      </c>
      <c r="E155" s="5">
        <v>0</v>
      </c>
      <c r="F155" s="6">
        <v>233</v>
      </c>
      <c r="G155" s="8" t="str">
        <f>VLOOKUP(F155,[1]characters!$A:$C,3,FALSE)</f>
        <v>遂行 パーシヴァル</v>
      </c>
      <c r="H155" s="8" t="str">
        <f>VLOOKUP(F155,[1]characters!$A:$J,10,FALSE)</f>
        <v>PremiumS</v>
      </c>
      <c r="I155" s="8">
        <f>VLOOKUP(F155,[1]characters!$A:$I,9,FALSE)</f>
        <v>4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human</v>
      </c>
      <c r="M155" s="5">
        <v>1</v>
      </c>
      <c r="N155" s="28">
        <f>VLOOKUP(D155,gacha_149_base!A:B,2,FALSE)</f>
        <v>595</v>
      </c>
      <c r="O155" s="19">
        <v>0</v>
      </c>
      <c r="P155" s="19">
        <v>0</v>
      </c>
      <c r="Q155" s="19">
        <v>0</v>
      </c>
      <c r="R155" s="19">
        <v>0</v>
      </c>
      <c r="S155" s="19">
        <v>1</v>
      </c>
    </row>
    <row r="156" spans="1:19" ht="21" customHeight="1">
      <c r="A156" s="7" t="str">
        <f t="shared" si="16"/>
        <v>14902235</v>
      </c>
      <c r="B156" s="2">
        <f t="shared" si="19"/>
        <v>14902</v>
      </c>
      <c r="C156" s="8" t="str">
        <f t="shared" si="17"/>
        <v>0PremiumS3</v>
      </c>
      <c r="D156" s="8" t="str">
        <f t="shared" si="18"/>
        <v>0PremiumS3</v>
      </c>
      <c r="E156" s="5">
        <v>0</v>
      </c>
      <c r="F156" s="6">
        <v>235</v>
      </c>
      <c r="G156" s="8" t="str">
        <f>VLOOKUP(F156,[1]characters!$A:$C,3,FALSE)</f>
        <v>イザナミ</v>
      </c>
      <c r="H156" s="8" t="str">
        <f>VLOOKUP(F156,[1]characters!$A:$J,10,FALSE)</f>
        <v>PremiumS</v>
      </c>
      <c r="I156" s="8">
        <f>VLOOKUP(F156,[1]characters!$A:$I,9,FALSE)</f>
        <v>3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god</v>
      </c>
      <c r="M156" s="5">
        <v>1</v>
      </c>
      <c r="N156" s="28">
        <f>VLOOKUP(D156,gacha_149_base!A:B,2,FALSE)</f>
        <v>1784</v>
      </c>
      <c r="O156" s="19">
        <v>0</v>
      </c>
      <c r="P156" s="19">
        <v>0</v>
      </c>
      <c r="Q156" s="19">
        <v>0</v>
      </c>
      <c r="R156" s="19">
        <v>0</v>
      </c>
      <c r="S156" s="19">
        <v>1</v>
      </c>
    </row>
    <row r="157" spans="1:19" ht="21" customHeight="1">
      <c r="A157" s="7" t="str">
        <f t="shared" si="16"/>
        <v>14902236</v>
      </c>
      <c r="B157" s="2">
        <f t="shared" si="19"/>
        <v>14902</v>
      </c>
      <c r="C157" s="8" t="str">
        <f t="shared" si="17"/>
        <v>0PremiumS4</v>
      </c>
      <c r="D157" s="8" t="str">
        <f t="shared" si="18"/>
        <v>0PremiumS4</v>
      </c>
      <c r="E157" s="5">
        <v>0</v>
      </c>
      <c r="F157" s="6">
        <v>236</v>
      </c>
      <c r="G157" s="8" t="str">
        <f>VLOOKUP(F157,[1]characters!$A:$C,3,FALSE)</f>
        <v>神産 イザナミ</v>
      </c>
      <c r="H157" s="8" t="str">
        <f>VLOOKUP(F157,[1]characters!$A:$J,10,FALSE)</f>
        <v>PremiumS</v>
      </c>
      <c r="I157" s="8">
        <f>VLOOKUP(F157,[1]characters!$A:$I,9,FALSE)</f>
        <v>4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god</v>
      </c>
      <c r="M157" s="5">
        <v>1</v>
      </c>
      <c r="N157" s="28">
        <f>VLOOKUP(D157,gacha_149_base!A:B,2,FALSE)</f>
        <v>595</v>
      </c>
      <c r="O157" s="19">
        <v>0</v>
      </c>
      <c r="P157" s="19">
        <v>0</v>
      </c>
      <c r="Q157" s="19">
        <v>0</v>
      </c>
      <c r="R157" s="19">
        <v>0</v>
      </c>
      <c r="S157" s="19">
        <v>1</v>
      </c>
    </row>
    <row r="158" spans="1:19" ht="21" customHeight="1">
      <c r="A158" s="7" t="str">
        <f t="shared" si="16"/>
        <v>14902238</v>
      </c>
      <c r="B158" s="2">
        <f t="shared" si="19"/>
        <v>14902</v>
      </c>
      <c r="C158" s="8" t="str">
        <f t="shared" si="17"/>
        <v>0PremiumS3</v>
      </c>
      <c r="D158" s="8" t="str">
        <f t="shared" si="18"/>
        <v>0PremiumS3</v>
      </c>
      <c r="E158" s="5">
        <v>0</v>
      </c>
      <c r="F158" s="11">
        <v>238</v>
      </c>
      <c r="G158" s="8" t="str">
        <f>VLOOKUP(F158,[1]characters!$A:$C,3,FALSE)</f>
        <v>ウリエル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red</v>
      </c>
      <c r="K158" s="8" t="str">
        <f>VLOOKUP(F158,[1]characters!$A:$K,11,FALSE)</f>
        <v>hp</v>
      </c>
      <c r="L158" s="8" t="str">
        <f>VLOOKUP(F158,[1]characters!$A:$M,13,FALSE)</f>
        <v>machine</v>
      </c>
      <c r="M158" s="5">
        <v>1</v>
      </c>
      <c r="N158" s="28">
        <f>VLOOKUP(D158,gacha_149_base!A:B,2,FALSE)</f>
        <v>1784</v>
      </c>
      <c r="O158" s="19">
        <v>0</v>
      </c>
      <c r="P158" s="19">
        <v>0</v>
      </c>
      <c r="Q158" s="19">
        <v>0</v>
      </c>
      <c r="R158" s="19">
        <v>0</v>
      </c>
      <c r="S158" s="19">
        <v>1</v>
      </c>
    </row>
    <row r="159" spans="1:19" ht="21" customHeight="1">
      <c r="A159" s="7" t="str">
        <f t="shared" si="16"/>
        <v>14902239</v>
      </c>
      <c r="B159" s="2">
        <f t="shared" si="19"/>
        <v>14902</v>
      </c>
      <c r="C159" s="8" t="str">
        <f t="shared" si="17"/>
        <v>0PremiumS4</v>
      </c>
      <c r="D159" s="8" t="str">
        <f t="shared" si="18"/>
        <v>0PremiumS4</v>
      </c>
      <c r="E159" s="5">
        <v>0</v>
      </c>
      <c r="F159" s="11">
        <v>239</v>
      </c>
      <c r="G159" s="8" t="str">
        <f>VLOOKUP(F159,[1]characters!$A:$C,3,FALSE)</f>
        <v>豪炎の天使 ウリエル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red</v>
      </c>
      <c r="K159" s="8" t="str">
        <f>VLOOKUP(F159,[1]characters!$A:$K,11,FALSE)</f>
        <v>hp</v>
      </c>
      <c r="L159" s="8" t="str">
        <f>VLOOKUP(F159,[1]characters!$A:$M,13,FALSE)</f>
        <v>machine</v>
      </c>
      <c r="M159" s="5">
        <v>1</v>
      </c>
      <c r="N159" s="28">
        <f>VLOOKUP(D159,gacha_149_base!A:B,2,FALSE)</f>
        <v>595</v>
      </c>
      <c r="O159" s="19">
        <v>0</v>
      </c>
      <c r="P159" s="19">
        <v>0</v>
      </c>
      <c r="Q159" s="19">
        <v>0</v>
      </c>
      <c r="R159" s="19">
        <v>0</v>
      </c>
      <c r="S159" s="19">
        <v>1</v>
      </c>
    </row>
    <row r="160" spans="1:19" ht="21" customHeight="1">
      <c r="A160" s="7" t="str">
        <f t="shared" si="16"/>
        <v>14902241</v>
      </c>
      <c r="B160" s="2">
        <f t="shared" si="19"/>
        <v>14902</v>
      </c>
      <c r="C160" s="8" t="str">
        <f t="shared" si="17"/>
        <v>0PremiumS3</v>
      </c>
      <c r="D160" s="8" t="str">
        <f t="shared" si="18"/>
        <v>0PremiumS3</v>
      </c>
      <c r="E160" s="5">
        <v>0</v>
      </c>
      <c r="F160" s="11">
        <v>241</v>
      </c>
      <c r="G160" s="8" t="str">
        <f>VLOOKUP(F160,[1]characters!$A:$C,3,FALSE)</f>
        <v>ガブリエル</v>
      </c>
      <c r="H160" s="8" t="str">
        <f>VLOOKUP(F160,[1]characters!$A:$J,10,FALSE)</f>
        <v>PremiumS</v>
      </c>
      <c r="I160" s="8">
        <f>VLOOKUP(F160,[1]characters!$A:$I,9,FALSE)</f>
        <v>3</v>
      </c>
      <c r="J160" s="8" t="str">
        <f>VLOOKUP(F160,[1]characters!$A:$H,8,FALSE)</f>
        <v>green</v>
      </c>
      <c r="K160" s="8" t="str">
        <f>VLOOKUP(F160,[1]characters!$A:$K,11,FALSE)</f>
        <v>balance</v>
      </c>
      <c r="L160" s="8" t="str">
        <f>VLOOKUP(F160,[1]characters!$A:$M,13,FALSE)</f>
        <v>machine</v>
      </c>
      <c r="M160" s="5">
        <v>1</v>
      </c>
      <c r="N160" s="28">
        <f>VLOOKUP(D160,gacha_149_base!A:B,2,FALSE)</f>
        <v>1784</v>
      </c>
      <c r="O160" s="19">
        <v>0</v>
      </c>
      <c r="P160" s="19">
        <v>0</v>
      </c>
      <c r="Q160" s="19">
        <v>0</v>
      </c>
      <c r="R160" s="19">
        <v>0</v>
      </c>
      <c r="S160" s="19">
        <v>1</v>
      </c>
    </row>
    <row r="161" spans="1:19" ht="21" customHeight="1">
      <c r="A161" s="7" t="str">
        <f t="shared" si="16"/>
        <v>14902242</v>
      </c>
      <c r="B161" s="2">
        <f t="shared" si="19"/>
        <v>14902</v>
      </c>
      <c r="C161" s="8" t="str">
        <f t="shared" si="17"/>
        <v>0PremiumS4</v>
      </c>
      <c r="D161" s="8" t="str">
        <f t="shared" si="18"/>
        <v>0PremiumS4</v>
      </c>
      <c r="E161" s="5">
        <v>0</v>
      </c>
      <c r="F161" s="11">
        <v>242</v>
      </c>
      <c r="G161" s="8" t="str">
        <f>VLOOKUP(F161,[1]characters!$A:$C,3,FALSE)</f>
        <v>百花の天使 ガブリエル</v>
      </c>
      <c r="H161" s="8" t="str">
        <f>VLOOKUP(F161,[1]characters!$A:$J,10,FALSE)</f>
        <v>PremiumS</v>
      </c>
      <c r="I161" s="8">
        <f>VLOOKUP(F161,[1]characters!$A:$I,9,FALSE)</f>
        <v>4</v>
      </c>
      <c r="J161" s="8" t="str">
        <f>VLOOKUP(F161,[1]characters!$A:$H,8,FALSE)</f>
        <v>green</v>
      </c>
      <c r="K161" s="8" t="str">
        <f>VLOOKUP(F161,[1]characters!$A:$K,11,FALSE)</f>
        <v>balance</v>
      </c>
      <c r="L161" s="8" t="str">
        <f>VLOOKUP(F161,[1]characters!$A:$M,13,FALSE)</f>
        <v>machine</v>
      </c>
      <c r="M161" s="5">
        <v>1</v>
      </c>
      <c r="N161" s="28">
        <f>VLOOKUP(D161,gacha_149_base!A:B,2,FALSE)</f>
        <v>595</v>
      </c>
      <c r="O161" s="19">
        <v>0</v>
      </c>
      <c r="P161" s="19">
        <v>0</v>
      </c>
      <c r="Q161" s="19">
        <v>0</v>
      </c>
      <c r="R161" s="19">
        <v>0</v>
      </c>
      <c r="S161" s="19">
        <v>1</v>
      </c>
    </row>
    <row r="162" spans="1:19" ht="21" customHeight="1">
      <c r="A162" s="7" t="str">
        <f t="shared" ref="A162:A190" si="20">B162&amp;F162</f>
        <v>14902244</v>
      </c>
      <c r="B162" s="2">
        <f t="shared" si="19"/>
        <v>14902</v>
      </c>
      <c r="C162" s="8" t="str">
        <f t="shared" ref="C162:C190" si="21">E162&amp;H162&amp;I162</f>
        <v>0PremiumS3</v>
      </c>
      <c r="D162" s="8" t="str">
        <f t="shared" ref="D162:D190" si="22">E162&amp;H162&amp;I162</f>
        <v>0PremiumS3</v>
      </c>
      <c r="E162" s="5">
        <v>0</v>
      </c>
      <c r="F162" s="11">
        <v>244</v>
      </c>
      <c r="G162" s="8" t="str">
        <f>VLOOKUP(F162,[1]characters!$A:$C,3,FALSE)</f>
        <v>ラファエル</v>
      </c>
      <c r="H162" s="8" t="str">
        <f>VLOOKUP(F162,[1]characters!$A:$J,10,FALSE)</f>
        <v>PremiumS</v>
      </c>
      <c r="I162" s="8">
        <f>VLOOKUP(F162,[1]characters!$A:$I,9,FALSE)</f>
        <v>3</v>
      </c>
      <c r="J162" s="8" t="str">
        <f>VLOOKUP(F162,[1]characters!$A:$H,8,FALSE)</f>
        <v>blue</v>
      </c>
      <c r="K162" s="8" t="str">
        <f>VLOOKUP(F162,[1]characters!$A:$K,11,FALSE)</f>
        <v>balance</v>
      </c>
      <c r="L162" s="8" t="str">
        <f>VLOOKUP(F162,[1]characters!$A:$M,13,FALSE)</f>
        <v>machine</v>
      </c>
      <c r="M162" s="5">
        <v>1</v>
      </c>
      <c r="N162" s="28">
        <f>VLOOKUP(D162,gacha_149_base!A:B,2,FALSE)</f>
        <v>1784</v>
      </c>
      <c r="O162" s="19">
        <v>0</v>
      </c>
      <c r="P162" s="19">
        <v>0</v>
      </c>
      <c r="Q162" s="19">
        <v>0</v>
      </c>
      <c r="R162" s="19">
        <v>0</v>
      </c>
      <c r="S162" s="19">
        <v>1</v>
      </c>
    </row>
    <row r="163" spans="1:19" ht="21" customHeight="1">
      <c r="A163" s="7" t="str">
        <f t="shared" si="20"/>
        <v>14902245</v>
      </c>
      <c r="B163" s="2">
        <f t="shared" si="19"/>
        <v>14902</v>
      </c>
      <c r="C163" s="8" t="str">
        <f t="shared" si="21"/>
        <v>0PremiumS4</v>
      </c>
      <c r="D163" s="8" t="str">
        <f t="shared" si="22"/>
        <v>0PremiumS4</v>
      </c>
      <c r="E163" s="5">
        <v>0</v>
      </c>
      <c r="F163" s="11">
        <v>245</v>
      </c>
      <c r="G163" s="8" t="str">
        <f>VLOOKUP(F163,[1]characters!$A:$C,3,FALSE)</f>
        <v>鎮癒の天使 ラファエル</v>
      </c>
      <c r="H163" s="8" t="str">
        <f>VLOOKUP(F163,[1]characters!$A:$J,10,FALSE)</f>
        <v>PremiumS</v>
      </c>
      <c r="I163" s="8">
        <f>VLOOKUP(F163,[1]characters!$A:$I,9,FALSE)</f>
        <v>4</v>
      </c>
      <c r="J163" s="8" t="str">
        <f>VLOOKUP(F163,[1]characters!$A:$H,8,FALSE)</f>
        <v>blue</v>
      </c>
      <c r="K163" s="8" t="str">
        <f>VLOOKUP(F163,[1]characters!$A:$K,11,FALSE)</f>
        <v>balance</v>
      </c>
      <c r="L163" s="8" t="str">
        <f>VLOOKUP(F163,[1]characters!$A:$M,13,FALSE)</f>
        <v>machine</v>
      </c>
      <c r="M163" s="5">
        <v>1</v>
      </c>
      <c r="N163" s="28">
        <f>VLOOKUP(D163,gacha_149_base!A:B,2,FALSE)</f>
        <v>595</v>
      </c>
      <c r="O163" s="19">
        <v>0</v>
      </c>
      <c r="P163" s="19">
        <v>0</v>
      </c>
      <c r="Q163" s="19">
        <v>0</v>
      </c>
      <c r="R163" s="19">
        <v>0</v>
      </c>
      <c r="S163" s="19">
        <v>1</v>
      </c>
    </row>
    <row r="164" spans="1:19" ht="21" customHeight="1">
      <c r="A164" s="7" t="str">
        <f t="shared" si="20"/>
        <v>14902247</v>
      </c>
      <c r="B164" s="2">
        <f t="shared" si="19"/>
        <v>14902</v>
      </c>
      <c r="C164" s="8" t="str">
        <f t="shared" si="21"/>
        <v>0PremiumS3</v>
      </c>
      <c r="D164" s="8" t="str">
        <f t="shared" si="22"/>
        <v>0PremiumS3</v>
      </c>
      <c r="E164" s="5">
        <v>0</v>
      </c>
      <c r="F164" s="11">
        <v>247</v>
      </c>
      <c r="G164" s="8" t="str">
        <f>VLOOKUP(F164,[1]characters!$A:$C,3,FALSE)</f>
        <v>ミカエル</v>
      </c>
      <c r="H164" s="8" t="str">
        <f>VLOOKUP(F164,[1]characters!$A:$J,10,FALSE)</f>
        <v>PremiumS</v>
      </c>
      <c r="I164" s="8">
        <f>VLOOKUP(F164,[1]characters!$A:$I,9,FALSE)</f>
        <v>3</v>
      </c>
      <c r="J164" s="8" t="str">
        <f>VLOOKUP(F164,[1]characters!$A:$H,8,FALSE)</f>
        <v>yellow</v>
      </c>
      <c r="K164" s="8" t="str">
        <f>VLOOKUP(F164,[1]characters!$A:$K,11,FALSE)</f>
        <v>attack</v>
      </c>
      <c r="L164" s="8" t="str">
        <f>VLOOKUP(F164,[1]characters!$A:$M,13,FALSE)</f>
        <v>machine</v>
      </c>
      <c r="M164" s="5">
        <v>1</v>
      </c>
      <c r="N164" s="28">
        <f>VLOOKUP(D164,gacha_149_base!A:B,2,FALSE)</f>
        <v>1784</v>
      </c>
      <c r="O164" s="19">
        <v>0</v>
      </c>
      <c r="P164" s="19">
        <v>0</v>
      </c>
      <c r="Q164" s="19">
        <v>0</v>
      </c>
      <c r="R164" s="19">
        <v>0</v>
      </c>
      <c r="S164" s="19">
        <v>1</v>
      </c>
    </row>
    <row r="165" spans="1:19" ht="21" customHeight="1">
      <c r="A165" s="7" t="str">
        <f t="shared" si="20"/>
        <v>14902248</v>
      </c>
      <c r="B165" s="2">
        <f t="shared" si="19"/>
        <v>14902</v>
      </c>
      <c r="C165" s="8" t="str">
        <f t="shared" si="21"/>
        <v>0PremiumS4</v>
      </c>
      <c r="D165" s="8" t="str">
        <f t="shared" si="22"/>
        <v>0PremiumS4</v>
      </c>
      <c r="E165" s="5">
        <v>0</v>
      </c>
      <c r="F165" s="11">
        <v>248</v>
      </c>
      <c r="G165" s="8" t="str">
        <f>VLOOKUP(F165,[1]characters!$A:$C,3,FALSE)</f>
        <v>彩電の天使 ミカエル</v>
      </c>
      <c r="H165" s="8" t="str">
        <f>VLOOKUP(F165,[1]characters!$A:$J,10,FALSE)</f>
        <v>PremiumS</v>
      </c>
      <c r="I165" s="8">
        <f>VLOOKUP(F165,[1]characters!$A:$I,9,FALSE)</f>
        <v>4</v>
      </c>
      <c r="J165" s="8" t="str">
        <f>VLOOKUP(F165,[1]characters!$A:$H,8,FALSE)</f>
        <v>yellow</v>
      </c>
      <c r="K165" s="8" t="str">
        <f>VLOOKUP(F165,[1]characters!$A:$K,11,FALSE)</f>
        <v>attack</v>
      </c>
      <c r="L165" s="8" t="str">
        <f>VLOOKUP(F165,[1]characters!$A:$M,13,FALSE)</f>
        <v>machine</v>
      </c>
      <c r="M165" s="5">
        <v>1</v>
      </c>
      <c r="N165" s="28">
        <f>VLOOKUP(D165,gacha_149_base!A:B,2,FALSE)</f>
        <v>595</v>
      </c>
      <c r="O165" s="19">
        <v>0</v>
      </c>
      <c r="P165" s="19">
        <v>0</v>
      </c>
      <c r="Q165" s="19">
        <v>0</v>
      </c>
      <c r="R165" s="19">
        <v>0</v>
      </c>
      <c r="S165" s="19">
        <v>1</v>
      </c>
    </row>
    <row r="166" spans="1:19" s="17" customFormat="1" ht="21" customHeight="1" thickBot="1">
      <c r="A166" s="7" t="str">
        <f t="shared" si="20"/>
        <v>14902250</v>
      </c>
      <c r="B166" s="2">
        <f t="shared" si="19"/>
        <v>14902</v>
      </c>
      <c r="C166" s="8" t="str">
        <f t="shared" si="21"/>
        <v>0PremiumS3</v>
      </c>
      <c r="D166" s="8" t="str">
        <f t="shared" si="22"/>
        <v>0PremiumS3</v>
      </c>
      <c r="E166" s="5">
        <v>0</v>
      </c>
      <c r="F166" s="6">
        <v>250</v>
      </c>
      <c r="G166" s="8" t="str">
        <f>VLOOKUP(F166,[1]characters!$A:$C,3,FALSE)</f>
        <v>マンモン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balance</v>
      </c>
      <c r="L166" s="8" t="str">
        <f>VLOOKUP(F166,[1]characters!$A:$M,13,FALSE)</f>
        <v>god</v>
      </c>
      <c r="M166" s="5">
        <v>1</v>
      </c>
      <c r="N166" s="28">
        <f>VLOOKUP(D166,gacha_149_base!A:B,2,FALSE)</f>
        <v>1784</v>
      </c>
      <c r="O166" s="19">
        <v>0</v>
      </c>
      <c r="P166" s="19">
        <v>0</v>
      </c>
      <c r="Q166" s="19">
        <v>0</v>
      </c>
      <c r="R166" s="19">
        <v>0</v>
      </c>
      <c r="S166" s="19">
        <v>1</v>
      </c>
    </row>
    <row r="167" spans="1:19" ht="21" customHeight="1">
      <c r="A167" s="7" t="str">
        <f t="shared" si="20"/>
        <v>14902251</v>
      </c>
      <c r="B167" s="2">
        <f t="shared" ref="B167:B194" si="23">$B$70</f>
        <v>14902</v>
      </c>
      <c r="C167" s="8" t="str">
        <f t="shared" si="21"/>
        <v>0PremiumS4</v>
      </c>
      <c r="D167" s="8" t="str">
        <f t="shared" si="22"/>
        <v>0PremiumS4</v>
      </c>
      <c r="E167" s="5">
        <v>0</v>
      </c>
      <c r="F167" s="6">
        <v>251</v>
      </c>
      <c r="G167" s="8" t="str">
        <f>VLOOKUP(F167,[1]characters!$A:$C,3,FALSE)</f>
        <v>強欲 マンモン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balance</v>
      </c>
      <c r="L167" s="8" t="str">
        <f>VLOOKUP(F167,[1]characters!$A:$M,13,FALSE)</f>
        <v>god</v>
      </c>
      <c r="M167" s="5">
        <v>1</v>
      </c>
      <c r="N167" s="28">
        <f>VLOOKUP(D167,gacha_149_base!A:B,2,FALSE)</f>
        <v>595</v>
      </c>
      <c r="O167" s="19">
        <v>0</v>
      </c>
      <c r="P167" s="19">
        <v>0</v>
      </c>
      <c r="Q167" s="19">
        <v>0</v>
      </c>
      <c r="R167" s="19">
        <v>0</v>
      </c>
      <c r="S167" s="19">
        <v>1</v>
      </c>
    </row>
    <row r="168" spans="1:19" ht="21" customHeight="1">
      <c r="A168" s="7" t="str">
        <f t="shared" si="20"/>
        <v>14902253</v>
      </c>
      <c r="B168" s="2">
        <f t="shared" si="23"/>
        <v>14902</v>
      </c>
      <c r="C168" s="8" t="str">
        <f t="shared" si="21"/>
        <v>0PremiumS3</v>
      </c>
      <c r="D168" s="8" t="str">
        <f t="shared" si="22"/>
        <v>0PremiumS3</v>
      </c>
      <c r="E168" s="5">
        <v>0</v>
      </c>
      <c r="F168" s="6">
        <v>253</v>
      </c>
      <c r="G168" s="8" t="str">
        <f>VLOOKUP(F168,[1]characters!$A:$C,3,FALSE)</f>
        <v>ベルフェゴール</v>
      </c>
      <c r="H168" s="8" t="str">
        <f>VLOOKUP(F168,[1]characters!$A:$J,10,FALSE)</f>
        <v>PremiumS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technical</v>
      </c>
      <c r="L168" s="8" t="str">
        <f>VLOOKUP(F168,[1]characters!$A:$M,13,FALSE)</f>
        <v>god</v>
      </c>
      <c r="M168" s="5">
        <v>1</v>
      </c>
      <c r="N168" s="28">
        <f>VLOOKUP(D168,gacha_149_base!A:B,2,FALSE)</f>
        <v>1784</v>
      </c>
      <c r="O168" s="19">
        <v>0</v>
      </c>
      <c r="P168" s="19">
        <v>0</v>
      </c>
      <c r="Q168" s="19">
        <v>0</v>
      </c>
      <c r="R168" s="19">
        <v>0</v>
      </c>
      <c r="S168" s="19">
        <v>1</v>
      </c>
    </row>
    <row r="169" spans="1:19" ht="21" customHeight="1">
      <c r="A169" s="7" t="str">
        <f t="shared" si="20"/>
        <v>14902254</v>
      </c>
      <c r="B169" s="2">
        <f t="shared" si="23"/>
        <v>14902</v>
      </c>
      <c r="C169" s="8" t="str">
        <f t="shared" si="21"/>
        <v>0PremiumS4</v>
      </c>
      <c r="D169" s="8" t="str">
        <f t="shared" si="22"/>
        <v>0PremiumS4</v>
      </c>
      <c r="E169" s="5">
        <v>0</v>
      </c>
      <c r="F169" s="6">
        <v>254</v>
      </c>
      <c r="G169" s="8" t="str">
        <f>VLOOKUP(F169,[1]characters!$A:$C,3,FALSE)</f>
        <v>怠惰 ベルフェゴール</v>
      </c>
      <c r="H169" s="8" t="str">
        <f>VLOOKUP(F169,[1]characters!$A:$J,10,FALSE)</f>
        <v>PremiumS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technical</v>
      </c>
      <c r="L169" s="8" t="str">
        <f>VLOOKUP(F169,[1]characters!$A:$M,13,FALSE)</f>
        <v>god</v>
      </c>
      <c r="M169" s="5">
        <v>1</v>
      </c>
      <c r="N169" s="28">
        <f>VLOOKUP(D169,gacha_149_base!A:B,2,FALSE)</f>
        <v>595</v>
      </c>
      <c r="O169" s="19">
        <v>0</v>
      </c>
      <c r="P169" s="19">
        <v>0</v>
      </c>
      <c r="Q169" s="19">
        <v>0</v>
      </c>
      <c r="R169" s="19">
        <v>0</v>
      </c>
      <c r="S169" s="19">
        <v>1</v>
      </c>
    </row>
    <row r="170" spans="1:19" ht="21" customHeight="1">
      <c r="A170" s="7" t="str">
        <f t="shared" si="20"/>
        <v>14902256</v>
      </c>
      <c r="B170" s="2">
        <f t="shared" si="23"/>
        <v>14902</v>
      </c>
      <c r="C170" s="8" t="str">
        <f t="shared" si="21"/>
        <v>0PremiumS3</v>
      </c>
      <c r="D170" s="8" t="str">
        <f t="shared" si="22"/>
        <v>0PremiumS3</v>
      </c>
      <c r="E170" s="5">
        <v>0</v>
      </c>
      <c r="F170" s="6">
        <v>256</v>
      </c>
      <c r="G170" s="8" t="str">
        <f>VLOOKUP(F170,[1]characters!$A:$C,3,FALSE)</f>
        <v>アスモデウス</v>
      </c>
      <c r="H170" s="8" t="str">
        <f>VLOOKUP(F170,[1]characters!$A:$J,10,FALSE)</f>
        <v>PremiumS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attack</v>
      </c>
      <c r="L170" s="8" t="str">
        <f>VLOOKUP(F170,[1]characters!$A:$M,13,FALSE)</f>
        <v>god</v>
      </c>
      <c r="M170" s="5">
        <v>1</v>
      </c>
      <c r="N170" s="28">
        <f>VLOOKUP(D170,gacha_149_base!A:B,2,FALSE)</f>
        <v>1784</v>
      </c>
      <c r="O170" s="19">
        <v>0</v>
      </c>
      <c r="P170" s="19">
        <v>0</v>
      </c>
      <c r="Q170" s="19">
        <v>0</v>
      </c>
      <c r="R170" s="19">
        <v>0</v>
      </c>
      <c r="S170" s="19">
        <v>1</v>
      </c>
    </row>
    <row r="171" spans="1:19" ht="21" customHeight="1">
      <c r="A171" s="7" t="str">
        <f t="shared" si="20"/>
        <v>14902257</v>
      </c>
      <c r="B171" s="2">
        <f t="shared" si="23"/>
        <v>14902</v>
      </c>
      <c r="C171" s="8" t="str">
        <f t="shared" si="21"/>
        <v>0PremiumS4</v>
      </c>
      <c r="D171" s="8" t="str">
        <f t="shared" si="22"/>
        <v>0PremiumS4</v>
      </c>
      <c r="E171" s="5">
        <v>0</v>
      </c>
      <c r="F171" s="6">
        <v>257</v>
      </c>
      <c r="G171" s="8" t="str">
        <f>VLOOKUP(F171,[1]characters!$A:$C,3,FALSE)</f>
        <v>色欲 アスモデウス</v>
      </c>
      <c r="H171" s="8" t="str">
        <f>VLOOKUP(F171,[1]characters!$A:$J,10,FALSE)</f>
        <v>PremiumS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attack</v>
      </c>
      <c r="L171" s="8" t="str">
        <f>VLOOKUP(F171,[1]characters!$A:$M,13,FALSE)</f>
        <v>god</v>
      </c>
      <c r="M171" s="5">
        <v>1</v>
      </c>
      <c r="N171" s="28">
        <f>VLOOKUP(D171,gacha_149_base!A:B,2,FALSE)</f>
        <v>595</v>
      </c>
      <c r="O171" s="19">
        <v>0</v>
      </c>
      <c r="P171" s="19">
        <v>0</v>
      </c>
      <c r="Q171" s="19">
        <v>0</v>
      </c>
      <c r="R171" s="19">
        <v>0</v>
      </c>
      <c r="S171" s="19">
        <v>1</v>
      </c>
    </row>
    <row r="172" spans="1:19" ht="21" customHeight="1">
      <c r="A172" s="7" t="str">
        <f t="shared" si="20"/>
        <v>14902259</v>
      </c>
      <c r="B172" s="2">
        <f t="shared" si="23"/>
        <v>14902</v>
      </c>
      <c r="C172" s="8" t="str">
        <f t="shared" si="21"/>
        <v>0PremiumS3</v>
      </c>
      <c r="D172" s="8" t="str">
        <f t="shared" si="22"/>
        <v>0PremiumS3</v>
      </c>
      <c r="E172" s="5">
        <v>0</v>
      </c>
      <c r="F172" s="6">
        <v>259</v>
      </c>
      <c r="G172" s="8" t="str">
        <f>VLOOKUP(F172,[1]characters!$A:$C,3,FALSE)</f>
        <v>ウロボロス</v>
      </c>
      <c r="H172" s="8" t="str">
        <f>VLOOKUP(F172,[1]characters!$A:$J,10,FALSE)</f>
        <v>PremiumS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dragon</v>
      </c>
      <c r="M172" s="5">
        <v>1</v>
      </c>
      <c r="N172" s="28">
        <f>VLOOKUP(D172,gacha_149_base!A:B,2,FALSE)</f>
        <v>1784</v>
      </c>
      <c r="O172" s="19">
        <v>0</v>
      </c>
      <c r="P172" s="19">
        <v>0</v>
      </c>
      <c r="Q172" s="19">
        <v>0</v>
      </c>
      <c r="R172" s="19">
        <v>0</v>
      </c>
      <c r="S172" s="19">
        <v>1</v>
      </c>
    </row>
    <row r="173" spans="1:19" ht="21" customHeight="1">
      <c r="A173" s="7" t="str">
        <f t="shared" si="20"/>
        <v>14902260</v>
      </c>
      <c r="B173" s="2">
        <f t="shared" si="23"/>
        <v>14902</v>
      </c>
      <c r="C173" s="8" t="str">
        <f t="shared" si="21"/>
        <v>0PremiumS4</v>
      </c>
      <c r="D173" s="8" t="str">
        <f t="shared" si="22"/>
        <v>0PremiumS4</v>
      </c>
      <c r="E173" s="5">
        <v>0</v>
      </c>
      <c r="F173" s="6">
        <v>260</v>
      </c>
      <c r="G173" s="8" t="str">
        <f>VLOOKUP(F173,[1]characters!$A:$C,3,FALSE)</f>
        <v>輪廻 ウロボロス</v>
      </c>
      <c r="H173" s="8" t="str">
        <f>VLOOKUP(F173,[1]characters!$A:$J,10,FALSE)</f>
        <v>PremiumS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dragon</v>
      </c>
      <c r="M173" s="5">
        <v>1</v>
      </c>
      <c r="N173" s="28">
        <f>VLOOKUP(D173,gacha_149_base!A:B,2,FALSE)</f>
        <v>595</v>
      </c>
      <c r="O173" s="19">
        <v>0</v>
      </c>
      <c r="P173" s="19">
        <v>0</v>
      </c>
      <c r="Q173" s="19">
        <v>0</v>
      </c>
      <c r="R173" s="19">
        <v>0</v>
      </c>
      <c r="S173" s="19">
        <v>1</v>
      </c>
    </row>
    <row r="174" spans="1:19" ht="21" customHeight="1">
      <c r="A174" s="7" t="str">
        <f t="shared" si="20"/>
        <v>14902320</v>
      </c>
      <c r="B174" s="2">
        <f t="shared" si="23"/>
        <v>14902</v>
      </c>
      <c r="C174" s="8" t="str">
        <f t="shared" si="21"/>
        <v>0PremiumSS4</v>
      </c>
      <c r="D174" s="8" t="str">
        <f t="shared" si="22"/>
        <v>0PremiumSS4</v>
      </c>
      <c r="E174" s="13">
        <v>0</v>
      </c>
      <c r="F174" s="18">
        <v>320</v>
      </c>
      <c r="G174" s="8" t="str">
        <f>VLOOKUP(F174,[1]characters!$A:$C,3,FALSE)</f>
        <v>烈志士 近藤勇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red</v>
      </c>
      <c r="K174" s="8" t="str">
        <f>VLOOKUP(F174,[1]characters!$A:$K,11,FALSE)</f>
        <v>hp</v>
      </c>
      <c r="L174" s="8" t="str">
        <f>VLOOKUP(F174,[1]characters!$A:$M,13,FALSE)</f>
        <v>human</v>
      </c>
      <c r="M174" s="13">
        <v>1</v>
      </c>
      <c r="N174" s="28">
        <f>VLOOKUP(D174,gacha_149_base!A:B,2,FALSE)</f>
        <v>421</v>
      </c>
      <c r="O174" s="10">
        <v>0</v>
      </c>
      <c r="P174" s="19">
        <v>0</v>
      </c>
      <c r="Q174" s="10">
        <v>0</v>
      </c>
      <c r="R174" s="10">
        <v>0</v>
      </c>
      <c r="S174" s="10">
        <v>1</v>
      </c>
    </row>
    <row r="175" spans="1:19" ht="21" customHeight="1">
      <c r="A175" s="7" t="str">
        <f t="shared" si="20"/>
        <v>14902322</v>
      </c>
      <c r="B175" s="2">
        <f t="shared" si="23"/>
        <v>14902</v>
      </c>
      <c r="C175" s="8" t="str">
        <f t="shared" si="21"/>
        <v>0PremiumSS4</v>
      </c>
      <c r="D175" s="8" t="str">
        <f t="shared" si="22"/>
        <v>0PremiumSS4</v>
      </c>
      <c r="E175" s="13">
        <v>0</v>
      </c>
      <c r="F175" s="6">
        <v>322</v>
      </c>
      <c r="G175" s="8" t="str">
        <f>VLOOKUP(F175,[1]characters!$A:$C,3,FALSE)</f>
        <v>愛志士 土方歳三</v>
      </c>
      <c r="H175" s="8" t="str">
        <f>VLOOKUP(F175,[1]characters!$A:$J,10,FALSE)</f>
        <v>PremiumSS</v>
      </c>
      <c r="I175" s="8">
        <f>VLOOKUP(F175,[1]characters!$A:$I,9,FALSE)</f>
        <v>4</v>
      </c>
      <c r="J175" s="8" t="str">
        <f>VLOOKUP(F175,[1]characters!$A:$H,8,FALSE)</f>
        <v>green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5">
        <v>1</v>
      </c>
      <c r="N175" s="28">
        <f>VLOOKUP(D175,gacha_149_base!A:B,2,FALSE)</f>
        <v>421</v>
      </c>
      <c r="O175" s="19">
        <v>0</v>
      </c>
      <c r="P175" s="19">
        <v>0</v>
      </c>
      <c r="Q175" s="19">
        <v>0</v>
      </c>
      <c r="R175" s="19">
        <v>0</v>
      </c>
      <c r="S175" s="19">
        <v>1</v>
      </c>
    </row>
    <row r="176" spans="1:19" ht="21" customHeight="1">
      <c r="A176" s="7" t="str">
        <f t="shared" si="20"/>
        <v>14902324</v>
      </c>
      <c r="B176" s="2">
        <f t="shared" si="23"/>
        <v>14902</v>
      </c>
      <c r="C176" s="8" t="str">
        <f t="shared" si="21"/>
        <v>0PremiumSS4</v>
      </c>
      <c r="D176" s="8" t="str">
        <f t="shared" si="22"/>
        <v>0PremiumSS4</v>
      </c>
      <c r="E176" s="13">
        <v>0</v>
      </c>
      <c r="F176" s="6">
        <v>324</v>
      </c>
      <c r="G176" s="8" t="str">
        <f>VLOOKUP(F176,[1]characters!$A:$C,3,FALSE)</f>
        <v>凛志士 沖田総司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blue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28">
        <f>VLOOKUP(D176,gacha_149_base!A:B,2,FALSE)</f>
        <v>421</v>
      </c>
      <c r="O176" s="19">
        <v>0</v>
      </c>
      <c r="P176" s="19">
        <v>0</v>
      </c>
      <c r="Q176" s="19">
        <v>0</v>
      </c>
      <c r="R176" s="19">
        <v>0</v>
      </c>
      <c r="S176" s="19">
        <v>1</v>
      </c>
    </row>
    <row r="177" spans="1:19" ht="21" customHeight="1">
      <c r="A177" s="7" t="str">
        <f t="shared" si="20"/>
        <v>14902326</v>
      </c>
      <c r="B177" s="2">
        <f t="shared" si="23"/>
        <v>14902</v>
      </c>
      <c r="C177" s="8" t="str">
        <f t="shared" si="21"/>
        <v>0PremiumSS4</v>
      </c>
      <c r="D177" s="8" t="str">
        <f t="shared" si="22"/>
        <v>0PremiumSS4</v>
      </c>
      <c r="E177" s="13">
        <v>0</v>
      </c>
      <c r="F177" s="23">
        <v>326</v>
      </c>
      <c r="G177" s="8" t="str">
        <f>VLOOKUP(F177,[1]characters!$A:$C,3,FALSE)</f>
        <v>妖志士 斎藤一</v>
      </c>
      <c r="H177" s="8" t="str">
        <f>VLOOKUP(F177,[1]characters!$A:$J,10,FALSE)</f>
        <v>PremiumSS</v>
      </c>
      <c r="I177" s="8">
        <f>VLOOKUP(F177,[1]characters!$A:$I,9,FALSE)</f>
        <v>4</v>
      </c>
      <c r="J177" s="8" t="str">
        <f>VLOOKUP(F177,[1]characters!$A:$H,8,FALSE)</f>
        <v>yellow</v>
      </c>
      <c r="K177" s="8" t="str">
        <f>VLOOKUP(F177,[1]characters!$A:$K,11,FALSE)</f>
        <v>technical</v>
      </c>
      <c r="L177" s="8" t="str">
        <f>VLOOKUP(F177,[1]characters!$A:$M,13,FALSE)</f>
        <v>human</v>
      </c>
      <c r="M177" s="22">
        <v>1</v>
      </c>
      <c r="N177" s="28">
        <f>VLOOKUP(D177,gacha_149_base!A:B,2,FALSE)</f>
        <v>421</v>
      </c>
      <c r="O177" s="25">
        <v>0</v>
      </c>
      <c r="P177" s="19">
        <v>0</v>
      </c>
      <c r="Q177" s="25">
        <v>0</v>
      </c>
      <c r="R177" s="25">
        <v>0</v>
      </c>
      <c r="S177" s="25">
        <v>1</v>
      </c>
    </row>
    <row r="178" spans="1:19" ht="21" customHeight="1">
      <c r="A178" s="7" t="str">
        <f t="shared" si="20"/>
        <v>14902380</v>
      </c>
      <c r="B178" s="2">
        <f t="shared" si="23"/>
        <v>14902</v>
      </c>
      <c r="C178" s="8" t="str">
        <f t="shared" si="21"/>
        <v>0PremiumS3</v>
      </c>
      <c r="D178" s="8" t="str">
        <f t="shared" si="22"/>
        <v>0PremiumS3</v>
      </c>
      <c r="E178" s="37">
        <v>0</v>
      </c>
      <c r="F178" s="18">
        <v>380</v>
      </c>
      <c r="G178" s="8" t="str">
        <f>VLOOKUP(F178,[1]characters!$A:$C,3,FALSE)</f>
        <v>バハムート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red</v>
      </c>
      <c r="K178" s="8" t="str">
        <f>VLOOKUP(F178,[1]characters!$A:$K,11,FALSE)</f>
        <v>technical</v>
      </c>
      <c r="L178" s="8" t="str">
        <f>VLOOKUP(F178,[1]characters!$A:$M,13,FALSE)</f>
        <v>dragon</v>
      </c>
      <c r="M178" s="13">
        <v>1</v>
      </c>
      <c r="N178" s="28">
        <f>VLOOKUP(D178,gacha_149_base!A:B,2,FALSE)</f>
        <v>1784</v>
      </c>
      <c r="O178" s="10">
        <v>0</v>
      </c>
      <c r="P178" s="19">
        <v>0</v>
      </c>
      <c r="Q178" s="10">
        <v>0</v>
      </c>
      <c r="R178" s="10">
        <v>0</v>
      </c>
      <c r="S178" s="10">
        <v>1</v>
      </c>
    </row>
    <row r="179" spans="1:19" ht="21" customHeight="1">
      <c r="A179" s="7" t="str">
        <f t="shared" si="20"/>
        <v>14902381</v>
      </c>
      <c r="B179" s="2">
        <f t="shared" si="23"/>
        <v>14902</v>
      </c>
      <c r="C179" s="8" t="str">
        <f t="shared" si="21"/>
        <v>0PremiumS4</v>
      </c>
      <c r="D179" s="8" t="str">
        <f t="shared" si="22"/>
        <v>0PremiumS4</v>
      </c>
      <c r="E179" s="37">
        <v>0</v>
      </c>
      <c r="F179" s="18">
        <v>381</v>
      </c>
      <c r="G179" s="8" t="str">
        <f>VLOOKUP(F179,[1]characters!$A:$C,3,FALSE)</f>
        <v>肉食の恋火 バハムート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red</v>
      </c>
      <c r="K179" s="8" t="str">
        <f>VLOOKUP(F179,[1]characters!$A:$K,11,FALSE)</f>
        <v>technical</v>
      </c>
      <c r="L179" s="8" t="str">
        <f>VLOOKUP(F179,[1]characters!$A:$M,13,FALSE)</f>
        <v>dragon</v>
      </c>
      <c r="M179" s="5">
        <v>1</v>
      </c>
      <c r="N179" s="28">
        <f>VLOOKUP(D179,gacha_149_base!A:B,2,FALSE)</f>
        <v>595</v>
      </c>
      <c r="O179" s="19">
        <v>0</v>
      </c>
      <c r="P179" s="19">
        <v>0</v>
      </c>
      <c r="Q179" s="19">
        <v>0</v>
      </c>
      <c r="R179" s="19">
        <v>0</v>
      </c>
      <c r="S179" s="19">
        <v>1</v>
      </c>
    </row>
    <row r="180" spans="1:19" ht="21" customHeight="1">
      <c r="A180" s="7" t="str">
        <f t="shared" si="20"/>
        <v>14902383</v>
      </c>
      <c r="B180" s="2">
        <f t="shared" si="23"/>
        <v>14902</v>
      </c>
      <c r="C180" s="8" t="str">
        <f t="shared" si="21"/>
        <v>0PremiumSS4</v>
      </c>
      <c r="D180" s="8" t="str">
        <f t="shared" si="22"/>
        <v>0PremiumSS4</v>
      </c>
      <c r="E180" s="37">
        <v>0</v>
      </c>
      <c r="F180" s="18">
        <v>383</v>
      </c>
      <c r="G180" s="8" t="str">
        <f>VLOOKUP(F180,[1]characters!$A:$C,3,FALSE)</f>
        <v>酒宴の蟒蛇 ヤマタノオロチ</v>
      </c>
      <c r="H180" s="8" t="str">
        <f>VLOOKUP(F180,[1]characters!$A:$J,10,FALSE)</f>
        <v>PremiumSS</v>
      </c>
      <c r="I180" s="8">
        <f>VLOOKUP(F180,[1]characters!$A:$I,9,FALSE)</f>
        <v>4</v>
      </c>
      <c r="J180" s="8" t="str">
        <f>VLOOKUP(F180,[1]characters!$A:$H,8,FALSE)</f>
        <v>green</v>
      </c>
      <c r="K180" s="8" t="str">
        <f>VLOOKUP(F180,[1]characters!$A:$K,11,FALSE)</f>
        <v>hp</v>
      </c>
      <c r="L180" s="8" t="str">
        <f>VLOOKUP(F180,[1]characters!$A:$M,13,FALSE)</f>
        <v>dragon</v>
      </c>
      <c r="M180" s="5">
        <v>1</v>
      </c>
      <c r="N180" s="28">
        <f>VLOOKUP(D180,gacha_149_base!A:B,2,FALSE)</f>
        <v>421</v>
      </c>
      <c r="O180" s="19">
        <v>0</v>
      </c>
      <c r="P180" s="19">
        <v>0</v>
      </c>
      <c r="Q180" s="19">
        <v>0</v>
      </c>
      <c r="R180" s="19">
        <v>0</v>
      </c>
      <c r="S180" s="19">
        <v>1</v>
      </c>
    </row>
    <row r="181" spans="1:19" ht="21" customHeight="1">
      <c r="A181" s="7" t="str">
        <f t="shared" si="20"/>
        <v>14902385</v>
      </c>
      <c r="B181" s="2">
        <f t="shared" si="23"/>
        <v>14902</v>
      </c>
      <c r="C181" s="8" t="str">
        <f t="shared" si="21"/>
        <v>0PremiumSS4</v>
      </c>
      <c r="D181" s="8" t="str">
        <f t="shared" si="22"/>
        <v>0PremiumSS4</v>
      </c>
      <c r="E181" s="37">
        <v>0</v>
      </c>
      <c r="F181" s="18">
        <v>385</v>
      </c>
      <c r="G181" s="8" t="str">
        <f>VLOOKUP(F181,[1]characters!$A:$C,3,FALSE)</f>
        <v>波烈の出奔 リヴァイアサン</v>
      </c>
      <c r="H181" s="8" t="str">
        <f>VLOOKUP(F181,[1]characters!$A:$J,10,FALSE)</f>
        <v>PremiumSS</v>
      </c>
      <c r="I181" s="8">
        <f>VLOOKUP(F181,[1]characters!$A:$I,9,FALSE)</f>
        <v>4</v>
      </c>
      <c r="J181" s="8" t="str">
        <f>VLOOKUP(F181,[1]characters!$A:$H,8,FALSE)</f>
        <v>blue</v>
      </c>
      <c r="K181" s="8" t="str">
        <f>VLOOKUP(F181,[1]characters!$A:$K,11,FALSE)</f>
        <v>balance</v>
      </c>
      <c r="L181" s="8" t="str">
        <f>VLOOKUP(F181,[1]characters!$A:$M,13,FALSE)</f>
        <v>dragon</v>
      </c>
      <c r="M181" s="5">
        <v>1</v>
      </c>
      <c r="N181" s="28">
        <f>VLOOKUP(D181,gacha_149_base!A:B,2,FALSE)</f>
        <v>421</v>
      </c>
      <c r="O181" s="19">
        <v>0</v>
      </c>
      <c r="P181" s="19">
        <v>0</v>
      </c>
      <c r="Q181" s="19">
        <v>0</v>
      </c>
      <c r="R181" s="19">
        <v>0</v>
      </c>
      <c r="S181" s="19">
        <v>1</v>
      </c>
    </row>
    <row r="182" spans="1:19" ht="21" customHeight="1">
      <c r="A182" s="7" t="str">
        <f t="shared" si="20"/>
        <v>14902388</v>
      </c>
      <c r="B182" s="2">
        <f t="shared" si="23"/>
        <v>14902</v>
      </c>
      <c r="C182" s="8" t="str">
        <f t="shared" si="21"/>
        <v>0PremiumS4</v>
      </c>
      <c r="D182" s="8" t="str">
        <f t="shared" si="22"/>
        <v>0PremiumS4</v>
      </c>
      <c r="E182" s="37">
        <v>0</v>
      </c>
      <c r="F182" s="23">
        <v>388</v>
      </c>
      <c r="G182" s="8" t="str">
        <f>VLOOKUP(F182,[1]characters!$A:$C,3,FALSE)</f>
        <v>神円の恋姫 スフィンクス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yellow</v>
      </c>
      <c r="K182" s="8" t="str">
        <f>VLOOKUP(F182,[1]characters!$A:$K,11,FALSE)</f>
        <v>heal</v>
      </c>
      <c r="L182" s="8" t="str">
        <f>VLOOKUP(F182,[1]characters!$A:$M,13,FALSE)</f>
        <v>animal</v>
      </c>
      <c r="M182" s="22">
        <v>1</v>
      </c>
      <c r="N182" s="28">
        <f>VLOOKUP(D182,gacha_149_base!A:B,2,FALSE)</f>
        <v>595</v>
      </c>
      <c r="O182" s="25">
        <v>0</v>
      </c>
      <c r="P182" s="19">
        <v>0</v>
      </c>
      <c r="Q182" s="25">
        <v>0</v>
      </c>
      <c r="R182" s="25">
        <v>0</v>
      </c>
      <c r="S182" s="25">
        <v>1</v>
      </c>
    </row>
    <row r="183" spans="1:19" s="26" customFormat="1" ht="21" customHeight="1" thickBot="1">
      <c r="A183" s="7" t="str">
        <f t="shared" si="20"/>
        <v>14902389</v>
      </c>
      <c r="B183" s="2">
        <f t="shared" si="23"/>
        <v>14902</v>
      </c>
      <c r="C183" s="8" t="str">
        <f t="shared" si="21"/>
        <v>0PremiumS5</v>
      </c>
      <c r="D183" s="8" t="str">
        <f t="shared" si="22"/>
        <v>0PremiumS5</v>
      </c>
      <c r="E183" s="37">
        <v>0</v>
      </c>
      <c r="F183" s="6">
        <v>389</v>
      </c>
      <c r="G183" s="8" t="str">
        <f>VLOOKUP(F183,[1]characters!$A:$C,3,FALSE)</f>
        <v>操神の愛姫 スフィンクス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yellow</v>
      </c>
      <c r="K183" s="8" t="str">
        <f>VLOOKUP(F183,[1]characters!$A:$K,11,FALSE)</f>
        <v>heal</v>
      </c>
      <c r="L183" s="8" t="str">
        <f>VLOOKUP(F183,[1]characters!$A:$M,13,FALSE)</f>
        <v>animal</v>
      </c>
      <c r="M183" s="15">
        <v>1</v>
      </c>
      <c r="N183" s="28">
        <f>VLOOKUP(D183,gacha_149_base!A:B,2,FALSE)</f>
        <v>24</v>
      </c>
      <c r="O183" s="20">
        <v>0</v>
      </c>
      <c r="P183" s="19">
        <v>0</v>
      </c>
      <c r="Q183" s="20">
        <v>0</v>
      </c>
      <c r="R183" s="20">
        <v>0</v>
      </c>
      <c r="S183" s="20">
        <v>1</v>
      </c>
    </row>
    <row r="184" spans="1:19" ht="21" customHeight="1">
      <c r="A184" s="7" t="str">
        <f t="shared" si="20"/>
        <v>14902390</v>
      </c>
      <c r="B184" s="2">
        <f t="shared" si="23"/>
        <v>14902</v>
      </c>
      <c r="C184" s="8" t="str">
        <f t="shared" si="21"/>
        <v>0PremiumSS4</v>
      </c>
      <c r="D184" s="8" t="str">
        <f t="shared" si="22"/>
        <v>0PremiumSS4</v>
      </c>
      <c r="E184" s="37">
        <v>0</v>
      </c>
      <c r="F184" s="23">
        <v>390</v>
      </c>
      <c r="G184" s="8" t="str">
        <f>VLOOKUP(F184,[1]characters!$A:$C,3,FALSE)</f>
        <v>華環の旅客 親指姫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red</v>
      </c>
      <c r="K184" s="8" t="str">
        <f>VLOOKUP(F184,[1]characters!$A:$K,11,FALSE)</f>
        <v>heal</v>
      </c>
      <c r="L184" s="8" t="str">
        <f>VLOOKUP(F184,[1]characters!$A:$M,13,FALSE)</f>
        <v>human</v>
      </c>
      <c r="M184" s="22">
        <v>1</v>
      </c>
      <c r="N184" s="28">
        <f>VLOOKUP(D184,gacha_149_base!A:B,2,FALSE)</f>
        <v>421</v>
      </c>
      <c r="O184" s="25">
        <v>0</v>
      </c>
      <c r="P184" s="19">
        <v>0</v>
      </c>
      <c r="Q184" s="25">
        <v>0</v>
      </c>
      <c r="R184" s="25">
        <v>0</v>
      </c>
      <c r="S184" s="25">
        <v>1</v>
      </c>
    </row>
    <row r="185" spans="1:19" ht="21" customHeight="1">
      <c r="A185" s="7" t="str">
        <f t="shared" si="20"/>
        <v>14902391</v>
      </c>
      <c r="B185" s="2">
        <f t="shared" si="23"/>
        <v>14902</v>
      </c>
      <c r="C185" s="8" t="str">
        <f t="shared" si="21"/>
        <v>0PremiumSS5</v>
      </c>
      <c r="D185" s="8" t="str">
        <f t="shared" si="22"/>
        <v>0PremiumSS5</v>
      </c>
      <c r="E185" s="37">
        <v>0</v>
      </c>
      <c r="F185" s="6">
        <v>391</v>
      </c>
      <c r="G185" s="8" t="str">
        <f>VLOOKUP(F185,[1]characters!$A:$C,3,FALSE)</f>
        <v>燕翼の旅人 親指姫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red</v>
      </c>
      <c r="K185" s="8" t="str">
        <f>VLOOKUP(F185,[1]characters!$A:$K,11,FALSE)</f>
        <v>heal</v>
      </c>
      <c r="L185" s="8" t="str">
        <f>VLOOKUP(F185,[1]characters!$A:$M,13,FALSE)</f>
        <v>human</v>
      </c>
      <c r="M185" s="5">
        <v>1</v>
      </c>
      <c r="N185" s="28">
        <f>VLOOKUP(D185,gacha_149_base!A:B,2,FALSE)</f>
        <v>17</v>
      </c>
      <c r="O185" s="19">
        <v>0</v>
      </c>
      <c r="P185" s="19">
        <v>0</v>
      </c>
      <c r="Q185" s="19">
        <v>0</v>
      </c>
      <c r="R185" s="19">
        <v>0</v>
      </c>
      <c r="S185" s="19">
        <v>1</v>
      </c>
    </row>
    <row r="186" spans="1:19" ht="21" customHeight="1">
      <c r="A186" s="7" t="str">
        <f t="shared" si="20"/>
        <v>14902392</v>
      </c>
      <c r="B186" s="2">
        <f t="shared" si="23"/>
        <v>14902</v>
      </c>
      <c r="C186" s="8" t="str">
        <f t="shared" si="21"/>
        <v>0PremiumS3</v>
      </c>
      <c r="D186" s="8" t="str">
        <f t="shared" si="22"/>
        <v>0PremiumS3</v>
      </c>
      <c r="E186" s="37">
        <v>0</v>
      </c>
      <c r="F186" s="23">
        <v>392</v>
      </c>
      <c r="G186" s="8" t="str">
        <f>VLOOKUP(F186,[1]characters!$A:$C,3,FALSE)</f>
        <v>ピーターパン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green</v>
      </c>
      <c r="K186" s="8" t="str">
        <f>VLOOKUP(F186,[1]characters!$A:$K,11,FALSE)</f>
        <v>attack</v>
      </c>
      <c r="L186" s="8" t="str">
        <f>VLOOKUP(F186,[1]characters!$A:$M,13,FALSE)</f>
        <v>human</v>
      </c>
      <c r="M186" s="22">
        <v>1</v>
      </c>
      <c r="N186" s="28">
        <f>VLOOKUP(D186,gacha_149_base!A:B,2,FALSE)</f>
        <v>1784</v>
      </c>
      <c r="O186" s="25">
        <v>0</v>
      </c>
      <c r="P186" s="19">
        <v>0</v>
      </c>
      <c r="Q186" s="25">
        <v>0</v>
      </c>
      <c r="R186" s="25">
        <v>0</v>
      </c>
      <c r="S186" s="25">
        <v>1</v>
      </c>
    </row>
    <row r="187" spans="1:19" ht="21" customHeight="1" thickBot="1">
      <c r="A187" s="7" t="str">
        <f t="shared" si="20"/>
        <v>14902393</v>
      </c>
      <c r="B187" s="2">
        <f t="shared" si="23"/>
        <v>14902</v>
      </c>
      <c r="C187" s="8" t="str">
        <f t="shared" si="21"/>
        <v>0PremiumS4</v>
      </c>
      <c r="D187" s="8" t="str">
        <f t="shared" si="22"/>
        <v>0PremiumS4</v>
      </c>
      <c r="E187" s="37">
        <v>0</v>
      </c>
      <c r="F187" s="6">
        <v>393</v>
      </c>
      <c r="G187" s="8" t="str">
        <f>VLOOKUP(F187,[1]characters!$A:$C,3,FALSE)</f>
        <v>影縫い ピーターパン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green</v>
      </c>
      <c r="K187" s="8" t="str">
        <f>VLOOKUP(F187,[1]characters!$A:$K,11,FALSE)</f>
        <v>attack</v>
      </c>
      <c r="L187" s="8" t="str">
        <f>VLOOKUP(F187,[1]characters!$A:$M,13,FALSE)</f>
        <v>human</v>
      </c>
      <c r="M187" s="15">
        <v>1</v>
      </c>
      <c r="N187" s="28">
        <f>VLOOKUP(D187,gacha_149_base!A:B,2,FALSE)</f>
        <v>595</v>
      </c>
      <c r="O187" s="20">
        <v>0</v>
      </c>
      <c r="P187" s="19">
        <v>0</v>
      </c>
      <c r="Q187" s="20">
        <v>0</v>
      </c>
      <c r="R187" s="20">
        <v>0</v>
      </c>
      <c r="S187" s="20">
        <v>1</v>
      </c>
    </row>
    <row r="188" spans="1:19" ht="21" customHeight="1">
      <c r="A188" s="7" t="str">
        <f t="shared" si="20"/>
        <v>14902396</v>
      </c>
      <c r="B188" s="2">
        <f t="shared" si="23"/>
        <v>14902</v>
      </c>
      <c r="C188" s="8" t="str">
        <f t="shared" si="21"/>
        <v>0PremiumS4</v>
      </c>
      <c r="D188" s="8" t="str">
        <f t="shared" si="22"/>
        <v>0PremiumS4</v>
      </c>
      <c r="E188" s="37">
        <v>0</v>
      </c>
      <c r="F188" s="23">
        <v>396</v>
      </c>
      <c r="G188" s="8" t="str">
        <f>VLOOKUP(F188,[1]characters!$A:$C,3,FALSE)</f>
        <v>竜宮の水雷 乙姫</v>
      </c>
      <c r="H188" s="8" t="str">
        <f>VLOOKUP(F188,[1]characters!$A:$J,10,FALSE)</f>
        <v>PremiumS</v>
      </c>
      <c r="I188" s="8">
        <f>VLOOKUP(F188,[1]characters!$A:$I,9,FALSE)</f>
        <v>4</v>
      </c>
      <c r="J188" s="8" t="str">
        <f>VLOOKUP(F188,[1]characters!$A:$H,8,FALSE)</f>
        <v>blue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22">
        <v>1</v>
      </c>
      <c r="N188" s="28">
        <f>VLOOKUP(D188,gacha_149_base!A:B,2,FALSE)</f>
        <v>595</v>
      </c>
      <c r="O188" s="25">
        <v>0</v>
      </c>
      <c r="P188" s="19">
        <v>0</v>
      </c>
      <c r="Q188" s="25">
        <v>0</v>
      </c>
      <c r="R188" s="25">
        <v>0</v>
      </c>
      <c r="S188" s="25">
        <v>1</v>
      </c>
    </row>
    <row r="189" spans="1:19" ht="21" customHeight="1" thickBot="1">
      <c r="A189" s="7" t="str">
        <f t="shared" si="20"/>
        <v>14902397</v>
      </c>
      <c r="B189" s="2">
        <f t="shared" si="23"/>
        <v>14902</v>
      </c>
      <c r="C189" s="8" t="str">
        <f t="shared" si="21"/>
        <v>0PremiumS5</v>
      </c>
      <c r="D189" s="8" t="str">
        <f t="shared" si="22"/>
        <v>0PremiumS5</v>
      </c>
      <c r="E189" s="37">
        <v>0</v>
      </c>
      <c r="F189" s="6">
        <v>397</v>
      </c>
      <c r="G189" s="8" t="str">
        <f>VLOOKUP(F189,[1]characters!$A:$C,3,FALSE)</f>
        <v>禁断の追箱 乙姫</v>
      </c>
      <c r="H189" s="8" t="str">
        <f>VLOOKUP(F189,[1]characters!$A:$J,10,FALSE)</f>
        <v>PremiumS</v>
      </c>
      <c r="I189" s="8">
        <f>VLOOKUP(F189,[1]characters!$A:$I,9,FALSE)</f>
        <v>5</v>
      </c>
      <c r="J189" s="8" t="str">
        <f>VLOOKUP(F189,[1]characters!$A:$H,8,FALSE)</f>
        <v>blue</v>
      </c>
      <c r="K189" s="8" t="str">
        <f>VLOOKUP(F189,[1]characters!$A:$K,11,FALSE)</f>
        <v>hp</v>
      </c>
      <c r="L189" s="8" t="str">
        <f>VLOOKUP(F189,[1]characters!$A:$M,13,FALSE)</f>
        <v>human</v>
      </c>
      <c r="M189" s="15">
        <v>1</v>
      </c>
      <c r="N189" s="28">
        <f>VLOOKUP(D189,gacha_149_base!A:B,2,FALSE)</f>
        <v>24</v>
      </c>
      <c r="O189" s="20">
        <v>0</v>
      </c>
      <c r="P189" s="19">
        <v>0</v>
      </c>
      <c r="Q189" s="20">
        <v>0</v>
      </c>
      <c r="R189" s="20">
        <v>0</v>
      </c>
      <c r="S189" s="20">
        <v>1</v>
      </c>
    </row>
    <row r="190" spans="1:19" ht="21" customHeight="1">
      <c r="A190" s="7" t="str">
        <f t="shared" si="20"/>
        <v>14902398</v>
      </c>
      <c r="B190" s="2">
        <f t="shared" si="23"/>
        <v>14902</v>
      </c>
      <c r="C190" s="8" t="str">
        <f t="shared" si="21"/>
        <v>0PremiumSS4</v>
      </c>
      <c r="D190" s="8" t="str">
        <f t="shared" si="22"/>
        <v>0PremiumSS4</v>
      </c>
      <c r="E190" s="37">
        <v>0</v>
      </c>
      <c r="F190" s="23">
        <v>398</v>
      </c>
      <c r="G190" s="8" t="str">
        <f>VLOOKUP(F190,[1]characters!$A:$C,3,FALSE)</f>
        <v>ヘンゼル＆グレーテル</v>
      </c>
      <c r="H190" s="8" t="str">
        <f>VLOOKUP(F190,[1]characters!$A:$J,10,FALSE)</f>
        <v>PremiumSS</v>
      </c>
      <c r="I190" s="8">
        <f>VLOOKUP(F190,[1]characters!$A:$I,9,FALSE)</f>
        <v>4</v>
      </c>
      <c r="J190" s="8" t="str">
        <f>VLOOKUP(F190,[1]characters!$A:$H,8,FALSE)</f>
        <v>yellow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22">
        <v>1</v>
      </c>
      <c r="N190" s="28">
        <f>VLOOKUP(D190,gacha_149_base!A:B,2,FALSE)</f>
        <v>421</v>
      </c>
      <c r="O190" s="25">
        <v>0</v>
      </c>
      <c r="P190" s="19">
        <v>0</v>
      </c>
      <c r="Q190" s="25">
        <v>0</v>
      </c>
      <c r="R190" s="25">
        <v>0</v>
      </c>
      <c r="S190" s="25">
        <v>1</v>
      </c>
    </row>
    <row r="191" spans="1:19" s="26" customFormat="1" ht="21" customHeight="1" thickBot="1">
      <c r="A191" s="7" t="s">
        <v>80</v>
      </c>
      <c r="B191" s="2">
        <f t="shared" si="23"/>
        <v>14902</v>
      </c>
      <c r="C191" s="8" t="s">
        <v>81</v>
      </c>
      <c r="D191" s="8" t="s">
        <v>82</v>
      </c>
      <c r="E191" s="5">
        <v>0</v>
      </c>
      <c r="F191" s="6">
        <v>240</v>
      </c>
      <c r="G191" s="8" t="s">
        <v>83</v>
      </c>
      <c r="H191" s="8" t="s">
        <v>75</v>
      </c>
      <c r="I191" s="8">
        <v>5</v>
      </c>
      <c r="J191" s="8" t="s">
        <v>84</v>
      </c>
      <c r="K191" s="8" t="s">
        <v>85</v>
      </c>
      <c r="L191" s="8" t="s">
        <v>86</v>
      </c>
      <c r="M191" s="5">
        <v>1</v>
      </c>
      <c r="N191" s="28">
        <f>VLOOKUP(D191,gacha_149_base!A:B,2,FALSE)</f>
        <v>2830</v>
      </c>
      <c r="O191" s="19">
        <v>0</v>
      </c>
      <c r="P191" s="19">
        <v>0</v>
      </c>
      <c r="Q191" s="19">
        <v>0</v>
      </c>
      <c r="R191" s="19">
        <v>0</v>
      </c>
      <c r="S191" s="19">
        <v>1</v>
      </c>
    </row>
    <row r="192" spans="1:19" ht="21" customHeight="1">
      <c r="A192" s="7" t="s">
        <v>87</v>
      </c>
      <c r="B192" s="2">
        <f t="shared" si="23"/>
        <v>14902</v>
      </c>
      <c r="C192" s="8" t="s">
        <v>81</v>
      </c>
      <c r="D192" s="8" t="s">
        <v>82</v>
      </c>
      <c r="E192" s="5">
        <v>0</v>
      </c>
      <c r="F192" s="6">
        <v>246</v>
      </c>
      <c r="G192" s="8" t="s">
        <v>88</v>
      </c>
      <c r="H192" s="8" t="s">
        <v>75</v>
      </c>
      <c r="I192" s="8">
        <v>5</v>
      </c>
      <c r="J192" s="8" t="s">
        <v>89</v>
      </c>
      <c r="K192" s="8" t="s">
        <v>90</v>
      </c>
      <c r="L192" s="8" t="s">
        <v>86</v>
      </c>
      <c r="M192" s="5">
        <v>1</v>
      </c>
      <c r="N192" s="28">
        <f>VLOOKUP(D192,gacha_149_base!A:B,2,FALSE)</f>
        <v>2830</v>
      </c>
      <c r="O192" s="19">
        <v>0</v>
      </c>
      <c r="P192" s="19">
        <v>0</v>
      </c>
      <c r="Q192" s="19">
        <v>0</v>
      </c>
      <c r="R192" s="19">
        <v>0</v>
      </c>
      <c r="S192" s="19">
        <v>1</v>
      </c>
    </row>
    <row r="193" spans="1:19" s="26" customFormat="1" ht="21" customHeight="1" thickBot="1">
      <c r="A193" s="7" t="s">
        <v>91</v>
      </c>
      <c r="B193" s="2">
        <f t="shared" si="23"/>
        <v>14902</v>
      </c>
      <c r="C193" s="8" t="s">
        <v>92</v>
      </c>
      <c r="D193" s="8" t="s">
        <v>93</v>
      </c>
      <c r="E193" s="5">
        <v>0</v>
      </c>
      <c r="F193" s="6">
        <v>384</v>
      </c>
      <c r="G193" s="8" t="s">
        <v>94</v>
      </c>
      <c r="H193" s="8" t="s">
        <v>76</v>
      </c>
      <c r="I193" s="8">
        <v>5</v>
      </c>
      <c r="J193" s="8" t="s">
        <v>95</v>
      </c>
      <c r="K193" s="8" t="s">
        <v>85</v>
      </c>
      <c r="L193" s="8" t="s">
        <v>96</v>
      </c>
      <c r="M193" s="5">
        <v>1</v>
      </c>
      <c r="N193" s="28">
        <f>VLOOKUP(D193,gacha_149_base!A:B,2,FALSE)</f>
        <v>1510</v>
      </c>
      <c r="O193" s="19">
        <v>0</v>
      </c>
      <c r="P193" s="19">
        <v>0</v>
      </c>
      <c r="Q193" s="19">
        <v>0</v>
      </c>
      <c r="R193" s="19">
        <v>0</v>
      </c>
      <c r="S193" s="19">
        <v>1</v>
      </c>
    </row>
    <row r="194" spans="1:19" s="26" customFormat="1" ht="21" customHeight="1" thickBot="1">
      <c r="A194" s="7" t="s">
        <v>97</v>
      </c>
      <c r="B194" s="2">
        <f t="shared" si="23"/>
        <v>14902</v>
      </c>
      <c r="C194" s="8" t="s">
        <v>98</v>
      </c>
      <c r="D194" s="8" t="s">
        <v>99</v>
      </c>
      <c r="E194" s="5">
        <v>0</v>
      </c>
      <c r="F194" s="6">
        <v>189</v>
      </c>
      <c r="G194" s="8" t="s">
        <v>100</v>
      </c>
      <c r="H194" s="8" t="s">
        <v>74</v>
      </c>
      <c r="I194" s="8">
        <v>5</v>
      </c>
      <c r="J194" s="8" t="s">
        <v>101</v>
      </c>
      <c r="K194" s="8" t="s">
        <v>102</v>
      </c>
      <c r="L194" s="8" t="s">
        <v>103</v>
      </c>
      <c r="M194" s="5">
        <v>1</v>
      </c>
      <c r="N194" s="28">
        <f>VLOOKUP(D194,gacha_149_base!A:B,2,FALSE)</f>
        <v>2830</v>
      </c>
      <c r="O194" s="19">
        <v>0</v>
      </c>
      <c r="P194" s="19">
        <v>0</v>
      </c>
      <c r="Q194" s="19">
        <v>0</v>
      </c>
      <c r="R194" s="19">
        <v>0</v>
      </c>
      <c r="S194" s="19">
        <v>1</v>
      </c>
    </row>
    <row r="195" spans="1:19" ht="21" customHeight="1">
      <c r="N195" s="55"/>
    </row>
  </sheetData>
  <autoFilter ref="B1:M190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5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A9" sqref="A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9" t="s">
        <v>20</v>
      </c>
      <c r="C1" s="3" t="s">
        <v>18</v>
      </c>
      <c r="D1" s="30" t="s">
        <v>19</v>
      </c>
      <c r="E1" s="29" t="s">
        <v>1</v>
      </c>
      <c r="F1" s="3" t="s">
        <v>5</v>
      </c>
      <c r="G1" s="30" t="s">
        <v>6</v>
      </c>
      <c r="H1" s="30" t="s">
        <v>4</v>
      </c>
      <c r="I1" s="30" t="s">
        <v>7</v>
      </c>
      <c r="J1" s="30" t="s">
        <v>8</v>
      </c>
      <c r="K1" s="30" t="s">
        <v>9</v>
      </c>
      <c r="L1" s="29" t="s">
        <v>2</v>
      </c>
      <c r="M1" s="2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>B2&amp;E2&amp;L2</f>
        <v>14913831</v>
      </c>
      <c r="B2" s="2">
        <v>1491</v>
      </c>
      <c r="C2" s="8" t="str">
        <f>G2&amp;H2</f>
        <v>PremiumSS4</v>
      </c>
      <c r="D2" s="8"/>
      <c r="E2" s="18">
        <v>383</v>
      </c>
      <c r="F2" s="12" t="str">
        <f>VLOOKUP($E2,[1]characters!$A:$U,3,FALSE)</f>
        <v>酒宴の蟒蛇 ヤマタノオロチ</v>
      </c>
      <c r="G2" s="12" t="str">
        <f>VLOOKUP($E2,[1]characters!$A:$U,10,FALSE)</f>
        <v>PremiumSS</v>
      </c>
      <c r="H2" s="12">
        <f>VLOOKUP($E2,[1]characters!$A:$U,9,FALSE)</f>
        <v>4</v>
      </c>
      <c r="I2" s="12" t="str">
        <f>VLOOKUP($E2,[1]characters!$A:$U,8,FALSE)</f>
        <v>green</v>
      </c>
      <c r="J2" s="12" t="str">
        <f>VLOOKUP($E2,[1]characters!$A:$U,11,FALSE)</f>
        <v>hp</v>
      </c>
      <c r="K2" s="12" t="str">
        <f>VLOOKUP($E2,[1]characters!$A:$U,13,FALSE)</f>
        <v>dragon</v>
      </c>
      <c r="L2" s="13">
        <v>1</v>
      </c>
      <c r="M2" s="54">
        <f>302*95%</f>
        <v>286.89999999999998</v>
      </c>
      <c r="N2" s="10">
        <v>0</v>
      </c>
      <c r="O2" s="10">
        <v>0</v>
      </c>
      <c r="P2" s="10">
        <v>0</v>
      </c>
      <c r="Q2" s="10">
        <v>0</v>
      </c>
      <c r="R2" s="10">
        <v>1</v>
      </c>
    </row>
    <row r="3" spans="1:18" ht="21" customHeight="1">
      <c r="A3" s="7" t="str">
        <f>B3&amp;E3&amp;L3</f>
        <v>14913841</v>
      </c>
      <c r="B3" s="2">
        <v>1491</v>
      </c>
      <c r="C3" s="8" t="str">
        <f>G3&amp;H3</f>
        <v>PremiumSS5</v>
      </c>
      <c r="D3" s="8"/>
      <c r="E3" s="18">
        <v>384</v>
      </c>
      <c r="F3" s="12" t="str">
        <f>VLOOKUP($E3,[1]characters!$A:$U,3,FALSE)</f>
        <v>破国の呑龍 ヤマタノオロチ</v>
      </c>
      <c r="G3" s="12" t="str">
        <f>VLOOKUP($E3,[1]characters!$A:$U,10,FALSE)</f>
        <v>PremiumSS</v>
      </c>
      <c r="H3" s="12">
        <f>VLOOKUP($E3,[1]characters!$A:$U,9,FALSE)</f>
        <v>5</v>
      </c>
      <c r="I3" s="12" t="str">
        <f>VLOOKUP($E3,[1]characters!$A:$U,8,FALSE)</f>
        <v>green</v>
      </c>
      <c r="J3" s="12" t="str">
        <f>VLOOKUP($E3,[1]characters!$A:$U,11,FALSE)</f>
        <v>hp</v>
      </c>
      <c r="K3" s="12" t="str">
        <f>VLOOKUP($E3,[1]characters!$A:$U,13,FALSE)</f>
        <v>dragon</v>
      </c>
      <c r="L3" s="13">
        <v>1</v>
      </c>
      <c r="M3" s="54">
        <f>302*5%</f>
        <v>15.100000000000001</v>
      </c>
      <c r="N3" s="10">
        <v>0</v>
      </c>
      <c r="O3" s="10">
        <v>0</v>
      </c>
      <c r="P3" s="10">
        <v>0</v>
      </c>
      <c r="Q3" s="10">
        <v>0</v>
      </c>
      <c r="R3" s="10">
        <v>1</v>
      </c>
    </row>
    <row r="4" spans="1:18" ht="21" customHeight="1">
      <c r="A4" s="7" t="str">
        <f t="shared" ref="A4:A8" si="0">B4&amp;E4&amp;L4</f>
        <v>14912391</v>
      </c>
      <c r="B4" s="2">
        <v>1491</v>
      </c>
      <c r="C4" s="8" t="str">
        <f t="shared" ref="C4:C8" si="1">G4&amp;H4</f>
        <v>PremiumS4</v>
      </c>
      <c r="D4" s="8"/>
      <c r="E4" s="18">
        <v>239</v>
      </c>
      <c r="F4" s="12" t="str">
        <f>VLOOKUP($E4,[1]characters!$A:$U,3,FALSE)</f>
        <v>豪炎の天使 ウリエル</v>
      </c>
      <c r="G4" s="12" t="str">
        <f>VLOOKUP($E4,[1]characters!$A:$U,10,FALSE)</f>
        <v>PremiumS</v>
      </c>
      <c r="H4" s="12">
        <f>VLOOKUP($E4,[1]characters!$A:$U,9,FALSE)</f>
        <v>4</v>
      </c>
      <c r="I4" s="12" t="str">
        <f>VLOOKUP($E4,[1]characters!$A:$U,8,FALSE)</f>
        <v>red</v>
      </c>
      <c r="J4" s="12" t="str">
        <f>VLOOKUP($E4,[1]characters!$A:$U,11,FALSE)</f>
        <v>hp</v>
      </c>
      <c r="K4" s="12" t="str">
        <f>VLOOKUP($E4,[1]characters!$A:$U,13,FALSE)</f>
        <v>machine</v>
      </c>
      <c r="L4" s="13">
        <v>1</v>
      </c>
      <c r="M4" s="54">
        <f>566*95%</f>
        <v>537.69999999999993</v>
      </c>
      <c r="N4" s="10">
        <v>0</v>
      </c>
      <c r="O4" s="10">
        <v>0</v>
      </c>
      <c r="P4" s="10">
        <v>0</v>
      </c>
      <c r="Q4" s="10">
        <v>0</v>
      </c>
      <c r="R4" s="10">
        <v>1</v>
      </c>
    </row>
    <row r="5" spans="1:18" ht="21" customHeight="1">
      <c r="A5" s="7" t="str">
        <f t="shared" ref="A5" si="2">B5&amp;E5&amp;L5</f>
        <v>14912401</v>
      </c>
      <c r="B5" s="2">
        <v>1491</v>
      </c>
      <c r="C5" s="8" t="str">
        <f t="shared" ref="C5" si="3">G5&amp;H5</f>
        <v>PremiumS5</v>
      </c>
      <c r="D5" s="8"/>
      <c r="E5" s="18">
        <v>240</v>
      </c>
      <c r="F5" s="12" t="str">
        <f>VLOOKUP($E5,[1]characters!$A:$U,3,FALSE)</f>
        <v>轟炎の天使 ウリエル・スレイヤー</v>
      </c>
      <c r="G5" s="12" t="str">
        <f>VLOOKUP($E5,[1]characters!$A:$U,10,FALSE)</f>
        <v>PremiumS</v>
      </c>
      <c r="H5" s="12">
        <f>VLOOKUP($E5,[1]characters!$A:$U,9,FALSE)</f>
        <v>5</v>
      </c>
      <c r="I5" s="12" t="str">
        <f>VLOOKUP($E5,[1]characters!$A:$U,8,FALSE)</f>
        <v>red</v>
      </c>
      <c r="J5" s="12" t="str">
        <f>VLOOKUP($E5,[1]characters!$A:$U,11,FALSE)</f>
        <v>hp</v>
      </c>
      <c r="K5" s="12" t="str">
        <f>VLOOKUP($E5,[1]characters!$A:$U,13,FALSE)</f>
        <v>machine</v>
      </c>
      <c r="L5" s="13">
        <v>1</v>
      </c>
      <c r="M5" s="54">
        <f>566*5%</f>
        <v>28.3</v>
      </c>
      <c r="N5" s="10">
        <v>0</v>
      </c>
      <c r="O5" s="10">
        <v>0</v>
      </c>
      <c r="P5" s="10">
        <v>0</v>
      </c>
      <c r="Q5" s="10">
        <v>0</v>
      </c>
      <c r="R5" s="10">
        <v>1</v>
      </c>
    </row>
    <row r="6" spans="1:18" ht="21" customHeight="1">
      <c r="A6" s="7" t="str">
        <f t="shared" si="0"/>
        <v>14912451</v>
      </c>
      <c r="B6" s="2">
        <v>1491</v>
      </c>
      <c r="C6" s="8" t="str">
        <f t="shared" si="1"/>
        <v>PremiumS4</v>
      </c>
      <c r="D6" s="8"/>
      <c r="E6" s="18">
        <v>245</v>
      </c>
      <c r="F6" s="12" t="str">
        <f>VLOOKUP($E6,[1]characters!$A:$U,3,FALSE)</f>
        <v>鎮癒の天使 ラファエル</v>
      </c>
      <c r="G6" s="12" t="str">
        <f>VLOOKUP($E6,[1]characters!$A:$U,10,FALSE)</f>
        <v>PremiumS</v>
      </c>
      <c r="H6" s="12">
        <f>VLOOKUP($E6,[1]characters!$A:$U,9,FALSE)</f>
        <v>4</v>
      </c>
      <c r="I6" s="12" t="str">
        <f>VLOOKUP($E6,[1]characters!$A:$U,8,FALSE)</f>
        <v>blue</v>
      </c>
      <c r="J6" s="12" t="str">
        <f>VLOOKUP($E6,[1]characters!$A:$U,11,FALSE)</f>
        <v>balance</v>
      </c>
      <c r="K6" s="12" t="str">
        <f>VLOOKUP($E6,[1]characters!$A:$U,13,FALSE)</f>
        <v>machine</v>
      </c>
      <c r="L6" s="13">
        <v>1</v>
      </c>
      <c r="M6" s="54">
        <f t="shared" ref="M6" si="4">566*95%</f>
        <v>537.69999999999993</v>
      </c>
      <c r="N6" s="10">
        <v>0</v>
      </c>
      <c r="O6" s="10">
        <v>0</v>
      </c>
      <c r="P6" s="10">
        <v>0</v>
      </c>
      <c r="Q6" s="10">
        <v>0</v>
      </c>
      <c r="R6" s="10">
        <v>1</v>
      </c>
    </row>
    <row r="7" spans="1:18" ht="21" customHeight="1">
      <c r="A7" s="7" t="str">
        <f t="shared" ref="A7" si="5">B7&amp;E7&amp;L7</f>
        <v>14912461</v>
      </c>
      <c r="B7" s="2">
        <v>1491</v>
      </c>
      <c r="C7" s="8" t="str">
        <f t="shared" ref="C7" si="6">G7&amp;H7</f>
        <v>PremiumS5</v>
      </c>
      <c r="D7" s="8"/>
      <c r="E7" s="18">
        <v>246</v>
      </c>
      <c r="F7" s="12" t="str">
        <f>VLOOKUP($E7,[1]characters!$A:$U,3,FALSE)</f>
        <v>真癒の天使 ラファエル・メディカ</v>
      </c>
      <c r="G7" s="12" t="str">
        <f>VLOOKUP($E7,[1]characters!$A:$U,10,FALSE)</f>
        <v>PremiumS</v>
      </c>
      <c r="H7" s="12">
        <f>VLOOKUP($E7,[1]characters!$A:$U,9,FALSE)</f>
        <v>5</v>
      </c>
      <c r="I7" s="12" t="str">
        <f>VLOOKUP($E7,[1]characters!$A:$U,8,FALSE)</f>
        <v>blue</v>
      </c>
      <c r="J7" s="12" t="str">
        <f>VLOOKUP($E7,[1]characters!$A:$U,11,FALSE)</f>
        <v>balance</v>
      </c>
      <c r="K7" s="12" t="str">
        <f>VLOOKUP($E7,[1]characters!$A:$U,13,FALSE)</f>
        <v>machine</v>
      </c>
      <c r="L7" s="13">
        <v>1</v>
      </c>
      <c r="M7" s="54">
        <f t="shared" ref="M7" si="7">566*5%</f>
        <v>28.3</v>
      </c>
      <c r="N7" s="10">
        <v>0</v>
      </c>
      <c r="O7" s="10">
        <v>0</v>
      </c>
      <c r="P7" s="10">
        <v>0</v>
      </c>
      <c r="Q7" s="10">
        <v>0</v>
      </c>
      <c r="R7" s="10">
        <v>1</v>
      </c>
    </row>
    <row r="8" spans="1:18" ht="21" customHeight="1">
      <c r="A8" s="7" t="str">
        <f t="shared" si="0"/>
        <v>14911881</v>
      </c>
      <c r="B8" s="2">
        <v>1491</v>
      </c>
      <c r="C8" s="8" t="str">
        <f t="shared" si="1"/>
        <v>PremiumN4</v>
      </c>
      <c r="D8" s="8"/>
      <c r="E8" s="18">
        <v>188</v>
      </c>
      <c r="F8" s="12" t="str">
        <f>VLOOKUP($E8,[1]characters!$A:$U,3,FALSE)</f>
        <v>猛禽 ホルス</v>
      </c>
      <c r="G8" s="12" t="str">
        <f>VLOOKUP($E8,[1]characters!$A:$U,10,FALSE)</f>
        <v>PremiumN</v>
      </c>
      <c r="H8" s="12">
        <f>VLOOKUP($E8,[1]characters!$A:$U,9,FALSE)</f>
        <v>4</v>
      </c>
      <c r="I8" s="12" t="str">
        <f>VLOOKUP($E8,[1]characters!$A:$U,8,FALSE)</f>
        <v>yellow</v>
      </c>
      <c r="J8" s="12" t="str">
        <f>VLOOKUP($E8,[1]characters!$A:$U,11,FALSE)</f>
        <v>attack</v>
      </c>
      <c r="K8" s="12" t="str">
        <f>VLOOKUP($E8,[1]characters!$A:$U,13,FALSE)</f>
        <v>animal</v>
      </c>
      <c r="L8" s="13">
        <v>1</v>
      </c>
      <c r="M8" s="54">
        <f t="shared" ref="M8" si="8">566*95%</f>
        <v>537.69999999999993</v>
      </c>
      <c r="N8" s="10">
        <v>0</v>
      </c>
      <c r="O8" s="10">
        <v>0</v>
      </c>
      <c r="P8" s="10">
        <v>0</v>
      </c>
      <c r="Q8" s="10">
        <v>0</v>
      </c>
      <c r="R8" s="10">
        <v>1</v>
      </c>
    </row>
    <row r="9" spans="1:18" ht="21" customHeight="1">
      <c r="A9" s="7" t="str">
        <f>B9&amp;E9&amp;L9</f>
        <v>14911891</v>
      </c>
      <c r="B9" s="2">
        <v>1491</v>
      </c>
      <c r="C9" s="8" t="str">
        <f t="shared" ref="C9" si="9">G9&amp;H9</f>
        <v>PremiumN5</v>
      </c>
      <c r="D9" s="8"/>
      <c r="E9" s="18">
        <v>189</v>
      </c>
      <c r="F9" s="12" t="str">
        <f>VLOOKUP($E9,[1]characters!$A:$U,3,FALSE)</f>
        <v>迅雷の王禽 ホルス</v>
      </c>
      <c r="G9" s="12" t="str">
        <f>VLOOKUP($E9,[1]characters!$A:$U,10,FALSE)</f>
        <v>PremiumN</v>
      </c>
      <c r="H9" s="12">
        <f>VLOOKUP($E9,[1]characters!$A:$U,9,FALSE)</f>
        <v>5</v>
      </c>
      <c r="I9" s="12" t="str">
        <f>VLOOKUP($E9,[1]characters!$A:$U,8,FALSE)</f>
        <v>yellow</v>
      </c>
      <c r="J9" s="12" t="str">
        <f>VLOOKUP($E9,[1]characters!$A:$U,11,FALSE)</f>
        <v>attack</v>
      </c>
      <c r="K9" s="12" t="str">
        <f>VLOOKUP($E9,[1]characters!$A:$U,13,FALSE)</f>
        <v>animal</v>
      </c>
      <c r="L9" s="13">
        <v>1</v>
      </c>
      <c r="M9" s="54">
        <f t="shared" ref="M9" si="10">566*5%</f>
        <v>28.3</v>
      </c>
      <c r="N9" s="10">
        <v>0</v>
      </c>
      <c r="O9" s="10">
        <v>0</v>
      </c>
      <c r="P9" s="10">
        <v>0</v>
      </c>
      <c r="Q9" s="10">
        <v>0</v>
      </c>
      <c r="R9" s="10">
        <v>1</v>
      </c>
    </row>
    <row r="10" spans="1:18" ht="21" customHeight="1">
      <c r="B10" s="2"/>
      <c r="C10" s="8"/>
      <c r="D10" s="8"/>
      <c r="E10" s="18"/>
      <c r="F10" s="8"/>
      <c r="G10" s="8"/>
      <c r="H10" s="8"/>
      <c r="I10" s="8"/>
      <c r="J10" s="8"/>
      <c r="K10" s="8"/>
      <c r="L10" s="5"/>
      <c r="M10" s="28"/>
      <c r="N10" s="19"/>
      <c r="O10" s="19"/>
      <c r="P10" s="19"/>
      <c r="Q10" s="19"/>
      <c r="R10" s="19"/>
    </row>
    <row r="11" spans="1:18" ht="21" customHeight="1">
      <c r="B11" s="2"/>
      <c r="C11" s="8"/>
      <c r="D11" s="8"/>
      <c r="E11" s="18"/>
      <c r="F11" s="8"/>
      <c r="G11" s="8"/>
      <c r="H11" s="8"/>
      <c r="I11" s="8"/>
      <c r="J11" s="8"/>
      <c r="K11" s="8"/>
      <c r="L11" s="5"/>
      <c r="M11" s="28"/>
      <c r="N11" s="19"/>
      <c r="O11" s="19"/>
      <c r="P11" s="19"/>
      <c r="Q11" s="19"/>
      <c r="R11" s="19"/>
    </row>
    <row r="12" spans="1:18" ht="21" customHeight="1">
      <c r="B12" s="2"/>
      <c r="C12" s="8"/>
      <c r="D12" s="8"/>
      <c r="E12" s="21"/>
      <c r="F12" s="24"/>
      <c r="G12" s="24"/>
      <c r="H12" s="24"/>
      <c r="I12" s="24"/>
      <c r="J12" s="24"/>
      <c r="K12" s="24"/>
      <c r="L12" s="22"/>
      <c r="M12" s="28"/>
      <c r="N12" s="25"/>
      <c r="O12" s="25"/>
      <c r="P12" s="25"/>
      <c r="Q12" s="25"/>
      <c r="R12" s="25"/>
    </row>
    <row r="13" spans="1:18" ht="21" customHeight="1">
      <c r="B13" s="2"/>
      <c r="C13" s="8"/>
      <c r="D13" s="8"/>
      <c r="E13" s="6"/>
      <c r="F13" s="8"/>
      <c r="G13" s="8"/>
      <c r="H13" s="8"/>
      <c r="I13" s="8"/>
      <c r="J13" s="8"/>
      <c r="K13" s="8"/>
      <c r="L13" s="5"/>
      <c r="M13" s="28"/>
      <c r="N13" s="19"/>
      <c r="O13" s="19"/>
      <c r="P13" s="19"/>
      <c r="Q13" s="19"/>
      <c r="R13" s="19"/>
    </row>
    <row r="14" spans="1:18" ht="21" customHeight="1">
      <c r="B14" s="2"/>
      <c r="C14" s="8"/>
      <c r="D14" s="8"/>
      <c r="E14" s="23"/>
      <c r="F14" s="24"/>
      <c r="G14" s="24"/>
      <c r="H14" s="24"/>
      <c r="I14" s="24"/>
      <c r="J14" s="24"/>
      <c r="K14" s="24"/>
      <c r="L14" s="22"/>
      <c r="M14" s="28"/>
      <c r="N14" s="25"/>
      <c r="O14" s="25"/>
      <c r="P14" s="25"/>
      <c r="Q14" s="25"/>
      <c r="R14" s="25"/>
    </row>
    <row r="15" spans="1:18" s="26" customFormat="1" ht="21" customHeight="1" thickBot="1">
      <c r="A15" s="7"/>
      <c r="B15" s="2"/>
      <c r="C15" s="8"/>
      <c r="D15" s="8"/>
      <c r="E15" s="16"/>
      <c r="F15" s="14"/>
      <c r="G15" s="14"/>
      <c r="H15" s="14"/>
      <c r="I15" s="14"/>
      <c r="J15" s="14"/>
      <c r="K15" s="14"/>
      <c r="L15" s="15"/>
      <c r="M15" s="28"/>
      <c r="N15" s="20"/>
      <c r="O15" s="20"/>
      <c r="P15" s="20"/>
      <c r="Q15" s="20"/>
      <c r="R15" s="20"/>
    </row>
  </sheetData>
  <autoFilter ref="B1:M1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M24" sqref="M24"/>
      <selection pane="bottomLeft" activeCell="A2" sqref="A2:K2"/>
    </sheetView>
  </sheetViews>
  <sheetFormatPr baseColWidth="12" defaultRowHeight="21" customHeight="1" outlineLevelCol="1" x14ac:dyDescent="0"/>
  <cols>
    <col min="1" max="1" width="12.83203125" style="32"/>
    <col min="2" max="2" width="14.6640625" style="1" bestFit="1" customWidth="1"/>
    <col min="3" max="3" width="14.1640625" style="1" bestFit="1" customWidth="1"/>
    <col min="4" max="6" width="14.164062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9" t="s">
        <v>22</v>
      </c>
      <c r="C1" s="45" t="s">
        <v>25</v>
      </c>
      <c r="D1" s="33" t="s">
        <v>27</v>
      </c>
      <c r="E1" s="33" t="s">
        <v>28</v>
      </c>
      <c r="F1" s="33" t="s">
        <v>29</v>
      </c>
      <c r="G1" s="29" t="s">
        <v>3</v>
      </c>
      <c r="H1" s="29" t="s">
        <v>30</v>
      </c>
      <c r="I1" s="29" t="s">
        <v>31</v>
      </c>
      <c r="J1" s="29" t="s">
        <v>32</v>
      </c>
      <c r="K1" s="29" t="s">
        <v>33</v>
      </c>
    </row>
    <row r="2" spans="1:11" ht="21" customHeight="1">
      <c r="A2" s="7"/>
      <c r="B2" s="2"/>
      <c r="C2" s="10"/>
      <c r="D2" s="34"/>
      <c r="E2" s="34"/>
      <c r="F2" s="34"/>
      <c r="G2" s="31"/>
      <c r="H2" s="31"/>
      <c r="I2" s="31"/>
      <c r="J2" s="31"/>
      <c r="K2" s="53"/>
    </row>
  </sheetData>
  <autoFilter ref="B1:G2"/>
  <phoneticPr fontId="11"/>
  <dataValidations count="3">
    <dataValidation type="list" allowBlank="1" showInputMessage="1" showErrorMessage="1" sqref="D2">
      <formula1>"unit,polygon,bit,link"</formula1>
    </dataValidation>
    <dataValidation type="list" allowBlank="1" showInputMessage="1" sqref="F2">
      <formula1>"1,2,3,4,5,...,NULL"</formula1>
    </dataValidation>
    <dataValidation errorStyle="warning" showInputMessage="1" showErrorMessage="1" errorTitle="空白禁止です" sqref="E2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gacha_149_base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2015-11-30T12:57:05Z</dcterms:modified>
</cp:coreProperties>
</file>