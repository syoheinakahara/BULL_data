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0" yWindow="460" windowWidth="38400" windowHeight="1978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0" i="11" l="1"/>
  <c r="O95" i="9"/>
  <c r="N95" i="9"/>
  <c r="M95" i="9"/>
  <c r="L95" i="9"/>
  <c r="K95" i="9"/>
  <c r="J95" i="9"/>
  <c r="I95" i="9"/>
  <c r="H95" i="9"/>
  <c r="G95" i="9"/>
  <c r="E95" i="9"/>
  <c r="D95" i="9"/>
  <c r="A95" i="9"/>
  <c r="J149" i="11"/>
  <c r="O94" i="9"/>
  <c r="N94" i="9"/>
  <c r="M94" i="9"/>
  <c r="L94" i="9"/>
  <c r="K94" i="9"/>
  <c r="J94" i="9"/>
  <c r="I94" i="9"/>
  <c r="H94" i="9"/>
  <c r="G94" i="9"/>
  <c r="E94" i="9"/>
  <c r="D94" i="9"/>
  <c r="A94" i="9"/>
  <c r="A121" i="9"/>
  <c r="D121" i="9"/>
  <c r="E121" i="9"/>
  <c r="G121" i="9"/>
  <c r="H121" i="9"/>
  <c r="I121" i="9"/>
  <c r="J121" i="9"/>
  <c r="K121" i="9"/>
  <c r="L121" i="9"/>
  <c r="M121" i="9"/>
  <c r="N121" i="9"/>
  <c r="J57" i="11"/>
  <c r="O121" i="9"/>
  <c r="A119" i="9"/>
  <c r="D119" i="9"/>
  <c r="E119" i="9"/>
  <c r="G119" i="9"/>
  <c r="H119" i="9"/>
  <c r="I119" i="9"/>
  <c r="J119" i="9"/>
  <c r="K119" i="9"/>
  <c r="L119" i="9"/>
  <c r="M119" i="9"/>
  <c r="N119" i="9"/>
  <c r="J55" i="11"/>
  <c r="O119" i="9"/>
  <c r="A120" i="9"/>
  <c r="D120" i="9"/>
  <c r="E120" i="9"/>
  <c r="G120" i="9"/>
  <c r="H120" i="9"/>
  <c r="I120" i="9"/>
  <c r="J120" i="9"/>
  <c r="K120" i="9"/>
  <c r="L120" i="9"/>
  <c r="M120" i="9"/>
  <c r="N120" i="9"/>
  <c r="J56" i="11"/>
  <c r="O120" i="9"/>
  <c r="N8" i="22"/>
  <c r="G8" i="22"/>
  <c r="F8" i="22"/>
  <c r="D8" i="22"/>
  <c r="C8" i="22"/>
  <c r="A8" i="22"/>
  <c r="C4" i="18"/>
  <c r="D4" i="18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N2" i="22"/>
  <c r="G2" i="22"/>
  <c r="F2" i="22"/>
  <c r="D2" i="22"/>
  <c r="C2" i="22"/>
  <c r="A2" i="22"/>
  <c r="N7" i="22"/>
  <c r="G7" i="22"/>
  <c r="F7" i="22"/>
  <c r="D7" i="22"/>
  <c r="C7" i="22"/>
  <c r="A7" i="22"/>
  <c r="N6" i="22"/>
  <c r="G6" i="22"/>
  <c r="F6" i="22"/>
  <c r="D6" i="22"/>
  <c r="C6" i="22"/>
  <c r="A6" i="22"/>
  <c r="C11" i="18"/>
  <c r="D11" i="18"/>
  <c r="C10" i="18"/>
  <c r="D10" i="18"/>
  <c r="C9" i="18"/>
  <c r="D9" i="18"/>
  <c r="C2" i="18"/>
  <c r="D2" i="18"/>
  <c r="C8" i="18"/>
  <c r="D8" i="18"/>
  <c r="C7" i="18"/>
  <c r="D7" i="18"/>
  <c r="C6" i="18"/>
  <c r="D6" i="18"/>
  <c r="C5" i="18"/>
  <c r="D5" i="18"/>
  <c r="C3" i="18"/>
  <c r="D3" i="18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J4" i="7"/>
  <c r="I4" i="7"/>
  <c r="D4" i="7"/>
  <c r="F4" i="7"/>
  <c r="E4" i="7"/>
  <c r="A4" i="7"/>
  <c r="J32" i="11"/>
  <c r="O96" i="9"/>
  <c r="N96" i="9"/>
  <c r="M96" i="9"/>
  <c r="L96" i="9"/>
  <c r="K96" i="9"/>
  <c r="J96" i="9"/>
  <c r="I96" i="9"/>
  <c r="H96" i="9"/>
  <c r="G96" i="9"/>
  <c r="E96" i="9"/>
  <c r="D96" i="9"/>
  <c r="A96" i="9"/>
  <c r="J148" i="11"/>
  <c r="O93" i="9"/>
  <c r="N93" i="9"/>
  <c r="M93" i="9"/>
  <c r="L93" i="9"/>
  <c r="K93" i="9"/>
  <c r="J93" i="9"/>
  <c r="I93" i="9"/>
  <c r="H93" i="9"/>
  <c r="G93" i="9"/>
  <c r="E93" i="9"/>
  <c r="D93" i="9"/>
  <c r="A93" i="9"/>
  <c r="J147" i="11"/>
  <c r="O92" i="9"/>
  <c r="N92" i="9"/>
  <c r="M92" i="9"/>
  <c r="L92" i="9"/>
  <c r="K92" i="9"/>
  <c r="J92" i="9"/>
  <c r="I92" i="9"/>
  <c r="H92" i="9"/>
  <c r="G92" i="9"/>
  <c r="E92" i="9"/>
  <c r="D92" i="9"/>
  <c r="A92" i="9"/>
  <c r="J146" i="11"/>
  <c r="O91" i="9"/>
  <c r="N91" i="9"/>
  <c r="M91" i="9"/>
  <c r="L91" i="9"/>
  <c r="K91" i="9"/>
  <c r="J91" i="9"/>
  <c r="I91" i="9"/>
  <c r="H91" i="9"/>
  <c r="G91" i="9"/>
  <c r="E91" i="9"/>
  <c r="D91" i="9"/>
  <c r="A91" i="9"/>
  <c r="J145" i="11"/>
  <c r="O90" i="9"/>
  <c r="N90" i="9"/>
  <c r="M90" i="9"/>
  <c r="L90" i="9"/>
  <c r="K90" i="9"/>
  <c r="J90" i="9"/>
  <c r="I90" i="9"/>
  <c r="H90" i="9"/>
  <c r="G90" i="9"/>
  <c r="E90" i="9"/>
  <c r="D90" i="9"/>
  <c r="A90" i="9"/>
  <c r="J144" i="11"/>
  <c r="O89" i="9"/>
  <c r="N89" i="9"/>
  <c r="M89" i="9"/>
  <c r="L89" i="9"/>
  <c r="K89" i="9"/>
  <c r="J89" i="9"/>
  <c r="I89" i="9"/>
  <c r="H89" i="9"/>
  <c r="G89" i="9"/>
  <c r="E89" i="9"/>
  <c r="D89" i="9"/>
  <c r="A89" i="9"/>
  <c r="J143" i="11"/>
  <c r="O88" i="9"/>
  <c r="N88" i="9"/>
  <c r="M88" i="9"/>
  <c r="L88" i="9"/>
  <c r="K88" i="9"/>
  <c r="J88" i="9"/>
  <c r="I88" i="9"/>
  <c r="H88" i="9"/>
  <c r="G88" i="9"/>
  <c r="E88" i="9"/>
  <c r="D88" i="9"/>
  <c r="A88" i="9"/>
  <c r="J142" i="11"/>
  <c r="O87" i="9"/>
  <c r="N87" i="9"/>
  <c r="M87" i="9"/>
  <c r="L87" i="9"/>
  <c r="K87" i="9"/>
  <c r="J87" i="9"/>
  <c r="I87" i="9"/>
  <c r="H87" i="9"/>
  <c r="G87" i="9"/>
  <c r="E87" i="9"/>
  <c r="D87" i="9"/>
  <c r="A87" i="9"/>
  <c r="J141" i="11"/>
  <c r="O86" i="9"/>
  <c r="N86" i="9"/>
  <c r="M86" i="9"/>
  <c r="L86" i="9"/>
  <c r="K86" i="9"/>
  <c r="J86" i="9"/>
  <c r="I86" i="9"/>
  <c r="H86" i="9"/>
  <c r="G86" i="9"/>
  <c r="E86" i="9"/>
  <c r="D86" i="9"/>
  <c r="A86" i="9"/>
  <c r="J140" i="11"/>
  <c r="O85" i="9"/>
  <c r="N85" i="9"/>
  <c r="M85" i="9"/>
  <c r="L85" i="9"/>
  <c r="K85" i="9"/>
  <c r="J85" i="9"/>
  <c r="I85" i="9"/>
  <c r="H85" i="9"/>
  <c r="G85" i="9"/>
  <c r="E85" i="9"/>
  <c r="D85" i="9"/>
  <c r="A85" i="9"/>
  <c r="J139" i="11"/>
  <c r="O84" i="9"/>
  <c r="N84" i="9"/>
  <c r="M84" i="9"/>
  <c r="L84" i="9"/>
  <c r="K84" i="9"/>
  <c r="J84" i="9"/>
  <c r="I84" i="9"/>
  <c r="H84" i="9"/>
  <c r="G84" i="9"/>
  <c r="E84" i="9"/>
  <c r="D84" i="9"/>
  <c r="A84" i="9"/>
  <c r="J138" i="11"/>
  <c r="O83" i="9"/>
  <c r="N83" i="9"/>
  <c r="M83" i="9"/>
  <c r="L83" i="9"/>
  <c r="K83" i="9"/>
  <c r="J83" i="9"/>
  <c r="I83" i="9"/>
  <c r="H83" i="9"/>
  <c r="G83" i="9"/>
  <c r="E83" i="9"/>
  <c r="D83" i="9"/>
  <c r="A83" i="9"/>
  <c r="J137" i="11"/>
  <c r="O82" i="9"/>
  <c r="N82" i="9"/>
  <c r="M82" i="9"/>
  <c r="L82" i="9"/>
  <c r="K82" i="9"/>
  <c r="J82" i="9"/>
  <c r="I82" i="9"/>
  <c r="H82" i="9"/>
  <c r="G82" i="9"/>
  <c r="E82" i="9"/>
  <c r="D82" i="9"/>
  <c r="A82" i="9"/>
  <c r="J136" i="11"/>
  <c r="O81" i="9"/>
  <c r="N81" i="9"/>
  <c r="M81" i="9"/>
  <c r="L81" i="9"/>
  <c r="K81" i="9"/>
  <c r="J81" i="9"/>
  <c r="I81" i="9"/>
  <c r="H81" i="9"/>
  <c r="G81" i="9"/>
  <c r="E81" i="9"/>
  <c r="D81" i="9"/>
  <c r="A81" i="9"/>
  <c r="J135" i="11"/>
  <c r="O80" i="9"/>
  <c r="N80" i="9"/>
  <c r="M80" i="9"/>
  <c r="L80" i="9"/>
  <c r="K80" i="9"/>
  <c r="J80" i="9"/>
  <c r="I80" i="9"/>
  <c r="H80" i="9"/>
  <c r="G80" i="9"/>
  <c r="E80" i="9"/>
  <c r="D80" i="9"/>
  <c r="A80" i="9"/>
  <c r="J134" i="11"/>
  <c r="O79" i="9"/>
  <c r="N79" i="9"/>
  <c r="M79" i="9"/>
  <c r="L79" i="9"/>
  <c r="K79" i="9"/>
  <c r="J79" i="9"/>
  <c r="I79" i="9"/>
  <c r="H79" i="9"/>
  <c r="G79" i="9"/>
  <c r="E79" i="9"/>
  <c r="D79" i="9"/>
  <c r="A79" i="9"/>
  <c r="J133" i="11"/>
  <c r="O78" i="9"/>
  <c r="N78" i="9"/>
  <c r="M78" i="9"/>
  <c r="L78" i="9"/>
  <c r="K78" i="9"/>
  <c r="J78" i="9"/>
  <c r="I78" i="9"/>
  <c r="H78" i="9"/>
  <c r="G78" i="9"/>
  <c r="E78" i="9"/>
  <c r="D78" i="9"/>
  <c r="A78" i="9"/>
  <c r="J132" i="11"/>
  <c r="O77" i="9"/>
  <c r="N77" i="9"/>
  <c r="M77" i="9"/>
  <c r="L77" i="9"/>
  <c r="K77" i="9"/>
  <c r="J77" i="9"/>
  <c r="I77" i="9"/>
  <c r="H77" i="9"/>
  <c r="G77" i="9"/>
  <c r="E77" i="9"/>
  <c r="D77" i="9"/>
  <c r="A77" i="9"/>
  <c r="J131" i="11"/>
  <c r="O76" i="9"/>
  <c r="N76" i="9"/>
  <c r="M76" i="9"/>
  <c r="L76" i="9"/>
  <c r="K76" i="9"/>
  <c r="J76" i="9"/>
  <c r="I76" i="9"/>
  <c r="H76" i="9"/>
  <c r="G76" i="9"/>
  <c r="E76" i="9"/>
  <c r="D76" i="9"/>
  <c r="A76" i="9"/>
  <c r="J130" i="11"/>
  <c r="O75" i="9"/>
  <c r="N75" i="9"/>
  <c r="M75" i="9"/>
  <c r="L75" i="9"/>
  <c r="K75" i="9"/>
  <c r="J75" i="9"/>
  <c r="I75" i="9"/>
  <c r="H75" i="9"/>
  <c r="G75" i="9"/>
  <c r="E75" i="9"/>
  <c r="D75" i="9"/>
  <c r="A75" i="9"/>
  <c r="J129" i="11"/>
  <c r="O74" i="9"/>
  <c r="N74" i="9"/>
  <c r="M74" i="9"/>
  <c r="L74" i="9"/>
  <c r="K74" i="9"/>
  <c r="J74" i="9"/>
  <c r="I74" i="9"/>
  <c r="H74" i="9"/>
  <c r="G74" i="9"/>
  <c r="E74" i="9"/>
  <c r="D74" i="9"/>
  <c r="A74" i="9"/>
  <c r="J128" i="11"/>
  <c r="O73" i="9"/>
  <c r="N73" i="9"/>
  <c r="M73" i="9"/>
  <c r="L73" i="9"/>
  <c r="K73" i="9"/>
  <c r="J73" i="9"/>
  <c r="I73" i="9"/>
  <c r="H73" i="9"/>
  <c r="G73" i="9"/>
  <c r="E73" i="9"/>
  <c r="D73" i="9"/>
  <c r="A73" i="9"/>
  <c r="J127" i="11"/>
  <c r="O72" i="9"/>
  <c r="N72" i="9"/>
  <c r="M72" i="9"/>
  <c r="L72" i="9"/>
  <c r="K72" i="9"/>
  <c r="J72" i="9"/>
  <c r="I72" i="9"/>
  <c r="H72" i="9"/>
  <c r="G72" i="9"/>
  <c r="E72" i="9"/>
  <c r="D72" i="9"/>
  <c r="A72" i="9"/>
  <c r="J126" i="11"/>
  <c r="O71" i="9"/>
  <c r="N71" i="9"/>
  <c r="M71" i="9"/>
  <c r="L71" i="9"/>
  <c r="K71" i="9"/>
  <c r="J71" i="9"/>
  <c r="I71" i="9"/>
  <c r="H71" i="9"/>
  <c r="G71" i="9"/>
  <c r="E71" i="9"/>
  <c r="D71" i="9"/>
  <c r="A71" i="9"/>
  <c r="J125" i="11"/>
  <c r="O70" i="9"/>
  <c r="N70" i="9"/>
  <c r="M70" i="9"/>
  <c r="L70" i="9"/>
  <c r="K70" i="9"/>
  <c r="J70" i="9"/>
  <c r="I70" i="9"/>
  <c r="H70" i="9"/>
  <c r="G70" i="9"/>
  <c r="E70" i="9"/>
  <c r="D70" i="9"/>
  <c r="A70" i="9"/>
  <c r="J124" i="11"/>
  <c r="O69" i="9"/>
  <c r="N69" i="9"/>
  <c r="M69" i="9"/>
  <c r="L69" i="9"/>
  <c r="K69" i="9"/>
  <c r="J69" i="9"/>
  <c r="I69" i="9"/>
  <c r="H69" i="9"/>
  <c r="G69" i="9"/>
  <c r="E69" i="9"/>
  <c r="D69" i="9"/>
  <c r="A69" i="9"/>
  <c r="J123" i="11"/>
  <c r="O68" i="9"/>
  <c r="N68" i="9"/>
  <c r="M68" i="9"/>
  <c r="L68" i="9"/>
  <c r="K68" i="9"/>
  <c r="J68" i="9"/>
  <c r="I68" i="9"/>
  <c r="H68" i="9"/>
  <c r="G68" i="9"/>
  <c r="E68" i="9"/>
  <c r="D68" i="9"/>
  <c r="A68" i="9"/>
  <c r="J122" i="11"/>
  <c r="O67" i="9"/>
  <c r="N67" i="9"/>
  <c r="M67" i="9"/>
  <c r="L67" i="9"/>
  <c r="K67" i="9"/>
  <c r="J67" i="9"/>
  <c r="I67" i="9"/>
  <c r="H67" i="9"/>
  <c r="G67" i="9"/>
  <c r="E67" i="9"/>
  <c r="D67" i="9"/>
  <c r="A67" i="9"/>
  <c r="J121" i="11"/>
  <c r="O66" i="9"/>
  <c r="N66" i="9"/>
  <c r="M66" i="9"/>
  <c r="L66" i="9"/>
  <c r="K66" i="9"/>
  <c r="J66" i="9"/>
  <c r="I66" i="9"/>
  <c r="H66" i="9"/>
  <c r="G66" i="9"/>
  <c r="E66" i="9"/>
  <c r="D66" i="9"/>
  <c r="A66" i="9"/>
  <c r="J120" i="11"/>
  <c r="O65" i="9"/>
  <c r="N65" i="9"/>
  <c r="M65" i="9"/>
  <c r="L65" i="9"/>
  <c r="K65" i="9"/>
  <c r="J65" i="9"/>
  <c r="I65" i="9"/>
  <c r="H65" i="9"/>
  <c r="G65" i="9"/>
  <c r="E65" i="9"/>
  <c r="D65" i="9"/>
  <c r="A65" i="9"/>
  <c r="J119" i="11"/>
  <c r="O64" i="9"/>
  <c r="N64" i="9"/>
  <c r="M64" i="9"/>
  <c r="L64" i="9"/>
  <c r="K64" i="9"/>
  <c r="J64" i="9"/>
  <c r="I64" i="9"/>
  <c r="H64" i="9"/>
  <c r="G64" i="9"/>
  <c r="E64" i="9"/>
  <c r="D64" i="9"/>
  <c r="A64" i="9"/>
  <c r="J118" i="11"/>
  <c r="O63" i="9"/>
  <c r="N63" i="9"/>
  <c r="M63" i="9"/>
  <c r="L63" i="9"/>
  <c r="K63" i="9"/>
  <c r="J63" i="9"/>
  <c r="I63" i="9"/>
  <c r="H63" i="9"/>
  <c r="G63" i="9"/>
  <c r="E63" i="9"/>
  <c r="D63" i="9"/>
  <c r="A63" i="9"/>
  <c r="J117" i="11"/>
  <c r="O62" i="9"/>
  <c r="N62" i="9"/>
  <c r="M62" i="9"/>
  <c r="L62" i="9"/>
  <c r="K62" i="9"/>
  <c r="J62" i="9"/>
  <c r="I62" i="9"/>
  <c r="H62" i="9"/>
  <c r="G62" i="9"/>
  <c r="E62" i="9"/>
  <c r="D62" i="9"/>
  <c r="A62" i="9"/>
  <c r="J116" i="11"/>
  <c r="O61" i="9"/>
  <c r="N61" i="9"/>
  <c r="M61" i="9"/>
  <c r="L61" i="9"/>
  <c r="K61" i="9"/>
  <c r="J61" i="9"/>
  <c r="I61" i="9"/>
  <c r="H61" i="9"/>
  <c r="G61" i="9"/>
  <c r="E61" i="9"/>
  <c r="D61" i="9"/>
  <c r="A61" i="9"/>
  <c r="J115" i="11"/>
  <c r="O60" i="9"/>
  <c r="N60" i="9"/>
  <c r="M60" i="9"/>
  <c r="L60" i="9"/>
  <c r="K60" i="9"/>
  <c r="J60" i="9"/>
  <c r="I60" i="9"/>
  <c r="H60" i="9"/>
  <c r="G60" i="9"/>
  <c r="E60" i="9"/>
  <c r="D60" i="9"/>
  <c r="A60" i="9"/>
  <c r="J114" i="11"/>
  <c r="O59" i="9"/>
  <c r="N59" i="9"/>
  <c r="M59" i="9"/>
  <c r="L59" i="9"/>
  <c r="K59" i="9"/>
  <c r="J59" i="9"/>
  <c r="I59" i="9"/>
  <c r="H59" i="9"/>
  <c r="G59" i="9"/>
  <c r="E59" i="9"/>
  <c r="D59" i="9"/>
  <c r="A59" i="9"/>
  <c r="J113" i="11"/>
  <c r="O58" i="9"/>
  <c r="N58" i="9"/>
  <c r="M58" i="9"/>
  <c r="L58" i="9"/>
  <c r="K58" i="9"/>
  <c r="J58" i="9"/>
  <c r="I58" i="9"/>
  <c r="H58" i="9"/>
  <c r="G58" i="9"/>
  <c r="E58" i="9"/>
  <c r="D58" i="9"/>
  <c r="A58" i="9"/>
  <c r="J112" i="11"/>
  <c r="O57" i="9"/>
  <c r="N57" i="9"/>
  <c r="M57" i="9"/>
  <c r="L57" i="9"/>
  <c r="K57" i="9"/>
  <c r="J57" i="9"/>
  <c r="I57" i="9"/>
  <c r="H57" i="9"/>
  <c r="G57" i="9"/>
  <c r="E57" i="9"/>
  <c r="D57" i="9"/>
  <c r="A57" i="9"/>
  <c r="J111" i="11"/>
  <c r="O56" i="9"/>
  <c r="N56" i="9"/>
  <c r="M56" i="9"/>
  <c r="L56" i="9"/>
  <c r="K56" i="9"/>
  <c r="J56" i="9"/>
  <c r="I56" i="9"/>
  <c r="H56" i="9"/>
  <c r="G56" i="9"/>
  <c r="E56" i="9"/>
  <c r="D56" i="9"/>
  <c r="A56" i="9"/>
  <c r="J110" i="11"/>
  <c r="O55" i="9"/>
  <c r="N55" i="9"/>
  <c r="M55" i="9"/>
  <c r="L55" i="9"/>
  <c r="K55" i="9"/>
  <c r="J55" i="9"/>
  <c r="I55" i="9"/>
  <c r="H55" i="9"/>
  <c r="G55" i="9"/>
  <c r="E55" i="9"/>
  <c r="D55" i="9"/>
  <c r="A55" i="9"/>
  <c r="J109" i="11"/>
  <c r="O54" i="9"/>
  <c r="N54" i="9"/>
  <c r="M54" i="9"/>
  <c r="L54" i="9"/>
  <c r="K54" i="9"/>
  <c r="J54" i="9"/>
  <c r="I54" i="9"/>
  <c r="H54" i="9"/>
  <c r="G54" i="9"/>
  <c r="E54" i="9"/>
  <c r="D54" i="9"/>
  <c r="A54" i="9"/>
  <c r="J108" i="11"/>
  <c r="O53" i="9"/>
  <c r="N53" i="9"/>
  <c r="M53" i="9"/>
  <c r="L53" i="9"/>
  <c r="K53" i="9"/>
  <c r="J53" i="9"/>
  <c r="I53" i="9"/>
  <c r="H53" i="9"/>
  <c r="G53" i="9"/>
  <c r="E53" i="9"/>
  <c r="D53" i="9"/>
  <c r="A53" i="9"/>
  <c r="J107" i="11"/>
  <c r="O52" i="9"/>
  <c r="N52" i="9"/>
  <c r="M52" i="9"/>
  <c r="L52" i="9"/>
  <c r="K52" i="9"/>
  <c r="J52" i="9"/>
  <c r="I52" i="9"/>
  <c r="H52" i="9"/>
  <c r="G52" i="9"/>
  <c r="E52" i="9"/>
  <c r="D52" i="9"/>
  <c r="A52" i="9"/>
  <c r="J106" i="11"/>
  <c r="O51" i="9"/>
  <c r="N51" i="9"/>
  <c r="M51" i="9"/>
  <c r="L51" i="9"/>
  <c r="K51" i="9"/>
  <c r="J51" i="9"/>
  <c r="I51" i="9"/>
  <c r="H51" i="9"/>
  <c r="G51" i="9"/>
  <c r="E51" i="9"/>
  <c r="D51" i="9"/>
  <c r="A51" i="9"/>
  <c r="J105" i="11"/>
  <c r="O50" i="9"/>
  <c r="N50" i="9"/>
  <c r="M50" i="9"/>
  <c r="L50" i="9"/>
  <c r="K50" i="9"/>
  <c r="J50" i="9"/>
  <c r="I50" i="9"/>
  <c r="H50" i="9"/>
  <c r="G50" i="9"/>
  <c r="E50" i="9"/>
  <c r="D50" i="9"/>
  <c r="A50" i="9"/>
  <c r="J104" i="11"/>
  <c r="O49" i="9"/>
  <c r="N49" i="9"/>
  <c r="M49" i="9"/>
  <c r="L49" i="9"/>
  <c r="K49" i="9"/>
  <c r="J49" i="9"/>
  <c r="I49" i="9"/>
  <c r="H49" i="9"/>
  <c r="G49" i="9"/>
  <c r="E49" i="9"/>
  <c r="D49" i="9"/>
  <c r="A49" i="9"/>
  <c r="J103" i="11"/>
  <c r="O48" i="9"/>
  <c r="N48" i="9"/>
  <c r="M48" i="9"/>
  <c r="L48" i="9"/>
  <c r="K48" i="9"/>
  <c r="J48" i="9"/>
  <c r="I48" i="9"/>
  <c r="H48" i="9"/>
  <c r="G48" i="9"/>
  <c r="E48" i="9"/>
  <c r="D48" i="9"/>
  <c r="A48" i="9"/>
  <c r="J102" i="11"/>
  <c r="O47" i="9"/>
  <c r="N47" i="9"/>
  <c r="M47" i="9"/>
  <c r="L47" i="9"/>
  <c r="K47" i="9"/>
  <c r="J47" i="9"/>
  <c r="I47" i="9"/>
  <c r="H47" i="9"/>
  <c r="G47" i="9"/>
  <c r="E47" i="9"/>
  <c r="D47" i="9"/>
  <c r="A47" i="9"/>
  <c r="J101" i="11"/>
  <c r="O46" i="9"/>
  <c r="N46" i="9"/>
  <c r="M46" i="9"/>
  <c r="L46" i="9"/>
  <c r="K46" i="9"/>
  <c r="J46" i="9"/>
  <c r="I46" i="9"/>
  <c r="H46" i="9"/>
  <c r="G46" i="9"/>
  <c r="E46" i="9"/>
  <c r="D46" i="9"/>
  <c r="A46" i="9"/>
  <c r="J100" i="11"/>
  <c r="O45" i="9"/>
  <c r="N45" i="9"/>
  <c r="M45" i="9"/>
  <c r="L45" i="9"/>
  <c r="K45" i="9"/>
  <c r="J45" i="9"/>
  <c r="I45" i="9"/>
  <c r="H45" i="9"/>
  <c r="G45" i="9"/>
  <c r="E45" i="9"/>
  <c r="D45" i="9"/>
  <c r="A45" i="9"/>
  <c r="J99" i="11"/>
  <c r="O44" i="9"/>
  <c r="N44" i="9"/>
  <c r="M44" i="9"/>
  <c r="L44" i="9"/>
  <c r="K44" i="9"/>
  <c r="J44" i="9"/>
  <c r="I44" i="9"/>
  <c r="H44" i="9"/>
  <c r="G44" i="9"/>
  <c r="E44" i="9"/>
  <c r="D44" i="9"/>
  <c r="A44" i="9"/>
  <c r="J98" i="11"/>
  <c r="O43" i="9"/>
  <c r="N43" i="9"/>
  <c r="M43" i="9"/>
  <c r="L43" i="9"/>
  <c r="K43" i="9"/>
  <c r="J43" i="9"/>
  <c r="I43" i="9"/>
  <c r="H43" i="9"/>
  <c r="G43" i="9"/>
  <c r="E43" i="9"/>
  <c r="D43" i="9"/>
  <c r="A43" i="9"/>
  <c r="J97" i="11"/>
  <c r="O42" i="9"/>
  <c r="N42" i="9"/>
  <c r="M42" i="9"/>
  <c r="L42" i="9"/>
  <c r="K42" i="9"/>
  <c r="J42" i="9"/>
  <c r="I42" i="9"/>
  <c r="H42" i="9"/>
  <c r="G42" i="9"/>
  <c r="E42" i="9"/>
  <c r="D42" i="9"/>
  <c r="A42" i="9"/>
  <c r="J96" i="11"/>
  <c r="O41" i="9"/>
  <c r="N41" i="9"/>
  <c r="M41" i="9"/>
  <c r="L41" i="9"/>
  <c r="K41" i="9"/>
  <c r="J41" i="9"/>
  <c r="I41" i="9"/>
  <c r="H41" i="9"/>
  <c r="G41" i="9"/>
  <c r="E41" i="9"/>
  <c r="D41" i="9"/>
  <c r="A41" i="9"/>
  <c r="J95" i="11"/>
  <c r="O40" i="9"/>
  <c r="N40" i="9"/>
  <c r="M40" i="9"/>
  <c r="L40" i="9"/>
  <c r="K40" i="9"/>
  <c r="J40" i="9"/>
  <c r="I40" i="9"/>
  <c r="H40" i="9"/>
  <c r="G40" i="9"/>
  <c r="E40" i="9"/>
  <c r="D40" i="9"/>
  <c r="A40" i="9"/>
  <c r="J31" i="11"/>
  <c r="J94" i="11"/>
  <c r="O39" i="9"/>
  <c r="N39" i="9"/>
  <c r="M39" i="9"/>
  <c r="L39" i="9"/>
  <c r="K39" i="9"/>
  <c r="J39" i="9"/>
  <c r="I39" i="9"/>
  <c r="H39" i="9"/>
  <c r="G39" i="9"/>
  <c r="E39" i="9"/>
  <c r="D39" i="9"/>
  <c r="A39" i="9"/>
  <c r="M46" i="10"/>
  <c r="T46" i="10"/>
  <c r="W46" i="10"/>
  <c r="V46" i="10"/>
  <c r="X46" i="10"/>
  <c r="U46" i="10"/>
  <c r="Y46" i="10"/>
  <c r="M37" i="10"/>
  <c r="M43" i="10"/>
  <c r="N43" i="10"/>
  <c r="Q43" i="10"/>
  <c r="P43" i="10"/>
  <c r="R43" i="10"/>
  <c r="O43" i="10"/>
  <c r="S43" i="10"/>
  <c r="N37" i="10"/>
  <c r="Q37" i="10"/>
  <c r="P37" i="10"/>
  <c r="R37" i="10"/>
  <c r="O37" i="10"/>
  <c r="S37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33" i="10"/>
  <c r="T33" i="10"/>
  <c r="W33" i="10"/>
  <c r="V33" i="10"/>
  <c r="X33" i="10"/>
  <c r="U33" i="10"/>
  <c r="Y33" i="10"/>
  <c r="M36" i="10"/>
  <c r="M42" i="10"/>
  <c r="N42" i="10"/>
  <c r="Q42" i="10"/>
  <c r="P42" i="10"/>
  <c r="R42" i="10"/>
  <c r="O42" i="10"/>
  <c r="S42" i="10"/>
  <c r="N36" i="10"/>
  <c r="Q36" i="10"/>
  <c r="P36" i="10"/>
  <c r="R36" i="10"/>
  <c r="O36" i="10"/>
  <c r="S36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G97" i="9"/>
  <c r="H97" i="9"/>
  <c r="I97" i="9"/>
  <c r="J97" i="9"/>
  <c r="K97" i="9"/>
  <c r="L97" i="9"/>
  <c r="M97" i="9"/>
  <c r="N97" i="9"/>
  <c r="J33" i="11"/>
  <c r="O97" i="9"/>
  <c r="G98" i="9"/>
  <c r="H98" i="9"/>
  <c r="I98" i="9"/>
  <c r="J98" i="9"/>
  <c r="K98" i="9"/>
  <c r="L98" i="9"/>
  <c r="M98" i="9"/>
  <c r="N98" i="9"/>
  <c r="J34" i="11"/>
  <c r="O98" i="9"/>
  <c r="G99" i="9"/>
  <c r="H99" i="9"/>
  <c r="I99" i="9"/>
  <c r="J99" i="9"/>
  <c r="K99" i="9"/>
  <c r="L99" i="9"/>
  <c r="M99" i="9"/>
  <c r="N99" i="9"/>
  <c r="J35" i="11"/>
  <c r="O99" i="9"/>
  <c r="G100" i="9"/>
  <c r="H100" i="9"/>
  <c r="I100" i="9"/>
  <c r="J100" i="9"/>
  <c r="K100" i="9"/>
  <c r="L100" i="9"/>
  <c r="M100" i="9"/>
  <c r="N100" i="9"/>
  <c r="J36" i="11"/>
  <c r="O100" i="9"/>
  <c r="G101" i="9"/>
  <c r="H101" i="9"/>
  <c r="I101" i="9"/>
  <c r="J101" i="9"/>
  <c r="K101" i="9"/>
  <c r="L101" i="9"/>
  <c r="M101" i="9"/>
  <c r="N101" i="9"/>
  <c r="J37" i="11"/>
  <c r="O101" i="9"/>
  <c r="G102" i="9"/>
  <c r="H102" i="9"/>
  <c r="I102" i="9"/>
  <c r="J102" i="9"/>
  <c r="K102" i="9"/>
  <c r="L102" i="9"/>
  <c r="M102" i="9"/>
  <c r="N102" i="9"/>
  <c r="J38" i="11"/>
  <c r="O102" i="9"/>
  <c r="G103" i="9"/>
  <c r="H103" i="9"/>
  <c r="I103" i="9"/>
  <c r="J103" i="9"/>
  <c r="K103" i="9"/>
  <c r="L103" i="9"/>
  <c r="M103" i="9"/>
  <c r="N103" i="9"/>
  <c r="J39" i="11"/>
  <c r="O103" i="9"/>
  <c r="G104" i="9"/>
  <c r="H104" i="9"/>
  <c r="I104" i="9"/>
  <c r="J104" i="9"/>
  <c r="K104" i="9"/>
  <c r="L104" i="9"/>
  <c r="M104" i="9"/>
  <c r="N104" i="9"/>
  <c r="J40" i="11"/>
  <c r="O104" i="9"/>
  <c r="G105" i="9"/>
  <c r="H105" i="9"/>
  <c r="I105" i="9"/>
  <c r="J105" i="9"/>
  <c r="K105" i="9"/>
  <c r="L105" i="9"/>
  <c r="M105" i="9"/>
  <c r="N105" i="9"/>
  <c r="J41" i="11"/>
  <c r="O105" i="9"/>
  <c r="G106" i="9"/>
  <c r="H106" i="9"/>
  <c r="I106" i="9"/>
  <c r="J106" i="9"/>
  <c r="K106" i="9"/>
  <c r="L106" i="9"/>
  <c r="M106" i="9"/>
  <c r="N106" i="9"/>
  <c r="J42" i="11"/>
  <c r="O106" i="9"/>
  <c r="G107" i="9"/>
  <c r="H107" i="9"/>
  <c r="I107" i="9"/>
  <c r="J107" i="9"/>
  <c r="K107" i="9"/>
  <c r="L107" i="9"/>
  <c r="M107" i="9"/>
  <c r="N107" i="9"/>
  <c r="J43" i="11"/>
  <c r="O107" i="9"/>
  <c r="G108" i="9"/>
  <c r="H108" i="9"/>
  <c r="I108" i="9"/>
  <c r="J108" i="9"/>
  <c r="K108" i="9"/>
  <c r="L108" i="9"/>
  <c r="M108" i="9"/>
  <c r="N108" i="9"/>
  <c r="J44" i="11"/>
  <c r="O108" i="9"/>
  <c r="G109" i="9"/>
  <c r="H109" i="9"/>
  <c r="I109" i="9"/>
  <c r="J109" i="9"/>
  <c r="K109" i="9"/>
  <c r="L109" i="9"/>
  <c r="M109" i="9"/>
  <c r="N109" i="9"/>
  <c r="J45" i="11"/>
  <c r="O109" i="9"/>
  <c r="G110" i="9"/>
  <c r="H110" i="9"/>
  <c r="I110" i="9"/>
  <c r="J110" i="9"/>
  <c r="K110" i="9"/>
  <c r="L110" i="9"/>
  <c r="M110" i="9"/>
  <c r="N110" i="9"/>
  <c r="J46" i="11"/>
  <c r="O110" i="9"/>
  <c r="G111" i="9"/>
  <c r="H111" i="9"/>
  <c r="I111" i="9"/>
  <c r="J111" i="9"/>
  <c r="K111" i="9"/>
  <c r="L111" i="9"/>
  <c r="M111" i="9"/>
  <c r="N111" i="9"/>
  <c r="J47" i="11"/>
  <c r="O111" i="9"/>
  <c r="G112" i="9"/>
  <c r="H112" i="9"/>
  <c r="I112" i="9"/>
  <c r="J112" i="9"/>
  <c r="K112" i="9"/>
  <c r="L112" i="9"/>
  <c r="M112" i="9"/>
  <c r="N112" i="9"/>
  <c r="J48" i="11"/>
  <c r="O112" i="9"/>
  <c r="G113" i="9"/>
  <c r="H113" i="9"/>
  <c r="I113" i="9"/>
  <c r="J113" i="9"/>
  <c r="K113" i="9"/>
  <c r="L113" i="9"/>
  <c r="M113" i="9"/>
  <c r="N113" i="9"/>
  <c r="J49" i="11"/>
  <c r="O113" i="9"/>
  <c r="G114" i="9"/>
  <c r="H114" i="9"/>
  <c r="I114" i="9"/>
  <c r="J114" i="9"/>
  <c r="K114" i="9"/>
  <c r="L114" i="9"/>
  <c r="M114" i="9"/>
  <c r="N114" i="9"/>
  <c r="J50" i="11"/>
  <c r="O114" i="9"/>
  <c r="G115" i="9"/>
  <c r="H115" i="9"/>
  <c r="I115" i="9"/>
  <c r="J115" i="9"/>
  <c r="K115" i="9"/>
  <c r="L115" i="9"/>
  <c r="M115" i="9"/>
  <c r="N115" i="9"/>
  <c r="J51" i="11"/>
  <c r="O115" i="9"/>
  <c r="G116" i="9"/>
  <c r="H116" i="9"/>
  <c r="I116" i="9"/>
  <c r="J116" i="9"/>
  <c r="K116" i="9"/>
  <c r="L116" i="9"/>
  <c r="M116" i="9"/>
  <c r="N116" i="9"/>
  <c r="J52" i="11"/>
  <c r="O116" i="9"/>
  <c r="G117" i="9"/>
  <c r="H117" i="9"/>
  <c r="I117" i="9"/>
  <c r="J117" i="9"/>
  <c r="K117" i="9"/>
  <c r="L117" i="9"/>
  <c r="M117" i="9"/>
  <c r="N117" i="9"/>
  <c r="J53" i="11"/>
  <c r="O117" i="9"/>
  <c r="G118" i="9"/>
  <c r="H118" i="9"/>
  <c r="I118" i="9"/>
  <c r="J118" i="9"/>
  <c r="K118" i="9"/>
  <c r="L118" i="9"/>
  <c r="M118" i="9"/>
  <c r="N118" i="9"/>
  <c r="J54" i="11"/>
  <c r="O118" i="9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J65" i="11"/>
  <c r="J66" i="11"/>
  <c r="I67" i="11"/>
  <c r="J67" i="11"/>
  <c r="I68" i="11"/>
  <c r="J68" i="11"/>
  <c r="I69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I88" i="11"/>
  <c r="J88" i="11"/>
  <c r="I89" i="11"/>
  <c r="J89" i="11"/>
  <c r="J90" i="11"/>
  <c r="I91" i="11"/>
  <c r="J91" i="11"/>
  <c r="I92" i="11"/>
  <c r="J92" i="11"/>
  <c r="J93" i="11"/>
  <c r="G38" i="9"/>
  <c r="E112" i="9"/>
  <c r="D112" i="9"/>
  <c r="A112" i="9"/>
  <c r="A37" i="9"/>
  <c r="A38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3" i="9"/>
  <c r="A114" i="9"/>
  <c r="A115" i="9"/>
  <c r="A116" i="9"/>
  <c r="A117" i="9"/>
  <c r="A118" i="9"/>
  <c r="D97" i="9"/>
  <c r="E97" i="9"/>
  <c r="D98" i="9"/>
  <c r="E98" i="9"/>
  <c r="D99" i="9"/>
  <c r="E99" i="9"/>
  <c r="D100" i="9"/>
  <c r="E100" i="9"/>
  <c r="D101" i="9"/>
  <c r="E101" i="9"/>
  <c r="D102" i="9"/>
  <c r="E102" i="9"/>
  <c r="D103" i="9"/>
  <c r="E103" i="9"/>
  <c r="D104" i="9"/>
  <c r="E104" i="9"/>
  <c r="D105" i="9"/>
  <c r="E105" i="9"/>
  <c r="D106" i="9"/>
  <c r="E106" i="9"/>
  <c r="D107" i="9"/>
  <c r="E107" i="9"/>
  <c r="D108" i="9"/>
  <c r="E108" i="9"/>
  <c r="D109" i="9"/>
  <c r="E109" i="9"/>
  <c r="D110" i="9"/>
  <c r="E110" i="9"/>
  <c r="D111" i="9"/>
  <c r="E111" i="9"/>
  <c r="D113" i="9"/>
  <c r="E113" i="9"/>
  <c r="D114" i="9"/>
  <c r="E114" i="9"/>
  <c r="D115" i="9"/>
  <c r="E115" i="9"/>
  <c r="D116" i="9"/>
  <c r="E116" i="9"/>
  <c r="D117" i="9"/>
  <c r="E117" i="9"/>
  <c r="D118" i="9"/>
  <c r="E118" i="9"/>
  <c r="A31" i="9"/>
  <c r="A32" i="9"/>
  <c r="A33" i="9"/>
  <c r="A34" i="9"/>
  <c r="A35" i="9"/>
  <c r="A36" i="9"/>
  <c r="O4" i="21"/>
  <c r="B4" i="21"/>
  <c r="I4" i="21"/>
  <c r="J4" i="21"/>
  <c r="G4" i="21"/>
  <c r="F4" i="21"/>
  <c r="D4" i="21"/>
  <c r="C4" i="21"/>
  <c r="O6" i="21"/>
  <c r="M35" i="10"/>
  <c r="N35" i="10"/>
  <c r="Q35" i="10"/>
  <c r="P35" i="10"/>
  <c r="R35" i="10"/>
  <c r="O35" i="10"/>
  <c r="S35" i="10"/>
  <c r="L42" i="10"/>
  <c r="T42" i="10"/>
  <c r="U42" i="10"/>
  <c r="V42" i="10"/>
  <c r="W42" i="10"/>
  <c r="X42" i="10"/>
  <c r="Y42" i="10"/>
  <c r="L43" i="10"/>
  <c r="T43" i="10"/>
  <c r="U43" i="10"/>
  <c r="V43" i="10"/>
  <c r="W43" i="10"/>
  <c r="X43" i="10"/>
  <c r="Y43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1" i="10"/>
  <c r="J41" i="10"/>
  <c r="I41" i="10"/>
  <c r="K41" i="10"/>
  <c r="H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151" i="11"/>
  <c r="A5" i="9"/>
  <c r="D5" i="9"/>
  <c r="E5" i="9"/>
  <c r="O5" i="9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H38" i="9"/>
  <c r="I38" i="9"/>
  <c r="J38" i="9"/>
  <c r="K38" i="9"/>
  <c r="L38" i="9"/>
  <c r="M38" i="9"/>
  <c r="N38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O3" i="21"/>
  <c r="O5" i="21"/>
  <c r="O7" i="21"/>
  <c r="O2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3" i="21"/>
  <c r="I3" i="21"/>
  <c r="J3" i="21"/>
  <c r="G3" i="21"/>
  <c r="F3" i="21"/>
  <c r="D3" i="21"/>
  <c r="C3" i="21"/>
  <c r="O21" i="9"/>
  <c r="E21" i="9"/>
  <c r="D21" i="9"/>
  <c r="A21" i="9"/>
  <c r="O20" i="9"/>
  <c r="E20" i="9"/>
  <c r="D20" i="9"/>
  <c r="A20" i="9"/>
  <c r="O38" i="9"/>
  <c r="E38" i="9"/>
  <c r="D38" i="9"/>
  <c r="O37" i="9"/>
  <c r="E37" i="9"/>
  <c r="D37" i="9"/>
  <c r="O36" i="9"/>
  <c r="E36" i="9"/>
  <c r="D36" i="9"/>
  <c r="O35" i="9"/>
  <c r="E35" i="9"/>
  <c r="D35" i="9"/>
  <c r="O34" i="9"/>
  <c r="E34" i="9"/>
  <c r="D34" i="9"/>
  <c r="O33" i="9"/>
  <c r="E33" i="9"/>
  <c r="D33" i="9"/>
  <c r="O32" i="9"/>
  <c r="E32" i="9"/>
  <c r="D32" i="9"/>
  <c r="O31" i="9"/>
  <c r="E31" i="9"/>
  <c r="D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19" i="9"/>
  <c r="E19" i="9"/>
  <c r="D19" i="9"/>
  <c r="A19" i="9"/>
  <c r="O18" i="9"/>
  <c r="E18" i="9"/>
  <c r="D18" i="9"/>
  <c r="A18" i="9"/>
  <c r="O17" i="9"/>
  <c r="E17" i="9"/>
  <c r="D17" i="9"/>
  <c r="A17" i="9"/>
  <c r="J2" i="11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4" i="9"/>
  <c r="E4" i="9"/>
  <c r="D4" i="9"/>
  <c r="A4" i="9"/>
  <c r="O3" i="9"/>
  <c r="E3" i="9"/>
  <c r="D3" i="9"/>
  <c r="A3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H2" i="1"/>
  <c r="B4" i="2"/>
  <c r="H3" i="2"/>
  <c r="E3" i="2"/>
  <c r="D3" i="2"/>
  <c r="B3" i="2"/>
  <c r="W2" i="7"/>
  <c r="U2" i="7"/>
  <c r="V2" i="1"/>
  <c r="T2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<sst xmlns="http://schemas.openxmlformats.org/spreadsheetml/2006/main" count="1121" uniqueCount="394">
  <si>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</si>
  <si>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</si>
  <si>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</si>
  <si>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</si>
  <si>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</si>
  <si>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</si>
  <si>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</si>
  <si>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</si>
  <si>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</si>
  <si>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</si>
  <si>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</si>
  <si>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</si>
  <si>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</si>
  <si>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</si>
  <si>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</si>
  <si>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</si>
  <si>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</si>
  <si>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</si>
  <si>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</si>
  <si>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</si>
  <si>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</si>
  <si>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</si>
  <si>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</si>
  <si>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</si>
  <si>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</si>
  <si>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</si>
  <si>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</si>
  <si>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</si>
  <si>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</si>
  <si>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</si>
  <si>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</si>
  <si>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</si>
  <si>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</si>
  <si>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</si>
  <si>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</si>
  <si>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</si>
  <si>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</si>
  <si>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</si>
  <si>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</si>
  <si>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</si>
  <si>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</si>
  <si>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</si>
  <si>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</si>
  <si>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</si>
  <si>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</si>
  <si>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</si>
  <si>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</si>
  <si>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</si>
  <si>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</si>
  <si>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</si>
  <si>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</si>
  <si>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</si>
  <si>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</si>
  <si>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</si>
  <si>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</si>
  <si>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</si>
  <si>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</si>
  <si>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</si>
  <si>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</si>
  <si>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</si>
  <si>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</si>
  <si>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</si>
  <si>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</si>
  <si>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</si>
  <si>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</si>
  <si>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</si>
  <si>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</si>
  <si>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</si>
  <si>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</si>
  <si>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</si>
  <si>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</si>
  <si>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</si>
  <si>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</si>
  <si>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</si>
  <si>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</si>
  <si>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</si>
  <si>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</si>
  <si>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</si>
  <si>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</si>
  <si>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</si>
  <si>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</si>
  <si>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</si>
  <si>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</si>
  <si>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</si>
  <si>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</si>
  <si>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</si>
  <si>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</si>
  <si>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</si>
  <si>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</si>
  <si>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</si>
  <si>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</si>
  <si>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</si>
  <si>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</si>
  <si>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</si>
  <si>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</si>
  <si>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</si>
  <si>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</si>
  <si>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</si>
  <si>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</si>
  <si>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</si>
  <si>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</si>
  <si>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</si>
  <si>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</si>
  <si>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</si>
  <si>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</si>
  <si>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</si>
  <si>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</si>
  <si>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</si>
  <si>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</si>
  <si>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</si>
  <si>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</si>
  <si>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</si>
  <si>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</si>
  <si>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</si>
  <si>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</si>
  <si>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</si>
  <si>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</si>
  <si>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</si>
  <si>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</si>
  <si>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</si>
  <si>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</si>
  <si>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</si>
  <si>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</si>
  <si>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</si>
  <si>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</si>
  <si>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</si>
  <si>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</si>
  <si>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</si>
  <si>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</si>
  <si>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</si>
  <si>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</si>
  <si>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</si>
  <si>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</si>
  <si>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</si>
  <si>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</si>
  <si>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</si>
  <si>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</si>
  <si>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</si>
  <si>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</si>
  <si>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</si>
  <si>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</si>
  <si>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</si>
  <si>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</si>
  <si>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</si>
  <si>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</si>
  <si>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</si>
  <si>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</si>
  <si>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</si>
  <si>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</si>
  <si>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</si>
  <si>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</si>
  <si>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</si>
  <si>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</si>
  <si>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</si>
  <si>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</si>
  <si>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</si>
  <si>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</si>
  <si>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</si>
  <si>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</si>
  <si>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</si>
  <si>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</si>
  <si>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</si>
  <si>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</si>
  <si>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</si>
  <si>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</si>
  <si>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</si>
  <si>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</si>
  <si>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</si>
  <si>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</si>
  <si>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</si>
  <si>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</si>
  <si>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</si>
  <si>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</si>
  <si>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</si>
  <si>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</si>
  <si>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</si>
  <si>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</si>
  <si>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</si>
  <si>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</si>
  <si>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</si>
  <si>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</si>
  <si>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</si>
  <si>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</si>
  <si>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</si>
  <si>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</si>
  <si>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</si>
  <si>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</si>
  <si>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</si>
  <si>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</si>
  <si>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</si>
  <si>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</si>
  <si>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</si>
  <si>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</si>
  <si>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</si>
  <si>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</si>
  <si>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</si>
  <si>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</si>
  <si>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</si>
  <si>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</si>
  <si>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</si>
  <si>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</si>
  <si>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</si>
  <si>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</si>
  <si>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</si>
  <si>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</si>
  <si>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</si>
  <si>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</si>
  <si>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</si>
  <si>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</si>
  <si>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</si>
  <si>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</si>
  <si>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</si>
  <si>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</si>
  <si>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</si>
  <si>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</si>
  <si>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</si>
  <si>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</si>
  <si>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</si>
  <si>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</si>
  <si>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</si>
  <si>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</si>
  <si>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</si>
  <si>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</si>
  <si>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</si>
  <si>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</si>
  <si>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</si>
  <si>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</si>
  <si>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</si>
  <si>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</si>
  <si>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</si>
  <si>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</si>
  <si>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</si>
  <si>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</si>
  <si>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</si>
  <si>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</si>
  <si>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</si>
  <si>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</si>
  <si>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</si>
  <si>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</si>
  <si>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</si>
  <si>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</si>
  <si>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</si>
  <si>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</si>
  <si>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</si>
  <si>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</si>
  <si>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</si>
  <si>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</si>
  <si>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</si>
  <si>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</si>
  <si>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</si>
  <si>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</si>
  <si>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</si>
  <si>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</si>
  <si>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</si>
  <si>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クリティカル！</t>
    <phoneticPr fontId="5"/>
  </si>
  <si>
    <t>2回連続攻撃</t>
    <rPh sb="1" eb="2">
      <t>カイ</t>
    </rPh>
    <rPh sb="2" eb="4">
      <t>レンゾク</t>
    </rPh>
    <rPh sb="4" eb="6">
      <t>コウゲキ</t>
    </rPh>
    <phoneticPr fontId="5"/>
  </si>
  <si>
    <t>ハートパネルを赤パネルに変換</t>
    <rPh sb="7" eb="8">
      <t>アカパネル</t>
    </rPh>
    <rPh sb="12" eb="14">
      <t>ヘンカン</t>
    </rPh>
    <phoneticPr fontId="5"/>
  </si>
  <si>
    <t>クリティカル！</t>
    <phoneticPr fontId="5"/>
  </si>
  <si>
    <t>5回連続攻撃</t>
    <rPh sb="1" eb="2">
      <t>カイ</t>
    </rPh>
    <rPh sb="2" eb="4">
      <t>レンゾク</t>
    </rPh>
    <rPh sb="4" eb="6">
      <t>コウゲキ</t>
    </rPh>
    <phoneticPr fontId="5"/>
  </si>
  <si>
    <t>攻撃頻度UP+
次のターン強力な全体攻撃</t>
    <rPh sb="0" eb="4">
      <t>コウゲキヒンド</t>
    </rPh>
    <rPh sb="8" eb="9">
      <t>ツギノターン</t>
    </rPh>
    <rPh sb="13" eb="15">
      <t>キョウリョクナ</t>
    </rPh>
    <rPh sb="16" eb="18">
      <t>ゼンタイ</t>
    </rPh>
    <rPh sb="18" eb="20">
      <t>コウゲキ</t>
    </rPh>
    <phoneticPr fontId="5"/>
  </si>
  <si>
    <t>強力な全体攻撃！</t>
    <rPh sb="0" eb="2">
      <t>キョウリョクナ</t>
    </rPh>
    <rPh sb="3" eb="5">
      <t>ゼンタイ</t>
    </rPh>
    <rPh sb="5" eb="7">
      <t>コウゲキ</t>
    </rPh>
    <phoneticPr fontId="5"/>
  </si>
  <si>
    <t>ハートパネルを緑パネルに変換</t>
    <rPh sb="7" eb="8">
      <t>ミドリ</t>
    </rPh>
    <rPh sb="12" eb="14">
      <t>ヘンカン</t>
    </rPh>
    <phoneticPr fontId="5"/>
  </si>
  <si>
    <t>全体攻撃</t>
    <rPh sb="0" eb="2">
      <t>ゼンタイ</t>
    </rPh>
    <rPh sb="2" eb="4">
      <t>コウゲキ</t>
    </rPh>
    <phoneticPr fontId="5"/>
  </si>
  <si>
    <t>complete</t>
  </si>
  <si>
    <t>old</t>
  </si>
  <si>
    <t>null</t>
    <phoneticPr fontId="5"/>
  </si>
  <si>
    <t>null</t>
    <phoneticPr fontId="5"/>
  </si>
  <si>
    <t>アイシクル</t>
    <phoneticPr fontId="5"/>
  </si>
  <si>
    <t>ブリザード</t>
    <phoneticPr fontId="5"/>
  </si>
  <si>
    <t>氷結弾</t>
    <rPh sb="0" eb="2">
      <t>ヒョウケツ</t>
    </rPh>
    <rPh sb="2" eb="3">
      <t>tama</t>
    </rPh>
    <phoneticPr fontId="5"/>
  </si>
  <si>
    <t>やー！きみも音楽を楽しみに来たんだね？</t>
    <rPh sb="6" eb="8">
      <t>オンガク</t>
    </rPh>
    <rPh sb="9" eb="10">
      <t>タノシミニ</t>
    </rPh>
    <rPh sb="13" eb="14">
      <t>キタ</t>
    </rPh>
    <phoneticPr fontId="5"/>
  </si>
  <si>
    <t>…いいね！是非きみの音も聴かせてくれ！</t>
    <rPh sb="5" eb="7">
      <t>ゼヒ</t>
    </rPh>
    <rPh sb="10" eb="11">
      <t>オト</t>
    </rPh>
    <rPh sb="12" eb="13">
      <t>kikasete</t>
    </rPh>
    <phoneticPr fontId="5"/>
  </si>
  <si>
    <t>爆音ノイズ</t>
    <rPh sb="0" eb="2">
      <t>バクオン</t>
    </rPh>
    <phoneticPr fontId="5"/>
  </si>
  <si>
    <t>超音波</t>
    <rPh sb="0" eb="3">
      <t>チョウオンパ</t>
    </rPh>
    <phoneticPr fontId="5"/>
  </si>
  <si>
    <t>やぁ、よく来たね。笛の音で魅了してあげよう…</t>
    <rPh sb="5" eb="6">
      <t>キタネ</t>
    </rPh>
    <rPh sb="11" eb="12">
      <t>ネ</t>
    </rPh>
    <rPh sb="13" eb="15">
      <t>ミリョウ</t>
    </rPh>
    <phoneticPr fontId="5"/>
  </si>
  <si>
    <t>強音撃</t>
    <rPh sb="0" eb="1">
      <t>ツヨイ</t>
    </rPh>
    <rPh sb="1" eb="2">
      <t>オト</t>
    </rPh>
    <rPh sb="2" eb="3">
      <t>ゲキ</t>
    </rPh>
    <phoneticPr fontId="5"/>
  </si>
  <si>
    <t>イエローノイズトーン</t>
    <phoneticPr fontId="5"/>
  </si>
  <si>
    <t>序曲は終わりだ…いくよ！</t>
    <rPh sb="0" eb="2">
      <t>ジョキョク</t>
    </rPh>
    <rPh sb="3" eb="4">
      <t>オワリ</t>
    </rPh>
    <phoneticPr fontId="5"/>
  </si>
  <si>
    <t>じわじわと揺さぶるような音を…</t>
    <rPh sb="5" eb="6">
      <t>ユサブル</t>
    </rPh>
    <rPh sb="12" eb="13">
      <t>オトヲ</t>
    </rPh>
    <phoneticPr fontId="5"/>
  </si>
  <si>
    <t>電子五重奏</t>
    <rPh sb="0" eb="2">
      <t>デンシ</t>
    </rPh>
    <rPh sb="2" eb="5">
      <t>ゴジュウソウ</t>
    </rPh>
    <phoneticPr fontId="5"/>
  </si>
  <si>
    <t>テンポアップ…ついてこれるかい？</t>
    <phoneticPr fontId="5"/>
  </si>
  <si>
    <t>強重音撃</t>
    <rPh sb="0" eb="1">
      <t>ツヨイ</t>
    </rPh>
    <rPh sb="1" eb="2">
      <t>オモイ</t>
    </rPh>
    <rPh sb="2" eb="3">
      <t>オンパ</t>
    </rPh>
    <rPh sb="3" eb="4">
      <t>ゲキ</t>
    </rPh>
    <phoneticPr fontId="5"/>
  </si>
  <si>
    <t>いよいよ最終楽章…いこう！</t>
    <rPh sb="4" eb="8">
      <t>サイシュウガクショウ</t>
    </rPh>
    <phoneticPr fontId="5"/>
  </si>
  <si>
    <t>グリーンノイズトーン</t>
    <phoneticPr fontId="5"/>
  </si>
  <si>
    <t>心奪うような音を…</t>
    <rPh sb="0" eb="2">
      <t>ココロウバウ</t>
    </rPh>
    <rPh sb="6" eb="7">
      <t>オト</t>
    </rPh>
    <phoneticPr fontId="5"/>
  </si>
  <si>
    <t>重音撃</t>
    <rPh sb="0" eb="1">
      <t>オモイ</t>
    </rPh>
    <rPh sb="1" eb="2">
      <t>オンパ</t>
    </rPh>
    <rPh sb="2" eb="3">
      <t>ゲキ</t>
    </rPh>
    <phoneticPr fontId="5"/>
  </si>
  <si>
    <t>さぁ、最高の音を届けよう！</t>
    <rPh sb="3" eb="5">
      <t>サイコウノ</t>
    </rPh>
    <rPh sb="6" eb="7">
      <t>オト</t>
    </rPh>
    <rPh sb="8" eb="9">
      <t>トドケヨウ</t>
    </rPh>
    <phoneticPr fontId="5"/>
  </si>
  <si>
    <t>心を重ねて聴いておくれ…</t>
    <rPh sb="0" eb="1">
      <t>ココロヲ</t>
    </rPh>
    <rPh sb="2" eb="3">
      <t>カサネテ</t>
    </rPh>
    <rPh sb="5" eb="6">
      <t>キイテ</t>
    </rPh>
    <phoneticPr fontId="5"/>
  </si>
  <si>
    <t>さぁ…最大音量で放つよ…！</t>
    <rPh sb="3" eb="7">
      <t>サイダイオンリョウ</t>
    </rPh>
    <rPh sb="8" eb="9">
      <t>ハナツ</t>
    </rPh>
    <phoneticPr fontId="5"/>
  </si>
  <si>
    <t>超絶技巧・連続音撃</t>
    <rPh sb="0" eb="4">
      <t>チョウゼツギコウ</t>
    </rPh>
    <rPh sb="5" eb="8">
      <t>レンゾクオン</t>
    </rPh>
    <rPh sb="8" eb="9">
      <t>ゲキ</t>
    </rPh>
    <phoneticPr fontId="5"/>
  </si>
  <si>
    <t>ラヴ・ソング</t>
    <phoneticPr fontId="5"/>
  </si>
  <si>
    <t>リラクゼ・ソング</t>
    <phoneticPr fontId="5"/>
  </si>
  <si>
    <t>ハイトーン</t>
    <phoneticPr fontId="5"/>
  </si>
  <si>
    <t>ハートノイズトーン</t>
    <phoneticPr fontId="5"/>
  </si>
  <si>
    <t>4ターン黄パネル無効</t>
    <rPh sb="4" eb="5">
      <t>キイロ</t>
    </rPh>
    <rPh sb="8" eb="10">
      <t>ムコウ</t>
    </rPh>
    <phoneticPr fontId="5"/>
  </si>
  <si>
    <t>ハーメルン</t>
    <phoneticPr fontId="5"/>
  </si>
  <si>
    <t>KAITO</t>
    <phoneticPr fontId="5"/>
  </si>
  <si>
    <t>VRライブコンテスト</t>
    <phoneticPr fontId="5"/>
  </si>
  <si>
    <t>雪玉攻撃</t>
    <rPh sb="0" eb="4">
      <t>ユキダマコウゲキ</t>
    </rPh>
    <phoneticPr fontId="5"/>
  </si>
  <si>
    <t>電子クラリネット奏者のハーメルンは
心を落ち着ける音を奏でる能力と
素敵な衣装で観客を集め
VRライブを大成功させました</t>
    <phoneticPr fontId="5"/>
  </si>
  <si>
    <t>雪まつり同時開催のVRライブコンテストは
ボーカロイド楽曲のアレンジ作品を
歌や楽器で自由に表現するコンテストです</t>
    <phoneticPr fontId="5"/>
  </si>
  <si>
    <t>ハーメルンが着ているのは
KAITOの衣装です
甘く優しい声で曲調を問わず歌い上げる
彼を尊敬しているのだそうです</t>
    <rPh sb="6" eb="7">
      <t>キテイル</t>
    </rPh>
    <phoneticPr fontId="5"/>
  </si>
  <si>
    <t>きみは澄んだ音色だね…一緒に奏でてみるかい？</t>
    <rPh sb="3" eb="4">
      <t>スンダ</t>
    </rPh>
    <rPh sb="6" eb="8">
      <t>ネイロ</t>
    </rPh>
    <rPh sb="11" eb="13">
      <t>イッショニ</t>
    </rPh>
    <rPh sb="14" eb="15">
      <t>カナデテ</t>
    </rPh>
    <phoneticPr fontId="5"/>
  </si>
  <si>
    <t>小さな兎さん、ふふ…あんまり走り回らないでおくれ？</t>
    <rPh sb="0" eb="1">
      <t>チイサナ</t>
    </rPh>
    <rPh sb="3" eb="4">
      <t>ウサギ</t>
    </rPh>
    <rPh sb="14" eb="15">
      <t>ハシリマワラナイデ</t>
    </rPh>
    <phoneticPr fontId="5"/>
  </si>
  <si>
    <t>待ってたよ！レンくんに会えるのを楽しみにしてたんだ</t>
    <rPh sb="0" eb="1">
      <t>マッテタ</t>
    </rPh>
    <rPh sb="16" eb="17">
      <t>タノシミニシテイタ</t>
    </rPh>
    <phoneticPr fontId="5"/>
  </si>
  <si>
    <t>あなたは穏やかな音色だね…一緒に奏でてみるかい？</t>
    <rPh sb="4" eb="5">
      <t>オダヤカナ</t>
    </rPh>
    <rPh sb="8" eb="10">
      <t>ネイロ</t>
    </rPh>
    <rPh sb="13" eb="15">
      <t>イッショニ</t>
    </rPh>
    <rPh sb="16" eb="17">
      <t>カナデテ</t>
    </rPh>
    <phoneticPr fontId="5"/>
  </si>
  <si>
    <t>あなたは情熱的な音色だね…一緒に奏でてみるかい？</t>
    <rPh sb="4" eb="7">
      <t>ジョウネツテキナ</t>
    </rPh>
    <rPh sb="8" eb="10">
      <t>ネイロ</t>
    </rPh>
    <rPh sb="13" eb="15">
      <t>イッショニ</t>
    </rPh>
    <rPh sb="16" eb="17">
      <t>カナデテ</t>
    </rPh>
    <phoneticPr fontId="5"/>
  </si>
  <si>
    <t>驚いたな…あなたが会いに来てくれるなんて…！</t>
    <rPh sb="0" eb="1">
      <t>オドロイタナ</t>
    </rPh>
    <rPh sb="9" eb="10">
      <t>アイニ</t>
    </rPh>
    <rPh sb="12" eb="13">
      <t>キテ</t>
    </rPh>
    <phoneticPr fontId="5"/>
  </si>
  <si>
    <t>新世代の音色を感じる…素晴らしい調和だね…</t>
    <rPh sb="0" eb="1">
      <t>アタラシイ</t>
    </rPh>
    <rPh sb="1" eb="3">
      <t>セダイ</t>
    </rPh>
    <rPh sb="4" eb="6">
      <t>ネイロ</t>
    </rPh>
    <rPh sb="7" eb="8">
      <t>カンジル</t>
    </rPh>
    <rPh sb="11" eb="13">
      <t>スバラシイ</t>
    </rPh>
    <rPh sb="16" eb="18">
      <t>チョウワ</t>
    </rPh>
    <phoneticPr fontId="5"/>
  </si>
  <si>
    <t>よく来てくれたね…楽しんでいっておくれ！</t>
    <rPh sb="2" eb="3">
      <t>キテクレタ</t>
    </rPh>
    <rPh sb="9" eb="10">
      <t>タノシンデ</t>
    </rPh>
    <phoneticPr fontId="5"/>
  </si>
  <si>
    <t>またイタズラかい？どれ、僕と遊ぼうか…</t>
    <rPh sb="12" eb="13">
      <t>ボk</t>
    </rPh>
    <rPh sb="14" eb="15">
      <t>アソb</t>
    </rPh>
    <phoneticPr fontId="5"/>
  </si>
  <si>
    <t>グリム！…いや、今日ぐらい仲良くやろうじゃないか…</t>
    <rPh sb="8" eb="10">
      <t>キョウグライ</t>
    </rPh>
    <rPh sb="13" eb="15">
      <t>ナカヨク</t>
    </rPh>
    <phoneticPr fontId="5"/>
  </si>
  <si>
    <t>ふふ…とても楽しかったよ！また来てくれるかい？</t>
  </si>
  <si>
    <t>[表示しない]</t>
    <phoneticPr fontId="5"/>
  </si>
  <si>
    <t>雪しぶき</t>
  </si>
  <si>
    <t>全体攻撃</t>
  </si>
  <si>
    <t>黄属性ユニットのスキルMAX！+逃走</t>
    <rPh sb="0" eb="1">
      <t>キイロ</t>
    </rPh>
    <rPh sb="1" eb="3">
      <t>ゾクセイ</t>
    </rPh>
    <rPh sb="16" eb="18">
      <t>トウソウ</t>
    </rPh>
    <phoneticPr fontId="5"/>
  </si>
  <si>
    <t>5回連続攻撃</t>
    <rPh sb="1" eb="2">
      <t>カイ</t>
    </rPh>
    <rPh sb="2" eb="6">
      <t>レンゾクコウゲキ</t>
    </rPh>
    <phoneticPr fontId="5"/>
  </si>
  <si>
    <t>全体攻撃</t>
    <rPh sb="0" eb="4">
      <t>ゼンタイコウゲキ</t>
    </rPh>
    <phoneticPr fontId="5"/>
  </si>
  <si>
    <t>[effect:enemy_message, val1:1.2, val2:1.2],[effect:critical, val:1.3, animation:enemy_critical]</t>
  </si>
  <si>
    <t>[effect:enemy_message, val1:1.2, val2:1.2],[effect:spread, val:0.3]</t>
  </si>
  <si>
    <t>[effect:enemy_message, val1:1.2, val2:1.2],[effect:rush, count:2, val:0.65]</t>
  </si>
  <si>
    <t>[effect:enemy_message, val1:1.2, val2:1.2],[effect:rush, count:5, val:0.25]</t>
  </si>
  <si>
    <t>[effect:enemy_message, val1:1.5, val2:1.5],[effect:virus, target:unit_all, turn:3, rate:1, val:0.1, animation:enemy_virus],[effect:dis_panel, target:block_yellow, turn:-1, animation:enemy_dis_yellow]</t>
  </si>
  <si>
    <t>[effect:enemy_message, val1:1.2, val2:1.2],[effect:spread, val:0.32]</t>
  </si>
  <si>
    <t>[effect:enemy_message, val1:1.2, val2:1.2],[effect:rush, count:18, val:0.15]</t>
  </si>
  <si>
    <t>[effect:enemy_message, val1:2.3, val2:0.0]</t>
    <phoneticPr fontId="5"/>
  </si>
  <si>
    <t>[effect:enemy_message, val1:2.4, val2:0.0]</t>
    <phoneticPr fontId="5"/>
  </si>
  <si>
    <t xml:space="preserve">[effect:enemy_message, val1:1.9, val2:1.2],[effect:dis_heart, turn:4, animation:enemy_dis_heart],[effect:fix_speed, target:enemy_blue, turn:1]    </t>
    <phoneticPr fontId="5"/>
  </si>
  <si>
    <t>黄パネル無効</t>
    <rPh sb="0" eb="1">
      <t>キイロ</t>
    </rPh>
    <rPh sb="4" eb="6">
      <t>ムコウ</t>
    </rPh>
    <phoneticPr fontId="5"/>
  </si>
  <si>
    <t>全ての効果を解除+500固定全体ダメージ</t>
    <rPh sb="14" eb="16">
      <t>ゼンタイ</t>
    </rPh>
    <phoneticPr fontId="5"/>
  </si>
  <si>
    <t>緑パネル無効</t>
    <rPh sb="0" eb="1">
      <t>ミドリ</t>
    </rPh>
    <rPh sb="4" eb="6">
      <t>ムコウ</t>
    </rPh>
    <phoneticPr fontId="5"/>
  </si>
  <si>
    <t>3ターンウィルス+黄パネル無効</t>
    <rPh sb="9" eb="10">
      <t>キイロ</t>
    </rPh>
    <phoneticPr fontId="5"/>
  </si>
  <si>
    <t>[effect:enemy_message, val1:1.3, val2:2.9],[effect:remove_enhancement, target:unit_all, target_effect:all, animation:frozen_wave],[effect:tolerance, target:myself, turn:-1, count:-1, tolerance_effect:all, animation:enemy_tolerance],[effect:damage_gravity, val:0.5, animation:fevergauge_down]</t>
    <phoneticPr fontId="5"/>
  </si>
  <si>
    <t>状態異常耐性+全ての効果を解除+
残りHPの50%ダメージ！</t>
    <rPh sb="7" eb="8">
      <t>スベテ</t>
    </rPh>
    <rPh sb="13" eb="15">
      <t>カイジョ</t>
    </rPh>
    <rPh sb="17" eb="18">
      <t>ノコリ</t>
    </rPh>
    <phoneticPr fontId="5"/>
  </si>
  <si>
    <t>ハートパネル無効+全体攻撃
【あと2ターン】</t>
    <rPh sb="6" eb="8">
      <t>ムコウ</t>
    </rPh>
    <rPh sb="9" eb="11">
      <t>ゼンタイ</t>
    </rPh>
    <rPh sb="11" eb="13">
      <t>コウゲキ</t>
    </rPh>
    <phoneticPr fontId="5"/>
  </si>
  <si>
    <t>黄パネル無効+全体攻撃
【あと1ターン】</t>
    <rPh sb="0" eb="1">
      <t>キイロ</t>
    </rPh>
    <rPh sb="4" eb="6">
      <t>ムコウ</t>
    </rPh>
    <rPh sb="7" eb="9">
      <t>ゼンタイ</t>
    </rPh>
    <rPh sb="9" eb="11">
      <t>コウゲキ</t>
    </rPh>
    <phoneticPr fontId="5"/>
  </si>
  <si>
    <t>緑パネル無効+全体攻撃</t>
    <rPh sb="0" eb="1">
      <t>ミドリ</t>
    </rPh>
    <rPh sb="4" eb="6">
      <t>ムコウ</t>
    </rPh>
    <rPh sb="7" eb="11">
      <t>ゼンタイコウゲキ</t>
    </rPh>
    <phoneticPr fontId="5"/>
  </si>
  <si>
    <t>[effect:enemy_message, val1:1.2, val2:1.2],[effect:spread, val:0.4]</t>
    <phoneticPr fontId="5"/>
  </si>
  <si>
    <t>ハートパネル無効+全体攻撃</t>
    <rPh sb="6" eb="8">
      <t>ムコウ</t>
    </rPh>
    <rPh sb="9" eb="11">
      <t>ゼンタイ</t>
    </rPh>
    <rPh sb="11" eb="13">
      <t>コウゲキ</t>
    </rPh>
    <phoneticPr fontId="5"/>
  </si>
  <si>
    <t>クリティカル！</t>
    <phoneticPr fontId="5"/>
  </si>
  <si>
    <t>3ターン後に強力な連続攻撃！+
全ての効果を解除+全体攻撃</t>
    <rPh sb="4" eb="5">
      <t>ゴ</t>
    </rPh>
    <rPh sb="6" eb="8">
      <t>キョウリョクナ</t>
    </rPh>
    <rPh sb="9" eb="11">
      <t>レンゾク</t>
    </rPh>
    <rPh sb="11" eb="13">
      <t>コウゲキ</t>
    </rPh>
    <rPh sb="16" eb="17">
      <t>スベテ</t>
    </rPh>
    <rPh sb="19" eb="21">
      <t>コウカヲ</t>
    </rPh>
    <rPh sb="22" eb="24">
      <t>カイジョ</t>
    </rPh>
    <rPh sb="25" eb="29">
      <t>ゼンタイコウゲキ</t>
    </rPh>
    <phoneticPr fontId="5"/>
  </si>
  <si>
    <t>4ターンハートパネル無効</t>
    <phoneticPr fontId="5"/>
  </si>
  <si>
    <t>[effect:enemy_message, val1:1.9, val2:1.8],[effect:sp_boost, target:unit_yellow, val:99, animation:sp_boost_one02],[effect:suicide, target:myself, val:1, dead_type:escape]</t>
    <phoneticPr fontId="5"/>
  </si>
  <si>
    <t xml:space="preserve">[effect:enemy_message, val1:1.2, val2:1.2],[effect:dis_panel, target:block_green, turn:-1, animation:enemy_dis_green],[effect:fix_speed, target:enemy_yellow, turn:2]    </t>
    <phoneticPr fontId="5"/>
  </si>
  <si>
    <t>[effect:enemy_message, val1:1.2, val2:1.2],[effect:spread, val:0.25],[effect:fix_speed, target:enemy_blue, turn:2]</t>
    <phoneticPr fontId="5"/>
  </si>
  <si>
    <t xml:space="preserve">[effect:enemy_message, val1:1.2, val2:1.2],[effect:dis_panel, target:block_yellow, turn:-1, animation:enemy_dis_yellow],[effect:fix_speed, target:enemy_blue, turn:1]    </t>
    <phoneticPr fontId="5"/>
  </si>
  <si>
    <t>状態異常耐性+全ての効果を解除</t>
    <rPh sb="7" eb="8">
      <t>スベテ</t>
    </rPh>
    <rPh sb="13" eb="15">
      <t>カイジョ</t>
    </rPh>
    <phoneticPr fontId="5"/>
  </si>
  <si>
    <t>[effect:enemy_message, val1:1.2, val2:1.2],[effect:dis_panel, target:block_yellow, turn:4, animation:enemy_dis_yellow]</t>
    <phoneticPr fontId="5"/>
  </si>
  <si>
    <t>unit</t>
  </si>
  <si>
    <t>bit</t>
  </si>
  <si>
    <t>null</t>
    <phoneticPr fontId="5"/>
  </si>
  <si>
    <t>2016-5-27 0:00:01</t>
  </si>
  <si>
    <t>2970-01-01 09:00:01</t>
  </si>
  <si>
    <t>2016-5-27 0:00:02</t>
  </si>
  <si>
    <t>2970-01-01 09:00:02</t>
  </si>
  <si>
    <t>2016-5-27 0:00:03</t>
  </si>
  <si>
    <t>2970-01-01 09:00:03</t>
  </si>
  <si>
    <t>2016-5-27 0:00:04</t>
  </si>
  <si>
    <t>2970-01-01 09:00:04</t>
  </si>
  <si>
    <t>[effect:enemy_message, val1:1.2, val2:2],[effect:remove_enhancement, target:unit_all, target_effect:all, animation:frozen_wave],[effect:damage_fix_absolute, target:unit_all, val:500]</t>
    <phoneticPr fontId="5"/>
  </si>
  <si>
    <t>4ターン全ユニットの攻撃力50%DOWN</t>
    <rPh sb="4" eb="5">
      <t>ゼン</t>
    </rPh>
    <rPh sb="10" eb="13">
      <t>コウゲキリョク</t>
    </rPh>
    <phoneticPr fontId="5"/>
  </si>
  <si>
    <t>[effect:enemy_message, val1:2.2,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</si>
  <si>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val1:1.2,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</si>
  <si>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val1:2.2,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</si>
  <si>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val1:2.6,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</si>
  <si>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val1:2.5,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</si>
  <si>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val1:2.6,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</si>
  <si>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val1:2.5,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</si>
  <si>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val1:2.4,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</si>
  <si>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val1:2.2,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</si>
  <si>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val1:2.1,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</si>
  <si>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val1:2.0,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</si>
  <si>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val1:1.9,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</si>
  <si>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val1:2.5, val2:1.5],[effect:remove_enhancement, target:unit_all, target_effect:all, animation:frozen_wave],[effect:tolerance, target:myself, turn:-1, count:-1, tolerance_effect:all, animation:enemy_tolerance]</t>
    <phoneticPr fontId="5"/>
  </si>
  <si>
    <t>[effect:enemy_message, val1:1.2, val2:1.3],[effect:dis_heart, turn:-1, animation:enemy_dis_heart],[effect:spread, val:0.3]</t>
    <phoneticPr fontId="5"/>
  </si>
  <si>
    <t>[effect:enemy_message, val1:1.2, val2:1.2],[effect:dis_panel, target:block_green, turn:-1, animation:enemy_dis_green],[effect:spread, val:0.25]</t>
    <phoneticPr fontId="5"/>
  </si>
  <si>
    <t>[effect:enemy_message, val1:1.3, val2:2.8],[effect:remove_enhancement, target:unit_all, target_effect:all, animation:frozen_wave],[effect:spread, val:0.25]</t>
    <phoneticPr fontId="5"/>
  </si>
  <si>
    <t>[effect:enemy_message, val1:1.2, val2:2.1],[effect:dis_heart, turn:-1, animation:enemy_dis_heart],[effect:spread, val:0.3]</t>
    <phoneticPr fontId="5"/>
  </si>
  <si>
    <t>[effect:enemy_message, val1:1.3, val2:1.9],[effect:dis_panel, target:block_yellow, turn:-1, animation:enemy_dis_yellow],[effect:spread, val:0.3]</t>
    <phoneticPr fontId="5"/>
  </si>
  <si>
    <t>18回連続攻撃</t>
    <rPh sb="2" eb="3">
      <t>カイ</t>
    </rPh>
    <rPh sb="3" eb="5">
      <t>レンゾク</t>
    </rPh>
    <rPh sb="5" eb="7">
      <t>コウゲキ</t>
    </rPh>
    <phoneticPr fontId="5"/>
  </si>
  <si>
    <t>楽しんでもらえたかい？ふふ…また会えるといいね…</t>
    <phoneticPr fontId="5"/>
  </si>
  <si>
    <t>[effect:enemy_message, val1:1.2, val2:2],[effect:degrade_unit, target:unit_all, turn:4, status:attack, val:0.5]</t>
    <phoneticPr fontId="5"/>
  </si>
  <si>
    <t>[effect:enemy_message, val1:1.6, val2:1.9],[effect:freq_turn, target:myself, turn:-1, val:1, animation:enemy_freq_turn]</t>
    <phoneticPr fontId="5"/>
  </si>
  <si>
    <t>フロア2のKAITOの1ゲージ目を倒すと
黄属性ユニットのスキルを回復して
すぐに撤退します</t>
    <rPh sb="15" eb="16">
      <t>メ</t>
    </rPh>
    <rPh sb="17" eb="18">
      <t>タオスト</t>
    </rPh>
    <rPh sb="21" eb="22">
      <t>キイロ</t>
    </rPh>
    <rPh sb="22" eb="24">
      <t>ゾクセイ</t>
    </rPh>
    <rPh sb="33" eb="35">
      <t>カイフク</t>
    </rPh>
    <rPh sb="41" eb="43">
      <t>テッタイ</t>
    </rPh>
    <phoneticPr fontId="5"/>
  </si>
  <si>
    <t>フロア3のハーメルンは
HPが半分以下になると
ハート無効や連続攻撃など
強力なスキルを使います</t>
    <rPh sb="15" eb="17">
      <t>ハンブｎ</t>
    </rPh>
    <rPh sb="17" eb="19">
      <t>イカニ</t>
    </rPh>
    <rPh sb="30" eb="34">
      <t>レンゾクコウゲキナ</t>
    </rPh>
    <rPh sb="37" eb="39">
      <t>キョウリョクナ</t>
    </rPh>
    <rPh sb="44" eb="45">
      <t>ツカイマス</t>
    </rPh>
    <phoneticPr fontId="5"/>
  </si>
  <si>
    <t>ミミとポチは交互に攻撃します
攻撃のタイミングやターゲットに
気をつけましょう</t>
    <rPh sb="6" eb="8">
      <t>コウゴニ</t>
    </rPh>
    <rPh sb="9" eb="11">
      <t>コウゲキ</t>
    </rPh>
    <rPh sb="15" eb="17">
      <t>コウゲキ</t>
    </rPh>
    <rPh sb="31" eb="32">
      <t>キヲツケマショウ</t>
    </rPh>
    <phoneticPr fontId="5"/>
  </si>
  <si>
    <t>full_member</t>
    <phoneticPr fontId="5"/>
  </si>
  <si>
    <t>[effect:enemy_message, val1:1.2, val2:1.4],[effect:force_change_block, new_block:block_red, target:block_heart, ignore01:crash, ignore02:crack_bomb, ignore03:color_break, ignore04:time_bomb, ignore05:jammer, ignore06:magnet, count:0, val:0, animation:change_block]</t>
    <phoneticPr fontId="5"/>
  </si>
  <si>
    <t>[effect:enemy_message, val1:1.2, val2:1.4],[effect:force_change_block, new_block:block_green, target:block_heart, ignore01:crash, ignore02:crack_bomb, ignore03:color_break, ignore04:time_bomb, ignore05:jammer, ignore06:magnet, count:0, val:0, animation:change_block]</t>
    <phoneticPr fontId="5"/>
  </si>
  <si>
    <t>絶縁モード</t>
    <rPh sb="0" eb="2">
      <t>ゼツエンタイ</t>
    </rPh>
    <phoneticPr fontId="5"/>
  </si>
  <si>
    <t>伐採装備</t>
    <rPh sb="0" eb="2">
      <t>バッサイ</t>
    </rPh>
    <rPh sb="2" eb="4">
      <t>ソウビ</t>
    </rPh>
    <phoneticPr fontId="5"/>
  </si>
  <si>
    <t>ひんやりとした雪音を感じるね…
一緒に奏でてみるかい？</t>
    <rPh sb="7" eb="8">
      <t>ユキ</t>
    </rPh>
    <rPh sb="8" eb="9">
      <t>ネイロ</t>
    </rPh>
    <rPh sb="10" eb="11">
      <t>カンジル</t>
    </rPh>
    <rPh sb="16" eb="18">
      <t>イッショニ</t>
    </rPh>
    <rPh sb="19" eb="20">
      <t>カナデテ</t>
    </rPh>
    <phoneticPr fontId="5"/>
  </si>
  <si>
    <t>待ってたよ！
リンちゃんに会えるのを楽しみにしてたんだ</t>
    <rPh sb="0" eb="1">
      <t>マッテタ</t>
    </rPh>
    <rPh sb="13" eb="14">
      <t>アエル</t>
    </rPh>
    <rPh sb="18" eb="19">
      <t>タノシミ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</si>
</sst>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</font>
    <font>
      <sz val="12"/>
      <color theme="1"/>
      <name val="メイリオ"/>
      <family val="3"/>
      <charset val="128"/>
    </font>
    <font>
      <sz val="13"/>
      <color rgb="FF000000"/>
      <name val="Helvetica Neue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AE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13" borderId="6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33" borderId="7" xfId="0" applyFont="1" applyFill="1" applyBorder="1" applyAlignment="1">
      <alignment horizontal="center" vertical="top"/>
    </xf>
    <xf numFmtId="0" fontId="54" fillId="3" borderId="7" xfId="0" applyFont="1" applyFill="1" applyBorder="1" applyAlignment="1">
      <alignment horizontal="center" vertical="center"/>
    </xf>
    <xf numFmtId="0" fontId="53" fillId="3" borderId="7" xfId="0" applyFont="1" applyFill="1" applyBorder="1" applyAlignment="1">
      <alignment horizontal="center" vertical="top"/>
    </xf>
    <xf numFmtId="0" fontId="53" fillId="34" borderId="7" xfId="0" applyFont="1" applyFill="1" applyBorder="1" applyAlignment="1">
      <alignment horizontal="center" vertical="top"/>
    </xf>
    <xf numFmtId="0" fontId="54" fillId="35" borderId="7" xfId="0" applyFont="1" applyFill="1" applyBorder="1" applyAlignment="1">
      <alignment horizontal="center" vertical="center"/>
    </xf>
    <xf numFmtId="0" fontId="53" fillId="35" borderId="7" xfId="0" applyFont="1" applyFill="1" applyBorder="1" applyAlignment="1">
      <alignment horizontal="center" vertical="top"/>
    </xf>
    <xf numFmtId="0" fontId="54" fillId="36" borderId="7" xfId="0" applyFont="1" applyFill="1" applyBorder="1" applyAlignment="1">
      <alignment horizontal="center" vertical="center"/>
    </xf>
    <xf numFmtId="0" fontId="53" fillId="36" borderId="7" xfId="0" applyFont="1" applyFill="1" applyBorder="1" applyAlignment="1">
      <alignment horizontal="center" vertical="top"/>
    </xf>
    <xf numFmtId="0" fontId="53" fillId="37" borderId="7" xfId="0" applyFont="1" applyFill="1" applyBorder="1" applyAlignment="1">
      <alignment horizontal="center" vertical="top"/>
    </xf>
    <xf numFmtId="0" fontId="53" fillId="38" borderId="7" xfId="0" applyFont="1" applyFill="1" applyBorder="1" applyAlignment="1">
      <alignment horizontal="center" vertical="top"/>
    </xf>
    <xf numFmtId="0" fontId="54" fillId="38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28" fillId="0" borderId="12" xfId="0" applyFont="1" applyFill="1" applyBorder="1"/>
    <xf numFmtId="0" fontId="30" fillId="0" borderId="12" xfId="0" applyFont="1" applyFill="1" applyBorder="1"/>
    <xf numFmtId="0" fontId="30" fillId="3" borderId="12" xfId="0" applyFont="1" applyFill="1" applyBorder="1"/>
    <xf numFmtId="22" fontId="30" fillId="0" borderId="12" xfId="0" quotePrefix="1" applyNumberFormat="1" applyFont="1" applyFill="1" applyBorder="1"/>
    <xf numFmtId="0" fontId="30" fillId="0" borderId="12" xfId="0" quotePrefix="1" applyFont="1" applyFill="1" applyBorder="1"/>
    <xf numFmtId="0" fontId="13" fillId="7" borderId="23" xfId="0" applyFont="1" applyFill="1" applyBorder="1" applyAlignment="1">
      <alignment horizontal="left" indent="1"/>
    </xf>
    <xf numFmtId="0" fontId="29" fillId="3" borderId="25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5" xfId="0" applyFont="1" applyFill="1" applyBorder="1" applyAlignment="1">
      <alignment vertical="center"/>
    </xf>
    <xf numFmtId="0" fontId="30" fillId="3" borderId="24" xfId="0" applyFont="1" applyFill="1" applyBorder="1"/>
    <xf numFmtId="22" fontId="30" fillId="0" borderId="24" xfId="0" quotePrefix="1" applyNumberFormat="1" applyFont="1" applyFill="1" applyBorder="1"/>
    <xf numFmtId="0" fontId="30" fillId="0" borderId="24" xfId="0" quotePrefix="1" applyFont="1" applyFill="1" applyBorder="1"/>
    <xf numFmtId="0" fontId="0" fillId="0" borderId="23" xfId="0" applyBorder="1"/>
    <xf numFmtId="0" fontId="16" fillId="0" borderId="7" xfId="0" applyFont="1" applyFill="1" applyBorder="1"/>
    <xf numFmtId="0" fontId="16" fillId="0" borderId="7" xfId="0" applyFont="1" applyBorder="1"/>
    <xf numFmtId="0" fontId="55" fillId="0" borderId="0" xfId="0" applyFont="1"/>
    <xf numFmtId="0" fontId="56" fillId="0" borderId="0" xfId="0" applyFont="1"/>
    <xf numFmtId="0" fontId="16" fillId="0" borderId="7" xfId="0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A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26" sqref="B2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264</v>
      </c>
      <c r="B2" s="57" t="s">
        <v>106</v>
      </c>
      <c r="C2" s="62">
        <v>49009</v>
      </c>
      <c r="D2" s="57" t="s">
        <v>107</v>
      </c>
      <c r="E2" s="56" t="str">
        <f>B2&amp;C2&amp;D2</f>
        <v>floors_49009.tmp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264</v>
      </c>
      <c r="B3" s="57" t="s">
        <v>109</v>
      </c>
      <c r="C3" s="62">
        <f>C$2</f>
        <v>49009</v>
      </c>
      <c r="D3" s="57" t="s">
        <v>107</v>
      </c>
      <c r="E3" s="56" t="str">
        <f>B3&amp;C3&amp;D3</f>
        <v>enemy_habitats_49009.tmp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264</v>
      </c>
      <c r="B4" s="57" t="s">
        <v>111</v>
      </c>
      <c r="C4" s="62">
        <f t="shared" ref="C4:C13" si="0">C$2</f>
        <v>49009</v>
      </c>
      <c r="D4" s="57" t="s">
        <v>107</v>
      </c>
      <c r="E4" s="56" t="str">
        <f>B4&amp;C4&amp;D4</f>
        <v>enemy_habitat_S_49009.tmp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264</v>
      </c>
      <c r="B5" s="57" t="s">
        <v>113</v>
      </c>
      <c r="C5" s="62">
        <f t="shared" si="0"/>
        <v>49009</v>
      </c>
      <c r="D5" s="57" t="s">
        <v>107</v>
      </c>
      <c r="E5" s="56" t="str">
        <f>B5&amp;C5&amp;D5</f>
        <v>enemy_skill_sets_49009.tmp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264</v>
      </c>
      <c r="B6" s="57" t="s">
        <v>115</v>
      </c>
      <c r="C6" s="62">
        <f t="shared" si="0"/>
        <v>49009</v>
      </c>
      <c r="D6" s="57" t="s">
        <v>116</v>
      </c>
      <c r="E6" s="56" t="str">
        <f t="shared" ref="E6:E10" si="1">B6&amp;C6&amp;D6</f>
        <v>enemy_skills_tmp_49009.tmp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264</v>
      </c>
      <c r="B7" s="57" t="s">
        <v>117</v>
      </c>
      <c r="C7" s="62">
        <f t="shared" si="0"/>
        <v>49009</v>
      </c>
      <c r="D7" s="57" t="s">
        <v>107</v>
      </c>
      <c r="E7" s="56" t="str">
        <f>B7&amp;C7&amp;D7</f>
        <v>enemy_skills_i18n_49009.tmp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264</v>
      </c>
      <c r="B8" s="57" t="s">
        <v>119</v>
      </c>
      <c r="C8" s="62">
        <f t="shared" si="0"/>
        <v>49009</v>
      </c>
      <c r="D8" s="57" t="s">
        <v>120</v>
      </c>
      <c r="E8" s="56" t="str">
        <f t="shared" si="1"/>
        <v>enemy_skill_triggers_49009.tmp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264</v>
      </c>
      <c r="B9" s="67" t="s">
        <v>176</v>
      </c>
      <c r="C9" s="62">
        <f t="shared" si="0"/>
        <v>49009</v>
      </c>
      <c r="D9" s="67" t="s">
        <v>170</v>
      </c>
      <c r="E9" s="68" t="str">
        <f t="shared" si="1"/>
        <v>stage_bug_bonuses_49009.tmp</v>
      </c>
      <c r="F9" s="67" t="s">
        <v>171</v>
      </c>
      <c r="G9" s="64" t="s">
        <v>150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264</v>
      </c>
      <c r="B10" s="67" t="s">
        <v>199</v>
      </c>
      <c r="C10" s="62">
        <f>C$2</f>
        <v>49009</v>
      </c>
      <c r="D10" s="67" t="s">
        <v>179</v>
      </c>
      <c r="E10" s="68" t="str">
        <f t="shared" si="1"/>
        <v>stage_hints_data_c_49009.tmp</v>
      </c>
      <c r="F10" s="67" t="s">
        <v>207</v>
      </c>
      <c r="G10" s="72" t="s">
        <v>180</v>
      </c>
      <c r="H10" s="72" t="s">
        <v>172</v>
      </c>
      <c r="I10" s="73" t="s">
        <v>181</v>
      </c>
      <c r="J10" s="66" t="s">
        <v>182</v>
      </c>
      <c r="K10" s="66" t="s">
        <v>183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4" customFormat="1" x14ac:dyDescent="0.15">
      <c r="A11" s="61" t="s">
        <v>264</v>
      </c>
      <c r="B11" s="67" t="s">
        <v>200</v>
      </c>
      <c r="C11" s="62">
        <f t="shared" si="0"/>
        <v>49009</v>
      </c>
      <c r="D11" s="67" t="s">
        <v>170</v>
      </c>
      <c r="E11" s="68" t="str">
        <f t="shared" ref="E11:E13" si="2">B11&amp;C11&amp;D11</f>
        <v>stage_hints_data_f_49009.tmp</v>
      </c>
      <c r="F11" s="67" t="s">
        <v>208</v>
      </c>
      <c r="G11" s="72" t="s">
        <v>180</v>
      </c>
      <c r="H11" s="72" t="s">
        <v>172</v>
      </c>
      <c r="I11" s="73" t="s">
        <v>181</v>
      </c>
      <c r="J11" s="66" t="s">
        <v>182</v>
      </c>
      <c r="K11" s="66" t="s">
        <v>183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4" customFormat="1" x14ac:dyDescent="0.15">
      <c r="A12" s="61" t="s">
        <v>264</v>
      </c>
      <c r="B12" s="67" t="s">
        <v>201</v>
      </c>
      <c r="C12" s="62">
        <f t="shared" si="0"/>
        <v>49009</v>
      </c>
      <c r="D12" s="67" t="s">
        <v>170</v>
      </c>
      <c r="E12" s="68" t="str">
        <f t="shared" si="2"/>
        <v>stage_hints_i18n_49009.tmp</v>
      </c>
      <c r="F12" s="67" t="s">
        <v>209</v>
      </c>
      <c r="G12" s="73" t="s">
        <v>202</v>
      </c>
      <c r="H12" s="92" t="s">
        <v>203</v>
      </c>
      <c r="I12" s="72" t="s">
        <v>204</v>
      </c>
      <c r="J12" s="97" t="s">
        <v>205</v>
      </c>
      <c r="K12" s="66" t="s">
        <v>206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4" customFormat="1" x14ac:dyDescent="0.15">
      <c r="A13" s="61" t="s">
        <v>264</v>
      </c>
      <c r="B13" s="67" t="s">
        <v>250</v>
      </c>
      <c r="C13" s="62">
        <f t="shared" si="0"/>
        <v>49009</v>
      </c>
      <c r="D13" s="67" t="s">
        <v>231</v>
      </c>
      <c r="E13" s="68" t="str">
        <f t="shared" si="2"/>
        <v>stage_bonuses_49009.tmp</v>
      </c>
      <c r="F13" s="67" t="s">
        <v>230</v>
      </c>
      <c r="G13" s="72" t="s">
        <v>232</v>
      </c>
      <c r="H13" s="72" t="s">
        <v>233</v>
      </c>
      <c r="I13" s="72" t="s">
        <v>234</v>
      </c>
      <c r="J13" s="72" t="s">
        <v>235</v>
      </c>
      <c r="K13" s="72" t="s">
        <v>236</v>
      </c>
      <c r="L13" s="72" t="s">
        <v>237</v>
      </c>
      <c r="M13" s="72" t="s">
        <v>238</v>
      </c>
      <c r="N13" s="72" t="s">
        <v>239</v>
      </c>
      <c r="O13" s="72" t="s">
        <v>240</v>
      </c>
      <c r="P13" s="72" t="s">
        <v>241</v>
      </c>
      <c r="Q13" s="72" t="s">
        <v>242</v>
      </c>
      <c r="R13" s="72" t="s">
        <v>243</v>
      </c>
      <c r="S13" s="72" t="s">
        <v>244</v>
      </c>
      <c r="T13" s="72" t="s">
        <v>245</v>
      </c>
      <c r="U13" s="72" t="s">
        <v>246</v>
      </c>
      <c r="V13" s="72" t="s">
        <v>247</v>
      </c>
      <c r="W13" s="72" t="s">
        <v>248</v>
      </c>
      <c r="X13" s="72" t="s">
        <v>249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4" sqref="C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49009_1-1</v>
      </c>
      <c r="B2" s="16" t="str">
        <f>IF(COUNTIF(enemy_habitats!$H:$H,A2),"OK","NG")</f>
        <v>OK</v>
      </c>
      <c r="C2" s="7">
        <v>49009</v>
      </c>
      <c r="D2" s="11" t="str">
        <f ca="1">VLOOKUP($C2,OFFSET([2]quests!$A$1,0,0,COUNTA([2]quests!$A:$A),MATCH(D$1,[2]quests!$1:$1,0)-MATCH($C$1,[2]quests!$1:$1,0)+1),MATCH(D$1,[2]quests!$1:$1,0)-MATCH($C$1,[2]quests!$1:$1,0)+1,FALSE)</f>
        <v>電子音協奏曲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コラボ降臨7</v>
      </c>
      <c r="F2" s="21">
        <v>1</v>
      </c>
      <c r="G2" s="23" t="str">
        <f>C2&amp;"_"&amp;F2</f>
        <v>49009_1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【ウィザード級】電子音協奏曲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49009_1-2</v>
      </c>
      <c r="B3" s="16" t="str">
        <f>IF(COUNTIF(enemy_habitats!$H:$H,A3),"OK","NG")</f>
        <v>OK</v>
      </c>
      <c r="C3" s="7">
        <v>49009</v>
      </c>
      <c r="D3" s="11" t="str">
        <f ca="1">VLOOKUP($C3,OFFSET([2]quests!$A$1,0,0,COUNTA([2]quests!$A:$A),MATCH(D$1,[2]quests!$1:$1,0)-MATCH($C$1,[2]quests!$1:$1,0)+1),MATCH(D$1,[2]quests!$1:$1,0)-MATCH($C$1,[2]quests!$1:$1,0)+1,FALSE)</f>
        <v>電子音協奏曲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コラボ降臨7</v>
      </c>
      <c r="F3" s="21">
        <v>1</v>
      </c>
      <c r="G3" s="23" t="str">
        <f>C3&amp;"_"&amp;F3</f>
        <v>49009_1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【ウィザード級】電子音協奏曲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49009_1-3</v>
      </c>
      <c r="B4" s="16" t="str">
        <f>IF(COUNTIF(enemy_habitats!$H:$H,A4),"OK","NG")</f>
        <v>OK</v>
      </c>
      <c r="C4" s="7">
        <v>49009</v>
      </c>
      <c r="D4" s="11" t="str">
        <f ca="1">VLOOKUP($C4,OFFSET([2]quests!$A$1,0,0,COUNTA([2]quests!$A:$A),MATCH(D$1,[2]quests!$1:$1,0)-MATCH($C$1,[2]quests!$1:$1,0)+1),MATCH(D$1,[2]quests!$1:$1,0)-MATCH($C$1,[2]quests!$1:$1,0)+1,FALSE)</f>
        <v>電子音協奏曲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コラボ降臨7</v>
      </c>
      <c r="F4" s="21">
        <v>1</v>
      </c>
      <c r="G4" s="23" t="str">
        <f>C4&amp;"_"&amp;F4</f>
        <v>49009_1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【ウィザード級】電子音協奏曲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tabSelected="1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251</v>
      </c>
      <c r="U1" s="26" t="s">
        <v>50</v>
      </c>
      <c r="V1" s="98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49009_1-1/531&lt;lv60&gt;s2</v>
      </c>
      <c r="B2" s="22">
        <v>49009</v>
      </c>
      <c r="C2" s="21">
        <v>1</v>
      </c>
      <c r="D2" s="2" t="str">
        <f t="shared" ref="D2:D9" si="1">B2&amp;"_"&amp;C2</f>
        <v>49009_1</v>
      </c>
      <c r="E2" s="4" t="str">
        <f ca="1">VLOOKUP($B2,OFFSET([2]quests!$A$1,0,0,COUNTA([2]quests!$A:$A),MATCH(E$1,[2]quests!$1:$1,0)-MATCH($B$1,[2]quests!$1:$1,0)+1),MATCH(E$1,[2]quests!$1:$1,0)-MATCH($B$1,[2]quests!$1:$1,0)+1,FALSE)</f>
        <v>電子音協奏曲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【ウィザード級】電子音協奏曲</v>
      </c>
      <c r="G2" s="21">
        <v>1</v>
      </c>
      <c r="H2" s="15" t="str">
        <f t="shared" ref="H2:H9" si="2">B2&amp;"_"&amp;C2&amp;"-"&amp;G2</f>
        <v>49009_1-1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253</v>
      </c>
      <c r="L2" s="20">
        <v>531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冬服ポチ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5">
        <v>2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19680</v>
      </c>
      <c r="U2" s="25">
        <v>0.8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2256.8000000000002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黄パネル無効</v>
      </c>
      <c r="Y2" s="105">
        <v>49009101</v>
      </c>
      <c r="Z2" s="6">
        <v>1</v>
      </c>
      <c r="AA2" s="6">
        <v>100</v>
      </c>
      <c r="AB2" s="6">
        <v>2</v>
      </c>
      <c r="AC2" s="104">
        <v>2</v>
      </c>
      <c r="AD2" s="24">
        <f t="shared" ref="AD2:AD9" si="3">L2</f>
        <v>531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9" ca="1" si="4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49009_1-1/531&lt;lv59&gt;s2</v>
      </c>
      <c r="B3" s="22">
        <v>49009</v>
      </c>
      <c r="C3" s="21">
        <v>1</v>
      </c>
      <c r="D3" s="2" t="str">
        <f t="shared" si="1"/>
        <v>49009_1</v>
      </c>
      <c r="E3" s="4" t="str">
        <f ca="1">VLOOKUP($B3,OFFSET([2]quests!$A$1,0,0,COUNTA([2]quests!$A:$A),MATCH(E$1,[2]quests!$1:$1,0)-MATCH($B$1,[2]quests!$1:$1,0)+1),MATCH(E$1,[2]quests!$1:$1,0)-MATCH($B$1,[2]quests!$1:$1,0)+1,FALSE)</f>
        <v>電子音協奏曲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【ウィザード級】電子音協奏曲</v>
      </c>
      <c r="G3" s="21">
        <v>1</v>
      </c>
      <c r="H3" s="15" t="str">
        <f t="shared" si="2"/>
        <v>49009_1-1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253</v>
      </c>
      <c r="L3" s="20">
        <v>531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冬服ポチ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59</v>
      </c>
      <c r="S3" s="25">
        <v>2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19360</v>
      </c>
      <c r="U3" s="25">
        <v>0.8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2220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105">
        <v>49009102</v>
      </c>
      <c r="Z3" s="6">
        <v>1</v>
      </c>
      <c r="AA3" s="6">
        <v>100</v>
      </c>
      <c r="AB3" s="6">
        <v>0</v>
      </c>
      <c r="AC3" s="104">
        <v>2</v>
      </c>
      <c r="AD3" s="24">
        <f t="shared" si="3"/>
        <v>531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冬服ポチ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ca="1" si="4"/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49009_1-1/536&lt;lv60&gt;s2</v>
      </c>
      <c r="B4" s="22">
        <v>49009</v>
      </c>
      <c r="C4" s="21">
        <v>1</v>
      </c>
      <c r="D4" s="2" t="str">
        <f t="shared" si="1"/>
        <v>49009_1</v>
      </c>
      <c r="E4" s="4" t="str">
        <f ca="1">VLOOKUP($B4,OFFSET([2]quests!$A$1,0,0,COUNTA([2]quests!$A:$A),MATCH(E$1,[2]quests!$1:$1,0)-MATCH($B$1,[2]quests!$1:$1,0)+1),MATCH(E$1,[2]quests!$1:$1,0)-MATCH($B$1,[2]quests!$1:$1,0)+1,FALSE)</f>
        <v>電子音協奏曲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【ウィザード級】電子音協奏曲</v>
      </c>
      <c r="G4" s="21">
        <v>1</v>
      </c>
      <c r="H4" s="15" t="str">
        <f t="shared" si="2"/>
        <v>49009_1-1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253</v>
      </c>
      <c r="L4" s="20">
        <v>536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冬服ミミ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5">
        <v>2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24108</v>
      </c>
      <c r="U4" s="25">
        <v>0.3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1635.6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緑パネル無効</v>
      </c>
      <c r="Y4" s="105">
        <v>49009103</v>
      </c>
      <c r="Z4" s="6">
        <v>1</v>
      </c>
      <c r="AA4" s="6">
        <v>100</v>
      </c>
      <c r="AB4" s="6">
        <v>1</v>
      </c>
      <c r="AC4" s="104">
        <v>2</v>
      </c>
      <c r="AD4" s="24">
        <f t="shared" si="3"/>
        <v>536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" s="7">
        <v>1</v>
      </c>
      <c r="AI4" s="24">
        <f t="shared" ca="1" si="4"/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49009_1-1/536&lt;lv59&gt;s2</v>
      </c>
      <c r="B5" s="22">
        <v>49009</v>
      </c>
      <c r="C5" s="21">
        <v>1</v>
      </c>
      <c r="D5" s="2" t="str">
        <f t="shared" si="1"/>
        <v>49009_1</v>
      </c>
      <c r="E5" s="4" t="str">
        <f ca="1">VLOOKUP($B5,OFFSET([2]quests!$A$1,0,0,COUNTA([2]quests!$A:$A),MATCH(E$1,[2]quests!$1:$1,0)-MATCH($B$1,[2]quests!$1:$1,0)+1),MATCH(E$1,[2]quests!$1:$1,0)-MATCH($B$1,[2]quests!$1:$1,0)+1,FALSE)</f>
        <v>電子音協奏曲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【ウィザード級】電子音協奏曲</v>
      </c>
      <c r="G5" s="21">
        <v>1</v>
      </c>
      <c r="H5" s="15" t="str">
        <f t="shared" si="2"/>
        <v>49009_1-1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253</v>
      </c>
      <c r="L5" s="20">
        <v>536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冬服ミミ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59</v>
      </c>
      <c r="S5" s="25">
        <v>2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23716</v>
      </c>
      <c r="U5" s="25">
        <v>0.3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1609.2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5" s="105">
        <v>49009104</v>
      </c>
      <c r="Z5" s="6">
        <v>1</v>
      </c>
      <c r="AA5" s="6">
        <v>100</v>
      </c>
      <c r="AB5" s="6">
        <v>0</v>
      </c>
      <c r="AC5" s="104">
        <v>2</v>
      </c>
      <c r="AD5" s="24">
        <f t="shared" si="3"/>
        <v>536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冬服ミミ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1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Drop1W</v>
      </c>
      <c r="AH5" s="7">
        <v>1</v>
      </c>
      <c r="AI5" s="24">
        <f t="shared" ca="1" si="4"/>
        <v>1</v>
      </c>
      <c r="AJ5" s="8">
        <v>20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49009_1-2/552&lt;lv80&gt;s1</v>
      </c>
      <c r="B6" s="22">
        <v>49009</v>
      </c>
      <c r="C6" s="21">
        <v>1</v>
      </c>
      <c r="D6" s="2" t="str">
        <f t="shared" si="1"/>
        <v>49009_1</v>
      </c>
      <c r="E6" s="4" t="str">
        <f ca="1">VLOOKUP($B6,OFFSET([2]quests!$A$1,0,0,COUNTA([2]quests!$A:$A),MATCH(E$1,[2]quests!$1:$1,0)-MATCH($B$1,[2]quests!$1:$1,0)+1),MATCH(E$1,[2]quests!$1:$1,0)-MATCH($B$1,[2]quests!$1:$1,0)+1,FALSE)</f>
        <v>電子音協奏曲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【ウィザード級】電子音協奏曲</v>
      </c>
      <c r="G6" s="21">
        <v>2</v>
      </c>
      <c r="H6" s="15" t="str">
        <f t="shared" si="2"/>
        <v>49009_1-2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552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愉悦の愛唱 KAITO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2.4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228852</v>
      </c>
      <c r="U6" s="25">
        <v>0.9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6560.1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4ターンハートパネル無効</v>
      </c>
      <c r="Y6" s="105">
        <v>49009105</v>
      </c>
      <c r="Z6" s="6">
        <v>0</v>
      </c>
      <c r="AA6" s="6">
        <v>100</v>
      </c>
      <c r="AB6" s="6">
        <v>1</v>
      </c>
      <c r="AC6" s="104">
        <v>1</v>
      </c>
      <c r="AD6" s="24">
        <f t="shared" si="3"/>
        <v>552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愉悦の愛唱 KAITO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49009_1-2/532&lt;lv60&gt;s2</v>
      </c>
      <c r="B7" s="22">
        <v>49009</v>
      </c>
      <c r="C7" s="21">
        <v>1</v>
      </c>
      <c r="D7" s="2" t="str">
        <f t="shared" si="1"/>
        <v>49009_1</v>
      </c>
      <c r="E7" s="4" t="str">
        <f ca="1">VLOOKUP($B7,OFFSET([2]quests!$A$1,0,0,COUNTA([2]quests!$A:$A),MATCH(E$1,[2]quests!$1:$1,0)-MATCH($B$1,[2]quests!$1:$1,0)+1),MATCH(E$1,[2]quests!$1:$1,0)-MATCH($B$1,[2]quests!$1:$1,0)+1,FALSE)</f>
        <v>電子音協奏曲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【ウィザード級】電子音協奏曲</v>
      </c>
      <c r="G7" s="21">
        <v>2</v>
      </c>
      <c r="H7" s="15" t="str">
        <f t="shared" si="2"/>
        <v>49009_1-2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253</v>
      </c>
      <c r="L7" s="20">
        <v>532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冬服エレキポット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60</v>
      </c>
      <c r="S7" s="25">
        <v>2.1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25313.4</v>
      </c>
      <c r="U7" s="25">
        <v>0.5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2478.5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全ての効果を解除+500固定全体ダメージ</v>
      </c>
      <c r="Y7" s="105">
        <v>49009106</v>
      </c>
      <c r="Z7" s="6">
        <v>0</v>
      </c>
      <c r="AA7" s="6">
        <v>100</v>
      </c>
      <c r="AB7" s="6">
        <v>2</v>
      </c>
      <c r="AC7" s="104">
        <v>2</v>
      </c>
      <c r="AD7" s="24">
        <f t="shared" si="3"/>
        <v>532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Drop1T</v>
      </c>
      <c r="AH7" s="7">
        <v>1</v>
      </c>
      <c r="AI7" s="24">
        <f t="shared" ca="1" si="4"/>
        <v>1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49009_1-2/532&lt;lv59&gt;s2</v>
      </c>
      <c r="B8" s="22">
        <v>49009</v>
      </c>
      <c r="C8" s="21">
        <v>1</v>
      </c>
      <c r="D8" s="2" t="str">
        <f t="shared" si="1"/>
        <v>49009_1</v>
      </c>
      <c r="E8" s="4" t="str">
        <f ca="1">VLOOKUP($B8,OFFSET([2]quests!$A$1,0,0,COUNTA([2]quests!$A:$A),MATCH(E$1,[2]quests!$1:$1,0)-MATCH($B$1,[2]quests!$1:$1,0)+1),MATCH(E$1,[2]quests!$1:$1,0)-MATCH($B$1,[2]quests!$1:$1,0)+1,FALSE)</f>
        <v>電子音協奏曲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【ウィザード級】電子音協奏曲</v>
      </c>
      <c r="G8" s="21">
        <v>2</v>
      </c>
      <c r="H8" s="15" t="str">
        <f t="shared" si="2"/>
        <v>49009_1-2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253</v>
      </c>
      <c r="L8" s="20">
        <v>532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冬服エレキポット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59</v>
      </c>
      <c r="S8" s="25">
        <v>2.1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24901.8</v>
      </c>
      <c r="U8" s="25">
        <v>0.5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2438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全体攻撃</v>
      </c>
      <c r="Y8" s="105">
        <v>49009107</v>
      </c>
      <c r="Z8" s="6">
        <v>0</v>
      </c>
      <c r="AA8" s="6">
        <v>100</v>
      </c>
      <c r="AB8" s="6">
        <v>0</v>
      </c>
      <c r="AC8" s="104">
        <v>2</v>
      </c>
      <c r="AD8" s="24">
        <f t="shared" si="3"/>
        <v>532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冬服エレキポット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Drop1T</v>
      </c>
      <c r="AH8" s="7">
        <v>1</v>
      </c>
      <c r="AI8" s="24">
        <f t="shared" ca="1" si="4"/>
        <v>1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49009_1-3/1304&lt;lv99&gt;s2</v>
      </c>
      <c r="B9" s="22">
        <v>49009</v>
      </c>
      <c r="C9" s="21">
        <v>1</v>
      </c>
      <c r="D9" s="2" t="str">
        <f t="shared" si="1"/>
        <v>49009_1</v>
      </c>
      <c r="E9" s="4" t="str">
        <f ca="1">VLOOKUP($B9,OFFSET([2]quests!$A$1,0,0,COUNTA([2]quests!$A:$A),MATCH(E$1,[2]quests!$1:$1,0)-MATCH($B$1,[2]quests!$1:$1,0)+1),MATCH(E$1,[2]quests!$1:$1,0)-MATCH($B$1,[2]quests!$1:$1,0)+1,FALSE)</f>
        <v>電子音協奏曲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【ウィザード級】電子音協奏曲</v>
      </c>
      <c r="G9" s="21">
        <v>3</v>
      </c>
      <c r="H9" s="15" t="str">
        <f t="shared" si="2"/>
        <v>49009_1-3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1304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演鼠の響笛音 ハーメルン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99</v>
      </c>
      <c r="S9" s="25">
        <v>2.2000000000000002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368352.60000000003</v>
      </c>
      <c r="U9" s="25">
        <v>1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14742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状態異常耐性+全ての効果を解除</v>
      </c>
      <c r="Y9" s="105">
        <v>49009108</v>
      </c>
      <c r="Z9" s="6">
        <v>0</v>
      </c>
      <c r="AA9" s="6">
        <v>100</v>
      </c>
      <c r="AB9" s="6">
        <v>1</v>
      </c>
      <c r="AC9" s="104">
        <v>2</v>
      </c>
      <c r="AD9" s="24">
        <f t="shared" si="3"/>
        <v>1304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演鼠の響笛音 ハーメルン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101">
        <v>100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90" zoomScaleNormal="90" zoomScalePageLayoutView="90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V4" sqref="V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251</v>
      </c>
      <c r="V1" s="26" t="s">
        <v>50</v>
      </c>
      <c r="W1" s="98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49009_1-3/1305&lt;lv99&gt;sq1st2</v>
      </c>
      <c r="B2" s="22">
        <v>49009</v>
      </c>
      <c r="C2" s="21">
        <v>1</v>
      </c>
      <c r="D2" s="2" t="str">
        <f>B2&amp;"_"&amp;C2</f>
        <v>49009_1</v>
      </c>
      <c r="E2" s="4" t="str">
        <f ca="1">VLOOKUP($B2,OFFSET([2]quests!$A$1,0,0,COUNTA([2]quests!$A:$A),MATCH(E$1,[2]quests!$1:$1,0)-MATCH($B$1,[2]quests!$1:$1,0)+1),MATCH(E$1,[2]quests!$1:$1,0)-MATCH($B$1,[2]quests!$1:$1,0)+1,FALSE)</f>
        <v>電子音協奏曲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【ウィザード級】電子音協奏曲</v>
      </c>
      <c r="G2" s="21">
        <v>3</v>
      </c>
      <c r="H2" s="15" t="str">
        <f>B2&amp;"_"&amp;C2&amp;"-"&amp;G2</f>
        <v>49009_1-3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1305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響界廻る睡鼠楽 ハーメルン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5">
        <v>3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502299</v>
      </c>
      <c r="V2" s="25">
        <v>1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14742</v>
      </c>
      <c r="X2" s="5">
        <v>0</v>
      </c>
      <c r="Y2" s="4" t="e">
        <v>#VALUE!</v>
      </c>
      <c r="Z2" s="102">
        <v>49009109</v>
      </c>
      <c r="AA2" s="103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49009_1-3/1305&lt;lv99&gt;sq1st3</v>
      </c>
      <c r="B3" s="22">
        <v>49009</v>
      </c>
      <c r="C3" s="21">
        <v>1</v>
      </c>
      <c r="D3" s="2" t="str">
        <f>B3&amp;"_"&amp;C3</f>
        <v>49009_1</v>
      </c>
      <c r="E3" s="4" t="str">
        <f ca="1">VLOOKUP($B3,OFFSET([2]quests!$A$1,0,0,COUNTA([2]quests!$A:$A),MATCH(E$1,[2]quests!$1:$1,0)-MATCH($B$1,[2]quests!$1:$1,0)+1),MATCH(E$1,[2]quests!$1:$1,0)-MATCH($B$1,[2]quests!$1:$1,0)+1,FALSE)</f>
        <v>電子音協奏曲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【ウィザード級】電子音協奏曲</v>
      </c>
      <c r="G3" s="21">
        <v>3</v>
      </c>
      <c r="H3" s="15" t="str">
        <f>B3&amp;"_"&amp;C3&amp;"-"&amp;G3</f>
        <v>49009_1-3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1305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響界廻る睡鼠楽 ハーメルン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99</v>
      </c>
      <c r="T3" s="25">
        <v>3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502299</v>
      </c>
      <c r="V3" s="25">
        <v>1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14742</v>
      </c>
      <c r="X3" s="5">
        <v>0</v>
      </c>
      <c r="Y3" s="4" t="e">
        <v>#VALUE!</v>
      </c>
      <c r="Z3" s="102">
        <v>49009110</v>
      </c>
      <c r="AA3" s="103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49009_1-2/552&lt;lv1&gt;sq2st2</v>
      </c>
      <c r="B4" s="22">
        <v>49009</v>
      </c>
      <c r="C4" s="21">
        <v>1</v>
      </c>
      <c r="D4" s="2" t="str">
        <f>B4&amp;"_"&amp;C4</f>
        <v>49009_1</v>
      </c>
      <c r="E4" s="4" t="str">
        <f ca="1">VLOOKUP($B4,OFFSET([2]quests!$A$1,0,0,COUNTA([2]quests!$A:$A),MATCH(E$1,[2]quests!$1:$1,0)-MATCH($B$1,[2]quests!$1:$1,0)+1),MATCH(E$1,[2]quests!$1:$1,0)-MATCH($B$1,[2]quests!$1:$1,0)+1,FALSE)</f>
        <v>電子音協奏曲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【ウィザード級】電子音協奏曲</v>
      </c>
      <c r="G4" s="21">
        <v>2</v>
      </c>
      <c r="H4" s="15" t="str">
        <f>B4&amp;"_"&amp;C4&amp;"-"&amp;G4</f>
        <v>49009_1-2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552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愉悦の愛唱 KAITO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1</v>
      </c>
      <c r="T4" s="25">
        <v>0.1</v>
      </c>
      <c r="U4" s="9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292.5</v>
      </c>
      <c r="V4" s="25">
        <v>0.1</v>
      </c>
      <c r="W4" s="9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22.400000000000002</v>
      </c>
      <c r="X4" s="5">
        <v>0</v>
      </c>
      <c r="Y4" s="4" t="e">
        <v>#VALUE!</v>
      </c>
      <c r="Z4" s="102">
        <v>49009111</v>
      </c>
      <c r="AA4" s="10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1"/>
  <sheetViews>
    <sheetView showGridLines="0" zoomScale="114" zoomScaleNormal="114" zoomScalePageLayoutView="114" workbookViewId="0">
      <pane xSplit="5" ySplit="1" topLeftCell="F82" activePane="bottomRight" state="frozen"/>
      <selection pane="topRight"/>
      <selection pane="bottomLeft"/>
      <selection pane="bottomRight" activeCell="F97" sqref="F9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49009101_49009001</v>
      </c>
      <c r="B2" s="47">
        <v>49009101</v>
      </c>
      <c r="C2" s="47">
        <v>49009001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絶縁モード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黄パネル無効</v>
      </c>
      <c r="F2" s="47">
        <v>49009001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9" si="1">B3&amp;"_"&amp;C3</f>
        <v>49009101_49009002</v>
      </c>
      <c r="B3" s="47">
        <v>49009101</v>
      </c>
      <c r="C3" s="47">
        <v>49009002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アイシクル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49009002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49009101_49009003</v>
      </c>
      <c r="B4" s="47">
        <v>49009101</v>
      </c>
      <c r="C4" s="47">
        <v>49009003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ブリザード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49009003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>B5&amp;"_"&amp;C5</f>
        <v>49009102_49009046</v>
      </c>
      <c r="B5" s="47">
        <v>49009102</v>
      </c>
      <c r="C5" s="47">
        <v>49009046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雪しぶき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7">
        <v>49009151</v>
      </c>
      <c r="G5" s="48">
        <v>0</v>
      </c>
      <c r="H5" s="48">
        <v>100</v>
      </c>
      <c r="I5" s="48">
        <v>100</v>
      </c>
      <c r="J5" s="48" t="s">
        <v>265</v>
      </c>
      <c r="K5" s="48" t="s">
        <v>266</v>
      </c>
      <c r="L5" s="48">
        <v>1</v>
      </c>
      <c r="M5" s="48">
        <v>1</v>
      </c>
      <c r="N5" s="48" t="s">
        <v>266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49009102_49009002</v>
      </c>
      <c r="B6" s="47">
        <v>49009102</v>
      </c>
      <c r="C6" s="47">
        <v>49009002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アイシクル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107">
        <v>49009002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6" s="47"/>
      <c r="Q6" s="47"/>
      <c r="R6" s="47"/>
    </row>
    <row r="7" spans="1:18" ht="21" customHeight="1" x14ac:dyDescent="0.15">
      <c r="A7" s="39" t="str">
        <f t="shared" si="1"/>
        <v>49009102_49009003</v>
      </c>
      <c r="B7" s="47">
        <v>49009102</v>
      </c>
      <c r="C7" s="47">
        <v>49009003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ブリザード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107">
        <v>49009003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49009103_49009004</v>
      </c>
      <c r="B8" s="47">
        <v>49009103</v>
      </c>
      <c r="C8" s="47">
        <v>49009004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伐採装備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緑パネル無効</v>
      </c>
      <c r="F8" s="47">
        <v>49009004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49009103_49009005</v>
      </c>
      <c r="B9" s="47">
        <v>49009103</v>
      </c>
      <c r="C9" s="47">
        <v>49009005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雪玉攻撃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9" s="47">
        <v>49009005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 x14ac:dyDescent="0.15">
      <c r="A10" s="39" t="str">
        <f t="shared" ref="A10:A118" si="2">B10&amp;"_"&amp;C10</f>
        <v>49009103_49009006</v>
      </c>
      <c r="B10" s="47">
        <v>49009103</v>
      </c>
      <c r="C10" s="47">
        <v>49009006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氷結弾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0" s="47">
        <v>49009006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49009104_49009005</v>
      </c>
      <c r="B11" s="47">
        <v>49009104</v>
      </c>
      <c r="C11" s="47">
        <v>49009005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雪玉攻撃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1" s="107">
        <v>49009005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1" s="47"/>
      <c r="Q11" s="47"/>
      <c r="R11" s="47"/>
    </row>
    <row r="12" spans="1:18" ht="21" customHeight="1" x14ac:dyDescent="0.15">
      <c r="A12" s="39" t="str">
        <f t="shared" si="2"/>
        <v>49009104_49009006</v>
      </c>
      <c r="B12" s="47">
        <v>49009104</v>
      </c>
      <c r="C12" s="47">
        <v>49009006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氷結弾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2" s="107">
        <v>49009006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49009105_49009007</v>
      </c>
      <c r="B13" s="47">
        <v>49009105</v>
      </c>
      <c r="C13" s="47">
        <v>49009007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やー！きみも音楽を楽しみに来たんだね？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4ターンハートパネル無効</v>
      </c>
      <c r="F13" s="47">
        <v>49009007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49009105_49009008</v>
      </c>
      <c r="B14" s="47">
        <v>49009105</v>
      </c>
      <c r="C14" s="47">
        <v>49009008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ラヴ・ソング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</v>
      </c>
      <c r="F14" s="47">
        <v>49009008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49009105_49009009</v>
      </c>
      <c r="B15" s="47">
        <v>49009105</v>
      </c>
      <c r="C15" s="47">
        <v>49009009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リラクゼ・ソング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4ターン全ユニットの攻撃力50%DOWN</v>
      </c>
      <c r="F15" s="47">
        <v>49009009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49009111_49009010</v>
      </c>
      <c r="B16" s="47">
        <v>49009111</v>
      </c>
      <c r="C16" s="47">
        <v>49009010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…いいね！是非きみの音も聴かせてくれ！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黄属性ユニットのスキルMAX！+逃走</v>
      </c>
      <c r="F16" s="47">
        <v>49009001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49009106_49009011</v>
      </c>
      <c r="B17" s="47">
        <v>49009106</v>
      </c>
      <c r="C17" s="47">
        <v>49009011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爆音ノイズ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全ての効果を解除+500固定全体ダメージ</v>
      </c>
      <c r="F17" s="47">
        <v>49009011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49009106_49009012</v>
      </c>
      <c r="B18" s="47">
        <v>49009106</v>
      </c>
      <c r="C18" s="47">
        <v>49009012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超音波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47">
        <v>49009012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49009106_49009013</v>
      </c>
      <c r="B19" s="47">
        <v>49009106</v>
      </c>
      <c r="C19" s="47">
        <v>49009013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ハイトーン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49009013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21" si="3">B20&amp;"_"&amp;C20</f>
        <v>49009107_49009012</v>
      </c>
      <c r="B20" s="47">
        <v>49009107</v>
      </c>
      <c r="C20" s="47">
        <v>49009012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超音波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107">
        <v>49009012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49009107_49009013</v>
      </c>
      <c r="B21" s="47">
        <v>49009107</v>
      </c>
      <c r="C21" s="47">
        <v>49009013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ハイトーン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107">
        <v>49009013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49009108_49009014</v>
      </c>
      <c r="B22" s="47">
        <v>49009108</v>
      </c>
      <c r="C22" s="47">
        <v>49009014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やぁ、よく来たね。笛の音で魅了してあげよう…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22" s="47">
        <v>49009014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49009108_49009015</v>
      </c>
      <c r="B23" s="47">
        <v>49009108</v>
      </c>
      <c r="C23" s="47">
        <v>49009015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強音撃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" s="47">
        <v>49009015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47"/>
      <c r="Q23" s="47"/>
      <c r="R23" s="47"/>
    </row>
    <row r="24" spans="1:18" ht="21" customHeight="1" x14ac:dyDescent="0.15">
      <c r="A24" s="39" t="str">
        <f t="shared" si="2"/>
        <v>49009108_49009016</v>
      </c>
      <c r="B24" s="47">
        <v>49009108</v>
      </c>
      <c r="C24" s="47">
        <v>49009016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ハートノイズトーン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ハートパネル無効+全体攻撃</v>
      </c>
      <c r="F24" s="47">
        <v>49009017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49009108_49009017</v>
      </c>
      <c r="B25" s="47">
        <v>49009108</v>
      </c>
      <c r="C25" s="47">
        <v>49009017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イエローノイズトーン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4ターン黄パネル無効</v>
      </c>
      <c r="F25" s="47">
        <v>49009016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49009109_49009018</v>
      </c>
      <c r="B26" s="47">
        <v>49009109</v>
      </c>
      <c r="C26" s="47">
        <v>49009018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序曲は終わりだ…いくよ！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26" s="47">
        <v>49009018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49009109_49009019</v>
      </c>
      <c r="B27" s="47">
        <v>49009109</v>
      </c>
      <c r="C27" s="47">
        <v>49009019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じわじわと揺さぶるような音を…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3ターンウィルス+黄パネル無効</v>
      </c>
      <c r="F27" s="47">
        <v>49009019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49009109_49009020</v>
      </c>
      <c r="B28" s="47">
        <v>49009109</v>
      </c>
      <c r="C28" s="47">
        <v>49009020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電子五重奏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8" s="47">
        <v>49009020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8" s="47"/>
      <c r="Q28" s="47"/>
      <c r="R28" s="47"/>
    </row>
    <row r="29" spans="1:18" ht="21" customHeight="1" x14ac:dyDescent="0.15">
      <c r="A29" s="39" t="str">
        <f t="shared" si="2"/>
        <v>49009109_49009021</v>
      </c>
      <c r="B29" s="47">
        <v>49009109</v>
      </c>
      <c r="C29" s="47">
        <v>49009021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テンポアップ…ついてこれるかい？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攻撃頻度UP+_x000D_次のターン強力な全体攻撃</v>
      </c>
      <c r="F29" s="47">
        <v>49009021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49009109_49009022</v>
      </c>
      <c r="B30" s="47">
        <v>49009109</v>
      </c>
      <c r="C30" s="47">
        <v>49009022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強重音撃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30" s="47">
        <v>49009022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49009110_49009023</v>
      </c>
      <c r="B31" s="47">
        <v>49009110</v>
      </c>
      <c r="C31" s="47">
        <v>49009023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いよいよ最終楽章…いこう！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状態異常耐性+全ての効果を解除+_x000D_残りHPの50%ダメージ！</v>
      </c>
      <c r="F31" s="47">
        <v>49009023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49009110_49009024</v>
      </c>
      <c r="B32" s="47">
        <v>49009110</v>
      </c>
      <c r="C32" s="47">
        <v>49009024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グリーンノイズトーン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緑パネル無効+全体攻撃</v>
      </c>
      <c r="F32" s="47">
        <v>49009024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49009110_49009025</v>
      </c>
      <c r="B33" s="47">
        <v>49009110</v>
      </c>
      <c r="C33" s="47">
        <v>49009025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心奪うような音を…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</v>
      </c>
      <c r="F33" s="47">
        <v>49009025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49009110_49009026</v>
      </c>
      <c r="B34" s="47">
        <v>49009110</v>
      </c>
      <c r="C34" s="47">
        <v>49009026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重音撃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7">
        <v>49009026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4" s="47"/>
      <c r="Q34" s="47"/>
      <c r="R34" s="47"/>
    </row>
    <row r="35" spans="1:18" ht="21" customHeight="1" x14ac:dyDescent="0.15">
      <c r="A35" s="39" t="str">
        <f t="shared" si="2"/>
        <v>49009110_49009027</v>
      </c>
      <c r="B35" s="47">
        <v>49009110</v>
      </c>
      <c r="C35" s="47">
        <v>49009027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さぁ、最高の音を届けよう！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3ターン後に強力な連続攻撃！+_x000D_全ての効果を解除+全体攻撃</v>
      </c>
      <c r="F35" s="47">
        <v>49009027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49009110_49009028</v>
      </c>
      <c r="B36" s="47">
        <v>49009110</v>
      </c>
      <c r="C36" s="47">
        <v>49009028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心を重ねて聴いておくれ…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ハートパネル無効+全体攻撃_x000D_【あと2ターン】</v>
      </c>
      <c r="F36" s="47">
        <v>49009028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67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49009110_49009029</v>
      </c>
      <c r="B37" s="47">
        <v>49009110</v>
      </c>
      <c r="C37" s="47">
        <v>49009029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さぁ…最大音量で放つよ…！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黄パネル無効+全体攻撃_x000D_【あと1ターン】</v>
      </c>
      <c r="F37" s="47">
        <v>49009029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66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49009110_49009030</v>
      </c>
      <c r="B38" s="47">
        <v>49009110</v>
      </c>
      <c r="C38" s="47">
        <v>49009030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超絶技巧・連続音撃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18回連続攻撃</v>
      </c>
      <c r="F38" s="47">
        <v>49009030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65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ref="A39:A96" si="4">B39&amp;"_"&amp;C39</f>
        <v>49009110_49009031</v>
      </c>
      <c r="B39" s="47">
        <v>49009110</v>
      </c>
      <c r="C39" s="47">
        <v>49009031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06">
        <v>49009094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939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49009110_49009031</v>
      </c>
      <c r="B40" s="47">
        <v>49009110</v>
      </c>
      <c r="C40" s="47">
        <v>49009031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06">
        <v>49009095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938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49009110_49009031</v>
      </c>
      <c r="B41" s="47">
        <v>49009110</v>
      </c>
      <c r="C41" s="47">
        <v>49009031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06">
        <v>49009096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937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4"/>
        <v>49009110_49009031</v>
      </c>
      <c r="B42" s="47">
        <v>49009110</v>
      </c>
      <c r="C42" s="47">
        <v>49009031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06">
        <v>49009097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936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4"/>
        <v>49009110_49009031</v>
      </c>
      <c r="B43" s="47">
        <v>49009110</v>
      </c>
      <c r="C43" s="47">
        <v>49009031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06">
        <v>49009098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935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4"/>
        <v>49009110_49009031</v>
      </c>
      <c r="B44" s="47">
        <v>49009110</v>
      </c>
      <c r="C44" s="47">
        <v>49009031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" s="106">
        <v>49009099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934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49009110_49009031</v>
      </c>
      <c r="B45" s="47">
        <v>49009110</v>
      </c>
      <c r="C45" s="47">
        <v>49009031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" s="106">
        <v>49009100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933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49009110_49009031</v>
      </c>
      <c r="B46" s="47">
        <v>49009110</v>
      </c>
      <c r="C46" s="47">
        <v>49009031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" s="106">
        <v>49009101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932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4"/>
        <v>49009110_49009031</v>
      </c>
      <c r="B47" s="47">
        <v>49009110</v>
      </c>
      <c r="C47" s="47">
        <v>49009031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06">
        <v>49009102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931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49009110_49009031</v>
      </c>
      <c r="B48" s="47">
        <v>49009110</v>
      </c>
      <c r="C48" s="47">
        <v>49009031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8" s="106">
        <v>49009103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1299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4"/>
        <v>49009110_49009031</v>
      </c>
      <c r="B49" s="47">
        <v>49009110</v>
      </c>
      <c r="C49" s="47">
        <v>49009031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" s="106">
        <v>49009104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929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4"/>
        <v>49009110_49009031</v>
      </c>
      <c r="B50" s="47">
        <v>49009110</v>
      </c>
      <c r="C50" s="47">
        <v>49009031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" s="106">
        <v>49009105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928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4"/>
        <v>49009110_49009031</v>
      </c>
      <c r="B51" s="47">
        <v>49009110</v>
      </c>
      <c r="C51" s="47">
        <v>49009031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" s="106">
        <v>49009106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923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4"/>
        <v>49009110_49009031</v>
      </c>
      <c r="B52" s="47">
        <v>49009110</v>
      </c>
      <c r="C52" s="47">
        <v>49009031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2" s="106">
        <v>49009107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922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4"/>
        <v>49009110_49009031</v>
      </c>
      <c r="B53" s="47">
        <v>49009110</v>
      </c>
      <c r="C53" s="47">
        <v>49009031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3" s="106">
        <v>49009108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921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4"/>
        <v>49009110_49009031</v>
      </c>
      <c r="B54" s="47">
        <v>49009110</v>
      </c>
      <c r="C54" s="47">
        <v>49009031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4" s="106">
        <v>49009109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920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4"/>
        <v>49009110_49009031</v>
      </c>
      <c r="B55" s="47">
        <v>49009110</v>
      </c>
      <c r="C55" s="47">
        <v>49009031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5" s="106">
        <v>49009110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919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4"/>
        <v>49009110_49009031</v>
      </c>
      <c r="B56" s="47">
        <v>49009110</v>
      </c>
      <c r="C56" s="47">
        <v>49009031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6" s="106">
        <v>49009111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918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4"/>
        <v>49009110_49009031</v>
      </c>
      <c r="B57" s="47">
        <v>49009110</v>
      </c>
      <c r="C57" s="47">
        <v>49009031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" s="106">
        <v>49009112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917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4"/>
        <v>49009110_49009031</v>
      </c>
      <c r="B58" s="47">
        <v>49009110</v>
      </c>
      <c r="C58" s="47">
        <v>49009031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" s="106">
        <v>49009113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916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4"/>
        <v>49009110_49009031</v>
      </c>
      <c r="B59" s="47">
        <v>49009110</v>
      </c>
      <c r="C59" s="47">
        <v>49009031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" s="106">
        <v>49009114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915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4"/>
        <v>49009110_49009031</v>
      </c>
      <c r="B60" s="47">
        <v>49009110</v>
      </c>
      <c r="C60" s="47">
        <v>49009031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" s="106">
        <v>49009115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914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4"/>
        <v>49009110_49009031</v>
      </c>
      <c r="B61" s="47">
        <v>49009110</v>
      </c>
      <c r="C61" s="47">
        <v>49009031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" s="106">
        <v>49009116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913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4"/>
        <v>49009110_49009031</v>
      </c>
      <c r="B62" s="47">
        <v>49009110</v>
      </c>
      <c r="C62" s="47">
        <v>49009031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" s="106">
        <v>49009117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912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4"/>
        <v>49009110_49009031</v>
      </c>
      <c r="B63" s="47">
        <v>49009110</v>
      </c>
      <c r="C63" s="47">
        <v>49009031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3" s="106">
        <v>49009118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911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4"/>
        <v>49009110_49009031</v>
      </c>
      <c r="B64" s="47">
        <v>49009110</v>
      </c>
      <c r="C64" s="47">
        <v>49009031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4" s="106">
        <v>49009119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910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4"/>
        <v>49009110_49009031</v>
      </c>
      <c r="B65" s="47">
        <v>49009110</v>
      </c>
      <c r="C65" s="47">
        <v>49009031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" s="106">
        <v>49009120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909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4"/>
        <v>49009110_49009031</v>
      </c>
      <c r="B66" s="47">
        <v>49009110</v>
      </c>
      <c r="C66" s="47">
        <v>49009031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" s="106">
        <v>49009121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908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4"/>
        <v>49009110_49009031</v>
      </c>
      <c r="B67" s="47">
        <v>49009110</v>
      </c>
      <c r="C67" s="47">
        <v>49009031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" s="106">
        <v>49009122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907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4"/>
        <v>49009110_49009031</v>
      </c>
      <c r="B68" s="47">
        <v>49009110</v>
      </c>
      <c r="C68" s="47">
        <v>49009031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8" s="106">
        <v>49009123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906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4"/>
        <v>49009110_49009031</v>
      </c>
      <c r="B69" s="47">
        <v>49009110</v>
      </c>
      <c r="C69" s="47">
        <v>49009031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9" s="106">
        <v>49009124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905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4"/>
        <v>49009110_49009031</v>
      </c>
      <c r="B70" s="47">
        <v>49009110</v>
      </c>
      <c r="C70" s="47">
        <v>49009031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0" s="106">
        <v>49009125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904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4"/>
        <v>49009110_49009031</v>
      </c>
      <c r="B71" s="47">
        <v>49009110</v>
      </c>
      <c r="C71" s="47">
        <v>49009031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1" s="106">
        <v>49009126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903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4"/>
        <v>49009110_49009031</v>
      </c>
      <c r="B72" s="47">
        <v>49009110</v>
      </c>
      <c r="C72" s="47">
        <v>49009031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2" s="106">
        <v>49009127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902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4"/>
        <v>49009110_49009031</v>
      </c>
      <c r="B73" s="47">
        <v>49009110</v>
      </c>
      <c r="C73" s="47">
        <v>49009031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" s="106">
        <v>49009128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901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4"/>
        <v>49009110_49009031</v>
      </c>
      <c r="B74" s="47">
        <v>49009110</v>
      </c>
      <c r="C74" s="47">
        <v>49009031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" s="106">
        <v>49009129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4"/>
        <v>49009110_49009031</v>
      </c>
      <c r="B75" s="47">
        <v>49009110</v>
      </c>
      <c r="C75" s="47">
        <v>49009031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" s="106">
        <v>49009130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899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4"/>
        <v>49009110_49009031</v>
      </c>
      <c r="B76" s="47">
        <v>49009110</v>
      </c>
      <c r="C76" s="47">
        <v>49009031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" s="106">
        <v>49009131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898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4"/>
        <v>49009110_49009031</v>
      </c>
      <c r="B77" s="47">
        <v>49009110</v>
      </c>
      <c r="C77" s="47">
        <v>49009031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" s="106">
        <v>49009132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897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4"/>
        <v>49009110_49009031</v>
      </c>
      <c r="B78" s="47">
        <v>49009110</v>
      </c>
      <c r="C78" s="47">
        <v>49009031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" s="106">
        <v>49009133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896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4"/>
        <v>49009110_49009031</v>
      </c>
      <c r="B79" s="47">
        <v>49009110</v>
      </c>
      <c r="C79" s="47">
        <v>49009031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9" s="106">
        <v>49009134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895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4"/>
        <v>49009110_49009031</v>
      </c>
      <c r="B80" s="47">
        <v>49009110</v>
      </c>
      <c r="C80" s="47">
        <v>49009031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0" s="106">
        <v>49009135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894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4"/>
        <v>49009110_49009031</v>
      </c>
      <c r="B81" s="47">
        <v>49009110</v>
      </c>
      <c r="C81" s="47">
        <v>49009031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1" s="106">
        <v>49009136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893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4"/>
        <v>49009110_49009031</v>
      </c>
      <c r="B82" s="47">
        <v>49009110</v>
      </c>
      <c r="C82" s="47">
        <v>49009031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2" s="106">
        <v>49009137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892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4"/>
        <v>49009110_49009031</v>
      </c>
      <c r="B83" s="47">
        <v>49009110</v>
      </c>
      <c r="C83" s="47">
        <v>49009031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3" s="106">
        <v>49009138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891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4"/>
        <v>49009110_49009031</v>
      </c>
      <c r="B84" s="47">
        <v>49009110</v>
      </c>
      <c r="C84" s="47">
        <v>49009031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4" s="106">
        <v>49009139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890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4"/>
        <v>49009110_49009031</v>
      </c>
      <c r="B85" s="47">
        <v>49009110</v>
      </c>
      <c r="C85" s="47">
        <v>49009031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5" s="106">
        <v>49009140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889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1307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4"/>
        <v>49009110_49009031</v>
      </c>
      <c r="B86" s="47">
        <v>49009110</v>
      </c>
      <c r="C86" s="47">
        <v>49009031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6" s="106">
        <v>49009141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888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4"/>
        <v>49009110_49009031</v>
      </c>
      <c r="B87" s="47">
        <v>49009110</v>
      </c>
      <c r="C87" s="47">
        <v>49009031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7" s="106">
        <v>49009142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887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1301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4"/>
        <v>49009110_49009031</v>
      </c>
      <c r="B88" s="47">
        <v>49009110</v>
      </c>
      <c r="C88" s="47">
        <v>49009031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8" s="106">
        <v>49009143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886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4"/>
        <v>49009110_49009031</v>
      </c>
      <c r="B89" s="47">
        <v>49009110</v>
      </c>
      <c r="C89" s="47">
        <v>49009031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9" s="106">
        <v>49009144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885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1305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4"/>
        <v>49009110_49009031</v>
      </c>
      <c r="B90" s="47">
        <v>49009110</v>
      </c>
      <c r="C90" s="47">
        <v>49009031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0" s="106">
        <v>49009145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884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4"/>
        <v>49009110_49009031</v>
      </c>
      <c r="B91" s="47">
        <v>49009110</v>
      </c>
      <c r="C91" s="47">
        <v>49009031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1" s="106">
        <v>49009146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883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1303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4"/>
        <v>49009110_49009031</v>
      </c>
      <c r="B92" s="47">
        <v>49009110</v>
      </c>
      <c r="C92" s="47">
        <v>49009031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2" s="106">
        <v>49009147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882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4"/>
        <v>49009110_49009031</v>
      </c>
      <c r="B93" s="47">
        <v>49009110</v>
      </c>
      <c r="C93" s="47">
        <v>49009031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3" s="106">
        <v>49009148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881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508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ref="A94:A95" si="5">B94&amp;"_"&amp;C94</f>
        <v>49009110_49009031</v>
      </c>
      <c r="B94" s="47">
        <v>49009110</v>
      </c>
      <c r="C94" s="47">
        <v>49009031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4" s="106">
        <v>49009149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880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509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5"/>
        <v>49009110_49009031</v>
      </c>
      <c r="B95" s="47">
        <v>49009110</v>
      </c>
      <c r="C95" s="47">
        <v>49009031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ふふ…とても楽しかったよ！また来てくれるかい？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5" s="106">
        <v>49009150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879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824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4"/>
        <v>49009110_49009032</v>
      </c>
      <c r="B96" s="47">
        <v>49009110</v>
      </c>
      <c r="C96" s="47">
        <v>49009032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楽しんでもらえたかい？ふふ…また会えるといいね…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6" s="47">
        <v>49009031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2"/>
        <v>49009108_49009039</v>
      </c>
      <c r="B97" s="47">
        <v>49009108</v>
      </c>
      <c r="C97" s="47">
        <v>49009039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あなたは穏やかな音色だね…一緒に奏でてみるかい？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97" s="47">
        <v>49009033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999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2"/>
        <v>49009108_49009040</v>
      </c>
      <c r="B98" s="47">
        <v>49009108</v>
      </c>
      <c r="C98" s="47">
        <v>49009040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あなたは情熱的な音色だね…一緒に奏でてみるかい？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98" s="47">
        <v>49009034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998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2"/>
        <v>49009108_49009042</v>
      </c>
      <c r="B99" s="47">
        <v>49009108</v>
      </c>
      <c r="C99" s="47">
        <v>49009042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新世代の音色を感じる…素晴らしい調和だね…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99" s="47">
        <v>49009035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997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2"/>
        <v>49009108_49009041</v>
      </c>
      <c r="B100" s="47">
        <v>49009108</v>
      </c>
      <c r="C100" s="47">
        <v>49009041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驚いたな…あなたが会いに来てくれるなんて…！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0" s="47">
        <v>49009036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996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2"/>
        <v>49009108_49009035</v>
      </c>
      <c r="B101" s="47">
        <v>49009108</v>
      </c>
      <c r="C101" s="47">
        <v>49009035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ひんやりとした雪音を感じるね…_x000D_一緒に奏でてみるかい？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1" s="47">
        <v>49009037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995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2"/>
        <v>49009108_49009035</v>
      </c>
      <c r="B102" s="47">
        <v>49009108</v>
      </c>
      <c r="C102" s="47">
        <v>49009035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ひんやりとした雪音を感じるね…_x000D_一緒に奏でてみるかい？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2" s="47">
        <v>49009038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994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2"/>
        <v>49009108_49009035</v>
      </c>
      <c r="B103" s="47">
        <v>49009108</v>
      </c>
      <c r="C103" s="47">
        <v>49009035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ひんやりとした雪音を感じるね…_x000D_一緒に奏でてみるかい？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3" s="47">
        <v>49009039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993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2"/>
        <v>49009108_49009035</v>
      </c>
      <c r="B104" s="47">
        <v>49009108</v>
      </c>
      <c r="C104" s="47">
        <v>49009035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ひんやりとした雪音を感じるね…_x000D_一緒に奏でてみるかい？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4" s="47">
        <v>49009040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992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2"/>
        <v>49009108_49009036</v>
      </c>
      <c r="B105" s="47">
        <v>49009108</v>
      </c>
      <c r="C105" s="47">
        <v>49009036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小さな兎さん、ふふ…あんまり走り回らないでおくれ？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5" s="47">
        <v>49009041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991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2"/>
        <v>49009108_49009036</v>
      </c>
      <c r="B106" s="47">
        <v>49009108</v>
      </c>
      <c r="C106" s="47">
        <v>49009036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小さな兎さん、ふふ…あんまり走り回らないでおくれ？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6" s="47">
        <v>49009042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990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2"/>
        <v>49009108_49009043</v>
      </c>
      <c r="B107" s="47">
        <v>49009108</v>
      </c>
      <c r="C107" s="47">
        <v>49009043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よく来てくれたね…楽しんでいっておくれ！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7" s="47">
        <v>49009043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989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2"/>
        <v>49009108_49009045</v>
      </c>
      <c r="B108" s="47">
        <v>49009108</v>
      </c>
      <c r="C108" s="47">
        <v>49009045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グリム！…いや、今日ぐらい仲良くやろうじゃないか…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8" s="47">
        <v>49009044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988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490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2"/>
        <v>49009108_49009034</v>
      </c>
      <c r="B109" s="47">
        <v>49009108</v>
      </c>
      <c r="C109" s="47">
        <v>49009034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きみは澄んだ音色だね…一緒に奏でてみるかい？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09" s="47">
        <v>49009045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987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2"/>
        <v>49009108_49009034</v>
      </c>
      <c r="B110" s="47">
        <v>49009108</v>
      </c>
      <c r="C110" s="47">
        <v>49009034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きみは澄んだ音色だね…一緒に奏でてみるかい？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0" s="47">
        <v>49009046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986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2"/>
        <v>49009108_49009035</v>
      </c>
      <c r="B111" s="47">
        <v>49009108</v>
      </c>
      <c r="C111" s="47">
        <v>49009035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ひんやりとした雪音を感じるね…_x000D_一緒に奏でてみるかい？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1" s="47">
        <v>49009047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ref="A112" si="6">B112&amp;"_"&amp;C112</f>
        <v>49009108_49009043</v>
      </c>
      <c r="B112" s="47">
        <v>49009108</v>
      </c>
      <c r="C112" s="47">
        <v>49009043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よく来てくれたね…楽しんでいっておくれ！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2" s="47">
        <v>49009048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985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2"/>
        <v>49009108_49009042</v>
      </c>
      <c r="B113" s="47">
        <v>49009108</v>
      </c>
      <c r="C113" s="47">
        <v>49009042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新世代の音色を感じる…素晴らしい調和だね…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3" s="47">
        <v>49009049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984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2"/>
        <v>49009108_49009044</v>
      </c>
      <c r="B114" s="47">
        <v>49009108</v>
      </c>
      <c r="C114" s="47">
        <v>49009044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またイタズラかい？どれ、僕と遊ぼうか…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4" s="47">
        <v>49009050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983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508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2"/>
        <v>49009108_49009034</v>
      </c>
      <c r="B115" s="47">
        <v>49009108</v>
      </c>
      <c r="C115" s="47">
        <v>49009034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きみは澄んだ音色だね…一緒に奏でてみるかい？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5" s="47">
        <v>49009051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982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2"/>
        <v>49009108_49009037</v>
      </c>
      <c r="B116" s="47">
        <v>49009108</v>
      </c>
      <c r="C116" s="47">
        <v>49009037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待ってたよ！_x000D_リンちゃんに会えるのを楽しみにしてたんだ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6" s="47">
        <v>49009052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981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2"/>
        <v>49009108_49009038</v>
      </c>
      <c r="B117" s="47">
        <v>49009108</v>
      </c>
      <c r="C117" s="47">
        <v>49009038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待ってたよ！レンくんに会えるのを楽しみにしてたんだ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7" s="47">
        <v>49009053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980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2"/>
        <v>49009108_49009043</v>
      </c>
      <c r="B118" s="47">
        <v>49009108</v>
      </c>
      <c r="C118" s="47">
        <v>49009043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よく来てくれたね…楽しんでいっておくれ！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8" s="47">
        <v>49009054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979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ref="A119:A120" si="7">B119&amp;"_"&amp;C119</f>
        <v>49009108_49009043</v>
      </c>
      <c r="B119" s="47">
        <v>49009108</v>
      </c>
      <c r="C119" s="47">
        <v>49009043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よく来てくれたね…楽しんでいっておくれ！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19" s="47">
        <v>49009055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978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7"/>
        <v>49009108_49009042</v>
      </c>
      <c r="B120" s="47">
        <v>49009108</v>
      </c>
      <c r="C120" s="47">
        <v>49009042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新世代の音色を感じる…素晴らしい調和だね…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20" s="47">
        <v>49009056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977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ref="A121" si="8">B121&amp;"_"&amp;C121</f>
        <v>49009108_49009042</v>
      </c>
      <c r="B121" s="47">
        <v>49009108</v>
      </c>
      <c r="C121" s="47">
        <v>49009042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新世代の音色を感じる…素晴らしい調和だね…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状態異常耐性+全ての効果を解除</v>
      </c>
      <c r="F121" s="47">
        <v>49009057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976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6"/>
  <sheetViews>
    <sheetView showGridLines="0" zoomScale="109" zoomScaleNormal="109" zoomScalePageLayoutView="109" workbookViewId="0">
      <pane ySplit="1" topLeftCell="A18" activePane="bottomLeft" state="frozenSplit"/>
      <selection pane="bottomLeft" activeCell="E36" sqref="E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3" style="49" customWidth="1"/>
    <col min="3" max="3" width="4.6640625" style="49" customWidth="1"/>
    <col min="4" max="4" width="5.1640625" style="49" customWidth="1"/>
    <col min="5" max="5" width="36.332031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49009001</v>
      </c>
      <c r="B2" s="120" t="s">
        <v>346</v>
      </c>
      <c r="C2" s="50">
        <v>3</v>
      </c>
      <c r="D2" s="50" t="s">
        <v>127</v>
      </c>
      <c r="E2" s="51" t="s">
        <v>390</v>
      </c>
      <c r="F2" s="121" t="s">
        <v>329</v>
      </c>
      <c r="G2" s="63" t="str">
        <f t="shared" ref="G2:G31" si="0">IFERROR(LEFT(B2,FIND("],",B2)),B2)</f>
        <v>[effect:enemy_message, val1:1.2, val2:1.2]</v>
      </c>
      <c r="H2" s="63">
        <f t="shared" ref="H2:H31" si="1">FIND("effect:",G2)+7</f>
        <v>9</v>
      </c>
      <c r="I2" s="63">
        <f t="shared" ref="I2:I31" si="2">IFERROR(FIND(",",G2),LEN(G2))</f>
        <v>22</v>
      </c>
      <c r="J2" s="63" t="e">
        <f t="shared" ref="J2:J31" si="3">FIND("target:",G2)+7</f>
        <v>#VALUE!</v>
      </c>
      <c r="K2" s="63">
        <f t="shared" ref="K2:K31" si="4"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31" si="5">IFERROR(RIGHT(B2,LEN(B2)-FIND("],",B2)-1),"none")</f>
        <v xml:space="preserve">[effect:dis_panel, target:block_yellow, turn:-1, animation:enemy_dis_yellow],[effect:fix_speed, target:enemy_blue, turn:1]    </v>
      </c>
      <c r="N2" s="48" t="str">
        <f>IFERROR(LEFT(M2,FIND("],",M2)+S12),M2)</f>
        <v xml:space="preserve">[effect:dis_panel, target:block_yellow, turn:-1, animation:enemy_dis_yellow],[effect:fix_speed, target:enemy_blue, turn:1]    </v>
      </c>
      <c r="O2" s="63">
        <f t="shared" ref="O2:O31" si="6">FIND("effect:",N2)+7</f>
        <v>9</v>
      </c>
      <c r="P2" s="63">
        <f t="shared" ref="P2:P31" si="7">IFERROR(FIND(",",N2),LEN(N2))</f>
        <v>18</v>
      </c>
      <c r="Q2" s="63">
        <f t="shared" ref="Q2:Q31" si="8">FIND("target:",N2)+7</f>
        <v>27</v>
      </c>
      <c r="R2" s="63">
        <f t="shared" ref="R2:R31" si="9">FIND(",",N2,P2+1)</f>
        <v>39</v>
      </c>
      <c r="S2" s="63" t="str">
        <f>IFERROR(VLOOKUP(MID(N2,Q2,R2-Q2),[5]skilldef!$C:$D,2,FALSE),"-") &amp; " / " &amp; IFERROR(VLOOKUP(MID(N2,O2,P2-O2),[5]skilldef!$A:$B,2,FALSE),"-")</f>
        <v>黄色パネルを / ディスパネル</v>
      </c>
      <c r="T2" s="48" t="str">
        <f t="shared" ref="T2:T31" si="10">IFERROR(RIGHT(M2,LEN(M2)-FIND("],",M2)-1),"none")</f>
        <v xml:space="preserve">[effect:fix_speed, target:enemy_blue, turn:1]    </v>
      </c>
      <c r="U2" s="63">
        <f t="shared" ref="U2:U31" si="11">FIND("effect:",T2)+7</f>
        <v>9</v>
      </c>
      <c r="V2" s="63">
        <f t="shared" ref="V2:V31" si="12">IFERROR(FIND(",",T2),LEN(T2))</f>
        <v>18</v>
      </c>
      <c r="W2" s="63">
        <f t="shared" ref="W2:W31" si="13">FIND("target:",T2)+7</f>
        <v>27</v>
      </c>
      <c r="X2" s="63">
        <f t="shared" ref="X2:X31" si="14">FIND(",",T2,V2+1)</f>
        <v>37</v>
      </c>
      <c r="Y2" s="63" t="str">
        <f>IFERROR(VLOOKUP(MID(T2,W2,X2-W2),[5]skilldef!$C:$D,2,FALSE),"-") &amp; " / " &amp; IFERROR(VLOOKUP(MID(T2,U2,V2-U2),[5]skilldef!$A:$B,2,FALSE),"-")</f>
        <v>青の敵に / 行動値設定</v>
      </c>
      <c r="Z2" s="50"/>
      <c r="AA2" s="52"/>
      <c r="AB2" s="50"/>
    </row>
    <row r="3" spans="1:28" ht="21" customHeight="1" x14ac:dyDescent="0.15">
      <c r="A3" s="47">
        <v>49009002</v>
      </c>
      <c r="B3" s="120" t="s">
        <v>319</v>
      </c>
      <c r="C3" s="50">
        <v>3</v>
      </c>
      <c r="D3" s="50" t="s">
        <v>127</v>
      </c>
      <c r="E3" s="51" t="s">
        <v>267</v>
      </c>
      <c r="F3" s="51" t="s">
        <v>254</v>
      </c>
      <c r="G3" s="63" t="str">
        <f t="shared" si="0"/>
        <v>[effect:enemy_message, val1:1.2, val2:1.2]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[effect:critical, val:1.3, animation:enemy_critical]</v>
      </c>
      <c r="N3" s="48" t="str">
        <f>IFERROR(LEFT(M3,FIND("],",M3)+S13),M3)</f>
        <v>[effect:critical, val:1.3, animation:enemy_critical]</v>
      </c>
      <c r="O3" s="63">
        <f t="shared" si="6"/>
        <v>9</v>
      </c>
      <c r="P3" s="63">
        <f t="shared" si="7"/>
        <v>17</v>
      </c>
      <c r="Q3" s="63" t="e">
        <f t="shared" si="8"/>
        <v>#VALUE!</v>
      </c>
      <c r="R3" s="63">
        <f t="shared" si="9"/>
        <v>26</v>
      </c>
      <c r="S3" s="63" t="str">
        <f>IFERROR(VLOOKUP(MID(N3,Q3,R3-Q3),[5]skilldef!$C:$D,2,FALSE),"-") &amp; " / " &amp; IFERROR(VLOOKUP(MID(N3,O3,P3-O3),[5]skilldef!$A:$B,2,FALSE),"-")</f>
        <v>- / 大攻撃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49009003</v>
      </c>
      <c r="B4" s="120" t="s">
        <v>320</v>
      </c>
      <c r="C4" s="50">
        <v>3</v>
      </c>
      <c r="D4" s="50" t="s">
        <v>127</v>
      </c>
      <c r="E4" s="51" t="s">
        <v>268</v>
      </c>
      <c r="F4" s="121" t="s">
        <v>262</v>
      </c>
      <c r="G4" s="63" t="str">
        <f t="shared" si="0"/>
        <v>[effect:enemy_message, val1:1.2, val2:1.2]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[effect:spread, val:0.3]</v>
      </c>
      <c r="N4" s="48" t="str">
        <f>IFERROR(LEFT(M4,FIND("],",M4)+S14),M4)</f>
        <v>[effect:spread, val:0.3]</v>
      </c>
      <c r="O4" s="63">
        <f t="shared" si="6"/>
        <v>9</v>
      </c>
      <c r="P4" s="63">
        <f t="shared" si="7"/>
        <v>15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全体攻撃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49009004</v>
      </c>
      <c r="B5" s="120" t="s">
        <v>344</v>
      </c>
      <c r="C5" s="50">
        <v>3</v>
      </c>
      <c r="D5" s="50" t="s">
        <v>127</v>
      </c>
      <c r="E5" s="51" t="s">
        <v>391</v>
      </c>
      <c r="F5" s="121" t="s">
        <v>331</v>
      </c>
      <c r="G5" s="63" t="str">
        <f t="shared" si="0"/>
        <v>[effect:enemy_message, val1:1.2,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 xml:space="preserve">[effect:dis_panel, target:block_green, turn:-1, animation:enemy_dis_green],[effect:fix_speed, target:enemy_yellow, turn:2]    </v>
      </c>
      <c r="N5" s="48" t="str">
        <f t="shared" ref="N5:N21" si="15">IFERROR(LEFT(M5,FIND("],",M5)+S15),M5)</f>
        <v xml:space="preserve">[effect:dis_panel, target:block_green, turn:-1, animation:enemy_dis_green],[effect:fix_speed, target:enemy_yellow, turn:2]    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38</v>
      </c>
      <c r="S5" s="63" t="str">
        <f>IFERROR(VLOOKUP(MID(N5,Q5,R5-Q5),[5]skilldef!$C:$D,2,FALSE),"-") &amp; " / " &amp; IFERROR(VLOOKUP(MID(N5,O5,P5-O5),[5]skilldef!$A:$B,2,FALSE),"-")</f>
        <v>緑パネルを / ディスパネル</v>
      </c>
      <c r="T5" s="48" t="str">
        <f t="shared" si="10"/>
        <v xml:space="preserve">[effect:fix_speed, target:enemy_yellow, turn:2]    </v>
      </c>
      <c r="U5" s="63">
        <f t="shared" si="11"/>
        <v>9</v>
      </c>
      <c r="V5" s="63">
        <f t="shared" si="12"/>
        <v>18</v>
      </c>
      <c r="W5" s="63">
        <f t="shared" si="13"/>
        <v>27</v>
      </c>
      <c r="X5" s="63">
        <f t="shared" si="14"/>
        <v>39</v>
      </c>
      <c r="Y5" s="63" t="str">
        <f>IFERROR(VLOOKUP(MID(T5,W5,X5-W5),[5]skilldef!$C:$D,2,FALSE),"-") &amp; " / " &amp; IFERROR(VLOOKUP(MID(T5,U5,V5-U5),[5]skilldef!$A:$B,2,FALSE),"-")</f>
        <v>黄の敵に / 行動値設定</v>
      </c>
      <c r="Z5" s="50"/>
      <c r="AA5" s="52"/>
      <c r="AB5" s="50"/>
    </row>
    <row r="6" spans="1:28" ht="21" customHeight="1" x14ac:dyDescent="0.15">
      <c r="A6" s="47">
        <v>49009005</v>
      </c>
      <c r="B6" s="120" t="s">
        <v>321</v>
      </c>
      <c r="C6" s="50">
        <v>3</v>
      </c>
      <c r="D6" s="50" t="s">
        <v>127</v>
      </c>
      <c r="E6" s="51" t="s">
        <v>298</v>
      </c>
      <c r="F6" s="51" t="s">
        <v>255</v>
      </c>
      <c r="G6" s="63" t="str">
        <f t="shared" si="0"/>
        <v>[effect:enemy_message, val1:1.2, val2:1.2]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[effect:rush, count:2, val:0.65]</v>
      </c>
      <c r="N6" s="48" t="str">
        <f t="shared" si="15"/>
        <v>[effect:rush, count:2, val:0.65]</v>
      </c>
      <c r="O6" s="63">
        <f t="shared" si="6"/>
        <v>9</v>
      </c>
      <c r="P6" s="63">
        <f t="shared" si="7"/>
        <v>13</v>
      </c>
      <c r="Q6" s="63" t="e">
        <f t="shared" si="8"/>
        <v>#VALUE!</v>
      </c>
      <c r="R6" s="63">
        <f t="shared" si="9"/>
        <v>22</v>
      </c>
      <c r="S6" s="63" t="str">
        <f>IFERROR(VLOOKUP(MID(N6,Q6,R6-Q6),[5]skilldef!$C:$D,2,FALSE),"-") &amp; " / " &amp; IFERROR(VLOOKUP(MID(N6,O6,P6-O6),[5]skilldef!$A:$B,2,FALSE),"-")</f>
        <v>- / 連続攻撃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49009006</v>
      </c>
      <c r="B7" s="120" t="s">
        <v>322</v>
      </c>
      <c r="C7" s="50">
        <v>3</v>
      </c>
      <c r="D7" s="50" t="s">
        <v>127</v>
      </c>
      <c r="E7" s="51" t="s">
        <v>269</v>
      </c>
      <c r="F7" s="121" t="s">
        <v>317</v>
      </c>
      <c r="G7" s="63" t="str">
        <f t="shared" si="0"/>
        <v>[effect:enemy_message, val1:1.2, val2:1.2]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[effect:rush, count:5, val:0.25]</v>
      </c>
      <c r="N7" s="48" t="str">
        <f t="shared" si="15"/>
        <v>[effect:rush, count:5, val:0.25]</v>
      </c>
      <c r="O7" s="63">
        <f t="shared" si="6"/>
        <v>9</v>
      </c>
      <c r="P7" s="63">
        <f t="shared" si="7"/>
        <v>13</v>
      </c>
      <c r="Q7" s="63" t="e">
        <f t="shared" si="8"/>
        <v>#VALUE!</v>
      </c>
      <c r="R7" s="63">
        <f t="shared" si="9"/>
        <v>22</v>
      </c>
      <c r="S7" s="63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06">
        <v>49009007</v>
      </c>
      <c r="B8" s="120" t="s">
        <v>328</v>
      </c>
      <c r="C8" s="50">
        <v>3</v>
      </c>
      <c r="D8" s="50" t="s">
        <v>127</v>
      </c>
      <c r="E8" s="51" t="s">
        <v>270</v>
      </c>
      <c r="F8" s="121" t="s">
        <v>342</v>
      </c>
      <c r="G8" s="63" t="str">
        <f t="shared" si="0"/>
        <v>[effect:enemy_message, val1:1.9,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 xml:space="preserve">[effect:dis_heart, turn:4, animation:enemy_dis_heart],[effect:fix_speed, target:enemy_blue, turn:1]    </v>
      </c>
      <c r="N8" s="48" t="str">
        <f t="shared" si="15"/>
        <v xml:space="preserve">[effect:dis_heart, turn:4, animation:enemy_dis_heart],[effect:fix_speed, target:enemy_blue, turn:1]    </v>
      </c>
      <c r="O8" s="63">
        <f t="shared" si="6"/>
        <v>9</v>
      </c>
      <c r="P8" s="63">
        <f t="shared" si="7"/>
        <v>18</v>
      </c>
      <c r="Q8" s="63">
        <f t="shared" si="8"/>
        <v>81</v>
      </c>
      <c r="R8" s="63">
        <f t="shared" si="9"/>
        <v>26</v>
      </c>
      <c r="S8" s="63" t="str">
        <f>IFERROR(VLOOKUP(MID(N8,Q8,R8-Q8),[5]skilldef!$C:$D,2,FALSE),"-") &amp; " / " &amp; IFERROR(VLOOKUP(MID(N8,O8,P8-O8),[5]skilldef!$A:$B,2,FALSE),"-")</f>
        <v>- / ディスハート</v>
      </c>
      <c r="T8" s="48" t="str">
        <f t="shared" si="10"/>
        <v xml:space="preserve">[effect:fix_speed, target:enemy_blue, turn:1]    </v>
      </c>
      <c r="U8" s="63">
        <f t="shared" si="11"/>
        <v>9</v>
      </c>
      <c r="V8" s="63">
        <f t="shared" si="12"/>
        <v>18</v>
      </c>
      <c r="W8" s="63">
        <f t="shared" si="13"/>
        <v>27</v>
      </c>
      <c r="X8" s="63">
        <f t="shared" si="14"/>
        <v>37</v>
      </c>
      <c r="Y8" s="63" t="str">
        <f>IFERROR(VLOOKUP(MID(T8,W8,X8-W8),[5]skilldef!$C:$D,2,FALSE),"-") &amp; " / " &amp; IFERROR(VLOOKUP(MID(T8,U8,V8-U8),[5]skilldef!$A:$B,2,FALSE),"-")</f>
        <v>青の敵に / 行動値設定</v>
      </c>
      <c r="Z8" s="50"/>
      <c r="AA8" s="52"/>
      <c r="AB8" s="50"/>
    </row>
    <row r="9" spans="1:28" ht="21" customHeight="1" x14ac:dyDescent="0.15">
      <c r="A9" s="106">
        <v>49009008</v>
      </c>
      <c r="B9" s="120" t="s">
        <v>388</v>
      </c>
      <c r="C9" s="50">
        <v>3</v>
      </c>
      <c r="D9" s="50" t="s">
        <v>127</v>
      </c>
      <c r="E9" s="51" t="s">
        <v>290</v>
      </c>
      <c r="F9" s="51" t="s">
        <v>256</v>
      </c>
      <c r="G9" s="63" t="str">
        <f t="shared" si="0"/>
        <v>[effect:enemy_message, val1:1.2, val2:1.4]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[effect:force_change_block, new_block:block_red, target:block_heart, ignore01:crash, ignore02:crack_bomb, ignore03:color_break, ignore04:time_bomb, ignore05:jammer, ignore06:magnet, count:0, val:0, animation:change_block]</v>
      </c>
      <c r="N9" s="48" t="str">
        <f t="shared" si="15"/>
        <v>[effect:force_change_block, new_block:block_red, target:block_heart, ignore01:crash, ignore02:crack_bomb, ignore03:color_break, ignore04:time_bomb, ignore05:jammer, ignore06:magnet, count:0, val:0, animation:change_block]</v>
      </c>
      <c r="O9" s="63">
        <f t="shared" si="6"/>
        <v>9</v>
      </c>
      <c r="P9" s="63">
        <f t="shared" si="7"/>
        <v>27</v>
      </c>
      <c r="Q9" s="63">
        <f t="shared" si="8"/>
        <v>57</v>
      </c>
      <c r="R9" s="63">
        <f t="shared" si="9"/>
        <v>48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106">
        <v>49009009</v>
      </c>
      <c r="B10" s="120" t="s">
        <v>382</v>
      </c>
      <c r="C10" s="50">
        <v>3</v>
      </c>
      <c r="D10" s="50" t="s">
        <v>127</v>
      </c>
      <c r="E10" s="51" t="s">
        <v>291</v>
      </c>
      <c r="F10" s="51" t="s">
        <v>361</v>
      </c>
      <c r="G10" s="63" t="str">
        <f t="shared" si="0"/>
        <v>[effect:enemy_message, val1:1.2, val2:2]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[effect:degrade_unit, target:unit_all, turn:4, status:attack, val:0.5]</v>
      </c>
      <c r="N10" s="48" t="str">
        <f t="shared" si="15"/>
        <v>[effect:degrade_unit, target:unit_all, turn:4, status:attack, val:0.5]</v>
      </c>
      <c r="O10" s="63">
        <f t="shared" si="6"/>
        <v>9</v>
      </c>
      <c r="P10" s="63">
        <f t="shared" si="7"/>
        <v>21</v>
      </c>
      <c r="Q10" s="63">
        <f t="shared" si="8"/>
        <v>30</v>
      </c>
      <c r="R10" s="63">
        <f t="shared" si="9"/>
        <v>38</v>
      </c>
      <c r="S10" s="63" t="str">
        <f>IFERROR(VLOOKUP(MID(N10,Q10,R10-Q10),[5]skilldef!$C:$D,2,FALSE),"-") &amp; " / " &amp; IFERROR(VLOOKUP(MID(N10,O10,P10-O10),[5]skilldef!$A:$B,2,FALSE),"-")</f>
        <v>味方全体に / ステータスDOWN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106">
        <v>49009010</v>
      </c>
      <c r="B11" s="120" t="s">
        <v>343</v>
      </c>
      <c r="C11" s="50">
        <v>3</v>
      </c>
      <c r="D11" s="50" t="s">
        <v>127</v>
      </c>
      <c r="E11" s="51" t="s">
        <v>271</v>
      </c>
      <c r="F11" s="51" t="s">
        <v>316</v>
      </c>
      <c r="G11" s="63" t="str">
        <f t="shared" si="0"/>
        <v>[effect:enemy_message, val1:1.9, val2:1.8]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[effect:sp_boost, target:unit_yellow, val:99, animation:sp_boost_one02],[effect:suicide, target:myself, val:1, dead_type:escape]</v>
      </c>
      <c r="N11" s="48" t="str">
        <f t="shared" si="15"/>
        <v>[effect:sp_boost, target:unit_yellow, val:99, animation:sp_boost_one02],[effect:suicide, target:myself, val:1, dead_type:escape]</v>
      </c>
      <c r="O11" s="63">
        <f t="shared" si="6"/>
        <v>9</v>
      </c>
      <c r="P11" s="63">
        <f t="shared" si="7"/>
        <v>17</v>
      </c>
      <c r="Q11" s="63">
        <f t="shared" si="8"/>
        <v>26</v>
      </c>
      <c r="R11" s="63">
        <f t="shared" si="9"/>
        <v>37</v>
      </c>
      <c r="S11" s="63" t="str">
        <f>IFERROR(VLOOKUP(MID(N11,Q11,R11-Q11),[5]skilldef!$C:$D,2,FALSE),"-") &amp; " / " &amp; IFERROR(VLOOKUP(MID(N11,O11,P11-O11),[5]skilldef!$A:$B,2,FALSE),"-")</f>
        <v>黄の味方に / -</v>
      </c>
      <c r="T11" s="48" t="str">
        <f t="shared" si="10"/>
        <v>[effect:suicide, target:myself, val:1, dead_type:escape]</v>
      </c>
      <c r="U11" s="63">
        <f t="shared" si="11"/>
        <v>9</v>
      </c>
      <c r="V11" s="63">
        <f t="shared" si="12"/>
        <v>16</v>
      </c>
      <c r="W11" s="63">
        <f t="shared" si="13"/>
        <v>25</v>
      </c>
      <c r="X11" s="63">
        <f t="shared" si="14"/>
        <v>31</v>
      </c>
      <c r="Y11" s="63" t="str">
        <f>IFERROR(VLOOKUP(MID(T11,W11,X11-W11),[5]skilldef!$C:$D,2,FALSE),"-") &amp; " / " &amp; IFERROR(VLOOKUP(MID(T11,U11,V11-U11),[5]skilldef!$A:$B,2,FALSE),"-")</f>
        <v>自分自身に / -</v>
      </c>
      <c r="Z11" s="50"/>
      <c r="AA11" s="52"/>
      <c r="AB11" s="50"/>
    </row>
    <row r="12" spans="1:28" ht="21" customHeight="1" x14ac:dyDescent="0.15">
      <c r="A12" s="47">
        <v>49009011</v>
      </c>
      <c r="B12" s="120" t="s">
        <v>360</v>
      </c>
      <c r="C12" s="50">
        <v>3</v>
      </c>
      <c r="D12" s="50" t="s">
        <v>127</v>
      </c>
      <c r="E12" s="51" t="s">
        <v>272</v>
      </c>
      <c r="F12" s="51" t="s">
        <v>330</v>
      </c>
      <c r="G12" s="63" t="str">
        <f t="shared" si="0"/>
        <v>[effect:enemy_message, val1:1.2, val2:2]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[effect:remove_enhancement, target:unit_all, target_effect:all, animation:frozen_wave],[effect:damage_fix_absolute, target:unit_all, val:500]</v>
      </c>
      <c r="N12" s="48" t="str">
        <f t="shared" si="15"/>
        <v>[effect:remove_enhancement, target:unit_all, target_effect:all, animation:frozen_wave],[effect:damage_fix_absolute, target:unit_all, val:500]</v>
      </c>
      <c r="O12" s="63">
        <f t="shared" si="6"/>
        <v>9</v>
      </c>
      <c r="P12" s="63">
        <f t="shared" si="7"/>
        <v>27</v>
      </c>
      <c r="Q12" s="63">
        <f t="shared" si="8"/>
        <v>36</v>
      </c>
      <c r="R12" s="63">
        <f t="shared" si="9"/>
        <v>44</v>
      </c>
      <c r="S12" s="63" t="str">
        <f>IFERROR(VLOOKUP(MID(N12,Q12,R12-Q12),[5]skilldef!$C:$D,2,FALSE),"-") &amp; " / " &amp; IFERROR(VLOOKUP(MID(N12,O12,P12-O12),[5]skilldef!$A:$B,2,FALSE),"-")</f>
        <v>味方全体に / -</v>
      </c>
      <c r="T12" s="48" t="str">
        <f t="shared" si="10"/>
        <v>[effect:damage_fix_absolute, target:unit_all, val:500]</v>
      </c>
      <c r="U12" s="63">
        <f t="shared" si="11"/>
        <v>9</v>
      </c>
      <c r="V12" s="63">
        <f t="shared" si="12"/>
        <v>28</v>
      </c>
      <c r="W12" s="63">
        <f t="shared" si="13"/>
        <v>37</v>
      </c>
      <c r="X12" s="63">
        <f t="shared" si="14"/>
        <v>45</v>
      </c>
      <c r="Y12" s="63" t="str">
        <f>IFERROR(VLOOKUP(MID(T12,W12,X12-W12),[5]skilldef!$C:$D,2,FALSE),"-") &amp; " / " &amp; IFERROR(VLOOKUP(MID(T12,U12,V12-U12),[5]skilldef!$A:$B,2,FALSE),"-")</f>
        <v>味方全体に / -</v>
      </c>
      <c r="Z12" s="50"/>
      <c r="AA12" s="52"/>
      <c r="AB12" s="50"/>
    </row>
    <row r="13" spans="1:28" ht="21" customHeight="1" x14ac:dyDescent="0.15">
      <c r="A13" s="47">
        <v>49009012</v>
      </c>
      <c r="B13" s="120" t="s">
        <v>320</v>
      </c>
      <c r="C13" s="50">
        <v>3</v>
      </c>
      <c r="D13" s="50" t="s">
        <v>127</v>
      </c>
      <c r="E13" s="51" t="s">
        <v>273</v>
      </c>
      <c r="F13" s="121" t="s">
        <v>318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[effect:spread, val:0.3]</v>
      </c>
      <c r="N13" s="48" t="str">
        <f t="shared" si="15"/>
        <v>[effect:spread, val:0.3]</v>
      </c>
      <c r="O13" s="63">
        <f t="shared" si="6"/>
        <v>9</v>
      </c>
      <c r="P13" s="63">
        <f t="shared" si="7"/>
        <v>15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全体攻撃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49009013</v>
      </c>
      <c r="B14" s="120" t="s">
        <v>319</v>
      </c>
      <c r="C14" s="50">
        <v>3</v>
      </c>
      <c r="D14" s="50" t="s">
        <v>127</v>
      </c>
      <c r="E14" s="51" t="s">
        <v>292</v>
      </c>
      <c r="F14" s="121" t="s">
        <v>340</v>
      </c>
      <c r="G14" s="63" t="str">
        <f t="shared" si="0"/>
        <v>[effect:enemy_message, val1:1.2,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[effect:critical, val:1.3, animation:enemy_critical]</v>
      </c>
      <c r="N14" s="48" t="str">
        <f t="shared" si="15"/>
        <v>[effect:critical, val:1.3, animation:enemy_critical]</v>
      </c>
      <c r="O14" s="63">
        <f t="shared" si="6"/>
        <v>9</v>
      </c>
      <c r="P14" s="63">
        <f t="shared" si="7"/>
        <v>17</v>
      </c>
      <c r="Q14" s="63" t="e">
        <f t="shared" si="8"/>
        <v>#VALUE!</v>
      </c>
      <c r="R14" s="63">
        <f t="shared" si="9"/>
        <v>26</v>
      </c>
      <c r="S14" s="63" t="str">
        <f>IFERROR(VLOOKUP(MID(N14,Q14,R14-Q14),[5]skilldef!$C:$D,2,FALSE),"-") &amp; " / " &amp; IFERROR(VLOOKUP(MID(N14,O14,P14-O14),[5]skilldef!$A:$B,2,FALSE),"-")</f>
        <v>- / 大攻撃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06">
        <v>49009014</v>
      </c>
      <c r="B15" s="120" t="s">
        <v>362</v>
      </c>
      <c r="C15" s="50">
        <v>3</v>
      </c>
      <c r="D15" s="50" t="s">
        <v>127</v>
      </c>
      <c r="E15" s="51" t="s">
        <v>274</v>
      </c>
      <c r="F15" s="121" t="s">
        <v>347</v>
      </c>
      <c r="G15" s="63" t="str">
        <f t="shared" si="0"/>
        <v>[effect:enemy_message, val1:2.2, val2:1.5]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[effect:remove_enhancement, target:unit_all, target_effect:all, animation:frozen_wave],[effect:tolerance, target:myself, turn:-1, count:-1, tolerance_effect:all, animation:enemy_tolerance]</v>
      </c>
      <c r="N15" s="48" t="str">
        <f t="shared" si="15"/>
        <v>[effect:remove_enhancement, target:unit_all, target_effect:all, animation:frozen_wave],[effect:tolerance, target:myself, turn:-1, count:-1, tolerance_effect:all, animation:enemy_tolerance]</v>
      </c>
      <c r="O15" s="63">
        <f t="shared" si="6"/>
        <v>9</v>
      </c>
      <c r="P15" s="63">
        <f t="shared" si="7"/>
        <v>27</v>
      </c>
      <c r="Q15" s="63">
        <f t="shared" si="8"/>
        <v>36</v>
      </c>
      <c r="R15" s="63">
        <f t="shared" si="9"/>
        <v>44</v>
      </c>
      <c r="S15" s="63" t="str">
        <f>IFERROR(VLOOKUP(MID(N15,Q15,R15-Q15),[5]skilldef!$C:$D,2,FALSE),"-") &amp; " / " &amp; IFERROR(VLOOKUP(MID(N15,O15,P15-O15),[5]skilldef!$A:$B,2,FALSE),"-")</f>
        <v>味方全体に / -</v>
      </c>
      <c r="T15" s="48" t="str">
        <f t="shared" si="10"/>
        <v>[effect:tolerance, target:myself, turn:-1, count:-1, tolerance_effect:all, animation:enemy_tolerance]</v>
      </c>
      <c r="U15" s="63">
        <f t="shared" si="11"/>
        <v>9</v>
      </c>
      <c r="V15" s="63">
        <f t="shared" si="12"/>
        <v>18</v>
      </c>
      <c r="W15" s="63">
        <f t="shared" si="13"/>
        <v>27</v>
      </c>
      <c r="X15" s="63">
        <f t="shared" si="14"/>
        <v>33</v>
      </c>
      <c r="Y15" s="63" t="str">
        <f>IFERROR(VLOOKUP(MID(T15,W15,X15-W15),[5]skilldef!$C:$D,2,FALSE),"-") &amp; " / " &amp; IFERROR(VLOOKUP(MID(T15,U15,V15-U15),[5]skilldef!$A:$B,2,FALSE),"-")</f>
        <v>自分自身に / 状態異常耐性</v>
      </c>
      <c r="Z15" s="50"/>
      <c r="AA15" s="52"/>
      <c r="AB15" s="50"/>
    </row>
    <row r="16" spans="1:28" ht="21" customHeight="1" x14ac:dyDescent="0.15">
      <c r="A16" s="106">
        <v>49009015</v>
      </c>
      <c r="B16" s="120" t="s">
        <v>319</v>
      </c>
      <c r="C16" s="50">
        <v>3</v>
      </c>
      <c r="D16" s="50" t="s">
        <v>127</v>
      </c>
      <c r="E16" s="51" t="s">
        <v>275</v>
      </c>
      <c r="F16" s="51" t="s">
        <v>257</v>
      </c>
      <c r="G16" s="63" t="str">
        <f t="shared" si="0"/>
        <v>[effect:enemy_message, val1:1.2, val2:1.2]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[effect:critical, val:1.3, animation:enemy_critical]</v>
      </c>
      <c r="N16" s="48" t="str">
        <f t="shared" si="15"/>
        <v>[effect:critical, val:1.3, animation:enemy_critical]</v>
      </c>
      <c r="O16" s="63">
        <f t="shared" si="6"/>
        <v>9</v>
      </c>
      <c r="P16" s="63">
        <f t="shared" si="7"/>
        <v>17</v>
      </c>
      <c r="Q16" s="63" t="e">
        <f t="shared" si="8"/>
        <v>#VALUE!</v>
      </c>
      <c r="R16" s="63">
        <f t="shared" si="9"/>
        <v>26</v>
      </c>
      <c r="S16" s="63" t="str">
        <f>IFERROR(VLOOKUP(MID(N16,Q16,R16-Q16),[5]skilldef!$C:$D,2,FALSE),"-") &amp; " / " &amp; IFERROR(VLOOKUP(MID(N16,O16,P16-O16),[5]skilldef!$A:$B,2,FALSE),"-")</f>
        <v>- / 大攻撃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06">
        <v>49009016</v>
      </c>
      <c r="B17" s="120" t="s">
        <v>375</v>
      </c>
      <c r="C17" s="50">
        <v>3</v>
      </c>
      <c r="D17" s="50" t="s">
        <v>127</v>
      </c>
      <c r="E17" s="51" t="s">
        <v>293</v>
      </c>
      <c r="F17" s="121" t="s">
        <v>339</v>
      </c>
      <c r="G17" s="63" t="str">
        <f t="shared" si="0"/>
        <v>[effect:enemy_message, val1:1.2, val2:1.3]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[effect:dis_heart, turn:-1, animation:enemy_dis_heart],[effect:spread, val:0.3]</v>
      </c>
      <c r="N17" s="48" t="str">
        <f t="shared" si="15"/>
        <v>[effect:dis_heart, turn:-1, animation:enemy_dis_heart],[effect:spread, val:0.3]</v>
      </c>
      <c r="O17" s="63">
        <f t="shared" si="6"/>
        <v>9</v>
      </c>
      <c r="P17" s="63">
        <f t="shared" si="7"/>
        <v>18</v>
      </c>
      <c r="Q17" s="63" t="e">
        <f t="shared" si="8"/>
        <v>#VALUE!</v>
      </c>
      <c r="R17" s="63">
        <f t="shared" si="9"/>
        <v>27</v>
      </c>
      <c r="S17" s="63" t="str">
        <f>IFERROR(VLOOKUP(MID(N17,Q17,R17-Q17),[5]skilldef!$C:$D,2,FALSE),"-") &amp; " / " &amp; IFERROR(VLOOKUP(MID(N17,O17,P17-O17),[5]skilldef!$A:$B,2,FALSE),"-")</f>
        <v>- / ディスハート</v>
      </c>
      <c r="T17" s="48" t="str">
        <f t="shared" si="10"/>
        <v>[effect:spread, val:0.3]</v>
      </c>
      <c r="U17" s="63">
        <f t="shared" si="11"/>
        <v>9</v>
      </c>
      <c r="V17" s="63">
        <f t="shared" si="12"/>
        <v>15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IFERROR(VLOOKUP(MID(T17,W17,X17-W17),[5]skilldef!$C:$D,2,FALSE),"-") &amp; " / " &amp; IFERROR(VLOOKUP(MID(T17,U17,V17-U17),[5]skilldef!$A:$B,2,FALSE),"-")</f>
        <v>- / 全体攻撃</v>
      </c>
      <c r="Z17" s="50"/>
      <c r="AA17" s="52"/>
      <c r="AB17" s="50"/>
    </row>
    <row r="18" spans="1:28" ht="21" customHeight="1" x14ac:dyDescent="0.15">
      <c r="A18" s="106">
        <v>49009017</v>
      </c>
      <c r="B18" s="120" t="s">
        <v>348</v>
      </c>
      <c r="C18" s="50">
        <v>3</v>
      </c>
      <c r="D18" s="50" t="s">
        <v>127</v>
      </c>
      <c r="E18" s="51" t="s">
        <v>276</v>
      </c>
      <c r="F18" s="51" t="s">
        <v>294</v>
      </c>
      <c r="G18" s="63" t="str">
        <f t="shared" si="0"/>
        <v>[effect:enemy_message, val1:1.2, val2:1.2]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[effect:dis_panel, target:block_yellow, turn:4, animation:enemy_dis_yellow]</v>
      </c>
      <c r="N18" s="48" t="str">
        <f t="shared" si="15"/>
        <v>[effect:dis_panel, target:block_yellow, turn:4, animation:enemy_dis_yellow]</v>
      </c>
      <c r="O18" s="63">
        <f t="shared" si="6"/>
        <v>9</v>
      </c>
      <c r="P18" s="63">
        <f t="shared" si="7"/>
        <v>18</v>
      </c>
      <c r="Q18" s="63">
        <f t="shared" si="8"/>
        <v>27</v>
      </c>
      <c r="R18" s="63">
        <f t="shared" si="9"/>
        <v>39</v>
      </c>
      <c r="S18" s="63" t="str">
        <f>IFERROR(VLOOKUP(MID(N18,Q18,R18-Q18),[5]skilldef!$C:$D,2,FALSE),"-") &amp; " / " &amp; IFERROR(VLOOKUP(MID(N18,O18,P18-O18),[5]skilldef!$A:$B,2,FALSE),"-")</f>
        <v>黄色パネルを / ディスパネル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106">
        <v>49009018</v>
      </c>
      <c r="B19" s="120" t="s">
        <v>363</v>
      </c>
      <c r="C19" s="50">
        <v>3</v>
      </c>
      <c r="D19" s="50" t="s">
        <v>127</v>
      </c>
      <c r="E19" s="51" t="s">
        <v>277</v>
      </c>
      <c r="F19" s="121" t="s">
        <v>347</v>
      </c>
      <c r="G19" s="63" t="str">
        <f t="shared" si="0"/>
        <v>[effect:enemy_message, val1:1.2, val2:1.5]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[effect:remove_enhancement, target:unit_all, target_effect:all, animation:frozen_wave],[effect:tolerance, target:myself, turn:-1, count:-1, tolerance_effect:all, animation:enemy_tolerance]</v>
      </c>
      <c r="N19" s="48" t="str">
        <f t="shared" si="15"/>
        <v>[effect:remove_enhancement, target:unit_all, target_effect:all, animation:frozen_wave],[effect:tolerance, target:myself, turn:-1, count:-1, tolerance_effect:all, animation:enemy_tolerance]</v>
      </c>
      <c r="O19" s="63">
        <f t="shared" si="6"/>
        <v>9</v>
      </c>
      <c r="P19" s="63">
        <f t="shared" si="7"/>
        <v>27</v>
      </c>
      <c r="Q19" s="63">
        <f t="shared" si="8"/>
        <v>36</v>
      </c>
      <c r="R19" s="63">
        <f t="shared" si="9"/>
        <v>44</v>
      </c>
      <c r="S19" s="63" t="str">
        <f>IFERROR(VLOOKUP(MID(N19,Q19,R19-Q19),[5]skilldef!$C:$D,2,FALSE),"-") &amp; " / " &amp; IFERROR(VLOOKUP(MID(N19,O19,P19-O19),[5]skilldef!$A:$B,2,FALSE),"-")</f>
        <v>味方全体に / -</v>
      </c>
      <c r="T19" s="48" t="str">
        <f t="shared" si="10"/>
        <v>[effect:tolerance, target:myself, turn:-1, count:-1, tolerance_effect:all, animation:enemy_tolerance]</v>
      </c>
      <c r="U19" s="63">
        <f t="shared" si="11"/>
        <v>9</v>
      </c>
      <c r="V19" s="63">
        <f t="shared" si="12"/>
        <v>18</v>
      </c>
      <c r="W19" s="63">
        <f t="shared" si="13"/>
        <v>27</v>
      </c>
      <c r="X19" s="63">
        <f t="shared" si="14"/>
        <v>33</v>
      </c>
      <c r="Y19" s="63" t="str">
        <f>IFERROR(VLOOKUP(MID(T19,W19,X19-W19),[5]skilldef!$C:$D,2,FALSE),"-") &amp; " / " &amp; IFERROR(VLOOKUP(MID(T19,U19,V19-U19),[5]skilldef!$A:$B,2,FALSE),"-")</f>
        <v>自分自身に / 状態異常耐性</v>
      </c>
      <c r="Z19" s="50"/>
      <c r="AA19" s="52"/>
      <c r="AB19" s="50"/>
    </row>
    <row r="20" spans="1:28" ht="21" customHeight="1" x14ac:dyDescent="0.15">
      <c r="A20" s="106">
        <v>49009019</v>
      </c>
      <c r="B20" s="120" t="s">
        <v>323</v>
      </c>
      <c r="C20" s="50">
        <v>3</v>
      </c>
      <c r="D20" s="50" t="s">
        <v>127</v>
      </c>
      <c r="E20" s="51" t="s">
        <v>278</v>
      </c>
      <c r="F20" s="121" t="s">
        <v>332</v>
      </c>
      <c r="G20" s="63" t="str">
        <f t="shared" si="0"/>
        <v>[effect:enemy_message, val1:1.5, val2:1.5]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[effect:virus, target:unit_all, turn:3, rate:1, val:0.1, animation:enemy_virus],[effect:dis_panel, target:block_yellow, turn:-1, animation:enemy_dis_yellow]</v>
      </c>
      <c r="N20" s="48" t="str">
        <f t="shared" si="15"/>
        <v>[effect:virus, target:unit_all, turn:3, rate:1, val:0.1, animation:enemy_virus],[effect:dis_panel, target:block_yellow, turn:-1, animation:enemy_dis_yellow]</v>
      </c>
      <c r="O20" s="63">
        <f t="shared" si="6"/>
        <v>9</v>
      </c>
      <c r="P20" s="63">
        <f t="shared" si="7"/>
        <v>14</v>
      </c>
      <c r="Q20" s="63">
        <f t="shared" si="8"/>
        <v>23</v>
      </c>
      <c r="R20" s="63">
        <f t="shared" si="9"/>
        <v>31</v>
      </c>
      <c r="S20" s="63" t="str">
        <f>IFERROR(VLOOKUP(MID(N20,Q20,R20-Q20),[5]skilldef!$C:$D,2,FALSE),"-") &amp; " / " &amp; IFERROR(VLOOKUP(MID(N20,O20,P20-O20),[5]skilldef!$A:$B,2,FALSE),"-")</f>
        <v>味方全体に / ウィルス</v>
      </c>
      <c r="T20" s="48" t="str">
        <f t="shared" si="10"/>
        <v>[effect:dis_panel, target:block_yellow, turn:-1, animation:enemy_dis_yellow]</v>
      </c>
      <c r="U20" s="63">
        <f t="shared" si="11"/>
        <v>9</v>
      </c>
      <c r="V20" s="63">
        <f t="shared" si="12"/>
        <v>18</v>
      </c>
      <c r="W20" s="63">
        <f t="shared" si="13"/>
        <v>27</v>
      </c>
      <c r="X20" s="63">
        <f t="shared" si="14"/>
        <v>39</v>
      </c>
      <c r="Y20" s="63" t="str">
        <f>IFERROR(VLOOKUP(MID(T20,W20,X20-W20),[5]skilldef!$C:$D,2,FALSE),"-") &amp; " / " &amp; IFERROR(VLOOKUP(MID(T20,U20,V20-U20),[5]skilldef!$A:$B,2,FALSE),"-")</f>
        <v>黄色パネルを / ディスパネル</v>
      </c>
      <c r="Z20" s="50"/>
      <c r="AA20" s="52"/>
      <c r="AB20" s="50"/>
    </row>
    <row r="21" spans="1:28" ht="21" customHeight="1" x14ac:dyDescent="0.15">
      <c r="A21" s="106">
        <v>49009020</v>
      </c>
      <c r="B21" s="120" t="s">
        <v>322</v>
      </c>
      <c r="C21" s="50">
        <v>3</v>
      </c>
      <c r="D21" s="50" t="s">
        <v>127</v>
      </c>
      <c r="E21" s="51" t="s">
        <v>279</v>
      </c>
      <c r="F21" s="51" t="s">
        <v>258</v>
      </c>
      <c r="G21" s="63" t="str">
        <f t="shared" si="0"/>
        <v>[effect:enemy_message, val1:1.2, val2:1.2]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[effect:rush, count:5, val:0.25]</v>
      </c>
      <c r="N21" s="48" t="str">
        <f t="shared" si="15"/>
        <v>[effect:rush, count:5, val:0.25]</v>
      </c>
      <c r="O21" s="63">
        <f t="shared" si="6"/>
        <v>9</v>
      </c>
      <c r="P21" s="63">
        <f t="shared" si="7"/>
        <v>13</v>
      </c>
      <c r="Q21" s="63" t="e">
        <f t="shared" si="8"/>
        <v>#VALUE!</v>
      </c>
      <c r="R21" s="63">
        <f t="shared" si="9"/>
        <v>22</v>
      </c>
      <c r="S21" s="63" t="str">
        <f>IFERROR(VLOOKUP(MID(N21,Q21,R21-Q21),[5]skilldef!$C:$D,2,FALSE),"-") &amp; " / " &amp; IFERROR(VLOOKUP(MID(N21,O21,P21-O21),[5]skilldef!$A:$B,2,FALSE),"-")</f>
        <v>- / 連続攻撃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06">
        <v>49009021</v>
      </c>
      <c r="B22" s="120" t="s">
        <v>383</v>
      </c>
      <c r="C22" s="50">
        <v>3</v>
      </c>
      <c r="D22" s="50" t="s">
        <v>127</v>
      </c>
      <c r="E22" s="51" t="s">
        <v>280</v>
      </c>
      <c r="F22" s="51" t="s">
        <v>259</v>
      </c>
      <c r="G22" s="63" t="str">
        <f t="shared" si="0"/>
        <v>[effect:enemy_message, val1:1.6, val2:1.9]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[effect:freq_turn, target:myself, turn:-1, val:1, animation:enemy_freq_turn]</v>
      </c>
      <c r="N22" s="48" t="str">
        <f>IFERROR(LEFT(M22,FIND("],",M22)+#REF!),M22)</f>
        <v>[effect:freq_turn, target:myself, turn:-1, val:1, animation:enemy_freq_turn]</v>
      </c>
      <c r="O22" s="63">
        <f t="shared" si="6"/>
        <v>9</v>
      </c>
      <c r="P22" s="63">
        <f t="shared" si="7"/>
        <v>18</v>
      </c>
      <c r="Q22" s="63">
        <f t="shared" si="8"/>
        <v>27</v>
      </c>
      <c r="R22" s="63">
        <f t="shared" si="9"/>
        <v>33</v>
      </c>
      <c r="S22" s="63" t="str">
        <f>IFERROR(VLOOKUP(MID(N22,Q22,R22-Q22),[5]skilldef!$C:$D,2,FALSE),"-") &amp; " / " &amp; IFERROR(VLOOKUP(MID(N22,O22,P22-O22),[5]skilldef!$A:$B,2,FALSE),"-")</f>
        <v>自分自身に / 攻撃頻度がUP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106">
        <v>49009022</v>
      </c>
      <c r="B23" s="120" t="s">
        <v>338</v>
      </c>
      <c r="C23" s="50">
        <v>3</v>
      </c>
      <c r="D23" s="50" t="s">
        <v>127</v>
      </c>
      <c r="E23" s="51" t="s">
        <v>281</v>
      </c>
      <c r="F23" s="51" t="s">
        <v>260</v>
      </c>
      <c r="G23" s="63" t="str">
        <f t="shared" si="0"/>
        <v>[effect:enemy_message, val1:1.2, val2:1.2]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[effect:spread, val:0.4]</v>
      </c>
      <c r="N23" s="48" t="str">
        <f>IFERROR(LEFT(M23,FIND("],",M23)+#REF!),M23)</f>
        <v>[effect:spread, val:0.4]</v>
      </c>
      <c r="O23" s="63">
        <f t="shared" si="6"/>
        <v>9</v>
      </c>
      <c r="P23" s="63">
        <f t="shared" si="7"/>
        <v>15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IFERROR(VLOOKUP(MID(N23,Q23,R23-Q23),[5]skilldef!$C:$D,2,FALSE),"-") &amp; " / " &amp; IFERROR(VLOOKUP(MID(N23,O23,P23-O23),[5]skilldef!$A:$B,2,FALSE),"-")</f>
        <v>- / 全体攻撃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106">
        <v>49009023</v>
      </c>
      <c r="B24" s="120" t="s">
        <v>333</v>
      </c>
      <c r="C24" s="50">
        <v>3</v>
      </c>
      <c r="D24" s="50" t="s">
        <v>127</v>
      </c>
      <c r="E24" s="51" t="s">
        <v>282</v>
      </c>
      <c r="F24" s="121" t="s">
        <v>334</v>
      </c>
      <c r="G24" s="63" t="str">
        <f t="shared" si="0"/>
        <v>[effect:enemy_message, val1:1.3, val2:2.9]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[effect:remove_enhancement, target:unit_all, target_effect:all, animation:frozen_wave],[effect:tolerance, target:myself, turn:-1, count:-1, tolerance_effect:all, animation:enemy_tolerance],[effect:damage_gravity, val:0.5, animation:fevergauge_down]</v>
      </c>
      <c r="N24" s="48" t="str">
        <f>IFERROR(LEFT(M24,FIND("],",M24)+#REF!),M24)</f>
        <v>[effect:remove_enhancement, target:unit_all, target_effect:all, animation:frozen_wave],[effect:tolerance, target:myself, turn:-1, count:-1, tolerance_effect:all, animation:enemy_tolerance],[effect:damage_gravity, val:0.5, animation:fevergauge_down]</v>
      </c>
      <c r="O24" s="63">
        <f t="shared" si="6"/>
        <v>9</v>
      </c>
      <c r="P24" s="63">
        <f t="shared" si="7"/>
        <v>27</v>
      </c>
      <c r="Q24" s="63">
        <f t="shared" si="8"/>
        <v>36</v>
      </c>
      <c r="R24" s="63">
        <f t="shared" si="9"/>
        <v>44</v>
      </c>
      <c r="S24" s="63" t="str">
        <f>IFERROR(VLOOKUP(MID(N24,Q24,R24-Q24),[5]skilldef!$C:$D,2,FALSE),"-") &amp; " / " &amp; IFERROR(VLOOKUP(MID(N24,O24,P24-O24),[5]skilldef!$A:$B,2,FALSE),"-")</f>
        <v>味方全体に / -</v>
      </c>
      <c r="T24" s="48" t="str">
        <f t="shared" si="10"/>
        <v>[effect:tolerance, target:myself, turn:-1, count:-1, tolerance_effect:all, animation:enemy_tolerance],[effect:damage_gravity, val:0.5, animation:fevergauge_down]</v>
      </c>
      <c r="U24" s="63">
        <f t="shared" si="11"/>
        <v>9</v>
      </c>
      <c r="V24" s="63">
        <f t="shared" si="12"/>
        <v>18</v>
      </c>
      <c r="W24" s="63">
        <f t="shared" si="13"/>
        <v>27</v>
      </c>
      <c r="X24" s="63">
        <f t="shared" si="14"/>
        <v>33</v>
      </c>
      <c r="Y24" s="63" t="str">
        <f>IFERROR(VLOOKUP(MID(T24,W24,X24-W24),[5]skilldef!$C:$D,2,FALSE),"-") &amp; " / " &amp; IFERROR(VLOOKUP(MID(T24,U24,V24-U24),[5]skilldef!$A:$B,2,FALSE),"-")</f>
        <v>自分自身に / 状態異常耐性</v>
      </c>
      <c r="Z24" s="50"/>
      <c r="AA24" s="52"/>
      <c r="AB24" s="50"/>
    </row>
    <row r="25" spans="1:28" ht="21" customHeight="1" x14ac:dyDescent="0.15">
      <c r="A25" s="106">
        <v>49009024</v>
      </c>
      <c r="B25" s="120" t="s">
        <v>376</v>
      </c>
      <c r="C25" s="50">
        <v>3</v>
      </c>
      <c r="D25" s="50" t="s">
        <v>127</v>
      </c>
      <c r="E25" s="51" t="s">
        <v>283</v>
      </c>
      <c r="F25" s="121" t="s">
        <v>337</v>
      </c>
      <c r="G25" s="63" t="str">
        <f t="shared" si="0"/>
        <v>[effect:enemy_message, val1:1.2, val2:1.2]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>[effect:dis_panel, target:block_green, turn:-1, animation:enemy_dis_green],[effect:spread, val:0.25]</v>
      </c>
      <c r="N25" s="48" t="str">
        <f>IFERROR(LEFT(M25,FIND("],",M25)+#REF!),M25)</f>
        <v>[effect:dis_panel, target:block_green, turn:-1, animation:enemy_dis_green],[effect:spread, val:0.25]</v>
      </c>
      <c r="O25" s="63">
        <f t="shared" si="6"/>
        <v>9</v>
      </c>
      <c r="P25" s="63">
        <f t="shared" si="7"/>
        <v>18</v>
      </c>
      <c r="Q25" s="63">
        <f t="shared" si="8"/>
        <v>27</v>
      </c>
      <c r="R25" s="63">
        <f t="shared" si="9"/>
        <v>38</v>
      </c>
      <c r="S25" s="63" t="str">
        <f>IFERROR(VLOOKUP(MID(N25,Q25,R25-Q25),[5]skilldef!$C:$D,2,FALSE),"-") &amp; " / " &amp; IFERROR(VLOOKUP(MID(N25,O25,P25-O25),[5]skilldef!$A:$B,2,FALSE),"-")</f>
        <v>緑パネルを / ディスパネル</v>
      </c>
      <c r="T25" s="48" t="str">
        <f t="shared" si="10"/>
        <v>[effect:spread, val:0.25]</v>
      </c>
      <c r="U25" s="63">
        <f t="shared" si="11"/>
        <v>9</v>
      </c>
      <c r="V25" s="63">
        <f t="shared" si="12"/>
        <v>15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IFERROR(VLOOKUP(MID(T25,W25,X25-W25),[5]skilldef!$C:$D,2,FALSE),"-") &amp; " / " &amp; IFERROR(VLOOKUP(MID(T25,U25,V25-U25),[5]skilldef!$A:$B,2,FALSE),"-")</f>
        <v>- / 全体攻撃</v>
      </c>
      <c r="Z25" s="50"/>
      <c r="AA25" s="52"/>
      <c r="AB25" s="50"/>
    </row>
    <row r="26" spans="1:28" ht="21" customHeight="1" x14ac:dyDescent="0.15">
      <c r="A26" s="106">
        <v>49009025</v>
      </c>
      <c r="B26" s="120" t="s">
        <v>389</v>
      </c>
      <c r="C26" s="50">
        <v>3</v>
      </c>
      <c r="D26" s="50" t="s">
        <v>127</v>
      </c>
      <c r="E26" s="51" t="s">
        <v>284</v>
      </c>
      <c r="F26" s="51" t="s">
        <v>261</v>
      </c>
      <c r="G26" s="63" t="str">
        <f t="shared" si="0"/>
        <v>[effect:enemy_message, val1:1.2, val2:1.4]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[effect:force_change_block, new_block:block_green, target:block_heart, ignore01:crash, ignore02:crack_bomb, ignore03:color_break, ignore04:time_bomb, ignore05:jammer, ignore06:magnet, count:0, val:0, animation:change_block]</v>
      </c>
      <c r="N26" s="48" t="str">
        <f>IFERROR(LEFT(M26,FIND("],",M26)+#REF!),M26)</f>
        <v>[effect:force_change_block, new_block:block_green, target:block_heart, ignore01:crash, ignore02:crack_bomb, ignore03:color_break, ignore04:time_bomb, ignore05:jammer, ignore06:magnet, count:0, val:0, animation:change_block]</v>
      </c>
      <c r="O26" s="63">
        <f t="shared" si="6"/>
        <v>9</v>
      </c>
      <c r="P26" s="63">
        <f t="shared" si="7"/>
        <v>27</v>
      </c>
      <c r="Q26" s="63">
        <f t="shared" si="8"/>
        <v>59</v>
      </c>
      <c r="R26" s="63">
        <f t="shared" si="9"/>
        <v>50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06">
        <v>49009026</v>
      </c>
      <c r="B27" s="120" t="s">
        <v>324</v>
      </c>
      <c r="C27" s="50">
        <v>3</v>
      </c>
      <c r="D27" s="50" t="s">
        <v>127</v>
      </c>
      <c r="E27" s="51" t="s">
        <v>285</v>
      </c>
      <c r="F27" s="51" t="s">
        <v>262</v>
      </c>
      <c r="G27" s="63" t="str">
        <f t="shared" si="0"/>
        <v>[effect:enemy_message, val1:1.2, val2:1.2]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[effect:spread, val:0.32]</v>
      </c>
      <c r="N27" s="48" t="str">
        <f>IFERROR(LEFT(M27,FIND("],",M27)+#REF!),M27)</f>
        <v>[effect:spread, val:0.32]</v>
      </c>
      <c r="O27" s="63">
        <f t="shared" si="6"/>
        <v>9</v>
      </c>
      <c r="P27" s="63">
        <f t="shared" si="7"/>
        <v>15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IFERROR(VLOOKUP(MID(N27,Q27,R27-Q27),[5]skilldef!$C:$D,2,FALSE),"-") &amp; " / " &amp; IFERROR(VLOOKUP(MID(N27,O27,P27-O27),[5]skilldef!$A:$B,2,FALSE),"-")</f>
        <v>- / 全体攻撃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106">
        <v>49009027</v>
      </c>
      <c r="B28" s="120" t="s">
        <v>377</v>
      </c>
      <c r="C28" s="50">
        <v>3</v>
      </c>
      <c r="D28" s="50" t="s">
        <v>127</v>
      </c>
      <c r="E28" s="51" t="s">
        <v>286</v>
      </c>
      <c r="F28" s="121" t="s">
        <v>341</v>
      </c>
      <c r="G28" s="63" t="str">
        <f t="shared" si="0"/>
        <v>[effect:enemy_message, val1:1.3, val2:2.8]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[effect:remove_enhancement, target:unit_all, target_effect:all, animation:frozen_wave],[effect:spread, val:0.25]</v>
      </c>
      <c r="N28" s="48" t="str">
        <f>IFERROR(LEFT(M28,FIND("],",M28)+#REF!),M28)</f>
        <v>[effect:remove_enhancement, target:unit_all, target_effect:all, animation:frozen_wave],[effect:spread, val:0.25]</v>
      </c>
      <c r="O28" s="63">
        <f t="shared" si="6"/>
        <v>9</v>
      </c>
      <c r="P28" s="63">
        <f t="shared" si="7"/>
        <v>27</v>
      </c>
      <c r="Q28" s="63">
        <f t="shared" si="8"/>
        <v>36</v>
      </c>
      <c r="R28" s="63">
        <f t="shared" si="9"/>
        <v>44</v>
      </c>
      <c r="S28" s="63" t="str">
        <f>IFERROR(VLOOKUP(MID(N28,Q28,R28-Q28),[5]skilldef!$C:$D,2,FALSE),"-") &amp; " / " &amp; IFERROR(VLOOKUP(MID(N28,O28,P28-O28),[5]skilldef!$A:$B,2,FALSE),"-")</f>
        <v>味方全体に / -</v>
      </c>
      <c r="T28" s="48" t="str">
        <f t="shared" si="10"/>
        <v>[effect:spread, val:0.25]</v>
      </c>
      <c r="U28" s="63">
        <f t="shared" si="11"/>
        <v>9</v>
      </c>
      <c r="V28" s="63">
        <f t="shared" si="12"/>
        <v>15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全体攻撃</v>
      </c>
      <c r="Z28" s="50"/>
      <c r="AA28" s="52"/>
      <c r="AB28" s="50"/>
    </row>
    <row r="29" spans="1:28" ht="21" customHeight="1" x14ac:dyDescent="0.15">
      <c r="A29" s="106">
        <v>49009028</v>
      </c>
      <c r="B29" s="120" t="s">
        <v>378</v>
      </c>
      <c r="C29" s="50">
        <v>3</v>
      </c>
      <c r="D29" s="50" t="s">
        <v>127</v>
      </c>
      <c r="E29" s="51" t="s">
        <v>287</v>
      </c>
      <c r="F29" s="121" t="s">
        <v>335</v>
      </c>
      <c r="G29" s="63" t="str">
        <f t="shared" si="0"/>
        <v>[effect:enemy_message, val1:1.2, val2:2.1]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5"/>
        <v>[effect:dis_heart, turn:-1, animation:enemy_dis_heart],[effect:spread, val:0.3]</v>
      </c>
      <c r="N29" s="48" t="str">
        <f>IFERROR(LEFT(M29,FIND("],",M29)+#REF!),M29)</f>
        <v>[effect:dis_heart, turn:-1, animation:enemy_dis_heart],[effect:spread, val:0.3]</v>
      </c>
      <c r="O29" s="63">
        <f t="shared" si="6"/>
        <v>9</v>
      </c>
      <c r="P29" s="63">
        <f t="shared" si="7"/>
        <v>18</v>
      </c>
      <c r="Q29" s="63" t="e">
        <f t="shared" si="8"/>
        <v>#VALUE!</v>
      </c>
      <c r="R29" s="63">
        <f t="shared" si="9"/>
        <v>27</v>
      </c>
      <c r="S29" s="63" t="str">
        <f>IFERROR(VLOOKUP(MID(N29,Q29,R29-Q29),[5]skilldef!$C:$D,2,FALSE),"-") &amp; " / " &amp; IFERROR(VLOOKUP(MID(N29,O29,P29-O29),[5]skilldef!$A:$B,2,FALSE),"-")</f>
        <v>- / ディスハート</v>
      </c>
      <c r="T29" s="48" t="str">
        <f t="shared" si="10"/>
        <v>[effect:spread, val:0.3]</v>
      </c>
      <c r="U29" s="63">
        <f t="shared" si="11"/>
        <v>9</v>
      </c>
      <c r="V29" s="63">
        <f t="shared" si="12"/>
        <v>15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IFERROR(VLOOKUP(MID(T29,W29,X29-W29),[5]skilldef!$C:$D,2,FALSE),"-") &amp; " / " &amp; IFERROR(VLOOKUP(MID(T29,U29,V29-U29),[5]skilldef!$A:$B,2,FALSE),"-")</f>
        <v>- / 全体攻撃</v>
      </c>
      <c r="Z29" s="50"/>
      <c r="AA29" s="52"/>
      <c r="AB29" s="50"/>
    </row>
    <row r="30" spans="1:28" ht="21" customHeight="1" x14ac:dyDescent="0.15">
      <c r="A30" s="106">
        <v>49009029</v>
      </c>
      <c r="B30" s="120" t="s">
        <v>379</v>
      </c>
      <c r="C30" s="50">
        <v>3</v>
      </c>
      <c r="D30" s="50" t="s">
        <v>127</v>
      </c>
      <c r="E30" s="51" t="s">
        <v>288</v>
      </c>
      <c r="F30" s="121" t="s">
        <v>336</v>
      </c>
      <c r="G30" s="63" t="str">
        <f t="shared" si="0"/>
        <v>[effect:enemy_message, val1:1.3, val2:1.9]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5"/>
        <v>[effect:dis_panel, target:block_yellow, turn:-1, animation:enemy_dis_yellow],[effect:spread, val:0.3]</v>
      </c>
      <c r="N30" s="48" t="str">
        <f>IFERROR(LEFT(M30,FIND("],",M30)+#REF!),M30)</f>
        <v>[effect:dis_panel, target:block_yellow, turn:-1, animation:enemy_dis_yellow],[effect:spread, val:0.3]</v>
      </c>
      <c r="O30" s="63">
        <f t="shared" si="6"/>
        <v>9</v>
      </c>
      <c r="P30" s="63">
        <f t="shared" si="7"/>
        <v>18</v>
      </c>
      <c r="Q30" s="63">
        <f t="shared" si="8"/>
        <v>27</v>
      </c>
      <c r="R30" s="63">
        <f t="shared" si="9"/>
        <v>39</v>
      </c>
      <c r="S30" s="63" t="str">
        <f>IFERROR(VLOOKUP(MID(N30,Q30,R30-Q30),[5]skilldef!$C:$D,2,FALSE),"-") &amp; " / " &amp; IFERROR(VLOOKUP(MID(N30,O30,P30-O30),[5]skilldef!$A:$B,2,FALSE),"-")</f>
        <v>黄色パネルを / ディスパネル</v>
      </c>
      <c r="T30" s="48" t="str">
        <f t="shared" si="10"/>
        <v>[effect:spread, val:0.3]</v>
      </c>
      <c r="U30" s="63">
        <f t="shared" si="11"/>
        <v>9</v>
      </c>
      <c r="V30" s="63">
        <f t="shared" si="12"/>
        <v>15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IFERROR(VLOOKUP(MID(T30,W30,X30-W30),[5]skilldef!$C:$D,2,FALSE),"-") &amp; " / " &amp; IFERROR(VLOOKUP(MID(T30,U30,V30-U30),[5]skilldef!$A:$B,2,FALSE),"-")</f>
        <v>- / 全体攻撃</v>
      </c>
      <c r="Z30" s="50"/>
      <c r="AA30" s="52"/>
      <c r="AB30" s="50"/>
    </row>
    <row r="31" spans="1:28" ht="21" customHeight="1" x14ac:dyDescent="0.15">
      <c r="A31" s="106">
        <v>49009030</v>
      </c>
      <c r="B31" s="120" t="s">
        <v>325</v>
      </c>
      <c r="C31" s="50">
        <v>3</v>
      </c>
      <c r="D31" s="50" t="s">
        <v>127</v>
      </c>
      <c r="E31" s="51" t="s">
        <v>289</v>
      </c>
      <c r="F31" s="51" t="s">
        <v>380</v>
      </c>
      <c r="G31" s="63" t="str">
        <f t="shared" si="0"/>
        <v>[effect:enemy_message, val1:1.2, val2:1.2]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5"/>
        <v>[effect:rush, count:18, val:0.15]</v>
      </c>
      <c r="N31" s="48" t="str">
        <f>IFERROR(LEFT(M31,FIND("],",M31)+S34),M31)</f>
        <v>[effect:rush, count:18, val:0.15]</v>
      </c>
      <c r="O31" s="63">
        <f t="shared" si="6"/>
        <v>9</v>
      </c>
      <c r="P31" s="63">
        <f t="shared" si="7"/>
        <v>13</v>
      </c>
      <c r="Q31" s="63" t="e">
        <f t="shared" si="8"/>
        <v>#VALUE!</v>
      </c>
      <c r="R31" s="63">
        <f t="shared" si="9"/>
        <v>23</v>
      </c>
      <c r="S31" s="63" t="str">
        <f>IFERROR(VLOOKUP(MID(N31,Q31,R31-Q31),[5]skilldef!$C:$D,2,FALSE),"-") &amp; " / " &amp; IFERROR(VLOOKUP(MID(N31,O31,P31-O31),[5]skilldef!$A:$B,2,FALSE),"-")</f>
        <v>- / 連続攻撃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106">
        <v>49009031</v>
      </c>
      <c r="B32" s="120" t="s">
        <v>326</v>
      </c>
      <c r="C32" s="50">
        <v>3</v>
      </c>
      <c r="D32" s="50" t="s">
        <v>127</v>
      </c>
      <c r="E32" s="51" t="s">
        <v>312</v>
      </c>
      <c r="F32" s="51" t="s">
        <v>313</v>
      </c>
      <c r="G32" s="63" t="str">
        <f t="shared" ref="G32:G33" si="16">IFERROR(LEFT(B32,FIND("],",B32)),B32)</f>
        <v>[effect:enemy_message, val1:2.3, val2:0.0]</v>
      </c>
      <c r="H32" s="63">
        <f t="shared" ref="H32:H33" si="17">FIND("effect:",G32)+7</f>
        <v>9</v>
      </c>
      <c r="I32" s="63">
        <f t="shared" ref="I32:I33" si="18">IFERROR(FIND(",",G32),LEN(G32))</f>
        <v>22</v>
      </c>
      <c r="J32" s="63" t="e">
        <f t="shared" ref="J32:J33" si="19">FIND("target:",G32)+7</f>
        <v>#VALUE!</v>
      </c>
      <c r="K32" s="63">
        <f t="shared" ref="K32:K33" si="20">FIND(",",G32,I32+1)</f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ref="M32:M33" si="21">IFERROR(RIGHT(B32,LEN(B32)-FIND("],",B32)-1),"none")</f>
        <v>none</v>
      </c>
      <c r="N32" s="48" t="str">
        <f>IFERROR(LEFT(M32,FIND("],",M32)+#REF!),M32)</f>
        <v>none</v>
      </c>
      <c r="O32" s="63" t="e">
        <f t="shared" ref="O32:O33" si="22">FIND("effect:",N32)+7</f>
        <v>#VALUE!</v>
      </c>
      <c r="P32" s="63">
        <f t="shared" ref="P32:P33" si="23">IFERROR(FIND(",",N32),LEN(N32))</f>
        <v>4</v>
      </c>
      <c r="Q32" s="63" t="e">
        <f t="shared" ref="Q32:Q33" si="24">FIND("target:",N32)+7</f>
        <v>#VALUE!</v>
      </c>
      <c r="R32" s="63" t="e">
        <f t="shared" ref="R32:R33" si="25">FIND(",",N32,P32+1)</f>
        <v>#VALUE!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ref="T32:T33" si="26">IFERROR(RIGHT(M32,LEN(M32)-FIND("],",M32)-1),"none")</f>
        <v>none</v>
      </c>
      <c r="U32" s="63" t="e">
        <f t="shared" ref="U32:U33" si="27">FIND("effect:",T32)+7</f>
        <v>#VALUE!</v>
      </c>
      <c r="V32" s="63">
        <f t="shared" ref="V32:V33" si="28">IFERROR(FIND(",",T32),LEN(T32))</f>
        <v>4</v>
      </c>
      <c r="W32" s="63" t="e">
        <f t="shared" ref="W32:W33" si="29">FIND("target:",T32)+7</f>
        <v>#VALUE!</v>
      </c>
      <c r="X32" s="63" t="e">
        <f t="shared" ref="X32:X33" si="30">FIND(",",T32,V32+1)</f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106">
        <v>49009032</v>
      </c>
      <c r="B33" s="120" t="s">
        <v>327</v>
      </c>
      <c r="C33" s="50">
        <v>3</v>
      </c>
      <c r="D33" s="50" t="s">
        <v>127</v>
      </c>
      <c r="E33" s="51" t="s">
        <v>381</v>
      </c>
      <c r="F33" s="51" t="s">
        <v>313</v>
      </c>
      <c r="G33" s="63" t="str">
        <f t="shared" si="16"/>
        <v>[effect:enemy_message, val1:2.4, val2:0.0]</v>
      </c>
      <c r="H33" s="63">
        <f t="shared" si="17"/>
        <v>9</v>
      </c>
      <c r="I33" s="63">
        <f t="shared" si="18"/>
        <v>22</v>
      </c>
      <c r="J33" s="63" t="e">
        <f t="shared" si="19"/>
        <v>#VALUE!</v>
      </c>
      <c r="K33" s="63">
        <f t="shared" si="20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21"/>
        <v>none</v>
      </c>
      <c r="N33" s="48" t="str">
        <f>IFERROR(LEFT(M33,FIND("],",M33)+S36),M33)</f>
        <v>none</v>
      </c>
      <c r="O33" s="63" t="e">
        <f t="shared" si="22"/>
        <v>#VALUE!</v>
      </c>
      <c r="P33" s="63">
        <f t="shared" si="23"/>
        <v>4</v>
      </c>
      <c r="Q33" s="63" t="e">
        <f t="shared" si="24"/>
        <v>#VALUE!</v>
      </c>
      <c r="R33" s="63" t="e">
        <f t="shared" si="25"/>
        <v>#VALUE!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26"/>
        <v>none</v>
      </c>
      <c r="U33" s="63" t="e">
        <f t="shared" si="27"/>
        <v>#VALUE!</v>
      </c>
      <c r="V33" s="63">
        <f t="shared" si="28"/>
        <v>4</v>
      </c>
      <c r="W33" s="63" t="e">
        <f t="shared" si="29"/>
        <v>#VALUE!</v>
      </c>
      <c r="X33" s="63" t="e">
        <f t="shared" si="30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49009034</v>
      </c>
      <c r="B34" s="120" t="s">
        <v>364</v>
      </c>
      <c r="C34" s="50">
        <v>3</v>
      </c>
      <c r="D34" s="50" t="s">
        <v>127</v>
      </c>
      <c r="E34" s="135" t="s">
        <v>302</v>
      </c>
      <c r="F34" s="121" t="s">
        <v>347</v>
      </c>
      <c r="G34" s="63" t="str">
        <f t="shared" ref="G34" si="31">IFERROR(LEFT(B34,FIND("],",B34)),B34)</f>
        <v>[effect:enemy_message, val1:2.2, val2:1.5]</v>
      </c>
      <c r="H34" s="63">
        <f t="shared" ref="H34" si="32">FIND("effect:",G34)+7</f>
        <v>9</v>
      </c>
      <c r="I34" s="63">
        <f t="shared" ref="I34" si="33">IFERROR(FIND(",",G34),LEN(G34))</f>
        <v>22</v>
      </c>
      <c r="J34" s="63" t="e">
        <f t="shared" ref="J34" si="34">FIND("target:",G34)+7</f>
        <v>#VALUE!</v>
      </c>
      <c r="K34" s="63">
        <f t="shared" ref="K34" si="35">FIND(",",G34,I34+1)</f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ref="M34" si="36">IFERROR(RIGHT(B34,LEN(B34)-FIND("],",B34)-1),"none")</f>
        <v>[effect:remove_enhancement, target:unit_all, target_effect:all, animation:frozen_wave],[effect:tolerance, target:myself, turn:-1, count:-1, tolerance_effect:all, animation:enemy_tolerance]</v>
      </c>
      <c r="N34" s="48" t="str">
        <f>IFERROR(LEFT(M34,FIND("],",M34)+#REF!),M34)</f>
        <v>[effect:remove_enhancement, target:unit_all, target_effect:all, animation:frozen_wave],[effect:tolerance, target:myself, turn:-1, count:-1, tolerance_effect:all, animation:enemy_tolerance]</v>
      </c>
      <c r="O34" s="63">
        <f t="shared" ref="O34" si="37">FIND("effect:",N34)+7</f>
        <v>9</v>
      </c>
      <c r="P34" s="63">
        <f t="shared" ref="P34" si="38">IFERROR(FIND(",",N34),LEN(N34))</f>
        <v>27</v>
      </c>
      <c r="Q34" s="63">
        <f t="shared" ref="Q34" si="39">FIND("target:",N34)+7</f>
        <v>36</v>
      </c>
      <c r="R34" s="63">
        <f t="shared" ref="R34" si="40">FIND(",",N34,P34+1)</f>
        <v>44</v>
      </c>
      <c r="S34" s="63" t="str">
        <f>IFERROR(VLOOKUP(MID(N34,Q34,R34-Q34),[5]skilldef!$C:$D,2,FALSE),"-") &amp; " / " &amp; IFERROR(VLOOKUP(MID(N34,O34,P34-O34),[5]skilldef!$A:$B,2,FALSE),"-")</f>
        <v>味方全体に / -</v>
      </c>
      <c r="T34" s="48" t="str">
        <f t="shared" ref="T34" si="41">IFERROR(RIGHT(M34,LEN(M34)-FIND("],",M34)-1),"none")</f>
        <v>[effect:tolerance, target:myself, turn:-1, count:-1, tolerance_effect:all, animation:enemy_tolerance]</v>
      </c>
      <c r="U34" s="63">
        <f t="shared" ref="U34" si="42">FIND("effect:",T34)+7</f>
        <v>9</v>
      </c>
      <c r="V34" s="63">
        <f t="shared" ref="V34" si="43">IFERROR(FIND(",",T34),LEN(T34))</f>
        <v>18</v>
      </c>
      <c r="W34" s="63">
        <f t="shared" ref="W34" si="44">FIND("target:",T34)+7</f>
        <v>27</v>
      </c>
      <c r="X34" s="63">
        <f t="shared" ref="X34" si="45">FIND(",",T34,V34+1)</f>
        <v>33</v>
      </c>
      <c r="Y34" s="63" t="str">
        <f>IFERROR(VLOOKUP(MID(T34,W34,X34-W34),[5]skilldef!$C:$D,2,FALSE),"-") &amp; " / " &amp; IFERROR(VLOOKUP(MID(T34,U34,V34-U34),[5]skilldef!$A:$B,2,FALSE),"-")</f>
        <v>自分自身に / 状態異常耐性</v>
      </c>
      <c r="Z34" s="50"/>
      <c r="AA34" s="52"/>
      <c r="AB34" s="50"/>
    </row>
    <row r="35" spans="1:28" ht="21" customHeight="1" x14ac:dyDescent="0.15">
      <c r="A35" s="47">
        <v>49009035</v>
      </c>
      <c r="B35" s="120" t="s">
        <v>365</v>
      </c>
      <c r="C35" s="50">
        <v>3</v>
      </c>
      <c r="D35" s="50" t="s">
        <v>127</v>
      </c>
      <c r="E35" s="139" t="s">
        <v>392</v>
      </c>
      <c r="F35" s="121" t="s">
        <v>347</v>
      </c>
      <c r="G35" s="63" t="str">
        <f t="shared" ref="G35:G40" si="46">IFERROR(LEFT(B35,FIND("],",B35)),B35)</f>
        <v>[effect:enemy_message, val1:2.6, val2:1.5]</v>
      </c>
      <c r="H35" s="63">
        <f t="shared" ref="H35:H40" si="47">FIND("effect:",G35)+7</f>
        <v>9</v>
      </c>
      <c r="I35" s="63">
        <f t="shared" ref="I35:I40" si="48">IFERROR(FIND(",",G35),LEN(G35))</f>
        <v>22</v>
      </c>
      <c r="J35" s="63" t="e">
        <f t="shared" ref="J35:J40" si="49">FIND("target:",G35)+7</f>
        <v>#VALUE!</v>
      </c>
      <c r="K35" s="63">
        <f t="shared" ref="K35:K40" si="50">FIND(",",G35,I35+1)</f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ref="M35:M40" si="51">IFERROR(RIGHT(B35,LEN(B35)-FIND("],",B35)-1),"none")</f>
        <v>[effect:remove_enhancement, target:unit_all, target_effect:all, animation:frozen_wave],[effect:tolerance, target:myself, turn:-1, count:-1, tolerance_effect:all, animation:enemy_tolerance]</v>
      </c>
      <c r="N35" s="48" t="str">
        <f>IFERROR(LEFT(M35,FIND("],",M35)+#REF!),M35)</f>
        <v>[effect:remove_enhancement, target:unit_all, target_effect:all, animation:frozen_wave],[effect:tolerance, target:myself, turn:-1, count:-1, tolerance_effect:all, animation:enemy_tolerance]</v>
      </c>
      <c r="O35" s="63">
        <f t="shared" ref="O35:O40" si="52">FIND("effect:",N35)+7</f>
        <v>9</v>
      </c>
      <c r="P35" s="63">
        <f t="shared" ref="P35:P40" si="53">IFERROR(FIND(",",N35),LEN(N35))</f>
        <v>27</v>
      </c>
      <c r="Q35" s="63">
        <f t="shared" ref="Q35:Q40" si="54">FIND("target:",N35)+7</f>
        <v>36</v>
      </c>
      <c r="R35" s="63">
        <f t="shared" ref="R35:R40" si="55">FIND(",",N35,P35+1)</f>
        <v>44</v>
      </c>
      <c r="S35" s="63" t="str">
        <f>IFERROR(VLOOKUP(MID(N35,Q35,R35-Q35),[5]skilldef!$C:$D,2,FALSE),"-") &amp; " / " &amp; IFERROR(VLOOKUP(MID(N35,O35,P35-O35),[5]skilldef!$A:$B,2,FALSE),"-")</f>
        <v>味方全体に / -</v>
      </c>
      <c r="T35" s="48" t="str">
        <f t="shared" ref="T35:T40" si="56">IFERROR(RIGHT(M35,LEN(M35)-FIND("],",M35)-1),"none")</f>
        <v>[effect:tolerance, target:myself, turn:-1, count:-1, tolerance_effect:all, animation:enemy_tolerance]</v>
      </c>
      <c r="U35" s="63">
        <f t="shared" ref="U35:U40" si="57">FIND("effect:",T35)+7</f>
        <v>9</v>
      </c>
      <c r="V35" s="63">
        <f t="shared" ref="V35:V40" si="58">IFERROR(FIND(",",T35),LEN(T35))</f>
        <v>18</v>
      </c>
      <c r="W35" s="63">
        <f t="shared" ref="W35:W40" si="59">FIND("target:",T35)+7</f>
        <v>27</v>
      </c>
      <c r="X35" s="63">
        <f t="shared" ref="X35:X40" si="60">FIND(",",T35,V35+1)</f>
        <v>33</v>
      </c>
      <c r="Y35" s="63" t="str">
        <f>IFERROR(VLOOKUP(MID(T35,W35,X35-W35),[5]skilldef!$C:$D,2,FALSE),"-") &amp; " / " &amp; IFERROR(VLOOKUP(MID(T35,U35,V35-U35),[5]skilldef!$A:$B,2,FALSE),"-")</f>
        <v>自分自身に / 状態異常耐性</v>
      </c>
      <c r="Z35" s="50"/>
      <c r="AA35" s="52"/>
      <c r="AB35" s="50"/>
    </row>
    <row r="36" spans="1:28" ht="21" customHeight="1" x14ac:dyDescent="0.15">
      <c r="A36" s="47">
        <v>49009036</v>
      </c>
      <c r="B36" s="120" t="s">
        <v>366</v>
      </c>
      <c r="C36" s="50">
        <v>3</v>
      </c>
      <c r="D36" s="50" t="s">
        <v>127</v>
      </c>
      <c r="E36" s="135" t="s">
        <v>303</v>
      </c>
      <c r="F36" s="121" t="s">
        <v>347</v>
      </c>
      <c r="G36" s="63" t="str">
        <f t="shared" si="46"/>
        <v>[effect:enemy_message, val1:2.5, val2:1.5]</v>
      </c>
      <c r="H36" s="63">
        <f t="shared" si="47"/>
        <v>9</v>
      </c>
      <c r="I36" s="63">
        <f t="shared" si="48"/>
        <v>22</v>
      </c>
      <c r="J36" s="63" t="e">
        <f t="shared" si="49"/>
        <v>#VALUE!</v>
      </c>
      <c r="K36" s="63">
        <f t="shared" si="50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51"/>
        <v>[effect:remove_enhancement, target:unit_all, target_effect:all, animation:frozen_wave],[effect:tolerance, target:myself, turn:-1, count:-1, tolerance_effect:all, animation:enemy_tolerance]</v>
      </c>
      <c r="N36" s="48" t="str">
        <f t="shared" ref="N36:N39" si="61">IFERROR(LEFT(M36,FIND("],",M36)+S42),M36)</f>
        <v>[effect:remove_enhancement, target:unit_all, target_effect:all, animation:frozen_wave],[effect:tolerance, target:myself, turn:-1, count:-1, tolerance_effect:all, animation:enemy_tolerance]</v>
      </c>
      <c r="O36" s="63">
        <f t="shared" si="52"/>
        <v>9</v>
      </c>
      <c r="P36" s="63">
        <f t="shared" si="53"/>
        <v>27</v>
      </c>
      <c r="Q36" s="63">
        <f t="shared" si="54"/>
        <v>36</v>
      </c>
      <c r="R36" s="63">
        <f t="shared" si="55"/>
        <v>44</v>
      </c>
      <c r="S36" s="63" t="str">
        <f>IFERROR(VLOOKUP(MID(N36,Q36,R36-Q36),[5]skilldef!$C:$D,2,FALSE),"-") &amp; " / " &amp; IFERROR(VLOOKUP(MID(N36,O36,P36-O36),[5]skilldef!$A:$B,2,FALSE),"-")</f>
        <v>味方全体に / -</v>
      </c>
      <c r="T36" s="48" t="str">
        <f t="shared" si="56"/>
        <v>[effect:tolerance, target:myself, turn:-1, count:-1, tolerance_effect:all, animation:enemy_tolerance]</v>
      </c>
      <c r="U36" s="63">
        <f t="shared" si="57"/>
        <v>9</v>
      </c>
      <c r="V36" s="63">
        <f t="shared" si="58"/>
        <v>18</v>
      </c>
      <c r="W36" s="63">
        <f t="shared" si="59"/>
        <v>27</v>
      </c>
      <c r="X36" s="63">
        <f t="shared" si="60"/>
        <v>33</v>
      </c>
      <c r="Y36" s="63" t="str">
        <f>IFERROR(VLOOKUP(MID(T36,W36,X36-W36),[5]skilldef!$C:$D,2,FALSE),"-") &amp; " / " &amp; IFERROR(VLOOKUP(MID(T36,U36,V36-U36),[5]skilldef!$A:$B,2,FALSE),"-")</f>
        <v>自分自身に / 状態異常耐性</v>
      </c>
      <c r="Z36" s="50"/>
      <c r="AA36" s="52"/>
      <c r="AB36" s="50"/>
    </row>
    <row r="37" spans="1:28" ht="21" customHeight="1" x14ac:dyDescent="0.15">
      <c r="A37" s="47">
        <v>49009037</v>
      </c>
      <c r="B37" s="120" t="s">
        <v>367</v>
      </c>
      <c r="C37" s="50">
        <v>3</v>
      </c>
      <c r="D37" s="50" t="s">
        <v>127</v>
      </c>
      <c r="E37" s="139" t="s">
        <v>393</v>
      </c>
      <c r="F37" s="121" t="s">
        <v>347</v>
      </c>
      <c r="G37" s="63" t="str">
        <f t="shared" si="46"/>
        <v>[effect:enemy_message, val1:2.6, val2:1.5]</v>
      </c>
      <c r="H37" s="63">
        <f t="shared" si="47"/>
        <v>9</v>
      </c>
      <c r="I37" s="63">
        <f t="shared" si="48"/>
        <v>22</v>
      </c>
      <c r="J37" s="63" t="e">
        <f t="shared" si="49"/>
        <v>#VALUE!</v>
      </c>
      <c r="K37" s="63">
        <f t="shared" si="50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51"/>
        <v>[effect:remove_enhancement, target:unit_all, target_effect:all, animation:frozen_wave],[effect:tolerance, target:myself, turn:-1, count:-1, tolerance_effect:all, animation:enemy_tolerance]</v>
      </c>
      <c r="N37" s="48" t="str">
        <f t="shared" si="61"/>
        <v>[effect:remove_enhancement, target:unit_all, target_effect:all, animation:frozen_wave],[effect:tolerance, target:myself, turn:-1, count:-1, tolerance_effect:all, animation:enemy_tolerance]</v>
      </c>
      <c r="O37" s="63">
        <f t="shared" si="52"/>
        <v>9</v>
      </c>
      <c r="P37" s="63">
        <f t="shared" si="53"/>
        <v>27</v>
      </c>
      <c r="Q37" s="63">
        <f t="shared" si="54"/>
        <v>36</v>
      </c>
      <c r="R37" s="63">
        <f t="shared" si="55"/>
        <v>44</v>
      </c>
      <c r="S37" s="63" t="str">
        <f>IFERROR(VLOOKUP(MID(N37,Q37,R37-Q37),[5]skilldef!$C:$D,2,FALSE),"-") &amp; " / " &amp; IFERROR(VLOOKUP(MID(N37,O37,P37-O37),[5]skilldef!$A:$B,2,FALSE),"-")</f>
        <v>味方全体に / -</v>
      </c>
      <c r="T37" s="48" t="str">
        <f t="shared" si="56"/>
        <v>[effect:tolerance, target:myself, turn:-1, count:-1, tolerance_effect:all, animation:enemy_tolerance]</v>
      </c>
      <c r="U37" s="63">
        <f t="shared" si="57"/>
        <v>9</v>
      </c>
      <c r="V37" s="63">
        <f t="shared" si="58"/>
        <v>18</v>
      </c>
      <c r="W37" s="63">
        <f t="shared" si="59"/>
        <v>27</v>
      </c>
      <c r="X37" s="63">
        <f t="shared" si="60"/>
        <v>33</v>
      </c>
      <c r="Y37" s="63" t="str">
        <f>IFERROR(VLOOKUP(MID(T37,W37,X37-W37),[5]skilldef!$C:$D,2,FALSE),"-") &amp; " / " &amp; IFERROR(VLOOKUP(MID(T37,U37,V37-U37),[5]skilldef!$A:$B,2,FALSE),"-")</f>
        <v>自分自身に / 状態異常耐性</v>
      </c>
      <c r="Z37" s="50"/>
      <c r="AA37" s="52"/>
      <c r="AB37" s="50"/>
    </row>
    <row r="38" spans="1:28" ht="21" customHeight="1" x14ac:dyDescent="0.15">
      <c r="A38" s="47">
        <v>49009038</v>
      </c>
      <c r="B38" s="120" t="s">
        <v>368</v>
      </c>
      <c r="C38" s="50">
        <v>3</v>
      </c>
      <c r="D38" s="50" t="s">
        <v>127</v>
      </c>
      <c r="E38" s="135" t="s">
        <v>304</v>
      </c>
      <c r="F38" s="121" t="s">
        <v>347</v>
      </c>
      <c r="G38" s="63" t="str">
        <f t="shared" si="46"/>
        <v>[effect:enemy_message, val1:2.5, val2:1.5]</v>
      </c>
      <c r="H38" s="63">
        <f t="shared" si="47"/>
        <v>9</v>
      </c>
      <c r="I38" s="63">
        <f t="shared" si="48"/>
        <v>22</v>
      </c>
      <c r="J38" s="63" t="e">
        <f t="shared" si="49"/>
        <v>#VALUE!</v>
      </c>
      <c r="K38" s="63">
        <f t="shared" si="50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51"/>
        <v>[effect:remove_enhancement, target:unit_all, target_effect:all, animation:frozen_wave],[effect:tolerance, target:myself, turn:-1, count:-1, tolerance_effect:all, animation:enemy_tolerance]</v>
      </c>
      <c r="N38" s="48" t="str">
        <f t="shared" si="61"/>
        <v>[effect:remove_enhancement, target:unit_all, target_effect:all, animation:frozen_wave],[effect:tolerance, target:myself, turn:-1, count:-1, tolerance_effect:all, animation:enemy_tolerance]</v>
      </c>
      <c r="O38" s="63">
        <f t="shared" si="52"/>
        <v>9</v>
      </c>
      <c r="P38" s="63">
        <f t="shared" si="53"/>
        <v>27</v>
      </c>
      <c r="Q38" s="63">
        <f t="shared" si="54"/>
        <v>36</v>
      </c>
      <c r="R38" s="63">
        <f t="shared" si="55"/>
        <v>44</v>
      </c>
      <c r="S38" s="63" t="str">
        <f>IFERROR(VLOOKUP(MID(N38,Q38,R38-Q38),[5]skilldef!$C:$D,2,FALSE),"-") &amp; " / " &amp; IFERROR(VLOOKUP(MID(N38,O38,P38-O38),[5]skilldef!$A:$B,2,FALSE),"-")</f>
        <v>味方全体に / -</v>
      </c>
      <c r="T38" s="48" t="str">
        <f t="shared" si="56"/>
        <v>[effect:tolerance, target:myself, turn:-1, count:-1, tolerance_effect:all, animation:enemy_tolerance]</v>
      </c>
      <c r="U38" s="63">
        <f t="shared" si="57"/>
        <v>9</v>
      </c>
      <c r="V38" s="63">
        <f t="shared" si="58"/>
        <v>18</v>
      </c>
      <c r="W38" s="63">
        <f t="shared" si="59"/>
        <v>27</v>
      </c>
      <c r="X38" s="63">
        <f t="shared" si="60"/>
        <v>33</v>
      </c>
      <c r="Y38" s="63" t="str">
        <f>IFERROR(VLOOKUP(MID(T38,W38,X38-W38),[5]skilldef!$C:$D,2,FALSE),"-") &amp; " / " &amp; IFERROR(VLOOKUP(MID(T38,U38,V38-U38),[5]skilldef!$A:$B,2,FALSE),"-")</f>
        <v>自分自身に / 状態異常耐性</v>
      </c>
      <c r="Z38" s="50"/>
      <c r="AA38" s="52"/>
      <c r="AB38" s="50"/>
    </row>
    <row r="39" spans="1:28" ht="21" customHeight="1" x14ac:dyDescent="0.15">
      <c r="A39" s="47">
        <v>49009039</v>
      </c>
      <c r="B39" s="120" t="s">
        <v>369</v>
      </c>
      <c r="C39" s="50">
        <v>3</v>
      </c>
      <c r="D39" s="50" t="s">
        <v>127</v>
      </c>
      <c r="E39" s="135" t="s">
        <v>305</v>
      </c>
      <c r="F39" s="121" t="s">
        <v>347</v>
      </c>
      <c r="G39" s="63" t="str">
        <f t="shared" si="46"/>
        <v>[effect:enemy_message, val1:2.4, val2:1.5]</v>
      </c>
      <c r="H39" s="63">
        <f t="shared" si="47"/>
        <v>9</v>
      </c>
      <c r="I39" s="63">
        <f t="shared" si="48"/>
        <v>22</v>
      </c>
      <c r="J39" s="63" t="e">
        <f t="shared" si="49"/>
        <v>#VALUE!</v>
      </c>
      <c r="K39" s="63">
        <f t="shared" si="50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51"/>
        <v>[effect:remove_enhancement, target:unit_all, target_effect:all, animation:frozen_wave],[effect:tolerance, target:myself, turn:-1, count:-1, tolerance_effect:all, animation:enemy_tolerance]</v>
      </c>
      <c r="N39" s="48" t="str">
        <f t="shared" si="61"/>
        <v>[effect:remove_enhancement, target:unit_all, target_effect:all, animation:frozen_wave],[effect:tolerance, target:myself, turn:-1, count:-1, tolerance_effect:all, animation:enemy_tolerance]</v>
      </c>
      <c r="O39" s="63">
        <f t="shared" si="52"/>
        <v>9</v>
      </c>
      <c r="P39" s="63">
        <f t="shared" si="53"/>
        <v>27</v>
      </c>
      <c r="Q39" s="63">
        <f t="shared" si="54"/>
        <v>36</v>
      </c>
      <c r="R39" s="63">
        <f t="shared" si="55"/>
        <v>44</v>
      </c>
      <c r="S39" s="63" t="str">
        <f>IFERROR(VLOOKUP(MID(N39,Q39,R39-Q39),[5]skilldef!$C:$D,2,FALSE),"-") &amp; " / " &amp; IFERROR(VLOOKUP(MID(N39,O39,P39-O39),[5]skilldef!$A:$B,2,FALSE),"-")</f>
        <v>味方全体に / -</v>
      </c>
      <c r="T39" s="48" t="str">
        <f t="shared" si="56"/>
        <v>[effect:tolerance, target:myself, turn:-1, count:-1, tolerance_effect:all, animation:enemy_tolerance]</v>
      </c>
      <c r="U39" s="63">
        <f t="shared" si="57"/>
        <v>9</v>
      </c>
      <c r="V39" s="63">
        <f t="shared" si="58"/>
        <v>18</v>
      </c>
      <c r="W39" s="63">
        <f t="shared" si="59"/>
        <v>27</v>
      </c>
      <c r="X39" s="63">
        <f t="shared" si="60"/>
        <v>33</v>
      </c>
      <c r="Y39" s="63" t="str">
        <f>IFERROR(VLOOKUP(MID(T39,W39,X39-W39),[5]skilldef!$C:$D,2,FALSE),"-") &amp; " / " &amp; IFERROR(VLOOKUP(MID(T39,U39,V39-U39),[5]skilldef!$A:$B,2,FALSE),"-")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47">
        <v>49009040</v>
      </c>
      <c r="B40" s="120" t="s">
        <v>369</v>
      </c>
      <c r="C40" s="50">
        <v>3</v>
      </c>
      <c r="D40" s="50" t="s">
        <v>127</v>
      </c>
      <c r="E40" s="135" t="s">
        <v>306</v>
      </c>
      <c r="F40" s="121" t="s">
        <v>347</v>
      </c>
      <c r="G40" s="63" t="str">
        <f t="shared" si="46"/>
        <v>[effect:enemy_message, val1:2.4, val2:1.5]</v>
      </c>
      <c r="H40" s="63">
        <f t="shared" si="47"/>
        <v>9</v>
      </c>
      <c r="I40" s="63">
        <f t="shared" si="48"/>
        <v>22</v>
      </c>
      <c r="J40" s="63" t="e">
        <f t="shared" si="49"/>
        <v>#VALUE!</v>
      </c>
      <c r="K40" s="63">
        <f t="shared" si="50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51"/>
        <v>[effect:remove_enhancement, target:unit_all, target_effect:all, animation:frozen_wave],[effect:tolerance, target:myself, turn:-1, count:-1, tolerance_effect:all, animation:enemy_tolerance]</v>
      </c>
      <c r="N40" s="48" t="str">
        <f t="shared" ref="N40:N45" si="62">IFERROR(LEFT(M40,FIND("],",M40)+S47),M40)</f>
        <v>[effect:remove_enhancement, target:unit_all, target_effect:all, animation:frozen_wave]</v>
      </c>
      <c r="O40" s="63">
        <f t="shared" si="52"/>
        <v>9</v>
      </c>
      <c r="P40" s="63">
        <f t="shared" si="53"/>
        <v>27</v>
      </c>
      <c r="Q40" s="63">
        <f t="shared" si="54"/>
        <v>36</v>
      </c>
      <c r="R40" s="63">
        <f t="shared" si="55"/>
        <v>44</v>
      </c>
      <c r="S40" s="63" t="str">
        <f>IFERROR(VLOOKUP(MID(N40,Q40,R40-Q40),[5]skilldef!$C:$D,2,FALSE),"-") &amp; " / " &amp; IFERROR(VLOOKUP(MID(N40,O40,P40-O40),[5]skilldef!$A:$B,2,FALSE),"-")</f>
        <v>味方全体に / -</v>
      </c>
      <c r="T40" s="48" t="str">
        <f t="shared" si="56"/>
        <v>[effect:tolerance, target:myself, turn:-1, count:-1, tolerance_effect:all, animation:enemy_tolerance]</v>
      </c>
      <c r="U40" s="63">
        <f t="shared" si="57"/>
        <v>9</v>
      </c>
      <c r="V40" s="63">
        <f t="shared" si="58"/>
        <v>18</v>
      </c>
      <c r="W40" s="63">
        <f t="shared" si="59"/>
        <v>27</v>
      </c>
      <c r="X40" s="63">
        <f t="shared" si="60"/>
        <v>33</v>
      </c>
      <c r="Y40" s="63" t="str">
        <f>IFERROR(VLOOKUP(MID(T40,W40,X40-W40),[5]skilldef!$C:$D,2,FALSE),"-") &amp; " / " &amp; IFERROR(VLOOKUP(MID(T40,U40,V40-U40),[5]skilldef!$A:$B,2,FALSE),"-")</f>
        <v>自分自身に / 状態異常耐性</v>
      </c>
      <c r="Z40" s="50"/>
      <c r="AA40" s="52"/>
      <c r="AB40" s="50"/>
    </row>
    <row r="41" spans="1:28" ht="21" customHeight="1" x14ac:dyDescent="0.15">
      <c r="A41" s="47">
        <v>49009041</v>
      </c>
      <c r="B41" s="120" t="s">
        <v>370</v>
      </c>
      <c r="C41" s="50">
        <v>3</v>
      </c>
      <c r="D41" s="50" t="s">
        <v>127</v>
      </c>
      <c r="E41" s="135" t="s">
        <v>307</v>
      </c>
      <c r="F41" s="121" t="s">
        <v>347</v>
      </c>
      <c r="G41" s="63" t="str">
        <f t="shared" ref="G41" si="63">IFERROR(LEFT(B41,FIND("],",B41)),B41)</f>
        <v>[effect:enemy_message, val1:2.2, val2:1.5]</v>
      </c>
      <c r="H41" s="63">
        <f t="shared" ref="H41" si="64">FIND("effect:",G41)+7</f>
        <v>9</v>
      </c>
      <c r="I41" s="63">
        <f t="shared" ref="I41" si="65">IFERROR(FIND(",",G41),LEN(G41))</f>
        <v>22</v>
      </c>
      <c r="J41" s="63" t="e">
        <f t="shared" ref="J41" si="66">FIND("target:",G41)+7</f>
        <v>#VALUE!</v>
      </c>
      <c r="K41" s="63">
        <f t="shared" ref="K41" si="67">FIND(",",G41,I41+1)</f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ref="M41" si="68">IFERROR(RIGHT(B41,LEN(B41)-FIND("],",B41)-1),"none")</f>
        <v>[effect:remove_enhancement, target:unit_all, target_effect:all, animation:frozen_wave],[effect:tolerance, target:myself, turn:-1, count:-1, tolerance_effect:all, animation:enemy_tolerance]</v>
      </c>
      <c r="N41" s="48" t="str">
        <f t="shared" si="62"/>
        <v>[effect:remove_enhancement, target:unit_all, target_effect:all, animation:frozen_wave]</v>
      </c>
      <c r="O41" s="63">
        <f t="shared" ref="O41" si="69">FIND("effect:",N41)+7</f>
        <v>9</v>
      </c>
      <c r="P41" s="63">
        <f t="shared" ref="P41" si="70">IFERROR(FIND(",",N41),LEN(N41))</f>
        <v>27</v>
      </c>
      <c r="Q41" s="63">
        <f t="shared" ref="Q41" si="71">FIND("target:",N41)+7</f>
        <v>36</v>
      </c>
      <c r="R41" s="63">
        <f t="shared" ref="R41" si="72">FIND(",",N41,P41+1)</f>
        <v>44</v>
      </c>
      <c r="S41" s="63" t="str">
        <f>IFERROR(VLOOKUP(MID(N41,Q41,R41-Q41),[5]skilldef!$C:$D,2,FALSE),"-") &amp; " / " &amp; IFERROR(VLOOKUP(MID(N41,O41,P41-O41),[5]skilldef!$A:$B,2,FALSE),"-")</f>
        <v>味方全体に / -</v>
      </c>
      <c r="T41" s="48" t="str">
        <f t="shared" ref="T41" si="73">IFERROR(RIGHT(M41,LEN(M41)-FIND("],",M41)-1),"none")</f>
        <v>[effect:tolerance, target:myself, turn:-1, count:-1, tolerance_effect:all, animation:enemy_tolerance]</v>
      </c>
      <c r="U41" s="63">
        <f t="shared" ref="U41" si="74">FIND("effect:",T41)+7</f>
        <v>9</v>
      </c>
      <c r="V41" s="63">
        <f t="shared" ref="V41" si="75">IFERROR(FIND(",",T41),LEN(T41))</f>
        <v>18</v>
      </c>
      <c r="W41" s="63">
        <f t="shared" ref="W41" si="76">FIND("target:",T41)+7</f>
        <v>27</v>
      </c>
      <c r="X41" s="63">
        <f t="shared" ref="X41" si="77">FIND(",",T41,V41+1)</f>
        <v>33</v>
      </c>
      <c r="Y41" s="63" t="str">
        <f>IFERROR(VLOOKUP(MID(T41,W41,X41-W41),[5]skilldef!$C:$D,2,FALSE),"-") &amp; " / " &amp; IFERROR(VLOOKUP(MID(T41,U41,V41-U41),[5]skilldef!$A:$B,2,FALSE),"-")</f>
        <v>自分自身に / 状態異常耐性</v>
      </c>
      <c r="Z41" s="50"/>
      <c r="AA41" s="52"/>
      <c r="AB41" s="50"/>
    </row>
    <row r="42" spans="1:28" ht="21" customHeight="1" x14ac:dyDescent="0.15">
      <c r="A42" s="47">
        <v>49009042</v>
      </c>
      <c r="B42" s="120" t="s">
        <v>371</v>
      </c>
      <c r="C42" s="50">
        <v>3</v>
      </c>
      <c r="D42" s="50" t="s">
        <v>127</v>
      </c>
      <c r="E42" s="135" t="s">
        <v>308</v>
      </c>
      <c r="F42" s="121" t="s">
        <v>347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ref="M42:M45" si="78">IFERROR(RIGHT(B42,LEN(B42)-FIND("],",B42)-1),"none")</f>
        <v>[effect:remove_enhancement, target:unit_all, target_effect:all, animation:frozen_wave],[effect:tolerance, target:myself, turn:-1, count:-1, tolerance_effect:all, animation:enemy_tolerance]</v>
      </c>
      <c r="N42" s="48" t="str">
        <f t="shared" si="62"/>
        <v>[effect:remove_enhancement, target:unit_all, target_effect:all, animation:frozen_wave]</v>
      </c>
      <c r="O42" s="63">
        <f t="shared" ref="O42:O45" si="79">FIND("effect:",N42)+7</f>
        <v>9</v>
      </c>
      <c r="P42" s="63">
        <f t="shared" ref="P42:P45" si="80">IFERROR(FIND(",",N42),LEN(N42))</f>
        <v>27</v>
      </c>
      <c r="Q42" s="63">
        <f t="shared" ref="Q42:Q45" si="81">FIND("target:",N42)+7</f>
        <v>36</v>
      </c>
      <c r="R42" s="63">
        <f t="shared" ref="R42:R45" si="82">FIND(",",N42,P42+1)</f>
        <v>44</v>
      </c>
      <c r="S42" s="63" t="str">
        <f>IFERROR(VLOOKUP(MID(N42,Q42,R42-Q42),[5]skilldef!$C:$D,2,FALSE),"-") &amp; " / " &amp; IFERROR(VLOOKUP(MID(N42,O42,P42-O42),[5]skilldef!$A:$B,2,FALSE),"-")</f>
        <v>味方全体に / -</v>
      </c>
      <c r="T42" s="48" t="str">
        <f t="shared" ref="T42:T45" si="83">IFERROR(RIGHT(M42,LEN(M42)-FIND("],",M42)-1),"none")</f>
        <v>[effect:tolerance, target:myself, turn:-1, count:-1, tolerance_effect:all, animation:enemy_tolerance]</v>
      </c>
      <c r="U42" s="63">
        <f t="shared" ref="U42:U45" si="84">FIND("effect:",T42)+7</f>
        <v>9</v>
      </c>
      <c r="V42" s="63">
        <f t="shared" ref="V42:V45" si="85">IFERROR(FIND(",",T42),LEN(T42))</f>
        <v>18</v>
      </c>
      <c r="W42" s="63">
        <f t="shared" ref="W42:W45" si="86">FIND("target:",T42)+7</f>
        <v>27</v>
      </c>
      <c r="X42" s="63">
        <f t="shared" ref="X42:X45" si="87">FIND(",",T42,V42+1)</f>
        <v>33</v>
      </c>
      <c r="Y42" s="63" t="str">
        <f>IFERROR(VLOOKUP(MID(T42,W42,X42-W42),[5]skilldef!$C:$D,2,FALSE),"-") &amp; " / " &amp; IFERROR(VLOOKUP(MID(T42,U42,V42-U42),[5]skilldef!$A:$B,2,FALSE),"-")</f>
        <v>自分自身に / 状態異常耐性</v>
      </c>
      <c r="Z42" s="50"/>
      <c r="AA42" s="52"/>
      <c r="AB42" s="50"/>
    </row>
    <row r="43" spans="1:28" ht="21" customHeight="1" x14ac:dyDescent="0.15">
      <c r="A43" s="47">
        <v>49009043</v>
      </c>
      <c r="B43" s="120" t="s">
        <v>372</v>
      </c>
      <c r="C43" s="50">
        <v>3</v>
      </c>
      <c r="D43" s="50" t="s">
        <v>127</v>
      </c>
      <c r="E43" s="135" t="s">
        <v>309</v>
      </c>
      <c r="F43" s="121" t="s">
        <v>347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78"/>
        <v>[effect:remove_enhancement, target:unit_all, target_effect:all, animation:frozen_wave],[effect:tolerance, target:myself, turn:-1, count:-1, tolerance_effect:all, animation:enemy_tolerance]</v>
      </c>
      <c r="N43" s="48" t="str">
        <f t="shared" si="62"/>
        <v>[effect:remove_enhancement, target:unit_all, target_effect:all, animation:frozen_wave]</v>
      </c>
      <c r="O43" s="63">
        <f t="shared" si="79"/>
        <v>9</v>
      </c>
      <c r="P43" s="63">
        <f t="shared" si="80"/>
        <v>27</v>
      </c>
      <c r="Q43" s="63">
        <f t="shared" si="81"/>
        <v>36</v>
      </c>
      <c r="R43" s="63">
        <f t="shared" si="82"/>
        <v>44</v>
      </c>
      <c r="S43" s="63" t="str">
        <f>IFERROR(VLOOKUP(MID(N43,Q43,R43-Q43),[5]skilldef!$C:$D,2,FALSE),"-") &amp; " / " &amp; IFERROR(VLOOKUP(MID(N43,O43,P43-O43),[5]skilldef!$A:$B,2,FALSE),"-")</f>
        <v>味方全体に / -</v>
      </c>
      <c r="T43" s="48" t="str">
        <f t="shared" si="83"/>
        <v>[effect:tolerance, target:myself, turn:-1, count:-1, tolerance_effect:all, animation:enemy_tolerance]</v>
      </c>
      <c r="U43" s="63">
        <f t="shared" si="84"/>
        <v>9</v>
      </c>
      <c r="V43" s="63">
        <f t="shared" si="85"/>
        <v>18</v>
      </c>
      <c r="W43" s="63">
        <f t="shared" si="86"/>
        <v>27</v>
      </c>
      <c r="X43" s="63">
        <f t="shared" si="87"/>
        <v>33</v>
      </c>
      <c r="Y43" s="63" t="str">
        <f>IFERROR(VLOOKUP(MID(T43,W43,X43-W43),[5]skilldef!$C:$D,2,FALSE),"-") &amp; " / " &amp; IFERROR(VLOOKUP(MID(T43,U43,V43-U43),[5]skilldef!$A:$B,2,FALSE),"-")</f>
        <v>自分自身に / 状態異常耐性</v>
      </c>
      <c r="Z43" s="50"/>
      <c r="AA43" s="52"/>
      <c r="AB43" s="50"/>
    </row>
    <row r="44" spans="1:28" ht="21" customHeight="1" x14ac:dyDescent="0.15">
      <c r="A44" s="47">
        <v>49009044</v>
      </c>
      <c r="B44" s="120" t="s">
        <v>373</v>
      </c>
      <c r="C44" s="50">
        <v>3</v>
      </c>
      <c r="D44" s="50" t="s">
        <v>127</v>
      </c>
      <c r="E44" s="135" t="s">
        <v>310</v>
      </c>
      <c r="F44" s="121" t="s">
        <v>347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78"/>
        <v>[effect:remove_enhancement, target:unit_all, target_effect:all, animation:frozen_wave],[effect:tolerance, target:myself, turn:-1, count:-1, tolerance_effect:all, animation:enemy_tolerance]</v>
      </c>
      <c r="N44" s="48" t="str">
        <f t="shared" si="62"/>
        <v>[effect:remove_enhancement, target:unit_all, target_effect:all, animation:frozen_wave]</v>
      </c>
      <c r="O44" s="63">
        <f t="shared" si="79"/>
        <v>9</v>
      </c>
      <c r="P44" s="63">
        <f t="shared" si="80"/>
        <v>27</v>
      </c>
      <c r="Q44" s="63">
        <f t="shared" si="81"/>
        <v>36</v>
      </c>
      <c r="R44" s="63">
        <f t="shared" si="82"/>
        <v>44</v>
      </c>
      <c r="S44" s="63" t="str">
        <f>IFERROR(VLOOKUP(MID(N44,Q44,R44-Q44),[5]skilldef!$C:$D,2,FALSE),"-") &amp; " / " &amp; IFERROR(VLOOKUP(MID(N44,O44,P44-O44),[5]skilldef!$A:$B,2,FALSE),"-")</f>
        <v>味方全体に / -</v>
      </c>
      <c r="T44" s="48" t="str">
        <f t="shared" si="83"/>
        <v>[effect:tolerance, target:myself, turn:-1, count:-1, tolerance_effect:all, animation:enemy_tolerance]</v>
      </c>
      <c r="U44" s="63">
        <f t="shared" si="84"/>
        <v>9</v>
      </c>
      <c r="V44" s="63">
        <f t="shared" si="85"/>
        <v>18</v>
      </c>
      <c r="W44" s="63">
        <f t="shared" si="86"/>
        <v>27</v>
      </c>
      <c r="X44" s="63">
        <f t="shared" si="87"/>
        <v>33</v>
      </c>
      <c r="Y44" s="63" t="str">
        <f>IFERROR(VLOOKUP(MID(T44,W44,X44-W44),[5]skilldef!$C:$D,2,FALSE),"-") &amp; " / " &amp; IFERROR(VLOOKUP(MID(T44,U44,V44-U44),[5]skilldef!$A:$B,2,FALSE),"-")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47">
        <v>49009045</v>
      </c>
      <c r="B45" s="120" t="s">
        <v>374</v>
      </c>
      <c r="C45" s="50">
        <v>3</v>
      </c>
      <c r="D45" s="50" t="s">
        <v>127</v>
      </c>
      <c r="E45" s="136" t="s">
        <v>311</v>
      </c>
      <c r="F45" s="121" t="s">
        <v>347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78"/>
        <v>[effect:remove_enhancement, target:unit_all, target_effect:all, animation:frozen_wave],[effect:tolerance, target:myself, turn:-1, count:-1, tolerance_effect:all, animation:enemy_tolerance]</v>
      </c>
      <c r="N45" s="48" t="str">
        <f t="shared" si="62"/>
        <v>[effect:remove_enhancement, target:unit_all, target_effect:all, animation:frozen_wave]</v>
      </c>
      <c r="O45" s="63">
        <f t="shared" si="79"/>
        <v>9</v>
      </c>
      <c r="P45" s="63">
        <f t="shared" si="80"/>
        <v>27</v>
      </c>
      <c r="Q45" s="63">
        <f t="shared" si="81"/>
        <v>36</v>
      </c>
      <c r="R45" s="63">
        <f t="shared" si="82"/>
        <v>44</v>
      </c>
      <c r="S45" s="63" t="str">
        <f>IFERROR(VLOOKUP(MID(N45,Q45,R45-Q45),[5]skilldef!$C:$D,2,FALSE),"-") &amp; " / " &amp; IFERROR(VLOOKUP(MID(N45,O45,P45-O45),[5]skilldef!$A:$B,2,FALSE),"-")</f>
        <v>味方全体に / -</v>
      </c>
      <c r="T45" s="48" t="str">
        <f t="shared" si="83"/>
        <v>[effect:tolerance, target:myself, turn:-1, count:-1, tolerance_effect:all, animation:enemy_tolerance]</v>
      </c>
      <c r="U45" s="63">
        <f t="shared" si="84"/>
        <v>9</v>
      </c>
      <c r="V45" s="63">
        <f t="shared" si="85"/>
        <v>18</v>
      </c>
      <c r="W45" s="63">
        <f t="shared" si="86"/>
        <v>27</v>
      </c>
      <c r="X45" s="63">
        <f t="shared" si="87"/>
        <v>33</v>
      </c>
      <c r="Y45" s="63" t="str">
        <f>IFERROR(VLOOKUP(MID(T45,W45,X45-W45),[5]skilldef!$C:$D,2,FALSE),"-") &amp; " / " &amp; IFERROR(VLOOKUP(MID(T45,U45,V45-U45),[5]skilldef!$A:$B,2,FALSE),"-")</f>
        <v>自分自身に / 状態異常耐性</v>
      </c>
      <c r="Z45" s="50"/>
      <c r="AA45" s="52"/>
      <c r="AB45" s="50"/>
    </row>
    <row r="46" spans="1:28" ht="21" customHeight="1" x14ac:dyDescent="0.15">
      <c r="A46" s="47">
        <v>49009046</v>
      </c>
      <c r="B46" s="120" t="s">
        <v>345</v>
      </c>
      <c r="C46" s="50">
        <v>3</v>
      </c>
      <c r="D46" s="50" t="s">
        <v>127</v>
      </c>
      <c r="E46" s="51" t="s">
        <v>314</v>
      </c>
      <c r="F46" s="51" t="s">
        <v>315</v>
      </c>
      <c r="G46" s="63" t="str">
        <f t="shared" ref="G46" si="88">IFERROR(LEFT(B46,FIND("],",B46)),B46)</f>
        <v>[effect:enemy_message, val1:1.2, val2:1.2]</v>
      </c>
      <c r="H46" s="63">
        <f t="shared" ref="H46" si="89">FIND("effect:",G46)+7</f>
        <v>9</v>
      </c>
      <c r="I46" s="63">
        <f t="shared" ref="I46" si="90">IFERROR(FIND(",",G46),LEN(G46))</f>
        <v>22</v>
      </c>
      <c r="J46" s="63" t="e">
        <f t="shared" ref="J46" si="91">FIND("target:",G46)+7</f>
        <v>#VALUE!</v>
      </c>
      <c r="K46" s="63">
        <f t="shared" ref="K46" si="92">FIND(",",G46,I46+1)</f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ref="M46" si="93">IFERROR(RIGHT(B46,LEN(B46)-FIND("],",B46)-1),"none")</f>
        <v>[effect:spread, val:0.25],[effect:fix_speed, target:enemy_blue, turn:2]</v>
      </c>
      <c r="N46" s="48" t="str">
        <f>IFERROR(LEFT(M46,FIND("],",M46)+S37),M46)</f>
        <v>[effect:spread, val:0.25],[effect:fix_speed, target:enemy_blue, turn:2]</v>
      </c>
      <c r="O46" s="63">
        <f t="shared" ref="O46" si="94">FIND("effect:",N46)+7</f>
        <v>9</v>
      </c>
      <c r="P46" s="63">
        <f t="shared" ref="P46" si="95">IFERROR(FIND(",",N46),LEN(N46))</f>
        <v>15</v>
      </c>
      <c r="Q46" s="63">
        <f t="shared" ref="Q46" si="96">FIND("target:",N46)+7</f>
        <v>53</v>
      </c>
      <c r="R46" s="63">
        <f t="shared" ref="R46" si="97">FIND(",",N46,P46+1)</f>
        <v>26</v>
      </c>
      <c r="S46" s="63" t="str">
        <f>IFERROR(VLOOKUP(MID(N46,Q46,R46-Q46),[5]skilldef!$C:$D,2,FALSE),"-") &amp; " / " &amp; IFERROR(VLOOKUP(MID(N46,O46,P46-O46),[5]skilldef!$A:$B,2,FALSE),"-")</f>
        <v>- / 全体攻撃</v>
      </c>
      <c r="T46" s="48" t="str">
        <f t="shared" ref="T46" si="98">IFERROR(RIGHT(M46,LEN(M46)-FIND("],",M46)-1),"none")</f>
        <v>[effect:fix_speed, target:enemy_blue, turn:2]</v>
      </c>
      <c r="U46" s="63">
        <f t="shared" ref="U46" si="99">FIND("effect:",T46)+7</f>
        <v>9</v>
      </c>
      <c r="V46" s="63">
        <f t="shared" ref="V46" si="100">IFERROR(FIND(",",T46),LEN(T46))</f>
        <v>18</v>
      </c>
      <c r="W46" s="63">
        <f t="shared" ref="W46" si="101">FIND("target:",T46)+7</f>
        <v>27</v>
      </c>
      <c r="X46" s="63">
        <f t="shared" ref="X46" si="102">FIND(",",T46,V46+1)</f>
        <v>37</v>
      </c>
      <c r="Y46" s="63" t="str">
        <f>IFERROR(VLOOKUP(MID(T46,W46,X46-W46),[5]skilldef!$C:$D,2,FALSE),"-") &amp; " / " &amp; IFERROR(VLOOKUP(MID(T46,U46,V46-U46),[5]skilldef!$A:$B,2,FALSE),"-")</f>
        <v>青の敵に / 行動値設定</v>
      </c>
      <c r="Z46" s="50"/>
      <c r="AA46" s="52"/>
      <c r="AB4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51"/>
  <sheetViews>
    <sheetView showGridLines="0" workbookViewId="0">
      <pane ySplit="1" topLeftCell="A120" activePane="bottomLeft" state="frozenSplit"/>
      <selection pane="bottomLeft" activeCell="G152" sqref="G15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49009001</v>
      </c>
      <c r="B2" s="47">
        <v>1</v>
      </c>
      <c r="C2" s="47">
        <v>100</v>
      </c>
      <c r="D2" s="47">
        <v>100</v>
      </c>
      <c r="E2" s="47" t="s">
        <v>88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:J33" si="0">D2</f>
        <v>100</v>
      </c>
    </row>
    <row r="3" spans="1:11" ht="21" customHeight="1" x14ac:dyDescent="0.15">
      <c r="A3" s="47">
        <v>49009002</v>
      </c>
      <c r="B3" s="47">
        <v>0</v>
      </c>
      <c r="C3" s="47">
        <v>50</v>
      </c>
      <c r="D3" s="47">
        <v>60</v>
      </c>
      <c r="E3" s="47" t="s">
        <v>88</v>
      </c>
      <c r="F3" s="47" t="s">
        <v>88</v>
      </c>
      <c r="G3" s="47" t="s">
        <v>88</v>
      </c>
      <c r="H3" s="47" t="s">
        <v>88</v>
      </c>
      <c r="I3" s="47" t="s">
        <v>88</v>
      </c>
      <c r="J3" s="48">
        <f t="shared" si="0"/>
        <v>60</v>
      </c>
    </row>
    <row r="4" spans="1:11" ht="21" customHeight="1" x14ac:dyDescent="0.15">
      <c r="A4" s="47">
        <v>49009003</v>
      </c>
      <c r="B4" s="47">
        <v>0</v>
      </c>
      <c r="C4" s="47">
        <v>60</v>
      </c>
      <c r="D4" s="47">
        <v>100</v>
      </c>
      <c r="E4" s="47">
        <v>50</v>
      </c>
      <c r="F4" s="47" t="s">
        <v>88</v>
      </c>
      <c r="G4" s="47">
        <v>1</v>
      </c>
      <c r="H4" s="47" t="s">
        <v>88</v>
      </c>
      <c r="I4" s="47" t="s">
        <v>88</v>
      </c>
      <c r="J4" s="48">
        <f t="shared" si="0"/>
        <v>100</v>
      </c>
    </row>
    <row r="5" spans="1:11" ht="21" customHeight="1" x14ac:dyDescent="0.15">
      <c r="A5" s="47">
        <v>49009004</v>
      </c>
      <c r="B5" s="47">
        <v>1</v>
      </c>
      <c r="C5" s="47">
        <v>100</v>
      </c>
      <c r="D5" s="47">
        <v>100</v>
      </c>
      <c r="E5" s="47" t="s">
        <v>88</v>
      </c>
      <c r="F5" s="47" t="s">
        <v>88</v>
      </c>
      <c r="G5" s="47">
        <v>1</v>
      </c>
      <c r="H5" s="47" t="s">
        <v>88</v>
      </c>
      <c r="I5" s="47" t="s">
        <v>88</v>
      </c>
      <c r="J5" s="48">
        <f t="shared" si="0"/>
        <v>100</v>
      </c>
    </row>
    <row r="6" spans="1:11" ht="21" customHeight="1" x14ac:dyDescent="0.15">
      <c r="A6" s="47">
        <v>49009005</v>
      </c>
      <c r="B6" s="47">
        <v>0</v>
      </c>
      <c r="C6" s="47">
        <v>50</v>
      </c>
      <c r="D6" s="47">
        <v>60</v>
      </c>
      <c r="E6" s="47" t="s">
        <v>88</v>
      </c>
      <c r="F6" s="47" t="s">
        <v>88</v>
      </c>
      <c r="G6" s="47" t="s">
        <v>88</v>
      </c>
      <c r="H6" s="47" t="s">
        <v>88</v>
      </c>
      <c r="I6" s="47" t="s">
        <v>88</v>
      </c>
      <c r="J6" s="48">
        <f t="shared" si="0"/>
        <v>60</v>
      </c>
    </row>
    <row r="7" spans="1:11" ht="21" customHeight="1" x14ac:dyDescent="0.15">
      <c r="A7" s="47">
        <v>49009006</v>
      </c>
      <c r="B7" s="47">
        <v>0</v>
      </c>
      <c r="C7" s="47">
        <v>60</v>
      </c>
      <c r="D7" s="47">
        <v>100</v>
      </c>
      <c r="E7" s="47">
        <v>50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0"/>
        <v>100</v>
      </c>
    </row>
    <row r="8" spans="1:11" ht="21" customHeight="1" x14ac:dyDescent="0.15">
      <c r="A8" s="47">
        <v>49009007</v>
      </c>
      <c r="B8" s="47">
        <v>1</v>
      </c>
      <c r="C8" s="47">
        <v>100</v>
      </c>
      <c r="D8" s="47">
        <v>100</v>
      </c>
      <c r="E8" s="47" t="s">
        <v>88</v>
      </c>
      <c r="F8" s="47" t="s">
        <v>88</v>
      </c>
      <c r="G8" s="47">
        <v>1</v>
      </c>
      <c r="H8" s="47" t="s">
        <v>88</v>
      </c>
      <c r="I8" s="47" t="s">
        <v>88</v>
      </c>
      <c r="J8" s="48">
        <f t="shared" si="0"/>
        <v>100</v>
      </c>
    </row>
    <row r="9" spans="1:11" ht="21" customHeight="1" x14ac:dyDescent="0.15">
      <c r="A9" s="47">
        <v>49009008</v>
      </c>
      <c r="B9" s="47">
        <v>0</v>
      </c>
      <c r="C9" s="47">
        <v>50</v>
      </c>
      <c r="D9" s="47">
        <v>100</v>
      </c>
      <c r="E9" s="47" t="s">
        <v>88</v>
      </c>
      <c r="F9" s="47" t="s">
        <v>88</v>
      </c>
      <c r="G9" s="47" t="s">
        <v>88</v>
      </c>
      <c r="H9" s="47">
        <v>2</v>
      </c>
      <c r="I9" s="47" t="s">
        <v>88</v>
      </c>
      <c r="J9" s="48">
        <f t="shared" si="0"/>
        <v>100</v>
      </c>
    </row>
    <row r="10" spans="1:11" ht="21" customHeight="1" x14ac:dyDescent="0.15">
      <c r="A10" s="47">
        <v>49009009</v>
      </c>
      <c r="B10" s="47">
        <v>0</v>
      </c>
      <c r="C10" s="47">
        <v>60</v>
      </c>
      <c r="D10" s="47">
        <v>100</v>
      </c>
      <c r="E10" s="47">
        <v>50</v>
      </c>
      <c r="F10" s="47" t="s">
        <v>88</v>
      </c>
      <c r="G10" s="47">
        <v>1</v>
      </c>
      <c r="H10" s="47">
        <v>1</v>
      </c>
      <c r="I10" s="47" t="s">
        <v>88</v>
      </c>
      <c r="J10" s="48">
        <f t="shared" si="0"/>
        <v>100</v>
      </c>
    </row>
    <row r="11" spans="1:11" ht="21" customHeight="1" x14ac:dyDescent="0.15">
      <c r="A11" s="47">
        <v>49009010</v>
      </c>
      <c r="B11" s="47">
        <v>0</v>
      </c>
      <c r="C11" s="47">
        <v>70</v>
      </c>
      <c r="D11" s="47">
        <v>100</v>
      </c>
      <c r="E11" s="47">
        <v>30</v>
      </c>
      <c r="F11" s="47" t="s">
        <v>88</v>
      </c>
      <c r="G11" s="47">
        <v>1</v>
      </c>
      <c r="H11" s="47">
        <v>1</v>
      </c>
      <c r="I11" s="47" t="s">
        <v>88</v>
      </c>
      <c r="J11" s="48">
        <f t="shared" si="0"/>
        <v>100</v>
      </c>
    </row>
    <row r="12" spans="1:11" ht="21" customHeight="1" x14ac:dyDescent="0.15">
      <c r="A12" s="47">
        <v>49009011</v>
      </c>
      <c r="B12" s="47">
        <v>1</v>
      </c>
      <c r="C12" s="47">
        <v>100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 t="s">
        <v>88</v>
      </c>
      <c r="J12" s="48">
        <f t="shared" si="0"/>
        <v>100</v>
      </c>
    </row>
    <row r="13" spans="1:11" ht="21" customHeight="1" x14ac:dyDescent="0.15">
      <c r="A13" s="47">
        <v>49009012</v>
      </c>
      <c r="B13" s="47">
        <v>0</v>
      </c>
      <c r="C13" s="47">
        <v>50</v>
      </c>
      <c r="D13" s="47">
        <v>100</v>
      </c>
      <c r="E13" s="47" t="s">
        <v>88</v>
      </c>
      <c r="F13" s="47" t="s">
        <v>88</v>
      </c>
      <c r="G13" s="47" t="s">
        <v>88</v>
      </c>
      <c r="H13" s="47">
        <v>2</v>
      </c>
      <c r="I13" s="47" t="s">
        <v>88</v>
      </c>
      <c r="J13" s="48">
        <f t="shared" si="0"/>
        <v>100</v>
      </c>
    </row>
    <row r="14" spans="1:11" ht="21" customHeight="1" x14ac:dyDescent="0.15">
      <c r="A14" s="47">
        <v>49009013</v>
      </c>
      <c r="B14" s="47">
        <v>0</v>
      </c>
      <c r="C14" s="47">
        <v>60</v>
      </c>
      <c r="D14" s="47">
        <v>100</v>
      </c>
      <c r="E14" s="47">
        <v>50</v>
      </c>
      <c r="F14" s="47" t="s">
        <v>88</v>
      </c>
      <c r="G14" s="47">
        <v>1</v>
      </c>
      <c r="H14" s="47">
        <v>1</v>
      </c>
      <c r="I14" s="47" t="s">
        <v>88</v>
      </c>
      <c r="J14" s="48">
        <f t="shared" si="0"/>
        <v>100</v>
      </c>
    </row>
    <row r="15" spans="1:11" ht="21" customHeight="1" x14ac:dyDescent="0.15">
      <c r="A15" s="47">
        <v>49009014</v>
      </c>
      <c r="B15" s="47">
        <v>1</v>
      </c>
      <c r="C15" s="47">
        <v>100</v>
      </c>
      <c r="D15" s="47">
        <v>100</v>
      </c>
      <c r="E15" s="47" t="s">
        <v>88</v>
      </c>
      <c r="F15" s="47" t="s">
        <v>88</v>
      </c>
      <c r="G15" s="47">
        <v>1</v>
      </c>
      <c r="H15" s="47" t="s">
        <v>88</v>
      </c>
      <c r="I15" s="47" t="s">
        <v>88</v>
      </c>
      <c r="J15" s="48">
        <f t="shared" si="0"/>
        <v>100</v>
      </c>
    </row>
    <row r="16" spans="1:11" ht="21" customHeight="1" x14ac:dyDescent="0.15">
      <c r="A16" s="47">
        <v>49009015</v>
      </c>
      <c r="B16" s="47">
        <v>0</v>
      </c>
      <c r="C16" s="47">
        <v>50</v>
      </c>
      <c r="D16" s="47">
        <v>80</v>
      </c>
      <c r="E16" s="47" t="s">
        <v>88</v>
      </c>
      <c r="F16" s="47" t="s">
        <v>88</v>
      </c>
      <c r="G16" s="47" t="s">
        <v>88</v>
      </c>
      <c r="H16" s="47">
        <v>1</v>
      </c>
      <c r="I16" s="47" t="s">
        <v>88</v>
      </c>
      <c r="J16" s="48">
        <f t="shared" si="0"/>
        <v>80</v>
      </c>
    </row>
    <row r="17" spans="1:10" ht="21" customHeight="1" x14ac:dyDescent="0.15">
      <c r="A17" s="47">
        <v>49009016</v>
      </c>
      <c r="B17" s="47">
        <v>0</v>
      </c>
      <c r="C17" s="47">
        <v>60</v>
      </c>
      <c r="D17" s="47">
        <v>100</v>
      </c>
      <c r="E17" s="47" t="s">
        <v>88</v>
      </c>
      <c r="F17" s="47" t="s">
        <v>88</v>
      </c>
      <c r="G17" s="47" t="s">
        <v>88</v>
      </c>
      <c r="H17" s="47">
        <v>2</v>
      </c>
      <c r="I17" s="47" t="s">
        <v>88</v>
      </c>
      <c r="J17" s="48">
        <f t="shared" si="0"/>
        <v>100</v>
      </c>
    </row>
    <row r="18" spans="1:10" ht="21" customHeight="1" x14ac:dyDescent="0.15">
      <c r="A18" s="47">
        <v>49009017</v>
      </c>
      <c r="B18" s="47">
        <v>0</v>
      </c>
      <c r="C18" s="47">
        <v>70</v>
      </c>
      <c r="D18" s="47">
        <v>100</v>
      </c>
      <c r="E18" s="47">
        <v>50</v>
      </c>
      <c r="F18" s="47" t="s">
        <v>88</v>
      </c>
      <c r="G18" s="47">
        <v>1</v>
      </c>
      <c r="H18" s="47">
        <v>1</v>
      </c>
      <c r="I18" s="47" t="s">
        <v>88</v>
      </c>
      <c r="J18" s="48">
        <f t="shared" si="0"/>
        <v>100</v>
      </c>
    </row>
    <row r="19" spans="1:10" ht="21" customHeight="1" x14ac:dyDescent="0.15">
      <c r="A19" s="47">
        <v>49009018</v>
      </c>
      <c r="B19" s="47">
        <v>1</v>
      </c>
      <c r="C19" s="47">
        <v>100</v>
      </c>
      <c r="D19" s="47">
        <v>100</v>
      </c>
      <c r="E19" s="47" t="s">
        <v>88</v>
      </c>
      <c r="F19" s="47" t="s">
        <v>88</v>
      </c>
      <c r="G19" s="47">
        <v>1</v>
      </c>
      <c r="H19" s="47" t="s">
        <v>88</v>
      </c>
      <c r="I19" s="47" t="s">
        <v>88</v>
      </c>
      <c r="J19" s="48">
        <f t="shared" si="0"/>
        <v>100</v>
      </c>
    </row>
    <row r="20" spans="1:10" ht="21" customHeight="1" x14ac:dyDescent="0.15">
      <c r="A20" s="47">
        <v>49009019</v>
      </c>
      <c r="B20" s="47">
        <v>0</v>
      </c>
      <c r="C20" s="47">
        <v>90</v>
      </c>
      <c r="D20" s="47">
        <v>100</v>
      </c>
      <c r="E20" s="47" t="s">
        <v>88</v>
      </c>
      <c r="F20" s="47" t="s">
        <v>88</v>
      </c>
      <c r="G20" s="47">
        <v>1</v>
      </c>
      <c r="H20" s="47" t="s">
        <v>88</v>
      </c>
      <c r="I20" s="47" t="s">
        <v>88</v>
      </c>
      <c r="J20" s="48">
        <f t="shared" si="0"/>
        <v>100</v>
      </c>
    </row>
    <row r="21" spans="1:10" ht="21" customHeight="1" x14ac:dyDescent="0.15">
      <c r="A21" s="47">
        <v>49009020</v>
      </c>
      <c r="B21" s="47">
        <v>0</v>
      </c>
      <c r="C21" s="47">
        <v>50</v>
      </c>
      <c r="D21" s="47">
        <v>75</v>
      </c>
      <c r="E21" s="47" t="s">
        <v>88</v>
      </c>
      <c r="F21" s="47" t="s">
        <v>88</v>
      </c>
      <c r="G21" s="47" t="s">
        <v>88</v>
      </c>
      <c r="H21" s="47" t="s">
        <v>88</v>
      </c>
      <c r="I21" s="47" t="s">
        <v>88</v>
      </c>
      <c r="J21" s="48">
        <f t="shared" si="0"/>
        <v>75</v>
      </c>
    </row>
    <row r="22" spans="1:10" ht="21" customHeight="1" x14ac:dyDescent="0.15">
      <c r="A22" s="47">
        <v>49009021</v>
      </c>
      <c r="B22" s="47">
        <v>0</v>
      </c>
      <c r="C22" s="47">
        <v>60</v>
      </c>
      <c r="D22" s="47">
        <v>100</v>
      </c>
      <c r="E22" s="47">
        <v>50</v>
      </c>
      <c r="F22" s="47" t="s">
        <v>88</v>
      </c>
      <c r="G22" s="47">
        <v>1</v>
      </c>
      <c r="H22" s="47" t="s">
        <v>88</v>
      </c>
      <c r="I22" s="47" t="s">
        <v>88</v>
      </c>
      <c r="J22" s="48">
        <f t="shared" si="0"/>
        <v>100</v>
      </c>
    </row>
    <row r="23" spans="1:10" ht="21" customHeight="1" x14ac:dyDescent="0.15">
      <c r="A23" s="47">
        <v>49009022</v>
      </c>
      <c r="B23" s="47">
        <v>0</v>
      </c>
      <c r="C23" s="47">
        <v>59</v>
      </c>
      <c r="D23" s="47">
        <v>100</v>
      </c>
      <c r="E23" s="47">
        <v>50</v>
      </c>
      <c r="F23" s="47" t="s">
        <v>88</v>
      </c>
      <c r="G23" s="47">
        <v>1</v>
      </c>
      <c r="H23" s="47" t="s">
        <v>88</v>
      </c>
      <c r="I23" s="47" t="s">
        <v>88</v>
      </c>
      <c r="J23" s="48">
        <f t="shared" si="0"/>
        <v>100</v>
      </c>
    </row>
    <row r="24" spans="1:10" ht="21" customHeight="1" x14ac:dyDescent="0.15">
      <c r="A24" s="47">
        <v>49009023</v>
      </c>
      <c r="B24" s="47">
        <v>1</v>
      </c>
      <c r="C24" s="47">
        <v>100</v>
      </c>
      <c r="D24" s="47">
        <v>100</v>
      </c>
      <c r="E24" s="47" t="s">
        <v>88</v>
      </c>
      <c r="F24" s="47" t="s">
        <v>88</v>
      </c>
      <c r="G24" s="47">
        <v>1</v>
      </c>
      <c r="H24" s="47" t="s">
        <v>88</v>
      </c>
      <c r="I24" s="47" t="s">
        <v>88</v>
      </c>
      <c r="J24" s="48">
        <f t="shared" si="0"/>
        <v>100</v>
      </c>
    </row>
    <row r="25" spans="1:10" ht="21" customHeight="1" x14ac:dyDescent="0.15">
      <c r="A25" s="47">
        <v>49009024</v>
      </c>
      <c r="B25" s="47">
        <v>0</v>
      </c>
      <c r="C25" s="47">
        <v>90</v>
      </c>
      <c r="D25" s="47">
        <v>100</v>
      </c>
      <c r="E25" s="47" t="s">
        <v>88</v>
      </c>
      <c r="F25" s="47" t="s">
        <v>88</v>
      </c>
      <c r="G25" s="47">
        <v>1</v>
      </c>
      <c r="H25" s="47">
        <v>1</v>
      </c>
      <c r="I25" s="47" t="s">
        <v>88</v>
      </c>
      <c r="J25" s="48">
        <f t="shared" si="0"/>
        <v>100</v>
      </c>
    </row>
    <row r="26" spans="1:10" ht="21" customHeight="1" x14ac:dyDescent="0.15">
      <c r="A26" s="47">
        <v>49009025</v>
      </c>
      <c r="B26" s="47">
        <v>0</v>
      </c>
      <c r="C26" s="47">
        <v>60</v>
      </c>
      <c r="D26" s="47">
        <v>100</v>
      </c>
      <c r="E26" s="47" t="s">
        <v>88</v>
      </c>
      <c r="F26" s="47" t="s">
        <v>88</v>
      </c>
      <c r="G26" s="47" t="s">
        <v>88</v>
      </c>
      <c r="H26" s="47">
        <v>2</v>
      </c>
      <c r="I26" s="47" t="s">
        <v>88</v>
      </c>
      <c r="J26" s="48">
        <f t="shared" si="0"/>
        <v>100</v>
      </c>
    </row>
    <row r="27" spans="1:10" ht="21" customHeight="1" x14ac:dyDescent="0.15">
      <c r="A27" s="47">
        <v>49009026</v>
      </c>
      <c r="B27" s="47">
        <v>0</v>
      </c>
      <c r="C27" s="47">
        <v>50</v>
      </c>
      <c r="D27" s="47">
        <v>80</v>
      </c>
      <c r="E27" s="47" t="s">
        <v>88</v>
      </c>
      <c r="F27" s="47" t="s">
        <v>88</v>
      </c>
      <c r="G27" s="47" t="s">
        <v>88</v>
      </c>
      <c r="H27" s="47">
        <v>1</v>
      </c>
      <c r="I27" s="47" t="s">
        <v>88</v>
      </c>
      <c r="J27" s="48">
        <f t="shared" si="0"/>
        <v>80</v>
      </c>
    </row>
    <row r="28" spans="1:10" ht="21" customHeight="1" x14ac:dyDescent="0.15">
      <c r="A28" s="47">
        <v>49009027</v>
      </c>
      <c r="B28" s="47">
        <v>0</v>
      </c>
      <c r="C28" s="47">
        <v>70</v>
      </c>
      <c r="D28" s="47">
        <v>100</v>
      </c>
      <c r="E28" s="47">
        <v>50</v>
      </c>
      <c r="F28" s="47" t="s">
        <v>88</v>
      </c>
      <c r="G28" s="47">
        <v>1</v>
      </c>
      <c r="H28" s="47">
        <v>1</v>
      </c>
      <c r="I28" s="47" t="s">
        <v>88</v>
      </c>
      <c r="J28" s="48">
        <f t="shared" si="0"/>
        <v>100</v>
      </c>
    </row>
    <row r="29" spans="1:10" ht="21" customHeight="1" x14ac:dyDescent="0.15">
      <c r="A29" s="47">
        <v>49009028</v>
      </c>
      <c r="B29" s="47">
        <v>0</v>
      </c>
      <c r="C29" s="47">
        <v>67</v>
      </c>
      <c r="D29" s="47">
        <v>100</v>
      </c>
      <c r="E29" s="47">
        <v>50</v>
      </c>
      <c r="F29" s="47" t="s">
        <v>88</v>
      </c>
      <c r="G29" s="47">
        <v>1</v>
      </c>
      <c r="H29" s="47">
        <v>1</v>
      </c>
      <c r="I29" s="47" t="s">
        <v>88</v>
      </c>
      <c r="J29" s="48">
        <f t="shared" si="0"/>
        <v>100</v>
      </c>
    </row>
    <row r="30" spans="1:10" ht="21" customHeight="1" x14ac:dyDescent="0.15">
      <c r="A30" s="47">
        <v>49009029</v>
      </c>
      <c r="B30" s="47">
        <v>0</v>
      </c>
      <c r="C30" s="47">
        <v>66</v>
      </c>
      <c r="D30" s="47">
        <v>100</v>
      </c>
      <c r="E30" s="47">
        <v>50</v>
      </c>
      <c r="F30" s="47" t="s">
        <v>88</v>
      </c>
      <c r="G30" s="47">
        <v>1</v>
      </c>
      <c r="H30" s="47">
        <v>1</v>
      </c>
      <c r="I30" s="47" t="s">
        <v>88</v>
      </c>
      <c r="J30" s="48">
        <f t="shared" si="0"/>
        <v>100</v>
      </c>
    </row>
    <row r="31" spans="1:10" ht="21" customHeight="1" x14ac:dyDescent="0.15">
      <c r="A31" s="47">
        <v>49009030</v>
      </c>
      <c r="B31" s="47">
        <v>0</v>
      </c>
      <c r="C31" s="47">
        <v>65</v>
      </c>
      <c r="D31" s="47">
        <v>100</v>
      </c>
      <c r="E31" s="47">
        <v>50</v>
      </c>
      <c r="F31" s="47" t="s">
        <v>88</v>
      </c>
      <c r="G31" s="47" t="s">
        <v>88</v>
      </c>
      <c r="H31" s="47">
        <v>1</v>
      </c>
      <c r="I31" s="47" t="s">
        <v>88</v>
      </c>
      <c r="J31" s="48">
        <f t="shared" ref="J31" si="1">D31</f>
        <v>100</v>
      </c>
    </row>
    <row r="32" spans="1:10" ht="21" customHeight="1" x14ac:dyDescent="0.15">
      <c r="A32" s="47">
        <v>49009031</v>
      </c>
      <c r="B32" s="47">
        <v>0</v>
      </c>
      <c r="C32" s="47">
        <v>68</v>
      </c>
      <c r="D32" s="47">
        <v>100</v>
      </c>
      <c r="E32" s="47" t="s">
        <v>88</v>
      </c>
      <c r="F32" s="47" t="s">
        <v>88</v>
      </c>
      <c r="G32" s="47">
        <v>0</v>
      </c>
      <c r="H32" s="47" t="s">
        <v>88</v>
      </c>
      <c r="I32" s="47">
        <v>0</v>
      </c>
      <c r="J32" s="48">
        <f t="shared" si="0"/>
        <v>100</v>
      </c>
    </row>
    <row r="33" spans="1:10" ht="21" customHeight="1" x14ac:dyDescent="0.35">
      <c r="A33" s="47">
        <v>49009033</v>
      </c>
      <c r="B33" s="47">
        <v>1</v>
      </c>
      <c r="C33" s="47">
        <v>999</v>
      </c>
      <c r="D33" s="47">
        <v>100</v>
      </c>
      <c r="E33" s="47" t="s">
        <v>88</v>
      </c>
      <c r="F33" s="47" t="s">
        <v>88</v>
      </c>
      <c r="G33" s="47">
        <v>1</v>
      </c>
      <c r="H33" s="47" t="s">
        <v>88</v>
      </c>
      <c r="I33" s="137">
        <v>547</v>
      </c>
      <c r="J33" s="48">
        <f t="shared" si="0"/>
        <v>100</v>
      </c>
    </row>
    <row r="34" spans="1:10" ht="21" customHeight="1" x14ac:dyDescent="0.35">
      <c r="A34" s="47">
        <v>49009034</v>
      </c>
      <c r="B34" s="47">
        <v>1</v>
      </c>
      <c r="C34" s="47">
        <v>998</v>
      </c>
      <c r="D34" s="47">
        <v>100</v>
      </c>
      <c r="E34" s="47" t="s">
        <v>88</v>
      </c>
      <c r="F34" s="47" t="s">
        <v>88</v>
      </c>
      <c r="G34" s="47">
        <v>1</v>
      </c>
      <c r="H34" s="47" t="s">
        <v>88</v>
      </c>
      <c r="I34" s="137">
        <v>549</v>
      </c>
      <c r="J34" s="48">
        <f t="shared" ref="J34" si="2">D34</f>
        <v>100</v>
      </c>
    </row>
    <row r="35" spans="1:10" ht="21" customHeight="1" x14ac:dyDescent="0.35">
      <c r="A35" s="47">
        <v>49009035</v>
      </c>
      <c r="B35" s="47">
        <v>1</v>
      </c>
      <c r="C35" s="47">
        <v>997</v>
      </c>
      <c r="D35" s="47">
        <v>100</v>
      </c>
      <c r="E35" s="47" t="s">
        <v>88</v>
      </c>
      <c r="F35" s="47" t="s">
        <v>88</v>
      </c>
      <c r="G35" s="47">
        <v>1</v>
      </c>
      <c r="H35" s="47" t="s">
        <v>88</v>
      </c>
      <c r="I35" s="137">
        <v>1322</v>
      </c>
      <c r="J35" s="48">
        <f t="shared" ref="J35:J65" si="3">D35</f>
        <v>100</v>
      </c>
    </row>
    <row r="36" spans="1:10" ht="21" customHeight="1" x14ac:dyDescent="0.35">
      <c r="A36" s="47">
        <v>49009036</v>
      </c>
      <c r="B36" s="47">
        <v>1</v>
      </c>
      <c r="C36" s="47">
        <v>996</v>
      </c>
      <c r="D36" s="47">
        <v>100</v>
      </c>
      <c r="E36" s="47" t="s">
        <v>88</v>
      </c>
      <c r="F36" s="47" t="s">
        <v>88</v>
      </c>
      <c r="G36" s="47">
        <v>1</v>
      </c>
      <c r="H36" s="47" t="s">
        <v>88</v>
      </c>
      <c r="I36" s="137">
        <v>551</v>
      </c>
      <c r="J36" s="48">
        <f t="shared" si="3"/>
        <v>100</v>
      </c>
    </row>
    <row r="37" spans="1:10" ht="21" customHeight="1" x14ac:dyDescent="0.35">
      <c r="A37" s="47">
        <v>49009037</v>
      </c>
      <c r="B37" s="47">
        <v>1</v>
      </c>
      <c r="C37" s="47">
        <v>995</v>
      </c>
      <c r="D37" s="47">
        <v>100</v>
      </c>
      <c r="E37" s="47" t="s">
        <v>88</v>
      </c>
      <c r="F37" s="47" t="s">
        <v>88</v>
      </c>
      <c r="G37" s="47">
        <v>1</v>
      </c>
      <c r="H37" s="47" t="s">
        <v>88</v>
      </c>
      <c r="I37" s="137">
        <v>525</v>
      </c>
      <c r="J37" s="48">
        <f t="shared" si="3"/>
        <v>100</v>
      </c>
    </row>
    <row r="38" spans="1:10" ht="21" customHeight="1" x14ac:dyDescent="0.35">
      <c r="A38" s="47">
        <v>49009038</v>
      </c>
      <c r="B38" s="47">
        <v>1</v>
      </c>
      <c r="C38" s="47">
        <v>994</v>
      </c>
      <c r="D38" s="47">
        <v>100</v>
      </c>
      <c r="E38" s="47" t="s">
        <v>88</v>
      </c>
      <c r="F38" s="47" t="s">
        <v>88</v>
      </c>
      <c r="G38" s="47">
        <v>1</v>
      </c>
      <c r="H38" s="47" t="s">
        <v>88</v>
      </c>
      <c r="I38" s="137">
        <v>526</v>
      </c>
      <c r="J38" s="48">
        <f t="shared" si="3"/>
        <v>100</v>
      </c>
    </row>
    <row r="39" spans="1:10" ht="21" customHeight="1" x14ac:dyDescent="0.35">
      <c r="A39" s="47">
        <v>49009039</v>
      </c>
      <c r="B39" s="47">
        <v>1</v>
      </c>
      <c r="C39" s="47">
        <v>993</v>
      </c>
      <c r="D39" s="47">
        <v>100</v>
      </c>
      <c r="E39" s="47" t="s">
        <v>88</v>
      </c>
      <c r="F39" s="47" t="s">
        <v>88</v>
      </c>
      <c r="G39" s="47">
        <v>1</v>
      </c>
      <c r="H39" s="47" t="s">
        <v>88</v>
      </c>
      <c r="I39" s="137">
        <v>553</v>
      </c>
      <c r="J39" s="48">
        <f t="shared" si="3"/>
        <v>100</v>
      </c>
    </row>
    <row r="40" spans="1:10" ht="21" customHeight="1" x14ac:dyDescent="0.35">
      <c r="A40" s="47">
        <v>49009040</v>
      </c>
      <c r="B40" s="47">
        <v>1</v>
      </c>
      <c r="C40" s="47">
        <v>992</v>
      </c>
      <c r="D40" s="47">
        <v>100</v>
      </c>
      <c r="E40" s="47" t="s">
        <v>88</v>
      </c>
      <c r="F40" s="47" t="s">
        <v>88</v>
      </c>
      <c r="G40" s="47">
        <v>1</v>
      </c>
      <c r="H40" s="47" t="s">
        <v>88</v>
      </c>
      <c r="I40" s="137">
        <v>555</v>
      </c>
      <c r="J40" s="48">
        <f t="shared" si="3"/>
        <v>100</v>
      </c>
    </row>
    <row r="41" spans="1:10" ht="21" customHeight="1" x14ac:dyDescent="0.35">
      <c r="A41" s="47">
        <v>49009041</v>
      </c>
      <c r="B41" s="47">
        <v>1</v>
      </c>
      <c r="C41" s="47">
        <v>991</v>
      </c>
      <c r="D41" s="47">
        <v>100</v>
      </c>
      <c r="E41" s="47" t="s">
        <v>88</v>
      </c>
      <c r="F41" s="47" t="s">
        <v>88</v>
      </c>
      <c r="G41" s="47">
        <v>1</v>
      </c>
      <c r="H41" s="47" t="s">
        <v>88</v>
      </c>
      <c r="I41" s="137">
        <v>557</v>
      </c>
      <c r="J41" s="48">
        <f t="shared" si="3"/>
        <v>100</v>
      </c>
    </row>
    <row r="42" spans="1:10" ht="21" customHeight="1" x14ac:dyDescent="0.35">
      <c r="A42" s="47">
        <v>49009042</v>
      </c>
      <c r="B42" s="47">
        <v>1</v>
      </c>
      <c r="C42" s="47">
        <v>990</v>
      </c>
      <c r="D42" s="47">
        <v>100</v>
      </c>
      <c r="E42" s="47" t="s">
        <v>88</v>
      </c>
      <c r="F42" s="47" t="s">
        <v>88</v>
      </c>
      <c r="G42" s="47">
        <v>1</v>
      </c>
      <c r="H42" s="47" t="s">
        <v>88</v>
      </c>
      <c r="I42" s="137">
        <v>1295</v>
      </c>
      <c r="J42" s="48">
        <f t="shared" si="3"/>
        <v>100</v>
      </c>
    </row>
    <row r="43" spans="1:10" ht="21" customHeight="1" x14ac:dyDescent="0.35">
      <c r="A43" s="47">
        <v>49009043</v>
      </c>
      <c r="B43" s="47">
        <v>1</v>
      </c>
      <c r="C43" s="47">
        <v>989</v>
      </c>
      <c r="D43" s="47">
        <v>100</v>
      </c>
      <c r="E43" s="47" t="s">
        <v>88</v>
      </c>
      <c r="F43" s="47" t="s">
        <v>88</v>
      </c>
      <c r="G43" s="47">
        <v>1</v>
      </c>
      <c r="H43" s="47" t="s">
        <v>88</v>
      </c>
      <c r="I43" s="137">
        <v>1304</v>
      </c>
      <c r="J43" s="48">
        <f t="shared" si="3"/>
        <v>100</v>
      </c>
    </row>
    <row r="44" spans="1:10" ht="21" customHeight="1" x14ac:dyDescent="0.15">
      <c r="A44" s="47">
        <v>49009044</v>
      </c>
      <c r="B44" s="47">
        <v>1</v>
      </c>
      <c r="C44" s="47">
        <v>988</v>
      </c>
      <c r="D44" s="47">
        <v>100</v>
      </c>
      <c r="E44" s="47" t="s">
        <v>88</v>
      </c>
      <c r="F44" s="47" t="s">
        <v>88</v>
      </c>
      <c r="G44" s="47">
        <v>1</v>
      </c>
      <c r="H44" s="47" t="s">
        <v>88</v>
      </c>
      <c r="I44" s="49">
        <v>490</v>
      </c>
      <c r="J44" s="48">
        <f t="shared" si="3"/>
        <v>100</v>
      </c>
    </row>
    <row r="45" spans="1:10" ht="21" customHeight="1" x14ac:dyDescent="0.35">
      <c r="A45" s="47">
        <v>49009045</v>
      </c>
      <c r="B45" s="47">
        <v>1</v>
      </c>
      <c r="C45" s="47">
        <v>987</v>
      </c>
      <c r="D45" s="47">
        <v>100</v>
      </c>
      <c r="E45" s="47" t="s">
        <v>88</v>
      </c>
      <c r="F45" s="47" t="s">
        <v>88</v>
      </c>
      <c r="G45" s="47">
        <v>1</v>
      </c>
      <c r="H45" s="47" t="s">
        <v>88</v>
      </c>
      <c r="I45" s="137">
        <v>539</v>
      </c>
      <c r="J45" s="48">
        <f t="shared" si="3"/>
        <v>100</v>
      </c>
    </row>
    <row r="46" spans="1:10" ht="21" customHeight="1" x14ac:dyDescent="0.35">
      <c r="A46" s="47">
        <v>49009046</v>
      </c>
      <c r="B46" s="47">
        <v>1</v>
      </c>
      <c r="C46" s="47">
        <v>986</v>
      </c>
      <c r="D46" s="47">
        <v>100</v>
      </c>
      <c r="E46" s="47" t="s">
        <v>88</v>
      </c>
      <c r="F46" s="47" t="s">
        <v>88</v>
      </c>
      <c r="G46" s="47">
        <v>1</v>
      </c>
      <c r="H46" s="47" t="s">
        <v>88</v>
      </c>
      <c r="I46" s="137">
        <v>541</v>
      </c>
      <c r="J46" s="48">
        <f t="shared" si="3"/>
        <v>100</v>
      </c>
    </row>
    <row r="47" spans="1:10" ht="21" customHeight="1" x14ac:dyDescent="0.35">
      <c r="A47" s="47">
        <v>49009047</v>
      </c>
      <c r="B47" s="47">
        <v>1</v>
      </c>
      <c r="C47" s="47">
        <v>985</v>
      </c>
      <c r="D47" s="47">
        <v>100</v>
      </c>
      <c r="E47" s="47" t="s">
        <v>88</v>
      </c>
      <c r="F47" s="47" t="s">
        <v>88</v>
      </c>
      <c r="G47" s="47">
        <v>1</v>
      </c>
      <c r="H47" s="47" t="s">
        <v>88</v>
      </c>
      <c r="I47" s="137">
        <v>1297</v>
      </c>
      <c r="J47" s="48">
        <f t="shared" si="3"/>
        <v>100</v>
      </c>
    </row>
    <row r="48" spans="1:10" ht="21" customHeight="1" x14ac:dyDescent="0.35">
      <c r="A48" s="47">
        <v>49009048</v>
      </c>
      <c r="B48" s="47">
        <v>1</v>
      </c>
      <c r="C48" s="47">
        <v>985</v>
      </c>
      <c r="D48" s="47">
        <v>100</v>
      </c>
      <c r="E48" s="47" t="s">
        <v>88</v>
      </c>
      <c r="F48" s="47" t="s">
        <v>88</v>
      </c>
      <c r="G48" s="47">
        <v>1</v>
      </c>
      <c r="H48" s="47" t="s">
        <v>88</v>
      </c>
      <c r="I48" s="137">
        <v>1300</v>
      </c>
      <c r="J48" s="48">
        <f t="shared" si="3"/>
        <v>100</v>
      </c>
    </row>
    <row r="49" spans="1:10" ht="21" customHeight="1" x14ac:dyDescent="0.35">
      <c r="A49" s="47">
        <v>49009049</v>
      </c>
      <c r="B49" s="47">
        <v>1</v>
      </c>
      <c r="C49" s="47">
        <v>984</v>
      </c>
      <c r="D49" s="47">
        <v>100</v>
      </c>
      <c r="E49" s="47" t="s">
        <v>88</v>
      </c>
      <c r="F49" s="47" t="s">
        <v>88</v>
      </c>
      <c r="G49" s="47">
        <v>1</v>
      </c>
      <c r="H49" s="47" t="s">
        <v>88</v>
      </c>
      <c r="I49" s="137">
        <v>1316</v>
      </c>
      <c r="J49" s="48">
        <f t="shared" si="3"/>
        <v>100</v>
      </c>
    </row>
    <row r="50" spans="1:10" ht="21" customHeight="1" x14ac:dyDescent="0.15">
      <c r="A50" s="47">
        <v>49009050</v>
      </c>
      <c r="B50" s="47">
        <v>1</v>
      </c>
      <c r="C50" s="47">
        <v>983</v>
      </c>
      <c r="D50" s="47">
        <v>100</v>
      </c>
      <c r="E50" s="47" t="s">
        <v>88</v>
      </c>
      <c r="F50" s="47" t="s">
        <v>88</v>
      </c>
      <c r="G50" s="47">
        <v>1</v>
      </c>
      <c r="H50" s="47" t="s">
        <v>88</v>
      </c>
      <c r="I50" s="49">
        <v>508</v>
      </c>
      <c r="J50" s="48">
        <f t="shared" si="3"/>
        <v>100</v>
      </c>
    </row>
    <row r="51" spans="1:10" ht="21" customHeight="1" x14ac:dyDescent="0.35">
      <c r="A51" s="47">
        <v>49009051</v>
      </c>
      <c r="B51" s="47">
        <v>1</v>
      </c>
      <c r="C51" s="47">
        <v>982</v>
      </c>
      <c r="D51" s="47">
        <v>100</v>
      </c>
      <c r="E51" s="47" t="s">
        <v>88</v>
      </c>
      <c r="F51" s="47" t="s">
        <v>88</v>
      </c>
      <c r="G51" s="47">
        <v>1</v>
      </c>
      <c r="H51" s="47" t="s">
        <v>88</v>
      </c>
      <c r="I51" s="137">
        <v>527</v>
      </c>
      <c r="J51" s="48">
        <f t="shared" si="3"/>
        <v>100</v>
      </c>
    </row>
    <row r="52" spans="1:10" ht="21" customHeight="1" x14ac:dyDescent="0.35">
      <c r="A52" s="47">
        <v>49009052</v>
      </c>
      <c r="B52" s="47">
        <v>1</v>
      </c>
      <c r="C52" s="47">
        <v>981</v>
      </c>
      <c r="D52" s="47">
        <v>100</v>
      </c>
      <c r="E52" s="47" t="s">
        <v>88</v>
      </c>
      <c r="F52" s="47" t="s">
        <v>88</v>
      </c>
      <c r="G52" s="47">
        <v>1</v>
      </c>
      <c r="H52" s="47" t="s">
        <v>88</v>
      </c>
      <c r="I52" s="137">
        <v>543</v>
      </c>
      <c r="J52" s="48">
        <f t="shared" si="3"/>
        <v>100</v>
      </c>
    </row>
    <row r="53" spans="1:10" ht="21" customHeight="1" x14ac:dyDescent="0.35">
      <c r="A53" s="47">
        <v>49009053</v>
      </c>
      <c r="B53" s="47">
        <v>1</v>
      </c>
      <c r="C53" s="47">
        <v>980</v>
      </c>
      <c r="D53" s="47">
        <v>100</v>
      </c>
      <c r="E53" s="47" t="s">
        <v>88</v>
      </c>
      <c r="F53" s="47" t="s">
        <v>88</v>
      </c>
      <c r="G53" s="47">
        <v>1</v>
      </c>
      <c r="H53" s="47" t="s">
        <v>88</v>
      </c>
      <c r="I53" s="137">
        <v>545</v>
      </c>
      <c r="J53" s="48">
        <f t="shared" si="3"/>
        <v>100</v>
      </c>
    </row>
    <row r="54" spans="1:10" ht="21" customHeight="1" x14ac:dyDescent="0.35">
      <c r="A54" s="47">
        <v>49009054</v>
      </c>
      <c r="B54" s="47">
        <v>1</v>
      </c>
      <c r="C54" s="47">
        <v>979</v>
      </c>
      <c r="D54" s="47">
        <v>100</v>
      </c>
      <c r="E54" s="47" t="s">
        <v>88</v>
      </c>
      <c r="F54" s="47" t="s">
        <v>88</v>
      </c>
      <c r="G54" s="47">
        <v>1</v>
      </c>
      <c r="H54" s="47" t="s">
        <v>88</v>
      </c>
      <c r="I54" s="137">
        <v>1302</v>
      </c>
      <c r="J54" s="48">
        <f t="shared" si="3"/>
        <v>100</v>
      </c>
    </row>
    <row r="55" spans="1:10" ht="21" customHeight="1" x14ac:dyDescent="0.35">
      <c r="A55" s="47">
        <v>49009055</v>
      </c>
      <c r="B55" s="47">
        <v>1</v>
      </c>
      <c r="C55" s="47">
        <v>978</v>
      </c>
      <c r="D55" s="47">
        <v>100</v>
      </c>
      <c r="E55" s="47" t="s">
        <v>88</v>
      </c>
      <c r="F55" s="47" t="s">
        <v>88</v>
      </c>
      <c r="G55" s="47">
        <v>1</v>
      </c>
      <c r="H55" s="47" t="s">
        <v>88</v>
      </c>
      <c r="I55" s="137">
        <v>1306</v>
      </c>
      <c r="J55" s="48">
        <f t="shared" si="3"/>
        <v>100</v>
      </c>
    </row>
    <row r="56" spans="1:10" ht="21" customHeight="1" x14ac:dyDescent="0.35">
      <c r="A56" s="47">
        <v>49009056</v>
      </c>
      <c r="B56" s="47">
        <v>1</v>
      </c>
      <c r="C56" s="47">
        <v>977</v>
      </c>
      <c r="D56" s="47">
        <v>100</v>
      </c>
      <c r="E56" s="47" t="s">
        <v>88</v>
      </c>
      <c r="F56" s="47" t="s">
        <v>88</v>
      </c>
      <c r="G56" s="47">
        <v>1</v>
      </c>
      <c r="H56" s="47" t="s">
        <v>88</v>
      </c>
      <c r="I56" s="137">
        <v>1318</v>
      </c>
      <c r="J56" s="48">
        <f t="shared" si="3"/>
        <v>100</v>
      </c>
    </row>
    <row r="57" spans="1:10" ht="21" customHeight="1" x14ac:dyDescent="0.35">
      <c r="A57" s="47">
        <v>49009057</v>
      </c>
      <c r="B57" s="47">
        <v>1</v>
      </c>
      <c r="C57" s="47">
        <v>976</v>
      </c>
      <c r="D57" s="47">
        <v>100</v>
      </c>
      <c r="E57" s="47" t="s">
        <v>88</v>
      </c>
      <c r="F57" s="47" t="s">
        <v>88</v>
      </c>
      <c r="G57" s="47">
        <v>1</v>
      </c>
      <c r="H57" s="47" t="s">
        <v>88</v>
      </c>
      <c r="I57" s="137">
        <v>1320</v>
      </c>
      <c r="J57" s="48">
        <f t="shared" si="3"/>
        <v>100</v>
      </c>
    </row>
    <row r="58" spans="1:10" ht="21" customHeight="1" x14ac:dyDescent="0.15">
      <c r="A58" s="47">
        <v>49009058</v>
      </c>
      <c r="B58" s="47">
        <v>1</v>
      </c>
      <c r="C58" s="47">
        <v>975</v>
      </c>
      <c r="D58" s="47">
        <v>100</v>
      </c>
      <c r="E58" s="47" t="s">
        <v>88</v>
      </c>
      <c r="F58" s="47" t="s">
        <v>88</v>
      </c>
      <c r="G58" s="47">
        <v>1</v>
      </c>
      <c r="H58" s="47" t="s">
        <v>88</v>
      </c>
      <c r="I58" s="109">
        <v>1310</v>
      </c>
      <c r="J58" s="48">
        <f t="shared" si="3"/>
        <v>100</v>
      </c>
    </row>
    <row r="59" spans="1:10" ht="21" customHeight="1" x14ac:dyDescent="0.15">
      <c r="A59" s="47">
        <v>49009059</v>
      </c>
      <c r="B59" s="47">
        <v>1</v>
      </c>
      <c r="C59" s="47">
        <v>974</v>
      </c>
      <c r="D59" s="47">
        <v>100</v>
      </c>
      <c r="E59" s="47" t="s">
        <v>88</v>
      </c>
      <c r="F59" s="47" t="s">
        <v>88</v>
      </c>
      <c r="G59" s="47">
        <v>1</v>
      </c>
      <c r="H59" s="47" t="s">
        <v>88</v>
      </c>
      <c r="I59" s="119">
        <f t="shared" ref="I59:I64" si="4">ROW()-1</f>
        <v>58</v>
      </c>
      <c r="J59" s="48">
        <f t="shared" si="3"/>
        <v>100</v>
      </c>
    </row>
    <row r="60" spans="1:10" ht="21" customHeight="1" x14ac:dyDescent="0.15">
      <c r="A60" s="47">
        <v>49009060</v>
      </c>
      <c r="B60" s="47">
        <v>1</v>
      </c>
      <c r="C60" s="47">
        <v>973</v>
      </c>
      <c r="D60" s="47">
        <v>100</v>
      </c>
      <c r="E60" s="47" t="s">
        <v>88</v>
      </c>
      <c r="F60" s="47" t="s">
        <v>88</v>
      </c>
      <c r="G60" s="47">
        <v>1</v>
      </c>
      <c r="H60" s="47" t="s">
        <v>88</v>
      </c>
      <c r="I60" s="119">
        <f t="shared" si="4"/>
        <v>59</v>
      </c>
      <c r="J60" s="48">
        <f t="shared" si="3"/>
        <v>100</v>
      </c>
    </row>
    <row r="61" spans="1:10" ht="21" customHeight="1" x14ac:dyDescent="0.15">
      <c r="A61" s="47">
        <v>49009061</v>
      </c>
      <c r="B61" s="47">
        <v>1</v>
      </c>
      <c r="C61" s="47">
        <v>972</v>
      </c>
      <c r="D61" s="47">
        <v>100</v>
      </c>
      <c r="E61" s="47" t="s">
        <v>88</v>
      </c>
      <c r="F61" s="47" t="s">
        <v>88</v>
      </c>
      <c r="G61" s="47">
        <v>1</v>
      </c>
      <c r="H61" s="47" t="s">
        <v>88</v>
      </c>
      <c r="I61" s="119">
        <f t="shared" si="4"/>
        <v>60</v>
      </c>
      <c r="J61" s="48">
        <f t="shared" si="3"/>
        <v>100</v>
      </c>
    </row>
    <row r="62" spans="1:10" ht="21" customHeight="1" x14ac:dyDescent="0.15">
      <c r="A62" s="47">
        <v>49009062</v>
      </c>
      <c r="B62" s="47">
        <v>1</v>
      </c>
      <c r="C62" s="47">
        <v>971</v>
      </c>
      <c r="D62" s="47">
        <v>100</v>
      </c>
      <c r="E62" s="47" t="s">
        <v>88</v>
      </c>
      <c r="F62" s="47" t="s">
        <v>88</v>
      </c>
      <c r="G62" s="47">
        <v>1</v>
      </c>
      <c r="H62" s="47" t="s">
        <v>88</v>
      </c>
      <c r="I62" s="119">
        <f t="shared" si="4"/>
        <v>61</v>
      </c>
      <c r="J62" s="48">
        <f t="shared" si="3"/>
        <v>100</v>
      </c>
    </row>
    <row r="63" spans="1:10" ht="21" customHeight="1" x14ac:dyDescent="0.15">
      <c r="A63" s="47">
        <v>49009063</v>
      </c>
      <c r="B63" s="47">
        <v>1</v>
      </c>
      <c r="C63" s="47">
        <v>970</v>
      </c>
      <c r="D63" s="47">
        <v>100</v>
      </c>
      <c r="E63" s="47" t="s">
        <v>88</v>
      </c>
      <c r="F63" s="47" t="s">
        <v>88</v>
      </c>
      <c r="G63" s="47">
        <v>1</v>
      </c>
      <c r="H63" s="47" t="s">
        <v>88</v>
      </c>
      <c r="I63" s="119">
        <f t="shared" si="4"/>
        <v>62</v>
      </c>
      <c r="J63" s="48">
        <f t="shared" si="3"/>
        <v>100</v>
      </c>
    </row>
    <row r="64" spans="1:10" ht="21" customHeight="1" x14ac:dyDescent="0.15">
      <c r="A64" s="47">
        <v>49009064</v>
      </c>
      <c r="B64" s="47">
        <v>1</v>
      </c>
      <c r="C64" s="47">
        <v>969</v>
      </c>
      <c r="D64" s="47">
        <v>100</v>
      </c>
      <c r="E64" s="47" t="s">
        <v>88</v>
      </c>
      <c r="F64" s="47" t="s">
        <v>88</v>
      </c>
      <c r="G64" s="47">
        <v>1</v>
      </c>
      <c r="H64" s="47" t="s">
        <v>88</v>
      </c>
      <c r="I64" s="119">
        <f t="shared" si="4"/>
        <v>63</v>
      </c>
      <c r="J64" s="48">
        <f t="shared" si="3"/>
        <v>100</v>
      </c>
    </row>
    <row r="65" spans="1:10" ht="21" customHeight="1" x14ac:dyDescent="0.15">
      <c r="A65" s="47">
        <v>49009065</v>
      </c>
      <c r="B65" s="47">
        <v>1</v>
      </c>
      <c r="C65" s="47">
        <v>968</v>
      </c>
      <c r="D65" s="47">
        <v>100</v>
      </c>
      <c r="E65" s="47" t="s">
        <v>88</v>
      </c>
      <c r="F65" s="47" t="s">
        <v>88</v>
      </c>
      <c r="G65" s="47">
        <v>1</v>
      </c>
      <c r="H65" s="47" t="s">
        <v>88</v>
      </c>
      <c r="I65" s="118">
        <v>1297</v>
      </c>
      <c r="J65" s="48">
        <f t="shared" si="3"/>
        <v>100</v>
      </c>
    </row>
    <row r="66" spans="1:10" ht="21" customHeight="1" x14ac:dyDescent="0.15">
      <c r="A66" s="47">
        <v>49009066</v>
      </c>
      <c r="B66" s="47">
        <v>1</v>
      </c>
      <c r="C66" s="47">
        <v>967</v>
      </c>
      <c r="D66" s="47">
        <v>100</v>
      </c>
      <c r="E66" s="47" t="s">
        <v>88</v>
      </c>
      <c r="F66" s="47" t="s">
        <v>88</v>
      </c>
      <c r="G66" s="47">
        <v>1</v>
      </c>
      <c r="H66" s="47" t="s">
        <v>88</v>
      </c>
      <c r="I66" s="118">
        <v>1298</v>
      </c>
      <c r="J66" s="48">
        <f t="shared" ref="J66:J88" si="5">D66</f>
        <v>100</v>
      </c>
    </row>
    <row r="67" spans="1:10" ht="21" customHeight="1" x14ac:dyDescent="0.15">
      <c r="A67" s="47">
        <v>49009067</v>
      </c>
      <c r="B67" s="47">
        <v>1</v>
      </c>
      <c r="C67" s="47">
        <v>966</v>
      </c>
      <c r="D67" s="47">
        <v>100</v>
      </c>
      <c r="E67" s="47" t="s">
        <v>88</v>
      </c>
      <c r="F67" s="47" t="s">
        <v>88</v>
      </c>
      <c r="G67" s="47">
        <v>1</v>
      </c>
      <c r="H67" s="47" t="s">
        <v>88</v>
      </c>
      <c r="I67" s="110">
        <f>ROW()-1</f>
        <v>66</v>
      </c>
      <c r="J67" s="48">
        <f t="shared" si="5"/>
        <v>100</v>
      </c>
    </row>
    <row r="68" spans="1:10" ht="21" customHeight="1" x14ac:dyDescent="0.15">
      <c r="A68" s="47">
        <v>49009068</v>
      </c>
      <c r="B68" s="47">
        <v>1</v>
      </c>
      <c r="C68" s="47">
        <v>965</v>
      </c>
      <c r="D68" s="47">
        <v>100</v>
      </c>
      <c r="E68" s="47" t="s">
        <v>88</v>
      </c>
      <c r="F68" s="47" t="s">
        <v>88</v>
      </c>
      <c r="G68" s="47">
        <v>1</v>
      </c>
      <c r="H68" s="47" t="s">
        <v>88</v>
      </c>
      <c r="I68" s="110">
        <f>ROW()-1</f>
        <v>67</v>
      </c>
      <c r="J68" s="48">
        <f t="shared" si="5"/>
        <v>100</v>
      </c>
    </row>
    <row r="69" spans="1:10" ht="21" customHeight="1" x14ac:dyDescent="0.15">
      <c r="A69" s="47">
        <v>49009069</v>
      </c>
      <c r="B69" s="47">
        <v>1</v>
      </c>
      <c r="C69" s="47">
        <v>964</v>
      </c>
      <c r="D69" s="47">
        <v>100</v>
      </c>
      <c r="E69" s="47" t="s">
        <v>88</v>
      </c>
      <c r="F69" s="47" t="s">
        <v>88</v>
      </c>
      <c r="G69" s="47">
        <v>1</v>
      </c>
      <c r="H69" s="47" t="s">
        <v>88</v>
      </c>
      <c r="I69" s="110">
        <f>ROW()-1</f>
        <v>68</v>
      </c>
      <c r="J69" s="48">
        <f t="shared" si="5"/>
        <v>100</v>
      </c>
    </row>
    <row r="70" spans="1:10" ht="21" customHeight="1" x14ac:dyDescent="0.15">
      <c r="A70" s="47">
        <v>49009070</v>
      </c>
      <c r="B70" s="47">
        <v>1</v>
      </c>
      <c r="C70" s="47">
        <v>963</v>
      </c>
      <c r="D70" s="47">
        <v>100</v>
      </c>
      <c r="E70" s="47" t="s">
        <v>88</v>
      </c>
      <c r="F70" s="47" t="s">
        <v>88</v>
      </c>
      <c r="G70" s="47">
        <v>1</v>
      </c>
      <c r="H70" s="47" t="s">
        <v>88</v>
      </c>
      <c r="I70" s="111">
        <v>1295</v>
      </c>
      <c r="J70" s="48">
        <f t="shared" si="5"/>
        <v>100</v>
      </c>
    </row>
    <row r="71" spans="1:10" ht="21" customHeight="1" x14ac:dyDescent="0.15">
      <c r="A71" s="47">
        <v>49009071</v>
      </c>
      <c r="B71" s="47">
        <v>1</v>
      </c>
      <c r="C71" s="47">
        <v>962</v>
      </c>
      <c r="D71" s="47">
        <v>100</v>
      </c>
      <c r="E71" s="47" t="s">
        <v>88</v>
      </c>
      <c r="F71" s="47" t="s">
        <v>88</v>
      </c>
      <c r="G71" s="47">
        <v>1</v>
      </c>
      <c r="H71" s="47" t="s">
        <v>88</v>
      </c>
      <c r="I71" s="111">
        <v>1296</v>
      </c>
      <c r="J71" s="48">
        <f t="shared" si="5"/>
        <v>100</v>
      </c>
    </row>
    <row r="72" spans="1:10" ht="21" customHeight="1" x14ac:dyDescent="0.15">
      <c r="A72" s="47">
        <v>49009072</v>
      </c>
      <c r="B72" s="47">
        <v>1</v>
      </c>
      <c r="C72" s="47">
        <v>961</v>
      </c>
      <c r="D72" s="47">
        <v>100</v>
      </c>
      <c r="E72" s="47" t="s">
        <v>88</v>
      </c>
      <c r="F72" s="47" t="s">
        <v>88</v>
      </c>
      <c r="G72" s="47">
        <v>1</v>
      </c>
      <c r="H72" s="47" t="s">
        <v>88</v>
      </c>
      <c r="I72" s="112">
        <v>1300</v>
      </c>
      <c r="J72" s="48">
        <f t="shared" si="5"/>
        <v>100</v>
      </c>
    </row>
    <row r="73" spans="1:10" ht="21" customHeight="1" x14ac:dyDescent="0.15">
      <c r="A73" s="47">
        <v>49009073</v>
      </c>
      <c r="B73" s="47">
        <v>1</v>
      </c>
      <c r="C73" s="47">
        <v>960</v>
      </c>
      <c r="D73" s="47">
        <v>100</v>
      </c>
      <c r="E73" s="47" t="s">
        <v>88</v>
      </c>
      <c r="F73" s="47" t="s">
        <v>88</v>
      </c>
      <c r="G73" s="47">
        <v>1</v>
      </c>
      <c r="H73" s="47" t="s">
        <v>88</v>
      </c>
      <c r="I73" s="112">
        <v>1301</v>
      </c>
      <c r="J73" s="48">
        <f t="shared" si="5"/>
        <v>100</v>
      </c>
    </row>
    <row r="74" spans="1:10" ht="21" customHeight="1" x14ac:dyDescent="0.15">
      <c r="A74" s="47">
        <v>49009074</v>
      </c>
      <c r="B74" s="47">
        <v>1</v>
      </c>
      <c r="C74" s="47">
        <v>959</v>
      </c>
      <c r="D74" s="47">
        <v>100</v>
      </c>
      <c r="E74" s="47" t="s">
        <v>88</v>
      </c>
      <c r="F74" s="47" t="s">
        <v>88</v>
      </c>
      <c r="G74" s="47">
        <v>1</v>
      </c>
      <c r="H74" s="47" t="s">
        <v>88</v>
      </c>
      <c r="I74" s="112">
        <v>1302</v>
      </c>
      <c r="J74" s="48">
        <f t="shared" si="5"/>
        <v>100</v>
      </c>
    </row>
    <row r="75" spans="1:10" ht="21" customHeight="1" x14ac:dyDescent="0.15">
      <c r="A75" s="47">
        <v>49009075</v>
      </c>
      <c r="B75" s="47">
        <v>1</v>
      </c>
      <c r="C75" s="47">
        <v>958</v>
      </c>
      <c r="D75" s="47">
        <v>100</v>
      </c>
      <c r="E75" s="47" t="s">
        <v>88</v>
      </c>
      <c r="F75" s="47" t="s">
        <v>88</v>
      </c>
      <c r="G75" s="47">
        <v>1</v>
      </c>
      <c r="H75" s="47" t="s">
        <v>88</v>
      </c>
      <c r="I75" s="112">
        <v>1303</v>
      </c>
      <c r="J75" s="48">
        <f t="shared" si="5"/>
        <v>100</v>
      </c>
    </row>
    <row r="76" spans="1:10" ht="21" customHeight="1" x14ac:dyDescent="0.15">
      <c r="A76" s="47">
        <v>49009076</v>
      </c>
      <c r="B76" s="47">
        <v>1</v>
      </c>
      <c r="C76" s="47">
        <v>957</v>
      </c>
      <c r="D76" s="47">
        <v>100</v>
      </c>
      <c r="E76" s="47" t="s">
        <v>88</v>
      </c>
      <c r="F76" s="47" t="s">
        <v>88</v>
      </c>
      <c r="G76" s="47">
        <v>1</v>
      </c>
      <c r="H76" s="47" t="s">
        <v>88</v>
      </c>
      <c r="I76" s="112">
        <v>1304</v>
      </c>
      <c r="J76" s="48">
        <f t="shared" si="5"/>
        <v>100</v>
      </c>
    </row>
    <row r="77" spans="1:10" ht="21" customHeight="1" x14ac:dyDescent="0.15">
      <c r="A77" s="47">
        <v>49009077</v>
      </c>
      <c r="B77" s="47">
        <v>1</v>
      </c>
      <c r="C77" s="47">
        <v>956</v>
      </c>
      <c r="D77" s="47">
        <v>100</v>
      </c>
      <c r="E77" s="47" t="s">
        <v>88</v>
      </c>
      <c r="F77" s="47" t="s">
        <v>88</v>
      </c>
      <c r="G77" s="47">
        <v>1</v>
      </c>
      <c r="H77" s="47" t="s">
        <v>88</v>
      </c>
      <c r="I77" s="112">
        <v>1305</v>
      </c>
      <c r="J77" s="48">
        <f t="shared" si="5"/>
        <v>100</v>
      </c>
    </row>
    <row r="78" spans="1:10" ht="21" customHeight="1" x14ac:dyDescent="0.15">
      <c r="A78" s="47">
        <v>49009078</v>
      </c>
      <c r="B78" s="47">
        <v>1</v>
      </c>
      <c r="C78" s="47">
        <v>955</v>
      </c>
      <c r="D78" s="47">
        <v>100</v>
      </c>
      <c r="E78" s="47" t="s">
        <v>88</v>
      </c>
      <c r="F78" s="47" t="s">
        <v>88</v>
      </c>
      <c r="G78" s="47">
        <v>1</v>
      </c>
      <c r="H78" s="47" t="s">
        <v>88</v>
      </c>
      <c r="I78" s="112">
        <v>1306</v>
      </c>
      <c r="J78" s="48">
        <f t="shared" si="5"/>
        <v>100</v>
      </c>
    </row>
    <row r="79" spans="1:10" ht="21" customHeight="1" x14ac:dyDescent="0.15">
      <c r="A79" s="47">
        <v>49009079</v>
      </c>
      <c r="B79" s="47">
        <v>1</v>
      </c>
      <c r="C79" s="47">
        <v>954</v>
      </c>
      <c r="D79" s="47">
        <v>100</v>
      </c>
      <c r="E79" s="47" t="s">
        <v>88</v>
      </c>
      <c r="F79" s="47" t="s">
        <v>88</v>
      </c>
      <c r="G79" s="47">
        <v>1</v>
      </c>
      <c r="H79" s="47" t="s">
        <v>88</v>
      </c>
      <c r="I79" s="112">
        <v>1307</v>
      </c>
      <c r="J79" s="48">
        <f t="shared" si="5"/>
        <v>100</v>
      </c>
    </row>
    <row r="80" spans="1:10" ht="21" customHeight="1" x14ac:dyDescent="0.15">
      <c r="A80" s="47">
        <v>49009080</v>
      </c>
      <c r="B80" s="47">
        <v>1</v>
      </c>
      <c r="C80" s="47">
        <v>953</v>
      </c>
      <c r="D80" s="47">
        <v>100</v>
      </c>
      <c r="E80" s="47" t="s">
        <v>88</v>
      </c>
      <c r="F80" s="47" t="s">
        <v>88</v>
      </c>
      <c r="G80" s="47">
        <v>1</v>
      </c>
      <c r="H80" s="47" t="s">
        <v>88</v>
      </c>
      <c r="I80" s="117">
        <v>1318</v>
      </c>
      <c r="J80" s="48">
        <f t="shared" si="5"/>
        <v>100</v>
      </c>
    </row>
    <row r="81" spans="1:10" ht="21" customHeight="1" x14ac:dyDescent="0.15">
      <c r="A81" s="47">
        <v>49009081</v>
      </c>
      <c r="B81" s="47">
        <v>1</v>
      </c>
      <c r="C81" s="47">
        <v>952</v>
      </c>
      <c r="D81" s="47">
        <v>100</v>
      </c>
      <c r="E81" s="47" t="s">
        <v>88</v>
      </c>
      <c r="F81" s="47" t="s">
        <v>88</v>
      </c>
      <c r="G81" s="47">
        <v>1</v>
      </c>
      <c r="H81" s="47" t="s">
        <v>88</v>
      </c>
      <c r="I81" s="117">
        <v>1319</v>
      </c>
      <c r="J81" s="48">
        <f t="shared" si="5"/>
        <v>100</v>
      </c>
    </row>
    <row r="82" spans="1:10" ht="21" customHeight="1" x14ac:dyDescent="0.15">
      <c r="A82" s="47">
        <v>49009082</v>
      </c>
      <c r="B82" s="47">
        <v>1</v>
      </c>
      <c r="C82" s="47">
        <v>951</v>
      </c>
      <c r="D82" s="47">
        <v>100</v>
      </c>
      <c r="E82" s="47" t="s">
        <v>88</v>
      </c>
      <c r="F82" s="47" t="s">
        <v>88</v>
      </c>
      <c r="G82" s="47">
        <v>1</v>
      </c>
      <c r="H82" s="47" t="s">
        <v>88</v>
      </c>
      <c r="I82" s="117">
        <v>1320</v>
      </c>
      <c r="J82" s="48">
        <f t="shared" si="5"/>
        <v>100</v>
      </c>
    </row>
    <row r="83" spans="1:10" ht="21" customHeight="1" x14ac:dyDescent="0.15">
      <c r="A83" s="47">
        <v>49009083</v>
      </c>
      <c r="B83" s="47">
        <v>1</v>
      </c>
      <c r="C83" s="47">
        <v>950</v>
      </c>
      <c r="D83" s="47">
        <v>100</v>
      </c>
      <c r="E83" s="47" t="s">
        <v>88</v>
      </c>
      <c r="F83" s="47" t="s">
        <v>88</v>
      </c>
      <c r="G83" s="47">
        <v>1</v>
      </c>
      <c r="H83" s="47" t="s">
        <v>88</v>
      </c>
      <c r="I83" s="117">
        <v>1321</v>
      </c>
      <c r="J83" s="48">
        <f t="shared" si="5"/>
        <v>100</v>
      </c>
    </row>
    <row r="84" spans="1:10" ht="21" customHeight="1" x14ac:dyDescent="0.15">
      <c r="A84" s="47">
        <v>49009084</v>
      </c>
      <c r="B84" s="47">
        <v>1</v>
      </c>
      <c r="C84" s="47">
        <v>949</v>
      </c>
      <c r="D84" s="47">
        <v>100</v>
      </c>
      <c r="E84" s="47" t="s">
        <v>88</v>
      </c>
      <c r="F84" s="47" t="s">
        <v>88</v>
      </c>
      <c r="G84" s="47">
        <v>1</v>
      </c>
      <c r="H84" s="47" t="s">
        <v>88</v>
      </c>
      <c r="I84" s="117">
        <v>1316</v>
      </c>
      <c r="J84" s="48">
        <f t="shared" si="5"/>
        <v>100</v>
      </c>
    </row>
    <row r="85" spans="1:10" ht="21" customHeight="1" x14ac:dyDescent="0.15">
      <c r="A85" s="47">
        <v>49009085</v>
      </c>
      <c r="B85" s="47">
        <v>1</v>
      </c>
      <c r="C85" s="47">
        <v>948</v>
      </c>
      <c r="D85" s="47">
        <v>100</v>
      </c>
      <c r="E85" s="47" t="s">
        <v>88</v>
      </c>
      <c r="F85" s="47" t="s">
        <v>88</v>
      </c>
      <c r="G85" s="47">
        <v>1</v>
      </c>
      <c r="H85" s="47" t="s">
        <v>88</v>
      </c>
      <c r="I85" s="117">
        <v>1317</v>
      </c>
      <c r="J85" s="48">
        <f t="shared" si="5"/>
        <v>100</v>
      </c>
    </row>
    <row r="86" spans="1:10" ht="21" customHeight="1" x14ac:dyDescent="0.15">
      <c r="A86" s="47">
        <v>49009086</v>
      </c>
      <c r="B86" s="47">
        <v>1</v>
      </c>
      <c r="C86" s="47">
        <v>947</v>
      </c>
      <c r="D86" s="47">
        <v>100</v>
      </c>
      <c r="E86" s="47" t="s">
        <v>88</v>
      </c>
      <c r="F86" s="47" t="s">
        <v>88</v>
      </c>
      <c r="G86" s="47">
        <v>1</v>
      </c>
      <c r="H86" s="47" t="s">
        <v>88</v>
      </c>
      <c r="I86" s="117">
        <v>1322</v>
      </c>
      <c r="J86" s="48">
        <f t="shared" si="5"/>
        <v>100</v>
      </c>
    </row>
    <row r="87" spans="1:10" ht="21" customHeight="1" x14ac:dyDescent="0.15">
      <c r="A87" s="47">
        <v>49009087</v>
      </c>
      <c r="B87" s="47">
        <v>1</v>
      </c>
      <c r="C87" s="47">
        <v>946</v>
      </c>
      <c r="D87" s="47">
        <v>100</v>
      </c>
      <c r="E87" s="47" t="s">
        <v>88</v>
      </c>
      <c r="F87" s="47" t="s">
        <v>88</v>
      </c>
      <c r="G87" s="47">
        <v>1</v>
      </c>
      <c r="H87" s="47" t="s">
        <v>88</v>
      </c>
      <c r="I87" s="117">
        <v>1323</v>
      </c>
      <c r="J87" s="48">
        <f t="shared" si="5"/>
        <v>100</v>
      </c>
    </row>
    <row r="88" spans="1:10" ht="21" customHeight="1" x14ac:dyDescent="0.15">
      <c r="A88" s="47">
        <v>49009088</v>
      </c>
      <c r="B88" s="47">
        <v>1</v>
      </c>
      <c r="C88" s="47">
        <v>945</v>
      </c>
      <c r="D88" s="47">
        <v>100</v>
      </c>
      <c r="E88" s="47" t="s">
        <v>88</v>
      </c>
      <c r="F88" s="47" t="s">
        <v>88</v>
      </c>
      <c r="G88" s="47">
        <v>1</v>
      </c>
      <c r="H88" s="47" t="s">
        <v>88</v>
      </c>
      <c r="I88" s="113">
        <f>ROW()-1</f>
        <v>87</v>
      </c>
      <c r="J88" s="48">
        <f t="shared" si="5"/>
        <v>100</v>
      </c>
    </row>
    <row r="89" spans="1:10" ht="21" customHeight="1" x14ac:dyDescent="0.15">
      <c r="A89" s="47">
        <v>49009089</v>
      </c>
      <c r="B89" s="47">
        <v>1</v>
      </c>
      <c r="C89" s="47">
        <v>944</v>
      </c>
      <c r="D89" s="47">
        <v>100</v>
      </c>
      <c r="E89" s="47" t="s">
        <v>88</v>
      </c>
      <c r="F89" s="47" t="s">
        <v>88</v>
      </c>
      <c r="G89" s="47">
        <v>1</v>
      </c>
      <c r="H89" s="47" t="s">
        <v>88</v>
      </c>
      <c r="I89" s="113">
        <f>ROW()-1</f>
        <v>88</v>
      </c>
      <c r="J89" s="48">
        <f t="shared" ref="J89:J92" si="6">D89</f>
        <v>100</v>
      </c>
    </row>
    <row r="90" spans="1:10" ht="21" customHeight="1" x14ac:dyDescent="0.15">
      <c r="A90" s="47">
        <v>49009090</v>
      </c>
      <c r="B90" s="47">
        <v>1</v>
      </c>
      <c r="C90" s="47">
        <v>943</v>
      </c>
      <c r="D90" s="47">
        <v>100</v>
      </c>
      <c r="E90" s="47" t="s">
        <v>88</v>
      </c>
      <c r="F90" s="47" t="s">
        <v>88</v>
      </c>
      <c r="G90" s="47">
        <v>1</v>
      </c>
      <c r="H90" s="47" t="s">
        <v>88</v>
      </c>
      <c r="I90" s="114">
        <v>1313</v>
      </c>
      <c r="J90" s="48">
        <f t="shared" si="6"/>
        <v>100</v>
      </c>
    </row>
    <row r="91" spans="1:10" ht="21" customHeight="1" x14ac:dyDescent="0.15">
      <c r="A91" s="47">
        <v>49009091</v>
      </c>
      <c r="B91" s="47">
        <v>1</v>
      </c>
      <c r="C91" s="47">
        <v>942</v>
      </c>
      <c r="D91" s="47">
        <v>100</v>
      </c>
      <c r="E91" s="47" t="s">
        <v>88</v>
      </c>
      <c r="F91" s="47" t="s">
        <v>88</v>
      </c>
      <c r="G91" s="47">
        <v>1</v>
      </c>
      <c r="H91" s="47" t="s">
        <v>88</v>
      </c>
      <c r="I91" s="115">
        <f>ROW()-1</f>
        <v>90</v>
      </c>
      <c r="J91" s="48">
        <f t="shared" si="6"/>
        <v>100</v>
      </c>
    </row>
    <row r="92" spans="1:10" ht="21" customHeight="1" x14ac:dyDescent="0.15">
      <c r="A92" s="47">
        <v>49009092</v>
      </c>
      <c r="B92" s="47">
        <v>1</v>
      </c>
      <c r="C92" s="47">
        <v>941</v>
      </c>
      <c r="D92" s="47">
        <v>100</v>
      </c>
      <c r="E92" s="47" t="s">
        <v>88</v>
      </c>
      <c r="F92" s="47" t="s">
        <v>88</v>
      </c>
      <c r="G92" s="47">
        <v>1</v>
      </c>
      <c r="H92" s="47" t="s">
        <v>88</v>
      </c>
      <c r="I92" s="115">
        <f>ROW()-1</f>
        <v>91</v>
      </c>
      <c r="J92" s="48">
        <f t="shared" si="6"/>
        <v>100</v>
      </c>
    </row>
    <row r="93" spans="1:10" ht="21" customHeight="1" x14ac:dyDescent="0.15">
      <c r="A93" s="47">
        <v>49009093</v>
      </c>
      <c r="B93" s="47">
        <v>1</v>
      </c>
      <c r="C93" s="47">
        <v>940</v>
      </c>
      <c r="D93" s="47">
        <v>100</v>
      </c>
      <c r="E93" s="47" t="s">
        <v>88</v>
      </c>
      <c r="F93" s="47" t="s">
        <v>88</v>
      </c>
      <c r="G93" s="47">
        <v>1</v>
      </c>
      <c r="H93" s="47" t="s">
        <v>88</v>
      </c>
      <c r="I93" s="116">
        <v>1314</v>
      </c>
      <c r="J93" s="48">
        <f t="shared" ref="J93:J149" si="7">D93</f>
        <v>100</v>
      </c>
    </row>
    <row r="94" spans="1:10" ht="21" customHeight="1" x14ac:dyDescent="0.2">
      <c r="A94" s="106">
        <v>49009094</v>
      </c>
      <c r="B94" s="47">
        <v>0</v>
      </c>
      <c r="C94" s="47">
        <v>939</v>
      </c>
      <c r="D94" s="47">
        <v>100</v>
      </c>
      <c r="E94" s="47" t="s">
        <v>88</v>
      </c>
      <c r="F94" s="47" t="s">
        <v>88</v>
      </c>
      <c r="G94" s="47">
        <v>0</v>
      </c>
      <c r="H94" s="47" t="s">
        <v>88</v>
      </c>
      <c r="I94" s="138">
        <v>1317</v>
      </c>
      <c r="J94" s="48">
        <f t="shared" si="7"/>
        <v>100</v>
      </c>
    </row>
    <row r="95" spans="1:10" ht="21" customHeight="1" x14ac:dyDescent="0.2">
      <c r="A95" s="106">
        <v>49009095</v>
      </c>
      <c r="B95" s="47">
        <v>0</v>
      </c>
      <c r="C95" s="47">
        <v>938</v>
      </c>
      <c r="D95" s="47">
        <v>100</v>
      </c>
      <c r="E95" s="47" t="s">
        <v>88</v>
      </c>
      <c r="F95" s="47" t="s">
        <v>88</v>
      </c>
      <c r="G95" s="47">
        <v>0</v>
      </c>
      <c r="H95" s="47" t="s">
        <v>88</v>
      </c>
      <c r="I95" s="138">
        <v>1316</v>
      </c>
      <c r="J95" s="48">
        <f t="shared" si="7"/>
        <v>100</v>
      </c>
    </row>
    <row r="96" spans="1:10" ht="21" customHeight="1" x14ac:dyDescent="0.2">
      <c r="A96" s="106">
        <v>49009096</v>
      </c>
      <c r="B96" s="47">
        <v>0</v>
      </c>
      <c r="C96" s="47">
        <v>937</v>
      </c>
      <c r="D96" s="47">
        <v>100</v>
      </c>
      <c r="E96" s="47" t="s">
        <v>88</v>
      </c>
      <c r="F96" s="47" t="s">
        <v>88</v>
      </c>
      <c r="G96" s="47">
        <v>0</v>
      </c>
      <c r="H96" s="47" t="s">
        <v>88</v>
      </c>
      <c r="I96" s="138">
        <v>1310</v>
      </c>
      <c r="J96" s="48">
        <f t="shared" si="7"/>
        <v>100</v>
      </c>
    </row>
    <row r="97" spans="1:10" ht="21" customHeight="1" x14ac:dyDescent="0.2">
      <c r="A97" s="106">
        <v>49009097</v>
      </c>
      <c r="B97" s="47">
        <v>0</v>
      </c>
      <c r="C97" s="47">
        <v>936</v>
      </c>
      <c r="D97" s="47">
        <v>100</v>
      </c>
      <c r="E97" s="47" t="s">
        <v>88</v>
      </c>
      <c r="F97" s="47" t="s">
        <v>88</v>
      </c>
      <c r="G97" s="47">
        <v>0</v>
      </c>
      <c r="H97" s="47" t="s">
        <v>88</v>
      </c>
      <c r="I97" s="138">
        <v>1309</v>
      </c>
      <c r="J97" s="48">
        <f t="shared" si="7"/>
        <v>100</v>
      </c>
    </row>
    <row r="98" spans="1:10" ht="21" customHeight="1" x14ac:dyDescent="0.2">
      <c r="A98" s="106">
        <v>49009098</v>
      </c>
      <c r="B98" s="47">
        <v>0</v>
      </c>
      <c r="C98" s="47">
        <v>935</v>
      </c>
      <c r="D98" s="47">
        <v>100</v>
      </c>
      <c r="E98" s="47" t="s">
        <v>88</v>
      </c>
      <c r="F98" s="47" t="s">
        <v>88</v>
      </c>
      <c r="G98" s="47">
        <v>0</v>
      </c>
      <c r="H98" s="47" t="s">
        <v>88</v>
      </c>
      <c r="I98" s="138">
        <v>540</v>
      </c>
      <c r="J98" s="48">
        <f t="shared" si="7"/>
        <v>100</v>
      </c>
    </row>
    <row r="99" spans="1:10" ht="21" customHeight="1" x14ac:dyDescent="0.2">
      <c r="A99" s="106">
        <v>49009099</v>
      </c>
      <c r="B99" s="47">
        <v>0</v>
      </c>
      <c r="C99" s="47">
        <v>934</v>
      </c>
      <c r="D99" s="47">
        <v>100</v>
      </c>
      <c r="E99" s="47" t="s">
        <v>88</v>
      </c>
      <c r="F99" s="47" t="s">
        <v>88</v>
      </c>
      <c r="G99" s="47">
        <v>0</v>
      </c>
      <c r="H99" s="47" t="s">
        <v>88</v>
      </c>
      <c r="I99" s="138">
        <v>539</v>
      </c>
      <c r="J99" s="48">
        <f t="shared" si="7"/>
        <v>100</v>
      </c>
    </row>
    <row r="100" spans="1:10" ht="21" customHeight="1" x14ac:dyDescent="0.2">
      <c r="A100" s="106">
        <v>49009100</v>
      </c>
      <c r="B100" s="47">
        <v>0</v>
      </c>
      <c r="C100" s="47">
        <v>933</v>
      </c>
      <c r="D100" s="47">
        <v>100</v>
      </c>
      <c r="E100" s="47" t="s">
        <v>88</v>
      </c>
      <c r="F100" s="47" t="s">
        <v>88</v>
      </c>
      <c r="G100" s="47">
        <v>0</v>
      </c>
      <c r="H100" s="47" t="s">
        <v>88</v>
      </c>
      <c r="I100" s="138">
        <v>1308</v>
      </c>
      <c r="J100" s="48">
        <f t="shared" si="7"/>
        <v>100</v>
      </c>
    </row>
    <row r="101" spans="1:10" ht="21" customHeight="1" x14ac:dyDescent="0.2">
      <c r="A101" s="106">
        <v>49009101</v>
      </c>
      <c r="B101" s="47">
        <v>0</v>
      </c>
      <c r="C101" s="47">
        <v>932</v>
      </c>
      <c r="D101" s="47">
        <v>100</v>
      </c>
      <c r="E101" s="47" t="s">
        <v>88</v>
      </c>
      <c r="F101" s="47" t="s">
        <v>88</v>
      </c>
      <c r="G101" s="47">
        <v>0</v>
      </c>
      <c r="H101" s="47" t="s">
        <v>88</v>
      </c>
      <c r="I101" s="138">
        <v>542</v>
      </c>
      <c r="J101" s="48">
        <f t="shared" si="7"/>
        <v>100</v>
      </c>
    </row>
    <row r="102" spans="1:10" ht="21" customHeight="1" x14ac:dyDescent="0.2">
      <c r="A102" s="106">
        <v>49009102</v>
      </c>
      <c r="B102" s="47">
        <v>0</v>
      </c>
      <c r="C102" s="47">
        <v>931</v>
      </c>
      <c r="D102" s="47">
        <v>100</v>
      </c>
      <c r="E102" s="47" t="s">
        <v>88</v>
      </c>
      <c r="F102" s="47" t="s">
        <v>88</v>
      </c>
      <c r="G102" s="47">
        <v>0</v>
      </c>
      <c r="H102" s="47" t="s">
        <v>88</v>
      </c>
      <c r="I102" s="138">
        <v>541</v>
      </c>
      <c r="J102" s="48">
        <f t="shared" si="7"/>
        <v>100</v>
      </c>
    </row>
    <row r="103" spans="1:10" ht="21" customHeight="1" x14ac:dyDescent="0.2">
      <c r="A103" s="106">
        <v>49009103</v>
      </c>
      <c r="B103" s="47">
        <v>0</v>
      </c>
      <c r="C103" s="47">
        <v>930</v>
      </c>
      <c r="D103" s="47">
        <v>100</v>
      </c>
      <c r="E103" s="47" t="s">
        <v>88</v>
      </c>
      <c r="F103" s="47" t="s">
        <v>88</v>
      </c>
      <c r="G103" s="47">
        <v>0</v>
      </c>
      <c r="H103" s="47" t="s">
        <v>88</v>
      </c>
      <c r="I103" s="138">
        <v>1299</v>
      </c>
      <c r="J103" s="48">
        <f t="shared" si="7"/>
        <v>100</v>
      </c>
    </row>
    <row r="104" spans="1:10" ht="21" customHeight="1" x14ac:dyDescent="0.2">
      <c r="A104" s="106">
        <v>49009104</v>
      </c>
      <c r="B104" s="47">
        <v>0</v>
      </c>
      <c r="C104" s="47">
        <v>929</v>
      </c>
      <c r="D104" s="47">
        <v>100</v>
      </c>
      <c r="E104" s="47" t="s">
        <v>88</v>
      </c>
      <c r="F104" s="47" t="s">
        <v>88</v>
      </c>
      <c r="G104" s="47">
        <v>0</v>
      </c>
      <c r="H104" s="47" t="s">
        <v>88</v>
      </c>
      <c r="I104" s="138">
        <v>528</v>
      </c>
      <c r="J104" s="48">
        <f t="shared" si="7"/>
        <v>100</v>
      </c>
    </row>
    <row r="105" spans="1:10" ht="21" customHeight="1" x14ac:dyDescent="0.2">
      <c r="A105" s="106">
        <v>49009105</v>
      </c>
      <c r="B105" s="47">
        <v>0</v>
      </c>
      <c r="C105" s="47">
        <v>928</v>
      </c>
      <c r="D105" s="47">
        <v>100</v>
      </c>
      <c r="E105" s="47" t="s">
        <v>88</v>
      </c>
      <c r="F105" s="47" t="s">
        <v>88</v>
      </c>
      <c r="G105" s="47">
        <v>0</v>
      </c>
      <c r="H105" s="47" t="s">
        <v>88</v>
      </c>
      <c r="I105" s="138">
        <v>527</v>
      </c>
      <c r="J105" s="48">
        <f t="shared" si="7"/>
        <v>100</v>
      </c>
    </row>
    <row r="106" spans="1:10" ht="21" customHeight="1" x14ac:dyDescent="0.2">
      <c r="A106" s="106">
        <v>49009106</v>
      </c>
      <c r="B106" s="47">
        <v>0</v>
      </c>
      <c r="C106" s="47">
        <v>923</v>
      </c>
      <c r="D106" s="47">
        <v>100</v>
      </c>
      <c r="E106" s="47" t="s">
        <v>88</v>
      </c>
      <c r="F106" s="47" t="s">
        <v>88</v>
      </c>
      <c r="G106" s="47">
        <v>0</v>
      </c>
      <c r="H106" s="47" t="s">
        <v>88</v>
      </c>
      <c r="I106" s="138">
        <v>1319</v>
      </c>
      <c r="J106" s="48">
        <f t="shared" si="7"/>
        <v>100</v>
      </c>
    </row>
    <row r="107" spans="1:10" ht="21" customHeight="1" x14ac:dyDescent="0.2">
      <c r="A107" s="106">
        <v>49009107</v>
      </c>
      <c r="B107" s="47">
        <v>0</v>
      </c>
      <c r="C107" s="47">
        <v>922</v>
      </c>
      <c r="D107" s="47">
        <v>100</v>
      </c>
      <c r="E107" s="47" t="s">
        <v>88</v>
      </c>
      <c r="F107" s="47" t="s">
        <v>88</v>
      </c>
      <c r="G107" s="47">
        <v>0</v>
      </c>
      <c r="H107" s="47" t="s">
        <v>88</v>
      </c>
      <c r="I107" s="138">
        <v>1318</v>
      </c>
      <c r="J107" s="48">
        <f t="shared" si="7"/>
        <v>100</v>
      </c>
    </row>
    <row r="108" spans="1:10" ht="21" customHeight="1" x14ac:dyDescent="0.2">
      <c r="A108" s="106">
        <v>49009108</v>
      </c>
      <c r="B108" s="47">
        <v>0</v>
      </c>
      <c r="C108" s="47">
        <v>921</v>
      </c>
      <c r="D108" s="47">
        <v>100</v>
      </c>
      <c r="E108" s="47" t="s">
        <v>88</v>
      </c>
      <c r="F108" s="47" t="s">
        <v>88</v>
      </c>
      <c r="G108" s="47">
        <v>0</v>
      </c>
      <c r="H108" s="47" t="s">
        <v>88</v>
      </c>
      <c r="I108" s="138">
        <v>1311</v>
      </c>
      <c r="J108" s="48">
        <f t="shared" si="7"/>
        <v>100</v>
      </c>
    </row>
    <row r="109" spans="1:10" ht="21" customHeight="1" x14ac:dyDescent="0.2">
      <c r="A109" s="106">
        <v>49009109</v>
      </c>
      <c r="B109" s="47">
        <v>0</v>
      </c>
      <c r="C109" s="47">
        <v>920</v>
      </c>
      <c r="D109" s="47">
        <v>100</v>
      </c>
      <c r="E109" s="47" t="s">
        <v>88</v>
      </c>
      <c r="F109" s="47" t="s">
        <v>88</v>
      </c>
      <c r="G109" s="47">
        <v>0</v>
      </c>
      <c r="H109" s="47" t="s">
        <v>88</v>
      </c>
      <c r="I109" s="138">
        <v>544</v>
      </c>
      <c r="J109" s="48">
        <f t="shared" si="7"/>
        <v>100</v>
      </c>
    </row>
    <row r="110" spans="1:10" ht="21" customHeight="1" x14ac:dyDescent="0.2">
      <c r="A110" s="106">
        <v>49009110</v>
      </c>
      <c r="B110" s="47">
        <v>0</v>
      </c>
      <c r="C110" s="47">
        <v>919</v>
      </c>
      <c r="D110" s="47">
        <v>100</v>
      </c>
      <c r="E110" s="47" t="s">
        <v>88</v>
      </c>
      <c r="F110" s="47" t="s">
        <v>88</v>
      </c>
      <c r="G110" s="47">
        <v>0</v>
      </c>
      <c r="H110" s="47" t="s">
        <v>88</v>
      </c>
      <c r="I110" s="138">
        <v>543</v>
      </c>
      <c r="J110" s="48">
        <f t="shared" si="7"/>
        <v>100</v>
      </c>
    </row>
    <row r="111" spans="1:10" ht="21" customHeight="1" x14ac:dyDescent="0.2">
      <c r="A111" s="106">
        <v>49009111</v>
      </c>
      <c r="B111" s="47">
        <v>0</v>
      </c>
      <c r="C111" s="47">
        <v>918</v>
      </c>
      <c r="D111" s="47">
        <v>100</v>
      </c>
      <c r="E111" s="47" t="s">
        <v>88</v>
      </c>
      <c r="F111" s="47" t="s">
        <v>88</v>
      </c>
      <c r="G111" s="47">
        <v>0</v>
      </c>
      <c r="H111" s="47" t="s">
        <v>88</v>
      </c>
      <c r="I111" s="138">
        <v>1321</v>
      </c>
      <c r="J111" s="48">
        <f t="shared" si="7"/>
        <v>100</v>
      </c>
    </row>
    <row r="112" spans="1:10" ht="21" customHeight="1" x14ac:dyDescent="0.2">
      <c r="A112" s="106">
        <v>49009112</v>
      </c>
      <c r="B112" s="47">
        <v>0</v>
      </c>
      <c r="C112" s="47">
        <v>917</v>
      </c>
      <c r="D112" s="47">
        <v>100</v>
      </c>
      <c r="E112" s="47" t="s">
        <v>88</v>
      </c>
      <c r="F112" s="47" t="s">
        <v>88</v>
      </c>
      <c r="G112" s="47">
        <v>0</v>
      </c>
      <c r="H112" s="47" t="s">
        <v>88</v>
      </c>
      <c r="I112" s="138">
        <v>1320</v>
      </c>
      <c r="J112" s="48">
        <f t="shared" si="7"/>
        <v>100</v>
      </c>
    </row>
    <row r="113" spans="1:10" ht="21" customHeight="1" x14ac:dyDescent="0.2">
      <c r="A113" s="106">
        <v>49009113</v>
      </c>
      <c r="B113" s="47">
        <v>0</v>
      </c>
      <c r="C113" s="47">
        <v>916</v>
      </c>
      <c r="D113" s="47">
        <v>100</v>
      </c>
      <c r="E113" s="47" t="s">
        <v>88</v>
      </c>
      <c r="F113" s="47" t="s">
        <v>88</v>
      </c>
      <c r="G113" s="47">
        <v>0</v>
      </c>
      <c r="H113" s="47" t="s">
        <v>88</v>
      </c>
      <c r="I113" s="138">
        <v>1312</v>
      </c>
      <c r="J113" s="48">
        <f t="shared" si="7"/>
        <v>100</v>
      </c>
    </row>
    <row r="114" spans="1:10" ht="21" customHeight="1" x14ac:dyDescent="0.2">
      <c r="A114" s="106">
        <v>49009114</v>
      </c>
      <c r="B114" s="47">
        <v>0</v>
      </c>
      <c r="C114" s="47">
        <v>915</v>
      </c>
      <c r="D114" s="47">
        <v>100</v>
      </c>
      <c r="E114" s="47" t="s">
        <v>88</v>
      </c>
      <c r="F114" s="47" t="s">
        <v>88</v>
      </c>
      <c r="G114" s="47">
        <v>0</v>
      </c>
      <c r="H114" s="47" t="s">
        <v>88</v>
      </c>
      <c r="I114" s="138">
        <v>546</v>
      </c>
      <c r="J114" s="48">
        <f t="shared" si="7"/>
        <v>100</v>
      </c>
    </row>
    <row r="115" spans="1:10" ht="21" customHeight="1" x14ac:dyDescent="0.2">
      <c r="A115" s="106">
        <v>49009115</v>
      </c>
      <c r="B115" s="47">
        <v>0</v>
      </c>
      <c r="C115" s="47">
        <v>914</v>
      </c>
      <c r="D115" s="47">
        <v>100</v>
      </c>
      <c r="E115" s="47" t="s">
        <v>88</v>
      </c>
      <c r="F115" s="47" t="s">
        <v>88</v>
      </c>
      <c r="G115" s="47">
        <v>0</v>
      </c>
      <c r="H115" s="47" t="s">
        <v>88</v>
      </c>
      <c r="I115" s="138">
        <v>545</v>
      </c>
      <c r="J115" s="48">
        <f t="shared" si="7"/>
        <v>100</v>
      </c>
    </row>
    <row r="116" spans="1:10" ht="21" customHeight="1" x14ac:dyDescent="0.2">
      <c r="A116" s="106">
        <v>49009116</v>
      </c>
      <c r="B116" s="47">
        <v>0</v>
      </c>
      <c r="C116" s="47">
        <v>913</v>
      </c>
      <c r="D116" s="47">
        <v>100</v>
      </c>
      <c r="E116" s="47" t="s">
        <v>88</v>
      </c>
      <c r="F116" s="47" t="s">
        <v>88</v>
      </c>
      <c r="G116" s="47">
        <v>0</v>
      </c>
      <c r="H116" s="47" t="s">
        <v>88</v>
      </c>
      <c r="I116" s="138">
        <v>1323</v>
      </c>
      <c r="J116" s="48">
        <f t="shared" si="7"/>
        <v>100</v>
      </c>
    </row>
    <row r="117" spans="1:10" ht="21" customHeight="1" x14ac:dyDescent="0.2">
      <c r="A117" s="106">
        <v>49009117</v>
      </c>
      <c r="B117" s="47">
        <v>0</v>
      </c>
      <c r="C117" s="47">
        <v>912</v>
      </c>
      <c r="D117" s="47">
        <v>100</v>
      </c>
      <c r="E117" s="47" t="s">
        <v>88</v>
      </c>
      <c r="F117" s="47" t="s">
        <v>88</v>
      </c>
      <c r="G117" s="47">
        <v>0</v>
      </c>
      <c r="H117" s="47" t="s">
        <v>88</v>
      </c>
      <c r="I117" s="138">
        <v>1322</v>
      </c>
      <c r="J117" s="48">
        <f t="shared" si="7"/>
        <v>100</v>
      </c>
    </row>
    <row r="118" spans="1:10" ht="21" customHeight="1" x14ac:dyDescent="0.2">
      <c r="A118" s="106">
        <v>49009118</v>
      </c>
      <c r="B118" s="47">
        <v>0</v>
      </c>
      <c r="C118" s="47">
        <v>911</v>
      </c>
      <c r="D118" s="47">
        <v>100</v>
      </c>
      <c r="E118" s="47" t="s">
        <v>88</v>
      </c>
      <c r="F118" s="47" t="s">
        <v>88</v>
      </c>
      <c r="G118" s="47">
        <v>0</v>
      </c>
      <c r="H118" s="47" t="s">
        <v>88</v>
      </c>
      <c r="I118" s="138">
        <v>1313</v>
      </c>
      <c r="J118" s="48">
        <f t="shared" si="7"/>
        <v>100</v>
      </c>
    </row>
    <row r="119" spans="1:10" ht="21" customHeight="1" x14ac:dyDescent="0.2">
      <c r="A119" s="106">
        <v>49009119</v>
      </c>
      <c r="B119" s="47">
        <v>0</v>
      </c>
      <c r="C119" s="47">
        <v>910</v>
      </c>
      <c r="D119" s="47">
        <v>100</v>
      </c>
      <c r="E119" s="47" t="s">
        <v>88</v>
      </c>
      <c r="F119" s="47" t="s">
        <v>88</v>
      </c>
      <c r="G119" s="47">
        <v>0</v>
      </c>
      <c r="H119" s="47" t="s">
        <v>88</v>
      </c>
      <c r="I119" s="138">
        <v>548</v>
      </c>
      <c r="J119" s="48">
        <f t="shared" si="7"/>
        <v>100</v>
      </c>
    </row>
    <row r="120" spans="1:10" ht="21" customHeight="1" x14ac:dyDescent="0.2">
      <c r="A120" s="106">
        <v>49009120</v>
      </c>
      <c r="B120" s="47">
        <v>0</v>
      </c>
      <c r="C120" s="47">
        <v>909</v>
      </c>
      <c r="D120" s="47">
        <v>100</v>
      </c>
      <c r="E120" s="47" t="s">
        <v>88</v>
      </c>
      <c r="F120" s="47" t="s">
        <v>88</v>
      </c>
      <c r="G120" s="47">
        <v>0</v>
      </c>
      <c r="H120" s="47" t="s">
        <v>88</v>
      </c>
      <c r="I120" s="138">
        <v>547</v>
      </c>
      <c r="J120" s="48">
        <f t="shared" si="7"/>
        <v>100</v>
      </c>
    </row>
    <row r="121" spans="1:10" ht="21" customHeight="1" x14ac:dyDescent="0.2">
      <c r="A121" s="106">
        <v>49009121</v>
      </c>
      <c r="B121" s="47">
        <v>0</v>
      </c>
      <c r="C121" s="47">
        <v>908</v>
      </c>
      <c r="D121" s="47">
        <v>100</v>
      </c>
      <c r="E121" s="47" t="s">
        <v>88</v>
      </c>
      <c r="F121" s="47" t="s">
        <v>88</v>
      </c>
      <c r="G121" s="47">
        <v>0</v>
      </c>
      <c r="H121" s="47" t="s">
        <v>88</v>
      </c>
      <c r="I121" s="138">
        <v>1315</v>
      </c>
      <c r="J121" s="48">
        <f t="shared" si="7"/>
        <v>100</v>
      </c>
    </row>
    <row r="122" spans="1:10" ht="21" customHeight="1" x14ac:dyDescent="0.2">
      <c r="A122" s="106">
        <v>49009122</v>
      </c>
      <c r="B122" s="47">
        <v>0</v>
      </c>
      <c r="C122" s="47">
        <v>907</v>
      </c>
      <c r="D122" s="47">
        <v>100</v>
      </c>
      <c r="E122" s="47" t="s">
        <v>88</v>
      </c>
      <c r="F122" s="47" t="s">
        <v>88</v>
      </c>
      <c r="G122" s="47">
        <v>0</v>
      </c>
      <c r="H122" s="47" t="s">
        <v>88</v>
      </c>
      <c r="I122" s="138">
        <v>552</v>
      </c>
      <c r="J122" s="48">
        <f t="shared" si="7"/>
        <v>100</v>
      </c>
    </row>
    <row r="123" spans="1:10" ht="21" customHeight="1" x14ac:dyDescent="0.2">
      <c r="A123" s="106">
        <v>49009123</v>
      </c>
      <c r="B123" s="47">
        <v>0</v>
      </c>
      <c r="C123" s="47">
        <v>906</v>
      </c>
      <c r="D123" s="47">
        <v>100</v>
      </c>
      <c r="E123" s="47" t="s">
        <v>88</v>
      </c>
      <c r="F123" s="47" t="s">
        <v>88</v>
      </c>
      <c r="G123" s="47">
        <v>0</v>
      </c>
      <c r="H123" s="47" t="s">
        <v>88</v>
      </c>
      <c r="I123" s="138">
        <v>551</v>
      </c>
      <c r="J123" s="48">
        <f t="shared" si="7"/>
        <v>100</v>
      </c>
    </row>
    <row r="124" spans="1:10" ht="21" customHeight="1" x14ac:dyDescent="0.2">
      <c r="A124" s="106">
        <v>49009124</v>
      </c>
      <c r="B124" s="47">
        <v>0</v>
      </c>
      <c r="C124" s="47">
        <v>905</v>
      </c>
      <c r="D124" s="47">
        <v>100</v>
      </c>
      <c r="E124" s="47" t="s">
        <v>88</v>
      </c>
      <c r="F124" s="47" t="s">
        <v>88</v>
      </c>
      <c r="G124" s="47">
        <v>0</v>
      </c>
      <c r="H124" s="47" t="s">
        <v>88</v>
      </c>
      <c r="I124" s="138">
        <v>1314</v>
      </c>
      <c r="J124" s="48">
        <f t="shared" si="7"/>
        <v>100</v>
      </c>
    </row>
    <row r="125" spans="1:10" ht="21" customHeight="1" x14ac:dyDescent="0.2">
      <c r="A125" s="106">
        <v>49009125</v>
      </c>
      <c r="B125" s="47">
        <v>0</v>
      </c>
      <c r="C125" s="47">
        <v>904</v>
      </c>
      <c r="D125" s="47">
        <v>100</v>
      </c>
      <c r="E125" s="47" t="s">
        <v>88</v>
      </c>
      <c r="F125" s="47" t="s">
        <v>88</v>
      </c>
      <c r="G125" s="47">
        <v>0</v>
      </c>
      <c r="H125" s="47" t="s">
        <v>88</v>
      </c>
      <c r="I125" s="138">
        <v>550</v>
      </c>
      <c r="J125" s="48">
        <f t="shared" si="7"/>
        <v>100</v>
      </c>
    </row>
    <row r="126" spans="1:10" ht="21" customHeight="1" x14ac:dyDescent="0.2">
      <c r="A126" s="106">
        <v>49009126</v>
      </c>
      <c r="B126" s="47">
        <v>0</v>
      </c>
      <c r="C126" s="47">
        <v>903</v>
      </c>
      <c r="D126" s="47">
        <v>100</v>
      </c>
      <c r="E126" s="47" t="s">
        <v>88</v>
      </c>
      <c r="F126" s="47" t="s">
        <v>88</v>
      </c>
      <c r="G126" s="47">
        <v>0</v>
      </c>
      <c r="H126" s="47" t="s">
        <v>88</v>
      </c>
      <c r="I126" s="138">
        <v>549</v>
      </c>
      <c r="J126" s="48">
        <f t="shared" si="7"/>
        <v>100</v>
      </c>
    </row>
    <row r="127" spans="1:10" ht="21" customHeight="1" x14ac:dyDescent="0.2">
      <c r="A127" s="106">
        <v>49009127</v>
      </c>
      <c r="B127" s="47">
        <v>0</v>
      </c>
      <c r="C127" s="47">
        <v>902</v>
      </c>
      <c r="D127" s="47">
        <v>100</v>
      </c>
      <c r="E127" s="47" t="s">
        <v>88</v>
      </c>
      <c r="F127" s="47" t="s">
        <v>88</v>
      </c>
      <c r="G127" s="47">
        <v>0</v>
      </c>
      <c r="H127" s="47" t="s">
        <v>88</v>
      </c>
      <c r="I127" s="138">
        <v>1298</v>
      </c>
      <c r="J127" s="48">
        <f t="shared" si="7"/>
        <v>100</v>
      </c>
    </row>
    <row r="128" spans="1:10" ht="21" customHeight="1" x14ac:dyDescent="0.2">
      <c r="A128" s="106">
        <v>49009128</v>
      </c>
      <c r="B128" s="47">
        <v>0</v>
      </c>
      <c r="C128" s="47">
        <v>901</v>
      </c>
      <c r="D128" s="47">
        <v>100</v>
      </c>
      <c r="E128" s="47" t="s">
        <v>88</v>
      </c>
      <c r="F128" s="47" t="s">
        <v>88</v>
      </c>
      <c r="G128" s="47">
        <v>0</v>
      </c>
      <c r="H128" s="47" t="s">
        <v>88</v>
      </c>
      <c r="I128" s="138">
        <v>1297</v>
      </c>
      <c r="J128" s="48">
        <f t="shared" si="7"/>
        <v>100</v>
      </c>
    </row>
    <row r="129" spans="1:10" ht="21" customHeight="1" x14ac:dyDescent="0.2">
      <c r="A129" s="106">
        <v>49009129</v>
      </c>
      <c r="B129" s="47">
        <v>0</v>
      </c>
      <c r="C129" s="47">
        <v>900</v>
      </c>
      <c r="D129" s="47">
        <v>100</v>
      </c>
      <c r="E129" s="47" t="s">
        <v>88</v>
      </c>
      <c r="F129" s="47" t="s">
        <v>88</v>
      </c>
      <c r="G129" s="47">
        <v>0</v>
      </c>
      <c r="H129" s="47" t="s">
        <v>88</v>
      </c>
      <c r="I129" s="138">
        <v>526</v>
      </c>
      <c r="J129" s="48">
        <f t="shared" si="7"/>
        <v>100</v>
      </c>
    </row>
    <row r="130" spans="1:10" ht="21" customHeight="1" x14ac:dyDescent="0.2">
      <c r="A130" s="106">
        <v>49009130</v>
      </c>
      <c r="B130" s="47">
        <v>0</v>
      </c>
      <c r="C130" s="47">
        <v>899</v>
      </c>
      <c r="D130" s="47">
        <v>100</v>
      </c>
      <c r="E130" s="47" t="s">
        <v>88</v>
      </c>
      <c r="F130" s="47" t="s">
        <v>88</v>
      </c>
      <c r="G130" s="47">
        <v>0</v>
      </c>
      <c r="H130" s="47" t="s">
        <v>88</v>
      </c>
      <c r="I130" s="138">
        <v>525</v>
      </c>
      <c r="J130" s="48">
        <f t="shared" si="7"/>
        <v>100</v>
      </c>
    </row>
    <row r="131" spans="1:10" ht="21" customHeight="1" x14ac:dyDescent="0.2">
      <c r="A131" s="106">
        <v>49009131</v>
      </c>
      <c r="B131" s="47">
        <v>0</v>
      </c>
      <c r="C131" s="47">
        <v>898</v>
      </c>
      <c r="D131" s="47">
        <v>100</v>
      </c>
      <c r="E131" s="47" t="s">
        <v>88</v>
      </c>
      <c r="F131" s="47" t="s">
        <v>88</v>
      </c>
      <c r="G131" s="47">
        <v>0</v>
      </c>
      <c r="H131" s="47" t="s">
        <v>88</v>
      </c>
      <c r="I131" s="138">
        <v>554</v>
      </c>
      <c r="J131" s="48">
        <f t="shared" si="7"/>
        <v>100</v>
      </c>
    </row>
    <row r="132" spans="1:10" ht="21" customHeight="1" x14ac:dyDescent="0.2">
      <c r="A132" s="106">
        <v>49009132</v>
      </c>
      <c r="B132" s="47">
        <v>0</v>
      </c>
      <c r="C132" s="47">
        <v>897</v>
      </c>
      <c r="D132" s="47">
        <v>100</v>
      </c>
      <c r="E132" s="47" t="s">
        <v>88</v>
      </c>
      <c r="F132" s="47" t="s">
        <v>88</v>
      </c>
      <c r="G132" s="47">
        <v>0</v>
      </c>
      <c r="H132" s="47" t="s">
        <v>88</v>
      </c>
      <c r="I132" s="138">
        <v>553</v>
      </c>
      <c r="J132" s="48">
        <f t="shared" si="7"/>
        <v>100</v>
      </c>
    </row>
    <row r="133" spans="1:10" ht="21" customHeight="1" x14ac:dyDescent="0.2">
      <c r="A133" s="106">
        <v>49009133</v>
      </c>
      <c r="B133" s="47">
        <v>0</v>
      </c>
      <c r="C133" s="47">
        <v>896</v>
      </c>
      <c r="D133" s="47">
        <v>100</v>
      </c>
      <c r="E133" s="47" t="s">
        <v>88</v>
      </c>
      <c r="F133" s="47" t="s">
        <v>88</v>
      </c>
      <c r="G133" s="47">
        <v>0</v>
      </c>
      <c r="H133" s="47" t="s">
        <v>88</v>
      </c>
      <c r="I133" s="138">
        <v>556</v>
      </c>
      <c r="J133" s="48">
        <f t="shared" si="7"/>
        <v>100</v>
      </c>
    </row>
    <row r="134" spans="1:10" ht="21" customHeight="1" x14ac:dyDescent="0.2">
      <c r="A134" s="106">
        <v>49009134</v>
      </c>
      <c r="B134" s="47">
        <v>0</v>
      </c>
      <c r="C134" s="47">
        <v>895</v>
      </c>
      <c r="D134" s="47">
        <v>100</v>
      </c>
      <c r="E134" s="47" t="s">
        <v>88</v>
      </c>
      <c r="F134" s="47" t="s">
        <v>88</v>
      </c>
      <c r="G134" s="47">
        <v>0</v>
      </c>
      <c r="H134" s="47" t="s">
        <v>88</v>
      </c>
      <c r="I134" s="138">
        <v>555</v>
      </c>
      <c r="J134" s="48">
        <f t="shared" si="7"/>
        <v>100</v>
      </c>
    </row>
    <row r="135" spans="1:10" ht="21" customHeight="1" x14ac:dyDescent="0.2">
      <c r="A135" s="106">
        <v>49009135</v>
      </c>
      <c r="B135" s="47">
        <v>0</v>
      </c>
      <c r="C135" s="47">
        <v>894</v>
      </c>
      <c r="D135" s="47">
        <v>100</v>
      </c>
      <c r="E135" s="47" t="s">
        <v>88</v>
      </c>
      <c r="F135" s="47" t="s">
        <v>88</v>
      </c>
      <c r="G135" s="47">
        <v>0</v>
      </c>
      <c r="H135" s="47" t="s">
        <v>88</v>
      </c>
      <c r="I135" s="138">
        <v>1296</v>
      </c>
      <c r="J135" s="48">
        <f t="shared" si="7"/>
        <v>100</v>
      </c>
    </row>
    <row r="136" spans="1:10" ht="21" customHeight="1" x14ac:dyDescent="0.2">
      <c r="A136" s="106">
        <v>49009136</v>
      </c>
      <c r="B136" s="47">
        <v>0</v>
      </c>
      <c r="C136" s="47">
        <v>893</v>
      </c>
      <c r="D136" s="47">
        <v>100</v>
      </c>
      <c r="E136" s="47" t="s">
        <v>88</v>
      </c>
      <c r="F136" s="47" t="s">
        <v>88</v>
      </c>
      <c r="G136" s="47">
        <v>0</v>
      </c>
      <c r="H136" s="47" t="s">
        <v>88</v>
      </c>
      <c r="I136" s="138">
        <v>1295</v>
      </c>
      <c r="J136" s="48">
        <f t="shared" si="7"/>
        <v>100</v>
      </c>
    </row>
    <row r="137" spans="1:10" ht="21" customHeight="1" x14ac:dyDescent="0.2">
      <c r="A137" s="106">
        <v>49009137</v>
      </c>
      <c r="B137" s="47">
        <v>0</v>
      </c>
      <c r="C137" s="47">
        <v>892</v>
      </c>
      <c r="D137" s="47">
        <v>100</v>
      </c>
      <c r="E137" s="47" t="s">
        <v>88</v>
      </c>
      <c r="F137" s="47" t="s">
        <v>88</v>
      </c>
      <c r="G137" s="47">
        <v>0</v>
      </c>
      <c r="H137" s="47" t="s">
        <v>88</v>
      </c>
      <c r="I137" s="138">
        <v>559</v>
      </c>
      <c r="J137" s="48">
        <f t="shared" si="7"/>
        <v>100</v>
      </c>
    </row>
    <row r="138" spans="1:10" ht="21" customHeight="1" x14ac:dyDescent="0.2">
      <c r="A138" s="106">
        <v>49009138</v>
      </c>
      <c r="B138" s="47">
        <v>0</v>
      </c>
      <c r="C138" s="47">
        <v>891</v>
      </c>
      <c r="D138" s="47">
        <v>100</v>
      </c>
      <c r="E138" s="47" t="s">
        <v>88</v>
      </c>
      <c r="F138" s="47" t="s">
        <v>88</v>
      </c>
      <c r="G138" s="47">
        <v>0</v>
      </c>
      <c r="H138" s="47" t="s">
        <v>88</v>
      </c>
      <c r="I138" s="138">
        <v>558</v>
      </c>
      <c r="J138" s="48">
        <f t="shared" si="7"/>
        <v>100</v>
      </c>
    </row>
    <row r="139" spans="1:10" ht="21" customHeight="1" x14ac:dyDescent="0.2">
      <c r="A139" s="106">
        <v>49009139</v>
      </c>
      <c r="B139" s="47">
        <v>0</v>
      </c>
      <c r="C139" s="47">
        <v>890</v>
      </c>
      <c r="D139" s="47">
        <v>100</v>
      </c>
      <c r="E139" s="47" t="s">
        <v>88</v>
      </c>
      <c r="F139" s="47" t="s">
        <v>88</v>
      </c>
      <c r="G139" s="47">
        <v>0</v>
      </c>
      <c r="H139" s="47" t="s">
        <v>88</v>
      </c>
      <c r="I139" s="138">
        <v>557</v>
      </c>
      <c r="J139" s="48">
        <f t="shared" si="7"/>
        <v>100</v>
      </c>
    </row>
    <row r="140" spans="1:10" ht="21" customHeight="1" x14ac:dyDescent="0.2">
      <c r="A140" s="106">
        <v>49009140</v>
      </c>
      <c r="B140" s="47">
        <v>0</v>
      </c>
      <c r="C140" s="47">
        <v>889</v>
      </c>
      <c r="D140" s="47">
        <v>100</v>
      </c>
      <c r="E140" s="47" t="s">
        <v>88</v>
      </c>
      <c r="F140" s="47" t="s">
        <v>88</v>
      </c>
      <c r="G140" s="47">
        <v>0</v>
      </c>
      <c r="H140" s="47" t="s">
        <v>88</v>
      </c>
      <c r="I140" s="138">
        <v>1307</v>
      </c>
      <c r="J140" s="48">
        <f t="shared" si="7"/>
        <v>100</v>
      </c>
    </row>
    <row r="141" spans="1:10" ht="21" customHeight="1" x14ac:dyDescent="0.2">
      <c r="A141" s="106">
        <v>49009141</v>
      </c>
      <c r="B141" s="47">
        <v>0</v>
      </c>
      <c r="C141" s="47">
        <v>888</v>
      </c>
      <c r="D141" s="47">
        <v>100</v>
      </c>
      <c r="E141" s="47" t="s">
        <v>88</v>
      </c>
      <c r="F141" s="47" t="s">
        <v>88</v>
      </c>
      <c r="G141" s="47">
        <v>0</v>
      </c>
      <c r="H141" s="47" t="s">
        <v>88</v>
      </c>
      <c r="I141" s="138">
        <v>1306</v>
      </c>
      <c r="J141" s="48">
        <f t="shared" si="7"/>
        <v>100</v>
      </c>
    </row>
    <row r="142" spans="1:10" ht="21" customHeight="1" x14ac:dyDescent="0.2">
      <c r="A142" s="106">
        <v>49009142</v>
      </c>
      <c r="B142" s="47">
        <v>0</v>
      </c>
      <c r="C142" s="47">
        <v>887</v>
      </c>
      <c r="D142" s="47">
        <v>100</v>
      </c>
      <c r="E142" s="47" t="s">
        <v>88</v>
      </c>
      <c r="F142" s="47" t="s">
        <v>88</v>
      </c>
      <c r="G142" s="47">
        <v>0</v>
      </c>
      <c r="H142" s="47" t="s">
        <v>88</v>
      </c>
      <c r="I142" s="138">
        <v>1301</v>
      </c>
      <c r="J142" s="48">
        <f t="shared" si="7"/>
        <v>100</v>
      </c>
    </row>
    <row r="143" spans="1:10" ht="21" customHeight="1" x14ac:dyDescent="0.2">
      <c r="A143" s="106">
        <v>49009143</v>
      </c>
      <c r="B143" s="47">
        <v>0</v>
      </c>
      <c r="C143" s="47">
        <v>886</v>
      </c>
      <c r="D143" s="47">
        <v>100</v>
      </c>
      <c r="E143" s="47" t="s">
        <v>88</v>
      </c>
      <c r="F143" s="47" t="s">
        <v>88</v>
      </c>
      <c r="G143" s="47">
        <v>0</v>
      </c>
      <c r="H143" s="47" t="s">
        <v>88</v>
      </c>
      <c r="I143" s="138">
        <v>1300</v>
      </c>
      <c r="J143" s="48">
        <f t="shared" si="7"/>
        <v>100</v>
      </c>
    </row>
    <row r="144" spans="1:10" ht="21" customHeight="1" x14ac:dyDescent="0.2">
      <c r="A144" s="106">
        <v>49009144</v>
      </c>
      <c r="B144" s="47">
        <v>0</v>
      </c>
      <c r="C144" s="47">
        <v>885</v>
      </c>
      <c r="D144" s="47">
        <v>100</v>
      </c>
      <c r="E144" s="47" t="s">
        <v>88</v>
      </c>
      <c r="F144" s="47" t="s">
        <v>88</v>
      </c>
      <c r="G144" s="47">
        <v>0</v>
      </c>
      <c r="H144" s="47" t="s">
        <v>88</v>
      </c>
      <c r="I144" s="138">
        <v>1305</v>
      </c>
      <c r="J144" s="48">
        <f t="shared" si="7"/>
        <v>100</v>
      </c>
    </row>
    <row r="145" spans="1:10" ht="21" customHeight="1" x14ac:dyDescent="0.2">
      <c r="A145" s="106">
        <v>49009145</v>
      </c>
      <c r="B145" s="47">
        <v>0</v>
      </c>
      <c r="C145" s="47">
        <v>884</v>
      </c>
      <c r="D145" s="47">
        <v>100</v>
      </c>
      <c r="E145" s="47" t="s">
        <v>88</v>
      </c>
      <c r="F145" s="47" t="s">
        <v>88</v>
      </c>
      <c r="G145" s="47">
        <v>0</v>
      </c>
      <c r="H145" s="47" t="s">
        <v>88</v>
      </c>
      <c r="I145" s="138">
        <v>1304</v>
      </c>
      <c r="J145" s="48">
        <f t="shared" si="7"/>
        <v>100</v>
      </c>
    </row>
    <row r="146" spans="1:10" ht="21" customHeight="1" x14ac:dyDescent="0.2">
      <c r="A146" s="106">
        <v>49009146</v>
      </c>
      <c r="B146" s="47">
        <v>0</v>
      </c>
      <c r="C146" s="47">
        <v>883</v>
      </c>
      <c r="D146" s="47">
        <v>100</v>
      </c>
      <c r="E146" s="47" t="s">
        <v>88</v>
      </c>
      <c r="F146" s="47" t="s">
        <v>88</v>
      </c>
      <c r="G146" s="47">
        <v>0</v>
      </c>
      <c r="H146" s="47" t="s">
        <v>88</v>
      </c>
      <c r="I146" s="138">
        <v>1303</v>
      </c>
      <c r="J146" s="48">
        <f t="shared" si="7"/>
        <v>100</v>
      </c>
    </row>
    <row r="147" spans="1:10" ht="21" customHeight="1" x14ac:dyDescent="0.2">
      <c r="A147" s="106">
        <v>49009147</v>
      </c>
      <c r="B147" s="47">
        <v>0</v>
      </c>
      <c r="C147" s="47">
        <v>882</v>
      </c>
      <c r="D147" s="47">
        <v>100</v>
      </c>
      <c r="E147" s="47" t="s">
        <v>88</v>
      </c>
      <c r="F147" s="47" t="s">
        <v>88</v>
      </c>
      <c r="G147" s="47">
        <v>0</v>
      </c>
      <c r="H147" s="47" t="s">
        <v>88</v>
      </c>
      <c r="I147" s="138">
        <v>1302</v>
      </c>
      <c r="J147" s="48">
        <f t="shared" si="7"/>
        <v>100</v>
      </c>
    </row>
    <row r="148" spans="1:10" ht="21" customHeight="1" x14ac:dyDescent="0.15">
      <c r="A148" s="106">
        <v>49009148</v>
      </c>
      <c r="B148" s="47">
        <v>0</v>
      </c>
      <c r="C148" s="47">
        <v>881</v>
      </c>
      <c r="D148" s="47">
        <v>100</v>
      </c>
      <c r="E148" s="47" t="s">
        <v>88</v>
      </c>
      <c r="F148" s="47" t="s">
        <v>88</v>
      </c>
      <c r="G148" s="47">
        <v>0</v>
      </c>
      <c r="H148" s="47" t="s">
        <v>88</v>
      </c>
      <c r="I148" s="115">
        <v>508</v>
      </c>
      <c r="J148" s="48">
        <f t="shared" si="7"/>
        <v>100</v>
      </c>
    </row>
    <row r="149" spans="1:10" ht="21" customHeight="1" x14ac:dyDescent="0.15">
      <c r="A149" s="106">
        <v>49009149</v>
      </c>
      <c r="B149" s="47">
        <v>0</v>
      </c>
      <c r="C149" s="47">
        <v>880</v>
      </c>
      <c r="D149" s="47">
        <v>100</v>
      </c>
      <c r="E149" s="47" t="s">
        <v>88</v>
      </c>
      <c r="F149" s="47" t="s">
        <v>88</v>
      </c>
      <c r="G149" s="47">
        <v>0</v>
      </c>
      <c r="H149" s="47" t="s">
        <v>88</v>
      </c>
      <c r="I149" s="115">
        <v>509</v>
      </c>
      <c r="J149" s="48">
        <f t="shared" si="7"/>
        <v>100</v>
      </c>
    </row>
    <row r="150" spans="1:10" ht="21" customHeight="1" x14ac:dyDescent="0.15">
      <c r="A150" s="106">
        <v>49009150</v>
      </c>
      <c r="B150" s="47">
        <v>0</v>
      </c>
      <c r="C150" s="47">
        <v>879</v>
      </c>
      <c r="D150" s="47">
        <v>100</v>
      </c>
      <c r="E150" s="47" t="s">
        <v>88</v>
      </c>
      <c r="F150" s="47" t="s">
        <v>88</v>
      </c>
      <c r="G150" s="47">
        <v>0</v>
      </c>
      <c r="H150" s="47" t="s">
        <v>88</v>
      </c>
      <c r="I150" s="116">
        <v>824</v>
      </c>
      <c r="J150" s="48">
        <f t="shared" ref="J150" si="8">D150</f>
        <v>100</v>
      </c>
    </row>
    <row r="151" spans="1:10" ht="21" customHeight="1" x14ac:dyDescent="0.15">
      <c r="A151" s="47">
        <v>49009151</v>
      </c>
      <c r="B151" s="48">
        <v>0</v>
      </c>
      <c r="C151" s="48">
        <v>100</v>
      </c>
      <c r="D151" s="48">
        <v>100</v>
      </c>
      <c r="E151" s="48" t="s">
        <v>265</v>
      </c>
      <c r="F151" s="48" t="s">
        <v>266</v>
      </c>
      <c r="G151" s="48">
        <v>1</v>
      </c>
      <c r="H151" s="48" t="s">
        <v>88</v>
      </c>
      <c r="I151" s="48" t="s">
        <v>266</v>
      </c>
      <c r="J151" s="48">
        <f>D151</f>
        <v>100</v>
      </c>
    </row>
  </sheetData>
  <autoFilter ref="A1:G1"/>
  <phoneticPr fontId="5"/>
  <conditionalFormatting sqref="K151:K1048576 K1:K30 K32:K33">
    <cfRule type="duplicateValues" dxfId="4" priority="5"/>
  </conditionalFormatting>
  <conditionalFormatting sqref="K34:K93">
    <cfRule type="duplicateValues" dxfId="3" priority="4"/>
  </conditionalFormatting>
  <conditionalFormatting sqref="K94">
    <cfRule type="duplicateValues" dxfId="2" priority="3"/>
  </conditionalFormatting>
  <conditionalFormatting sqref="K31">
    <cfRule type="duplicateValues" dxfId="1" priority="1"/>
  </conditionalFormatting>
  <conditionalFormatting sqref="K95:K150">
    <cfRule type="duplicateValues" dxfId="0" priority="8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topLeftCell="G1" workbookViewId="0">
      <selection activeCell="G11" sqref="G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49009</v>
      </c>
      <c r="B2" s="57">
        <v>1</v>
      </c>
      <c r="C2" s="70" t="str">
        <f>A2&amp; "_"&amp;B2</f>
        <v>49009_1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349</v>
      </c>
      <c r="G2" s="57">
        <v>1304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168</v>
      </c>
      <c r="R2" s="57" t="s">
        <v>169</v>
      </c>
    </row>
    <row r="3" spans="1:18" x14ac:dyDescent="0.15">
      <c r="A3" s="57">
        <v>49009</v>
      </c>
      <c r="B3" s="57">
        <v>1</v>
      </c>
      <c r="C3" s="70" t="str">
        <f t="shared" ref="C3:C11" si="0">A3&amp; "_"&amp;B3</f>
        <v>49009_1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349</v>
      </c>
      <c r="G3" s="57">
        <v>342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130</v>
      </c>
      <c r="Q3" s="57" t="s">
        <v>168</v>
      </c>
      <c r="R3" s="57" t="s">
        <v>169</v>
      </c>
    </row>
    <row r="4" spans="1:18" x14ac:dyDescent="0.15">
      <c r="A4" s="57">
        <v>49009</v>
      </c>
      <c r="B4" s="57">
        <v>1</v>
      </c>
      <c r="C4" s="70" t="str">
        <f t="shared" ref="C4" si="1">A4&amp; "_"&amp;B4</f>
        <v>49009_1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349</v>
      </c>
      <c r="G4" s="57">
        <v>343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168</v>
      </c>
      <c r="R4" s="57" t="s">
        <v>169</v>
      </c>
    </row>
    <row r="5" spans="1:18" x14ac:dyDescent="0.15">
      <c r="A5" s="57">
        <v>49009</v>
      </c>
      <c r="B5" s="57">
        <v>1</v>
      </c>
      <c r="C5" s="70" t="str">
        <f t="shared" si="0"/>
        <v>49009_1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349</v>
      </c>
      <c r="G5" s="57">
        <v>607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120</v>
      </c>
      <c r="Q5" s="57" t="s">
        <v>168</v>
      </c>
      <c r="R5" s="57" t="s">
        <v>169</v>
      </c>
    </row>
    <row r="6" spans="1:18" x14ac:dyDescent="0.15">
      <c r="A6" s="57">
        <v>49009</v>
      </c>
      <c r="B6" s="57">
        <v>1</v>
      </c>
      <c r="C6" s="70" t="str">
        <f t="shared" si="0"/>
        <v>49009_1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349</v>
      </c>
      <c r="G6" s="57">
        <v>608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120</v>
      </c>
      <c r="Q6" s="57" t="s">
        <v>168</v>
      </c>
      <c r="R6" s="57" t="s">
        <v>169</v>
      </c>
    </row>
    <row r="7" spans="1:18" x14ac:dyDescent="0.15">
      <c r="A7" s="57">
        <v>49009</v>
      </c>
      <c r="B7" s="57">
        <v>1</v>
      </c>
      <c r="C7" s="70" t="str">
        <f t="shared" si="0"/>
        <v>49009_1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349</v>
      </c>
      <c r="G7" s="57">
        <v>609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120</v>
      </c>
      <c r="Q7" s="57" t="s">
        <v>168</v>
      </c>
      <c r="R7" s="57" t="s">
        <v>169</v>
      </c>
    </row>
    <row r="8" spans="1:18" x14ac:dyDescent="0.15">
      <c r="A8" s="57">
        <v>49009</v>
      </c>
      <c r="B8" s="57">
        <v>1</v>
      </c>
      <c r="C8" s="70" t="str">
        <f t="shared" si="0"/>
        <v>49009_1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349</v>
      </c>
      <c r="G8" s="57">
        <v>125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30</v>
      </c>
      <c r="Q8" s="57" t="s">
        <v>168</v>
      </c>
      <c r="R8" s="57" t="s">
        <v>169</v>
      </c>
    </row>
    <row r="9" spans="1:18" x14ac:dyDescent="0.15">
      <c r="A9" s="57">
        <v>49009</v>
      </c>
      <c r="B9" s="57">
        <v>1</v>
      </c>
      <c r="C9" s="70" t="str">
        <f t="shared" si="0"/>
        <v>49009_1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349</v>
      </c>
      <c r="G9" s="57">
        <v>352</v>
      </c>
      <c r="H9" s="57">
        <v>1</v>
      </c>
      <c r="I9" s="57">
        <v>10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30</v>
      </c>
      <c r="Q9" s="57" t="s">
        <v>168</v>
      </c>
      <c r="R9" s="57" t="s">
        <v>169</v>
      </c>
    </row>
    <row r="10" spans="1:18" x14ac:dyDescent="0.15">
      <c r="A10" s="57">
        <v>49009</v>
      </c>
      <c r="B10" s="57">
        <v>1</v>
      </c>
      <c r="C10" s="70" t="str">
        <f t="shared" si="0"/>
        <v>49009_1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349</v>
      </c>
      <c r="G10" s="57">
        <v>353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</v>
      </c>
      <c r="Q10" s="57" t="s">
        <v>168</v>
      </c>
      <c r="R10" s="57" t="s">
        <v>169</v>
      </c>
    </row>
    <row r="11" spans="1:18" x14ac:dyDescent="0.15">
      <c r="A11" s="57">
        <v>49009</v>
      </c>
      <c r="B11" s="57">
        <v>1</v>
      </c>
      <c r="C11" s="70" t="str">
        <f t="shared" si="0"/>
        <v>49009_1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350</v>
      </c>
      <c r="G11" s="57">
        <v>63000</v>
      </c>
      <c r="H11" s="57" t="s">
        <v>351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170</v>
      </c>
      <c r="Q11" s="57" t="s">
        <v>168</v>
      </c>
      <c r="R11" s="57" t="s">
        <v>169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30" sqref="J3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90" t="s">
        <v>193</v>
      </c>
      <c r="J1" s="78" t="s">
        <v>126</v>
      </c>
      <c r="K1" s="77" t="s">
        <v>185</v>
      </c>
      <c r="L1" s="91" t="s">
        <v>184</v>
      </c>
      <c r="M1" s="79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7"/>
  <sheetViews>
    <sheetView showGridLines="0" workbookViewId="0">
      <pane ySplit="1" topLeftCell="A2" activePane="bottomLeft" state="frozen"/>
      <selection pane="bottomLeft" activeCell="I15" sqref="I1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4.6640625" customWidth="1"/>
    <col min="13" max="13" width="42.6640625" customWidth="1"/>
  </cols>
  <sheetData>
    <row r="1" spans="1:15" x14ac:dyDescent="0.15">
      <c r="A1" s="75" t="s">
        <v>186</v>
      </c>
      <c r="B1" s="72" t="s">
        <v>150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8" t="s">
        <v>192</v>
      </c>
      <c r="J1" s="90" t="s">
        <v>193</v>
      </c>
      <c r="K1" s="78" t="s">
        <v>126</v>
      </c>
      <c r="L1" s="77" t="s">
        <v>185</v>
      </c>
      <c r="M1" s="91" t="s">
        <v>184</v>
      </c>
      <c r="N1" s="79" t="s">
        <v>194</v>
      </c>
    </row>
    <row r="2" spans="1:15" ht="42" x14ac:dyDescent="0.15">
      <c r="A2" s="80" t="s">
        <v>195</v>
      </c>
      <c r="B2" s="81">
        <f>floors!$C$2</f>
        <v>49009</v>
      </c>
      <c r="C2" s="82" t="str">
        <f ca="1">VLOOKUP($B2,OFFSET([2]quests!$A$1,0,0,COUNTA([2]quests!$A:$A),MATCH(C$1,[2]quests!$1:$1,0)-MATCH($B$1,[2]quests!$1:$1,0)+1),MATCH(C$1,[2]quests!$1:$1,0)-MATCH($B$1,[2]quests!$1:$1,0)+1,FALSE)</f>
        <v>電子音協奏曲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コラボ降臨7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コラボ降臨7</v>
      </c>
      <c r="H2" s="84">
        <v>1</v>
      </c>
      <c r="I2" s="89">
        <f t="shared" ref="I2:I7" si="0">ROW()-1</f>
        <v>1</v>
      </c>
      <c r="J2" s="85" t="str">
        <f t="shared" ref="J2:J7" si="1">B2&amp;TEXT(I2,"00")</f>
        <v>4900901</v>
      </c>
      <c r="K2" s="83" t="s">
        <v>196</v>
      </c>
      <c r="L2" s="86" t="s">
        <v>197</v>
      </c>
      <c r="M2" s="108" t="s">
        <v>386</v>
      </c>
      <c r="N2" s="57" t="s">
        <v>198</v>
      </c>
      <c r="O2">
        <f>LEN(M2)</f>
        <v>39</v>
      </c>
    </row>
    <row r="3" spans="1:15" ht="42" x14ac:dyDescent="0.15">
      <c r="A3" s="80" t="s">
        <v>195</v>
      </c>
      <c r="B3" s="81">
        <f>floors!$C$2</f>
        <v>49009</v>
      </c>
      <c r="C3" s="82" t="str">
        <f ca="1">VLOOKUP($B3,OFFSET([2]quests!$A$1,0,0,COUNTA([2]quests!$A:$A),MATCH(C$1,[2]quests!$1:$1,0)-MATCH($B$1,[2]quests!$1:$1,0)+1),MATCH(C$1,[2]quests!$1:$1,0)-MATCH($B$1,[2]quests!$1:$1,0)+1,FALSE)</f>
        <v>電子音協奏曲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コラボ降臨7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コラボ降臨7</v>
      </c>
      <c r="H3" s="84">
        <v>2</v>
      </c>
      <c r="I3" s="89">
        <f t="shared" si="0"/>
        <v>2</v>
      </c>
      <c r="J3" s="85" t="str">
        <f t="shared" si="1"/>
        <v>4900902</v>
      </c>
      <c r="K3" s="83" t="s">
        <v>196</v>
      </c>
      <c r="L3" s="86" t="s">
        <v>197</v>
      </c>
      <c r="M3" s="108" t="s">
        <v>384</v>
      </c>
      <c r="N3" s="57" t="s">
        <v>198</v>
      </c>
      <c r="O3">
        <f t="shared" ref="O3:O7" si="2">LEN(M3)</f>
        <v>46</v>
      </c>
    </row>
    <row r="4" spans="1:15" ht="56" x14ac:dyDescent="0.15">
      <c r="A4" s="80" t="s">
        <v>195</v>
      </c>
      <c r="B4" s="81">
        <f>floors!$C$2</f>
        <v>49009</v>
      </c>
      <c r="C4" s="82" t="str">
        <f ca="1">VLOOKUP($B4,OFFSET([2]quests!$A$1,0,0,COUNTA([2]quests!$A:$A),MATCH(C$1,[2]quests!$1:$1,0)-MATCH($B$1,[2]quests!$1:$1,0)+1),MATCH(C$1,[2]quests!$1:$1,0)-MATCH($B$1,[2]quests!$1:$1,0)+1,FALSE)</f>
        <v>電子音協奏曲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コラボ降臨7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コラボ降臨7</v>
      </c>
      <c r="H4" s="84">
        <v>3</v>
      </c>
      <c r="I4" s="89">
        <f t="shared" si="0"/>
        <v>3</v>
      </c>
      <c r="J4" s="85" t="str">
        <f t="shared" ref="J4" si="3">B4&amp;TEXT(I4,"00")</f>
        <v>4900903</v>
      </c>
      <c r="K4" s="83" t="s">
        <v>127</v>
      </c>
      <c r="L4" s="86" t="s">
        <v>197</v>
      </c>
      <c r="M4" s="108" t="s">
        <v>385</v>
      </c>
      <c r="N4" s="57" t="s">
        <v>198</v>
      </c>
      <c r="O4">
        <f t="shared" ref="O4" si="4">LEN(M4)</f>
        <v>48</v>
      </c>
    </row>
    <row r="5" spans="1:15" ht="56" x14ac:dyDescent="0.15">
      <c r="A5" s="80" t="s">
        <v>263</v>
      </c>
      <c r="B5" s="81">
        <f>floors!$C$2</f>
        <v>49009</v>
      </c>
      <c r="C5" s="82" t="str">
        <f ca="1">VLOOKUP($B5,OFFSET([2]quests!$A$1,0,0,COUNTA([2]quests!$A:$A),MATCH(C$1,[2]quests!$1:$1,0)-MATCH($B$1,[2]quests!$1:$1,0)+1),MATCH(C$1,[2]quests!$1:$1,0)-MATCH($B$1,[2]quests!$1:$1,0)+1,FALSE)</f>
        <v>電子音協奏曲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コラボ降臨7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コラボ降臨7</v>
      </c>
      <c r="H5" s="84">
        <v>0</v>
      </c>
      <c r="I5" s="89">
        <f t="shared" si="0"/>
        <v>4</v>
      </c>
      <c r="J5" s="85" t="str">
        <f t="shared" si="1"/>
        <v>4900904</v>
      </c>
      <c r="K5" s="83" t="s">
        <v>196</v>
      </c>
      <c r="L5" s="86" t="s">
        <v>295</v>
      </c>
      <c r="M5" s="108" t="s">
        <v>299</v>
      </c>
      <c r="N5" s="57" t="s">
        <v>198</v>
      </c>
      <c r="O5">
        <f t="shared" si="2"/>
        <v>60</v>
      </c>
    </row>
    <row r="6" spans="1:15" ht="56" x14ac:dyDescent="0.15">
      <c r="A6" s="80" t="s">
        <v>263</v>
      </c>
      <c r="B6" s="81">
        <f>floors!$C$2</f>
        <v>49009</v>
      </c>
      <c r="C6" s="82" t="str">
        <f ca="1">VLOOKUP($B6,OFFSET([2]quests!$A$1,0,0,COUNTA([2]quests!$A:$A),MATCH(C$1,[2]quests!$1:$1,0)-MATCH($B$1,[2]quests!$1:$1,0)+1),MATCH(C$1,[2]quests!$1:$1,0)-MATCH($B$1,[2]quests!$1:$1,0)+1,FALSE)</f>
        <v>電子音協奏曲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コラボ降臨7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コラボ降臨7</v>
      </c>
      <c r="H6" s="84">
        <v>0</v>
      </c>
      <c r="I6" s="89">
        <f t="shared" si="0"/>
        <v>5</v>
      </c>
      <c r="J6" s="85" t="str">
        <f t="shared" si="1"/>
        <v>4900905</v>
      </c>
      <c r="K6" s="83" t="s">
        <v>196</v>
      </c>
      <c r="L6" s="86" t="s">
        <v>296</v>
      </c>
      <c r="M6" s="108" t="s">
        <v>301</v>
      </c>
      <c r="N6" s="57" t="s">
        <v>198</v>
      </c>
      <c r="O6">
        <f t="shared" si="2"/>
        <v>57</v>
      </c>
    </row>
    <row r="7" spans="1:15" ht="42" x14ac:dyDescent="0.15">
      <c r="A7" s="80" t="s">
        <v>263</v>
      </c>
      <c r="B7" s="81">
        <f>floors!$C$2</f>
        <v>49009</v>
      </c>
      <c r="C7" s="82" t="str">
        <f ca="1">VLOOKUP($B7,OFFSET([2]quests!$A$1,0,0,COUNTA([2]quests!$A:$A),MATCH(C$1,[2]quests!$1:$1,0)-MATCH($B$1,[2]quests!$1:$1,0)+1),MATCH(C$1,[2]quests!$1:$1,0)-MATCH($B$1,[2]quests!$1:$1,0)+1,FALSE)</f>
        <v>電子音協奏曲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コラボ降臨7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コラボ降臨7</v>
      </c>
      <c r="H7" s="84">
        <v>0</v>
      </c>
      <c r="I7" s="89">
        <f t="shared" si="0"/>
        <v>6</v>
      </c>
      <c r="J7" s="85" t="str">
        <f t="shared" si="1"/>
        <v>4900906</v>
      </c>
      <c r="K7" s="83" t="s">
        <v>196</v>
      </c>
      <c r="L7" s="86" t="s">
        <v>297</v>
      </c>
      <c r="M7" s="108" t="s">
        <v>300</v>
      </c>
      <c r="N7" s="57" t="s">
        <v>198</v>
      </c>
      <c r="O7">
        <f t="shared" si="2"/>
        <v>57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8"/>
  <sheetViews>
    <sheetView showGridLines="0" workbookViewId="0">
      <pane ySplit="1" topLeftCell="A2" activePane="bottomLeft" state="frozen"/>
      <selection pane="bottomLeft" activeCell="J2" sqref="J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20.33203125" customWidth="1" outlineLevel="1"/>
    <col min="15" max="15" width="5.1640625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6" t="s">
        <v>212</v>
      </c>
      <c r="D1" s="76" t="s">
        <v>33</v>
      </c>
      <c r="E1" s="94" t="s">
        <v>213</v>
      </c>
      <c r="F1" s="76" t="s">
        <v>214</v>
      </c>
      <c r="G1" s="76" t="s">
        <v>33</v>
      </c>
      <c r="H1" s="94" t="s">
        <v>215</v>
      </c>
      <c r="I1" s="94" t="s">
        <v>216</v>
      </c>
      <c r="J1" s="94" t="s">
        <v>217</v>
      </c>
      <c r="K1" s="72" t="s">
        <v>218</v>
      </c>
      <c r="L1" s="72" t="s">
        <v>219</v>
      </c>
      <c r="M1" s="72" t="s">
        <v>156</v>
      </c>
      <c r="N1" s="76" t="s">
        <v>16</v>
      </c>
      <c r="O1" s="72" t="s">
        <v>220</v>
      </c>
      <c r="P1" s="72" t="s">
        <v>56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5" t="str">
        <f t="shared" ref="A2:A5" si="0">B2&amp;"_"&amp;E2&amp;"_"&amp;H2&amp;"_"&amp;I2&amp;"_"&amp;J2</f>
        <v>49009_1_everyone_clear_1</v>
      </c>
      <c r="B2" s="122">
        <v>49009</v>
      </c>
      <c r="C2" s="82" t="str">
        <f ca="1">VLOOKUP($B2,OFFSET([2]quests!$A$1,0,0,COUNTA([2]quests!$A:$A),MATCH(C$1,[2]quests!$1:$1,0)-MATCH($B$1,[2]quests!$1:$1,0)+1),MATCH(C$1,[2]quests!$1:$1,0)-MATCH($B$1,[2]quests!$1:$1,0)+1,FALSE)</f>
        <v>電子音協奏曲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コラボ降臨7</v>
      </c>
      <c r="E2" s="12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コラボ降臨7</v>
      </c>
      <c r="H2" s="84" t="s">
        <v>224</v>
      </c>
      <c r="I2" s="123" t="s">
        <v>225</v>
      </c>
      <c r="J2" s="123">
        <v>1</v>
      </c>
      <c r="K2" s="123">
        <v>400</v>
      </c>
      <c r="L2" s="123" t="s">
        <v>226</v>
      </c>
      <c r="M2" s="123">
        <v>1304</v>
      </c>
      <c r="N2" s="12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2" s="123">
        <v>1</v>
      </c>
      <c r="P2" s="123">
        <v>1</v>
      </c>
      <c r="Q2" s="123">
        <v>1</v>
      </c>
      <c r="R2" s="123">
        <v>0</v>
      </c>
      <c r="S2" s="123">
        <v>0</v>
      </c>
      <c r="T2" s="123">
        <v>0</v>
      </c>
      <c r="U2" s="123">
        <v>0</v>
      </c>
      <c r="V2" s="123">
        <v>1</v>
      </c>
      <c r="W2" s="125" t="s">
        <v>352</v>
      </c>
      <c r="X2" s="126" t="s">
        <v>353</v>
      </c>
    </row>
    <row r="3" spans="1:24" x14ac:dyDescent="0.15">
      <c r="A3" s="95" t="str">
        <f t="shared" si="0"/>
        <v>49009_1_everyone_clear_2</v>
      </c>
      <c r="B3" s="122">
        <v>49009</v>
      </c>
      <c r="C3" s="82" t="str">
        <f ca="1">VLOOKUP($B3,OFFSET([2]quests!$A$1,0,0,COUNTA([2]quests!$A:$A),MATCH(C$1,[2]quests!$1:$1,0)-MATCH($B$1,[2]quests!$1:$1,0)+1),MATCH(C$1,[2]quests!$1:$1,0)-MATCH($B$1,[2]quests!$1:$1,0)+1,FALSE)</f>
        <v>電子音協奏曲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コラボ降臨7</v>
      </c>
      <c r="E3" s="12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コラボ降臨7</v>
      </c>
      <c r="H3" s="84" t="s">
        <v>224</v>
      </c>
      <c r="I3" s="123" t="s">
        <v>225</v>
      </c>
      <c r="J3" s="123">
        <v>2</v>
      </c>
      <c r="K3" s="123">
        <v>250</v>
      </c>
      <c r="L3" s="123" t="s">
        <v>226</v>
      </c>
      <c r="M3" s="123">
        <v>1304</v>
      </c>
      <c r="N3" s="12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3" s="123">
        <v>1</v>
      </c>
      <c r="P3" s="123">
        <v>1</v>
      </c>
      <c r="Q3" s="123">
        <v>1</v>
      </c>
      <c r="R3" s="123">
        <v>0</v>
      </c>
      <c r="S3" s="123">
        <v>0</v>
      </c>
      <c r="T3" s="123">
        <v>0</v>
      </c>
      <c r="U3" s="123">
        <v>0</v>
      </c>
      <c r="V3" s="123">
        <v>2</v>
      </c>
      <c r="W3" s="125" t="s">
        <v>354</v>
      </c>
      <c r="X3" s="126" t="s">
        <v>355</v>
      </c>
    </row>
    <row r="4" spans="1:24" x14ac:dyDescent="0.15">
      <c r="A4" s="95" t="str">
        <f t="shared" si="0"/>
        <v>49009_1_everyone_clear_3</v>
      </c>
      <c r="B4" s="122">
        <v>49009</v>
      </c>
      <c r="C4" s="82" t="str">
        <f ca="1">VLOOKUP($B4,OFFSET([2]quests!$A$1,0,0,COUNTA([2]quests!$A:$A),MATCH(C$1,[2]quests!$1:$1,0)-MATCH($B$1,[2]quests!$1:$1,0)+1),MATCH(C$1,[2]quests!$1:$1,0)-MATCH($B$1,[2]quests!$1:$1,0)+1,FALSE)</f>
        <v>電子音協奏曲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コラボ降臨7</v>
      </c>
      <c r="E4" s="12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コラボ降臨7</v>
      </c>
      <c r="H4" s="84" t="s">
        <v>224</v>
      </c>
      <c r="I4" s="123" t="s">
        <v>225</v>
      </c>
      <c r="J4" s="123">
        <v>3</v>
      </c>
      <c r="K4" s="123">
        <v>200</v>
      </c>
      <c r="L4" s="123" t="s">
        <v>226</v>
      </c>
      <c r="M4" s="123">
        <v>1304</v>
      </c>
      <c r="N4" s="124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4" s="123">
        <v>1</v>
      </c>
      <c r="P4" s="123">
        <v>1</v>
      </c>
      <c r="Q4" s="123">
        <v>1</v>
      </c>
      <c r="R4" s="123">
        <v>0</v>
      </c>
      <c r="S4" s="123">
        <v>0</v>
      </c>
      <c r="T4" s="123">
        <v>0</v>
      </c>
      <c r="U4" s="123">
        <v>0</v>
      </c>
      <c r="V4" s="123">
        <v>3</v>
      </c>
      <c r="W4" s="125" t="s">
        <v>356</v>
      </c>
      <c r="X4" s="126" t="s">
        <v>357</v>
      </c>
    </row>
    <row r="5" spans="1:24" x14ac:dyDescent="0.15">
      <c r="A5" s="95" t="str">
        <f t="shared" si="0"/>
        <v>49009_1_everyone_clear_4</v>
      </c>
      <c r="B5" s="122">
        <v>49009</v>
      </c>
      <c r="C5" s="82" t="str">
        <f ca="1">VLOOKUP($B5,OFFSET([2]quests!$A$1,0,0,COUNTA([2]quests!$A:$A),MATCH(C$1,[2]quests!$1:$1,0)-MATCH($B$1,[2]quests!$1:$1,0)+1),MATCH(C$1,[2]quests!$1:$1,0)-MATCH($B$1,[2]quests!$1:$1,0)+1,FALSE)</f>
        <v>電子音協奏曲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コラボ降臨7</v>
      </c>
      <c r="E5" s="12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コラボ降臨7</v>
      </c>
      <c r="H5" s="84" t="s">
        <v>224</v>
      </c>
      <c r="I5" s="123" t="s">
        <v>225</v>
      </c>
      <c r="J5" s="123">
        <v>4</v>
      </c>
      <c r="K5" s="123">
        <v>100</v>
      </c>
      <c r="L5" s="123" t="s">
        <v>226</v>
      </c>
      <c r="M5" s="123">
        <v>1304</v>
      </c>
      <c r="N5" s="124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5" s="123">
        <v>1</v>
      </c>
      <c r="P5" s="123">
        <v>1</v>
      </c>
      <c r="Q5" s="123">
        <v>1</v>
      </c>
      <c r="R5" s="123">
        <v>0</v>
      </c>
      <c r="S5" s="123">
        <v>0</v>
      </c>
      <c r="T5" s="123">
        <v>0</v>
      </c>
      <c r="U5" s="123">
        <v>0</v>
      </c>
      <c r="V5" s="123">
        <v>4</v>
      </c>
      <c r="W5" s="125" t="s">
        <v>358</v>
      </c>
      <c r="X5" s="126" t="s">
        <v>359</v>
      </c>
    </row>
    <row r="6" spans="1:24" s="134" customFormat="1" ht="16" thickBot="1" x14ac:dyDescent="0.2">
      <c r="A6" s="127" t="str">
        <f>B6&amp;"_"&amp;E6&amp;"_"&amp;H6&amp;"_"&amp;I6&amp;"_"&amp;J6</f>
        <v>49009_1_everyone_clear_5</v>
      </c>
      <c r="B6" s="122">
        <v>49009</v>
      </c>
      <c r="C6" s="128" t="str">
        <f ca="1">VLOOKUP($B6,OFFSET([2]quests!$A$1,0,0,COUNTA([2]quests!$A:$A),MATCH(C$1,[2]quests!$1:$1,0)-MATCH($B$1,[2]quests!$1:$1,0)+1),MATCH(C$1,[2]quests!$1:$1,0)-MATCH($B$1,[2]quests!$1:$1,0)+1,FALSE)</f>
        <v>電子音協奏曲</v>
      </c>
      <c r="D6" s="128" t="str">
        <f ca="1">VLOOKUP($B6,OFFSET([2]quests!$A$1,0,0,COUNTA([2]quests!$A:$A),MATCH(D$1,[2]quests!$1:$1,0)-MATCH($B$1,[2]quests!$1:$1,0)+1),MATCH(D$1,[2]quests!$1:$1,0)-MATCH($B$1,[2]quests!$1:$1,0)+1,FALSE)</f>
        <v>コラボ降臨7</v>
      </c>
      <c r="E6" s="129">
        <v>1</v>
      </c>
      <c r="F6" s="128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6" s="128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コラボ降臨7</v>
      </c>
      <c r="H6" s="130" t="s">
        <v>224</v>
      </c>
      <c r="I6" s="129" t="s">
        <v>225</v>
      </c>
      <c r="J6" s="129">
        <v>5</v>
      </c>
      <c r="K6" s="129">
        <v>50</v>
      </c>
      <c r="L6" s="129" t="s">
        <v>226</v>
      </c>
      <c r="M6" s="123">
        <v>1304</v>
      </c>
      <c r="N6" s="131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6" s="129">
        <v>1</v>
      </c>
      <c r="P6" s="129">
        <v>1</v>
      </c>
      <c r="Q6" s="129">
        <v>1</v>
      </c>
      <c r="R6" s="129">
        <v>0</v>
      </c>
      <c r="S6" s="129">
        <v>0</v>
      </c>
      <c r="T6" s="129">
        <v>0</v>
      </c>
      <c r="U6" s="129">
        <v>0</v>
      </c>
      <c r="V6" s="129">
        <v>5</v>
      </c>
      <c r="W6" s="132" t="s">
        <v>227</v>
      </c>
      <c r="X6" s="133" t="s">
        <v>228</v>
      </c>
    </row>
    <row r="7" spans="1:24" ht="16" thickTop="1" x14ac:dyDescent="0.15">
      <c r="A7" s="95" t="str">
        <f>B7&amp;"_"&amp;E7&amp;"_"&amp;H7&amp;"_"&amp;I7&amp;"_"&amp;J7</f>
        <v>49009_1_everyone_no_continue_6</v>
      </c>
      <c r="B7" s="122">
        <v>49009</v>
      </c>
      <c r="C7" s="82" t="str">
        <f ca="1">VLOOKUP($B7,OFFSET([2]quests!$A$1,0,0,COUNTA([2]quests!$A:$A),MATCH(C$1,[2]quests!$1:$1,0)-MATCH($B$1,[2]quests!$1:$1,0)+1),MATCH(C$1,[2]quests!$1:$1,0)-MATCH($B$1,[2]quests!$1:$1,0)+1,FALSE)</f>
        <v>電子音協奏曲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コラボ降臨7</v>
      </c>
      <c r="E7" s="12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コラボ降臨7</v>
      </c>
      <c r="H7" s="84" t="s">
        <v>224</v>
      </c>
      <c r="I7" s="123" t="s">
        <v>229</v>
      </c>
      <c r="J7" s="123">
        <v>6</v>
      </c>
      <c r="K7" s="123">
        <v>1000</v>
      </c>
      <c r="L7" s="123" t="s">
        <v>226</v>
      </c>
      <c r="M7" s="123">
        <v>1304</v>
      </c>
      <c r="N7" s="124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7" s="123">
        <v>1</v>
      </c>
      <c r="P7" s="123">
        <v>1</v>
      </c>
      <c r="Q7" s="123">
        <v>1</v>
      </c>
      <c r="R7" s="123">
        <v>0</v>
      </c>
      <c r="S7" s="123">
        <v>0</v>
      </c>
      <c r="T7" s="123">
        <v>0</v>
      </c>
      <c r="U7" s="123">
        <v>0</v>
      </c>
      <c r="V7" s="123">
        <v>1</v>
      </c>
      <c r="W7" s="125" t="s">
        <v>227</v>
      </c>
      <c r="X7" s="126" t="s">
        <v>228</v>
      </c>
    </row>
    <row r="8" spans="1:24" x14ac:dyDescent="0.15">
      <c r="A8" s="95" t="str">
        <f>B8&amp;"_"&amp;E8&amp;"_"&amp;H8&amp;"_"&amp;I8&amp;"_"&amp;J8</f>
        <v>49009_1_everyone_full_member_7</v>
      </c>
      <c r="B8" s="122">
        <v>49009</v>
      </c>
      <c r="C8" s="82" t="str">
        <f ca="1">VLOOKUP($B8,OFFSET([2]quests!$A$1,0,0,COUNTA([2]quests!$A:$A),MATCH(C$1,[2]quests!$1:$1,0)-MATCH($B$1,[2]quests!$1:$1,0)+1),MATCH(C$1,[2]quests!$1:$1,0)-MATCH($B$1,[2]quests!$1:$1,0)+1,FALSE)</f>
        <v>電子音協奏曲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コラボ降臨7</v>
      </c>
      <c r="E8" s="12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【ウィザード級】電子音協奏曲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コラボ降臨7</v>
      </c>
      <c r="H8" s="84" t="s">
        <v>224</v>
      </c>
      <c r="I8" s="123" t="s">
        <v>387</v>
      </c>
      <c r="J8" s="123">
        <v>7</v>
      </c>
      <c r="K8" s="123">
        <v>1000</v>
      </c>
      <c r="L8" s="123" t="s">
        <v>226</v>
      </c>
      <c r="M8" s="123">
        <v>1304</v>
      </c>
      <c r="N8" s="124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演鼠の響笛音 ハーメルン</v>
      </c>
      <c r="O8" s="123">
        <v>1</v>
      </c>
      <c r="P8" s="123">
        <v>1</v>
      </c>
      <c r="Q8" s="123">
        <v>1</v>
      </c>
      <c r="R8" s="123">
        <v>0</v>
      </c>
      <c r="S8" s="123">
        <v>0</v>
      </c>
      <c r="T8" s="123">
        <v>0</v>
      </c>
      <c r="U8" s="123">
        <v>0</v>
      </c>
      <c r="V8" s="123">
        <v>1</v>
      </c>
      <c r="W8" s="125" t="s">
        <v>227</v>
      </c>
      <c r="X8" s="126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2017-01-23T10:21:30Z</dcterms:modified>
</cp:coreProperties>
</file>