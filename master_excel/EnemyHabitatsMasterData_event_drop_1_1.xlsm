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activeTab="1"/>
  </bookViews>
  <sheets>
    <sheet name="floors_drop_1_1" sheetId="2" r:id="rId1"/>
    <sheet name="enemy_habitats_drop_1_1" sheetId="1" r:id="rId2"/>
    <sheet name="floors_drop_1_1.tmp" sheetId="5" r:id="rId3"/>
    <sheet name="enemy_habitats_drop_1_1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enemy_habitats_drop_1_1!$B$1:$AE$2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7" i="6" l="1"/>
  <c r="R71" i="6"/>
  <c r="R24" i="6"/>
  <c r="Z3" i="1"/>
  <c r="AA3" i="1"/>
  <c r="AB3" i="1"/>
  <c r="Z4" i="1"/>
  <c r="AA4" i="1"/>
  <c r="AB4" i="1"/>
  <c r="Z5" i="1"/>
  <c r="AA5" i="1"/>
  <c r="AB5" i="1"/>
  <c r="Z6" i="1"/>
  <c r="AA6" i="1"/>
  <c r="AB6" i="1"/>
  <c r="Z7" i="1"/>
  <c r="AA7" i="1"/>
  <c r="AB7" i="1"/>
  <c r="Z8" i="1"/>
  <c r="AA8" i="1"/>
  <c r="AB8" i="1"/>
  <c r="Z9" i="1"/>
  <c r="AA9" i="1"/>
  <c r="AB9" i="1"/>
  <c r="Z10" i="1"/>
  <c r="AA10" i="1"/>
  <c r="AB10" i="1"/>
  <c r="Z11" i="1"/>
  <c r="AA11" i="1"/>
  <c r="AB11" i="1"/>
  <c r="Z12" i="1"/>
  <c r="AA12" i="1"/>
  <c r="AB12" i="1"/>
  <c r="Z13" i="1"/>
  <c r="AA13" i="1"/>
  <c r="AB13" i="1"/>
  <c r="Z14" i="1"/>
  <c r="AA14" i="1"/>
  <c r="AB14" i="1"/>
  <c r="Z15" i="1"/>
  <c r="AA15" i="1"/>
  <c r="AB15" i="1"/>
  <c r="Z16" i="1"/>
  <c r="AA16" i="1"/>
  <c r="AB16" i="1"/>
  <c r="Z17" i="1"/>
  <c r="AA17" i="1"/>
  <c r="AB17" i="1"/>
  <c r="Z18" i="1"/>
  <c r="AA18" i="1"/>
  <c r="AB18" i="1"/>
  <c r="Z19" i="1"/>
  <c r="AA19" i="1"/>
  <c r="AB19" i="1"/>
  <c r="Z20" i="1"/>
  <c r="AA20" i="1"/>
  <c r="AB20" i="1"/>
  <c r="Z21" i="1"/>
  <c r="AA21" i="1"/>
  <c r="AB21" i="1"/>
  <c r="Z22" i="1"/>
  <c r="AA22" i="1"/>
  <c r="AB22" i="1"/>
  <c r="Z23" i="1"/>
  <c r="AA23" i="1"/>
  <c r="AB23" i="1"/>
  <c r="Z24" i="1"/>
  <c r="AA24" i="1"/>
  <c r="AB24" i="1"/>
  <c r="Z25" i="1"/>
  <c r="AA25" i="1"/>
  <c r="AB25" i="1"/>
  <c r="Z26" i="1"/>
  <c r="AA26" i="1"/>
  <c r="AB26" i="1"/>
  <c r="Z27" i="1"/>
  <c r="AA27" i="1"/>
  <c r="AB27" i="1"/>
  <c r="Z28" i="1"/>
  <c r="AA28" i="1"/>
  <c r="AB28" i="1"/>
  <c r="Z29" i="1"/>
  <c r="AA29" i="1"/>
  <c r="AB29" i="1"/>
  <c r="Z30" i="1"/>
  <c r="AA30" i="1"/>
  <c r="AB30" i="1"/>
  <c r="Z31" i="1"/>
  <c r="AA31" i="1"/>
  <c r="AB31" i="1"/>
  <c r="Z32" i="1"/>
  <c r="AA32" i="1"/>
  <c r="AB32" i="1"/>
  <c r="Z33" i="1"/>
  <c r="AA33" i="1"/>
  <c r="AB33" i="1"/>
  <c r="Z34" i="1"/>
  <c r="AA34" i="1"/>
  <c r="AB34" i="1"/>
  <c r="Z35" i="1"/>
  <c r="AA35" i="1"/>
  <c r="AB35" i="1"/>
  <c r="Z36" i="1"/>
  <c r="AA36" i="1"/>
  <c r="AB36" i="1"/>
  <c r="Z37" i="1"/>
  <c r="AA37" i="1"/>
  <c r="AB37" i="1"/>
  <c r="Z38" i="1"/>
  <c r="AA38" i="1"/>
  <c r="AB38" i="1"/>
  <c r="Z39" i="1"/>
  <c r="AA39" i="1"/>
  <c r="AB39" i="1"/>
  <c r="Z40" i="1"/>
  <c r="AA40" i="1"/>
  <c r="AB40" i="1"/>
  <c r="Z41" i="1"/>
  <c r="AA41" i="1"/>
  <c r="AB41" i="1"/>
  <c r="Z42" i="1"/>
  <c r="AA42" i="1"/>
  <c r="AB42" i="1"/>
  <c r="Z43" i="1"/>
  <c r="AA43" i="1"/>
  <c r="AB43" i="1"/>
  <c r="Z44" i="1"/>
  <c r="AA44" i="1"/>
  <c r="AB44" i="1"/>
  <c r="Z45" i="1"/>
  <c r="AA45" i="1"/>
  <c r="AB45" i="1"/>
  <c r="Z46" i="1"/>
  <c r="AA46" i="1"/>
  <c r="AB46" i="1"/>
  <c r="Z47" i="1"/>
  <c r="AA47" i="1"/>
  <c r="AB47" i="1"/>
  <c r="Z48" i="1"/>
  <c r="AA48" i="1"/>
  <c r="AB48" i="1"/>
  <c r="Z49" i="1"/>
  <c r="AA49" i="1"/>
  <c r="AB49" i="1"/>
  <c r="Z50" i="1"/>
  <c r="AA50" i="1"/>
  <c r="AB50" i="1"/>
  <c r="Z51" i="1"/>
  <c r="AA51" i="1"/>
  <c r="AB51" i="1"/>
  <c r="Z52" i="1"/>
  <c r="AA52" i="1"/>
  <c r="AB52" i="1"/>
  <c r="Z53" i="1"/>
  <c r="AA53" i="1"/>
  <c r="AB53" i="1"/>
  <c r="Z54" i="1"/>
  <c r="AA54" i="1"/>
  <c r="AB54" i="1"/>
  <c r="Z55" i="1"/>
  <c r="AA55" i="1"/>
  <c r="AB55" i="1"/>
  <c r="Z56" i="1"/>
  <c r="AA56" i="1"/>
  <c r="AB56" i="1"/>
  <c r="Z57" i="1"/>
  <c r="AA57" i="1"/>
  <c r="AB57" i="1"/>
  <c r="Z58" i="1"/>
  <c r="AA58" i="1"/>
  <c r="AB58" i="1"/>
  <c r="Z59" i="1"/>
  <c r="AA59" i="1"/>
  <c r="AB59" i="1"/>
  <c r="Z60" i="1"/>
  <c r="AA60" i="1"/>
  <c r="AB60" i="1"/>
  <c r="Z61" i="1"/>
  <c r="AA61" i="1"/>
  <c r="AB61" i="1"/>
  <c r="Z62" i="1"/>
  <c r="AA62" i="1"/>
  <c r="AB62" i="1"/>
  <c r="Z63" i="1"/>
  <c r="AA63" i="1"/>
  <c r="AB63" i="1"/>
  <c r="Z64" i="1"/>
  <c r="AA64" i="1"/>
  <c r="AB64" i="1"/>
  <c r="Z65" i="1"/>
  <c r="AA65" i="1"/>
  <c r="AB65" i="1"/>
  <c r="Z66" i="1"/>
  <c r="AA66" i="1"/>
  <c r="AB66" i="1"/>
  <c r="Z67" i="1"/>
  <c r="AA67" i="1"/>
  <c r="AB67" i="1"/>
  <c r="Z68" i="1"/>
  <c r="AA68" i="1"/>
  <c r="AB68" i="1"/>
  <c r="Z69" i="1"/>
  <c r="AA69" i="1"/>
  <c r="AB69" i="1"/>
  <c r="Z70" i="1"/>
  <c r="AA70" i="1"/>
  <c r="AB70" i="1"/>
  <c r="AB2" i="1"/>
  <c r="AA2" i="1"/>
  <c r="Z2" i="1"/>
  <c r="X65" i="1"/>
  <c r="X66" i="1"/>
  <c r="X67" i="1"/>
  <c r="X68" i="1"/>
  <c r="X69" i="1"/>
  <c r="X70" i="1"/>
  <c r="X64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45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2" i="1"/>
  <c r="T65" i="1"/>
  <c r="S65" i="1"/>
  <c r="T66" i="1"/>
  <c r="S66" i="1"/>
  <c r="T67" i="1"/>
  <c r="S67" i="1"/>
  <c r="T68" i="1"/>
  <c r="S68" i="1"/>
  <c r="T69" i="1"/>
  <c r="S69" i="1"/>
  <c r="T70" i="1"/>
  <c r="S70" i="1"/>
  <c r="T64" i="1"/>
  <c r="S64" i="1"/>
  <c r="T48" i="1"/>
  <c r="S48" i="1"/>
  <c r="T49" i="1"/>
  <c r="S49" i="1"/>
  <c r="T50" i="1"/>
  <c r="S50" i="1"/>
  <c r="T51" i="1"/>
  <c r="S51" i="1"/>
  <c r="T52" i="1"/>
  <c r="S52" i="1"/>
  <c r="T53" i="1"/>
  <c r="S53" i="1"/>
  <c r="T54" i="1"/>
  <c r="S54" i="1"/>
  <c r="T55" i="1"/>
  <c r="S55" i="1"/>
  <c r="T56" i="1"/>
  <c r="S56" i="1"/>
  <c r="T57" i="1"/>
  <c r="S57" i="1"/>
  <c r="T58" i="1"/>
  <c r="S58" i="1"/>
  <c r="T59" i="1"/>
  <c r="S59" i="1"/>
  <c r="T60" i="1"/>
  <c r="S60" i="1"/>
  <c r="T61" i="1"/>
  <c r="S61" i="1"/>
  <c r="T62" i="1"/>
  <c r="S62" i="1"/>
  <c r="T47" i="1"/>
  <c r="S47" i="1"/>
  <c r="T45" i="1"/>
  <c r="S45" i="1"/>
  <c r="T3" i="1"/>
  <c r="S3" i="1"/>
  <c r="T4" i="1"/>
  <c r="S4" i="1"/>
  <c r="T5" i="1"/>
  <c r="S5" i="1"/>
  <c r="T6" i="1"/>
  <c r="S6" i="1"/>
  <c r="T7" i="1"/>
  <c r="S7" i="1"/>
  <c r="T8" i="1"/>
  <c r="S8" i="1"/>
  <c r="T9" i="1"/>
  <c r="S9" i="1"/>
  <c r="T10" i="1"/>
  <c r="S10" i="1"/>
  <c r="T11" i="1"/>
  <c r="S11" i="1"/>
  <c r="T12" i="1"/>
  <c r="S12" i="1"/>
  <c r="T13" i="1"/>
  <c r="S13" i="1"/>
  <c r="T14" i="1"/>
  <c r="S14" i="1"/>
  <c r="T15" i="1"/>
  <c r="S15" i="1"/>
  <c r="T16" i="1"/>
  <c r="S16" i="1"/>
  <c r="T17" i="1"/>
  <c r="S17" i="1"/>
  <c r="T18" i="1"/>
  <c r="S18" i="1"/>
  <c r="T19" i="1"/>
  <c r="S19" i="1"/>
  <c r="T20" i="1"/>
  <c r="S20" i="1"/>
  <c r="T21" i="1"/>
  <c r="S21" i="1"/>
  <c r="T22" i="1"/>
  <c r="S22" i="1"/>
  <c r="T23" i="1"/>
  <c r="S23" i="1"/>
  <c r="T24" i="1"/>
  <c r="S24" i="1"/>
  <c r="T25" i="1"/>
  <c r="S25" i="1"/>
  <c r="T26" i="1"/>
  <c r="S26" i="1"/>
  <c r="T27" i="1"/>
  <c r="S27" i="1"/>
  <c r="T28" i="1"/>
  <c r="S28" i="1"/>
  <c r="T29" i="1"/>
  <c r="S29" i="1"/>
  <c r="T30" i="1"/>
  <c r="S30" i="1"/>
  <c r="T31" i="1"/>
  <c r="S31" i="1"/>
  <c r="T32" i="1"/>
  <c r="S32" i="1"/>
  <c r="T33" i="1"/>
  <c r="S33" i="1"/>
  <c r="T34" i="1"/>
  <c r="S34" i="1"/>
  <c r="T35" i="1"/>
  <c r="S35" i="1"/>
  <c r="T36" i="1"/>
  <c r="S36" i="1"/>
  <c r="T37" i="1"/>
  <c r="S37" i="1"/>
  <c r="T38" i="1"/>
  <c r="S38" i="1"/>
  <c r="T39" i="1"/>
  <c r="S39" i="1"/>
  <c r="T40" i="1"/>
  <c r="S40" i="1"/>
  <c r="T41" i="1"/>
  <c r="S41" i="1"/>
  <c r="T42" i="1"/>
  <c r="S42" i="1"/>
  <c r="T43" i="1"/>
  <c r="S43" i="1"/>
  <c r="T2" i="1"/>
  <c r="S2" i="1"/>
  <c r="J3" i="1"/>
  <c r="K3" i="1"/>
  <c r="L3" i="1"/>
  <c r="M3" i="1"/>
  <c r="N3" i="1"/>
  <c r="J4" i="1"/>
  <c r="K4" i="1"/>
  <c r="L4" i="1"/>
  <c r="M4" i="1"/>
  <c r="N4" i="1"/>
  <c r="J5" i="1"/>
  <c r="K5" i="1"/>
  <c r="L5" i="1"/>
  <c r="M5" i="1"/>
  <c r="N5" i="1"/>
  <c r="J6" i="1"/>
  <c r="K6" i="1"/>
  <c r="L6" i="1"/>
  <c r="M6" i="1"/>
  <c r="N6" i="1"/>
  <c r="J7" i="1"/>
  <c r="K7" i="1"/>
  <c r="L7" i="1"/>
  <c r="M7" i="1"/>
  <c r="N7" i="1"/>
  <c r="J8" i="1"/>
  <c r="K8" i="1"/>
  <c r="L8" i="1"/>
  <c r="M8" i="1"/>
  <c r="N8" i="1"/>
  <c r="J9" i="1"/>
  <c r="K9" i="1"/>
  <c r="L9" i="1"/>
  <c r="M9" i="1"/>
  <c r="N9" i="1"/>
  <c r="J10" i="1"/>
  <c r="K10" i="1"/>
  <c r="L10" i="1"/>
  <c r="M10" i="1"/>
  <c r="N10" i="1"/>
  <c r="J11" i="1"/>
  <c r="K11" i="1"/>
  <c r="L11" i="1"/>
  <c r="M11" i="1"/>
  <c r="N11" i="1"/>
  <c r="J12" i="1"/>
  <c r="K12" i="1"/>
  <c r="L12" i="1"/>
  <c r="M12" i="1"/>
  <c r="N12" i="1"/>
  <c r="J13" i="1"/>
  <c r="K13" i="1"/>
  <c r="L13" i="1"/>
  <c r="M13" i="1"/>
  <c r="N13" i="1"/>
  <c r="J14" i="1"/>
  <c r="K14" i="1"/>
  <c r="L14" i="1"/>
  <c r="M14" i="1"/>
  <c r="N14" i="1"/>
  <c r="J15" i="1"/>
  <c r="K15" i="1"/>
  <c r="L15" i="1"/>
  <c r="M15" i="1"/>
  <c r="N15" i="1"/>
  <c r="J16" i="1"/>
  <c r="K16" i="1"/>
  <c r="L16" i="1"/>
  <c r="M16" i="1"/>
  <c r="N16" i="1"/>
  <c r="J17" i="1"/>
  <c r="K17" i="1"/>
  <c r="L17" i="1"/>
  <c r="M17" i="1"/>
  <c r="N17" i="1"/>
  <c r="J18" i="1"/>
  <c r="K18" i="1"/>
  <c r="L18" i="1"/>
  <c r="M18" i="1"/>
  <c r="N18" i="1"/>
  <c r="J19" i="1"/>
  <c r="K19" i="1"/>
  <c r="L19" i="1"/>
  <c r="M19" i="1"/>
  <c r="N19" i="1"/>
  <c r="J20" i="1"/>
  <c r="K20" i="1"/>
  <c r="L20" i="1"/>
  <c r="M20" i="1"/>
  <c r="N20" i="1"/>
  <c r="J21" i="1"/>
  <c r="K21" i="1"/>
  <c r="L21" i="1"/>
  <c r="M21" i="1"/>
  <c r="N21" i="1"/>
  <c r="J22" i="1"/>
  <c r="K22" i="1"/>
  <c r="L22" i="1"/>
  <c r="M22" i="1"/>
  <c r="N22" i="1"/>
  <c r="J23" i="1"/>
  <c r="K23" i="1"/>
  <c r="L23" i="1"/>
  <c r="M23" i="1"/>
  <c r="N23" i="1"/>
  <c r="J24" i="1"/>
  <c r="K24" i="1"/>
  <c r="L24" i="1"/>
  <c r="M24" i="1"/>
  <c r="N24" i="1"/>
  <c r="J25" i="1"/>
  <c r="K25" i="1"/>
  <c r="L25" i="1"/>
  <c r="M25" i="1"/>
  <c r="N25" i="1"/>
  <c r="J26" i="1"/>
  <c r="K26" i="1"/>
  <c r="L26" i="1"/>
  <c r="M26" i="1"/>
  <c r="N26" i="1"/>
  <c r="J27" i="1"/>
  <c r="K27" i="1"/>
  <c r="L27" i="1"/>
  <c r="M27" i="1"/>
  <c r="N27" i="1"/>
  <c r="J28" i="1"/>
  <c r="K28" i="1"/>
  <c r="L28" i="1"/>
  <c r="M28" i="1"/>
  <c r="N28" i="1"/>
  <c r="J29" i="1"/>
  <c r="K29" i="1"/>
  <c r="L29" i="1"/>
  <c r="M29" i="1"/>
  <c r="N29" i="1"/>
  <c r="J30" i="1"/>
  <c r="K30" i="1"/>
  <c r="L30" i="1"/>
  <c r="M30" i="1"/>
  <c r="N30" i="1"/>
  <c r="J31" i="1"/>
  <c r="K31" i="1"/>
  <c r="L31" i="1"/>
  <c r="M31" i="1"/>
  <c r="N31" i="1"/>
  <c r="J32" i="1"/>
  <c r="K32" i="1"/>
  <c r="L32" i="1"/>
  <c r="M32" i="1"/>
  <c r="N32" i="1"/>
  <c r="J33" i="1"/>
  <c r="K33" i="1"/>
  <c r="L33" i="1"/>
  <c r="M33" i="1"/>
  <c r="N33" i="1"/>
  <c r="J34" i="1"/>
  <c r="K34" i="1"/>
  <c r="L34" i="1"/>
  <c r="M34" i="1"/>
  <c r="N34" i="1"/>
  <c r="J35" i="1"/>
  <c r="K35" i="1"/>
  <c r="L35" i="1"/>
  <c r="M35" i="1"/>
  <c r="N35" i="1"/>
  <c r="J36" i="1"/>
  <c r="K36" i="1"/>
  <c r="L36" i="1"/>
  <c r="M36" i="1"/>
  <c r="N36" i="1"/>
  <c r="J37" i="1"/>
  <c r="K37" i="1"/>
  <c r="L37" i="1"/>
  <c r="M37" i="1"/>
  <c r="N37" i="1"/>
  <c r="J38" i="1"/>
  <c r="K38" i="1"/>
  <c r="L38" i="1"/>
  <c r="M38" i="1"/>
  <c r="N38" i="1"/>
  <c r="J39" i="1"/>
  <c r="K39" i="1"/>
  <c r="L39" i="1"/>
  <c r="M39" i="1"/>
  <c r="N39" i="1"/>
  <c r="J40" i="1"/>
  <c r="K40" i="1"/>
  <c r="L40" i="1"/>
  <c r="M40" i="1"/>
  <c r="N40" i="1"/>
  <c r="J41" i="1"/>
  <c r="K41" i="1"/>
  <c r="L41" i="1"/>
  <c r="M41" i="1"/>
  <c r="N41" i="1"/>
  <c r="J42" i="1"/>
  <c r="K42" i="1"/>
  <c r="L42" i="1"/>
  <c r="M42" i="1"/>
  <c r="N42" i="1"/>
  <c r="J43" i="1"/>
  <c r="K43" i="1"/>
  <c r="L43" i="1"/>
  <c r="M43" i="1"/>
  <c r="N43" i="1"/>
  <c r="J44" i="1"/>
  <c r="K44" i="1"/>
  <c r="L44" i="1"/>
  <c r="M44" i="1"/>
  <c r="N44" i="1"/>
  <c r="J45" i="1"/>
  <c r="K45" i="1"/>
  <c r="L45" i="1"/>
  <c r="M45" i="1"/>
  <c r="N45" i="1"/>
  <c r="J46" i="1"/>
  <c r="K46" i="1"/>
  <c r="L46" i="1"/>
  <c r="M46" i="1"/>
  <c r="N46" i="1"/>
  <c r="J47" i="1"/>
  <c r="K47" i="1"/>
  <c r="L47" i="1"/>
  <c r="M47" i="1"/>
  <c r="N47" i="1"/>
  <c r="J48" i="1"/>
  <c r="K48" i="1"/>
  <c r="L48" i="1"/>
  <c r="M48" i="1"/>
  <c r="N48" i="1"/>
  <c r="J49" i="1"/>
  <c r="K49" i="1"/>
  <c r="L49" i="1"/>
  <c r="M49" i="1"/>
  <c r="N49" i="1"/>
  <c r="J50" i="1"/>
  <c r="K50" i="1"/>
  <c r="L50" i="1"/>
  <c r="M50" i="1"/>
  <c r="N50" i="1"/>
  <c r="J51" i="1"/>
  <c r="K51" i="1"/>
  <c r="L51" i="1"/>
  <c r="M51" i="1"/>
  <c r="N51" i="1"/>
  <c r="J52" i="1"/>
  <c r="K52" i="1"/>
  <c r="L52" i="1"/>
  <c r="M52" i="1"/>
  <c r="N52" i="1"/>
  <c r="J53" i="1"/>
  <c r="K53" i="1"/>
  <c r="L53" i="1"/>
  <c r="M53" i="1"/>
  <c r="N53" i="1"/>
  <c r="J54" i="1"/>
  <c r="K54" i="1"/>
  <c r="L54" i="1"/>
  <c r="M54" i="1"/>
  <c r="N54" i="1"/>
  <c r="J55" i="1"/>
  <c r="K55" i="1"/>
  <c r="L55" i="1"/>
  <c r="M55" i="1"/>
  <c r="N55" i="1"/>
  <c r="J56" i="1"/>
  <c r="K56" i="1"/>
  <c r="L56" i="1"/>
  <c r="M56" i="1"/>
  <c r="N56" i="1"/>
  <c r="J57" i="1"/>
  <c r="K57" i="1"/>
  <c r="L57" i="1"/>
  <c r="M57" i="1"/>
  <c r="N57" i="1"/>
  <c r="J58" i="1"/>
  <c r="K58" i="1"/>
  <c r="L58" i="1"/>
  <c r="M58" i="1"/>
  <c r="N58" i="1"/>
  <c r="J59" i="1"/>
  <c r="K59" i="1"/>
  <c r="L59" i="1"/>
  <c r="M59" i="1"/>
  <c r="N59" i="1"/>
  <c r="J60" i="1"/>
  <c r="K60" i="1"/>
  <c r="L60" i="1"/>
  <c r="M60" i="1"/>
  <c r="N60" i="1"/>
  <c r="J61" i="1"/>
  <c r="K61" i="1"/>
  <c r="L61" i="1"/>
  <c r="M61" i="1"/>
  <c r="N61" i="1"/>
  <c r="J62" i="1"/>
  <c r="K62" i="1"/>
  <c r="L62" i="1"/>
  <c r="M62" i="1"/>
  <c r="N62" i="1"/>
  <c r="J63" i="1"/>
  <c r="K63" i="1"/>
  <c r="L63" i="1"/>
  <c r="M63" i="1"/>
  <c r="N63" i="1"/>
  <c r="J64" i="1"/>
  <c r="K64" i="1"/>
  <c r="L64" i="1"/>
  <c r="M64" i="1"/>
  <c r="N64" i="1"/>
  <c r="J65" i="1"/>
  <c r="K65" i="1"/>
  <c r="L65" i="1"/>
  <c r="M65" i="1"/>
  <c r="N65" i="1"/>
  <c r="J66" i="1"/>
  <c r="K66" i="1"/>
  <c r="L66" i="1"/>
  <c r="M66" i="1"/>
  <c r="N66" i="1"/>
  <c r="J67" i="1"/>
  <c r="K67" i="1"/>
  <c r="L67" i="1"/>
  <c r="M67" i="1"/>
  <c r="N67" i="1"/>
  <c r="J68" i="1"/>
  <c r="K68" i="1"/>
  <c r="L68" i="1"/>
  <c r="M68" i="1"/>
  <c r="N68" i="1"/>
  <c r="J69" i="1"/>
  <c r="K69" i="1"/>
  <c r="L69" i="1"/>
  <c r="M69" i="1"/>
  <c r="N69" i="1"/>
  <c r="J70" i="1"/>
  <c r="K70" i="1"/>
  <c r="L70" i="1"/>
  <c r="M70" i="1"/>
  <c r="N70" i="1"/>
  <c r="N2" i="1"/>
  <c r="M2" i="1"/>
  <c r="L2" i="1"/>
  <c r="K2" i="1"/>
  <c r="J2" i="1"/>
  <c r="C1" i="6"/>
  <c r="A1" i="6"/>
  <c r="A67" i="1"/>
  <c r="A68" i="6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4" i="1"/>
  <c r="A65" i="1"/>
  <c r="A66" i="1"/>
  <c r="A68" i="1"/>
  <c r="A69" i="1"/>
  <c r="A70" i="1"/>
  <c r="B1" i="6"/>
  <c r="C68" i="6"/>
  <c r="A71" i="6"/>
  <c r="A44" i="1"/>
  <c r="A63" i="1"/>
  <c r="W71" i="6"/>
  <c r="V71" i="6"/>
  <c r="U71" i="6"/>
  <c r="T71" i="6"/>
  <c r="S71" i="6"/>
  <c r="AD70" i="1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A70" i="6"/>
  <c r="W70" i="6"/>
  <c r="V70" i="6"/>
  <c r="U70" i="6"/>
  <c r="T70" i="6"/>
  <c r="S70" i="6"/>
  <c r="R70" i="6"/>
  <c r="AD69" i="1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A69" i="6"/>
  <c r="W69" i="6"/>
  <c r="V69" i="6"/>
  <c r="U69" i="6"/>
  <c r="T69" i="6"/>
  <c r="S69" i="6"/>
  <c r="R69" i="6"/>
  <c r="AD68" i="1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W68" i="6"/>
  <c r="V68" i="6"/>
  <c r="U68" i="6"/>
  <c r="T68" i="6"/>
  <c r="S68" i="6"/>
  <c r="R68" i="6"/>
  <c r="AD67" i="1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B68" i="6"/>
  <c r="A67" i="6"/>
  <c r="W67" i="6"/>
  <c r="V67" i="6"/>
  <c r="U67" i="6"/>
  <c r="T67" i="6"/>
  <c r="S67" i="6"/>
  <c r="R67" i="6"/>
  <c r="AD66" i="1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A66" i="6"/>
  <c r="W66" i="6"/>
  <c r="V66" i="6"/>
  <c r="U66" i="6"/>
  <c r="T66" i="6"/>
  <c r="S66" i="6"/>
  <c r="R66" i="6"/>
  <c r="AD65" i="1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A65" i="6"/>
  <c r="W65" i="6"/>
  <c r="V65" i="6"/>
  <c r="U65" i="6"/>
  <c r="T65" i="6"/>
  <c r="S65" i="6"/>
  <c r="R65" i="6"/>
  <c r="AD64" i="1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64" i="6"/>
  <c r="W64" i="6"/>
  <c r="V64" i="6"/>
  <c r="U64" i="6"/>
  <c r="T64" i="6"/>
  <c r="S64" i="6"/>
  <c r="R64" i="6"/>
  <c r="AD63" i="1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A63" i="6"/>
  <c r="W63" i="6"/>
  <c r="V63" i="6"/>
  <c r="U63" i="6"/>
  <c r="T63" i="6"/>
  <c r="S63" i="6"/>
  <c r="R63" i="6"/>
  <c r="AD62" i="1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62" i="6"/>
  <c r="W62" i="6"/>
  <c r="V62" i="6"/>
  <c r="U62" i="6"/>
  <c r="T62" i="6"/>
  <c r="S62" i="6"/>
  <c r="R62" i="6"/>
  <c r="AD61" i="1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61" i="6"/>
  <c r="W61" i="6"/>
  <c r="V61" i="6"/>
  <c r="U61" i="6"/>
  <c r="T61" i="6"/>
  <c r="S61" i="6"/>
  <c r="R61" i="6"/>
  <c r="AD60" i="1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60" i="6"/>
  <c r="W60" i="6"/>
  <c r="V60" i="6"/>
  <c r="U60" i="6"/>
  <c r="T60" i="6"/>
  <c r="S60" i="6"/>
  <c r="R60" i="6"/>
  <c r="AD59" i="1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59" i="6"/>
  <c r="W59" i="6"/>
  <c r="V59" i="6"/>
  <c r="U59" i="6"/>
  <c r="T59" i="6"/>
  <c r="S59" i="6"/>
  <c r="R59" i="6"/>
  <c r="AD58" i="1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58" i="6"/>
  <c r="W58" i="6"/>
  <c r="V58" i="6"/>
  <c r="U58" i="6"/>
  <c r="T58" i="6"/>
  <c r="S58" i="6"/>
  <c r="R58" i="6"/>
  <c r="AD57" i="1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57" i="6"/>
  <c r="W57" i="6"/>
  <c r="V57" i="6"/>
  <c r="U57" i="6"/>
  <c r="T57" i="6"/>
  <c r="S57" i="6"/>
  <c r="R57" i="6"/>
  <c r="AD56" i="1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56" i="6"/>
  <c r="W56" i="6"/>
  <c r="V56" i="6"/>
  <c r="U56" i="6"/>
  <c r="T56" i="6"/>
  <c r="S56" i="6"/>
  <c r="R56" i="6"/>
  <c r="AD55" i="1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55" i="6"/>
  <c r="W55" i="6"/>
  <c r="V55" i="6"/>
  <c r="U55" i="6"/>
  <c r="T55" i="6"/>
  <c r="S55" i="6"/>
  <c r="R55" i="6"/>
  <c r="AD54" i="1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54" i="6"/>
  <c r="W54" i="6"/>
  <c r="V54" i="6"/>
  <c r="U54" i="6"/>
  <c r="T54" i="6"/>
  <c r="S54" i="6"/>
  <c r="R54" i="6"/>
  <c r="AD53" i="1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53" i="6"/>
  <c r="W53" i="6"/>
  <c r="V53" i="6"/>
  <c r="U53" i="6"/>
  <c r="T53" i="6"/>
  <c r="S53" i="6"/>
  <c r="R53" i="6"/>
  <c r="AD52" i="1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52" i="6"/>
  <c r="W52" i="6"/>
  <c r="V52" i="6"/>
  <c r="U52" i="6"/>
  <c r="T52" i="6"/>
  <c r="S52" i="6"/>
  <c r="R52" i="6"/>
  <c r="AD51" i="1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51" i="6"/>
  <c r="W51" i="6"/>
  <c r="V51" i="6"/>
  <c r="U51" i="6"/>
  <c r="T51" i="6"/>
  <c r="S51" i="6"/>
  <c r="R51" i="6"/>
  <c r="AD50" i="1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50" i="6"/>
  <c r="W50" i="6"/>
  <c r="V50" i="6"/>
  <c r="U50" i="6"/>
  <c r="T50" i="6"/>
  <c r="S50" i="6"/>
  <c r="R50" i="6"/>
  <c r="AD49" i="1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49" i="6"/>
  <c r="W49" i="6"/>
  <c r="V49" i="6"/>
  <c r="U49" i="6"/>
  <c r="T49" i="6"/>
  <c r="S49" i="6"/>
  <c r="R49" i="6"/>
  <c r="AD48" i="1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48" i="6"/>
  <c r="W48" i="6"/>
  <c r="V48" i="6"/>
  <c r="U48" i="6"/>
  <c r="T48" i="6"/>
  <c r="S48" i="6"/>
  <c r="R48" i="6"/>
  <c r="AD47" i="1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47" i="6"/>
  <c r="W47" i="6"/>
  <c r="V47" i="6"/>
  <c r="U47" i="6"/>
  <c r="T47" i="6"/>
  <c r="S47" i="6"/>
  <c r="AD46" i="1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46" i="6"/>
  <c r="W46" i="6"/>
  <c r="V46" i="6"/>
  <c r="U46" i="6"/>
  <c r="T46" i="6"/>
  <c r="S46" i="6"/>
  <c r="R46" i="6"/>
  <c r="AD45" i="1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45" i="6"/>
  <c r="W45" i="6"/>
  <c r="V45" i="6"/>
  <c r="U45" i="6"/>
  <c r="T45" i="6"/>
  <c r="S45" i="6"/>
  <c r="R45" i="6"/>
  <c r="AD44" i="1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44" i="6"/>
  <c r="W44" i="6"/>
  <c r="V44" i="6"/>
  <c r="U44" i="6"/>
  <c r="T44" i="6"/>
  <c r="S44" i="6"/>
  <c r="R44" i="6"/>
  <c r="AD43" i="1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43" i="6"/>
  <c r="W43" i="6"/>
  <c r="V43" i="6"/>
  <c r="U43" i="6"/>
  <c r="T43" i="6"/>
  <c r="S43" i="6"/>
  <c r="R43" i="6"/>
  <c r="AD42" i="1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42" i="6"/>
  <c r="W42" i="6"/>
  <c r="V42" i="6"/>
  <c r="U42" i="6"/>
  <c r="T42" i="6"/>
  <c r="S42" i="6"/>
  <c r="R42" i="6"/>
  <c r="AD41" i="1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41" i="6"/>
  <c r="W41" i="6"/>
  <c r="V41" i="6"/>
  <c r="U41" i="6"/>
  <c r="T41" i="6"/>
  <c r="S41" i="6"/>
  <c r="R41" i="6"/>
  <c r="AD40" i="1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40" i="6"/>
  <c r="W40" i="6"/>
  <c r="V40" i="6"/>
  <c r="U40" i="6"/>
  <c r="T40" i="6"/>
  <c r="S40" i="6"/>
  <c r="R40" i="6"/>
  <c r="AD39" i="1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39" i="6"/>
  <c r="W39" i="6"/>
  <c r="V39" i="6"/>
  <c r="U39" i="6"/>
  <c r="T39" i="6"/>
  <c r="S39" i="6"/>
  <c r="R39" i="6"/>
  <c r="AD38" i="1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38" i="6"/>
  <c r="W38" i="6"/>
  <c r="V38" i="6"/>
  <c r="U38" i="6"/>
  <c r="T38" i="6"/>
  <c r="S38" i="6"/>
  <c r="R38" i="6"/>
  <c r="AD37" i="1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37" i="6"/>
  <c r="W37" i="6"/>
  <c r="V37" i="6"/>
  <c r="U37" i="6"/>
  <c r="T37" i="6"/>
  <c r="S37" i="6"/>
  <c r="R37" i="6"/>
  <c r="AD36" i="1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36" i="6"/>
  <c r="W36" i="6"/>
  <c r="V36" i="6"/>
  <c r="U36" i="6"/>
  <c r="T36" i="6"/>
  <c r="S36" i="6"/>
  <c r="R36" i="6"/>
  <c r="AD35" i="1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35" i="6"/>
  <c r="W35" i="6"/>
  <c r="V35" i="6"/>
  <c r="U35" i="6"/>
  <c r="T35" i="6"/>
  <c r="S35" i="6"/>
  <c r="R35" i="6"/>
  <c r="AD34" i="1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34" i="6"/>
  <c r="W34" i="6"/>
  <c r="V34" i="6"/>
  <c r="U34" i="6"/>
  <c r="T34" i="6"/>
  <c r="S34" i="6"/>
  <c r="R34" i="6"/>
  <c r="AD33" i="1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33" i="6"/>
  <c r="W33" i="6"/>
  <c r="V33" i="6"/>
  <c r="U33" i="6"/>
  <c r="T33" i="6"/>
  <c r="S33" i="6"/>
  <c r="R33" i="6"/>
  <c r="AD32" i="1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2" i="6"/>
  <c r="W32" i="6"/>
  <c r="V32" i="6"/>
  <c r="U32" i="6"/>
  <c r="T32" i="6"/>
  <c r="S32" i="6"/>
  <c r="R32" i="6"/>
  <c r="AD31" i="1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1" i="6"/>
  <c r="W31" i="6"/>
  <c r="V31" i="6"/>
  <c r="U31" i="6"/>
  <c r="T31" i="6"/>
  <c r="S31" i="6"/>
  <c r="R31" i="6"/>
  <c r="AD30" i="1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0" i="6"/>
  <c r="W30" i="6"/>
  <c r="V30" i="6"/>
  <c r="U30" i="6"/>
  <c r="T30" i="6"/>
  <c r="S30" i="6"/>
  <c r="R30" i="6"/>
  <c r="AD29" i="1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29" i="6"/>
  <c r="W29" i="6"/>
  <c r="V29" i="6"/>
  <c r="U29" i="6"/>
  <c r="T29" i="6"/>
  <c r="S29" i="6"/>
  <c r="R29" i="6"/>
  <c r="AD28" i="1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8" i="6"/>
  <c r="W28" i="6"/>
  <c r="V28" i="6"/>
  <c r="U28" i="6"/>
  <c r="T28" i="6"/>
  <c r="S28" i="6"/>
  <c r="R28" i="6"/>
  <c r="AD27" i="1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7" i="6"/>
  <c r="W27" i="6"/>
  <c r="V27" i="6"/>
  <c r="U27" i="6"/>
  <c r="T27" i="6"/>
  <c r="S27" i="6"/>
  <c r="R27" i="6"/>
  <c r="AD26" i="1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6" i="6"/>
  <c r="W26" i="6"/>
  <c r="V26" i="6"/>
  <c r="U26" i="6"/>
  <c r="T26" i="6"/>
  <c r="S26" i="6"/>
  <c r="R26" i="6"/>
  <c r="AD25" i="1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5" i="6"/>
  <c r="W25" i="6"/>
  <c r="V25" i="6"/>
  <c r="U25" i="6"/>
  <c r="T25" i="6"/>
  <c r="S25" i="6"/>
  <c r="R25" i="6"/>
  <c r="AD24" i="1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4" i="6"/>
  <c r="W24" i="6"/>
  <c r="V24" i="6"/>
  <c r="U24" i="6"/>
  <c r="T24" i="6"/>
  <c r="S24" i="6"/>
  <c r="AD23" i="1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3" i="6"/>
  <c r="W23" i="6"/>
  <c r="V23" i="6"/>
  <c r="U23" i="6"/>
  <c r="T23" i="6"/>
  <c r="S23" i="6"/>
  <c r="R23" i="6"/>
  <c r="AD22" i="1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2" i="6"/>
  <c r="W22" i="6"/>
  <c r="V22" i="6"/>
  <c r="U22" i="6"/>
  <c r="T22" i="6"/>
  <c r="S22" i="6"/>
  <c r="R22" i="6"/>
  <c r="AD21" i="1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1" i="6"/>
  <c r="W21" i="6"/>
  <c r="V21" i="6"/>
  <c r="U21" i="6"/>
  <c r="T21" i="6"/>
  <c r="S21" i="6"/>
  <c r="R21" i="6"/>
  <c r="AD20" i="1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0" i="6"/>
  <c r="W20" i="6"/>
  <c r="V20" i="6"/>
  <c r="U20" i="6"/>
  <c r="T20" i="6"/>
  <c r="S20" i="6"/>
  <c r="R20" i="6"/>
  <c r="AD19" i="1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19" i="6"/>
  <c r="W19" i="6"/>
  <c r="V19" i="6"/>
  <c r="U19" i="6"/>
  <c r="T19" i="6"/>
  <c r="S19" i="6"/>
  <c r="R19" i="6"/>
  <c r="AD18" i="1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8" i="6"/>
  <c r="W18" i="6"/>
  <c r="V18" i="6"/>
  <c r="U18" i="6"/>
  <c r="T18" i="6"/>
  <c r="S18" i="6"/>
  <c r="R18" i="6"/>
  <c r="AD17" i="1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7" i="6"/>
  <c r="W17" i="6"/>
  <c r="V17" i="6"/>
  <c r="U17" i="6"/>
  <c r="T17" i="6"/>
  <c r="S17" i="6"/>
  <c r="R17" i="6"/>
  <c r="AD16" i="1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6" i="6"/>
  <c r="W16" i="6"/>
  <c r="V16" i="6"/>
  <c r="U16" i="6"/>
  <c r="T16" i="6"/>
  <c r="S16" i="6"/>
  <c r="R16" i="6"/>
  <c r="AD15" i="1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5" i="6"/>
  <c r="W15" i="6"/>
  <c r="V15" i="6"/>
  <c r="U15" i="6"/>
  <c r="T15" i="6"/>
  <c r="S15" i="6"/>
  <c r="R15" i="6"/>
  <c r="AD14" i="1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4" i="6"/>
  <c r="W14" i="6"/>
  <c r="V14" i="6"/>
  <c r="U14" i="6"/>
  <c r="T14" i="6"/>
  <c r="S14" i="6"/>
  <c r="R14" i="6"/>
  <c r="AD13" i="1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3" i="6"/>
  <c r="W13" i="6"/>
  <c r="V13" i="6"/>
  <c r="U13" i="6"/>
  <c r="T13" i="6"/>
  <c r="S13" i="6"/>
  <c r="R13" i="6"/>
  <c r="AD12" i="1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2" i="6"/>
  <c r="W12" i="6"/>
  <c r="V12" i="6"/>
  <c r="U12" i="6"/>
  <c r="T12" i="6"/>
  <c r="S12" i="6"/>
  <c r="R12" i="6"/>
  <c r="AD11" i="1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1" i="6"/>
  <c r="W11" i="6"/>
  <c r="V11" i="6"/>
  <c r="U11" i="6"/>
  <c r="T11" i="6"/>
  <c r="S11" i="6"/>
  <c r="R11" i="6"/>
  <c r="AD10" i="1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0" i="6"/>
  <c r="W10" i="6"/>
  <c r="V10" i="6"/>
  <c r="U10" i="6"/>
  <c r="T10" i="6"/>
  <c r="S10" i="6"/>
  <c r="R10" i="6"/>
  <c r="AD9" i="1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9" i="6"/>
  <c r="W9" i="6"/>
  <c r="V9" i="6"/>
  <c r="U9" i="6"/>
  <c r="T9" i="6"/>
  <c r="S9" i="6"/>
  <c r="R9" i="6"/>
  <c r="AD8" i="1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8" i="6"/>
  <c r="W8" i="6"/>
  <c r="V8" i="6"/>
  <c r="U8" i="6"/>
  <c r="T8" i="6"/>
  <c r="S8" i="6"/>
  <c r="R8" i="6"/>
  <c r="AD7" i="1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7" i="6"/>
  <c r="W7" i="6"/>
  <c r="V7" i="6"/>
  <c r="U7" i="6"/>
  <c r="T7" i="6"/>
  <c r="S7" i="6"/>
  <c r="R7" i="6"/>
  <c r="AD6" i="1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6" i="6"/>
  <c r="W6" i="6"/>
  <c r="V6" i="6"/>
  <c r="U6" i="6"/>
  <c r="T6" i="6"/>
  <c r="S6" i="6"/>
  <c r="R6" i="6"/>
  <c r="AD5" i="1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5" i="6"/>
  <c r="W5" i="6"/>
  <c r="V5" i="6"/>
  <c r="U5" i="6"/>
  <c r="T5" i="6"/>
  <c r="S5" i="6"/>
  <c r="R5" i="6"/>
  <c r="AD4" i="1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4" i="6"/>
  <c r="W4" i="6"/>
  <c r="V4" i="6"/>
  <c r="U4" i="6"/>
  <c r="T4" i="6"/>
  <c r="S4" i="6"/>
  <c r="R4" i="6"/>
  <c r="AD3" i="1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A3" i="6"/>
  <c r="I3" i="6"/>
  <c r="H3" i="6"/>
  <c r="G3" i="6"/>
  <c r="S63" i="1"/>
  <c r="S46" i="1"/>
  <c r="S44" i="1"/>
  <c r="D70" i="1"/>
  <c r="F70" i="1"/>
  <c r="D69" i="1"/>
  <c r="F69" i="1"/>
  <c r="D68" i="1"/>
  <c r="F68" i="1"/>
  <c r="D67" i="1"/>
  <c r="F67" i="1"/>
  <c r="D66" i="1"/>
  <c r="F66" i="1"/>
  <c r="D65" i="1"/>
  <c r="F65" i="1"/>
  <c r="D64" i="1"/>
  <c r="F64" i="1"/>
  <c r="D63" i="1"/>
  <c r="F63" i="1"/>
  <c r="D62" i="1"/>
  <c r="F62" i="1"/>
  <c r="D61" i="1"/>
  <c r="F61" i="1"/>
  <c r="D60" i="1"/>
  <c r="F60" i="1"/>
  <c r="D59" i="1"/>
  <c r="F59" i="1"/>
  <c r="D58" i="1"/>
  <c r="F58" i="1"/>
  <c r="D57" i="1"/>
  <c r="F57" i="1"/>
  <c r="D56" i="1"/>
  <c r="F56" i="1"/>
  <c r="D55" i="1"/>
  <c r="F55" i="1"/>
  <c r="D54" i="1"/>
  <c r="F54" i="1"/>
  <c r="D53" i="1"/>
  <c r="F53" i="1"/>
  <c r="D52" i="1"/>
  <c r="F52" i="1"/>
  <c r="D51" i="1"/>
  <c r="F51" i="1"/>
  <c r="D50" i="1"/>
  <c r="F50" i="1"/>
  <c r="D49" i="1"/>
  <c r="F49" i="1"/>
  <c r="D48" i="1"/>
  <c r="F48" i="1"/>
  <c r="D47" i="1"/>
  <c r="F47" i="1"/>
  <c r="D46" i="1"/>
  <c r="F46" i="1"/>
  <c r="D45" i="1"/>
  <c r="F45" i="1"/>
  <c r="D44" i="1"/>
  <c r="F44" i="1"/>
  <c r="D43" i="1"/>
  <c r="F43" i="1"/>
  <c r="D42" i="1"/>
  <c r="F42" i="1"/>
  <c r="D41" i="1"/>
  <c r="F41" i="1"/>
  <c r="D40" i="1"/>
  <c r="F40" i="1"/>
  <c r="D39" i="1"/>
  <c r="F39" i="1"/>
  <c r="D38" i="1"/>
  <c r="F38" i="1"/>
  <c r="D37" i="1"/>
  <c r="F37" i="1"/>
  <c r="D36" i="1"/>
  <c r="F36" i="1"/>
  <c r="D35" i="1"/>
  <c r="F35" i="1"/>
  <c r="D34" i="1"/>
  <c r="F34" i="1"/>
  <c r="D33" i="1"/>
  <c r="F33" i="1"/>
  <c r="D32" i="1"/>
  <c r="F32" i="1"/>
  <c r="D31" i="1"/>
  <c r="F31" i="1"/>
  <c r="D30" i="1"/>
  <c r="F30" i="1"/>
  <c r="D29" i="1"/>
  <c r="F29" i="1"/>
  <c r="D28" i="1"/>
  <c r="F28" i="1"/>
  <c r="D27" i="1"/>
  <c r="F27" i="1"/>
  <c r="D26" i="1"/>
  <c r="F26" i="1"/>
  <c r="D25" i="1"/>
  <c r="F25" i="1"/>
  <c r="D24" i="1"/>
  <c r="F24" i="1"/>
  <c r="D23" i="1"/>
  <c r="F23" i="1"/>
  <c r="D22" i="1"/>
  <c r="F22" i="1"/>
  <c r="D21" i="1"/>
  <c r="F21" i="1"/>
  <c r="D20" i="1"/>
  <c r="F20" i="1"/>
  <c r="D19" i="1"/>
  <c r="F19" i="1"/>
  <c r="D18" i="1"/>
  <c r="F18" i="1"/>
  <c r="D17" i="1"/>
  <c r="F17" i="1"/>
  <c r="D16" i="1"/>
  <c r="F16" i="1"/>
  <c r="D15" i="1"/>
  <c r="F15" i="1"/>
  <c r="D14" i="1"/>
  <c r="F14" i="1"/>
  <c r="D13" i="1"/>
  <c r="F13" i="1"/>
  <c r="D12" i="1"/>
  <c r="F12" i="1"/>
  <c r="D11" i="1"/>
  <c r="F11" i="1"/>
  <c r="D10" i="1"/>
  <c r="F10" i="1"/>
  <c r="D9" i="1"/>
  <c r="F9" i="1"/>
  <c r="D8" i="1"/>
  <c r="F8" i="1"/>
  <c r="D7" i="1"/>
  <c r="F7" i="1"/>
  <c r="D6" i="1"/>
  <c r="F6" i="1"/>
  <c r="D5" i="1"/>
  <c r="F5" i="1"/>
  <c r="D4" i="1"/>
  <c r="F4" i="1"/>
  <c r="D3" i="1"/>
  <c r="F3" i="1"/>
  <c r="D2" i="1"/>
  <c r="F2" i="1"/>
  <c r="G17" i="2"/>
  <c r="H17" i="2"/>
  <c r="G16" i="2"/>
  <c r="H16" i="2"/>
  <c r="G15" i="2"/>
  <c r="H15" i="2"/>
  <c r="G14" i="2"/>
  <c r="H14" i="2"/>
  <c r="G13" i="2"/>
  <c r="H13" i="2"/>
  <c r="G12" i="2"/>
  <c r="H12" i="2"/>
  <c r="G11" i="2"/>
  <c r="H11" i="2"/>
  <c r="G10" i="2"/>
  <c r="H10" i="2"/>
  <c r="G9" i="2"/>
  <c r="H9" i="2"/>
  <c r="G8" i="2"/>
  <c r="H8" i="2"/>
  <c r="G7" i="2"/>
  <c r="H7" i="2"/>
  <c r="G6" i="2"/>
  <c r="H6" i="2"/>
  <c r="G5" i="2"/>
  <c r="H5" i="2"/>
  <c r="G4" i="2"/>
  <c r="H4" i="2"/>
  <c r="G3" i="2"/>
  <c r="H3" i="2"/>
  <c r="G2" i="2"/>
  <c r="H2" i="2"/>
  <c r="E38" i="1"/>
  <c r="H38" i="1"/>
  <c r="H68" i="1"/>
  <c r="E68" i="1"/>
  <c r="H67" i="1"/>
  <c r="E67" i="1"/>
  <c r="H66" i="1"/>
  <c r="E66" i="1"/>
  <c r="H65" i="1"/>
  <c r="E65" i="1"/>
  <c r="H64" i="1"/>
  <c r="E64" i="1"/>
  <c r="C1" i="5"/>
  <c r="A1" i="5"/>
  <c r="A18" i="5"/>
  <c r="B1" i="5"/>
  <c r="B18" i="5"/>
  <c r="C18" i="5"/>
  <c r="D18" i="5"/>
  <c r="E18" i="5"/>
  <c r="F18" i="5"/>
  <c r="A4" i="5"/>
  <c r="B4" i="5"/>
  <c r="C4" i="5"/>
  <c r="D4" i="5"/>
  <c r="E4" i="5"/>
  <c r="F4" i="5"/>
  <c r="A5" i="5"/>
  <c r="B5" i="5"/>
  <c r="C5" i="5"/>
  <c r="D5" i="5"/>
  <c r="E5" i="5"/>
  <c r="F5" i="5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3" i="5"/>
  <c r="B3" i="5"/>
  <c r="E3" i="1"/>
  <c r="H3" i="1"/>
  <c r="E4" i="1"/>
  <c r="H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E23" i="1"/>
  <c r="H23" i="1"/>
  <c r="E24" i="1"/>
  <c r="H24" i="1"/>
  <c r="E25" i="1"/>
  <c r="H25" i="1"/>
  <c r="E26" i="1"/>
  <c r="H26" i="1"/>
  <c r="E27" i="1"/>
  <c r="H27" i="1"/>
  <c r="E28" i="1"/>
  <c r="H28" i="1"/>
  <c r="E29" i="1"/>
  <c r="H29" i="1"/>
  <c r="E30" i="1"/>
  <c r="H30" i="1"/>
  <c r="E31" i="1"/>
  <c r="H31" i="1"/>
  <c r="E32" i="1"/>
  <c r="H32" i="1"/>
  <c r="E33" i="1"/>
  <c r="H33" i="1"/>
  <c r="E34" i="1"/>
  <c r="H34" i="1"/>
  <c r="E35" i="1"/>
  <c r="H35" i="1"/>
  <c r="E36" i="1"/>
  <c r="H36" i="1"/>
  <c r="E37" i="1"/>
  <c r="H37" i="1"/>
  <c r="E39" i="1"/>
  <c r="H39" i="1"/>
  <c r="E40" i="1"/>
  <c r="H40" i="1"/>
  <c r="E41" i="1"/>
  <c r="H41" i="1"/>
  <c r="E42" i="1"/>
  <c r="H42" i="1"/>
  <c r="E43" i="1"/>
  <c r="H43" i="1"/>
  <c r="E44" i="1"/>
  <c r="H44" i="1"/>
  <c r="E45" i="1"/>
  <c r="H45" i="1"/>
  <c r="E46" i="1"/>
  <c r="H46" i="1"/>
  <c r="E47" i="1"/>
  <c r="H47" i="1"/>
  <c r="E48" i="1"/>
  <c r="H48" i="1"/>
  <c r="E49" i="1"/>
  <c r="H49" i="1"/>
  <c r="E50" i="1"/>
  <c r="H50" i="1"/>
  <c r="E51" i="1"/>
  <c r="H51" i="1"/>
  <c r="E52" i="1"/>
  <c r="H52" i="1"/>
  <c r="E53" i="1"/>
  <c r="H53" i="1"/>
  <c r="E54" i="1"/>
  <c r="H54" i="1"/>
  <c r="E55" i="1"/>
  <c r="H55" i="1"/>
  <c r="E56" i="1"/>
  <c r="H56" i="1"/>
  <c r="E57" i="1"/>
  <c r="H57" i="1"/>
  <c r="E58" i="1"/>
  <c r="H58" i="1"/>
  <c r="E59" i="1"/>
  <c r="H59" i="1"/>
  <c r="E60" i="1"/>
  <c r="H60" i="1"/>
  <c r="E61" i="1"/>
  <c r="H61" i="1"/>
  <c r="E62" i="1"/>
  <c r="H62" i="1"/>
  <c r="E63" i="1"/>
  <c r="H63" i="1"/>
  <c r="E69" i="1"/>
  <c r="H69" i="1"/>
  <c r="E70" i="1"/>
  <c r="H70" i="1"/>
  <c r="H2" i="1"/>
  <c r="A3" i="2"/>
  <c r="B3" i="2"/>
  <c r="D3" i="2"/>
  <c r="E3" i="2"/>
  <c r="A4" i="2"/>
  <c r="B4" i="2"/>
  <c r="D4" i="2"/>
  <c r="E4" i="2"/>
  <c r="A5" i="2"/>
  <c r="B5" i="2"/>
  <c r="D5" i="2"/>
  <c r="E5" i="2"/>
  <c r="A6" i="2"/>
  <c r="B6" i="2"/>
  <c r="D6" i="2"/>
  <c r="E6" i="2"/>
  <c r="A7" i="2"/>
  <c r="B7" i="2"/>
  <c r="D7" i="2"/>
  <c r="E7" i="2"/>
  <c r="A8" i="2"/>
  <c r="B8" i="2"/>
  <c r="D8" i="2"/>
  <c r="E8" i="2"/>
  <c r="A9" i="2"/>
  <c r="B9" i="2"/>
  <c r="D9" i="2"/>
  <c r="E9" i="2"/>
  <c r="A10" i="2"/>
  <c r="B10" i="2"/>
  <c r="D10" i="2"/>
  <c r="E10" i="2"/>
  <c r="A11" i="2"/>
  <c r="B11" i="2"/>
  <c r="D11" i="2"/>
  <c r="E11" i="2"/>
  <c r="A12" i="2"/>
  <c r="B12" i="2"/>
  <c r="D12" i="2"/>
  <c r="E12" i="2"/>
  <c r="A13" i="2"/>
  <c r="B13" i="2"/>
  <c r="D13" i="2"/>
  <c r="E13" i="2"/>
  <c r="A14" i="2"/>
  <c r="B14" i="2"/>
  <c r="D14" i="2"/>
  <c r="E14" i="2"/>
  <c r="A15" i="2"/>
  <c r="B15" i="2"/>
  <c r="D15" i="2"/>
  <c r="E15" i="2"/>
  <c r="A16" i="2"/>
  <c r="B16" i="2"/>
  <c r="D16" i="2"/>
  <c r="E16" i="2"/>
  <c r="A17" i="2"/>
  <c r="B17" i="2"/>
  <c r="D17" i="2"/>
  <c r="E17" i="2"/>
  <c r="W3" i="6"/>
  <c r="V3" i="6"/>
  <c r="U3" i="6"/>
  <c r="T3" i="6"/>
  <c r="S3" i="6"/>
  <c r="AD2" i="1"/>
  <c r="A2" i="2"/>
  <c r="B2" i="2"/>
  <c r="E2" i="2"/>
  <c r="D2" i="2"/>
  <c r="E2" i="1"/>
  <c r="F3" i="5"/>
  <c r="E3" i="5"/>
  <c r="D3" i="5"/>
  <c r="C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sharedStrings.xml><?xml version="1.0" encoding="utf-8"?>
<sst xmlns="http://schemas.openxmlformats.org/spreadsheetml/2006/main" count="76" uniqueCount="55">
  <si>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</si>
  <si>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</si>
  <si>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</si>
  <si>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</si>
  <si>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</si>
  <si>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</si>
  <si>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</si>
  <si>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</si>
  <si>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</si>
  <si>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</si>
  <si>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</si>
  <si>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</si>
  <si>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</si>
  <si>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</si>
  <si>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</si>
  <si>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</si>
  <si>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</si>
  <si>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</si>
  <si>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</si>
  <si>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</si>
  <si>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</si>
  <si>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</si>
  <si>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</si>
  <si>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</si>
  <si>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</si>
  <si>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</si>
  <si>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</si>
  <si>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</si>
  <si>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</si>
  <si>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</si>
  <si>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temp_habitats</t>
    <phoneticPr fontId="5"/>
  </si>
  <si>
    <t>temp_floor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</si>
  <si>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</si>
  <si>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</si>
  <si>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</si>
  <si>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</si>
  <si>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</si>
  <si>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</si>
  <si>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</si>
  <si>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</si>
  <si>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</si>
  <si>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</si>
  <si>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</si>
  <si>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</si>
  <si>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</si>
  <si>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</si>
  <si>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</si>
  <si>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</si>
  <si>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</si>
  <si>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  <phoneticPr fontId="5"/>
  </si>
  <si>
    <t>attack_coefficient</t>
    <phoneticPr fontId="5"/>
  </si>
  <si>
    <t>defense_correction</t>
    <phoneticPr fontId="5"/>
  </si>
  <si>
    <t>hp_coefficient</t>
  </si>
  <si>
    <t>attack_coefficient</t>
  </si>
  <si>
    <t>defense_correction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</si>
</sst>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1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ＭＳ Ｐゴシック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42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5" fillId="0" borderId="0">
      <alignment vertical="center"/>
    </xf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3" fillId="6" borderId="0" xfId="11" applyFont="1" applyFill="1"/>
    <xf numFmtId="176" fontId="3" fillId="6" borderId="0" xfId="11" applyNumberFormat="1" applyFont="1" applyFill="1"/>
    <xf numFmtId="0" fontId="0" fillId="7" borderId="0" xfId="0" applyFill="1"/>
    <xf numFmtId="0" fontId="11" fillId="0" borderId="0" xfId="11" applyFont="1" applyFill="1" applyBorder="1"/>
    <xf numFmtId="0" fontId="4" fillId="3" borderId="7" xfId="0" applyFont="1" applyFill="1" applyBorder="1" applyAlignment="1">
      <alignment horizontal="center" vertical="center"/>
    </xf>
    <xf numFmtId="0" fontId="12" fillId="8" borderId="0" xfId="0" applyFont="1" applyFill="1" applyAlignment="1">
      <alignment vertical="center"/>
    </xf>
    <xf numFmtId="0" fontId="6" fillId="4" borderId="7" xfId="0" applyFont="1" applyFill="1" applyBorder="1" applyAlignment="1">
      <alignment horizontal="center" vertical="center"/>
    </xf>
    <xf numFmtId="0" fontId="13" fillId="8" borderId="0" xfId="0" applyFont="1" applyFill="1"/>
    <xf numFmtId="0" fontId="14" fillId="8" borderId="0" xfId="11" applyFont="1" applyFill="1" applyBorder="1"/>
    <xf numFmtId="0" fontId="4" fillId="3" borderId="8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vertical="center"/>
    </xf>
    <xf numFmtId="0" fontId="4" fillId="3" borderId="10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7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0" fontId="11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4" fillId="0" borderId="7" xfId="246" applyFont="1" applyFill="1" applyBorder="1" applyAlignment="1">
      <alignment horizontal="right" vertical="center"/>
    </xf>
    <xf numFmtId="0" fontId="15" fillId="0" borderId="7" xfId="246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12" xfId="253" applyFont="1" applyBorder="1" applyAlignment="1">
      <alignment vertical="top"/>
    </xf>
    <xf numFmtId="0" fontId="16" fillId="0" borderId="10" xfId="0" applyFont="1" applyFill="1" applyBorder="1" applyAlignment="1">
      <alignment horizontal="right" vertical="center" wrapText="1"/>
    </xf>
    <xf numFmtId="0" fontId="4" fillId="9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4" fillId="9" borderId="7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4" fillId="11" borderId="7" xfId="0" applyFont="1" applyFill="1" applyBorder="1" applyAlignment="1">
      <alignment horizontal="center" vertical="center"/>
    </xf>
    <xf numFmtId="0" fontId="4" fillId="13" borderId="7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178" fontId="8" fillId="0" borderId="4" xfId="0" applyNumberFormat="1" applyFont="1" applyBorder="1" applyAlignment="1">
      <alignment vertical="center"/>
    </xf>
    <xf numFmtId="0" fontId="1" fillId="6" borderId="0" xfId="11" applyFont="1" applyFill="1"/>
    <xf numFmtId="0" fontId="4" fillId="15" borderId="6" xfId="0" applyFont="1" applyFill="1" applyBorder="1" applyAlignment="1">
      <alignment vertical="center"/>
    </xf>
  </cellXfs>
  <cellStyles count="420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標準" xfId="0" builtinId="0"/>
    <cellStyle name="標準 2 2" xfId="246"/>
    <cellStyle name="標準 3" xfId="253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</cellStyles>
  <dxfs count="18"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2"/>
  <sheetViews>
    <sheetView showGridLines="0" workbookViewId="0">
      <pane ySplit="1" topLeftCell="A2" activePane="bottomLeft" state="frozen"/>
      <selection activeCell="V2" sqref="V2:X34"/>
      <selection pane="bottomLeft" activeCell="M12" sqref="M12"/>
    </sheetView>
  </sheetViews>
  <sheetFormatPr baseColWidth="12" defaultColWidth="13" defaultRowHeight="21" customHeight="1" outlineLevelCol="1" x14ac:dyDescent="0.15"/>
  <cols>
    <col min="1" max="1" width="8.83203125" style="29" bestFit="1" customWidth="1"/>
    <col min="2" max="2" width="5" style="29" bestFit="1" customWidth="1"/>
    <col min="3" max="3" width="7.1640625" style="4" bestFit="1" customWidth="1"/>
    <col min="4" max="5" width="10.33203125" style="4" customWidth="1" outlineLevel="1"/>
    <col min="6" max="6" width="7" style="4" bestFit="1" customWidth="1"/>
    <col min="7" max="7" width="8.83203125" style="29" customWidth="1" outlineLevel="1"/>
    <col min="8" max="8" width="16.1640625" style="4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21" customHeight="1" x14ac:dyDescent="0.15">
      <c r="A1" s="21" t="s">
        <v>31</v>
      </c>
      <c r="B1" s="21" t="s">
        <v>38</v>
      </c>
      <c r="C1" s="1" t="s">
        <v>0</v>
      </c>
      <c r="D1" s="2" t="s">
        <v>18</v>
      </c>
      <c r="E1" s="20" t="s">
        <v>35</v>
      </c>
      <c r="F1" s="1" t="s">
        <v>1</v>
      </c>
      <c r="G1" s="32" t="s">
        <v>34</v>
      </c>
      <c r="H1" s="20" t="s">
        <v>36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21" t="str">
        <f>G2&amp;"-"&amp;I2</f>
        <v>20001_1-1</v>
      </c>
      <c r="B2" s="21" t="str">
        <f>IF(COUNTIF(enemy_habitats_drop_1_1!$H:$H,A2),"OK","NG")</f>
        <v>OK</v>
      </c>
      <c r="C2" s="8">
        <v>20001</v>
      </c>
      <c r="D2" s="12" t="str">
        <f ca="1">VLOOKUP($C2,OFFSET([1]quests!$A$1,0,0,COUNTA([1]quests!$A:$A),MATCH(D$1,[1]quests!$1:$1,0)-MATCH($C$1,[1]quests!$1:$1,0)+1),MATCH(D$1,[1]quests!$1:$1,0)-MATCH($C$1,[1]quests!$1:$1,0)+1,FALSE)</f>
        <v>紅き執行者</v>
      </c>
      <c r="E2" s="28" t="str">
        <f ca="1">VLOOKUP($C2,OFFSET([1]quests!$A$1,0,0,COUNTA([1]quests!$A:$A),MATCH(E$1,[1]quests!$1:$1,0)-MATCH($C$1,[1]quests!$1:$1,0)+1),MATCH(E$1,[1]quests!$1:$1,0)-MATCH($C$1,[1]quests!$1:$1,0)+1,FALSE)</f>
        <v>ドロップイベント1-1</v>
      </c>
      <c r="F2" s="30">
        <v>1</v>
      </c>
      <c r="G2" s="32" t="str">
        <f>C2&amp;"_"&amp;F2</f>
        <v>20001_1</v>
      </c>
      <c r="H2" s="20" t="str">
        <f ca="1">VLOOKUP($G2,OFFSET([1]stages!$A$1,0,0,COUNTA([1]stages!$A:$A),MATCH(H$1,[1]stages!$2:$2,0)-MATCH($G$1,[1]stages!$2:$2,0)+1),MATCH(H$1,[1]stages!$2:$2,0)-MATCH($G$1,[1]stages!$2:$2,0)+1,FALSE)</f>
        <v xml:space="preserve">【初級】紅き執行者 </v>
      </c>
      <c r="I2" s="30">
        <v>1</v>
      </c>
      <c r="J2" s="13">
        <v>30</v>
      </c>
      <c r="K2" s="13">
        <v>30</v>
      </c>
    </row>
    <row r="3" spans="1:11" ht="21" customHeight="1" x14ac:dyDescent="0.15">
      <c r="A3" s="21" t="str">
        <f t="shared" ref="A3:A17" si="0">G3&amp;"-"&amp;I3</f>
        <v>20001_1-2</v>
      </c>
      <c r="B3" s="21" t="str">
        <f>IF(COUNTIF(enemy_habitats_drop_1_1!$H:$H,A3),"OK","NG")</f>
        <v>OK</v>
      </c>
      <c r="C3" s="8">
        <v>20001</v>
      </c>
      <c r="D3" s="12" t="str">
        <f ca="1">VLOOKUP($C3,OFFSET([1]quests!$A$1,0,0,COUNTA([1]quests!$A:$A),MATCH(D$1,[1]quests!$1:$1,0)-MATCH($C$1,[1]quests!$1:$1,0)+1),MATCH(D$1,[1]quests!$1:$1,0)-MATCH($C$1,[1]quests!$1:$1,0)+1,FALSE)</f>
        <v>紅き執行者</v>
      </c>
      <c r="E3" s="28" t="str">
        <f ca="1">VLOOKUP($C3,OFFSET([1]quests!$A$1,0,0,COUNTA([1]quests!$A:$A),MATCH(E$1,[1]quests!$1:$1,0)-MATCH($C$1,[1]quests!$1:$1,0)+1),MATCH(E$1,[1]quests!$1:$1,0)-MATCH($C$1,[1]quests!$1:$1,0)+1,FALSE)</f>
        <v>ドロップイベント1-1</v>
      </c>
      <c r="F3" s="30">
        <v>1</v>
      </c>
      <c r="G3" s="32" t="str">
        <f t="shared" ref="G3:G17" si="1">C3&amp;"_"&amp;F3</f>
        <v>20001_1</v>
      </c>
      <c r="H3" s="20" t="str">
        <f ca="1">VLOOKUP($G3,OFFSET([1]stages!$A$1,0,0,COUNTA([1]stages!$A:$A),MATCH(H$1,[1]stages!$2:$2,0)-MATCH($G$1,[1]stages!$2:$2,0)+1),MATCH(H$1,[1]stages!$2:$2,0)-MATCH($G$1,[1]stages!$2:$2,0)+1,FALSE)</f>
        <v xml:space="preserve">【初級】紅き執行者 </v>
      </c>
      <c r="I3" s="30">
        <v>2</v>
      </c>
      <c r="J3" s="13">
        <v>30</v>
      </c>
      <c r="K3" s="13">
        <v>45</v>
      </c>
    </row>
    <row r="4" spans="1:11" ht="21" customHeight="1" x14ac:dyDescent="0.15">
      <c r="A4" s="21" t="str">
        <f t="shared" si="0"/>
        <v>20001_1-3</v>
      </c>
      <c r="B4" s="21" t="str">
        <f>IF(COUNTIF(enemy_habitats_drop_1_1!$H:$H,A4),"OK","NG")</f>
        <v>OK</v>
      </c>
      <c r="C4" s="8">
        <v>20001</v>
      </c>
      <c r="D4" s="12" t="str">
        <f ca="1">VLOOKUP($C4,OFFSET([1]quests!$A$1,0,0,COUNTA([1]quests!$A:$A),MATCH(D$1,[1]quests!$1:$1,0)-MATCH($C$1,[1]quests!$1:$1,0)+1),MATCH(D$1,[1]quests!$1:$1,0)-MATCH($C$1,[1]quests!$1:$1,0)+1,FALSE)</f>
        <v>紅き執行者</v>
      </c>
      <c r="E4" s="28" t="str">
        <f ca="1">VLOOKUP($C4,OFFSET([1]quests!$A$1,0,0,COUNTA([1]quests!$A:$A),MATCH(E$1,[1]quests!$1:$1,0)-MATCH($C$1,[1]quests!$1:$1,0)+1),MATCH(E$1,[1]quests!$1:$1,0)-MATCH($C$1,[1]quests!$1:$1,0)+1,FALSE)</f>
        <v>ドロップイベント1-1</v>
      </c>
      <c r="F4" s="30">
        <v>1</v>
      </c>
      <c r="G4" s="32" t="str">
        <f t="shared" si="1"/>
        <v>20001_1</v>
      </c>
      <c r="H4" s="20" t="str">
        <f ca="1">VLOOKUP($G4,OFFSET([1]stages!$A$1,0,0,COUNTA([1]stages!$A:$A),MATCH(H$1,[1]stages!$2:$2,0)-MATCH($G$1,[1]stages!$2:$2,0)+1),MATCH(H$1,[1]stages!$2:$2,0)-MATCH($G$1,[1]stages!$2:$2,0)+1,FALSE)</f>
        <v xml:space="preserve">【初級】紅き執行者 </v>
      </c>
      <c r="I4" s="30">
        <v>3</v>
      </c>
      <c r="J4" s="13">
        <v>45</v>
      </c>
      <c r="K4" s="13">
        <v>45</v>
      </c>
    </row>
    <row r="5" spans="1:11" ht="21" customHeight="1" x14ac:dyDescent="0.15">
      <c r="A5" s="21" t="str">
        <f t="shared" si="0"/>
        <v>20001_1-4</v>
      </c>
      <c r="B5" s="21" t="str">
        <f>IF(COUNTIF(enemy_habitats_drop_1_1!$H:$H,A5),"OK","NG")</f>
        <v>OK</v>
      </c>
      <c r="C5" s="8">
        <v>20001</v>
      </c>
      <c r="D5" s="12" t="str">
        <f ca="1">VLOOKUP($C5,OFFSET([1]quests!$A$1,0,0,COUNTA([1]quests!$A:$A),MATCH(D$1,[1]quests!$1:$1,0)-MATCH($C$1,[1]quests!$1:$1,0)+1),MATCH(D$1,[1]quests!$1:$1,0)-MATCH($C$1,[1]quests!$1:$1,0)+1,FALSE)</f>
        <v>紅き執行者</v>
      </c>
      <c r="E5" s="28" t="str">
        <f ca="1">VLOOKUP($C5,OFFSET([1]quests!$A$1,0,0,COUNTA([1]quests!$A:$A),MATCH(E$1,[1]quests!$1:$1,0)-MATCH($C$1,[1]quests!$1:$1,0)+1),MATCH(E$1,[1]quests!$1:$1,0)-MATCH($C$1,[1]quests!$1:$1,0)+1,FALSE)</f>
        <v>ドロップイベント1-1</v>
      </c>
      <c r="F5" s="30">
        <v>1</v>
      </c>
      <c r="G5" s="32" t="str">
        <f t="shared" si="1"/>
        <v>20001_1</v>
      </c>
      <c r="H5" s="20" t="str">
        <f ca="1">VLOOKUP($G5,OFFSET([1]stages!$A$1,0,0,COUNTA([1]stages!$A:$A),MATCH(H$1,[1]stages!$2:$2,0)-MATCH($G$1,[1]stages!$2:$2,0)+1),MATCH(H$1,[1]stages!$2:$2,0)-MATCH($G$1,[1]stages!$2:$2,0)+1,FALSE)</f>
        <v xml:space="preserve">【初級】紅き執行者 </v>
      </c>
      <c r="I5" s="30">
        <v>4</v>
      </c>
      <c r="J5" s="13">
        <v>45</v>
      </c>
      <c r="K5" s="13">
        <v>45</v>
      </c>
    </row>
    <row r="6" spans="1:11" ht="21" customHeight="1" x14ac:dyDescent="0.15">
      <c r="A6" s="21" t="str">
        <f t="shared" si="0"/>
        <v>20001_1-5</v>
      </c>
      <c r="B6" s="21" t="str">
        <f>IF(COUNTIF(enemy_habitats_drop_1_1!$H:$H,A6),"OK","NG")</f>
        <v>OK</v>
      </c>
      <c r="C6" s="8">
        <v>20001</v>
      </c>
      <c r="D6" s="12" t="str">
        <f ca="1">VLOOKUP($C6,OFFSET([1]quests!$A$1,0,0,COUNTA([1]quests!$A:$A),MATCH(D$1,[1]quests!$1:$1,0)-MATCH($C$1,[1]quests!$1:$1,0)+1),MATCH(D$1,[1]quests!$1:$1,0)-MATCH($C$1,[1]quests!$1:$1,0)+1,FALSE)</f>
        <v>紅き執行者</v>
      </c>
      <c r="E6" s="28" t="str">
        <f ca="1">VLOOKUP($C6,OFFSET([1]quests!$A$1,0,0,COUNTA([1]quests!$A:$A),MATCH(E$1,[1]quests!$1:$1,0)-MATCH($C$1,[1]quests!$1:$1,0)+1),MATCH(E$1,[1]quests!$1:$1,0)-MATCH($C$1,[1]quests!$1:$1,0)+1,FALSE)</f>
        <v>ドロップイベント1-1</v>
      </c>
      <c r="F6" s="30">
        <v>1</v>
      </c>
      <c r="G6" s="32" t="str">
        <f t="shared" si="1"/>
        <v>20001_1</v>
      </c>
      <c r="H6" s="20" t="str">
        <f ca="1">VLOOKUP($G6,OFFSET([1]stages!$A$1,0,0,COUNTA([1]stages!$A:$A),MATCH(H$1,[1]stages!$2:$2,0)-MATCH($G$1,[1]stages!$2:$2,0)+1),MATCH(H$1,[1]stages!$2:$2,0)-MATCH($G$1,[1]stages!$2:$2,0)+1,FALSE)</f>
        <v xml:space="preserve">【初級】紅き執行者 </v>
      </c>
      <c r="I6" s="30">
        <v>5</v>
      </c>
      <c r="J6" s="13">
        <v>50</v>
      </c>
      <c r="K6" s="13">
        <v>50</v>
      </c>
    </row>
    <row r="7" spans="1:11" ht="21" customHeight="1" x14ac:dyDescent="0.15">
      <c r="A7" s="21" t="str">
        <f t="shared" si="0"/>
        <v>20001_2-1</v>
      </c>
      <c r="B7" s="21" t="str">
        <f>IF(COUNTIF(enemy_habitats_drop_1_1!$H:$H,A7),"OK","NG")</f>
        <v>OK</v>
      </c>
      <c r="C7" s="8">
        <v>20001</v>
      </c>
      <c r="D7" s="12" t="str">
        <f ca="1">VLOOKUP($C7,OFFSET([1]quests!$A$1,0,0,COUNTA([1]quests!$A:$A),MATCH(D$1,[1]quests!$1:$1,0)-MATCH($C$1,[1]quests!$1:$1,0)+1),MATCH(D$1,[1]quests!$1:$1,0)-MATCH($C$1,[1]quests!$1:$1,0)+1,FALSE)</f>
        <v>紅き執行者</v>
      </c>
      <c r="E7" s="28" t="str">
        <f ca="1">VLOOKUP($C7,OFFSET([1]quests!$A$1,0,0,COUNTA([1]quests!$A:$A),MATCH(E$1,[1]quests!$1:$1,0)-MATCH($C$1,[1]quests!$1:$1,0)+1),MATCH(E$1,[1]quests!$1:$1,0)-MATCH($C$1,[1]quests!$1:$1,0)+1,FALSE)</f>
        <v>ドロップイベント1-1</v>
      </c>
      <c r="F7" s="30">
        <v>2</v>
      </c>
      <c r="G7" s="32" t="str">
        <f t="shared" si="1"/>
        <v>20001_2</v>
      </c>
      <c r="H7" s="20" t="str">
        <f ca="1">VLOOKUP($G7,OFFSET([1]stages!$A$1,0,0,COUNTA([1]stages!$A:$A),MATCH(H$1,[1]stages!$2:$2,0)-MATCH($G$1,[1]stages!$2:$2,0)+1),MATCH(H$1,[1]stages!$2:$2,0)-MATCH($G$1,[1]stages!$2:$2,0)+1,FALSE)</f>
        <v>【中級】紅き執行者</v>
      </c>
      <c r="I7" s="30">
        <v>1</v>
      </c>
      <c r="J7" s="13">
        <v>30</v>
      </c>
      <c r="K7" s="13">
        <v>30</v>
      </c>
    </row>
    <row r="8" spans="1:11" ht="21" customHeight="1" x14ac:dyDescent="0.15">
      <c r="A8" s="21" t="str">
        <f t="shared" si="0"/>
        <v>20001_2-2</v>
      </c>
      <c r="B8" s="21" t="str">
        <f>IF(COUNTIF(enemy_habitats_drop_1_1!$H:$H,A8),"OK","NG")</f>
        <v>OK</v>
      </c>
      <c r="C8" s="8">
        <v>20001</v>
      </c>
      <c r="D8" s="12" t="str">
        <f ca="1">VLOOKUP($C8,OFFSET([1]quests!$A$1,0,0,COUNTA([1]quests!$A:$A),MATCH(D$1,[1]quests!$1:$1,0)-MATCH($C$1,[1]quests!$1:$1,0)+1),MATCH(D$1,[1]quests!$1:$1,0)-MATCH($C$1,[1]quests!$1:$1,0)+1,FALSE)</f>
        <v>紅き執行者</v>
      </c>
      <c r="E8" s="28" t="str">
        <f ca="1">VLOOKUP($C8,OFFSET([1]quests!$A$1,0,0,COUNTA([1]quests!$A:$A),MATCH(E$1,[1]quests!$1:$1,0)-MATCH($C$1,[1]quests!$1:$1,0)+1),MATCH(E$1,[1]quests!$1:$1,0)-MATCH($C$1,[1]quests!$1:$1,0)+1,FALSE)</f>
        <v>ドロップイベント1-1</v>
      </c>
      <c r="F8" s="30">
        <v>2</v>
      </c>
      <c r="G8" s="32" t="str">
        <f t="shared" si="1"/>
        <v>20001_2</v>
      </c>
      <c r="H8" s="20" t="str">
        <f ca="1">VLOOKUP($G8,OFFSET([1]stages!$A$1,0,0,COUNTA([1]stages!$A:$A),MATCH(H$1,[1]stages!$2:$2,0)-MATCH($G$1,[1]stages!$2:$2,0)+1),MATCH(H$1,[1]stages!$2:$2,0)-MATCH($G$1,[1]stages!$2:$2,0)+1,FALSE)</f>
        <v>【中級】紅き執行者</v>
      </c>
      <c r="I8" s="30">
        <v>2</v>
      </c>
      <c r="J8" s="13">
        <v>45</v>
      </c>
      <c r="K8" s="13">
        <v>45</v>
      </c>
    </row>
    <row r="9" spans="1:11" ht="21" customHeight="1" x14ac:dyDescent="0.15">
      <c r="A9" s="21" t="str">
        <f t="shared" si="0"/>
        <v>20001_2-3</v>
      </c>
      <c r="B9" s="21" t="str">
        <f>IF(COUNTIF(enemy_habitats_drop_1_1!$H:$H,A9),"OK","NG")</f>
        <v>OK</v>
      </c>
      <c r="C9" s="8">
        <v>20001</v>
      </c>
      <c r="D9" s="12" t="str">
        <f ca="1">VLOOKUP($C9,OFFSET([1]quests!$A$1,0,0,COUNTA([1]quests!$A:$A),MATCH(D$1,[1]quests!$1:$1,0)-MATCH($C$1,[1]quests!$1:$1,0)+1),MATCH(D$1,[1]quests!$1:$1,0)-MATCH($C$1,[1]quests!$1:$1,0)+1,FALSE)</f>
        <v>紅き執行者</v>
      </c>
      <c r="E9" s="28" t="str">
        <f ca="1">VLOOKUP($C9,OFFSET([1]quests!$A$1,0,0,COUNTA([1]quests!$A:$A),MATCH(E$1,[1]quests!$1:$1,0)-MATCH($C$1,[1]quests!$1:$1,0)+1),MATCH(E$1,[1]quests!$1:$1,0)-MATCH($C$1,[1]quests!$1:$1,0)+1,FALSE)</f>
        <v>ドロップイベント1-1</v>
      </c>
      <c r="F9" s="30">
        <v>2</v>
      </c>
      <c r="G9" s="32" t="str">
        <f t="shared" si="1"/>
        <v>20001_2</v>
      </c>
      <c r="H9" s="20" t="str">
        <f ca="1">VLOOKUP($G9,OFFSET([1]stages!$A$1,0,0,COUNTA([1]stages!$A:$A),MATCH(H$1,[1]stages!$2:$2,0)-MATCH($G$1,[1]stages!$2:$2,0)+1),MATCH(H$1,[1]stages!$2:$2,0)-MATCH($G$1,[1]stages!$2:$2,0)+1,FALSE)</f>
        <v>【中級】紅き執行者</v>
      </c>
      <c r="I9" s="30">
        <v>3</v>
      </c>
      <c r="J9" s="13">
        <v>45</v>
      </c>
      <c r="K9" s="13">
        <v>45</v>
      </c>
    </row>
    <row r="10" spans="1:11" ht="21" customHeight="1" x14ac:dyDescent="0.15">
      <c r="A10" s="21" t="str">
        <f t="shared" si="0"/>
        <v>20001_2-4</v>
      </c>
      <c r="B10" s="21" t="str">
        <f>IF(COUNTIF(enemy_habitats_drop_1_1!$H:$H,A10),"OK","NG")</f>
        <v>OK</v>
      </c>
      <c r="C10" s="8">
        <v>20001</v>
      </c>
      <c r="D10" s="12" t="str">
        <f ca="1">VLOOKUP($C10,OFFSET([1]quests!$A$1,0,0,COUNTA([1]quests!$A:$A),MATCH(D$1,[1]quests!$1:$1,0)-MATCH($C$1,[1]quests!$1:$1,0)+1),MATCH(D$1,[1]quests!$1:$1,0)-MATCH($C$1,[1]quests!$1:$1,0)+1,FALSE)</f>
        <v>紅き執行者</v>
      </c>
      <c r="E10" s="28" t="str">
        <f ca="1">VLOOKUP($C10,OFFSET([1]quests!$A$1,0,0,COUNTA([1]quests!$A:$A),MATCH(E$1,[1]quests!$1:$1,0)-MATCH($C$1,[1]quests!$1:$1,0)+1),MATCH(E$1,[1]quests!$1:$1,0)-MATCH($C$1,[1]quests!$1:$1,0)+1,FALSE)</f>
        <v>ドロップイベント1-1</v>
      </c>
      <c r="F10" s="30">
        <v>2</v>
      </c>
      <c r="G10" s="32" t="str">
        <f t="shared" si="1"/>
        <v>20001_2</v>
      </c>
      <c r="H10" s="20" t="str">
        <f ca="1">VLOOKUP($G10,OFFSET([1]stages!$A$1,0,0,COUNTA([1]stages!$A:$A),MATCH(H$1,[1]stages!$2:$2,0)-MATCH($G$1,[1]stages!$2:$2,0)+1),MATCH(H$1,[1]stages!$2:$2,0)-MATCH($G$1,[1]stages!$2:$2,0)+1,FALSE)</f>
        <v>【中級】紅き執行者</v>
      </c>
      <c r="I10" s="30">
        <v>4</v>
      </c>
      <c r="J10" s="13">
        <v>50</v>
      </c>
      <c r="K10" s="13">
        <v>50</v>
      </c>
    </row>
    <row r="11" spans="1:11" ht="21" customHeight="1" x14ac:dyDescent="0.15">
      <c r="A11" s="21" t="str">
        <f t="shared" si="0"/>
        <v>20001_2-5</v>
      </c>
      <c r="B11" s="21" t="str">
        <f>IF(COUNTIF(enemy_habitats_drop_1_1!$H:$H,A11),"OK","NG")</f>
        <v>OK</v>
      </c>
      <c r="C11" s="8">
        <v>20001</v>
      </c>
      <c r="D11" s="12" t="str">
        <f ca="1">VLOOKUP($C11,OFFSET([1]quests!$A$1,0,0,COUNTA([1]quests!$A:$A),MATCH(D$1,[1]quests!$1:$1,0)-MATCH($C$1,[1]quests!$1:$1,0)+1),MATCH(D$1,[1]quests!$1:$1,0)-MATCH($C$1,[1]quests!$1:$1,0)+1,FALSE)</f>
        <v>紅き執行者</v>
      </c>
      <c r="E11" s="28" t="str">
        <f ca="1">VLOOKUP($C11,OFFSET([1]quests!$A$1,0,0,COUNTA([1]quests!$A:$A),MATCH(E$1,[1]quests!$1:$1,0)-MATCH($C$1,[1]quests!$1:$1,0)+1),MATCH(E$1,[1]quests!$1:$1,0)-MATCH($C$1,[1]quests!$1:$1,0)+1,FALSE)</f>
        <v>ドロップイベント1-1</v>
      </c>
      <c r="F11" s="30">
        <v>2</v>
      </c>
      <c r="G11" s="32" t="str">
        <f t="shared" si="1"/>
        <v>20001_2</v>
      </c>
      <c r="H11" s="20" t="str">
        <f ca="1">VLOOKUP($G11,OFFSET([1]stages!$A$1,0,0,COUNTA([1]stages!$A:$A),MATCH(H$1,[1]stages!$2:$2,0)-MATCH($G$1,[1]stages!$2:$2,0)+1),MATCH(H$1,[1]stages!$2:$2,0)-MATCH($G$1,[1]stages!$2:$2,0)+1,FALSE)</f>
        <v>【中級】紅き執行者</v>
      </c>
      <c r="I11" s="30">
        <v>5</v>
      </c>
      <c r="J11" s="13">
        <v>50</v>
      </c>
      <c r="K11" s="13">
        <v>50</v>
      </c>
    </row>
    <row r="12" spans="1:11" ht="21" customHeight="1" x14ac:dyDescent="0.15">
      <c r="A12" s="21" t="str">
        <f t="shared" si="0"/>
        <v>20001_3-1</v>
      </c>
      <c r="B12" s="21" t="str">
        <f>IF(COUNTIF(enemy_habitats_drop_1_1!$H:$H,A12),"OK","NG")</f>
        <v>OK</v>
      </c>
      <c r="C12" s="8">
        <v>20001</v>
      </c>
      <c r="D12" s="12" t="str">
        <f ca="1">VLOOKUP($C12,OFFSET([1]quests!$A$1,0,0,COUNTA([1]quests!$A:$A),MATCH(D$1,[1]quests!$1:$1,0)-MATCH($C$1,[1]quests!$1:$1,0)+1),MATCH(D$1,[1]quests!$1:$1,0)-MATCH($C$1,[1]quests!$1:$1,0)+1,FALSE)</f>
        <v>紅き執行者</v>
      </c>
      <c r="E12" s="28" t="str">
        <f ca="1">VLOOKUP($C12,OFFSET([1]quests!$A$1,0,0,COUNTA([1]quests!$A:$A),MATCH(E$1,[1]quests!$1:$1,0)-MATCH($C$1,[1]quests!$1:$1,0)+1),MATCH(E$1,[1]quests!$1:$1,0)-MATCH($C$1,[1]quests!$1:$1,0)+1,FALSE)</f>
        <v>ドロップイベント1-1</v>
      </c>
      <c r="F12" s="30">
        <v>3</v>
      </c>
      <c r="G12" s="32" t="str">
        <f t="shared" si="1"/>
        <v>20001_3</v>
      </c>
      <c r="H12" s="20" t="str">
        <f ca="1">VLOOKUP($G12,OFFSET([1]stages!$A$1,0,0,COUNTA([1]stages!$A:$A),MATCH(H$1,[1]stages!$2:$2,0)-MATCH($G$1,[1]stages!$2:$2,0)+1),MATCH(H$1,[1]stages!$2:$2,0)-MATCH($G$1,[1]stages!$2:$2,0)+1,FALSE)</f>
        <v xml:space="preserve">【上級】紅き執行者 </v>
      </c>
      <c r="I12" s="34">
        <v>1</v>
      </c>
      <c r="J12" s="13">
        <v>30</v>
      </c>
      <c r="K12" s="13">
        <v>30</v>
      </c>
    </row>
    <row r="13" spans="1:11" ht="21" customHeight="1" x14ac:dyDescent="0.15">
      <c r="A13" s="21" t="str">
        <f t="shared" si="0"/>
        <v>20001_3-2</v>
      </c>
      <c r="B13" s="21" t="str">
        <f>IF(COUNTIF(enemy_habitats_drop_1_1!$H:$H,A13),"OK","NG")</f>
        <v>OK</v>
      </c>
      <c r="C13" s="8">
        <v>20001</v>
      </c>
      <c r="D13" s="12" t="str">
        <f ca="1">VLOOKUP($C13,OFFSET([1]quests!$A$1,0,0,COUNTA([1]quests!$A:$A),MATCH(D$1,[1]quests!$1:$1,0)-MATCH($C$1,[1]quests!$1:$1,0)+1),MATCH(D$1,[1]quests!$1:$1,0)-MATCH($C$1,[1]quests!$1:$1,0)+1,FALSE)</f>
        <v>紅き執行者</v>
      </c>
      <c r="E13" s="28" t="str">
        <f ca="1">VLOOKUP($C13,OFFSET([1]quests!$A$1,0,0,COUNTA([1]quests!$A:$A),MATCH(E$1,[1]quests!$1:$1,0)-MATCH($C$1,[1]quests!$1:$1,0)+1),MATCH(E$1,[1]quests!$1:$1,0)-MATCH($C$1,[1]quests!$1:$1,0)+1,FALSE)</f>
        <v>ドロップイベント1-1</v>
      </c>
      <c r="F13" s="30">
        <v>3</v>
      </c>
      <c r="G13" s="32" t="str">
        <f t="shared" si="1"/>
        <v>20001_3</v>
      </c>
      <c r="H13" s="20" t="str">
        <f ca="1">VLOOKUP($G13,OFFSET([1]stages!$A$1,0,0,COUNTA([1]stages!$A:$A),MATCH(H$1,[1]stages!$2:$2,0)-MATCH($G$1,[1]stages!$2:$2,0)+1),MATCH(H$1,[1]stages!$2:$2,0)-MATCH($G$1,[1]stages!$2:$2,0)+1,FALSE)</f>
        <v xml:space="preserve">【上級】紅き執行者 </v>
      </c>
      <c r="I13" s="35">
        <v>2</v>
      </c>
      <c r="J13" s="13">
        <v>50</v>
      </c>
      <c r="K13" s="13">
        <v>50</v>
      </c>
    </row>
    <row r="14" spans="1:11" ht="21" customHeight="1" x14ac:dyDescent="0.15">
      <c r="A14" s="21" t="str">
        <f t="shared" si="0"/>
        <v>20001_3-3</v>
      </c>
      <c r="B14" s="21" t="str">
        <f>IF(COUNTIF(enemy_habitats_drop_1_1!$H:$H,A14),"OK","NG")</f>
        <v>OK</v>
      </c>
      <c r="C14" s="8">
        <v>20001</v>
      </c>
      <c r="D14" s="12" t="str">
        <f ca="1">VLOOKUP($C14,OFFSET([1]quests!$A$1,0,0,COUNTA([1]quests!$A:$A),MATCH(D$1,[1]quests!$1:$1,0)-MATCH($C$1,[1]quests!$1:$1,0)+1),MATCH(D$1,[1]quests!$1:$1,0)-MATCH($C$1,[1]quests!$1:$1,0)+1,FALSE)</f>
        <v>紅き執行者</v>
      </c>
      <c r="E14" s="28" t="str">
        <f ca="1">VLOOKUP($C14,OFFSET([1]quests!$A$1,0,0,COUNTA([1]quests!$A:$A),MATCH(E$1,[1]quests!$1:$1,0)-MATCH($C$1,[1]quests!$1:$1,0)+1),MATCH(E$1,[1]quests!$1:$1,0)-MATCH($C$1,[1]quests!$1:$1,0)+1,FALSE)</f>
        <v>ドロップイベント1-1</v>
      </c>
      <c r="F14" s="30">
        <v>3</v>
      </c>
      <c r="G14" s="32" t="str">
        <f t="shared" si="1"/>
        <v>20001_3</v>
      </c>
      <c r="H14" s="20" t="str">
        <f ca="1">VLOOKUP($G14,OFFSET([1]stages!$A$1,0,0,COUNTA([1]stages!$A:$A),MATCH(H$1,[1]stages!$2:$2,0)-MATCH($G$1,[1]stages!$2:$2,0)+1),MATCH(H$1,[1]stages!$2:$2,0)-MATCH($G$1,[1]stages!$2:$2,0)+1,FALSE)</f>
        <v xml:space="preserve">【上級】紅き執行者 </v>
      </c>
      <c r="I14" s="35">
        <v>3</v>
      </c>
      <c r="J14" s="13">
        <v>30</v>
      </c>
      <c r="K14" s="13">
        <v>30</v>
      </c>
    </row>
    <row r="15" spans="1:11" ht="21" customHeight="1" x14ac:dyDescent="0.15">
      <c r="A15" s="21" t="str">
        <f t="shared" si="0"/>
        <v>20001_3-4</v>
      </c>
      <c r="B15" s="21" t="str">
        <f>IF(COUNTIF(enemy_habitats_drop_1_1!$H:$H,A15),"OK","NG")</f>
        <v>OK</v>
      </c>
      <c r="C15" s="8">
        <v>20001</v>
      </c>
      <c r="D15" s="12" t="str">
        <f ca="1">VLOOKUP($C15,OFFSET([1]quests!$A$1,0,0,COUNTA([1]quests!$A:$A),MATCH(D$1,[1]quests!$1:$1,0)-MATCH($C$1,[1]quests!$1:$1,0)+1),MATCH(D$1,[1]quests!$1:$1,0)-MATCH($C$1,[1]quests!$1:$1,0)+1,FALSE)</f>
        <v>紅き執行者</v>
      </c>
      <c r="E15" s="28" t="str">
        <f ca="1">VLOOKUP($C15,OFFSET([1]quests!$A$1,0,0,COUNTA([1]quests!$A:$A),MATCH(E$1,[1]quests!$1:$1,0)-MATCH($C$1,[1]quests!$1:$1,0)+1),MATCH(E$1,[1]quests!$1:$1,0)-MATCH($C$1,[1]quests!$1:$1,0)+1,FALSE)</f>
        <v>ドロップイベント1-1</v>
      </c>
      <c r="F15" s="30">
        <v>3</v>
      </c>
      <c r="G15" s="32" t="str">
        <f t="shared" si="1"/>
        <v>20001_3</v>
      </c>
      <c r="H15" s="20" t="str">
        <f ca="1">VLOOKUP($G15,OFFSET([1]stages!$A$1,0,0,COUNTA([1]stages!$A:$A),MATCH(H$1,[1]stages!$2:$2,0)-MATCH($G$1,[1]stages!$2:$2,0)+1),MATCH(H$1,[1]stages!$2:$2,0)-MATCH($G$1,[1]stages!$2:$2,0)+1,FALSE)</f>
        <v xml:space="preserve">【上級】紅き執行者 </v>
      </c>
      <c r="I15" s="35">
        <v>4</v>
      </c>
      <c r="J15" s="13">
        <v>50</v>
      </c>
      <c r="K15" s="13">
        <v>50</v>
      </c>
    </row>
    <row r="16" spans="1:11" ht="21" customHeight="1" x14ac:dyDescent="0.15">
      <c r="A16" s="21" t="str">
        <f t="shared" si="0"/>
        <v>20001_3-5</v>
      </c>
      <c r="B16" s="21" t="str">
        <f>IF(COUNTIF(enemy_habitats_drop_1_1!$H:$H,A16),"OK","NG")</f>
        <v>OK</v>
      </c>
      <c r="C16" s="8">
        <v>20001</v>
      </c>
      <c r="D16" s="12" t="str">
        <f ca="1">VLOOKUP($C16,OFFSET([1]quests!$A$1,0,0,COUNTA([1]quests!$A:$A),MATCH(D$1,[1]quests!$1:$1,0)-MATCH($C$1,[1]quests!$1:$1,0)+1),MATCH(D$1,[1]quests!$1:$1,0)-MATCH($C$1,[1]quests!$1:$1,0)+1,FALSE)</f>
        <v>紅き執行者</v>
      </c>
      <c r="E16" s="28" t="str">
        <f ca="1">VLOOKUP($C16,OFFSET([1]quests!$A$1,0,0,COUNTA([1]quests!$A:$A),MATCH(E$1,[1]quests!$1:$1,0)-MATCH($C$1,[1]quests!$1:$1,0)+1),MATCH(E$1,[1]quests!$1:$1,0)-MATCH($C$1,[1]quests!$1:$1,0)+1,FALSE)</f>
        <v>ドロップイベント1-1</v>
      </c>
      <c r="F16" s="30">
        <v>3</v>
      </c>
      <c r="G16" s="32" t="str">
        <f t="shared" si="1"/>
        <v>20001_3</v>
      </c>
      <c r="H16" s="20" t="str">
        <f ca="1">VLOOKUP($G16,OFFSET([1]stages!$A$1,0,0,COUNTA([1]stages!$A:$A),MATCH(H$1,[1]stages!$2:$2,0)-MATCH($G$1,[1]stages!$2:$2,0)+1),MATCH(H$1,[1]stages!$2:$2,0)-MATCH($G$1,[1]stages!$2:$2,0)+1,FALSE)</f>
        <v xml:space="preserve">【上級】紅き執行者 </v>
      </c>
      <c r="I16" s="35">
        <v>5</v>
      </c>
      <c r="J16" s="13">
        <v>50</v>
      </c>
      <c r="K16" s="13">
        <v>50</v>
      </c>
    </row>
    <row r="17" spans="1:11" ht="21" customHeight="1" x14ac:dyDescent="0.15">
      <c r="A17" s="21" t="str">
        <f t="shared" si="0"/>
        <v>20001_3-6</v>
      </c>
      <c r="B17" s="21" t="str">
        <f>IF(COUNTIF(enemy_habitats_drop_1_1!$H:$H,A17),"OK","NG")</f>
        <v>OK</v>
      </c>
      <c r="C17" s="8">
        <v>20001</v>
      </c>
      <c r="D17" s="12" t="str">
        <f ca="1">VLOOKUP($C17,OFFSET([1]quests!$A$1,0,0,COUNTA([1]quests!$A:$A),MATCH(D$1,[1]quests!$1:$1,0)-MATCH($C$1,[1]quests!$1:$1,0)+1),MATCH(D$1,[1]quests!$1:$1,0)-MATCH($C$1,[1]quests!$1:$1,0)+1,FALSE)</f>
        <v>紅き執行者</v>
      </c>
      <c r="E17" s="28" t="str">
        <f ca="1">VLOOKUP($C17,OFFSET([1]quests!$A$1,0,0,COUNTA([1]quests!$A:$A),MATCH(E$1,[1]quests!$1:$1,0)-MATCH($C$1,[1]quests!$1:$1,0)+1),MATCH(E$1,[1]quests!$1:$1,0)-MATCH($C$1,[1]quests!$1:$1,0)+1,FALSE)</f>
        <v>ドロップイベント1-1</v>
      </c>
      <c r="F17" s="30">
        <v>3</v>
      </c>
      <c r="G17" s="32" t="str">
        <f t="shared" si="1"/>
        <v>20001_3</v>
      </c>
      <c r="H17" s="20" t="str">
        <f ca="1">VLOOKUP($G17,OFFSET([1]stages!$A$1,0,0,COUNTA([1]stages!$A:$A),MATCH(H$1,[1]stages!$2:$2,0)-MATCH($G$1,[1]stages!$2:$2,0)+1),MATCH(H$1,[1]stages!$2:$2,0)-MATCH($G$1,[1]stages!$2:$2,0)+1,FALSE)</f>
        <v xml:space="preserve">【上級】紅き執行者 </v>
      </c>
      <c r="I17" s="30">
        <v>6</v>
      </c>
      <c r="J17" s="13">
        <v>50</v>
      </c>
      <c r="K17" s="13">
        <v>50</v>
      </c>
    </row>
    <row r="18" spans="1:11" ht="21" customHeight="1" x14ac:dyDescent="0.15">
      <c r="A18" s="4"/>
      <c r="B18" s="4"/>
      <c r="G18" s="4"/>
    </row>
    <row r="19" spans="1:11" ht="21" customHeight="1" x14ac:dyDescent="0.15">
      <c r="A19" s="4"/>
      <c r="B19" s="4"/>
      <c r="G19" s="4"/>
    </row>
    <row r="20" spans="1:11" ht="21" customHeight="1" x14ac:dyDescent="0.15">
      <c r="A20" s="4"/>
      <c r="B20" s="4"/>
      <c r="G20" s="4"/>
    </row>
    <row r="21" spans="1:11" ht="21" customHeight="1" x14ac:dyDescent="0.15">
      <c r="A21" s="4"/>
      <c r="B21" s="4"/>
      <c r="G21" s="4"/>
    </row>
    <row r="22" spans="1:11" ht="21" customHeight="1" x14ac:dyDescent="0.15">
      <c r="A22" s="4"/>
      <c r="B22" s="4"/>
      <c r="G22" s="4"/>
    </row>
    <row r="23" spans="1:11" ht="21" customHeight="1" x14ac:dyDescent="0.15">
      <c r="A23" s="4"/>
      <c r="B23" s="4"/>
      <c r="G23" s="4"/>
    </row>
    <row r="24" spans="1:11" ht="21" customHeight="1" x14ac:dyDescent="0.15">
      <c r="A24" s="4"/>
      <c r="B24" s="4"/>
      <c r="G24" s="4"/>
    </row>
    <row r="25" spans="1:11" ht="21" customHeight="1" x14ac:dyDescent="0.15">
      <c r="A25" s="4"/>
      <c r="B25" s="4"/>
      <c r="G25" s="4"/>
    </row>
    <row r="26" spans="1:11" ht="21" customHeight="1" x14ac:dyDescent="0.15">
      <c r="A26" s="4"/>
      <c r="B26" s="4"/>
      <c r="G26" s="4"/>
    </row>
    <row r="27" spans="1:11" ht="21" customHeight="1" x14ac:dyDescent="0.15">
      <c r="A27" s="4"/>
      <c r="B27" s="4"/>
      <c r="G27" s="4"/>
    </row>
    <row r="28" spans="1:11" ht="21" customHeight="1" x14ac:dyDescent="0.15">
      <c r="A28" s="4"/>
      <c r="B28" s="4"/>
      <c r="G28" s="4"/>
    </row>
    <row r="29" spans="1:11" ht="21" customHeight="1" x14ac:dyDescent="0.15">
      <c r="A29" s="4"/>
      <c r="B29" s="4"/>
      <c r="G29" s="4"/>
    </row>
    <row r="30" spans="1:11" ht="21" customHeight="1" x14ac:dyDescent="0.15">
      <c r="A30" s="4"/>
      <c r="B30" s="4"/>
      <c r="G30" s="4"/>
    </row>
    <row r="31" spans="1:11" ht="21" customHeight="1" x14ac:dyDescent="0.15">
      <c r="A31" s="4"/>
      <c r="B31" s="4"/>
      <c r="G31" s="4"/>
    </row>
    <row r="32" spans="1:11" ht="21" customHeight="1" x14ac:dyDescent="0.15">
      <c r="A32" s="4"/>
      <c r="B32" s="4"/>
      <c r="G32" s="4"/>
    </row>
    <row r="33" spans="1:7" ht="21" customHeight="1" x14ac:dyDescent="0.15">
      <c r="A33" s="4"/>
      <c r="B33" s="4"/>
      <c r="G33" s="4"/>
    </row>
    <row r="34" spans="1:7" ht="21" customHeight="1" x14ac:dyDescent="0.15">
      <c r="A34" s="4"/>
      <c r="B34" s="4"/>
      <c r="G34" s="4"/>
    </row>
    <row r="35" spans="1:7" ht="21" customHeight="1" x14ac:dyDescent="0.15">
      <c r="A35" s="4"/>
      <c r="B35" s="4"/>
      <c r="G35" s="4"/>
    </row>
    <row r="36" spans="1:7" ht="21" customHeight="1" x14ac:dyDescent="0.15">
      <c r="A36" s="4"/>
      <c r="B36" s="4"/>
      <c r="G36" s="4"/>
    </row>
    <row r="37" spans="1:7" ht="21" customHeight="1" x14ac:dyDescent="0.15">
      <c r="A37" s="4"/>
      <c r="B37" s="4"/>
      <c r="G37" s="4"/>
    </row>
    <row r="38" spans="1:7" ht="21" customHeight="1" x14ac:dyDescent="0.15">
      <c r="A38" s="4"/>
      <c r="B38" s="4"/>
      <c r="G38" s="4"/>
    </row>
    <row r="39" spans="1:7" ht="21" customHeight="1" x14ac:dyDescent="0.15">
      <c r="A39" s="4"/>
      <c r="B39" s="4"/>
      <c r="G39" s="4"/>
    </row>
    <row r="40" spans="1:7" ht="21" customHeight="1" x14ac:dyDescent="0.15">
      <c r="A40" s="4"/>
      <c r="B40" s="4"/>
      <c r="G40" s="4"/>
    </row>
    <row r="41" spans="1:7" ht="21" customHeight="1" x14ac:dyDescent="0.15">
      <c r="A41" s="4"/>
      <c r="B41" s="4"/>
      <c r="G41" s="4"/>
    </row>
    <row r="42" spans="1:7" ht="21" customHeight="1" x14ac:dyDescent="0.15">
      <c r="A42" s="4"/>
      <c r="B42" s="4"/>
      <c r="G42" s="4"/>
    </row>
    <row r="43" spans="1:7" ht="21" customHeight="1" x14ac:dyDescent="0.15">
      <c r="A43" s="4"/>
      <c r="B43" s="4"/>
      <c r="G43" s="4"/>
    </row>
    <row r="44" spans="1:7" ht="21" customHeight="1" x14ac:dyDescent="0.15">
      <c r="A44" s="4"/>
      <c r="B44" s="4"/>
      <c r="G44" s="4"/>
    </row>
    <row r="45" spans="1:7" ht="21" customHeight="1" x14ac:dyDescent="0.15">
      <c r="A45" s="4"/>
      <c r="B45" s="4"/>
      <c r="G45" s="4"/>
    </row>
    <row r="46" spans="1:7" ht="21" customHeight="1" x14ac:dyDescent="0.15">
      <c r="A46" s="4"/>
      <c r="B46" s="4"/>
      <c r="G46" s="4"/>
    </row>
    <row r="47" spans="1:7" ht="21" customHeight="1" x14ac:dyDescent="0.15">
      <c r="A47" s="4"/>
      <c r="B47" s="4"/>
      <c r="G47" s="4"/>
    </row>
    <row r="48" spans="1:7" ht="21" customHeight="1" x14ac:dyDescent="0.15">
      <c r="A48" s="4"/>
      <c r="B48" s="4"/>
      <c r="G48" s="4"/>
    </row>
    <row r="49" spans="1:7" ht="21" customHeight="1" x14ac:dyDescent="0.15">
      <c r="A49" s="4"/>
      <c r="B49" s="4"/>
      <c r="G49" s="4"/>
    </row>
    <row r="50" spans="1:7" ht="21" customHeight="1" x14ac:dyDescent="0.15">
      <c r="A50" s="4"/>
      <c r="B50" s="4"/>
      <c r="G50" s="4"/>
    </row>
    <row r="51" spans="1:7" ht="21" customHeight="1" x14ac:dyDescent="0.15">
      <c r="A51" s="4"/>
      <c r="B51" s="4"/>
      <c r="G51" s="4"/>
    </row>
    <row r="52" spans="1:7" ht="21" customHeight="1" x14ac:dyDescent="0.15">
      <c r="A52" s="4"/>
      <c r="B52" s="4"/>
      <c r="G52" s="4"/>
    </row>
    <row r="53" spans="1:7" ht="21" customHeight="1" x14ac:dyDescent="0.15">
      <c r="A53" s="4"/>
      <c r="B53" s="4"/>
      <c r="G53" s="4"/>
    </row>
    <row r="54" spans="1:7" ht="21" customHeight="1" x14ac:dyDescent="0.15">
      <c r="A54" s="4"/>
      <c r="B54" s="4"/>
      <c r="G54" s="4"/>
    </row>
    <row r="55" spans="1:7" ht="21" customHeight="1" x14ac:dyDescent="0.15">
      <c r="A55" s="4"/>
      <c r="B55" s="4"/>
      <c r="G55" s="4"/>
    </row>
    <row r="56" spans="1:7" ht="21" customHeight="1" x14ac:dyDescent="0.15">
      <c r="A56" s="4"/>
      <c r="B56" s="4"/>
      <c r="G56" s="4"/>
    </row>
    <row r="57" spans="1:7" ht="21" customHeight="1" x14ac:dyDescent="0.15">
      <c r="A57" s="4"/>
      <c r="B57" s="4"/>
      <c r="G57" s="4"/>
    </row>
    <row r="58" spans="1:7" ht="21" customHeight="1" x14ac:dyDescent="0.15">
      <c r="A58" s="4"/>
      <c r="B58" s="4"/>
      <c r="G58" s="4"/>
    </row>
    <row r="59" spans="1:7" ht="21" customHeight="1" x14ac:dyDescent="0.15">
      <c r="A59" s="4"/>
      <c r="B59" s="4"/>
      <c r="G59" s="4"/>
    </row>
    <row r="60" spans="1:7" ht="21" customHeight="1" x14ac:dyDescent="0.15">
      <c r="A60" s="4"/>
      <c r="B60" s="4"/>
      <c r="G60" s="4"/>
    </row>
    <row r="61" spans="1:7" ht="21" customHeight="1" x14ac:dyDescent="0.15">
      <c r="A61" s="4"/>
      <c r="B61" s="4"/>
      <c r="G61" s="4"/>
    </row>
    <row r="62" spans="1:7" ht="21" customHeight="1" x14ac:dyDescent="0.15">
      <c r="A62" s="4"/>
      <c r="B62" s="4"/>
      <c r="G62" s="4"/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282"/>
  <sheetViews>
    <sheetView showGridLines="0" tabSelected="1" zoomScaleNormal="75" zoomScalePageLayoutView="75" workbookViewId="0">
      <pane xSplit="14" ySplit="1" topLeftCell="AD36" activePane="bottomRight" state="frozen"/>
      <selection pane="topRight" activeCell="N1" sqref="N1"/>
      <selection pane="bottomLeft" activeCell="A2" sqref="A2"/>
      <selection pane="bottomRight" activeCell="AE47" sqref="AE47"/>
    </sheetView>
  </sheetViews>
  <sheetFormatPr baseColWidth="12" defaultColWidth="13" defaultRowHeight="21" customHeight="1" outlineLevelCol="1" x14ac:dyDescent="0.15"/>
  <cols>
    <col min="1" max="1" width="12.5" style="29" bestFit="1" customWidth="1"/>
    <col min="2" max="2" width="12.5" style="4" bestFit="1" customWidth="1"/>
    <col min="3" max="3" width="12.33203125" style="4" bestFit="1" customWidth="1" collapsed="1"/>
    <col min="4" max="4" width="14.6640625" style="15" hidden="1" customWidth="1" outlineLevel="1"/>
    <col min="5" max="6" width="15.6640625" style="4" hidden="1" customWidth="1" outlineLevel="1"/>
    <col min="7" max="7" width="11.83203125" style="4" bestFit="1" customWidth="1"/>
    <col min="8" max="8" width="11.83203125" style="4" customWidth="1" outlineLevel="1"/>
    <col min="9" max="9" width="15.33203125" style="10" bestFit="1" customWidth="1"/>
    <col min="10" max="10" width="17.6640625" style="4" customWidth="1" outlineLevel="1"/>
    <col min="11" max="11" width="10.33203125" style="4" customWidth="1" outlineLevel="1"/>
    <col min="12" max="12" width="13.6640625" style="4" customWidth="1" outlineLevel="1"/>
    <col min="13" max="13" width="22.83203125" style="4" customWidth="1" outlineLevel="1"/>
    <col min="14" max="14" width="11.6640625" style="4" customWidth="1" outlineLevel="1"/>
    <col min="15" max="15" width="10.1640625" style="4" bestFit="1" customWidth="1"/>
    <col min="16" max="16" width="14.83203125" style="4" bestFit="1" customWidth="1"/>
    <col min="17" max="17" width="17.5" style="4" bestFit="1" customWidth="1"/>
    <col min="18" max="18" width="18.33203125" style="4" bestFit="1" customWidth="1"/>
    <col min="19" max="19" width="22.1640625" style="4" bestFit="1" customWidth="1"/>
    <col min="20" max="20" width="14" style="4" customWidth="1" outlineLevel="1"/>
    <col min="21" max="21" width="13" style="4" bestFit="1" customWidth="1"/>
    <col min="22" max="22" width="13.5" style="4" bestFit="1" customWidth="1"/>
    <col min="23" max="23" width="12.33203125" style="4" bestFit="1" customWidth="1"/>
    <col min="24" max="24" width="12.83203125" style="4" bestFit="1" customWidth="1"/>
    <col min="25" max="25" width="14.83203125" style="4" bestFit="1" customWidth="1"/>
    <col min="26" max="26" width="17.6640625" style="14" customWidth="1" outlineLevel="1"/>
    <col min="27" max="28" width="13.6640625" style="15" customWidth="1" outlineLevel="1"/>
    <col min="29" max="29" width="16.83203125" style="11" bestFit="1" customWidth="1" collapsed="1"/>
    <col min="30" max="31" width="16.5" style="4" bestFit="1" customWidth="1"/>
    <col min="32" max="32" width="15.33203125" style="4" customWidth="1"/>
    <col min="33" max="16384" width="13" style="4"/>
  </cols>
  <sheetData>
    <row r="1" spans="1:36" ht="21" customHeight="1" x14ac:dyDescent="0.15">
      <c r="A1" s="21" t="s">
        <v>29</v>
      </c>
      <c r="B1" s="1" t="s">
        <v>0</v>
      </c>
      <c r="C1" s="1" t="s">
        <v>1</v>
      </c>
      <c r="D1" s="20" t="s">
        <v>28</v>
      </c>
      <c r="E1" s="2" t="s">
        <v>20</v>
      </c>
      <c r="F1" s="2" t="s">
        <v>20</v>
      </c>
      <c r="G1" s="1" t="s">
        <v>19</v>
      </c>
      <c r="H1" s="20" t="s">
        <v>37</v>
      </c>
      <c r="I1" s="1" t="s">
        <v>2</v>
      </c>
      <c r="J1" s="25" t="s">
        <v>21</v>
      </c>
      <c r="K1" s="20" t="s">
        <v>24</v>
      </c>
      <c r="L1" s="20" t="s">
        <v>23</v>
      </c>
      <c r="M1" s="27" t="s">
        <v>26</v>
      </c>
      <c r="N1" s="2" t="s">
        <v>25</v>
      </c>
      <c r="O1" s="1" t="s">
        <v>3</v>
      </c>
      <c r="P1" s="53" t="s">
        <v>49</v>
      </c>
      <c r="Q1" s="53" t="s">
        <v>50</v>
      </c>
      <c r="R1" s="53" t="s">
        <v>51</v>
      </c>
      <c r="S1" s="20" t="s">
        <v>33</v>
      </c>
      <c r="T1" s="1" t="s">
        <v>4</v>
      </c>
      <c r="U1" s="1" t="s">
        <v>5</v>
      </c>
      <c r="V1" s="1" t="s">
        <v>6</v>
      </c>
      <c r="W1" s="1" t="s">
        <v>7</v>
      </c>
      <c r="X1" s="1" t="s">
        <v>8</v>
      </c>
      <c r="Y1" s="3" t="s">
        <v>9</v>
      </c>
      <c r="Z1" s="22" t="s">
        <v>16</v>
      </c>
      <c r="AA1" s="22" t="s">
        <v>17</v>
      </c>
      <c r="AB1" s="22" t="s">
        <v>27</v>
      </c>
      <c r="AC1" s="3" t="s">
        <v>10</v>
      </c>
      <c r="AD1" s="1" t="s">
        <v>11</v>
      </c>
      <c r="AE1" s="1" t="s">
        <v>12</v>
      </c>
      <c r="AF1" s="1" t="s">
        <v>40</v>
      </c>
      <c r="AG1" s="1" t="s">
        <v>42</v>
      </c>
      <c r="AH1" s="1" t="s">
        <v>44</v>
      </c>
      <c r="AI1" s="1" t="s">
        <v>46</v>
      </c>
      <c r="AJ1" s="1" t="s">
        <v>48</v>
      </c>
    </row>
    <row r="2" spans="1:36" ht="21" customHeight="1" x14ac:dyDescent="0.15">
      <c r="A2" s="21" t="str">
        <f ca="1">B2&amp;"_"&amp;C2&amp;"-"&amp;G2&amp;"/"&amp;I2&amp;"&lt;lv"&amp;O2&amp;"&gt;s"&amp;X2</f>
        <v>20001_1-1/9&lt;lv9&gt;s2</v>
      </c>
      <c r="B2" s="31">
        <v>20001</v>
      </c>
      <c r="C2" s="30">
        <v>1</v>
      </c>
      <c r="D2" s="2" t="str">
        <f>B2&amp;"_"&amp;C2</f>
        <v>20001_1</v>
      </c>
      <c r="E2" s="5" t="str">
        <f ca="1">VLOOKUP($B2,OFFSET([1]quests!$A$1,0,0,COUNTA([1]quests!$A:$A),MATCH(E$1,[1]quests!$1:$1,0)-MATCH($B$1,[1]quests!$1:$1,0)+1),MATCH(E$1,[1]quests!$1:$1,0)-MATCH($B$1,[1]quests!$1:$1,0)+1,FALSE)</f>
        <v>紅き執行者</v>
      </c>
      <c r="F2" s="5" t="str">
        <f ca="1">VLOOKUP($D2,OFFSET([1]stages!$A$1,0,0,COUNTA([1]stages!$A:$A),MATCH(F$1,[1]stages!$2:$2,0)-MATCH($D$1,[1]stages!$2:$2,0)+1),MATCH(F$1,[1]stages!$2:$2,0)-MATCH($D$1,[1]stages!$2:$2,0)+1,FALSE)</f>
        <v xml:space="preserve">【初級】紅き執行者 </v>
      </c>
      <c r="G2" s="41">
        <v>1</v>
      </c>
      <c r="H2" s="20" t="str">
        <f>B2&amp;"_"&amp;C2&amp;"-"&amp;G2</f>
        <v>20001_1-1</v>
      </c>
      <c r="I2" s="36">
        <v>9</v>
      </c>
      <c r="J2" s="26" t="str">
        <f ca="1">VLOOKUP($I2,OFFSET([2]enemies!$A$1,0,0,COUNTA([2]enemies!$A:$A),MATCH(J$1,[2]enemies!$1:$1,0)-MATCH($I$1,[2]enemies!$1:$1,0)+1),MATCH(J$1,[2]enemies!$1:$1,0)-MATCH($I$1,[2]enemies!$1:$1,0)+1,FALSE)</f>
        <v>ブレット</v>
      </c>
      <c r="K2" s="26" t="str">
        <f ca="1">VLOOKUP($I2,OFFSET([2]enemies!$A$1,0,0,COUNTA([2]enemies!$A:$A),MATCH(K$1,[2]enemies!$1:$1,0)-MATCH($I$1,[2]enemies!$1:$1,0)+1),MATCH(K$1,[2]enemies!$1:$1,0)-MATCH($I$1,[2]enemies!$1:$1,0)+1,FALSE)</f>
        <v>red</v>
      </c>
      <c r="L2" s="28" t="str">
        <f>VLOOKUP(I2,[3]characters!$A:$J,10,FALSE)</f>
        <v>Drop1W</v>
      </c>
      <c r="M2" s="26" t="str">
        <f ca="1">VLOOKUP($I2,OFFSET([2]enemies!$A$1,0,0,COUNTA([2]enemies!$A:$A),MATCH(M$1,[2]enemies!$1:$1,0)-MATCH($I$1,[2]enemies!$1:$1,0)+1),MATCH(M$1,[2]enemies!$1:$1,0)-MATCH($I$1,[2]enemies!$1:$1,0)+1,FALSE)</f>
        <v>animal</v>
      </c>
      <c r="N2" s="26">
        <f ca="1">VLOOKUP($I2,OFFSET([2]enemies!$A$1,0,0,COUNTA([2]enemies!$A:$A),MATCH(N$1,[2]enemies!$1:$1,0)-MATCH($I$1,[2]enemies!$1:$1,0)+1),MATCH(N$1,[2]enemies!$1:$1,0)-MATCH($I$1,[2]enemies!$1:$1,0)+1,FALSE)</f>
        <v>15</v>
      </c>
      <c r="O2" s="6">
        <v>9</v>
      </c>
      <c r="P2" s="54">
        <v>1</v>
      </c>
      <c r="Q2" s="54">
        <v>1</v>
      </c>
      <c r="R2" s="6">
        <v>0</v>
      </c>
      <c r="S2" s="5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" s="26">
        <f ca="1">VLOOKUP($I2,OFFSET([2]enemies!$A$1,0,0,COUNTA([2]enemies!$A:$A),MATCH(T$1,[2]enemies!$1:$1,0)-MATCH($I$1,[2]enemies!$1:$1,0)+1),MATCH(T$1,[2]enemies!$1:$1,0)-MATCH($I$1,[2]enemies!$1:$1,0)+1,FALSE)</f>
        <v>0</v>
      </c>
      <c r="U2" s="7">
        <v>0</v>
      </c>
      <c r="V2" s="7">
        <v>100</v>
      </c>
      <c r="W2" s="7">
        <v>0</v>
      </c>
      <c r="X2" s="26">
        <f ca="1">VLOOKUP($I2,OFFSET([2]enemies!$A$1,0,0,COUNTA([2]enemies!$A:$A),MATCH(X$1,[2]enemies!$1:$1,0)-MATCH($I$1,[2]enemies!$1:$1,0)+1),MATCH(X$1,[2]enemies!$1:$1,0)-MATCH($I$1,[2]enemies!$1:$1,0)+1,FALSE)</f>
        <v>2</v>
      </c>
      <c r="Y2" s="36">
        <v>9</v>
      </c>
      <c r="Z2" s="5" t="str">
        <f ca="1">IFERROR(VLOOKUP($Y2,OFFSET([3]characters!$A$1,0,0,COUNTA([3]characters!$A:$A),MATCH(Z$1,[3]characters!$1:$1,0)-MATCH("character_id",[3]characters!$1:$1,0)+1),MATCH(Z$1,[3]characters!$1:$1,0)-MATCH("character_id",[3]characters!$1:$1,0)+1,FALSE),"")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2" s="5">
        <f ca="1">IFERROR(VLOOKUP($Y2,OFFSET([3]characters!$A$1,0,0,COUNTA([3]characters!$A:$A),MATCH(AA$1,[3]characters!$1:$1,0)-MATCH("character_id",[3]characters!$1:$1,0)+1),MATCH(AA$1,[3]characters!$1:$1,0)-MATCH("character_id",[3]characters!$1:$1,0)+1,FALSE),"")</f>
        <v>1</v>
      </c>
      <c r="AB2" s="5" t="str">
        <f ca="1">IFERROR(VLOOKUP($Y2,OFFSET([3]characters!$A$1,0,0,COUNTA([3]characters!$A:$A),MATCH(AB$1,[3]characters!$1:$1,0)-MATCH("character_id",[3]characters!$1:$1,0)+1),MATCH(AB$1,[3]characters!$1:$1,0)-MATCH("character_id",[3]characters!$1:$1,0)+1,FALSE),"")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" s="8">
        <v>1</v>
      </c>
      <c r="AD2" s="33">
        <f ca="1">AA2</f>
        <v>1</v>
      </c>
      <c r="AE2" s="9">
        <v>25</v>
      </c>
      <c r="AF2" s="8">
        <v>0</v>
      </c>
      <c r="AG2" s="8">
        <v>0</v>
      </c>
      <c r="AH2" s="8">
        <v>0</v>
      </c>
      <c r="AI2" s="8">
        <v>0</v>
      </c>
      <c r="AJ2" s="8">
        <v>1</v>
      </c>
    </row>
    <row r="3" spans="1:36" ht="21" customHeight="1" x14ac:dyDescent="0.15">
      <c r="A3" s="21" t="str">
        <f t="shared" ref="A3:A60" ca="1" si="0">B3&amp;"_"&amp;C3&amp;"-"&amp;G3&amp;"/"&amp;I3&amp;"&lt;lv"&amp;O3&amp;"&gt;s"&amp;X3</f>
        <v>20001_1-1/15&lt;lv9&gt;s3</v>
      </c>
      <c r="B3" s="31">
        <v>20001</v>
      </c>
      <c r="C3" s="30">
        <v>1</v>
      </c>
      <c r="D3" s="2" t="str">
        <f t="shared" ref="D3:D60" si="1">B3&amp;"_"&amp;C3</f>
        <v>20001_1</v>
      </c>
      <c r="E3" s="5" t="str">
        <f ca="1">VLOOKUP($B3,OFFSET([1]quests!$A$1,0,0,COUNTA([1]quests!$A:$A),MATCH(E$1,[1]quests!$1:$1,0)-MATCH($B$1,[1]quests!$1:$1,0)+1),MATCH(E$1,[1]quests!$1:$1,0)-MATCH($B$1,[1]quests!$1:$1,0)+1,FALSE)</f>
        <v>紅き執行者</v>
      </c>
      <c r="F3" s="5" t="str">
        <f ca="1">VLOOKUP($D3,OFFSET([1]stages!$A$1,0,0,COUNTA([1]stages!$A:$A),MATCH(F$1,[1]stages!$2:$2,0)-MATCH($D$1,[1]stages!$2:$2,0)+1),MATCH(F$1,[1]stages!$2:$2,0)-MATCH($D$1,[1]stages!$2:$2,0)+1,FALSE)</f>
        <v xml:space="preserve">【初級】紅き執行者 </v>
      </c>
      <c r="G3" s="41">
        <v>1</v>
      </c>
      <c r="H3" s="20" t="str">
        <f t="shared" ref="H3:H60" si="2">B3&amp;"_"&amp;C3&amp;"-"&amp;G3</f>
        <v>20001_1-1</v>
      </c>
      <c r="I3" s="36">
        <v>15</v>
      </c>
      <c r="J3" s="26" t="str">
        <f ca="1">VLOOKUP($I3,OFFSET([2]enemies!$A$1,0,0,COUNTA([2]enemies!$A:$A),MATCH(J$1,[2]enemies!$1:$1,0)-MATCH($I$1,[2]enemies!$1:$1,0)+1),MATCH(J$1,[2]enemies!$1:$1,0)-MATCH($I$1,[2]enemies!$1:$1,0)+1,FALSE)</f>
        <v>アカネ</v>
      </c>
      <c r="K3" s="26" t="str">
        <f ca="1">VLOOKUP($I3,OFFSET([2]enemies!$A$1,0,0,COUNTA([2]enemies!$A:$A),MATCH(K$1,[2]enemies!$1:$1,0)-MATCH($I$1,[2]enemies!$1:$1,0)+1),MATCH(K$1,[2]enemies!$1:$1,0)-MATCH($I$1,[2]enemies!$1:$1,0)+1,FALSE)</f>
        <v>red</v>
      </c>
      <c r="L3" s="28" t="str">
        <f>VLOOKUP(I3,[3]characters!$A:$J,10,FALSE)</f>
        <v>Drop1W</v>
      </c>
      <c r="M3" s="26" t="str">
        <f ca="1">VLOOKUP($I3,OFFSET([2]enemies!$A$1,0,0,COUNTA([2]enemies!$A:$A),MATCH(M$1,[2]enemies!$1:$1,0)-MATCH($I$1,[2]enemies!$1:$1,0)+1),MATCH(M$1,[2]enemies!$1:$1,0)-MATCH($I$1,[2]enemies!$1:$1,0)+1,FALSE)</f>
        <v>human</v>
      </c>
      <c r="N3" s="26">
        <f ca="1">VLOOKUP($I3,OFFSET([2]enemies!$A$1,0,0,COUNTA([2]enemies!$A:$A),MATCH(N$1,[2]enemies!$1:$1,0)-MATCH($I$1,[2]enemies!$1:$1,0)+1),MATCH(N$1,[2]enemies!$1:$1,0)-MATCH($I$1,[2]enemies!$1:$1,0)+1,FALSE)</f>
        <v>15</v>
      </c>
      <c r="O3" s="6">
        <v>9</v>
      </c>
      <c r="P3" s="54">
        <v>1</v>
      </c>
      <c r="Q3" s="54">
        <v>1</v>
      </c>
      <c r="R3" s="6">
        <v>0</v>
      </c>
      <c r="S3" s="5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" s="26">
        <f ca="1">VLOOKUP($I3,OFFSET([2]enemies!$A$1,0,0,COUNTA([2]enemies!$A:$A),MATCH(T$1,[2]enemies!$1:$1,0)-MATCH($I$1,[2]enemies!$1:$1,0)+1),MATCH(T$1,[2]enemies!$1:$1,0)-MATCH($I$1,[2]enemies!$1:$1,0)+1,FALSE)</f>
        <v>0</v>
      </c>
      <c r="U3" s="7">
        <v>0</v>
      </c>
      <c r="V3" s="7">
        <v>80</v>
      </c>
      <c r="W3" s="7">
        <v>0</v>
      </c>
      <c r="X3" s="26">
        <f ca="1">VLOOKUP($I3,OFFSET([2]enemies!$A$1,0,0,COUNTA([2]enemies!$A:$A),MATCH(X$1,[2]enemies!$1:$1,0)-MATCH($I$1,[2]enemies!$1:$1,0)+1),MATCH(X$1,[2]enemies!$1:$1,0)-MATCH($I$1,[2]enemies!$1:$1,0)+1,FALSE)</f>
        <v>3</v>
      </c>
      <c r="Y3" s="36">
        <v>15</v>
      </c>
      <c r="Z3" s="5" t="str">
        <f ca="1">IFERROR(VLOOKUP($Y3,OFFSET([3]characters!$A$1,0,0,COUNTA([3]characters!$A:$A),MATCH(Z$1,[3]characters!$1:$1,0)-MATCH("character_id",[3]characters!$1:$1,0)+1),MATCH(Z$1,[3]characters!$1:$1,0)-MATCH("character_id",[3]characters!$1:$1,0)+1,FALSE),"")</f>
        <v>アカネ</v>
      </c>
      <c r="AA3" s="5">
        <f ca="1">IFERROR(VLOOKUP($Y3,OFFSET([3]characters!$A$1,0,0,COUNTA([3]characters!$A:$A),MATCH(AA$1,[3]characters!$1:$1,0)-MATCH("character_id",[3]characters!$1:$1,0)+1),MATCH(AA$1,[3]characters!$1:$1,0)-MATCH("character_id",[3]characters!$1:$1,0)+1,FALSE),"")</f>
        <v>1</v>
      </c>
      <c r="AB3" s="5" t="str">
        <f ca="1">IFERROR(VLOOKUP($Y3,OFFSET([3]characters!$A$1,0,0,COUNTA([3]characters!$A:$A),MATCH(AB$1,[3]characters!$1:$1,0)-MATCH("character_id",[3]characters!$1:$1,0)+1),MATCH(AB$1,[3]characters!$1:$1,0)-MATCH("character_id",[3]characters!$1:$1,0)+1,FALSE),"")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" s="8">
        <v>1</v>
      </c>
      <c r="AD3" s="33">
        <f t="shared" ref="AD3:AD60" ca="1" si="3">AA3</f>
        <v>1</v>
      </c>
      <c r="AE3" s="9">
        <v>25</v>
      </c>
      <c r="AF3" s="8">
        <v>0</v>
      </c>
      <c r="AG3" s="8">
        <v>0</v>
      </c>
      <c r="AH3" s="8">
        <v>0</v>
      </c>
      <c r="AI3" s="8">
        <v>0</v>
      </c>
      <c r="AJ3" s="8">
        <v>1</v>
      </c>
    </row>
    <row r="4" spans="1:36" ht="21" customHeight="1" x14ac:dyDescent="0.15">
      <c r="A4" s="21" t="str">
        <f t="shared" ca="1" si="0"/>
        <v>20001_1-1/21&lt;lv9&gt;s2</v>
      </c>
      <c r="B4" s="31">
        <v>20001</v>
      </c>
      <c r="C4" s="30">
        <v>1</v>
      </c>
      <c r="D4" s="2" t="str">
        <f t="shared" si="1"/>
        <v>20001_1</v>
      </c>
      <c r="E4" s="5" t="str">
        <f ca="1">VLOOKUP($B4,OFFSET([1]quests!$A$1,0,0,COUNTA([1]quests!$A:$A),MATCH(E$1,[1]quests!$1:$1,0)-MATCH($B$1,[1]quests!$1:$1,0)+1),MATCH(E$1,[1]quests!$1:$1,0)-MATCH($B$1,[1]quests!$1:$1,0)+1,FALSE)</f>
        <v>紅き執行者</v>
      </c>
      <c r="F4" s="5" t="str">
        <f ca="1">VLOOKUP($D4,OFFSET([1]stages!$A$1,0,0,COUNTA([1]stages!$A:$A),MATCH(F$1,[1]stages!$2:$2,0)-MATCH($D$1,[1]stages!$2:$2,0)+1),MATCH(F$1,[1]stages!$2:$2,0)-MATCH($D$1,[1]stages!$2:$2,0)+1,FALSE)</f>
        <v xml:space="preserve">【初級】紅き執行者 </v>
      </c>
      <c r="G4" s="41">
        <v>1</v>
      </c>
      <c r="H4" s="20" t="str">
        <f t="shared" si="2"/>
        <v>20001_1-1</v>
      </c>
      <c r="I4" s="36">
        <v>21</v>
      </c>
      <c r="J4" s="26" t="str">
        <f ca="1">VLOOKUP($I4,OFFSET([2]enemies!$A$1,0,0,COUNTA([2]enemies!$A:$A),MATCH(J$1,[2]enemies!$1:$1,0)-MATCH($I$1,[2]enemies!$1:$1,0)+1),MATCH(J$1,[2]enemies!$1:$1,0)-MATCH($I$1,[2]enemies!$1:$1,0)+1,FALSE)</f>
        <v>ヴェロキー</v>
      </c>
      <c r="K4" s="26" t="str">
        <f ca="1">VLOOKUP($I4,OFFSET([2]enemies!$A$1,0,0,COUNTA([2]enemies!$A:$A),MATCH(K$1,[2]enemies!$1:$1,0)-MATCH($I$1,[2]enemies!$1:$1,0)+1),MATCH(K$1,[2]enemies!$1:$1,0)-MATCH($I$1,[2]enemies!$1:$1,0)+1,FALSE)</f>
        <v>red</v>
      </c>
      <c r="L4" s="28" t="str">
        <f>VLOOKUP(I4,[3]characters!$A:$J,10,FALSE)</f>
        <v>Drop1N</v>
      </c>
      <c r="M4" s="26" t="str">
        <f ca="1">VLOOKUP($I4,OFFSET([2]enemies!$A$1,0,0,COUNTA([2]enemies!$A:$A),MATCH(M$1,[2]enemies!$1:$1,0)-MATCH($I$1,[2]enemies!$1:$1,0)+1),MATCH(M$1,[2]enemies!$1:$1,0)-MATCH($I$1,[2]enemies!$1:$1,0)+1,FALSE)</f>
        <v>dragon</v>
      </c>
      <c r="N4" s="26">
        <f ca="1">VLOOKUP($I4,OFFSET([2]enemies!$A$1,0,0,COUNTA([2]enemies!$A:$A),MATCH(N$1,[2]enemies!$1:$1,0)-MATCH($I$1,[2]enemies!$1:$1,0)+1),MATCH(N$1,[2]enemies!$1:$1,0)-MATCH($I$1,[2]enemies!$1:$1,0)+1,FALSE)</f>
        <v>15</v>
      </c>
      <c r="O4" s="6">
        <v>9</v>
      </c>
      <c r="P4" s="54">
        <v>1</v>
      </c>
      <c r="Q4" s="54">
        <v>1</v>
      </c>
      <c r="R4" s="6">
        <v>0</v>
      </c>
      <c r="S4" s="5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26">
        <f ca="1">VLOOKUP($I4,OFFSET([2]enemies!$A$1,0,0,COUNTA([2]enemies!$A:$A),MATCH(T$1,[2]enemies!$1:$1,0)-MATCH($I$1,[2]enemies!$1:$1,0)+1),MATCH(T$1,[2]enemies!$1:$1,0)-MATCH($I$1,[2]enemies!$1:$1,0)+1,FALSE)</f>
        <v>0</v>
      </c>
      <c r="U4" s="7">
        <v>0</v>
      </c>
      <c r="V4" s="7">
        <v>80</v>
      </c>
      <c r="W4" s="7">
        <v>0</v>
      </c>
      <c r="X4" s="26">
        <f ca="1">VLOOKUP($I4,OFFSET([2]enemies!$A$1,0,0,COUNTA([2]enemies!$A:$A),MATCH(X$1,[2]enemies!$1:$1,0)-MATCH($I$1,[2]enemies!$1:$1,0)+1),MATCH(X$1,[2]enemies!$1:$1,0)-MATCH($I$1,[2]enemies!$1:$1,0)+1,FALSE)</f>
        <v>2</v>
      </c>
      <c r="Y4" s="36">
        <v>21</v>
      </c>
      <c r="Z4" s="5" t="str">
        <f ca="1">IFERROR(VLOOKUP($Y4,OFFSET([3]characters!$A$1,0,0,COUNTA([3]characters!$A:$A),MATCH(Z$1,[3]characters!$1:$1,0)-MATCH("character_id",[3]characters!$1:$1,0)+1),MATCH(Z$1,[3]characters!$1:$1,0)-MATCH("character_id",[3]characters!$1:$1,0)+1,FALSE),"")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4" s="5">
        <f ca="1">IFERROR(VLOOKUP($Y4,OFFSET([3]characters!$A$1,0,0,COUNTA([3]characters!$A:$A),MATCH(AA$1,[3]characters!$1:$1,0)-MATCH("character_id",[3]characters!$1:$1,0)+1),MATCH(AA$1,[3]characters!$1:$1,0)-MATCH("character_id",[3]characters!$1:$1,0)+1,FALSE),"")</f>
        <v>1</v>
      </c>
      <c r="AB4" s="5" t="str">
        <f ca="1">IFERROR(VLOOKUP($Y4,OFFSET([3]characters!$A$1,0,0,COUNTA([3]characters!$A:$A),MATCH(AB$1,[3]characters!$1:$1,0)-MATCH("character_id",[3]characters!$1:$1,0)+1),MATCH(AB$1,[3]characters!$1:$1,0)-MATCH("character_id",[3]characters!$1:$1,0)+1,FALSE),"")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" s="8">
        <v>1</v>
      </c>
      <c r="AD4" s="33">
        <f t="shared" ca="1" si="3"/>
        <v>1</v>
      </c>
      <c r="AE4" s="9">
        <v>25</v>
      </c>
      <c r="AF4" s="8">
        <v>0</v>
      </c>
      <c r="AG4" s="8">
        <v>0</v>
      </c>
      <c r="AH4" s="8">
        <v>0</v>
      </c>
      <c r="AI4" s="8">
        <v>0</v>
      </c>
      <c r="AJ4" s="8">
        <v>1</v>
      </c>
    </row>
    <row r="5" spans="1:36" ht="21" customHeight="1" x14ac:dyDescent="0.15">
      <c r="A5" s="21" t="str">
        <f t="shared" ca="1" si="0"/>
        <v>20001_1-1/41&lt;lv9&gt;s1</v>
      </c>
      <c r="B5" s="31">
        <v>20001</v>
      </c>
      <c r="C5" s="30">
        <v>1</v>
      </c>
      <c r="D5" s="2" t="str">
        <f t="shared" si="1"/>
        <v>20001_1</v>
      </c>
      <c r="E5" s="5" t="str">
        <f ca="1">VLOOKUP($B5,OFFSET([1]quests!$A$1,0,0,COUNTA([1]quests!$A:$A),MATCH(E$1,[1]quests!$1:$1,0)-MATCH($B$1,[1]quests!$1:$1,0)+1),MATCH(E$1,[1]quests!$1:$1,0)-MATCH($B$1,[1]quests!$1:$1,0)+1,FALSE)</f>
        <v>紅き執行者</v>
      </c>
      <c r="F5" s="5" t="str">
        <f ca="1">VLOOKUP($D5,OFFSET([1]stages!$A$1,0,0,COUNTA([1]stages!$A:$A),MATCH(F$1,[1]stages!$2:$2,0)-MATCH($D$1,[1]stages!$2:$2,0)+1),MATCH(F$1,[1]stages!$2:$2,0)-MATCH($D$1,[1]stages!$2:$2,0)+1,FALSE)</f>
        <v xml:space="preserve">【初級】紅き執行者 </v>
      </c>
      <c r="G5" s="41">
        <v>1</v>
      </c>
      <c r="H5" s="20" t="str">
        <f t="shared" si="2"/>
        <v>20001_1-1</v>
      </c>
      <c r="I5" s="36">
        <v>41</v>
      </c>
      <c r="J5" s="26" t="str">
        <f ca="1">VLOOKUP($I5,OFFSET([2]enemies!$A$1,0,0,COUNTA([2]enemies!$A:$A),MATCH(J$1,[2]enemies!$1:$1,0)-MATCH($I$1,[2]enemies!$1:$1,0)+1),MATCH(J$1,[2]enemies!$1:$1,0)-MATCH($I$1,[2]enemies!$1:$1,0)+1,FALSE)</f>
        <v>ヒュウガ</v>
      </c>
      <c r="K5" s="26" t="str">
        <f ca="1">VLOOKUP($I5,OFFSET([2]enemies!$A$1,0,0,COUNTA([2]enemies!$A:$A),MATCH(K$1,[2]enemies!$1:$1,0)-MATCH($I$1,[2]enemies!$1:$1,0)+1),MATCH(K$1,[2]enemies!$1:$1,0)-MATCH($I$1,[2]enemies!$1:$1,0)+1,FALSE)</f>
        <v>red</v>
      </c>
      <c r="L5" s="28" t="str">
        <f>VLOOKUP(I5,[3]characters!$A:$J,10,FALSE)</f>
        <v>Drop1N</v>
      </c>
      <c r="M5" s="26" t="str">
        <f ca="1">VLOOKUP($I5,OFFSET([2]enemies!$A$1,0,0,COUNTA([2]enemies!$A:$A),MATCH(M$1,[2]enemies!$1:$1,0)-MATCH($I$1,[2]enemies!$1:$1,0)+1),MATCH(M$1,[2]enemies!$1:$1,0)-MATCH($I$1,[2]enemies!$1:$1,0)+1,FALSE)</f>
        <v>dragon</v>
      </c>
      <c r="N5" s="26">
        <f ca="1">VLOOKUP($I5,OFFSET([2]enemies!$A$1,0,0,COUNTA([2]enemies!$A:$A),MATCH(N$1,[2]enemies!$1:$1,0)-MATCH($I$1,[2]enemies!$1:$1,0)+1),MATCH(N$1,[2]enemies!$1:$1,0)-MATCH($I$1,[2]enemies!$1:$1,0)+1,FALSE)</f>
        <v>15</v>
      </c>
      <c r="O5" s="6">
        <v>9</v>
      </c>
      <c r="P5" s="54">
        <v>1</v>
      </c>
      <c r="Q5" s="54">
        <v>1</v>
      </c>
      <c r="R5" s="6">
        <v>0</v>
      </c>
      <c r="S5" s="5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" s="26">
        <f ca="1">VLOOKUP($I5,OFFSET([2]enemies!$A$1,0,0,COUNTA([2]enemies!$A:$A),MATCH(T$1,[2]enemies!$1:$1,0)-MATCH($I$1,[2]enemies!$1:$1,0)+1),MATCH(T$1,[2]enemies!$1:$1,0)-MATCH($I$1,[2]enemies!$1:$1,0)+1,FALSE)</f>
        <v>0</v>
      </c>
      <c r="U5" s="7">
        <v>0</v>
      </c>
      <c r="V5" s="7">
        <v>80</v>
      </c>
      <c r="W5" s="7">
        <v>0</v>
      </c>
      <c r="X5" s="26">
        <f ca="1">VLOOKUP($I5,OFFSET([2]enemies!$A$1,0,0,COUNTA([2]enemies!$A:$A),MATCH(X$1,[2]enemies!$1:$1,0)-MATCH($I$1,[2]enemies!$1:$1,0)+1),MATCH(X$1,[2]enemies!$1:$1,0)-MATCH($I$1,[2]enemies!$1:$1,0)+1,FALSE)</f>
        <v>1</v>
      </c>
      <c r="Y5" s="36">
        <v>41</v>
      </c>
      <c r="Z5" s="5" t="str">
        <f ca="1">IFERROR(VLOOKUP($Y5,OFFSET([3]characters!$A$1,0,0,COUNTA([3]characters!$A:$A),MATCH(Z$1,[3]characters!$1:$1,0)-MATCH("character_id",[3]characters!$1:$1,0)+1),MATCH(Z$1,[3]characters!$1:$1,0)-MATCH("character_id",[3]characters!$1:$1,0)+1,FALSE),"")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5" s="5">
        <f ca="1">IFERROR(VLOOKUP($Y5,OFFSET([3]characters!$A$1,0,0,COUNTA([3]characters!$A:$A),MATCH(AA$1,[3]characters!$1:$1,0)-MATCH("character_id",[3]characters!$1:$1,0)+1),MATCH(AA$1,[3]characters!$1:$1,0)-MATCH("character_id",[3]characters!$1:$1,0)+1,FALSE),"")</f>
        <v>2</v>
      </c>
      <c r="AB5" s="5" t="str">
        <f ca="1">IFERROR(VLOOKUP($Y5,OFFSET([3]characters!$A$1,0,0,COUNTA([3]characters!$A:$A),MATCH(AB$1,[3]characters!$1:$1,0)-MATCH("character_id",[3]characters!$1:$1,0)+1),MATCH(AB$1,[3]characters!$1:$1,0)-MATCH("character_id",[3]characters!$1:$1,0)+1,FALSE),"")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" s="8">
        <v>1</v>
      </c>
      <c r="AD5" s="33">
        <f t="shared" ca="1" si="3"/>
        <v>2</v>
      </c>
      <c r="AE5" s="9">
        <v>25</v>
      </c>
      <c r="AF5" s="8">
        <v>0</v>
      </c>
      <c r="AG5" s="8">
        <v>0</v>
      </c>
      <c r="AH5" s="8">
        <v>0</v>
      </c>
      <c r="AI5" s="8">
        <v>0</v>
      </c>
      <c r="AJ5" s="8">
        <v>1</v>
      </c>
    </row>
    <row r="6" spans="1:36" ht="21" customHeight="1" x14ac:dyDescent="0.15">
      <c r="A6" s="21" t="str">
        <f t="shared" ca="1" si="0"/>
        <v>20001_1-1/63&lt;lv11&gt;s2</v>
      </c>
      <c r="B6" s="31">
        <v>20001</v>
      </c>
      <c r="C6" s="30">
        <v>1</v>
      </c>
      <c r="D6" s="2" t="str">
        <f t="shared" si="1"/>
        <v>20001_1</v>
      </c>
      <c r="E6" s="5" t="str">
        <f ca="1">VLOOKUP($B6,OFFSET([1]quests!$A$1,0,0,COUNTA([1]quests!$A:$A),MATCH(E$1,[1]quests!$1:$1,0)-MATCH($B$1,[1]quests!$1:$1,0)+1),MATCH(E$1,[1]quests!$1:$1,0)-MATCH($B$1,[1]quests!$1:$1,0)+1,FALSE)</f>
        <v>紅き執行者</v>
      </c>
      <c r="F6" s="5" t="str">
        <f ca="1">VLOOKUP($D6,OFFSET([1]stages!$A$1,0,0,COUNTA([1]stages!$A:$A),MATCH(F$1,[1]stages!$2:$2,0)-MATCH($D$1,[1]stages!$2:$2,0)+1),MATCH(F$1,[1]stages!$2:$2,0)-MATCH($D$1,[1]stages!$2:$2,0)+1,FALSE)</f>
        <v xml:space="preserve">【初級】紅き執行者 </v>
      </c>
      <c r="G6" s="41">
        <v>1</v>
      </c>
      <c r="H6" s="20" t="str">
        <f t="shared" si="2"/>
        <v>20001_1-1</v>
      </c>
      <c r="I6" s="36">
        <v>63</v>
      </c>
      <c r="J6" s="26" t="str">
        <f ca="1">VLOOKUP($I6,OFFSET([2]enemies!$A$1,0,0,COUNTA([2]enemies!$A:$A),MATCH(J$1,[2]enemies!$1:$1,0)-MATCH($I$1,[2]enemies!$1:$1,0)+1),MATCH(J$1,[2]enemies!$1:$1,0)-MATCH($I$1,[2]enemies!$1:$1,0)+1,FALSE)</f>
        <v>トニー</v>
      </c>
      <c r="K6" s="26" t="str">
        <f ca="1">VLOOKUP($I6,OFFSET([2]enemies!$A$1,0,0,COUNTA([2]enemies!$A:$A),MATCH(K$1,[2]enemies!$1:$1,0)-MATCH($I$1,[2]enemies!$1:$1,0)+1),MATCH(K$1,[2]enemies!$1:$1,0)-MATCH($I$1,[2]enemies!$1:$1,0)+1,FALSE)</f>
        <v>yellow</v>
      </c>
      <c r="L6" s="28" t="str">
        <f>VLOOKUP(I6,[3]characters!$A:$J,10,FALSE)</f>
        <v>Drop1N</v>
      </c>
      <c r="M6" s="26" t="str">
        <f ca="1">VLOOKUP($I6,OFFSET([2]enemies!$A$1,0,0,COUNTA([2]enemies!$A:$A),MATCH(M$1,[2]enemies!$1:$1,0)-MATCH($I$1,[2]enemies!$1:$1,0)+1),MATCH(M$1,[2]enemies!$1:$1,0)-MATCH($I$1,[2]enemies!$1:$1,0)+1,FALSE)</f>
        <v>animal</v>
      </c>
      <c r="N6" s="26">
        <f ca="1">VLOOKUP($I6,OFFSET([2]enemies!$A$1,0,0,COUNTA([2]enemies!$A:$A),MATCH(N$1,[2]enemies!$1:$1,0)-MATCH($I$1,[2]enemies!$1:$1,0)+1),MATCH(N$1,[2]enemies!$1:$1,0)-MATCH($I$1,[2]enemies!$1:$1,0)+1,FALSE)</f>
        <v>15</v>
      </c>
      <c r="O6" s="6">
        <v>11</v>
      </c>
      <c r="P6" s="54">
        <v>1</v>
      </c>
      <c r="Q6" s="54">
        <v>1</v>
      </c>
      <c r="R6" s="6">
        <v>0</v>
      </c>
      <c r="S6" s="5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6" s="26">
        <f ca="1">VLOOKUP($I6,OFFSET([2]enemies!$A$1,0,0,COUNTA([2]enemies!$A:$A),MATCH(T$1,[2]enemies!$1:$1,0)-MATCH($I$1,[2]enemies!$1:$1,0)+1),MATCH(T$1,[2]enemies!$1:$1,0)-MATCH($I$1,[2]enemies!$1:$1,0)+1,FALSE)</f>
        <v>63</v>
      </c>
      <c r="U6" s="7">
        <v>0</v>
      </c>
      <c r="V6" s="7">
        <v>80</v>
      </c>
      <c r="W6" s="7">
        <v>0</v>
      </c>
      <c r="X6" s="26">
        <f ca="1">VLOOKUP($I6,OFFSET([2]enemies!$A$1,0,0,COUNTA([2]enemies!$A:$A),MATCH(X$1,[2]enemies!$1:$1,0)-MATCH($I$1,[2]enemies!$1:$1,0)+1),MATCH(X$1,[2]enemies!$1:$1,0)-MATCH($I$1,[2]enemies!$1:$1,0)+1,FALSE)</f>
        <v>2</v>
      </c>
      <c r="Y6" s="36">
        <v>63</v>
      </c>
      <c r="Z6" s="5" t="str">
        <f ca="1">IFERROR(VLOOKUP($Y6,OFFSET([3]characters!$A$1,0,0,COUNTA([3]characters!$A:$A),MATCH(Z$1,[3]characters!$1:$1,0)-MATCH("character_id",[3]characters!$1:$1,0)+1),MATCH(Z$1,[3]characters!$1:$1,0)-MATCH("character_id",[3]characters!$1:$1,0)+1,FALSE),"")</f>
        <v>トニー</v>
      </c>
      <c r="AA6" s="5">
        <f ca="1">IFERROR(VLOOKUP($Y6,OFFSET([3]characters!$A$1,0,0,COUNTA([3]characters!$A:$A),MATCH(AA$1,[3]characters!$1:$1,0)-MATCH("character_id",[3]characters!$1:$1,0)+1),MATCH(AA$1,[3]characters!$1:$1,0)-MATCH("character_id",[3]characters!$1:$1,0)+1,FALSE),"")</f>
        <v>2</v>
      </c>
      <c r="AB6" s="5" t="str">
        <f ca="1">IFERROR(VLOOKUP($Y6,OFFSET([3]characters!$A$1,0,0,COUNTA([3]characters!$A:$A),MATCH(AB$1,[3]characters!$1:$1,0)-MATCH("character_id",[3]characters!$1:$1,0)+1),MATCH(AB$1,[3]characters!$1:$1,0)-MATCH("character_id",[3]characters!$1:$1,0)+1,FALSE),"")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" s="8">
        <v>1</v>
      </c>
      <c r="AD6" s="33">
        <f t="shared" ca="1" si="3"/>
        <v>2</v>
      </c>
      <c r="AE6" s="9">
        <v>25</v>
      </c>
      <c r="AF6" s="8">
        <v>0</v>
      </c>
      <c r="AG6" s="8">
        <v>0</v>
      </c>
      <c r="AH6" s="8">
        <v>0</v>
      </c>
      <c r="AI6" s="8">
        <v>0</v>
      </c>
      <c r="AJ6" s="8">
        <v>1</v>
      </c>
    </row>
    <row r="7" spans="1:36" ht="21" customHeight="1" x14ac:dyDescent="0.15">
      <c r="A7" s="21" t="str">
        <f t="shared" ca="1" si="0"/>
        <v>20001_1-2/9&lt;lv9&gt;s2</v>
      </c>
      <c r="B7" s="31">
        <v>20001</v>
      </c>
      <c r="C7" s="30">
        <v>1</v>
      </c>
      <c r="D7" s="2" t="str">
        <f t="shared" si="1"/>
        <v>20001_1</v>
      </c>
      <c r="E7" s="5" t="str">
        <f ca="1">VLOOKUP($B7,OFFSET([1]quests!$A$1,0,0,COUNTA([1]quests!$A:$A),MATCH(E$1,[1]quests!$1:$1,0)-MATCH($B$1,[1]quests!$1:$1,0)+1),MATCH(E$1,[1]quests!$1:$1,0)-MATCH($B$1,[1]quests!$1:$1,0)+1,FALSE)</f>
        <v>紅き執行者</v>
      </c>
      <c r="F7" s="5" t="str">
        <f ca="1">VLOOKUP($D7,OFFSET([1]stages!$A$1,0,0,COUNTA([1]stages!$A:$A),MATCH(F$1,[1]stages!$2:$2,0)-MATCH($D$1,[1]stages!$2:$2,0)+1),MATCH(F$1,[1]stages!$2:$2,0)-MATCH($D$1,[1]stages!$2:$2,0)+1,FALSE)</f>
        <v xml:space="preserve">【初級】紅き執行者 </v>
      </c>
      <c r="G7" s="42">
        <v>2</v>
      </c>
      <c r="H7" s="20" t="str">
        <f t="shared" si="2"/>
        <v>20001_1-2</v>
      </c>
      <c r="I7" s="36">
        <v>9</v>
      </c>
      <c r="J7" s="26" t="str">
        <f ca="1">VLOOKUP($I7,OFFSET([2]enemies!$A$1,0,0,COUNTA([2]enemies!$A:$A),MATCH(J$1,[2]enemies!$1:$1,0)-MATCH($I$1,[2]enemies!$1:$1,0)+1),MATCH(J$1,[2]enemies!$1:$1,0)-MATCH($I$1,[2]enemies!$1:$1,0)+1,FALSE)</f>
        <v>ブレット</v>
      </c>
      <c r="K7" s="26" t="str">
        <f ca="1">VLOOKUP($I7,OFFSET([2]enemies!$A$1,0,0,COUNTA([2]enemies!$A:$A),MATCH(K$1,[2]enemies!$1:$1,0)-MATCH($I$1,[2]enemies!$1:$1,0)+1),MATCH(K$1,[2]enemies!$1:$1,0)-MATCH($I$1,[2]enemies!$1:$1,0)+1,FALSE)</f>
        <v>red</v>
      </c>
      <c r="L7" s="28" t="str">
        <f>VLOOKUP(I7,[3]characters!$A:$J,10,FALSE)</f>
        <v>Drop1W</v>
      </c>
      <c r="M7" s="26" t="str">
        <f ca="1">VLOOKUP($I7,OFFSET([2]enemies!$A$1,0,0,COUNTA([2]enemies!$A:$A),MATCH(M$1,[2]enemies!$1:$1,0)-MATCH($I$1,[2]enemies!$1:$1,0)+1),MATCH(M$1,[2]enemies!$1:$1,0)-MATCH($I$1,[2]enemies!$1:$1,0)+1,FALSE)</f>
        <v>animal</v>
      </c>
      <c r="N7" s="26">
        <f ca="1">VLOOKUP($I7,OFFSET([2]enemies!$A$1,0,0,COUNTA([2]enemies!$A:$A),MATCH(N$1,[2]enemies!$1:$1,0)-MATCH($I$1,[2]enemies!$1:$1,0)+1),MATCH(N$1,[2]enemies!$1:$1,0)-MATCH($I$1,[2]enemies!$1:$1,0)+1,FALSE)</f>
        <v>15</v>
      </c>
      <c r="O7" s="6">
        <v>9</v>
      </c>
      <c r="P7" s="54">
        <v>1</v>
      </c>
      <c r="Q7" s="54">
        <v>1</v>
      </c>
      <c r="R7" s="6">
        <v>0</v>
      </c>
      <c r="S7" s="5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" s="26">
        <f ca="1">VLOOKUP($I7,OFFSET([2]enemies!$A$1,0,0,COUNTA([2]enemies!$A:$A),MATCH(T$1,[2]enemies!$1:$1,0)-MATCH($I$1,[2]enemies!$1:$1,0)+1),MATCH(T$1,[2]enemies!$1:$1,0)-MATCH($I$1,[2]enemies!$1:$1,0)+1,FALSE)</f>
        <v>0</v>
      </c>
      <c r="U7" s="7">
        <v>0</v>
      </c>
      <c r="V7" s="7">
        <v>100</v>
      </c>
      <c r="W7" s="7">
        <v>0</v>
      </c>
      <c r="X7" s="26">
        <f ca="1">VLOOKUP($I7,OFFSET([2]enemies!$A$1,0,0,COUNTA([2]enemies!$A:$A),MATCH(X$1,[2]enemies!$1:$1,0)-MATCH($I$1,[2]enemies!$1:$1,0)+1),MATCH(X$1,[2]enemies!$1:$1,0)-MATCH($I$1,[2]enemies!$1:$1,0)+1,FALSE)</f>
        <v>2</v>
      </c>
      <c r="Y7" s="36">
        <v>9</v>
      </c>
      <c r="Z7" s="5" t="str">
        <f ca="1">IFERROR(VLOOKUP($Y7,OFFSET([3]characters!$A$1,0,0,COUNTA([3]characters!$A:$A),MATCH(Z$1,[3]characters!$1:$1,0)-MATCH("character_id",[3]characters!$1:$1,0)+1),MATCH(Z$1,[3]characters!$1:$1,0)-MATCH("character_id",[3]characters!$1:$1,0)+1,FALSE),"")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7" s="5">
        <f ca="1">IFERROR(VLOOKUP($Y7,OFFSET([3]characters!$A$1,0,0,COUNTA([3]characters!$A:$A),MATCH(AA$1,[3]characters!$1:$1,0)-MATCH("character_id",[3]characters!$1:$1,0)+1),MATCH(AA$1,[3]characters!$1:$1,0)-MATCH("character_id",[3]characters!$1:$1,0)+1,FALSE),"")</f>
        <v>1</v>
      </c>
      <c r="AB7" s="5" t="str">
        <f ca="1">IFERROR(VLOOKUP($Y7,OFFSET([3]characters!$A$1,0,0,COUNTA([3]characters!$A:$A),MATCH(AB$1,[3]characters!$1:$1,0)-MATCH("character_id",[3]characters!$1:$1,0)+1),MATCH(AB$1,[3]characters!$1:$1,0)-MATCH("character_id",[3]characters!$1:$1,0)+1,FALSE),"")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7" s="8">
        <v>1</v>
      </c>
      <c r="AD7" s="33">
        <f t="shared" ca="1" si="3"/>
        <v>1</v>
      </c>
      <c r="AE7" s="9">
        <v>25</v>
      </c>
      <c r="AF7" s="8">
        <v>0</v>
      </c>
      <c r="AG7" s="8">
        <v>0</v>
      </c>
      <c r="AH7" s="8">
        <v>0</v>
      </c>
      <c r="AI7" s="8">
        <v>0</v>
      </c>
      <c r="AJ7" s="8">
        <v>1</v>
      </c>
    </row>
    <row r="8" spans="1:36" ht="21" customHeight="1" x14ac:dyDescent="0.15">
      <c r="A8" s="21" t="str">
        <f t="shared" ca="1" si="0"/>
        <v>20001_1-2/15&lt;lv9&gt;s3</v>
      </c>
      <c r="B8" s="31">
        <v>20001</v>
      </c>
      <c r="C8" s="30">
        <v>1</v>
      </c>
      <c r="D8" s="2" t="str">
        <f t="shared" si="1"/>
        <v>20001_1</v>
      </c>
      <c r="E8" s="5" t="str">
        <f ca="1">VLOOKUP($B8,OFFSET([1]quests!$A$1,0,0,COUNTA([1]quests!$A:$A),MATCH(E$1,[1]quests!$1:$1,0)-MATCH($B$1,[1]quests!$1:$1,0)+1),MATCH(E$1,[1]quests!$1:$1,0)-MATCH($B$1,[1]quests!$1:$1,0)+1,FALSE)</f>
        <v>紅き執行者</v>
      </c>
      <c r="F8" s="5" t="str">
        <f ca="1">VLOOKUP($D8,OFFSET([1]stages!$A$1,0,0,COUNTA([1]stages!$A:$A),MATCH(F$1,[1]stages!$2:$2,0)-MATCH($D$1,[1]stages!$2:$2,0)+1),MATCH(F$1,[1]stages!$2:$2,0)-MATCH($D$1,[1]stages!$2:$2,0)+1,FALSE)</f>
        <v xml:space="preserve">【初級】紅き執行者 </v>
      </c>
      <c r="G8" s="42">
        <v>2</v>
      </c>
      <c r="H8" s="20" t="str">
        <f t="shared" si="2"/>
        <v>20001_1-2</v>
      </c>
      <c r="I8" s="36">
        <v>15</v>
      </c>
      <c r="J8" s="26" t="str">
        <f ca="1">VLOOKUP($I8,OFFSET([2]enemies!$A$1,0,0,COUNTA([2]enemies!$A:$A),MATCH(J$1,[2]enemies!$1:$1,0)-MATCH($I$1,[2]enemies!$1:$1,0)+1),MATCH(J$1,[2]enemies!$1:$1,0)-MATCH($I$1,[2]enemies!$1:$1,0)+1,FALSE)</f>
        <v>アカネ</v>
      </c>
      <c r="K8" s="26" t="str">
        <f ca="1">VLOOKUP($I8,OFFSET([2]enemies!$A$1,0,0,COUNTA([2]enemies!$A:$A),MATCH(K$1,[2]enemies!$1:$1,0)-MATCH($I$1,[2]enemies!$1:$1,0)+1),MATCH(K$1,[2]enemies!$1:$1,0)-MATCH($I$1,[2]enemies!$1:$1,0)+1,FALSE)</f>
        <v>red</v>
      </c>
      <c r="L8" s="28" t="str">
        <f>VLOOKUP(I8,[3]characters!$A:$J,10,FALSE)</f>
        <v>Drop1W</v>
      </c>
      <c r="M8" s="26" t="str">
        <f ca="1">VLOOKUP($I8,OFFSET([2]enemies!$A$1,0,0,COUNTA([2]enemies!$A:$A),MATCH(M$1,[2]enemies!$1:$1,0)-MATCH($I$1,[2]enemies!$1:$1,0)+1),MATCH(M$1,[2]enemies!$1:$1,0)-MATCH($I$1,[2]enemies!$1:$1,0)+1,FALSE)</f>
        <v>human</v>
      </c>
      <c r="N8" s="26">
        <f ca="1">VLOOKUP($I8,OFFSET([2]enemies!$A$1,0,0,COUNTA([2]enemies!$A:$A),MATCH(N$1,[2]enemies!$1:$1,0)-MATCH($I$1,[2]enemies!$1:$1,0)+1),MATCH(N$1,[2]enemies!$1:$1,0)-MATCH($I$1,[2]enemies!$1:$1,0)+1,FALSE)</f>
        <v>15</v>
      </c>
      <c r="O8" s="6">
        <v>9</v>
      </c>
      <c r="P8" s="54">
        <v>1</v>
      </c>
      <c r="Q8" s="54">
        <v>1</v>
      </c>
      <c r="R8" s="6">
        <v>0</v>
      </c>
      <c r="S8" s="5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" s="26">
        <f ca="1">VLOOKUP($I8,OFFSET([2]enemies!$A$1,0,0,COUNTA([2]enemies!$A:$A),MATCH(T$1,[2]enemies!$1:$1,0)-MATCH($I$1,[2]enemies!$1:$1,0)+1),MATCH(T$1,[2]enemies!$1:$1,0)-MATCH($I$1,[2]enemies!$1:$1,0)+1,FALSE)</f>
        <v>0</v>
      </c>
      <c r="U8" s="7">
        <v>0</v>
      </c>
      <c r="V8" s="7">
        <v>80</v>
      </c>
      <c r="W8" s="7">
        <v>0</v>
      </c>
      <c r="X8" s="26">
        <f ca="1">VLOOKUP($I8,OFFSET([2]enemies!$A$1,0,0,COUNTA([2]enemies!$A:$A),MATCH(X$1,[2]enemies!$1:$1,0)-MATCH($I$1,[2]enemies!$1:$1,0)+1),MATCH(X$1,[2]enemies!$1:$1,0)-MATCH($I$1,[2]enemies!$1:$1,0)+1,FALSE)</f>
        <v>3</v>
      </c>
      <c r="Y8" s="36">
        <v>15</v>
      </c>
      <c r="Z8" s="5" t="str">
        <f ca="1">IFERROR(VLOOKUP($Y8,OFFSET([3]characters!$A$1,0,0,COUNTA([3]characters!$A:$A),MATCH(Z$1,[3]characters!$1:$1,0)-MATCH("character_id",[3]characters!$1:$1,0)+1),MATCH(Z$1,[3]characters!$1:$1,0)-MATCH("character_id",[3]characters!$1:$1,0)+1,FALSE),"")</f>
        <v>アカネ</v>
      </c>
      <c r="AA8" s="5">
        <f ca="1">IFERROR(VLOOKUP($Y8,OFFSET([3]characters!$A$1,0,0,COUNTA([3]characters!$A:$A),MATCH(AA$1,[3]characters!$1:$1,0)-MATCH("character_id",[3]characters!$1:$1,0)+1),MATCH(AA$1,[3]characters!$1:$1,0)-MATCH("character_id",[3]characters!$1:$1,0)+1,FALSE),"")</f>
        <v>1</v>
      </c>
      <c r="AB8" s="5" t="str">
        <f ca="1">IFERROR(VLOOKUP($Y8,OFFSET([3]characters!$A$1,0,0,COUNTA([3]characters!$A:$A),MATCH(AB$1,[3]characters!$1:$1,0)-MATCH("character_id",[3]characters!$1:$1,0)+1),MATCH(AB$1,[3]characters!$1:$1,0)-MATCH("character_id",[3]characters!$1:$1,0)+1,FALSE),"")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8" s="8">
        <v>1</v>
      </c>
      <c r="AD8" s="33">
        <f t="shared" ca="1" si="3"/>
        <v>1</v>
      </c>
      <c r="AE8" s="9">
        <v>25</v>
      </c>
      <c r="AF8" s="8">
        <v>0</v>
      </c>
      <c r="AG8" s="8">
        <v>0</v>
      </c>
      <c r="AH8" s="8">
        <v>0</v>
      </c>
      <c r="AI8" s="8">
        <v>0</v>
      </c>
      <c r="AJ8" s="8">
        <v>1</v>
      </c>
    </row>
    <row r="9" spans="1:36" ht="21" customHeight="1" x14ac:dyDescent="0.15">
      <c r="A9" s="21" t="str">
        <f t="shared" ca="1" si="0"/>
        <v>20001_1-2/21&lt;lv9&gt;s2</v>
      </c>
      <c r="B9" s="31">
        <v>20001</v>
      </c>
      <c r="C9" s="30">
        <v>1</v>
      </c>
      <c r="D9" s="2" t="str">
        <f t="shared" si="1"/>
        <v>20001_1</v>
      </c>
      <c r="E9" s="5" t="str">
        <f ca="1">VLOOKUP($B9,OFFSET([1]quests!$A$1,0,0,COUNTA([1]quests!$A:$A),MATCH(E$1,[1]quests!$1:$1,0)-MATCH($B$1,[1]quests!$1:$1,0)+1),MATCH(E$1,[1]quests!$1:$1,0)-MATCH($B$1,[1]quests!$1:$1,0)+1,FALSE)</f>
        <v>紅き執行者</v>
      </c>
      <c r="F9" s="5" t="str">
        <f ca="1">VLOOKUP($D9,OFFSET([1]stages!$A$1,0,0,COUNTA([1]stages!$A:$A),MATCH(F$1,[1]stages!$2:$2,0)-MATCH($D$1,[1]stages!$2:$2,0)+1),MATCH(F$1,[1]stages!$2:$2,0)-MATCH($D$1,[1]stages!$2:$2,0)+1,FALSE)</f>
        <v xml:space="preserve">【初級】紅き執行者 </v>
      </c>
      <c r="G9" s="42">
        <v>2</v>
      </c>
      <c r="H9" s="20" t="str">
        <f t="shared" si="2"/>
        <v>20001_1-2</v>
      </c>
      <c r="I9" s="36">
        <v>21</v>
      </c>
      <c r="J9" s="26" t="str">
        <f ca="1">VLOOKUP($I9,OFFSET([2]enemies!$A$1,0,0,COUNTA([2]enemies!$A:$A),MATCH(J$1,[2]enemies!$1:$1,0)-MATCH($I$1,[2]enemies!$1:$1,0)+1),MATCH(J$1,[2]enemies!$1:$1,0)-MATCH($I$1,[2]enemies!$1:$1,0)+1,FALSE)</f>
        <v>ヴェロキー</v>
      </c>
      <c r="K9" s="26" t="str">
        <f ca="1">VLOOKUP($I9,OFFSET([2]enemies!$A$1,0,0,COUNTA([2]enemies!$A:$A),MATCH(K$1,[2]enemies!$1:$1,0)-MATCH($I$1,[2]enemies!$1:$1,0)+1),MATCH(K$1,[2]enemies!$1:$1,0)-MATCH($I$1,[2]enemies!$1:$1,0)+1,FALSE)</f>
        <v>red</v>
      </c>
      <c r="L9" s="28" t="str">
        <f>VLOOKUP(I9,[3]characters!$A:$J,10,FALSE)</f>
        <v>Drop1N</v>
      </c>
      <c r="M9" s="26" t="str">
        <f ca="1">VLOOKUP($I9,OFFSET([2]enemies!$A$1,0,0,COUNTA([2]enemies!$A:$A),MATCH(M$1,[2]enemies!$1:$1,0)-MATCH($I$1,[2]enemies!$1:$1,0)+1),MATCH(M$1,[2]enemies!$1:$1,0)-MATCH($I$1,[2]enemies!$1:$1,0)+1,FALSE)</f>
        <v>dragon</v>
      </c>
      <c r="N9" s="26">
        <f ca="1">VLOOKUP($I9,OFFSET([2]enemies!$A$1,0,0,COUNTA([2]enemies!$A:$A),MATCH(N$1,[2]enemies!$1:$1,0)-MATCH($I$1,[2]enemies!$1:$1,0)+1),MATCH(N$1,[2]enemies!$1:$1,0)-MATCH($I$1,[2]enemies!$1:$1,0)+1,FALSE)</f>
        <v>15</v>
      </c>
      <c r="O9" s="6">
        <v>9</v>
      </c>
      <c r="P9" s="54">
        <v>1</v>
      </c>
      <c r="Q9" s="54">
        <v>1</v>
      </c>
      <c r="R9" s="6">
        <v>0</v>
      </c>
      <c r="S9" s="5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" s="26">
        <f ca="1">VLOOKUP($I9,OFFSET([2]enemies!$A$1,0,0,COUNTA([2]enemies!$A:$A),MATCH(T$1,[2]enemies!$1:$1,0)-MATCH($I$1,[2]enemies!$1:$1,0)+1),MATCH(T$1,[2]enemies!$1:$1,0)-MATCH($I$1,[2]enemies!$1:$1,0)+1,FALSE)</f>
        <v>0</v>
      </c>
      <c r="U9" s="7">
        <v>0</v>
      </c>
      <c r="V9" s="7">
        <v>80</v>
      </c>
      <c r="W9" s="7">
        <v>0</v>
      </c>
      <c r="X9" s="26">
        <f ca="1">VLOOKUP($I9,OFFSET([2]enemies!$A$1,0,0,COUNTA([2]enemies!$A:$A),MATCH(X$1,[2]enemies!$1:$1,0)-MATCH($I$1,[2]enemies!$1:$1,0)+1),MATCH(X$1,[2]enemies!$1:$1,0)-MATCH($I$1,[2]enemies!$1:$1,0)+1,FALSE)</f>
        <v>2</v>
      </c>
      <c r="Y9" s="36">
        <v>21</v>
      </c>
      <c r="Z9" s="5" t="str">
        <f ca="1">IFERROR(VLOOKUP($Y9,OFFSET([3]characters!$A$1,0,0,COUNTA([3]characters!$A:$A),MATCH(Z$1,[3]characters!$1:$1,0)-MATCH("character_id",[3]characters!$1:$1,0)+1),MATCH(Z$1,[3]characters!$1:$1,0)-MATCH("character_id",[3]characters!$1:$1,0)+1,FALSE),"")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9" s="5">
        <f ca="1">IFERROR(VLOOKUP($Y9,OFFSET([3]characters!$A$1,0,0,COUNTA([3]characters!$A:$A),MATCH(AA$1,[3]characters!$1:$1,0)-MATCH("character_id",[3]characters!$1:$1,0)+1),MATCH(AA$1,[3]characters!$1:$1,0)-MATCH("character_id",[3]characters!$1:$1,0)+1,FALSE),"")</f>
        <v>1</v>
      </c>
      <c r="AB9" s="5" t="str">
        <f ca="1">IFERROR(VLOOKUP($Y9,OFFSET([3]characters!$A$1,0,0,COUNTA([3]characters!$A:$A),MATCH(AB$1,[3]characters!$1:$1,0)-MATCH("character_id",[3]characters!$1:$1,0)+1),MATCH(AB$1,[3]characters!$1:$1,0)-MATCH("character_id",[3]characters!$1:$1,0)+1,FALSE),"")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9" s="8">
        <v>1</v>
      </c>
      <c r="AD9" s="33">
        <f t="shared" ca="1" si="3"/>
        <v>1</v>
      </c>
      <c r="AE9" s="9">
        <v>25</v>
      </c>
      <c r="AF9" s="8">
        <v>0</v>
      </c>
      <c r="AG9" s="8">
        <v>0</v>
      </c>
      <c r="AH9" s="8">
        <v>0</v>
      </c>
      <c r="AI9" s="8">
        <v>0</v>
      </c>
      <c r="AJ9" s="8">
        <v>1</v>
      </c>
    </row>
    <row r="10" spans="1:36" ht="21" customHeight="1" x14ac:dyDescent="0.15">
      <c r="A10" s="21" t="str">
        <f t="shared" ca="1" si="0"/>
        <v>20001_1-2/41&lt;lv9&gt;s1</v>
      </c>
      <c r="B10" s="31">
        <v>20001</v>
      </c>
      <c r="C10" s="30">
        <v>1</v>
      </c>
      <c r="D10" s="2" t="str">
        <f t="shared" si="1"/>
        <v>20001_1</v>
      </c>
      <c r="E10" s="5" t="str">
        <f ca="1">VLOOKUP($B10,OFFSET([1]quests!$A$1,0,0,COUNTA([1]quests!$A:$A),MATCH(E$1,[1]quests!$1:$1,0)-MATCH($B$1,[1]quests!$1:$1,0)+1),MATCH(E$1,[1]quests!$1:$1,0)-MATCH($B$1,[1]quests!$1:$1,0)+1,FALSE)</f>
        <v>紅き執行者</v>
      </c>
      <c r="F10" s="5" t="str">
        <f ca="1">VLOOKUP($D10,OFFSET([1]stages!$A$1,0,0,COUNTA([1]stages!$A:$A),MATCH(F$1,[1]stages!$2:$2,0)-MATCH($D$1,[1]stages!$2:$2,0)+1),MATCH(F$1,[1]stages!$2:$2,0)-MATCH($D$1,[1]stages!$2:$2,0)+1,FALSE)</f>
        <v xml:space="preserve">【初級】紅き執行者 </v>
      </c>
      <c r="G10" s="42">
        <v>2</v>
      </c>
      <c r="H10" s="20" t="str">
        <f t="shared" si="2"/>
        <v>20001_1-2</v>
      </c>
      <c r="I10" s="36">
        <v>41</v>
      </c>
      <c r="J10" s="26" t="str">
        <f ca="1">VLOOKUP($I10,OFFSET([2]enemies!$A$1,0,0,COUNTA([2]enemies!$A:$A),MATCH(J$1,[2]enemies!$1:$1,0)-MATCH($I$1,[2]enemies!$1:$1,0)+1),MATCH(J$1,[2]enemies!$1:$1,0)-MATCH($I$1,[2]enemies!$1:$1,0)+1,FALSE)</f>
        <v>ヒュウガ</v>
      </c>
      <c r="K10" s="26" t="str">
        <f ca="1">VLOOKUP($I10,OFFSET([2]enemies!$A$1,0,0,COUNTA([2]enemies!$A:$A),MATCH(K$1,[2]enemies!$1:$1,0)-MATCH($I$1,[2]enemies!$1:$1,0)+1),MATCH(K$1,[2]enemies!$1:$1,0)-MATCH($I$1,[2]enemies!$1:$1,0)+1,FALSE)</f>
        <v>red</v>
      </c>
      <c r="L10" s="28" t="str">
        <f>VLOOKUP(I10,[3]characters!$A:$J,10,FALSE)</f>
        <v>Drop1N</v>
      </c>
      <c r="M10" s="26" t="str">
        <f ca="1">VLOOKUP($I10,OFFSET([2]enemies!$A$1,0,0,COUNTA([2]enemies!$A:$A),MATCH(M$1,[2]enemies!$1:$1,0)-MATCH($I$1,[2]enemies!$1:$1,0)+1),MATCH(M$1,[2]enemies!$1:$1,0)-MATCH($I$1,[2]enemies!$1:$1,0)+1,FALSE)</f>
        <v>dragon</v>
      </c>
      <c r="N10" s="26">
        <f ca="1">VLOOKUP($I10,OFFSET([2]enemies!$A$1,0,0,COUNTA([2]enemies!$A:$A),MATCH(N$1,[2]enemies!$1:$1,0)-MATCH($I$1,[2]enemies!$1:$1,0)+1),MATCH(N$1,[2]enemies!$1:$1,0)-MATCH($I$1,[2]enemies!$1:$1,0)+1,FALSE)</f>
        <v>15</v>
      </c>
      <c r="O10" s="6">
        <v>9</v>
      </c>
      <c r="P10" s="54">
        <v>1</v>
      </c>
      <c r="Q10" s="54">
        <v>1</v>
      </c>
      <c r="R10" s="6">
        <v>0</v>
      </c>
      <c r="S10" s="5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26">
        <f ca="1">VLOOKUP($I10,OFFSET([2]enemies!$A$1,0,0,COUNTA([2]enemies!$A:$A),MATCH(T$1,[2]enemies!$1:$1,0)-MATCH($I$1,[2]enemies!$1:$1,0)+1),MATCH(T$1,[2]enemies!$1:$1,0)-MATCH($I$1,[2]enemies!$1:$1,0)+1,FALSE)</f>
        <v>0</v>
      </c>
      <c r="U10" s="7">
        <v>0</v>
      </c>
      <c r="V10" s="7">
        <v>80</v>
      </c>
      <c r="W10" s="7">
        <v>0</v>
      </c>
      <c r="X10" s="26">
        <f ca="1">VLOOKUP($I10,OFFSET([2]enemies!$A$1,0,0,COUNTA([2]enemies!$A:$A),MATCH(X$1,[2]enemies!$1:$1,0)-MATCH($I$1,[2]enemies!$1:$1,0)+1),MATCH(X$1,[2]enemies!$1:$1,0)-MATCH($I$1,[2]enemies!$1:$1,0)+1,FALSE)</f>
        <v>1</v>
      </c>
      <c r="Y10" s="36">
        <v>41</v>
      </c>
      <c r="Z10" s="5" t="str">
        <f ca="1">IFERROR(VLOOKUP($Y10,OFFSET([3]characters!$A$1,0,0,COUNTA([3]characters!$A:$A),MATCH(Z$1,[3]characters!$1:$1,0)-MATCH("character_id",[3]characters!$1:$1,0)+1),MATCH(Z$1,[3]characters!$1:$1,0)-MATCH("character_id",[3]characters!$1:$1,0)+1,FALSE),"")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10" s="5">
        <f ca="1">IFERROR(VLOOKUP($Y10,OFFSET([3]characters!$A$1,0,0,COUNTA([3]characters!$A:$A),MATCH(AA$1,[3]characters!$1:$1,0)-MATCH("character_id",[3]characters!$1:$1,0)+1),MATCH(AA$1,[3]characters!$1:$1,0)-MATCH("character_id",[3]characters!$1:$1,0)+1,FALSE),"")</f>
        <v>2</v>
      </c>
      <c r="AB10" s="5" t="str">
        <f ca="1">IFERROR(VLOOKUP($Y10,OFFSET([3]characters!$A$1,0,0,COUNTA([3]characters!$A:$A),MATCH(AB$1,[3]characters!$1:$1,0)-MATCH("character_id",[3]characters!$1:$1,0)+1),MATCH(AB$1,[3]characters!$1:$1,0)-MATCH("character_id",[3]characters!$1:$1,0)+1,FALSE),"")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0" s="8">
        <v>1</v>
      </c>
      <c r="AD10" s="33">
        <f t="shared" ca="1" si="3"/>
        <v>2</v>
      </c>
      <c r="AE10" s="9">
        <v>25</v>
      </c>
      <c r="AF10" s="8">
        <v>0</v>
      </c>
      <c r="AG10" s="8">
        <v>0</v>
      </c>
      <c r="AH10" s="8">
        <v>0</v>
      </c>
      <c r="AI10" s="8">
        <v>0</v>
      </c>
      <c r="AJ10" s="8">
        <v>1</v>
      </c>
    </row>
    <row r="11" spans="1:36" ht="21" customHeight="1" x14ac:dyDescent="0.15">
      <c r="A11" s="21" t="str">
        <f t="shared" ca="1" si="0"/>
        <v>20001_1-2/63&lt;lv11&gt;s2</v>
      </c>
      <c r="B11" s="31">
        <v>20001</v>
      </c>
      <c r="C11" s="30">
        <v>1</v>
      </c>
      <c r="D11" s="2" t="str">
        <f t="shared" si="1"/>
        <v>20001_1</v>
      </c>
      <c r="E11" s="5" t="str">
        <f ca="1">VLOOKUP($B11,OFFSET([1]quests!$A$1,0,0,COUNTA([1]quests!$A:$A),MATCH(E$1,[1]quests!$1:$1,0)-MATCH($B$1,[1]quests!$1:$1,0)+1),MATCH(E$1,[1]quests!$1:$1,0)-MATCH($B$1,[1]quests!$1:$1,0)+1,FALSE)</f>
        <v>紅き執行者</v>
      </c>
      <c r="F11" s="5" t="str">
        <f ca="1">VLOOKUP($D11,OFFSET([1]stages!$A$1,0,0,COUNTA([1]stages!$A:$A),MATCH(F$1,[1]stages!$2:$2,0)-MATCH($D$1,[1]stages!$2:$2,0)+1),MATCH(F$1,[1]stages!$2:$2,0)-MATCH($D$1,[1]stages!$2:$2,0)+1,FALSE)</f>
        <v xml:space="preserve">【初級】紅き執行者 </v>
      </c>
      <c r="G11" s="42">
        <v>2</v>
      </c>
      <c r="H11" s="20" t="str">
        <f t="shared" si="2"/>
        <v>20001_1-2</v>
      </c>
      <c r="I11" s="36">
        <v>63</v>
      </c>
      <c r="J11" s="26" t="str">
        <f ca="1">VLOOKUP($I11,OFFSET([2]enemies!$A$1,0,0,COUNTA([2]enemies!$A:$A),MATCH(J$1,[2]enemies!$1:$1,0)-MATCH($I$1,[2]enemies!$1:$1,0)+1),MATCH(J$1,[2]enemies!$1:$1,0)-MATCH($I$1,[2]enemies!$1:$1,0)+1,FALSE)</f>
        <v>トニー</v>
      </c>
      <c r="K11" s="26" t="str">
        <f ca="1">VLOOKUP($I11,OFFSET([2]enemies!$A$1,0,0,COUNTA([2]enemies!$A:$A),MATCH(K$1,[2]enemies!$1:$1,0)-MATCH($I$1,[2]enemies!$1:$1,0)+1),MATCH(K$1,[2]enemies!$1:$1,0)-MATCH($I$1,[2]enemies!$1:$1,0)+1,FALSE)</f>
        <v>yellow</v>
      </c>
      <c r="L11" s="28" t="str">
        <f>VLOOKUP(I11,[3]characters!$A:$J,10,FALSE)</f>
        <v>Drop1N</v>
      </c>
      <c r="M11" s="26" t="str">
        <f ca="1">VLOOKUP($I11,OFFSET([2]enemies!$A$1,0,0,COUNTA([2]enemies!$A:$A),MATCH(M$1,[2]enemies!$1:$1,0)-MATCH($I$1,[2]enemies!$1:$1,0)+1),MATCH(M$1,[2]enemies!$1:$1,0)-MATCH($I$1,[2]enemies!$1:$1,0)+1,FALSE)</f>
        <v>animal</v>
      </c>
      <c r="N11" s="26">
        <f ca="1">VLOOKUP($I11,OFFSET([2]enemies!$A$1,0,0,COUNTA([2]enemies!$A:$A),MATCH(N$1,[2]enemies!$1:$1,0)-MATCH($I$1,[2]enemies!$1:$1,0)+1),MATCH(N$1,[2]enemies!$1:$1,0)-MATCH($I$1,[2]enemies!$1:$1,0)+1,FALSE)</f>
        <v>15</v>
      </c>
      <c r="O11" s="6">
        <v>11</v>
      </c>
      <c r="P11" s="54">
        <v>1</v>
      </c>
      <c r="Q11" s="54">
        <v>1</v>
      </c>
      <c r="R11" s="6">
        <v>0</v>
      </c>
      <c r="S11" s="5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11" s="26">
        <f ca="1">VLOOKUP($I11,OFFSET([2]enemies!$A$1,0,0,COUNTA([2]enemies!$A:$A),MATCH(T$1,[2]enemies!$1:$1,0)-MATCH($I$1,[2]enemies!$1:$1,0)+1),MATCH(T$1,[2]enemies!$1:$1,0)-MATCH($I$1,[2]enemies!$1:$1,0)+1,FALSE)</f>
        <v>63</v>
      </c>
      <c r="U11" s="7">
        <v>0</v>
      </c>
      <c r="V11" s="7">
        <v>80</v>
      </c>
      <c r="W11" s="7">
        <v>0</v>
      </c>
      <c r="X11" s="26">
        <f ca="1">VLOOKUP($I11,OFFSET([2]enemies!$A$1,0,0,COUNTA([2]enemies!$A:$A),MATCH(X$1,[2]enemies!$1:$1,0)-MATCH($I$1,[2]enemies!$1:$1,0)+1),MATCH(X$1,[2]enemies!$1:$1,0)-MATCH($I$1,[2]enemies!$1:$1,0)+1,FALSE)</f>
        <v>2</v>
      </c>
      <c r="Y11" s="36">
        <v>63</v>
      </c>
      <c r="Z11" s="5" t="str">
        <f ca="1">IFERROR(VLOOKUP($Y11,OFFSET([3]characters!$A$1,0,0,COUNTA([3]characters!$A:$A),MATCH(Z$1,[3]characters!$1:$1,0)-MATCH("character_id",[3]characters!$1:$1,0)+1),MATCH(Z$1,[3]characters!$1:$1,0)-MATCH("character_id",[3]characters!$1:$1,0)+1,FALSE),"")</f>
        <v>トニー</v>
      </c>
      <c r="AA11" s="5">
        <f ca="1">IFERROR(VLOOKUP($Y11,OFFSET([3]characters!$A$1,0,0,COUNTA([3]characters!$A:$A),MATCH(AA$1,[3]characters!$1:$1,0)-MATCH("character_id",[3]characters!$1:$1,0)+1),MATCH(AA$1,[3]characters!$1:$1,0)-MATCH("character_id",[3]characters!$1:$1,0)+1,FALSE),"")</f>
        <v>2</v>
      </c>
      <c r="AB11" s="5" t="str">
        <f ca="1">IFERROR(VLOOKUP($Y11,OFFSET([3]characters!$A$1,0,0,COUNTA([3]characters!$A:$A),MATCH(AB$1,[3]characters!$1:$1,0)-MATCH("character_id",[3]characters!$1:$1,0)+1),MATCH(AB$1,[3]characters!$1:$1,0)-MATCH("character_id",[3]characters!$1:$1,0)+1,FALSE),"")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1" s="8">
        <v>1</v>
      </c>
      <c r="AD11" s="33">
        <f t="shared" ca="1" si="3"/>
        <v>2</v>
      </c>
      <c r="AE11" s="9">
        <v>25</v>
      </c>
      <c r="AF11" s="8">
        <v>0</v>
      </c>
      <c r="AG11" s="8">
        <v>0</v>
      </c>
      <c r="AH11" s="8">
        <v>0</v>
      </c>
      <c r="AI11" s="8">
        <v>0</v>
      </c>
      <c r="AJ11" s="8">
        <v>1</v>
      </c>
    </row>
    <row r="12" spans="1:36" ht="21" customHeight="1" x14ac:dyDescent="0.15">
      <c r="A12" s="21" t="str">
        <f t="shared" ca="1" si="0"/>
        <v>20001_1-3/9&lt;lv9&gt;s2</v>
      </c>
      <c r="B12" s="31">
        <v>20001</v>
      </c>
      <c r="C12" s="30">
        <v>1</v>
      </c>
      <c r="D12" s="2" t="str">
        <f t="shared" si="1"/>
        <v>20001_1</v>
      </c>
      <c r="E12" s="5" t="str">
        <f ca="1">VLOOKUP($B12,OFFSET([1]quests!$A$1,0,0,COUNTA([1]quests!$A:$A),MATCH(E$1,[1]quests!$1:$1,0)-MATCH($B$1,[1]quests!$1:$1,0)+1),MATCH(E$1,[1]quests!$1:$1,0)-MATCH($B$1,[1]quests!$1:$1,0)+1,FALSE)</f>
        <v>紅き執行者</v>
      </c>
      <c r="F12" s="5" t="str">
        <f ca="1">VLOOKUP($D12,OFFSET([1]stages!$A$1,0,0,COUNTA([1]stages!$A:$A),MATCH(F$1,[1]stages!$2:$2,0)-MATCH($D$1,[1]stages!$2:$2,0)+1),MATCH(F$1,[1]stages!$2:$2,0)-MATCH($D$1,[1]stages!$2:$2,0)+1,FALSE)</f>
        <v xml:space="preserve">【初級】紅き執行者 </v>
      </c>
      <c r="G12" s="43">
        <v>3</v>
      </c>
      <c r="H12" s="20" t="str">
        <f t="shared" si="2"/>
        <v>20001_1-3</v>
      </c>
      <c r="I12" s="36">
        <v>9</v>
      </c>
      <c r="J12" s="26" t="str">
        <f ca="1">VLOOKUP($I12,OFFSET([2]enemies!$A$1,0,0,COUNTA([2]enemies!$A:$A),MATCH(J$1,[2]enemies!$1:$1,0)-MATCH($I$1,[2]enemies!$1:$1,0)+1),MATCH(J$1,[2]enemies!$1:$1,0)-MATCH($I$1,[2]enemies!$1:$1,0)+1,FALSE)</f>
        <v>ブレット</v>
      </c>
      <c r="K12" s="26" t="str">
        <f ca="1">VLOOKUP($I12,OFFSET([2]enemies!$A$1,0,0,COUNTA([2]enemies!$A:$A),MATCH(K$1,[2]enemies!$1:$1,0)-MATCH($I$1,[2]enemies!$1:$1,0)+1),MATCH(K$1,[2]enemies!$1:$1,0)-MATCH($I$1,[2]enemies!$1:$1,0)+1,FALSE)</f>
        <v>red</v>
      </c>
      <c r="L12" s="28" t="str">
        <f>VLOOKUP(I12,[3]characters!$A:$J,10,FALSE)</f>
        <v>Drop1W</v>
      </c>
      <c r="M12" s="26" t="str">
        <f ca="1">VLOOKUP($I12,OFFSET([2]enemies!$A$1,0,0,COUNTA([2]enemies!$A:$A),MATCH(M$1,[2]enemies!$1:$1,0)-MATCH($I$1,[2]enemies!$1:$1,0)+1),MATCH(M$1,[2]enemies!$1:$1,0)-MATCH($I$1,[2]enemies!$1:$1,0)+1,FALSE)</f>
        <v>animal</v>
      </c>
      <c r="N12" s="26">
        <f ca="1">VLOOKUP($I12,OFFSET([2]enemies!$A$1,0,0,COUNTA([2]enemies!$A:$A),MATCH(N$1,[2]enemies!$1:$1,0)-MATCH($I$1,[2]enemies!$1:$1,0)+1),MATCH(N$1,[2]enemies!$1:$1,0)-MATCH($I$1,[2]enemies!$1:$1,0)+1,FALSE)</f>
        <v>15</v>
      </c>
      <c r="O12" s="6">
        <v>9</v>
      </c>
      <c r="P12" s="54">
        <v>1</v>
      </c>
      <c r="Q12" s="54">
        <v>1</v>
      </c>
      <c r="R12" s="6">
        <v>0</v>
      </c>
      <c r="S12" s="5" t="str">
        <f ca="1">VLOOKUP($T12,OFFSET([4]enemy_skill_sets!$B$1,0,0,COUNTA([4]enemy_skill_sets!$B:$B),MATCH(J$1,[4]enemy_skill_sets!$1:$1,0)-MATCH($T$1,[4]enemy_skill_sets!$1:$1,0)+2),MATCH(J$1,[4]enemy_skill_sets!$1:$1,0)-MATCH($T$1,[4]enemy_skill_sets!$1:$1,0)+2,FALSE)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" s="26">
        <f ca="1">VLOOKUP($I12,OFFSET([2]enemies!$A$1,0,0,COUNTA([2]enemies!$A:$A),MATCH(T$1,[2]enemies!$1:$1,0)-MATCH($I$1,[2]enemies!$1:$1,0)+1),MATCH(T$1,[2]enemies!$1:$1,0)-MATCH($I$1,[2]enemies!$1:$1,0)+1,FALSE)</f>
        <v>0</v>
      </c>
      <c r="U12" s="7">
        <v>0</v>
      </c>
      <c r="V12" s="7">
        <v>100</v>
      </c>
      <c r="W12" s="7">
        <v>0</v>
      </c>
      <c r="X12" s="26">
        <f ca="1">VLOOKUP($I12,OFFSET([2]enemies!$A$1,0,0,COUNTA([2]enemies!$A:$A),MATCH(X$1,[2]enemies!$1:$1,0)-MATCH($I$1,[2]enemies!$1:$1,0)+1),MATCH(X$1,[2]enemies!$1:$1,0)-MATCH($I$1,[2]enemies!$1:$1,0)+1,FALSE)</f>
        <v>2</v>
      </c>
      <c r="Y12" s="36">
        <v>9</v>
      </c>
      <c r="Z12" s="5" t="str">
        <f ca="1">IFERROR(VLOOKUP($Y12,OFFSET([3]characters!$A$1,0,0,COUNTA([3]characters!$A:$A),MATCH(Z$1,[3]characters!$1:$1,0)-MATCH("character_id",[3]characters!$1:$1,0)+1),MATCH(Z$1,[3]characters!$1:$1,0)-MATCH("character_id",[3]characters!$1:$1,0)+1,FALSE),"")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12" s="5">
        <f ca="1">IFERROR(VLOOKUP($Y12,OFFSET([3]characters!$A$1,0,0,COUNTA([3]characters!$A:$A),MATCH(AA$1,[3]characters!$1:$1,0)-MATCH("character_id",[3]characters!$1:$1,0)+1),MATCH(AA$1,[3]characters!$1:$1,0)-MATCH("character_id",[3]characters!$1:$1,0)+1,FALSE),"")</f>
        <v>1</v>
      </c>
      <c r="AB12" s="5" t="str">
        <f ca="1">IFERROR(VLOOKUP($Y12,OFFSET([3]characters!$A$1,0,0,COUNTA([3]characters!$A:$A),MATCH(AB$1,[3]characters!$1:$1,0)-MATCH("character_id",[3]characters!$1:$1,0)+1),MATCH(AB$1,[3]characters!$1:$1,0)-MATCH("character_id",[3]characters!$1:$1,0)+1,FALSE),"")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2" s="8">
        <v>1</v>
      </c>
      <c r="AD12" s="33">
        <f t="shared" ca="1" si="3"/>
        <v>1</v>
      </c>
      <c r="AE12" s="9">
        <v>25</v>
      </c>
      <c r="AF12" s="8">
        <v>0</v>
      </c>
      <c r="AG12" s="8">
        <v>0</v>
      </c>
      <c r="AH12" s="8">
        <v>0</v>
      </c>
      <c r="AI12" s="8">
        <v>0</v>
      </c>
      <c r="AJ12" s="8">
        <v>1</v>
      </c>
    </row>
    <row r="13" spans="1:36" ht="21" customHeight="1" x14ac:dyDescent="0.15">
      <c r="A13" s="21" t="str">
        <f t="shared" ca="1" si="0"/>
        <v>20001_1-3/15&lt;lv9&gt;s3</v>
      </c>
      <c r="B13" s="31">
        <v>20001</v>
      </c>
      <c r="C13" s="30">
        <v>1</v>
      </c>
      <c r="D13" s="2" t="str">
        <f t="shared" si="1"/>
        <v>20001_1</v>
      </c>
      <c r="E13" s="5" t="str">
        <f ca="1">VLOOKUP($B13,OFFSET([1]quests!$A$1,0,0,COUNTA([1]quests!$A:$A),MATCH(E$1,[1]quests!$1:$1,0)-MATCH($B$1,[1]quests!$1:$1,0)+1),MATCH(E$1,[1]quests!$1:$1,0)-MATCH($B$1,[1]quests!$1:$1,0)+1,FALSE)</f>
        <v>紅き執行者</v>
      </c>
      <c r="F13" s="5" t="str">
        <f ca="1">VLOOKUP($D13,OFFSET([1]stages!$A$1,0,0,COUNTA([1]stages!$A:$A),MATCH(F$1,[1]stages!$2:$2,0)-MATCH($D$1,[1]stages!$2:$2,0)+1),MATCH(F$1,[1]stages!$2:$2,0)-MATCH($D$1,[1]stages!$2:$2,0)+1,FALSE)</f>
        <v xml:space="preserve">【初級】紅き執行者 </v>
      </c>
      <c r="G13" s="43">
        <v>3</v>
      </c>
      <c r="H13" s="20" t="str">
        <f t="shared" si="2"/>
        <v>20001_1-3</v>
      </c>
      <c r="I13" s="36">
        <v>15</v>
      </c>
      <c r="J13" s="26" t="str">
        <f ca="1">VLOOKUP($I13,OFFSET([2]enemies!$A$1,0,0,COUNTA([2]enemies!$A:$A),MATCH(J$1,[2]enemies!$1:$1,0)-MATCH($I$1,[2]enemies!$1:$1,0)+1),MATCH(J$1,[2]enemies!$1:$1,0)-MATCH($I$1,[2]enemies!$1:$1,0)+1,FALSE)</f>
        <v>アカネ</v>
      </c>
      <c r="K13" s="26" t="str">
        <f ca="1">VLOOKUP($I13,OFFSET([2]enemies!$A$1,0,0,COUNTA([2]enemies!$A:$A),MATCH(K$1,[2]enemies!$1:$1,0)-MATCH($I$1,[2]enemies!$1:$1,0)+1),MATCH(K$1,[2]enemies!$1:$1,0)-MATCH($I$1,[2]enemies!$1:$1,0)+1,FALSE)</f>
        <v>red</v>
      </c>
      <c r="L13" s="28" t="str">
        <f>VLOOKUP(I13,[3]characters!$A:$J,10,FALSE)</f>
        <v>Drop1W</v>
      </c>
      <c r="M13" s="26" t="str">
        <f ca="1">VLOOKUP($I13,OFFSET([2]enemies!$A$1,0,0,COUNTA([2]enemies!$A:$A),MATCH(M$1,[2]enemies!$1:$1,0)-MATCH($I$1,[2]enemies!$1:$1,0)+1),MATCH(M$1,[2]enemies!$1:$1,0)-MATCH($I$1,[2]enemies!$1:$1,0)+1,FALSE)</f>
        <v>human</v>
      </c>
      <c r="N13" s="26">
        <f ca="1">VLOOKUP($I13,OFFSET([2]enemies!$A$1,0,0,COUNTA([2]enemies!$A:$A),MATCH(N$1,[2]enemies!$1:$1,0)-MATCH($I$1,[2]enemies!$1:$1,0)+1),MATCH(N$1,[2]enemies!$1:$1,0)-MATCH($I$1,[2]enemies!$1:$1,0)+1,FALSE)</f>
        <v>15</v>
      </c>
      <c r="O13" s="6">
        <v>9</v>
      </c>
      <c r="P13" s="54">
        <v>1</v>
      </c>
      <c r="Q13" s="54">
        <v>1</v>
      </c>
      <c r="R13" s="6">
        <v>0</v>
      </c>
      <c r="S13" s="5" t="str">
        <f ca="1">VLOOKUP($T13,OFFSET([4]enemy_skill_sets!$B$1,0,0,COUNTA([4]enemy_skill_sets!$B:$B),MATCH(J$1,[4]enemy_skill_sets!$1:$1,0)-MATCH($T$1,[4]enemy_skill_sets!$1:$1,0)+2),MATCH(J$1,[4]enemy_skill_sets!$1:$1,0)-MATCH($T$1,[4]enemy_skill_sets!$1:$1,0)+2,FALSE)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" s="26">
        <f ca="1">VLOOKUP($I13,OFFSET([2]enemies!$A$1,0,0,COUNTA([2]enemies!$A:$A),MATCH(T$1,[2]enemies!$1:$1,0)-MATCH($I$1,[2]enemies!$1:$1,0)+1),MATCH(T$1,[2]enemies!$1:$1,0)-MATCH($I$1,[2]enemies!$1:$1,0)+1,FALSE)</f>
        <v>0</v>
      </c>
      <c r="U13" s="7">
        <v>0</v>
      </c>
      <c r="V13" s="7">
        <v>80</v>
      </c>
      <c r="W13" s="7">
        <v>0</v>
      </c>
      <c r="X13" s="26">
        <f ca="1">VLOOKUP($I13,OFFSET([2]enemies!$A$1,0,0,COUNTA([2]enemies!$A:$A),MATCH(X$1,[2]enemies!$1:$1,0)-MATCH($I$1,[2]enemies!$1:$1,0)+1),MATCH(X$1,[2]enemies!$1:$1,0)-MATCH($I$1,[2]enemies!$1:$1,0)+1,FALSE)</f>
        <v>3</v>
      </c>
      <c r="Y13" s="36">
        <v>15</v>
      </c>
      <c r="Z13" s="5" t="str">
        <f ca="1">IFERROR(VLOOKUP($Y13,OFFSET([3]characters!$A$1,0,0,COUNTA([3]characters!$A:$A),MATCH(Z$1,[3]characters!$1:$1,0)-MATCH("character_id",[3]characters!$1:$1,0)+1),MATCH(Z$1,[3]characters!$1:$1,0)-MATCH("character_id",[3]characters!$1:$1,0)+1,FALSE),"")</f>
        <v>アカネ</v>
      </c>
      <c r="AA13" s="5">
        <f ca="1">IFERROR(VLOOKUP($Y13,OFFSET([3]characters!$A$1,0,0,COUNTA([3]characters!$A:$A),MATCH(AA$1,[3]characters!$1:$1,0)-MATCH("character_id",[3]characters!$1:$1,0)+1),MATCH(AA$1,[3]characters!$1:$1,0)-MATCH("character_id",[3]characters!$1:$1,0)+1,FALSE),"")</f>
        <v>1</v>
      </c>
      <c r="AB13" s="5" t="str">
        <f ca="1">IFERROR(VLOOKUP($Y13,OFFSET([3]characters!$A$1,0,0,COUNTA([3]characters!$A:$A),MATCH(AB$1,[3]characters!$1:$1,0)-MATCH("character_id",[3]characters!$1:$1,0)+1),MATCH(AB$1,[3]characters!$1:$1,0)-MATCH("character_id",[3]characters!$1:$1,0)+1,FALSE),"")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3" s="8">
        <v>1</v>
      </c>
      <c r="AD13" s="33">
        <f t="shared" ca="1" si="3"/>
        <v>1</v>
      </c>
      <c r="AE13" s="9">
        <v>25</v>
      </c>
      <c r="AF13" s="8">
        <v>0</v>
      </c>
      <c r="AG13" s="8">
        <v>0</v>
      </c>
      <c r="AH13" s="8">
        <v>0</v>
      </c>
      <c r="AI13" s="8">
        <v>0</v>
      </c>
      <c r="AJ13" s="8">
        <v>1</v>
      </c>
    </row>
    <row r="14" spans="1:36" ht="21" customHeight="1" x14ac:dyDescent="0.15">
      <c r="A14" s="21" t="str">
        <f t="shared" ca="1" si="0"/>
        <v>20001_1-3/21&lt;lv9&gt;s2</v>
      </c>
      <c r="B14" s="31">
        <v>20001</v>
      </c>
      <c r="C14" s="30">
        <v>1</v>
      </c>
      <c r="D14" s="2" t="str">
        <f t="shared" si="1"/>
        <v>20001_1</v>
      </c>
      <c r="E14" s="5" t="str">
        <f ca="1">VLOOKUP($B14,OFFSET([1]quests!$A$1,0,0,COUNTA([1]quests!$A:$A),MATCH(E$1,[1]quests!$1:$1,0)-MATCH($B$1,[1]quests!$1:$1,0)+1),MATCH(E$1,[1]quests!$1:$1,0)-MATCH($B$1,[1]quests!$1:$1,0)+1,FALSE)</f>
        <v>紅き執行者</v>
      </c>
      <c r="F14" s="5" t="str">
        <f ca="1">VLOOKUP($D14,OFFSET([1]stages!$A$1,0,0,COUNTA([1]stages!$A:$A),MATCH(F$1,[1]stages!$2:$2,0)-MATCH($D$1,[1]stages!$2:$2,0)+1),MATCH(F$1,[1]stages!$2:$2,0)-MATCH($D$1,[1]stages!$2:$2,0)+1,FALSE)</f>
        <v xml:space="preserve">【初級】紅き執行者 </v>
      </c>
      <c r="G14" s="43">
        <v>3</v>
      </c>
      <c r="H14" s="20" t="str">
        <f t="shared" si="2"/>
        <v>20001_1-3</v>
      </c>
      <c r="I14" s="36">
        <v>21</v>
      </c>
      <c r="J14" s="26" t="str">
        <f ca="1">VLOOKUP($I14,OFFSET([2]enemies!$A$1,0,0,COUNTA([2]enemies!$A:$A),MATCH(J$1,[2]enemies!$1:$1,0)-MATCH($I$1,[2]enemies!$1:$1,0)+1),MATCH(J$1,[2]enemies!$1:$1,0)-MATCH($I$1,[2]enemies!$1:$1,0)+1,FALSE)</f>
        <v>ヴェロキー</v>
      </c>
      <c r="K14" s="26" t="str">
        <f ca="1">VLOOKUP($I14,OFFSET([2]enemies!$A$1,0,0,COUNTA([2]enemies!$A:$A),MATCH(K$1,[2]enemies!$1:$1,0)-MATCH($I$1,[2]enemies!$1:$1,0)+1),MATCH(K$1,[2]enemies!$1:$1,0)-MATCH($I$1,[2]enemies!$1:$1,0)+1,FALSE)</f>
        <v>red</v>
      </c>
      <c r="L14" s="28" t="str">
        <f>VLOOKUP(I14,[3]characters!$A:$J,10,FALSE)</f>
        <v>Drop1N</v>
      </c>
      <c r="M14" s="26" t="str">
        <f ca="1">VLOOKUP($I14,OFFSET([2]enemies!$A$1,0,0,COUNTA([2]enemies!$A:$A),MATCH(M$1,[2]enemies!$1:$1,0)-MATCH($I$1,[2]enemies!$1:$1,0)+1),MATCH(M$1,[2]enemies!$1:$1,0)-MATCH($I$1,[2]enemies!$1:$1,0)+1,FALSE)</f>
        <v>dragon</v>
      </c>
      <c r="N14" s="26">
        <f ca="1">VLOOKUP($I14,OFFSET([2]enemies!$A$1,0,0,COUNTA([2]enemies!$A:$A),MATCH(N$1,[2]enemies!$1:$1,0)-MATCH($I$1,[2]enemies!$1:$1,0)+1),MATCH(N$1,[2]enemies!$1:$1,0)-MATCH($I$1,[2]enemies!$1:$1,0)+1,FALSE)</f>
        <v>15</v>
      </c>
      <c r="O14" s="6">
        <v>9</v>
      </c>
      <c r="P14" s="54">
        <v>1</v>
      </c>
      <c r="Q14" s="54">
        <v>1</v>
      </c>
      <c r="R14" s="6">
        <v>0</v>
      </c>
      <c r="S14" s="5" t="str">
        <f ca="1">VLOOKUP($T14,OFFSET([4]enemy_skill_sets!$B$1,0,0,COUNTA([4]enemy_skill_sets!$B:$B),MATCH(J$1,[4]enemy_skill_sets!$1:$1,0)-MATCH($T$1,[4]enemy_skill_sets!$1:$1,0)+2),MATCH(J$1,[4]enemy_skill_sets!$1:$1,0)-MATCH($T$1,[4]enemy_skill_sets!$1:$1,0)+2,FALSE)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" s="26">
        <f ca="1">VLOOKUP($I14,OFFSET([2]enemies!$A$1,0,0,COUNTA([2]enemies!$A:$A),MATCH(T$1,[2]enemies!$1:$1,0)-MATCH($I$1,[2]enemies!$1:$1,0)+1),MATCH(T$1,[2]enemies!$1:$1,0)-MATCH($I$1,[2]enemies!$1:$1,0)+1,FALSE)</f>
        <v>0</v>
      </c>
      <c r="U14" s="7">
        <v>0</v>
      </c>
      <c r="V14" s="7">
        <v>80</v>
      </c>
      <c r="W14" s="7">
        <v>0</v>
      </c>
      <c r="X14" s="26">
        <f ca="1">VLOOKUP($I14,OFFSET([2]enemies!$A$1,0,0,COUNTA([2]enemies!$A:$A),MATCH(X$1,[2]enemies!$1:$1,0)-MATCH($I$1,[2]enemies!$1:$1,0)+1),MATCH(X$1,[2]enemies!$1:$1,0)-MATCH($I$1,[2]enemies!$1:$1,0)+1,FALSE)</f>
        <v>2</v>
      </c>
      <c r="Y14" s="36">
        <v>21</v>
      </c>
      <c r="Z14" s="5" t="str">
        <f ca="1">IFERROR(VLOOKUP($Y14,OFFSET([3]characters!$A$1,0,0,COUNTA([3]characters!$A:$A),MATCH(Z$1,[3]characters!$1:$1,0)-MATCH("character_id",[3]characters!$1:$1,0)+1),MATCH(Z$1,[3]characters!$1:$1,0)-MATCH("character_id",[3]characters!$1:$1,0)+1,FALSE),"")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14" s="5">
        <f ca="1">IFERROR(VLOOKUP($Y14,OFFSET([3]characters!$A$1,0,0,COUNTA([3]characters!$A:$A),MATCH(AA$1,[3]characters!$1:$1,0)-MATCH("character_id",[3]characters!$1:$1,0)+1),MATCH(AA$1,[3]characters!$1:$1,0)-MATCH("character_id",[3]characters!$1:$1,0)+1,FALSE),"")</f>
        <v>1</v>
      </c>
      <c r="AB14" s="5" t="str">
        <f ca="1">IFERROR(VLOOKUP($Y14,OFFSET([3]characters!$A$1,0,0,COUNTA([3]characters!$A:$A),MATCH(AB$1,[3]characters!$1:$1,0)-MATCH("character_id",[3]characters!$1:$1,0)+1),MATCH(AB$1,[3]characters!$1:$1,0)-MATCH("character_id",[3]characters!$1:$1,0)+1,FALSE),"")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4" s="8">
        <v>1</v>
      </c>
      <c r="AD14" s="33">
        <f t="shared" ca="1" si="3"/>
        <v>1</v>
      </c>
      <c r="AE14" s="9">
        <v>25</v>
      </c>
      <c r="AF14" s="8">
        <v>0</v>
      </c>
      <c r="AG14" s="8">
        <v>0</v>
      </c>
      <c r="AH14" s="8">
        <v>0</v>
      </c>
      <c r="AI14" s="8">
        <v>0</v>
      </c>
      <c r="AJ14" s="8">
        <v>1</v>
      </c>
    </row>
    <row r="15" spans="1:36" ht="21" customHeight="1" x14ac:dyDescent="0.15">
      <c r="A15" s="21" t="str">
        <f t="shared" ca="1" si="0"/>
        <v>20001_1-3/41&lt;lv9&gt;s1</v>
      </c>
      <c r="B15" s="31">
        <v>20001</v>
      </c>
      <c r="C15" s="30">
        <v>1</v>
      </c>
      <c r="D15" s="2" t="str">
        <f t="shared" si="1"/>
        <v>20001_1</v>
      </c>
      <c r="E15" s="5" t="str">
        <f ca="1">VLOOKUP($B15,OFFSET([1]quests!$A$1,0,0,COUNTA([1]quests!$A:$A),MATCH(E$1,[1]quests!$1:$1,0)-MATCH($B$1,[1]quests!$1:$1,0)+1),MATCH(E$1,[1]quests!$1:$1,0)-MATCH($B$1,[1]quests!$1:$1,0)+1,FALSE)</f>
        <v>紅き執行者</v>
      </c>
      <c r="F15" s="5" t="str">
        <f ca="1">VLOOKUP($D15,OFFSET([1]stages!$A$1,0,0,COUNTA([1]stages!$A:$A),MATCH(F$1,[1]stages!$2:$2,0)-MATCH($D$1,[1]stages!$2:$2,0)+1),MATCH(F$1,[1]stages!$2:$2,0)-MATCH($D$1,[1]stages!$2:$2,0)+1,FALSE)</f>
        <v xml:space="preserve">【初級】紅き執行者 </v>
      </c>
      <c r="G15" s="43">
        <v>3</v>
      </c>
      <c r="H15" s="20" t="str">
        <f t="shared" si="2"/>
        <v>20001_1-3</v>
      </c>
      <c r="I15" s="36">
        <v>41</v>
      </c>
      <c r="J15" s="26" t="str">
        <f ca="1">VLOOKUP($I15,OFFSET([2]enemies!$A$1,0,0,COUNTA([2]enemies!$A:$A),MATCH(J$1,[2]enemies!$1:$1,0)-MATCH($I$1,[2]enemies!$1:$1,0)+1),MATCH(J$1,[2]enemies!$1:$1,0)-MATCH($I$1,[2]enemies!$1:$1,0)+1,FALSE)</f>
        <v>ヒュウガ</v>
      </c>
      <c r="K15" s="26" t="str">
        <f ca="1">VLOOKUP($I15,OFFSET([2]enemies!$A$1,0,0,COUNTA([2]enemies!$A:$A),MATCH(K$1,[2]enemies!$1:$1,0)-MATCH($I$1,[2]enemies!$1:$1,0)+1),MATCH(K$1,[2]enemies!$1:$1,0)-MATCH($I$1,[2]enemies!$1:$1,0)+1,FALSE)</f>
        <v>red</v>
      </c>
      <c r="L15" s="28" t="str">
        <f>VLOOKUP(I15,[3]characters!$A:$J,10,FALSE)</f>
        <v>Drop1N</v>
      </c>
      <c r="M15" s="26" t="str">
        <f ca="1">VLOOKUP($I15,OFFSET([2]enemies!$A$1,0,0,COUNTA([2]enemies!$A:$A),MATCH(M$1,[2]enemies!$1:$1,0)-MATCH($I$1,[2]enemies!$1:$1,0)+1),MATCH(M$1,[2]enemies!$1:$1,0)-MATCH($I$1,[2]enemies!$1:$1,0)+1,FALSE)</f>
        <v>dragon</v>
      </c>
      <c r="N15" s="26">
        <f ca="1">VLOOKUP($I15,OFFSET([2]enemies!$A$1,0,0,COUNTA([2]enemies!$A:$A),MATCH(N$1,[2]enemies!$1:$1,0)-MATCH($I$1,[2]enemies!$1:$1,0)+1),MATCH(N$1,[2]enemies!$1:$1,0)-MATCH($I$1,[2]enemies!$1:$1,0)+1,FALSE)</f>
        <v>15</v>
      </c>
      <c r="O15" s="6">
        <v>9</v>
      </c>
      <c r="P15" s="54">
        <v>1</v>
      </c>
      <c r="Q15" s="54">
        <v>1</v>
      </c>
      <c r="R15" s="6">
        <v>0</v>
      </c>
      <c r="S15" s="5" t="str">
        <f ca="1">VLOOKUP($T15,OFFSET([4]enemy_skill_sets!$B$1,0,0,COUNTA([4]enemy_skill_sets!$B:$B),MATCH(J$1,[4]enemy_skill_sets!$1:$1,0)-MATCH($T$1,[4]enemy_skill_sets!$1:$1,0)+2),MATCH(J$1,[4]enemy_skill_sets!$1:$1,0)-MATCH($T$1,[4]enemy_skill_sets!$1:$1,0)+2,FALSE)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" s="26">
        <f ca="1">VLOOKUP($I15,OFFSET([2]enemies!$A$1,0,0,COUNTA([2]enemies!$A:$A),MATCH(T$1,[2]enemies!$1:$1,0)-MATCH($I$1,[2]enemies!$1:$1,0)+1),MATCH(T$1,[2]enemies!$1:$1,0)-MATCH($I$1,[2]enemies!$1:$1,0)+1,FALSE)</f>
        <v>0</v>
      </c>
      <c r="U15" s="7">
        <v>0</v>
      </c>
      <c r="V15" s="7">
        <v>80</v>
      </c>
      <c r="W15" s="7">
        <v>0</v>
      </c>
      <c r="X15" s="26">
        <f ca="1">VLOOKUP($I15,OFFSET([2]enemies!$A$1,0,0,COUNTA([2]enemies!$A:$A),MATCH(X$1,[2]enemies!$1:$1,0)-MATCH($I$1,[2]enemies!$1:$1,0)+1),MATCH(X$1,[2]enemies!$1:$1,0)-MATCH($I$1,[2]enemies!$1:$1,0)+1,FALSE)</f>
        <v>1</v>
      </c>
      <c r="Y15" s="36">
        <v>41</v>
      </c>
      <c r="Z15" s="5" t="str">
        <f ca="1">IFERROR(VLOOKUP($Y15,OFFSET([3]characters!$A$1,0,0,COUNTA([3]characters!$A:$A),MATCH(Z$1,[3]characters!$1:$1,0)-MATCH("character_id",[3]characters!$1:$1,0)+1),MATCH(Z$1,[3]characters!$1:$1,0)-MATCH("character_id",[3]characters!$1:$1,0)+1,FALSE),"")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15" s="5">
        <f ca="1">IFERROR(VLOOKUP($Y15,OFFSET([3]characters!$A$1,0,0,COUNTA([3]characters!$A:$A),MATCH(AA$1,[3]characters!$1:$1,0)-MATCH("character_id",[3]characters!$1:$1,0)+1),MATCH(AA$1,[3]characters!$1:$1,0)-MATCH("character_id",[3]characters!$1:$1,0)+1,FALSE),"")</f>
        <v>2</v>
      </c>
      <c r="AB15" s="5" t="str">
        <f ca="1">IFERROR(VLOOKUP($Y15,OFFSET([3]characters!$A$1,0,0,COUNTA([3]characters!$A:$A),MATCH(AB$1,[3]characters!$1:$1,0)-MATCH("character_id",[3]characters!$1:$1,0)+1),MATCH(AB$1,[3]characters!$1:$1,0)-MATCH("character_id",[3]characters!$1:$1,0)+1,FALSE),"")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5" s="8">
        <v>1</v>
      </c>
      <c r="AD15" s="33">
        <f t="shared" ca="1" si="3"/>
        <v>2</v>
      </c>
      <c r="AE15" s="9">
        <v>25</v>
      </c>
      <c r="AF15" s="8">
        <v>0</v>
      </c>
      <c r="AG15" s="8">
        <v>0</v>
      </c>
      <c r="AH15" s="8">
        <v>0</v>
      </c>
      <c r="AI15" s="8">
        <v>0</v>
      </c>
      <c r="AJ15" s="8">
        <v>1</v>
      </c>
    </row>
    <row r="16" spans="1:36" ht="21" customHeight="1" x14ac:dyDescent="0.15">
      <c r="A16" s="21" t="str">
        <f t="shared" ca="1" si="0"/>
        <v>20001_1-3/63&lt;lv11&gt;s2</v>
      </c>
      <c r="B16" s="31">
        <v>20001</v>
      </c>
      <c r="C16" s="30">
        <v>1</v>
      </c>
      <c r="D16" s="2" t="str">
        <f t="shared" si="1"/>
        <v>20001_1</v>
      </c>
      <c r="E16" s="5" t="str">
        <f ca="1">VLOOKUP($B16,OFFSET([1]quests!$A$1,0,0,COUNTA([1]quests!$A:$A),MATCH(E$1,[1]quests!$1:$1,0)-MATCH($B$1,[1]quests!$1:$1,0)+1),MATCH(E$1,[1]quests!$1:$1,0)-MATCH($B$1,[1]quests!$1:$1,0)+1,FALSE)</f>
        <v>紅き執行者</v>
      </c>
      <c r="F16" s="5" t="str">
        <f ca="1">VLOOKUP($D16,OFFSET([1]stages!$A$1,0,0,COUNTA([1]stages!$A:$A),MATCH(F$1,[1]stages!$2:$2,0)-MATCH($D$1,[1]stages!$2:$2,0)+1),MATCH(F$1,[1]stages!$2:$2,0)-MATCH($D$1,[1]stages!$2:$2,0)+1,FALSE)</f>
        <v xml:space="preserve">【初級】紅き執行者 </v>
      </c>
      <c r="G16" s="43">
        <v>3</v>
      </c>
      <c r="H16" s="20" t="str">
        <f t="shared" si="2"/>
        <v>20001_1-3</v>
      </c>
      <c r="I16" s="36">
        <v>63</v>
      </c>
      <c r="J16" s="26" t="str">
        <f ca="1">VLOOKUP($I16,OFFSET([2]enemies!$A$1,0,0,COUNTA([2]enemies!$A:$A),MATCH(J$1,[2]enemies!$1:$1,0)-MATCH($I$1,[2]enemies!$1:$1,0)+1),MATCH(J$1,[2]enemies!$1:$1,0)-MATCH($I$1,[2]enemies!$1:$1,0)+1,FALSE)</f>
        <v>トニー</v>
      </c>
      <c r="K16" s="26" t="str">
        <f ca="1">VLOOKUP($I16,OFFSET([2]enemies!$A$1,0,0,COUNTA([2]enemies!$A:$A),MATCH(K$1,[2]enemies!$1:$1,0)-MATCH($I$1,[2]enemies!$1:$1,0)+1),MATCH(K$1,[2]enemies!$1:$1,0)-MATCH($I$1,[2]enemies!$1:$1,0)+1,FALSE)</f>
        <v>yellow</v>
      </c>
      <c r="L16" s="28" t="str">
        <f>VLOOKUP(I16,[3]characters!$A:$J,10,FALSE)</f>
        <v>Drop1N</v>
      </c>
      <c r="M16" s="26" t="str">
        <f ca="1">VLOOKUP($I16,OFFSET([2]enemies!$A$1,0,0,COUNTA([2]enemies!$A:$A),MATCH(M$1,[2]enemies!$1:$1,0)-MATCH($I$1,[2]enemies!$1:$1,0)+1),MATCH(M$1,[2]enemies!$1:$1,0)-MATCH($I$1,[2]enemies!$1:$1,0)+1,FALSE)</f>
        <v>animal</v>
      </c>
      <c r="N16" s="26">
        <f ca="1">VLOOKUP($I16,OFFSET([2]enemies!$A$1,0,0,COUNTA([2]enemies!$A:$A),MATCH(N$1,[2]enemies!$1:$1,0)-MATCH($I$1,[2]enemies!$1:$1,0)+1),MATCH(N$1,[2]enemies!$1:$1,0)-MATCH($I$1,[2]enemies!$1:$1,0)+1,FALSE)</f>
        <v>15</v>
      </c>
      <c r="O16" s="6">
        <v>11</v>
      </c>
      <c r="P16" s="54">
        <v>1</v>
      </c>
      <c r="Q16" s="54">
        <v>1</v>
      </c>
      <c r="R16" s="6">
        <v>0</v>
      </c>
      <c r="S16" s="5" t="str">
        <f ca="1">VLOOKUP($T16,OFFSET([4]enemy_skill_sets!$B$1,0,0,COUNTA([4]enemy_skill_sets!$B:$B),MATCH(J$1,[4]enemy_skill_sets!$1:$1,0)-MATCH($T$1,[4]enemy_skill_sets!$1:$1,0)+2),MATCH(J$1,[4]enemy_skill_sets!$1:$1,0)-MATCH($T$1,[4]enemy_skill_sets!$1:$1,0)+2,FALSE)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16" s="26">
        <f ca="1">VLOOKUP($I16,OFFSET([2]enemies!$A$1,0,0,COUNTA([2]enemies!$A:$A),MATCH(T$1,[2]enemies!$1:$1,0)-MATCH($I$1,[2]enemies!$1:$1,0)+1),MATCH(T$1,[2]enemies!$1:$1,0)-MATCH($I$1,[2]enemies!$1:$1,0)+1,FALSE)</f>
        <v>63</v>
      </c>
      <c r="U16" s="7">
        <v>0</v>
      </c>
      <c r="V16" s="7">
        <v>80</v>
      </c>
      <c r="W16" s="7">
        <v>0</v>
      </c>
      <c r="X16" s="26">
        <f ca="1">VLOOKUP($I16,OFFSET([2]enemies!$A$1,0,0,COUNTA([2]enemies!$A:$A),MATCH(X$1,[2]enemies!$1:$1,0)-MATCH($I$1,[2]enemies!$1:$1,0)+1),MATCH(X$1,[2]enemies!$1:$1,0)-MATCH($I$1,[2]enemies!$1:$1,0)+1,FALSE)</f>
        <v>2</v>
      </c>
      <c r="Y16" s="36">
        <v>63</v>
      </c>
      <c r="Z16" s="5" t="str">
        <f ca="1">IFERROR(VLOOKUP($Y16,OFFSET([3]characters!$A$1,0,0,COUNTA([3]characters!$A:$A),MATCH(Z$1,[3]characters!$1:$1,0)-MATCH("character_id",[3]characters!$1:$1,0)+1),MATCH(Z$1,[3]characters!$1:$1,0)-MATCH("character_id",[3]characters!$1:$1,0)+1,FALSE),"")</f>
        <v>トニー</v>
      </c>
      <c r="AA16" s="5">
        <f ca="1">IFERROR(VLOOKUP($Y16,OFFSET([3]characters!$A$1,0,0,COUNTA([3]characters!$A:$A),MATCH(AA$1,[3]characters!$1:$1,0)-MATCH("character_id",[3]characters!$1:$1,0)+1),MATCH(AA$1,[3]characters!$1:$1,0)-MATCH("character_id",[3]characters!$1:$1,0)+1,FALSE),"")</f>
        <v>2</v>
      </c>
      <c r="AB16" s="5" t="str">
        <f ca="1">IFERROR(VLOOKUP($Y16,OFFSET([3]characters!$A$1,0,0,COUNTA([3]characters!$A:$A),MATCH(AB$1,[3]characters!$1:$1,0)-MATCH("character_id",[3]characters!$1:$1,0)+1),MATCH(AB$1,[3]characters!$1:$1,0)-MATCH("character_id",[3]characters!$1:$1,0)+1,FALSE),"")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6" s="8">
        <v>1</v>
      </c>
      <c r="AD16" s="33">
        <f t="shared" ca="1" si="3"/>
        <v>2</v>
      </c>
      <c r="AE16" s="9">
        <v>25</v>
      </c>
      <c r="AF16" s="8">
        <v>0</v>
      </c>
      <c r="AG16" s="8">
        <v>0</v>
      </c>
      <c r="AH16" s="8">
        <v>0</v>
      </c>
      <c r="AI16" s="8">
        <v>0</v>
      </c>
      <c r="AJ16" s="8">
        <v>1</v>
      </c>
    </row>
    <row r="17" spans="1:36" ht="21" customHeight="1" x14ac:dyDescent="0.15">
      <c r="A17" s="21" t="str">
        <f t="shared" ca="1" si="0"/>
        <v>20001_1-4/9&lt;lv9&gt;s2</v>
      </c>
      <c r="B17" s="31">
        <v>20001</v>
      </c>
      <c r="C17" s="30">
        <v>1</v>
      </c>
      <c r="D17" s="2" t="str">
        <f t="shared" si="1"/>
        <v>20001_1</v>
      </c>
      <c r="E17" s="5" t="str">
        <f ca="1">VLOOKUP($B17,OFFSET([1]quests!$A$1,0,0,COUNTA([1]quests!$A:$A),MATCH(E$1,[1]quests!$1:$1,0)-MATCH($B$1,[1]quests!$1:$1,0)+1),MATCH(E$1,[1]quests!$1:$1,0)-MATCH($B$1,[1]quests!$1:$1,0)+1,FALSE)</f>
        <v>紅き執行者</v>
      </c>
      <c r="F17" s="5" t="str">
        <f ca="1">VLOOKUP($D17,OFFSET([1]stages!$A$1,0,0,COUNTA([1]stages!$A:$A),MATCH(F$1,[1]stages!$2:$2,0)-MATCH($D$1,[1]stages!$2:$2,0)+1),MATCH(F$1,[1]stages!$2:$2,0)-MATCH($D$1,[1]stages!$2:$2,0)+1,FALSE)</f>
        <v xml:space="preserve">【初級】紅き執行者 </v>
      </c>
      <c r="G17" s="45">
        <v>4</v>
      </c>
      <c r="H17" s="20" t="str">
        <f t="shared" si="2"/>
        <v>20001_1-4</v>
      </c>
      <c r="I17" s="36">
        <v>9</v>
      </c>
      <c r="J17" s="26" t="str">
        <f ca="1">VLOOKUP($I17,OFFSET([2]enemies!$A$1,0,0,COUNTA([2]enemies!$A:$A),MATCH(J$1,[2]enemies!$1:$1,0)-MATCH($I$1,[2]enemies!$1:$1,0)+1),MATCH(J$1,[2]enemies!$1:$1,0)-MATCH($I$1,[2]enemies!$1:$1,0)+1,FALSE)</f>
        <v>ブレット</v>
      </c>
      <c r="K17" s="26" t="str">
        <f ca="1">VLOOKUP($I17,OFFSET([2]enemies!$A$1,0,0,COUNTA([2]enemies!$A:$A),MATCH(K$1,[2]enemies!$1:$1,0)-MATCH($I$1,[2]enemies!$1:$1,0)+1),MATCH(K$1,[2]enemies!$1:$1,0)-MATCH($I$1,[2]enemies!$1:$1,0)+1,FALSE)</f>
        <v>red</v>
      </c>
      <c r="L17" s="28" t="str">
        <f>VLOOKUP(I17,[3]characters!$A:$J,10,FALSE)</f>
        <v>Drop1W</v>
      </c>
      <c r="M17" s="26" t="str">
        <f ca="1">VLOOKUP($I17,OFFSET([2]enemies!$A$1,0,0,COUNTA([2]enemies!$A:$A),MATCH(M$1,[2]enemies!$1:$1,0)-MATCH($I$1,[2]enemies!$1:$1,0)+1),MATCH(M$1,[2]enemies!$1:$1,0)-MATCH($I$1,[2]enemies!$1:$1,0)+1,FALSE)</f>
        <v>animal</v>
      </c>
      <c r="N17" s="26">
        <f ca="1">VLOOKUP($I17,OFFSET([2]enemies!$A$1,0,0,COUNTA([2]enemies!$A:$A),MATCH(N$1,[2]enemies!$1:$1,0)-MATCH($I$1,[2]enemies!$1:$1,0)+1),MATCH(N$1,[2]enemies!$1:$1,0)-MATCH($I$1,[2]enemies!$1:$1,0)+1,FALSE)</f>
        <v>15</v>
      </c>
      <c r="O17" s="6">
        <v>9</v>
      </c>
      <c r="P17" s="54">
        <v>1</v>
      </c>
      <c r="Q17" s="54">
        <v>1</v>
      </c>
      <c r="R17" s="6">
        <v>0</v>
      </c>
      <c r="S17" s="5" t="str">
        <f ca="1">VLOOKUP($T17,OFFSET([4]enemy_skill_sets!$B$1,0,0,COUNTA([4]enemy_skill_sets!$B:$B),MATCH(J$1,[4]enemy_skill_sets!$1:$1,0)-MATCH($T$1,[4]enemy_skill_sets!$1:$1,0)+2),MATCH(J$1,[4]enemy_skill_sets!$1:$1,0)-MATCH($T$1,[4]enemy_skill_sets!$1:$1,0)+2,FALSE)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" s="26">
        <f ca="1">VLOOKUP($I17,OFFSET([2]enemies!$A$1,0,0,COUNTA([2]enemies!$A:$A),MATCH(T$1,[2]enemies!$1:$1,0)-MATCH($I$1,[2]enemies!$1:$1,0)+1),MATCH(T$1,[2]enemies!$1:$1,0)-MATCH($I$1,[2]enemies!$1:$1,0)+1,FALSE)</f>
        <v>0</v>
      </c>
      <c r="U17" s="7">
        <v>0</v>
      </c>
      <c r="V17" s="7">
        <v>100</v>
      </c>
      <c r="W17" s="7">
        <v>0</v>
      </c>
      <c r="X17" s="26">
        <f ca="1">VLOOKUP($I17,OFFSET([2]enemies!$A$1,0,0,COUNTA([2]enemies!$A:$A),MATCH(X$1,[2]enemies!$1:$1,0)-MATCH($I$1,[2]enemies!$1:$1,0)+1),MATCH(X$1,[2]enemies!$1:$1,0)-MATCH($I$1,[2]enemies!$1:$1,0)+1,FALSE)</f>
        <v>2</v>
      </c>
      <c r="Y17" s="36">
        <v>9</v>
      </c>
      <c r="Z17" s="5" t="str">
        <f ca="1">IFERROR(VLOOKUP($Y17,OFFSET([3]characters!$A$1,0,0,COUNTA([3]characters!$A:$A),MATCH(Z$1,[3]characters!$1:$1,0)-MATCH("character_id",[3]characters!$1:$1,0)+1),MATCH(Z$1,[3]characters!$1:$1,0)-MATCH("character_id",[3]characters!$1:$1,0)+1,FALSE),"")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17" s="5">
        <f ca="1">IFERROR(VLOOKUP($Y17,OFFSET([3]characters!$A$1,0,0,COUNTA([3]characters!$A:$A),MATCH(AA$1,[3]characters!$1:$1,0)-MATCH("character_id",[3]characters!$1:$1,0)+1),MATCH(AA$1,[3]characters!$1:$1,0)-MATCH("character_id",[3]characters!$1:$1,0)+1,FALSE),"")</f>
        <v>1</v>
      </c>
      <c r="AB17" s="5" t="str">
        <f ca="1">IFERROR(VLOOKUP($Y17,OFFSET([3]characters!$A$1,0,0,COUNTA([3]characters!$A:$A),MATCH(AB$1,[3]characters!$1:$1,0)-MATCH("character_id",[3]characters!$1:$1,0)+1),MATCH(AB$1,[3]characters!$1:$1,0)-MATCH("character_id",[3]characters!$1:$1,0)+1,FALSE),"")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7" s="8">
        <v>1</v>
      </c>
      <c r="AD17" s="33">
        <f t="shared" ca="1" si="3"/>
        <v>1</v>
      </c>
      <c r="AE17" s="9">
        <v>25</v>
      </c>
      <c r="AF17" s="8">
        <v>0</v>
      </c>
      <c r="AG17" s="8">
        <v>0</v>
      </c>
      <c r="AH17" s="8">
        <v>0</v>
      </c>
      <c r="AI17" s="8">
        <v>0</v>
      </c>
      <c r="AJ17" s="8">
        <v>1</v>
      </c>
    </row>
    <row r="18" spans="1:36" ht="21" customHeight="1" x14ac:dyDescent="0.15">
      <c r="A18" s="21" t="str">
        <f t="shared" ca="1" si="0"/>
        <v>20001_1-4/15&lt;lv9&gt;s3</v>
      </c>
      <c r="B18" s="31">
        <v>20001</v>
      </c>
      <c r="C18" s="30">
        <v>1</v>
      </c>
      <c r="D18" s="2" t="str">
        <f t="shared" si="1"/>
        <v>20001_1</v>
      </c>
      <c r="E18" s="5" t="str">
        <f ca="1">VLOOKUP($B18,OFFSET([1]quests!$A$1,0,0,COUNTA([1]quests!$A:$A),MATCH(E$1,[1]quests!$1:$1,0)-MATCH($B$1,[1]quests!$1:$1,0)+1),MATCH(E$1,[1]quests!$1:$1,0)-MATCH($B$1,[1]quests!$1:$1,0)+1,FALSE)</f>
        <v>紅き執行者</v>
      </c>
      <c r="F18" s="5" t="str">
        <f ca="1">VLOOKUP($D18,OFFSET([1]stages!$A$1,0,0,COUNTA([1]stages!$A:$A),MATCH(F$1,[1]stages!$2:$2,0)-MATCH($D$1,[1]stages!$2:$2,0)+1),MATCH(F$1,[1]stages!$2:$2,0)-MATCH($D$1,[1]stages!$2:$2,0)+1,FALSE)</f>
        <v xml:space="preserve">【初級】紅き執行者 </v>
      </c>
      <c r="G18" s="45">
        <v>4</v>
      </c>
      <c r="H18" s="20" t="str">
        <f t="shared" si="2"/>
        <v>20001_1-4</v>
      </c>
      <c r="I18" s="36">
        <v>15</v>
      </c>
      <c r="J18" s="26" t="str">
        <f ca="1">VLOOKUP($I18,OFFSET([2]enemies!$A$1,0,0,COUNTA([2]enemies!$A:$A),MATCH(J$1,[2]enemies!$1:$1,0)-MATCH($I$1,[2]enemies!$1:$1,0)+1),MATCH(J$1,[2]enemies!$1:$1,0)-MATCH($I$1,[2]enemies!$1:$1,0)+1,FALSE)</f>
        <v>アカネ</v>
      </c>
      <c r="K18" s="26" t="str">
        <f ca="1">VLOOKUP($I18,OFFSET([2]enemies!$A$1,0,0,COUNTA([2]enemies!$A:$A),MATCH(K$1,[2]enemies!$1:$1,0)-MATCH($I$1,[2]enemies!$1:$1,0)+1),MATCH(K$1,[2]enemies!$1:$1,0)-MATCH($I$1,[2]enemies!$1:$1,0)+1,FALSE)</f>
        <v>red</v>
      </c>
      <c r="L18" s="28" t="str">
        <f>VLOOKUP(I18,[3]characters!$A:$J,10,FALSE)</f>
        <v>Drop1W</v>
      </c>
      <c r="M18" s="26" t="str">
        <f ca="1">VLOOKUP($I18,OFFSET([2]enemies!$A$1,0,0,COUNTA([2]enemies!$A:$A),MATCH(M$1,[2]enemies!$1:$1,0)-MATCH($I$1,[2]enemies!$1:$1,0)+1),MATCH(M$1,[2]enemies!$1:$1,0)-MATCH($I$1,[2]enemies!$1:$1,0)+1,FALSE)</f>
        <v>human</v>
      </c>
      <c r="N18" s="26">
        <f ca="1">VLOOKUP($I18,OFFSET([2]enemies!$A$1,0,0,COUNTA([2]enemies!$A:$A),MATCH(N$1,[2]enemies!$1:$1,0)-MATCH($I$1,[2]enemies!$1:$1,0)+1),MATCH(N$1,[2]enemies!$1:$1,0)-MATCH($I$1,[2]enemies!$1:$1,0)+1,FALSE)</f>
        <v>15</v>
      </c>
      <c r="O18" s="6">
        <v>9</v>
      </c>
      <c r="P18" s="54">
        <v>1</v>
      </c>
      <c r="Q18" s="54">
        <v>1</v>
      </c>
      <c r="R18" s="6">
        <v>0</v>
      </c>
      <c r="S18" s="5" t="str">
        <f ca="1">VLOOKUP($T18,OFFSET([4]enemy_skill_sets!$B$1,0,0,COUNTA([4]enemy_skill_sets!$B:$B),MATCH(J$1,[4]enemy_skill_sets!$1:$1,0)-MATCH($T$1,[4]enemy_skill_sets!$1:$1,0)+2),MATCH(J$1,[4]enemy_skill_sets!$1:$1,0)-MATCH($T$1,[4]enemy_skill_sets!$1:$1,0)+2,FALSE)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" s="26">
        <f ca="1">VLOOKUP($I18,OFFSET([2]enemies!$A$1,0,0,COUNTA([2]enemies!$A:$A),MATCH(T$1,[2]enemies!$1:$1,0)-MATCH($I$1,[2]enemies!$1:$1,0)+1),MATCH(T$1,[2]enemies!$1:$1,0)-MATCH($I$1,[2]enemies!$1:$1,0)+1,FALSE)</f>
        <v>0</v>
      </c>
      <c r="U18" s="7">
        <v>0</v>
      </c>
      <c r="V18" s="7">
        <v>80</v>
      </c>
      <c r="W18" s="7">
        <v>0</v>
      </c>
      <c r="X18" s="26">
        <f ca="1">VLOOKUP($I18,OFFSET([2]enemies!$A$1,0,0,COUNTA([2]enemies!$A:$A),MATCH(X$1,[2]enemies!$1:$1,0)-MATCH($I$1,[2]enemies!$1:$1,0)+1),MATCH(X$1,[2]enemies!$1:$1,0)-MATCH($I$1,[2]enemies!$1:$1,0)+1,FALSE)</f>
        <v>3</v>
      </c>
      <c r="Y18" s="36">
        <v>15</v>
      </c>
      <c r="Z18" s="5" t="str">
        <f ca="1">IFERROR(VLOOKUP($Y18,OFFSET([3]characters!$A$1,0,0,COUNTA([3]characters!$A:$A),MATCH(Z$1,[3]characters!$1:$1,0)-MATCH("character_id",[3]characters!$1:$1,0)+1),MATCH(Z$1,[3]characters!$1:$1,0)-MATCH("character_id",[3]characters!$1:$1,0)+1,FALSE),"")</f>
        <v>アカネ</v>
      </c>
      <c r="AA18" s="5">
        <f ca="1">IFERROR(VLOOKUP($Y18,OFFSET([3]characters!$A$1,0,0,COUNTA([3]characters!$A:$A),MATCH(AA$1,[3]characters!$1:$1,0)-MATCH("character_id",[3]characters!$1:$1,0)+1),MATCH(AA$1,[3]characters!$1:$1,0)-MATCH("character_id",[3]characters!$1:$1,0)+1,FALSE),"")</f>
        <v>1</v>
      </c>
      <c r="AB18" s="5" t="str">
        <f ca="1">IFERROR(VLOOKUP($Y18,OFFSET([3]characters!$A$1,0,0,COUNTA([3]characters!$A:$A),MATCH(AB$1,[3]characters!$1:$1,0)-MATCH("character_id",[3]characters!$1:$1,0)+1),MATCH(AB$1,[3]characters!$1:$1,0)-MATCH("character_id",[3]characters!$1:$1,0)+1,FALSE),"")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8" s="8">
        <v>1</v>
      </c>
      <c r="AD18" s="33">
        <f t="shared" ca="1" si="3"/>
        <v>1</v>
      </c>
      <c r="AE18" s="9">
        <v>25</v>
      </c>
      <c r="AF18" s="8">
        <v>0</v>
      </c>
      <c r="AG18" s="8">
        <v>0</v>
      </c>
      <c r="AH18" s="8">
        <v>0</v>
      </c>
      <c r="AI18" s="8">
        <v>0</v>
      </c>
      <c r="AJ18" s="8">
        <v>1</v>
      </c>
    </row>
    <row r="19" spans="1:36" ht="21" customHeight="1" x14ac:dyDescent="0.15">
      <c r="A19" s="21" t="str">
        <f t="shared" ca="1" si="0"/>
        <v>20001_1-4/21&lt;lv9&gt;s2</v>
      </c>
      <c r="B19" s="31">
        <v>20001</v>
      </c>
      <c r="C19" s="30">
        <v>1</v>
      </c>
      <c r="D19" s="2" t="str">
        <f t="shared" si="1"/>
        <v>20001_1</v>
      </c>
      <c r="E19" s="5" t="str">
        <f ca="1">VLOOKUP($B19,OFFSET([1]quests!$A$1,0,0,COUNTA([1]quests!$A:$A),MATCH(E$1,[1]quests!$1:$1,0)-MATCH($B$1,[1]quests!$1:$1,0)+1),MATCH(E$1,[1]quests!$1:$1,0)-MATCH($B$1,[1]quests!$1:$1,0)+1,FALSE)</f>
        <v>紅き執行者</v>
      </c>
      <c r="F19" s="5" t="str">
        <f ca="1">VLOOKUP($D19,OFFSET([1]stages!$A$1,0,0,COUNTA([1]stages!$A:$A),MATCH(F$1,[1]stages!$2:$2,0)-MATCH($D$1,[1]stages!$2:$2,0)+1),MATCH(F$1,[1]stages!$2:$2,0)-MATCH($D$1,[1]stages!$2:$2,0)+1,FALSE)</f>
        <v xml:space="preserve">【初級】紅き執行者 </v>
      </c>
      <c r="G19" s="45">
        <v>4</v>
      </c>
      <c r="H19" s="20" t="str">
        <f t="shared" si="2"/>
        <v>20001_1-4</v>
      </c>
      <c r="I19" s="36">
        <v>21</v>
      </c>
      <c r="J19" s="26" t="str">
        <f ca="1">VLOOKUP($I19,OFFSET([2]enemies!$A$1,0,0,COUNTA([2]enemies!$A:$A),MATCH(J$1,[2]enemies!$1:$1,0)-MATCH($I$1,[2]enemies!$1:$1,0)+1),MATCH(J$1,[2]enemies!$1:$1,0)-MATCH($I$1,[2]enemies!$1:$1,0)+1,FALSE)</f>
        <v>ヴェロキー</v>
      </c>
      <c r="K19" s="26" t="str">
        <f ca="1">VLOOKUP($I19,OFFSET([2]enemies!$A$1,0,0,COUNTA([2]enemies!$A:$A),MATCH(K$1,[2]enemies!$1:$1,0)-MATCH($I$1,[2]enemies!$1:$1,0)+1),MATCH(K$1,[2]enemies!$1:$1,0)-MATCH($I$1,[2]enemies!$1:$1,0)+1,FALSE)</f>
        <v>red</v>
      </c>
      <c r="L19" s="28" t="str">
        <f>VLOOKUP(I19,[3]characters!$A:$J,10,FALSE)</f>
        <v>Drop1N</v>
      </c>
      <c r="M19" s="26" t="str">
        <f ca="1">VLOOKUP($I19,OFFSET([2]enemies!$A$1,0,0,COUNTA([2]enemies!$A:$A),MATCH(M$1,[2]enemies!$1:$1,0)-MATCH($I$1,[2]enemies!$1:$1,0)+1),MATCH(M$1,[2]enemies!$1:$1,0)-MATCH($I$1,[2]enemies!$1:$1,0)+1,FALSE)</f>
        <v>dragon</v>
      </c>
      <c r="N19" s="26">
        <f ca="1">VLOOKUP($I19,OFFSET([2]enemies!$A$1,0,0,COUNTA([2]enemies!$A:$A),MATCH(N$1,[2]enemies!$1:$1,0)-MATCH($I$1,[2]enemies!$1:$1,0)+1),MATCH(N$1,[2]enemies!$1:$1,0)-MATCH($I$1,[2]enemies!$1:$1,0)+1,FALSE)</f>
        <v>15</v>
      </c>
      <c r="O19" s="6">
        <v>9</v>
      </c>
      <c r="P19" s="54">
        <v>1</v>
      </c>
      <c r="Q19" s="54">
        <v>1</v>
      </c>
      <c r="R19" s="6">
        <v>0</v>
      </c>
      <c r="S19" s="5" t="str">
        <f ca="1">VLOOKUP($T19,OFFSET([4]enemy_skill_sets!$B$1,0,0,COUNTA([4]enemy_skill_sets!$B:$B),MATCH(J$1,[4]enemy_skill_sets!$1:$1,0)-MATCH($T$1,[4]enemy_skill_sets!$1:$1,0)+2),MATCH(J$1,[4]enemy_skill_sets!$1:$1,0)-MATCH($T$1,[4]enemy_skill_sets!$1:$1,0)+2,FALSE)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" s="26">
        <f ca="1">VLOOKUP($I19,OFFSET([2]enemies!$A$1,0,0,COUNTA([2]enemies!$A:$A),MATCH(T$1,[2]enemies!$1:$1,0)-MATCH($I$1,[2]enemies!$1:$1,0)+1),MATCH(T$1,[2]enemies!$1:$1,0)-MATCH($I$1,[2]enemies!$1:$1,0)+1,FALSE)</f>
        <v>0</v>
      </c>
      <c r="U19" s="7">
        <v>0</v>
      </c>
      <c r="V19" s="7">
        <v>80</v>
      </c>
      <c r="W19" s="7">
        <v>0</v>
      </c>
      <c r="X19" s="26">
        <f ca="1">VLOOKUP($I19,OFFSET([2]enemies!$A$1,0,0,COUNTA([2]enemies!$A:$A),MATCH(X$1,[2]enemies!$1:$1,0)-MATCH($I$1,[2]enemies!$1:$1,0)+1),MATCH(X$1,[2]enemies!$1:$1,0)-MATCH($I$1,[2]enemies!$1:$1,0)+1,FALSE)</f>
        <v>2</v>
      </c>
      <c r="Y19" s="36">
        <v>21</v>
      </c>
      <c r="Z19" s="5" t="str">
        <f ca="1">IFERROR(VLOOKUP($Y19,OFFSET([3]characters!$A$1,0,0,COUNTA([3]characters!$A:$A),MATCH(Z$1,[3]characters!$1:$1,0)-MATCH("character_id",[3]characters!$1:$1,0)+1),MATCH(Z$1,[3]characters!$1:$1,0)-MATCH("character_id",[3]characters!$1:$1,0)+1,FALSE),"")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19" s="5">
        <f ca="1">IFERROR(VLOOKUP($Y19,OFFSET([3]characters!$A$1,0,0,COUNTA([3]characters!$A:$A),MATCH(AA$1,[3]characters!$1:$1,0)-MATCH("character_id",[3]characters!$1:$1,0)+1),MATCH(AA$1,[3]characters!$1:$1,0)-MATCH("character_id",[3]characters!$1:$1,0)+1,FALSE),"")</f>
        <v>1</v>
      </c>
      <c r="AB19" s="5" t="str">
        <f ca="1">IFERROR(VLOOKUP($Y19,OFFSET([3]characters!$A$1,0,0,COUNTA([3]characters!$A:$A),MATCH(AB$1,[3]characters!$1:$1,0)-MATCH("character_id",[3]characters!$1:$1,0)+1),MATCH(AB$1,[3]characters!$1:$1,0)-MATCH("character_id",[3]characters!$1:$1,0)+1,FALSE),"")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9" s="8">
        <v>1</v>
      </c>
      <c r="AD19" s="33">
        <f t="shared" ca="1" si="3"/>
        <v>1</v>
      </c>
      <c r="AE19" s="9">
        <v>25</v>
      </c>
      <c r="AF19" s="8">
        <v>0</v>
      </c>
      <c r="AG19" s="8">
        <v>0</v>
      </c>
      <c r="AH19" s="8">
        <v>0</v>
      </c>
      <c r="AI19" s="8">
        <v>0</v>
      </c>
      <c r="AJ19" s="8">
        <v>1</v>
      </c>
    </row>
    <row r="20" spans="1:36" ht="21" customHeight="1" x14ac:dyDescent="0.15">
      <c r="A20" s="21" t="str">
        <f t="shared" ca="1" si="0"/>
        <v>20001_1-4/41&lt;lv9&gt;s1</v>
      </c>
      <c r="B20" s="31">
        <v>20001</v>
      </c>
      <c r="C20" s="30">
        <v>1</v>
      </c>
      <c r="D20" s="2" t="str">
        <f t="shared" si="1"/>
        <v>20001_1</v>
      </c>
      <c r="E20" s="5" t="str">
        <f ca="1">VLOOKUP($B20,OFFSET([1]quests!$A$1,0,0,COUNTA([1]quests!$A:$A),MATCH(E$1,[1]quests!$1:$1,0)-MATCH($B$1,[1]quests!$1:$1,0)+1),MATCH(E$1,[1]quests!$1:$1,0)-MATCH($B$1,[1]quests!$1:$1,0)+1,FALSE)</f>
        <v>紅き執行者</v>
      </c>
      <c r="F20" s="5" t="str">
        <f ca="1">VLOOKUP($D20,OFFSET([1]stages!$A$1,0,0,COUNTA([1]stages!$A:$A),MATCH(F$1,[1]stages!$2:$2,0)-MATCH($D$1,[1]stages!$2:$2,0)+1),MATCH(F$1,[1]stages!$2:$2,0)-MATCH($D$1,[1]stages!$2:$2,0)+1,FALSE)</f>
        <v xml:space="preserve">【初級】紅き執行者 </v>
      </c>
      <c r="G20" s="45">
        <v>4</v>
      </c>
      <c r="H20" s="20" t="str">
        <f t="shared" si="2"/>
        <v>20001_1-4</v>
      </c>
      <c r="I20" s="36">
        <v>41</v>
      </c>
      <c r="J20" s="26" t="str">
        <f ca="1">VLOOKUP($I20,OFFSET([2]enemies!$A$1,0,0,COUNTA([2]enemies!$A:$A),MATCH(J$1,[2]enemies!$1:$1,0)-MATCH($I$1,[2]enemies!$1:$1,0)+1),MATCH(J$1,[2]enemies!$1:$1,0)-MATCH($I$1,[2]enemies!$1:$1,0)+1,FALSE)</f>
        <v>ヒュウガ</v>
      </c>
      <c r="K20" s="26" t="str">
        <f ca="1">VLOOKUP($I20,OFFSET([2]enemies!$A$1,0,0,COUNTA([2]enemies!$A:$A),MATCH(K$1,[2]enemies!$1:$1,0)-MATCH($I$1,[2]enemies!$1:$1,0)+1),MATCH(K$1,[2]enemies!$1:$1,0)-MATCH($I$1,[2]enemies!$1:$1,0)+1,FALSE)</f>
        <v>red</v>
      </c>
      <c r="L20" s="28" t="str">
        <f>VLOOKUP(I20,[3]characters!$A:$J,10,FALSE)</f>
        <v>Drop1N</v>
      </c>
      <c r="M20" s="26" t="str">
        <f ca="1">VLOOKUP($I20,OFFSET([2]enemies!$A$1,0,0,COUNTA([2]enemies!$A:$A),MATCH(M$1,[2]enemies!$1:$1,0)-MATCH($I$1,[2]enemies!$1:$1,0)+1),MATCH(M$1,[2]enemies!$1:$1,0)-MATCH($I$1,[2]enemies!$1:$1,0)+1,FALSE)</f>
        <v>dragon</v>
      </c>
      <c r="N20" s="26">
        <f ca="1">VLOOKUP($I20,OFFSET([2]enemies!$A$1,0,0,COUNTA([2]enemies!$A:$A),MATCH(N$1,[2]enemies!$1:$1,0)-MATCH($I$1,[2]enemies!$1:$1,0)+1),MATCH(N$1,[2]enemies!$1:$1,0)-MATCH($I$1,[2]enemies!$1:$1,0)+1,FALSE)</f>
        <v>15</v>
      </c>
      <c r="O20" s="6">
        <v>9</v>
      </c>
      <c r="P20" s="54">
        <v>1</v>
      </c>
      <c r="Q20" s="54">
        <v>1</v>
      </c>
      <c r="R20" s="6">
        <v>0</v>
      </c>
      <c r="S20" s="5" t="str">
        <f ca="1">VLOOKUP($T20,OFFSET([4]enemy_skill_sets!$B$1,0,0,COUNTA([4]enemy_skill_sets!$B:$B),MATCH(J$1,[4]enemy_skill_sets!$1:$1,0)-MATCH($T$1,[4]enemy_skill_sets!$1:$1,0)+2),MATCH(J$1,[4]enemy_skill_sets!$1:$1,0)-MATCH($T$1,[4]enemy_skill_sets!$1:$1,0)+2,FALSE)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" s="26">
        <f ca="1">VLOOKUP($I20,OFFSET([2]enemies!$A$1,0,0,COUNTA([2]enemies!$A:$A),MATCH(T$1,[2]enemies!$1:$1,0)-MATCH($I$1,[2]enemies!$1:$1,0)+1),MATCH(T$1,[2]enemies!$1:$1,0)-MATCH($I$1,[2]enemies!$1:$1,0)+1,FALSE)</f>
        <v>0</v>
      </c>
      <c r="U20" s="7">
        <v>0</v>
      </c>
      <c r="V20" s="7">
        <v>80</v>
      </c>
      <c r="W20" s="7">
        <v>0</v>
      </c>
      <c r="X20" s="26">
        <f ca="1">VLOOKUP($I20,OFFSET([2]enemies!$A$1,0,0,COUNTA([2]enemies!$A:$A),MATCH(X$1,[2]enemies!$1:$1,0)-MATCH($I$1,[2]enemies!$1:$1,0)+1),MATCH(X$1,[2]enemies!$1:$1,0)-MATCH($I$1,[2]enemies!$1:$1,0)+1,FALSE)</f>
        <v>1</v>
      </c>
      <c r="Y20" s="36">
        <v>41</v>
      </c>
      <c r="Z20" s="5" t="str">
        <f ca="1">IFERROR(VLOOKUP($Y20,OFFSET([3]characters!$A$1,0,0,COUNTA([3]characters!$A:$A),MATCH(Z$1,[3]characters!$1:$1,0)-MATCH("character_id",[3]characters!$1:$1,0)+1),MATCH(Z$1,[3]characters!$1:$1,0)-MATCH("character_id",[3]characters!$1:$1,0)+1,FALSE),"")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20" s="5">
        <f ca="1">IFERROR(VLOOKUP($Y20,OFFSET([3]characters!$A$1,0,0,COUNTA([3]characters!$A:$A),MATCH(AA$1,[3]characters!$1:$1,0)-MATCH("character_id",[3]characters!$1:$1,0)+1),MATCH(AA$1,[3]characters!$1:$1,0)-MATCH("character_id",[3]characters!$1:$1,0)+1,FALSE),"")</f>
        <v>2</v>
      </c>
      <c r="AB20" s="5" t="str">
        <f ca="1">IFERROR(VLOOKUP($Y20,OFFSET([3]characters!$A$1,0,0,COUNTA([3]characters!$A:$A),MATCH(AB$1,[3]characters!$1:$1,0)-MATCH("character_id",[3]characters!$1:$1,0)+1),MATCH(AB$1,[3]characters!$1:$1,0)-MATCH("character_id",[3]characters!$1:$1,0)+1,FALSE),"")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0" s="8">
        <v>1</v>
      </c>
      <c r="AD20" s="33">
        <f t="shared" ca="1" si="3"/>
        <v>2</v>
      </c>
      <c r="AE20" s="9">
        <v>25</v>
      </c>
      <c r="AF20" s="8">
        <v>0</v>
      </c>
      <c r="AG20" s="8">
        <v>0</v>
      </c>
      <c r="AH20" s="8">
        <v>0</v>
      </c>
      <c r="AI20" s="8">
        <v>0</v>
      </c>
      <c r="AJ20" s="8">
        <v>1</v>
      </c>
    </row>
    <row r="21" spans="1:36" ht="21" customHeight="1" x14ac:dyDescent="0.15">
      <c r="A21" s="21" t="str">
        <f t="shared" ca="1" si="0"/>
        <v>20001_1-4/63&lt;lv11&gt;s2</v>
      </c>
      <c r="B21" s="31">
        <v>20001</v>
      </c>
      <c r="C21" s="30">
        <v>1</v>
      </c>
      <c r="D21" s="2" t="str">
        <f t="shared" si="1"/>
        <v>20001_1</v>
      </c>
      <c r="E21" s="5" t="str">
        <f ca="1">VLOOKUP($B21,OFFSET([1]quests!$A$1,0,0,COUNTA([1]quests!$A:$A),MATCH(E$1,[1]quests!$1:$1,0)-MATCH($B$1,[1]quests!$1:$1,0)+1),MATCH(E$1,[1]quests!$1:$1,0)-MATCH($B$1,[1]quests!$1:$1,0)+1,FALSE)</f>
        <v>紅き執行者</v>
      </c>
      <c r="F21" s="5" t="str">
        <f ca="1">VLOOKUP($D21,OFFSET([1]stages!$A$1,0,0,COUNTA([1]stages!$A:$A),MATCH(F$1,[1]stages!$2:$2,0)-MATCH($D$1,[1]stages!$2:$2,0)+1),MATCH(F$1,[1]stages!$2:$2,0)-MATCH($D$1,[1]stages!$2:$2,0)+1,FALSE)</f>
        <v xml:space="preserve">【初級】紅き執行者 </v>
      </c>
      <c r="G21" s="45">
        <v>4</v>
      </c>
      <c r="H21" s="20" t="str">
        <f t="shared" si="2"/>
        <v>20001_1-4</v>
      </c>
      <c r="I21" s="36">
        <v>63</v>
      </c>
      <c r="J21" s="26" t="str">
        <f ca="1">VLOOKUP($I21,OFFSET([2]enemies!$A$1,0,0,COUNTA([2]enemies!$A:$A),MATCH(J$1,[2]enemies!$1:$1,0)-MATCH($I$1,[2]enemies!$1:$1,0)+1),MATCH(J$1,[2]enemies!$1:$1,0)-MATCH($I$1,[2]enemies!$1:$1,0)+1,FALSE)</f>
        <v>トニー</v>
      </c>
      <c r="K21" s="26" t="str">
        <f ca="1">VLOOKUP($I21,OFFSET([2]enemies!$A$1,0,0,COUNTA([2]enemies!$A:$A),MATCH(K$1,[2]enemies!$1:$1,0)-MATCH($I$1,[2]enemies!$1:$1,0)+1),MATCH(K$1,[2]enemies!$1:$1,0)-MATCH($I$1,[2]enemies!$1:$1,0)+1,FALSE)</f>
        <v>yellow</v>
      </c>
      <c r="L21" s="28" t="str">
        <f>VLOOKUP(I21,[3]characters!$A:$J,10,FALSE)</f>
        <v>Drop1N</v>
      </c>
      <c r="M21" s="26" t="str">
        <f ca="1">VLOOKUP($I21,OFFSET([2]enemies!$A$1,0,0,COUNTA([2]enemies!$A:$A),MATCH(M$1,[2]enemies!$1:$1,0)-MATCH($I$1,[2]enemies!$1:$1,0)+1),MATCH(M$1,[2]enemies!$1:$1,0)-MATCH($I$1,[2]enemies!$1:$1,0)+1,FALSE)</f>
        <v>animal</v>
      </c>
      <c r="N21" s="26">
        <f ca="1">VLOOKUP($I21,OFFSET([2]enemies!$A$1,0,0,COUNTA([2]enemies!$A:$A),MATCH(N$1,[2]enemies!$1:$1,0)-MATCH($I$1,[2]enemies!$1:$1,0)+1),MATCH(N$1,[2]enemies!$1:$1,0)-MATCH($I$1,[2]enemies!$1:$1,0)+1,FALSE)</f>
        <v>15</v>
      </c>
      <c r="O21" s="6">
        <v>11</v>
      </c>
      <c r="P21" s="54">
        <v>1</v>
      </c>
      <c r="Q21" s="54">
        <v>1</v>
      </c>
      <c r="R21" s="6">
        <v>0</v>
      </c>
      <c r="S21" s="5" t="str">
        <f ca="1">VLOOKUP($T21,OFFSET([4]enemy_skill_sets!$B$1,0,0,COUNTA([4]enemy_skill_sets!$B:$B),MATCH(J$1,[4]enemy_skill_sets!$1:$1,0)-MATCH($T$1,[4]enemy_skill_sets!$1:$1,0)+2),MATCH(J$1,[4]enemy_skill_sets!$1:$1,0)-MATCH($T$1,[4]enemy_skill_sets!$1:$1,0)+2,FALSE)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21" s="26">
        <f ca="1">VLOOKUP($I21,OFFSET([2]enemies!$A$1,0,0,COUNTA([2]enemies!$A:$A),MATCH(T$1,[2]enemies!$1:$1,0)-MATCH($I$1,[2]enemies!$1:$1,0)+1),MATCH(T$1,[2]enemies!$1:$1,0)-MATCH($I$1,[2]enemies!$1:$1,0)+1,FALSE)</f>
        <v>63</v>
      </c>
      <c r="U21" s="7">
        <v>0</v>
      </c>
      <c r="V21" s="7">
        <v>80</v>
      </c>
      <c r="W21" s="7">
        <v>0</v>
      </c>
      <c r="X21" s="26">
        <f ca="1">VLOOKUP($I21,OFFSET([2]enemies!$A$1,0,0,COUNTA([2]enemies!$A:$A),MATCH(X$1,[2]enemies!$1:$1,0)-MATCH($I$1,[2]enemies!$1:$1,0)+1),MATCH(X$1,[2]enemies!$1:$1,0)-MATCH($I$1,[2]enemies!$1:$1,0)+1,FALSE)</f>
        <v>2</v>
      </c>
      <c r="Y21" s="36">
        <v>63</v>
      </c>
      <c r="Z21" s="5" t="str">
        <f ca="1">IFERROR(VLOOKUP($Y21,OFFSET([3]characters!$A$1,0,0,COUNTA([3]characters!$A:$A),MATCH(Z$1,[3]characters!$1:$1,0)-MATCH("character_id",[3]characters!$1:$1,0)+1),MATCH(Z$1,[3]characters!$1:$1,0)-MATCH("character_id",[3]characters!$1:$1,0)+1,FALSE),"")</f>
        <v>トニー</v>
      </c>
      <c r="AA21" s="5">
        <f ca="1">IFERROR(VLOOKUP($Y21,OFFSET([3]characters!$A$1,0,0,COUNTA([3]characters!$A:$A),MATCH(AA$1,[3]characters!$1:$1,0)-MATCH("character_id",[3]characters!$1:$1,0)+1),MATCH(AA$1,[3]characters!$1:$1,0)-MATCH("character_id",[3]characters!$1:$1,0)+1,FALSE),"")</f>
        <v>2</v>
      </c>
      <c r="AB21" s="5" t="str">
        <f ca="1">IFERROR(VLOOKUP($Y21,OFFSET([3]characters!$A$1,0,0,COUNTA([3]characters!$A:$A),MATCH(AB$1,[3]characters!$1:$1,0)-MATCH("character_id",[3]characters!$1:$1,0)+1),MATCH(AB$1,[3]characters!$1:$1,0)-MATCH("character_id",[3]characters!$1:$1,0)+1,FALSE),"")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1" s="8">
        <v>1</v>
      </c>
      <c r="AD21" s="33">
        <f t="shared" ca="1" si="3"/>
        <v>2</v>
      </c>
      <c r="AE21" s="9">
        <v>25</v>
      </c>
      <c r="AF21" s="8">
        <v>0</v>
      </c>
      <c r="AG21" s="8">
        <v>0</v>
      </c>
      <c r="AH21" s="8">
        <v>0</v>
      </c>
      <c r="AI21" s="8">
        <v>0</v>
      </c>
      <c r="AJ21" s="8">
        <v>1</v>
      </c>
    </row>
    <row r="22" spans="1:36" ht="21" customHeight="1" x14ac:dyDescent="0.15">
      <c r="A22" s="21" t="str">
        <f t="shared" ca="1" si="0"/>
        <v>20001_1-5/19&lt;lv13&gt;s3</v>
      </c>
      <c r="B22" s="31">
        <v>20001</v>
      </c>
      <c r="C22" s="30">
        <v>1</v>
      </c>
      <c r="D22" s="2" t="str">
        <f t="shared" si="1"/>
        <v>20001_1</v>
      </c>
      <c r="E22" s="5" t="str">
        <f ca="1">VLOOKUP($B22,OFFSET([1]quests!$A$1,0,0,COUNTA([1]quests!$A:$A),MATCH(E$1,[1]quests!$1:$1,0)-MATCH($B$1,[1]quests!$1:$1,0)+1),MATCH(E$1,[1]quests!$1:$1,0)-MATCH($B$1,[1]quests!$1:$1,0)+1,FALSE)</f>
        <v>紅き執行者</v>
      </c>
      <c r="F22" s="5" t="str">
        <f ca="1">VLOOKUP($D22,OFFSET([1]stages!$A$1,0,0,COUNTA([1]stages!$A:$A),MATCH(F$1,[1]stages!$2:$2,0)-MATCH($D$1,[1]stages!$2:$2,0)+1),MATCH(F$1,[1]stages!$2:$2,0)-MATCH($D$1,[1]stages!$2:$2,0)+1,FALSE)</f>
        <v xml:space="preserve">【初級】紅き執行者 </v>
      </c>
      <c r="G22" s="44">
        <v>5</v>
      </c>
      <c r="H22" s="20" t="str">
        <f t="shared" si="2"/>
        <v>20001_1-5</v>
      </c>
      <c r="I22" s="36">
        <v>19</v>
      </c>
      <c r="J22" s="26" t="str">
        <f ca="1">VLOOKUP($I22,OFFSET([2]enemies!$A$1,0,0,COUNTA([2]enemies!$A:$A),MATCH(J$1,[2]enemies!$1:$1,0)-MATCH($I$1,[2]enemies!$1:$1,0)+1),MATCH(J$1,[2]enemies!$1:$1,0)-MATCH($I$1,[2]enemies!$1:$1,0)+1,FALSE)</f>
        <v>ティンク</v>
      </c>
      <c r="K22" s="26" t="str">
        <f ca="1">VLOOKUP($I22,OFFSET([2]enemies!$A$1,0,0,COUNTA([2]enemies!$A:$A),MATCH(K$1,[2]enemies!$1:$1,0)-MATCH($I$1,[2]enemies!$1:$1,0)+1),MATCH(K$1,[2]enemies!$1:$1,0)-MATCH($I$1,[2]enemies!$1:$1,0)+1,FALSE)</f>
        <v>yellow</v>
      </c>
      <c r="L22" s="28" t="str">
        <f>VLOOKUP(I22,[3]characters!$A:$J,10,FALSE)</f>
        <v>Drop1W</v>
      </c>
      <c r="M22" s="26" t="str">
        <f ca="1">VLOOKUP($I22,OFFSET([2]enemies!$A$1,0,0,COUNTA([2]enemies!$A:$A),MATCH(M$1,[2]enemies!$1:$1,0)-MATCH($I$1,[2]enemies!$1:$1,0)+1),MATCH(M$1,[2]enemies!$1:$1,0)-MATCH($I$1,[2]enemies!$1:$1,0)+1,FALSE)</f>
        <v>human</v>
      </c>
      <c r="N22" s="26">
        <f ca="1">VLOOKUP($I22,OFFSET([2]enemies!$A$1,0,0,COUNTA([2]enemies!$A:$A),MATCH(N$1,[2]enemies!$1:$1,0)-MATCH($I$1,[2]enemies!$1:$1,0)+1),MATCH(N$1,[2]enemies!$1:$1,0)-MATCH($I$1,[2]enemies!$1:$1,0)+1,FALSE)</f>
        <v>15</v>
      </c>
      <c r="O22" s="6">
        <v>13</v>
      </c>
      <c r="P22" s="54">
        <v>1</v>
      </c>
      <c r="Q22" s="54">
        <v>1</v>
      </c>
      <c r="R22" s="6">
        <v>0</v>
      </c>
      <c r="S22" s="5" t="str">
        <f ca="1">VLOOKUP($T22,OFFSET([4]enemy_skill_sets!$B$1,0,0,COUNTA([4]enemy_skill_sets!$B:$B),MATCH(J$1,[4]enemy_skill_sets!$1:$1,0)-MATCH($T$1,[4]enemy_skill_sets!$1:$1,0)+2),MATCH(J$1,[4]enemy_skill_sets!$1:$1,0)-MATCH($T$1,[4]enemy_skill_sets!$1:$1,0)+2,FALSE)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" s="26">
        <f ca="1">VLOOKUP($I22,OFFSET([2]enemies!$A$1,0,0,COUNTA([2]enemies!$A:$A),MATCH(T$1,[2]enemies!$1:$1,0)-MATCH($I$1,[2]enemies!$1:$1,0)+1),MATCH(T$1,[2]enemies!$1:$1,0)-MATCH($I$1,[2]enemies!$1:$1,0)+1,FALSE)</f>
        <v>0</v>
      </c>
      <c r="U22" s="7">
        <v>2</v>
      </c>
      <c r="V22" s="7">
        <v>0</v>
      </c>
      <c r="W22" s="7">
        <v>0</v>
      </c>
      <c r="X22" s="26">
        <f ca="1">VLOOKUP($I22,OFFSET([2]enemies!$A$1,0,0,COUNTA([2]enemies!$A:$A),MATCH(X$1,[2]enemies!$1:$1,0)-MATCH($I$1,[2]enemies!$1:$1,0)+1),MATCH(X$1,[2]enemies!$1:$1,0)-MATCH($I$1,[2]enemies!$1:$1,0)+1,FALSE)</f>
        <v>3</v>
      </c>
      <c r="Y22" s="36">
        <v>19</v>
      </c>
      <c r="Z22" s="5" t="str">
        <f ca="1">IFERROR(VLOOKUP($Y22,OFFSET([3]characters!$A$1,0,0,COUNTA([3]characters!$A:$A),MATCH(Z$1,[3]characters!$1:$1,0)-MATCH("character_id",[3]characters!$1:$1,0)+1),MATCH(Z$1,[3]characters!$1:$1,0)-MATCH("character_id",[3]characters!$1:$1,0)+1,FALSE),"")</f>
        <v>ティンク</v>
      </c>
      <c r="AA22" s="5">
        <f ca="1">IFERROR(VLOOKUP($Y22,OFFSET([3]characters!$A$1,0,0,COUNTA([3]characters!$A:$A),MATCH(AA$1,[3]characters!$1:$1,0)-MATCH("character_id",[3]characters!$1:$1,0)+1),MATCH(AA$1,[3]characters!$1:$1,0)-MATCH("character_id",[3]characters!$1:$1,0)+1,FALSE),"")</f>
        <v>1</v>
      </c>
      <c r="AB22" s="5" t="str">
        <f ca="1">IFERROR(VLOOKUP($Y22,OFFSET([3]characters!$A$1,0,0,COUNTA([3]characters!$A:$A),MATCH(AB$1,[3]characters!$1:$1,0)-MATCH("character_id",[3]characters!$1:$1,0)+1),MATCH(AB$1,[3]characters!$1:$1,0)-MATCH("character_id",[3]characters!$1:$1,0)+1,FALSE),"")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2" s="8">
        <v>1</v>
      </c>
      <c r="AD22" s="33">
        <f t="shared" ca="1" si="3"/>
        <v>1</v>
      </c>
      <c r="AE22" s="9">
        <v>0</v>
      </c>
      <c r="AF22" s="8">
        <v>0</v>
      </c>
      <c r="AG22" s="8">
        <v>0</v>
      </c>
      <c r="AH22" s="8">
        <v>0</v>
      </c>
      <c r="AI22" s="8">
        <v>0</v>
      </c>
      <c r="AJ22" s="8">
        <v>1</v>
      </c>
    </row>
    <row r="23" spans="1:36" ht="21" customHeight="1" x14ac:dyDescent="0.15">
      <c r="A23" s="21" t="str">
        <f t="shared" ca="1" si="0"/>
        <v>20001_1-5/262&lt;lv11&gt;s2</v>
      </c>
      <c r="B23" s="31">
        <v>20001</v>
      </c>
      <c r="C23" s="30">
        <v>1</v>
      </c>
      <c r="D23" s="2" t="str">
        <f t="shared" si="1"/>
        <v>20001_1</v>
      </c>
      <c r="E23" s="5" t="str">
        <f ca="1">VLOOKUP($B23,OFFSET([1]quests!$A$1,0,0,COUNTA([1]quests!$A:$A),MATCH(E$1,[1]quests!$1:$1,0)-MATCH($B$1,[1]quests!$1:$1,0)+1),MATCH(E$1,[1]quests!$1:$1,0)-MATCH($B$1,[1]quests!$1:$1,0)+1,FALSE)</f>
        <v>紅き執行者</v>
      </c>
      <c r="F23" s="5" t="str">
        <f ca="1">VLOOKUP($D23,OFFSET([1]stages!$A$1,0,0,COUNTA([1]stages!$A:$A),MATCH(F$1,[1]stages!$2:$2,0)-MATCH($D$1,[1]stages!$2:$2,0)+1),MATCH(F$1,[1]stages!$2:$2,0)-MATCH($D$1,[1]stages!$2:$2,0)+1,FALSE)</f>
        <v xml:space="preserve">【初級】紅き執行者 </v>
      </c>
      <c r="G23" s="44">
        <v>5</v>
      </c>
      <c r="H23" s="20" t="str">
        <f t="shared" si="2"/>
        <v>20001_1-5</v>
      </c>
      <c r="I23" s="36">
        <v>262</v>
      </c>
      <c r="J23" s="26" t="str">
        <f ca="1">VLOOKUP($I23,OFFSET([2]enemies!$A$1,0,0,COUNTA([2]enemies!$A:$A),MATCH(J$1,[2]enemies!$1:$1,0)-MATCH($I$1,[2]enemies!$1:$1,0)+1),MATCH(J$1,[2]enemies!$1:$1,0)-MATCH($I$1,[2]enemies!$1:$1,0)+1,FALSE)</f>
        <v>アシュリー</v>
      </c>
      <c r="K23" s="26" t="str">
        <f ca="1">VLOOKUP($I23,OFFSET([2]enemies!$A$1,0,0,COUNTA([2]enemies!$A:$A),MATCH(K$1,[2]enemies!$1:$1,0)-MATCH($I$1,[2]enemies!$1:$1,0)+1),MATCH(K$1,[2]enemies!$1:$1,0)-MATCH($I$1,[2]enemies!$1:$1,0)+1,FALSE)</f>
        <v>red</v>
      </c>
      <c r="L23" s="28" t="str">
        <f>VLOOKUP(I23,[3]characters!$A:$J,10,FALSE)</f>
        <v>Drop2W</v>
      </c>
      <c r="M23" s="26" t="str">
        <f ca="1">VLOOKUP($I23,OFFSET([2]enemies!$A$1,0,0,COUNTA([2]enemies!$A:$A),MATCH(M$1,[2]enemies!$1:$1,0)-MATCH($I$1,[2]enemies!$1:$1,0)+1),MATCH(M$1,[2]enemies!$1:$1,0)-MATCH($I$1,[2]enemies!$1:$1,0)+1,FALSE)</f>
        <v>animal</v>
      </c>
      <c r="N23" s="26">
        <f ca="1">VLOOKUP($I23,OFFSET([2]enemies!$A$1,0,0,COUNTA([2]enemies!$A:$A),MATCH(N$1,[2]enemies!$1:$1,0)-MATCH($I$1,[2]enemies!$1:$1,0)+1),MATCH(N$1,[2]enemies!$1:$1,0)-MATCH($I$1,[2]enemies!$1:$1,0)+1,FALSE)</f>
        <v>20</v>
      </c>
      <c r="O23" s="6">
        <v>11</v>
      </c>
      <c r="P23" s="54">
        <v>1.5</v>
      </c>
      <c r="Q23" s="54">
        <v>1</v>
      </c>
      <c r="R23" s="6">
        <v>0</v>
      </c>
      <c r="S23" s="5" t="str">
        <f ca="1">VLOOKUP($T23,OFFSET([4]enemy_skill_sets!$B$1,0,0,COUNTA([4]enemy_skill_sets!$B:$B),MATCH(J$1,[4]enemy_skill_sets!$1:$1,0)-MATCH($T$1,[4]enemy_skill_sets!$1:$1,0)+2),MATCH(J$1,[4]enemy_skill_sets!$1:$1,0)-MATCH($T$1,[4]enemy_skill_sets!$1:$1,0)+2,FALSE)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" s="26">
        <f ca="1">VLOOKUP($I23,OFFSET([2]enemies!$A$1,0,0,COUNTA([2]enemies!$A:$A),MATCH(T$1,[2]enemies!$1:$1,0)-MATCH($I$1,[2]enemies!$1:$1,0)+1),MATCH(T$1,[2]enemies!$1:$1,0)-MATCH($I$1,[2]enemies!$1:$1,0)+1,FALSE)</f>
        <v>0</v>
      </c>
      <c r="U23" s="7">
        <v>1</v>
      </c>
      <c r="V23" s="7">
        <v>0</v>
      </c>
      <c r="W23" s="7">
        <v>1</v>
      </c>
      <c r="X23" s="26">
        <f ca="1">VLOOKUP($I23,OFFSET([2]enemies!$A$1,0,0,COUNTA([2]enemies!$A:$A),MATCH(X$1,[2]enemies!$1:$1,0)-MATCH($I$1,[2]enemies!$1:$1,0)+1),MATCH(X$1,[2]enemies!$1:$1,0)-MATCH($I$1,[2]enemies!$1:$1,0)+1,FALSE)</f>
        <v>2</v>
      </c>
      <c r="Y23" s="36">
        <v>262</v>
      </c>
      <c r="Z23" s="5" t="str">
        <f ca="1">IFERROR(VLOOKUP($Y23,OFFSET([3]characters!$A$1,0,0,COUNTA([3]characters!$A:$A),MATCH(Z$1,[3]characters!$1:$1,0)-MATCH("character_id",[3]characters!$1:$1,0)+1),MATCH(Z$1,[3]characters!$1:$1,0)-MATCH("character_id",[3]characters!$1:$1,0)+1,FALSE),"")</f>
        <v>アシュリー</v>
      </c>
      <c r="AA23" s="5">
        <f ca="1">IFERROR(VLOOKUP($Y23,OFFSET([3]characters!$A$1,0,0,COUNTA([3]characters!$A:$A),MATCH(AA$1,[3]characters!$1:$1,0)-MATCH("character_id",[3]characters!$1:$1,0)+1),MATCH(AA$1,[3]characters!$1:$1,0)-MATCH("character_id",[3]characters!$1:$1,0)+1,FALSE),"")</f>
        <v>3</v>
      </c>
      <c r="AB23" s="5" t="str">
        <f ca="1">IFERROR(VLOOKUP($Y23,OFFSET([3]characters!$A$1,0,0,COUNTA([3]characters!$A:$A),MATCH(AB$1,[3]characters!$1:$1,0)-MATCH("character_id",[3]characters!$1:$1,0)+1),MATCH(AB$1,[3]characters!$1:$1,0)-MATCH("character_id",[3]characters!$1:$1,0)+1,FALSE),"")</f>
        <v>Drop2W</v>
      </c>
      <c r="AC23" s="8">
        <v>1</v>
      </c>
      <c r="AD23" s="33">
        <f t="shared" ca="1" si="3"/>
        <v>3</v>
      </c>
      <c r="AE23" s="56">
        <v>20</v>
      </c>
      <c r="AF23" s="8">
        <v>0</v>
      </c>
      <c r="AG23" s="8">
        <v>0</v>
      </c>
      <c r="AH23" s="8">
        <v>0</v>
      </c>
      <c r="AI23" s="8">
        <v>0</v>
      </c>
      <c r="AJ23" s="8">
        <v>1</v>
      </c>
    </row>
    <row r="24" spans="1:36" ht="21" customHeight="1" x14ac:dyDescent="0.15">
      <c r="A24" s="21" t="str">
        <f t="shared" ca="1" si="0"/>
        <v>20001_2-1/15&lt;lv15&gt;s3</v>
      </c>
      <c r="B24" s="31">
        <v>20001</v>
      </c>
      <c r="C24" s="38">
        <v>2</v>
      </c>
      <c r="D24" s="2" t="str">
        <f t="shared" si="1"/>
        <v>20001_2</v>
      </c>
      <c r="E24" s="5" t="str">
        <f ca="1">VLOOKUP($B24,OFFSET([1]quests!$A$1,0,0,COUNTA([1]quests!$A:$A),MATCH(E$1,[1]quests!$1:$1,0)-MATCH($B$1,[1]quests!$1:$1,0)+1),MATCH(E$1,[1]quests!$1:$1,0)-MATCH($B$1,[1]quests!$1:$1,0)+1,FALSE)</f>
        <v>紅き執行者</v>
      </c>
      <c r="F24" s="5" t="str">
        <f ca="1">VLOOKUP($D24,OFFSET([1]stages!$A$1,0,0,COUNTA([1]stages!$A:$A),MATCH(F$1,[1]stages!$2:$2,0)-MATCH($D$1,[1]stages!$2:$2,0)+1),MATCH(F$1,[1]stages!$2:$2,0)-MATCH($D$1,[1]stages!$2:$2,0)+1,FALSE)</f>
        <v>【中級】紅き執行者</v>
      </c>
      <c r="G24" s="46">
        <v>1</v>
      </c>
      <c r="H24" s="20" t="str">
        <f t="shared" si="2"/>
        <v>20001_2-1</v>
      </c>
      <c r="I24" s="36">
        <v>15</v>
      </c>
      <c r="J24" s="26" t="str">
        <f ca="1">VLOOKUP($I24,OFFSET([2]enemies!$A$1,0,0,COUNTA([2]enemies!$A:$A),MATCH(J$1,[2]enemies!$1:$1,0)-MATCH($I$1,[2]enemies!$1:$1,0)+1),MATCH(J$1,[2]enemies!$1:$1,0)-MATCH($I$1,[2]enemies!$1:$1,0)+1,FALSE)</f>
        <v>アカネ</v>
      </c>
      <c r="K24" s="26" t="str">
        <f ca="1">VLOOKUP($I24,OFFSET([2]enemies!$A$1,0,0,COUNTA([2]enemies!$A:$A),MATCH(K$1,[2]enemies!$1:$1,0)-MATCH($I$1,[2]enemies!$1:$1,0)+1),MATCH(K$1,[2]enemies!$1:$1,0)-MATCH($I$1,[2]enemies!$1:$1,0)+1,FALSE)</f>
        <v>red</v>
      </c>
      <c r="L24" s="28" t="str">
        <f>VLOOKUP(I24,[3]characters!$A:$J,10,FALSE)</f>
        <v>Drop1W</v>
      </c>
      <c r="M24" s="26" t="str">
        <f ca="1">VLOOKUP($I24,OFFSET([2]enemies!$A$1,0,0,COUNTA([2]enemies!$A:$A),MATCH(M$1,[2]enemies!$1:$1,0)-MATCH($I$1,[2]enemies!$1:$1,0)+1),MATCH(M$1,[2]enemies!$1:$1,0)-MATCH($I$1,[2]enemies!$1:$1,0)+1,FALSE)</f>
        <v>human</v>
      </c>
      <c r="N24" s="26">
        <f ca="1">VLOOKUP($I24,OFFSET([2]enemies!$A$1,0,0,COUNTA([2]enemies!$A:$A),MATCH(N$1,[2]enemies!$1:$1,0)-MATCH($I$1,[2]enemies!$1:$1,0)+1),MATCH(N$1,[2]enemies!$1:$1,0)-MATCH($I$1,[2]enemies!$1:$1,0)+1,FALSE)</f>
        <v>15</v>
      </c>
      <c r="O24" s="6">
        <v>15</v>
      </c>
      <c r="P24" s="54">
        <v>1</v>
      </c>
      <c r="Q24" s="54">
        <v>1</v>
      </c>
      <c r="R24" s="6">
        <v>0</v>
      </c>
      <c r="S24" s="5" t="str">
        <f ca="1">VLOOKUP($T24,OFFSET([4]enemy_skill_sets!$B$1,0,0,COUNTA([4]enemy_skill_sets!$B:$B),MATCH(J$1,[4]enemy_skill_sets!$1:$1,0)-MATCH($T$1,[4]enemy_skill_sets!$1:$1,0)+2),MATCH(J$1,[4]enemy_skill_sets!$1:$1,0)-MATCH($T$1,[4]enemy_skill_sets!$1:$1,0)+2,FALSE)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" s="26">
        <f ca="1">VLOOKUP($I24,OFFSET([2]enemies!$A$1,0,0,COUNTA([2]enemies!$A:$A),MATCH(T$1,[2]enemies!$1:$1,0)-MATCH($I$1,[2]enemies!$1:$1,0)+1),MATCH(T$1,[2]enemies!$1:$1,0)-MATCH($I$1,[2]enemies!$1:$1,0)+1,FALSE)</f>
        <v>0</v>
      </c>
      <c r="U24" s="7">
        <v>0</v>
      </c>
      <c r="V24" s="7">
        <v>100</v>
      </c>
      <c r="W24" s="7">
        <v>0</v>
      </c>
      <c r="X24" s="26">
        <f ca="1">VLOOKUP($I24,OFFSET([2]enemies!$A$1,0,0,COUNTA([2]enemies!$A:$A),MATCH(X$1,[2]enemies!$1:$1,0)-MATCH($I$1,[2]enemies!$1:$1,0)+1),MATCH(X$1,[2]enemies!$1:$1,0)-MATCH($I$1,[2]enemies!$1:$1,0)+1,FALSE)</f>
        <v>3</v>
      </c>
      <c r="Y24" s="36">
        <v>15</v>
      </c>
      <c r="Z24" s="5" t="str">
        <f ca="1">IFERROR(VLOOKUP($Y24,OFFSET([3]characters!$A$1,0,0,COUNTA([3]characters!$A:$A),MATCH(Z$1,[3]characters!$1:$1,0)-MATCH("character_id",[3]characters!$1:$1,0)+1),MATCH(Z$1,[3]characters!$1:$1,0)-MATCH("character_id",[3]characters!$1:$1,0)+1,FALSE),"")</f>
        <v>アカネ</v>
      </c>
      <c r="AA24" s="5">
        <f ca="1">IFERROR(VLOOKUP($Y24,OFFSET([3]characters!$A$1,0,0,COUNTA([3]characters!$A:$A),MATCH(AA$1,[3]characters!$1:$1,0)-MATCH("character_id",[3]characters!$1:$1,0)+1),MATCH(AA$1,[3]characters!$1:$1,0)-MATCH("character_id",[3]characters!$1:$1,0)+1,FALSE),"")</f>
        <v>1</v>
      </c>
      <c r="AB24" s="5" t="str">
        <f ca="1">IFERROR(VLOOKUP($Y24,OFFSET([3]characters!$A$1,0,0,COUNTA([3]characters!$A:$A),MATCH(AB$1,[3]characters!$1:$1,0)-MATCH("character_id",[3]characters!$1:$1,0)+1),MATCH(AB$1,[3]characters!$1:$1,0)-MATCH("character_id",[3]characters!$1:$1,0)+1,FALSE),"")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4" s="8">
        <v>4</v>
      </c>
      <c r="AD24" s="33">
        <f t="shared" ca="1" si="3"/>
        <v>1</v>
      </c>
      <c r="AE24" s="9">
        <v>15</v>
      </c>
      <c r="AF24" s="8">
        <v>0</v>
      </c>
      <c r="AG24" s="8">
        <v>0</v>
      </c>
      <c r="AH24" s="8">
        <v>0</v>
      </c>
      <c r="AI24" s="8">
        <v>0</v>
      </c>
      <c r="AJ24" s="8">
        <v>1</v>
      </c>
    </row>
    <row r="25" spans="1:36" ht="21" customHeight="1" x14ac:dyDescent="0.15">
      <c r="A25" s="21" t="str">
        <f t="shared" ca="1" si="0"/>
        <v>20001_2-1/21&lt;lv15&gt;s2</v>
      </c>
      <c r="B25" s="31">
        <v>20001</v>
      </c>
      <c r="C25" s="38">
        <v>2</v>
      </c>
      <c r="D25" s="2" t="str">
        <f t="shared" si="1"/>
        <v>20001_2</v>
      </c>
      <c r="E25" s="5" t="str">
        <f ca="1">VLOOKUP($B25,OFFSET([1]quests!$A$1,0,0,COUNTA([1]quests!$A:$A),MATCH(E$1,[1]quests!$1:$1,0)-MATCH($B$1,[1]quests!$1:$1,0)+1),MATCH(E$1,[1]quests!$1:$1,0)-MATCH($B$1,[1]quests!$1:$1,0)+1,FALSE)</f>
        <v>紅き執行者</v>
      </c>
      <c r="F25" s="5" t="str">
        <f ca="1">VLOOKUP($D25,OFFSET([1]stages!$A$1,0,0,COUNTA([1]stages!$A:$A),MATCH(F$1,[1]stages!$2:$2,0)-MATCH($D$1,[1]stages!$2:$2,0)+1),MATCH(F$1,[1]stages!$2:$2,0)-MATCH($D$1,[1]stages!$2:$2,0)+1,FALSE)</f>
        <v>【中級】紅き執行者</v>
      </c>
      <c r="G25" s="46">
        <v>1</v>
      </c>
      <c r="H25" s="20" t="str">
        <f t="shared" si="2"/>
        <v>20001_2-1</v>
      </c>
      <c r="I25" s="36">
        <v>21</v>
      </c>
      <c r="J25" s="26" t="str">
        <f ca="1">VLOOKUP($I25,OFFSET([2]enemies!$A$1,0,0,COUNTA([2]enemies!$A:$A),MATCH(J$1,[2]enemies!$1:$1,0)-MATCH($I$1,[2]enemies!$1:$1,0)+1),MATCH(J$1,[2]enemies!$1:$1,0)-MATCH($I$1,[2]enemies!$1:$1,0)+1,FALSE)</f>
        <v>ヴェロキー</v>
      </c>
      <c r="K25" s="26" t="str">
        <f ca="1">VLOOKUP($I25,OFFSET([2]enemies!$A$1,0,0,COUNTA([2]enemies!$A:$A),MATCH(K$1,[2]enemies!$1:$1,0)-MATCH($I$1,[2]enemies!$1:$1,0)+1),MATCH(K$1,[2]enemies!$1:$1,0)-MATCH($I$1,[2]enemies!$1:$1,0)+1,FALSE)</f>
        <v>red</v>
      </c>
      <c r="L25" s="28" t="str">
        <f>VLOOKUP(I25,[3]characters!$A:$J,10,FALSE)</f>
        <v>Drop1N</v>
      </c>
      <c r="M25" s="26" t="str">
        <f ca="1">VLOOKUP($I25,OFFSET([2]enemies!$A$1,0,0,COUNTA([2]enemies!$A:$A),MATCH(M$1,[2]enemies!$1:$1,0)-MATCH($I$1,[2]enemies!$1:$1,0)+1),MATCH(M$1,[2]enemies!$1:$1,0)-MATCH($I$1,[2]enemies!$1:$1,0)+1,FALSE)</f>
        <v>dragon</v>
      </c>
      <c r="N25" s="26">
        <f ca="1">VLOOKUP($I25,OFFSET([2]enemies!$A$1,0,0,COUNTA([2]enemies!$A:$A),MATCH(N$1,[2]enemies!$1:$1,0)-MATCH($I$1,[2]enemies!$1:$1,0)+1),MATCH(N$1,[2]enemies!$1:$1,0)-MATCH($I$1,[2]enemies!$1:$1,0)+1,FALSE)</f>
        <v>15</v>
      </c>
      <c r="O25" s="6">
        <v>15</v>
      </c>
      <c r="P25" s="54">
        <v>1</v>
      </c>
      <c r="Q25" s="54">
        <v>1</v>
      </c>
      <c r="R25" s="6">
        <v>0</v>
      </c>
      <c r="S25" s="5" t="str">
        <f ca="1">VLOOKUP($T25,OFFSET([4]enemy_skill_sets!$B$1,0,0,COUNTA([4]enemy_skill_sets!$B:$B),MATCH(J$1,[4]enemy_skill_sets!$1:$1,0)-MATCH($T$1,[4]enemy_skill_sets!$1:$1,0)+2),MATCH(J$1,[4]enemy_skill_sets!$1:$1,0)-MATCH($T$1,[4]enemy_skill_sets!$1:$1,0)+2,FALSE)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" s="26">
        <f ca="1">VLOOKUP($I25,OFFSET([2]enemies!$A$1,0,0,COUNTA([2]enemies!$A:$A),MATCH(T$1,[2]enemies!$1:$1,0)-MATCH($I$1,[2]enemies!$1:$1,0)+1),MATCH(T$1,[2]enemies!$1:$1,0)-MATCH($I$1,[2]enemies!$1:$1,0)+1,FALSE)</f>
        <v>0</v>
      </c>
      <c r="U25" s="7">
        <v>0</v>
      </c>
      <c r="V25" s="7">
        <v>100</v>
      </c>
      <c r="W25" s="7">
        <v>0</v>
      </c>
      <c r="X25" s="26">
        <f ca="1">VLOOKUP($I25,OFFSET([2]enemies!$A$1,0,0,COUNTA([2]enemies!$A:$A),MATCH(X$1,[2]enemies!$1:$1,0)-MATCH($I$1,[2]enemies!$1:$1,0)+1),MATCH(X$1,[2]enemies!$1:$1,0)-MATCH($I$1,[2]enemies!$1:$1,0)+1,FALSE)</f>
        <v>2</v>
      </c>
      <c r="Y25" s="36">
        <v>21</v>
      </c>
      <c r="Z25" s="5" t="str">
        <f ca="1">IFERROR(VLOOKUP($Y25,OFFSET([3]characters!$A$1,0,0,COUNTA([3]characters!$A:$A),MATCH(Z$1,[3]characters!$1:$1,0)-MATCH("character_id",[3]characters!$1:$1,0)+1),MATCH(Z$1,[3]characters!$1:$1,0)-MATCH("character_id",[3]characters!$1:$1,0)+1,FALSE),"")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25" s="5">
        <f ca="1">IFERROR(VLOOKUP($Y25,OFFSET([3]characters!$A$1,0,0,COUNTA([3]characters!$A:$A),MATCH(AA$1,[3]characters!$1:$1,0)-MATCH("character_id",[3]characters!$1:$1,0)+1),MATCH(AA$1,[3]characters!$1:$1,0)-MATCH("character_id",[3]characters!$1:$1,0)+1,FALSE),"")</f>
        <v>1</v>
      </c>
      <c r="AB25" s="5" t="str">
        <f ca="1">IFERROR(VLOOKUP($Y25,OFFSET([3]characters!$A$1,0,0,COUNTA([3]characters!$A:$A),MATCH(AB$1,[3]characters!$1:$1,0)-MATCH("character_id",[3]characters!$1:$1,0)+1),MATCH(AB$1,[3]characters!$1:$1,0)-MATCH("character_id",[3]characters!$1:$1,0)+1,FALSE),"")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5" s="8">
        <v>2</v>
      </c>
      <c r="AD25" s="33">
        <f t="shared" ca="1" si="3"/>
        <v>1</v>
      </c>
      <c r="AE25" s="9">
        <v>15</v>
      </c>
      <c r="AF25" s="8">
        <v>0</v>
      </c>
      <c r="AG25" s="8">
        <v>0</v>
      </c>
      <c r="AH25" s="8">
        <v>0</v>
      </c>
      <c r="AI25" s="8">
        <v>0</v>
      </c>
      <c r="AJ25" s="8">
        <v>1</v>
      </c>
    </row>
    <row r="26" spans="1:36" ht="21" customHeight="1" x14ac:dyDescent="0.15">
      <c r="A26" s="21" t="str">
        <f t="shared" ca="1" si="0"/>
        <v>20001_2-1/41&lt;lv15&gt;s1</v>
      </c>
      <c r="B26" s="31">
        <v>20001</v>
      </c>
      <c r="C26" s="38">
        <v>2</v>
      </c>
      <c r="D26" s="2" t="str">
        <f t="shared" si="1"/>
        <v>20001_2</v>
      </c>
      <c r="E26" s="5" t="str">
        <f ca="1">VLOOKUP($B26,OFFSET([1]quests!$A$1,0,0,COUNTA([1]quests!$A:$A),MATCH(E$1,[1]quests!$1:$1,0)-MATCH($B$1,[1]quests!$1:$1,0)+1),MATCH(E$1,[1]quests!$1:$1,0)-MATCH($B$1,[1]quests!$1:$1,0)+1,FALSE)</f>
        <v>紅き執行者</v>
      </c>
      <c r="F26" s="5" t="str">
        <f ca="1">VLOOKUP($D26,OFFSET([1]stages!$A$1,0,0,COUNTA([1]stages!$A:$A),MATCH(F$1,[1]stages!$2:$2,0)-MATCH($D$1,[1]stages!$2:$2,0)+1),MATCH(F$1,[1]stages!$2:$2,0)-MATCH($D$1,[1]stages!$2:$2,0)+1,FALSE)</f>
        <v>【中級】紅き執行者</v>
      </c>
      <c r="G26" s="46">
        <v>1</v>
      </c>
      <c r="H26" s="20" t="str">
        <f t="shared" si="2"/>
        <v>20001_2-1</v>
      </c>
      <c r="I26" s="36">
        <v>41</v>
      </c>
      <c r="J26" s="26" t="str">
        <f ca="1">VLOOKUP($I26,OFFSET([2]enemies!$A$1,0,0,COUNTA([2]enemies!$A:$A),MATCH(J$1,[2]enemies!$1:$1,0)-MATCH($I$1,[2]enemies!$1:$1,0)+1),MATCH(J$1,[2]enemies!$1:$1,0)-MATCH($I$1,[2]enemies!$1:$1,0)+1,FALSE)</f>
        <v>ヒュウガ</v>
      </c>
      <c r="K26" s="26" t="str">
        <f ca="1">VLOOKUP($I26,OFFSET([2]enemies!$A$1,0,0,COUNTA([2]enemies!$A:$A),MATCH(K$1,[2]enemies!$1:$1,0)-MATCH($I$1,[2]enemies!$1:$1,0)+1),MATCH(K$1,[2]enemies!$1:$1,0)-MATCH($I$1,[2]enemies!$1:$1,0)+1,FALSE)</f>
        <v>red</v>
      </c>
      <c r="L26" s="28" t="str">
        <f>VLOOKUP(I26,[3]characters!$A:$J,10,FALSE)</f>
        <v>Drop1N</v>
      </c>
      <c r="M26" s="26" t="str">
        <f ca="1">VLOOKUP($I26,OFFSET([2]enemies!$A$1,0,0,COUNTA([2]enemies!$A:$A),MATCH(M$1,[2]enemies!$1:$1,0)-MATCH($I$1,[2]enemies!$1:$1,0)+1),MATCH(M$1,[2]enemies!$1:$1,0)-MATCH($I$1,[2]enemies!$1:$1,0)+1,FALSE)</f>
        <v>dragon</v>
      </c>
      <c r="N26" s="26">
        <f ca="1">VLOOKUP($I26,OFFSET([2]enemies!$A$1,0,0,COUNTA([2]enemies!$A:$A),MATCH(N$1,[2]enemies!$1:$1,0)-MATCH($I$1,[2]enemies!$1:$1,0)+1),MATCH(N$1,[2]enemies!$1:$1,0)-MATCH($I$1,[2]enemies!$1:$1,0)+1,FALSE)</f>
        <v>15</v>
      </c>
      <c r="O26" s="6">
        <v>15</v>
      </c>
      <c r="P26" s="54">
        <v>1</v>
      </c>
      <c r="Q26" s="54">
        <v>1</v>
      </c>
      <c r="R26" s="6">
        <v>0</v>
      </c>
      <c r="S26" s="5" t="str">
        <f ca="1">VLOOKUP($T26,OFFSET([4]enemy_skill_sets!$B$1,0,0,COUNTA([4]enemy_skill_sets!$B:$B),MATCH(J$1,[4]enemy_skill_sets!$1:$1,0)-MATCH($T$1,[4]enemy_skill_sets!$1:$1,0)+2),MATCH(J$1,[4]enemy_skill_sets!$1:$1,0)-MATCH($T$1,[4]enemy_skill_sets!$1:$1,0)+2,FALSE)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" s="26">
        <f ca="1">VLOOKUP($I26,OFFSET([2]enemies!$A$1,0,0,COUNTA([2]enemies!$A:$A),MATCH(T$1,[2]enemies!$1:$1,0)-MATCH($I$1,[2]enemies!$1:$1,0)+1),MATCH(T$1,[2]enemies!$1:$1,0)-MATCH($I$1,[2]enemies!$1:$1,0)+1,FALSE)</f>
        <v>0</v>
      </c>
      <c r="U26" s="7">
        <v>0</v>
      </c>
      <c r="V26" s="7">
        <v>100</v>
      </c>
      <c r="W26" s="7">
        <v>0</v>
      </c>
      <c r="X26" s="26">
        <f ca="1">VLOOKUP($I26,OFFSET([2]enemies!$A$1,0,0,COUNTA([2]enemies!$A:$A),MATCH(X$1,[2]enemies!$1:$1,0)-MATCH($I$1,[2]enemies!$1:$1,0)+1),MATCH(X$1,[2]enemies!$1:$1,0)-MATCH($I$1,[2]enemies!$1:$1,0)+1,FALSE)</f>
        <v>1</v>
      </c>
      <c r="Y26" s="36">
        <v>41</v>
      </c>
      <c r="Z26" s="5" t="str">
        <f ca="1">IFERROR(VLOOKUP($Y26,OFFSET([3]characters!$A$1,0,0,COUNTA([3]characters!$A:$A),MATCH(Z$1,[3]characters!$1:$1,0)-MATCH("character_id",[3]characters!$1:$1,0)+1),MATCH(Z$1,[3]characters!$1:$1,0)-MATCH("character_id",[3]characters!$1:$1,0)+1,FALSE),"")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26" s="5">
        <f ca="1">IFERROR(VLOOKUP($Y26,OFFSET([3]characters!$A$1,0,0,COUNTA([3]characters!$A:$A),MATCH(AA$1,[3]characters!$1:$1,0)-MATCH("character_id",[3]characters!$1:$1,0)+1),MATCH(AA$1,[3]characters!$1:$1,0)-MATCH("character_id",[3]characters!$1:$1,0)+1,FALSE),"")</f>
        <v>2</v>
      </c>
      <c r="AB26" s="5" t="str">
        <f ca="1">IFERROR(VLOOKUP($Y26,OFFSET([3]characters!$A$1,0,0,COUNTA([3]characters!$A:$A),MATCH(AB$1,[3]characters!$1:$1,0)-MATCH("character_id",[3]characters!$1:$1,0)+1),MATCH(AB$1,[3]characters!$1:$1,0)-MATCH("character_id",[3]characters!$1:$1,0)+1,FALSE),"")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6" s="8">
        <v>2</v>
      </c>
      <c r="AD26" s="33">
        <f t="shared" ca="1" si="3"/>
        <v>2</v>
      </c>
      <c r="AE26" s="9">
        <v>15</v>
      </c>
      <c r="AF26" s="8">
        <v>0</v>
      </c>
      <c r="AG26" s="8">
        <v>0</v>
      </c>
      <c r="AH26" s="8">
        <v>0</v>
      </c>
      <c r="AI26" s="8">
        <v>0</v>
      </c>
      <c r="AJ26" s="8">
        <v>1</v>
      </c>
    </row>
    <row r="27" spans="1:36" ht="21" customHeight="1" x14ac:dyDescent="0.15">
      <c r="A27" s="21" t="str">
        <f t="shared" ca="1" si="0"/>
        <v>20001_2-1/57&lt;lv15&gt;s2</v>
      </c>
      <c r="B27" s="31">
        <v>20001</v>
      </c>
      <c r="C27" s="38">
        <v>2</v>
      </c>
      <c r="D27" s="2" t="str">
        <f t="shared" si="1"/>
        <v>20001_2</v>
      </c>
      <c r="E27" s="5" t="str">
        <f ca="1">VLOOKUP($B27,OFFSET([1]quests!$A$1,0,0,COUNTA([1]quests!$A:$A),MATCH(E$1,[1]quests!$1:$1,0)-MATCH($B$1,[1]quests!$1:$1,0)+1),MATCH(E$1,[1]quests!$1:$1,0)-MATCH($B$1,[1]quests!$1:$1,0)+1,FALSE)</f>
        <v>紅き執行者</v>
      </c>
      <c r="F27" s="5" t="str">
        <f ca="1">VLOOKUP($D27,OFFSET([1]stages!$A$1,0,0,COUNTA([1]stages!$A:$A),MATCH(F$1,[1]stages!$2:$2,0)-MATCH($D$1,[1]stages!$2:$2,0)+1),MATCH(F$1,[1]stages!$2:$2,0)-MATCH($D$1,[1]stages!$2:$2,0)+1,FALSE)</f>
        <v>【中級】紅き執行者</v>
      </c>
      <c r="G27" s="46">
        <v>1</v>
      </c>
      <c r="H27" s="20" t="str">
        <f t="shared" si="2"/>
        <v>20001_2-1</v>
      </c>
      <c r="I27" s="36">
        <v>57</v>
      </c>
      <c r="J27" s="26" t="str">
        <f ca="1">VLOOKUP($I27,OFFSET([2]enemies!$A$1,0,0,COUNTA([2]enemies!$A:$A),MATCH(J$1,[2]enemies!$1:$1,0)-MATCH($I$1,[2]enemies!$1:$1,0)+1),MATCH(J$1,[2]enemies!$1:$1,0)-MATCH($I$1,[2]enemies!$1:$1,0)+1,FALSE)</f>
        <v>チェン・リー</v>
      </c>
      <c r="K27" s="26" t="str">
        <f ca="1">VLOOKUP($I27,OFFSET([2]enemies!$A$1,0,0,COUNTA([2]enemies!$A:$A),MATCH(K$1,[2]enemies!$1:$1,0)-MATCH($I$1,[2]enemies!$1:$1,0)+1),MATCH(K$1,[2]enemies!$1:$1,0)-MATCH($I$1,[2]enemies!$1:$1,0)+1,FALSE)</f>
        <v>red</v>
      </c>
      <c r="L27" s="28" t="str">
        <f>VLOOKUP(I27,[3]characters!$A:$J,10,FALSE)</f>
        <v>Drop1N</v>
      </c>
      <c r="M27" s="26" t="str">
        <f ca="1">VLOOKUP($I27,OFFSET([2]enemies!$A$1,0,0,COUNTA([2]enemies!$A:$A),MATCH(M$1,[2]enemies!$1:$1,0)-MATCH($I$1,[2]enemies!$1:$1,0)+1),MATCH(M$1,[2]enemies!$1:$1,0)-MATCH($I$1,[2]enemies!$1:$1,0)+1,FALSE)</f>
        <v>animal</v>
      </c>
      <c r="N27" s="26">
        <f ca="1">VLOOKUP($I27,OFFSET([2]enemies!$A$1,0,0,COUNTA([2]enemies!$A:$A),MATCH(N$1,[2]enemies!$1:$1,0)-MATCH($I$1,[2]enemies!$1:$1,0)+1),MATCH(N$1,[2]enemies!$1:$1,0)-MATCH($I$1,[2]enemies!$1:$1,0)+1,FALSE)</f>
        <v>15</v>
      </c>
      <c r="O27" s="6">
        <v>15</v>
      </c>
      <c r="P27" s="54">
        <v>1</v>
      </c>
      <c r="Q27" s="54">
        <v>1</v>
      </c>
      <c r="R27" s="6">
        <v>0</v>
      </c>
      <c r="S27" s="5" t="str">
        <f ca="1">VLOOKUP($T27,OFFSET([4]enemy_skill_sets!$B$1,0,0,COUNTA([4]enemy_skill_sets!$B:$B),MATCH(J$1,[4]enemy_skill_sets!$1:$1,0)-MATCH($T$1,[4]enemy_skill_sets!$1:$1,0)+2),MATCH(J$1,[4]enemy_skill_sets!$1:$1,0)-MATCH($T$1,[4]enemy_skill_sets!$1:$1,0)+2,FALSE)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27" s="26">
        <f ca="1">VLOOKUP($I27,OFFSET([2]enemies!$A$1,0,0,COUNTA([2]enemies!$A:$A),MATCH(T$1,[2]enemies!$1:$1,0)-MATCH($I$1,[2]enemies!$1:$1,0)+1),MATCH(T$1,[2]enemies!$1:$1,0)-MATCH($I$1,[2]enemies!$1:$1,0)+1,FALSE)</f>
        <v>57</v>
      </c>
      <c r="U27" s="7">
        <v>0</v>
      </c>
      <c r="V27" s="7">
        <v>50</v>
      </c>
      <c r="W27" s="7">
        <v>0</v>
      </c>
      <c r="X27" s="26">
        <f ca="1">VLOOKUP($I27,OFFSET([2]enemies!$A$1,0,0,COUNTA([2]enemies!$A:$A),MATCH(X$1,[2]enemies!$1:$1,0)-MATCH($I$1,[2]enemies!$1:$1,0)+1),MATCH(X$1,[2]enemies!$1:$1,0)-MATCH($I$1,[2]enemies!$1:$1,0)+1,FALSE)</f>
        <v>2</v>
      </c>
      <c r="Y27" s="36">
        <v>57</v>
      </c>
      <c r="Z27" s="5" t="str">
        <f ca="1">IFERROR(VLOOKUP($Y27,OFFSET([3]characters!$A$1,0,0,COUNTA([3]characters!$A:$A),MATCH(Z$1,[3]characters!$1:$1,0)-MATCH("character_id",[3]characters!$1:$1,0)+1),MATCH(Z$1,[3]characters!$1:$1,0)-MATCH("character_id",[3]characters!$1:$1,0)+1,FALSE),"")</f>
        <v>チェン・リー</v>
      </c>
      <c r="AA27" s="5">
        <f ca="1">IFERROR(VLOOKUP($Y27,OFFSET([3]characters!$A$1,0,0,COUNTA([3]characters!$A:$A),MATCH(AA$1,[3]characters!$1:$1,0)-MATCH("character_id",[3]characters!$1:$1,0)+1),MATCH(AA$1,[3]characters!$1:$1,0)-MATCH("character_id",[3]characters!$1:$1,0)+1,FALSE),"")</f>
        <v>2</v>
      </c>
      <c r="AB27" s="5" t="str">
        <f ca="1">IFERROR(VLOOKUP($Y27,OFFSET([3]characters!$A$1,0,0,COUNTA([3]characters!$A:$A),MATCH(AB$1,[3]characters!$1:$1,0)-MATCH("character_id",[3]characters!$1:$1,0)+1),MATCH(AB$1,[3]characters!$1:$1,0)-MATCH("character_id",[3]characters!$1:$1,0)+1,FALSE),"")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7" s="8">
        <v>2</v>
      </c>
      <c r="AD27" s="33">
        <f t="shared" ca="1" si="3"/>
        <v>2</v>
      </c>
      <c r="AE27" s="9">
        <v>15</v>
      </c>
      <c r="AF27" s="8">
        <v>0</v>
      </c>
      <c r="AG27" s="8">
        <v>0</v>
      </c>
      <c r="AH27" s="8">
        <v>0</v>
      </c>
      <c r="AI27" s="8">
        <v>0</v>
      </c>
      <c r="AJ27" s="8">
        <v>1</v>
      </c>
    </row>
    <row r="28" spans="1:36" ht="21" customHeight="1" x14ac:dyDescent="0.15">
      <c r="A28" s="21" t="str">
        <f t="shared" ca="1" si="0"/>
        <v>20001_2-1/20&lt;lv15&gt;s3</v>
      </c>
      <c r="B28" s="31">
        <v>20001</v>
      </c>
      <c r="C28" s="38">
        <v>2</v>
      </c>
      <c r="D28" s="2" t="str">
        <f t="shared" si="1"/>
        <v>20001_2</v>
      </c>
      <c r="E28" s="5" t="str">
        <f ca="1">VLOOKUP($B28,OFFSET([1]quests!$A$1,0,0,COUNTA([1]quests!$A:$A),MATCH(E$1,[1]quests!$1:$1,0)-MATCH($B$1,[1]quests!$1:$1,0)+1),MATCH(E$1,[1]quests!$1:$1,0)-MATCH($B$1,[1]quests!$1:$1,0)+1,FALSE)</f>
        <v>紅き執行者</v>
      </c>
      <c r="F28" s="5" t="str">
        <f ca="1">VLOOKUP($D28,OFFSET([1]stages!$A$1,0,0,COUNTA([1]stages!$A:$A),MATCH(F$1,[1]stages!$2:$2,0)-MATCH($D$1,[1]stages!$2:$2,0)+1),MATCH(F$1,[1]stages!$2:$2,0)-MATCH($D$1,[1]stages!$2:$2,0)+1,FALSE)</f>
        <v>【中級】紅き執行者</v>
      </c>
      <c r="G28" s="46">
        <v>1</v>
      </c>
      <c r="H28" s="20" t="str">
        <f t="shared" si="2"/>
        <v>20001_2-1</v>
      </c>
      <c r="I28" s="36">
        <v>20</v>
      </c>
      <c r="J28" s="26" t="str">
        <f ca="1">VLOOKUP($I28,OFFSET([2]enemies!$A$1,0,0,COUNTA([2]enemies!$A:$A),MATCH(J$1,[2]enemies!$1:$1,0)-MATCH($I$1,[2]enemies!$1:$1,0)+1),MATCH(J$1,[2]enemies!$1:$1,0)-MATCH($I$1,[2]enemies!$1:$1,0)+1,FALSE)</f>
        <v>電子妖精 ティンク</v>
      </c>
      <c r="K28" s="26" t="str">
        <f ca="1">VLOOKUP($I28,OFFSET([2]enemies!$A$1,0,0,COUNTA([2]enemies!$A:$A),MATCH(K$1,[2]enemies!$1:$1,0)-MATCH($I$1,[2]enemies!$1:$1,0)+1),MATCH(K$1,[2]enemies!$1:$1,0)-MATCH($I$1,[2]enemies!$1:$1,0)+1,FALSE)</f>
        <v>yellow</v>
      </c>
      <c r="L28" s="28" t="str">
        <f>VLOOKUP(I28,[3]characters!$A:$J,10,FALSE)</f>
        <v>Drop1W</v>
      </c>
      <c r="M28" s="26" t="str">
        <f ca="1">VLOOKUP($I28,OFFSET([2]enemies!$A$1,0,0,COUNTA([2]enemies!$A:$A),MATCH(M$1,[2]enemies!$1:$1,0)-MATCH($I$1,[2]enemies!$1:$1,0)+1),MATCH(M$1,[2]enemies!$1:$1,0)-MATCH($I$1,[2]enemies!$1:$1,0)+1,FALSE)</f>
        <v>human</v>
      </c>
      <c r="N28" s="26">
        <f ca="1">VLOOKUP($I28,OFFSET([2]enemies!$A$1,0,0,COUNTA([2]enemies!$A:$A),MATCH(N$1,[2]enemies!$1:$1,0)-MATCH($I$1,[2]enemies!$1:$1,0)+1),MATCH(N$1,[2]enemies!$1:$1,0)-MATCH($I$1,[2]enemies!$1:$1,0)+1,FALSE)</f>
        <v>15</v>
      </c>
      <c r="O28" s="6">
        <v>15</v>
      </c>
      <c r="P28" s="54">
        <v>1</v>
      </c>
      <c r="Q28" s="54">
        <v>1</v>
      </c>
      <c r="R28" s="6">
        <v>0</v>
      </c>
      <c r="S28" s="5" t="str">
        <f ca="1">VLOOKUP($T28,OFFSET([4]enemy_skill_sets!$B$1,0,0,COUNTA([4]enemy_skill_sets!$B:$B),MATCH(J$1,[4]enemy_skill_sets!$1:$1,0)-MATCH($T$1,[4]enemy_skill_sets!$1:$1,0)+2),MATCH(J$1,[4]enemy_skill_sets!$1:$1,0)-MATCH($T$1,[4]enemy_skill_sets!$1:$1,0)+2,FALSE)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" s="26">
        <f ca="1">VLOOKUP($I28,OFFSET([2]enemies!$A$1,0,0,COUNTA([2]enemies!$A:$A),MATCH(T$1,[2]enemies!$1:$1,0)-MATCH($I$1,[2]enemies!$1:$1,0)+1),MATCH(T$1,[2]enemies!$1:$1,0)-MATCH($I$1,[2]enemies!$1:$1,0)+1,FALSE)</f>
        <v>0</v>
      </c>
      <c r="U28" s="7">
        <v>0</v>
      </c>
      <c r="V28" s="7">
        <v>100</v>
      </c>
      <c r="W28" s="7">
        <v>0</v>
      </c>
      <c r="X28" s="26">
        <f ca="1">VLOOKUP($I28,OFFSET([2]enemies!$A$1,0,0,COUNTA([2]enemies!$A:$A),MATCH(X$1,[2]enemies!$1:$1,0)-MATCH($I$1,[2]enemies!$1:$1,0)+1),MATCH(X$1,[2]enemies!$1:$1,0)-MATCH($I$1,[2]enemies!$1:$1,0)+1,FALSE)</f>
        <v>3</v>
      </c>
      <c r="Y28" s="36">
        <v>20</v>
      </c>
      <c r="Z28" s="5" t="str">
        <f ca="1">IFERROR(VLOOKUP($Y28,OFFSET([3]characters!$A$1,0,0,COUNTA([3]characters!$A:$A),MATCH(Z$1,[3]characters!$1:$1,0)-MATCH("character_id",[3]characters!$1:$1,0)+1),MATCH(Z$1,[3]characters!$1:$1,0)-MATCH("character_id",[3]characters!$1:$1,0)+1,FALSE),"")</f>
        <v>電子妖精 ティンク</v>
      </c>
      <c r="AA28" s="5">
        <f ca="1">IFERROR(VLOOKUP($Y28,OFFSET([3]characters!$A$1,0,0,COUNTA([3]characters!$A:$A),MATCH(AA$1,[3]characters!$1:$1,0)-MATCH("character_id",[3]characters!$1:$1,0)+1),MATCH(AA$1,[3]characters!$1:$1,0)-MATCH("character_id",[3]characters!$1:$1,0)+1,FALSE),"")</f>
        <v>2</v>
      </c>
      <c r="AB28" s="5" t="str">
        <f ca="1">IFERROR(VLOOKUP($Y28,OFFSET([3]characters!$A$1,0,0,COUNTA([3]characters!$A:$A),MATCH(AB$1,[3]characters!$1:$1,0)-MATCH("character_id",[3]characters!$1:$1,0)+1),MATCH(AB$1,[3]characters!$1:$1,0)-MATCH("character_id",[3]characters!$1:$1,0)+1,FALSE),"")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8" s="8">
        <v>4</v>
      </c>
      <c r="AD28" s="33">
        <f t="shared" ca="1" si="3"/>
        <v>2</v>
      </c>
      <c r="AE28" s="9">
        <v>10</v>
      </c>
      <c r="AF28" s="8">
        <v>0</v>
      </c>
      <c r="AG28" s="8">
        <v>0</v>
      </c>
      <c r="AH28" s="8">
        <v>0</v>
      </c>
      <c r="AI28" s="8">
        <v>0</v>
      </c>
      <c r="AJ28" s="8">
        <v>1</v>
      </c>
    </row>
    <row r="29" spans="1:36" ht="21" customHeight="1" x14ac:dyDescent="0.15">
      <c r="A29" s="21" t="str">
        <f t="shared" ca="1" si="0"/>
        <v>20001_2-2/15&lt;lv15&gt;s3</v>
      </c>
      <c r="B29" s="31">
        <v>20001</v>
      </c>
      <c r="C29" s="38">
        <v>2</v>
      </c>
      <c r="D29" s="2" t="str">
        <f t="shared" si="1"/>
        <v>20001_2</v>
      </c>
      <c r="E29" s="5" t="str">
        <f ca="1">VLOOKUP($B29,OFFSET([1]quests!$A$1,0,0,COUNTA([1]quests!$A:$A),MATCH(E$1,[1]quests!$1:$1,0)-MATCH($B$1,[1]quests!$1:$1,0)+1),MATCH(E$1,[1]quests!$1:$1,0)-MATCH($B$1,[1]quests!$1:$1,0)+1,FALSE)</f>
        <v>紅き執行者</v>
      </c>
      <c r="F29" s="5" t="str">
        <f ca="1">VLOOKUP($D29,OFFSET([1]stages!$A$1,0,0,COUNTA([1]stages!$A:$A),MATCH(F$1,[1]stages!$2:$2,0)-MATCH($D$1,[1]stages!$2:$2,0)+1),MATCH(F$1,[1]stages!$2:$2,0)-MATCH($D$1,[1]stages!$2:$2,0)+1,FALSE)</f>
        <v>【中級】紅き執行者</v>
      </c>
      <c r="G29" s="47">
        <v>2</v>
      </c>
      <c r="H29" s="20" t="str">
        <f t="shared" si="2"/>
        <v>20001_2-2</v>
      </c>
      <c r="I29" s="36">
        <v>15</v>
      </c>
      <c r="J29" s="26" t="str">
        <f ca="1">VLOOKUP($I29,OFFSET([2]enemies!$A$1,0,0,COUNTA([2]enemies!$A:$A),MATCH(J$1,[2]enemies!$1:$1,0)-MATCH($I$1,[2]enemies!$1:$1,0)+1),MATCH(J$1,[2]enemies!$1:$1,0)-MATCH($I$1,[2]enemies!$1:$1,0)+1,FALSE)</f>
        <v>アカネ</v>
      </c>
      <c r="K29" s="26" t="str">
        <f ca="1">VLOOKUP($I29,OFFSET([2]enemies!$A$1,0,0,COUNTA([2]enemies!$A:$A),MATCH(K$1,[2]enemies!$1:$1,0)-MATCH($I$1,[2]enemies!$1:$1,0)+1),MATCH(K$1,[2]enemies!$1:$1,0)-MATCH($I$1,[2]enemies!$1:$1,0)+1,FALSE)</f>
        <v>red</v>
      </c>
      <c r="L29" s="28" t="str">
        <f>VLOOKUP(I29,[3]characters!$A:$J,10,FALSE)</f>
        <v>Drop1W</v>
      </c>
      <c r="M29" s="26" t="str">
        <f ca="1">VLOOKUP($I29,OFFSET([2]enemies!$A$1,0,0,COUNTA([2]enemies!$A:$A),MATCH(M$1,[2]enemies!$1:$1,0)-MATCH($I$1,[2]enemies!$1:$1,0)+1),MATCH(M$1,[2]enemies!$1:$1,0)-MATCH($I$1,[2]enemies!$1:$1,0)+1,FALSE)</f>
        <v>human</v>
      </c>
      <c r="N29" s="26">
        <f ca="1">VLOOKUP($I29,OFFSET([2]enemies!$A$1,0,0,COUNTA([2]enemies!$A:$A),MATCH(N$1,[2]enemies!$1:$1,0)-MATCH($I$1,[2]enemies!$1:$1,0)+1),MATCH(N$1,[2]enemies!$1:$1,0)-MATCH($I$1,[2]enemies!$1:$1,0)+1,FALSE)</f>
        <v>15</v>
      </c>
      <c r="O29" s="6">
        <v>15</v>
      </c>
      <c r="P29" s="54">
        <v>1</v>
      </c>
      <c r="Q29" s="54">
        <v>1</v>
      </c>
      <c r="R29" s="6">
        <v>0</v>
      </c>
      <c r="S29" s="5" t="str">
        <f ca="1">VLOOKUP($T29,OFFSET([4]enemy_skill_sets!$B$1,0,0,COUNTA([4]enemy_skill_sets!$B:$B),MATCH(J$1,[4]enemy_skill_sets!$1:$1,0)-MATCH($T$1,[4]enemy_skill_sets!$1:$1,0)+2),MATCH(J$1,[4]enemy_skill_sets!$1:$1,0)-MATCH($T$1,[4]enemy_skill_sets!$1:$1,0)+2,FALSE)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" s="26">
        <f ca="1">VLOOKUP($I29,OFFSET([2]enemies!$A$1,0,0,COUNTA([2]enemies!$A:$A),MATCH(T$1,[2]enemies!$1:$1,0)-MATCH($I$1,[2]enemies!$1:$1,0)+1),MATCH(T$1,[2]enemies!$1:$1,0)-MATCH($I$1,[2]enemies!$1:$1,0)+1,FALSE)</f>
        <v>0</v>
      </c>
      <c r="U29" s="7">
        <v>0</v>
      </c>
      <c r="V29" s="7">
        <v>100</v>
      </c>
      <c r="W29" s="7">
        <v>0</v>
      </c>
      <c r="X29" s="26">
        <f ca="1">VLOOKUP($I29,OFFSET([2]enemies!$A$1,0,0,COUNTA([2]enemies!$A:$A),MATCH(X$1,[2]enemies!$1:$1,0)-MATCH($I$1,[2]enemies!$1:$1,0)+1),MATCH(X$1,[2]enemies!$1:$1,0)-MATCH($I$1,[2]enemies!$1:$1,0)+1,FALSE)</f>
        <v>3</v>
      </c>
      <c r="Y29" s="36">
        <v>15</v>
      </c>
      <c r="Z29" s="5" t="str">
        <f ca="1">IFERROR(VLOOKUP($Y29,OFFSET([3]characters!$A$1,0,0,COUNTA([3]characters!$A:$A),MATCH(Z$1,[3]characters!$1:$1,0)-MATCH("character_id",[3]characters!$1:$1,0)+1),MATCH(Z$1,[3]characters!$1:$1,0)-MATCH("character_id",[3]characters!$1:$1,0)+1,FALSE),"")</f>
        <v>アカネ</v>
      </c>
      <c r="AA29" s="5">
        <f ca="1">IFERROR(VLOOKUP($Y29,OFFSET([3]characters!$A$1,0,0,COUNTA([3]characters!$A:$A),MATCH(AA$1,[3]characters!$1:$1,0)-MATCH("character_id",[3]characters!$1:$1,0)+1),MATCH(AA$1,[3]characters!$1:$1,0)-MATCH("character_id",[3]characters!$1:$1,0)+1,FALSE),"")</f>
        <v>1</v>
      </c>
      <c r="AB29" s="5" t="str">
        <f ca="1">IFERROR(VLOOKUP($Y29,OFFSET([3]characters!$A$1,0,0,COUNTA([3]characters!$A:$A),MATCH(AB$1,[3]characters!$1:$1,0)-MATCH("character_id",[3]characters!$1:$1,0)+1),MATCH(AB$1,[3]characters!$1:$1,0)-MATCH("character_id",[3]characters!$1:$1,0)+1,FALSE),"")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9" s="8">
        <v>4</v>
      </c>
      <c r="AD29" s="33">
        <f t="shared" ca="1" si="3"/>
        <v>1</v>
      </c>
      <c r="AE29" s="9">
        <v>15</v>
      </c>
      <c r="AF29" s="8">
        <v>0</v>
      </c>
      <c r="AG29" s="8">
        <v>0</v>
      </c>
      <c r="AH29" s="8">
        <v>0</v>
      </c>
      <c r="AI29" s="8">
        <v>0</v>
      </c>
      <c r="AJ29" s="8">
        <v>1</v>
      </c>
    </row>
    <row r="30" spans="1:36" ht="21" customHeight="1" x14ac:dyDescent="0.15">
      <c r="A30" s="21" t="str">
        <f t="shared" ca="1" si="0"/>
        <v>20001_2-2/21&lt;lv15&gt;s2</v>
      </c>
      <c r="B30" s="31">
        <v>20001</v>
      </c>
      <c r="C30" s="38">
        <v>2</v>
      </c>
      <c r="D30" s="2" t="str">
        <f t="shared" si="1"/>
        <v>20001_2</v>
      </c>
      <c r="E30" s="5" t="str">
        <f ca="1">VLOOKUP($B30,OFFSET([1]quests!$A$1,0,0,COUNTA([1]quests!$A:$A),MATCH(E$1,[1]quests!$1:$1,0)-MATCH($B$1,[1]quests!$1:$1,0)+1),MATCH(E$1,[1]quests!$1:$1,0)-MATCH($B$1,[1]quests!$1:$1,0)+1,FALSE)</f>
        <v>紅き執行者</v>
      </c>
      <c r="F30" s="5" t="str">
        <f ca="1">VLOOKUP($D30,OFFSET([1]stages!$A$1,0,0,COUNTA([1]stages!$A:$A),MATCH(F$1,[1]stages!$2:$2,0)-MATCH($D$1,[1]stages!$2:$2,0)+1),MATCH(F$1,[1]stages!$2:$2,0)-MATCH($D$1,[1]stages!$2:$2,0)+1,FALSE)</f>
        <v>【中級】紅き執行者</v>
      </c>
      <c r="G30" s="47">
        <v>2</v>
      </c>
      <c r="H30" s="20" t="str">
        <f t="shared" si="2"/>
        <v>20001_2-2</v>
      </c>
      <c r="I30" s="36">
        <v>21</v>
      </c>
      <c r="J30" s="26" t="str">
        <f ca="1">VLOOKUP($I30,OFFSET([2]enemies!$A$1,0,0,COUNTA([2]enemies!$A:$A),MATCH(J$1,[2]enemies!$1:$1,0)-MATCH($I$1,[2]enemies!$1:$1,0)+1),MATCH(J$1,[2]enemies!$1:$1,0)-MATCH($I$1,[2]enemies!$1:$1,0)+1,FALSE)</f>
        <v>ヴェロキー</v>
      </c>
      <c r="K30" s="26" t="str">
        <f ca="1">VLOOKUP($I30,OFFSET([2]enemies!$A$1,0,0,COUNTA([2]enemies!$A:$A),MATCH(K$1,[2]enemies!$1:$1,0)-MATCH($I$1,[2]enemies!$1:$1,0)+1),MATCH(K$1,[2]enemies!$1:$1,0)-MATCH($I$1,[2]enemies!$1:$1,0)+1,FALSE)</f>
        <v>red</v>
      </c>
      <c r="L30" s="28" t="str">
        <f>VLOOKUP(I30,[3]characters!$A:$J,10,FALSE)</f>
        <v>Drop1N</v>
      </c>
      <c r="M30" s="26" t="str">
        <f ca="1">VLOOKUP($I30,OFFSET([2]enemies!$A$1,0,0,COUNTA([2]enemies!$A:$A),MATCH(M$1,[2]enemies!$1:$1,0)-MATCH($I$1,[2]enemies!$1:$1,0)+1),MATCH(M$1,[2]enemies!$1:$1,0)-MATCH($I$1,[2]enemies!$1:$1,0)+1,FALSE)</f>
        <v>dragon</v>
      </c>
      <c r="N30" s="26">
        <f ca="1">VLOOKUP($I30,OFFSET([2]enemies!$A$1,0,0,COUNTA([2]enemies!$A:$A),MATCH(N$1,[2]enemies!$1:$1,0)-MATCH($I$1,[2]enemies!$1:$1,0)+1),MATCH(N$1,[2]enemies!$1:$1,0)-MATCH($I$1,[2]enemies!$1:$1,0)+1,FALSE)</f>
        <v>15</v>
      </c>
      <c r="O30" s="6">
        <v>15</v>
      </c>
      <c r="P30" s="54">
        <v>1</v>
      </c>
      <c r="Q30" s="54">
        <v>1</v>
      </c>
      <c r="R30" s="6">
        <v>0</v>
      </c>
      <c r="S30" s="5" t="str">
        <f ca="1">VLOOKUP($T30,OFFSET([4]enemy_skill_sets!$B$1,0,0,COUNTA([4]enemy_skill_sets!$B:$B),MATCH(J$1,[4]enemy_skill_sets!$1:$1,0)-MATCH($T$1,[4]enemy_skill_sets!$1:$1,0)+2),MATCH(J$1,[4]enemy_skill_sets!$1:$1,0)-MATCH($T$1,[4]enemy_skill_sets!$1:$1,0)+2,FALSE)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" s="26">
        <f ca="1">VLOOKUP($I30,OFFSET([2]enemies!$A$1,0,0,COUNTA([2]enemies!$A:$A),MATCH(T$1,[2]enemies!$1:$1,0)-MATCH($I$1,[2]enemies!$1:$1,0)+1),MATCH(T$1,[2]enemies!$1:$1,0)-MATCH($I$1,[2]enemies!$1:$1,0)+1,FALSE)</f>
        <v>0</v>
      </c>
      <c r="U30" s="7">
        <v>0</v>
      </c>
      <c r="V30" s="7">
        <v>100</v>
      </c>
      <c r="W30" s="7">
        <v>0</v>
      </c>
      <c r="X30" s="26">
        <f ca="1">VLOOKUP($I30,OFFSET([2]enemies!$A$1,0,0,COUNTA([2]enemies!$A:$A),MATCH(X$1,[2]enemies!$1:$1,0)-MATCH($I$1,[2]enemies!$1:$1,0)+1),MATCH(X$1,[2]enemies!$1:$1,0)-MATCH($I$1,[2]enemies!$1:$1,0)+1,FALSE)</f>
        <v>2</v>
      </c>
      <c r="Y30" s="36">
        <v>21</v>
      </c>
      <c r="Z30" s="5" t="str">
        <f ca="1">IFERROR(VLOOKUP($Y30,OFFSET([3]characters!$A$1,0,0,COUNTA([3]characters!$A:$A),MATCH(Z$1,[3]characters!$1:$1,0)-MATCH("character_id",[3]characters!$1:$1,0)+1),MATCH(Z$1,[3]characters!$1:$1,0)-MATCH("character_id",[3]characters!$1:$1,0)+1,FALSE),"")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30" s="5">
        <f ca="1">IFERROR(VLOOKUP($Y30,OFFSET([3]characters!$A$1,0,0,COUNTA([3]characters!$A:$A),MATCH(AA$1,[3]characters!$1:$1,0)-MATCH("character_id",[3]characters!$1:$1,0)+1),MATCH(AA$1,[3]characters!$1:$1,0)-MATCH("character_id",[3]characters!$1:$1,0)+1,FALSE),"")</f>
        <v>1</v>
      </c>
      <c r="AB30" s="5" t="str">
        <f ca="1">IFERROR(VLOOKUP($Y30,OFFSET([3]characters!$A$1,0,0,COUNTA([3]characters!$A:$A),MATCH(AB$1,[3]characters!$1:$1,0)-MATCH("character_id",[3]characters!$1:$1,0)+1),MATCH(AB$1,[3]characters!$1:$1,0)-MATCH("character_id",[3]characters!$1:$1,0)+1,FALSE),"")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0" s="8">
        <v>2</v>
      </c>
      <c r="AD30" s="33">
        <f t="shared" ca="1" si="3"/>
        <v>1</v>
      </c>
      <c r="AE30" s="9">
        <v>15</v>
      </c>
      <c r="AF30" s="8">
        <v>0</v>
      </c>
      <c r="AG30" s="8">
        <v>0</v>
      </c>
      <c r="AH30" s="8">
        <v>0</v>
      </c>
      <c r="AI30" s="8">
        <v>0</v>
      </c>
      <c r="AJ30" s="8">
        <v>1</v>
      </c>
    </row>
    <row r="31" spans="1:36" ht="21" customHeight="1" x14ac:dyDescent="0.15">
      <c r="A31" s="21" t="str">
        <f t="shared" ca="1" si="0"/>
        <v>20001_2-2/41&lt;lv15&gt;s1</v>
      </c>
      <c r="B31" s="31">
        <v>20001</v>
      </c>
      <c r="C31" s="38">
        <v>2</v>
      </c>
      <c r="D31" s="2" t="str">
        <f t="shared" si="1"/>
        <v>20001_2</v>
      </c>
      <c r="E31" s="5" t="str">
        <f ca="1">VLOOKUP($B31,OFFSET([1]quests!$A$1,0,0,COUNTA([1]quests!$A:$A),MATCH(E$1,[1]quests!$1:$1,0)-MATCH($B$1,[1]quests!$1:$1,0)+1),MATCH(E$1,[1]quests!$1:$1,0)-MATCH($B$1,[1]quests!$1:$1,0)+1,FALSE)</f>
        <v>紅き執行者</v>
      </c>
      <c r="F31" s="5" t="str">
        <f ca="1">VLOOKUP($D31,OFFSET([1]stages!$A$1,0,0,COUNTA([1]stages!$A:$A),MATCH(F$1,[1]stages!$2:$2,0)-MATCH($D$1,[1]stages!$2:$2,0)+1),MATCH(F$1,[1]stages!$2:$2,0)-MATCH($D$1,[1]stages!$2:$2,0)+1,FALSE)</f>
        <v>【中級】紅き執行者</v>
      </c>
      <c r="G31" s="47">
        <v>2</v>
      </c>
      <c r="H31" s="20" t="str">
        <f t="shared" si="2"/>
        <v>20001_2-2</v>
      </c>
      <c r="I31" s="36">
        <v>41</v>
      </c>
      <c r="J31" s="26" t="str">
        <f ca="1">VLOOKUP($I31,OFFSET([2]enemies!$A$1,0,0,COUNTA([2]enemies!$A:$A),MATCH(J$1,[2]enemies!$1:$1,0)-MATCH($I$1,[2]enemies!$1:$1,0)+1),MATCH(J$1,[2]enemies!$1:$1,0)-MATCH($I$1,[2]enemies!$1:$1,0)+1,FALSE)</f>
        <v>ヒュウガ</v>
      </c>
      <c r="K31" s="26" t="str">
        <f ca="1">VLOOKUP($I31,OFFSET([2]enemies!$A$1,0,0,COUNTA([2]enemies!$A:$A),MATCH(K$1,[2]enemies!$1:$1,0)-MATCH($I$1,[2]enemies!$1:$1,0)+1),MATCH(K$1,[2]enemies!$1:$1,0)-MATCH($I$1,[2]enemies!$1:$1,0)+1,FALSE)</f>
        <v>red</v>
      </c>
      <c r="L31" s="28" t="str">
        <f>VLOOKUP(I31,[3]characters!$A:$J,10,FALSE)</f>
        <v>Drop1N</v>
      </c>
      <c r="M31" s="26" t="str">
        <f ca="1">VLOOKUP($I31,OFFSET([2]enemies!$A$1,0,0,COUNTA([2]enemies!$A:$A),MATCH(M$1,[2]enemies!$1:$1,0)-MATCH($I$1,[2]enemies!$1:$1,0)+1),MATCH(M$1,[2]enemies!$1:$1,0)-MATCH($I$1,[2]enemies!$1:$1,0)+1,FALSE)</f>
        <v>dragon</v>
      </c>
      <c r="N31" s="26">
        <f ca="1">VLOOKUP($I31,OFFSET([2]enemies!$A$1,0,0,COUNTA([2]enemies!$A:$A),MATCH(N$1,[2]enemies!$1:$1,0)-MATCH($I$1,[2]enemies!$1:$1,0)+1),MATCH(N$1,[2]enemies!$1:$1,0)-MATCH($I$1,[2]enemies!$1:$1,0)+1,FALSE)</f>
        <v>15</v>
      </c>
      <c r="O31" s="6">
        <v>15</v>
      </c>
      <c r="P31" s="54">
        <v>1</v>
      </c>
      <c r="Q31" s="54">
        <v>1</v>
      </c>
      <c r="R31" s="6">
        <v>0</v>
      </c>
      <c r="S31" s="5" t="str">
        <f ca="1">VLOOKUP($T31,OFFSET([4]enemy_skill_sets!$B$1,0,0,COUNTA([4]enemy_skill_sets!$B:$B),MATCH(J$1,[4]enemy_skill_sets!$1:$1,0)-MATCH($T$1,[4]enemy_skill_sets!$1:$1,0)+2),MATCH(J$1,[4]enemy_skill_sets!$1:$1,0)-MATCH($T$1,[4]enemy_skill_sets!$1:$1,0)+2,FALSE)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" s="26">
        <f ca="1">VLOOKUP($I31,OFFSET([2]enemies!$A$1,0,0,COUNTA([2]enemies!$A:$A),MATCH(T$1,[2]enemies!$1:$1,0)-MATCH($I$1,[2]enemies!$1:$1,0)+1),MATCH(T$1,[2]enemies!$1:$1,0)-MATCH($I$1,[2]enemies!$1:$1,0)+1,FALSE)</f>
        <v>0</v>
      </c>
      <c r="U31" s="7">
        <v>0</v>
      </c>
      <c r="V31" s="7">
        <v>100</v>
      </c>
      <c r="W31" s="7">
        <v>0</v>
      </c>
      <c r="X31" s="26">
        <f ca="1">VLOOKUP($I31,OFFSET([2]enemies!$A$1,0,0,COUNTA([2]enemies!$A:$A),MATCH(X$1,[2]enemies!$1:$1,0)-MATCH($I$1,[2]enemies!$1:$1,0)+1),MATCH(X$1,[2]enemies!$1:$1,0)-MATCH($I$1,[2]enemies!$1:$1,0)+1,FALSE)</f>
        <v>1</v>
      </c>
      <c r="Y31" s="36">
        <v>41</v>
      </c>
      <c r="Z31" s="5" t="str">
        <f ca="1">IFERROR(VLOOKUP($Y31,OFFSET([3]characters!$A$1,0,0,COUNTA([3]characters!$A:$A),MATCH(Z$1,[3]characters!$1:$1,0)-MATCH("character_id",[3]characters!$1:$1,0)+1),MATCH(Z$1,[3]characters!$1:$1,0)-MATCH("character_id",[3]characters!$1:$1,0)+1,FALSE),"")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31" s="5">
        <f ca="1">IFERROR(VLOOKUP($Y31,OFFSET([3]characters!$A$1,0,0,COUNTA([3]characters!$A:$A),MATCH(AA$1,[3]characters!$1:$1,0)-MATCH("character_id",[3]characters!$1:$1,0)+1),MATCH(AA$1,[3]characters!$1:$1,0)-MATCH("character_id",[3]characters!$1:$1,0)+1,FALSE),"")</f>
        <v>2</v>
      </c>
      <c r="AB31" s="5" t="str">
        <f ca="1">IFERROR(VLOOKUP($Y31,OFFSET([3]characters!$A$1,0,0,COUNTA([3]characters!$A:$A),MATCH(AB$1,[3]characters!$1:$1,0)-MATCH("character_id",[3]characters!$1:$1,0)+1),MATCH(AB$1,[3]characters!$1:$1,0)-MATCH("character_id",[3]characters!$1:$1,0)+1,FALSE),"")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1" s="8">
        <v>2</v>
      </c>
      <c r="AD31" s="33">
        <f t="shared" ca="1" si="3"/>
        <v>2</v>
      </c>
      <c r="AE31" s="9">
        <v>15</v>
      </c>
      <c r="AF31" s="8">
        <v>0</v>
      </c>
      <c r="AG31" s="8">
        <v>0</v>
      </c>
      <c r="AH31" s="8">
        <v>0</v>
      </c>
      <c r="AI31" s="8">
        <v>0</v>
      </c>
      <c r="AJ31" s="8">
        <v>1</v>
      </c>
    </row>
    <row r="32" spans="1:36" ht="21" customHeight="1" x14ac:dyDescent="0.15">
      <c r="A32" s="21" t="str">
        <f t="shared" ca="1" si="0"/>
        <v>20001_2-2/57&lt;lv15&gt;s2</v>
      </c>
      <c r="B32" s="31">
        <v>20001</v>
      </c>
      <c r="C32" s="38">
        <v>2</v>
      </c>
      <c r="D32" s="2" t="str">
        <f t="shared" si="1"/>
        <v>20001_2</v>
      </c>
      <c r="E32" s="5" t="str">
        <f ca="1">VLOOKUP($B32,OFFSET([1]quests!$A$1,0,0,COUNTA([1]quests!$A:$A),MATCH(E$1,[1]quests!$1:$1,0)-MATCH($B$1,[1]quests!$1:$1,0)+1),MATCH(E$1,[1]quests!$1:$1,0)-MATCH($B$1,[1]quests!$1:$1,0)+1,FALSE)</f>
        <v>紅き執行者</v>
      </c>
      <c r="F32" s="5" t="str">
        <f ca="1">VLOOKUP($D32,OFFSET([1]stages!$A$1,0,0,COUNTA([1]stages!$A:$A),MATCH(F$1,[1]stages!$2:$2,0)-MATCH($D$1,[1]stages!$2:$2,0)+1),MATCH(F$1,[1]stages!$2:$2,0)-MATCH($D$1,[1]stages!$2:$2,0)+1,FALSE)</f>
        <v>【中級】紅き執行者</v>
      </c>
      <c r="G32" s="47">
        <v>2</v>
      </c>
      <c r="H32" s="20" t="str">
        <f t="shared" si="2"/>
        <v>20001_2-2</v>
      </c>
      <c r="I32" s="36">
        <v>57</v>
      </c>
      <c r="J32" s="26" t="str">
        <f ca="1">VLOOKUP($I32,OFFSET([2]enemies!$A$1,0,0,COUNTA([2]enemies!$A:$A),MATCH(J$1,[2]enemies!$1:$1,0)-MATCH($I$1,[2]enemies!$1:$1,0)+1),MATCH(J$1,[2]enemies!$1:$1,0)-MATCH($I$1,[2]enemies!$1:$1,0)+1,FALSE)</f>
        <v>チェン・リー</v>
      </c>
      <c r="K32" s="26" t="str">
        <f ca="1">VLOOKUP($I32,OFFSET([2]enemies!$A$1,0,0,COUNTA([2]enemies!$A:$A),MATCH(K$1,[2]enemies!$1:$1,0)-MATCH($I$1,[2]enemies!$1:$1,0)+1),MATCH(K$1,[2]enemies!$1:$1,0)-MATCH($I$1,[2]enemies!$1:$1,0)+1,FALSE)</f>
        <v>red</v>
      </c>
      <c r="L32" s="28" t="str">
        <f>VLOOKUP(I32,[3]characters!$A:$J,10,FALSE)</f>
        <v>Drop1N</v>
      </c>
      <c r="M32" s="26" t="str">
        <f ca="1">VLOOKUP($I32,OFFSET([2]enemies!$A$1,0,0,COUNTA([2]enemies!$A:$A),MATCH(M$1,[2]enemies!$1:$1,0)-MATCH($I$1,[2]enemies!$1:$1,0)+1),MATCH(M$1,[2]enemies!$1:$1,0)-MATCH($I$1,[2]enemies!$1:$1,0)+1,FALSE)</f>
        <v>animal</v>
      </c>
      <c r="N32" s="26">
        <f ca="1">VLOOKUP($I32,OFFSET([2]enemies!$A$1,0,0,COUNTA([2]enemies!$A:$A),MATCH(N$1,[2]enemies!$1:$1,0)-MATCH($I$1,[2]enemies!$1:$1,0)+1),MATCH(N$1,[2]enemies!$1:$1,0)-MATCH($I$1,[2]enemies!$1:$1,0)+1,FALSE)</f>
        <v>15</v>
      </c>
      <c r="O32" s="6">
        <v>15</v>
      </c>
      <c r="P32" s="54">
        <v>1</v>
      </c>
      <c r="Q32" s="54">
        <v>1</v>
      </c>
      <c r="R32" s="6">
        <v>0</v>
      </c>
      <c r="S32" s="5" t="str">
        <f ca="1">VLOOKUP($T32,OFFSET([4]enemy_skill_sets!$B$1,0,0,COUNTA([4]enemy_skill_sets!$B:$B),MATCH(J$1,[4]enemy_skill_sets!$1:$1,0)-MATCH($T$1,[4]enemy_skill_sets!$1:$1,0)+2),MATCH(J$1,[4]enemy_skill_sets!$1:$1,0)-MATCH($T$1,[4]enemy_skill_sets!$1:$1,0)+2,FALSE)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32" s="26">
        <f ca="1">VLOOKUP($I32,OFFSET([2]enemies!$A$1,0,0,COUNTA([2]enemies!$A:$A),MATCH(T$1,[2]enemies!$1:$1,0)-MATCH($I$1,[2]enemies!$1:$1,0)+1),MATCH(T$1,[2]enemies!$1:$1,0)-MATCH($I$1,[2]enemies!$1:$1,0)+1,FALSE)</f>
        <v>57</v>
      </c>
      <c r="U32" s="7">
        <v>0</v>
      </c>
      <c r="V32" s="7">
        <v>80</v>
      </c>
      <c r="W32" s="7">
        <v>0</v>
      </c>
      <c r="X32" s="26">
        <f ca="1">VLOOKUP($I32,OFFSET([2]enemies!$A$1,0,0,COUNTA([2]enemies!$A:$A),MATCH(X$1,[2]enemies!$1:$1,0)-MATCH($I$1,[2]enemies!$1:$1,0)+1),MATCH(X$1,[2]enemies!$1:$1,0)-MATCH($I$1,[2]enemies!$1:$1,0)+1,FALSE)</f>
        <v>2</v>
      </c>
      <c r="Y32" s="36">
        <v>57</v>
      </c>
      <c r="Z32" s="5" t="str">
        <f ca="1">IFERROR(VLOOKUP($Y32,OFFSET([3]characters!$A$1,0,0,COUNTA([3]characters!$A:$A),MATCH(Z$1,[3]characters!$1:$1,0)-MATCH("character_id",[3]characters!$1:$1,0)+1),MATCH(Z$1,[3]characters!$1:$1,0)-MATCH("character_id",[3]characters!$1:$1,0)+1,FALSE),"")</f>
        <v>チェン・リー</v>
      </c>
      <c r="AA32" s="5">
        <f ca="1">IFERROR(VLOOKUP($Y32,OFFSET([3]characters!$A$1,0,0,COUNTA([3]characters!$A:$A),MATCH(AA$1,[3]characters!$1:$1,0)-MATCH("character_id",[3]characters!$1:$1,0)+1),MATCH(AA$1,[3]characters!$1:$1,0)-MATCH("character_id",[3]characters!$1:$1,0)+1,FALSE),"")</f>
        <v>2</v>
      </c>
      <c r="AB32" s="5" t="str">
        <f ca="1">IFERROR(VLOOKUP($Y32,OFFSET([3]characters!$A$1,0,0,COUNTA([3]characters!$A:$A),MATCH(AB$1,[3]characters!$1:$1,0)-MATCH("character_id",[3]characters!$1:$1,0)+1),MATCH(AB$1,[3]characters!$1:$1,0)-MATCH("character_id",[3]characters!$1:$1,0)+1,FALSE),"")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2" s="8">
        <v>2</v>
      </c>
      <c r="AD32" s="33">
        <f t="shared" ca="1" si="3"/>
        <v>2</v>
      </c>
      <c r="AE32" s="9">
        <v>15</v>
      </c>
      <c r="AF32" s="8">
        <v>0</v>
      </c>
      <c r="AG32" s="8">
        <v>0</v>
      </c>
      <c r="AH32" s="8">
        <v>0</v>
      </c>
      <c r="AI32" s="8">
        <v>0</v>
      </c>
      <c r="AJ32" s="8">
        <v>1</v>
      </c>
    </row>
    <row r="33" spans="1:36" ht="21" customHeight="1" x14ac:dyDescent="0.15">
      <c r="A33" s="21" t="str">
        <f t="shared" ca="1" si="0"/>
        <v>20001_2-2/20&lt;lv15&gt;s3</v>
      </c>
      <c r="B33" s="31">
        <v>20001</v>
      </c>
      <c r="C33" s="38">
        <v>2</v>
      </c>
      <c r="D33" s="2" t="str">
        <f t="shared" si="1"/>
        <v>20001_2</v>
      </c>
      <c r="E33" s="5" t="str">
        <f ca="1">VLOOKUP($B33,OFFSET([1]quests!$A$1,0,0,COUNTA([1]quests!$A:$A),MATCH(E$1,[1]quests!$1:$1,0)-MATCH($B$1,[1]quests!$1:$1,0)+1),MATCH(E$1,[1]quests!$1:$1,0)-MATCH($B$1,[1]quests!$1:$1,0)+1,FALSE)</f>
        <v>紅き執行者</v>
      </c>
      <c r="F33" s="5" t="str">
        <f ca="1">VLOOKUP($D33,OFFSET([1]stages!$A$1,0,0,COUNTA([1]stages!$A:$A),MATCH(F$1,[1]stages!$2:$2,0)-MATCH($D$1,[1]stages!$2:$2,0)+1),MATCH(F$1,[1]stages!$2:$2,0)-MATCH($D$1,[1]stages!$2:$2,0)+1,FALSE)</f>
        <v>【中級】紅き執行者</v>
      </c>
      <c r="G33" s="47">
        <v>2</v>
      </c>
      <c r="H33" s="20" t="str">
        <f t="shared" si="2"/>
        <v>20001_2-2</v>
      </c>
      <c r="I33" s="36">
        <v>20</v>
      </c>
      <c r="J33" s="26" t="str">
        <f ca="1">VLOOKUP($I33,OFFSET([2]enemies!$A$1,0,0,COUNTA([2]enemies!$A:$A),MATCH(J$1,[2]enemies!$1:$1,0)-MATCH($I$1,[2]enemies!$1:$1,0)+1),MATCH(J$1,[2]enemies!$1:$1,0)-MATCH($I$1,[2]enemies!$1:$1,0)+1,FALSE)</f>
        <v>電子妖精 ティンク</v>
      </c>
      <c r="K33" s="26" t="str">
        <f ca="1">VLOOKUP($I33,OFFSET([2]enemies!$A$1,0,0,COUNTA([2]enemies!$A:$A),MATCH(K$1,[2]enemies!$1:$1,0)-MATCH($I$1,[2]enemies!$1:$1,0)+1),MATCH(K$1,[2]enemies!$1:$1,0)-MATCH($I$1,[2]enemies!$1:$1,0)+1,FALSE)</f>
        <v>yellow</v>
      </c>
      <c r="L33" s="28" t="str">
        <f>VLOOKUP(I33,[3]characters!$A:$J,10,FALSE)</f>
        <v>Drop1W</v>
      </c>
      <c r="M33" s="26" t="str">
        <f ca="1">VLOOKUP($I33,OFFSET([2]enemies!$A$1,0,0,COUNTA([2]enemies!$A:$A),MATCH(M$1,[2]enemies!$1:$1,0)-MATCH($I$1,[2]enemies!$1:$1,0)+1),MATCH(M$1,[2]enemies!$1:$1,0)-MATCH($I$1,[2]enemies!$1:$1,0)+1,FALSE)</f>
        <v>human</v>
      </c>
      <c r="N33" s="26">
        <f ca="1">VLOOKUP($I33,OFFSET([2]enemies!$A$1,0,0,COUNTA([2]enemies!$A:$A),MATCH(N$1,[2]enemies!$1:$1,0)-MATCH($I$1,[2]enemies!$1:$1,0)+1),MATCH(N$1,[2]enemies!$1:$1,0)-MATCH($I$1,[2]enemies!$1:$1,0)+1,FALSE)</f>
        <v>15</v>
      </c>
      <c r="O33" s="6">
        <v>15</v>
      </c>
      <c r="P33" s="54">
        <v>1</v>
      </c>
      <c r="Q33" s="54">
        <v>1</v>
      </c>
      <c r="R33" s="6">
        <v>0</v>
      </c>
      <c r="S33" s="5" t="str">
        <f ca="1">VLOOKUP($T33,OFFSET([4]enemy_skill_sets!$B$1,0,0,COUNTA([4]enemy_skill_sets!$B:$B),MATCH(J$1,[4]enemy_skill_sets!$1:$1,0)-MATCH($T$1,[4]enemy_skill_sets!$1:$1,0)+2),MATCH(J$1,[4]enemy_skill_sets!$1:$1,0)-MATCH($T$1,[4]enemy_skill_sets!$1:$1,0)+2,FALSE)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" s="26">
        <f ca="1">VLOOKUP($I33,OFFSET([2]enemies!$A$1,0,0,COUNTA([2]enemies!$A:$A),MATCH(T$1,[2]enemies!$1:$1,0)-MATCH($I$1,[2]enemies!$1:$1,0)+1),MATCH(T$1,[2]enemies!$1:$1,0)-MATCH($I$1,[2]enemies!$1:$1,0)+1,FALSE)</f>
        <v>0</v>
      </c>
      <c r="U33" s="7">
        <v>0</v>
      </c>
      <c r="V33" s="7">
        <v>100</v>
      </c>
      <c r="W33" s="7">
        <v>0</v>
      </c>
      <c r="X33" s="26">
        <f ca="1">VLOOKUP($I33,OFFSET([2]enemies!$A$1,0,0,COUNTA([2]enemies!$A:$A),MATCH(X$1,[2]enemies!$1:$1,0)-MATCH($I$1,[2]enemies!$1:$1,0)+1),MATCH(X$1,[2]enemies!$1:$1,0)-MATCH($I$1,[2]enemies!$1:$1,0)+1,FALSE)</f>
        <v>3</v>
      </c>
      <c r="Y33" s="36">
        <v>20</v>
      </c>
      <c r="Z33" s="5" t="str">
        <f ca="1">IFERROR(VLOOKUP($Y33,OFFSET([3]characters!$A$1,0,0,COUNTA([3]characters!$A:$A),MATCH(Z$1,[3]characters!$1:$1,0)-MATCH("character_id",[3]characters!$1:$1,0)+1),MATCH(Z$1,[3]characters!$1:$1,0)-MATCH("character_id",[3]characters!$1:$1,0)+1,FALSE),"")</f>
        <v>電子妖精 ティンク</v>
      </c>
      <c r="AA33" s="5">
        <f ca="1">IFERROR(VLOOKUP($Y33,OFFSET([3]characters!$A$1,0,0,COUNTA([3]characters!$A:$A),MATCH(AA$1,[3]characters!$1:$1,0)-MATCH("character_id",[3]characters!$1:$1,0)+1),MATCH(AA$1,[3]characters!$1:$1,0)-MATCH("character_id",[3]characters!$1:$1,0)+1,FALSE),"")</f>
        <v>2</v>
      </c>
      <c r="AB33" s="5" t="str">
        <f ca="1">IFERROR(VLOOKUP($Y33,OFFSET([3]characters!$A$1,0,0,COUNTA([3]characters!$A:$A),MATCH(AB$1,[3]characters!$1:$1,0)-MATCH("character_id",[3]characters!$1:$1,0)+1),MATCH(AB$1,[3]characters!$1:$1,0)-MATCH("character_id",[3]characters!$1:$1,0)+1,FALSE),"")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3" s="8">
        <v>4</v>
      </c>
      <c r="AD33" s="33">
        <f t="shared" ca="1" si="3"/>
        <v>2</v>
      </c>
      <c r="AE33" s="9">
        <v>10</v>
      </c>
      <c r="AF33" s="8">
        <v>0</v>
      </c>
      <c r="AG33" s="8">
        <v>0</v>
      </c>
      <c r="AH33" s="8">
        <v>0</v>
      </c>
      <c r="AI33" s="8">
        <v>0</v>
      </c>
      <c r="AJ33" s="8">
        <v>1</v>
      </c>
    </row>
    <row r="34" spans="1:36" ht="21" customHeight="1" x14ac:dyDescent="0.15">
      <c r="A34" s="21" t="str">
        <f t="shared" ca="1" si="0"/>
        <v>20001_2-3/15&lt;lv15&gt;s3</v>
      </c>
      <c r="B34" s="31">
        <v>20001</v>
      </c>
      <c r="C34" s="38">
        <v>2</v>
      </c>
      <c r="D34" s="2" t="str">
        <f t="shared" si="1"/>
        <v>20001_2</v>
      </c>
      <c r="E34" s="5" t="str">
        <f ca="1">VLOOKUP($B34,OFFSET([1]quests!$A$1,0,0,COUNTA([1]quests!$A:$A),MATCH(E$1,[1]quests!$1:$1,0)-MATCH($B$1,[1]quests!$1:$1,0)+1),MATCH(E$1,[1]quests!$1:$1,0)-MATCH($B$1,[1]quests!$1:$1,0)+1,FALSE)</f>
        <v>紅き執行者</v>
      </c>
      <c r="F34" s="5" t="str">
        <f ca="1">VLOOKUP($D34,OFFSET([1]stages!$A$1,0,0,COUNTA([1]stages!$A:$A),MATCH(F$1,[1]stages!$2:$2,0)-MATCH($D$1,[1]stages!$2:$2,0)+1),MATCH(F$1,[1]stages!$2:$2,0)-MATCH($D$1,[1]stages!$2:$2,0)+1,FALSE)</f>
        <v>【中級】紅き執行者</v>
      </c>
      <c r="G34" s="48">
        <v>3</v>
      </c>
      <c r="H34" s="20" t="str">
        <f t="shared" si="2"/>
        <v>20001_2-3</v>
      </c>
      <c r="I34" s="36">
        <v>15</v>
      </c>
      <c r="J34" s="26" t="str">
        <f ca="1">VLOOKUP($I34,OFFSET([2]enemies!$A$1,0,0,COUNTA([2]enemies!$A:$A),MATCH(J$1,[2]enemies!$1:$1,0)-MATCH($I$1,[2]enemies!$1:$1,0)+1),MATCH(J$1,[2]enemies!$1:$1,0)-MATCH($I$1,[2]enemies!$1:$1,0)+1,FALSE)</f>
        <v>アカネ</v>
      </c>
      <c r="K34" s="26" t="str">
        <f ca="1">VLOOKUP($I34,OFFSET([2]enemies!$A$1,0,0,COUNTA([2]enemies!$A:$A),MATCH(K$1,[2]enemies!$1:$1,0)-MATCH($I$1,[2]enemies!$1:$1,0)+1),MATCH(K$1,[2]enemies!$1:$1,0)-MATCH($I$1,[2]enemies!$1:$1,0)+1,FALSE)</f>
        <v>red</v>
      </c>
      <c r="L34" s="28" t="str">
        <f>VLOOKUP(I34,[3]characters!$A:$J,10,FALSE)</f>
        <v>Drop1W</v>
      </c>
      <c r="M34" s="26" t="str">
        <f ca="1">VLOOKUP($I34,OFFSET([2]enemies!$A$1,0,0,COUNTA([2]enemies!$A:$A),MATCH(M$1,[2]enemies!$1:$1,0)-MATCH($I$1,[2]enemies!$1:$1,0)+1),MATCH(M$1,[2]enemies!$1:$1,0)-MATCH($I$1,[2]enemies!$1:$1,0)+1,FALSE)</f>
        <v>human</v>
      </c>
      <c r="N34" s="26">
        <f ca="1">VLOOKUP($I34,OFFSET([2]enemies!$A$1,0,0,COUNTA([2]enemies!$A:$A),MATCH(N$1,[2]enemies!$1:$1,0)-MATCH($I$1,[2]enemies!$1:$1,0)+1),MATCH(N$1,[2]enemies!$1:$1,0)-MATCH($I$1,[2]enemies!$1:$1,0)+1,FALSE)</f>
        <v>15</v>
      </c>
      <c r="O34" s="6">
        <v>15</v>
      </c>
      <c r="P34" s="54">
        <v>1</v>
      </c>
      <c r="Q34" s="54">
        <v>1</v>
      </c>
      <c r="R34" s="6">
        <v>0</v>
      </c>
      <c r="S34" s="5" t="str">
        <f ca="1">VLOOKUP($T34,OFFSET([4]enemy_skill_sets!$B$1,0,0,COUNTA([4]enemy_skill_sets!$B:$B),MATCH(J$1,[4]enemy_skill_sets!$1:$1,0)-MATCH($T$1,[4]enemy_skill_sets!$1:$1,0)+2),MATCH(J$1,[4]enemy_skill_sets!$1:$1,0)-MATCH($T$1,[4]enemy_skill_sets!$1:$1,0)+2,FALSE)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" s="26">
        <f ca="1">VLOOKUP($I34,OFFSET([2]enemies!$A$1,0,0,COUNTA([2]enemies!$A:$A),MATCH(T$1,[2]enemies!$1:$1,0)-MATCH($I$1,[2]enemies!$1:$1,0)+1),MATCH(T$1,[2]enemies!$1:$1,0)-MATCH($I$1,[2]enemies!$1:$1,0)+1,FALSE)</f>
        <v>0</v>
      </c>
      <c r="U34" s="7">
        <v>0</v>
      </c>
      <c r="V34" s="7">
        <v>100</v>
      </c>
      <c r="W34" s="7">
        <v>0</v>
      </c>
      <c r="X34" s="26">
        <f ca="1">VLOOKUP($I34,OFFSET([2]enemies!$A$1,0,0,COUNTA([2]enemies!$A:$A),MATCH(X$1,[2]enemies!$1:$1,0)-MATCH($I$1,[2]enemies!$1:$1,0)+1),MATCH(X$1,[2]enemies!$1:$1,0)-MATCH($I$1,[2]enemies!$1:$1,0)+1,FALSE)</f>
        <v>3</v>
      </c>
      <c r="Y34" s="36">
        <v>15</v>
      </c>
      <c r="Z34" s="5" t="str">
        <f ca="1">IFERROR(VLOOKUP($Y34,OFFSET([3]characters!$A$1,0,0,COUNTA([3]characters!$A:$A),MATCH(Z$1,[3]characters!$1:$1,0)-MATCH("character_id",[3]characters!$1:$1,0)+1),MATCH(Z$1,[3]characters!$1:$1,0)-MATCH("character_id",[3]characters!$1:$1,0)+1,FALSE),"")</f>
        <v>アカネ</v>
      </c>
      <c r="AA34" s="5">
        <f ca="1">IFERROR(VLOOKUP($Y34,OFFSET([3]characters!$A$1,0,0,COUNTA([3]characters!$A:$A),MATCH(AA$1,[3]characters!$1:$1,0)-MATCH("character_id",[3]characters!$1:$1,0)+1),MATCH(AA$1,[3]characters!$1:$1,0)-MATCH("character_id",[3]characters!$1:$1,0)+1,FALSE),"")</f>
        <v>1</v>
      </c>
      <c r="AB34" s="5" t="str">
        <f ca="1">IFERROR(VLOOKUP($Y34,OFFSET([3]characters!$A$1,0,0,COUNTA([3]characters!$A:$A),MATCH(AB$1,[3]characters!$1:$1,0)-MATCH("character_id",[3]characters!$1:$1,0)+1),MATCH(AB$1,[3]characters!$1:$1,0)-MATCH("character_id",[3]characters!$1:$1,0)+1,FALSE),"")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4" s="8">
        <v>4</v>
      </c>
      <c r="AD34" s="33">
        <f t="shared" ca="1" si="3"/>
        <v>1</v>
      </c>
      <c r="AE34" s="9">
        <v>15</v>
      </c>
      <c r="AF34" s="8">
        <v>0</v>
      </c>
      <c r="AG34" s="8">
        <v>0</v>
      </c>
      <c r="AH34" s="8">
        <v>0</v>
      </c>
      <c r="AI34" s="8">
        <v>0</v>
      </c>
      <c r="AJ34" s="8">
        <v>1</v>
      </c>
    </row>
    <row r="35" spans="1:36" ht="21" customHeight="1" x14ac:dyDescent="0.15">
      <c r="A35" s="21" t="str">
        <f t="shared" ca="1" si="0"/>
        <v>20001_2-3/21&lt;lv15&gt;s2</v>
      </c>
      <c r="B35" s="31">
        <v>20001</v>
      </c>
      <c r="C35" s="38">
        <v>2</v>
      </c>
      <c r="D35" s="2" t="str">
        <f t="shared" si="1"/>
        <v>20001_2</v>
      </c>
      <c r="E35" s="5" t="str">
        <f ca="1">VLOOKUP($B35,OFFSET([1]quests!$A$1,0,0,COUNTA([1]quests!$A:$A),MATCH(E$1,[1]quests!$1:$1,0)-MATCH($B$1,[1]quests!$1:$1,0)+1),MATCH(E$1,[1]quests!$1:$1,0)-MATCH($B$1,[1]quests!$1:$1,0)+1,FALSE)</f>
        <v>紅き執行者</v>
      </c>
      <c r="F35" s="5" t="str">
        <f ca="1">VLOOKUP($D35,OFFSET([1]stages!$A$1,0,0,COUNTA([1]stages!$A:$A),MATCH(F$1,[1]stages!$2:$2,0)-MATCH($D$1,[1]stages!$2:$2,0)+1),MATCH(F$1,[1]stages!$2:$2,0)-MATCH($D$1,[1]stages!$2:$2,0)+1,FALSE)</f>
        <v>【中級】紅き執行者</v>
      </c>
      <c r="G35" s="48">
        <v>3</v>
      </c>
      <c r="H35" s="20" t="str">
        <f t="shared" si="2"/>
        <v>20001_2-3</v>
      </c>
      <c r="I35" s="36">
        <v>21</v>
      </c>
      <c r="J35" s="26" t="str">
        <f ca="1">VLOOKUP($I35,OFFSET([2]enemies!$A$1,0,0,COUNTA([2]enemies!$A:$A),MATCH(J$1,[2]enemies!$1:$1,0)-MATCH($I$1,[2]enemies!$1:$1,0)+1),MATCH(J$1,[2]enemies!$1:$1,0)-MATCH($I$1,[2]enemies!$1:$1,0)+1,FALSE)</f>
        <v>ヴェロキー</v>
      </c>
      <c r="K35" s="26" t="str">
        <f ca="1">VLOOKUP($I35,OFFSET([2]enemies!$A$1,0,0,COUNTA([2]enemies!$A:$A),MATCH(K$1,[2]enemies!$1:$1,0)-MATCH($I$1,[2]enemies!$1:$1,0)+1),MATCH(K$1,[2]enemies!$1:$1,0)-MATCH($I$1,[2]enemies!$1:$1,0)+1,FALSE)</f>
        <v>red</v>
      </c>
      <c r="L35" s="28" t="str">
        <f>VLOOKUP(I35,[3]characters!$A:$J,10,FALSE)</f>
        <v>Drop1N</v>
      </c>
      <c r="M35" s="26" t="str">
        <f ca="1">VLOOKUP($I35,OFFSET([2]enemies!$A$1,0,0,COUNTA([2]enemies!$A:$A),MATCH(M$1,[2]enemies!$1:$1,0)-MATCH($I$1,[2]enemies!$1:$1,0)+1),MATCH(M$1,[2]enemies!$1:$1,0)-MATCH($I$1,[2]enemies!$1:$1,0)+1,FALSE)</f>
        <v>dragon</v>
      </c>
      <c r="N35" s="26">
        <f ca="1">VLOOKUP($I35,OFFSET([2]enemies!$A$1,0,0,COUNTA([2]enemies!$A:$A),MATCH(N$1,[2]enemies!$1:$1,0)-MATCH($I$1,[2]enemies!$1:$1,0)+1),MATCH(N$1,[2]enemies!$1:$1,0)-MATCH($I$1,[2]enemies!$1:$1,0)+1,FALSE)</f>
        <v>15</v>
      </c>
      <c r="O35" s="6">
        <v>15</v>
      </c>
      <c r="P35" s="54">
        <v>1</v>
      </c>
      <c r="Q35" s="54">
        <v>1</v>
      </c>
      <c r="R35" s="6">
        <v>0</v>
      </c>
      <c r="S35" s="5" t="str">
        <f ca="1">VLOOKUP($T35,OFFSET([4]enemy_skill_sets!$B$1,0,0,COUNTA([4]enemy_skill_sets!$B:$B),MATCH(J$1,[4]enemy_skill_sets!$1:$1,0)-MATCH($T$1,[4]enemy_skill_sets!$1:$1,0)+2),MATCH(J$1,[4]enemy_skill_sets!$1:$1,0)-MATCH($T$1,[4]enemy_skill_sets!$1:$1,0)+2,FALSE)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" s="26">
        <f ca="1">VLOOKUP($I35,OFFSET([2]enemies!$A$1,0,0,COUNTA([2]enemies!$A:$A),MATCH(T$1,[2]enemies!$1:$1,0)-MATCH($I$1,[2]enemies!$1:$1,0)+1),MATCH(T$1,[2]enemies!$1:$1,0)-MATCH($I$1,[2]enemies!$1:$1,0)+1,FALSE)</f>
        <v>0</v>
      </c>
      <c r="U35" s="7">
        <v>0</v>
      </c>
      <c r="V35" s="7">
        <v>100</v>
      </c>
      <c r="W35" s="7">
        <v>0</v>
      </c>
      <c r="X35" s="26">
        <f ca="1">VLOOKUP($I35,OFFSET([2]enemies!$A$1,0,0,COUNTA([2]enemies!$A:$A),MATCH(X$1,[2]enemies!$1:$1,0)-MATCH($I$1,[2]enemies!$1:$1,0)+1),MATCH(X$1,[2]enemies!$1:$1,0)-MATCH($I$1,[2]enemies!$1:$1,0)+1,FALSE)</f>
        <v>2</v>
      </c>
      <c r="Y35" s="36">
        <v>21</v>
      </c>
      <c r="Z35" s="5" t="str">
        <f ca="1">IFERROR(VLOOKUP($Y35,OFFSET([3]characters!$A$1,0,0,COUNTA([3]characters!$A:$A),MATCH(Z$1,[3]characters!$1:$1,0)-MATCH("character_id",[3]characters!$1:$1,0)+1),MATCH(Z$1,[3]characters!$1:$1,0)-MATCH("character_id",[3]characters!$1:$1,0)+1,FALSE),"")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35" s="5">
        <f ca="1">IFERROR(VLOOKUP($Y35,OFFSET([3]characters!$A$1,0,0,COUNTA([3]characters!$A:$A),MATCH(AA$1,[3]characters!$1:$1,0)-MATCH("character_id",[3]characters!$1:$1,0)+1),MATCH(AA$1,[3]characters!$1:$1,0)-MATCH("character_id",[3]characters!$1:$1,0)+1,FALSE),"")</f>
        <v>1</v>
      </c>
      <c r="AB35" s="5" t="str">
        <f ca="1">IFERROR(VLOOKUP($Y35,OFFSET([3]characters!$A$1,0,0,COUNTA([3]characters!$A:$A),MATCH(AB$1,[3]characters!$1:$1,0)-MATCH("character_id",[3]characters!$1:$1,0)+1),MATCH(AB$1,[3]characters!$1:$1,0)-MATCH("character_id",[3]characters!$1:$1,0)+1,FALSE),"")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5" s="8">
        <v>2</v>
      </c>
      <c r="AD35" s="33">
        <f t="shared" ca="1" si="3"/>
        <v>1</v>
      </c>
      <c r="AE35" s="9">
        <v>15</v>
      </c>
      <c r="AF35" s="8">
        <v>0</v>
      </c>
      <c r="AG35" s="8">
        <v>0</v>
      </c>
      <c r="AH35" s="8">
        <v>0</v>
      </c>
      <c r="AI35" s="8">
        <v>0</v>
      </c>
      <c r="AJ35" s="8">
        <v>1</v>
      </c>
    </row>
    <row r="36" spans="1:36" ht="21" customHeight="1" x14ac:dyDescent="0.15">
      <c r="A36" s="21" t="str">
        <f t="shared" ca="1" si="0"/>
        <v>20001_2-3/41&lt;lv15&gt;s1</v>
      </c>
      <c r="B36" s="31">
        <v>20001</v>
      </c>
      <c r="C36" s="38">
        <v>2</v>
      </c>
      <c r="D36" s="2" t="str">
        <f t="shared" si="1"/>
        <v>20001_2</v>
      </c>
      <c r="E36" s="5" t="str">
        <f ca="1">VLOOKUP($B36,OFFSET([1]quests!$A$1,0,0,COUNTA([1]quests!$A:$A),MATCH(E$1,[1]quests!$1:$1,0)-MATCH($B$1,[1]quests!$1:$1,0)+1),MATCH(E$1,[1]quests!$1:$1,0)-MATCH($B$1,[1]quests!$1:$1,0)+1,FALSE)</f>
        <v>紅き執行者</v>
      </c>
      <c r="F36" s="5" t="str">
        <f ca="1">VLOOKUP($D36,OFFSET([1]stages!$A$1,0,0,COUNTA([1]stages!$A:$A),MATCH(F$1,[1]stages!$2:$2,0)-MATCH($D$1,[1]stages!$2:$2,0)+1),MATCH(F$1,[1]stages!$2:$2,0)-MATCH($D$1,[1]stages!$2:$2,0)+1,FALSE)</f>
        <v>【中級】紅き執行者</v>
      </c>
      <c r="G36" s="48">
        <v>3</v>
      </c>
      <c r="H36" s="20" t="str">
        <f t="shared" si="2"/>
        <v>20001_2-3</v>
      </c>
      <c r="I36" s="36">
        <v>41</v>
      </c>
      <c r="J36" s="26" t="str">
        <f ca="1">VLOOKUP($I36,OFFSET([2]enemies!$A$1,0,0,COUNTA([2]enemies!$A:$A),MATCH(J$1,[2]enemies!$1:$1,0)-MATCH($I$1,[2]enemies!$1:$1,0)+1),MATCH(J$1,[2]enemies!$1:$1,0)-MATCH($I$1,[2]enemies!$1:$1,0)+1,FALSE)</f>
        <v>ヒュウガ</v>
      </c>
      <c r="K36" s="26" t="str">
        <f ca="1">VLOOKUP($I36,OFFSET([2]enemies!$A$1,0,0,COUNTA([2]enemies!$A:$A),MATCH(K$1,[2]enemies!$1:$1,0)-MATCH($I$1,[2]enemies!$1:$1,0)+1),MATCH(K$1,[2]enemies!$1:$1,0)-MATCH($I$1,[2]enemies!$1:$1,0)+1,FALSE)</f>
        <v>red</v>
      </c>
      <c r="L36" s="28" t="str">
        <f>VLOOKUP(I36,[3]characters!$A:$J,10,FALSE)</f>
        <v>Drop1N</v>
      </c>
      <c r="M36" s="26" t="str">
        <f ca="1">VLOOKUP($I36,OFFSET([2]enemies!$A$1,0,0,COUNTA([2]enemies!$A:$A),MATCH(M$1,[2]enemies!$1:$1,0)-MATCH($I$1,[2]enemies!$1:$1,0)+1),MATCH(M$1,[2]enemies!$1:$1,0)-MATCH($I$1,[2]enemies!$1:$1,0)+1,FALSE)</f>
        <v>dragon</v>
      </c>
      <c r="N36" s="26">
        <f ca="1">VLOOKUP($I36,OFFSET([2]enemies!$A$1,0,0,COUNTA([2]enemies!$A:$A),MATCH(N$1,[2]enemies!$1:$1,0)-MATCH($I$1,[2]enemies!$1:$1,0)+1),MATCH(N$1,[2]enemies!$1:$1,0)-MATCH($I$1,[2]enemies!$1:$1,0)+1,FALSE)</f>
        <v>15</v>
      </c>
      <c r="O36" s="6">
        <v>15</v>
      </c>
      <c r="P36" s="54">
        <v>1</v>
      </c>
      <c r="Q36" s="54">
        <v>1</v>
      </c>
      <c r="R36" s="6">
        <v>0</v>
      </c>
      <c r="S36" s="5" t="str">
        <f ca="1">VLOOKUP($T36,OFFSET([4]enemy_skill_sets!$B$1,0,0,COUNTA([4]enemy_skill_sets!$B:$B),MATCH(J$1,[4]enemy_skill_sets!$1:$1,0)-MATCH($T$1,[4]enemy_skill_sets!$1:$1,0)+2),MATCH(J$1,[4]enemy_skill_sets!$1:$1,0)-MATCH($T$1,[4]enemy_skill_sets!$1:$1,0)+2,FALSE)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" s="26">
        <f ca="1">VLOOKUP($I36,OFFSET([2]enemies!$A$1,0,0,COUNTA([2]enemies!$A:$A),MATCH(T$1,[2]enemies!$1:$1,0)-MATCH($I$1,[2]enemies!$1:$1,0)+1),MATCH(T$1,[2]enemies!$1:$1,0)-MATCH($I$1,[2]enemies!$1:$1,0)+1,FALSE)</f>
        <v>0</v>
      </c>
      <c r="U36" s="7">
        <v>0</v>
      </c>
      <c r="V36" s="7">
        <v>100</v>
      </c>
      <c r="W36" s="7">
        <v>0</v>
      </c>
      <c r="X36" s="26">
        <f ca="1">VLOOKUP($I36,OFFSET([2]enemies!$A$1,0,0,COUNTA([2]enemies!$A:$A),MATCH(X$1,[2]enemies!$1:$1,0)-MATCH($I$1,[2]enemies!$1:$1,0)+1),MATCH(X$1,[2]enemies!$1:$1,0)-MATCH($I$1,[2]enemies!$1:$1,0)+1,FALSE)</f>
        <v>1</v>
      </c>
      <c r="Y36" s="36">
        <v>41</v>
      </c>
      <c r="Z36" s="5" t="str">
        <f ca="1">IFERROR(VLOOKUP($Y36,OFFSET([3]characters!$A$1,0,0,COUNTA([3]characters!$A:$A),MATCH(Z$1,[3]characters!$1:$1,0)-MATCH("character_id",[3]characters!$1:$1,0)+1),MATCH(Z$1,[3]characters!$1:$1,0)-MATCH("character_id",[3]characters!$1:$1,0)+1,FALSE),"")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36" s="5">
        <f ca="1">IFERROR(VLOOKUP($Y36,OFFSET([3]characters!$A$1,0,0,COUNTA([3]characters!$A:$A),MATCH(AA$1,[3]characters!$1:$1,0)-MATCH("character_id",[3]characters!$1:$1,0)+1),MATCH(AA$1,[3]characters!$1:$1,0)-MATCH("character_id",[3]characters!$1:$1,0)+1,FALSE),"")</f>
        <v>2</v>
      </c>
      <c r="AB36" s="5" t="str">
        <f ca="1">IFERROR(VLOOKUP($Y36,OFFSET([3]characters!$A$1,0,0,COUNTA([3]characters!$A:$A),MATCH(AB$1,[3]characters!$1:$1,0)-MATCH("character_id",[3]characters!$1:$1,0)+1),MATCH(AB$1,[3]characters!$1:$1,0)-MATCH("character_id",[3]characters!$1:$1,0)+1,FALSE),"")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6" s="8">
        <v>2</v>
      </c>
      <c r="AD36" s="33">
        <f t="shared" ca="1" si="3"/>
        <v>2</v>
      </c>
      <c r="AE36" s="9">
        <v>15</v>
      </c>
      <c r="AF36" s="8">
        <v>0</v>
      </c>
      <c r="AG36" s="8">
        <v>0</v>
      </c>
      <c r="AH36" s="8">
        <v>0</v>
      </c>
      <c r="AI36" s="8">
        <v>0</v>
      </c>
      <c r="AJ36" s="8">
        <v>1</v>
      </c>
    </row>
    <row r="37" spans="1:36" ht="21" customHeight="1" x14ac:dyDescent="0.15">
      <c r="A37" s="21" t="str">
        <f t="shared" ca="1" si="0"/>
        <v>20001_2-3/57&lt;lv15&gt;s2</v>
      </c>
      <c r="B37" s="31">
        <v>20001</v>
      </c>
      <c r="C37" s="38">
        <v>2</v>
      </c>
      <c r="D37" s="2" t="str">
        <f t="shared" si="1"/>
        <v>20001_2</v>
      </c>
      <c r="E37" s="5" t="str">
        <f ca="1">VLOOKUP($B37,OFFSET([1]quests!$A$1,0,0,COUNTA([1]quests!$A:$A),MATCH(E$1,[1]quests!$1:$1,0)-MATCH($B$1,[1]quests!$1:$1,0)+1),MATCH(E$1,[1]quests!$1:$1,0)-MATCH($B$1,[1]quests!$1:$1,0)+1,FALSE)</f>
        <v>紅き執行者</v>
      </c>
      <c r="F37" s="5" t="str">
        <f ca="1">VLOOKUP($D37,OFFSET([1]stages!$A$1,0,0,COUNTA([1]stages!$A:$A),MATCH(F$1,[1]stages!$2:$2,0)-MATCH($D$1,[1]stages!$2:$2,0)+1),MATCH(F$1,[1]stages!$2:$2,0)-MATCH($D$1,[1]stages!$2:$2,0)+1,FALSE)</f>
        <v>【中級】紅き執行者</v>
      </c>
      <c r="G37" s="48">
        <v>3</v>
      </c>
      <c r="H37" s="20" t="str">
        <f t="shared" si="2"/>
        <v>20001_2-3</v>
      </c>
      <c r="I37" s="36">
        <v>57</v>
      </c>
      <c r="J37" s="26" t="str">
        <f ca="1">VLOOKUP($I37,OFFSET([2]enemies!$A$1,0,0,COUNTA([2]enemies!$A:$A),MATCH(J$1,[2]enemies!$1:$1,0)-MATCH($I$1,[2]enemies!$1:$1,0)+1),MATCH(J$1,[2]enemies!$1:$1,0)-MATCH($I$1,[2]enemies!$1:$1,0)+1,FALSE)</f>
        <v>チェン・リー</v>
      </c>
      <c r="K37" s="26" t="str">
        <f ca="1">VLOOKUP($I37,OFFSET([2]enemies!$A$1,0,0,COUNTA([2]enemies!$A:$A),MATCH(K$1,[2]enemies!$1:$1,0)-MATCH($I$1,[2]enemies!$1:$1,0)+1),MATCH(K$1,[2]enemies!$1:$1,0)-MATCH($I$1,[2]enemies!$1:$1,0)+1,FALSE)</f>
        <v>red</v>
      </c>
      <c r="L37" s="28" t="str">
        <f>VLOOKUP(I37,[3]characters!$A:$J,10,FALSE)</f>
        <v>Drop1N</v>
      </c>
      <c r="M37" s="26" t="str">
        <f ca="1">VLOOKUP($I37,OFFSET([2]enemies!$A$1,0,0,COUNTA([2]enemies!$A:$A),MATCH(M$1,[2]enemies!$1:$1,0)-MATCH($I$1,[2]enemies!$1:$1,0)+1),MATCH(M$1,[2]enemies!$1:$1,0)-MATCH($I$1,[2]enemies!$1:$1,0)+1,FALSE)</f>
        <v>animal</v>
      </c>
      <c r="N37" s="26">
        <f ca="1">VLOOKUP($I37,OFFSET([2]enemies!$A$1,0,0,COUNTA([2]enemies!$A:$A),MATCH(N$1,[2]enemies!$1:$1,0)-MATCH($I$1,[2]enemies!$1:$1,0)+1),MATCH(N$1,[2]enemies!$1:$1,0)-MATCH($I$1,[2]enemies!$1:$1,0)+1,FALSE)</f>
        <v>15</v>
      </c>
      <c r="O37" s="6">
        <v>15</v>
      </c>
      <c r="P37" s="54">
        <v>1</v>
      </c>
      <c r="Q37" s="54">
        <v>1</v>
      </c>
      <c r="R37" s="6">
        <v>0</v>
      </c>
      <c r="S37" s="5" t="str">
        <f ca="1">VLOOKUP($T37,OFFSET([4]enemy_skill_sets!$B$1,0,0,COUNTA([4]enemy_skill_sets!$B:$B),MATCH(J$1,[4]enemy_skill_sets!$1:$1,0)-MATCH($T$1,[4]enemy_skill_sets!$1:$1,0)+2),MATCH(J$1,[4]enemy_skill_sets!$1:$1,0)-MATCH($T$1,[4]enemy_skill_sets!$1:$1,0)+2,FALSE)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37" s="26">
        <f ca="1">VLOOKUP($I37,OFFSET([2]enemies!$A$1,0,0,COUNTA([2]enemies!$A:$A),MATCH(T$1,[2]enemies!$1:$1,0)-MATCH($I$1,[2]enemies!$1:$1,0)+1),MATCH(T$1,[2]enemies!$1:$1,0)-MATCH($I$1,[2]enemies!$1:$1,0)+1,FALSE)</f>
        <v>57</v>
      </c>
      <c r="U37" s="7">
        <v>0</v>
      </c>
      <c r="V37" s="7">
        <v>80</v>
      </c>
      <c r="W37" s="7">
        <v>0</v>
      </c>
      <c r="X37" s="26">
        <f ca="1">VLOOKUP($I37,OFFSET([2]enemies!$A$1,0,0,COUNTA([2]enemies!$A:$A),MATCH(X$1,[2]enemies!$1:$1,0)-MATCH($I$1,[2]enemies!$1:$1,0)+1),MATCH(X$1,[2]enemies!$1:$1,0)-MATCH($I$1,[2]enemies!$1:$1,0)+1,FALSE)</f>
        <v>2</v>
      </c>
      <c r="Y37" s="36">
        <v>57</v>
      </c>
      <c r="Z37" s="5" t="str">
        <f ca="1">IFERROR(VLOOKUP($Y37,OFFSET([3]characters!$A$1,0,0,COUNTA([3]characters!$A:$A),MATCH(Z$1,[3]characters!$1:$1,0)-MATCH("character_id",[3]characters!$1:$1,0)+1),MATCH(Z$1,[3]characters!$1:$1,0)-MATCH("character_id",[3]characters!$1:$1,0)+1,FALSE),"")</f>
        <v>チェン・リー</v>
      </c>
      <c r="AA37" s="5">
        <f ca="1">IFERROR(VLOOKUP($Y37,OFFSET([3]characters!$A$1,0,0,COUNTA([3]characters!$A:$A),MATCH(AA$1,[3]characters!$1:$1,0)-MATCH("character_id",[3]characters!$1:$1,0)+1),MATCH(AA$1,[3]characters!$1:$1,0)-MATCH("character_id",[3]characters!$1:$1,0)+1,FALSE),"")</f>
        <v>2</v>
      </c>
      <c r="AB37" s="5" t="str">
        <f ca="1">IFERROR(VLOOKUP($Y37,OFFSET([3]characters!$A$1,0,0,COUNTA([3]characters!$A:$A),MATCH(AB$1,[3]characters!$1:$1,0)-MATCH("character_id",[3]characters!$1:$1,0)+1),MATCH(AB$1,[3]characters!$1:$1,0)-MATCH("character_id",[3]characters!$1:$1,0)+1,FALSE),"")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7" s="8">
        <v>2</v>
      </c>
      <c r="AD37" s="33">
        <f t="shared" ca="1" si="3"/>
        <v>2</v>
      </c>
      <c r="AE37" s="9">
        <v>15</v>
      </c>
      <c r="AF37" s="8">
        <v>0</v>
      </c>
      <c r="AG37" s="8">
        <v>0</v>
      </c>
      <c r="AH37" s="8">
        <v>0</v>
      </c>
      <c r="AI37" s="8">
        <v>0</v>
      </c>
      <c r="AJ37" s="8">
        <v>1</v>
      </c>
    </row>
    <row r="38" spans="1:36" ht="21" customHeight="1" x14ac:dyDescent="0.15">
      <c r="A38" s="21" t="str">
        <f t="shared" ca="1" si="0"/>
        <v>20001_2-3/20&lt;lv15&gt;s3</v>
      </c>
      <c r="B38" s="31">
        <v>20001</v>
      </c>
      <c r="C38" s="38">
        <v>2</v>
      </c>
      <c r="D38" s="2" t="str">
        <f t="shared" si="1"/>
        <v>20001_2</v>
      </c>
      <c r="E38" s="5" t="str">
        <f ca="1">VLOOKUP($B38,OFFSET([1]quests!$A$1,0,0,COUNTA([1]quests!$A:$A),MATCH(E$1,[1]quests!$1:$1,0)-MATCH($B$1,[1]quests!$1:$1,0)+1),MATCH(E$1,[1]quests!$1:$1,0)-MATCH($B$1,[1]quests!$1:$1,0)+1,FALSE)</f>
        <v>紅き執行者</v>
      </c>
      <c r="F38" s="5" t="str">
        <f ca="1">VLOOKUP($D38,OFFSET([1]stages!$A$1,0,0,COUNTA([1]stages!$A:$A),MATCH(F$1,[1]stages!$2:$2,0)-MATCH($D$1,[1]stages!$2:$2,0)+1),MATCH(F$1,[1]stages!$2:$2,0)-MATCH($D$1,[1]stages!$2:$2,0)+1,FALSE)</f>
        <v>【中級】紅き執行者</v>
      </c>
      <c r="G38" s="48">
        <v>3</v>
      </c>
      <c r="H38" s="20" t="str">
        <f t="shared" si="2"/>
        <v>20001_2-3</v>
      </c>
      <c r="I38" s="36">
        <v>20</v>
      </c>
      <c r="J38" s="26" t="str">
        <f ca="1">VLOOKUP($I38,OFFSET([2]enemies!$A$1,0,0,COUNTA([2]enemies!$A:$A),MATCH(J$1,[2]enemies!$1:$1,0)-MATCH($I$1,[2]enemies!$1:$1,0)+1),MATCH(J$1,[2]enemies!$1:$1,0)-MATCH($I$1,[2]enemies!$1:$1,0)+1,FALSE)</f>
        <v>電子妖精 ティンク</v>
      </c>
      <c r="K38" s="26" t="str">
        <f ca="1">VLOOKUP($I38,OFFSET([2]enemies!$A$1,0,0,COUNTA([2]enemies!$A:$A),MATCH(K$1,[2]enemies!$1:$1,0)-MATCH($I$1,[2]enemies!$1:$1,0)+1),MATCH(K$1,[2]enemies!$1:$1,0)-MATCH($I$1,[2]enemies!$1:$1,0)+1,FALSE)</f>
        <v>yellow</v>
      </c>
      <c r="L38" s="28" t="str">
        <f>VLOOKUP(I38,[3]characters!$A:$J,10,FALSE)</f>
        <v>Drop1W</v>
      </c>
      <c r="M38" s="26" t="str">
        <f ca="1">VLOOKUP($I38,OFFSET([2]enemies!$A$1,0,0,COUNTA([2]enemies!$A:$A),MATCH(M$1,[2]enemies!$1:$1,0)-MATCH($I$1,[2]enemies!$1:$1,0)+1),MATCH(M$1,[2]enemies!$1:$1,0)-MATCH($I$1,[2]enemies!$1:$1,0)+1,FALSE)</f>
        <v>human</v>
      </c>
      <c r="N38" s="26">
        <f ca="1">VLOOKUP($I38,OFFSET([2]enemies!$A$1,0,0,COUNTA([2]enemies!$A:$A),MATCH(N$1,[2]enemies!$1:$1,0)-MATCH($I$1,[2]enemies!$1:$1,0)+1),MATCH(N$1,[2]enemies!$1:$1,0)-MATCH($I$1,[2]enemies!$1:$1,0)+1,FALSE)</f>
        <v>15</v>
      </c>
      <c r="O38" s="6">
        <v>15</v>
      </c>
      <c r="P38" s="54">
        <v>1</v>
      </c>
      <c r="Q38" s="54">
        <v>1</v>
      </c>
      <c r="R38" s="6">
        <v>0</v>
      </c>
      <c r="S38" s="5" t="str">
        <f ca="1">VLOOKUP($T38,OFFSET([4]enemy_skill_sets!$B$1,0,0,COUNTA([4]enemy_skill_sets!$B:$B),MATCH(J$1,[4]enemy_skill_sets!$1:$1,0)-MATCH($T$1,[4]enemy_skill_sets!$1:$1,0)+2),MATCH(J$1,[4]enemy_skill_sets!$1:$1,0)-MATCH($T$1,[4]enemy_skill_sets!$1:$1,0)+2,FALSE)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" s="26">
        <f ca="1">VLOOKUP($I38,OFFSET([2]enemies!$A$1,0,0,COUNTA([2]enemies!$A:$A),MATCH(T$1,[2]enemies!$1:$1,0)-MATCH($I$1,[2]enemies!$1:$1,0)+1),MATCH(T$1,[2]enemies!$1:$1,0)-MATCH($I$1,[2]enemies!$1:$1,0)+1,FALSE)</f>
        <v>0</v>
      </c>
      <c r="U38" s="7">
        <v>0</v>
      </c>
      <c r="V38" s="7">
        <v>100</v>
      </c>
      <c r="W38" s="7">
        <v>0</v>
      </c>
      <c r="X38" s="26">
        <f ca="1">VLOOKUP($I38,OFFSET([2]enemies!$A$1,0,0,COUNTA([2]enemies!$A:$A),MATCH(X$1,[2]enemies!$1:$1,0)-MATCH($I$1,[2]enemies!$1:$1,0)+1),MATCH(X$1,[2]enemies!$1:$1,0)-MATCH($I$1,[2]enemies!$1:$1,0)+1,FALSE)</f>
        <v>3</v>
      </c>
      <c r="Y38" s="36">
        <v>20</v>
      </c>
      <c r="Z38" s="5" t="str">
        <f ca="1">IFERROR(VLOOKUP($Y38,OFFSET([3]characters!$A$1,0,0,COUNTA([3]characters!$A:$A),MATCH(Z$1,[3]characters!$1:$1,0)-MATCH("character_id",[3]characters!$1:$1,0)+1),MATCH(Z$1,[3]characters!$1:$1,0)-MATCH("character_id",[3]characters!$1:$1,0)+1,FALSE),"")</f>
        <v>電子妖精 ティンク</v>
      </c>
      <c r="AA38" s="5">
        <f ca="1">IFERROR(VLOOKUP($Y38,OFFSET([3]characters!$A$1,0,0,COUNTA([3]characters!$A:$A),MATCH(AA$1,[3]characters!$1:$1,0)-MATCH("character_id",[3]characters!$1:$1,0)+1),MATCH(AA$1,[3]characters!$1:$1,0)-MATCH("character_id",[3]characters!$1:$1,0)+1,FALSE),"")</f>
        <v>2</v>
      </c>
      <c r="AB38" s="5" t="str">
        <f ca="1">IFERROR(VLOOKUP($Y38,OFFSET([3]characters!$A$1,0,0,COUNTA([3]characters!$A:$A),MATCH(AB$1,[3]characters!$1:$1,0)-MATCH("character_id",[3]characters!$1:$1,0)+1),MATCH(AB$1,[3]characters!$1:$1,0)-MATCH("character_id",[3]characters!$1:$1,0)+1,FALSE),"")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8" s="8">
        <v>4</v>
      </c>
      <c r="AD38" s="33">
        <f t="shared" ca="1" si="3"/>
        <v>2</v>
      </c>
      <c r="AE38" s="9">
        <v>10</v>
      </c>
      <c r="AF38" s="8">
        <v>0</v>
      </c>
      <c r="AG38" s="8">
        <v>0</v>
      </c>
      <c r="AH38" s="8">
        <v>0</v>
      </c>
      <c r="AI38" s="8">
        <v>0</v>
      </c>
      <c r="AJ38" s="8">
        <v>1</v>
      </c>
    </row>
    <row r="39" spans="1:36" ht="21" customHeight="1" x14ac:dyDescent="0.15">
      <c r="A39" s="21" t="str">
        <f t="shared" ca="1" si="0"/>
        <v>20001_2-4/15&lt;lv15&gt;s3</v>
      </c>
      <c r="B39" s="31">
        <v>20001</v>
      </c>
      <c r="C39" s="38">
        <v>2</v>
      </c>
      <c r="D39" s="2" t="str">
        <f t="shared" si="1"/>
        <v>20001_2</v>
      </c>
      <c r="E39" s="5" t="str">
        <f ca="1">VLOOKUP($B39,OFFSET([1]quests!$A$1,0,0,COUNTA([1]quests!$A:$A),MATCH(E$1,[1]quests!$1:$1,0)-MATCH($B$1,[1]quests!$1:$1,0)+1),MATCH(E$1,[1]quests!$1:$1,0)-MATCH($B$1,[1]quests!$1:$1,0)+1,FALSE)</f>
        <v>紅き執行者</v>
      </c>
      <c r="F39" s="5" t="str">
        <f ca="1">VLOOKUP($D39,OFFSET([1]stages!$A$1,0,0,COUNTA([1]stages!$A:$A),MATCH(F$1,[1]stages!$2:$2,0)-MATCH($D$1,[1]stages!$2:$2,0)+1),MATCH(F$1,[1]stages!$2:$2,0)-MATCH($D$1,[1]stages!$2:$2,0)+1,FALSE)</f>
        <v>【中級】紅き執行者</v>
      </c>
      <c r="G39" s="49">
        <v>4</v>
      </c>
      <c r="H39" s="20" t="str">
        <f t="shared" si="2"/>
        <v>20001_2-4</v>
      </c>
      <c r="I39" s="36">
        <v>15</v>
      </c>
      <c r="J39" s="26" t="str">
        <f ca="1">VLOOKUP($I39,OFFSET([2]enemies!$A$1,0,0,COUNTA([2]enemies!$A:$A),MATCH(J$1,[2]enemies!$1:$1,0)-MATCH($I$1,[2]enemies!$1:$1,0)+1),MATCH(J$1,[2]enemies!$1:$1,0)-MATCH($I$1,[2]enemies!$1:$1,0)+1,FALSE)</f>
        <v>アカネ</v>
      </c>
      <c r="K39" s="26" t="str">
        <f ca="1">VLOOKUP($I39,OFFSET([2]enemies!$A$1,0,0,COUNTA([2]enemies!$A:$A),MATCH(K$1,[2]enemies!$1:$1,0)-MATCH($I$1,[2]enemies!$1:$1,0)+1),MATCH(K$1,[2]enemies!$1:$1,0)-MATCH($I$1,[2]enemies!$1:$1,0)+1,FALSE)</f>
        <v>red</v>
      </c>
      <c r="L39" s="28" t="str">
        <f>VLOOKUP(I39,[3]characters!$A:$J,10,FALSE)</f>
        <v>Drop1W</v>
      </c>
      <c r="M39" s="26" t="str">
        <f ca="1">VLOOKUP($I39,OFFSET([2]enemies!$A$1,0,0,COUNTA([2]enemies!$A:$A),MATCH(M$1,[2]enemies!$1:$1,0)-MATCH($I$1,[2]enemies!$1:$1,0)+1),MATCH(M$1,[2]enemies!$1:$1,0)-MATCH($I$1,[2]enemies!$1:$1,0)+1,FALSE)</f>
        <v>human</v>
      </c>
      <c r="N39" s="26">
        <f ca="1">VLOOKUP($I39,OFFSET([2]enemies!$A$1,0,0,COUNTA([2]enemies!$A:$A),MATCH(N$1,[2]enemies!$1:$1,0)-MATCH($I$1,[2]enemies!$1:$1,0)+1),MATCH(N$1,[2]enemies!$1:$1,0)-MATCH($I$1,[2]enemies!$1:$1,0)+1,FALSE)</f>
        <v>15</v>
      </c>
      <c r="O39" s="6">
        <v>15</v>
      </c>
      <c r="P39" s="54">
        <v>1</v>
      </c>
      <c r="Q39" s="54">
        <v>1</v>
      </c>
      <c r="R39" s="6">
        <v>0</v>
      </c>
      <c r="S39" s="5" t="str">
        <f ca="1">VLOOKUP($T39,OFFSET([4]enemy_skill_sets!$B$1,0,0,COUNTA([4]enemy_skill_sets!$B:$B),MATCH(J$1,[4]enemy_skill_sets!$1:$1,0)-MATCH($T$1,[4]enemy_skill_sets!$1:$1,0)+2),MATCH(J$1,[4]enemy_skill_sets!$1:$1,0)-MATCH($T$1,[4]enemy_skill_sets!$1:$1,0)+2,FALSE)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" s="26">
        <f ca="1">VLOOKUP($I39,OFFSET([2]enemies!$A$1,0,0,COUNTA([2]enemies!$A:$A),MATCH(T$1,[2]enemies!$1:$1,0)-MATCH($I$1,[2]enemies!$1:$1,0)+1),MATCH(T$1,[2]enemies!$1:$1,0)-MATCH($I$1,[2]enemies!$1:$1,0)+1,FALSE)</f>
        <v>0</v>
      </c>
      <c r="U39" s="7">
        <v>1</v>
      </c>
      <c r="V39" s="7">
        <v>100</v>
      </c>
      <c r="W39" s="7">
        <v>0</v>
      </c>
      <c r="X39" s="26">
        <f ca="1">VLOOKUP($I39,OFFSET([2]enemies!$A$1,0,0,COUNTA([2]enemies!$A:$A),MATCH(X$1,[2]enemies!$1:$1,0)-MATCH($I$1,[2]enemies!$1:$1,0)+1),MATCH(X$1,[2]enemies!$1:$1,0)-MATCH($I$1,[2]enemies!$1:$1,0)+1,FALSE)</f>
        <v>3</v>
      </c>
      <c r="Y39" s="36">
        <v>15</v>
      </c>
      <c r="Z39" s="5" t="str">
        <f ca="1">IFERROR(VLOOKUP($Y39,OFFSET([3]characters!$A$1,0,0,COUNTA([3]characters!$A:$A),MATCH(Z$1,[3]characters!$1:$1,0)-MATCH("character_id",[3]characters!$1:$1,0)+1),MATCH(Z$1,[3]characters!$1:$1,0)-MATCH("character_id",[3]characters!$1:$1,0)+1,FALSE),"")</f>
        <v>アカネ</v>
      </c>
      <c r="AA39" s="5">
        <f ca="1">IFERROR(VLOOKUP($Y39,OFFSET([3]characters!$A$1,0,0,COUNTA([3]characters!$A:$A),MATCH(AA$1,[3]characters!$1:$1,0)-MATCH("character_id",[3]characters!$1:$1,0)+1),MATCH(AA$1,[3]characters!$1:$1,0)-MATCH("character_id",[3]characters!$1:$1,0)+1,FALSE),"")</f>
        <v>1</v>
      </c>
      <c r="AB39" s="5" t="str">
        <f ca="1">IFERROR(VLOOKUP($Y39,OFFSET([3]characters!$A$1,0,0,COUNTA([3]characters!$A:$A),MATCH(AB$1,[3]characters!$1:$1,0)-MATCH("character_id",[3]characters!$1:$1,0)+1),MATCH(AB$1,[3]characters!$1:$1,0)-MATCH("character_id",[3]characters!$1:$1,0)+1,FALSE),"")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9" s="8">
        <v>4</v>
      </c>
      <c r="AD39" s="33">
        <f t="shared" ca="1" si="3"/>
        <v>1</v>
      </c>
      <c r="AE39" s="9">
        <v>0</v>
      </c>
      <c r="AF39" s="8">
        <v>0</v>
      </c>
      <c r="AG39" s="8">
        <v>0</v>
      </c>
      <c r="AH39" s="8">
        <v>0</v>
      </c>
      <c r="AI39" s="8">
        <v>0</v>
      </c>
      <c r="AJ39" s="8">
        <v>1</v>
      </c>
    </row>
    <row r="40" spans="1:36" ht="21" customHeight="1" x14ac:dyDescent="0.15">
      <c r="A40" s="21" t="str">
        <f t="shared" ca="1" si="0"/>
        <v>20001_2-4/21&lt;lv15&gt;s2</v>
      </c>
      <c r="B40" s="31">
        <v>20001</v>
      </c>
      <c r="C40" s="38">
        <v>2</v>
      </c>
      <c r="D40" s="2" t="str">
        <f t="shared" si="1"/>
        <v>20001_2</v>
      </c>
      <c r="E40" s="5" t="str">
        <f ca="1">VLOOKUP($B40,OFFSET([1]quests!$A$1,0,0,COUNTA([1]quests!$A:$A),MATCH(E$1,[1]quests!$1:$1,0)-MATCH($B$1,[1]quests!$1:$1,0)+1),MATCH(E$1,[1]quests!$1:$1,0)-MATCH($B$1,[1]quests!$1:$1,0)+1,FALSE)</f>
        <v>紅き執行者</v>
      </c>
      <c r="F40" s="5" t="str">
        <f ca="1">VLOOKUP($D40,OFFSET([1]stages!$A$1,0,0,COUNTA([1]stages!$A:$A),MATCH(F$1,[1]stages!$2:$2,0)-MATCH($D$1,[1]stages!$2:$2,0)+1),MATCH(F$1,[1]stages!$2:$2,0)-MATCH($D$1,[1]stages!$2:$2,0)+1,FALSE)</f>
        <v>【中級】紅き執行者</v>
      </c>
      <c r="G40" s="49">
        <v>4</v>
      </c>
      <c r="H40" s="20" t="str">
        <f t="shared" si="2"/>
        <v>20001_2-4</v>
      </c>
      <c r="I40" s="36">
        <v>21</v>
      </c>
      <c r="J40" s="26" t="str">
        <f ca="1">VLOOKUP($I40,OFFSET([2]enemies!$A$1,0,0,COUNTA([2]enemies!$A:$A),MATCH(J$1,[2]enemies!$1:$1,0)-MATCH($I$1,[2]enemies!$1:$1,0)+1),MATCH(J$1,[2]enemies!$1:$1,0)-MATCH($I$1,[2]enemies!$1:$1,0)+1,FALSE)</f>
        <v>ヴェロキー</v>
      </c>
      <c r="K40" s="26" t="str">
        <f ca="1">VLOOKUP($I40,OFFSET([2]enemies!$A$1,0,0,COUNTA([2]enemies!$A:$A),MATCH(K$1,[2]enemies!$1:$1,0)-MATCH($I$1,[2]enemies!$1:$1,0)+1),MATCH(K$1,[2]enemies!$1:$1,0)-MATCH($I$1,[2]enemies!$1:$1,0)+1,FALSE)</f>
        <v>red</v>
      </c>
      <c r="L40" s="28" t="str">
        <f>VLOOKUP(I40,[3]characters!$A:$J,10,FALSE)</f>
        <v>Drop1N</v>
      </c>
      <c r="M40" s="26" t="str">
        <f ca="1">VLOOKUP($I40,OFFSET([2]enemies!$A$1,0,0,COUNTA([2]enemies!$A:$A),MATCH(M$1,[2]enemies!$1:$1,0)-MATCH($I$1,[2]enemies!$1:$1,0)+1),MATCH(M$1,[2]enemies!$1:$1,0)-MATCH($I$1,[2]enemies!$1:$1,0)+1,FALSE)</f>
        <v>dragon</v>
      </c>
      <c r="N40" s="26">
        <f ca="1">VLOOKUP($I40,OFFSET([2]enemies!$A$1,0,0,COUNTA([2]enemies!$A:$A),MATCH(N$1,[2]enemies!$1:$1,0)-MATCH($I$1,[2]enemies!$1:$1,0)+1),MATCH(N$1,[2]enemies!$1:$1,0)-MATCH($I$1,[2]enemies!$1:$1,0)+1,FALSE)</f>
        <v>15</v>
      </c>
      <c r="O40" s="6">
        <v>15</v>
      </c>
      <c r="P40" s="54">
        <v>1</v>
      </c>
      <c r="Q40" s="54">
        <v>1</v>
      </c>
      <c r="R40" s="6">
        <v>0</v>
      </c>
      <c r="S40" s="5" t="str">
        <f ca="1">VLOOKUP($T40,OFFSET([4]enemy_skill_sets!$B$1,0,0,COUNTA([4]enemy_skill_sets!$B:$B),MATCH(J$1,[4]enemy_skill_sets!$1:$1,0)-MATCH($T$1,[4]enemy_skill_sets!$1:$1,0)+2),MATCH(J$1,[4]enemy_skill_sets!$1:$1,0)-MATCH($T$1,[4]enemy_skill_sets!$1:$1,0)+2,FALSE)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" s="26">
        <f ca="1">VLOOKUP($I40,OFFSET([2]enemies!$A$1,0,0,COUNTA([2]enemies!$A:$A),MATCH(T$1,[2]enemies!$1:$1,0)-MATCH($I$1,[2]enemies!$1:$1,0)+1),MATCH(T$1,[2]enemies!$1:$1,0)-MATCH($I$1,[2]enemies!$1:$1,0)+1,FALSE)</f>
        <v>0</v>
      </c>
      <c r="U40" s="7">
        <v>0</v>
      </c>
      <c r="V40" s="7">
        <v>100</v>
      </c>
      <c r="W40" s="7">
        <v>0</v>
      </c>
      <c r="X40" s="26">
        <f ca="1">VLOOKUP($I40,OFFSET([2]enemies!$A$1,0,0,COUNTA([2]enemies!$A:$A),MATCH(X$1,[2]enemies!$1:$1,0)-MATCH($I$1,[2]enemies!$1:$1,0)+1),MATCH(X$1,[2]enemies!$1:$1,0)-MATCH($I$1,[2]enemies!$1:$1,0)+1,FALSE)</f>
        <v>2</v>
      </c>
      <c r="Y40" s="36">
        <v>21</v>
      </c>
      <c r="Z40" s="5" t="str">
        <f ca="1">IFERROR(VLOOKUP($Y40,OFFSET([3]characters!$A$1,0,0,COUNTA([3]characters!$A:$A),MATCH(Z$1,[3]characters!$1:$1,0)-MATCH("character_id",[3]characters!$1:$1,0)+1),MATCH(Z$1,[3]characters!$1:$1,0)-MATCH("character_id",[3]characters!$1:$1,0)+1,FALSE),"")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40" s="5">
        <f ca="1">IFERROR(VLOOKUP($Y40,OFFSET([3]characters!$A$1,0,0,COUNTA([3]characters!$A:$A),MATCH(AA$1,[3]characters!$1:$1,0)-MATCH("character_id",[3]characters!$1:$1,0)+1),MATCH(AA$1,[3]characters!$1:$1,0)-MATCH("character_id",[3]characters!$1:$1,0)+1,FALSE),"")</f>
        <v>1</v>
      </c>
      <c r="AB40" s="5" t="str">
        <f ca="1">IFERROR(VLOOKUP($Y40,OFFSET([3]characters!$A$1,0,0,COUNTA([3]characters!$A:$A),MATCH(AB$1,[3]characters!$1:$1,0)-MATCH("character_id",[3]characters!$1:$1,0)+1),MATCH(AB$1,[3]characters!$1:$1,0)-MATCH("character_id",[3]characters!$1:$1,0)+1,FALSE),"")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0" s="8">
        <v>2</v>
      </c>
      <c r="AD40" s="33">
        <f t="shared" ca="1" si="3"/>
        <v>1</v>
      </c>
      <c r="AE40" s="9">
        <v>0</v>
      </c>
      <c r="AF40" s="8">
        <v>0</v>
      </c>
      <c r="AG40" s="8">
        <v>0</v>
      </c>
      <c r="AH40" s="8">
        <v>0</v>
      </c>
      <c r="AI40" s="8">
        <v>0</v>
      </c>
      <c r="AJ40" s="8">
        <v>1</v>
      </c>
    </row>
    <row r="41" spans="1:36" ht="21" customHeight="1" x14ac:dyDescent="0.15">
      <c r="A41" s="21" t="str">
        <f t="shared" ca="1" si="0"/>
        <v>20001_2-4/41&lt;lv15&gt;s1</v>
      </c>
      <c r="B41" s="31">
        <v>20001</v>
      </c>
      <c r="C41" s="38">
        <v>2</v>
      </c>
      <c r="D41" s="2" t="str">
        <f t="shared" si="1"/>
        <v>20001_2</v>
      </c>
      <c r="E41" s="5" t="str">
        <f ca="1">VLOOKUP($B41,OFFSET([1]quests!$A$1,0,0,COUNTA([1]quests!$A:$A),MATCH(E$1,[1]quests!$1:$1,0)-MATCH($B$1,[1]quests!$1:$1,0)+1),MATCH(E$1,[1]quests!$1:$1,0)-MATCH($B$1,[1]quests!$1:$1,0)+1,FALSE)</f>
        <v>紅き執行者</v>
      </c>
      <c r="F41" s="5" t="str">
        <f ca="1">VLOOKUP($D41,OFFSET([1]stages!$A$1,0,0,COUNTA([1]stages!$A:$A),MATCH(F$1,[1]stages!$2:$2,0)-MATCH($D$1,[1]stages!$2:$2,0)+1),MATCH(F$1,[1]stages!$2:$2,0)-MATCH($D$1,[1]stages!$2:$2,0)+1,FALSE)</f>
        <v>【中級】紅き執行者</v>
      </c>
      <c r="G41" s="49">
        <v>4</v>
      </c>
      <c r="H41" s="20" t="str">
        <f t="shared" si="2"/>
        <v>20001_2-4</v>
      </c>
      <c r="I41" s="36">
        <v>41</v>
      </c>
      <c r="J41" s="26" t="str">
        <f ca="1">VLOOKUP($I41,OFFSET([2]enemies!$A$1,0,0,COUNTA([2]enemies!$A:$A),MATCH(J$1,[2]enemies!$1:$1,0)-MATCH($I$1,[2]enemies!$1:$1,0)+1),MATCH(J$1,[2]enemies!$1:$1,0)-MATCH($I$1,[2]enemies!$1:$1,0)+1,FALSE)</f>
        <v>ヒュウガ</v>
      </c>
      <c r="K41" s="26" t="str">
        <f ca="1">VLOOKUP($I41,OFFSET([2]enemies!$A$1,0,0,COUNTA([2]enemies!$A:$A),MATCH(K$1,[2]enemies!$1:$1,0)-MATCH($I$1,[2]enemies!$1:$1,0)+1),MATCH(K$1,[2]enemies!$1:$1,0)-MATCH($I$1,[2]enemies!$1:$1,0)+1,FALSE)</f>
        <v>red</v>
      </c>
      <c r="L41" s="28" t="str">
        <f>VLOOKUP(I41,[3]characters!$A:$J,10,FALSE)</f>
        <v>Drop1N</v>
      </c>
      <c r="M41" s="26" t="str">
        <f ca="1">VLOOKUP($I41,OFFSET([2]enemies!$A$1,0,0,COUNTA([2]enemies!$A:$A),MATCH(M$1,[2]enemies!$1:$1,0)-MATCH($I$1,[2]enemies!$1:$1,0)+1),MATCH(M$1,[2]enemies!$1:$1,0)-MATCH($I$1,[2]enemies!$1:$1,0)+1,FALSE)</f>
        <v>dragon</v>
      </c>
      <c r="N41" s="26">
        <f ca="1">VLOOKUP($I41,OFFSET([2]enemies!$A$1,0,0,COUNTA([2]enemies!$A:$A),MATCH(N$1,[2]enemies!$1:$1,0)-MATCH($I$1,[2]enemies!$1:$1,0)+1),MATCH(N$1,[2]enemies!$1:$1,0)-MATCH($I$1,[2]enemies!$1:$1,0)+1,FALSE)</f>
        <v>15</v>
      </c>
      <c r="O41" s="6">
        <v>15</v>
      </c>
      <c r="P41" s="54">
        <v>1</v>
      </c>
      <c r="Q41" s="54">
        <v>1</v>
      </c>
      <c r="R41" s="6">
        <v>0</v>
      </c>
      <c r="S41" s="5" t="str">
        <f ca="1">VLOOKUP($T41,OFFSET([4]enemy_skill_sets!$B$1,0,0,COUNTA([4]enemy_skill_sets!$B:$B),MATCH(J$1,[4]enemy_skill_sets!$1:$1,0)-MATCH($T$1,[4]enemy_skill_sets!$1:$1,0)+2),MATCH(J$1,[4]enemy_skill_sets!$1:$1,0)-MATCH($T$1,[4]enemy_skill_sets!$1:$1,0)+2,FALSE)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" s="26">
        <f ca="1">VLOOKUP($I41,OFFSET([2]enemies!$A$1,0,0,COUNTA([2]enemies!$A:$A),MATCH(T$1,[2]enemies!$1:$1,0)-MATCH($I$1,[2]enemies!$1:$1,0)+1),MATCH(T$1,[2]enemies!$1:$1,0)-MATCH($I$1,[2]enemies!$1:$1,0)+1,FALSE)</f>
        <v>0</v>
      </c>
      <c r="U41" s="7">
        <v>1</v>
      </c>
      <c r="V41" s="7">
        <v>100</v>
      </c>
      <c r="W41" s="7">
        <v>0</v>
      </c>
      <c r="X41" s="26">
        <f ca="1">VLOOKUP($I41,OFFSET([2]enemies!$A$1,0,0,COUNTA([2]enemies!$A:$A),MATCH(X$1,[2]enemies!$1:$1,0)-MATCH($I$1,[2]enemies!$1:$1,0)+1),MATCH(X$1,[2]enemies!$1:$1,0)-MATCH($I$1,[2]enemies!$1:$1,0)+1,FALSE)</f>
        <v>1</v>
      </c>
      <c r="Y41" s="36">
        <v>41</v>
      </c>
      <c r="Z41" s="5" t="str">
        <f ca="1">IFERROR(VLOOKUP($Y41,OFFSET([3]characters!$A$1,0,0,COUNTA([3]characters!$A:$A),MATCH(Z$1,[3]characters!$1:$1,0)-MATCH("character_id",[3]characters!$1:$1,0)+1),MATCH(Z$1,[3]characters!$1:$1,0)-MATCH("character_id",[3]characters!$1:$1,0)+1,FALSE),"")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41" s="5">
        <f ca="1">IFERROR(VLOOKUP($Y41,OFFSET([3]characters!$A$1,0,0,COUNTA([3]characters!$A:$A),MATCH(AA$1,[3]characters!$1:$1,0)-MATCH("character_id",[3]characters!$1:$1,0)+1),MATCH(AA$1,[3]characters!$1:$1,0)-MATCH("character_id",[3]characters!$1:$1,0)+1,FALSE),"")</f>
        <v>2</v>
      </c>
      <c r="AB41" s="5" t="str">
        <f ca="1">IFERROR(VLOOKUP($Y41,OFFSET([3]characters!$A$1,0,0,COUNTA([3]characters!$A:$A),MATCH(AB$1,[3]characters!$1:$1,0)-MATCH("character_id",[3]characters!$1:$1,0)+1),MATCH(AB$1,[3]characters!$1:$1,0)-MATCH("character_id",[3]characters!$1:$1,0)+1,FALSE),"")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1" s="8">
        <v>2</v>
      </c>
      <c r="AD41" s="33">
        <f t="shared" ca="1" si="3"/>
        <v>2</v>
      </c>
      <c r="AE41" s="9">
        <v>0</v>
      </c>
      <c r="AF41" s="8">
        <v>0</v>
      </c>
      <c r="AG41" s="8">
        <v>0</v>
      </c>
      <c r="AH41" s="8">
        <v>0</v>
      </c>
      <c r="AI41" s="8">
        <v>0</v>
      </c>
      <c r="AJ41" s="8">
        <v>1</v>
      </c>
    </row>
    <row r="42" spans="1:36" ht="21" customHeight="1" x14ac:dyDescent="0.15">
      <c r="A42" s="21" t="str">
        <f t="shared" ca="1" si="0"/>
        <v>20001_2-4/57&lt;lv15&gt;s2</v>
      </c>
      <c r="B42" s="31">
        <v>20001</v>
      </c>
      <c r="C42" s="38">
        <v>2</v>
      </c>
      <c r="D42" s="2" t="str">
        <f t="shared" si="1"/>
        <v>20001_2</v>
      </c>
      <c r="E42" s="5" t="str">
        <f ca="1">VLOOKUP($B42,OFFSET([1]quests!$A$1,0,0,COUNTA([1]quests!$A:$A),MATCH(E$1,[1]quests!$1:$1,0)-MATCH($B$1,[1]quests!$1:$1,0)+1),MATCH(E$1,[1]quests!$1:$1,0)-MATCH($B$1,[1]quests!$1:$1,0)+1,FALSE)</f>
        <v>紅き執行者</v>
      </c>
      <c r="F42" s="5" t="str">
        <f ca="1">VLOOKUP($D42,OFFSET([1]stages!$A$1,0,0,COUNTA([1]stages!$A:$A),MATCH(F$1,[1]stages!$2:$2,0)-MATCH($D$1,[1]stages!$2:$2,0)+1),MATCH(F$1,[1]stages!$2:$2,0)-MATCH($D$1,[1]stages!$2:$2,0)+1,FALSE)</f>
        <v>【中級】紅き執行者</v>
      </c>
      <c r="G42" s="49">
        <v>4</v>
      </c>
      <c r="H42" s="20" t="str">
        <f t="shared" si="2"/>
        <v>20001_2-4</v>
      </c>
      <c r="I42" s="36">
        <v>57</v>
      </c>
      <c r="J42" s="26" t="str">
        <f ca="1">VLOOKUP($I42,OFFSET([2]enemies!$A$1,0,0,COUNTA([2]enemies!$A:$A),MATCH(J$1,[2]enemies!$1:$1,0)-MATCH($I$1,[2]enemies!$1:$1,0)+1),MATCH(J$1,[2]enemies!$1:$1,0)-MATCH($I$1,[2]enemies!$1:$1,0)+1,FALSE)</f>
        <v>チェン・リー</v>
      </c>
      <c r="K42" s="26" t="str">
        <f ca="1">VLOOKUP($I42,OFFSET([2]enemies!$A$1,0,0,COUNTA([2]enemies!$A:$A),MATCH(K$1,[2]enemies!$1:$1,0)-MATCH($I$1,[2]enemies!$1:$1,0)+1),MATCH(K$1,[2]enemies!$1:$1,0)-MATCH($I$1,[2]enemies!$1:$1,0)+1,FALSE)</f>
        <v>red</v>
      </c>
      <c r="L42" s="28" t="str">
        <f>VLOOKUP(I42,[3]characters!$A:$J,10,FALSE)</f>
        <v>Drop1N</v>
      </c>
      <c r="M42" s="26" t="str">
        <f ca="1">VLOOKUP($I42,OFFSET([2]enemies!$A$1,0,0,COUNTA([2]enemies!$A:$A),MATCH(M$1,[2]enemies!$1:$1,0)-MATCH($I$1,[2]enemies!$1:$1,0)+1),MATCH(M$1,[2]enemies!$1:$1,0)-MATCH($I$1,[2]enemies!$1:$1,0)+1,FALSE)</f>
        <v>animal</v>
      </c>
      <c r="N42" s="26">
        <f ca="1">VLOOKUP($I42,OFFSET([2]enemies!$A$1,0,0,COUNTA([2]enemies!$A:$A),MATCH(N$1,[2]enemies!$1:$1,0)-MATCH($I$1,[2]enemies!$1:$1,0)+1),MATCH(N$1,[2]enemies!$1:$1,0)-MATCH($I$1,[2]enemies!$1:$1,0)+1,FALSE)</f>
        <v>15</v>
      </c>
      <c r="O42" s="6">
        <v>15</v>
      </c>
      <c r="P42" s="54">
        <v>1</v>
      </c>
      <c r="Q42" s="54">
        <v>1</v>
      </c>
      <c r="R42" s="6">
        <v>0</v>
      </c>
      <c r="S42" s="5" t="str">
        <f ca="1">VLOOKUP($T42,OFFSET([4]enemy_skill_sets!$B$1,0,0,COUNTA([4]enemy_skill_sets!$B:$B),MATCH(J$1,[4]enemy_skill_sets!$1:$1,0)-MATCH($T$1,[4]enemy_skill_sets!$1:$1,0)+2),MATCH(J$1,[4]enemy_skill_sets!$1:$1,0)-MATCH($T$1,[4]enemy_skill_sets!$1:$1,0)+2,FALSE)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42" s="26">
        <f ca="1">VLOOKUP($I42,OFFSET([2]enemies!$A$1,0,0,COUNTA([2]enemies!$A:$A),MATCH(T$1,[2]enemies!$1:$1,0)-MATCH($I$1,[2]enemies!$1:$1,0)+1),MATCH(T$1,[2]enemies!$1:$1,0)-MATCH($I$1,[2]enemies!$1:$1,0)+1,FALSE)</f>
        <v>57</v>
      </c>
      <c r="U42" s="7">
        <v>0</v>
      </c>
      <c r="V42" s="7">
        <v>80</v>
      </c>
      <c r="W42" s="7">
        <v>0</v>
      </c>
      <c r="X42" s="26">
        <f ca="1">VLOOKUP($I42,OFFSET([2]enemies!$A$1,0,0,COUNTA([2]enemies!$A:$A),MATCH(X$1,[2]enemies!$1:$1,0)-MATCH($I$1,[2]enemies!$1:$1,0)+1),MATCH(X$1,[2]enemies!$1:$1,0)-MATCH($I$1,[2]enemies!$1:$1,0)+1,FALSE)</f>
        <v>2</v>
      </c>
      <c r="Y42" s="36">
        <v>57</v>
      </c>
      <c r="Z42" s="5" t="str">
        <f ca="1">IFERROR(VLOOKUP($Y42,OFFSET([3]characters!$A$1,0,0,COUNTA([3]characters!$A:$A),MATCH(Z$1,[3]characters!$1:$1,0)-MATCH("character_id",[3]characters!$1:$1,0)+1),MATCH(Z$1,[3]characters!$1:$1,0)-MATCH("character_id",[3]characters!$1:$1,0)+1,FALSE),"")</f>
        <v>チェン・リー</v>
      </c>
      <c r="AA42" s="5">
        <f ca="1">IFERROR(VLOOKUP($Y42,OFFSET([3]characters!$A$1,0,0,COUNTA([3]characters!$A:$A),MATCH(AA$1,[3]characters!$1:$1,0)-MATCH("character_id",[3]characters!$1:$1,0)+1),MATCH(AA$1,[3]characters!$1:$1,0)-MATCH("character_id",[3]characters!$1:$1,0)+1,FALSE),"")</f>
        <v>2</v>
      </c>
      <c r="AB42" s="5" t="str">
        <f ca="1">IFERROR(VLOOKUP($Y42,OFFSET([3]characters!$A$1,0,0,COUNTA([3]characters!$A:$A),MATCH(AB$1,[3]characters!$1:$1,0)-MATCH("character_id",[3]characters!$1:$1,0)+1),MATCH(AB$1,[3]characters!$1:$1,0)-MATCH("character_id",[3]characters!$1:$1,0)+1,FALSE),"")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2" s="8">
        <v>2</v>
      </c>
      <c r="AD42" s="33">
        <f t="shared" ca="1" si="3"/>
        <v>2</v>
      </c>
      <c r="AE42" s="9">
        <v>0</v>
      </c>
      <c r="AF42" s="8">
        <v>0</v>
      </c>
      <c r="AG42" s="8">
        <v>0</v>
      </c>
      <c r="AH42" s="8">
        <v>0</v>
      </c>
      <c r="AI42" s="8">
        <v>0</v>
      </c>
      <c r="AJ42" s="8">
        <v>1</v>
      </c>
    </row>
    <row r="43" spans="1:36" ht="21" customHeight="1" x14ac:dyDescent="0.15">
      <c r="A43" s="21" t="str">
        <f t="shared" ca="1" si="0"/>
        <v>20001_2-4/20&lt;lv15&gt;s3</v>
      </c>
      <c r="B43" s="31">
        <v>20001</v>
      </c>
      <c r="C43" s="38">
        <v>2</v>
      </c>
      <c r="D43" s="2" t="str">
        <f t="shared" si="1"/>
        <v>20001_2</v>
      </c>
      <c r="E43" s="5" t="str">
        <f ca="1">VLOOKUP($B43,OFFSET([1]quests!$A$1,0,0,COUNTA([1]quests!$A:$A),MATCH(E$1,[1]quests!$1:$1,0)-MATCH($B$1,[1]quests!$1:$1,0)+1),MATCH(E$1,[1]quests!$1:$1,0)-MATCH($B$1,[1]quests!$1:$1,0)+1,FALSE)</f>
        <v>紅き執行者</v>
      </c>
      <c r="F43" s="5" t="str">
        <f ca="1">VLOOKUP($D43,OFFSET([1]stages!$A$1,0,0,COUNTA([1]stages!$A:$A),MATCH(F$1,[1]stages!$2:$2,0)-MATCH($D$1,[1]stages!$2:$2,0)+1),MATCH(F$1,[1]stages!$2:$2,0)-MATCH($D$1,[1]stages!$2:$2,0)+1,FALSE)</f>
        <v>【中級】紅き執行者</v>
      </c>
      <c r="G43" s="49">
        <v>4</v>
      </c>
      <c r="H43" s="20" t="str">
        <f t="shared" si="2"/>
        <v>20001_2-4</v>
      </c>
      <c r="I43" s="36">
        <v>20</v>
      </c>
      <c r="J43" s="26" t="str">
        <f ca="1">VLOOKUP($I43,OFFSET([2]enemies!$A$1,0,0,COUNTA([2]enemies!$A:$A),MATCH(J$1,[2]enemies!$1:$1,0)-MATCH($I$1,[2]enemies!$1:$1,0)+1),MATCH(J$1,[2]enemies!$1:$1,0)-MATCH($I$1,[2]enemies!$1:$1,0)+1,FALSE)</f>
        <v>電子妖精 ティンク</v>
      </c>
      <c r="K43" s="26" t="str">
        <f ca="1">VLOOKUP($I43,OFFSET([2]enemies!$A$1,0,0,COUNTA([2]enemies!$A:$A),MATCH(K$1,[2]enemies!$1:$1,0)-MATCH($I$1,[2]enemies!$1:$1,0)+1),MATCH(K$1,[2]enemies!$1:$1,0)-MATCH($I$1,[2]enemies!$1:$1,0)+1,FALSE)</f>
        <v>yellow</v>
      </c>
      <c r="L43" s="28" t="str">
        <f>VLOOKUP(I43,[3]characters!$A:$J,10,FALSE)</f>
        <v>Drop1W</v>
      </c>
      <c r="M43" s="26" t="str">
        <f ca="1">VLOOKUP($I43,OFFSET([2]enemies!$A$1,0,0,COUNTA([2]enemies!$A:$A),MATCH(M$1,[2]enemies!$1:$1,0)-MATCH($I$1,[2]enemies!$1:$1,0)+1),MATCH(M$1,[2]enemies!$1:$1,0)-MATCH($I$1,[2]enemies!$1:$1,0)+1,FALSE)</f>
        <v>human</v>
      </c>
      <c r="N43" s="26">
        <f ca="1">VLOOKUP($I43,OFFSET([2]enemies!$A$1,0,0,COUNTA([2]enemies!$A:$A),MATCH(N$1,[2]enemies!$1:$1,0)-MATCH($I$1,[2]enemies!$1:$1,0)+1),MATCH(N$1,[2]enemies!$1:$1,0)-MATCH($I$1,[2]enemies!$1:$1,0)+1,FALSE)</f>
        <v>15</v>
      </c>
      <c r="O43" s="6">
        <v>15</v>
      </c>
      <c r="P43" s="54">
        <v>1</v>
      </c>
      <c r="Q43" s="54">
        <v>1</v>
      </c>
      <c r="R43" s="6">
        <v>0</v>
      </c>
      <c r="S43" s="5" t="str">
        <f ca="1">VLOOKUP($T43,OFFSET([4]enemy_skill_sets!$B$1,0,0,COUNTA([4]enemy_skill_sets!$B:$B),MATCH(J$1,[4]enemy_skill_sets!$1:$1,0)-MATCH($T$1,[4]enemy_skill_sets!$1:$1,0)+2),MATCH(J$1,[4]enemy_skill_sets!$1:$1,0)-MATCH($T$1,[4]enemy_skill_sets!$1:$1,0)+2,FALSE)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" s="26">
        <f ca="1">VLOOKUP($I43,OFFSET([2]enemies!$A$1,0,0,COUNTA([2]enemies!$A:$A),MATCH(T$1,[2]enemies!$1:$1,0)-MATCH($I$1,[2]enemies!$1:$1,0)+1),MATCH(T$1,[2]enemies!$1:$1,0)-MATCH($I$1,[2]enemies!$1:$1,0)+1,FALSE)</f>
        <v>0</v>
      </c>
      <c r="U43" s="7">
        <v>0</v>
      </c>
      <c r="V43" s="7">
        <v>100</v>
      </c>
      <c r="W43" s="7">
        <v>0</v>
      </c>
      <c r="X43" s="26">
        <f ca="1">VLOOKUP($I43,OFFSET([2]enemies!$A$1,0,0,COUNTA([2]enemies!$A:$A),MATCH(X$1,[2]enemies!$1:$1,0)-MATCH($I$1,[2]enemies!$1:$1,0)+1),MATCH(X$1,[2]enemies!$1:$1,0)-MATCH($I$1,[2]enemies!$1:$1,0)+1,FALSE)</f>
        <v>3</v>
      </c>
      <c r="Y43" s="36">
        <v>20</v>
      </c>
      <c r="Z43" s="5" t="str">
        <f ca="1">IFERROR(VLOOKUP($Y43,OFFSET([3]characters!$A$1,0,0,COUNTA([3]characters!$A:$A),MATCH(Z$1,[3]characters!$1:$1,0)-MATCH("character_id",[3]characters!$1:$1,0)+1),MATCH(Z$1,[3]characters!$1:$1,0)-MATCH("character_id",[3]characters!$1:$1,0)+1,FALSE),"")</f>
        <v>電子妖精 ティンク</v>
      </c>
      <c r="AA43" s="5">
        <f ca="1">IFERROR(VLOOKUP($Y43,OFFSET([3]characters!$A$1,0,0,COUNTA([3]characters!$A:$A),MATCH(AA$1,[3]characters!$1:$1,0)-MATCH("character_id",[3]characters!$1:$1,0)+1),MATCH(AA$1,[3]characters!$1:$1,0)-MATCH("character_id",[3]characters!$1:$1,0)+1,FALSE),"")</f>
        <v>2</v>
      </c>
      <c r="AB43" s="5" t="str">
        <f ca="1">IFERROR(VLOOKUP($Y43,OFFSET([3]characters!$A$1,0,0,COUNTA([3]characters!$A:$A),MATCH(AB$1,[3]characters!$1:$1,0)-MATCH("character_id",[3]characters!$1:$1,0)+1),MATCH(AB$1,[3]characters!$1:$1,0)-MATCH("character_id",[3]characters!$1:$1,0)+1,FALSE),"")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43" s="8">
        <v>4</v>
      </c>
      <c r="AD43" s="33">
        <f t="shared" ca="1" si="3"/>
        <v>2</v>
      </c>
      <c r="AE43" s="9">
        <v>0</v>
      </c>
      <c r="AF43" s="8">
        <v>0</v>
      </c>
      <c r="AG43" s="8">
        <v>0</v>
      </c>
      <c r="AH43" s="8">
        <v>0</v>
      </c>
      <c r="AI43" s="8">
        <v>0</v>
      </c>
      <c r="AJ43" s="8">
        <v>1</v>
      </c>
    </row>
    <row r="44" spans="1:36" ht="21" customHeight="1" x14ac:dyDescent="0.15">
      <c r="A44" s="21" t="str">
        <f t="shared" si="0"/>
        <v>20001_2-4/121&lt;lv15&gt;s3</v>
      </c>
      <c r="B44" s="31">
        <v>20001</v>
      </c>
      <c r="C44" s="38">
        <v>2</v>
      </c>
      <c r="D44" s="2" t="str">
        <f t="shared" si="1"/>
        <v>20001_2</v>
      </c>
      <c r="E44" s="5" t="str">
        <f ca="1">VLOOKUP($B44,OFFSET([1]quests!$A$1,0,0,COUNTA([1]quests!$A:$A),MATCH(E$1,[1]quests!$1:$1,0)-MATCH($B$1,[1]quests!$1:$1,0)+1),MATCH(E$1,[1]quests!$1:$1,0)-MATCH($B$1,[1]quests!$1:$1,0)+1,FALSE)</f>
        <v>紅き執行者</v>
      </c>
      <c r="F44" s="5" t="str">
        <f ca="1">VLOOKUP($D44,OFFSET([1]stages!$A$1,0,0,COUNTA([1]stages!$A:$A),MATCH(F$1,[1]stages!$2:$2,0)-MATCH($D$1,[1]stages!$2:$2,0)+1),MATCH(F$1,[1]stages!$2:$2,0)-MATCH($D$1,[1]stages!$2:$2,0)+1,FALSE)</f>
        <v>【中級】紅き執行者</v>
      </c>
      <c r="G44" s="49">
        <v>4</v>
      </c>
      <c r="H44" s="20" t="str">
        <f t="shared" si="2"/>
        <v>20001_2-4</v>
      </c>
      <c r="I44" s="37">
        <v>121</v>
      </c>
      <c r="J44" s="26" t="str">
        <f ca="1">VLOOKUP($I44,OFFSET([2]enemies!$A$1,0,0,COUNTA([2]enemies!$A:$A),MATCH(J$1,[2]enemies!$1:$1,0)-MATCH($I$1,[2]enemies!$1:$1,0)+1),MATCH(J$1,[2]enemies!$1:$1,0)-MATCH($I$1,[2]enemies!$1:$1,0)+1,FALSE)</f>
        <v>攻めの果実</v>
      </c>
      <c r="K44" s="26" t="str">
        <f ca="1">VLOOKUP($I44,OFFSET([2]enemies!$A$1,0,0,COUNTA([2]enemies!$A:$A),MATCH(K$1,[2]enemies!$1:$1,0)-MATCH($I$1,[2]enemies!$1:$1,0)+1),MATCH(K$1,[2]enemies!$1:$1,0)-MATCH($I$1,[2]enemies!$1:$1,0)+1,FALSE)</f>
        <v>red</v>
      </c>
      <c r="L44" s="28" t="str">
        <f>VLOOKUP(I44,[3]characters!$A:$J,10,FALSE)</f>
        <v>Material</v>
      </c>
      <c r="M44" s="26" t="str">
        <f ca="1">VLOOKUP($I44,OFFSET([2]enemies!$A$1,0,0,COUNTA([2]enemies!$A:$A),MATCH(M$1,[2]enemies!$1:$1,0)-MATCH($I$1,[2]enemies!$1:$1,0)+1),MATCH(M$1,[2]enemies!$1:$1,0)-MATCH($I$1,[2]enemies!$1:$1,0)+1,FALSE)</f>
        <v>unknown</v>
      </c>
      <c r="N44" s="26">
        <f ca="1">VLOOKUP($I44,OFFSET([2]enemies!$A$1,0,0,COUNTA([2]enemies!$A:$A),MATCH(N$1,[2]enemies!$1:$1,0)-MATCH($I$1,[2]enemies!$1:$1,0)+1),MATCH(N$1,[2]enemies!$1:$1,0)-MATCH($I$1,[2]enemies!$1:$1,0)+1,FALSE)</f>
        <v>20</v>
      </c>
      <c r="O44" s="6">
        <v>15</v>
      </c>
      <c r="P44" s="54">
        <v>2.2999999999999998</v>
      </c>
      <c r="Q44" s="54">
        <v>1.3</v>
      </c>
      <c r="R44" s="6">
        <v>0</v>
      </c>
      <c r="S44" s="5" t="str">
        <f ca="1">VLOOKUP($T44,OFFSET([4]enemy_skill_sets!$B$1,0,0,COUNTA([4]enemy_skill_sets!$B:$B),MATCH(J$1,[4]enemy_skill_sets!$1:$1,0)-MATCH($T$1,[4]enemy_skill_sets!$1:$1,0)+2),MATCH(J$1,[4]enemy_skill_sets!$1:$1,0)-MATCH($T$1,[4]enemy_skill_sets!$1:$1,0)+2,FALSE)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44" s="52">
        <v>1211</v>
      </c>
      <c r="U44" s="7">
        <v>1</v>
      </c>
      <c r="V44" s="7">
        <v>0</v>
      </c>
      <c r="W44" s="7">
        <v>0</v>
      </c>
      <c r="X44" s="52">
        <v>3</v>
      </c>
      <c r="Y44" s="37">
        <v>121</v>
      </c>
      <c r="Z44" s="5" t="str">
        <f ca="1">IFERROR(VLOOKUP($Y44,OFFSET([3]characters!$A$1,0,0,COUNTA([3]characters!$A:$A),MATCH(Z$1,[3]characters!$1:$1,0)-MATCH("character_id",[3]characters!$1:$1,0)+1),MATCH(Z$1,[3]characters!$1:$1,0)-MATCH("character_id",[3]characters!$1:$1,0)+1,FALSE),"")</f>
        <v>攻めの果実</v>
      </c>
      <c r="AA44" s="5">
        <f ca="1">IFERROR(VLOOKUP($Y44,OFFSET([3]characters!$A$1,0,0,COUNTA([3]characters!$A:$A),MATCH(AA$1,[3]characters!$1:$1,0)-MATCH("character_id",[3]characters!$1:$1,0)+1),MATCH(AA$1,[3]characters!$1:$1,0)-MATCH("character_id",[3]characters!$1:$1,0)+1,FALSE),"")</f>
        <v>3</v>
      </c>
      <c r="AB44" s="5" t="str">
        <f ca="1">IFERROR(VLOOKUP($Y44,OFFSET([3]characters!$A$1,0,0,COUNTA([3]characters!$A:$A),MATCH(AB$1,[3]characters!$1:$1,0)-MATCH("character_id",[3]characters!$1:$1,0)+1),MATCH(AB$1,[3]characters!$1:$1,0)-MATCH("character_id",[3]characters!$1:$1,0)+1,FALSE),"")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44" s="8">
        <v>1</v>
      </c>
      <c r="AD44" s="33">
        <f t="shared" ca="1" si="3"/>
        <v>3</v>
      </c>
      <c r="AE44" s="9">
        <v>10</v>
      </c>
      <c r="AF44" s="8">
        <v>0</v>
      </c>
      <c r="AG44" s="8">
        <v>0</v>
      </c>
      <c r="AH44" s="8">
        <v>0</v>
      </c>
      <c r="AI44" s="8">
        <v>0</v>
      </c>
      <c r="AJ44" s="8">
        <v>1</v>
      </c>
    </row>
    <row r="45" spans="1:36" ht="21" customHeight="1" x14ac:dyDescent="0.15">
      <c r="A45" s="21" t="str">
        <f t="shared" ca="1" si="0"/>
        <v>20001_2-5/20&lt;lv17&gt;s3</v>
      </c>
      <c r="B45" s="31">
        <v>20001</v>
      </c>
      <c r="C45" s="38">
        <v>2</v>
      </c>
      <c r="D45" s="2" t="str">
        <f t="shared" si="1"/>
        <v>20001_2</v>
      </c>
      <c r="E45" s="5" t="str">
        <f ca="1">VLOOKUP($B45,OFFSET([1]quests!$A$1,0,0,COUNTA([1]quests!$A:$A),MATCH(E$1,[1]quests!$1:$1,0)-MATCH($B$1,[1]quests!$1:$1,0)+1),MATCH(E$1,[1]quests!$1:$1,0)-MATCH($B$1,[1]quests!$1:$1,0)+1,FALSE)</f>
        <v>紅き執行者</v>
      </c>
      <c r="F45" s="5" t="str">
        <f ca="1">VLOOKUP($D45,OFFSET([1]stages!$A$1,0,0,COUNTA([1]stages!$A:$A),MATCH(F$1,[1]stages!$2:$2,0)-MATCH($D$1,[1]stages!$2:$2,0)+1),MATCH(F$1,[1]stages!$2:$2,0)-MATCH($D$1,[1]stages!$2:$2,0)+1,FALSE)</f>
        <v>【中級】紅き執行者</v>
      </c>
      <c r="G45" s="50">
        <v>5</v>
      </c>
      <c r="H45" s="20" t="str">
        <f t="shared" si="2"/>
        <v>20001_2-5</v>
      </c>
      <c r="I45" s="36">
        <v>20</v>
      </c>
      <c r="J45" s="26" t="str">
        <f ca="1">VLOOKUP($I45,OFFSET([2]enemies!$A$1,0,0,COUNTA([2]enemies!$A:$A),MATCH(J$1,[2]enemies!$1:$1,0)-MATCH($I$1,[2]enemies!$1:$1,0)+1),MATCH(J$1,[2]enemies!$1:$1,0)-MATCH($I$1,[2]enemies!$1:$1,0)+1,FALSE)</f>
        <v>電子妖精 ティンク</v>
      </c>
      <c r="K45" s="26" t="str">
        <f ca="1">VLOOKUP($I45,OFFSET([2]enemies!$A$1,0,0,COUNTA([2]enemies!$A:$A),MATCH(K$1,[2]enemies!$1:$1,0)-MATCH($I$1,[2]enemies!$1:$1,0)+1),MATCH(K$1,[2]enemies!$1:$1,0)-MATCH($I$1,[2]enemies!$1:$1,0)+1,FALSE)</f>
        <v>yellow</v>
      </c>
      <c r="L45" s="28" t="str">
        <f>VLOOKUP(I45,[3]characters!$A:$J,10,FALSE)</f>
        <v>Drop1W</v>
      </c>
      <c r="M45" s="26" t="str">
        <f ca="1">VLOOKUP($I45,OFFSET([2]enemies!$A$1,0,0,COUNTA([2]enemies!$A:$A),MATCH(M$1,[2]enemies!$1:$1,0)-MATCH($I$1,[2]enemies!$1:$1,0)+1),MATCH(M$1,[2]enemies!$1:$1,0)-MATCH($I$1,[2]enemies!$1:$1,0)+1,FALSE)</f>
        <v>human</v>
      </c>
      <c r="N45" s="26">
        <f ca="1">VLOOKUP($I45,OFFSET([2]enemies!$A$1,0,0,COUNTA([2]enemies!$A:$A),MATCH(N$1,[2]enemies!$1:$1,0)-MATCH($I$1,[2]enemies!$1:$1,0)+1),MATCH(N$1,[2]enemies!$1:$1,0)-MATCH($I$1,[2]enemies!$1:$1,0)+1,FALSE)</f>
        <v>15</v>
      </c>
      <c r="O45" s="6">
        <v>17</v>
      </c>
      <c r="P45" s="54">
        <v>2.2000000000000002</v>
      </c>
      <c r="Q45" s="54">
        <v>1</v>
      </c>
      <c r="R45" s="6">
        <v>0</v>
      </c>
      <c r="S45" s="5" t="str">
        <f ca="1">VLOOKUP($T45,OFFSET([4]enemy_skill_sets!$B$1,0,0,COUNTA([4]enemy_skill_sets!$B:$B),MATCH(J$1,[4]enemy_skill_sets!$1:$1,0)-MATCH($T$1,[4]enemy_skill_sets!$1:$1,0)+2),MATCH(J$1,[4]enemy_skill_sets!$1:$1,0)-MATCH($T$1,[4]enemy_skill_sets!$1:$1,0)+2,FALSE)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" s="26">
        <f ca="1">VLOOKUP($I45,OFFSET([2]enemies!$A$1,0,0,COUNTA([2]enemies!$A:$A),MATCH(T$1,[2]enemies!$1:$1,0)-MATCH($I$1,[2]enemies!$1:$1,0)+1),MATCH(T$1,[2]enemies!$1:$1,0)-MATCH($I$1,[2]enemies!$1:$1,0)+1,FALSE)</f>
        <v>0</v>
      </c>
      <c r="U45" s="7">
        <v>2</v>
      </c>
      <c r="V45" s="7">
        <v>100</v>
      </c>
      <c r="W45" s="7">
        <v>0</v>
      </c>
      <c r="X45" s="26">
        <f ca="1">VLOOKUP($I45,OFFSET([2]enemies!$A$1,0,0,COUNTA([2]enemies!$A:$A),MATCH(X$1,[2]enemies!$1:$1,0)-MATCH($I$1,[2]enemies!$1:$1,0)+1),MATCH(X$1,[2]enemies!$1:$1,0)-MATCH($I$1,[2]enemies!$1:$1,0)+1,FALSE)</f>
        <v>3</v>
      </c>
      <c r="Y45" s="36">
        <v>20</v>
      </c>
      <c r="Z45" s="5" t="str">
        <f ca="1">IFERROR(VLOOKUP($Y45,OFFSET([3]characters!$A$1,0,0,COUNTA([3]characters!$A:$A),MATCH(Z$1,[3]characters!$1:$1,0)-MATCH("character_id",[3]characters!$1:$1,0)+1),MATCH(Z$1,[3]characters!$1:$1,0)-MATCH("character_id",[3]characters!$1:$1,0)+1,FALSE),"")</f>
        <v>電子妖精 ティンク</v>
      </c>
      <c r="AA45" s="5">
        <f ca="1">IFERROR(VLOOKUP($Y45,OFFSET([3]characters!$A$1,0,0,COUNTA([3]characters!$A:$A),MATCH(AA$1,[3]characters!$1:$1,0)-MATCH("character_id",[3]characters!$1:$1,0)+1),MATCH(AA$1,[3]characters!$1:$1,0)-MATCH("character_id",[3]characters!$1:$1,0)+1,FALSE),"")</f>
        <v>2</v>
      </c>
      <c r="AB45" s="5" t="str">
        <f ca="1">IFERROR(VLOOKUP($Y45,OFFSET([3]characters!$A$1,0,0,COUNTA([3]characters!$A:$A),MATCH(AB$1,[3]characters!$1:$1,0)-MATCH("character_id",[3]characters!$1:$1,0)+1),MATCH(AB$1,[3]characters!$1:$1,0)-MATCH("character_id",[3]characters!$1:$1,0)+1,FALSE),"")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45" s="8">
        <v>1</v>
      </c>
      <c r="AD45" s="33">
        <f t="shared" ca="1" si="3"/>
        <v>2</v>
      </c>
      <c r="AE45" s="9">
        <v>0</v>
      </c>
      <c r="AF45" s="8">
        <v>0</v>
      </c>
      <c r="AG45" s="8">
        <v>0</v>
      </c>
      <c r="AH45" s="8">
        <v>0</v>
      </c>
      <c r="AI45" s="8">
        <v>0</v>
      </c>
      <c r="AJ45" s="8">
        <v>1</v>
      </c>
    </row>
    <row r="46" spans="1:36" ht="21" customHeight="1" x14ac:dyDescent="0.15">
      <c r="A46" s="21" t="str">
        <f t="shared" ca="1" si="0"/>
        <v>20001_2-5/262&lt;lv16&gt;s2</v>
      </c>
      <c r="B46" s="31">
        <v>20001</v>
      </c>
      <c r="C46" s="38">
        <v>2</v>
      </c>
      <c r="D46" s="2" t="str">
        <f t="shared" si="1"/>
        <v>20001_2</v>
      </c>
      <c r="E46" s="5" t="str">
        <f ca="1">VLOOKUP($B46,OFFSET([1]quests!$A$1,0,0,COUNTA([1]quests!$A:$A),MATCH(E$1,[1]quests!$1:$1,0)-MATCH($B$1,[1]quests!$1:$1,0)+1),MATCH(E$1,[1]quests!$1:$1,0)-MATCH($B$1,[1]quests!$1:$1,0)+1,FALSE)</f>
        <v>紅き執行者</v>
      </c>
      <c r="F46" s="5" t="str">
        <f ca="1">VLOOKUP($D46,OFFSET([1]stages!$A$1,0,0,COUNTA([1]stages!$A:$A),MATCH(F$1,[1]stages!$2:$2,0)-MATCH($D$1,[1]stages!$2:$2,0)+1),MATCH(F$1,[1]stages!$2:$2,0)-MATCH($D$1,[1]stages!$2:$2,0)+1,FALSE)</f>
        <v>【中級】紅き執行者</v>
      </c>
      <c r="G46" s="50">
        <v>5</v>
      </c>
      <c r="H46" s="20" t="str">
        <f t="shared" si="2"/>
        <v>20001_2-5</v>
      </c>
      <c r="I46" s="36">
        <v>262</v>
      </c>
      <c r="J46" s="26" t="str">
        <f ca="1">VLOOKUP($I46,OFFSET([2]enemies!$A$1,0,0,COUNTA([2]enemies!$A:$A),MATCH(J$1,[2]enemies!$1:$1,0)-MATCH($I$1,[2]enemies!$1:$1,0)+1),MATCH(J$1,[2]enemies!$1:$1,0)-MATCH($I$1,[2]enemies!$1:$1,0)+1,FALSE)</f>
        <v>アシュリー</v>
      </c>
      <c r="K46" s="26" t="str">
        <f ca="1">VLOOKUP($I46,OFFSET([2]enemies!$A$1,0,0,COUNTA([2]enemies!$A:$A),MATCH(K$1,[2]enemies!$1:$1,0)-MATCH($I$1,[2]enemies!$1:$1,0)+1),MATCH(K$1,[2]enemies!$1:$1,0)-MATCH($I$1,[2]enemies!$1:$1,0)+1,FALSE)</f>
        <v>red</v>
      </c>
      <c r="L46" s="28" t="str">
        <f>VLOOKUP(I46,[3]characters!$A:$J,10,FALSE)</f>
        <v>Drop2W</v>
      </c>
      <c r="M46" s="26" t="str">
        <f ca="1">VLOOKUP($I46,OFFSET([2]enemies!$A$1,0,0,COUNTA([2]enemies!$A:$A),MATCH(M$1,[2]enemies!$1:$1,0)-MATCH($I$1,[2]enemies!$1:$1,0)+1),MATCH(M$1,[2]enemies!$1:$1,0)-MATCH($I$1,[2]enemies!$1:$1,0)+1,FALSE)</f>
        <v>animal</v>
      </c>
      <c r="N46" s="26">
        <f ca="1">VLOOKUP($I46,OFFSET([2]enemies!$A$1,0,0,COUNTA([2]enemies!$A:$A),MATCH(N$1,[2]enemies!$1:$1,0)-MATCH($I$1,[2]enemies!$1:$1,0)+1),MATCH(N$1,[2]enemies!$1:$1,0)-MATCH($I$1,[2]enemies!$1:$1,0)+1,FALSE)</f>
        <v>20</v>
      </c>
      <c r="O46" s="6">
        <v>16</v>
      </c>
      <c r="P46" s="54">
        <v>2.7</v>
      </c>
      <c r="Q46" s="54">
        <v>1</v>
      </c>
      <c r="R46" s="6">
        <v>0</v>
      </c>
      <c r="S46" s="5" t="str">
        <f ca="1">VLOOKUP($T46,OFFSET([4]enemy_skill_sets!$B$1,0,0,COUNTA([4]enemy_skill_sets!$B:$B),MATCH(J$1,[4]enemy_skill_sets!$1:$1,0)-MATCH($T$1,[4]enemy_skill_sets!$1:$1,0)+2),MATCH(J$1,[4]enemy_skill_sets!$1:$1,0)-MATCH($T$1,[4]enemy_skill_sets!$1:$1,0)+2,FALSE)</f>
        <v>攻撃力×1.5倍の攻撃</v>
      </c>
      <c r="T46" s="52">
        <v>20011</v>
      </c>
      <c r="U46" s="7">
        <v>1</v>
      </c>
      <c r="V46" s="7">
        <v>100</v>
      </c>
      <c r="W46" s="7">
        <v>1</v>
      </c>
      <c r="X46" s="26">
        <f ca="1">VLOOKUP($I46,OFFSET([2]enemies!$A$1,0,0,COUNTA([2]enemies!$A:$A),MATCH(X$1,[2]enemies!$1:$1,0)-MATCH($I$1,[2]enemies!$1:$1,0)+1),MATCH(X$1,[2]enemies!$1:$1,0)-MATCH($I$1,[2]enemies!$1:$1,0)+1,FALSE)</f>
        <v>2</v>
      </c>
      <c r="Y46" s="36">
        <v>262</v>
      </c>
      <c r="Z46" s="5" t="str">
        <f ca="1">IFERROR(VLOOKUP($Y46,OFFSET([3]characters!$A$1,0,0,COUNTA([3]characters!$A:$A),MATCH(Z$1,[3]characters!$1:$1,0)-MATCH("character_id",[3]characters!$1:$1,0)+1),MATCH(Z$1,[3]characters!$1:$1,0)-MATCH("character_id",[3]characters!$1:$1,0)+1,FALSE),"")</f>
        <v>アシュリー</v>
      </c>
      <c r="AA46" s="5">
        <f ca="1">IFERROR(VLOOKUP($Y46,OFFSET([3]characters!$A$1,0,0,COUNTA([3]characters!$A:$A),MATCH(AA$1,[3]characters!$1:$1,0)-MATCH("character_id",[3]characters!$1:$1,0)+1),MATCH(AA$1,[3]characters!$1:$1,0)-MATCH("character_id",[3]characters!$1:$1,0)+1,FALSE),"")</f>
        <v>3</v>
      </c>
      <c r="AB46" s="5" t="str">
        <f ca="1">IFERROR(VLOOKUP($Y46,OFFSET([3]characters!$A$1,0,0,COUNTA([3]characters!$A:$A),MATCH(AB$1,[3]characters!$1:$1,0)-MATCH("character_id",[3]characters!$1:$1,0)+1),MATCH(AB$1,[3]characters!$1:$1,0)-MATCH("character_id",[3]characters!$1:$1,0)+1,FALSE),"")</f>
        <v>Drop2W</v>
      </c>
      <c r="AC46" s="8">
        <v>1</v>
      </c>
      <c r="AD46" s="33">
        <f t="shared" ca="1" si="3"/>
        <v>3</v>
      </c>
      <c r="AE46" s="56">
        <v>50</v>
      </c>
      <c r="AF46" s="8">
        <v>0</v>
      </c>
      <c r="AG46" s="8">
        <v>0</v>
      </c>
      <c r="AH46" s="8">
        <v>0</v>
      </c>
      <c r="AI46" s="8">
        <v>0</v>
      </c>
      <c r="AJ46" s="8">
        <v>1</v>
      </c>
    </row>
    <row r="47" spans="1:36" ht="21" customHeight="1" x14ac:dyDescent="0.15">
      <c r="A47" s="21" t="str">
        <f t="shared" ca="1" si="0"/>
        <v>20001_3-1/10&lt;lv26&gt;s2</v>
      </c>
      <c r="B47" s="31">
        <v>20001</v>
      </c>
      <c r="C47" s="38">
        <v>3</v>
      </c>
      <c r="D47" s="2" t="str">
        <f t="shared" si="1"/>
        <v>20001_3</v>
      </c>
      <c r="E47" s="5" t="str">
        <f ca="1">VLOOKUP($B47,OFFSET([1]quests!$A$1,0,0,COUNTA([1]quests!$A:$A),MATCH(E$1,[1]quests!$1:$1,0)-MATCH($B$1,[1]quests!$1:$1,0)+1),MATCH(E$1,[1]quests!$1:$1,0)-MATCH($B$1,[1]quests!$1:$1,0)+1,FALSE)</f>
        <v>紅き執行者</v>
      </c>
      <c r="F47" s="5" t="str">
        <f ca="1">VLOOKUP($D47,OFFSET([1]stages!$A$1,0,0,COUNTA([1]stages!$A:$A),MATCH(F$1,[1]stages!$2:$2,0)-MATCH($D$1,[1]stages!$2:$2,0)+1),MATCH(F$1,[1]stages!$2:$2,0)-MATCH($D$1,[1]stages!$2:$2,0)+1,FALSE)</f>
        <v xml:space="preserve">【上級】紅き執行者 </v>
      </c>
      <c r="G47" s="46">
        <v>1</v>
      </c>
      <c r="H47" s="20" t="str">
        <f t="shared" si="2"/>
        <v>20001_3-1</v>
      </c>
      <c r="I47" s="36">
        <v>10</v>
      </c>
      <c r="J47" s="26" t="str">
        <f ca="1">VLOOKUP($I47,OFFSET([2]enemies!$A$1,0,0,COUNTA([2]enemies!$A:$A),MATCH(J$1,[2]enemies!$1:$1,0)-MATCH($I$1,[2]enemies!$1:$1,0)+1),MATCH(J$1,[2]enemies!$1:$1,0)-MATCH($I$1,[2]enemies!$1:$1,0)+1,FALSE)</f>
        <v>燃える悪戯魂 ブレット</v>
      </c>
      <c r="K47" s="26" t="str">
        <f ca="1">VLOOKUP($I47,OFFSET([2]enemies!$A$1,0,0,COUNTA([2]enemies!$A:$A),MATCH(K$1,[2]enemies!$1:$1,0)-MATCH($I$1,[2]enemies!$1:$1,0)+1),MATCH(K$1,[2]enemies!$1:$1,0)-MATCH($I$1,[2]enemies!$1:$1,0)+1,FALSE)</f>
        <v>red</v>
      </c>
      <c r="L47" s="28" t="str">
        <f>VLOOKUP(I47,[3]characters!$A:$J,10,FALSE)</f>
        <v>Drop1W</v>
      </c>
      <c r="M47" s="26" t="str">
        <f ca="1">VLOOKUP($I47,OFFSET([2]enemies!$A$1,0,0,COUNTA([2]enemies!$A:$A),MATCH(M$1,[2]enemies!$1:$1,0)-MATCH($I$1,[2]enemies!$1:$1,0)+1),MATCH(M$1,[2]enemies!$1:$1,0)-MATCH($I$1,[2]enemies!$1:$1,0)+1,FALSE)</f>
        <v>animal</v>
      </c>
      <c r="N47" s="26">
        <f ca="1">VLOOKUP($I47,OFFSET([2]enemies!$A$1,0,0,COUNTA([2]enemies!$A:$A),MATCH(N$1,[2]enemies!$1:$1,0)-MATCH($I$1,[2]enemies!$1:$1,0)+1),MATCH(N$1,[2]enemies!$1:$1,0)-MATCH($I$1,[2]enemies!$1:$1,0)+1,FALSE)</f>
        <v>15</v>
      </c>
      <c r="O47" s="6">
        <v>26</v>
      </c>
      <c r="P47" s="54">
        <v>1</v>
      </c>
      <c r="Q47" s="54">
        <v>1</v>
      </c>
      <c r="R47" s="6">
        <v>0</v>
      </c>
      <c r="S47" s="5" t="str">
        <f ca="1">VLOOKUP($T47,OFFSET([4]enemy_skill_sets!$B$1,0,0,COUNTA([4]enemy_skill_sets!$B:$B),MATCH(J$1,[4]enemy_skill_sets!$1:$1,0)-MATCH($T$1,[4]enemy_skill_sets!$1:$1,0)+2),MATCH(J$1,[4]enemy_skill_sets!$1:$1,0)-MATCH($T$1,[4]enemy_skill_sets!$1:$1,0)+2,FALSE)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" s="26">
        <f ca="1">VLOOKUP($I47,OFFSET([2]enemies!$A$1,0,0,COUNTA([2]enemies!$A:$A),MATCH(T$1,[2]enemies!$1:$1,0)-MATCH($I$1,[2]enemies!$1:$1,0)+1),MATCH(T$1,[2]enemies!$1:$1,0)-MATCH($I$1,[2]enemies!$1:$1,0)+1,FALSE)</f>
        <v>0</v>
      </c>
      <c r="U47" s="7">
        <v>0</v>
      </c>
      <c r="V47" s="7">
        <v>100</v>
      </c>
      <c r="W47" s="7">
        <v>0</v>
      </c>
      <c r="X47" s="26">
        <f ca="1">VLOOKUP($I47,OFFSET([2]enemies!$A$1,0,0,COUNTA([2]enemies!$A:$A),MATCH(X$1,[2]enemies!$1:$1,0)-MATCH($I$1,[2]enemies!$1:$1,0)+1),MATCH(X$1,[2]enemies!$1:$1,0)-MATCH($I$1,[2]enemies!$1:$1,0)+1,FALSE)</f>
        <v>2</v>
      </c>
      <c r="Y47" s="36">
        <v>10</v>
      </c>
      <c r="Z47" s="5" t="str">
        <f ca="1">IFERROR(VLOOKUP($Y47,OFFSET([3]characters!$A$1,0,0,COUNTA([3]characters!$A:$A),MATCH(Z$1,[3]characters!$1:$1,0)-MATCH("character_id",[3]characters!$1:$1,0)+1),MATCH(Z$1,[3]characters!$1:$1,0)-MATCH("character_id",[3]characters!$1:$1,0)+1,FALSE),"")</f>
        <v>燃える悪戯魂 ブレット</v>
      </c>
      <c r="AA47" s="5">
        <f ca="1">IFERROR(VLOOKUP($Y47,OFFSET([3]characters!$A$1,0,0,COUNTA([3]characters!$A:$A),MATCH(AA$1,[3]characters!$1:$1,0)-MATCH("character_id",[3]characters!$1:$1,0)+1),MATCH(AA$1,[3]characters!$1:$1,0)-MATCH("character_id",[3]characters!$1:$1,0)+1,FALSE),"")</f>
        <v>2</v>
      </c>
      <c r="AB47" s="5" t="str">
        <f ca="1">IFERROR(VLOOKUP($Y47,OFFSET([3]characters!$A$1,0,0,COUNTA([3]characters!$A:$A),MATCH(AB$1,[3]characters!$1:$1,0)-MATCH("character_id",[3]characters!$1:$1,0)+1),MATCH(AB$1,[3]characters!$1:$1,0)-MATCH("character_id",[3]characters!$1:$1,0)+1,FALSE),"")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47" s="8">
        <v>7</v>
      </c>
      <c r="AD47" s="33">
        <f t="shared" ca="1" si="3"/>
        <v>2</v>
      </c>
      <c r="AE47" s="9">
        <v>15</v>
      </c>
      <c r="AF47" s="8">
        <v>0</v>
      </c>
      <c r="AG47" s="8">
        <v>0</v>
      </c>
      <c r="AH47" s="8">
        <v>0</v>
      </c>
      <c r="AI47" s="8">
        <v>0</v>
      </c>
      <c r="AJ47" s="8">
        <v>1</v>
      </c>
    </row>
    <row r="48" spans="1:36" ht="21" customHeight="1" x14ac:dyDescent="0.15">
      <c r="A48" s="21" t="str">
        <f t="shared" ca="1" si="0"/>
        <v>20001_3-1/21&lt;lv26&gt;s2</v>
      </c>
      <c r="B48" s="31">
        <v>20001</v>
      </c>
      <c r="C48" s="38">
        <v>3</v>
      </c>
      <c r="D48" s="2" t="str">
        <f t="shared" si="1"/>
        <v>20001_3</v>
      </c>
      <c r="E48" s="5" t="str">
        <f ca="1">VLOOKUP($B48,OFFSET([1]quests!$A$1,0,0,COUNTA([1]quests!$A:$A),MATCH(E$1,[1]quests!$1:$1,0)-MATCH($B$1,[1]quests!$1:$1,0)+1),MATCH(E$1,[1]quests!$1:$1,0)-MATCH($B$1,[1]quests!$1:$1,0)+1,FALSE)</f>
        <v>紅き執行者</v>
      </c>
      <c r="F48" s="5" t="str">
        <f ca="1">VLOOKUP($D48,OFFSET([1]stages!$A$1,0,0,COUNTA([1]stages!$A:$A),MATCH(F$1,[1]stages!$2:$2,0)-MATCH($D$1,[1]stages!$2:$2,0)+1),MATCH(F$1,[1]stages!$2:$2,0)-MATCH($D$1,[1]stages!$2:$2,0)+1,FALSE)</f>
        <v xml:space="preserve">【上級】紅き執行者 </v>
      </c>
      <c r="G48" s="46">
        <v>1</v>
      </c>
      <c r="H48" s="20" t="str">
        <f t="shared" si="2"/>
        <v>20001_3-1</v>
      </c>
      <c r="I48" s="36">
        <v>21</v>
      </c>
      <c r="J48" s="26" t="str">
        <f ca="1">VLOOKUP($I48,OFFSET([2]enemies!$A$1,0,0,COUNTA([2]enemies!$A:$A),MATCH(J$1,[2]enemies!$1:$1,0)-MATCH($I$1,[2]enemies!$1:$1,0)+1),MATCH(J$1,[2]enemies!$1:$1,0)-MATCH($I$1,[2]enemies!$1:$1,0)+1,FALSE)</f>
        <v>ヴェロキー</v>
      </c>
      <c r="K48" s="26" t="str">
        <f ca="1">VLOOKUP($I48,OFFSET([2]enemies!$A$1,0,0,COUNTA([2]enemies!$A:$A),MATCH(K$1,[2]enemies!$1:$1,0)-MATCH($I$1,[2]enemies!$1:$1,0)+1),MATCH(K$1,[2]enemies!$1:$1,0)-MATCH($I$1,[2]enemies!$1:$1,0)+1,FALSE)</f>
        <v>red</v>
      </c>
      <c r="L48" s="28" t="str">
        <f>VLOOKUP(I48,[3]characters!$A:$J,10,FALSE)</f>
        <v>Drop1N</v>
      </c>
      <c r="M48" s="26" t="str">
        <f ca="1">VLOOKUP($I48,OFFSET([2]enemies!$A$1,0,0,COUNTA([2]enemies!$A:$A),MATCH(M$1,[2]enemies!$1:$1,0)-MATCH($I$1,[2]enemies!$1:$1,0)+1),MATCH(M$1,[2]enemies!$1:$1,0)-MATCH($I$1,[2]enemies!$1:$1,0)+1,FALSE)</f>
        <v>dragon</v>
      </c>
      <c r="N48" s="26">
        <f ca="1">VLOOKUP($I48,OFFSET([2]enemies!$A$1,0,0,COUNTA([2]enemies!$A:$A),MATCH(N$1,[2]enemies!$1:$1,0)-MATCH($I$1,[2]enemies!$1:$1,0)+1),MATCH(N$1,[2]enemies!$1:$1,0)-MATCH($I$1,[2]enemies!$1:$1,0)+1,FALSE)</f>
        <v>15</v>
      </c>
      <c r="O48" s="6">
        <v>26</v>
      </c>
      <c r="P48" s="54">
        <v>1</v>
      </c>
      <c r="Q48" s="54">
        <v>1</v>
      </c>
      <c r="R48" s="6">
        <v>0</v>
      </c>
      <c r="S48" s="5" t="str">
        <f ca="1">VLOOKUP($T48,OFFSET([4]enemy_skill_sets!$B$1,0,0,COUNTA([4]enemy_skill_sets!$B:$B),MATCH(J$1,[4]enemy_skill_sets!$1:$1,0)-MATCH($T$1,[4]enemy_skill_sets!$1:$1,0)+2),MATCH(J$1,[4]enemy_skill_sets!$1:$1,0)-MATCH($T$1,[4]enemy_skill_sets!$1:$1,0)+2,FALSE)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" s="26">
        <f ca="1">VLOOKUP($I48,OFFSET([2]enemies!$A$1,0,0,COUNTA([2]enemies!$A:$A),MATCH(T$1,[2]enemies!$1:$1,0)-MATCH($I$1,[2]enemies!$1:$1,0)+1),MATCH(T$1,[2]enemies!$1:$1,0)-MATCH($I$1,[2]enemies!$1:$1,0)+1,FALSE)</f>
        <v>0</v>
      </c>
      <c r="U48" s="7">
        <v>0</v>
      </c>
      <c r="V48" s="7">
        <v>100</v>
      </c>
      <c r="W48" s="7">
        <v>0</v>
      </c>
      <c r="X48" s="26">
        <f ca="1">VLOOKUP($I48,OFFSET([2]enemies!$A$1,0,0,COUNTA([2]enemies!$A:$A),MATCH(X$1,[2]enemies!$1:$1,0)-MATCH($I$1,[2]enemies!$1:$1,0)+1),MATCH(X$1,[2]enemies!$1:$1,0)-MATCH($I$1,[2]enemies!$1:$1,0)+1,FALSE)</f>
        <v>2</v>
      </c>
      <c r="Y48" s="36">
        <v>21</v>
      </c>
      <c r="Z48" s="5" t="str">
        <f ca="1">IFERROR(VLOOKUP($Y48,OFFSET([3]characters!$A$1,0,0,COUNTA([3]characters!$A:$A),MATCH(Z$1,[3]characters!$1:$1,0)-MATCH("character_id",[3]characters!$1:$1,0)+1),MATCH(Z$1,[3]characters!$1:$1,0)-MATCH("character_id",[3]characters!$1:$1,0)+1,FALSE),"")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48" s="5">
        <f ca="1">IFERROR(VLOOKUP($Y48,OFFSET([3]characters!$A$1,0,0,COUNTA([3]characters!$A:$A),MATCH(AA$1,[3]characters!$1:$1,0)-MATCH("character_id",[3]characters!$1:$1,0)+1),MATCH(AA$1,[3]characters!$1:$1,0)-MATCH("character_id",[3]characters!$1:$1,0)+1,FALSE),"")</f>
        <v>1</v>
      </c>
      <c r="AB48" s="5" t="str">
        <f ca="1">IFERROR(VLOOKUP($Y48,OFFSET([3]characters!$A$1,0,0,COUNTA([3]characters!$A:$A),MATCH(AB$1,[3]characters!$1:$1,0)-MATCH("character_id",[3]characters!$1:$1,0)+1),MATCH(AB$1,[3]characters!$1:$1,0)-MATCH("character_id",[3]characters!$1:$1,0)+1,FALSE),"")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8" s="8">
        <v>5</v>
      </c>
      <c r="AD48" s="33">
        <f t="shared" ca="1" si="3"/>
        <v>1</v>
      </c>
      <c r="AE48" s="9">
        <v>15</v>
      </c>
      <c r="AF48" s="8">
        <v>0</v>
      </c>
      <c r="AG48" s="8">
        <v>0</v>
      </c>
      <c r="AH48" s="8">
        <v>0</v>
      </c>
      <c r="AI48" s="8">
        <v>0</v>
      </c>
      <c r="AJ48" s="8">
        <v>1</v>
      </c>
    </row>
    <row r="49" spans="1:36" ht="21" customHeight="1" x14ac:dyDescent="0.15">
      <c r="A49" s="21" t="str">
        <f t="shared" ca="1" si="0"/>
        <v>20001_3-1/41&lt;lv26&gt;s1</v>
      </c>
      <c r="B49" s="31">
        <v>20001</v>
      </c>
      <c r="C49" s="38">
        <v>3</v>
      </c>
      <c r="D49" s="2" t="str">
        <f t="shared" si="1"/>
        <v>20001_3</v>
      </c>
      <c r="E49" s="5" t="str">
        <f ca="1">VLOOKUP($B49,OFFSET([1]quests!$A$1,0,0,COUNTA([1]quests!$A:$A),MATCH(E$1,[1]quests!$1:$1,0)-MATCH($B$1,[1]quests!$1:$1,0)+1),MATCH(E$1,[1]quests!$1:$1,0)-MATCH($B$1,[1]quests!$1:$1,0)+1,FALSE)</f>
        <v>紅き執行者</v>
      </c>
      <c r="F49" s="5" t="str">
        <f ca="1">VLOOKUP($D49,OFFSET([1]stages!$A$1,0,0,COUNTA([1]stages!$A:$A),MATCH(F$1,[1]stages!$2:$2,0)-MATCH($D$1,[1]stages!$2:$2,0)+1),MATCH(F$1,[1]stages!$2:$2,0)-MATCH($D$1,[1]stages!$2:$2,0)+1,FALSE)</f>
        <v xml:space="preserve">【上級】紅き執行者 </v>
      </c>
      <c r="G49" s="46">
        <v>1</v>
      </c>
      <c r="H49" s="20" t="str">
        <f t="shared" si="2"/>
        <v>20001_3-1</v>
      </c>
      <c r="I49" s="36">
        <v>41</v>
      </c>
      <c r="J49" s="26" t="str">
        <f ca="1">VLOOKUP($I49,OFFSET([2]enemies!$A$1,0,0,COUNTA([2]enemies!$A:$A),MATCH(J$1,[2]enemies!$1:$1,0)-MATCH($I$1,[2]enemies!$1:$1,0)+1),MATCH(J$1,[2]enemies!$1:$1,0)-MATCH($I$1,[2]enemies!$1:$1,0)+1,FALSE)</f>
        <v>ヒュウガ</v>
      </c>
      <c r="K49" s="26" t="str">
        <f ca="1">VLOOKUP($I49,OFFSET([2]enemies!$A$1,0,0,COUNTA([2]enemies!$A:$A),MATCH(K$1,[2]enemies!$1:$1,0)-MATCH($I$1,[2]enemies!$1:$1,0)+1),MATCH(K$1,[2]enemies!$1:$1,0)-MATCH($I$1,[2]enemies!$1:$1,0)+1,FALSE)</f>
        <v>red</v>
      </c>
      <c r="L49" s="28" t="str">
        <f>VLOOKUP(I49,[3]characters!$A:$J,10,FALSE)</f>
        <v>Drop1N</v>
      </c>
      <c r="M49" s="26" t="str">
        <f ca="1">VLOOKUP($I49,OFFSET([2]enemies!$A$1,0,0,COUNTA([2]enemies!$A:$A),MATCH(M$1,[2]enemies!$1:$1,0)-MATCH($I$1,[2]enemies!$1:$1,0)+1),MATCH(M$1,[2]enemies!$1:$1,0)-MATCH($I$1,[2]enemies!$1:$1,0)+1,FALSE)</f>
        <v>dragon</v>
      </c>
      <c r="N49" s="26">
        <f ca="1">VLOOKUP($I49,OFFSET([2]enemies!$A$1,0,0,COUNTA([2]enemies!$A:$A),MATCH(N$1,[2]enemies!$1:$1,0)-MATCH($I$1,[2]enemies!$1:$1,0)+1),MATCH(N$1,[2]enemies!$1:$1,0)-MATCH($I$1,[2]enemies!$1:$1,0)+1,FALSE)</f>
        <v>15</v>
      </c>
      <c r="O49" s="6">
        <v>26</v>
      </c>
      <c r="P49" s="54">
        <v>1</v>
      </c>
      <c r="Q49" s="54">
        <v>1</v>
      </c>
      <c r="R49" s="6">
        <v>0</v>
      </c>
      <c r="S49" s="5" t="str">
        <f ca="1">VLOOKUP($T49,OFFSET([4]enemy_skill_sets!$B$1,0,0,COUNTA([4]enemy_skill_sets!$B:$B),MATCH(J$1,[4]enemy_skill_sets!$1:$1,0)-MATCH($T$1,[4]enemy_skill_sets!$1:$1,0)+2),MATCH(J$1,[4]enemy_skill_sets!$1:$1,0)-MATCH($T$1,[4]enemy_skill_sets!$1:$1,0)+2,FALSE)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" s="26">
        <f ca="1">VLOOKUP($I49,OFFSET([2]enemies!$A$1,0,0,COUNTA([2]enemies!$A:$A),MATCH(T$1,[2]enemies!$1:$1,0)-MATCH($I$1,[2]enemies!$1:$1,0)+1),MATCH(T$1,[2]enemies!$1:$1,0)-MATCH($I$1,[2]enemies!$1:$1,0)+1,FALSE)</f>
        <v>0</v>
      </c>
      <c r="U49" s="7">
        <v>0</v>
      </c>
      <c r="V49" s="7">
        <v>100</v>
      </c>
      <c r="W49" s="7">
        <v>0</v>
      </c>
      <c r="X49" s="26">
        <f ca="1">VLOOKUP($I49,OFFSET([2]enemies!$A$1,0,0,COUNTA([2]enemies!$A:$A),MATCH(X$1,[2]enemies!$1:$1,0)-MATCH($I$1,[2]enemies!$1:$1,0)+1),MATCH(X$1,[2]enemies!$1:$1,0)-MATCH($I$1,[2]enemies!$1:$1,0)+1,FALSE)</f>
        <v>1</v>
      </c>
      <c r="Y49" s="36">
        <v>41</v>
      </c>
      <c r="Z49" s="5" t="str">
        <f ca="1">IFERROR(VLOOKUP($Y49,OFFSET([3]characters!$A$1,0,0,COUNTA([3]characters!$A:$A),MATCH(Z$1,[3]characters!$1:$1,0)-MATCH("character_id",[3]characters!$1:$1,0)+1),MATCH(Z$1,[3]characters!$1:$1,0)-MATCH("character_id",[3]characters!$1:$1,0)+1,FALSE),"")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49" s="5">
        <f ca="1">IFERROR(VLOOKUP($Y49,OFFSET([3]characters!$A$1,0,0,COUNTA([3]characters!$A:$A),MATCH(AA$1,[3]characters!$1:$1,0)-MATCH("character_id",[3]characters!$1:$1,0)+1),MATCH(AA$1,[3]characters!$1:$1,0)-MATCH("character_id",[3]characters!$1:$1,0)+1,FALSE),"")</f>
        <v>2</v>
      </c>
      <c r="AB49" s="5" t="str">
        <f ca="1">IFERROR(VLOOKUP($Y49,OFFSET([3]characters!$A$1,0,0,COUNTA([3]characters!$A:$A),MATCH(AB$1,[3]characters!$1:$1,0)-MATCH("character_id",[3]characters!$1:$1,0)+1),MATCH(AB$1,[3]characters!$1:$1,0)-MATCH("character_id",[3]characters!$1:$1,0)+1,FALSE),"")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9" s="8">
        <v>5</v>
      </c>
      <c r="AD49" s="33">
        <f t="shared" ca="1" si="3"/>
        <v>2</v>
      </c>
      <c r="AE49" s="9">
        <v>15</v>
      </c>
      <c r="AF49" s="8">
        <v>0</v>
      </c>
      <c r="AG49" s="8">
        <v>0</v>
      </c>
      <c r="AH49" s="8">
        <v>0</v>
      </c>
      <c r="AI49" s="8">
        <v>0</v>
      </c>
      <c r="AJ49" s="8">
        <v>1</v>
      </c>
    </row>
    <row r="50" spans="1:36" ht="21" customHeight="1" x14ac:dyDescent="0.15">
      <c r="A50" s="21" t="str">
        <f t="shared" ca="1" si="0"/>
        <v>20001_3-1/49&lt;lv26&gt;s2</v>
      </c>
      <c r="B50" s="31">
        <v>20001</v>
      </c>
      <c r="C50" s="38">
        <v>3</v>
      </c>
      <c r="D50" s="2" t="str">
        <f t="shared" si="1"/>
        <v>20001_3</v>
      </c>
      <c r="E50" s="5" t="str">
        <f ca="1">VLOOKUP($B50,OFFSET([1]quests!$A$1,0,0,COUNTA([1]quests!$A:$A),MATCH(E$1,[1]quests!$1:$1,0)-MATCH($B$1,[1]quests!$1:$1,0)+1),MATCH(E$1,[1]quests!$1:$1,0)-MATCH($B$1,[1]quests!$1:$1,0)+1,FALSE)</f>
        <v>紅き執行者</v>
      </c>
      <c r="F50" s="5" t="str">
        <f ca="1">VLOOKUP($D50,OFFSET([1]stages!$A$1,0,0,COUNTA([1]stages!$A:$A),MATCH(F$1,[1]stages!$2:$2,0)-MATCH($D$1,[1]stages!$2:$2,0)+1),MATCH(F$1,[1]stages!$2:$2,0)-MATCH($D$1,[1]stages!$2:$2,0)+1,FALSE)</f>
        <v xml:space="preserve">【上級】紅き執行者 </v>
      </c>
      <c r="G50" s="46">
        <v>1</v>
      </c>
      <c r="H50" s="20" t="str">
        <f t="shared" si="2"/>
        <v>20001_3-1</v>
      </c>
      <c r="I50" s="36">
        <v>49</v>
      </c>
      <c r="J50" s="26" t="str">
        <f ca="1">VLOOKUP($I50,OFFSET([2]enemies!$A$1,0,0,COUNTA([2]enemies!$A:$A),MATCH(J$1,[2]enemies!$1:$1,0)-MATCH($I$1,[2]enemies!$1:$1,0)+1),MATCH(J$1,[2]enemies!$1:$1,0)-MATCH($I$1,[2]enemies!$1:$1,0)+1,FALSE)</f>
        <v>ヨシタカ</v>
      </c>
      <c r="K50" s="26" t="str">
        <f ca="1">VLOOKUP($I50,OFFSET([2]enemies!$A$1,0,0,COUNTA([2]enemies!$A:$A),MATCH(K$1,[2]enemies!$1:$1,0)-MATCH($I$1,[2]enemies!$1:$1,0)+1),MATCH(K$1,[2]enemies!$1:$1,0)-MATCH($I$1,[2]enemies!$1:$1,0)+1,FALSE)</f>
        <v>red</v>
      </c>
      <c r="L50" s="28" t="str">
        <f>VLOOKUP(I50,[3]characters!$A:$J,10,FALSE)</f>
        <v>Drop1N</v>
      </c>
      <c r="M50" s="26" t="str">
        <f ca="1">VLOOKUP($I50,OFFSET([2]enemies!$A$1,0,0,COUNTA([2]enemies!$A:$A),MATCH(M$1,[2]enemies!$1:$1,0)-MATCH($I$1,[2]enemies!$1:$1,0)+1),MATCH(M$1,[2]enemies!$1:$1,0)-MATCH($I$1,[2]enemies!$1:$1,0)+1,FALSE)</f>
        <v>human</v>
      </c>
      <c r="N50" s="26">
        <f ca="1">VLOOKUP($I50,OFFSET([2]enemies!$A$1,0,0,COUNTA([2]enemies!$A:$A),MATCH(N$1,[2]enemies!$1:$1,0)-MATCH($I$1,[2]enemies!$1:$1,0)+1),MATCH(N$1,[2]enemies!$1:$1,0)-MATCH($I$1,[2]enemies!$1:$1,0)+1,FALSE)</f>
        <v>15</v>
      </c>
      <c r="O50" s="6">
        <v>26</v>
      </c>
      <c r="P50" s="54">
        <v>1</v>
      </c>
      <c r="Q50" s="54">
        <v>1</v>
      </c>
      <c r="R50" s="6">
        <v>0</v>
      </c>
      <c r="S50" s="5" t="str">
        <f ca="1">VLOOKUP($T50,OFFSET([4]enemy_skill_sets!$B$1,0,0,COUNTA([4]enemy_skill_sets!$B:$B),MATCH(J$1,[4]enemy_skill_sets!$1:$1,0)-MATCH($T$1,[4]enemy_skill_sets!$1:$1,0)+2),MATCH(J$1,[4]enemy_skill_sets!$1:$1,0)-MATCH($T$1,[4]enemy_skill_sets!$1:$1,0)+2,FALSE)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50" s="26">
        <f ca="1">VLOOKUP($I50,OFFSET([2]enemies!$A$1,0,0,COUNTA([2]enemies!$A:$A),MATCH(T$1,[2]enemies!$1:$1,0)-MATCH($I$1,[2]enemies!$1:$1,0)+1),MATCH(T$1,[2]enemies!$1:$1,0)-MATCH($I$1,[2]enemies!$1:$1,0)+1,FALSE)</f>
        <v>49</v>
      </c>
      <c r="U50" s="7">
        <v>0</v>
      </c>
      <c r="V50" s="7">
        <v>80</v>
      </c>
      <c r="W50" s="7">
        <v>0</v>
      </c>
      <c r="X50" s="26">
        <f ca="1">VLOOKUP($I50,OFFSET([2]enemies!$A$1,0,0,COUNTA([2]enemies!$A:$A),MATCH(X$1,[2]enemies!$1:$1,0)-MATCH($I$1,[2]enemies!$1:$1,0)+1),MATCH(X$1,[2]enemies!$1:$1,0)-MATCH($I$1,[2]enemies!$1:$1,0)+1,FALSE)</f>
        <v>2</v>
      </c>
      <c r="Y50" s="36">
        <v>49</v>
      </c>
      <c r="Z50" s="5" t="str">
        <f ca="1">IFERROR(VLOOKUP($Y50,OFFSET([3]characters!$A$1,0,0,COUNTA([3]characters!$A:$A),MATCH(Z$1,[3]characters!$1:$1,0)-MATCH("character_id",[3]characters!$1:$1,0)+1),MATCH(Z$1,[3]characters!$1:$1,0)-MATCH("character_id",[3]characters!$1:$1,0)+1,FALSE),"")</f>
        <v>ヨシタカ</v>
      </c>
      <c r="AA50" s="5">
        <f ca="1">IFERROR(VLOOKUP($Y50,OFFSET([3]characters!$A$1,0,0,COUNTA([3]characters!$A:$A),MATCH(AA$1,[3]characters!$1:$1,0)-MATCH("character_id",[3]characters!$1:$1,0)+1),MATCH(AA$1,[3]characters!$1:$1,0)-MATCH("character_id",[3]characters!$1:$1,0)+1,FALSE),"")</f>
        <v>2</v>
      </c>
      <c r="AB50" s="5" t="str">
        <f ca="1">IFERROR(VLOOKUP($Y50,OFFSET([3]characters!$A$1,0,0,COUNTA([3]characters!$A:$A),MATCH(AB$1,[3]characters!$1:$1,0)-MATCH("character_id",[3]characters!$1:$1,0)+1),MATCH(AB$1,[3]characters!$1:$1,0)-MATCH("character_id",[3]characters!$1:$1,0)+1,FALSE),"")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0" s="8">
        <v>5</v>
      </c>
      <c r="AD50" s="33">
        <f t="shared" ca="1" si="3"/>
        <v>2</v>
      </c>
      <c r="AE50" s="9">
        <v>15</v>
      </c>
      <c r="AF50" s="8">
        <v>0</v>
      </c>
      <c r="AG50" s="8">
        <v>0</v>
      </c>
      <c r="AH50" s="8">
        <v>0</v>
      </c>
      <c r="AI50" s="8">
        <v>0</v>
      </c>
      <c r="AJ50" s="8">
        <v>1</v>
      </c>
    </row>
    <row r="51" spans="1:36" ht="21" customHeight="1" x14ac:dyDescent="0.15">
      <c r="A51" s="21" t="str">
        <f t="shared" ca="1" si="0"/>
        <v>20001_3-1/57&lt;lv26&gt;s2</v>
      </c>
      <c r="B51" s="31">
        <v>20001</v>
      </c>
      <c r="C51" s="38">
        <v>3</v>
      </c>
      <c r="D51" s="2" t="str">
        <f t="shared" si="1"/>
        <v>20001_3</v>
      </c>
      <c r="E51" s="5" t="str">
        <f ca="1">VLOOKUP($B51,OFFSET([1]quests!$A$1,0,0,COUNTA([1]quests!$A:$A),MATCH(E$1,[1]quests!$1:$1,0)-MATCH($B$1,[1]quests!$1:$1,0)+1),MATCH(E$1,[1]quests!$1:$1,0)-MATCH($B$1,[1]quests!$1:$1,0)+1,FALSE)</f>
        <v>紅き執行者</v>
      </c>
      <c r="F51" s="5" t="str">
        <f ca="1">VLOOKUP($D51,OFFSET([1]stages!$A$1,0,0,COUNTA([1]stages!$A:$A),MATCH(F$1,[1]stages!$2:$2,0)-MATCH($D$1,[1]stages!$2:$2,0)+1),MATCH(F$1,[1]stages!$2:$2,0)-MATCH($D$1,[1]stages!$2:$2,0)+1,FALSE)</f>
        <v xml:space="preserve">【上級】紅き執行者 </v>
      </c>
      <c r="G51" s="46">
        <v>1</v>
      </c>
      <c r="H51" s="20" t="str">
        <f t="shared" si="2"/>
        <v>20001_3-1</v>
      </c>
      <c r="I51" s="36">
        <v>57</v>
      </c>
      <c r="J51" s="26" t="str">
        <f ca="1">VLOOKUP($I51,OFFSET([2]enemies!$A$1,0,0,COUNTA([2]enemies!$A:$A),MATCH(J$1,[2]enemies!$1:$1,0)-MATCH($I$1,[2]enemies!$1:$1,0)+1),MATCH(J$1,[2]enemies!$1:$1,0)-MATCH($I$1,[2]enemies!$1:$1,0)+1,FALSE)</f>
        <v>チェン・リー</v>
      </c>
      <c r="K51" s="26" t="str">
        <f ca="1">VLOOKUP($I51,OFFSET([2]enemies!$A$1,0,0,COUNTA([2]enemies!$A:$A),MATCH(K$1,[2]enemies!$1:$1,0)-MATCH($I$1,[2]enemies!$1:$1,0)+1),MATCH(K$1,[2]enemies!$1:$1,0)-MATCH($I$1,[2]enemies!$1:$1,0)+1,FALSE)</f>
        <v>red</v>
      </c>
      <c r="L51" s="28" t="str">
        <f>VLOOKUP(I51,[3]characters!$A:$J,10,FALSE)</f>
        <v>Drop1N</v>
      </c>
      <c r="M51" s="26" t="str">
        <f ca="1">VLOOKUP($I51,OFFSET([2]enemies!$A$1,0,0,COUNTA([2]enemies!$A:$A),MATCH(M$1,[2]enemies!$1:$1,0)-MATCH($I$1,[2]enemies!$1:$1,0)+1),MATCH(M$1,[2]enemies!$1:$1,0)-MATCH($I$1,[2]enemies!$1:$1,0)+1,FALSE)</f>
        <v>animal</v>
      </c>
      <c r="N51" s="26">
        <f ca="1">VLOOKUP($I51,OFFSET([2]enemies!$A$1,0,0,COUNTA([2]enemies!$A:$A),MATCH(N$1,[2]enemies!$1:$1,0)-MATCH($I$1,[2]enemies!$1:$1,0)+1),MATCH(N$1,[2]enemies!$1:$1,0)-MATCH($I$1,[2]enemies!$1:$1,0)+1,FALSE)</f>
        <v>15</v>
      </c>
      <c r="O51" s="6">
        <v>26</v>
      </c>
      <c r="P51" s="54">
        <v>1</v>
      </c>
      <c r="Q51" s="54">
        <v>1</v>
      </c>
      <c r="R51" s="6">
        <v>0</v>
      </c>
      <c r="S51" s="5" t="str">
        <f ca="1">VLOOKUP($T51,OFFSET([4]enemy_skill_sets!$B$1,0,0,COUNTA([4]enemy_skill_sets!$B:$B),MATCH(J$1,[4]enemy_skill_sets!$1:$1,0)-MATCH($T$1,[4]enemy_skill_sets!$1:$1,0)+2),MATCH(J$1,[4]enemy_skill_sets!$1:$1,0)-MATCH($T$1,[4]enemy_skill_sets!$1:$1,0)+2,FALSE)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51" s="26">
        <f ca="1">VLOOKUP($I51,OFFSET([2]enemies!$A$1,0,0,COUNTA([2]enemies!$A:$A),MATCH(T$1,[2]enemies!$1:$1,0)-MATCH($I$1,[2]enemies!$1:$1,0)+1),MATCH(T$1,[2]enemies!$1:$1,0)-MATCH($I$1,[2]enemies!$1:$1,0)+1,FALSE)</f>
        <v>57</v>
      </c>
      <c r="U51" s="7">
        <v>0</v>
      </c>
      <c r="V51" s="7">
        <v>80</v>
      </c>
      <c r="W51" s="7">
        <v>0</v>
      </c>
      <c r="X51" s="26">
        <f ca="1">VLOOKUP($I51,OFFSET([2]enemies!$A$1,0,0,COUNTA([2]enemies!$A:$A),MATCH(X$1,[2]enemies!$1:$1,0)-MATCH($I$1,[2]enemies!$1:$1,0)+1),MATCH(X$1,[2]enemies!$1:$1,0)-MATCH($I$1,[2]enemies!$1:$1,0)+1,FALSE)</f>
        <v>2</v>
      </c>
      <c r="Y51" s="36">
        <v>57</v>
      </c>
      <c r="Z51" s="5" t="str">
        <f ca="1">IFERROR(VLOOKUP($Y51,OFFSET([3]characters!$A$1,0,0,COUNTA([3]characters!$A:$A),MATCH(Z$1,[3]characters!$1:$1,0)-MATCH("character_id",[3]characters!$1:$1,0)+1),MATCH(Z$1,[3]characters!$1:$1,0)-MATCH("character_id",[3]characters!$1:$1,0)+1,FALSE),"")</f>
        <v>チェン・リー</v>
      </c>
      <c r="AA51" s="5">
        <f ca="1">IFERROR(VLOOKUP($Y51,OFFSET([3]characters!$A$1,0,0,COUNTA([3]characters!$A:$A),MATCH(AA$1,[3]characters!$1:$1,0)-MATCH("character_id",[3]characters!$1:$1,0)+1),MATCH(AA$1,[3]characters!$1:$1,0)-MATCH("character_id",[3]characters!$1:$1,0)+1,FALSE),"")</f>
        <v>2</v>
      </c>
      <c r="AB51" s="5" t="str">
        <f ca="1">IFERROR(VLOOKUP($Y51,OFFSET([3]characters!$A$1,0,0,COUNTA([3]characters!$A:$A),MATCH(AB$1,[3]characters!$1:$1,0)-MATCH("character_id",[3]characters!$1:$1,0)+1),MATCH(AB$1,[3]characters!$1:$1,0)-MATCH("character_id",[3]characters!$1:$1,0)+1,FALSE),"")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1" s="8">
        <v>5</v>
      </c>
      <c r="AD51" s="33">
        <f t="shared" ca="1" si="3"/>
        <v>2</v>
      </c>
      <c r="AE51" s="9">
        <v>15</v>
      </c>
      <c r="AF51" s="8">
        <v>0</v>
      </c>
      <c r="AG51" s="8">
        <v>0</v>
      </c>
      <c r="AH51" s="8">
        <v>0</v>
      </c>
      <c r="AI51" s="8">
        <v>0</v>
      </c>
      <c r="AJ51" s="8">
        <v>1</v>
      </c>
    </row>
    <row r="52" spans="1:36" ht="21" customHeight="1" x14ac:dyDescent="0.15">
      <c r="A52" s="21" t="str">
        <f t="shared" ca="1" si="0"/>
        <v>20001_3-2/10&lt;lv26&gt;s2</v>
      </c>
      <c r="B52" s="31">
        <v>20001</v>
      </c>
      <c r="C52" s="38">
        <v>3</v>
      </c>
      <c r="D52" s="2" t="str">
        <f t="shared" si="1"/>
        <v>20001_3</v>
      </c>
      <c r="E52" s="5" t="str">
        <f ca="1">VLOOKUP($B52,OFFSET([1]quests!$A$1,0,0,COUNTA([1]quests!$A:$A),MATCH(E$1,[1]quests!$1:$1,0)-MATCH($B$1,[1]quests!$1:$1,0)+1),MATCH(E$1,[1]quests!$1:$1,0)-MATCH($B$1,[1]quests!$1:$1,0)+1,FALSE)</f>
        <v>紅き執行者</v>
      </c>
      <c r="F52" s="5" t="str">
        <f ca="1">VLOOKUP($D52,OFFSET([1]stages!$A$1,0,0,COUNTA([1]stages!$A:$A),MATCH(F$1,[1]stages!$2:$2,0)-MATCH($D$1,[1]stages!$2:$2,0)+1),MATCH(F$1,[1]stages!$2:$2,0)-MATCH($D$1,[1]stages!$2:$2,0)+1,FALSE)</f>
        <v xml:space="preserve">【上級】紅き執行者 </v>
      </c>
      <c r="G52" s="47">
        <v>2</v>
      </c>
      <c r="H52" s="20" t="str">
        <f t="shared" si="2"/>
        <v>20001_3-2</v>
      </c>
      <c r="I52" s="36">
        <v>10</v>
      </c>
      <c r="J52" s="26" t="str">
        <f ca="1">VLOOKUP($I52,OFFSET([2]enemies!$A$1,0,0,COUNTA([2]enemies!$A:$A),MATCH(J$1,[2]enemies!$1:$1,0)-MATCH($I$1,[2]enemies!$1:$1,0)+1),MATCH(J$1,[2]enemies!$1:$1,0)-MATCH($I$1,[2]enemies!$1:$1,0)+1,FALSE)</f>
        <v>燃える悪戯魂 ブレット</v>
      </c>
      <c r="K52" s="26" t="str">
        <f ca="1">VLOOKUP($I52,OFFSET([2]enemies!$A$1,0,0,COUNTA([2]enemies!$A:$A),MATCH(K$1,[2]enemies!$1:$1,0)-MATCH($I$1,[2]enemies!$1:$1,0)+1),MATCH(K$1,[2]enemies!$1:$1,0)-MATCH($I$1,[2]enemies!$1:$1,0)+1,FALSE)</f>
        <v>red</v>
      </c>
      <c r="L52" s="28" t="str">
        <f>VLOOKUP(I52,[3]characters!$A:$J,10,FALSE)</f>
        <v>Drop1W</v>
      </c>
      <c r="M52" s="26" t="str">
        <f ca="1">VLOOKUP($I52,OFFSET([2]enemies!$A$1,0,0,COUNTA([2]enemies!$A:$A),MATCH(M$1,[2]enemies!$1:$1,0)-MATCH($I$1,[2]enemies!$1:$1,0)+1),MATCH(M$1,[2]enemies!$1:$1,0)-MATCH($I$1,[2]enemies!$1:$1,0)+1,FALSE)</f>
        <v>animal</v>
      </c>
      <c r="N52" s="26">
        <f ca="1">VLOOKUP($I52,OFFSET([2]enemies!$A$1,0,0,COUNTA([2]enemies!$A:$A),MATCH(N$1,[2]enemies!$1:$1,0)-MATCH($I$1,[2]enemies!$1:$1,0)+1),MATCH(N$1,[2]enemies!$1:$1,0)-MATCH($I$1,[2]enemies!$1:$1,0)+1,FALSE)</f>
        <v>15</v>
      </c>
      <c r="O52" s="6">
        <v>26</v>
      </c>
      <c r="P52" s="54">
        <v>1</v>
      </c>
      <c r="Q52" s="54">
        <v>1</v>
      </c>
      <c r="R52" s="6">
        <v>0</v>
      </c>
      <c r="S52" s="5" t="str">
        <f ca="1">VLOOKUP($T52,OFFSET([4]enemy_skill_sets!$B$1,0,0,COUNTA([4]enemy_skill_sets!$B:$B),MATCH(J$1,[4]enemy_skill_sets!$1:$1,0)-MATCH($T$1,[4]enemy_skill_sets!$1:$1,0)+2),MATCH(J$1,[4]enemy_skill_sets!$1:$1,0)-MATCH($T$1,[4]enemy_skill_sets!$1:$1,0)+2,FALSE)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" s="26">
        <f ca="1">VLOOKUP($I52,OFFSET([2]enemies!$A$1,0,0,COUNTA([2]enemies!$A:$A),MATCH(T$1,[2]enemies!$1:$1,0)-MATCH($I$1,[2]enemies!$1:$1,0)+1),MATCH(T$1,[2]enemies!$1:$1,0)-MATCH($I$1,[2]enemies!$1:$1,0)+1,FALSE)</f>
        <v>0</v>
      </c>
      <c r="U52" s="7">
        <v>0</v>
      </c>
      <c r="V52" s="7">
        <v>100</v>
      </c>
      <c r="W52" s="7">
        <v>0</v>
      </c>
      <c r="X52" s="26">
        <f ca="1">VLOOKUP($I52,OFFSET([2]enemies!$A$1,0,0,COUNTA([2]enemies!$A:$A),MATCH(X$1,[2]enemies!$1:$1,0)-MATCH($I$1,[2]enemies!$1:$1,0)+1),MATCH(X$1,[2]enemies!$1:$1,0)-MATCH($I$1,[2]enemies!$1:$1,0)+1,FALSE)</f>
        <v>2</v>
      </c>
      <c r="Y52" s="36">
        <v>10</v>
      </c>
      <c r="Z52" s="5" t="str">
        <f ca="1">IFERROR(VLOOKUP($Y52,OFFSET([3]characters!$A$1,0,0,COUNTA([3]characters!$A:$A),MATCH(Z$1,[3]characters!$1:$1,0)-MATCH("character_id",[3]characters!$1:$1,0)+1),MATCH(Z$1,[3]characters!$1:$1,0)-MATCH("character_id",[3]characters!$1:$1,0)+1,FALSE),"")</f>
        <v>燃える悪戯魂 ブレット</v>
      </c>
      <c r="AA52" s="5">
        <f ca="1">IFERROR(VLOOKUP($Y52,OFFSET([3]characters!$A$1,0,0,COUNTA([3]characters!$A:$A),MATCH(AA$1,[3]characters!$1:$1,0)-MATCH("character_id",[3]characters!$1:$1,0)+1),MATCH(AA$1,[3]characters!$1:$1,0)-MATCH("character_id",[3]characters!$1:$1,0)+1,FALSE),"")</f>
        <v>2</v>
      </c>
      <c r="AB52" s="5" t="str">
        <f ca="1">IFERROR(VLOOKUP($Y52,OFFSET([3]characters!$A$1,0,0,COUNTA([3]characters!$A:$A),MATCH(AB$1,[3]characters!$1:$1,0)-MATCH("character_id",[3]characters!$1:$1,0)+1),MATCH(AB$1,[3]characters!$1:$1,0)-MATCH("character_id",[3]characters!$1:$1,0)+1,FALSE),"")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52" s="8">
        <v>7</v>
      </c>
      <c r="AD52" s="33">
        <f t="shared" ca="1" si="3"/>
        <v>2</v>
      </c>
      <c r="AE52" s="9">
        <v>15</v>
      </c>
      <c r="AF52" s="8">
        <v>0</v>
      </c>
      <c r="AG52" s="8">
        <v>0</v>
      </c>
      <c r="AH52" s="8">
        <v>0</v>
      </c>
      <c r="AI52" s="8">
        <v>0</v>
      </c>
      <c r="AJ52" s="8">
        <v>1</v>
      </c>
    </row>
    <row r="53" spans="1:36" ht="21" customHeight="1" x14ac:dyDescent="0.15">
      <c r="A53" s="21" t="str">
        <f t="shared" ca="1" si="0"/>
        <v>20001_3-2/21&lt;lv26&gt;s2</v>
      </c>
      <c r="B53" s="31">
        <v>20001</v>
      </c>
      <c r="C53" s="38">
        <v>3</v>
      </c>
      <c r="D53" s="2" t="str">
        <f t="shared" si="1"/>
        <v>20001_3</v>
      </c>
      <c r="E53" s="5" t="str">
        <f ca="1">VLOOKUP($B53,OFFSET([1]quests!$A$1,0,0,COUNTA([1]quests!$A:$A),MATCH(E$1,[1]quests!$1:$1,0)-MATCH($B$1,[1]quests!$1:$1,0)+1),MATCH(E$1,[1]quests!$1:$1,0)-MATCH($B$1,[1]quests!$1:$1,0)+1,FALSE)</f>
        <v>紅き執行者</v>
      </c>
      <c r="F53" s="5" t="str">
        <f ca="1">VLOOKUP($D53,OFFSET([1]stages!$A$1,0,0,COUNTA([1]stages!$A:$A),MATCH(F$1,[1]stages!$2:$2,0)-MATCH($D$1,[1]stages!$2:$2,0)+1),MATCH(F$1,[1]stages!$2:$2,0)-MATCH($D$1,[1]stages!$2:$2,0)+1,FALSE)</f>
        <v xml:space="preserve">【上級】紅き執行者 </v>
      </c>
      <c r="G53" s="47">
        <v>2</v>
      </c>
      <c r="H53" s="20" t="str">
        <f t="shared" si="2"/>
        <v>20001_3-2</v>
      </c>
      <c r="I53" s="36">
        <v>21</v>
      </c>
      <c r="J53" s="26" t="str">
        <f ca="1">VLOOKUP($I53,OFFSET([2]enemies!$A$1,0,0,COUNTA([2]enemies!$A:$A),MATCH(J$1,[2]enemies!$1:$1,0)-MATCH($I$1,[2]enemies!$1:$1,0)+1),MATCH(J$1,[2]enemies!$1:$1,0)-MATCH($I$1,[2]enemies!$1:$1,0)+1,FALSE)</f>
        <v>ヴェロキー</v>
      </c>
      <c r="K53" s="26" t="str">
        <f ca="1">VLOOKUP($I53,OFFSET([2]enemies!$A$1,0,0,COUNTA([2]enemies!$A:$A),MATCH(K$1,[2]enemies!$1:$1,0)-MATCH($I$1,[2]enemies!$1:$1,0)+1),MATCH(K$1,[2]enemies!$1:$1,0)-MATCH($I$1,[2]enemies!$1:$1,0)+1,FALSE)</f>
        <v>red</v>
      </c>
      <c r="L53" s="28" t="str">
        <f>VLOOKUP(I53,[3]characters!$A:$J,10,FALSE)</f>
        <v>Drop1N</v>
      </c>
      <c r="M53" s="26" t="str">
        <f ca="1">VLOOKUP($I53,OFFSET([2]enemies!$A$1,0,0,COUNTA([2]enemies!$A:$A),MATCH(M$1,[2]enemies!$1:$1,0)-MATCH($I$1,[2]enemies!$1:$1,0)+1),MATCH(M$1,[2]enemies!$1:$1,0)-MATCH($I$1,[2]enemies!$1:$1,0)+1,FALSE)</f>
        <v>dragon</v>
      </c>
      <c r="N53" s="26">
        <f ca="1">VLOOKUP($I53,OFFSET([2]enemies!$A$1,0,0,COUNTA([2]enemies!$A:$A),MATCH(N$1,[2]enemies!$1:$1,0)-MATCH($I$1,[2]enemies!$1:$1,0)+1),MATCH(N$1,[2]enemies!$1:$1,0)-MATCH($I$1,[2]enemies!$1:$1,0)+1,FALSE)</f>
        <v>15</v>
      </c>
      <c r="O53" s="6">
        <v>26</v>
      </c>
      <c r="P53" s="54">
        <v>1</v>
      </c>
      <c r="Q53" s="54">
        <v>1</v>
      </c>
      <c r="R53" s="6">
        <v>0</v>
      </c>
      <c r="S53" s="5" t="str">
        <f ca="1">VLOOKUP($T53,OFFSET([4]enemy_skill_sets!$B$1,0,0,COUNTA([4]enemy_skill_sets!$B:$B),MATCH(J$1,[4]enemy_skill_sets!$1:$1,0)-MATCH($T$1,[4]enemy_skill_sets!$1:$1,0)+2),MATCH(J$1,[4]enemy_skill_sets!$1:$1,0)-MATCH($T$1,[4]enemy_skill_sets!$1:$1,0)+2,FALSE)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" s="26">
        <f ca="1">VLOOKUP($I53,OFFSET([2]enemies!$A$1,0,0,COUNTA([2]enemies!$A:$A),MATCH(T$1,[2]enemies!$1:$1,0)-MATCH($I$1,[2]enemies!$1:$1,0)+1),MATCH(T$1,[2]enemies!$1:$1,0)-MATCH($I$1,[2]enemies!$1:$1,0)+1,FALSE)</f>
        <v>0</v>
      </c>
      <c r="U53" s="7">
        <v>0</v>
      </c>
      <c r="V53" s="7">
        <v>100</v>
      </c>
      <c r="W53" s="7">
        <v>0</v>
      </c>
      <c r="X53" s="26">
        <f ca="1">VLOOKUP($I53,OFFSET([2]enemies!$A$1,0,0,COUNTA([2]enemies!$A:$A),MATCH(X$1,[2]enemies!$1:$1,0)-MATCH($I$1,[2]enemies!$1:$1,0)+1),MATCH(X$1,[2]enemies!$1:$1,0)-MATCH($I$1,[2]enemies!$1:$1,0)+1,FALSE)</f>
        <v>2</v>
      </c>
      <c r="Y53" s="36">
        <v>21</v>
      </c>
      <c r="Z53" s="5" t="str">
        <f ca="1">IFERROR(VLOOKUP($Y53,OFFSET([3]characters!$A$1,0,0,COUNTA([3]characters!$A:$A),MATCH(Z$1,[3]characters!$1:$1,0)-MATCH("character_id",[3]characters!$1:$1,0)+1),MATCH(Z$1,[3]characters!$1:$1,0)-MATCH("character_id",[3]characters!$1:$1,0)+1,FALSE),"")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53" s="5">
        <f ca="1">IFERROR(VLOOKUP($Y53,OFFSET([3]characters!$A$1,0,0,COUNTA([3]characters!$A:$A),MATCH(AA$1,[3]characters!$1:$1,0)-MATCH("character_id",[3]characters!$1:$1,0)+1),MATCH(AA$1,[3]characters!$1:$1,0)-MATCH("character_id",[3]characters!$1:$1,0)+1,FALSE),"")</f>
        <v>1</v>
      </c>
      <c r="AB53" s="5" t="str">
        <f ca="1">IFERROR(VLOOKUP($Y53,OFFSET([3]characters!$A$1,0,0,COUNTA([3]characters!$A:$A),MATCH(AB$1,[3]characters!$1:$1,0)-MATCH("character_id",[3]characters!$1:$1,0)+1),MATCH(AB$1,[3]characters!$1:$1,0)-MATCH("character_id",[3]characters!$1:$1,0)+1,FALSE),"")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3" s="8">
        <v>5</v>
      </c>
      <c r="AD53" s="33">
        <f t="shared" ca="1" si="3"/>
        <v>1</v>
      </c>
      <c r="AE53" s="9">
        <v>15</v>
      </c>
      <c r="AF53" s="8">
        <v>0</v>
      </c>
      <c r="AG53" s="8">
        <v>0</v>
      </c>
      <c r="AH53" s="8">
        <v>0</v>
      </c>
      <c r="AI53" s="8">
        <v>0</v>
      </c>
      <c r="AJ53" s="8">
        <v>1</v>
      </c>
    </row>
    <row r="54" spans="1:36" ht="21" customHeight="1" x14ac:dyDescent="0.15">
      <c r="A54" s="21" t="str">
        <f t="shared" ca="1" si="0"/>
        <v>20001_3-2/41&lt;lv26&gt;s1</v>
      </c>
      <c r="B54" s="31">
        <v>20001</v>
      </c>
      <c r="C54" s="38">
        <v>3</v>
      </c>
      <c r="D54" s="2" t="str">
        <f t="shared" si="1"/>
        <v>20001_3</v>
      </c>
      <c r="E54" s="5" t="str">
        <f ca="1">VLOOKUP($B54,OFFSET([1]quests!$A$1,0,0,COUNTA([1]quests!$A:$A),MATCH(E$1,[1]quests!$1:$1,0)-MATCH($B$1,[1]quests!$1:$1,0)+1),MATCH(E$1,[1]quests!$1:$1,0)-MATCH($B$1,[1]quests!$1:$1,0)+1,FALSE)</f>
        <v>紅き執行者</v>
      </c>
      <c r="F54" s="5" t="str">
        <f ca="1">VLOOKUP($D54,OFFSET([1]stages!$A$1,0,0,COUNTA([1]stages!$A:$A),MATCH(F$1,[1]stages!$2:$2,0)-MATCH($D$1,[1]stages!$2:$2,0)+1),MATCH(F$1,[1]stages!$2:$2,0)-MATCH($D$1,[1]stages!$2:$2,0)+1,FALSE)</f>
        <v xml:space="preserve">【上級】紅き執行者 </v>
      </c>
      <c r="G54" s="47">
        <v>2</v>
      </c>
      <c r="H54" s="20" t="str">
        <f t="shared" si="2"/>
        <v>20001_3-2</v>
      </c>
      <c r="I54" s="36">
        <v>41</v>
      </c>
      <c r="J54" s="26" t="str">
        <f ca="1">VLOOKUP($I54,OFFSET([2]enemies!$A$1,0,0,COUNTA([2]enemies!$A:$A),MATCH(J$1,[2]enemies!$1:$1,0)-MATCH($I$1,[2]enemies!$1:$1,0)+1),MATCH(J$1,[2]enemies!$1:$1,0)-MATCH($I$1,[2]enemies!$1:$1,0)+1,FALSE)</f>
        <v>ヒュウガ</v>
      </c>
      <c r="K54" s="26" t="str">
        <f ca="1">VLOOKUP($I54,OFFSET([2]enemies!$A$1,0,0,COUNTA([2]enemies!$A:$A),MATCH(K$1,[2]enemies!$1:$1,0)-MATCH($I$1,[2]enemies!$1:$1,0)+1),MATCH(K$1,[2]enemies!$1:$1,0)-MATCH($I$1,[2]enemies!$1:$1,0)+1,FALSE)</f>
        <v>red</v>
      </c>
      <c r="L54" s="28" t="str">
        <f>VLOOKUP(I54,[3]characters!$A:$J,10,FALSE)</f>
        <v>Drop1N</v>
      </c>
      <c r="M54" s="26" t="str">
        <f ca="1">VLOOKUP($I54,OFFSET([2]enemies!$A$1,0,0,COUNTA([2]enemies!$A:$A),MATCH(M$1,[2]enemies!$1:$1,0)-MATCH($I$1,[2]enemies!$1:$1,0)+1),MATCH(M$1,[2]enemies!$1:$1,0)-MATCH($I$1,[2]enemies!$1:$1,0)+1,FALSE)</f>
        <v>dragon</v>
      </c>
      <c r="N54" s="26">
        <f ca="1">VLOOKUP($I54,OFFSET([2]enemies!$A$1,0,0,COUNTA([2]enemies!$A:$A),MATCH(N$1,[2]enemies!$1:$1,0)-MATCH($I$1,[2]enemies!$1:$1,0)+1),MATCH(N$1,[2]enemies!$1:$1,0)-MATCH($I$1,[2]enemies!$1:$1,0)+1,FALSE)</f>
        <v>15</v>
      </c>
      <c r="O54" s="6">
        <v>26</v>
      </c>
      <c r="P54" s="54">
        <v>1</v>
      </c>
      <c r="Q54" s="54">
        <v>1</v>
      </c>
      <c r="R54" s="6">
        <v>0</v>
      </c>
      <c r="S54" s="5" t="str">
        <f ca="1">VLOOKUP($T54,OFFSET([4]enemy_skill_sets!$B$1,0,0,COUNTA([4]enemy_skill_sets!$B:$B),MATCH(J$1,[4]enemy_skill_sets!$1:$1,0)-MATCH($T$1,[4]enemy_skill_sets!$1:$1,0)+2),MATCH(J$1,[4]enemy_skill_sets!$1:$1,0)-MATCH($T$1,[4]enemy_skill_sets!$1:$1,0)+2,FALSE)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" s="26">
        <f ca="1">VLOOKUP($I54,OFFSET([2]enemies!$A$1,0,0,COUNTA([2]enemies!$A:$A),MATCH(T$1,[2]enemies!$1:$1,0)-MATCH($I$1,[2]enemies!$1:$1,0)+1),MATCH(T$1,[2]enemies!$1:$1,0)-MATCH($I$1,[2]enemies!$1:$1,0)+1,FALSE)</f>
        <v>0</v>
      </c>
      <c r="U54" s="7">
        <v>0</v>
      </c>
      <c r="V54" s="7">
        <v>100</v>
      </c>
      <c r="W54" s="7">
        <v>0</v>
      </c>
      <c r="X54" s="26">
        <f ca="1">VLOOKUP($I54,OFFSET([2]enemies!$A$1,0,0,COUNTA([2]enemies!$A:$A),MATCH(X$1,[2]enemies!$1:$1,0)-MATCH($I$1,[2]enemies!$1:$1,0)+1),MATCH(X$1,[2]enemies!$1:$1,0)-MATCH($I$1,[2]enemies!$1:$1,0)+1,FALSE)</f>
        <v>1</v>
      </c>
      <c r="Y54" s="36">
        <v>41</v>
      </c>
      <c r="Z54" s="5" t="str">
        <f ca="1">IFERROR(VLOOKUP($Y54,OFFSET([3]characters!$A$1,0,0,COUNTA([3]characters!$A:$A),MATCH(Z$1,[3]characters!$1:$1,0)-MATCH("character_id",[3]characters!$1:$1,0)+1),MATCH(Z$1,[3]characters!$1:$1,0)-MATCH("character_id",[3]characters!$1:$1,0)+1,FALSE),"")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54" s="5">
        <f ca="1">IFERROR(VLOOKUP($Y54,OFFSET([3]characters!$A$1,0,0,COUNTA([3]characters!$A:$A),MATCH(AA$1,[3]characters!$1:$1,0)-MATCH("character_id",[3]characters!$1:$1,0)+1),MATCH(AA$1,[3]characters!$1:$1,0)-MATCH("character_id",[3]characters!$1:$1,0)+1,FALSE),"")</f>
        <v>2</v>
      </c>
      <c r="AB54" s="5" t="str">
        <f ca="1">IFERROR(VLOOKUP($Y54,OFFSET([3]characters!$A$1,0,0,COUNTA([3]characters!$A:$A),MATCH(AB$1,[3]characters!$1:$1,0)-MATCH("character_id",[3]characters!$1:$1,0)+1),MATCH(AB$1,[3]characters!$1:$1,0)-MATCH("character_id",[3]characters!$1:$1,0)+1,FALSE),"")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4" s="8">
        <v>5</v>
      </c>
      <c r="AD54" s="33">
        <f t="shared" ca="1" si="3"/>
        <v>2</v>
      </c>
      <c r="AE54" s="9">
        <v>15</v>
      </c>
      <c r="AF54" s="8">
        <v>0</v>
      </c>
      <c r="AG54" s="8">
        <v>0</v>
      </c>
      <c r="AH54" s="8">
        <v>0</v>
      </c>
      <c r="AI54" s="8">
        <v>0</v>
      </c>
      <c r="AJ54" s="8">
        <v>1</v>
      </c>
    </row>
    <row r="55" spans="1:36" ht="21" customHeight="1" x14ac:dyDescent="0.15">
      <c r="A55" s="21" t="str">
        <f t="shared" ca="1" si="0"/>
        <v>20001_3-2/49&lt;lv26&gt;s2</v>
      </c>
      <c r="B55" s="31">
        <v>20001</v>
      </c>
      <c r="C55" s="38">
        <v>3</v>
      </c>
      <c r="D55" s="2" t="str">
        <f t="shared" si="1"/>
        <v>20001_3</v>
      </c>
      <c r="E55" s="5" t="str">
        <f ca="1">VLOOKUP($B55,OFFSET([1]quests!$A$1,0,0,COUNTA([1]quests!$A:$A),MATCH(E$1,[1]quests!$1:$1,0)-MATCH($B$1,[1]quests!$1:$1,0)+1),MATCH(E$1,[1]quests!$1:$1,0)-MATCH($B$1,[1]quests!$1:$1,0)+1,FALSE)</f>
        <v>紅き執行者</v>
      </c>
      <c r="F55" s="5" t="str">
        <f ca="1">VLOOKUP($D55,OFFSET([1]stages!$A$1,0,0,COUNTA([1]stages!$A:$A),MATCH(F$1,[1]stages!$2:$2,0)-MATCH($D$1,[1]stages!$2:$2,0)+1),MATCH(F$1,[1]stages!$2:$2,0)-MATCH($D$1,[1]stages!$2:$2,0)+1,FALSE)</f>
        <v xml:space="preserve">【上級】紅き執行者 </v>
      </c>
      <c r="G55" s="47">
        <v>2</v>
      </c>
      <c r="H55" s="20" t="str">
        <f t="shared" si="2"/>
        <v>20001_3-2</v>
      </c>
      <c r="I55" s="36">
        <v>49</v>
      </c>
      <c r="J55" s="26" t="str">
        <f ca="1">VLOOKUP($I55,OFFSET([2]enemies!$A$1,0,0,COUNTA([2]enemies!$A:$A),MATCH(J$1,[2]enemies!$1:$1,0)-MATCH($I$1,[2]enemies!$1:$1,0)+1),MATCH(J$1,[2]enemies!$1:$1,0)-MATCH($I$1,[2]enemies!$1:$1,0)+1,FALSE)</f>
        <v>ヨシタカ</v>
      </c>
      <c r="K55" s="26" t="str">
        <f ca="1">VLOOKUP($I55,OFFSET([2]enemies!$A$1,0,0,COUNTA([2]enemies!$A:$A),MATCH(K$1,[2]enemies!$1:$1,0)-MATCH($I$1,[2]enemies!$1:$1,0)+1),MATCH(K$1,[2]enemies!$1:$1,0)-MATCH($I$1,[2]enemies!$1:$1,0)+1,FALSE)</f>
        <v>red</v>
      </c>
      <c r="L55" s="28" t="str">
        <f>VLOOKUP(I55,[3]characters!$A:$J,10,FALSE)</f>
        <v>Drop1N</v>
      </c>
      <c r="M55" s="26" t="str">
        <f ca="1">VLOOKUP($I55,OFFSET([2]enemies!$A$1,0,0,COUNTA([2]enemies!$A:$A),MATCH(M$1,[2]enemies!$1:$1,0)-MATCH($I$1,[2]enemies!$1:$1,0)+1),MATCH(M$1,[2]enemies!$1:$1,0)-MATCH($I$1,[2]enemies!$1:$1,0)+1,FALSE)</f>
        <v>human</v>
      </c>
      <c r="N55" s="26">
        <f ca="1">VLOOKUP($I55,OFFSET([2]enemies!$A$1,0,0,COUNTA([2]enemies!$A:$A),MATCH(N$1,[2]enemies!$1:$1,0)-MATCH($I$1,[2]enemies!$1:$1,0)+1),MATCH(N$1,[2]enemies!$1:$1,0)-MATCH($I$1,[2]enemies!$1:$1,0)+1,FALSE)</f>
        <v>15</v>
      </c>
      <c r="O55" s="6">
        <v>26</v>
      </c>
      <c r="P55" s="54">
        <v>1</v>
      </c>
      <c r="Q55" s="54">
        <v>1</v>
      </c>
      <c r="R55" s="6">
        <v>0</v>
      </c>
      <c r="S55" s="5" t="str">
        <f ca="1">VLOOKUP($T55,OFFSET([4]enemy_skill_sets!$B$1,0,0,COUNTA([4]enemy_skill_sets!$B:$B),MATCH(J$1,[4]enemy_skill_sets!$1:$1,0)-MATCH($T$1,[4]enemy_skill_sets!$1:$1,0)+2),MATCH(J$1,[4]enemy_skill_sets!$1:$1,0)-MATCH($T$1,[4]enemy_skill_sets!$1:$1,0)+2,FALSE)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55" s="26">
        <f ca="1">VLOOKUP($I55,OFFSET([2]enemies!$A$1,0,0,COUNTA([2]enemies!$A:$A),MATCH(T$1,[2]enemies!$1:$1,0)-MATCH($I$1,[2]enemies!$1:$1,0)+1),MATCH(T$1,[2]enemies!$1:$1,0)-MATCH($I$1,[2]enemies!$1:$1,0)+1,FALSE)</f>
        <v>49</v>
      </c>
      <c r="U55" s="7">
        <v>0</v>
      </c>
      <c r="V55" s="7">
        <v>80</v>
      </c>
      <c r="W55" s="7">
        <v>0</v>
      </c>
      <c r="X55" s="26">
        <f ca="1">VLOOKUP($I55,OFFSET([2]enemies!$A$1,0,0,COUNTA([2]enemies!$A:$A),MATCH(X$1,[2]enemies!$1:$1,0)-MATCH($I$1,[2]enemies!$1:$1,0)+1),MATCH(X$1,[2]enemies!$1:$1,0)-MATCH($I$1,[2]enemies!$1:$1,0)+1,FALSE)</f>
        <v>2</v>
      </c>
      <c r="Y55" s="36">
        <v>49</v>
      </c>
      <c r="Z55" s="5" t="str">
        <f ca="1">IFERROR(VLOOKUP($Y55,OFFSET([3]characters!$A$1,0,0,COUNTA([3]characters!$A:$A),MATCH(Z$1,[3]characters!$1:$1,0)-MATCH("character_id",[3]characters!$1:$1,0)+1),MATCH(Z$1,[3]characters!$1:$1,0)-MATCH("character_id",[3]characters!$1:$1,0)+1,FALSE),"")</f>
        <v>ヨシタカ</v>
      </c>
      <c r="AA55" s="5">
        <f ca="1">IFERROR(VLOOKUP($Y55,OFFSET([3]characters!$A$1,0,0,COUNTA([3]characters!$A:$A),MATCH(AA$1,[3]characters!$1:$1,0)-MATCH("character_id",[3]characters!$1:$1,0)+1),MATCH(AA$1,[3]characters!$1:$1,0)-MATCH("character_id",[3]characters!$1:$1,0)+1,FALSE),"")</f>
        <v>2</v>
      </c>
      <c r="AB55" s="5" t="str">
        <f ca="1">IFERROR(VLOOKUP($Y55,OFFSET([3]characters!$A$1,0,0,COUNTA([3]characters!$A:$A),MATCH(AB$1,[3]characters!$1:$1,0)-MATCH("character_id",[3]characters!$1:$1,0)+1),MATCH(AB$1,[3]characters!$1:$1,0)-MATCH("character_id",[3]characters!$1:$1,0)+1,FALSE),"")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5" s="8">
        <v>5</v>
      </c>
      <c r="AD55" s="33">
        <f t="shared" ca="1" si="3"/>
        <v>2</v>
      </c>
      <c r="AE55" s="9">
        <v>15</v>
      </c>
      <c r="AF55" s="8">
        <v>0</v>
      </c>
      <c r="AG55" s="8">
        <v>0</v>
      </c>
      <c r="AH55" s="8">
        <v>0</v>
      </c>
      <c r="AI55" s="8">
        <v>0</v>
      </c>
      <c r="AJ55" s="8">
        <v>1</v>
      </c>
    </row>
    <row r="56" spans="1:36" ht="21" customHeight="1" x14ac:dyDescent="0.15">
      <c r="A56" s="21" t="str">
        <f t="shared" ca="1" si="0"/>
        <v>20001_3-2/57&lt;lv26&gt;s2</v>
      </c>
      <c r="B56" s="31">
        <v>20001</v>
      </c>
      <c r="C56" s="38">
        <v>3</v>
      </c>
      <c r="D56" s="2" t="str">
        <f t="shared" si="1"/>
        <v>20001_3</v>
      </c>
      <c r="E56" s="5" t="str">
        <f ca="1">VLOOKUP($B56,OFFSET([1]quests!$A$1,0,0,COUNTA([1]quests!$A:$A),MATCH(E$1,[1]quests!$1:$1,0)-MATCH($B$1,[1]quests!$1:$1,0)+1),MATCH(E$1,[1]quests!$1:$1,0)-MATCH($B$1,[1]quests!$1:$1,0)+1,FALSE)</f>
        <v>紅き執行者</v>
      </c>
      <c r="F56" s="5" t="str">
        <f ca="1">VLOOKUP($D56,OFFSET([1]stages!$A$1,0,0,COUNTA([1]stages!$A:$A),MATCH(F$1,[1]stages!$2:$2,0)-MATCH($D$1,[1]stages!$2:$2,0)+1),MATCH(F$1,[1]stages!$2:$2,0)-MATCH($D$1,[1]stages!$2:$2,0)+1,FALSE)</f>
        <v xml:space="preserve">【上級】紅き執行者 </v>
      </c>
      <c r="G56" s="47">
        <v>2</v>
      </c>
      <c r="H56" s="20" t="str">
        <f t="shared" si="2"/>
        <v>20001_3-2</v>
      </c>
      <c r="I56" s="36">
        <v>57</v>
      </c>
      <c r="J56" s="26" t="str">
        <f ca="1">VLOOKUP($I56,OFFSET([2]enemies!$A$1,0,0,COUNTA([2]enemies!$A:$A),MATCH(J$1,[2]enemies!$1:$1,0)-MATCH($I$1,[2]enemies!$1:$1,0)+1),MATCH(J$1,[2]enemies!$1:$1,0)-MATCH($I$1,[2]enemies!$1:$1,0)+1,FALSE)</f>
        <v>チェン・リー</v>
      </c>
      <c r="K56" s="26" t="str">
        <f ca="1">VLOOKUP($I56,OFFSET([2]enemies!$A$1,0,0,COUNTA([2]enemies!$A:$A),MATCH(K$1,[2]enemies!$1:$1,0)-MATCH($I$1,[2]enemies!$1:$1,0)+1),MATCH(K$1,[2]enemies!$1:$1,0)-MATCH($I$1,[2]enemies!$1:$1,0)+1,FALSE)</f>
        <v>red</v>
      </c>
      <c r="L56" s="28" t="str">
        <f>VLOOKUP(I56,[3]characters!$A:$J,10,FALSE)</f>
        <v>Drop1N</v>
      </c>
      <c r="M56" s="26" t="str">
        <f ca="1">VLOOKUP($I56,OFFSET([2]enemies!$A$1,0,0,COUNTA([2]enemies!$A:$A),MATCH(M$1,[2]enemies!$1:$1,0)-MATCH($I$1,[2]enemies!$1:$1,0)+1),MATCH(M$1,[2]enemies!$1:$1,0)-MATCH($I$1,[2]enemies!$1:$1,0)+1,FALSE)</f>
        <v>animal</v>
      </c>
      <c r="N56" s="26">
        <f ca="1">VLOOKUP($I56,OFFSET([2]enemies!$A$1,0,0,COUNTA([2]enemies!$A:$A),MATCH(N$1,[2]enemies!$1:$1,0)-MATCH($I$1,[2]enemies!$1:$1,0)+1),MATCH(N$1,[2]enemies!$1:$1,0)-MATCH($I$1,[2]enemies!$1:$1,0)+1,FALSE)</f>
        <v>15</v>
      </c>
      <c r="O56" s="6">
        <v>26</v>
      </c>
      <c r="P56" s="54">
        <v>1</v>
      </c>
      <c r="Q56" s="54">
        <v>1</v>
      </c>
      <c r="R56" s="6">
        <v>0</v>
      </c>
      <c r="S56" s="5" t="str">
        <f ca="1">VLOOKUP($T56,OFFSET([4]enemy_skill_sets!$B$1,0,0,COUNTA([4]enemy_skill_sets!$B:$B),MATCH(J$1,[4]enemy_skill_sets!$1:$1,0)-MATCH($T$1,[4]enemy_skill_sets!$1:$1,0)+2),MATCH(J$1,[4]enemy_skill_sets!$1:$1,0)-MATCH($T$1,[4]enemy_skill_sets!$1:$1,0)+2,FALSE)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56" s="26">
        <f ca="1">VLOOKUP($I56,OFFSET([2]enemies!$A$1,0,0,COUNTA([2]enemies!$A:$A),MATCH(T$1,[2]enemies!$1:$1,0)-MATCH($I$1,[2]enemies!$1:$1,0)+1),MATCH(T$1,[2]enemies!$1:$1,0)-MATCH($I$1,[2]enemies!$1:$1,0)+1,FALSE)</f>
        <v>57</v>
      </c>
      <c r="U56" s="7">
        <v>0</v>
      </c>
      <c r="V56" s="7">
        <v>80</v>
      </c>
      <c r="W56" s="7">
        <v>0</v>
      </c>
      <c r="X56" s="26">
        <f ca="1">VLOOKUP($I56,OFFSET([2]enemies!$A$1,0,0,COUNTA([2]enemies!$A:$A),MATCH(X$1,[2]enemies!$1:$1,0)-MATCH($I$1,[2]enemies!$1:$1,0)+1),MATCH(X$1,[2]enemies!$1:$1,0)-MATCH($I$1,[2]enemies!$1:$1,0)+1,FALSE)</f>
        <v>2</v>
      </c>
      <c r="Y56" s="36">
        <v>57</v>
      </c>
      <c r="Z56" s="5" t="str">
        <f ca="1">IFERROR(VLOOKUP($Y56,OFFSET([3]characters!$A$1,0,0,COUNTA([3]characters!$A:$A),MATCH(Z$1,[3]characters!$1:$1,0)-MATCH("character_id",[3]characters!$1:$1,0)+1),MATCH(Z$1,[3]characters!$1:$1,0)-MATCH("character_id",[3]characters!$1:$1,0)+1,FALSE),"")</f>
        <v>チェン・リー</v>
      </c>
      <c r="AA56" s="5">
        <f ca="1">IFERROR(VLOOKUP($Y56,OFFSET([3]characters!$A$1,0,0,COUNTA([3]characters!$A:$A),MATCH(AA$1,[3]characters!$1:$1,0)-MATCH("character_id",[3]characters!$1:$1,0)+1),MATCH(AA$1,[3]characters!$1:$1,0)-MATCH("character_id",[3]characters!$1:$1,0)+1,FALSE),"")</f>
        <v>2</v>
      </c>
      <c r="AB56" s="5" t="str">
        <f ca="1">IFERROR(VLOOKUP($Y56,OFFSET([3]characters!$A$1,0,0,COUNTA([3]characters!$A:$A),MATCH(AB$1,[3]characters!$1:$1,0)-MATCH("character_id",[3]characters!$1:$1,0)+1),MATCH(AB$1,[3]characters!$1:$1,0)-MATCH("character_id",[3]characters!$1:$1,0)+1,FALSE),"")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6" s="8">
        <v>5</v>
      </c>
      <c r="AD56" s="33">
        <f t="shared" ca="1" si="3"/>
        <v>2</v>
      </c>
      <c r="AE56" s="9">
        <v>15</v>
      </c>
      <c r="AF56" s="8">
        <v>0</v>
      </c>
      <c r="AG56" s="8">
        <v>0</v>
      </c>
      <c r="AH56" s="8">
        <v>0</v>
      </c>
      <c r="AI56" s="8">
        <v>0</v>
      </c>
      <c r="AJ56" s="8">
        <v>1</v>
      </c>
    </row>
    <row r="57" spans="1:36" ht="21" customHeight="1" x14ac:dyDescent="0.15">
      <c r="A57" s="21" t="str">
        <f t="shared" ca="1" si="0"/>
        <v>20001_3-3/176&lt;lv19&gt;s2</v>
      </c>
      <c r="B57" s="31">
        <v>20001</v>
      </c>
      <c r="C57" s="38">
        <v>3</v>
      </c>
      <c r="D57" s="2" t="str">
        <f t="shared" si="1"/>
        <v>20001_3</v>
      </c>
      <c r="E57" s="5" t="str">
        <f ca="1">VLOOKUP($B57,OFFSET([1]quests!$A$1,0,0,COUNTA([1]quests!$A:$A),MATCH(E$1,[1]quests!$1:$1,0)-MATCH($B$1,[1]quests!$1:$1,0)+1),MATCH(E$1,[1]quests!$1:$1,0)-MATCH($B$1,[1]quests!$1:$1,0)+1,FALSE)</f>
        <v>紅き執行者</v>
      </c>
      <c r="F57" s="5" t="str">
        <f ca="1">VLOOKUP($D57,OFFSET([1]stages!$A$1,0,0,COUNTA([1]stages!$A:$A),MATCH(F$1,[1]stages!$2:$2,0)-MATCH($D$1,[1]stages!$2:$2,0)+1),MATCH(F$1,[1]stages!$2:$2,0)-MATCH($D$1,[1]stages!$2:$2,0)+1,FALSE)</f>
        <v xml:space="preserve">【上級】紅き執行者 </v>
      </c>
      <c r="G57" s="48">
        <v>3</v>
      </c>
      <c r="H57" s="20" t="str">
        <f t="shared" si="2"/>
        <v>20001_3-3</v>
      </c>
      <c r="I57" s="37">
        <v>176</v>
      </c>
      <c r="J57" s="26" t="str">
        <f ca="1">VLOOKUP($I57,OFFSET([2]enemies!$A$1,0,0,COUNTA([2]enemies!$A:$A),MATCH(J$1,[2]enemies!$1:$1,0)-MATCH($I$1,[2]enemies!$1:$1,0)+1),MATCH(J$1,[2]enemies!$1:$1,0)-MATCH($I$1,[2]enemies!$1:$1,0)+1,FALSE)</f>
        <v>異教徒 バフォメット</v>
      </c>
      <c r="K57" s="26" t="str">
        <f ca="1">VLOOKUP($I57,OFFSET([2]enemies!$A$1,0,0,COUNTA([2]enemies!$A:$A),MATCH(K$1,[2]enemies!$1:$1,0)-MATCH($I$1,[2]enemies!$1:$1,0)+1),MATCH(K$1,[2]enemies!$1:$1,0)-MATCH($I$1,[2]enemies!$1:$1,0)+1,FALSE)</f>
        <v>yellow</v>
      </c>
      <c r="L57" s="28" t="str">
        <f>VLOOKUP(I57,[3]characters!$A:$J,10,FALSE)</f>
        <v>PremiumN</v>
      </c>
      <c r="M57" s="26" t="str">
        <f ca="1">VLOOKUP($I57,OFFSET([2]enemies!$A$1,0,0,COUNTA([2]enemies!$A:$A),MATCH(M$1,[2]enemies!$1:$1,0)-MATCH($I$1,[2]enemies!$1:$1,0)+1),MATCH(M$1,[2]enemies!$1:$1,0)-MATCH($I$1,[2]enemies!$1:$1,0)+1,FALSE)</f>
        <v>god</v>
      </c>
      <c r="N57" s="26">
        <f ca="1">VLOOKUP($I57,OFFSET([2]enemies!$A$1,0,0,COUNTA([2]enemies!$A:$A),MATCH(N$1,[2]enemies!$1:$1,0)-MATCH($I$1,[2]enemies!$1:$1,0)+1),MATCH(N$1,[2]enemies!$1:$1,0)-MATCH($I$1,[2]enemies!$1:$1,0)+1,FALSE)</f>
        <v>30</v>
      </c>
      <c r="O57" s="6">
        <v>19</v>
      </c>
      <c r="P57" s="54">
        <v>0.7</v>
      </c>
      <c r="Q57" s="54">
        <v>1</v>
      </c>
      <c r="R57" s="6">
        <v>0</v>
      </c>
      <c r="S57" s="5" t="str">
        <f ca="1">VLOOKUP($T57,OFFSET([4]enemy_skill_sets!$B$1,0,0,COUNTA([4]enemy_skill_sets!$B:$B),MATCH(J$1,[4]enemy_skill_sets!$1:$1,0)-MATCH($T$1,[4]enemy_skill_sets!$1:$1,0)+2),MATCH(J$1,[4]enemy_skill_sets!$1:$1,0)-MATCH($T$1,[4]enemy_skill_sets!$1:$1,0)+2,FALSE)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" s="26">
        <f ca="1">VLOOKUP($I57,OFFSET([2]enemies!$A$1,0,0,COUNTA([2]enemies!$A:$A),MATCH(T$1,[2]enemies!$1:$1,0)-MATCH($I$1,[2]enemies!$1:$1,0)+1),MATCH(T$1,[2]enemies!$1:$1,0)-MATCH($I$1,[2]enemies!$1:$1,0)+1,FALSE)</f>
        <v>0</v>
      </c>
      <c r="U57" s="7">
        <v>1</v>
      </c>
      <c r="V57" s="7">
        <v>0</v>
      </c>
      <c r="W57" s="7">
        <v>1</v>
      </c>
      <c r="X57" s="26">
        <f ca="1">VLOOKUP($I57,OFFSET([2]enemies!$A$1,0,0,COUNTA([2]enemies!$A:$A),MATCH(X$1,[2]enemies!$1:$1,0)-MATCH($I$1,[2]enemies!$1:$1,0)+1),MATCH(X$1,[2]enemies!$1:$1,0)-MATCH($I$1,[2]enemies!$1:$1,0)+1,FALSE)</f>
        <v>2</v>
      </c>
      <c r="Y57" s="37">
        <v>176</v>
      </c>
      <c r="Z57" s="5" t="str">
        <f ca="1">IFERROR(VLOOKUP($Y57,OFFSET([3]characters!$A$1,0,0,COUNTA([3]characters!$A:$A),MATCH(Z$1,[3]characters!$1:$1,0)-MATCH("character_id",[3]characters!$1:$1,0)+1),MATCH(Z$1,[3]characters!$1:$1,0)-MATCH("character_id",[3]characters!$1:$1,0)+1,FALSE),"")</f>
        <v>異教徒 バフォメット</v>
      </c>
      <c r="AA57" s="5">
        <f ca="1">IFERROR(VLOOKUP($Y57,OFFSET([3]characters!$A$1,0,0,COUNTA([3]characters!$A:$A),MATCH(AA$1,[3]characters!$1:$1,0)-MATCH("character_id",[3]characters!$1:$1,0)+1),MATCH(AA$1,[3]characters!$1:$1,0)-MATCH("character_id",[3]characters!$1:$1,0)+1,FALSE),"")</f>
        <v>4</v>
      </c>
      <c r="AB57" s="5" t="str">
        <f ca="1">IFERROR(VLOOKUP($Y57,OFFSET([3]characters!$A$1,0,0,COUNTA([3]characters!$A:$A),MATCH(AB$1,[3]characters!$1:$1,0)-MATCH("character_id",[3]characters!$1:$1,0)+1),MATCH(AB$1,[3]characters!$1:$1,0)-MATCH("character_id",[3]characters!$1:$1,0)+1,FALSE),"")</f>
        <v>PremiumN</v>
      </c>
      <c r="AC57" s="8">
        <v>1</v>
      </c>
      <c r="AD57" s="33">
        <f t="shared" ca="1" si="3"/>
        <v>4</v>
      </c>
      <c r="AE57" s="9">
        <v>0</v>
      </c>
      <c r="AF57" s="8">
        <v>0</v>
      </c>
      <c r="AG57" s="8">
        <v>0</v>
      </c>
      <c r="AH57" s="8">
        <v>0</v>
      </c>
      <c r="AI57" s="8">
        <v>0</v>
      </c>
      <c r="AJ57" s="8">
        <v>1</v>
      </c>
    </row>
    <row r="58" spans="1:36" ht="21" customHeight="1" x14ac:dyDescent="0.15">
      <c r="A58" s="21" t="str">
        <f t="shared" ca="1" si="0"/>
        <v>20001_3-4/10&lt;lv26&gt;s2</v>
      </c>
      <c r="B58" s="31">
        <v>20001</v>
      </c>
      <c r="C58" s="38">
        <v>3</v>
      </c>
      <c r="D58" s="2" t="str">
        <f t="shared" si="1"/>
        <v>20001_3</v>
      </c>
      <c r="E58" s="5" t="str">
        <f ca="1">VLOOKUP($B58,OFFSET([1]quests!$A$1,0,0,COUNTA([1]quests!$A:$A),MATCH(E$1,[1]quests!$1:$1,0)-MATCH($B$1,[1]quests!$1:$1,0)+1),MATCH(E$1,[1]quests!$1:$1,0)-MATCH($B$1,[1]quests!$1:$1,0)+1,FALSE)</f>
        <v>紅き執行者</v>
      </c>
      <c r="F58" s="5" t="str">
        <f ca="1">VLOOKUP($D58,OFFSET([1]stages!$A$1,0,0,COUNTA([1]stages!$A:$A),MATCH(F$1,[1]stages!$2:$2,0)-MATCH($D$1,[1]stages!$2:$2,0)+1),MATCH(F$1,[1]stages!$2:$2,0)-MATCH($D$1,[1]stages!$2:$2,0)+1,FALSE)</f>
        <v xml:space="preserve">【上級】紅き執行者 </v>
      </c>
      <c r="G58" s="49">
        <v>4</v>
      </c>
      <c r="H58" s="20" t="str">
        <f t="shared" si="2"/>
        <v>20001_3-4</v>
      </c>
      <c r="I58" s="36">
        <v>10</v>
      </c>
      <c r="J58" s="26" t="str">
        <f ca="1">VLOOKUP($I58,OFFSET([2]enemies!$A$1,0,0,COUNTA([2]enemies!$A:$A),MATCH(J$1,[2]enemies!$1:$1,0)-MATCH($I$1,[2]enemies!$1:$1,0)+1),MATCH(J$1,[2]enemies!$1:$1,0)-MATCH($I$1,[2]enemies!$1:$1,0)+1,FALSE)</f>
        <v>燃える悪戯魂 ブレット</v>
      </c>
      <c r="K58" s="26" t="str">
        <f ca="1">VLOOKUP($I58,OFFSET([2]enemies!$A$1,0,0,COUNTA([2]enemies!$A:$A),MATCH(K$1,[2]enemies!$1:$1,0)-MATCH($I$1,[2]enemies!$1:$1,0)+1),MATCH(K$1,[2]enemies!$1:$1,0)-MATCH($I$1,[2]enemies!$1:$1,0)+1,FALSE)</f>
        <v>red</v>
      </c>
      <c r="L58" s="28" t="str">
        <f>VLOOKUP(I58,[3]characters!$A:$J,10,FALSE)</f>
        <v>Drop1W</v>
      </c>
      <c r="M58" s="26" t="str">
        <f ca="1">VLOOKUP($I58,OFFSET([2]enemies!$A$1,0,0,COUNTA([2]enemies!$A:$A),MATCH(M$1,[2]enemies!$1:$1,0)-MATCH($I$1,[2]enemies!$1:$1,0)+1),MATCH(M$1,[2]enemies!$1:$1,0)-MATCH($I$1,[2]enemies!$1:$1,0)+1,FALSE)</f>
        <v>animal</v>
      </c>
      <c r="N58" s="26">
        <f ca="1">VLOOKUP($I58,OFFSET([2]enemies!$A$1,0,0,COUNTA([2]enemies!$A:$A),MATCH(N$1,[2]enemies!$1:$1,0)-MATCH($I$1,[2]enemies!$1:$1,0)+1),MATCH(N$1,[2]enemies!$1:$1,0)-MATCH($I$1,[2]enemies!$1:$1,0)+1,FALSE)</f>
        <v>15</v>
      </c>
      <c r="O58" s="6">
        <v>26</v>
      </c>
      <c r="P58" s="54">
        <v>1</v>
      </c>
      <c r="Q58" s="54">
        <v>1</v>
      </c>
      <c r="R58" s="6">
        <v>0</v>
      </c>
      <c r="S58" s="5" t="str">
        <f ca="1">VLOOKUP($T58,OFFSET([4]enemy_skill_sets!$B$1,0,0,COUNTA([4]enemy_skill_sets!$B:$B),MATCH(J$1,[4]enemy_skill_sets!$1:$1,0)-MATCH($T$1,[4]enemy_skill_sets!$1:$1,0)+2),MATCH(J$1,[4]enemy_skill_sets!$1:$1,0)-MATCH($T$1,[4]enemy_skill_sets!$1:$1,0)+2,FALSE)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" s="26">
        <f ca="1">VLOOKUP($I58,OFFSET([2]enemies!$A$1,0,0,COUNTA([2]enemies!$A:$A),MATCH(T$1,[2]enemies!$1:$1,0)-MATCH($I$1,[2]enemies!$1:$1,0)+1),MATCH(T$1,[2]enemies!$1:$1,0)-MATCH($I$1,[2]enemies!$1:$1,0)+1,FALSE)</f>
        <v>0</v>
      </c>
      <c r="U58" s="7">
        <v>0</v>
      </c>
      <c r="V58" s="7">
        <v>100</v>
      </c>
      <c r="W58" s="7">
        <v>0</v>
      </c>
      <c r="X58" s="26">
        <f ca="1">VLOOKUP($I58,OFFSET([2]enemies!$A$1,0,0,COUNTA([2]enemies!$A:$A),MATCH(X$1,[2]enemies!$1:$1,0)-MATCH($I$1,[2]enemies!$1:$1,0)+1),MATCH(X$1,[2]enemies!$1:$1,0)-MATCH($I$1,[2]enemies!$1:$1,0)+1,FALSE)</f>
        <v>2</v>
      </c>
      <c r="Y58" s="36">
        <v>10</v>
      </c>
      <c r="Z58" s="5" t="str">
        <f ca="1">IFERROR(VLOOKUP($Y58,OFFSET([3]characters!$A$1,0,0,COUNTA([3]characters!$A:$A),MATCH(Z$1,[3]characters!$1:$1,0)-MATCH("character_id",[3]characters!$1:$1,0)+1),MATCH(Z$1,[3]characters!$1:$1,0)-MATCH("character_id",[3]characters!$1:$1,0)+1,FALSE),"")</f>
        <v>燃える悪戯魂 ブレット</v>
      </c>
      <c r="AA58" s="5">
        <f ca="1">IFERROR(VLOOKUP($Y58,OFFSET([3]characters!$A$1,0,0,COUNTA([3]characters!$A:$A),MATCH(AA$1,[3]characters!$1:$1,0)-MATCH("character_id",[3]characters!$1:$1,0)+1),MATCH(AA$1,[3]characters!$1:$1,0)-MATCH("character_id",[3]characters!$1:$1,0)+1,FALSE),"")</f>
        <v>2</v>
      </c>
      <c r="AB58" s="5" t="str">
        <f ca="1">IFERROR(VLOOKUP($Y58,OFFSET([3]characters!$A$1,0,0,COUNTA([3]characters!$A:$A),MATCH(AB$1,[3]characters!$1:$1,0)-MATCH("character_id",[3]characters!$1:$1,0)+1),MATCH(AB$1,[3]characters!$1:$1,0)-MATCH("character_id",[3]characters!$1:$1,0)+1,FALSE),"")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58" s="8">
        <v>7</v>
      </c>
      <c r="AD58" s="33">
        <f t="shared" ca="1" si="3"/>
        <v>2</v>
      </c>
      <c r="AE58" s="9">
        <v>0</v>
      </c>
      <c r="AF58" s="8">
        <v>0</v>
      </c>
      <c r="AG58" s="8">
        <v>0</v>
      </c>
      <c r="AH58" s="8">
        <v>0</v>
      </c>
      <c r="AI58" s="8">
        <v>0</v>
      </c>
      <c r="AJ58" s="8">
        <v>1</v>
      </c>
    </row>
    <row r="59" spans="1:36" ht="21" customHeight="1" x14ac:dyDescent="0.15">
      <c r="A59" s="21" t="str">
        <f t="shared" ca="1" si="0"/>
        <v>20001_3-4/21&lt;lv26&gt;s2</v>
      </c>
      <c r="B59" s="31">
        <v>20001</v>
      </c>
      <c r="C59" s="38">
        <v>3</v>
      </c>
      <c r="D59" s="2" t="str">
        <f t="shared" si="1"/>
        <v>20001_3</v>
      </c>
      <c r="E59" s="5" t="str">
        <f ca="1">VLOOKUP($B59,OFFSET([1]quests!$A$1,0,0,COUNTA([1]quests!$A:$A),MATCH(E$1,[1]quests!$1:$1,0)-MATCH($B$1,[1]quests!$1:$1,0)+1),MATCH(E$1,[1]quests!$1:$1,0)-MATCH($B$1,[1]quests!$1:$1,0)+1,FALSE)</f>
        <v>紅き執行者</v>
      </c>
      <c r="F59" s="5" t="str">
        <f ca="1">VLOOKUP($D59,OFFSET([1]stages!$A$1,0,0,COUNTA([1]stages!$A:$A),MATCH(F$1,[1]stages!$2:$2,0)-MATCH($D$1,[1]stages!$2:$2,0)+1),MATCH(F$1,[1]stages!$2:$2,0)-MATCH($D$1,[1]stages!$2:$2,0)+1,FALSE)</f>
        <v xml:space="preserve">【上級】紅き執行者 </v>
      </c>
      <c r="G59" s="49">
        <v>4</v>
      </c>
      <c r="H59" s="20" t="str">
        <f t="shared" si="2"/>
        <v>20001_3-4</v>
      </c>
      <c r="I59" s="36">
        <v>21</v>
      </c>
      <c r="J59" s="26" t="str">
        <f ca="1">VLOOKUP($I59,OFFSET([2]enemies!$A$1,0,0,COUNTA([2]enemies!$A:$A),MATCH(J$1,[2]enemies!$1:$1,0)-MATCH($I$1,[2]enemies!$1:$1,0)+1),MATCH(J$1,[2]enemies!$1:$1,0)-MATCH($I$1,[2]enemies!$1:$1,0)+1,FALSE)</f>
        <v>ヴェロキー</v>
      </c>
      <c r="K59" s="26" t="str">
        <f ca="1">VLOOKUP($I59,OFFSET([2]enemies!$A$1,0,0,COUNTA([2]enemies!$A:$A),MATCH(K$1,[2]enemies!$1:$1,0)-MATCH($I$1,[2]enemies!$1:$1,0)+1),MATCH(K$1,[2]enemies!$1:$1,0)-MATCH($I$1,[2]enemies!$1:$1,0)+1,FALSE)</f>
        <v>red</v>
      </c>
      <c r="L59" s="28" t="str">
        <f>VLOOKUP(I59,[3]characters!$A:$J,10,FALSE)</f>
        <v>Drop1N</v>
      </c>
      <c r="M59" s="26" t="str">
        <f ca="1">VLOOKUP($I59,OFFSET([2]enemies!$A$1,0,0,COUNTA([2]enemies!$A:$A),MATCH(M$1,[2]enemies!$1:$1,0)-MATCH($I$1,[2]enemies!$1:$1,0)+1),MATCH(M$1,[2]enemies!$1:$1,0)-MATCH($I$1,[2]enemies!$1:$1,0)+1,FALSE)</f>
        <v>dragon</v>
      </c>
      <c r="N59" s="26">
        <f ca="1">VLOOKUP($I59,OFFSET([2]enemies!$A$1,0,0,COUNTA([2]enemies!$A:$A),MATCH(N$1,[2]enemies!$1:$1,0)-MATCH($I$1,[2]enemies!$1:$1,0)+1),MATCH(N$1,[2]enemies!$1:$1,0)-MATCH($I$1,[2]enemies!$1:$1,0)+1,FALSE)</f>
        <v>15</v>
      </c>
      <c r="O59" s="6">
        <v>26</v>
      </c>
      <c r="P59" s="54">
        <v>1</v>
      </c>
      <c r="Q59" s="54">
        <v>1</v>
      </c>
      <c r="R59" s="6">
        <v>0</v>
      </c>
      <c r="S59" s="5" t="str">
        <f ca="1">VLOOKUP($T59,OFFSET([4]enemy_skill_sets!$B$1,0,0,COUNTA([4]enemy_skill_sets!$B:$B),MATCH(J$1,[4]enemy_skill_sets!$1:$1,0)-MATCH($T$1,[4]enemy_skill_sets!$1:$1,0)+2),MATCH(J$1,[4]enemy_skill_sets!$1:$1,0)-MATCH($T$1,[4]enemy_skill_sets!$1:$1,0)+2,FALSE)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" s="26">
        <f ca="1">VLOOKUP($I59,OFFSET([2]enemies!$A$1,0,0,COUNTA([2]enemies!$A:$A),MATCH(T$1,[2]enemies!$1:$1,0)-MATCH($I$1,[2]enemies!$1:$1,0)+1),MATCH(T$1,[2]enemies!$1:$1,0)-MATCH($I$1,[2]enemies!$1:$1,0)+1,FALSE)</f>
        <v>0</v>
      </c>
      <c r="U59" s="7">
        <v>1</v>
      </c>
      <c r="V59" s="7">
        <v>100</v>
      </c>
      <c r="W59" s="7">
        <v>0</v>
      </c>
      <c r="X59" s="26">
        <f ca="1">VLOOKUP($I59,OFFSET([2]enemies!$A$1,0,0,COUNTA([2]enemies!$A:$A),MATCH(X$1,[2]enemies!$1:$1,0)-MATCH($I$1,[2]enemies!$1:$1,0)+1),MATCH(X$1,[2]enemies!$1:$1,0)-MATCH($I$1,[2]enemies!$1:$1,0)+1,FALSE)</f>
        <v>2</v>
      </c>
      <c r="Y59" s="36">
        <v>21</v>
      </c>
      <c r="Z59" s="5" t="str">
        <f ca="1">IFERROR(VLOOKUP($Y59,OFFSET([3]characters!$A$1,0,0,COUNTA([3]characters!$A:$A),MATCH(Z$1,[3]characters!$1:$1,0)-MATCH("character_id",[3]characters!$1:$1,0)+1),MATCH(Z$1,[3]characters!$1:$1,0)-MATCH("character_id",[3]characters!$1:$1,0)+1,FALSE),"")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59" s="5">
        <f ca="1">IFERROR(VLOOKUP($Y59,OFFSET([3]characters!$A$1,0,0,COUNTA([3]characters!$A:$A),MATCH(AA$1,[3]characters!$1:$1,0)-MATCH("character_id",[3]characters!$1:$1,0)+1),MATCH(AA$1,[3]characters!$1:$1,0)-MATCH("character_id",[3]characters!$1:$1,0)+1,FALSE),"")</f>
        <v>1</v>
      </c>
      <c r="AB59" s="5" t="str">
        <f ca="1">IFERROR(VLOOKUP($Y59,OFFSET([3]characters!$A$1,0,0,COUNTA([3]characters!$A:$A),MATCH(AB$1,[3]characters!$1:$1,0)-MATCH("character_id",[3]characters!$1:$1,0)+1),MATCH(AB$1,[3]characters!$1:$1,0)-MATCH("character_id",[3]characters!$1:$1,0)+1,FALSE),"")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9" s="8">
        <v>5</v>
      </c>
      <c r="AD59" s="33">
        <f t="shared" ca="1" si="3"/>
        <v>1</v>
      </c>
      <c r="AE59" s="9">
        <v>0</v>
      </c>
      <c r="AF59" s="8">
        <v>0</v>
      </c>
      <c r="AG59" s="8">
        <v>0</v>
      </c>
      <c r="AH59" s="8">
        <v>0</v>
      </c>
      <c r="AI59" s="8">
        <v>0</v>
      </c>
      <c r="AJ59" s="8">
        <v>1</v>
      </c>
    </row>
    <row r="60" spans="1:36" ht="21" customHeight="1" x14ac:dyDescent="0.15">
      <c r="A60" s="21" t="str">
        <f t="shared" ca="1" si="0"/>
        <v>20001_3-4/41&lt;lv26&gt;s1</v>
      </c>
      <c r="B60" s="31">
        <v>20001</v>
      </c>
      <c r="C60" s="38">
        <v>3</v>
      </c>
      <c r="D60" s="2" t="str">
        <f t="shared" si="1"/>
        <v>20001_3</v>
      </c>
      <c r="E60" s="5" t="str">
        <f ca="1">VLOOKUP($B60,OFFSET([1]quests!$A$1,0,0,COUNTA([1]quests!$A:$A),MATCH(E$1,[1]quests!$1:$1,0)-MATCH($B$1,[1]quests!$1:$1,0)+1),MATCH(E$1,[1]quests!$1:$1,0)-MATCH($B$1,[1]quests!$1:$1,0)+1,FALSE)</f>
        <v>紅き執行者</v>
      </c>
      <c r="F60" s="5" t="str">
        <f ca="1">VLOOKUP($D60,OFFSET([1]stages!$A$1,0,0,COUNTA([1]stages!$A:$A),MATCH(F$1,[1]stages!$2:$2,0)-MATCH($D$1,[1]stages!$2:$2,0)+1),MATCH(F$1,[1]stages!$2:$2,0)-MATCH($D$1,[1]stages!$2:$2,0)+1,FALSE)</f>
        <v xml:space="preserve">【上級】紅き執行者 </v>
      </c>
      <c r="G60" s="49">
        <v>4</v>
      </c>
      <c r="H60" s="20" t="str">
        <f t="shared" si="2"/>
        <v>20001_3-4</v>
      </c>
      <c r="I60" s="36">
        <v>41</v>
      </c>
      <c r="J60" s="26" t="str">
        <f ca="1">VLOOKUP($I60,OFFSET([2]enemies!$A$1,0,0,COUNTA([2]enemies!$A:$A),MATCH(J$1,[2]enemies!$1:$1,0)-MATCH($I$1,[2]enemies!$1:$1,0)+1),MATCH(J$1,[2]enemies!$1:$1,0)-MATCH($I$1,[2]enemies!$1:$1,0)+1,FALSE)</f>
        <v>ヒュウガ</v>
      </c>
      <c r="K60" s="26" t="str">
        <f ca="1">VLOOKUP($I60,OFFSET([2]enemies!$A$1,0,0,COUNTA([2]enemies!$A:$A),MATCH(K$1,[2]enemies!$1:$1,0)-MATCH($I$1,[2]enemies!$1:$1,0)+1),MATCH(K$1,[2]enemies!$1:$1,0)-MATCH($I$1,[2]enemies!$1:$1,0)+1,FALSE)</f>
        <v>red</v>
      </c>
      <c r="L60" s="28" t="str">
        <f>VLOOKUP(I60,[3]characters!$A:$J,10,FALSE)</f>
        <v>Drop1N</v>
      </c>
      <c r="M60" s="26" t="str">
        <f ca="1">VLOOKUP($I60,OFFSET([2]enemies!$A$1,0,0,COUNTA([2]enemies!$A:$A),MATCH(M$1,[2]enemies!$1:$1,0)-MATCH($I$1,[2]enemies!$1:$1,0)+1),MATCH(M$1,[2]enemies!$1:$1,0)-MATCH($I$1,[2]enemies!$1:$1,0)+1,FALSE)</f>
        <v>dragon</v>
      </c>
      <c r="N60" s="26">
        <f ca="1">VLOOKUP($I60,OFFSET([2]enemies!$A$1,0,0,COUNTA([2]enemies!$A:$A),MATCH(N$1,[2]enemies!$1:$1,0)-MATCH($I$1,[2]enemies!$1:$1,0)+1),MATCH(N$1,[2]enemies!$1:$1,0)-MATCH($I$1,[2]enemies!$1:$1,0)+1,FALSE)</f>
        <v>15</v>
      </c>
      <c r="O60" s="6">
        <v>26</v>
      </c>
      <c r="P60" s="54">
        <v>1</v>
      </c>
      <c r="Q60" s="54">
        <v>1</v>
      </c>
      <c r="R60" s="6">
        <v>0</v>
      </c>
      <c r="S60" s="5" t="str">
        <f ca="1">VLOOKUP($T60,OFFSET([4]enemy_skill_sets!$B$1,0,0,COUNTA([4]enemy_skill_sets!$B:$B),MATCH(J$1,[4]enemy_skill_sets!$1:$1,0)-MATCH($T$1,[4]enemy_skill_sets!$1:$1,0)+2),MATCH(J$1,[4]enemy_skill_sets!$1:$1,0)-MATCH($T$1,[4]enemy_skill_sets!$1:$1,0)+2,FALSE)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" s="26">
        <f ca="1">VLOOKUP($I60,OFFSET([2]enemies!$A$1,0,0,COUNTA([2]enemies!$A:$A),MATCH(T$1,[2]enemies!$1:$1,0)-MATCH($I$1,[2]enemies!$1:$1,0)+1),MATCH(T$1,[2]enemies!$1:$1,0)-MATCH($I$1,[2]enemies!$1:$1,0)+1,FALSE)</f>
        <v>0</v>
      </c>
      <c r="U60" s="7">
        <v>1</v>
      </c>
      <c r="V60" s="7">
        <v>100</v>
      </c>
      <c r="W60" s="7">
        <v>0</v>
      </c>
      <c r="X60" s="26">
        <f ca="1">VLOOKUP($I60,OFFSET([2]enemies!$A$1,0,0,COUNTA([2]enemies!$A:$A),MATCH(X$1,[2]enemies!$1:$1,0)-MATCH($I$1,[2]enemies!$1:$1,0)+1),MATCH(X$1,[2]enemies!$1:$1,0)-MATCH($I$1,[2]enemies!$1:$1,0)+1,FALSE)</f>
        <v>1</v>
      </c>
      <c r="Y60" s="36">
        <v>41</v>
      </c>
      <c r="Z60" s="5" t="str">
        <f ca="1">IFERROR(VLOOKUP($Y60,OFFSET([3]characters!$A$1,0,0,COUNTA([3]characters!$A:$A),MATCH(Z$1,[3]characters!$1:$1,0)-MATCH("character_id",[3]characters!$1:$1,0)+1),MATCH(Z$1,[3]characters!$1:$1,0)-MATCH("character_id",[3]characters!$1:$1,0)+1,FALSE),"")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60" s="5">
        <f ca="1">IFERROR(VLOOKUP($Y60,OFFSET([3]characters!$A$1,0,0,COUNTA([3]characters!$A:$A),MATCH(AA$1,[3]characters!$1:$1,0)-MATCH("character_id",[3]characters!$1:$1,0)+1),MATCH(AA$1,[3]characters!$1:$1,0)-MATCH("character_id",[3]characters!$1:$1,0)+1,FALSE),"")</f>
        <v>2</v>
      </c>
      <c r="AB60" s="5" t="str">
        <f ca="1">IFERROR(VLOOKUP($Y60,OFFSET([3]characters!$A$1,0,0,COUNTA([3]characters!$A:$A),MATCH(AB$1,[3]characters!$1:$1,0)-MATCH("character_id",[3]characters!$1:$1,0)+1),MATCH(AB$1,[3]characters!$1:$1,0)-MATCH("character_id",[3]characters!$1:$1,0)+1,FALSE),"")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0" s="8">
        <v>5</v>
      </c>
      <c r="AD60" s="33">
        <f t="shared" ca="1" si="3"/>
        <v>2</v>
      </c>
      <c r="AE60" s="9">
        <v>0</v>
      </c>
      <c r="AF60" s="8">
        <v>0</v>
      </c>
      <c r="AG60" s="8">
        <v>0</v>
      </c>
      <c r="AH60" s="8">
        <v>0</v>
      </c>
      <c r="AI60" s="8">
        <v>0</v>
      </c>
      <c r="AJ60" s="8">
        <v>1</v>
      </c>
    </row>
    <row r="61" spans="1:36" ht="21" customHeight="1" x14ac:dyDescent="0.15">
      <c r="A61" s="21" t="str">
        <f t="shared" ref="A61:A70" ca="1" si="4">B61&amp;"_"&amp;C61&amp;"-"&amp;G61&amp;"/"&amp;I61&amp;"&lt;lv"&amp;O61&amp;"&gt;s"&amp;X61</f>
        <v>20001_3-4/49&lt;lv26&gt;s2</v>
      </c>
      <c r="B61" s="31">
        <v>20001</v>
      </c>
      <c r="C61" s="38">
        <v>3</v>
      </c>
      <c r="D61" s="2" t="str">
        <f t="shared" ref="D61:D70" si="5">B61&amp;"_"&amp;C61</f>
        <v>20001_3</v>
      </c>
      <c r="E61" s="5" t="str">
        <f ca="1">VLOOKUP($B61,OFFSET([1]quests!$A$1,0,0,COUNTA([1]quests!$A:$A),MATCH(E$1,[1]quests!$1:$1,0)-MATCH($B$1,[1]quests!$1:$1,0)+1),MATCH(E$1,[1]quests!$1:$1,0)-MATCH($B$1,[1]quests!$1:$1,0)+1,FALSE)</f>
        <v>紅き執行者</v>
      </c>
      <c r="F61" s="5" t="str">
        <f ca="1">VLOOKUP($D61,OFFSET([1]stages!$A$1,0,0,COUNTA([1]stages!$A:$A),MATCH(F$1,[1]stages!$2:$2,0)-MATCH($D$1,[1]stages!$2:$2,0)+1),MATCH(F$1,[1]stages!$2:$2,0)-MATCH($D$1,[1]stages!$2:$2,0)+1,FALSE)</f>
        <v xml:space="preserve">【上級】紅き執行者 </v>
      </c>
      <c r="G61" s="49">
        <v>4</v>
      </c>
      <c r="H61" s="20" t="str">
        <f t="shared" ref="H61:H70" si="6">B61&amp;"_"&amp;C61&amp;"-"&amp;G61</f>
        <v>20001_3-4</v>
      </c>
      <c r="I61" s="36">
        <v>49</v>
      </c>
      <c r="J61" s="26" t="str">
        <f ca="1">VLOOKUP($I61,OFFSET([2]enemies!$A$1,0,0,COUNTA([2]enemies!$A:$A),MATCH(J$1,[2]enemies!$1:$1,0)-MATCH($I$1,[2]enemies!$1:$1,0)+1),MATCH(J$1,[2]enemies!$1:$1,0)-MATCH($I$1,[2]enemies!$1:$1,0)+1,FALSE)</f>
        <v>ヨシタカ</v>
      </c>
      <c r="K61" s="26" t="str">
        <f ca="1">VLOOKUP($I61,OFFSET([2]enemies!$A$1,0,0,COUNTA([2]enemies!$A:$A),MATCH(K$1,[2]enemies!$1:$1,0)-MATCH($I$1,[2]enemies!$1:$1,0)+1),MATCH(K$1,[2]enemies!$1:$1,0)-MATCH($I$1,[2]enemies!$1:$1,0)+1,FALSE)</f>
        <v>red</v>
      </c>
      <c r="L61" s="28" t="str">
        <f>VLOOKUP(I61,[3]characters!$A:$J,10,FALSE)</f>
        <v>Drop1N</v>
      </c>
      <c r="M61" s="26" t="str">
        <f ca="1">VLOOKUP($I61,OFFSET([2]enemies!$A$1,0,0,COUNTA([2]enemies!$A:$A),MATCH(M$1,[2]enemies!$1:$1,0)-MATCH($I$1,[2]enemies!$1:$1,0)+1),MATCH(M$1,[2]enemies!$1:$1,0)-MATCH($I$1,[2]enemies!$1:$1,0)+1,FALSE)</f>
        <v>human</v>
      </c>
      <c r="N61" s="26">
        <f ca="1">VLOOKUP($I61,OFFSET([2]enemies!$A$1,0,0,COUNTA([2]enemies!$A:$A),MATCH(N$1,[2]enemies!$1:$1,0)-MATCH($I$1,[2]enemies!$1:$1,0)+1),MATCH(N$1,[2]enemies!$1:$1,0)-MATCH($I$1,[2]enemies!$1:$1,0)+1,FALSE)</f>
        <v>15</v>
      </c>
      <c r="O61" s="6">
        <v>26</v>
      </c>
      <c r="P61" s="54">
        <v>1</v>
      </c>
      <c r="Q61" s="54">
        <v>1</v>
      </c>
      <c r="R61" s="6">
        <v>0</v>
      </c>
      <c r="S61" s="5" t="str">
        <f ca="1">VLOOKUP($T61,OFFSET([4]enemy_skill_sets!$B$1,0,0,COUNTA([4]enemy_skill_sets!$B:$B),MATCH(J$1,[4]enemy_skill_sets!$1:$1,0)-MATCH($T$1,[4]enemy_skill_sets!$1:$1,0)+2),MATCH(J$1,[4]enemy_skill_sets!$1:$1,0)-MATCH($T$1,[4]enemy_skill_sets!$1:$1,0)+2,FALSE)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61" s="26">
        <f ca="1">VLOOKUP($I61,OFFSET([2]enemies!$A$1,0,0,COUNTA([2]enemies!$A:$A),MATCH(T$1,[2]enemies!$1:$1,0)-MATCH($I$1,[2]enemies!$1:$1,0)+1),MATCH(T$1,[2]enemies!$1:$1,0)-MATCH($I$1,[2]enemies!$1:$1,0)+1,FALSE)</f>
        <v>49</v>
      </c>
      <c r="U61" s="7">
        <v>0</v>
      </c>
      <c r="V61" s="7">
        <v>80</v>
      </c>
      <c r="W61" s="7">
        <v>0</v>
      </c>
      <c r="X61" s="26">
        <f ca="1">VLOOKUP($I61,OFFSET([2]enemies!$A$1,0,0,COUNTA([2]enemies!$A:$A),MATCH(X$1,[2]enemies!$1:$1,0)-MATCH($I$1,[2]enemies!$1:$1,0)+1),MATCH(X$1,[2]enemies!$1:$1,0)-MATCH($I$1,[2]enemies!$1:$1,0)+1,FALSE)</f>
        <v>2</v>
      </c>
      <c r="Y61" s="36">
        <v>49</v>
      </c>
      <c r="Z61" s="5" t="str">
        <f ca="1">IFERROR(VLOOKUP($Y61,OFFSET([3]characters!$A$1,0,0,COUNTA([3]characters!$A:$A),MATCH(Z$1,[3]characters!$1:$1,0)-MATCH("character_id",[3]characters!$1:$1,0)+1),MATCH(Z$1,[3]characters!$1:$1,0)-MATCH("character_id",[3]characters!$1:$1,0)+1,FALSE),"")</f>
        <v>ヨシタカ</v>
      </c>
      <c r="AA61" s="5">
        <f ca="1">IFERROR(VLOOKUP($Y61,OFFSET([3]characters!$A$1,0,0,COUNTA([3]characters!$A:$A),MATCH(AA$1,[3]characters!$1:$1,0)-MATCH("character_id",[3]characters!$1:$1,0)+1),MATCH(AA$1,[3]characters!$1:$1,0)-MATCH("character_id",[3]characters!$1:$1,0)+1,FALSE),"")</f>
        <v>2</v>
      </c>
      <c r="AB61" s="5" t="str">
        <f ca="1">IFERROR(VLOOKUP($Y61,OFFSET([3]characters!$A$1,0,0,COUNTA([3]characters!$A:$A),MATCH(AB$1,[3]characters!$1:$1,0)-MATCH("character_id",[3]characters!$1:$1,0)+1),MATCH(AB$1,[3]characters!$1:$1,0)-MATCH("character_id",[3]characters!$1:$1,0)+1,FALSE),"")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1" s="8">
        <v>5</v>
      </c>
      <c r="AD61" s="33">
        <f t="shared" ref="AD61:AD70" ca="1" si="7">AA61</f>
        <v>2</v>
      </c>
      <c r="AE61" s="9">
        <v>0</v>
      </c>
      <c r="AF61" s="8">
        <v>0</v>
      </c>
      <c r="AG61" s="8">
        <v>0</v>
      </c>
      <c r="AH61" s="8">
        <v>0</v>
      </c>
      <c r="AI61" s="8">
        <v>0</v>
      </c>
      <c r="AJ61" s="8">
        <v>1</v>
      </c>
    </row>
    <row r="62" spans="1:36" ht="21" customHeight="1" x14ac:dyDescent="0.15">
      <c r="A62" s="21" t="str">
        <f t="shared" ca="1" si="4"/>
        <v>20001_3-4/57&lt;lv26&gt;s2</v>
      </c>
      <c r="B62" s="31">
        <v>20001</v>
      </c>
      <c r="C62" s="38">
        <v>3</v>
      </c>
      <c r="D62" s="2" t="str">
        <f t="shared" si="5"/>
        <v>20001_3</v>
      </c>
      <c r="E62" s="5" t="str">
        <f ca="1">VLOOKUP($B62,OFFSET([1]quests!$A$1,0,0,COUNTA([1]quests!$A:$A),MATCH(E$1,[1]quests!$1:$1,0)-MATCH($B$1,[1]quests!$1:$1,0)+1),MATCH(E$1,[1]quests!$1:$1,0)-MATCH($B$1,[1]quests!$1:$1,0)+1,FALSE)</f>
        <v>紅き執行者</v>
      </c>
      <c r="F62" s="5" t="str">
        <f ca="1">VLOOKUP($D62,OFFSET([1]stages!$A$1,0,0,COUNTA([1]stages!$A:$A),MATCH(F$1,[1]stages!$2:$2,0)-MATCH($D$1,[1]stages!$2:$2,0)+1),MATCH(F$1,[1]stages!$2:$2,0)-MATCH($D$1,[1]stages!$2:$2,0)+1,FALSE)</f>
        <v xml:space="preserve">【上級】紅き執行者 </v>
      </c>
      <c r="G62" s="49">
        <v>4</v>
      </c>
      <c r="H62" s="20" t="str">
        <f t="shared" si="6"/>
        <v>20001_3-4</v>
      </c>
      <c r="I62" s="36">
        <v>57</v>
      </c>
      <c r="J62" s="26" t="str">
        <f ca="1">VLOOKUP($I62,OFFSET([2]enemies!$A$1,0,0,COUNTA([2]enemies!$A:$A),MATCH(J$1,[2]enemies!$1:$1,0)-MATCH($I$1,[2]enemies!$1:$1,0)+1),MATCH(J$1,[2]enemies!$1:$1,0)-MATCH($I$1,[2]enemies!$1:$1,0)+1,FALSE)</f>
        <v>チェン・リー</v>
      </c>
      <c r="K62" s="26" t="str">
        <f ca="1">VLOOKUP($I62,OFFSET([2]enemies!$A$1,0,0,COUNTA([2]enemies!$A:$A),MATCH(K$1,[2]enemies!$1:$1,0)-MATCH($I$1,[2]enemies!$1:$1,0)+1),MATCH(K$1,[2]enemies!$1:$1,0)-MATCH($I$1,[2]enemies!$1:$1,0)+1,FALSE)</f>
        <v>red</v>
      </c>
      <c r="L62" s="28" t="str">
        <f>VLOOKUP(I62,[3]characters!$A:$J,10,FALSE)</f>
        <v>Drop1N</v>
      </c>
      <c r="M62" s="26" t="str">
        <f ca="1">VLOOKUP($I62,OFFSET([2]enemies!$A$1,0,0,COUNTA([2]enemies!$A:$A),MATCH(M$1,[2]enemies!$1:$1,0)-MATCH($I$1,[2]enemies!$1:$1,0)+1),MATCH(M$1,[2]enemies!$1:$1,0)-MATCH($I$1,[2]enemies!$1:$1,0)+1,FALSE)</f>
        <v>animal</v>
      </c>
      <c r="N62" s="26">
        <f ca="1">VLOOKUP($I62,OFFSET([2]enemies!$A$1,0,0,COUNTA([2]enemies!$A:$A),MATCH(N$1,[2]enemies!$1:$1,0)-MATCH($I$1,[2]enemies!$1:$1,0)+1),MATCH(N$1,[2]enemies!$1:$1,0)-MATCH($I$1,[2]enemies!$1:$1,0)+1,FALSE)</f>
        <v>15</v>
      </c>
      <c r="O62" s="6">
        <v>26</v>
      </c>
      <c r="P62" s="54">
        <v>1</v>
      </c>
      <c r="Q62" s="54">
        <v>1</v>
      </c>
      <c r="R62" s="6">
        <v>0</v>
      </c>
      <c r="S62" s="5" t="str">
        <f ca="1">VLOOKUP($T62,OFFSET([4]enemy_skill_sets!$B$1,0,0,COUNTA([4]enemy_skill_sets!$B:$B),MATCH(J$1,[4]enemy_skill_sets!$1:$1,0)-MATCH($T$1,[4]enemy_skill_sets!$1:$1,0)+2),MATCH(J$1,[4]enemy_skill_sets!$1:$1,0)-MATCH($T$1,[4]enemy_skill_sets!$1:$1,0)+2,FALSE)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62" s="26">
        <f ca="1">VLOOKUP($I62,OFFSET([2]enemies!$A$1,0,0,COUNTA([2]enemies!$A:$A),MATCH(T$1,[2]enemies!$1:$1,0)-MATCH($I$1,[2]enemies!$1:$1,0)+1),MATCH(T$1,[2]enemies!$1:$1,0)-MATCH($I$1,[2]enemies!$1:$1,0)+1,FALSE)</f>
        <v>57</v>
      </c>
      <c r="U62" s="7">
        <v>0</v>
      </c>
      <c r="V62" s="7">
        <v>80</v>
      </c>
      <c r="W62" s="7">
        <v>0</v>
      </c>
      <c r="X62" s="26">
        <f ca="1">VLOOKUP($I62,OFFSET([2]enemies!$A$1,0,0,COUNTA([2]enemies!$A:$A),MATCH(X$1,[2]enemies!$1:$1,0)-MATCH($I$1,[2]enemies!$1:$1,0)+1),MATCH(X$1,[2]enemies!$1:$1,0)-MATCH($I$1,[2]enemies!$1:$1,0)+1,FALSE)</f>
        <v>2</v>
      </c>
      <c r="Y62" s="36">
        <v>57</v>
      </c>
      <c r="Z62" s="5" t="str">
        <f ca="1">IFERROR(VLOOKUP($Y62,OFFSET([3]characters!$A$1,0,0,COUNTA([3]characters!$A:$A),MATCH(Z$1,[3]characters!$1:$1,0)-MATCH("character_id",[3]characters!$1:$1,0)+1),MATCH(Z$1,[3]characters!$1:$1,0)-MATCH("character_id",[3]characters!$1:$1,0)+1,FALSE),"")</f>
        <v>チェン・リー</v>
      </c>
      <c r="AA62" s="5">
        <f ca="1">IFERROR(VLOOKUP($Y62,OFFSET([3]characters!$A$1,0,0,COUNTA([3]characters!$A:$A),MATCH(AA$1,[3]characters!$1:$1,0)-MATCH("character_id",[3]characters!$1:$1,0)+1),MATCH(AA$1,[3]characters!$1:$1,0)-MATCH("character_id",[3]characters!$1:$1,0)+1,FALSE),"")</f>
        <v>2</v>
      </c>
      <c r="AB62" s="5" t="str">
        <f ca="1">IFERROR(VLOOKUP($Y62,OFFSET([3]characters!$A$1,0,0,COUNTA([3]characters!$A:$A),MATCH(AB$1,[3]characters!$1:$1,0)-MATCH("character_id",[3]characters!$1:$1,0)+1),MATCH(AB$1,[3]characters!$1:$1,0)-MATCH("character_id",[3]characters!$1:$1,0)+1,FALSE),"")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2" s="8">
        <v>5</v>
      </c>
      <c r="AD62" s="33">
        <f t="shared" ca="1" si="7"/>
        <v>2</v>
      </c>
      <c r="AE62" s="9">
        <v>0</v>
      </c>
      <c r="AF62" s="8">
        <v>0</v>
      </c>
      <c r="AG62" s="8">
        <v>0</v>
      </c>
      <c r="AH62" s="8">
        <v>0</v>
      </c>
      <c r="AI62" s="8">
        <v>0</v>
      </c>
      <c r="AJ62" s="8">
        <v>1</v>
      </c>
    </row>
    <row r="63" spans="1:36" ht="21" customHeight="1" x14ac:dyDescent="0.15">
      <c r="A63" s="21" t="str">
        <f t="shared" si="4"/>
        <v>20001_3-4/121&lt;lv25&gt;s3</v>
      </c>
      <c r="B63" s="31">
        <v>20001</v>
      </c>
      <c r="C63" s="38">
        <v>3</v>
      </c>
      <c r="D63" s="2" t="str">
        <f t="shared" si="5"/>
        <v>20001_3</v>
      </c>
      <c r="E63" s="5" t="str">
        <f ca="1">VLOOKUP($B63,OFFSET([1]quests!$A$1,0,0,COUNTA([1]quests!$A:$A),MATCH(E$1,[1]quests!$1:$1,0)-MATCH($B$1,[1]quests!$1:$1,0)+1),MATCH(E$1,[1]quests!$1:$1,0)-MATCH($B$1,[1]quests!$1:$1,0)+1,FALSE)</f>
        <v>紅き執行者</v>
      </c>
      <c r="F63" s="5" t="str">
        <f ca="1">VLOOKUP($D63,OFFSET([1]stages!$A$1,0,0,COUNTA([1]stages!$A:$A),MATCH(F$1,[1]stages!$2:$2,0)-MATCH($D$1,[1]stages!$2:$2,0)+1),MATCH(F$1,[1]stages!$2:$2,0)-MATCH($D$1,[1]stages!$2:$2,0)+1,FALSE)</f>
        <v xml:space="preserve">【上級】紅き執行者 </v>
      </c>
      <c r="G63" s="49">
        <v>4</v>
      </c>
      <c r="H63" s="20" t="str">
        <f t="shared" si="6"/>
        <v>20001_3-4</v>
      </c>
      <c r="I63" s="37">
        <v>121</v>
      </c>
      <c r="J63" s="26" t="str">
        <f ca="1">VLOOKUP($I63,OFFSET([2]enemies!$A$1,0,0,COUNTA([2]enemies!$A:$A),MATCH(J$1,[2]enemies!$1:$1,0)-MATCH($I$1,[2]enemies!$1:$1,0)+1),MATCH(J$1,[2]enemies!$1:$1,0)-MATCH($I$1,[2]enemies!$1:$1,0)+1,FALSE)</f>
        <v>攻めの果実</v>
      </c>
      <c r="K63" s="26" t="str">
        <f ca="1">VLOOKUP($I63,OFFSET([2]enemies!$A$1,0,0,COUNTA([2]enemies!$A:$A),MATCH(K$1,[2]enemies!$1:$1,0)-MATCH($I$1,[2]enemies!$1:$1,0)+1),MATCH(K$1,[2]enemies!$1:$1,0)-MATCH($I$1,[2]enemies!$1:$1,0)+1,FALSE)</f>
        <v>red</v>
      </c>
      <c r="L63" s="28" t="str">
        <f>VLOOKUP(I63,[3]characters!$A:$J,10,FALSE)</f>
        <v>Material</v>
      </c>
      <c r="M63" s="26" t="str">
        <f ca="1">VLOOKUP($I63,OFFSET([2]enemies!$A$1,0,0,COUNTA([2]enemies!$A:$A),MATCH(M$1,[2]enemies!$1:$1,0)-MATCH($I$1,[2]enemies!$1:$1,0)+1),MATCH(M$1,[2]enemies!$1:$1,0)-MATCH($I$1,[2]enemies!$1:$1,0)+1,FALSE)</f>
        <v>unknown</v>
      </c>
      <c r="N63" s="26">
        <f ca="1">VLOOKUP($I63,OFFSET([2]enemies!$A$1,0,0,COUNTA([2]enemies!$A:$A),MATCH(N$1,[2]enemies!$1:$1,0)-MATCH($I$1,[2]enemies!$1:$1,0)+1),MATCH(N$1,[2]enemies!$1:$1,0)-MATCH($I$1,[2]enemies!$1:$1,0)+1,FALSE)</f>
        <v>20</v>
      </c>
      <c r="O63" s="6">
        <v>25</v>
      </c>
      <c r="P63" s="54">
        <v>2.2000000000000002</v>
      </c>
      <c r="Q63" s="54">
        <v>1.5</v>
      </c>
      <c r="R63" s="6">
        <v>0</v>
      </c>
      <c r="S63" s="5" t="str">
        <f ca="1">VLOOKUP($T63,OFFSET([4]enemy_skill_sets!$B$1,0,0,COUNTA([4]enemy_skill_sets!$B:$B),MATCH(J$1,[4]enemy_skill_sets!$1:$1,0)-MATCH($T$1,[4]enemy_skill_sets!$1:$1,0)+2),MATCH(J$1,[4]enemy_skill_sets!$1:$1,0)-MATCH($T$1,[4]enemy_skill_sets!$1:$1,0)+2,FALSE)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63" s="52">
        <v>1211</v>
      </c>
      <c r="U63" s="7">
        <v>1</v>
      </c>
      <c r="V63" s="7">
        <v>0</v>
      </c>
      <c r="W63" s="7">
        <v>0</v>
      </c>
      <c r="X63" s="52">
        <v>3</v>
      </c>
      <c r="Y63" s="37">
        <v>121</v>
      </c>
      <c r="Z63" s="5" t="str">
        <f ca="1">IFERROR(VLOOKUP($Y63,OFFSET([3]characters!$A$1,0,0,COUNTA([3]characters!$A:$A),MATCH(Z$1,[3]characters!$1:$1,0)-MATCH("character_id",[3]characters!$1:$1,0)+1),MATCH(Z$1,[3]characters!$1:$1,0)-MATCH("character_id",[3]characters!$1:$1,0)+1,FALSE),"")</f>
        <v>攻めの果実</v>
      </c>
      <c r="AA63" s="5">
        <f ca="1">IFERROR(VLOOKUP($Y63,OFFSET([3]characters!$A$1,0,0,COUNTA([3]characters!$A:$A),MATCH(AA$1,[3]characters!$1:$1,0)-MATCH("character_id",[3]characters!$1:$1,0)+1),MATCH(AA$1,[3]characters!$1:$1,0)-MATCH("character_id",[3]characters!$1:$1,0)+1,FALSE),"")</f>
        <v>3</v>
      </c>
      <c r="AB63" s="5" t="str">
        <f ca="1">IFERROR(VLOOKUP($Y63,OFFSET([3]characters!$A$1,0,0,COUNTA([3]characters!$A:$A),MATCH(AB$1,[3]characters!$1:$1,0)-MATCH("character_id",[3]characters!$1:$1,0)+1),MATCH(AB$1,[3]characters!$1:$1,0)-MATCH("character_id",[3]characters!$1:$1,0)+1,FALSE),"")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63" s="8">
        <v>1</v>
      </c>
      <c r="AD63" s="33">
        <f t="shared" ca="1" si="7"/>
        <v>3</v>
      </c>
      <c r="AE63" s="9">
        <v>15</v>
      </c>
      <c r="AF63" s="8">
        <v>0</v>
      </c>
      <c r="AG63" s="8">
        <v>0</v>
      </c>
      <c r="AH63" s="8">
        <v>0</v>
      </c>
      <c r="AI63" s="8">
        <v>0</v>
      </c>
      <c r="AJ63" s="8">
        <v>1</v>
      </c>
    </row>
    <row r="64" spans="1:36" ht="21" customHeight="1" x14ac:dyDescent="0.15">
      <c r="A64" s="21" t="str">
        <f t="shared" ca="1" si="4"/>
        <v>20001_3-5/10&lt;lv26&gt;s2</v>
      </c>
      <c r="B64" s="31">
        <v>20001</v>
      </c>
      <c r="C64" s="38">
        <v>3</v>
      </c>
      <c r="D64" s="2" t="str">
        <f t="shared" si="5"/>
        <v>20001_3</v>
      </c>
      <c r="E64" s="5" t="str">
        <f ca="1">VLOOKUP($B64,OFFSET([1]quests!$A$1,0,0,COUNTA([1]quests!$A:$A),MATCH(E$1,[1]quests!$1:$1,0)-MATCH($B$1,[1]quests!$1:$1,0)+1),MATCH(E$1,[1]quests!$1:$1,0)-MATCH($B$1,[1]quests!$1:$1,0)+1,FALSE)</f>
        <v>紅き執行者</v>
      </c>
      <c r="F64" s="5" t="str">
        <f ca="1">VLOOKUP($D64,OFFSET([1]stages!$A$1,0,0,COUNTA([1]stages!$A:$A),MATCH(F$1,[1]stages!$2:$2,0)-MATCH($D$1,[1]stages!$2:$2,0)+1),MATCH(F$1,[1]stages!$2:$2,0)-MATCH($D$1,[1]stages!$2:$2,0)+1,FALSE)</f>
        <v xml:space="preserve">【上級】紅き執行者 </v>
      </c>
      <c r="G64" s="50">
        <v>5</v>
      </c>
      <c r="H64" s="20" t="str">
        <f t="shared" si="6"/>
        <v>20001_3-5</v>
      </c>
      <c r="I64" s="36">
        <v>10</v>
      </c>
      <c r="J64" s="26" t="str">
        <f ca="1">VLOOKUP($I64,OFFSET([2]enemies!$A$1,0,0,COUNTA([2]enemies!$A:$A),MATCH(J$1,[2]enemies!$1:$1,0)-MATCH($I$1,[2]enemies!$1:$1,0)+1),MATCH(J$1,[2]enemies!$1:$1,0)-MATCH($I$1,[2]enemies!$1:$1,0)+1,FALSE)</f>
        <v>燃える悪戯魂 ブレット</v>
      </c>
      <c r="K64" s="26" t="str">
        <f ca="1">VLOOKUP($I64,OFFSET([2]enemies!$A$1,0,0,COUNTA([2]enemies!$A:$A),MATCH(K$1,[2]enemies!$1:$1,0)-MATCH($I$1,[2]enemies!$1:$1,0)+1),MATCH(K$1,[2]enemies!$1:$1,0)-MATCH($I$1,[2]enemies!$1:$1,0)+1,FALSE)</f>
        <v>red</v>
      </c>
      <c r="L64" s="28" t="str">
        <f>VLOOKUP(I64,[3]characters!$A:$J,10,FALSE)</f>
        <v>Drop1W</v>
      </c>
      <c r="M64" s="26" t="str">
        <f ca="1">VLOOKUP($I64,OFFSET([2]enemies!$A$1,0,0,COUNTA([2]enemies!$A:$A),MATCH(M$1,[2]enemies!$1:$1,0)-MATCH($I$1,[2]enemies!$1:$1,0)+1),MATCH(M$1,[2]enemies!$1:$1,0)-MATCH($I$1,[2]enemies!$1:$1,0)+1,FALSE)</f>
        <v>animal</v>
      </c>
      <c r="N64" s="26">
        <f ca="1">VLOOKUP($I64,OFFSET([2]enemies!$A$1,0,0,COUNTA([2]enemies!$A:$A),MATCH(N$1,[2]enemies!$1:$1,0)-MATCH($I$1,[2]enemies!$1:$1,0)+1),MATCH(N$1,[2]enemies!$1:$1,0)-MATCH($I$1,[2]enemies!$1:$1,0)+1,FALSE)</f>
        <v>15</v>
      </c>
      <c r="O64" s="6">
        <v>26</v>
      </c>
      <c r="P64" s="54">
        <v>1</v>
      </c>
      <c r="Q64" s="54">
        <v>1</v>
      </c>
      <c r="R64" s="6">
        <v>0</v>
      </c>
      <c r="S64" s="5" t="str">
        <f ca="1">VLOOKUP($T64,OFFSET([4]enemy_skill_sets!$B$1,0,0,COUNTA([4]enemy_skill_sets!$B:$B),MATCH(J$1,[4]enemy_skill_sets!$1:$1,0)-MATCH($T$1,[4]enemy_skill_sets!$1:$1,0)+2),MATCH(J$1,[4]enemy_skill_sets!$1:$1,0)-MATCH($T$1,[4]enemy_skill_sets!$1:$1,0)+2,FALSE)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" s="26">
        <f ca="1">VLOOKUP($I64,OFFSET([2]enemies!$A$1,0,0,COUNTA([2]enemies!$A:$A),MATCH(T$1,[2]enemies!$1:$1,0)-MATCH($I$1,[2]enemies!$1:$1,0)+1),MATCH(T$1,[2]enemies!$1:$1,0)-MATCH($I$1,[2]enemies!$1:$1,0)+1,FALSE)</f>
        <v>0</v>
      </c>
      <c r="U64" s="7">
        <v>0</v>
      </c>
      <c r="V64" s="7">
        <v>100</v>
      </c>
      <c r="W64" s="7">
        <v>0</v>
      </c>
      <c r="X64" s="26">
        <f ca="1">VLOOKUP($I64,OFFSET([2]enemies!$A$1,0,0,COUNTA([2]enemies!$A:$A),MATCH(X$1,[2]enemies!$1:$1,0)-MATCH($I$1,[2]enemies!$1:$1,0)+1),MATCH(X$1,[2]enemies!$1:$1,0)-MATCH($I$1,[2]enemies!$1:$1,0)+1,FALSE)</f>
        <v>2</v>
      </c>
      <c r="Y64" s="36">
        <v>10</v>
      </c>
      <c r="Z64" s="5" t="str">
        <f ca="1">IFERROR(VLOOKUP($Y64,OFFSET([3]characters!$A$1,0,0,COUNTA([3]characters!$A:$A),MATCH(Z$1,[3]characters!$1:$1,0)-MATCH("character_id",[3]characters!$1:$1,0)+1),MATCH(Z$1,[3]characters!$1:$1,0)-MATCH("character_id",[3]characters!$1:$1,0)+1,FALSE),"")</f>
        <v>燃える悪戯魂 ブレット</v>
      </c>
      <c r="AA64" s="5">
        <f ca="1">IFERROR(VLOOKUP($Y64,OFFSET([3]characters!$A$1,0,0,COUNTA([3]characters!$A:$A),MATCH(AA$1,[3]characters!$1:$1,0)-MATCH("character_id",[3]characters!$1:$1,0)+1),MATCH(AA$1,[3]characters!$1:$1,0)-MATCH("character_id",[3]characters!$1:$1,0)+1,FALSE),"")</f>
        <v>2</v>
      </c>
      <c r="AB64" s="5" t="str">
        <f ca="1">IFERROR(VLOOKUP($Y64,OFFSET([3]characters!$A$1,0,0,COUNTA([3]characters!$A:$A),MATCH(AB$1,[3]characters!$1:$1,0)-MATCH("character_id",[3]characters!$1:$1,0)+1),MATCH(AB$1,[3]characters!$1:$1,0)-MATCH("character_id",[3]characters!$1:$1,0)+1,FALSE),"")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64" s="8">
        <v>7</v>
      </c>
      <c r="AD64" s="33">
        <f t="shared" ca="1" si="7"/>
        <v>2</v>
      </c>
      <c r="AE64" s="9">
        <v>15</v>
      </c>
      <c r="AF64" s="8">
        <v>0</v>
      </c>
      <c r="AG64" s="8">
        <v>0</v>
      </c>
      <c r="AH64" s="8">
        <v>0</v>
      </c>
      <c r="AI64" s="8">
        <v>0</v>
      </c>
      <c r="AJ64" s="8">
        <v>1</v>
      </c>
    </row>
    <row r="65" spans="1:36" ht="21" customHeight="1" x14ac:dyDescent="0.15">
      <c r="A65" s="21" t="str">
        <f t="shared" ca="1" si="4"/>
        <v>20001_3-5/21&lt;lv26&gt;s2</v>
      </c>
      <c r="B65" s="31">
        <v>20001</v>
      </c>
      <c r="C65" s="38">
        <v>3</v>
      </c>
      <c r="D65" s="2" t="str">
        <f t="shared" si="5"/>
        <v>20001_3</v>
      </c>
      <c r="E65" s="5" t="str">
        <f ca="1">VLOOKUP($B65,OFFSET([1]quests!$A$1,0,0,COUNTA([1]quests!$A:$A),MATCH(E$1,[1]quests!$1:$1,0)-MATCH($B$1,[1]quests!$1:$1,0)+1),MATCH(E$1,[1]quests!$1:$1,0)-MATCH($B$1,[1]quests!$1:$1,0)+1,FALSE)</f>
        <v>紅き執行者</v>
      </c>
      <c r="F65" s="5" t="str">
        <f ca="1">VLOOKUP($D65,OFFSET([1]stages!$A$1,0,0,COUNTA([1]stages!$A:$A),MATCH(F$1,[1]stages!$2:$2,0)-MATCH($D$1,[1]stages!$2:$2,0)+1),MATCH(F$1,[1]stages!$2:$2,0)-MATCH($D$1,[1]stages!$2:$2,0)+1,FALSE)</f>
        <v xml:space="preserve">【上級】紅き執行者 </v>
      </c>
      <c r="G65" s="50">
        <v>5</v>
      </c>
      <c r="H65" s="20" t="str">
        <f t="shared" si="6"/>
        <v>20001_3-5</v>
      </c>
      <c r="I65" s="36">
        <v>21</v>
      </c>
      <c r="J65" s="26" t="str">
        <f ca="1">VLOOKUP($I65,OFFSET([2]enemies!$A$1,0,0,COUNTA([2]enemies!$A:$A),MATCH(J$1,[2]enemies!$1:$1,0)-MATCH($I$1,[2]enemies!$1:$1,0)+1),MATCH(J$1,[2]enemies!$1:$1,0)-MATCH($I$1,[2]enemies!$1:$1,0)+1,FALSE)</f>
        <v>ヴェロキー</v>
      </c>
      <c r="K65" s="26" t="str">
        <f ca="1">VLOOKUP($I65,OFFSET([2]enemies!$A$1,0,0,COUNTA([2]enemies!$A:$A),MATCH(K$1,[2]enemies!$1:$1,0)-MATCH($I$1,[2]enemies!$1:$1,0)+1),MATCH(K$1,[2]enemies!$1:$1,0)-MATCH($I$1,[2]enemies!$1:$1,0)+1,FALSE)</f>
        <v>red</v>
      </c>
      <c r="L65" s="28" t="str">
        <f>VLOOKUP(I65,[3]characters!$A:$J,10,FALSE)</f>
        <v>Drop1N</v>
      </c>
      <c r="M65" s="26" t="str">
        <f ca="1">VLOOKUP($I65,OFFSET([2]enemies!$A$1,0,0,COUNTA([2]enemies!$A:$A),MATCH(M$1,[2]enemies!$1:$1,0)-MATCH($I$1,[2]enemies!$1:$1,0)+1),MATCH(M$1,[2]enemies!$1:$1,0)-MATCH($I$1,[2]enemies!$1:$1,0)+1,FALSE)</f>
        <v>dragon</v>
      </c>
      <c r="N65" s="26">
        <f ca="1">VLOOKUP($I65,OFFSET([2]enemies!$A$1,0,0,COUNTA([2]enemies!$A:$A),MATCH(N$1,[2]enemies!$1:$1,0)-MATCH($I$1,[2]enemies!$1:$1,0)+1),MATCH(N$1,[2]enemies!$1:$1,0)-MATCH($I$1,[2]enemies!$1:$1,0)+1,FALSE)</f>
        <v>15</v>
      </c>
      <c r="O65" s="6">
        <v>26</v>
      </c>
      <c r="P65" s="54">
        <v>1</v>
      </c>
      <c r="Q65" s="54">
        <v>1</v>
      </c>
      <c r="R65" s="6">
        <v>0</v>
      </c>
      <c r="S65" s="5" t="str">
        <f ca="1">VLOOKUP($T65,OFFSET([4]enemy_skill_sets!$B$1,0,0,COUNTA([4]enemy_skill_sets!$B:$B),MATCH(J$1,[4]enemy_skill_sets!$1:$1,0)-MATCH($T$1,[4]enemy_skill_sets!$1:$1,0)+2),MATCH(J$1,[4]enemy_skill_sets!$1:$1,0)-MATCH($T$1,[4]enemy_skill_sets!$1:$1,0)+2,FALSE)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5" s="26">
        <f ca="1">VLOOKUP($I65,OFFSET([2]enemies!$A$1,0,0,COUNTA([2]enemies!$A:$A),MATCH(T$1,[2]enemies!$1:$1,0)-MATCH($I$1,[2]enemies!$1:$1,0)+1),MATCH(T$1,[2]enemies!$1:$1,0)-MATCH($I$1,[2]enemies!$1:$1,0)+1,FALSE)</f>
        <v>0</v>
      </c>
      <c r="U65" s="7">
        <v>0</v>
      </c>
      <c r="V65" s="7">
        <v>100</v>
      </c>
      <c r="W65" s="7">
        <v>0</v>
      </c>
      <c r="X65" s="26">
        <f ca="1">VLOOKUP($I65,OFFSET([2]enemies!$A$1,0,0,COUNTA([2]enemies!$A:$A),MATCH(X$1,[2]enemies!$1:$1,0)-MATCH($I$1,[2]enemies!$1:$1,0)+1),MATCH(X$1,[2]enemies!$1:$1,0)-MATCH($I$1,[2]enemies!$1:$1,0)+1,FALSE)</f>
        <v>2</v>
      </c>
      <c r="Y65" s="36">
        <v>21</v>
      </c>
      <c r="Z65" s="5" t="str">
        <f ca="1">IFERROR(VLOOKUP($Y65,OFFSET([3]characters!$A$1,0,0,COUNTA([3]characters!$A:$A),MATCH(Z$1,[3]characters!$1:$1,0)-MATCH("character_id",[3]characters!$1:$1,0)+1),MATCH(Z$1,[3]characters!$1:$1,0)-MATCH("character_id",[3]characters!$1:$1,0)+1,FALSE),"")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65" s="5">
        <f ca="1">IFERROR(VLOOKUP($Y65,OFFSET([3]characters!$A$1,0,0,COUNTA([3]characters!$A:$A),MATCH(AA$1,[3]characters!$1:$1,0)-MATCH("character_id",[3]characters!$1:$1,0)+1),MATCH(AA$1,[3]characters!$1:$1,0)-MATCH("character_id",[3]characters!$1:$1,0)+1,FALSE),"")</f>
        <v>1</v>
      </c>
      <c r="AB65" s="5" t="str">
        <f ca="1">IFERROR(VLOOKUP($Y65,OFFSET([3]characters!$A$1,0,0,COUNTA([3]characters!$A:$A),MATCH(AB$1,[3]characters!$1:$1,0)-MATCH("character_id",[3]characters!$1:$1,0)+1),MATCH(AB$1,[3]characters!$1:$1,0)-MATCH("character_id",[3]characters!$1:$1,0)+1,FALSE),"")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5" s="8">
        <v>5</v>
      </c>
      <c r="AD65" s="33">
        <f t="shared" ca="1" si="7"/>
        <v>1</v>
      </c>
      <c r="AE65" s="9">
        <v>15</v>
      </c>
      <c r="AF65" s="8">
        <v>0</v>
      </c>
      <c r="AG65" s="8">
        <v>0</v>
      </c>
      <c r="AH65" s="8">
        <v>0</v>
      </c>
      <c r="AI65" s="8">
        <v>0</v>
      </c>
      <c r="AJ65" s="8">
        <v>1</v>
      </c>
    </row>
    <row r="66" spans="1:36" ht="21" customHeight="1" x14ac:dyDescent="0.15">
      <c r="A66" s="21" t="str">
        <f t="shared" ca="1" si="4"/>
        <v>20001_3-5/41&lt;lv26&gt;s1</v>
      </c>
      <c r="B66" s="31">
        <v>20001</v>
      </c>
      <c r="C66" s="38">
        <v>3</v>
      </c>
      <c r="D66" s="2" t="str">
        <f t="shared" si="5"/>
        <v>20001_3</v>
      </c>
      <c r="E66" s="5" t="str">
        <f ca="1">VLOOKUP($B66,OFFSET([1]quests!$A$1,0,0,COUNTA([1]quests!$A:$A),MATCH(E$1,[1]quests!$1:$1,0)-MATCH($B$1,[1]quests!$1:$1,0)+1),MATCH(E$1,[1]quests!$1:$1,0)-MATCH($B$1,[1]quests!$1:$1,0)+1,FALSE)</f>
        <v>紅き執行者</v>
      </c>
      <c r="F66" s="5" t="str">
        <f ca="1">VLOOKUP($D66,OFFSET([1]stages!$A$1,0,0,COUNTA([1]stages!$A:$A),MATCH(F$1,[1]stages!$2:$2,0)-MATCH($D$1,[1]stages!$2:$2,0)+1),MATCH(F$1,[1]stages!$2:$2,0)-MATCH($D$1,[1]stages!$2:$2,0)+1,FALSE)</f>
        <v xml:space="preserve">【上級】紅き執行者 </v>
      </c>
      <c r="G66" s="50">
        <v>5</v>
      </c>
      <c r="H66" s="20" t="str">
        <f t="shared" si="6"/>
        <v>20001_3-5</v>
      </c>
      <c r="I66" s="36">
        <v>41</v>
      </c>
      <c r="J66" s="26" t="str">
        <f ca="1">VLOOKUP($I66,OFFSET([2]enemies!$A$1,0,0,COUNTA([2]enemies!$A:$A),MATCH(J$1,[2]enemies!$1:$1,0)-MATCH($I$1,[2]enemies!$1:$1,0)+1),MATCH(J$1,[2]enemies!$1:$1,0)-MATCH($I$1,[2]enemies!$1:$1,0)+1,FALSE)</f>
        <v>ヒュウガ</v>
      </c>
      <c r="K66" s="26" t="str">
        <f ca="1">VLOOKUP($I66,OFFSET([2]enemies!$A$1,0,0,COUNTA([2]enemies!$A:$A),MATCH(K$1,[2]enemies!$1:$1,0)-MATCH($I$1,[2]enemies!$1:$1,0)+1),MATCH(K$1,[2]enemies!$1:$1,0)-MATCH($I$1,[2]enemies!$1:$1,0)+1,FALSE)</f>
        <v>red</v>
      </c>
      <c r="L66" s="28" t="str">
        <f>VLOOKUP(I66,[3]characters!$A:$J,10,FALSE)</f>
        <v>Drop1N</v>
      </c>
      <c r="M66" s="26" t="str">
        <f ca="1">VLOOKUP($I66,OFFSET([2]enemies!$A$1,0,0,COUNTA([2]enemies!$A:$A),MATCH(M$1,[2]enemies!$1:$1,0)-MATCH($I$1,[2]enemies!$1:$1,0)+1),MATCH(M$1,[2]enemies!$1:$1,0)-MATCH($I$1,[2]enemies!$1:$1,0)+1,FALSE)</f>
        <v>dragon</v>
      </c>
      <c r="N66" s="26">
        <f ca="1">VLOOKUP($I66,OFFSET([2]enemies!$A$1,0,0,COUNTA([2]enemies!$A:$A),MATCH(N$1,[2]enemies!$1:$1,0)-MATCH($I$1,[2]enemies!$1:$1,0)+1),MATCH(N$1,[2]enemies!$1:$1,0)-MATCH($I$1,[2]enemies!$1:$1,0)+1,FALSE)</f>
        <v>15</v>
      </c>
      <c r="O66" s="6">
        <v>26</v>
      </c>
      <c r="P66" s="54">
        <v>1</v>
      </c>
      <c r="Q66" s="54">
        <v>1</v>
      </c>
      <c r="R66" s="6">
        <v>0</v>
      </c>
      <c r="S66" s="5" t="str">
        <f ca="1">VLOOKUP($T66,OFFSET([4]enemy_skill_sets!$B$1,0,0,COUNTA([4]enemy_skill_sets!$B:$B),MATCH(J$1,[4]enemy_skill_sets!$1:$1,0)-MATCH($T$1,[4]enemy_skill_sets!$1:$1,0)+2),MATCH(J$1,[4]enemy_skill_sets!$1:$1,0)-MATCH($T$1,[4]enemy_skill_sets!$1:$1,0)+2,FALSE)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6" s="26">
        <f ca="1">VLOOKUP($I66,OFFSET([2]enemies!$A$1,0,0,COUNTA([2]enemies!$A:$A),MATCH(T$1,[2]enemies!$1:$1,0)-MATCH($I$1,[2]enemies!$1:$1,0)+1),MATCH(T$1,[2]enemies!$1:$1,0)-MATCH($I$1,[2]enemies!$1:$1,0)+1,FALSE)</f>
        <v>0</v>
      </c>
      <c r="U66" s="7">
        <v>0</v>
      </c>
      <c r="V66" s="7">
        <v>100</v>
      </c>
      <c r="W66" s="7">
        <v>0</v>
      </c>
      <c r="X66" s="26">
        <f ca="1">VLOOKUP($I66,OFFSET([2]enemies!$A$1,0,0,COUNTA([2]enemies!$A:$A),MATCH(X$1,[2]enemies!$1:$1,0)-MATCH($I$1,[2]enemies!$1:$1,0)+1),MATCH(X$1,[2]enemies!$1:$1,0)-MATCH($I$1,[2]enemies!$1:$1,0)+1,FALSE)</f>
        <v>1</v>
      </c>
      <c r="Y66" s="36">
        <v>41</v>
      </c>
      <c r="Z66" s="5" t="str">
        <f ca="1">IFERROR(VLOOKUP($Y66,OFFSET([3]characters!$A$1,0,0,COUNTA([3]characters!$A:$A),MATCH(Z$1,[3]characters!$1:$1,0)-MATCH("character_id",[3]characters!$1:$1,0)+1),MATCH(Z$1,[3]characters!$1:$1,0)-MATCH("character_id",[3]characters!$1:$1,0)+1,FALSE),"")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66" s="5">
        <f ca="1">IFERROR(VLOOKUP($Y66,OFFSET([3]characters!$A$1,0,0,COUNTA([3]characters!$A:$A),MATCH(AA$1,[3]characters!$1:$1,0)-MATCH("character_id",[3]characters!$1:$1,0)+1),MATCH(AA$1,[3]characters!$1:$1,0)-MATCH("character_id",[3]characters!$1:$1,0)+1,FALSE),"")</f>
        <v>2</v>
      </c>
      <c r="AB66" s="5" t="str">
        <f ca="1">IFERROR(VLOOKUP($Y66,OFFSET([3]characters!$A$1,0,0,COUNTA([3]characters!$A:$A),MATCH(AB$1,[3]characters!$1:$1,0)-MATCH("character_id",[3]characters!$1:$1,0)+1),MATCH(AB$1,[3]characters!$1:$1,0)-MATCH("character_id",[3]characters!$1:$1,0)+1,FALSE),"")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6" s="8">
        <v>5</v>
      </c>
      <c r="AD66" s="33">
        <f t="shared" ca="1" si="7"/>
        <v>2</v>
      </c>
      <c r="AE66" s="9">
        <v>15</v>
      </c>
      <c r="AF66" s="8">
        <v>0</v>
      </c>
      <c r="AG66" s="8">
        <v>0</v>
      </c>
      <c r="AH66" s="8">
        <v>0</v>
      </c>
      <c r="AI66" s="8">
        <v>0</v>
      </c>
      <c r="AJ66" s="8">
        <v>1</v>
      </c>
    </row>
    <row r="67" spans="1:36" ht="21" customHeight="1" x14ac:dyDescent="0.15">
      <c r="A67" s="21" t="str">
        <f t="shared" ca="1" si="4"/>
        <v>20001_3-5/49&lt;lv26&gt;s2</v>
      </c>
      <c r="B67" s="31">
        <v>20001</v>
      </c>
      <c r="C67" s="38">
        <v>3</v>
      </c>
      <c r="D67" s="2" t="str">
        <f t="shared" si="5"/>
        <v>20001_3</v>
      </c>
      <c r="E67" s="5" t="str">
        <f ca="1">VLOOKUP($B67,OFFSET([1]quests!$A$1,0,0,COUNTA([1]quests!$A:$A),MATCH(E$1,[1]quests!$1:$1,0)-MATCH($B$1,[1]quests!$1:$1,0)+1),MATCH(E$1,[1]quests!$1:$1,0)-MATCH($B$1,[1]quests!$1:$1,0)+1,FALSE)</f>
        <v>紅き執行者</v>
      </c>
      <c r="F67" s="5" t="str">
        <f ca="1">VLOOKUP($D67,OFFSET([1]stages!$A$1,0,0,COUNTA([1]stages!$A:$A),MATCH(F$1,[1]stages!$2:$2,0)-MATCH($D$1,[1]stages!$2:$2,0)+1),MATCH(F$1,[1]stages!$2:$2,0)-MATCH($D$1,[1]stages!$2:$2,0)+1,FALSE)</f>
        <v xml:space="preserve">【上級】紅き執行者 </v>
      </c>
      <c r="G67" s="50">
        <v>5</v>
      </c>
      <c r="H67" s="20" t="str">
        <f t="shared" si="6"/>
        <v>20001_3-5</v>
      </c>
      <c r="I67" s="36">
        <v>49</v>
      </c>
      <c r="J67" s="26" t="str">
        <f ca="1">VLOOKUP($I67,OFFSET([2]enemies!$A$1,0,0,COUNTA([2]enemies!$A:$A),MATCH(J$1,[2]enemies!$1:$1,0)-MATCH($I$1,[2]enemies!$1:$1,0)+1),MATCH(J$1,[2]enemies!$1:$1,0)-MATCH($I$1,[2]enemies!$1:$1,0)+1,FALSE)</f>
        <v>ヨシタカ</v>
      </c>
      <c r="K67" s="26" t="str">
        <f ca="1">VLOOKUP($I67,OFFSET([2]enemies!$A$1,0,0,COUNTA([2]enemies!$A:$A),MATCH(K$1,[2]enemies!$1:$1,0)-MATCH($I$1,[2]enemies!$1:$1,0)+1),MATCH(K$1,[2]enemies!$1:$1,0)-MATCH($I$1,[2]enemies!$1:$1,0)+1,FALSE)</f>
        <v>red</v>
      </c>
      <c r="L67" s="28" t="str">
        <f>VLOOKUP(I67,[3]characters!$A:$J,10,FALSE)</f>
        <v>Drop1N</v>
      </c>
      <c r="M67" s="26" t="str">
        <f ca="1">VLOOKUP($I67,OFFSET([2]enemies!$A$1,0,0,COUNTA([2]enemies!$A:$A),MATCH(M$1,[2]enemies!$1:$1,0)-MATCH($I$1,[2]enemies!$1:$1,0)+1),MATCH(M$1,[2]enemies!$1:$1,0)-MATCH($I$1,[2]enemies!$1:$1,0)+1,FALSE)</f>
        <v>human</v>
      </c>
      <c r="N67" s="26">
        <f ca="1">VLOOKUP($I67,OFFSET([2]enemies!$A$1,0,0,COUNTA([2]enemies!$A:$A),MATCH(N$1,[2]enemies!$1:$1,0)-MATCH($I$1,[2]enemies!$1:$1,0)+1),MATCH(N$1,[2]enemies!$1:$1,0)-MATCH($I$1,[2]enemies!$1:$1,0)+1,FALSE)</f>
        <v>15</v>
      </c>
      <c r="O67" s="6">
        <v>26</v>
      </c>
      <c r="P67" s="54">
        <v>1</v>
      </c>
      <c r="Q67" s="54">
        <v>1</v>
      </c>
      <c r="R67" s="6">
        <v>0</v>
      </c>
      <c r="S67" s="5" t="str">
        <f ca="1">VLOOKUP($T67,OFFSET([4]enemy_skill_sets!$B$1,0,0,COUNTA([4]enemy_skill_sets!$B:$B),MATCH(J$1,[4]enemy_skill_sets!$1:$1,0)-MATCH($T$1,[4]enemy_skill_sets!$1:$1,0)+2),MATCH(J$1,[4]enemy_skill_sets!$1:$1,0)-MATCH($T$1,[4]enemy_skill_sets!$1:$1,0)+2,FALSE)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67" s="26">
        <f ca="1">VLOOKUP($I67,OFFSET([2]enemies!$A$1,0,0,COUNTA([2]enemies!$A:$A),MATCH(T$1,[2]enemies!$1:$1,0)-MATCH($I$1,[2]enemies!$1:$1,0)+1),MATCH(T$1,[2]enemies!$1:$1,0)-MATCH($I$1,[2]enemies!$1:$1,0)+1,FALSE)</f>
        <v>49</v>
      </c>
      <c r="U67" s="7">
        <v>0</v>
      </c>
      <c r="V67" s="7">
        <v>80</v>
      </c>
      <c r="W67" s="7">
        <v>0</v>
      </c>
      <c r="X67" s="26">
        <f ca="1">VLOOKUP($I67,OFFSET([2]enemies!$A$1,0,0,COUNTA([2]enemies!$A:$A),MATCH(X$1,[2]enemies!$1:$1,0)-MATCH($I$1,[2]enemies!$1:$1,0)+1),MATCH(X$1,[2]enemies!$1:$1,0)-MATCH($I$1,[2]enemies!$1:$1,0)+1,FALSE)</f>
        <v>2</v>
      </c>
      <c r="Y67" s="36">
        <v>49</v>
      </c>
      <c r="Z67" s="5" t="str">
        <f ca="1">IFERROR(VLOOKUP($Y67,OFFSET([3]characters!$A$1,0,0,COUNTA([3]characters!$A:$A),MATCH(Z$1,[3]characters!$1:$1,0)-MATCH("character_id",[3]characters!$1:$1,0)+1),MATCH(Z$1,[3]characters!$1:$1,0)-MATCH("character_id",[3]characters!$1:$1,0)+1,FALSE),"")</f>
        <v>ヨシタカ</v>
      </c>
      <c r="AA67" s="5">
        <f ca="1">IFERROR(VLOOKUP($Y67,OFFSET([3]characters!$A$1,0,0,COUNTA([3]characters!$A:$A),MATCH(AA$1,[3]characters!$1:$1,0)-MATCH("character_id",[3]characters!$1:$1,0)+1),MATCH(AA$1,[3]characters!$1:$1,0)-MATCH("character_id",[3]characters!$1:$1,0)+1,FALSE),"")</f>
        <v>2</v>
      </c>
      <c r="AB67" s="5" t="str">
        <f ca="1">IFERROR(VLOOKUP($Y67,OFFSET([3]characters!$A$1,0,0,COUNTA([3]characters!$A:$A),MATCH(AB$1,[3]characters!$1:$1,0)-MATCH("character_id",[3]characters!$1:$1,0)+1),MATCH(AB$1,[3]characters!$1:$1,0)-MATCH("character_id",[3]characters!$1:$1,0)+1,FALSE),"")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7" s="8">
        <v>5</v>
      </c>
      <c r="AD67" s="33">
        <f t="shared" ca="1" si="7"/>
        <v>2</v>
      </c>
      <c r="AE67" s="9">
        <v>15</v>
      </c>
      <c r="AF67" s="8">
        <v>0</v>
      </c>
      <c r="AG67" s="8">
        <v>0</v>
      </c>
      <c r="AH67" s="8">
        <v>0</v>
      </c>
      <c r="AI67" s="8">
        <v>0</v>
      </c>
      <c r="AJ67" s="8">
        <v>1</v>
      </c>
    </row>
    <row r="68" spans="1:36" ht="21" customHeight="1" x14ac:dyDescent="0.15">
      <c r="A68" s="21" t="str">
        <f t="shared" ca="1" si="4"/>
        <v>20001_3-5/57&lt;lv26&gt;s2</v>
      </c>
      <c r="B68" s="31">
        <v>20001</v>
      </c>
      <c r="C68" s="38">
        <v>3</v>
      </c>
      <c r="D68" s="2" t="str">
        <f t="shared" si="5"/>
        <v>20001_3</v>
      </c>
      <c r="E68" s="5" t="str">
        <f ca="1">VLOOKUP($B68,OFFSET([1]quests!$A$1,0,0,COUNTA([1]quests!$A:$A),MATCH(E$1,[1]quests!$1:$1,0)-MATCH($B$1,[1]quests!$1:$1,0)+1),MATCH(E$1,[1]quests!$1:$1,0)-MATCH($B$1,[1]quests!$1:$1,0)+1,FALSE)</f>
        <v>紅き執行者</v>
      </c>
      <c r="F68" s="5" t="str">
        <f ca="1">VLOOKUP($D68,OFFSET([1]stages!$A$1,0,0,COUNTA([1]stages!$A:$A),MATCH(F$1,[1]stages!$2:$2,0)-MATCH($D$1,[1]stages!$2:$2,0)+1),MATCH(F$1,[1]stages!$2:$2,0)-MATCH($D$1,[1]stages!$2:$2,0)+1,FALSE)</f>
        <v xml:space="preserve">【上級】紅き執行者 </v>
      </c>
      <c r="G68" s="50">
        <v>5</v>
      </c>
      <c r="H68" s="20" t="str">
        <f t="shared" si="6"/>
        <v>20001_3-5</v>
      </c>
      <c r="I68" s="36">
        <v>57</v>
      </c>
      <c r="J68" s="26" t="str">
        <f ca="1">VLOOKUP($I68,OFFSET([2]enemies!$A$1,0,0,COUNTA([2]enemies!$A:$A),MATCH(J$1,[2]enemies!$1:$1,0)-MATCH($I$1,[2]enemies!$1:$1,0)+1),MATCH(J$1,[2]enemies!$1:$1,0)-MATCH($I$1,[2]enemies!$1:$1,0)+1,FALSE)</f>
        <v>チェン・リー</v>
      </c>
      <c r="K68" s="26" t="str">
        <f ca="1">VLOOKUP($I68,OFFSET([2]enemies!$A$1,0,0,COUNTA([2]enemies!$A:$A),MATCH(K$1,[2]enemies!$1:$1,0)-MATCH($I$1,[2]enemies!$1:$1,0)+1),MATCH(K$1,[2]enemies!$1:$1,0)-MATCH($I$1,[2]enemies!$1:$1,0)+1,FALSE)</f>
        <v>red</v>
      </c>
      <c r="L68" s="28" t="str">
        <f>VLOOKUP(I68,[3]characters!$A:$J,10,FALSE)</f>
        <v>Drop1N</v>
      </c>
      <c r="M68" s="26" t="str">
        <f ca="1">VLOOKUP($I68,OFFSET([2]enemies!$A$1,0,0,COUNTA([2]enemies!$A:$A),MATCH(M$1,[2]enemies!$1:$1,0)-MATCH($I$1,[2]enemies!$1:$1,0)+1),MATCH(M$1,[2]enemies!$1:$1,0)-MATCH($I$1,[2]enemies!$1:$1,0)+1,FALSE)</f>
        <v>animal</v>
      </c>
      <c r="N68" s="26">
        <f ca="1">VLOOKUP($I68,OFFSET([2]enemies!$A$1,0,0,COUNTA([2]enemies!$A:$A),MATCH(N$1,[2]enemies!$1:$1,0)-MATCH($I$1,[2]enemies!$1:$1,0)+1),MATCH(N$1,[2]enemies!$1:$1,0)-MATCH($I$1,[2]enemies!$1:$1,0)+1,FALSE)</f>
        <v>15</v>
      </c>
      <c r="O68" s="6">
        <v>26</v>
      </c>
      <c r="P68" s="54">
        <v>1</v>
      </c>
      <c r="Q68" s="54">
        <v>1</v>
      </c>
      <c r="R68" s="6">
        <v>0</v>
      </c>
      <c r="S68" s="5" t="str">
        <f ca="1">VLOOKUP($T68,OFFSET([4]enemy_skill_sets!$B$1,0,0,COUNTA([4]enemy_skill_sets!$B:$B),MATCH(J$1,[4]enemy_skill_sets!$1:$1,0)-MATCH($T$1,[4]enemy_skill_sets!$1:$1,0)+2),MATCH(J$1,[4]enemy_skill_sets!$1:$1,0)-MATCH($T$1,[4]enemy_skill_sets!$1:$1,0)+2,FALSE)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68" s="26">
        <f ca="1">VLOOKUP($I68,OFFSET([2]enemies!$A$1,0,0,COUNTA([2]enemies!$A:$A),MATCH(T$1,[2]enemies!$1:$1,0)-MATCH($I$1,[2]enemies!$1:$1,0)+1),MATCH(T$1,[2]enemies!$1:$1,0)-MATCH($I$1,[2]enemies!$1:$1,0)+1,FALSE)</f>
        <v>57</v>
      </c>
      <c r="U68" s="7">
        <v>0</v>
      </c>
      <c r="V68" s="7">
        <v>80</v>
      </c>
      <c r="W68" s="7">
        <v>0</v>
      </c>
      <c r="X68" s="26">
        <f ca="1">VLOOKUP($I68,OFFSET([2]enemies!$A$1,0,0,COUNTA([2]enemies!$A:$A),MATCH(X$1,[2]enemies!$1:$1,0)-MATCH($I$1,[2]enemies!$1:$1,0)+1),MATCH(X$1,[2]enemies!$1:$1,0)-MATCH($I$1,[2]enemies!$1:$1,0)+1,FALSE)</f>
        <v>2</v>
      </c>
      <c r="Y68" s="36">
        <v>57</v>
      </c>
      <c r="Z68" s="5" t="str">
        <f ca="1">IFERROR(VLOOKUP($Y68,OFFSET([3]characters!$A$1,0,0,COUNTA([3]characters!$A:$A),MATCH(Z$1,[3]characters!$1:$1,0)-MATCH("character_id",[3]characters!$1:$1,0)+1),MATCH(Z$1,[3]characters!$1:$1,0)-MATCH("character_id",[3]characters!$1:$1,0)+1,FALSE),"")</f>
        <v>チェン・リー</v>
      </c>
      <c r="AA68" s="5">
        <f ca="1">IFERROR(VLOOKUP($Y68,OFFSET([3]characters!$A$1,0,0,COUNTA([3]characters!$A:$A),MATCH(AA$1,[3]characters!$1:$1,0)-MATCH("character_id",[3]characters!$1:$1,0)+1),MATCH(AA$1,[3]characters!$1:$1,0)-MATCH("character_id",[3]characters!$1:$1,0)+1,FALSE),"")</f>
        <v>2</v>
      </c>
      <c r="AB68" s="5" t="str">
        <f ca="1">IFERROR(VLOOKUP($Y68,OFFSET([3]characters!$A$1,0,0,COUNTA([3]characters!$A:$A),MATCH(AB$1,[3]characters!$1:$1,0)-MATCH("character_id",[3]characters!$1:$1,0)+1),MATCH(AB$1,[3]characters!$1:$1,0)-MATCH("character_id",[3]characters!$1:$1,0)+1,FALSE),"")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8" s="8">
        <v>5</v>
      </c>
      <c r="AD68" s="33">
        <f t="shared" ca="1" si="7"/>
        <v>2</v>
      </c>
      <c r="AE68" s="9">
        <v>15</v>
      </c>
      <c r="AF68" s="8">
        <v>0</v>
      </c>
      <c r="AG68" s="8">
        <v>0</v>
      </c>
      <c r="AH68" s="8">
        <v>0</v>
      </c>
      <c r="AI68" s="8">
        <v>0</v>
      </c>
      <c r="AJ68" s="8">
        <v>1</v>
      </c>
    </row>
    <row r="69" spans="1:36" ht="21" customHeight="1" x14ac:dyDescent="0.15">
      <c r="A69" s="21" t="str">
        <f t="shared" ca="1" si="4"/>
        <v>20001_3-6/48&lt;lv23&gt;s1</v>
      </c>
      <c r="B69" s="31">
        <v>20001</v>
      </c>
      <c r="C69" s="38">
        <v>3</v>
      </c>
      <c r="D69" s="2" t="str">
        <f t="shared" si="5"/>
        <v>20001_3</v>
      </c>
      <c r="E69" s="5" t="str">
        <f ca="1">VLOOKUP($B69,OFFSET([1]quests!$A$1,0,0,COUNTA([1]quests!$A:$A),MATCH(E$1,[1]quests!$1:$1,0)-MATCH($B$1,[1]quests!$1:$1,0)+1),MATCH(E$1,[1]quests!$1:$1,0)-MATCH($B$1,[1]quests!$1:$1,0)+1,FALSE)</f>
        <v>紅き執行者</v>
      </c>
      <c r="F69" s="5" t="str">
        <f ca="1">VLOOKUP($D69,OFFSET([1]stages!$A$1,0,0,COUNTA([1]stages!$A:$A),MATCH(F$1,[1]stages!$2:$2,0)-MATCH($D$1,[1]stages!$2:$2,0)+1),MATCH(F$1,[1]stages!$2:$2,0)-MATCH($D$1,[1]stages!$2:$2,0)+1,FALSE)</f>
        <v xml:space="preserve">【上級】紅き執行者 </v>
      </c>
      <c r="G69" s="51">
        <v>6</v>
      </c>
      <c r="H69" s="20" t="str">
        <f t="shared" si="6"/>
        <v>20001_3-6</v>
      </c>
      <c r="I69" s="39">
        <v>48</v>
      </c>
      <c r="J69" s="26" t="str">
        <f ca="1">VLOOKUP($I69,OFFSET([2]enemies!$A$1,0,0,COUNTA([2]enemies!$A:$A),MATCH(J$1,[2]enemies!$1:$1,0)-MATCH($I$1,[2]enemies!$1:$1,0)+1),MATCH(J$1,[2]enemies!$1:$1,0)-MATCH($I$1,[2]enemies!$1:$1,0)+1,FALSE)</f>
        <v>サンダーステップのヒロ</v>
      </c>
      <c r="K69" s="26" t="str">
        <f ca="1">VLOOKUP($I69,OFFSET([2]enemies!$A$1,0,0,COUNTA([2]enemies!$A:$A),MATCH(K$1,[2]enemies!$1:$1,0)-MATCH($I$1,[2]enemies!$1:$1,0)+1),MATCH(K$1,[2]enemies!$1:$1,0)-MATCH($I$1,[2]enemies!$1:$1,0)+1,FALSE)</f>
        <v>yellow</v>
      </c>
      <c r="L69" s="28" t="str">
        <f>VLOOKUP(I69,[3]characters!$A:$J,10,FALSE)</f>
        <v>Drop1N</v>
      </c>
      <c r="M69" s="26" t="str">
        <f ca="1">VLOOKUP($I69,OFFSET([2]enemies!$A$1,0,0,COUNTA([2]enemies!$A:$A),MATCH(M$1,[2]enemies!$1:$1,0)-MATCH($I$1,[2]enemies!$1:$1,0)+1),MATCH(M$1,[2]enemies!$1:$1,0)-MATCH($I$1,[2]enemies!$1:$1,0)+1,FALSE)</f>
        <v>animal</v>
      </c>
      <c r="N69" s="26">
        <f ca="1">VLOOKUP($I69,OFFSET([2]enemies!$A$1,0,0,COUNTA([2]enemies!$A:$A),MATCH(N$1,[2]enemies!$1:$1,0)-MATCH($I$1,[2]enemies!$1:$1,0)+1),MATCH(N$1,[2]enemies!$1:$1,0)-MATCH($I$1,[2]enemies!$1:$1,0)+1,FALSE)</f>
        <v>20</v>
      </c>
      <c r="O69" s="6">
        <v>23</v>
      </c>
      <c r="P69" s="54">
        <v>1.3</v>
      </c>
      <c r="Q69" s="54">
        <v>1</v>
      </c>
      <c r="R69" s="6">
        <v>0</v>
      </c>
      <c r="S69" s="5" t="str">
        <f ca="1">VLOOKUP($T69,OFFSET([4]enemy_skill_sets!$B$1,0,0,COUNTA([4]enemy_skill_sets!$B:$B),MATCH(J$1,[4]enemy_skill_sets!$1:$1,0)-MATCH($T$1,[4]enemy_skill_sets!$1:$1,0)+2),MATCH(J$1,[4]enemy_skill_sets!$1:$1,0)-MATCH($T$1,[4]enemy_skill_sets!$1:$1,0)+2,FALSE)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9" s="26">
        <f ca="1">VLOOKUP($I69,OFFSET([2]enemies!$A$1,0,0,COUNTA([2]enemies!$A:$A),MATCH(T$1,[2]enemies!$1:$1,0)-MATCH($I$1,[2]enemies!$1:$1,0)+1),MATCH(T$1,[2]enemies!$1:$1,0)-MATCH($I$1,[2]enemies!$1:$1,0)+1,FALSE)</f>
        <v>0</v>
      </c>
      <c r="U69" s="7">
        <v>1</v>
      </c>
      <c r="V69" s="7">
        <v>100</v>
      </c>
      <c r="W69" s="7">
        <v>2</v>
      </c>
      <c r="X69" s="26">
        <f ca="1">VLOOKUP($I69,OFFSET([2]enemies!$A$1,0,0,COUNTA([2]enemies!$A:$A),MATCH(X$1,[2]enemies!$1:$1,0)-MATCH($I$1,[2]enemies!$1:$1,0)+1),MATCH(X$1,[2]enemies!$1:$1,0)-MATCH($I$1,[2]enemies!$1:$1,0)+1,FALSE)</f>
        <v>1</v>
      </c>
      <c r="Y69" s="39">
        <v>48</v>
      </c>
      <c r="Z69" s="5" t="str">
        <f ca="1">IFERROR(VLOOKUP($Y69,OFFSET([3]characters!$A$1,0,0,COUNTA([3]characters!$A:$A),MATCH(Z$1,[3]characters!$1:$1,0)-MATCH("character_id",[3]characters!$1:$1,0)+1),MATCH(Z$1,[3]characters!$1:$1,0)-MATCH("character_id",[3]characters!$1:$1,0)+1,FALSE),"")</f>
        <v>サンダーステップのヒロ</v>
      </c>
      <c r="AA69" s="5">
        <f ca="1">IFERROR(VLOOKUP($Y69,OFFSET([3]characters!$A$1,0,0,COUNTA([3]characters!$A:$A),MATCH(AA$1,[3]characters!$1:$1,0)-MATCH("character_id",[3]characters!$1:$1,0)+1),MATCH(AA$1,[3]characters!$1:$1,0)-MATCH("character_id",[3]characters!$1:$1,0)+1,FALSE),"")</f>
        <v>3</v>
      </c>
      <c r="AB69" s="5" t="str">
        <f ca="1">IFERROR(VLOOKUP($Y69,OFFSET([3]characters!$A$1,0,0,COUNTA([3]characters!$A:$A),MATCH(AB$1,[3]characters!$1:$1,0)-MATCH("character_id",[3]characters!$1:$1,0)+1),MATCH(AB$1,[3]characters!$1:$1,0)-MATCH("character_id",[3]characters!$1:$1,0)+1,FALSE),"")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9" s="8">
        <v>1</v>
      </c>
      <c r="AD69" s="33">
        <f t="shared" ca="1" si="7"/>
        <v>3</v>
      </c>
      <c r="AE69" s="9">
        <v>0</v>
      </c>
      <c r="AF69" s="8">
        <v>0</v>
      </c>
      <c r="AG69" s="8">
        <v>0</v>
      </c>
      <c r="AH69" s="8">
        <v>0</v>
      </c>
      <c r="AI69" s="8">
        <v>0</v>
      </c>
      <c r="AJ69" s="8">
        <v>1</v>
      </c>
    </row>
    <row r="70" spans="1:36" ht="21" customHeight="1" x14ac:dyDescent="0.15">
      <c r="A70" s="21" t="str">
        <f t="shared" ca="1" si="4"/>
        <v>20001_3-6/263&lt;lv20&gt;s2</v>
      </c>
      <c r="B70" s="31">
        <v>20001</v>
      </c>
      <c r="C70" s="38">
        <v>3</v>
      </c>
      <c r="D70" s="2" t="str">
        <f t="shared" si="5"/>
        <v>20001_3</v>
      </c>
      <c r="E70" s="5" t="str">
        <f ca="1">VLOOKUP($B70,OFFSET([1]quests!$A$1,0,0,COUNTA([1]quests!$A:$A),MATCH(E$1,[1]quests!$1:$1,0)-MATCH($B$1,[1]quests!$1:$1,0)+1),MATCH(E$1,[1]quests!$1:$1,0)-MATCH($B$1,[1]quests!$1:$1,0)+1,FALSE)</f>
        <v>紅き執行者</v>
      </c>
      <c r="F70" s="5" t="str">
        <f ca="1">VLOOKUP($D70,OFFSET([1]stages!$A$1,0,0,COUNTA([1]stages!$A:$A),MATCH(F$1,[1]stages!$2:$2,0)-MATCH($D$1,[1]stages!$2:$2,0)+1),MATCH(F$1,[1]stages!$2:$2,0)-MATCH($D$1,[1]stages!$2:$2,0)+1,FALSE)</f>
        <v xml:space="preserve">【上級】紅き執行者 </v>
      </c>
      <c r="G70" s="51">
        <v>6</v>
      </c>
      <c r="H70" s="20" t="str">
        <f t="shared" si="6"/>
        <v>20001_3-6</v>
      </c>
      <c r="I70" s="40">
        <v>263</v>
      </c>
      <c r="J70" s="26" t="str">
        <f ca="1">VLOOKUP($I70,OFFSET([2]enemies!$A$1,0,0,COUNTA([2]enemies!$A:$A),MATCH(J$1,[2]enemies!$1:$1,0)-MATCH($I$1,[2]enemies!$1:$1,0)+1),MATCH(J$1,[2]enemies!$1:$1,0)-MATCH($I$1,[2]enemies!$1:$1,0)+1,FALSE)</f>
        <v>鉤爪姫 アシュリー</v>
      </c>
      <c r="K70" s="26" t="str">
        <f ca="1">VLOOKUP($I70,OFFSET([2]enemies!$A$1,0,0,COUNTA([2]enemies!$A:$A),MATCH(K$1,[2]enemies!$1:$1,0)-MATCH($I$1,[2]enemies!$1:$1,0)+1),MATCH(K$1,[2]enemies!$1:$1,0)-MATCH($I$1,[2]enemies!$1:$1,0)+1,FALSE)</f>
        <v>red</v>
      </c>
      <c r="L70" s="28" t="str">
        <f>VLOOKUP(I70,[3]characters!$A:$J,10,FALSE)</f>
        <v>Drop2W</v>
      </c>
      <c r="M70" s="26" t="str">
        <f ca="1">VLOOKUP($I70,OFFSET([2]enemies!$A$1,0,0,COUNTA([2]enemies!$A:$A),MATCH(M$1,[2]enemies!$1:$1,0)-MATCH($I$1,[2]enemies!$1:$1,0)+1),MATCH(M$1,[2]enemies!$1:$1,0)-MATCH($I$1,[2]enemies!$1:$1,0)+1,FALSE)</f>
        <v>animal</v>
      </c>
      <c r="N70" s="26">
        <f ca="1">VLOOKUP($I70,OFFSET([2]enemies!$A$1,0,0,COUNTA([2]enemies!$A:$A),MATCH(N$1,[2]enemies!$1:$1,0)-MATCH($I$1,[2]enemies!$1:$1,0)+1),MATCH(N$1,[2]enemies!$1:$1,0)-MATCH($I$1,[2]enemies!$1:$1,0)+1,FALSE)</f>
        <v>30</v>
      </c>
      <c r="O70" s="6">
        <v>20</v>
      </c>
      <c r="P70" s="54">
        <v>2.7</v>
      </c>
      <c r="Q70" s="54">
        <v>1</v>
      </c>
      <c r="R70" s="6">
        <v>0</v>
      </c>
      <c r="S70" s="5" t="str">
        <f ca="1">VLOOKUP($T70,OFFSET([4]enemy_skill_sets!$B$1,0,0,COUNTA([4]enemy_skill_sets!$B:$B),MATCH(J$1,[4]enemy_skill_sets!$1:$1,0)-MATCH($T$1,[4]enemy_skill_sets!$1:$1,0)+2),MATCH(J$1,[4]enemy_skill_sets!$1:$1,0)-MATCH($T$1,[4]enemy_skill_sets!$1:$1,0)+2,FALSE)</f>
        <v>攻撃力×2.0倍の攻撃</v>
      </c>
      <c r="T70" s="26">
        <f ca="1">VLOOKUP($I70,OFFSET([2]enemies!$A$1,0,0,COUNTA([2]enemies!$A:$A),MATCH(T$1,[2]enemies!$1:$1,0)-MATCH($I$1,[2]enemies!$1:$1,0)+1),MATCH(T$1,[2]enemies!$1:$1,0)-MATCH($I$1,[2]enemies!$1:$1,0)+1,FALSE)</f>
        <v>263</v>
      </c>
      <c r="U70" s="7">
        <v>1</v>
      </c>
      <c r="V70" s="7">
        <v>100</v>
      </c>
      <c r="W70" s="7">
        <v>1</v>
      </c>
      <c r="X70" s="26">
        <f ca="1">VLOOKUP($I70,OFFSET([2]enemies!$A$1,0,0,COUNTA([2]enemies!$A:$A),MATCH(X$1,[2]enemies!$1:$1,0)-MATCH($I$1,[2]enemies!$1:$1,0)+1),MATCH(X$1,[2]enemies!$1:$1,0)-MATCH($I$1,[2]enemies!$1:$1,0)+1,FALSE)</f>
        <v>2</v>
      </c>
      <c r="Y70" s="40">
        <v>262</v>
      </c>
      <c r="Z70" s="5" t="str">
        <f ca="1">IFERROR(VLOOKUP($Y70,OFFSET([3]characters!$A$1,0,0,COUNTA([3]characters!$A:$A),MATCH(Z$1,[3]characters!$1:$1,0)-MATCH("character_id",[3]characters!$1:$1,0)+1),MATCH(Z$1,[3]characters!$1:$1,0)-MATCH("character_id",[3]characters!$1:$1,0)+1,FALSE),"")</f>
        <v>アシュリー</v>
      </c>
      <c r="AA70" s="5">
        <f ca="1">IFERROR(VLOOKUP($Y70,OFFSET([3]characters!$A$1,0,0,COUNTA([3]characters!$A:$A),MATCH(AA$1,[3]characters!$1:$1,0)-MATCH("character_id",[3]characters!$1:$1,0)+1),MATCH(AA$1,[3]characters!$1:$1,0)-MATCH("character_id",[3]characters!$1:$1,0)+1,FALSE),"")</f>
        <v>3</v>
      </c>
      <c r="AB70" s="5" t="str">
        <f ca="1">IFERROR(VLOOKUP($Y70,OFFSET([3]characters!$A$1,0,0,COUNTA([3]characters!$A:$A),MATCH(AB$1,[3]characters!$1:$1,0)-MATCH("character_id",[3]characters!$1:$1,0)+1),MATCH(AB$1,[3]characters!$1:$1,0)-MATCH("character_id",[3]characters!$1:$1,0)+1,FALSE),"")</f>
        <v>Drop2W</v>
      </c>
      <c r="AC70" s="8">
        <v>1</v>
      </c>
      <c r="AD70" s="33">
        <f t="shared" ca="1" si="7"/>
        <v>3</v>
      </c>
      <c r="AE70" s="56">
        <v>100</v>
      </c>
      <c r="AF70" s="8">
        <v>0</v>
      </c>
      <c r="AG70" s="8">
        <v>0</v>
      </c>
      <c r="AH70" s="8">
        <v>0</v>
      </c>
      <c r="AI70" s="8">
        <v>0</v>
      </c>
      <c r="AJ70" s="8">
        <v>1</v>
      </c>
    </row>
    <row r="71" spans="1:36" ht="21" customHeight="1" x14ac:dyDescent="0.15">
      <c r="A71" s="4"/>
      <c r="D71" s="4"/>
      <c r="I71" s="4"/>
      <c r="Z71" s="4"/>
      <c r="AA71" s="4"/>
      <c r="AB71" s="4"/>
      <c r="AC71" s="4"/>
    </row>
    <row r="72" spans="1:36" ht="21" customHeight="1" x14ac:dyDescent="0.15">
      <c r="A72" s="4"/>
      <c r="D72" s="4"/>
      <c r="I72" s="4"/>
      <c r="Z72" s="4"/>
      <c r="AA72" s="4"/>
      <c r="AB72" s="4"/>
      <c r="AC72" s="4"/>
    </row>
    <row r="73" spans="1:36" ht="21" customHeight="1" x14ac:dyDescent="0.15">
      <c r="A73" s="4"/>
      <c r="D73" s="4"/>
      <c r="I73" s="4"/>
      <c r="Z73" s="4"/>
      <c r="AA73" s="4"/>
      <c r="AB73" s="4"/>
      <c r="AC73" s="4"/>
    </row>
    <row r="74" spans="1:36" ht="21" customHeight="1" x14ac:dyDescent="0.15">
      <c r="A74" s="4"/>
      <c r="D74" s="4"/>
      <c r="I74" s="4"/>
      <c r="Z74" s="4"/>
      <c r="AA74" s="4"/>
      <c r="AB74" s="4"/>
      <c r="AC74" s="4"/>
    </row>
    <row r="75" spans="1:36" ht="21" customHeight="1" x14ac:dyDescent="0.15">
      <c r="A75" s="4"/>
      <c r="D75" s="4"/>
      <c r="I75" s="4"/>
      <c r="Z75" s="4"/>
      <c r="AA75" s="4"/>
      <c r="AB75" s="4"/>
      <c r="AC75" s="4"/>
    </row>
    <row r="76" spans="1:36" ht="21" customHeight="1" x14ac:dyDescent="0.15">
      <c r="A76" s="4"/>
      <c r="D76" s="4"/>
      <c r="I76" s="4"/>
      <c r="Z76" s="4"/>
      <c r="AA76" s="4"/>
      <c r="AB76" s="4"/>
      <c r="AC76" s="4"/>
    </row>
    <row r="77" spans="1:36" ht="21" customHeight="1" x14ac:dyDescent="0.15">
      <c r="A77" s="4"/>
      <c r="D77" s="4"/>
      <c r="I77" s="4"/>
      <c r="Z77" s="4"/>
      <c r="AA77" s="4"/>
      <c r="AB77" s="4"/>
      <c r="AC77" s="4"/>
    </row>
    <row r="78" spans="1:36" ht="21" customHeight="1" x14ac:dyDescent="0.15">
      <c r="A78" s="4"/>
      <c r="D78" s="4"/>
      <c r="I78" s="4"/>
      <c r="Z78" s="4"/>
      <c r="AA78" s="4"/>
      <c r="AB78" s="4"/>
      <c r="AC78" s="4"/>
    </row>
    <row r="79" spans="1:36" ht="21" customHeight="1" x14ac:dyDescent="0.15">
      <c r="A79" s="4"/>
      <c r="D79" s="4"/>
      <c r="I79" s="4"/>
      <c r="Z79" s="4"/>
      <c r="AA79" s="4"/>
      <c r="AB79" s="4"/>
      <c r="AC79" s="4"/>
    </row>
    <row r="80" spans="1:36" ht="21" customHeight="1" x14ac:dyDescent="0.15">
      <c r="A80" s="4"/>
      <c r="D80" s="4"/>
      <c r="I80" s="4"/>
      <c r="Z80" s="4"/>
      <c r="AA80" s="4"/>
      <c r="AB80" s="4"/>
      <c r="AC80" s="4"/>
    </row>
    <row r="81" spans="1:29" ht="21" customHeight="1" x14ac:dyDescent="0.15">
      <c r="A81" s="4"/>
      <c r="D81" s="4"/>
      <c r="I81" s="4"/>
      <c r="Z81" s="4"/>
      <c r="AA81" s="4"/>
      <c r="AB81" s="4"/>
      <c r="AC81" s="4"/>
    </row>
    <row r="82" spans="1:29" ht="21" customHeight="1" x14ac:dyDescent="0.15">
      <c r="A82" s="4"/>
      <c r="D82" s="4"/>
      <c r="I82" s="4"/>
      <c r="Z82" s="4"/>
      <c r="AA82" s="4"/>
      <c r="AB82" s="4"/>
      <c r="AC82" s="4"/>
    </row>
    <row r="83" spans="1:29" ht="21" customHeight="1" x14ac:dyDescent="0.15">
      <c r="A83" s="4"/>
      <c r="D83" s="4"/>
      <c r="I83" s="4"/>
      <c r="Z83" s="4"/>
      <c r="AA83" s="4"/>
      <c r="AB83" s="4"/>
      <c r="AC83" s="4"/>
    </row>
    <row r="84" spans="1:29" ht="21" customHeight="1" x14ac:dyDescent="0.15">
      <c r="A84" s="4"/>
      <c r="D84" s="4"/>
      <c r="I84" s="4"/>
      <c r="Z84" s="4"/>
      <c r="AA84" s="4"/>
      <c r="AB84" s="4"/>
      <c r="AC84" s="4"/>
    </row>
    <row r="85" spans="1:29" ht="21" customHeight="1" x14ac:dyDescent="0.15">
      <c r="A85" s="4"/>
      <c r="D85" s="4"/>
      <c r="I85" s="4"/>
      <c r="Z85" s="4"/>
      <c r="AA85" s="4"/>
      <c r="AB85" s="4"/>
      <c r="AC85" s="4"/>
    </row>
    <row r="86" spans="1:29" ht="21" customHeight="1" x14ac:dyDescent="0.15">
      <c r="A86" s="4"/>
      <c r="D86" s="4"/>
      <c r="I86" s="4"/>
      <c r="Z86" s="4"/>
      <c r="AA86" s="4"/>
      <c r="AB86" s="4"/>
      <c r="AC86" s="4"/>
    </row>
    <row r="87" spans="1:29" ht="21" customHeight="1" x14ac:dyDescent="0.15">
      <c r="A87" s="4"/>
      <c r="D87" s="4"/>
      <c r="I87" s="4"/>
      <c r="Z87" s="4"/>
      <c r="AA87" s="4"/>
      <c r="AB87" s="4"/>
      <c r="AC87" s="4"/>
    </row>
    <row r="88" spans="1:29" ht="21" customHeight="1" x14ac:dyDescent="0.15">
      <c r="A88" s="4"/>
      <c r="D88" s="4"/>
      <c r="I88" s="4"/>
      <c r="Z88" s="4"/>
      <c r="AA88" s="4"/>
      <c r="AB88" s="4"/>
      <c r="AC88" s="4"/>
    </row>
    <row r="89" spans="1:29" ht="21" customHeight="1" x14ac:dyDescent="0.15">
      <c r="A89" s="4"/>
      <c r="D89" s="4"/>
      <c r="I89" s="4"/>
      <c r="Z89" s="4"/>
      <c r="AA89" s="4"/>
      <c r="AB89" s="4"/>
      <c r="AC89" s="4"/>
    </row>
    <row r="90" spans="1:29" ht="21" customHeight="1" x14ac:dyDescent="0.15">
      <c r="A90" s="4"/>
      <c r="D90" s="4"/>
      <c r="I90" s="4"/>
      <c r="Z90" s="4"/>
      <c r="AA90" s="4"/>
      <c r="AB90" s="4"/>
      <c r="AC90" s="4"/>
    </row>
    <row r="91" spans="1:29" ht="21" customHeight="1" x14ac:dyDescent="0.15">
      <c r="A91" s="4"/>
      <c r="D91" s="4"/>
      <c r="I91" s="4"/>
      <c r="Z91" s="4"/>
      <c r="AA91" s="4"/>
      <c r="AB91" s="4"/>
      <c r="AC91" s="4"/>
    </row>
    <row r="92" spans="1:29" ht="21" customHeight="1" x14ac:dyDescent="0.15">
      <c r="A92" s="4"/>
      <c r="D92" s="4"/>
      <c r="I92" s="4"/>
      <c r="Z92" s="4"/>
      <c r="AA92" s="4"/>
      <c r="AB92" s="4"/>
      <c r="AC92" s="4"/>
    </row>
    <row r="93" spans="1:29" ht="21" customHeight="1" x14ac:dyDescent="0.15">
      <c r="A93" s="4"/>
      <c r="D93" s="4"/>
      <c r="I93" s="4"/>
      <c r="Z93" s="4"/>
      <c r="AA93" s="4"/>
      <c r="AB93" s="4"/>
      <c r="AC93" s="4"/>
    </row>
    <row r="94" spans="1:29" ht="21" customHeight="1" x14ac:dyDescent="0.15">
      <c r="A94" s="4"/>
      <c r="D94" s="4"/>
      <c r="I94" s="4"/>
      <c r="Z94" s="4"/>
      <c r="AA94" s="4"/>
      <c r="AB94" s="4"/>
      <c r="AC94" s="4"/>
    </row>
    <row r="95" spans="1:29" ht="21" customHeight="1" x14ac:dyDescent="0.15">
      <c r="A95" s="4"/>
      <c r="D95" s="4"/>
      <c r="I95" s="4"/>
      <c r="Z95" s="4"/>
      <c r="AA95" s="4"/>
      <c r="AB95" s="4"/>
      <c r="AC95" s="4"/>
    </row>
    <row r="96" spans="1:29" ht="21" customHeight="1" x14ac:dyDescent="0.15">
      <c r="A96" s="4"/>
      <c r="D96" s="4"/>
      <c r="I96" s="4"/>
      <c r="Z96" s="4"/>
      <c r="AA96" s="4"/>
      <c r="AB96" s="4"/>
      <c r="AC96" s="4"/>
    </row>
    <row r="97" spans="1:29" ht="21" customHeight="1" x14ac:dyDescent="0.15">
      <c r="A97" s="4"/>
      <c r="D97" s="4"/>
      <c r="I97" s="4"/>
      <c r="Z97" s="4"/>
      <c r="AA97" s="4"/>
      <c r="AB97" s="4"/>
      <c r="AC97" s="4"/>
    </row>
    <row r="98" spans="1:29" ht="21" customHeight="1" x14ac:dyDescent="0.15">
      <c r="A98" s="4"/>
      <c r="D98" s="4"/>
      <c r="I98" s="4"/>
      <c r="Z98" s="4"/>
      <c r="AA98" s="4"/>
      <c r="AB98" s="4"/>
      <c r="AC98" s="4"/>
    </row>
    <row r="99" spans="1:29" ht="21" customHeight="1" x14ac:dyDescent="0.15">
      <c r="A99" s="4"/>
      <c r="D99" s="4"/>
      <c r="I99" s="4"/>
      <c r="Z99" s="4"/>
      <c r="AA99" s="4"/>
      <c r="AB99" s="4"/>
      <c r="AC99" s="4"/>
    </row>
    <row r="100" spans="1:29" ht="21" customHeight="1" x14ac:dyDescent="0.15">
      <c r="A100" s="4"/>
      <c r="D100" s="4"/>
      <c r="I100" s="4"/>
      <c r="Z100" s="4"/>
      <c r="AA100" s="4"/>
      <c r="AB100" s="4"/>
      <c r="AC100" s="4"/>
    </row>
    <row r="101" spans="1:29" ht="21" customHeight="1" x14ac:dyDescent="0.15">
      <c r="A101" s="4"/>
      <c r="D101" s="4"/>
      <c r="I101" s="4"/>
      <c r="Z101" s="4"/>
      <c r="AA101" s="4"/>
      <c r="AB101" s="4"/>
      <c r="AC101" s="4"/>
    </row>
    <row r="102" spans="1:29" ht="21" customHeight="1" x14ac:dyDescent="0.15">
      <c r="A102" s="4"/>
      <c r="D102" s="4"/>
      <c r="I102" s="4"/>
      <c r="Z102" s="4"/>
      <c r="AA102" s="4"/>
      <c r="AB102" s="4"/>
      <c r="AC102" s="4"/>
    </row>
    <row r="103" spans="1:29" ht="21" customHeight="1" x14ac:dyDescent="0.15">
      <c r="A103" s="4"/>
      <c r="D103" s="4"/>
      <c r="I103" s="4"/>
      <c r="Z103" s="4"/>
      <c r="AA103" s="4"/>
      <c r="AB103" s="4"/>
      <c r="AC103" s="4"/>
    </row>
    <row r="104" spans="1:29" ht="21" customHeight="1" x14ac:dyDescent="0.15">
      <c r="A104" s="4"/>
      <c r="D104" s="4"/>
      <c r="I104" s="4"/>
      <c r="Z104" s="4"/>
      <c r="AA104" s="4"/>
      <c r="AB104" s="4"/>
      <c r="AC104" s="4"/>
    </row>
    <row r="105" spans="1:29" ht="21" customHeight="1" x14ac:dyDescent="0.15">
      <c r="A105" s="4"/>
      <c r="D105" s="4"/>
      <c r="I105" s="4"/>
      <c r="Z105" s="4"/>
      <c r="AA105" s="4"/>
      <c r="AB105" s="4"/>
      <c r="AC105" s="4"/>
    </row>
    <row r="106" spans="1:29" ht="21" customHeight="1" x14ac:dyDescent="0.15">
      <c r="A106" s="4"/>
      <c r="D106" s="4"/>
      <c r="I106" s="4"/>
      <c r="Z106" s="4"/>
      <c r="AA106" s="4"/>
      <c r="AB106" s="4"/>
      <c r="AC106" s="4"/>
    </row>
    <row r="107" spans="1:29" ht="21" customHeight="1" x14ac:dyDescent="0.15">
      <c r="A107" s="4"/>
      <c r="D107" s="4"/>
      <c r="I107" s="4"/>
      <c r="Z107" s="4"/>
      <c r="AA107" s="4"/>
      <c r="AB107" s="4"/>
      <c r="AC107" s="4"/>
    </row>
    <row r="108" spans="1:29" ht="21" customHeight="1" x14ac:dyDescent="0.15">
      <c r="A108" s="4"/>
      <c r="D108" s="4"/>
      <c r="I108" s="4"/>
      <c r="Z108" s="4"/>
      <c r="AA108" s="4"/>
      <c r="AB108" s="4"/>
      <c r="AC108" s="4"/>
    </row>
    <row r="109" spans="1:29" ht="21" customHeight="1" x14ac:dyDescent="0.15">
      <c r="A109" s="4"/>
      <c r="D109" s="4"/>
      <c r="I109" s="4"/>
      <c r="Z109" s="4"/>
      <c r="AA109" s="4"/>
      <c r="AB109" s="4"/>
      <c r="AC109" s="4"/>
    </row>
    <row r="110" spans="1:29" ht="21" customHeight="1" x14ac:dyDescent="0.15">
      <c r="A110" s="4"/>
      <c r="D110" s="4"/>
      <c r="I110" s="4"/>
      <c r="Z110" s="4"/>
      <c r="AA110" s="4"/>
      <c r="AB110" s="4"/>
      <c r="AC110" s="4"/>
    </row>
    <row r="111" spans="1:29" ht="21" customHeight="1" x14ac:dyDescent="0.15">
      <c r="A111" s="4"/>
      <c r="D111" s="4"/>
      <c r="I111" s="4"/>
      <c r="Z111" s="4"/>
      <c r="AA111" s="4"/>
      <c r="AB111" s="4"/>
      <c r="AC111" s="4"/>
    </row>
    <row r="112" spans="1:29" ht="21" customHeight="1" x14ac:dyDescent="0.15">
      <c r="A112" s="4"/>
      <c r="D112" s="4"/>
      <c r="I112" s="4"/>
      <c r="Z112" s="4"/>
      <c r="AA112" s="4"/>
      <c r="AB112" s="4"/>
      <c r="AC112" s="4"/>
    </row>
    <row r="113" spans="1:29" ht="21" customHeight="1" x14ac:dyDescent="0.15">
      <c r="A113" s="4"/>
      <c r="D113" s="4"/>
      <c r="I113" s="4"/>
      <c r="Z113" s="4"/>
      <c r="AA113" s="4"/>
      <c r="AB113" s="4"/>
      <c r="AC113" s="4"/>
    </row>
    <row r="114" spans="1:29" ht="21" customHeight="1" x14ac:dyDescent="0.15">
      <c r="A114" s="4"/>
      <c r="D114" s="4"/>
      <c r="I114" s="4"/>
      <c r="Z114" s="4"/>
      <c r="AA114" s="4"/>
      <c r="AB114" s="4"/>
      <c r="AC114" s="4"/>
    </row>
    <row r="115" spans="1:29" ht="21" customHeight="1" x14ac:dyDescent="0.15">
      <c r="A115" s="4"/>
      <c r="D115" s="4"/>
      <c r="I115" s="4"/>
      <c r="Z115" s="4"/>
      <c r="AA115" s="4"/>
      <c r="AB115" s="4"/>
      <c r="AC115" s="4"/>
    </row>
    <row r="116" spans="1:29" ht="21" customHeight="1" x14ac:dyDescent="0.15">
      <c r="A116" s="4"/>
      <c r="D116" s="4"/>
      <c r="I116" s="4"/>
      <c r="Z116" s="4"/>
      <c r="AA116" s="4"/>
      <c r="AB116" s="4"/>
      <c r="AC116" s="4"/>
    </row>
    <row r="117" spans="1:29" ht="21" customHeight="1" x14ac:dyDescent="0.15">
      <c r="A117" s="4"/>
      <c r="D117" s="4"/>
      <c r="I117" s="4"/>
      <c r="Z117" s="4"/>
      <c r="AA117" s="4"/>
      <c r="AB117" s="4"/>
      <c r="AC117" s="4"/>
    </row>
    <row r="118" spans="1:29" ht="21" customHeight="1" x14ac:dyDescent="0.15">
      <c r="A118" s="4"/>
      <c r="D118" s="4"/>
      <c r="I118" s="4"/>
      <c r="Z118" s="4"/>
      <c r="AA118" s="4"/>
      <c r="AB118" s="4"/>
      <c r="AC118" s="4"/>
    </row>
    <row r="119" spans="1:29" ht="21" customHeight="1" x14ac:dyDescent="0.15">
      <c r="A119" s="4"/>
      <c r="D119" s="4"/>
      <c r="I119" s="4"/>
      <c r="Z119" s="4"/>
      <c r="AA119" s="4"/>
      <c r="AB119" s="4"/>
      <c r="AC119" s="4"/>
    </row>
    <row r="120" spans="1:29" ht="21" customHeight="1" x14ac:dyDescent="0.15">
      <c r="A120" s="4"/>
      <c r="D120" s="4"/>
      <c r="I120" s="4"/>
      <c r="Z120" s="4"/>
      <c r="AA120" s="4"/>
      <c r="AB120" s="4"/>
      <c r="AC120" s="4"/>
    </row>
    <row r="121" spans="1:29" ht="21" customHeight="1" x14ac:dyDescent="0.15">
      <c r="A121" s="4"/>
      <c r="D121" s="4"/>
      <c r="I121" s="4"/>
      <c r="Z121" s="4"/>
      <c r="AA121" s="4"/>
      <c r="AB121" s="4"/>
      <c r="AC121" s="4"/>
    </row>
    <row r="122" spans="1:29" ht="21" customHeight="1" x14ac:dyDescent="0.15">
      <c r="A122" s="4"/>
      <c r="D122" s="4"/>
      <c r="I122" s="4"/>
      <c r="Z122" s="4"/>
      <c r="AA122" s="4"/>
      <c r="AB122" s="4"/>
      <c r="AC122" s="4"/>
    </row>
    <row r="123" spans="1:29" ht="21" customHeight="1" x14ac:dyDescent="0.15">
      <c r="A123" s="4"/>
      <c r="D123" s="4"/>
      <c r="I123" s="4"/>
      <c r="Z123" s="4"/>
      <c r="AA123" s="4"/>
      <c r="AB123" s="4"/>
      <c r="AC123" s="4"/>
    </row>
    <row r="124" spans="1:29" ht="21" customHeight="1" x14ac:dyDescent="0.15">
      <c r="A124" s="4"/>
      <c r="D124" s="4"/>
      <c r="I124" s="4"/>
      <c r="Z124" s="4"/>
      <c r="AA124" s="4"/>
      <c r="AB124" s="4"/>
      <c r="AC124" s="4"/>
    </row>
    <row r="125" spans="1:29" ht="21" customHeight="1" x14ac:dyDescent="0.15">
      <c r="A125" s="4"/>
      <c r="D125" s="4"/>
      <c r="I125" s="4"/>
      <c r="Z125" s="4"/>
      <c r="AA125" s="4"/>
      <c r="AB125" s="4"/>
      <c r="AC125" s="4"/>
    </row>
    <row r="126" spans="1:29" ht="21" customHeight="1" x14ac:dyDescent="0.15">
      <c r="A126" s="4"/>
      <c r="D126" s="4"/>
      <c r="I126" s="4"/>
      <c r="Z126" s="4"/>
      <c r="AA126" s="4"/>
      <c r="AB126" s="4"/>
      <c r="AC126" s="4"/>
    </row>
    <row r="127" spans="1:29" ht="21" customHeight="1" x14ac:dyDescent="0.15">
      <c r="A127" s="4"/>
      <c r="D127" s="4"/>
      <c r="I127" s="4"/>
      <c r="Z127" s="4"/>
      <c r="AA127" s="4"/>
      <c r="AB127" s="4"/>
      <c r="AC127" s="4"/>
    </row>
    <row r="128" spans="1:29" ht="21" customHeight="1" x14ac:dyDescent="0.15">
      <c r="A128" s="4"/>
      <c r="D128" s="4"/>
      <c r="I128" s="4"/>
      <c r="Z128" s="4"/>
      <c r="AA128" s="4"/>
      <c r="AB128" s="4"/>
      <c r="AC128" s="4"/>
    </row>
    <row r="129" spans="1:29" ht="21" customHeight="1" x14ac:dyDescent="0.15">
      <c r="A129" s="4"/>
      <c r="D129" s="4"/>
      <c r="I129" s="4"/>
      <c r="Z129" s="4"/>
      <c r="AA129" s="4"/>
      <c r="AB129" s="4"/>
      <c r="AC129" s="4"/>
    </row>
    <row r="130" spans="1:29" ht="21" customHeight="1" x14ac:dyDescent="0.15">
      <c r="A130" s="4"/>
      <c r="D130" s="4"/>
      <c r="I130" s="4"/>
      <c r="Z130" s="4"/>
      <c r="AA130" s="4"/>
      <c r="AB130" s="4"/>
      <c r="AC130" s="4"/>
    </row>
    <row r="131" spans="1:29" ht="21" customHeight="1" x14ac:dyDescent="0.15">
      <c r="A131" s="4"/>
      <c r="D131" s="4"/>
      <c r="I131" s="4"/>
      <c r="Z131" s="4"/>
      <c r="AA131" s="4"/>
      <c r="AB131" s="4"/>
      <c r="AC131" s="4"/>
    </row>
    <row r="132" spans="1:29" ht="21" customHeight="1" x14ac:dyDescent="0.15">
      <c r="A132" s="4"/>
      <c r="D132" s="4"/>
      <c r="I132" s="4"/>
      <c r="Z132" s="4"/>
      <c r="AA132" s="4"/>
      <c r="AB132" s="4"/>
      <c r="AC132" s="4"/>
    </row>
    <row r="133" spans="1:29" ht="21" customHeight="1" x14ac:dyDescent="0.15">
      <c r="A133" s="4"/>
      <c r="D133" s="4"/>
      <c r="I133" s="4"/>
      <c r="Z133" s="4"/>
      <c r="AA133" s="4"/>
      <c r="AB133" s="4"/>
      <c r="AC133" s="4"/>
    </row>
    <row r="134" spans="1:29" ht="21" customHeight="1" x14ac:dyDescent="0.15">
      <c r="A134" s="4"/>
      <c r="D134" s="4"/>
      <c r="I134" s="4"/>
      <c r="Z134" s="4"/>
      <c r="AA134" s="4"/>
      <c r="AB134" s="4"/>
      <c r="AC134" s="4"/>
    </row>
    <row r="135" spans="1:29" ht="21" customHeight="1" x14ac:dyDescent="0.15">
      <c r="A135" s="4"/>
      <c r="D135" s="4"/>
      <c r="I135" s="4"/>
      <c r="Z135" s="4"/>
      <c r="AA135" s="4"/>
      <c r="AB135" s="4"/>
      <c r="AC135" s="4"/>
    </row>
    <row r="136" spans="1:29" ht="21" customHeight="1" x14ac:dyDescent="0.15">
      <c r="A136" s="4"/>
      <c r="D136" s="4"/>
      <c r="I136" s="4"/>
      <c r="Z136" s="4"/>
      <c r="AA136" s="4"/>
      <c r="AB136" s="4"/>
      <c r="AC136" s="4"/>
    </row>
    <row r="137" spans="1:29" ht="21" customHeight="1" x14ac:dyDescent="0.15">
      <c r="A137" s="4"/>
      <c r="D137" s="4"/>
      <c r="I137" s="4"/>
      <c r="Z137" s="4"/>
      <c r="AA137" s="4"/>
      <c r="AB137" s="4"/>
      <c r="AC137" s="4"/>
    </row>
    <row r="138" spans="1:29" ht="21" customHeight="1" x14ac:dyDescent="0.15">
      <c r="A138" s="4"/>
      <c r="D138" s="4"/>
      <c r="I138" s="4"/>
      <c r="Z138" s="4"/>
      <c r="AA138" s="4"/>
      <c r="AB138" s="4"/>
      <c r="AC138" s="4"/>
    </row>
    <row r="139" spans="1:29" ht="21" customHeight="1" x14ac:dyDescent="0.15">
      <c r="A139" s="4"/>
      <c r="D139" s="4"/>
      <c r="I139" s="4"/>
      <c r="Z139" s="4"/>
      <c r="AA139" s="4"/>
      <c r="AB139" s="4"/>
      <c r="AC139" s="4"/>
    </row>
    <row r="140" spans="1:29" ht="21" customHeight="1" x14ac:dyDescent="0.15">
      <c r="A140" s="4"/>
      <c r="D140" s="4"/>
      <c r="I140" s="4"/>
      <c r="Z140" s="4"/>
      <c r="AA140" s="4"/>
      <c r="AB140" s="4"/>
      <c r="AC140" s="4"/>
    </row>
    <row r="141" spans="1:29" ht="21" customHeight="1" x14ac:dyDescent="0.15">
      <c r="A141" s="4"/>
      <c r="D141" s="4"/>
      <c r="I141" s="4"/>
      <c r="Z141" s="4"/>
      <c r="AA141" s="4"/>
      <c r="AB141" s="4"/>
      <c r="AC141" s="4"/>
    </row>
    <row r="142" spans="1:29" ht="21" customHeight="1" x14ac:dyDescent="0.15">
      <c r="A142" s="4"/>
      <c r="D142" s="4"/>
      <c r="I142" s="4"/>
      <c r="Z142" s="4"/>
      <c r="AA142" s="4"/>
      <c r="AB142" s="4"/>
      <c r="AC142" s="4"/>
    </row>
    <row r="143" spans="1:29" ht="21" customHeight="1" x14ac:dyDescent="0.15">
      <c r="A143" s="4"/>
      <c r="D143" s="4"/>
      <c r="I143" s="4"/>
      <c r="Z143" s="4"/>
      <c r="AA143" s="4"/>
      <c r="AB143" s="4"/>
      <c r="AC143" s="4"/>
    </row>
    <row r="144" spans="1:29" ht="21" customHeight="1" x14ac:dyDescent="0.15">
      <c r="A144" s="4"/>
      <c r="D144" s="4"/>
      <c r="I144" s="4"/>
      <c r="Z144" s="4"/>
      <c r="AA144" s="4"/>
      <c r="AB144" s="4"/>
      <c r="AC144" s="4"/>
    </row>
    <row r="145" spans="1:29" ht="21" customHeight="1" x14ac:dyDescent="0.15">
      <c r="A145" s="4"/>
      <c r="D145" s="4"/>
      <c r="I145" s="4"/>
      <c r="Z145" s="4"/>
      <c r="AA145" s="4"/>
      <c r="AB145" s="4"/>
      <c r="AC145" s="4"/>
    </row>
    <row r="146" spans="1:29" ht="21" customHeight="1" x14ac:dyDescent="0.15">
      <c r="A146" s="4"/>
      <c r="D146" s="4"/>
      <c r="I146" s="4"/>
      <c r="Z146" s="4"/>
      <c r="AA146" s="4"/>
      <c r="AB146" s="4"/>
      <c r="AC146" s="4"/>
    </row>
    <row r="147" spans="1:29" ht="21" customHeight="1" x14ac:dyDescent="0.15">
      <c r="A147" s="4"/>
      <c r="D147" s="4"/>
      <c r="I147" s="4"/>
      <c r="Z147" s="4"/>
      <c r="AA147" s="4"/>
      <c r="AB147" s="4"/>
      <c r="AC147" s="4"/>
    </row>
    <row r="148" spans="1:29" ht="21" customHeight="1" x14ac:dyDescent="0.15">
      <c r="A148" s="4"/>
      <c r="D148" s="4"/>
      <c r="I148" s="4"/>
      <c r="Z148" s="4"/>
      <c r="AA148" s="4"/>
      <c r="AB148" s="4"/>
      <c r="AC148" s="4"/>
    </row>
    <row r="149" spans="1:29" ht="21" customHeight="1" x14ac:dyDescent="0.15">
      <c r="A149" s="4"/>
      <c r="D149" s="4"/>
      <c r="I149" s="4"/>
      <c r="Z149" s="4"/>
      <c r="AA149" s="4"/>
      <c r="AB149" s="4"/>
      <c r="AC149" s="4"/>
    </row>
    <row r="150" spans="1:29" ht="21" customHeight="1" x14ac:dyDescent="0.15">
      <c r="A150" s="4"/>
      <c r="D150" s="4"/>
      <c r="I150" s="4"/>
      <c r="Z150" s="4"/>
      <c r="AA150" s="4"/>
      <c r="AB150" s="4"/>
      <c r="AC150" s="4"/>
    </row>
    <row r="151" spans="1:29" ht="21" customHeight="1" x14ac:dyDescent="0.15">
      <c r="A151" s="4"/>
      <c r="D151" s="4"/>
      <c r="I151" s="4"/>
      <c r="Z151" s="4"/>
      <c r="AA151" s="4"/>
      <c r="AB151" s="4"/>
      <c r="AC151" s="4"/>
    </row>
    <row r="152" spans="1:29" ht="21" customHeight="1" x14ac:dyDescent="0.15">
      <c r="A152" s="4"/>
      <c r="D152" s="4"/>
      <c r="I152" s="4"/>
      <c r="Z152" s="4"/>
      <c r="AA152" s="4"/>
      <c r="AB152" s="4"/>
      <c r="AC152" s="4"/>
    </row>
    <row r="153" spans="1:29" ht="21" customHeight="1" x14ac:dyDescent="0.15">
      <c r="A153" s="4"/>
      <c r="D153" s="4"/>
      <c r="I153" s="4"/>
      <c r="Z153" s="4"/>
      <c r="AA153" s="4"/>
      <c r="AB153" s="4"/>
      <c r="AC153" s="4"/>
    </row>
    <row r="154" spans="1:29" ht="21" customHeight="1" x14ac:dyDescent="0.15">
      <c r="A154" s="4"/>
      <c r="D154" s="4"/>
      <c r="I154" s="4"/>
      <c r="Z154" s="4"/>
      <c r="AA154" s="4"/>
      <c r="AB154" s="4"/>
      <c r="AC154" s="4"/>
    </row>
    <row r="155" spans="1:29" ht="21" customHeight="1" x14ac:dyDescent="0.15">
      <c r="A155" s="4"/>
      <c r="D155" s="4"/>
      <c r="I155" s="4"/>
      <c r="Z155" s="4"/>
      <c r="AA155" s="4"/>
      <c r="AB155" s="4"/>
      <c r="AC155" s="4"/>
    </row>
    <row r="156" spans="1:29" ht="21" customHeight="1" x14ac:dyDescent="0.15">
      <c r="A156" s="4"/>
      <c r="D156" s="4"/>
      <c r="I156" s="4"/>
      <c r="Z156" s="4"/>
      <c r="AA156" s="4"/>
      <c r="AB156" s="4"/>
      <c r="AC156" s="4"/>
    </row>
    <row r="157" spans="1:29" ht="21" customHeight="1" x14ac:dyDescent="0.15">
      <c r="A157" s="4"/>
      <c r="D157" s="4"/>
      <c r="I157" s="4"/>
      <c r="Z157" s="4"/>
      <c r="AA157" s="4"/>
      <c r="AB157" s="4"/>
      <c r="AC157" s="4"/>
    </row>
    <row r="158" spans="1:29" ht="21" customHeight="1" x14ac:dyDescent="0.15">
      <c r="A158" s="4"/>
      <c r="D158" s="4"/>
      <c r="I158" s="4"/>
      <c r="Z158" s="4"/>
      <c r="AA158" s="4"/>
      <c r="AB158" s="4"/>
      <c r="AC158" s="4"/>
    </row>
    <row r="159" spans="1:29" ht="21" customHeight="1" x14ac:dyDescent="0.15">
      <c r="A159" s="4"/>
      <c r="D159" s="4"/>
      <c r="I159" s="4"/>
      <c r="Z159" s="4"/>
      <c r="AA159" s="4"/>
      <c r="AB159" s="4"/>
      <c r="AC159" s="4"/>
    </row>
    <row r="160" spans="1:29" ht="21" customHeight="1" x14ac:dyDescent="0.15">
      <c r="A160" s="4"/>
      <c r="D160" s="4"/>
      <c r="I160" s="4"/>
      <c r="Z160" s="4"/>
      <c r="AA160" s="4"/>
      <c r="AB160" s="4"/>
      <c r="AC160" s="4"/>
    </row>
    <row r="161" spans="1:29" ht="21" customHeight="1" x14ac:dyDescent="0.15">
      <c r="A161" s="4"/>
      <c r="D161" s="4"/>
      <c r="I161" s="4"/>
      <c r="Z161" s="4"/>
      <c r="AA161" s="4"/>
      <c r="AB161" s="4"/>
      <c r="AC161" s="4"/>
    </row>
    <row r="162" spans="1:29" ht="21" customHeight="1" x14ac:dyDescent="0.15">
      <c r="A162" s="4"/>
      <c r="D162" s="4"/>
      <c r="I162" s="4"/>
      <c r="Z162" s="4"/>
      <c r="AA162" s="4"/>
      <c r="AB162" s="4"/>
      <c r="AC162" s="4"/>
    </row>
    <row r="163" spans="1:29" ht="21" customHeight="1" x14ac:dyDescent="0.15">
      <c r="A163" s="4"/>
      <c r="D163" s="4"/>
      <c r="I163" s="4"/>
      <c r="Z163" s="4"/>
      <c r="AA163" s="4"/>
      <c r="AB163" s="4"/>
      <c r="AC163" s="4"/>
    </row>
    <row r="164" spans="1:29" ht="21" customHeight="1" x14ac:dyDescent="0.15">
      <c r="A164" s="4"/>
      <c r="D164" s="4"/>
      <c r="I164" s="4"/>
      <c r="Z164" s="4"/>
      <c r="AA164" s="4"/>
      <c r="AB164" s="4"/>
      <c r="AC164" s="4"/>
    </row>
    <row r="165" spans="1:29" ht="21" customHeight="1" x14ac:dyDescent="0.15">
      <c r="A165" s="4"/>
      <c r="D165" s="4"/>
      <c r="I165" s="4"/>
      <c r="Z165" s="4"/>
      <c r="AA165" s="4"/>
      <c r="AB165" s="4"/>
      <c r="AC165" s="4"/>
    </row>
    <row r="166" spans="1:29" ht="21" customHeight="1" x14ac:dyDescent="0.15">
      <c r="A166" s="4"/>
      <c r="D166" s="4"/>
      <c r="I166" s="4"/>
      <c r="Z166" s="4"/>
      <c r="AA166" s="4"/>
      <c r="AB166" s="4"/>
      <c r="AC166" s="4"/>
    </row>
    <row r="167" spans="1:29" ht="21" customHeight="1" x14ac:dyDescent="0.15">
      <c r="A167" s="4"/>
      <c r="D167" s="4"/>
      <c r="I167" s="4"/>
      <c r="Z167" s="4"/>
      <c r="AA167" s="4"/>
      <c r="AB167" s="4"/>
      <c r="AC167" s="4"/>
    </row>
    <row r="168" spans="1:29" ht="21" customHeight="1" x14ac:dyDescent="0.15">
      <c r="A168" s="4"/>
      <c r="D168" s="4"/>
      <c r="I168" s="4"/>
      <c r="Z168" s="4"/>
      <c r="AA168" s="4"/>
      <c r="AB168" s="4"/>
      <c r="AC168" s="4"/>
    </row>
    <row r="169" spans="1:29" ht="21" customHeight="1" x14ac:dyDescent="0.15">
      <c r="A169" s="4"/>
      <c r="D169" s="4"/>
      <c r="I169" s="4"/>
      <c r="Z169" s="4"/>
      <c r="AA169" s="4"/>
      <c r="AB169" s="4"/>
      <c r="AC169" s="4"/>
    </row>
    <row r="170" spans="1:29" ht="21" customHeight="1" x14ac:dyDescent="0.15">
      <c r="A170" s="4"/>
      <c r="D170" s="4"/>
      <c r="I170" s="4"/>
      <c r="Z170" s="4"/>
      <c r="AA170" s="4"/>
      <c r="AB170" s="4"/>
      <c r="AC170" s="4"/>
    </row>
    <row r="171" spans="1:29" ht="21" customHeight="1" x14ac:dyDescent="0.15">
      <c r="A171" s="4"/>
      <c r="D171" s="4"/>
      <c r="I171" s="4"/>
      <c r="Z171" s="4"/>
      <c r="AA171" s="4"/>
      <c r="AB171" s="4"/>
      <c r="AC171" s="4"/>
    </row>
    <row r="172" spans="1:29" ht="21" customHeight="1" x14ac:dyDescent="0.15">
      <c r="A172" s="4"/>
      <c r="D172" s="4"/>
      <c r="I172" s="4"/>
      <c r="Z172" s="4"/>
      <c r="AA172" s="4"/>
      <c r="AB172" s="4"/>
      <c r="AC172" s="4"/>
    </row>
    <row r="173" spans="1:29" ht="21" customHeight="1" x14ac:dyDescent="0.15">
      <c r="A173" s="4"/>
      <c r="D173" s="4"/>
      <c r="I173" s="4"/>
      <c r="Z173" s="4"/>
      <c r="AA173" s="4"/>
      <c r="AB173" s="4"/>
      <c r="AC173" s="4"/>
    </row>
    <row r="174" spans="1:29" ht="21" customHeight="1" x14ac:dyDescent="0.15">
      <c r="A174" s="4"/>
      <c r="D174" s="4"/>
      <c r="I174" s="4"/>
      <c r="Z174" s="4"/>
      <c r="AA174" s="4"/>
      <c r="AB174" s="4"/>
      <c r="AC174" s="4"/>
    </row>
    <row r="175" spans="1:29" ht="21" customHeight="1" x14ac:dyDescent="0.15">
      <c r="A175" s="4"/>
      <c r="D175" s="4"/>
      <c r="I175" s="4"/>
      <c r="Z175" s="4"/>
      <c r="AA175" s="4"/>
      <c r="AB175" s="4"/>
      <c r="AC175" s="4"/>
    </row>
    <row r="176" spans="1:29" ht="21" customHeight="1" x14ac:dyDescent="0.15">
      <c r="A176" s="4"/>
      <c r="D176" s="4"/>
      <c r="I176" s="4"/>
      <c r="Z176" s="4"/>
      <c r="AA176" s="4"/>
      <c r="AB176" s="4"/>
      <c r="AC176" s="4"/>
    </row>
    <row r="177" spans="1:29" ht="21" customHeight="1" x14ac:dyDescent="0.15">
      <c r="A177" s="4"/>
      <c r="D177" s="4"/>
      <c r="I177" s="4"/>
      <c r="Z177" s="4"/>
      <c r="AA177" s="4"/>
      <c r="AB177" s="4"/>
      <c r="AC177" s="4"/>
    </row>
    <row r="178" spans="1:29" ht="21" customHeight="1" x14ac:dyDescent="0.15">
      <c r="A178" s="4"/>
      <c r="D178" s="4"/>
      <c r="I178" s="4"/>
      <c r="Z178" s="4"/>
      <c r="AA178" s="4"/>
      <c r="AB178" s="4"/>
      <c r="AC178" s="4"/>
    </row>
    <row r="179" spans="1:29" ht="21" customHeight="1" x14ac:dyDescent="0.15">
      <c r="A179" s="4"/>
      <c r="D179" s="4"/>
      <c r="I179" s="4"/>
      <c r="Z179" s="4"/>
      <c r="AA179" s="4"/>
      <c r="AB179" s="4"/>
      <c r="AC179" s="4"/>
    </row>
    <row r="180" spans="1:29" ht="21" customHeight="1" x14ac:dyDescent="0.15">
      <c r="A180" s="4"/>
      <c r="D180" s="4"/>
      <c r="I180" s="4"/>
      <c r="Z180" s="4"/>
      <c r="AA180" s="4"/>
      <c r="AB180" s="4"/>
      <c r="AC180" s="4"/>
    </row>
    <row r="181" spans="1:29" ht="21" customHeight="1" x14ac:dyDescent="0.15">
      <c r="A181" s="4"/>
      <c r="D181" s="4"/>
      <c r="I181" s="4"/>
      <c r="Z181" s="4"/>
      <c r="AA181" s="4"/>
      <c r="AB181" s="4"/>
      <c r="AC181" s="4"/>
    </row>
    <row r="182" spans="1:29" ht="21" customHeight="1" x14ac:dyDescent="0.15">
      <c r="A182" s="4"/>
      <c r="D182" s="4"/>
      <c r="I182" s="4"/>
      <c r="Z182" s="4"/>
      <c r="AA182" s="4"/>
      <c r="AB182" s="4"/>
      <c r="AC182" s="4"/>
    </row>
    <row r="183" spans="1:29" ht="21" customHeight="1" x14ac:dyDescent="0.15">
      <c r="A183" s="4"/>
      <c r="D183" s="4"/>
      <c r="I183" s="4"/>
      <c r="Z183" s="4"/>
      <c r="AA183" s="4"/>
      <c r="AB183" s="4"/>
      <c r="AC183" s="4"/>
    </row>
    <row r="184" spans="1:29" ht="21" customHeight="1" x14ac:dyDescent="0.15">
      <c r="A184" s="4"/>
      <c r="D184" s="4"/>
      <c r="I184" s="4"/>
      <c r="Z184" s="4"/>
      <c r="AA184" s="4"/>
      <c r="AB184" s="4"/>
      <c r="AC184" s="4"/>
    </row>
    <row r="185" spans="1:29" ht="21" customHeight="1" x14ac:dyDescent="0.15">
      <c r="A185" s="4"/>
      <c r="D185" s="4"/>
      <c r="I185" s="4"/>
      <c r="Z185" s="4"/>
      <c r="AA185" s="4"/>
      <c r="AB185" s="4"/>
      <c r="AC185" s="4"/>
    </row>
    <row r="186" spans="1:29" ht="21" customHeight="1" x14ac:dyDescent="0.15">
      <c r="A186" s="4"/>
      <c r="D186" s="4"/>
      <c r="I186" s="4"/>
      <c r="Z186" s="4"/>
      <c r="AA186" s="4"/>
      <c r="AB186" s="4"/>
      <c r="AC186" s="4"/>
    </row>
    <row r="187" spans="1:29" ht="21" customHeight="1" x14ac:dyDescent="0.15">
      <c r="A187" s="4"/>
      <c r="D187" s="4"/>
      <c r="I187" s="4"/>
      <c r="Z187" s="4"/>
      <c r="AA187" s="4"/>
      <c r="AB187" s="4"/>
      <c r="AC187" s="4"/>
    </row>
    <row r="188" spans="1:29" ht="21" customHeight="1" x14ac:dyDescent="0.15">
      <c r="A188" s="4"/>
      <c r="D188" s="4"/>
      <c r="I188" s="4"/>
      <c r="Z188" s="4"/>
      <c r="AA188" s="4"/>
      <c r="AB188" s="4"/>
      <c r="AC188" s="4"/>
    </row>
    <row r="189" spans="1:29" ht="21" customHeight="1" x14ac:dyDescent="0.15">
      <c r="A189" s="4"/>
      <c r="D189" s="4"/>
      <c r="I189" s="4"/>
      <c r="Z189" s="4"/>
      <c r="AA189" s="4"/>
      <c r="AB189" s="4"/>
      <c r="AC189" s="4"/>
    </row>
    <row r="190" spans="1:29" ht="21" customHeight="1" x14ac:dyDescent="0.15">
      <c r="A190" s="4"/>
      <c r="D190" s="4"/>
      <c r="I190" s="4"/>
      <c r="Z190" s="4"/>
      <c r="AA190" s="4"/>
      <c r="AB190" s="4"/>
      <c r="AC190" s="4"/>
    </row>
    <row r="191" spans="1:29" ht="21" customHeight="1" x14ac:dyDescent="0.15">
      <c r="A191" s="4"/>
      <c r="D191" s="4"/>
      <c r="I191" s="4"/>
      <c r="Z191" s="4"/>
      <c r="AA191" s="4"/>
      <c r="AB191" s="4"/>
      <c r="AC191" s="4"/>
    </row>
    <row r="192" spans="1:29" ht="21" customHeight="1" x14ac:dyDescent="0.15">
      <c r="A192" s="4"/>
      <c r="D192" s="4"/>
      <c r="I192" s="4"/>
      <c r="Z192" s="4"/>
      <c r="AA192" s="4"/>
      <c r="AB192" s="4"/>
      <c r="AC192" s="4"/>
    </row>
    <row r="193" spans="1:29" ht="21" customHeight="1" x14ac:dyDescent="0.15">
      <c r="A193" s="4"/>
      <c r="D193" s="4"/>
      <c r="I193" s="4"/>
      <c r="Z193" s="4"/>
      <c r="AA193" s="4"/>
      <c r="AB193" s="4"/>
      <c r="AC193" s="4"/>
    </row>
    <row r="194" spans="1:29" ht="21" customHeight="1" x14ac:dyDescent="0.15">
      <c r="A194" s="4"/>
      <c r="D194" s="4"/>
      <c r="I194" s="4"/>
      <c r="Z194" s="4"/>
      <c r="AA194" s="4"/>
      <c r="AB194" s="4"/>
      <c r="AC194" s="4"/>
    </row>
    <row r="195" spans="1:29" ht="21" customHeight="1" x14ac:dyDescent="0.15">
      <c r="A195" s="4"/>
      <c r="D195" s="4"/>
      <c r="I195" s="4"/>
      <c r="Z195" s="4"/>
      <c r="AA195" s="4"/>
      <c r="AB195" s="4"/>
      <c r="AC195" s="4"/>
    </row>
    <row r="196" spans="1:29" ht="21" customHeight="1" x14ac:dyDescent="0.15">
      <c r="A196" s="4"/>
      <c r="D196" s="4"/>
      <c r="I196" s="4"/>
      <c r="Z196" s="4"/>
      <c r="AA196" s="4"/>
      <c r="AB196" s="4"/>
      <c r="AC196" s="4"/>
    </row>
    <row r="197" spans="1:29" ht="21" customHeight="1" x14ac:dyDescent="0.15">
      <c r="A197" s="4"/>
      <c r="D197" s="4"/>
      <c r="I197" s="4"/>
      <c r="Z197" s="4"/>
      <c r="AA197" s="4"/>
      <c r="AB197" s="4"/>
      <c r="AC197" s="4"/>
    </row>
    <row r="198" spans="1:29" ht="21" customHeight="1" x14ac:dyDescent="0.15">
      <c r="A198" s="4"/>
      <c r="D198" s="4"/>
      <c r="I198" s="4"/>
      <c r="Z198" s="4"/>
      <c r="AA198" s="4"/>
      <c r="AB198" s="4"/>
      <c r="AC198" s="4"/>
    </row>
    <row r="199" spans="1:29" ht="21" customHeight="1" x14ac:dyDescent="0.15">
      <c r="A199" s="4"/>
      <c r="D199" s="4"/>
      <c r="I199" s="4"/>
      <c r="Z199" s="4"/>
      <c r="AA199" s="4"/>
      <c r="AB199" s="4"/>
      <c r="AC199" s="4"/>
    </row>
    <row r="200" spans="1:29" ht="21" customHeight="1" x14ac:dyDescent="0.15">
      <c r="A200" s="4"/>
      <c r="D200" s="4"/>
      <c r="I200" s="4"/>
      <c r="Z200" s="4"/>
      <c r="AA200" s="4"/>
      <c r="AB200" s="4"/>
      <c r="AC200" s="4"/>
    </row>
    <row r="201" spans="1:29" ht="21" customHeight="1" x14ac:dyDescent="0.15">
      <c r="A201" s="4"/>
      <c r="D201" s="4"/>
      <c r="I201" s="4"/>
      <c r="Z201" s="4"/>
      <c r="AA201" s="4"/>
      <c r="AB201" s="4"/>
      <c r="AC201" s="4"/>
    </row>
    <row r="202" spans="1:29" ht="21" customHeight="1" x14ac:dyDescent="0.15">
      <c r="A202" s="4"/>
      <c r="D202" s="4"/>
      <c r="I202" s="4"/>
      <c r="Z202" s="4"/>
      <c r="AA202" s="4"/>
      <c r="AB202" s="4"/>
      <c r="AC202" s="4"/>
    </row>
    <row r="203" spans="1:29" ht="21" customHeight="1" x14ac:dyDescent="0.15">
      <c r="A203" s="4"/>
      <c r="D203" s="4"/>
      <c r="I203" s="4"/>
      <c r="Z203" s="4"/>
      <c r="AA203" s="4"/>
      <c r="AB203" s="4"/>
      <c r="AC203" s="4"/>
    </row>
    <row r="204" spans="1:29" ht="21" customHeight="1" x14ac:dyDescent="0.15">
      <c r="A204" s="4"/>
      <c r="D204" s="4"/>
      <c r="I204" s="4"/>
      <c r="Z204" s="4"/>
      <c r="AA204" s="4"/>
      <c r="AB204" s="4"/>
      <c r="AC204" s="4"/>
    </row>
    <row r="205" spans="1:29" ht="21" customHeight="1" x14ac:dyDescent="0.15">
      <c r="A205" s="4"/>
      <c r="D205" s="4"/>
      <c r="I205" s="4"/>
      <c r="Z205" s="4"/>
      <c r="AA205" s="4"/>
      <c r="AB205" s="4"/>
      <c r="AC205" s="4"/>
    </row>
    <row r="206" spans="1:29" ht="21" customHeight="1" x14ac:dyDescent="0.15">
      <c r="A206" s="4"/>
      <c r="D206" s="4"/>
      <c r="I206" s="4"/>
      <c r="Z206" s="4"/>
      <c r="AA206" s="4"/>
      <c r="AB206" s="4"/>
      <c r="AC206" s="4"/>
    </row>
    <row r="207" spans="1:29" ht="21" customHeight="1" x14ac:dyDescent="0.15">
      <c r="A207" s="4"/>
      <c r="D207" s="4"/>
      <c r="I207" s="4"/>
      <c r="Z207" s="4"/>
      <c r="AA207" s="4"/>
      <c r="AB207" s="4"/>
      <c r="AC207" s="4"/>
    </row>
    <row r="208" spans="1:29" ht="21" customHeight="1" x14ac:dyDescent="0.15">
      <c r="A208" s="4"/>
      <c r="D208" s="4"/>
      <c r="I208" s="4"/>
      <c r="Z208" s="4"/>
      <c r="AA208" s="4"/>
      <c r="AB208" s="4"/>
      <c r="AC208" s="4"/>
    </row>
    <row r="209" spans="1:29" ht="21" customHeight="1" x14ac:dyDescent="0.15">
      <c r="A209" s="4"/>
      <c r="D209" s="4"/>
      <c r="I209" s="4"/>
      <c r="Z209" s="4"/>
      <c r="AA209" s="4"/>
      <c r="AB209" s="4"/>
      <c r="AC209" s="4"/>
    </row>
    <row r="210" spans="1:29" ht="21" customHeight="1" x14ac:dyDescent="0.15">
      <c r="A210" s="4"/>
      <c r="D210" s="4"/>
      <c r="I210" s="4"/>
      <c r="Z210" s="4"/>
      <c r="AA210" s="4"/>
      <c r="AB210" s="4"/>
      <c r="AC210" s="4"/>
    </row>
    <row r="211" spans="1:29" ht="21" customHeight="1" x14ac:dyDescent="0.15">
      <c r="A211" s="4"/>
      <c r="D211" s="4"/>
      <c r="I211" s="4"/>
      <c r="Z211" s="4"/>
      <c r="AA211" s="4"/>
      <c r="AB211" s="4"/>
      <c r="AC211" s="4"/>
    </row>
    <row r="212" spans="1:29" ht="21" customHeight="1" x14ac:dyDescent="0.15">
      <c r="A212" s="4"/>
      <c r="D212" s="4"/>
      <c r="I212" s="4"/>
      <c r="Z212" s="4"/>
      <c r="AA212" s="4"/>
      <c r="AB212" s="4"/>
      <c r="AC212" s="4"/>
    </row>
    <row r="213" spans="1:29" ht="21" customHeight="1" x14ac:dyDescent="0.15">
      <c r="A213" s="4"/>
      <c r="D213" s="4"/>
      <c r="I213" s="4"/>
      <c r="Z213" s="4"/>
      <c r="AA213" s="4"/>
      <c r="AB213" s="4"/>
      <c r="AC213" s="4"/>
    </row>
    <row r="214" spans="1:29" ht="21" customHeight="1" x14ac:dyDescent="0.15">
      <c r="A214" s="4"/>
      <c r="D214" s="4"/>
      <c r="I214" s="4"/>
      <c r="Z214" s="4"/>
      <c r="AA214" s="4"/>
      <c r="AB214" s="4"/>
      <c r="AC214" s="4"/>
    </row>
    <row r="215" spans="1:29" ht="21" customHeight="1" x14ac:dyDescent="0.15">
      <c r="A215" s="4"/>
      <c r="D215" s="4"/>
      <c r="I215" s="4"/>
      <c r="Z215" s="4"/>
      <c r="AA215" s="4"/>
      <c r="AB215" s="4"/>
      <c r="AC215" s="4"/>
    </row>
    <row r="216" spans="1:29" ht="21" customHeight="1" x14ac:dyDescent="0.15">
      <c r="A216" s="4"/>
      <c r="D216" s="4"/>
      <c r="I216" s="4"/>
      <c r="Z216" s="4"/>
      <c r="AA216" s="4"/>
      <c r="AB216" s="4"/>
      <c r="AC216" s="4"/>
    </row>
    <row r="217" spans="1:29" ht="21" customHeight="1" x14ac:dyDescent="0.15">
      <c r="A217" s="4"/>
      <c r="D217" s="4"/>
      <c r="I217" s="4"/>
      <c r="Z217" s="4"/>
      <c r="AA217" s="4"/>
      <c r="AB217" s="4"/>
      <c r="AC217" s="4"/>
    </row>
    <row r="218" spans="1:29" ht="21" customHeight="1" x14ac:dyDescent="0.15">
      <c r="A218" s="4"/>
      <c r="D218" s="4"/>
      <c r="I218" s="4"/>
      <c r="Z218" s="4"/>
      <c r="AA218" s="4"/>
      <c r="AB218" s="4"/>
      <c r="AC218" s="4"/>
    </row>
    <row r="219" spans="1:29" ht="21" customHeight="1" x14ac:dyDescent="0.15">
      <c r="A219" s="4"/>
      <c r="D219" s="4"/>
      <c r="I219" s="4"/>
      <c r="Z219" s="4"/>
      <c r="AA219" s="4"/>
      <c r="AB219" s="4"/>
      <c r="AC219" s="4"/>
    </row>
    <row r="220" spans="1:29" ht="21" customHeight="1" x14ac:dyDescent="0.15">
      <c r="A220" s="4"/>
      <c r="D220" s="4"/>
      <c r="I220" s="4"/>
      <c r="Z220" s="4"/>
      <c r="AA220" s="4"/>
      <c r="AB220" s="4"/>
      <c r="AC220" s="4"/>
    </row>
    <row r="221" spans="1:29" ht="21" customHeight="1" x14ac:dyDescent="0.15">
      <c r="A221" s="4"/>
      <c r="D221" s="4"/>
      <c r="I221" s="4"/>
      <c r="Z221" s="4"/>
      <c r="AA221" s="4"/>
      <c r="AB221" s="4"/>
      <c r="AC221" s="4"/>
    </row>
    <row r="222" spans="1:29" ht="21" customHeight="1" x14ac:dyDescent="0.15">
      <c r="A222" s="4"/>
      <c r="D222" s="4"/>
      <c r="I222" s="4"/>
      <c r="Z222" s="4"/>
      <c r="AA222" s="4"/>
      <c r="AB222" s="4"/>
      <c r="AC222" s="4"/>
    </row>
    <row r="223" spans="1:29" ht="21" customHeight="1" x14ac:dyDescent="0.15">
      <c r="A223" s="4"/>
      <c r="D223" s="4"/>
      <c r="I223" s="4"/>
      <c r="Z223" s="4"/>
      <c r="AA223" s="4"/>
      <c r="AB223" s="4"/>
      <c r="AC223" s="4"/>
    </row>
    <row r="224" spans="1:29" ht="21" customHeight="1" x14ac:dyDescent="0.15">
      <c r="A224" s="4"/>
      <c r="D224" s="4"/>
      <c r="I224" s="4"/>
      <c r="Z224" s="4"/>
      <c r="AA224" s="4"/>
      <c r="AB224" s="4"/>
      <c r="AC224" s="4"/>
    </row>
    <row r="225" spans="1:29" ht="21" customHeight="1" x14ac:dyDescent="0.15">
      <c r="A225" s="4"/>
      <c r="D225" s="4"/>
      <c r="I225" s="4"/>
      <c r="Z225" s="4"/>
      <c r="AA225" s="4"/>
      <c r="AB225" s="4"/>
      <c r="AC225" s="4"/>
    </row>
    <row r="226" spans="1:29" ht="21" customHeight="1" x14ac:dyDescent="0.15">
      <c r="A226" s="4"/>
      <c r="D226" s="4"/>
      <c r="I226" s="4"/>
      <c r="Z226" s="4"/>
      <c r="AA226" s="4"/>
      <c r="AB226" s="4"/>
      <c r="AC226" s="4"/>
    </row>
    <row r="227" spans="1:29" ht="21" customHeight="1" x14ac:dyDescent="0.15">
      <c r="A227" s="4"/>
      <c r="D227" s="4"/>
      <c r="I227" s="4"/>
      <c r="Z227" s="4"/>
      <c r="AA227" s="4"/>
      <c r="AB227" s="4"/>
      <c r="AC227" s="4"/>
    </row>
    <row r="228" spans="1:29" ht="21" customHeight="1" x14ac:dyDescent="0.15">
      <c r="A228" s="4"/>
      <c r="D228" s="4"/>
      <c r="I228" s="4"/>
      <c r="Z228" s="4"/>
      <c r="AA228" s="4"/>
      <c r="AB228" s="4"/>
      <c r="AC228" s="4"/>
    </row>
    <row r="229" spans="1:29" ht="21" customHeight="1" x14ac:dyDescent="0.15">
      <c r="A229" s="4"/>
      <c r="D229" s="4"/>
      <c r="I229" s="4"/>
      <c r="Z229" s="4"/>
      <c r="AA229" s="4"/>
      <c r="AB229" s="4"/>
      <c r="AC229" s="4"/>
    </row>
    <row r="230" spans="1:29" ht="21" customHeight="1" x14ac:dyDescent="0.15">
      <c r="A230" s="4"/>
      <c r="D230" s="4"/>
      <c r="I230" s="4"/>
      <c r="Z230" s="4"/>
      <c r="AA230" s="4"/>
      <c r="AB230" s="4"/>
      <c r="AC230" s="4"/>
    </row>
    <row r="231" spans="1:29" ht="21" customHeight="1" x14ac:dyDescent="0.15">
      <c r="A231" s="4"/>
      <c r="D231" s="4"/>
      <c r="I231" s="4"/>
      <c r="Z231" s="4"/>
      <c r="AA231" s="4"/>
      <c r="AB231" s="4"/>
      <c r="AC231" s="4"/>
    </row>
    <row r="232" spans="1:29" ht="21" customHeight="1" x14ac:dyDescent="0.15">
      <c r="A232" s="4"/>
      <c r="D232" s="4"/>
      <c r="I232" s="4"/>
      <c r="Z232" s="4"/>
      <c r="AA232" s="4"/>
      <c r="AB232" s="4"/>
      <c r="AC232" s="4"/>
    </row>
    <row r="233" spans="1:29" ht="21" customHeight="1" x14ac:dyDescent="0.15">
      <c r="A233" s="4"/>
      <c r="D233" s="4"/>
      <c r="I233" s="4"/>
      <c r="Z233" s="4"/>
      <c r="AA233" s="4"/>
      <c r="AB233" s="4"/>
      <c r="AC233" s="4"/>
    </row>
    <row r="234" spans="1:29" ht="21" customHeight="1" x14ac:dyDescent="0.15">
      <c r="A234" s="4"/>
      <c r="D234" s="4"/>
      <c r="I234" s="4"/>
      <c r="Z234" s="4"/>
      <c r="AA234" s="4"/>
      <c r="AB234" s="4"/>
      <c r="AC234" s="4"/>
    </row>
    <row r="235" spans="1:29" ht="21" customHeight="1" x14ac:dyDescent="0.15">
      <c r="A235" s="4"/>
      <c r="D235" s="4"/>
      <c r="I235" s="4"/>
      <c r="Z235" s="4"/>
      <c r="AA235" s="4"/>
      <c r="AB235" s="4"/>
      <c r="AC235" s="4"/>
    </row>
    <row r="236" spans="1:29" ht="21" customHeight="1" x14ac:dyDescent="0.15">
      <c r="A236" s="4"/>
      <c r="D236" s="4"/>
      <c r="I236" s="4"/>
      <c r="Z236" s="4"/>
      <c r="AA236" s="4"/>
      <c r="AB236" s="4"/>
      <c r="AC236" s="4"/>
    </row>
    <row r="237" spans="1:29" ht="21" customHeight="1" x14ac:dyDescent="0.15">
      <c r="A237" s="4"/>
      <c r="D237" s="4"/>
      <c r="I237" s="4"/>
      <c r="Z237" s="4"/>
      <c r="AA237" s="4"/>
      <c r="AB237" s="4"/>
      <c r="AC237" s="4"/>
    </row>
    <row r="238" spans="1:29" ht="21" customHeight="1" x14ac:dyDescent="0.15">
      <c r="A238" s="4"/>
      <c r="D238" s="4"/>
      <c r="I238" s="4"/>
      <c r="Z238" s="4"/>
      <c r="AA238" s="4"/>
      <c r="AB238" s="4"/>
      <c r="AC238" s="4"/>
    </row>
    <row r="239" spans="1:29" ht="21" customHeight="1" x14ac:dyDescent="0.15">
      <c r="A239" s="4"/>
      <c r="D239" s="4"/>
      <c r="I239" s="4"/>
      <c r="Z239" s="4"/>
      <c r="AA239" s="4"/>
      <c r="AB239" s="4"/>
      <c r="AC239" s="4"/>
    </row>
    <row r="240" spans="1:29" ht="21" customHeight="1" x14ac:dyDescent="0.15">
      <c r="A240" s="4"/>
      <c r="D240" s="4"/>
      <c r="I240" s="4"/>
      <c r="Z240" s="4"/>
      <c r="AA240" s="4"/>
      <c r="AB240" s="4"/>
      <c r="AC240" s="4"/>
    </row>
    <row r="241" spans="1:29" ht="21" customHeight="1" x14ac:dyDescent="0.15">
      <c r="A241" s="4"/>
      <c r="D241" s="4"/>
      <c r="I241" s="4"/>
      <c r="Z241" s="4"/>
      <c r="AA241" s="4"/>
      <c r="AB241" s="4"/>
      <c r="AC241" s="4"/>
    </row>
    <row r="242" spans="1:29" ht="21" customHeight="1" x14ac:dyDescent="0.15">
      <c r="A242" s="4"/>
      <c r="D242" s="4"/>
      <c r="I242" s="4"/>
      <c r="Z242" s="4"/>
      <c r="AA242" s="4"/>
      <c r="AB242" s="4"/>
      <c r="AC242" s="4"/>
    </row>
    <row r="243" spans="1:29" ht="21" customHeight="1" x14ac:dyDescent="0.15">
      <c r="A243" s="4"/>
      <c r="D243" s="4"/>
      <c r="I243" s="4"/>
      <c r="Z243" s="4"/>
      <c r="AA243" s="4"/>
      <c r="AB243" s="4"/>
      <c r="AC243" s="4"/>
    </row>
    <row r="244" spans="1:29" ht="21" customHeight="1" x14ac:dyDescent="0.15">
      <c r="A244" s="4"/>
      <c r="D244" s="4"/>
      <c r="I244" s="4"/>
      <c r="Z244" s="4"/>
      <c r="AA244" s="4"/>
      <c r="AB244" s="4"/>
      <c r="AC244" s="4"/>
    </row>
    <row r="245" spans="1:29" ht="21" customHeight="1" x14ac:dyDescent="0.15">
      <c r="A245" s="4"/>
      <c r="D245" s="4"/>
      <c r="I245" s="4"/>
      <c r="Z245" s="4"/>
      <c r="AA245" s="4"/>
      <c r="AB245" s="4"/>
      <c r="AC245" s="4"/>
    </row>
    <row r="246" spans="1:29" ht="21" customHeight="1" x14ac:dyDescent="0.15">
      <c r="A246" s="4"/>
      <c r="D246" s="4"/>
      <c r="I246" s="4"/>
      <c r="Z246" s="4"/>
      <c r="AA246" s="4"/>
      <c r="AB246" s="4"/>
      <c r="AC246" s="4"/>
    </row>
    <row r="247" spans="1:29" ht="21" customHeight="1" x14ac:dyDescent="0.15">
      <c r="A247" s="4"/>
      <c r="D247" s="4"/>
      <c r="I247" s="4"/>
      <c r="Z247" s="4"/>
      <c r="AA247" s="4"/>
      <c r="AB247" s="4"/>
      <c r="AC247" s="4"/>
    </row>
    <row r="248" spans="1:29" ht="21" customHeight="1" x14ac:dyDescent="0.15">
      <c r="A248" s="4"/>
      <c r="D248" s="4"/>
      <c r="I248" s="4"/>
      <c r="Z248" s="4"/>
      <c r="AA248" s="4"/>
      <c r="AB248" s="4"/>
      <c r="AC248" s="4"/>
    </row>
    <row r="249" spans="1:29" ht="21" customHeight="1" x14ac:dyDescent="0.15">
      <c r="A249" s="4"/>
      <c r="D249" s="4"/>
      <c r="I249" s="4"/>
      <c r="Z249" s="4"/>
      <c r="AA249" s="4"/>
      <c r="AB249" s="4"/>
      <c r="AC249" s="4"/>
    </row>
    <row r="250" spans="1:29" ht="21" customHeight="1" x14ac:dyDescent="0.15">
      <c r="A250" s="4"/>
      <c r="D250" s="4"/>
      <c r="I250" s="4"/>
      <c r="Z250" s="4"/>
      <c r="AA250" s="4"/>
      <c r="AB250" s="4"/>
      <c r="AC250" s="4"/>
    </row>
    <row r="251" spans="1:29" ht="21" customHeight="1" x14ac:dyDescent="0.15">
      <c r="A251" s="4"/>
      <c r="D251" s="4"/>
      <c r="I251" s="4"/>
      <c r="Z251" s="4"/>
      <c r="AA251" s="4"/>
      <c r="AB251" s="4"/>
      <c r="AC251" s="4"/>
    </row>
    <row r="252" spans="1:29" ht="21" customHeight="1" x14ac:dyDescent="0.15">
      <c r="A252" s="4"/>
      <c r="D252" s="4"/>
      <c r="I252" s="4"/>
      <c r="Z252" s="4"/>
      <c r="AA252" s="4"/>
      <c r="AB252" s="4"/>
      <c r="AC252" s="4"/>
    </row>
    <row r="253" spans="1:29" ht="21" customHeight="1" x14ac:dyDescent="0.15">
      <c r="A253" s="4"/>
      <c r="D253" s="4"/>
      <c r="I253" s="4"/>
      <c r="Z253" s="4"/>
      <c r="AA253" s="4"/>
      <c r="AB253" s="4"/>
      <c r="AC253" s="4"/>
    </row>
    <row r="254" spans="1:29" ht="21" customHeight="1" x14ac:dyDescent="0.15">
      <c r="A254" s="4"/>
      <c r="D254" s="4"/>
      <c r="I254" s="4"/>
      <c r="Z254" s="4"/>
      <c r="AA254" s="4"/>
      <c r="AB254" s="4"/>
      <c r="AC254" s="4"/>
    </row>
    <row r="255" spans="1:29" ht="21" customHeight="1" x14ac:dyDescent="0.15">
      <c r="A255" s="4"/>
      <c r="D255" s="4"/>
      <c r="I255" s="4"/>
      <c r="Z255" s="4"/>
      <c r="AA255" s="4"/>
      <c r="AB255" s="4"/>
      <c r="AC255" s="4"/>
    </row>
    <row r="256" spans="1:29" ht="21" customHeight="1" x14ac:dyDescent="0.15">
      <c r="A256" s="4"/>
      <c r="D256" s="4"/>
      <c r="I256" s="4"/>
      <c r="Z256" s="4"/>
      <c r="AA256" s="4"/>
      <c r="AB256" s="4"/>
      <c r="AC256" s="4"/>
    </row>
    <row r="257" spans="1:29" ht="21" customHeight="1" x14ac:dyDescent="0.15">
      <c r="A257" s="4"/>
      <c r="D257" s="4"/>
      <c r="I257" s="4"/>
      <c r="Z257" s="4"/>
      <c r="AA257" s="4"/>
      <c r="AB257" s="4"/>
      <c r="AC257" s="4"/>
    </row>
    <row r="258" spans="1:29" ht="21" customHeight="1" x14ac:dyDescent="0.15">
      <c r="A258" s="4"/>
      <c r="D258" s="4"/>
      <c r="I258" s="4"/>
      <c r="Z258" s="4"/>
      <c r="AA258" s="4"/>
      <c r="AB258" s="4"/>
      <c r="AC258" s="4"/>
    </row>
    <row r="259" spans="1:29" ht="21" customHeight="1" x14ac:dyDescent="0.15">
      <c r="A259" s="4"/>
      <c r="D259" s="4"/>
      <c r="I259" s="4"/>
      <c r="Z259" s="4"/>
      <c r="AA259" s="4"/>
      <c r="AB259" s="4"/>
      <c r="AC259" s="4"/>
    </row>
    <row r="260" spans="1:29" ht="21" customHeight="1" x14ac:dyDescent="0.15">
      <c r="A260" s="4"/>
      <c r="D260" s="4"/>
      <c r="I260" s="4"/>
      <c r="Z260" s="4"/>
      <c r="AA260" s="4"/>
      <c r="AB260" s="4"/>
      <c r="AC260" s="4"/>
    </row>
    <row r="261" spans="1:29" ht="21" customHeight="1" x14ac:dyDescent="0.15">
      <c r="A261" s="4"/>
      <c r="D261" s="4"/>
      <c r="I261" s="4"/>
      <c r="Z261" s="4"/>
      <c r="AA261" s="4"/>
      <c r="AB261" s="4"/>
      <c r="AC261" s="4"/>
    </row>
    <row r="262" spans="1:29" ht="21" customHeight="1" x14ac:dyDescent="0.15">
      <c r="A262" s="4"/>
      <c r="D262" s="4"/>
      <c r="I262" s="4"/>
      <c r="Z262" s="4"/>
      <c r="AA262" s="4"/>
      <c r="AB262" s="4"/>
      <c r="AC262" s="4"/>
    </row>
    <row r="263" spans="1:29" ht="21" customHeight="1" x14ac:dyDescent="0.15">
      <c r="A263" s="4"/>
      <c r="D263" s="4"/>
      <c r="I263" s="4"/>
      <c r="Z263" s="4"/>
      <c r="AA263" s="4"/>
      <c r="AB263" s="4"/>
      <c r="AC263" s="4"/>
    </row>
    <row r="264" spans="1:29" ht="21" customHeight="1" x14ac:dyDescent="0.15">
      <c r="A264" s="4"/>
      <c r="D264" s="4"/>
      <c r="I264" s="4"/>
      <c r="Z264" s="4"/>
      <c r="AA264" s="4"/>
      <c r="AB264" s="4"/>
      <c r="AC264" s="4"/>
    </row>
    <row r="265" spans="1:29" ht="21" customHeight="1" x14ac:dyDescent="0.15">
      <c r="A265" s="4"/>
      <c r="D265" s="4"/>
      <c r="I265" s="4"/>
      <c r="Z265" s="4"/>
      <c r="AA265" s="4"/>
      <c r="AB265" s="4"/>
      <c r="AC265" s="4"/>
    </row>
    <row r="266" spans="1:29" ht="21" customHeight="1" x14ac:dyDescent="0.15">
      <c r="A266" s="4"/>
      <c r="D266" s="4"/>
      <c r="I266" s="4"/>
      <c r="Z266" s="4"/>
      <c r="AA266" s="4"/>
      <c r="AB266" s="4"/>
      <c r="AC266" s="4"/>
    </row>
    <row r="267" spans="1:29" ht="21" customHeight="1" x14ac:dyDescent="0.15">
      <c r="A267" s="4"/>
      <c r="D267" s="4"/>
      <c r="I267" s="4"/>
      <c r="Z267" s="4"/>
      <c r="AA267" s="4"/>
      <c r="AB267" s="4"/>
      <c r="AC267" s="4"/>
    </row>
    <row r="268" spans="1:29" ht="21" customHeight="1" x14ac:dyDescent="0.15">
      <c r="A268" s="4"/>
      <c r="D268" s="4"/>
      <c r="I268" s="4"/>
      <c r="Z268" s="4"/>
      <c r="AA268" s="4"/>
      <c r="AB268" s="4"/>
      <c r="AC268" s="4"/>
    </row>
    <row r="269" spans="1:29" ht="21" customHeight="1" x14ac:dyDescent="0.15">
      <c r="A269" s="4"/>
      <c r="D269" s="4"/>
      <c r="I269" s="4"/>
      <c r="Z269" s="4"/>
      <c r="AA269" s="4"/>
      <c r="AB269" s="4"/>
      <c r="AC269" s="4"/>
    </row>
    <row r="270" spans="1:29" ht="21" customHeight="1" x14ac:dyDescent="0.15">
      <c r="A270" s="4"/>
      <c r="D270" s="4"/>
      <c r="I270" s="4"/>
      <c r="Z270" s="4"/>
      <c r="AA270" s="4"/>
      <c r="AB270" s="4"/>
      <c r="AC270" s="4"/>
    </row>
    <row r="271" spans="1:29" ht="21" customHeight="1" x14ac:dyDescent="0.15">
      <c r="A271" s="4"/>
      <c r="D271" s="4"/>
      <c r="I271" s="4"/>
      <c r="Z271" s="4"/>
      <c r="AA271" s="4"/>
      <c r="AB271" s="4"/>
      <c r="AC271" s="4"/>
    </row>
    <row r="272" spans="1:29" ht="21" customHeight="1" x14ac:dyDescent="0.15">
      <c r="A272" s="4"/>
      <c r="D272" s="4"/>
      <c r="I272" s="4"/>
      <c r="Z272" s="4"/>
      <c r="AA272" s="4"/>
      <c r="AB272" s="4"/>
      <c r="AC272" s="4"/>
    </row>
    <row r="273" spans="1:29" ht="21" customHeight="1" x14ac:dyDescent="0.15">
      <c r="A273" s="4"/>
      <c r="D273" s="4"/>
      <c r="I273" s="4"/>
      <c r="Z273" s="4"/>
      <c r="AA273" s="4"/>
      <c r="AB273" s="4"/>
      <c r="AC273" s="4"/>
    </row>
    <row r="274" spans="1:29" ht="21" customHeight="1" x14ac:dyDescent="0.15">
      <c r="A274" s="4"/>
      <c r="D274" s="4"/>
      <c r="I274" s="4"/>
      <c r="Z274" s="4"/>
      <c r="AA274" s="4"/>
      <c r="AB274" s="4"/>
      <c r="AC274" s="4"/>
    </row>
    <row r="275" spans="1:29" ht="21" customHeight="1" x14ac:dyDescent="0.15">
      <c r="A275" s="4"/>
      <c r="D275" s="4"/>
      <c r="I275" s="4"/>
      <c r="Z275" s="4"/>
      <c r="AA275" s="4"/>
      <c r="AB275" s="4"/>
      <c r="AC275" s="4"/>
    </row>
    <row r="276" spans="1:29" ht="21" customHeight="1" x14ac:dyDescent="0.15">
      <c r="A276" s="4"/>
      <c r="D276" s="4"/>
      <c r="I276" s="4"/>
      <c r="Z276" s="4"/>
      <c r="AA276" s="4"/>
      <c r="AB276" s="4"/>
      <c r="AC276" s="4"/>
    </row>
    <row r="277" spans="1:29" ht="21" customHeight="1" x14ac:dyDescent="0.15">
      <c r="A277" s="4"/>
      <c r="D277" s="4"/>
      <c r="I277" s="4"/>
      <c r="Z277" s="4"/>
      <c r="AA277" s="4"/>
      <c r="AB277" s="4"/>
      <c r="AC277" s="4"/>
    </row>
    <row r="278" spans="1:29" ht="21" customHeight="1" x14ac:dyDescent="0.15">
      <c r="A278" s="4"/>
      <c r="D278" s="4"/>
      <c r="I278" s="4"/>
      <c r="Z278" s="4"/>
      <c r="AA278" s="4"/>
      <c r="AB278" s="4"/>
      <c r="AC278" s="4"/>
    </row>
    <row r="279" spans="1:29" ht="21" customHeight="1" x14ac:dyDescent="0.15">
      <c r="A279" s="4"/>
      <c r="D279" s="4"/>
      <c r="I279" s="4"/>
      <c r="Z279" s="4"/>
      <c r="AA279" s="4"/>
      <c r="AB279" s="4"/>
      <c r="AC279" s="4"/>
    </row>
    <row r="280" spans="1:29" ht="21" customHeight="1" x14ac:dyDescent="0.15">
      <c r="A280" s="4"/>
      <c r="D280" s="4"/>
      <c r="I280" s="4"/>
      <c r="Z280" s="4"/>
      <c r="AA280" s="4"/>
      <c r="AB280" s="4"/>
      <c r="AC280" s="4"/>
    </row>
    <row r="281" spans="1:29" ht="21" customHeight="1" x14ac:dyDescent="0.15">
      <c r="A281" s="4"/>
      <c r="D281" s="4"/>
      <c r="I281" s="4"/>
      <c r="Z281" s="4"/>
      <c r="AA281" s="4"/>
      <c r="AB281" s="4"/>
      <c r="AC281" s="4"/>
    </row>
    <row r="282" spans="1:29" ht="21" customHeight="1" x14ac:dyDescent="0.15">
      <c r="A282" s="4"/>
      <c r="D282" s="4"/>
      <c r="I282" s="4"/>
      <c r="Z282" s="4"/>
      <c r="AA282" s="4"/>
      <c r="AB282" s="4"/>
      <c r="AC282" s="4"/>
    </row>
  </sheetData>
  <sheetProtection selectLockedCells="1" selectUnlockedCells="1"/>
  <autoFilter ref="B1:AE2"/>
  <phoneticPr fontId="5"/>
  <conditionalFormatting sqref="I44">
    <cfRule type="cellIs" dxfId="17" priority="241" stopIfTrue="1" operator="between">
      <formula>536</formula>
      <formula>563</formula>
    </cfRule>
    <cfRule type="cellIs" dxfId="16" priority="242" stopIfTrue="1" operator="between">
      <formula>524</formula>
      <formula>529</formula>
    </cfRule>
    <cfRule type="cellIs" dxfId="15" priority="243" stopIfTrue="1" operator="between">
      <formula>500</formula>
      <formula>515</formula>
    </cfRule>
  </conditionalFormatting>
  <conditionalFormatting sqref="I57">
    <cfRule type="cellIs" dxfId="14" priority="229" stopIfTrue="1" operator="between">
      <formula>536</formula>
      <formula>563</formula>
    </cfRule>
    <cfRule type="cellIs" dxfId="13" priority="230" stopIfTrue="1" operator="between">
      <formula>524</formula>
      <formula>529</formula>
    </cfRule>
    <cfRule type="cellIs" dxfId="12" priority="231" stopIfTrue="1" operator="between">
      <formula>500</formula>
      <formula>515</formula>
    </cfRule>
  </conditionalFormatting>
  <conditionalFormatting sqref="I63">
    <cfRule type="cellIs" dxfId="11" priority="226" stopIfTrue="1" operator="between">
      <formula>536</formula>
      <formula>563</formula>
    </cfRule>
    <cfRule type="cellIs" dxfId="10" priority="227" stopIfTrue="1" operator="between">
      <formula>524</formula>
      <formula>529</formula>
    </cfRule>
    <cfRule type="cellIs" dxfId="9" priority="228" stopIfTrue="1" operator="between">
      <formula>500</formula>
      <formula>515</formula>
    </cfRule>
  </conditionalFormatting>
  <conditionalFormatting sqref="Y44">
    <cfRule type="cellIs" dxfId="8" priority="121" stopIfTrue="1" operator="between">
      <formula>536</formula>
      <formula>563</formula>
    </cfRule>
    <cfRule type="cellIs" dxfId="7" priority="122" stopIfTrue="1" operator="between">
      <formula>524</formula>
      <formula>529</formula>
    </cfRule>
    <cfRule type="cellIs" dxfId="6" priority="123" stopIfTrue="1" operator="between">
      <formula>500</formula>
      <formula>515</formula>
    </cfRule>
  </conditionalFormatting>
  <conditionalFormatting sqref="Y57">
    <cfRule type="cellIs" dxfId="5" priority="109" stopIfTrue="1" operator="between">
      <formula>536</formula>
      <formula>563</formula>
    </cfRule>
    <cfRule type="cellIs" dxfId="4" priority="110" stopIfTrue="1" operator="between">
      <formula>524</formula>
      <formula>529</formula>
    </cfRule>
    <cfRule type="cellIs" dxfId="3" priority="111" stopIfTrue="1" operator="between">
      <formula>500</formula>
      <formula>515</formula>
    </cfRule>
  </conditionalFormatting>
  <conditionalFormatting sqref="Y63">
    <cfRule type="cellIs" dxfId="2" priority="106" stopIfTrue="1" operator="between">
      <formula>536</formula>
      <formula>563</formula>
    </cfRule>
    <cfRule type="cellIs" dxfId="1" priority="107" stopIfTrue="1" operator="between">
      <formula>524</formula>
      <formula>529</formula>
    </cfRule>
    <cfRule type="cellIs" dxfId="0" priority="108" stopIfTrue="1" operator="between">
      <formula>500</formula>
      <formula>515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baseColWidth="12" defaultRowHeight="15" x14ac:dyDescent="0.15"/>
  <cols>
    <col min="1" max="1" width="10.1640625" style="23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6" customFormat="1" x14ac:dyDescent="0.15">
      <c r="A1" s="16">
        <f>MATCH(A2,INDIRECT(C1&amp;"!A:A"),0)-2</f>
        <v>-1</v>
      </c>
      <c r="B1" s="17" t="str">
        <f>"$"&amp;2+$A$1&amp;":$"&amp;2+$A$1</f>
        <v>$1:$1</v>
      </c>
      <c r="C1" s="16" t="str">
        <f>SUBSTITUTE(RIGHT(CELL("filename",$C$1),LEN(CELL("filename",$C$1))-FIND("]",CELL("filename",$C$1))),".tmp","")</f>
        <v>floors_drop_1_1</v>
      </c>
    </row>
    <row r="2" spans="1:6" s="18" customFormat="1" x14ac:dyDescent="0.15">
      <c r="A2" s="23" t="s">
        <v>32</v>
      </c>
      <c r="B2" s="18" t="s">
        <v>0</v>
      </c>
      <c r="C2" s="18" t="s">
        <v>1</v>
      </c>
      <c r="D2" s="18" t="s">
        <v>13</v>
      </c>
      <c r="E2" s="18" t="s">
        <v>14</v>
      </c>
      <c r="F2" s="18" t="s">
        <v>15</v>
      </c>
    </row>
    <row r="3" spans="1:6" x14ac:dyDescent="0.15">
      <c r="A3" s="24" t="str">
        <f>INDIRECT(ADDRESS(ROW()+$A$1,COLUMN(),1,TRUE,$C$1))</f>
        <v>20001_1-1</v>
      </c>
      <c r="B3" s="19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20001</v>
      </c>
      <c r="C3" s="19">
        <f t="shared" ref="C3:F18" si="0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3" s="19">
        <f t="shared" si="0"/>
        <v>1</v>
      </c>
      <c r="E3" s="19">
        <f t="shared" si="0"/>
        <v>30</v>
      </c>
      <c r="F3" s="19">
        <f t="shared" si="0"/>
        <v>30</v>
      </c>
    </row>
    <row r="4" spans="1:6" x14ac:dyDescent="0.15">
      <c r="A4" s="24" t="str">
        <f t="shared" ref="A4:A18" si="1">INDIRECT(ADDRESS(ROW()+$A$1,COLUMN(),1,TRUE,$C$1))</f>
        <v>20001_1-2</v>
      </c>
      <c r="B4" s="19">
        <f t="shared" ref="B4:B18" si="2"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20001</v>
      </c>
      <c r="C4" s="19">
        <f t="shared" si="0"/>
        <v>1</v>
      </c>
      <c r="D4" s="19">
        <f t="shared" si="0"/>
        <v>2</v>
      </c>
      <c r="E4" s="19">
        <f t="shared" si="0"/>
        <v>30</v>
      </c>
      <c r="F4" s="19">
        <f t="shared" si="0"/>
        <v>45</v>
      </c>
    </row>
    <row r="5" spans="1:6" x14ac:dyDescent="0.15">
      <c r="A5" s="24" t="str">
        <f t="shared" si="1"/>
        <v>20001_1-3</v>
      </c>
      <c r="B5" s="19">
        <f t="shared" si="2"/>
        <v>20001</v>
      </c>
      <c r="C5" s="19">
        <f t="shared" si="0"/>
        <v>1</v>
      </c>
      <c r="D5" s="19">
        <f t="shared" si="0"/>
        <v>3</v>
      </c>
      <c r="E5" s="19">
        <f t="shared" si="0"/>
        <v>45</v>
      </c>
      <c r="F5" s="19">
        <f t="shared" si="0"/>
        <v>45</v>
      </c>
    </row>
    <row r="6" spans="1:6" x14ac:dyDescent="0.15">
      <c r="A6" s="24" t="str">
        <f t="shared" si="1"/>
        <v>20001_1-4</v>
      </c>
      <c r="B6" s="19">
        <f t="shared" si="2"/>
        <v>20001</v>
      </c>
      <c r="C6" s="19">
        <f t="shared" si="0"/>
        <v>1</v>
      </c>
      <c r="D6" s="19">
        <f t="shared" si="0"/>
        <v>4</v>
      </c>
      <c r="E6" s="19">
        <f t="shared" si="0"/>
        <v>45</v>
      </c>
      <c r="F6" s="19">
        <f t="shared" si="0"/>
        <v>45</v>
      </c>
    </row>
    <row r="7" spans="1:6" x14ac:dyDescent="0.15">
      <c r="A7" s="24" t="str">
        <f t="shared" si="1"/>
        <v>20001_1-5</v>
      </c>
      <c r="B7" s="19">
        <f t="shared" si="2"/>
        <v>20001</v>
      </c>
      <c r="C7" s="19">
        <f t="shared" si="0"/>
        <v>1</v>
      </c>
      <c r="D7" s="19">
        <f t="shared" si="0"/>
        <v>5</v>
      </c>
      <c r="E7" s="19">
        <f t="shared" si="0"/>
        <v>50</v>
      </c>
      <c r="F7" s="19">
        <f t="shared" si="0"/>
        <v>50</v>
      </c>
    </row>
    <row r="8" spans="1:6" x14ac:dyDescent="0.15">
      <c r="A8" s="24" t="str">
        <f t="shared" si="1"/>
        <v>20001_2-1</v>
      </c>
      <c r="B8" s="19">
        <f t="shared" si="2"/>
        <v>20001</v>
      </c>
      <c r="C8" s="19">
        <f t="shared" si="0"/>
        <v>2</v>
      </c>
      <c r="D8" s="19">
        <f t="shared" si="0"/>
        <v>1</v>
      </c>
      <c r="E8" s="19">
        <f t="shared" si="0"/>
        <v>30</v>
      </c>
      <c r="F8" s="19">
        <f t="shared" si="0"/>
        <v>30</v>
      </c>
    </row>
    <row r="9" spans="1:6" x14ac:dyDescent="0.15">
      <c r="A9" s="24" t="str">
        <f t="shared" si="1"/>
        <v>20001_2-2</v>
      </c>
      <c r="B9" s="19">
        <f t="shared" si="2"/>
        <v>20001</v>
      </c>
      <c r="C9" s="19">
        <f t="shared" si="0"/>
        <v>2</v>
      </c>
      <c r="D9" s="19">
        <f t="shared" si="0"/>
        <v>2</v>
      </c>
      <c r="E9" s="19">
        <f t="shared" si="0"/>
        <v>45</v>
      </c>
      <c r="F9" s="19">
        <f t="shared" si="0"/>
        <v>45</v>
      </c>
    </row>
    <row r="10" spans="1:6" x14ac:dyDescent="0.15">
      <c r="A10" s="24" t="str">
        <f t="shared" si="1"/>
        <v>20001_2-3</v>
      </c>
      <c r="B10" s="19">
        <f t="shared" si="2"/>
        <v>20001</v>
      </c>
      <c r="C10" s="19">
        <f t="shared" si="0"/>
        <v>2</v>
      </c>
      <c r="D10" s="19">
        <f t="shared" si="0"/>
        <v>3</v>
      </c>
      <c r="E10" s="19">
        <f t="shared" si="0"/>
        <v>45</v>
      </c>
      <c r="F10" s="19">
        <f t="shared" si="0"/>
        <v>45</v>
      </c>
    </row>
    <row r="11" spans="1:6" x14ac:dyDescent="0.15">
      <c r="A11" s="24" t="str">
        <f t="shared" si="1"/>
        <v>20001_2-4</v>
      </c>
      <c r="B11" s="19">
        <f t="shared" si="2"/>
        <v>20001</v>
      </c>
      <c r="C11" s="19">
        <f t="shared" si="0"/>
        <v>2</v>
      </c>
      <c r="D11" s="19">
        <f t="shared" si="0"/>
        <v>4</v>
      </c>
      <c r="E11" s="19">
        <f t="shared" si="0"/>
        <v>50</v>
      </c>
      <c r="F11" s="19">
        <f t="shared" si="0"/>
        <v>50</v>
      </c>
    </row>
    <row r="12" spans="1:6" x14ac:dyDescent="0.15">
      <c r="A12" s="24" t="str">
        <f t="shared" si="1"/>
        <v>20001_2-5</v>
      </c>
      <c r="B12" s="19">
        <f t="shared" si="2"/>
        <v>20001</v>
      </c>
      <c r="C12" s="19">
        <f t="shared" si="0"/>
        <v>2</v>
      </c>
      <c r="D12" s="19">
        <f t="shared" si="0"/>
        <v>5</v>
      </c>
      <c r="E12" s="19">
        <f t="shared" si="0"/>
        <v>50</v>
      </c>
      <c r="F12" s="19">
        <f t="shared" si="0"/>
        <v>50</v>
      </c>
    </row>
    <row r="13" spans="1:6" x14ac:dyDescent="0.15">
      <c r="A13" s="24" t="str">
        <f t="shared" si="1"/>
        <v>20001_3-1</v>
      </c>
      <c r="B13" s="19">
        <f t="shared" si="2"/>
        <v>20001</v>
      </c>
      <c r="C13" s="19">
        <f t="shared" si="0"/>
        <v>3</v>
      </c>
      <c r="D13" s="19">
        <f t="shared" si="0"/>
        <v>1</v>
      </c>
      <c r="E13" s="19">
        <f t="shared" si="0"/>
        <v>30</v>
      </c>
      <c r="F13" s="19">
        <f t="shared" si="0"/>
        <v>30</v>
      </c>
    </row>
    <row r="14" spans="1:6" x14ac:dyDescent="0.15">
      <c r="A14" s="24" t="str">
        <f t="shared" si="1"/>
        <v>20001_3-2</v>
      </c>
      <c r="B14" s="19">
        <f t="shared" si="2"/>
        <v>20001</v>
      </c>
      <c r="C14" s="19">
        <f t="shared" si="0"/>
        <v>3</v>
      </c>
      <c r="D14" s="19">
        <f t="shared" si="0"/>
        <v>2</v>
      </c>
      <c r="E14" s="19">
        <f t="shared" si="0"/>
        <v>50</v>
      </c>
      <c r="F14" s="19">
        <f t="shared" si="0"/>
        <v>50</v>
      </c>
    </row>
    <row r="15" spans="1:6" x14ac:dyDescent="0.15">
      <c r="A15" s="24" t="str">
        <f t="shared" si="1"/>
        <v>20001_3-3</v>
      </c>
      <c r="B15" s="19">
        <f t="shared" si="2"/>
        <v>20001</v>
      </c>
      <c r="C15" s="19">
        <f t="shared" si="0"/>
        <v>3</v>
      </c>
      <c r="D15" s="19">
        <f t="shared" si="0"/>
        <v>3</v>
      </c>
      <c r="E15" s="19">
        <f t="shared" si="0"/>
        <v>30</v>
      </c>
      <c r="F15" s="19">
        <f t="shared" si="0"/>
        <v>30</v>
      </c>
    </row>
    <row r="16" spans="1:6" x14ac:dyDescent="0.15">
      <c r="A16" s="24" t="str">
        <f t="shared" si="1"/>
        <v>20001_3-4</v>
      </c>
      <c r="B16" s="19">
        <f t="shared" si="2"/>
        <v>20001</v>
      </c>
      <c r="C16" s="19">
        <f t="shared" si="0"/>
        <v>3</v>
      </c>
      <c r="D16" s="19">
        <f t="shared" si="0"/>
        <v>4</v>
      </c>
      <c r="E16" s="19">
        <f t="shared" si="0"/>
        <v>50</v>
      </c>
      <c r="F16" s="19">
        <f t="shared" si="0"/>
        <v>50</v>
      </c>
    </row>
    <row r="17" spans="1:6" x14ac:dyDescent="0.15">
      <c r="A17" s="24" t="str">
        <f t="shared" si="1"/>
        <v>20001_3-5</v>
      </c>
      <c r="B17" s="19">
        <f t="shared" si="2"/>
        <v>20001</v>
      </c>
      <c r="C17" s="19">
        <f t="shared" si="0"/>
        <v>3</v>
      </c>
      <c r="D17" s="19">
        <f t="shared" si="0"/>
        <v>5</v>
      </c>
      <c r="E17" s="19">
        <f t="shared" si="0"/>
        <v>50</v>
      </c>
      <c r="F17" s="19">
        <f t="shared" si="0"/>
        <v>50</v>
      </c>
    </row>
    <row r="18" spans="1:6" x14ac:dyDescent="0.15">
      <c r="A18" s="24" t="str">
        <f t="shared" si="1"/>
        <v>20001_3-6</v>
      </c>
      <c r="B18" s="19">
        <f t="shared" si="2"/>
        <v>20001</v>
      </c>
      <c r="C18" s="19">
        <f t="shared" si="0"/>
        <v>3</v>
      </c>
      <c r="D18" s="19">
        <f t="shared" si="0"/>
        <v>6</v>
      </c>
      <c r="E18" s="19">
        <f t="shared" si="0"/>
        <v>50</v>
      </c>
      <c r="F18" s="19">
        <f t="shared" si="0"/>
        <v>50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78"/>
  <sheetViews>
    <sheetView zoomScale="75" zoomScaleNormal="75" zoomScalePageLayoutView="75" workbookViewId="0">
      <pane xSplit="1" ySplit="2" topLeftCell="G40" activePane="bottomRight" state="frozen"/>
      <selection pane="topRight" activeCell="B1" sqref="B1"/>
      <selection pane="bottomLeft" activeCell="A3" sqref="A3"/>
      <selection pane="bottomRight" activeCell="M75" sqref="M75"/>
    </sheetView>
  </sheetViews>
  <sheetFormatPr baseColWidth="12" defaultRowHeight="15" x14ac:dyDescent="0.15"/>
  <cols>
    <col min="1" max="1" width="13" style="23" bestFit="1" customWidth="1"/>
    <col min="2" max="2" width="8.1640625" bestFit="1" customWidth="1"/>
    <col min="3" max="3" width="18.33203125" bestFit="1" customWidth="1"/>
    <col min="4" max="4" width="7.33203125" bestFit="1" customWidth="1"/>
    <col min="5" max="5" width="11.6640625" bestFit="1" customWidth="1"/>
    <col min="6" max="6" width="5.33203125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" bestFit="1" customWidth="1"/>
    <col min="11" max="11" width="8.83203125" bestFit="1" customWidth="1"/>
    <col min="12" max="12" width="9.5" bestFit="1" customWidth="1"/>
    <col min="13" max="13" width="8" bestFit="1" customWidth="1"/>
    <col min="14" max="14" width="6.5" bestFit="1" customWidth="1"/>
    <col min="15" max="15" width="11" bestFit="1" customWidth="1"/>
    <col min="16" max="16" width="13.5" bestFit="1" customWidth="1"/>
    <col min="17" max="18" width="13" bestFit="1" customWidth="1"/>
  </cols>
  <sheetData>
    <row r="1" spans="1:23" s="16" customFormat="1" x14ac:dyDescent="0.15">
      <c r="A1" s="16">
        <f>MATCH(A2,INDIRECT(C1&amp;"!A:A"),0)-2</f>
        <v>-1</v>
      </c>
      <c r="B1" s="17" t="str">
        <f>"$"&amp;2+$A$1&amp;":$"&amp;2+$A$1</f>
        <v>$1:$1</v>
      </c>
      <c r="C1" s="16" t="str">
        <f>SUBSTITUTE(RIGHT(CELL("filename",$C$1),LEN(CELL("filename",$C$1))-FIND("]",CELL("filename",$C$1))),".tmp","")</f>
        <v>enemy_habitats_drop_1_1</v>
      </c>
      <c r="G1" s="55"/>
      <c r="H1" s="55"/>
      <c r="I1" s="55"/>
    </row>
    <row r="2" spans="1:23" s="18" customFormat="1" x14ac:dyDescent="0.15">
      <c r="A2" s="23" t="s">
        <v>30</v>
      </c>
      <c r="B2" s="18" t="s">
        <v>0</v>
      </c>
      <c r="C2" s="18" t="s">
        <v>1</v>
      </c>
      <c r="D2" s="18" t="s">
        <v>13</v>
      </c>
      <c r="E2" s="18" t="s">
        <v>2</v>
      </c>
      <c r="F2" s="18" t="s">
        <v>3</v>
      </c>
      <c r="G2" s="18" t="s">
        <v>52</v>
      </c>
      <c r="H2" s="18" t="s">
        <v>53</v>
      </c>
      <c r="I2" s="18" t="s">
        <v>54</v>
      </c>
      <c r="J2" s="18" t="s">
        <v>22</v>
      </c>
      <c r="K2" s="18" t="s">
        <v>5</v>
      </c>
      <c r="L2" s="18" t="s">
        <v>6</v>
      </c>
      <c r="M2" s="18" t="s">
        <v>7</v>
      </c>
      <c r="N2" s="18" t="s">
        <v>8</v>
      </c>
      <c r="O2" s="18" t="s">
        <v>9</v>
      </c>
      <c r="P2" s="18" t="s">
        <v>10</v>
      </c>
      <c r="Q2" s="18" t="s">
        <v>11</v>
      </c>
      <c r="R2" s="18" t="s">
        <v>12</v>
      </c>
      <c r="S2" s="18" t="s">
        <v>39</v>
      </c>
      <c r="T2" s="18" t="s">
        <v>41</v>
      </c>
      <c r="U2" s="18" t="s">
        <v>43</v>
      </c>
      <c r="V2" s="18" t="s">
        <v>45</v>
      </c>
      <c r="W2" s="18" t="s">
        <v>47</v>
      </c>
    </row>
    <row r="3" spans="1:23" x14ac:dyDescent="0.15">
      <c r="A3" s="24" t="str">
        <f>INDIRECT(ADDRESS(ROW()+$A$1,COLUMN(),1,TRUE,$C$1))</f>
        <v>20001_1-1/9&lt;lv9&gt;s2</v>
      </c>
      <c r="B3" s="19">
        <f t="shared" ref="B3:W16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20001</v>
      </c>
      <c r="C3" s="19">
        <f t="shared" si="0"/>
        <v>1</v>
      </c>
      <c r="D3" s="19">
        <f t="shared" si="0"/>
        <v>1</v>
      </c>
      <c r="E3" s="19">
        <f t="shared" si="0"/>
        <v>9</v>
      </c>
      <c r="F3" s="19">
        <f t="shared" si="0"/>
        <v>9</v>
      </c>
      <c r="G3" s="19">
        <f t="shared" ref="G3:I18" si="1">VLOOKUP($A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3" s="19">
        <f t="shared" si="1"/>
        <v>1</v>
      </c>
      <c r="I3" s="19">
        <f t="shared" si="1"/>
        <v>0</v>
      </c>
      <c r="J3" s="19">
        <f t="shared" si="0"/>
        <v>0</v>
      </c>
      <c r="K3" s="19">
        <f t="shared" si="0"/>
        <v>0</v>
      </c>
      <c r="L3" s="19">
        <f t="shared" si="0"/>
        <v>100</v>
      </c>
      <c r="M3" s="19">
        <f t="shared" si="0"/>
        <v>0</v>
      </c>
      <c r="N3" s="19">
        <f t="shared" si="0"/>
        <v>2</v>
      </c>
      <c r="O3" s="19">
        <f t="shared" si="0"/>
        <v>9</v>
      </c>
      <c r="P3" s="19">
        <f t="shared" si="0"/>
        <v>1</v>
      </c>
      <c r="Q3" s="19">
        <f t="shared" si="0"/>
        <v>1</v>
      </c>
      <c r="R3" s="19">
        <f t="shared" si="0"/>
        <v>25</v>
      </c>
      <c r="S3" s="19">
        <f t="shared" si="0"/>
        <v>0</v>
      </c>
      <c r="T3" s="19">
        <f t="shared" si="0"/>
        <v>0</v>
      </c>
      <c r="U3" s="19">
        <f t="shared" si="0"/>
        <v>0</v>
      </c>
      <c r="V3" s="19">
        <f t="shared" si="0"/>
        <v>0</v>
      </c>
      <c r="W3" s="19">
        <f t="shared" si="0"/>
        <v>1</v>
      </c>
    </row>
    <row r="4" spans="1:23" x14ac:dyDescent="0.15">
      <c r="A4" s="24" t="str">
        <f t="shared" ref="A4:A67" si="2">INDIRECT(ADDRESS(ROW()+$A$1,COLUMN(),1,TRUE,$C$1))</f>
        <v>20001_1-1/15&lt;lv9&gt;s3</v>
      </c>
      <c r="B4" s="19">
        <f t="shared" si="0"/>
        <v>20001</v>
      </c>
      <c r="C4" s="19">
        <f t="shared" si="0"/>
        <v>1</v>
      </c>
      <c r="D4" s="19">
        <f t="shared" si="0"/>
        <v>1</v>
      </c>
      <c r="E4" s="19">
        <f t="shared" si="0"/>
        <v>15</v>
      </c>
      <c r="F4" s="19">
        <f t="shared" si="0"/>
        <v>9</v>
      </c>
      <c r="G4" s="19">
        <f t="shared" si="1"/>
        <v>1</v>
      </c>
      <c r="H4" s="19">
        <f t="shared" si="1"/>
        <v>1</v>
      </c>
      <c r="I4" s="19">
        <f t="shared" si="1"/>
        <v>0</v>
      </c>
      <c r="J4" s="19">
        <f t="shared" si="0"/>
        <v>0</v>
      </c>
      <c r="K4" s="19">
        <f t="shared" si="0"/>
        <v>0</v>
      </c>
      <c r="L4" s="19">
        <f t="shared" si="0"/>
        <v>80</v>
      </c>
      <c r="M4" s="19">
        <f t="shared" si="0"/>
        <v>0</v>
      </c>
      <c r="N4" s="19">
        <f t="shared" si="0"/>
        <v>3</v>
      </c>
      <c r="O4" s="19">
        <f t="shared" si="0"/>
        <v>15</v>
      </c>
      <c r="P4" s="19">
        <f t="shared" si="0"/>
        <v>1</v>
      </c>
      <c r="Q4" s="19">
        <f t="shared" si="0"/>
        <v>1</v>
      </c>
      <c r="R4" s="19">
        <f t="shared" si="0"/>
        <v>25</v>
      </c>
      <c r="S4" s="19">
        <f t="shared" si="0"/>
        <v>0</v>
      </c>
      <c r="T4" s="19">
        <f t="shared" si="0"/>
        <v>0</v>
      </c>
      <c r="U4" s="19">
        <f t="shared" si="0"/>
        <v>0</v>
      </c>
      <c r="V4" s="19">
        <f t="shared" si="0"/>
        <v>0</v>
      </c>
      <c r="W4" s="19">
        <f t="shared" si="0"/>
        <v>1</v>
      </c>
    </row>
    <row r="5" spans="1:23" x14ac:dyDescent="0.15">
      <c r="A5" s="24" t="str">
        <f t="shared" si="2"/>
        <v>20001_1-1/21&lt;lv9&gt;s2</v>
      </c>
      <c r="B5" s="19">
        <f t="shared" si="0"/>
        <v>20001</v>
      </c>
      <c r="C5" s="19">
        <f t="shared" si="0"/>
        <v>1</v>
      </c>
      <c r="D5" s="19">
        <f t="shared" si="0"/>
        <v>1</v>
      </c>
      <c r="E5" s="19">
        <f t="shared" si="0"/>
        <v>21</v>
      </c>
      <c r="F5" s="19">
        <f t="shared" si="0"/>
        <v>9</v>
      </c>
      <c r="G5" s="19">
        <f t="shared" si="1"/>
        <v>1</v>
      </c>
      <c r="H5" s="19">
        <f t="shared" si="1"/>
        <v>1</v>
      </c>
      <c r="I5" s="19">
        <f t="shared" si="1"/>
        <v>0</v>
      </c>
      <c r="J5" s="19">
        <f t="shared" si="0"/>
        <v>0</v>
      </c>
      <c r="K5" s="19">
        <f t="shared" si="0"/>
        <v>0</v>
      </c>
      <c r="L5" s="19">
        <f t="shared" si="0"/>
        <v>80</v>
      </c>
      <c r="M5" s="19">
        <f t="shared" si="0"/>
        <v>0</v>
      </c>
      <c r="N5" s="19">
        <f t="shared" si="0"/>
        <v>2</v>
      </c>
      <c r="O5" s="19">
        <f t="shared" si="0"/>
        <v>21</v>
      </c>
      <c r="P5" s="19">
        <f t="shared" si="0"/>
        <v>1</v>
      </c>
      <c r="Q5" s="19">
        <f t="shared" si="0"/>
        <v>1</v>
      </c>
      <c r="R5" s="19">
        <f t="shared" si="0"/>
        <v>25</v>
      </c>
      <c r="S5" s="19">
        <f t="shared" si="0"/>
        <v>0</v>
      </c>
      <c r="T5" s="19">
        <f t="shared" si="0"/>
        <v>0</v>
      </c>
      <c r="U5" s="19">
        <f t="shared" si="0"/>
        <v>0</v>
      </c>
      <c r="V5" s="19">
        <f t="shared" si="0"/>
        <v>0</v>
      </c>
      <c r="W5" s="19">
        <f t="shared" si="0"/>
        <v>1</v>
      </c>
    </row>
    <row r="6" spans="1:23" x14ac:dyDescent="0.15">
      <c r="A6" s="24" t="str">
        <f t="shared" si="2"/>
        <v>20001_1-1/41&lt;lv9&gt;s1</v>
      </c>
      <c r="B6" s="19">
        <f t="shared" si="0"/>
        <v>20001</v>
      </c>
      <c r="C6" s="19">
        <f t="shared" si="0"/>
        <v>1</v>
      </c>
      <c r="D6" s="19">
        <f t="shared" si="0"/>
        <v>1</v>
      </c>
      <c r="E6" s="19">
        <f t="shared" si="0"/>
        <v>41</v>
      </c>
      <c r="F6" s="19">
        <f t="shared" si="0"/>
        <v>9</v>
      </c>
      <c r="G6" s="19">
        <f t="shared" si="1"/>
        <v>1</v>
      </c>
      <c r="H6" s="19">
        <f t="shared" si="1"/>
        <v>1</v>
      </c>
      <c r="I6" s="19">
        <f t="shared" si="1"/>
        <v>0</v>
      </c>
      <c r="J6" s="19">
        <f t="shared" si="0"/>
        <v>0</v>
      </c>
      <c r="K6" s="19">
        <f t="shared" si="0"/>
        <v>0</v>
      </c>
      <c r="L6" s="19">
        <f t="shared" si="0"/>
        <v>80</v>
      </c>
      <c r="M6" s="19">
        <f t="shared" si="0"/>
        <v>0</v>
      </c>
      <c r="N6" s="19">
        <f t="shared" si="0"/>
        <v>1</v>
      </c>
      <c r="O6" s="19">
        <f t="shared" si="0"/>
        <v>41</v>
      </c>
      <c r="P6" s="19">
        <f t="shared" si="0"/>
        <v>1</v>
      </c>
      <c r="Q6" s="19">
        <f t="shared" si="0"/>
        <v>2</v>
      </c>
      <c r="R6" s="19">
        <f t="shared" si="0"/>
        <v>25</v>
      </c>
      <c r="S6" s="19">
        <f t="shared" si="0"/>
        <v>0</v>
      </c>
      <c r="T6" s="19">
        <f t="shared" si="0"/>
        <v>0</v>
      </c>
      <c r="U6" s="19">
        <f t="shared" si="0"/>
        <v>0</v>
      </c>
      <c r="V6" s="19">
        <f t="shared" si="0"/>
        <v>0</v>
      </c>
      <c r="W6" s="19">
        <f t="shared" si="0"/>
        <v>1</v>
      </c>
    </row>
    <row r="7" spans="1:23" x14ac:dyDescent="0.15">
      <c r="A7" s="24" t="str">
        <f t="shared" si="2"/>
        <v>20001_1-1/63&lt;lv11&gt;s2</v>
      </c>
      <c r="B7" s="19">
        <f t="shared" si="0"/>
        <v>20001</v>
      </c>
      <c r="C7" s="19">
        <f t="shared" si="0"/>
        <v>1</v>
      </c>
      <c r="D7" s="19">
        <f t="shared" si="0"/>
        <v>1</v>
      </c>
      <c r="E7" s="19">
        <f t="shared" si="0"/>
        <v>63</v>
      </c>
      <c r="F7" s="19">
        <f t="shared" si="0"/>
        <v>11</v>
      </c>
      <c r="G7" s="19">
        <f t="shared" si="1"/>
        <v>1</v>
      </c>
      <c r="H7" s="19">
        <f t="shared" si="1"/>
        <v>1</v>
      </c>
      <c r="I7" s="19">
        <f t="shared" si="1"/>
        <v>0</v>
      </c>
      <c r="J7" s="19">
        <f t="shared" si="0"/>
        <v>63</v>
      </c>
      <c r="K7" s="19">
        <f t="shared" si="0"/>
        <v>0</v>
      </c>
      <c r="L7" s="19">
        <f t="shared" si="0"/>
        <v>80</v>
      </c>
      <c r="M7" s="19">
        <f t="shared" si="0"/>
        <v>0</v>
      </c>
      <c r="N7" s="19">
        <f t="shared" si="0"/>
        <v>2</v>
      </c>
      <c r="O7" s="19">
        <f t="shared" si="0"/>
        <v>63</v>
      </c>
      <c r="P7" s="19">
        <f t="shared" si="0"/>
        <v>1</v>
      </c>
      <c r="Q7" s="19">
        <f t="shared" si="0"/>
        <v>2</v>
      </c>
      <c r="R7" s="19">
        <f t="shared" si="0"/>
        <v>25</v>
      </c>
      <c r="S7" s="19">
        <f t="shared" si="0"/>
        <v>0</v>
      </c>
      <c r="T7" s="19">
        <f t="shared" si="0"/>
        <v>0</v>
      </c>
      <c r="U7" s="19">
        <f t="shared" si="0"/>
        <v>0</v>
      </c>
      <c r="V7" s="19">
        <f t="shared" si="0"/>
        <v>0</v>
      </c>
      <c r="W7" s="19">
        <f t="shared" si="0"/>
        <v>1</v>
      </c>
    </row>
    <row r="8" spans="1:23" x14ac:dyDescent="0.15">
      <c r="A8" s="24" t="str">
        <f t="shared" si="2"/>
        <v>20001_1-2/9&lt;lv9&gt;s2</v>
      </c>
      <c r="B8" s="19">
        <f t="shared" si="0"/>
        <v>20001</v>
      </c>
      <c r="C8" s="19">
        <f t="shared" si="0"/>
        <v>1</v>
      </c>
      <c r="D8" s="19">
        <f t="shared" si="0"/>
        <v>2</v>
      </c>
      <c r="E8" s="19">
        <f t="shared" si="0"/>
        <v>9</v>
      </c>
      <c r="F8" s="19">
        <f t="shared" si="0"/>
        <v>9</v>
      </c>
      <c r="G8" s="19">
        <f t="shared" si="1"/>
        <v>1</v>
      </c>
      <c r="H8" s="19">
        <f t="shared" si="1"/>
        <v>1</v>
      </c>
      <c r="I8" s="19">
        <f t="shared" si="1"/>
        <v>0</v>
      </c>
      <c r="J8" s="19">
        <f t="shared" si="0"/>
        <v>0</v>
      </c>
      <c r="K8" s="19">
        <f t="shared" si="0"/>
        <v>0</v>
      </c>
      <c r="L8" s="19">
        <f t="shared" si="0"/>
        <v>100</v>
      </c>
      <c r="M8" s="19">
        <f t="shared" si="0"/>
        <v>0</v>
      </c>
      <c r="N8" s="19">
        <f t="shared" si="0"/>
        <v>2</v>
      </c>
      <c r="O8" s="19">
        <f t="shared" si="0"/>
        <v>9</v>
      </c>
      <c r="P8" s="19">
        <f t="shared" si="0"/>
        <v>1</v>
      </c>
      <c r="Q8" s="19">
        <f t="shared" si="0"/>
        <v>1</v>
      </c>
      <c r="R8" s="19">
        <f t="shared" si="0"/>
        <v>25</v>
      </c>
      <c r="S8" s="19">
        <f t="shared" si="0"/>
        <v>0</v>
      </c>
      <c r="T8" s="19">
        <f t="shared" si="0"/>
        <v>0</v>
      </c>
      <c r="U8" s="19">
        <f t="shared" si="0"/>
        <v>0</v>
      </c>
      <c r="V8" s="19">
        <f t="shared" si="0"/>
        <v>0</v>
      </c>
      <c r="W8" s="19">
        <f t="shared" si="0"/>
        <v>1</v>
      </c>
    </row>
    <row r="9" spans="1:23" x14ac:dyDescent="0.15">
      <c r="A9" s="24" t="str">
        <f t="shared" si="2"/>
        <v>20001_1-2/15&lt;lv9&gt;s3</v>
      </c>
      <c r="B9" s="19">
        <f t="shared" si="0"/>
        <v>20001</v>
      </c>
      <c r="C9" s="19">
        <f t="shared" si="0"/>
        <v>1</v>
      </c>
      <c r="D9" s="19">
        <f t="shared" si="0"/>
        <v>2</v>
      </c>
      <c r="E9" s="19">
        <f t="shared" si="0"/>
        <v>15</v>
      </c>
      <c r="F9" s="19">
        <f t="shared" si="0"/>
        <v>9</v>
      </c>
      <c r="G9" s="19">
        <f t="shared" si="1"/>
        <v>1</v>
      </c>
      <c r="H9" s="19">
        <f t="shared" si="1"/>
        <v>1</v>
      </c>
      <c r="I9" s="19">
        <f t="shared" si="1"/>
        <v>0</v>
      </c>
      <c r="J9" s="19">
        <f t="shared" si="0"/>
        <v>0</v>
      </c>
      <c r="K9" s="19">
        <f t="shared" si="0"/>
        <v>0</v>
      </c>
      <c r="L9" s="19">
        <f t="shared" si="0"/>
        <v>80</v>
      </c>
      <c r="M9" s="19">
        <f t="shared" si="0"/>
        <v>0</v>
      </c>
      <c r="N9" s="19">
        <f t="shared" si="0"/>
        <v>3</v>
      </c>
      <c r="O9" s="19">
        <f t="shared" si="0"/>
        <v>15</v>
      </c>
      <c r="P9" s="19">
        <f t="shared" si="0"/>
        <v>1</v>
      </c>
      <c r="Q9" s="19">
        <f t="shared" si="0"/>
        <v>1</v>
      </c>
      <c r="R9" s="19">
        <f t="shared" si="0"/>
        <v>25</v>
      </c>
      <c r="S9" s="19">
        <f t="shared" si="0"/>
        <v>0</v>
      </c>
      <c r="T9" s="19">
        <f t="shared" si="0"/>
        <v>0</v>
      </c>
      <c r="U9" s="19">
        <f t="shared" si="0"/>
        <v>0</v>
      </c>
      <c r="V9" s="19">
        <f t="shared" si="0"/>
        <v>0</v>
      </c>
      <c r="W9" s="19">
        <f t="shared" si="0"/>
        <v>1</v>
      </c>
    </row>
    <row r="10" spans="1:23" x14ac:dyDescent="0.15">
      <c r="A10" s="24" t="str">
        <f t="shared" si="2"/>
        <v>20001_1-2/21&lt;lv9&gt;s2</v>
      </c>
      <c r="B10" s="19">
        <f t="shared" si="0"/>
        <v>20001</v>
      </c>
      <c r="C10" s="19">
        <f t="shared" si="0"/>
        <v>1</v>
      </c>
      <c r="D10" s="19">
        <f t="shared" si="0"/>
        <v>2</v>
      </c>
      <c r="E10" s="19">
        <f t="shared" si="0"/>
        <v>21</v>
      </c>
      <c r="F10" s="19">
        <f t="shared" si="0"/>
        <v>9</v>
      </c>
      <c r="G10" s="19">
        <f t="shared" si="1"/>
        <v>1</v>
      </c>
      <c r="H10" s="19">
        <f t="shared" si="1"/>
        <v>1</v>
      </c>
      <c r="I10" s="19">
        <f t="shared" si="1"/>
        <v>0</v>
      </c>
      <c r="J10" s="19">
        <f t="shared" si="0"/>
        <v>0</v>
      </c>
      <c r="K10" s="19">
        <f t="shared" si="0"/>
        <v>0</v>
      </c>
      <c r="L10" s="19">
        <f t="shared" si="0"/>
        <v>80</v>
      </c>
      <c r="M10" s="19">
        <f t="shared" si="0"/>
        <v>0</v>
      </c>
      <c r="N10" s="19">
        <f t="shared" si="0"/>
        <v>2</v>
      </c>
      <c r="O10" s="19">
        <f t="shared" si="0"/>
        <v>21</v>
      </c>
      <c r="P10" s="19">
        <f t="shared" si="0"/>
        <v>1</v>
      </c>
      <c r="Q10" s="19">
        <f t="shared" si="0"/>
        <v>1</v>
      </c>
      <c r="R10" s="19">
        <f t="shared" si="0"/>
        <v>25</v>
      </c>
      <c r="S10" s="19">
        <f t="shared" si="0"/>
        <v>0</v>
      </c>
      <c r="T10" s="19">
        <f t="shared" si="0"/>
        <v>0</v>
      </c>
      <c r="U10" s="19">
        <f t="shared" si="0"/>
        <v>0</v>
      </c>
      <c r="V10" s="19">
        <f t="shared" si="0"/>
        <v>0</v>
      </c>
      <c r="W10" s="19">
        <f t="shared" si="0"/>
        <v>1</v>
      </c>
    </row>
    <row r="11" spans="1:23" x14ac:dyDescent="0.15">
      <c r="A11" s="24" t="str">
        <f t="shared" si="2"/>
        <v>20001_1-2/41&lt;lv9&gt;s1</v>
      </c>
      <c r="B11" s="19">
        <f t="shared" si="0"/>
        <v>20001</v>
      </c>
      <c r="C11" s="19">
        <f t="shared" si="0"/>
        <v>1</v>
      </c>
      <c r="D11" s="19">
        <f t="shared" si="0"/>
        <v>2</v>
      </c>
      <c r="E11" s="19">
        <f t="shared" si="0"/>
        <v>41</v>
      </c>
      <c r="F11" s="19">
        <f t="shared" si="0"/>
        <v>9</v>
      </c>
      <c r="G11" s="19">
        <f t="shared" si="1"/>
        <v>1</v>
      </c>
      <c r="H11" s="19">
        <f t="shared" si="1"/>
        <v>1</v>
      </c>
      <c r="I11" s="19">
        <f t="shared" si="1"/>
        <v>0</v>
      </c>
      <c r="J11" s="19">
        <f t="shared" si="0"/>
        <v>0</v>
      </c>
      <c r="K11" s="19">
        <f t="shared" si="0"/>
        <v>0</v>
      </c>
      <c r="L11" s="19">
        <f t="shared" si="0"/>
        <v>80</v>
      </c>
      <c r="M11" s="19">
        <f t="shared" si="0"/>
        <v>0</v>
      </c>
      <c r="N11" s="19">
        <f t="shared" si="0"/>
        <v>1</v>
      </c>
      <c r="O11" s="19">
        <f t="shared" si="0"/>
        <v>41</v>
      </c>
      <c r="P11" s="19">
        <f t="shared" si="0"/>
        <v>1</v>
      </c>
      <c r="Q11" s="19">
        <f t="shared" si="0"/>
        <v>2</v>
      </c>
      <c r="R11" s="19">
        <f t="shared" si="0"/>
        <v>25</v>
      </c>
      <c r="S11" s="19">
        <f t="shared" si="0"/>
        <v>0</v>
      </c>
      <c r="T11" s="19">
        <f t="shared" si="0"/>
        <v>0</v>
      </c>
      <c r="U11" s="19">
        <f t="shared" si="0"/>
        <v>0</v>
      </c>
      <c r="V11" s="19">
        <f t="shared" si="0"/>
        <v>0</v>
      </c>
      <c r="W11" s="19">
        <f t="shared" si="0"/>
        <v>1</v>
      </c>
    </row>
    <row r="12" spans="1:23" x14ac:dyDescent="0.15">
      <c r="A12" s="24" t="str">
        <f t="shared" si="2"/>
        <v>20001_1-2/63&lt;lv11&gt;s2</v>
      </c>
      <c r="B12" s="19">
        <f t="shared" si="0"/>
        <v>20001</v>
      </c>
      <c r="C12" s="19">
        <f t="shared" si="0"/>
        <v>1</v>
      </c>
      <c r="D12" s="19">
        <f t="shared" si="0"/>
        <v>2</v>
      </c>
      <c r="E12" s="19">
        <f t="shared" si="0"/>
        <v>63</v>
      </c>
      <c r="F12" s="19">
        <f t="shared" si="0"/>
        <v>11</v>
      </c>
      <c r="G12" s="19">
        <f t="shared" si="1"/>
        <v>1</v>
      </c>
      <c r="H12" s="19">
        <f t="shared" si="1"/>
        <v>1</v>
      </c>
      <c r="I12" s="19">
        <f t="shared" si="1"/>
        <v>0</v>
      </c>
      <c r="J12" s="19">
        <f t="shared" si="0"/>
        <v>63</v>
      </c>
      <c r="K12" s="19">
        <f t="shared" si="0"/>
        <v>0</v>
      </c>
      <c r="L12" s="19">
        <f t="shared" si="0"/>
        <v>80</v>
      </c>
      <c r="M12" s="19">
        <f t="shared" si="0"/>
        <v>0</v>
      </c>
      <c r="N12" s="19">
        <f t="shared" si="0"/>
        <v>2</v>
      </c>
      <c r="O12" s="19">
        <f t="shared" si="0"/>
        <v>63</v>
      </c>
      <c r="P12" s="19">
        <f t="shared" si="0"/>
        <v>1</v>
      </c>
      <c r="Q12" s="19">
        <f t="shared" si="0"/>
        <v>2</v>
      </c>
      <c r="R12" s="19">
        <f t="shared" si="0"/>
        <v>25</v>
      </c>
      <c r="S12" s="19">
        <f t="shared" si="0"/>
        <v>0</v>
      </c>
      <c r="T12" s="19">
        <f t="shared" si="0"/>
        <v>0</v>
      </c>
      <c r="U12" s="19">
        <f t="shared" si="0"/>
        <v>0</v>
      </c>
      <c r="V12" s="19">
        <f t="shared" si="0"/>
        <v>0</v>
      </c>
      <c r="W12" s="19">
        <f t="shared" si="0"/>
        <v>1</v>
      </c>
    </row>
    <row r="13" spans="1:23" x14ac:dyDescent="0.15">
      <c r="A13" s="24" t="str">
        <f t="shared" si="2"/>
        <v>20001_1-3/9&lt;lv9&gt;s2</v>
      </c>
      <c r="B13" s="19">
        <f t="shared" si="0"/>
        <v>20001</v>
      </c>
      <c r="C13" s="19">
        <f t="shared" si="0"/>
        <v>1</v>
      </c>
      <c r="D13" s="19">
        <f t="shared" si="0"/>
        <v>3</v>
      </c>
      <c r="E13" s="19">
        <f t="shared" si="0"/>
        <v>9</v>
      </c>
      <c r="F13" s="19">
        <f t="shared" si="0"/>
        <v>9</v>
      </c>
      <c r="G13" s="19">
        <f t="shared" si="1"/>
        <v>1</v>
      </c>
      <c r="H13" s="19">
        <f t="shared" si="1"/>
        <v>1</v>
      </c>
      <c r="I13" s="19">
        <f t="shared" si="1"/>
        <v>0</v>
      </c>
      <c r="J13" s="19">
        <f t="shared" si="0"/>
        <v>0</v>
      </c>
      <c r="K13" s="19">
        <f t="shared" si="0"/>
        <v>0</v>
      </c>
      <c r="L13" s="19">
        <f t="shared" si="0"/>
        <v>100</v>
      </c>
      <c r="M13" s="19">
        <f t="shared" si="0"/>
        <v>0</v>
      </c>
      <c r="N13" s="19">
        <f t="shared" si="0"/>
        <v>2</v>
      </c>
      <c r="O13" s="19">
        <f t="shared" si="0"/>
        <v>9</v>
      </c>
      <c r="P13" s="19">
        <f t="shared" si="0"/>
        <v>1</v>
      </c>
      <c r="Q13" s="19">
        <f t="shared" si="0"/>
        <v>1</v>
      </c>
      <c r="R13" s="19">
        <f t="shared" si="0"/>
        <v>25</v>
      </c>
      <c r="S13" s="19">
        <f t="shared" si="0"/>
        <v>0</v>
      </c>
      <c r="T13" s="19">
        <f t="shared" si="0"/>
        <v>0</v>
      </c>
      <c r="U13" s="19">
        <f t="shared" si="0"/>
        <v>0</v>
      </c>
      <c r="V13" s="19">
        <f t="shared" si="0"/>
        <v>0</v>
      </c>
      <c r="W13" s="19">
        <f t="shared" si="0"/>
        <v>1</v>
      </c>
    </row>
    <row r="14" spans="1:23" x14ac:dyDescent="0.15">
      <c r="A14" s="24" t="str">
        <f t="shared" si="2"/>
        <v>20001_1-3/15&lt;lv9&gt;s3</v>
      </c>
      <c r="B14" s="19">
        <f t="shared" si="0"/>
        <v>20001</v>
      </c>
      <c r="C14" s="19">
        <f t="shared" si="0"/>
        <v>1</v>
      </c>
      <c r="D14" s="19">
        <f t="shared" si="0"/>
        <v>3</v>
      </c>
      <c r="E14" s="19">
        <f t="shared" si="0"/>
        <v>15</v>
      </c>
      <c r="F14" s="19">
        <f t="shared" si="0"/>
        <v>9</v>
      </c>
      <c r="G14" s="19">
        <f t="shared" si="1"/>
        <v>1</v>
      </c>
      <c r="H14" s="19">
        <f t="shared" si="1"/>
        <v>1</v>
      </c>
      <c r="I14" s="19">
        <f t="shared" si="1"/>
        <v>0</v>
      </c>
      <c r="J14" s="19">
        <f t="shared" si="0"/>
        <v>0</v>
      </c>
      <c r="K14" s="19">
        <f t="shared" si="0"/>
        <v>0</v>
      </c>
      <c r="L14" s="19">
        <f t="shared" si="0"/>
        <v>80</v>
      </c>
      <c r="M14" s="19">
        <f t="shared" si="0"/>
        <v>0</v>
      </c>
      <c r="N14" s="19">
        <f t="shared" si="0"/>
        <v>3</v>
      </c>
      <c r="O14" s="19">
        <f t="shared" si="0"/>
        <v>15</v>
      </c>
      <c r="P14" s="19">
        <f t="shared" si="0"/>
        <v>1</v>
      </c>
      <c r="Q14" s="19">
        <f t="shared" si="0"/>
        <v>1</v>
      </c>
      <c r="R14" s="19">
        <f t="shared" si="0"/>
        <v>25</v>
      </c>
      <c r="S14" s="19">
        <f t="shared" si="0"/>
        <v>0</v>
      </c>
      <c r="T14" s="19">
        <f t="shared" si="0"/>
        <v>0</v>
      </c>
      <c r="U14" s="19">
        <f t="shared" si="0"/>
        <v>0</v>
      </c>
      <c r="V14" s="19">
        <f t="shared" si="0"/>
        <v>0</v>
      </c>
      <c r="W14" s="19">
        <f t="shared" si="0"/>
        <v>1</v>
      </c>
    </row>
    <row r="15" spans="1:23" x14ac:dyDescent="0.15">
      <c r="A15" s="24" t="str">
        <f t="shared" si="2"/>
        <v>20001_1-3/21&lt;lv9&gt;s2</v>
      </c>
      <c r="B15" s="19">
        <f t="shared" si="0"/>
        <v>20001</v>
      </c>
      <c r="C15" s="19">
        <f t="shared" si="0"/>
        <v>1</v>
      </c>
      <c r="D15" s="19">
        <f t="shared" si="0"/>
        <v>3</v>
      </c>
      <c r="E15" s="19">
        <f t="shared" si="0"/>
        <v>21</v>
      </c>
      <c r="F15" s="19">
        <f t="shared" si="0"/>
        <v>9</v>
      </c>
      <c r="G15" s="19">
        <f t="shared" si="1"/>
        <v>1</v>
      </c>
      <c r="H15" s="19">
        <f t="shared" si="1"/>
        <v>1</v>
      </c>
      <c r="I15" s="19">
        <f t="shared" si="1"/>
        <v>0</v>
      </c>
      <c r="J15" s="19">
        <f t="shared" si="0"/>
        <v>0</v>
      </c>
      <c r="K15" s="19">
        <f t="shared" si="0"/>
        <v>0</v>
      </c>
      <c r="L15" s="19">
        <f t="shared" si="0"/>
        <v>80</v>
      </c>
      <c r="M15" s="19">
        <f t="shared" si="0"/>
        <v>0</v>
      </c>
      <c r="N15" s="19">
        <f t="shared" si="0"/>
        <v>2</v>
      </c>
      <c r="O15" s="19">
        <f t="shared" si="0"/>
        <v>21</v>
      </c>
      <c r="P15" s="19">
        <f t="shared" si="0"/>
        <v>1</v>
      </c>
      <c r="Q15" s="19">
        <f t="shared" si="0"/>
        <v>1</v>
      </c>
      <c r="R15" s="19">
        <f t="shared" si="0"/>
        <v>25</v>
      </c>
      <c r="S15" s="19">
        <f t="shared" si="0"/>
        <v>0</v>
      </c>
      <c r="T15" s="19">
        <f t="shared" si="0"/>
        <v>0</v>
      </c>
      <c r="U15" s="19">
        <f t="shared" si="0"/>
        <v>0</v>
      </c>
      <c r="V15" s="19">
        <f t="shared" si="0"/>
        <v>0</v>
      </c>
      <c r="W15" s="19">
        <f t="shared" si="0"/>
        <v>1</v>
      </c>
    </row>
    <row r="16" spans="1:23" x14ac:dyDescent="0.15">
      <c r="A16" s="24" t="str">
        <f t="shared" si="2"/>
        <v>20001_1-3/41&lt;lv9&gt;s1</v>
      </c>
      <c r="B16" s="19">
        <f t="shared" si="0"/>
        <v>20001</v>
      </c>
      <c r="C16" s="19">
        <f t="shared" si="0"/>
        <v>1</v>
      </c>
      <c r="D16" s="19">
        <f t="shared" si="0"/>
        <v>3</v>
      </c>
      <c r="E16" s="19">
        <f t="shared" si="0"/>
        <v>41</v>
      </c>
      <c r="F16" s="19">
        <f t="shared" si="0"/>
        <v>9</v>
      </c>
      <c r="G16" s="19">
        <f t="shared" si="1"/>
        <v>1</v>
      </c>
      <c r="H16" s="19">
        <f t="shared" si="1"/>
        <v>1</v>
      </c>
      <c r="I16" s="19">
        <f t="shared" si="1"/>
        <v>0</v>
      </c>
      <c r="J16" s="19">
        <f t="shared" si="0"/>
        <v>0</v>
      </c>
      <c r="K16" s="19">
        <f t="shared" si="0"/>
        <v>0</v>
      </c>
      <c r="L16" s="19">
        <f t="shared" si="0"/>
        <v>80</v>
      </c>
      <c r="M16" s="19">
        <f t="shared" ref="M16:W52" si="3">VLOOKUP($A16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0</v>
      </c>
      <c r="N16" s="19">
        <f t="shared" si="3"/>
        <v>1</v>
      </c>
      <c r="O16" s="19">
        <f t="shared" si="3"/>
        <v>41</v>
      </c>
      <c r="P16" s="19">
        <f t="shared" si="3"/>
        <v>1</v>
      </c>
      <c r="Q16" s="19">
        <f t="shared" si="3"/>
        <v>2</v>
      </c>
      <c r="R16" s="19">
        <f t="shared" si="3"/>
        <v>25</v>
      </c>
      <c r="S16" s="19">
        <f t="shared" si="3"/>
        <v>0</v>
      </c>
      <c r="T16" s="19">
        <f t="shared" si="3"/>
        <v>0</v>
      </c>
      <c r="U16" s="19">
        <f t="shared" si="3"/>
        <v>0</v>
      </c>
      <c r="V16" s="19">
        <f t="shared" si="3"/>
        <v>0</v>
      </c>
      <c r="W16" s="19">
        <f t="shared" si="3"/>
        <v>1</v>
      </c>
    </row>
    <row r="17" spans="1:23" x14ac:dyDescent="0.15">
      <c r="A17" s="24" t="str">
        <f t="shared" si="2"/>
        <v>20001_1-3/63&lt;lv11&gt;s2</v>
      </c>
      <c r="B17" s="19">
        <f t="shared" ref="B17:Q33" si="4">VLOOKUP($A17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20001</v>
      </c>
      <c r="C17" s="19">
        <f t="shared" si="4"/>
        <v>1</v>
      </c>
      <c r="D17" s="19">
        <f t="shared" si="4"/>
        <v>3</v>
      </c>
      <c r="E17" s="19">
        <f t="shared" si="4"/>
        <v>63</v>
      </c>
      <c r="F17" s="19">
        <f t="shared" si="4"/>
        <v>11</v>
      </c>
      <c r="G17" s="19">
        <f t="shared" si="1"/>
        <v>1</v>
      </c>
      <c r="H17" s="19">
        <f t="shared" si="1"/>
        <v>1</v>
      </c>
      <c r="I17" s="19">
        <f t="shared" si="1"/>
        <v>0</v>
      </c>
      <c r="J17" s="19">
        <f t="shared" si="4"/>
        <v>63</v>
      </c>
      <c r="K17" s="19">
        <f t="shared" si="4"/>
        <v>0</v>
      </c>
      <c r="L17" s="19">
        <f t="shared" si="4"/>
        <v>80</v>
      </c>
      <c r="M17" s="19">
        <f t="shared" si="4"/>
        <v>0</v>
      </c>
      <c r="N17" s="19">
        <f t="shared" si="4"/>
        <v>2</v>
      </c>
      <c r="O17" s="19">
        <f t="shared" si="4"/>
        <v>63</v>
      </c>
      <c r="P17" s="19">
        <f t="shared" si="4"/>
        <v>1</v>
      </c>
      <c r="Q17" s="19">
        <f t="shared" si="4"/>
        <v>2</v>
      </c>
      <c r="R17" s="19">
        <f t="shared" si="3"/>
        <v>25</v>
      </c>
      <c r="S17" s="19">
        <f t="shared" si="3"/>
        <v>0</v>
      </c>
      <c r="T17" s="19">
        <f t="shared" si="3"/>
        <v>0</v>
      </c>
      <c r="U17" s="19">
        <f t="shared" si="3"/>
        <v>0</v>
      </c>
      <c r="V17" s="19">
        <f t="shared" si="3"/>
        <v>0</v>
      </c>
      <c r="W17" s="19">
        <f t="shared" si="3"/>
        <v>1</v>
      </c>
    </row>
    <row r="18" spans="1:23" x14ac:dyDescent="0.15">
      <c r="A18" s="24" t="str">
        <f t="shared" si="2"/>
        <v>20001_1-4/9&lt;lv9&gt;s2</v>
      </c>
      <c r="B18" s="19">
        <f t="shared" si="4"/>
        <v>20001</v>
      </c>
      <c r="C18" s="19">
        <f t="shared" si="4"/>
        <v>1</v>
      </c>
      <c r="D18" s="19">
        <f t="shared" si="4"/>
        <v>4</v>
      </c>
      <c r="E18" s="19">
        <f t="shared" si="4"/>
        <v>9</v>
      </c>
      <c r="F18" s="19">
        <f t="shared" si="4"/>
        <v>9</v>
      </c>
      <c r="G18" s="19">
        <f t="shared" si="1"/>
        <v>1</v>
      </c>
      <c r="H18" s="19">
        <f t="shared" si="1"/>
        <v>1</v>
      </c>
      <c r="I18" s="19">
        <f t="shared" si="1"/>
        <v>0</v>
      </c>
      <c r="J18" s="19">
        <f t="shared" si="4"/>
        <v>0</v>
      </c>
      <c r="K18" s="19">
        <f t="shared" si="4"/>
        <v>0</v>
      </c>
      <c r="L18" s="19">
        <f t="shared" si="4"/>
        <v>100</v>
      </c>
      <c r="M18" s="19">
        <f t="shared" si="4"/>
        <v>0</v>
      </c>
      <c r="N18" s="19">
        <f t="shared" si="4"/>
        <v>2</v>
      </c>
      <c r="O18" s="19">
        <f t="shared" si="4"/>
        <v>9</v>
      </c>
      <c r="P18" s="19">
        <f t="shared" si="4"/>
        <v>1</v>
      </c>
      <c r="Q18" s="19">
        <f t="shared" si="4"/>
        <v>1</v>
      </c>
      <c r="R18" s="19">
        <f t="shared" si="3"/>
        <v>25</v>
      </c>
      <c r="S18" s="19">
        <f t="shared" si="3"/>
        <v>0</v>
      </c>
      <c r="T18" s="19">
        <f t="shared" si="3"/>
        <v>0</v>
      </c>
      <c r="U18" s="19">
        <f t="shared" si="3"/>
        <v>0</v>
      </c>
      <c r="V18" s="19">
        <f t="shared" si="3"/>
        <v>0</v>
      </c>
      <c r="W18" s="19">
        <f t="shared" si="3"/>
        <v>1</v>
      </c>
    </row>
    <row r="19" spans="1:23" x14ac:dyDescent="0.15">
      <c r="A19" s="24" t="str">
        <f t="shared" si="2"/>
        <v>20001_1-4/15&lt;lv9&gt;s3</v>
      </c>
      <c r="B19" s="19">
        <f t="shared" si="4"/>
        <v>20001</v>
      </c>
      <c r="C19" s="19">
        <f t="shared" si="4"/>
        <v>1</v>
      </c>
      <c r="D19" s="19">
        <f t="shared" si="4"/>
        <v>4</v>
      </c>
      <c r="E19" s="19">
        <f t="shared" si="4"/>
        <v>15</v>
      </c>
      <c r="F19" s="19">
        <f t="shared" si="4"/>
        <v>9</v>
      </c>
      <c r="G19" s="19">
        <f t="shared" si="4"/>
        <v>1</v>
      </c>
      <c r="H19" s="19">
        <f t="shared" si="4"/>
        <v>1</v>
      </c>
      <c r="I19" s="19">
        <f t="shared" si="4"/>
        <v>0</v>
      </c>
      <c r="J19" s="19">
        <f t="shared" si="4"/>
        <v>0</v>
      </c>
      <c r="K19" s="19">
        <f t="shared" si="4"/>
        <v>0</v>
      </c>
      <c r="L19" s="19">
        <f t="shared" si="4"/>
        <v>80</v>
      </c>
      <c r="M19" s="19">
        <f t="shared" si="4"/>
        <v>0</v>
      </c>
      <c r="N19" s="19">
        <f t="shared" si="4"/>
        <v>3</v>
      </c>
      <c r="O19" s="19">
        <f t="shared" si="4"/>
        <v>15</v>
      </c>
      <c r="P19" s="19">
        <f t="shared" si="4"/>
        <v>1</v>
      </c>
      <c r="Q19" s="19">
        <f t="shared" si="4"/>
        <v>1</v>
      </c>
      <c r="R19" s="19">
        <f t="shared" si="3"/>
        <v>25</v>
      </c>
      <c r="S19" s="19">
        <f t="shared" si="3"/>
        <v>0</v>
      </c>
      <c r="T19" s="19">
        <f t="shared" si="3"/>
        <v>0</v>
      </c>
      <c r="U19" s="19">
        <f t="shared" si="3"/>
        <v>0</v>
      </c>
      <c r="V19" s="19">
        <f t="shared" si="3"/>
        <v>0</v>
      </c>
      <c r="W19" s="19">
        <f t="shared" si="3"/>
        <v>1</v>
      </c>
    </row>
    <row r="20" spans="1:23" x14ac:dyDescent="0.15">
      <c r="A20" s="24" t="str">
        <f t="shared" si="2"/>
        <v>20001_1-4/21&lt;lv9&gt;s2</v>
      </c>
      <c r="B20" s="19">
        <f t="shared" si="4"/>
        <v>20001</v>
      </c>
      <c r="C20" s="19">
        <f t="shared" si="4"/>
        <v>1</v>
      </c>
      <c r="D20" s="19">
        <f t="shared" si="4"/>
        <v>4</v>
      </c>
      <c r="E20" s="19">
        <f t="shared" si="4"/>
        <v>21</v>
      </c>
      <c r="F20" s="19">
        <f t="shared" si="4"/>
        <v>9</v>
      </c>
      <c r="G20" s="19">
        <f t="shared" si="4"/>
        <v>1</v>
      </c>
      <c r="H20" s="19">
        <f t="shared" si="4"/>
        <v>1</v>
      </c>
      <c r="I20" s="19">
        <f t="shared" si="4"/>
        <v>0</v>
      </c>
      <c r="J20" s="19">
        <f t="shared" si="4"/>
        <v>0</v>
      </c>
      <c r="K20" s="19">
        <f t="shared" si="4"/>
        <v>0</v>
      </c>
      <c r="L20" s="19">
        <f t="shared" si="4"/>
        <v>80</v>
      </c>
      <c r="M20" s="19">
        <f t="shared" si="4"/>
        <v>0</v>
      </c>
      <c r="N20" s="19">
        <f t="shared" si="4"/>
        <v>2</v>
      </c>
      <c r="O20" s="19">
        <f t="shared" si="4"/>
        <v>21</v>
      </c>
      <c r="P20" s="19">
        <f t="shared" si="4"/>
        <v>1</v>
      </c>
      <c r="Q20" s="19">
        <f t="shared" si="4"/>
        <v>1</v>
      </c>
      <c r="R20" s="19">
        <f t="shared" si="3"/>
        <v>25</v>
      </c>
      <c r="S20" s="19">
        <f t="shared" si="3"/>
        <v>0</v>
      </c>
      <c r="T20" s="19">
        <f t="shared" si="3"/>
        <v>0</v>
      </c>
      <c r="U20" s="19">
        <f t="shared" si="3"/>
        <v>0</v>
      </c>
      <c r="V20" s="19">
        <f t="shared" si="3"/>
        <v>0</v>
      </c>
      <c r="W20" s="19">
        <f t="shared" si="3"/>
        <v>1</v>
      </c>
    </row>
    <row r="21" spans="1:23" x14ac:dyDescent="0.15">
      <c r="A21" s="24" t="str">
        <f t="shared" si="2"/>
        <v>20001_1-4/41&lt;lv9&gt;s1</v>
      </c>
      <c r="B21" s="19">
        <f t="shared" si="4"/>
        <v>20001</v>
      </c>
      <c r="C21" s="19">
        <f t="shared" si="4"/>
        <v>1</v>
      </c>
      <c r="D21" s="19">
        <f t="shared" si="4"/>
        <v>4</v>
      </c>
      <c r="E21" s="19">
        <f t="shared" si="4"/>
        <v>41</v>
      </c>
      <c r="F21" s="19">
        <f t="shared" si="4"/>
        <v>9</v>
      </c>
      <c r="G21" s="19">
        <f t="shared" si="4"/>
        <v>1</v>
      </c>
      <c r="H21" s="19">
        <f t="shared" si="4"/>
        <v>1</v>
      </c>
      <c r="I21" s="19">
        <f t="shared" si="4"/>
        <v>0</v>
      </c>
      <c r="J21" s="19">
        <f t="shared" si="4"/>
        <v>0</v>
      </c>
      <c r="K21" s="19">
        <f t="shared" si="4"/>
        <v>0</v>
      </c>
      <c r="L21" s="19">
        <f t="shared" si="4"/>
        <v>80</v>
      </c>
      <c r="M21" s="19">
        <f t="shared" si="4"/>
        <v>0</v>
      </c>
      <c r="N21" s="19">
        <f t="shared" si="4"/>
        <v>1</v>
      </c>
      <c r="O21" s="19">
        <f t="shared" si="4"/>
        <v>41</v>
      </c>
      <c r="P21" s="19">
        <f t="shared" si="4"/>
        <v>1</v>
      </c>
      <c r="Q21" s="19">
        <f t="shared" si="4"/>
        <v>2</v>
      </c>
      <c r="R21" s="19">
        <f t="shared" si="3"/>
        <v>25</v>
      </c>
      <c r="S21" s="19">
        <f t="shared" si="3"/>
        <v>0</v>
      </c>
      <c r="T21" s="19">
        <f t="shared" si="3"/>
        <v>0</v>
      </c>
      <c r="U21" s="19">
        <f t="shared" si="3"/>
        <v>0</v>
      </c>
      <c r="V21" s="19">
        <f t="shared" si="3"/>
        <v>0</v>
      </c>
      <c r="W21" s="19">
        <f t="shared" si="3"/>
        <v>1</v>
      </c>
    </row>
    <row r="22" spans="1:23" x14ac:dyDescent="0.15">
      <c r="A22" s="24" t="str">
        <f t="shared" si="2"/>
        <v>20001_1-4/63&lt;lv11&gt;s2</v>
      </c>
      <c r="B22" s="19">
        <f t="shared" si="4"/>
        <v>20001</v>
      </c>
      <c r="C22" s="19">
        <f t="shared" si="4"/>
        <v>1</v>
      </c>
      <c r="D22" s="19">
        <f t="shared" si="4"/>
        <v>4</v>
      </c>
      <c r="E22" s="19">
        <f t="shared" si="4"/>
        <v>63</v>
      </c>
      <c r="F22" s="19">
        <f t="shared" si="4"/>
        <v>11</v>
      </c>
      <c r="G22" s="19">
        <f t="shared" si="4"/>
        <v>1</v>
      </c>
      <c r="H22" s="19">
        <f t="shared" si="4"/>
        <v>1</v>
      </c>
      <c r="I22" s="19">
        <f t="shared" si="4"/>
        <v>0</v>
      </c>
      <c r="J22" s="19">
        <f t="shared" si="4"/>
        <v>63</v>
      </c>
      <c r="K22" s="19">
        <f t="shared" si="4"/>
        <v>0</v>
      </c>
      <c r="L22" s="19">
        <f t="shared" si="4"/>
        <v>80</v>
      </c>
      <c r="M22" s="19">
        <f t="shared" si="4"/>
        <v>0</v>
      </c>
      <c r="N22" s="19">
        <f t="shared" si="4"/>
        <v>2</v>
      </c>
      <c r="O22" s="19">
        <f t="shared" si="4"/>
        <v>63</v>
      </c>
      <c r="P22" s="19">
        <f t="shared" si="4"/>
        <v>1</v>
      </c>
      <c r="Q22" s="19">
        <f t="shared" si="4"/>
        <v>2</v>
      </c>
      <c r="R22" s="19">
        <f t="shared" si="3"/>
        <v>25</v>
      </c>
      <c r="S22" s="19">
        <f t="shared" si="3"/>
        <v>0</v>
      </c>
      <c r="T22" s="19">
        <f t="shared" si="3"/>
        <v>0</v>
      </c>
      <c r="U22" s="19">
        <f t="shared" si="3"/>
        <v>0</v>
      </c>
      <c r="V22" s="19">
        <f t="shared" si="3"/>
        <v>0</v>
      </c>
      <c r="W22" s="19">
        <f t="shared" si="3"/>
        <v>1</v>
      </c>
    </row>
    <row r="23" spans="1:23" x14ac:dyDescent="0.15">
      <c r="A23" s="24" t="str">
        <f t="shared" si="2"/>
        <v>20001_1-5/19&lt;lv13&gt;s3</v>
      </c>
      <c r="B23" s="19">
        <f t="shared" si="4"/>
        <v>20001</v>
      </c>
      <c r="C23" s="19">
        <f t="shared" si="4"/>
        <v>1</v>
      </c>
      <c r="D23" s="19">
        <f t="shared" si="4"/>
        <v>5</v>
      </c>
      <c r="E23" s="19">
        <f t="shared" si="4"/>
        <v>19</v>
      </c>
      <c r="F23" s="19">
        <f t="shared" si="4"/>
        <v>13</v>
      </c>
      <c r="G23" s="19">
        <f t="shared" si="4"/>
        <v>1</v>
      </c>
      <c r="H23" s="19">
        <f t="shared" si="4"/>
        <v>1</v>
      </c>
      <c r="I23" s="19">
        <f t="shared" si="4"/>
        <v>0</v>
      </c>
      <c r="J23" s="19">
        <f t="shared" si="4"/>
        <v>0</v>
      </c>
      <c r="K23" s="19">
        <f t="shared" si="4"/>
        <v>2</v>
      </c>
      <c r="L23" s="19">
        <f t="shared" si="4"/>
        <v>0</v>
      </c>
      <c r="M23" s="19">
        <f t="shared" si="4"/>
        <v>0</v>
      </c>
      <c r="N23" s="19">
        <f t="shared" si="4"/>
        <v>3</v>
      </c>
      <c r="O23" s="19">
        <f t="shared" si="4"/>
        <v>19</v>
      </c>
      <c r="P23" s="19">
        <f t="shared" si="4"/>
        <v>1</v>
      </c>
      <c r="Q23" s="19">
        <f t="shared" si="4"/>
        <v>1</v>
      </c>
      <c r="R23" s="19">
        <f t="shared" si="3"/>
        <v>0</v>
      </c>
      <c r="S23" s="19">
        <f t="shared" si="3"/>
        <v>0</v>
      </c>
      <c r="T23" s="19">
        <f t="shared" si="3"/>
        <v>0</v>
      </c>
      <c r="U23" s="19">
        <f t="shared" si="3"/>
        <v>0</v>
      </c>
      <c r="V23" s="19">
        <f t="shared" si="3"/>
        <v>0</v>
      </c>
      <c r="W23" s="19">
        <f t="shared" si="3"/>
        <v>1</v>
      </c>
    </row>
    <row r="24" spans="1:23" x14ac:dyDescent="0.15">
      <c r="A24" s="24" t="str">
        <f t="shared" si="2"/>
        <v>20001_1-5/262&lt;lv11&gt;s2</v>
      </c>
      <c r="B24" s="19">
        <f t="shared" si="4"/>
        <v>20001</v>
      </c>
      <c r="C24" s="19">
        <f t="shared" si="4"/>
        <v>1</v>
      </c>
      <c r="D24" s="19">
        <f t="shared" si="4"/>
        <v>5</v>
      </c>
      <c r="E24" s="19">
        <f t="shared" si="4"/>
        <v>262</v>
      </c>
      <c r="F24" s="19">
        <f t="shared" si="4"/>
        <v>11</v>
      </c>
      <c r="G24" s="19">
        <f t="shared" si="4"/>
        <v>1.5</v>
      </c>
      <c r="H24" s="19">
        <f t="shared" si="4"/>
        <v>1</v>
      </c>
      <c r="I24" s="19">
        <f t="shared" si="4"/>
        <v>0</v>
      </c>
      <c r="J24" s="19">
        <f t="shared" si="4"/>
        <v>0</v>
      </c>
      <c r="K24" s="19">
        <f t="shared" si="4"/>
        <v>1</v>
      </c>
      <c r="L24" s="19">
        <f t="shared" si="4"/>
        <v>0</v>
      </c>
      <c r="M24" s="19">
        <f t="shared" si="4"/>
        <v>1</v>
      </c>
      <c r="N24" s="19">
        <f t="shared" si="4"/>
        <v>2</v>
      </c>
      <c r="O24" s="19">
        <f t="shared" si="4"/>
        <v>262</v>
      </c>
      <c r="P24" s="19">
        <f t="shared" si="4"/>
        <v>1</v>
      </c>
      <c r="Q24" s="19">
        <f t="shared" si="4"/>
        <v>3</v>
      </c>
      <c r="R24" s="19">
        <f>VLOOKUP($A24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20</v>
      </c>
      <c r="S24" s="19">
        <f t="shared" si="3"/>
        <v>0</v>
      </c>
      <c r="T24" s="19">
        <f t="shared" si="3"/>
        <v>0</v>
      </c>
      <c r="U24" s="19">
        <f t="shared" si="3"/>
        <v>0</v>
      </c>
      <c r="V24" s="19">
        <f t="shared" si="3"/>
        <v>0</v>
      </c>
      <c r="W24" s="19">
        <f t="shared" si="3"/>
        <v>1</v>
      </c>
    </row>
    <row r="25" spans="1:23" x14ac:dyDescent="0.15">
      <c r="A25" s="24" t="str">
        <f t="shared" si="2"/>
        <v>20001_2-1/15&lt;lv15&gt;s3</v>
      </c>
      <c r="B25" s="19">
        <f t="shared" si="4"/>
        <v>20001</v>
      </c>
      <c r="C25" s="19">
        <f t="shared" si="4"/>
        <v>2</v>
      </c>
      <c r="D25" s="19">
        <f t="shared" si="4"/>
        <v>1</v>
      </c>
      <c r="E25" s="19">
        <f t="shared" si="4"/>
        <v>15</v>
      </c>
      <c r="F25" s="19">
        <f t="shared" si="4"/>
        <v>15</v>
      </c>
      <c r="G25" s="19">
        <f t="shared" si="4"/>
        <v>1</v>
      </c>
      <c r="H25" s="19">
        <f t="shared" si="4"/>
        <v>1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100</v>
      </c>
      <c r="M25" s="19">
        <f t="shared" si="4"/>
        <v>0</v>
      </c>
      <c r="N25" s="19">
        <f t="shared" si="4"/>
        <v>3</v>
      </c>
      <c r="O25" s="19">
        <f t="shared" si="4"/>
        <v>15</v>
      </c>
      <c r="P25" s="19">
        <f t="shared" si="4"/>
        <v>4</v>
      </c>
      <c r="Q25" s="19">
        <f t="shared" si="4"/>
        <v>1</v>
      </c>
      <c r="R25" s="19">
        <f t="shared" si="3"/>
        <v>15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1</v>
      </c>
    </row>
    <row r="26" spans="1:23" x14ac:dyDescent="0.15">
      <c r="A26" s="24" t="str">
        <f t="shared" si="2"/>
        <v>20001_2-1/21&lt;lv15&gt;s2</v>
      </c>
      <c r="B26" s="19">
        <f t="shared" si="4"/>
        <v>20001</v>
      </c>
      <c r="C26" s="19">
        <f t="shared" si="4"/>
        <v>2</v>
      </c>
      <c r="D26" s="19">
        <f t="shared" si="4"/>
        <v>1</v>
      </c>
      <c r="E26" s="19">
        <f t="shared" si="4"/>
        <v>21</v>
      </c>
      <c r="F26" s="19">
        <f t="shared" si="4"/>
        <v>15</v>
      </c>
      <c r="G26" s="19">
        <f t="shared" si="4"/>
        <v>1</v>
      </c>
      <c r="H26" s="19">
        <f t="shared" si="4"/>
        <v>1</v>
      </c>
      <c r="I26" s="19">
        <f t="shared" si="4"/>
        <v>0</v>
      </c>
      <c r="J26" s="19">
        <f t="shared" si="4"/>
        <v>0</v>
      </c>
      <c r="K26" s="19">
        <f t="shared" si="4"/>
        <v>0</v>
      </c>
      <c r="L26" s="19">
        <f t="shared" si="4"/>
        <v>100</v>
      </c>
      <c r="M26" s="19">
        <f t="shared" si="4"/>
        <v>0</v>
      </c>
      <c r="N26" s="19">
        <f t="shared" si="4"/>
        <v>2</v>
      </c>
      <c r="O26" s="19">
        <f t="shared" si="4"/>
        <v>21</v>
      </c>
      <c r="P26" s="19">
        <f t="shared" si="4"/>
        <v>2</v>
      </c>
      <c r="Q26" s="19">
        <f t="shared" si="4"/>
        <v>1</v>
      </c>
      <c r="R26" s="19">
        <f t="shared" si="3"/>
        <v>15</v>
      </c>
      <c r="S26" s="19">
        <f t="shared" si="3"/>
        <v>0</v>
      </c>
      <c r="T26" s="19">
        <f t="shared" si="3"/>
        <v>0</v>
      </c>
      <c r="U26" s="19">
        <f t="shared" si="3"/>
        <v>0</v>
      </c>
      <c r="V26" s="19">
        <f t="shared" si="3"/>
        <v>0</v>
      </c>
      <c r="W26" s="19">
        <f t="shared" si="3"/>
        <v>1</v>
      </c>
    </row>
    <row r="27" spans="1:23" x14ac:dyDescent="0.15">
      <c r="A27" s="24" t="str">
        <f t="shared" si="2"/>
        <v>20001_2-1/41&lt;lv15&gt;s1</v>
      </c>
      <c r="B27" s="19">
        <f t="shared" si="4"/>
        <v>20001</v>
      </c>
      <c r="C27" s="19">
        <f t="shared" si="4"/>
        <v>2</v>
      </c>
      <c r="D27" s="19">
        <f t="shared" si="4"/>
        <v>1</v>
      </c>
      <c r="E27" s="19">
        <f t="shared" si="4"/>
        <v>41</v>
      </c>
      <c r="F27" s="19">
        <f t="shared" si="4"/>
        <v>15</v>
      </c>
      <c r="G27" s="19">
        <f t="shared" si="4"/>
        <v>1</v>
      </c>
      <c r="H27" s="19">
        <f t="shared" si="4"/>
        <v>1</v>
      </c>
      <c r="I27" s="19">
        <f t="shared" si="4"/>
        <v>0</v>
      </c>
      <c r="J27" s="19">
        <f t="shared" si="4"/>
        <v>0</v>
      </c>
      <c r="K27" s="19">
        <f t="shared" si="4"/>
        <v>0</v>
      </c>
      <c r="L27" s="19">
        <f t="shared" si="4"/>
        <v>100</v>
      </c>
      <c r="M27" s="19">
        <f t="shared" si="4"/>
        <v>0</v>
      </c>
      <c r="N27" s="19">
        <f t="shared" si="4"/>
        <v>1</v>
      </c>
      <c r="O27" s="19">
        <f t="shared" si="4"/>
        <v>41</v>
      </c>
      <c r="P27" s="19">
        <f t="shared" si="4"/>
        <v>2</v>
      </c>
      <c r="Q27" s="19">
        <f t="shared" si="4"/>
        <v>2</v>
      </c>
      <c r="R27" s="19">
        <f t="shared" si="3"/>
        <v>15</v>
      </c>
      <c r="S27" s="19">
        <f t="shared" si="3"/>
        <v>0</v>
      </c>
      <c r="T27" s="19">
        <f t="shared" si="3"/>
        <v>0</v>
      </c>
      <c r="U27" s="19">
        <f t="shared" si="3"/>
        <v>0</v>
      </c>
      <c r="V27" s="19">
        <f t="shared" si="3"/>
        <v>0</v>
      </c>
      <c r="W27" s="19">
        <f t="shared" si="3"/>
        <v>1</v>
      </c>
    </row>
    <row r="28" spans="1:23" x14ac:dyDescent="0.15">
      <c r="A28" s="24" t="str">
        <f t="shared" si="2"/>
        <v>20001_2-1/57&lt;lv15&gt;s2</v>
      </c>
      <c r="B28" s="19">
        <f t="shared" si="4"/>
        <v>20001</v>
      </c>
      <c r="C28" s="19">
        <f t="shared" si="4"/>
        <v>2</v>
      </c>
      <c r="D28" s="19">
        <f t="shared" si="4"/>
        <v>1</v>
      </c>
      <c r="E28" s="19">
        <f t="shared" si="4"/>
        <v>57</v>
      </c>
      <c r="F28" s="19">
        <f t="shared" si="4"/>
        <v>15</v>
      </c>
      <c r="G28" s="19">
        <f t="shared" si="4"/>
        <v>1</v>
      </c>
      <c r="H28" s="19">
        <f t="shared" si="4"/>
        <v>1</v>
      </c>
      <c r="I28" s="19">
        <f t="shared" si="4"/>
        <v>0</v>
      </c>
      <c r="J28" s="19">
        <f t="shared" si="4"/>
        <v>57</v>
      </c>
      <c r="K28" s="19">
        <f t="shared" si="4"/>
        <v>0</v>
      </c>
      <c r="L28" s="19">
        <f t="shared" si="4"/>
        <v>50</v>
      </c>
      <c r="M28" s="19">
        <f t="shared" si="4"/>
        <v>0</v>
      </c>
      <c r="N28" s="19">
        <f t="shared" si="4"/>
        <v>2</v>
      </c>
      <c r="O28" s="19">
        <f t="shared" si="4"/>
        <v>57</v>
      </c>
      <c r="P28" s="19">
        <f t="shared" si="4"/>
        <v>2</v>
      </c>
      <c r="Q28" s="19">
        <f t="shared" si="4"/>
        <v>2</v>
      </c>
      <c r="R28" s="19">
        <f t="shared" si="3"/>
        <v>15</v>
      </c>
      <c r="S28" s="19">
        <f t="shared" si="3"/>
        <v>0</v>
      </c>
      <c r="T28" s="19">
        <f t="shared" si="3"/>
        <v>0</v>
      </c>
      <c r="U28" s="19">
        <f t="shared" si="3"/>
        <v>0</v>
      </c>
      <c r="V28" s="19">
        <f t="shared" si="3"/>
        <v>0</v>
      </c>
      <c r="W28" s="19">
        <f t="shared" si="3"/>
        <v>1</v>
      </c>
    </row>
    <row r="29" spans="1:23" x14ac:dyDescent="0.15">
      <c r="A29" s="24" t="str">
        <f t="shared" si="2"/>
        <v>20001_2-1/20&lt;lv15&gt;s3</v>
      </c>
      <c r="B29" s="19">
        <f t="shared" si="4"/>
        <v>20001</v>
      </c>
      <c r="C29" s="19">
        <f t="shared" si="4"/>
        <v>2</v>
      </c>
      <c r="D29" s="19">
        <f t="shared" si="4"/>
        <v>1</v>
      </c>
      <c r="E29" s="19">
        <f t="shared" si="4"/>
        <v>20</v>
      </c>
      <c r="F29" s="19">
        <f t="shared" si="4"/>
        <v>15</v>
      </c>
      <c r="G29" s="19">
        <f t="shared" si="4"/>
        <v>1</v>
      </c>
      <c r="H29" s="19">
        <f t="shared" si="4"/>
        <v>1</v>
      </c>
      <c r="I29" s="19">
        <f t="shared" si="4"/>
        <v>0</v>
      </c>
      <c r="J29" s="19">
        <f t="shared" si="4"/>
        <v>0</v>
      </c>
      <c r="K29" s="19">
        <f t="shared" si="4"/>
        <v>0</v>
      </c>
      <c r="L29" s="19">
        <f t="shared" si="4"/>
        <v>100</v>
      </c>
      <c r="M29" s="19">
        <f t="shared" si="4"/>
        <v>0</v>
      </c>
      <c r="N29" s="19">
        <f t="shared" si="4"/>
        <v>3</v>
      </c>
      <c r="O29" s="19">
        <f t="shared" si="4"/>
        <v>20</v>
      </c>
      <c r="P29" s="19">
        <f t="shared" si="4"/>
        <v>4</v>
      </c>
      <c r="Q29" s="19">
        <f t="shared" si="4"/>
        <v>2</v>
      </c>
      <c r="R29" s="19">
        <f t="shared" si="3"/>
        <v>10</v>
      </c>
      <c r="S29" s="19">
        <f t="shared" si="3"/>
        <v>0</v>
      </c>
      <c r="T29" s="19">
        <f t="shared" si="3"/>
        <v>0</v>
      </c>
      <c r="U29" s="19">
        <f t="shared" si="3"/>
        <v>0</v>
      </c>
      <c r="V29" s="19">
        <f t="shared" si="3"/>
        <v>0</v>
      </c>
      <c r="W29" s="19">
        <f t="shared" si="3"/>
        <v>1</v>
      </c>
    </row>
    <row r="30" spans="1:23" x14ac:dyDescent="0.15">
      <c r="A30" s="24" t="str">
        <f t="shared" si="2"/>
        <v>20001_2-2/15&lt;lv15&gt;s3</v>
      </c>
      <c r="B30" s="19">
        <f t="shared" si="4"/>
        <v>20001</v>
      </c>
      <c r="C30" s="19">
        <f t="shared" si="4"/>
        <v>2</v>
      </c>
      <c r="D30" s="19">
        <f t="shared" si="4"/>
        <v>2</v>
      </c>
      <c r="E30" s="19">
        <f t="shared" si="4"/>
        <v>15</v>
      </c>
      <c r="F30" s="19">
        <f t="shared" si="4"/>
        <v>15</v>
      </c>
      <c r="G30" s="19">
        <f t="shared" si="4"/>
        <v>1</v>
      </c>
      <c r="H30" s="19">
        <f t="shared" si="4"/>
        <v>1</v>
      </c>
      <c r="I30" s="19">
        <f t="shared" si="4"/>
        <v>0</v>
      </c>
      <c r="J30" s="19">
        <f t="shared" si="4"/>
        <v>0</v>
      </c>
      <c r="K30" s="19">
        <f t="shared" si="4"/>
        <v>0</v>
      </c>
      <c r="L30" s="19">
        <f t="shared" si="4"/>
        <v>100</v>
      </c>
      <c r="M30" s="19">
        <f t="shared" si="4"/>
        <v>0</v>
      </c>
      <c r="N30" s="19">
        <f t="shared" si="4"/>
        <v>3</v>
      </c>
      <c r="O30" s="19">
        <f t="shared" si="4"/>
        <v>15</v>
      </c>
      <c r="P30" s="19">
        <f t="shared" si="4"/>
        <v>4</v>
      </c>
      <c r="Q30" s="19">
        <f t="shared" si="4"/>
        <v>1</v>
      </c>
      <c r="R30" s="19">
        <f t="shared" si="3"/>
        <v>15</v>
      </c>
      <c r="S30" s="19">
        <f t="shared" si="3"/>
        <v>0</v>
      </c>
      <c r="T30" s="19">
        <f t="shared" si="3"/>
        <v>0</v>
      </c>
      <c r="U30" s="19">
        <f t="shared" si="3"/>
        <v>0</v>
      </c>
      <c r="V30" s="19">
        <f t="shared" si="3"/>
        <v>0</v>
      </c>
      <c r="W30" s="19">
        <f t="shared" si="3"/>
        <v>1</v>
      </c>
    </row>
    <row r="31" spans="1:23" x14ac:dyDescent="0.15">
      <c r="A31" s="24" t="str">
        <f t="shared" si="2"/>
        <v>20001_2-2/21&lt;lv15&gt;s2</v>
      </c>
      <c r="B31" s="19">
        <f t="shared" si="4"/>
        <v>20001</v>
      </c>
      <c r="C31" s="19">
        <f t="shared" si="4"/>
        <v>2</v>
      </c>
      <c r="D31" s="19">
        <f t="shared" si="4"/>
        <v>2</v>
      </c>
      <c r="E31" s="19">
        <f t="shared" si="4"/>
        <v>21</v>
      </c>
      <c r="F31" s="19">
        <f t="shared" si="4"/>
        <v>15</v>
      </c>
      <c r="G31" s="19">
        <f t="shared" si="4"/>
        <v>1</v>
      </c>
      <c r="H31" s="19">
        <f t="shared" si="4"/>
        <v>1</v>
      </c>
      <c r="I31" s="19">
        <f t="shared" si="4"/>
        <v>0</v>
      </c>
      <c r="J31" s="19">
        <f t="shared" si="4"/>
        <v>0</v>
      </c>
      <c r="K31" s="19">
        <f t="shared" si="4"/>
        <v>0</v>
      </c>
      <c r="L31" s="19">
        <f t="shared" si="4"/>
        <v>100</v>
      </c>
      <c r="M31" s="19">
        <f t="shared" si="4"/>
        <v>0</v>
      </c>
      <c r="N31" s="19">
        <f t="shared" si="4"/>
        <v>2</v>
      </c>
      <c r="O31" s="19">
        <f t="shared" si="4"/>
        <v>21</v>
      </c>
      <c r="P31" s="19">
        <f t="shared" si="4"/>
        <v>2</v>
      </c>
      <c r="Q31" s="19">
        <f t="shared" si="4"/>
        <v>1</v>
      </c>
      <c r="R31" s="19">
        <f t="shared" si="3"/>
        <v>15</v>
      </c>
      <c r="S31" s="19">
        <f t="shared" si="3"/>
        <v>0</v>
      </c>
      <c r="T31" s="19">
        <f t="shared" si="3"/>
        <v>0</v>
      </c>
      <c r="U31" s="19">
        <f t="shared" si="3"/>
        <v>0</v>
      </c>
      <c r="V31" s="19">
        <f t="shared" si="3"/>
        <v>0</v>
      </c>
      <c r="W31" s="19">
        <f t="shared" si="3"/>
        <v>1</v>
      </c>
    </row>
    <row r="32" spans="1:23" x14ac:dyDescent="0.15">
      <c r="A32" s="24" t="str">
        <f t="shared" si="2"/>
        <v>20001_2-2/41&lt;lv15&gt;s1</v>
      </c>
      <c r="B32" s="19">
        <f t="shared" si="4"/>
        <v>20001</v>
      </c>
      <c r="C32" s="19">
        <f t="shared" si="4"/>
        <v>2</v>
      </c>
      <c r="D32" s="19">
        <f t="shared" si="4"/>
        <v>2</v>
      </c>
      <c r="E32" s="19">
        <f t="shared" si="4"/>
        <v>41</v>
      </c>
      <c r="F32" s="19">
        <f t="shared" si="4"/>
        <v>15</v>
      </c>
      <c r="G32" s="19">
        <f t="shared" si="4"/>
        <v>1</v>
      </c>
      <c r="H32" s="19">
        <f t="shared" si="4"/>
        <v>1</v>
      </c>
      <c r="I32" s="19">
        <f t="shared" si="4"/>
        <v>0</v>
      </c>
      <c r="J32" s="19">
        <f t="shared" si="4"/>
        <v>0</v>
      </c>
      <c r="K32" s="19">
        <f t="shared" si="4"/>
        <v>0</v>
      </c>
      <c r="L32" s="19">
        <f t="shared" si="4"/>
        <v>100</v>
      </c>
      <c r="M32" s="19">
        <f t="shared" si="4"/>
        <v>0</v>
      </c>
      <c r="N32" s="19">
        <f t="shared" si="4"/>
        <v>1</v>
      </c>
      <c r="O32" s="19">
        <f t="shared" si="4"/>
        <v>41</v>
      </c>
      <c r="P32" s="19">
        <f t="shared" si="4"/>
        <v>2</v>
      </c>
      <c r="Q32" s="19">
        <f t="shared" si="4"/>
        <v>2</v>
      </c>
      <c r="R32" s="19">
        <f t="shared" si="3"/>
        <v>15</v>
      </c>
      <c r="S32" s="19">
        <f t="shared" si="3"/>
        <v>0</v>
      </c>
      <c r="T32" s="19">
        <f t="shared" si="3"/>
        <v>0</v>
      </c>
      <c r="U32" s="19">
        <f t="shared" si="3"/>
        <v>0</v>
      </c>
      <c r="V32" s="19">
        <f t="shared" si="3"/>
        <v>0</v>
      </c>
      <c r="W32" s="19">
        <f t="shared" si="3"/>
        <v>1</v>
      </c>
    </row>
    <row r="33" spans="1:23" x14ac:dyDescent="0.15">
      <c r="A33" s="24" t="str">
        <f t="shared" si="2"/>
        <v>20001_2-2/57&lt;lv15&gt;s2</v>
      </c>
      <c r="B33" s="19">
        <f t="shared" si="4"/>
        <v>20001</v>
      </c>
      <c r="C33" s="19">
        <f t="shared" si="4"/>
        <v>2</v>
      </c>
      <c r="D33" s="19">
        <f t="shared" si="4"/>
        <v>2</v>
      </c>
      <c r="E33" s="19">
        <f t="shared" si="4"/>
        <v>57</v>
      </c>
      <c r="F33" s="19">
        <f t="shared" si="4"/>
        <v>15</v>
      </c>
      <c r="G33" s="19">
        <f t="shared" ref="G33:V71" si="5">VLOOKUP($A33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33" s="19">
        <f t="shared" si="5"/>
        <v>1</v>
      </c>
      <c r="I33" s="19">
        <f t="shared" si="5"/>
        <v>0</v>
      </c>
      <c r="J33" s="19">
        <f t="shared" si="5"/>
        <v>57</v>
      </c>
      <c r="K33" s="19">
        <f t="shared" si="5"/>
        <v>0</v>
      </c>
      <c r="L33" s="19">
        <f t="shared" si="5"/>
        <v>80</v>
      </c>
      <c r="M33" s="19">
        <f t="shared" si="5"/>
        <v>0</v>
      </c>
      <c r="N33" s="19">
        <f t="shared" si="5"/>
        <v>2</v>
      </c>
      <c r="O33" s="19">
        <f t="shared" si="5"/>
        <v>57</v>
      </c>
      <c r="P33" s="19">
        <f t="shared" si="5"/>
        <v>2</v>
      </c>
      <c r="Q33" s="19">
        <f t="shared" si="5"/>
        <v>2</v>
      </c>
      <c r="R33" s="19">
        <f t="shared" si="5"/>
        <v>15</v>
      </c>
      <c r="S33" s="19">
        <f t="shared" si="5"/>
        <v>0</v>
      </c>
      <c r="T33" s="19">
        <f t="shared" si="5"/>
        <v>0</v>
      </c>
      <c r="U33" s="19">
        <f t="shared" si="5"/>
        <v>0</v>
      </c>
      <c r="V33" s="19">
        <f t="shared" si="5"/>
        <v>0</v>
      </c>
      <c r="W33" s="19">
        <f t="shared" si="3"/>
        <v>1</v>
      </c>
    </row>
    <row r="34" spans="1:23" x14ac:dyDescent="0.15">
      <c r="A34" s="24" t="str">
        <f t="shared" si="2"/>
        <v>20001_2-2/20&lt;lv15&gt;s3</v>
      </c>
      <c r="B34" s="19">
        <f t="shared" ref="B34:Q53" si="6">VLOOKUP($A34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20001</v>
      </c>
      <c r="C34" s="19">
        <f t="shared" si="6"/>
        <v>2</v>
      </c>
      <c r="D34" s="19">
        <f t="shared" si="6"/>
        <v>2</v>
      </c>
      <c r="E34" s="19">
        <f t="shared" si="6"/>
        <v>20</v>
      </c>
      <c r="F34" s="19">
        <f t="shared" si="6"/>
        <v>15</v>
      </c>
      <c r="G34" s="19">
        <f t="shared" si="5"/>
        <v>1</v>
      </c>
      <c r="H34" s="19">
        <f t="shared" si="5"/>
        <v>1</v>
      </c>
      <c r="I34" s="19">
        <f t="shared" si="5"/>
        <v>0</v>
      </c>
      <c r="J34" s="19">
        <f t="shared" si="6"/>
        <v>0</v>
      </c>
      <c r="K34" s="19">
        <f t="shared" si="6"/>
        <v>0</v>
      </c>
      <c r="L34" s="19">
        <f t="shared" si="6"/>
        <v>100</v>
      </c>
      <c r="M34" s="19">
        <f t="shared" si="6"/>
        <v>0</v>
      </c>
      <c r="N34" s="19">
        <f t="shared" si="6"/>
        <v>3</v>
      </c>
      <c r="O34" s="19">
        <f t="shared" si="6"/>
        <v>20</v>
      </c>
      <c r="P34" s="19">
        <f t="shared" si="6"/>
        <v>4</v>
      </c>
      <c r="Q34" s="19">
        <f t="shared" si="6"/>
        <v>2</v>
      </c>
      <c r="R34" s="19">
        <f t="shared" si="5"/>
        <v>10</v>
      </c>
      <c r="S34" s="19">
        <f t="shared" si="5"/>
        <v>0</v>
      </c>
      <c r="T34" s="19">
        <f t="shared" si="5"/>
        <v>0</v>
      </c>
      <c r="U34" s="19">
        <f t="shared" si="5"/>
        <v>0</v>
      </c>
      <c r="V34" s="19">
        <f t="shared" si="5"/>
        <v>0</v>
      </c>
      <c r="W34" s="19">
        <f t="shared" si="3"/>
        <v>1</v>
      </c>
    </row>
    <row r="35" spans="1:23" x14ac:dyDescent="0.15">
      <c r="A35" s="24" t="str">
        <f t="shared" si="2"/>
        <v>20001_2-3/15&lt;lv15&gt;s3</v>
      </c>
      <c r="B35" s="19">
        <f t="shared" si="6"/>
        <v>20001</v>
      </c>
      <c r="C35" s="19">
        <f t="shared" si="6"/>
        <v>2</v>
      </c>
      <c r="D35" s="19">
        <f t="shared" si="6"/>
        <v>3</v>
      </c>
      <c r="E35" s="19">
        <f t="shared" si="6"/>
        <v>15</v>
      </c>
      <c r="F35" s="19">
        <f t="shared" si="6"/>
        <v>15</v>
      </c>
      <c r="G35" s="19">
        <f t="shared" si="5"/>
        <v>1</v>
      </c>
      <c r="H35" s="19">
        <f t="shared" si="5"/>
        <v>1</v>
      </c>
      <c r="I35" s="19">
        <f t="shared" si="5"/>
        <v>0</v>
      </c>
      <c r="J35" s="19">
        <f t="shared" si="6"/>
        <v>0</v>
      </c>
      <c r="K35" s="19">
        <f t="shared" si="6"/>
        <v>0</v>
      </c>
      <c r="L35" s="19">
        <f t="shared" si="6"/>
        <v>100</v>
      </c>
      <c r="M35" s="19">
        <f t="shared" si="6"/>
        <v>0</v>
      </c>
      <c r="N35" s="19">
        <f t="shared" si="6"/>
        <v>3</v>
      </c>
      <c r="O35" s="19">
        <f t="shared" si="6"/>
        <v>15</v>
      </c>
      <c r="P35" s="19">
        <f t="shared" si="6"/>
        <v>4</v>
      </c>
      <c r="Q35" s="19">
        <f t="shared" si="6"/>
        <v>1</v>
      </c>
      <c r="R35" s="19">
        <f t="shared" si="5"/>
        <v>15</v>
      </c>
      <c r="S35" s="19">
        <f t="shared" si="5"/>
        <v>0</v>
      </c>
      <c r="T35" s="19">
        <f t="shared" si="5"/>
        <v>0</v>
      </c>
      <c r="U35" s="19">
        <f t="shared" si="5"/>
        <v>0</v>
      </c>
      <c r="V35" s="19">
        <f t="shared" si="5"/>
        <v>0</v>
      </c>
      <c r="W35" s="19">
        <f t="shared" si="3"/>
        <v>1</v>
      </c>
    </row>
    <row r="36" spans="1:23" x14ac:dyDescent="0.15">
      <c r="A36" s="24" t="str">
        <f t="shared" si="2"/>
        <v>20001_2-3/21&lt;lv15&gt;s2</v>
      </c>
      <c r="B36" s="19">
        <f t="shared" si="6"/>
        <v>20001</v>
      </c>
      <c r="C36" s="19">
        <f t="shared" si="6"/>
        <v>2</v>
      </c>
      <c r="D36" s="19">
        <f t="shared" si="6"/>
        <v>3</v>
      </c>
      <c r="E36" s="19">
        <f t="shared" si="6"/>
        <v>21</v>
      </c>
      <c r="F36" s="19">
        <f t="shared" si="6"/>
        <v>15</v>
      </c>
      <c r="G36" s="19">
        <f t="shared" si="5"/>
        <v>1</v>
      </c>
      <c r="H36" s="19">
        <f t="shared" si="5"/>
        <v>1</v>
      </c>
      <c r="I36" s="19">
        <f t="shared" si="5"/>
        <v>0</v>
      </c>
      <c r="J36" s="19">
        <f t="shared" si="6"/>
        <v>0</v>
      </c>
      <c r="K36" s="19">
        <f t="shared" si="6"/>
        <v>0</v>
      </c>
      <c r="L36" s="19">
        <f t="shared" si="6"/>
        <v>100</v>
      </c>
      <c r="M36" s="19">
        <f t="shared" si="6"/>
        <v>0</v>
      </c>
      <c r="N36" s="19">
        <f t="shared" si="6"/>
        <v>2</v>
      </c>
      <c r="O36" s="19">
        <f t="shared" si="6"/>
        <v>21</v>
      </c>
      <c r="P36" s="19">
        <f t="shared" si="6"/>
        <v>2</v>
      </c>
      <c r="Q36" s="19">
        <f t="shared" si="6"/>
        <v>1</v>
      </c>
      <c r="R36" s="19">
        <f t="shared" si="5"/>
        <v>15</v>
      </c>
      <c r="S36" s="19">
        <f t="shared" si="5"/>
        <v>0</v>
      </c>
      <c r="T36" s="19">
        <f t="shared" si="5"/>
        <v>0</v>
      </c>
      <c r="U36" s="19">
        <f t="shared" si="5"/>
        <v>0</v>
      </c>
      <c r="V36" s="19">
        <f t="shared" si="5"/>
        <v>0</v>
      </c>
      <c r="W36" s="19">
        <f t="shared" si="3"/>
        <v>1</v>
      </c>
    </row>
    <row r="37" spans="1:23" x14ac:dyDescent="0.15">
      <c r="A37" s="24" t="str">
        <f t="shared" si="2"/>
        <v>20001_2-3/41&lt;lv15&gt;s1</v>
      </c>
      <c r="B37" s="19">
        <f t="shared" si="6"/>
        <v>20001</v>
      </c>
      <c r="C37" s="19">
        <f t="shared" si="6"/>
        <v>2</v>
      </c>
      <c r="D37" s="19">
        <f t="shared" si="6"/>
        <v>3</v>
      </c>
      <c r="E37" s="19">
        <f t="shared" si="6"/>
        <v>41</v>
      </c>
      <c r="F37" s="19">
        <f t="shared" si="6"/>
        <v>15</v>
      </c>
      <c r="G37" s="19">
        <f t="shared" si="5"/>
        <v>1</v>
      </c>
      <c r="H37" s="19">
        <f t="shared" si="5"/>
        <v>1</v>
      </c>
      <c r="I37" s="19">
        <f t="shared" si="5"/>
        <v>0</v>
      </c>
      <c r="J37" s="19">
        <f t="shared" si="6"/>
        <v>0</v>
      </c>
      <c r="K37" s="19">
        <f t="shared" si="6"/>
        <v>0</v>
      </c>
      <c r="L37" s="19">
        <f t="shared" si="6"/>
        <v>100</v>
      </c>
      <c r="M37" s="19">
        <f t="shared" si="6"/>
        <v>0</v>
      </c>
      <c r="N37" s="19">
        <f t="shared" si="6"/>
        <v>1</v>
      </c>
      <c r="O37" s="19">
        <f t="shared" si="6"/>
        <v>41</v>
      </c>
      <c r="P37" s="19">
        <f t="shared" si="6"/>
        <v>2</v>
      </c>
      <c r="Q37" s="19">
        <f t="shared" si="6"/>
        <v>2</v>
      </c>
      <c r="R37" s="19">
        <f t="shared" si="5"/>
        <v>15</v>
      </c>
      <c r="S37" s="19">
        <f t="shared" si="5"/>
        <v>0</v>
      </c>
      <c r="T37" s="19">
        <f t="shared" si="5"/>
        <v>0</v>
      </c>
      <c r="U37" s="19">
        <f t="shared" si="5"/>
        <v>0</v>
      </c>
      <c r="V37" s="19">
        <f t="shared" si="5"/>
        <v>0</v>
      </c>
      <c r="W37" s="19">
        <f t="shared" si="3"/>
        <v>1</v>
      </c>
    </row>
    <row r="38" spans="1:23" x14ac:dyDescent="0.15">
      <c r="A38" s="24" t="str">
        <f t="shared" si="2"/>
        <v>20001_2-3/57&lt;lv15&gt;s2</v>
      </c>
      <c r="B38" s="19">
        <f t="shared" si="6"/>
        <v>20001</v>
      </c>
      <c r="C38" s="19">
        <f t="shared" si="6"/>
        <v>2</v>
      </c>
      <c r="D38" s="19">
        <f t="shared" si="6"/>
        <v>3</v>
      </c>
      <c r="E38" s="19">
        <f t="shared" si="6"/>
        <v>57</v>
      </c>
      <c r="F38" s="19">
        <f t="shared" si="6"/>
        <v>15</v>
      </c>
      <c r="G38" s="19">
        <f t="shared" si="5"/>
        <v>1</v>
      </c>
      <c r="H38" s="19">
        <f t="shared" si="5"/>
        <v>1</v>
      </c>
      <c r="I38" s="19">
        <f t="shared" si="5"/>
        <v>0</v>
      </c>
      <c r="J38" s="19">
        <f t="shared" si="6"/>
        <v>57</v>
      </c>
      <c r="K38" s="19">
        <f t="shared" si="6"/>
        <v>0</v>
      </c>
      <c r="L38" s="19">
        <f t="shared" si="6"/>
        <v>80</v>
      </c>
      <c r="M38" s="19">
        <f t="shared" si="6"/>
        <v>0</v>
      </c>
      <c r="N38" s="19">
        <f t="shared" si="6"/>
        <v>2</v>
      </c>
      <c r="O38" s="19">
        <f t="shared" si="6"/>
        <v>57</v>
      </c>
      <c r="P38" s="19">
        <f t="shared" si="6"/>
        <v>2</v>
      </c>
      <c r="Q38" s="19">
        <f t="shared" si="6"/>
        <v>2</v>
      </c>
      <c r="R38" s="19">
        <f t="shared" si="5"/>
        <v>15</v>
      </c>
      <c r="S38" s="19">
        <f t="shared" si="5"/>
        <v>0</v>
      </c>
      <c r="T38" s="19">
        <f t="shared" si="5"/>
        <v>0</v>
      </c>
      <c r="U38" s="19">
        <f t="shared" si="5"/>
        <v>0</v>
      </c>
      <c r="V38" s="19">
        <f t="shared" si="5"/>
        <v>0</v>
      </c>
      <c r="W38" s="19">
        <f t="shared" si="3"/>
        <v>1</v>
      </c>
    </row>
    <row r="39" spans="1:23" x14ac:dyDescent="0.15">
      <c r="A39" s="24" t="str">
        <f t="shared" si="2"/>
        <v>20001_2-3/20&lt;lv15&gt;s3</v>
      </c>
      <c r="B39" s="19">
        <f t="shared" si="6"/>
        <v>20001</v>
      </c>
      <c r="C39" s="19">
        <f t="shared" si="6"/>
        <v>2</v>
      </c>
      <c r="D39" s="19">
        <f t="shared" si="6"/>
        <v>3</v>
      </c>
      <c r="E39" s="19">
        <f t="shared" si="6"/>
        <v>20</v>
      </c>
      <c r="F39" s="19">
        <f t="shared" si="6"/>
        <v>15</v>
      </c>
      <c r="G39" s="19">
        <f t="shared" si="5"/>
        <v>1</v>
      </c>
      <c r="H39" s="19">
        <f t="shared" si="5"/>
        <v>1</v>
      </c>
      <c r="I39" s="19">
        <f t="shared" si="5"/>
        <v>0</v>
      </c>
      <c r="J39" s="19">
        <f t="shared" si="6"/>
        <v>0</v>
      </c>
      <c r="K39" s="19">
        <f t="shared" si="6"/>
        <v>0</v>
      </c>
      <c r="L39" s="19">
        <f t="shared" si="6"/>
        <v>100</v>
      </c>
      <c r="M39" s="19">
        <f t="shared" si="6"/>
        <v>0</v>
      </c>
      <c r="N39" s="19">
        <f t="shared" si="6"/>
        <v>3</v>
      </c>
      <c r="O39" s="19">
        <f t="shared" si="6"/>
        <v>20</v>
      </c>
      <c r="P39" s="19">
        <f t="shared" si="6"/>
        <v>4</v>
      </c>
      <c r="Q39" s="19">
        <f t="shared" si="6"/>
        <v>2</v>
      </c>
      <c r="R39" s="19">
        <f t="shared" si="5"/>
        <v>10</v>
      </c>
      <c r="S39" s="19">
        <f t="shared" si="5"/>
        <v>0</v>
      </c>
      <c r="T39" s="19">
        <f t="shared" si="5"/>
        <v>0</v>
      </c>
      <c r="U39" s="19">
        <f t="shared" si="5"/>
        <v>0</v>
      </c>
      <c r="V39" s="19">
        <f t="shared" si="5"/>
        <v>0</v>
      </c>
      <c r="W39" s="19">
        <f t="shared" si="3"/>
        <v>1</v>
      </c>
    </row>
    <row r="40" spans="1:23" x14ac:dyDescent="0.15">
      <c r="A40" s="24" t="str">
        <f t="shared" si="2"/>
        <v>20001_2-4/15&lt;lv15&gt;s3</v>
      </c>
      <c r="B40" s="19">
        <f t="shared" si="6"/>
        <v>20001</v>
      </c>
      <c r="C40" s="19">
        <f t="shared" si="6"/>
        <v>2</v>
      </c>
      <c r="D40" s="19">
        <f t="shared" si="6"/>
        <v>4</v>
      </c>
      <c r="E40" s="19">
        <f t="shared" si="6"/>
        <v>15</v>
      </c>
      <c r="F40" s="19">
        <f t="shared" si="6"/>
        <v>15</v>
      </c>
      <c r="G40" s="19">
        <f t="shared" si="5"/>
        <v>1</v>
      </c>
      <c r="H40" s="19">
        <f t="shared" si="5"/>
        <v>1</v>
      </c>
      <c r="I40" s="19">
        <f t="shared" si="5"/>
        <v>0</v>
      </c>
      <c r="J40" s="19">
        <f t="shared" si="6"/>
        <v>0</v>
      </c>
      <c r="K40" s="19">
        <f t="shared" si="6"/>
        <v>1</v>
      </c>
      <c r="L40" s="19">
        <f t="shared" si="6"/>
        <v>100</v>
      </c>
      <c r="M40" s="19">
        <f t="shared" si="6"/>
        <v>0</v>
      </c>
      <c r="N40" s="19">
        <f t="shared" si="6"/>
        <v>3</v>
      </c>
      <c r="O40" s="19">
        <f t="shared" si="6"/>
        <v>15</v>
      </c>
      <c r="P40" s="19">
        <f t="shared" si="6"/>
        <v>4</v>
      </c>
      <c r="Q40" s="19">
        <f t="shared" si="6"/>
        <v>1</v>
      </c>
      <c r="R40" s="19">
        <f t="shared" si="5"/>
        <v>0</v>
      </c>
      <c r="S40" s="19">
        <f t="shared" si="5"/>
        <v>0</v>
      </c>
      <c r="T40" s="19">
        <f t="shared" si="5"/>
        <v>0</v>
      </c>
      <c r="U40" s="19">
        <f t="shared" si="5"/>
        <v>0</v>
      </c>
      <c r="V40" s="19">
        <f t="shared" si="5"/>
        <v>0</v>
      </c>
      <c r="W40" s="19">
        <f t="shared" si="3"/>
        <v>1</v>
      </c>
    </row>
    <row r="41" spans="1:23" x14ac:dyDescent="0.15">
      <c r="A41" s="24" t="str">
        <f t="shared" si="2"/>
        <v>20001_2-4/21&lt;lv15&gt;s2</v>
      </c>
      <c r="B41" s="19">
        <f t="shared" si="6"/>
        <v>20001</v>
      </c>
      <c r="C41" s="19">
        <f t="shared" si="6"/>
        <v>2</v>
      </c>
      <c r="D41" s="19">
        <f t="shared" si="6"/>
        <v>4</v>
      </c>
      <c r="E41" s="19">
        <f t="shared" si="6"/>
        <v>21</v>
      </c>
      <c r="F41" s="19">
        <f t="shared" si="6"/>
        <v>15</v>
      </c>
      <c r="G41" s="19">
        <f t="shared" si="5"/>
        <v>1</v>
      </c>
      <c r="H41" s="19">
        <f t="shared" si="5"/>
        <v>1</v>
      </c>
      <c r="I41" s="19">
        <f t="shared" si="5"/>
        <v>0</v>
      </c>
      <c r="J41" s="19">
        <f t="shared" si="6"/>
        <v>0</v>
      </c>
      <c r="K41" s="19">
        <f t="shared" si="6"/>
        <v>0</v>
      </c>
      <c r="L41" s="19">
        <f t="shared" si="6"/>
        <v>100</v>
      </c>
      <c r="M41" s="19">
        <f t="shared" si="6"/>
        <v>0</v>
      </c>
      <c r="N41" s="19">
        <f t="shared" si="6"/>
        <v>2</v>
      </c>
      <c r="O41" s="19">
        <f t="shared" si="6"/>
        <v>21</v>
      </c>
      <c r="P41" s="19">
        <f t="shared" si="6"/>
        <v>2</v>
      </c>
      <c r="Q41" s="19">
        <f t="shared" si="6"/>
        <v>1</v>
      </c>
      <c r="R41" s="19">
        <f t="shared" si="5"/>
        <v>0</v>
      </c>
      <c r="S41" s="19">
        <f t="shared" si="5"/>
        <v>0</v>
      </c>
      <c r="T41" s="19">
        <f t="shared" si="5"/>
        <v>0</v>
      </c>
      <c r="U41" s="19">
        <f t="shared" si="5"/>
        <v>0</v>
      </c>
      <c r="V41" s="19">
        <f t="shared" si="5"/>
        <v>0</v>
      </c>
      <c r="W41" s="19">
        <f t="shared" si="3"/>
        <v>1</v>
      </c>
    </row>
    <row r="42" spans="1:23" x14ac:dyDescent="0.15">
      <c r="A42" s="24" t="str">
        <f t="shared" si="2"/>
        <v>20001_2-4/41&lt;lv15&gt;s1</v>
      </c>
      <c r="B42" s="19">
        <f t="shared" si="6"/>
        <v>20001</v>
      </c>
      <c r="C42" s="19">
        <f t="shared" si="6"/>
        <v>2</v>
      </c>
      <c r="D42" s="19">
        <f t="shared" si="6"/>
        <v>4</v>
      </c>
      <c r="E42" s="19">
        <f t="shared" si="6"/>
        <v>41</v>
      </c>
      <c r="F42" s="19">
        <f t="shared" si="6"/>
        <v>15</v>
      </c>
      <c r="G42" s="19">
        <f t="shared" si="5"/>
        <v>1</v>
      </c>
      <c r="H42" s="19">
        <f t="shared" si="5"/>
        <v>1</v>
      </c>
      <c r="I42" s="19">
        <f t="shared" si="5"/>
        <v>0</v>
      </c>
      <c r="J42" s="19">
        <f t="shared" si="6"/>
        <v>0</v>
      </c>
      <c r="K42" s="19">
        <f t="shared" si="6"/>
        <v>1</v>
      </c>
      <c r="L42" s="19">
        <f t="shared" si="6"/>
        <v>100</v>
      </c>
      <c r="M42" s="19">
        <f t="shared" si="6"/>
        <v>0</v>
      </c>
      <c r="N42" s="19">
        <f t="shared" si="6"/>
        <v>1</v>
      </c>
      <c r="O42" s="19">
        <f t="shared" si="6"/>
        <v>41</v>
      </c>
      <c r="P42" s="19">
        <f t="shared" si="6"/>
        <v>2</v>
      </c>
      <c r="Q42" s="19">
        <f t="shared" si="6"/>
        <v>2</v>
      </c>
      <c r="R42" s="19">
        <f t="shared" si="5"/>
        <v>0</v>
      </c>
      <c r="S42" s="19">
        <f t="shared" si="5"/>
        <v>0</v>
      </c>
      <c r="T42" s="19">
        <f t="shared" si="5"/>
        <v>0</v>
      </c>
      <c r="U42" s="19">
        <f t="shared" si="5"/>
        <v>0</v>
      </c>
      <c r="V42" s="19">
        <f t="shared" si="5"/>
        <v>0</v>
      </c>
      <c r="W42" s="19">
        <f t="shared" si="3"/>
        <v>1</v>
      </c>
    </row>
    <row r="43" spans="1:23" x14ac:dyDescent="0.15">
      <c r="A43" s="24" t="str">
        <f t="shared" si="2"/>
        <v>20001_2-4/57&lt;lv15&gt;s2</v>
      </c>
      <c r="B43" s="19">
        <f t="shared" si="6"/>
        <v>20001</v>
      </c>
      <c r="C43" s="19">
        <f t="shared" si="6"/>
        <v>2</v>
      </c>
      <c r="D43" s="19">
        <f t="shared" si="6"/>
        <v>4</v>
      </c>
      <c r="E43" s="19">
        <f t="shared" si="6"/>
        <v>57</v>
      </c>
      <c r="F43" s="19">
        <f t="shared" si="6"/>
        <v>15</v>
      </c>
      <c r="G43" s="19">
        <f t="shared" si="5"/>
        <v>1</v>
      </c>
      <c r="H43" s="19">
        <f t="shared" si="5"/>
        <v>1</v>
      </c>
      <c r="I43" s="19">
        <f t="shared" si="5"/>
        <v>0</v>
      </c>
      <c r="J43" s="19">
        <f t="shared" si="6"/>
        <v>57</v>
      </c>
      <c r="K43" s="19">
        <f t="shared" si="6"/>
        <v>0</v>
      </c>
      <c r="L43" s="19">
        <f t="shared" si="6"/>
        <v>80</v>
      </c>
      <c r="M43" s="19">
        <f t="shared" si="6"/>
        <v>0</v>
      </c>
      <c r="N43" s="19">
        <f t="shared" si="6"/>
        <v>2</v>
      </c>
      <c r="O43" s="19">
        <f t="shared" si="6"/>
        <v>57</v>
      </c>
      <c r="P43" s="19">
        <f t="shared" si="6"/>
        <v>2</v>
      </c>
      <c r="Q43" s="19">
        <f t="shared" si="6"/>
        <v>2</v>
      </c>
      <c r="R43" s="19">
        <f t="shared" si="5"/>
        <v>0</v>
      </c>
      <c r="S43" s="19">
        <f t="shared" si="5"/>
        <v>0</v>
      </c>
      <c r="T43" s="19">
        <f t="shared" si="5"/>
        <v>0</v>
      </c>
      <c r="U43" s="19">
        <f t="shared" si="5"/>
        <v>0</v>
      </c>
      <c r="V43" s="19">
        <f t="shared" si="5"/>
        <v>0</v>
      </c>
      <c r="W43" s="19">
        <f t="shared" si="3"/>
        <v>1</v>
      </c>
    </row>
    <row r="44" spans="1:23" x14ac:dyDescent="0.15">
      <c r="A44" s="24" t="str">
        <f t="shared" si="2"/>
        <v>20001_2-4/20&lt;lv15&gt;s3</v>
      </c>
      <c r="B44" s="19">
        <f t="shared" si="6"/>
        <v>20001</v>
      </c>
      <c r="C44" s="19">
        <f t="shared" si="6"/>
        <v>2</v>
      </c>
      <c r="D44" s="19">
        <f t="shared" si="6"/>
        <v>4</v>
      </c>
      <c r="E44" s="19">
        <f t="shared" si="6"/>
        <v>20</v>
      </c>
      <c r="F44" s="19">
        <f t="shared" si="6"/>
        <v>15</v>
      </c>
      <c r="G44" s="19">
        <f t="shared" si="5"/>
        <v>1</v>
      </c>
      <c r="H44" s="19">
        <f t="shared" si="5"/>
        <v>1</v>
      </c>
      <c r="I44" s="19">
        <f t="shared" si="5"/>
        <v>0</v>
      </c>
      <c r="J44" s="19">
        <f t="shared" si="6"/>
        <v>0</v>
      </c>
      <c r="K44" s="19">
        <f t="shared" si="6"/>
        <v>0</v>
      </c>
      <c r="L44" s="19">
        <f t="shared" si="6"/>
        <v>100</v>
      </c>
      <c r="M44" s="19">
        <f t="shared" si="6"/>
        <v>0</v>
      </c>
      <c r="N44" s="19">
        <f t="shared" si="6"/>
        <v>3</v>
      </c>
      <c r="O44" s="19">
        <f t="shared" si="6"/>
        <v>20</v>
      </c>
      <c r="P44" s="19">
        <f t="shared" si="6"/>
        <v>4</v>
      </c>
      <c r="Q44" s="19">
        <f t="shared" si="6"/>
        <v>2</v>
      </c>
      <c r="R44" s="19">
        <f t="shared" si="5"/>
        <v>0</v>
      </c>
      <c r="S44" s="19">
        <f t="shared" si="5"/>
        <v>0</v>
      </c>
      <c r="T44" s="19">
        <f t="shared" si="5"/>
        <v>0</v>
      </c>
      <c r="U44" s="19">
        <f t="shared" si="5"/>
        <v>0</v>
      </c>
      <c r="V44" s="19">
        <f t="shared" si="5"/>
        <v>0</v>
      </c>
      <c r="W44" s="19">
        <f t="shared" si="3"/>
        <v>1</v>
      </c>
    </row>
    <row r="45" spans="1:23" x14ac:dyDescent="0.15">
      <c r="A45" s="24" t="str">
        <f t="shared" si="2"/>
        <v>20001_2-4/121&lt;lv15&gt;s3</v>
      </c>
      <c r="B45" s="19">
        <f t="shared" si="6"/>
        <v>20001</v>
      </c>
      <c r="C45" s="19">
        <f t="shared" si="6"/>
        <v>2</v>
      </c>
      <c r="D45" s="19">
        <f t="shared" si="6"/>
        <v>4</v>
      </c>
      <c r="E45" s="19">
        <f t="shared" si="6"/>
        <v>121</v>
      </c>
      <c r="F45" s="19">
        <f t="shared" si="6"/>
        <v>15</v>
      </c>
      <c r="G45" s="19">
        <f t="shared" si="5"/>
        <v>2.2999999999999998</v>
      </c>
      <c r="H45" s="19">
        <f t="shared" si="5"/>
        <v>1.3</v>
      </c>
      <c r="I45" s="19">
        <f t="shared" si="5"/>
        <v>0</v>
      </c>
      <c r="J45" s="19">
        <f t="shared" si="6"/>
        <v>1211</v>
      </c>
      <c r="K45" s="19">
        <f t="shared" si="6"/>
        <v>1</v>
      </c>
      <c r="L45" s="19">
        <f t="shared" si="6"/>
        <v>0</v>
      </c>
      <c r="M45" s="19">
        <f t="shared" si="6"/>
        <v>0</v>
      </c>
      <c r="N45" s="19">
        <f t="shared" si="6"/>
        <v>3</v>
      </c>
      <c r="O45" s="19">
        <f t="shared" si="6"/>
        <v>121</v>
      </c>
      <c r="P45" s="19">
        <f t="shared" si="6"/>
        <v>1</v>
      </c>
      <c r="Q45" s="19">
        <f t="shared" si="6"/>
        <v>3</v>
      </c>
      <c r="R45" s="19">
        <f t="shared" si="5"/>
        <v>10</v>
      </c>
      <c r="S45" s="19">
        <f t="shared" si="5"/>
        <v>0</v>
      </c>
      <c r="T45" s="19">
        <f t="shared" si="5"/>
        <v>0</v>
      </c>
      <c r="U45" s="19">
        <f t="shared" si="5"/>
        <v>0</v>
      </c>
      <c r="V45" s="19">
        <f t="shared" si="5"/>
        <v>0</v>
      </c>
      <c r="W45" s="19">
        <f t="shared" si="3"/>
        <v>1</v>
      </c>
    </row>
    <row r="46" spans="1:23" x14ac:dyDescent="0.15">
      <c r="A46" s="24" t="str">
        <f t="shared" si="2"/>
        <v>20001_2-5/20&lt;lv17&gt;s3</v>
      </c>
      <c r="B46" s="19">
        <f t="shared" si="6"/>
        <v>20001</v>
      </c>
      <c r="C46" s="19">
        <f t="shared" si="6"/>
        <v>2</v>
      </c>
      <c r="D46" s="19">
        <f t="shared" si="6"/>
        <v>5</v>
      </c>
      <c r="E46" s="19">
        <f t="shared" si="6"/>
        <v>20</v>
      </c>
      <c r="F46" s="19">
        <f t="shared" si="6"/>
        <v>17</v>
      </c>
      <c r="G46" s="19">
        <f t="shared" si="5"/>
        <v>2.2000000000000002</v>
      </c>
      <c r="H46" s="19">
        <f t="shared" si="5"/>
        <v>1</v>
      </c>
      <c r="I46" s="19">
        <f t="shared" si="5"/>
        <v>0</v>
      </c>
      <c r="J46" s="19">
        <f t="shared" si="6"/>
        <v>0</v>
      </c>
      <c r="K46" s="19">
        <f t="shared" si="6"/>
        <v>2</v>
      </c>
      <c r="L46" s="19">
        <f t="shared" si="6"/>
        <v>100</v>
      </c>
      <c r="M46" s="19">
        <f t="shared" si="6"/>
        <v>0</v>
      </c>
      <c r="N46" s="19">
        <f t="shared" si="6"/>
        <v>3</v>
      </c>
      <c r="O46" s="19">
        <f t="shared" si="6"/>
        <v>20</v>
      </c>
      <c r="P46" s="19">
        <f t="shared" si="6"/>
        <v>1</v>
      </c>
      <c r="Q46" s="19">
        <f t="shared" si="6"/>
        <v>2</v>
      </c>
      <c r="R46" s="19">
        <f t="shared" si="5"/>
        <v>0</v>
      </c>
      <c r="S46" s="19">
        <f t="shared" si="5"/>
        <v>0</v>
      </c>
      <c r="T46" s="19">
        <f t="shared" si="5"/>
        <v>0</v>
      </c>
      <c r="U46" s="19">
        <f t="shared" si="5"/>
        <v>0</v>
      </c>
      <c r="V46" s="19">
        <f t="shared" si="5"/>
        <v>0</v>
      </c>
      <c r="W46" s="19">
        <f t="shared" si="3"/>
        <v>1</v>
      </c>
    </row>
    <row r="47" spans="1:23" x14ac:dyDescent="0.15">
      <c r="A47" s="24" t="str">
        <f t="shared" si="2"/>
        <v>20001_2-5/262&lt;lv16&gt;s2</v>
      </c>
      <c r="B47" s="19">
        <f t="shared" si="6"/>
        <v>20001</v>
      </c>
      <c r="C47" s="19">
        <f t="shared" si="6"/>
        <v>2</v>
      </c>
      <c r="D47" s="19">
        <f t="shared" si="6"/>
        <v>5</v>
      </c>
      <c r="E47" s="19">
        <f t="shared" si="6"/>
        <v>262</v>
      </c>
      <c r="F47" s="19">
        <f t="shared" si="6"/>
        <v>16</v>
      </c>
      <c r="G47" s="19">
        <f t="shared" si="5"/>
        <v>2.7</v>
      </c>
      <c r="H47" s="19">
        <f t="shared" si="5"/>
        <v>1</v>
      </c>
      <c r="I47" s="19">
        <f t="shared" si="5"/>
        <v>0</v>
      </c>
      <c r="J47" s="19">
        <f t="shared" si="6"/>
        <v>20011</v>
      </c>
      <c r="K47" s="19">
        <f t="shared" si="6"/>
        <v>1</v>
      </c>
      <c r="L47" s="19">
        <f t="shared" si="6"/>
        <v>100</v>
      </c>
      <c r="M47" s="19">
        <f t="shared" si="6"/>
        <v>1</v>
      </c>
      <c r="N47" s="19">
        <f t="shared" si="6"/>
        <v>2</v>
      </c>
      <c r="O47" s="19">
        <f t="shared" si="6"/>
        <v>262</v>
      </c>
      <c r="P47" s="19">
        <f t="shared" si="6"/>
        <v>1</v>
      </c>
      <c r="Q47" s="19">
        <f t="shared" si="6"/>
        <v>3</v>
      </c>
      <c r="R47" s="19">
        <f>VLOOKUP($A47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50</v>
      </c>
      <c r="S47" s="19">
        <f t="shared" si="5"/>
        <v>0</v>
      </c>
      <c r="T47" s="19">
        <f t="shared" si="5"/>
        <v>0</v>
      </c>
      <c r="U47" s="19">
        <f t="shared" si="5"/>
        <v>0</v>
      </c>
      <c r="V47" s="19">
        <f t="shared" si="5"/>
        <v>0</v>
      </c>
      <c r="W47" s="19">
        <f t="shared" si="3"/>
        <v>1</v>
      </c>
    </row>
    <row r="48" spans="1:23" x14ac:dyDescent="0.15">
      <c r="A48" s="24" t="str">
        <f t="shared" si="2"/>
        <v>20001_3-1/10&lt;lv26&gt;s2</v>
      </c>
      <c r="B48" s="19">
        <f t="shared" si="6"/>
        <v>20001</v>
      </c>
      <c r="C48" s="19">
        <f t="shared" si="6"/>
        <v>3</v>
      </c>
      <c r="D48" s="19">
        <f t="shared" si="6"/>
        <v>1</v>
      </c>
      <c r="E48" s="19">
        <f t="shared" si="6"/>
        <v>10</v>
      </c>
      <c r="F48" s="19">
        <f t="shared" si="6"/>
        <v>26</v>
      </c>
      <c r="G48" s="19">
        <f t="shared" si="5"/>
        <v>1</v>
      </c>
      <c r="H48" s="19">
        <f t="shared" si="5"/>
        <v>1</v>
      </c>
      <c r="I48" s="19">
        <f t="shared" si="5"/>
        <v>0</v>
      </c>
      <c r="J48" s="19">
        <f t="shared" si="6"/>
        <v>0</v>
      </c>
      <c r="K48" s="19">
        <f t="shared" si="6"/>
        <v>0</v>
      </c>
      <c r="L48" s="19">
        <f t="shared" si="6"/>
        <v>100</v>
      </c>
      <c r="M48" s="19">
        <f t="shared" si="6"/>
        <v>0</v>
      </c>
      <c r="N48" s="19">
        <f t="shared" si="6"/>
        <v>2</v>
      </c>
      <c r="O48" s="19">
        <f t="shared" si="6"/>
        <v>10</v>
      </c>
      <c r="P48" s="19">
        <f t="shared" si="6"/>
        <v>7</v>
      </c>
      <c r="Q48" s="19">
        <f t="shared" si="6"/>
        <v>2</v>
      </c>
      <c r="R48" s="19">
        <f t="shared" si="5"/>
        <v>15</v>
      </c>
      <c r="S48" s="19">
        <f t="shared" si="5"/>
        <v>0</v>
      </c>
      <c r="T48" s="19">
        <f t="shared" si="5"/>
        <v>0</v>
      </c>
      <c r="U48" s="19">
        <f t="shared" si="5"/>
        <v>0</v>
      </c>
      <c r="V48" s="19">
        <f t="shared" si="5"/>
        <v>0</v>
      </c>
      <c r="W48" s="19">
        <f t="shared" si="3"/>
        <v>1</v>
      </c>
    </row>
    <row r="49" spans="1:23" x14ac:dyDescent="0.15">
      <c r="A49" s="24" t="str">
        <f t="shared" si="2"/>
        <v>20001_3-1/21&lt;lv26&gt;s2</v>
      </c>
      <c r="B49" s="19">
        <f t="shared" si="6"/>
        <v>20001</v>
      </c>
      <c r="C49" s="19">
        <f t="shared" si="6"/>
        <v>3</v>
      </c>
      <c r="D49" s="19">
        <f t="shared" si="6"/>
        <v>1</v>
      </c>
      <c r="E49" s="19">
        <f t="shared" si="6"/>
        <v>21</v>
      </c>
      <c r="F49" s="19">
        <f t="shared" si="6"/>
        <v>26</v>
      </c>
      <c r="G49" s="19">
        <f t="shared" si="5"/>
        <v>1</v>
      </c>
      <c r="H49" s="19">
        <f t="shared" si="5"/>
        <v>1</v>
      </c>
      <c r="I49" s="19">
        <f t="shared" si="5"/>
        <v>0</v>
      </c>
      <c r="J49" s="19">
        <f t="shared" si="6"/>
        <v>0</v>
      </c>
      <c r="K49" s="19">
        <f t="shared" si="6"/>
        <v>0</v>
      </c>
      <c r="L49" s="19">
        <f t="shared" si="6"/>
        <v>100</v>
      </c>
      <c r="M49" s="19">
        <f t="shared" si="6"/>
        <v>0</v>
      </c>
      <c r="N49" s="19">
        <f t="shared" si="6"/>
        <v>2</v>
      </c>
      <c r="O49" s="19">
        <f t="shared" si="6"/>
        <v>21</v>
      </c>
      <c r="P49" s="19">
        <f t="shared" si="6"/>
        <v>5</v>
      </c>
      <c r="Q49" s="19">
        <f t="shared" si="6"/>
        <v>1</v>
      </c>
      <c r="R49" s="19">
        <f t="shared" si="5"/>
        <v>15</v>
      </c>
      <c r="S49" s="19">
        <f t="shared" si="5"/>
        <v>0</v>
      </c>
      <c r="T49" s="19">
        <f t="shared" si="5"/>
        <v>0</v>
      </c>
      <c r="U49" s="19">
        <f t="shared" si="5"/>
        <v>0</v>
      </c>
      <c r="V49" s="19">
        <f t="shared" si="5"/>
        <v>0</v>
      </c>
      <c r="W49" s="19">
        <f t="shared" si="3"/>
        <v>1</v>
      </c>
    </row>
    <row r="50" spans="1:23" x14ac:dyDescent="0.15">
      <c r="A50" s="24" t="str">
        <f t="shared" si="2"/>
        <v>20001_3-1/41&lt;lv26&gt;s1</v>
      </c>
      <c r="B50" s="19">
        <f t="shared" si="6"/>
        <v>20001</v>
      </c>
      <c r="C50" s="19">
        <f t="shared" si="6"/>
        <v>3</v>
      </c>
      <c r="D50" s="19">
        <f t="shared" si="6"/>
        <v>1</v>
      </c>
      <c r="E50" s="19">
        <f t="shared" si="6"/>
        <v>41</v>
      </c>
      <c r="F50" s="19">
        <f t="shared" si="6"/>
        <v>26</v>
      </c>
      <c r="G50" s="19">
        <f t="shared" si="5"/>
        <v>1</v>
      </c>
      <c r="H50" s="19">
        <f t="shared" si="5"/>
        <v>1</v>
      </c>
      <c r="I50" s="19">
        <f t="shared" si="5"/>
        <v>0</v>
      </c>
      <c r="J50" s="19">
        <f t="shared" si="6"/>
        <v>0</v>
      </c>
      <c r="K50" s="19">
        <f t="shared" si="6"/>
        <v>0</v>
      </c>
      <c r="L50" s="19">
        <f t="shared" si="6"/>
        <v>100</v>
      </c>
      <c r="M50" s="19">
        <f t="shared" si="6"/>
        <v>0</v>
      </c>
      <c r="N50" s="19">
        <f t="shared" si="6"/>
        <v>1</v>
      </c>
      <c r="O50" s="19">
        <f t="shared" si="6"/>
        <v>41</v>
      </c>
      <c r="P50" s="19">
        <f t="shared" si="6"/>
        <v>5</v>
      </c>
      <c r="Q50" s="19">
        <f t="shared" si="6"/>
        <v>2</v>
      </c>
      <c r="R50" s="19">
        <f t="shared" si="5"/>
        <v>15</v>
      </c>
      <c r="S50" s="19">
        <f t="shared" si="5"/>
        <v>0</v>
      </c>
      <c r="T50" s="19">
        <f t="shared" si="5"/>
        <v>0</v>
      </c>
      <c r="U50" s="19">
        <f t="shared" si="5"/>
        <v>0</v>
      </c>
      <c r="V50" s="19">
        <f t="shared" si="5"/>
        <v>0</v>
      </c>
      <c r="W50" s="19">
        <f t="shared" si="3"/>
        <v>1</v>
      </c>
    </row>
    <row r="51" spans="1:23" x14ac:dyDescent="0.15">
      <c r="A51" s="24" t="str">
        <f t="shared" si="2"/>
        <v>20001_3-1/49&lt;lv26&gt;s2</v>
      </c>
      <c r="B51" s="19">
        <f t="shared" si="6"/>
        <v>20001</v>
      </c>
      <c r="C51" s="19">
        <f t="shared" si="6"/>
        <v>3</v>
      </c>
      <c r="D51" s="19">
        <f t="shared" si="6"/>
        <v>1</v>
      </c>
      <c r="E51" s="19">
        <f t="shared" si="6"/>
        <v>49</v>
      </c>
      <c r="F51" s="19">
        <f t="shared" si="6"/>
        <v>26</v>
      </c>
      <c r="G51" s="19">
        <f t="shared" si="5"/>
        <v>1</v>
      </c>
      <c r="H51" s="19">
        <f t="shared" si="5"/>
        <v>1</v>
      </c>
      <c r="I51" s="19">
        <f t="shared" si="5"/>
        <v>0</v>
      </c>
      <c r="J51" s="19">
        <f t="shared" si="6"/>
        <v>49</v>
      </c>
      <c r="K51" s="19">
        <f t="shared" si="6"/>
        <v>0</v>
      </c>
      <c r="L51" s="19">
        <f t="shared" si="6"/>
        <v>80</v>
      </c>
      <c r="M51" s="19">
        <f t="shared" si="6"/>
        <v>0</v>
      </c>
      <c r="N51" s="19">
        <f t="shared" si="6"/>
        <v>2</v>
      </c>
      <c r="O51" s="19">
        <f t="shared" si="6"/>
        <v>49</v>
      </c>
      <c r="P51" s="19">
        <f t="shared" si="6"/>
        <v>5</v>
      </c>
      <c r="Q51" s="19">
        <f t="shared" si="6"/>
        <v>2</v>
      </c>
      <c r="R51" s="19">
        <f t="shared" si="5"/>
        <v>15</v>
      </c>
      <c r="S51" s="19">
        <f t="shared" si="5"/>
        <v>0</v>
      </c>
      <c r="T51" s="19">
        <f t="shared" si="5"/>
        <v>0</v>
      </c>
      <c r="U51" s="19">
        <f t="shared" si="5"/>
        <v>0</v>
      </c>
      <c r="V51" s="19">
        <f t="shared" si="5"/>
        <v>0</v>
      </c>
      <c r="W51" s="19">
        <f t="shared" si="3"/>
        <v>1</v>
      </c>
    </row>
    <row r="52" spans="1:23" x14ac:dyDescent="0.15">
      <c r="A52" s="24" t="str">
        <f t="shared" si="2"/>
        <v>20001_3-1/57&lt;lv26&gt;s2</v>
      </c>
      <c r="B52" s="19">
        <f t="shared" si="6"/>
        <v>20001</v>
      </c>
      <c r="C52" s="19">
        <f t="shared" si="6"/>
        <v>3</v>
      </c>
      <c r="D52" s="19">
        <f t="shared" si="6"/>
        <v>1</v>
      </c>
      <c r="E52" s="19">
        <f t="shared" si="6"/>
        <v>57</v>
      </c>
      <c r="F52" s="19">
        <f t="shared" si="6"/>
        <v>26</v>
      </c>
      <c r="G52" s="19">
        <f t="shared" si="5"/>
        <v>1</v>
      </c>
      <c r="H52" s="19">
        <f t="shared" si="5"/>
        <v>1</v>
      </c>
      <c r="I52" s="19">
        <f t="shared" si="5"/>
        <v>0</v>
      </c>
      <c r="J52" s="19">
        <f t="shared" si="6"/>
        <v>57</v>
      </c>
      <c r="K52" s="19">
        <f t="shared" si="6"/>
        <v>0</v>
      </c>
      <c r="L52" s="19">
        <f t="shared" si="6"/>
        <v>80</v>
      </c>
      <c r="M52" s="19">
        <f t="shared" si="6"/>
        <v>0</v>
      </c>
      <c r="N52" s="19">
        <f t="shared" si="6"/>
        <v>2</v>
      </c>
      <c r="O52" s="19">
        <f t="shared" si="6"/>
        <v>57</v>
      </c>
      <c r="P52" s="19">
        <f t="shared" si="6"/>
        <v>5</v>
      </c>
      <c r="Q52" s="19">
        <f t="shared" si="6"/>
        <v>2</v>
      </c>
      <c r="R52" s="19">
        <f t="shared" si="5"/>
        <v>15</v>
      </c>
      <c r="S52" s="19">
        <f t="shared" si="5"/>
        <v>0</v>
      </c>
      <c r="T52" s="19">
        <f t="shared" si="5"/>
        <v>0</v>
      </c>
      <c r="U52" s="19">
        <f t="shared" si="5"/>
        <v>0</v>
      </c>
      <c r="V52" s="19">
        <f t="shared" si="5"/>
        <v>0</v>
      </c>
      <c r="W52" s="19">
        <f t="shared" si="3"/>
        <v>1</v>
      </c>
    </row>
    <row r="53" spans="1:23" x14ac:dyDescent="0.15">
      <c r="A53" s="24" t="str">
        <f t="shared" si="2"/>
        <v>20001_3-2/10&lt;lv26&gt;s2</v>
      </c>
      <c r="B53" s="19">
        <f t="shared" si="6"/>
        <v>20001</v>
      </c>
      <c r="C53" s="19">
        <f t="shared" si="6"/>
        <v>3</v>
      </c>
      <c r="D53" s="19">
        <f t="shared" si="6"/>
        <v>2</v>
      </c>
      <c r="E53" s="19">
        <f t="shared" si="6"/>
        <v>10</v>
      </c>
      <c r="F53" s="19">
        <f t="shared" si="6"/>
        <v>26</v>
      </c>
      <c r="G53" s="19">
        <f t="shared" si="5"/>
        <v>1</v>
      </c>
      <c r="H53" s="19">
        <f t="shared" si="5"/>
        <v>1</v>
      </c>
      <c r="I53" s="19">
        <f t="shared" si="5"/>
        <v>0</v>
      </c>
      <c r="J53" s="19">
        <f t="shared" si="6"/>
        <v>0</v>
      </c>
      <c r="K53" s="19">
        <f t="shared" si="6"/>
        <v>0</v>
      </c>
      <c r="L53" s="19">
        <f t="shared" si="6"/>
        <v>100</v>
      </c>
      <c r="M53" s="19">
        <f t="shared" ref="M53:W71" si="7">VLOOKUP($A53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0</v>
      </c>
      <c r="N53" s="19">
        <f t="shared" si="7"/>
        <v>2</v>
      </c>
      <c r="O53" s="19">
        <f t="shared" si="7"/>
        <v>10</v>
      </c>
      <c r="P53" s="19">
        <f t="shared" si="7"/>
        <v>7</v>
      </c>
      <c r="Q53" s="19">
        <f t="shared" si="7"/>
        <v>2</v>
      </c>
      <c r="R53" s="19">
        <f t="shared" si="7"/>
        <v>15</v>
      </c>
      <c r="S53" s="19">
        <f t="shared" si="7"/>
        <v>0</v>
      </c>
      <c r="T53" s="19">
        <f t="shared" si="7"/>
        <v>0</v>
      </c>
      <c r="U53" s="19">
        <f t="shared" si="7"/>
        <v>0</v>
      </c>
      <c r="V53" s="19">
        <f t="shared" si="7"/>
        <v>0</v>
      </c>
      <c r="W53" s="19">
        <f t="shared" si="7"/>
        <v>1</v>
      </c>
    </row>
    <row r="54" spans="1:23" x14ac:dyDescent="0.15">
      <c r="A54" s="24" t="str">
        <f t="shared" si="2"/>
        <v>20001_3-2/21&lt;lv26&gt;s2</v>
      </c>
      <c r="B54" s="19">
        <f t="shared" ref="B54:Q71" si="8">VLOOKUP($A54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20001</v>
      </c>
      <c r="C54" s="19">
        <f t="shared" si="8"/>
        <v>3</v>
      </c>
      <c r="D54" s="19">
        <f t="shared" si="8"/>
        <v>2</v>
      </c>
      <c r="E54" s="19">
        <f t="shared" si="8"/>
        <v>21</v>
      </c>
      <c r="F54" s="19">
        <f t="shared" si="8"/>
        <v>26</v>
      </c>
      <c r="G54" s="19">
        <f t="shared" si="5"/>
        <v>1</v>
      </c>
      <c r="H54" s="19">
        <f t="shared" si="5"/>
        <v>1</v>
      </c>
      <c r="I54" s="19">
        <f t="shared" si="5"/>
        <v>0</v>
      </c>
      <c r="J54" s="19">
        <f t="shared" si="8"/>
        <v>0</v>
      </c>
      <c r="K54" s="19">
        <f t="shared" si="8"/>
        <v>0</v>
      </c>
      <c r="L54" s="19">
        <f t="shared" si="8"/>
        <v>100</v>
      </c>
      <c r="M54" s="19">
        <f t="shared" si="8"/>
        <v>0</v>
      </c>
      <c r="N54" s="19">
        <f t="shared" si="8"/>
        <v>2</v>
      </c>
      <c r="O54" s="19">
        <f t="shared" si="8"/>
        <v>21</v>
      </c>
      <c r="P54" s="19">
        <f t="shared" si="8"/>
        <v>5</v>
      </c>
      <c r="Q54" s="19">
        <f t="shared" si="8"/>
        <v>1</v>
      </c>
      <c r="R54" s="19">
        <f t="shared" si="7"/>
        <v>15</v>
      </c>
      <c r="S54" s="19">
        <f t="shared" si="7"/>
        <v>0</v>
      </c>
      <c r="T54" s="19">
        <f t="shared" si="7"/>
        <v>0</v>
      </c>
      <c r="U54" s="19">
        <f t="shared" si="7"/>
        <v>0</v>
      </c>
      <c r="V54" s="19">
        <f t="shared" si="7"/>
        <v>0</v>
      </c>
      <c r="W54" s="19">
        <f t="shared" si="7"/>
        <v>1</v>
      </c>
    </row>
    <row r="55" spans="1:23" x14ac:dyDescent="0.15">
      <c r="A55" s="24" t="str">
        <f t="shared" si="2"/>
        <v>20001_3-2/41&lt;lv26&gt;s1</v>
      </c>
      <c r="B55" s="19">
        <f t="shared" si="8"/>
        <v>20001</v>
      </c>
      <c r="C55" s="19">
        <f t="shared" si="8"/>
        <v>3</v>
      </c>
      <c r="D55" s="19">
        <f t="shared" si="8"/>
        <v>2</v>
      </c>
      <c r="E55" s="19">
        <f t="shared" si="8"/>
        <v>41</v>
      </c>
      <c r="F55" s="19">
        <f t="shared" si="8"/>
        <v>26</v>
      </c>
      <c r="G55" s="19">
        <f t="shared" si="5"/>
        <v>1</v>
      </c>
      <c r="H55" s="19">
        <f t="shared" si="5"/>
        <v>1</v>
      </c>
      <c r="I55" s="19">
        <f t="shared" si="5"/>
        <v>0</v>
      </c>
      <c r="J55" s="19">
        <f t="shared" si="8"/>
        <v>0</v>
      </c>
      <c r="K55" s="19">
        <f t="shared" si="8"/>
        <v>0</v>
      </c>
      <c r="L55" s="19">
        <f t="shared" si="8"/>
        <v>100</v>
      </c>
      <c r="M55" s="19">
        <f t="shared" si="8"/>
        <v>0</v>
      </c>
      <c r="N55" s="19">
        <f t="shared" si="8"/>
        <v>1</v>
      </c>
      <c r="O55" s="19">
        <f t="shared" si="8"/>
        <v>41</v>
      </c>
      <c r="P55" s="19">
        <f t="shared" si="8"/>
        <v>5</v>
      </c>
      <c r="Q55" s="19">
        <f t="shared" si="8"/>
        <v>2</v>
      </c>
      <c r="R55" s="19">
        <f t="shared" si="7"/>
        <v>15</v>
      </c>
      <c r="S55" s="19">
        <f t="shared" si="7"/>
        <v>0</v>
      </c>
      <c r="T55" s="19">
        <f t="shared" si="7"/>
        <v>0</v>
      </c>
      <c r="U55" s="19">
        <f t="shared" si="7"/>
        <v>0</v>
      </c>
      <c r="V55" s="19">
        <f t="shared" si="7"/>
        <v>0</v>
      </c>
      <c r="W55" s="19">
        <f t="shared" si="7"/>
        <v>1</v>
      </c>
    </row>
    <row r="56" spans="1:23" x14ac:dyDescent="0.15">
      <c r="A56" s="24" t="str">
        <f t="shared" si="2"/>
        <v>20001_3-2/49&lt;lv26&gt;s2</v>
      </c>
      <c r="B56" s="19">
        <f t="shared" si="8"/>
        <v>20001</v>
      </c>
      <c r="C56" s="19">
        <f t="shared" si="8"/>
        <v>3</v>
      </c>
      <c r="D56" s="19">
        <f t="shared" si="8"/>
        <v>2</v>
      </c>
      <c r="E56" s="19">
        <f t="shared" si="8"/>
        <v>49</v>
      </c>
      <c r="F56" s="19">
        <f t="shared" si="8"/>
        <v>26</v>
      </c>
      <c r="G56" s="19">
        <f t="shared" si="5"/>
        <v>1</v>
      </c>
      <c r="H56" s="19">
        <f t="shared" si="5"/>
        <v>1</v>
      </c>
      <c r="I56" s="19">
        <f t="shared" si="5"/>
        <v>0</v>
      </c>
      <c r="J56" s="19">
        <f t="shared" si="8"/>
        <v>49</v>
      </c>
      <c r="K56" s="19">
        <f t="shared" si="8"/>
        <v>0</v>
      </c>
      <c r="L56" s="19">
        <f t="shared" si="8"/>
        <v>80</v>
      </c>
      <c r="M56" s="19">
        <f t="shared" si="8"/>
        <v>0</v>
      </c>
      <c r="N56" s="19">
        <f t="shared" si="8"/>
        <v>2</v>
      </c>
      <c r="O56" s="19">
        <f t="shared" si="8"/>
        <v>49</v>
      </c>
      <c r="P56" s="19">
        <f t="shared" si="8"/>
        <v>5</v>
      </c>
      <c r="Q56" s="19">
        <f t="shared" si="8"/>
        <v>2</v>
      </c>
      <c r="R56" s="19">
        <f t="shared" si="7"/>
        <v>15</v>
      </c>
      <c r="S56" s="19">
        <f t="shared" si="7"/>
        <v>0</v>
      </c>
      <c r="T56" s="19">
        <f t="shared" si="7"/>
        <v>0</v>
      </c>
      <c r="U56" s="19">
        <f t="shared" si="7"/>
        <v>0</v>
      </c>
      <c r="V56" s="19">
        <f t="shared" si="7"/>
        <v>0</v>
      </c>
      <c r="W56" s="19">
        <f t="shared" si="7"/>
        <v>1</v>
      </c>
    </row>
    <row r="57" spans="1:23" x14ac:dyDescent="0.15">
      <c r="A57" s="24" t="str">
        <f t="shared" si="2"/>
        <v>20001_3-2/57&lt;lv26&gt;s2</v>
      </c>
      <c r="B57" s="19">
        <f t="shared" si="8"/>
        <v>20001</v>
      </c>
      <c r="C57" s="19">
        <f t="shared" si="8"/>
        <v>3</v>
      </c>
      <c r="D57" s="19">
        <f t="shared" si="8"/>
        <v>2</v>
      </c>
      <c r="E57" s="19">
        <f t="shared" si="8"/>
        <v>57</v>
      </c>
      <c r="F57" s="19">
        <f t="shared" si="8"/>
        <v>26</v>
      </c>
      <c r="G57" s="19">
        <f t="shared" si="5"/>
        <v>1</v>
      </c>
      <c r="H57" s="19">
        <f t="shared" si="5"/>
        <v>1</v>
      </c>
      <c r="I57" s="19">
        <f t="shared" si="5"/>
        <v>0</v>
      </c>
      <c r="J57" s="19">
        <f t="shared" si="8"/>
        <v>57</v>
      </c>
      <c r="K57" s="19">
        <f t="shared" si="8"/>
        <v>0</v>
      </c>
      <c r="L57" s="19">
        <f t="shared" si="8"/>
        <v>80</v>
      </c>
      <c r="M57" s="19">
        <f t="shared" si="8"/>
        <v>0</v>
      </c>
      <c r="N57" s="19">
        <f t="shared" si="8"/>
        <v>2</v>
      </c>
      <c r="O57" s="19">
        <f t="shared" si="8"/>
        <v>57</v>
      </c>
      <c r="P57" s="19">
        <f t="shared" si="8"/>
        <v>5</v>
      </c>
      <c r="Q57" s="19">
        <f t="shared" si="8"/>
        <v>2</v>
      </c>
      <c r="R57" s="19">
        <f t="shared" si="7"/>
        <v>15</v>
      </c>
      <c r="S57" s="19">
        <f t="shared" si="7"/>
        <v>0</v>
      </c>
      <c r="T57" s="19">
        <f t="shared" si="7"/>
        <v>0</v>
      </c>
      <c r="U57" s="19">
        <f t="shared" si="7"/>
        <v>0</v>
      </c>
      <c r="V57" s="19">
        <f t="shared" si="7"/>
        <v>0</v>
      </c>
      <c r="W57" s="19">
        <f t="shared" si="7"/>
        <v>1</v>
      </c>
    </row>
    <row r="58" spans="1:23" x14ac:dyDescent="0.15">
      <c r="A58" s="24" t="str">
        <f t="shared" si="2"/>
        <v>20001_3-3/176&lt;lv19&gt;s2</v>
      </c>
      <c r="B58" s="19">
        <f t="shared" si="8"/>
        <v>20001</v>
      </c>
      <c r="C58" s="19">
        <f t="shared" si="8"/>
        <v>3</v>
      </c>
      <c r="D58" s="19">
        <f t="shared" si="8"/>
        <v>3</v>
      </c>
      <c r="E58" s="19">
        <f t="shared" si="8"/>
        <v>176</v>
      </c>
      <c r="F58" s="19">
        <f t="shared" si="8"/>
        <v>19</v>
      </c>
      <c r="G58" s="19">
        <f t="shared" si="5"/>
        <v>0.7</v>
      </c>
      <c r="H58" s="19">
        <f t="shared" si="5"/>
        <v>1</v>
      </c>
      <c r="I58" s="19">
        <f t="shared" si="5"/>
        <v>0</v>
      </c>
      <c r="J58" s="19">
        <f t="shared" si="8"/>
        <v>0</v>
      </c>
      <c r="K58" s="19">
        <f t="shared" si="8"/>
        <v>1</v>
      </c>
      <c r="L58" s="19">
        <f t="shared" si="8"/>
        <v>0</v>
      </c>
      <c r="M58" s="19">
        <f t="shared" si="8"/>
        <v>1</v>
      </c>
      <c r="N58" s="19">
        <f t="shared" si="8"/>
        <v>2</v>
      </c>
      <c r="O58" s="19">
        <f t="shared" si="8"/>
        <v>176</v>
      </c>
      <c r="P58" s="19">
        <f t="shared" si="8"/>
        <v>1</v>
      </c>
      <c r="Q58" s="19">
        <f t="shared" si="8"/>
        <v>4</v>
      </c>
      <c r="R58" s="19">
        <f t="shared" si="7"/>
        <v>0</v>
      </c>
      <c r="S58" s="19">
        <f t="shared" si="7"/>
        <v>0</v>
      </c>
      <c r="T58" s="19">
        <f t="shared" si="7"/>
        <v>0</v>
      </c>
      <c r="U58" s="19">
        <f t="shared" si="7"/>
        <v>0</v>
      </c>
      <c r="V58" s="19">
        <f t="shared" si="7"/>
        <v>0</v>
      </c>
      <c r="W58" s="19">
        <f t="shared" si="7"/>
        <v>1</v>
      </c>
    </row>
    <row r="59" spans="1:23" x14ac:dyDescent="0.15">
      <c r="A59" s="24" t="str">
        <f t="shared" si="2"/>
        <v>20001_3-4/10&lt;lv26&gt;s2</v>
      </c>
      <c r="B59" s="19">
        <f t="shared" si="8"/>
        <v>20001</v>
      </c>
      <c r="C59" s="19">
        <f t="shared" si="8"/>
        <v>3</v>
      </c>
      <c r="D59" s="19">
        <f t="shared" si="8"/>
        <v>4</v>
      </c>
      <c r="E59" s="19">
        <f t="shared" si="8"/>
        <v>10</v>
      </c>
      <c r="F59" s="19">
        <f t="shared" si="8"/>
        <v>26</v>
      </c>
      <c r="G59" s="19">
        <f t="shared" si="5"/>
        <v>1</v>
      </c>
      <c r="H59" s="19">
        <f t="shared" si="5"/>
        <v>1</v>
      </c>
      <c r="I59" s="19">
        <f t="shared" si="5"/>
        <v>0</v>
      </c>
      <c r="J59" s="19">
        <f t="shared" si="8"/>
        <v>0</v>
      </c>
      <c r="K59" s="19">
        <f t="shared" si="8"/>
        <v>0</v>
      </c>
      <c r="L59" s="19">
        <f t="shared" si="8"/>
        <v>100</v>
      </c>
      <c r="M59" s="19">
        <f t="shared" si="8"/>
        <v>0</v>
      </c>
      <c r="N59" s="19">
        <f t="shared" si="8"/>
        <v>2</v>
      </c>
      <c r="O59" s="19">
        <f t="shared" si="8"/>
        <v>10</v>
      </c>
      <c r="P59" s="19">
        <f t="shared" si="8"/>
        <v>7</v>
      </c>
      <c r="Q59" s="19">
        <f t="shared" si="8"/>
        <v>2</v>
      </c>
      <c r="R59" s="19">
        <f t="shared" si="7"/>
        <v>0</v>
      </c>
      <c r="S59" s="19">
        <f t="shared" si="7"/>
        <v>0</v>
      </c>
      <c r="T59" s="19">
        <f t="shared" si="7"/>
        <v>0</v>
      </c>
      <c r="U59" s="19">
        <f t="shared" si="7"/>
        <v>0</v>
      </c>
      <c r="V59" s="19">
        <f t="shared" si="7"/>
        <v>0</v>
      </c>
      <c r="W59" s="19">
        <f t="shared" si="7"/>
        <v>1</v>
      </c>
    </row>
    <row r="60" spans="1:23" x14ac:dyDescent="0.15">
      <c r="A60" s="24" t="str">
        <f t="shared" si="2"/>
        <v>20001_3-4/21&lt;lv26&gt;s2</v>
      </c>
      <c r="B60" s="19">
        <f t="shared" si="8"/>
        <v>20001</v>
      </c>
      <c r="C60" s="19">
        <f t="shared" si="8"/>
        <v>3</v>
      </c>
      <c r="D60" s="19">
        <f t="shared" si="8"/>
        <v>4</v>
      </c>
      <c r="E60" s="19">
        <f t="shared" si="8"/>
        <v>21</v>
      </c>
      <c r="F60" s="19">
        <f t="shared" si="8"/>
        <v>26</v>
      </c>
      <c r="G60" s="19">
        <f t="shared" si="5"/>
        <v>1</v>
      </c>
      <c r="H60" s="19">
        <f t="shared" si="5"/>
        <v>1</v>
      </c>
      <c r="I60" s="19">
        <f t="shared" si="5"/>
        <v>0</v>
      </c>
      <c r="J60" s="19">
        <f t="shared" si="8"/>
        <v>0</v>
      </c>
      <c r="K60" s="19">
        <f t="shared" si="8"/>
        <v>1</v>
      </c>
      <c r="L60" s="19">
        <f t="shared" si="8"/>
        <v>100</v>
      </c>
      <c r="M60" s="19">
        <f t="shared" si="8"/>
        <v>0</v>
      </c>
      <c r="N60" s="19">
        <f t="shared" si="8"/>
        <v>2</v>
      </c>
      <c r="O60" s="19">
        <f t="shared" si="8"/>
        <v>21</v>
      </c>
      <c r="P60" s="19">
        <f t="shared" si="8"/>
        <v>5</v>
      </c>
      <c r="Q60" s="19">
        <f t="shared" si="8"/>
        <v>1</v>
      </c>
      <c r="R60" s="19">
        <f t="shared" si="7"/>
        <v>0</v>
      </c>
      <c r="S60" s="19">
        <f t="shared" si="7"/>
        <v>0</v>
      </c>
      <c r="T60" s="19">
        <f t="shared" si="7"/>
        <v>0</v>
      </c>
      <c r="U60" s="19">
        <f t="shared" si="7"/>
        <v>0</v>
      </c>
      <c r="V60" s="19">
        <f t="shared" si="7"/>
        <v>0</v>
      </c>
      <c r="W60" s="19">
        <f t="shared" si="7"/>
        <v>1</v>
      </c>
    </row>
    <row r="61" spans="1:23" x14ac:dyDescent="0.15">
      <c r="A61" s="24" t="str">
        <f t="shared" si="2"/>
        <v>20001_3-4/41&lt;lv26&gt;s1</v>
      </c>
      <c r="B61" s="19">
        <f t="shared" si="8"/>
        <v>20001</v>
      </c>
      <c r="C61" s="19">
        <f t="shared" si="8"/>
        <v>3</v>
      </c>
      <c r="D61" s="19">
        <f t="shared" si="8"/>
        <v>4</v>
      </c>
      <c r="E61" s="19">
        <f t="shared" si="8"/>
        <v>41</v>
      </c>
      <c r="F61" s="19">
        <f t="shared" si="8"/>
        <v>26</v>
      </c>
      <c r="G61" s="19">
        <f t="shared" si="5"/>
        <v>1</v>
      </c>
      <c r="H61" s="19">
        <f t="shared" si="5"/>
        <v>1</v>
      </c>
      <c r="I61" s="19">
        <f t="shared" si="5"/>
        <v>0</v>
      </c>
      <c r="J61" s="19">
        <f t="shared" si="8"/>
        <v>0</v>
      </c>
      <c r="K61" s="19">
        <f t="shared" si="8"/>
        <v>1</v>
      </c>
      <c r="L61" s="19">
        <f t="shared" si="8"/>
        <v>100</v>
      </c>
      <c r="M61" s="19">
        <f t="shared" si="8"/>
        <v>0</v>
      </c>
      <c r="N61" s="19">
        <f t="shared" si="8"/>
        <v>1</v>
      </c>
      <c r="O61" s="19">
        <f t="shared" si="8"/>
        <v>41</v>
      </c>
      <c r="P61" s="19">
        <f t="shared" si="8"/>
        <v>5</v>
      </c>
      <c r="Q61" s="19">
        <f t="shared" si="8"/>
        <v>2</v>
      </c>
      <c r="R61" s="19">
        <f t="shared" si="7"/>
        <v>0</v>
      </c>
      <c r="S61" s="19">
        <f t="shared" si="7"/>
        <v>0</v>
      </c>
      <c r="T61" s="19">
        <f t="shared" si="7"/>
        <v>0</v>
      </c>
      <c r="U61" s="19">
        <f t="shared" si="7"/>
        <v>0</v>
      </c>
      <c r="V61" s="19">
        <f t="shared" si="7"/>
        <v>0</v>
      </c>
      <c r="W61" s="19">
        <f t="shared" si="7"/>
        <v>1</v>
      </c>
    </row>
    <row r="62" spans="1:23" x14ac:dyDescent="0.15">
      <c r="A62" s="24" t="str">
        <f t="shared" si="2"/>
        <v>20001_3-4/49&lt;lv26&gt;s2</v>
      </c>
      <c r="B62" s="19">
        <f t="shared" si="8"/>
        <v>20001</v>
      </c>
      <c r="C62" s="19">
        <f t="shared" si="8"/>
        <v>3</v>
      </c>
      <c r="D62" s="19">
        <f t="shared" si="8"/>
        <v>4</v>
      </c>
      <c r="E62" s="19">
        <f t="shared" si="8"/>
        <v>49</v>
      </c>
      <c r="F62" s="19">
        <f t="shared" si="8"/>
        <v>26</v>
      </c>
      <c r="G62" s="19">
        <f t="shared" si="5"/>
        <v>1</v>
      </c>
      <c r="H62" s="19">
        <f t="shared" si="5"/>
        <v>1</v>
      </c>
      <c r="I62" s="19">
        <f t="shared" si="5"/>
        <v>0</v>
      </c>
      <c r="J62" s="19">
        <f t="shared" si="8"/>
        <v>49</v>
      </c>
      <c r="K62" s="19">
        <f t="shared" si="8"/>
        <v>0</v>
      </c>
      <c r="L62" s="19">
        <f t="shared" si="8"/>
        <v>80</v>
      </c>
      <c r="M62" s="19">
        <f t="shared" si="8"/>
        <v>0</v>
      </c>
      <c r="N62" s="19">
        <f t="shared" si="8"/>
        <v>2</v>
      </c>
      <c r="O62" s="19">
        <f t="shared" si="8"/>
        <v>49</v>
      </c>
      <c r="P62" s="19">
        <f t="shared" si="8"/>
        <v>5</v>
      </c>
      <c r="Q62" s="19">
        <f t="shared" si="8"/>
        <v>2</v>
      </c>
      <c r="R62" s="19">
        <f t="shared" si="7"/>
        <v>0</v>
      </c>
      <c r="S62" s="19">
        <f t="shared" si="7"/>
        <v>0</v>
      </c>
      <c r="T62" s="19">
        <f t="shared" si="7"/>
        <v>0</v>
      </c>
      <c r="U62" s="19">
        <f t="shared" si="7"/>
        <v>0</v>
      </c>
      <c r="V62" s="19">
        <f t="shared" si="7"/>
        <v>0</v>
      </c>
      <c r="W62" s="19">
        <f t="shared" si="7"/>
        <v>1</v>
      </c>
    </row>
    <row r="63" spans="1:23" x14ac:dyDescent="0.15">
      <c r="A63" s="24" t="str">
        <f t="shared" si="2"/>
        <v>20001_3-4/57&lt;lv26&gt;s2</v>
      </c>
      <c r="B63" s="19">
        <f t="shared" si="8"/>
        <v>20001</v>
      </c>
      <c r="C63" s="19">
        <f t="shared" si="8"/>
        <v>3</v>
      </c>
      <c r="D63" s="19">
        <f t="shared" si="8"/>
        <v>4</v>
      </c>
      <c r="E63" s="19">
        <f t="shared" si="8"/>
        <v>57</v>
      </c>
      <c r="F63" s="19">
        <f t="shared" si="8"/>
        <v>26</v>
      </c>
      <c r="G63" s="19">
        <f t="shared" si="5"/>
        <v>1</v>
      </c>
      <c r="H63" s="19">
        <f t="shared" si="5"/>
        <v>1</v>
      </c>
      <c r="I63" s="19">
        <f t="shared" si="5"/>
        <v>0</v>
      </c>
      <c r="J63" s="19">
        <f t="shared" si="8"/>
        <v>57</v>
      </c>
      <c r="K63" s="19">
        <f t="shared" si="8"/>
        <v>0</v>
      </c>
      <c r="L63" s="19">
        <f t="shared" si="8"/>
        <v>80</v>
      </c>
      <c r="M63" s="19">
        <f t="shared" si="8"/>
        <v>0</v>
      </c>
      <c r="N63" s="19">
        <f t="shared" si="8"/>
        <v>2</v>
      </c>
      <c r="O63" s="19">
        <f t="shared" si="8"/>
        <v>57</v>
      </c>
      <c r="P63" s="19">
        <f t="shared" si="8"/>
        <v>5</v>
      </c>
      <c r="Q63" s="19">
        <f t="shared" si="8"/>
        <v>2</v>
      </c>
      <c r="R63" s="19">
        <f t="shared" si="7"/>
        <v>0</v>
      </c>
      <c r="S63" s="19">
        <f t="shared" si="7"/>
        <v>0</v>
      </c>
      <c r="T63" s="19">
        <f t="shared" si="7"/>
        <v>0</v>
      </c>
      <c r="U63" s="19">
        <f t="shared" si="7"/>
        <v>0</v>
      </c>
      <c r="V63" s="19">
        <f t="shared" si="7"/>
        <v>0</v>
      </c>
      <c r="W63" s="19">
        <f t="shared" si="7"/>
        <v>1</v>
      </c>
    </row>
    <row r="64" spans="1:23" x14ac:dyDescent="0.15">
      <c r="A64" s="24" t="str">
        <f t="shared" si="2"/>
        <v>20001_3-4/121&lt;lv25&gt;s3</v>
      </c>
      <c r="B64" s="19">
        <f t="shared" si="8"/>
        <v>20001</v>
      </c>
      <c r="C64" s="19">
        <f t="shared" si="8"/>
        <v>3</v>
      </c>
      <c r="D64" s="19">
        <f t="shared" si="8"/>
        <v>4</v>
      </c>
      <c r="E64" s="19">
        <f t="shared" si="8"/>
        <v>121</v>
      </c>
      <c r="F64" s="19">
        <f t="shared" si="8"/>
        <v>25</v>
      </c>
      <c r="G64" s="19">
        <f t="shared" si="5"/>
        <v>2.2000000000000002</v>
      </c>
      <c r="H64" s="19">
        <f t="shared" si="5"/>
        <v>1.5</v>
      </c>
      <c r="I64" s="19">
        <f t="shared" si="5"/>
        <v>0</v>
      </c>
      <c r="J64" s="19">
        <f t="shared" si="8"/>
        <v>1211</v>
      </c>
      <c r="K64" s="19">
        <f t="shared" si="8"/>
        <v>1</v>
      </c>
      <c r="L64" s="19">
        <f t="shared" si="8"/>
        <v>0</v>
      </c>
      <c r="M64" s="19">
        <f t="shared" si="8"/>
        <v>0</v>
      </c>
      <c r="N64" s="19">
        <f t="shared" si="8"/>
        <v>3</v>
      </c>
      <c r="O64" s="19">
        <f t="shared" si="8"/>
        <v>121</v>
      </c>
      <c r="P64" s="19">
        <f t="shared" si="8"/>
        <v>1</v>
      </c>
      <c r="Q64" s="19">
        <f t="shared" si="8"/>
        <v>3</v>
      </c>
      <c r="R64" s="19">
        <f t="shared" si="7"/>
        <v>15</v>
      </c>
      <c r="S64" s="19">
        <f t="shared" si="7"/>
        <v>0</v>
      </c>
      <c r="T64" s="19">
        <f t="shared" si="7"/>
        <v>0</v>
      </c>
      <c r="U64" s="19">
        <f t="shared" si="7"/>
        <v>0</v>
      </c>
      <c r="V64" s="19">
        <f t="shared" si="7"/>
        <v>0</v>
      </c>
      <c r="W64" s="19">
        <f t="shared" si="7"/>
        <v>1</v>
      </c>
    </row>
    <row r="65" spans="1:23" x14ac:dyDescent="0.15">
      <c r="A65" s="24" t="str">
        <f t="shared" si="2"/>
        <v>20001_3-5/10&lt;lv26&gt;s2</v>
      </c>
      <c r="B65" s="19">
        <f t="shared" si="8"/>
        <v>20001</v>
      </c>
      <c r="C65" s="19">
        <f t="shared" si="8"/>
        <v>3</v>
      </c>
      <c r="D65" s="19">
        <f t="shared" si="8"/>
        <v>5</v>
      </c>
      <c r="E65" s="19">
        <f t="shared" si="8"/>
        <v>10</v>
      </c>
      <c r="F65" s="19">
        <f t="shared" si="8"/>
        <v>26</v>
      </c>
      <c r="G65" s="19">
        <f t="shared" si="5"/>
        <v>1</v>
      </c>
      <c r="H65" s="19">
        <f t="shared" si="5"/>
        <v>1</v>
      </c>
      <c r="I65" s="19">
        <f t="shared" si="5"/>
        <v>0</v>
      </c>
      <c r="J65" s="19">
        <f t="shared" si="8"/>
        <v>0</v>
      </c>
      <c r="K65" s="19">
        <f t="shared" si="8"/>
        <v>0</v>
      </c>
      <c r="L65" s="19">
        <f t="shared" si="8"/>
        <v>100</v>
      </c>
      <c r="M65" s="19">
        <f t="shared" si="8"/>
        <v>0</v>
      </c>
      <c r="N65" s="19">
        <f t="shared" si="8"/>
        <v>2</v>
      </c>
      <c r="O65" s="19">
        <f t="shared" si="8"/>
        <v>10</v>
      </c>
      <c r="P65" s="19">
        <f t="shared" si="8"/>
        <v>7</v>
      </c>
      <c r="Q65" s="19">
        <f t="shared" si="8"/>
        <v>2</v>
      </c>
      <c r="R65" s="19">
        <f t="shared" si="7"/>
        <v>15</v>
      </c>
      <c r="S65" s="19">
        <f t="shared" si="7"/>
        <v>0</v>
      </c>
      <c r="T65" s="19">
        <f t="shared" si="7"/>
        <v>0</v>
      </c>
      <c r="U65" s="19">
        <f t="shared" si="7"/>
        <v>0</v>
      </c>
      <c r="V65" s="19">
        <f t="shared" si="7"/>
        <v>0</v>
      </c>
      <c r="W65" s="19">
        <f t="shared" si="7"/>
        <v>1</v>
      </c>
    </row>
    <row r="66" spans="1:23" x14ac:dyDescent="0.15">
      <c r="A66" s="24" t="str">
        <f t="shared" si="2"/>
        <v>20001_3-5/21&lt;lv26&gt;s2</v>
      </c>
      <c r="B66" s="19">
        <f t="shared" si="8"/>
        <v>20001</v>
      </c>
      <c r="C66" s="19">
        <f t="shared" si="8"/>
        <v>3</v>
      </c>
      <c r="D66" s="19">
        <f t="shared" si="8"/>
        <v>5</v>
      </c>
      <c r="E66" s="19">
        <f t="shared" si="8"/>
        <v>21</v>
      </c>
      <c r="F66" s="19">
        <f t="shared" si="8"/>
        <v>26</v>
      </c>
      <c r="G66" s="19">
        <f t="shared" si="5"/>
        <v>1</v>
      </c>
      <c r="H66" s="19">
        <f t="shared" si="5"/>
        <v>1</v>
      </c>
      <c r="I66" s="19">
        <f t="shared" si="5"/>
        <v>0</v>
      </c>
      <c r="J66" s="19">
        <f t="shared" si="8"/>
        <v>0</v>
      </c>
      <c r="K66" s="19">
        <f t="shared" si="8"/>
        <v>0</v>
      </c>
      <c r="L66" s="19">
        <f t="shared" si="8"/>
        <v>100</v>
      </c>
      <c r="M66" s="19">
        <f t="shared" si="8"/>
        <v>0</v>
      </c>
      <c r="N66" s="19">
        <f t="shared" si="8"/>
        <v>2</v>
      </c>
      <c r="O66" s="19">
        <f t="shared" si="8"/>
        <v>21</v>
      </c>
      <c r="P66" s="19">
        <f t="shared" si="8"/>
        <v>5</v>
      </c>
      <c r="Q66" s="19">
        <f t="shared" si="8"/>
        <v>1</v>
      </c>
      <c r="R66" s="19">
        <f t="shared" si="7"/>
        <v>15</v>
      </c>
      <c r="S66" s="19">
        <f t="shared" si="7"/>
        <v>0</v>
      </c>
      <c r="T66" s="19">
        <f t="shared" si="7"/>
        <v>0</v>
      </c>
      <c r="U66" s="19">
        <f t="shared" si="7"/>
        <v>0</v>
      </c>
      <c r="V66" s="19">
        <f t="shared" si="7"/>
        <v>0</v>
      </c>
      <c r="W66" s="19">
        <f t="shared" si="7"/>
        <v>1</v>
      </c>
    </row>
    <row r="67" spans="1:23" x14ac:dyDescent="0.15">
      <c r="A67" s="24" t="str">
        <f t="shared" si="2"/>
        <v>20001_3-5/41&lt;lv26&gt;s1</v>
      </c>
      <c r="B67" s="19">
        <f t="shared" si="8"/>
        <v>20001</v>
      </c>
      <c r="C67" s="19">
        <f t="shared" si="8"/>
        <v>3</v>
      </c>
      <c r="D67" s="19">
        <f t="shared" si="8"/>
        <v>5</v>
      </c>
      <c r="E67" s="19">
        <f t="shared" si="8"/>
        <v>41</v>
      </c>
      <c r="F67" s="19">
        <f t="shared" si="8"/>
        <v>26</v>
      </c>
      <c r="G67" s="19">
        <f t="shared" si="5"/>
        <v>1</v>
      </c>
      <c r="H67" s="19">
        <f t="shared" si="5"/>
        <v>1</v>
      </c>
      <c r="I67" s="19">
        <f t="shared" si="5"/>
        <v>0</v>
      </c>
      <c r="J67" s="19">
        <f t="shared" si="8"/>
        <v>0</v>
      </c>
      <c r="K67" s="19">
        <f t="shared" si="8"/>
        <v>0</v>
      </c>
      <c r="L67" s="19">
        <f t="shared" si="8"/>
        <v>100</v>
      </c>
      <c r="M67" s="19">
        <f t="shared" si="8"/>
        <v>0</v>
      </c>
      <c r="N67" s="19">
        <f t="shared" si="8"/>
        <v>1</v>
      </c>
      <c r="O67" s="19">
        <f t="shared" si="8"/>
        <v>41</v>
      </c>
      <c r="P67" s="19">
        <f t="shared" si="8"/>
        <v>5</v>
      </c>
      <c r="Q67" s="19">
        <f t="shared" si="8"/>
        <v>2</v>
      </c>
      <c r="R67" s="19">
        <f t="shared" si="7"/>
        <v>15</v>
      </c>
      <c r="S67" s="19">
        <f t="shared" si="7"/>
        <v>0</v>
      </c>
      <c r="T67" s="19">
        <f t="shared" si="7"/>
        <v>0</v>
      </c>
      <c r="U67" s="19">
        <f t="shared" si="7"/>
        <v>0</v>
      </c>
      <c r="V67" s="19">
        <f t="shared" si="7"/>
        <v>0</v>
      </c>
      <c r="W67" s="19">
        <f t="shared" si="7"/>
        <v>1</v>
      </c>
    </row>
    <row r="68" spans="1:23" x14ac:dyDescent="0.15">
      <c r="A68" s="24" t="str">
        <f t="shared" ref="A68:A71" si="9">INDIRECT(ADDRESS(ROW()+$A$1,COLUMN(),1,TRUE,$C$1))</f>
        <v>20001_3-5/49&lt;lv26&gt;s2</v>
      </c>
      <c r="B68" s="19">
        <f t="shared" si="8"/>
        <v>20001</v>
      </c>
      <c r="C68" s="19">
        <f t="shared" si="8"/>
        <v>3</v>
      </c>
      <c r="D68" s="19">
        <f t="shared" si="8"/>
        <v>5</v>
      </c>
      <c r="E68" s="19">
        <f t="shared" si="8"/>
        <v>49</v>
      </c>
      <c r="F68" s="19">
        <f t="shared" si="8"/>
        <v>26</v>
      </c>
      <c r="G68" s="19">
        <f t="shared" si="5"/>
        <v>1</v>
      </c>
      <c r="H68" s="19">
        <f t="shared" si="5"/>
        <v>1</v>
      </c>
      <c r="I68" s="19">
        <f t="shared" si="5"/>
        <v>0</v>
      </c>
      <c r="J68" s="19">
        <f t="shared" si="8"/>
        <v>49</v>
      </c>
      <c r="K68" s="19">
        <f t="shared" si="8"/>
        <v>0</v>
      </c>
      <c r="L68" s="19">
        <f t="shared" si="8"/>
        <v>80</v>
      </c>
      <c r="M68" s="19">
        <f t="shared" si="8"/>
        <v>0</v>
      </c>
      <c r="N68" s="19">
        <f t="shared" si="8"/>
        <v>2</v>
      </c>
      <c r="O68" s="19">
        <f t="shared" si="8"/>
        <v>49</v>
      </c>
      <c r="P68" s="19">
        <f t="shared" si="8"/>
        <v>5</v>
      </c>
      <c r="Q68" s="19">
        <f t="shared" si="8"/>
        <v>2</v>
      </c>
      <c r="R68" s="19">
        <f t="shared" si="7"/>
        <v>15</v>
      </c>
      <c r="S68" s="19">
        <f t="shared" si="7"/>
        <v>0</v>
      </c>
      <c r="T68" s="19">
        <f t="shared" si="7"/>
        <v>0</v>
      </c>
      <c r="U68" s="19">
        <f t="shared" si="7"/>
        <v>0</v>
      </c>
      <c r="V68" s="19">
        <f t="shared" si="7"/>
        <v>0</v>
      </c>
      <c r="W68" s="19">
        <f t="shared" si="7"/>
        <v>1</v>
      </c>
    </row>
    <row r="69" spans="1:23" x14ac:dyDescent="0.15">
      <c r="A69" s="24" t="str">
        <f t="shared" si="9"/>
        <v>20001_3-5/57&lt;lv26&gt;s2</v>
      </c>
      <c r="B69" s="19">
        <f t="shared" si="8"/>
        <v>20001</v>
      </c>
      <c r="C69" s="19">
        <f t="shared" si="8"/>
        <v>3</v>
      </c>
      <c r="D69" s="19">
        <f t="shared" si="8"/>
        <v>5</v>
      </c>
      <c r="E69" s="19">
        <f t="shared" si="8"/>
        <v>57</v>
      </c>
      <c r="F69" s="19">
        <f t="shared" si="8"/>
        <v>26</v>
      </c>
      <c r="G69" s="19">
        <f t="shared" si="5"/>
        <v>1</v>
      </c>
      <c r="H69" s="19">
        <f t="shared" si="5"/>
        <v>1</v>
      </c>
      <c r="I69" s="19">
        <f t="shared" si="5"/>
        <v>0</v>
      </c>
      <c r="J69" s="19">
        <f t="shared" si="8"/>
        <v>57</v>
      </c>
      <c r="K69" s="19">
        <f t="shared" si="8"/>
        <v>0</v>
      </c>
      <c r="L69" s="19">
        <f t="shared" si="8"/>
        <v>80</v>
      </c>
      <c r="M69" s="19">
        <f t="shared" si="8"/>
        <v>0</v>
      </c>
      <c r="N69" s="19">
        <f t="shared" si="8"/>
        <v>2</v>
      </c>
      <c r="O69" s="19">
        <f t="shared" si="8"/>
        <v>57</v>
      </c>
      <c r="P69" s="19">
        <f t="shared" si="8"/>
        <v>5</v>
      </c>
      <c r="Q69" s="19">
        <f t="shared" si="8"/>
        <v>2</v>
      </c>
      <c r="R69" s="19">
        <f t="shared" si="7"/>
        <v>15</v>
      </c>
      <c r="S69" s="19">
        <f t="shared" si="7"/>
        <v>0</v>
      </c>
      <c r="T69" s="19">
        <f t="shared" si="7"/>
        <v>0</v>
      </c>
      <c r="U69" s="19">
        <f t="shared" si="7"/>
        <v>0</v>
      </c>
      <c r="V69" s="19">
        <f t="shared" si="7"/>
        <v>0</v>
      </c>
      <c r="W69" s="19">
        <f t="shared" si="7"/>
        <v>1</v>
      </c>
    </row>
    <row r="70" spans="1:23" x14ac:dyDescent="0.15">
      <c r="A70" s="24" t="str">
        <f t="shared" si="9"/>
        <v>20001_3-6/48&lt;lv23&gt;s1</v>
      </c>
      <c r="B70" s="19">
        <f t="shared" si="8"/>
        <v>20001</v>
      </c>
      <c r="C70" s="19">
        <f t="shared" si="8"/>
        <v>3</v>
      </c>
      <c r="D70" s="19">
        <f t="shared" si="8"/>
        <v>6</v>
      </c>
      <c r="E70" s="19">
        <f t="shared" si="8"/>
        <v>48</v>
      </c>
      <c r="F70" s="19">
        <f t="shared" si="8"/>
        <v>23</v>
      </c>
      <c r="G70" s="19">
        <f t="shared" si="5"/>
        <v>1.3</v>
      </c>
      <c r="H70" s="19">
        <f t="shared" si="5"/>
        <v>1</v>
      </c>
      <c r="I70" s="19">
        <f t="shared" si="5"/>
        <v>0</v>
      </c>
      <c r="J70" s="19">
        <f t="shared" si="8"/>
        <v>0</v>
      </c>
      <c r="K70" s="19">
        <f t="shared" si="8"/>
        <v>1</v>
      </c>
      <c r="L70" s="19">
        <f t="shared" si="8"/>
        <v>100</v>
      </c>
      <c r="M70" s="19">
        <f t="shared" si="8"/>
        <v>2</v>
      </c>
      <c r="N70" s="19">
        <f t="shared" si="8"/>
        <v>1</v>
      </c>
      <c r="O70" s="19">
        <f t="shared" si="8"/>
        <v>48</v>
      </c>
      <c r="P70" s="19">
        <f t="shared" si="8"/>
        <v>1</v>
      </c>
      <c r="Q70" s="19">
        <f t="shared" si="8"/>
        <v>3</v>
      </c>
      <c r="R70" s="19">
        <f t="shared" si="7"/>
        <v>0</v>
      </c>
      <c r="S70" s="19">
        <f t="shared" si="7"/>
        <v>0</v>
      </c>
      <c r="T70" s="19">
        <f t="shared" si="7"/>
        <v>0</v>
      </c>
      <c r="U70" s="19">
        <f t="shared" si="7"/>
        <v>0</v>
      </c>
      <c r="V70" s="19">
        <f t="shared" si="7"/>
        <v>0</v>
      </c>
      <c r="W70" s="19">
        <f t="shared" si="7"/>
        <v>1</v>
      </c>
    </row>
    <row r="71" spans="1:23" x14ac:dyDescent="0.15">
      <c r="A71" s="24" t="str">
        <f t="shared" si="9"/>
        <v>20001_3-6/263&lt;lv20&gt;s2</v>
      </c>
      <c r="B71" s="19">
        <f t="shared" si="8"/>
        <v>20001</v>
      </c>
      <c r="C71" s="19">
        <f t="shared" si="8"/>
        <v>3</v>
      </c>
      <c r="D71" s="19">
        <f t="shared" si="8"/>
        <v>6</v>
      </c>
      <c r="E71" s="19">
        <f t="shared" si="8"/>
        <v>263</v>
      </c>
      <c r="F71" s="19">
        <f t="shared" si="8"/>
        <v>20</v>
      </c>
      <c r="G71" s="19">
        <f t="shared" si="5"/>
        <v>2.7</v>
      </c>
      <c r="H71" s="19">
        <f t="shared" si="5"/>
        <v>1</v>
      </c>
      <c r="I71" s="19">
        <f t="shared" si="5"/>
        <v>0</v>
      </c>
      <c r="J71" s="19">
        <f t="shared" si="8"/>
        <v>263</v>
      </c>
      <c r="K71" s="19">
        <f t="shared" si="8"/>
        <v>1</v>
      </c>
      <c r="L71" s="19">
        <f t="shared" si="8"/>
        <v>100</v>
      </c>
      <c r="M71" s="19">
        <f t="shared" si="8"/>
        <v>1</v>
      </c>
      <c r="N71" s="19">
        <f t="shared" si="8"/>
        <v>2</v>
      </c>
      <c r="O71" s="19">
        <f t="shared" si="8"/>
        <v>262</v>
      </c>
      <c r="P71" s="19">
        <f t="shared" si="8"/>
        <v>1</v>
      </c>
      <c r="Q71" s="19">
        <f t="shared" si="8"/>
        <v>3</v>
      </c>
      <c r="R71" s="19">
        <f>VLOOKUP($A71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100</v>
      </c>
      <c r="S71" s="19">
        <f t="shared" si="7"/>
        <v>0</v>
      </c>
      <c r="T71" s="19">
        <f t="shared" si="7"/>
        <v>0</v>
      </c>
      <c r="U71" s="19">
        <f t="shared" si="7"/>
        <v>0</v>
      </c>
      <c r="V71" s="19">
        <f t="shared" si="7"/>
        <v>0</v>
      </c>
      <c r="W71" s="19">
        <f t="shared" si="7"/>
        <v>1</v>
      </c>
    </row>
    <row r="72" spans="1:23" x14ac:dyDescent="0.15">
      <c r="A72"/>
    </row>
    <row r="73" spans="1:23" x14ac:dyDescent="0.15">
      <c r="A73"/>
    </row>
    <row r="74" spans="1:23" x14ac:dyDescent="0.15">
      <c r="A74"/>
    </row>
    <row r="75" spans="1:23" x14ac:dyDescent="0.15">
      <c r="A75"/>
    </row>
    <row r="76" spans="1:23" x14ac:dyDescent="0.15">
      <c r="A76"/>
    </row>
    <row r="77" spans="1:23" x14ac:dyDescent="0.15">
      <c r="A77"/>
    </row>
    <row r="78" spans="1:23" x14ac:dyDescent="0.15">
      <c r="A78"/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floors_drop_1_1</vt:lpstr>
      <vt:lpstr>enemy_habitats_drop_1_1</vt:lpstr>
      <vt:lpstr>floors_drop_1_1.tmp</vt:lpstr>
      <vt:lpstr>enemy_habitats_drop_1_1.tmp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2017-03-08T03:51:42Z</dcterms:modified>
</cp:coreProperties>
</file>