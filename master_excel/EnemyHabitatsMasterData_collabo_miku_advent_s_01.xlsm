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540" yWindow="460" windowWidth="25820" windowHeight="2052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2" l="1"/>
  <c r="G3" i="22"/>
  <c r="F3" i="22"/>
  <c r="D3" i="22"/>
  <c r="C3" i="22"/>
  <c r="A3" i="22"/>
  <c r="A13" i="18"/>
  <c r="C13" i="18"/>
  <c r="D13" i="18"/>
  <c r="A3" i="18"/>
  <c r="A4" i="18"/>
  <c r="A5" i="18"/>
  <c r="A6" i="18"/>
  <c r="A7" i="18"/>
  <c r="A8" i="18"/>
  <c r="A9" i="18"/>
  <c r="A10" i="18"/>
  <c r="A11" i="18"/>
  <c r="A12" i="18"/>
  <c r="A2" i="18"/>
  <c r="J155" i="11"/>
  <c r="J154" i="11"/>
  <c r="J153" i="11"/>
  <c r="J152" i="11"/>
  <c r="J151" i="11"/>
  <c r="J150" i="11"/>
  <c r="J149" i="11"/>
  <c r="J148" i="11"/>
  <c r="J147" i="11"/>
  <c r="J146" i="11"/>
  <c r="J145" i="11"/>
  <c r="J144" i="11"/>
  <c r="J143" i="11"/>
  <c r="J142" i="11"/>
  <c r="J141" i="11"/>
  <c r="J140" i="11"/>
  <c r="J139" i="11"/>
  <c r="J138" i="11"/>
  <c r="J137" i="11"/>
  <c r="J136" i="11"/>
  <c r="J135" i="11"/>
  <c r="J134" i="11"/>
  <c r="J133" i="11"/>
  <c r="J132" i="11"/>
  <c r="J131" i="11"/>
  <c r="J130" i="11"/>
  <c r="J129" i="11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J101" i="11"/>
  <c r="O123" i="9"/>
  <c r="N123" i="9"/>
  <c r="M123" i="9"/>
  <c r="L123" i="9"/>
  <c r="K123" i="9"/>
  <c r="J123" i="9"/>
  <c r="I123" i="9"/>
  <c r="H123" i="9"/>
  <c r="G123" i="9"/>
  <c r="E123" i="9"/>
  <c r="D123" i="9"/>
  <c r="A123" i="9"/>
  <c r="J100" i="11"/>
  <c r="O122" i="9"/>
  <c r="N122" i="9"/>
  <c r="M122" i="9"/>
  <c r="L122" i="9"/>
  <c r="K122" i="9"/>
  <c r="J122" i="9"/>
  <c r="I122" i="9"/>
  <c r="H122" i="9"/>
  <c r="G122" i="9"/>
  <c r="E122" i="9"/>
  <c r="D122" i="9"/>
  <c r="A122" i="9"/>
  <c r="J99" i="11"/>
  <c r="O121" i="9"/>
  <c r="N121" i="9"/>
  <c r="M121" i="9"/>
  <c r="L121" i="9"/>
  <c r="K121" i="9"/>
  <c r="J121" i="9"/>
  <c r="I121" i="9"/>
  <c r="H121" i="9"/>
  <c r="G121" i="9"/>
  <c r="E121" i="9"/>
  <c r="D121" i="9"/>
  <c r="A121" i="9"/>
  <c r="J98" i="11"/>
  <c r="O120" i="9"/>
  <c r="N120" i="9"/>
  <c r="M120" i="9"/>
  <c r="L120" i="9"/>
  <c r="K120" i="9"/>
  <c r="J120" i="9"/>
  <c r="I120" i="9"/>
  <c r="H120" i="9"/>
  <c r="G120" i="9"/>
  <c r="E120" i="9"/>
  <c r="D120" i="9"/>
  <c r="A120" i="9"/>
  <c r="J97" i="11"/>
  <c r="O119" i="9"/>
  <c r="N119" i="9"/>
  <c r="M119" i="9"/>
  <c r="L119" i="9"/>
  <c r="K119" i="9"/>
  <c r="J119" i="9"/>
  <c r="I119" i="9"/>
  <c r="H119" i="9"/>
  <c r="G119" i="9"/>
  <c r="E119" i="9"/>
  <c r="D119" i="9"/>
  <c r="A119" i="9"/>
  <c r="J96" i="11"/>
  <c r="O118" i="9"/>
  <c r="N118" i="9"/>
  <c r="M118" i="9"/>
  <c r="L118" i="9"/>
  <c r="K118" i="9"/>
  <c r="J118" i="9"/>
  <c r="I118" i="9"/>
  <c r="H118" i="9"/>
  <c r="G118" i="9"/>
  <c r="E118" i="9"/>
  <c r="D118" i="9"/>
  <c r="A118" i="9"/>
  <c r="J95" i="11"/>
  <c r="O117" i="9"/>
  <c r="N117" i="9"/>
  <c r="M117" i="9"/>
  <c r="L117" i="9"/>
  <c r="K117" i="9"/>
  <c r="J117" i="9"/>
  <c r="I117" i="9"/>
  <c r="H117" i="9"/>
  <c r="G117" i="9"/>
  <c r="E117" i="9"/>
  <c r="D117" i="9"/>
  <c r="A117" i="9"/>
  <c r="J94" i="11"/>
  <c r="O116" i="9"/>
  <c r="N116" i="9"/>
  <c r="M116" i="9"/>
  <c r="L116" i="9"/>
  <c r="K116" i="9"/>
  <c r="J116" i="9"/>
  <c r="I116" i="9"/>
  <c r="H116" i="9"/>
  <c r="G116" i="9"/>
  <c r="E116" i="9"/>
  <c r="D116" i="9"/>
  <c r="A116" i="9"/>
  <c r="J93" i="11"/>
  <c r="O115" i="9"/>
  <c r="N115" i="9"/>
  <c r="M115" i="9"/>
  <c r="L115" i="9"/>
  <c r="K115" i="9"/>
  <c r="J115" i="9"/>
  <c r="I115" i="9"/>
  <c r="H115" i="9"/>
  <c r="G115" i="9"/>
  <c r="E115" i="9"/>
  <c r="D115" i="9"/>
  <c r="A115" i="9"/>
  <c r="J92" i="11"/>
  <c r="O114" i="9"/>
  <c r="N114" i="9"/>
  <c r="M114" i="9"/>
  <c r="L114" i="9"/>
  <c r="K114" i="9"/>
  <c r="J114" i="9"/>
  <c r="I114" i="9"/>
  <c r="H114" i="9"/>
  <c r="G114" i="9"/>
  <c r="E114" i="9"/>
  <c r="D114" i="9"/>
  <c r="A114" i="9"/>
  <c r="J91" i="11"/>
  <c r="O113" i="9"/>
  <c r="N113" i="9"/>
  <c r="M113" i="9"/>
  <c r="L113" i="9"/>
  <c r="K113" i="9"/>
  <c r="J113" i="9"/>
  <c r="I113" i="9"/>
  <c r="H113" i="9"/>
  <c r="G113" i="9"/>
  <c r="E113" i="9"/>
  <c r="D113" i="9"/>
  <c r="A113" i="9"/>
  <c r="J90" i="11"/>
  <c r="O112" i="9"/>
  <c r="N112" i="9"/>
  <c r="M112" i="9"/>
  <c r="L112" i="9"/>
  <c r="K112" i="9"/>
  <c r="J112" i="9"/>
  <c r="I112" i="9"/>
  <c r="H112" i="9"/>
  <c r="G112" i="9"/>
  <c r="E112" i="9"/>
  <c r="D112" i="9"/>
  <c r="A112" i="9"/>
  <c r="J89" i="11"/>
  <c r="O111" i="9"/>
  <c r="N111" i="9"/>
  <c r="M111" i="9"/>
  <c r="L111" i="9"/>
  <c r="K111" i="9"/>
  <c r="J111" i="9"/>
  <c r="I111" i="9"/>
  <c r="H111" i="9"/>
  <c r="G111" i="9"/>
  <c r="E111" i="9"/>
  <c r="D111" i="9"/>
  <c r="A111" i="9"/>
  <c r="J88" i="11"/>
  <c r="O110" i="9"/>
  <c r="N110" i="9"/>
  <c r="M110" i="9"/>
  <c r="L110" i="9"/>
  <c r="K110" i="9"/>
  <c r="J110" i="9"/>
  <c r="I110" i="9"/>
  <c r="H110" i="9"/>
  <c r="G110" i="9"/>
  <c r="E110" i="9"/>
  <c r="D110" i="9"/>
  <c r="A110" i="9"/>
  <c r="J87" i="11"/>
  <c r="O109" i="9"/>
  <c r="N109" i="9"/>
  <c r="M109" i="9"/>
  <c r="L109" i="9"/>
  <c r="K109" i="9"/>
  <c r="J109" i="9"/>
  <c r="I109" i="9"/>
  <c r="H109" i="9"/>
  <c r="G109" i="9"/>
  <c r="E109" i="9"/>
  <c r="D109" i="9"/>
  <c r="A109" i="9"/>
  <c r="J86" i="11"/>
  <c r="O108" i="9"/>
  <c r="N108" i="9"/>
  <c r="M108" i="9"/>
  <c r="L108" i="9"/>
  <c r="K108" i="9"/>
  <c r="J108" i="9"/>
  <c r="I108" i="9"/>
  <c r="H108" i="9"/>
  <c r="G108" i="9"/>
  <c r="E108" i="9"/>
  <c r="D108" i="9"/>
  <c r="A108" i="9"/>
  <c r="J85" i="11"/>
  <c r="O107" i="9"/>
  <c r="N107" i="9"/>
  <c r="M107" i="9"/>
  <c r="L107" i="9"/>
  <c r="K107" i="9"/>
  <c r="J107" i="9"/>
  <c r="I107" i="9"/>
  <c r="H107" i="9"/>
  <c r="G107" i="9"/>
  <c r="E107" i="9"/>
  <c r="D107" i="9"/>
  <c r="A107" i="9"/>
  <c r="J84" i="11"/>
  <c r="O106" i="9"/>
  <c r="N106" i="9"/>
  <c r="M106" i="9"/>
  <c r="L106" i="9"/>
  <c r="K106" i="9"/>
  <c r="J106" i="9"/>
  <c r="I106" i="9"/>
  <c r="H106" i="9"/>
  <c r="G106" i="9"/>
  <c r="E106" i="9"/>
  <c r="D106" i="9"/>
  <c r="A106" i="9"/>
  <c r="J83" i="11"/>
  <c r="O105" i="9"/>
  <c r="N105" i="9"/>
  <c r="M105" i="9"/>
  <c r="L105" i="9"/>
  <c r="K105" i="9"/>
  <c r="J105" i="9"/>
  <c r="I105" i="9"/>
  <c r="H105" i="9"/>
  <c r="G105" i="9"/>
  <c r="E105" i="9"/>
  <c r="D105" i="9"/>
  <c r="A105" i="9"/>
  <c r="J82" i="11"/>
  <c r="O104" i="9"/>
  <c r="N104" i="9"/>
  <c r="M104" i="9"/>
  <c r="L104" i="9"/>
  <c r="K104" i="9"/>
  <c r="J104" i="9"/>
  <c r="I104" i="9"/>
  <c r="H104" i="9"/>
  <c r="G104" i="9"/>
  <c r="E104" i="9"/>
  <c r="D104" i="9"/>
  <c r="A104" i="9"/>
  <c r="J81" i="11"/>
  <c r="O103" i="9"/>
  <c r="N103" i="9"/>
  <c r="M103" i="9"/>
  <c r="L103" i="9"/>
  <c r="K103" i="9"/>
  <c r="J103" i="9"/>
  <c r="I103" i="9"/>
  <c r="H103" i="9"/>
  <c r="G103" i="9"/>
  <c r="E103" i="9"/>
  <c r="D103" i="9"/>
  <c r="A103" i="9"/>
  <c r="J80" i="11"/>
  <c r="O102" i="9"/>
  <c r="N102" i="9"/>
  <c r="M102" i="9"/>
  <c r="L102" i="9"/>
  <c r="K102" i="9"/>
  <c r="J102" i="9"/>
  <c r="I102" i="9"/>
  <c r="H102" i="9"/>
  <c r="G102" i="9"/>
  <c r="E102" i="9"/>
  <c r="D102" i="9"/>
  <c r="A102" i="9"/>
  <c r="J79" i="11"/>
  <c r="O101" i="9"/>
  <c r="N101" i="9"/>
  <c r="M101" i="9"/>
  <c r="L101" i="9"/>
  <c r="K101" i="9"/>
  <c r="J101" i="9"/>
  <c r="I101" i="9"/>
  <c r="H101" i="9"/>
  <c r="G101" i="9"/>
  <c r="E101" i="9"/>
  <c r="D101" i="9"/>
  <c r="A101" i="9"/>
  <c r="J78" i="11"/>
  <c r="O100" i="9"/>
  <c r="N100" i="9"/>
  <c r="M100" i="9"/>
  <c r="L100" i="9"/>
  <c r="K100" i="9"/>
  <c r="J100" i="9"/>
  <c r="I100" i="9"/>
  <c r="H100" i="9"/>
  <c r="G100" i="9"/>
  <c r="E100" i="9"/>
  <c r="D100" i="9"/>
  <c r="A100" i="9"/>
  <c r="J77" i="11"/>
  <c r="O99" i="9"/>
  <c r="N99" i="9"/>
  <c r="M99" i="9"/>
  <c r="L99" i="9"/>
  <c r="K99" i="9"/>
  <c r="J99" i="9"/>
  <c r="I99" i="9"/>
  <c r="H99" i="9"/>
  <c r="G99" i="9"/>
  <c r="E99" i="9"/>
  <c r="D99" i="9"/>
  <c r="A99" i="9"/>
  <c r="J76" i="11"/>
  <c r="O98" i="9"/>
  <c r="N98" i="9"/>
  <c r="M98" i="9"/>
  <c r="L98" i="9"/>
  <c r="K98" i="9"/>
  <c r="J98" i="9"/>
  <c r="I98" i="9"/>
  <c r="H98" i="9"/>
  <c r="G98" i="9"/>
  <c r="E98" i="9"/>
  <c r="D98" i="9"/>
  <c r="A98" i="9"/>
  <c r="J75" i="11"/>
  <c r="O97" i="9"/>
  <c r="N97" i="9"/>
  <c r="M97" i="9"/>
  <c r="L97" i="9"/>
  <c r="K97" i="9"/>
  <c r="J97" i="9"/>
  <c r="I97" i="9"/>
  <c r="H97" i="9"/>
  <c r="G97" i="9"/>
  <c r="E97" i="9"/>
  <c r="D97" i="9"/>
  <c r="A97" i="9"/>
  <c r="J74" i="11"/>
  <c r="O96" i="9"/>
  <c r="N96" i="9"/>
  <c r="M96" i="9"/>
  <c r="L96" i="9"/>
  <c r="K96" i="9"/>
  <c r="J96" i="9"/>
  <c r="I96" i="9"/>
  <c r="H96" i="9"/>
  <c r="G96" i="9"/>
  <c r="E96" i="9"/>
  <c r="D96" i="9"/>
  <c r="A96" i="9"/>
  <c r="J73" i="11"/>
  <c r="O95" i="9"/>
  <c r="N95" i="9"/>
  <c r="M95" i="9"/>
  <c r="L95" i="9"/>
  <c r="K95" i="9"/>
  <c r="J95" i="9"/>
  <c r="I95" i="9"/>
  <c r="H95" i="9"/>
  <c r="G95" i="9"/>
  <c r="E95" i="9"/>
  <c r="D95" i="9"/>
  <c r="A95" i="9"/>
  <c r="J72" i="11"/>
  <c r="O94" i="9"/>
  <c r="N94" i="9"/>
  <c r="M94" i="9"/>
  <c r="L94" i="9"/>
  <c r="K94" i="9"/>
  <c r="J94" i="9"/>
  <c r="I94" i="9"/>
  <c r="H94" i="9"/>
  <c r="G94" i="9"/>
  <c r="E94" i="9"/>
  <c r="D94" i="9"/>
  <c r="A94" i="9"/>
  <c r="J71" i="11"/>
  <c r="O93" i="9"/>
  <c r="N93" i="9"/>
  <c r="M93" i="9"/>
  <c r="L93" i="9"/>
  <c r="K93" i="9"/>
  <c r="J93" i="9"/>
  <c r="I93" i="9"/>
  <c r="H93" i="9"/>
  <c r="G93" i="9"/>
  <c r="E93" i="9"/>
  <c r="D93" i="9"/>
  <c r="A93" i="9"/>
  <c r="J70" i="11"/>
  <c r="O92" i="9"/>
  <c r="N92" i="9"/>
  <c r="M92" i="9"/>
  <c r="L92" i="9"/>
  <c r="K92" i="9"/>
  <c r="J92" i="9"/>
  <c r="I92" i="9"/>
  <c r="H92" i="9"/>
  <c r="G92" i="9"/>
  <c r="E92" i="9"/>
  <c r="D92" i="9"/>
  <c r="A92" i="9"/>
  <c r="J69" i="11"/>
  <c r="O91" i="9"/>
  <c r="N91" i="9"/>
  <c r="M91" i="9"/>
  <c r="L91" i="9"/>
  <c r="K91" i="9"/>
  <c r="J91" i="9"/>
  <c r="I91" i="9"/>
  <c r="H91" i="9"/>
  <c r="G91" i="9"/>
  <c r="E91" i="9"/>
  <c r="D91" i="9"/>
  <c r="A91" i="9"/>
  <c r="J68" i="11"/>
  <c r="O90" i="9"/>
  <c r="N90" i="9"/>
  <c r="M90" i="9"/>
  <c r="L90" i="9"/>
  <c r="K90" i="9"/>
  <c r="J90" i="9"/>
  <c r="I90" i="9"/>
  <c r="H90" i="9"/>
  <c r="G90" i="9"/>
  <c r="E90" i="9"/>
  <c r="D90" i="9"/>
  <c r="A90" i="9"/>
  <c r="J67" i="11"/>
  <c r="O89" i="9"/>
  <c r="N89" i="9"/>
  <c r="M89" i="9"/>
  <c r="L89" i="9"/>
  <c r="K89" i="9"/>
  <c r="J89" i="9"/>
  <c r="I89" i="9"/>
  <c r="H89" i="9"/>
  <c r="G89" i="9"/>
  <c r="E89" i="9"/>
  <c r="D89" i="9"/>
  <c r="A89" i="9"/>
  <c r="J66" i="11"/>
  <c r="O88" i="9"/>
  <c r="N88" i="9"/>
  <c r="M88" i="9"/>
  <c r="L88" i="9"/>
  <c r="K88" i="9"/>
  <c r="J88" i="9"/>
  <c r="I88" i="9"/>
  <c r="H88" i="9"/>
  <c r="G88" i="9"/>
  <c r="E88" i="9"/>
  <c r="D88" i="9"/>
  <c r="A88" i="9"/>
  <c r="J65" i="11"/>
  <c r="O87" i="9"/>
  <c r="N87" i="9"/>
  <c r="M87" i="9"/>
  <c r="L87" i="9"/>
  <c r="K87" i="9"/>
  <c r="J87" i="9"/>
  <c r="I87" i="9"/>
  <c r="H87" i="9"/>
  <c r="G87" i="9"/>
  <c r="E87" i="9"/>
  <c r="D87" i="9"/>
  <c r="A87" i="9"/>
  <c r="J64" i="11"/>
  <c r="O86" i="9"/>
  <c r="N86" i="9"/>
  <c r="M86" i="9"/>
  <c r="L86" i="9"/>
  <c r="K86" i="9"/>
  <c r="J86" i="9"/>
  <c r="I86" i="9"/>
  <c r="H86" i="9"/>
  <c r="G86" i="9"/>
  <c r="E86" i="9"/>
  <c r="D86" i="9"/>
  <c r="A86" i="9"/>
  <c r="J63" i="11"/>
  <c r="O85" i="9"/>
  <c r="N85" i="9"/>
  <c r="M85" i="9"/>
  <c r="L85" i="9"/>
  <c r="K85" i="9"/>
  <c r="J85" i="9"/>
  <c r="I85" i="9"/>
  <c r="H85" i="9"/>
  <c r="G85" i="9"/>
  <c r="E85" i="9"/>
  <c r="D85" i="9"/>
  <c r="A85" i="9"/>
  <c r="J62" i="11"/>
  <c r="O84" i="9"/>
  <c r="N84" i="9"/>
  <c r="M84" i="9"/>
  <c r="L84" i="9"/>
  <c r="K84" i="9"/>
  <c r="J84" i="9"/>
  <c r="I84" i="9"/>
  <c r="H84" i="9"/>
  <c r="G84" i="9"/>
  <c r="E84" i="9"/>
  <c r="D84" i="9"/>
  <c r="A84" i="9"/>
  <c r="J61" i="11"/>
  <c r="O83" i="9"/>
  <c r="N83" i="9"/>
  <c r="M83" i="9"/>
  <c r="L83" i="9"/>
  <c r="K83" i="9"/>
  <c r="J83" i="9"/>
  <c r="I83" i="9"/>
  <c r="H83" i="9"/>
  <c r="G83" i="9"/>
  <c r="E83" i="9"/>
  <c r="D83" i="9"/>
  <c r="A83" i="9"/>
  <c r="J60" i="11"/>
  <c r="O82" i="9"/>
  <c r="N82" i="9"/>
  <c r="M82" i="9"/>
  <c r="L82" i="9"/>
  <c r="K82" i="9"/>
  <c r="J82" i="9"/>
  <c r="I82" i="9"/>
  <c r="H82" i="9"/>
  <c r="G82" i="9"/>
  <c r="E82" i="9"/>
  <c r="D82" i="9"/>
  <c r="A82" i="9"/>
  <c r="J59" i="11"/>
  <c r="O81" i="9"/>
  <c r="N81" i="9"/>
  <c r="M81" i="9"/>
  <c r="L81" i="9"/>
  <c r="K81" i="9"/>
  <c r="J81" i="9"/>
  <c r="I81" i="9"/>
  <c r="H81" i="9"/>
  <c r="G81" i="9"/>
  <c r="E81" i="9"/>
  <c r="D81" i="9"/>
  <c r="A81" i="9"/>
  <c r="J58" i="11"/>
  <c r="O80" i="9"/>
  <c r="N80" i="9"/>
  <c r="M80" i="9"/>
  <c r="L80" i="9"/>
  <c r="K80" i="9"/>
  <c r="J80" i="9"/>
  <c r="I80" i="9"/>
  <c r="H80" i="9"/>
  <c r="G80" i="9"/>
  <c r="E80" i="9"/>
  <c r="D80" i="9"/>
  <c r="A80" i="9"/>
  <c r="J57" i="11"/>
  <c r="O79" i="9"/>
  <c r="N79" i="9"/>
  <c r="M79" i="9"/>
  <c r="L79" i="9"/>
  <c r="K79" i="9"/>
  <c r="J79" i="9"/>
  <c r="I79" i="9"/>
  <c r="H79" i="9"/>
  <c r="G79" i="9"/>
  <c r="E79" i="9"/>
  <c r="D79" i="9"/>
  <c r="A79" i="9"/>
  <c r="J56" i="11"/>
  <c r="O78" i="9"/>
  <c r="N78" i="9"/>
  <c r="M78" i="9"/>
  <c r="L78" i="9"/>
  <c r="K78" i="9"/>
  <c r="J78" i="9"/>
  <c r="I78" i="9"/>
  <c r="H78" i="9"/>
  <c r="G78" i="9"/>
  <c r="E78" i="9"/>
  <c r="D78" i="9"/>
  <c r="A78" i="9"/>
  <c r="J53" i="11"/>
  <c r="J55" i="11"/>
  <c r="J54" i="11"/>
  <c r="J52" i="11"/>
  <c r="J51" i="11"/>
  <c r="J50" i="11"/>
  <c r="O77" i="9"/>
  <c r="N77" i="9"/>
  <c r="M77" i="9"/>
  <c r="L77" i="9"/>
  <c r="K77" i="9"/>
  <c r="J77" i="9"/>
  <c r="I77" i="9"/>
  <c r="H77" i="9"/>
  <c r="G77" i="9"/>
  <c r="E77" i="9"/>
  <c r="D77" i="9"/>
  <c r="A77" i="9"/>
  <c r="O76" i="9"/>
  <c r="N76" i="9"/>
  <c r="M76" i="9"/>
  <c r="L76" i="9"/>
  <c r="K76" i="9"/>
  <c r="J76" i="9"/>
  <c r="I76" i="9"/>
  <c r="H76" i="9"/>
  <c r="G76" i="9"/>
  <c r="E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72" i="9"/>
  <c r="N72" i="9"/>
  <c r="M72" i="9"/>
  <c r="L72" i="9"/>
  <c r="K72" i="9"/>
  <c r="J72" i="9"/>
  <c r="I72" i="9"/>
  <c r="H72" i="9"/>
  <c r="G72" i="9"/>
  <c r="E72" i="9"/>
  <c r="D72" i="9"/>
  <c r="A72" i="9"/>
  <c r="J49" i="11"/>
  <c r="O71" i="9"/>
  <c r="N71" i="9"/>
  <c r="M71" i="9"/>
  <c r="L71" i="9"/>
  <c r="K71" i="9"/>
  <c r="J71" i="9"/>
  <c r="I71" i="9"/>
  <c r="H71" i="9"/>
  <c r="G71" i="9"/>
  <c r="E71" i="9"/>
  <c r="D71" i="9"/>
  <c r="A71" i="9"/>
  <c r="G69" i="9"/>
  <c r="H69" i="9"/>
  <c r="I69" i="9"/>
  <c r="J69" i="9"/>
  <c r="K69" i="9"/>
  <c r="L69" i="9"/>
  <c r="M69" i="9"/>
  <c r="N69" i="9"/>
  <c r="G70" i="9"/>
  <c r="H70" i="9"/>
  <c r="I70" i="9"/>
  <c r="J70" i="9"/>
  <c r="K70" i="9"/>
  <c r="L70" i="9"/>
  <c r="M70" i="9"/>
  <c r="N70" i="9"/>
  <c r="J47" i="11"/>
  <c r="J48" i="11"/>
  <c r="O70" i="9"/>
  <c r="E70" i="9"/>
  <c r="D70" i="9"/>
  <c r="A70" i="9"/>
  <c r="O69" i="9"/>
  <c r="E69" i="9"/>
  <c r="D69" i="9"/>
  <c r="A69" i="9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O7" i="21"/>
  <c r="B7" i="21"/>
  <c r="I7" i="21"/>
  <c r="J7" i="21"/>
  <c r="G7" i="21"/>
  <c r="F7" i="21"/>
  <c r="D7" i="21"/>
  <c r="C7" i="21"/>
  <c r="O6" i="21"/>
  <c r="B6" i="21"/>
  <c r="I6" i="21"/>
  <c r="J6" i="21"/>
  <c r="G6" i="21"/>
  <c r="F6" i="21"/>
  <c r="D6" i="21"/>
  <c r="C6" i="21"/>
  <c r="O4" i="21"/>
  <c r="B4" i="21"/>
  <c r="I4" i="21"/>
  <c r="J4" i="21"/>
  <c r="G4" i="21"/>
  <c r="F4" i="21"/>
  <c r="D4" i="21"/>
  <c r="C4" i="21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J32" i="11"/>
  <c r="J8" i="11"/>
  <c r="O8" i="9"/>
  <c r="N8" i="9"/>
  <c r="M8" i="9"/>
  <c r="L8" i="9"/>
  <c r="K8" i="9"/>
  <c r="J8" i="9"/>
  <c r="I8" i="9"/>
  <c r="H8" i="9"/>
  <c r="G8" i="9"/>
  <c r="E8" i="9"/>
  <c r="D8" i="9"/>
  <c r="A8" i="9"/>
  <c r="M8" i="10"/>
  <c r="T8" i="10"/>
  <c r="W8" i="10"/>
  <c r="V8" i="10"/>
  <c r="X8" i="10"/>
  <c r="U8" i="10"/>
  <c r="Y8" i="10"/>
  <c r="M18" i="10"/>
  <c r="M28" i="10"/>
  <c r="M42" i="10"/>
  <c r="N42" i="10"/>
  <c r="Q42" i="10"/>
  <c r="P42" i="10"/>
  <c r="R42" i="10"/>
  <c r="O42" i="10"/>
  <c r="S42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8" i="10"/>
  <c r="Q8" i="10"/>
  <c r="P8" i="10"/>
  <c r="R8" i="10"/>
  <c r="O8" i="10"/>
  <c r="S8" i="10"/>
  <c r="G8" i="10"/>
  <c r="J8" i="10"/>
  <c r="I8" i="10"/>
  <c r="K8" i="10"/>
  <c r="H8" i="10"/>
  <c r="L8" i="10"/>
  <c r="O54" i="9"/>
  <c r="N54" i="9"/>
  <c r="M54" i="9"/>
  <c r="L54" i="9"/>
  <c r="K54" i="9"/>
  <c r="J54" i="9"/>
  <c r="I54" i="9"/>
  <c r="H54" i="9"/>
  <c r="G54" i="9"/>
  <c r="E54" i="9"/>
  <c r="D54" i="9"/>
  <c r="A54" i="9"/>
  <c r="M31" i="10"/>
  <c r="T31" i="10"/>
  <c r="W31" i="10"/>
  <c r="V31" i="10"/>
  <c r="X31" i="10"/>
  <c r="U31" i="10"/>
  <c r="Y31" i="10"/>
  <c r="M44" i="10"/>
  <c r="N44" i="10"/>
  <c r="Q44" i="10"/>
  <c r="P44" i="10"/>
  <c r="R44" i="10"/>
  <c r="O44" i="10"/>
  <c r="S44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J37" i="11"/>
  <c r="J38" i="11"/>
  <c r="J39" i="11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J40" i="11"/>
  <c r="O59" i="9"/>
  <c r="N59" i="9"/>
  <c r="M59" i="9"/>
  <c r="L59" i="9"/>
  <c r="K59" i="9"/>
  <c r="J59" i="9"/>
  <c r="I59" i="9"/>
  <c r="H59" i="9"/>
  <c r="G59" i="9"/>
  <c r="E59" i="9"/>
  <c r="D59" i="9"/>
  <c r="A59" i="9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49" i="9"/>
  <c r="H49" i="9"/>
  <c r="I49" i="9"/>
  <c r="J49" i="9"/>
  <c r="K49" i="9"/>
  <c r="L49" i="9"/>
  <c r="M49" i="9"/>
  <c r="N49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G55" i="9"/>
  <c r="H55" i="9"/>
  <c r="I55" i="9"/>
  <c r="J55" i="9"/>
  <c r="K55" i="9"/>
  <c r="L55" i="9"/>
  <c r="M55" i="9"/>
  <c r="N55" i="9"/>
  <c r="G56" i="9"/>
  <c r="H56" i="9"/>
  <c r="I56" i="9"/>
  <c r="J56" i="9"/>
  <c r="K56" i="9"/>
  <c r="L56" i="9"/>
  <c r="M56" i="9"/>
  <c r="N56" i="9"/>
  <c r="G57" i="9"/>
  <c r="H57" i="9"/>
  <c r="I57" i="9"/>
  <c r="J57" i="9"/>
  <c r="K57" i="9"/>
  <c r="L57" i="9"/>
  <c r="M57" i="9"/>
  <c r="N57" i="9"/>
  <c r="G58" i="9"/>
  <c r="H58" i="9"/>
  <c r="I58" i="9"/>
  <c r="J58" i="9"/>
  <c r="K58" i="9"/>
  <c r="L58" i="9"/>
  <c r="M58" i="9"/>
  <c r="N58" i="9"/>
  <c r="G62" i="9"/>
  <c r="H62" i="9"/>
  <c r="I62" i="9"/>
  <c r="J62" i="9"/>
  <c r="K62" i="9"/>
  <c r="L62" i="9"/>
  <c r="M62" i="9"/>
  <c r="N62" i="9"/>
  <c r="G63" i="9"/>
  <c r="H63" i="9"/>
  <c r="I63" i="9"/>
  <c r="J63" i="9"/>
  <c r="K63" i="9"/>
  <c r="L63" i="9"/>
  <c r="M63" i="9"/>
  <c r="N63" i="9"/>
  <c r="G64" i="9"/>
  <c r="H64" i="9"/>
  <c r="I64" i="9"/>
  <c r="J64" i="9"/>
  <c r="K64" i="9"/>
  <c r="L64" i="9"/>
  <c r="M64" i="9"/>
  <c r="N64" i="9"/>
  <c r="G65" i="9"/>
  <c r="H65" i="9"/>
  <c r="I65" i="9"/>
  <c r="J65" i="9"/>
  <c r="K65" i="9"/>
  <c r="L65" i="9"/>
  <c r="M65" i="9"/>
  <c r="N65" i="9"/>
  <c r="G66" i="9"/>
  <c r="H66" i="9"/>
  <c r="I66" i="9"/>
  <c r="J66" i="9"/>
  <c r="K66" i="9"/>
  <c r="L66" i="9"/>
  <c r="M66" i="9"/>
  <c r="N66" i="9"/>
  <c r="G67" i="9"/>
  <c r="H67" i="9"/>
  <c r="I67" i="9"/>
  <c r="J67" i="9"/>
  <c r="K67" i="9"/>
  <c r="L67" i="9"/>
  <c r="M67" i="9"/>
  <c r="N67" i="9"/>
  <c r="G68" i="9"/>
  <c r="H68" i="9"/>
  <c r="I68" i="9"/>
  <c r="J68" i="9"/>
  <c r="K68" i="9"/>
  <c r="L68" i="9"/>
  <c r="M68" i="9"/>
  <c r="N68" i="9"/>
  <c r="J3" i="11"/>
  <c r="J4" i="11"/>
  <c r="J5" i="11"/>
  <c r="J6" i="11"/>
  <c r="J7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3" i="11"/>
  <c r="J34" i="11"/>
  <c r="J35" i="11"/>
  <c r="J36" i="11"/>
  <c r="J41" i="11"/>
  <c r="J42" i="11"/>
  <c r="J43" i="11"/>
  <c r="J44" i="11"/>
  <c r="J45" i="11"/>
  <c r="J46" i="11"/>
  <c r="O68" i="9"/>
  <c r="E68" i="9"/>
  <c r="D68" i="9"/>
  <c r="A68" i="9"/>
  <c r="O67" i="9"/>
  <c r="E67" i="9"/>
  <c r="D67" i="9"/>
  <c r="A67" i="9"/>
  <c r="O66" i="9"/>
  <c r="E66" i="9"/>
  <c r="D66" i="9"/>
  <c r="A66" i="9"/>
  <c r="O65" i="9"/>
  <c r="E65" i="9"/>
  <c r="D65" i="9"/>
  <c r="A65" i="9"/>
  <c r="O64" i="9"/>
  <c r="E64" i="9"/>
  <c r="D64" i="9"/>
  <c r="A64" i="9"/>
  <c r="O63" i="9"/>
  <c r="E63" i="9"/>
  <c r="D63" i="9"/>
  <c r="A63" i="9"/>
  <c r="O62" i="9"/>
  <c r="E62" i="9"/>
  <c r="D62" i="9"/>
  <c r="A62" i="9"/>
  <c r="O58" i="9"/>
  <c r="E58" i="9"/>
  <c r="D58" i="9"/>
  <c r="A58" i="9"/>
  <c r="O57" i="9"/>
  <c r="E57" i="9"/>
  <c r="D57" i="9"/>
  <c r="A57" i="9"/>
  <c r="O56" i="9"/>
  <c r="E56" i="9"/>
  <c r="D56" i="9"/>
  <c r="A56" i="9"/>
  <c r="O55" i="9"/>
  <c r="E55" i="9"/>
  <c r="D55" i="9"/>
  <c r="A55" i="9"/>
  <c r="O53" i="9"/>
  <c r="E53" i="9"/>
  <c r="D53" i="9"/>
  <c r="A53" i="9"/>
  <c r="O52" i="9"/>
  <c r="E52" i="9"/>
  <c r="D52" i="9"/>
  <c r="A52" i="9"/>
  <c r="O51" i="9"/>
  <c r="E51" i="9"/>
  <c r="D51" i="9"/>
  <c r="A51" i="9"/>
  <c r="O50" i="9"/>
  <c r="E50" i="9"/>
  <c r="D50" i="9"/>
  <c r="A50" i="9"/>
  <c r="O49" i="9"/>
  <c r="E49" i="9"/>
  <c r="D49" i="9"/>
  <c r="A49" i="9"/>
  <c r="O25" i="9"/>
  <c r="E25" i="9"/>
  <c r="D25" i="9"/>
  <c r="A25" i="9"/>
  <c r="O24" i="9"/>
  <c r="E24" i="9"/>
  <c r="D24" i="9"/>
  <c r="A24" i="9"/>
  <c r="O23" i="9"/>
  <c r="E23" i="9"/>
  <c r="D23" i="9"/>
  <c r="A23" i="9"/>
  <c r="O22" i="9"/>
  <c r="E22" i="9"/>
  <c r="D22" i="9"/>
  <c r="A22" i="9"/>
  <c r="O21" i="9"/>
  <c r="E21" i="9"/>
  <c r="D21" i="9"/>
  <c r="A21" i="9"/>
  <c r="O20" i="9"/>
  <c r="E20" i="9"/>
  <c r="D20" i="9"/>
  <c r="A20" i="9"/>
  <c r="O19" i="9"/>
  <c r="E19" i="9"/>
  <c r="D19" i="9"/>
  <c r="A19" i="9"/>
  <c r="O18" i="9"/>
  <c r="E18" i="9"/>
  <c r="D18" i="9"/>
  <c r="A18" i="9"/>
  <c r="O17" i="9"/>
  <c r="E17" i="9"/>
  <c r="D17" i="9"/>
  <c r="A17" i="9"/>
  <c r="O16" i="9"/>
  <c r="E16" i="9"/>
  <c r="D16" i="9"/>
  <c r="A16" i="9"/>
  <c r="O15" i="9"/>
  <c r="E15" i="9"/>
  <c r="D15" i="9"/>
  <c r="A15" i="9"/>
  <c r="O14" i="9"/>
  <c r="E14" i="9"/>
  <c r="D14" i="9"/>
  <c r="A14" i="9"/>
  <c r="O13" i="9"/>
  <c r="E13" i="9"/>
  <c r="D13" i="9"/>
  <c r="A13" i="9"/>
  <c r="O12" i="9"/>
  <c r="E12" i="9"/>
  <c r="D12" i="9"/>
  <c r="A12" i="9"/>
  <c r="O11" i="9"/>
  <c r="E11" i="9"/>
  <c r="D11" i="9"/>
  <c r="A11" i="9"/>
  <c r="O10" i="9"/>
  <c r="E10" i="9"/>
  <c r="D10" i="9"/>
  <c r="A10" i="9"/>
  <c r="O9" i="9"/>
  <c r="E9" i="9"/>
  <c r="D9" i="9"/>
  <c r="A9" i="9"/>
  <c r="O7" i="9"/>
  <c r="E7" i="9"/>
  <c r="D7" i="9"/>
  <c r="A7" i="9"/>
  <c r="O6" i="9"/>
  <c r="E6" i="9"/>
  <c r="D6" i="9"/>
  <c r="A6" i="9"/>
  <c r="O5" i="9"/>
  <c r="E5" i="9"/>
  <c r="D5" i="9"/>
  <c r="A5" i="9"/>
  <c r="O4" i="9"/>
  <c r="E4" i="9"/>
  <c r="D4" i="9"/>
  <c r="A4" i="9"/>
  <c r="O3" i="9"/>
  <c r="E3" i="9"/>
  <c r="D3" i="9"/>
  <c r="A3" i="9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T28" i="10"/>
  <c r="W28" i="10"/>
  <c r="V28" i="10"/>
  <c r="X28" i="10"/>
  <c r="U28" i="10"/>
  <c r="Y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T18" i="10"/>
  <c r="W18" i="10"/>
  <c r="V18" i="10"/>
  <c r="X18" i="10"/>
  <c r="U18" i="10"/>
  <c r="Y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3" i="21"/>
  <c r="O5" i="21"/>
  <c r="O8" i="21"/>
  <c r="O9" i="21"/>
  <c r="O10" i="21"/>
  <c r="O11" i="21"/>
  <c r="O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5" i="21"/>
  <c r="I5" i="21"/>
  <c r="J5" i="21"/>
  <c r="G5" i="21"/>
  <c r="F5" i="21"/>
  <c r="D5" i="21"/>
  <c r="C5" i="21"/>
  <c r="B3" i="21"/>
  <c r="I3" i="21"/>
  <c r="J3" i="21"/>
  <c r="G3" i="21"/>
  <c r="F3" i="21"/>
  <c r="D3" i="21"/>
  <c r="C3" i="21"/>
  <c r="W5" i="7"/>
  <c r="U5" i="7"/>
  <c r="R5" i="7"/>
  <c r="Q5" i="7"/>
  <c r="P5" i="7"/>
  <c r="O5" i="7"/>
  <c r="N5" i="7"/>
  <c r="H5" i="7"/>
  <c r="G3" i="2"/>
  <c r="A3" i="2"/>
  <c r="G4" i="2"/>
  <c r="A4" i="2"/>
  <c r="G2" i="2"/>
  <c r="A2" i="2"/>
  <c r="J5" i="7"/>
  <c r="I5" i="7"/>
  <c r="D5" i="7"/>
  <c r="F5" i="7"/>
  <c r="E5" i="7"/>
  <c r="A5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4" i="2"/>
  <c r="E4" i="2"/>
  <c r="D4" i="2"/>
  <c r="H2" i="1"/>
  <c r="B4" i="2"/>
  <c r="H3" i="2"/>
  <c r="E3" i="2"/>
  <c r="D3" i="2"/>
  <c r="B3" i="2"/>
  <c r="W2" i="7"/>
  <c r="U2" i="7"/>
  <c r="V2" i="1"/>
  <c r="T2" i="1"/>
  <c r="C13" i="16"/>
  <c r="E13" i="16"/>
  <c r="N2" i="22"/>
  <c r="G2" i="22"/>
  <c r="F2" i="22"/>
  <c r="D2" i="22"/>
  <c r="C2" i="22"/>
  <c r="A2" i="22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D2" i="1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<sst xmlns="http://schemas.openxmlformats.org/spreadsheetml/2006/main" count="1190" uniqueCount="417">
  <si>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</si>
  <si>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</si>
  <si>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</si>
  <si>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</si>
  <si>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</si>
  <si>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</si>
  <si>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</si>
  <si>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</si>
  <si>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</si>
  <si>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</si>
  <si>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</si>
  <si>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</si>
  <si>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</si>
  <si>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</si>
  <si>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</si>
  <si>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</si>
  <si>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</si>
  <si>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</si>
  <si>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</si>
  <si>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</si>
  <si>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</si>
  <si>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</si>
  <si>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</si>
  <si>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</si>
  <si>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</si>
  <si>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</si>
  <si>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</si>
  <si>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</si>
  <si>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</si>
  <si>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</si>
  <si>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</si>
  <si>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</si>
  <si>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</si>
  <si>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</si>
  <si>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</si>
  <si>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</si>
  <si>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</si>
  <si>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</si>
  <si>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</si>
  <si>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</si>
  <si>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</si>
  <si>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</si>
  <si>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</si>
  <si>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</si>
  <si>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</si>
  <si>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</si>
  <si>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</si>
  <si>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</si>
  <si>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</si>
  <si>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</si>
  <si>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</si>
  <si>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</si>
  <si>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</si>
  <si>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</si>
  <si>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</si>
  <si>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</si>
  <si>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</si>
  <si>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</si>
  <si>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</si>
  <si>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</si>
  <si>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</si>
  <si>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</si>
  <si>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</si>
  <si>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</si>
  <si>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</si>
  <si>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</si>
  <si>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</si>
  <si>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</si>
  <si>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</si>
  <si>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</si>
  <si>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</si>
  <si>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</si>
  <si>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</si>
  <si>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</si>
  <si>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</si>
  <si>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</si>
  <si>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</si>
  <si>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</si>
  <si>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</si>
  <si>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</si>
  <si>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</si>
  <si>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</si>
  <si>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</si>
  <si>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</si>
  <si>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</si>
  <si>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</si>
  <si>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</si>
  <si>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</si>
  <si>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</si>
  <si>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</si>
  <si>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</si>
  <si>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</si>
  <si>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</si>
  <si>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</si>
  <si>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</si>
  <si>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</si>
  <si>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</si>
  <si>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</si>
  <si>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</si>
  <si>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</si>
  <si>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</si>
  <si>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</si>
  <si>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</si>
  <si>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</si>
  <si>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</si>
  <si>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</si>
  <si>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</si>
  <si>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</si>
  <si>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</si>
  <si>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</si>
  <si>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</si>
  <si>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</si>
  <si>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</si>
  <si>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</si>
  <si>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</si>
  <si>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</si>
  <si>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</si>
  <si>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</si>
  <si>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</si>
  <si>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</si>
  <si>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</si>
  <si>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</si>
  <si>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</si>
  <si>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</si>
  <si>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</si>
  <si>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</si>
  <si>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</si>
  <si>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</si>
  <si>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</si>
  <si>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</si>
  <si>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</si>
  <si>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</si>
  <si>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</si>
  <si>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</si>
  <si>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</si>
  <si>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</si>
  <si>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</si>
  <si>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</si>
  <si>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</si>
  <si>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</si>
  <si>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</si>
  <si>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</si>
  <si>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</si>
  <si>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</si>
  <si>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</si>
  <si>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</si>
  <si>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</si>
  <si>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</si>
  <si>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</si>
  <si>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</si>
  <si>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</si>
  <si>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</si>
  <si>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</si>
  <si>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</si>
  <si>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</si>
  <si>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</si>
  <si>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</si>
  <si>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</si>
  <si>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</si>
  <si>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</si>
  <si>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</si>
  <si>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</si>
  <si>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</si>
  <si>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</si>
  <si>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</si>
  <si>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</si>
  <si>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</si>
  <si>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</si>
  <si>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</si>
  <si>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</si>
  <si>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</si>
  <si>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</si>
  <si>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</si>
  <si>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</si>
  <si>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</si>
  <si>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</si>
  <si>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</si>
  <si>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</si>
  <si>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</si>
  <si>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</si>
  <si>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</si>
  <si>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</si>
  <si>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</si>
  <si>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</si>
  <si>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</si>
  <si>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</si>
  <si>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</si>
  <si>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</si>
  <si>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</si>
  <si>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</si>
  <si>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</si>
  <si>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</si>
  <si>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</si>
  <si>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</si>
  <si>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</si>
  <si>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</si>
  <si>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</si>
  <si>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</si>
  <si>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</si>
  <si>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</si>
  <si>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</si>
  <si>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</si>
  <si>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</si>
  <si>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</si>
  <si>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</si>
  <si>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</si>
  <si>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</si>
  <si>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</si>
  <si>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</si>
  <si>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</si>
  <si>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</si>
  <si>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</si>
  <si>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</si>
  <si>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</si>
  <si>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</si>
  <si>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</si>
  <si>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</si>
  <si>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</si>
  <si>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</si>
  <si>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</si>
  <si>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</si>
  <si>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</si>
  <si>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</si>
  <si>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</si>
  <si>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</si>
  <si>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</si>
  <si>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</si>
  <si>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</si>
  <si>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</si>
  <si>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</si>
  <si>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</si>
  <si>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</si>
  <si>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</si>
  <si>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</si>
  <si>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</si>
  <si>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</si>
  <si>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</si>
  <si>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</si>
  <si>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</si>
  <si>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</si>
  <si>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</si>
  <si>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</si>
  <si>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</si>
  <si>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</si>
  <si>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</si>
  <si>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</si>
  <si>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</si>
  <si>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</si>
  <si>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</si>
  <si>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</si>
  <si>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</si>
  <si>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</si>
  <si>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</si>
  <si>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</si>
  <si>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complete</t>
  </si>
  <si>
    <t>ルシファー</t>
    <phoneticPr fontId="5"/>
  </si>
  <si>
    <t>full_member</t>
    <phoneticPr fontId="5"/>
  </si>
  <si>
    <t>状態異常耐性</t>
    <rPh sb="0" eb="4">
      <t>ジョウタイイジョウ</t>
    </rPh>
    <rPh sb="4" eb="6">
      <t>タイセイ</t>
    </rPh>
    <phoneticPr fontId="5"/>
  </si>
  <si>
    <t>赤&amp;青パネル無効</t>
    <rPh sb="0" eb="1">
      <t>アカ</t>
    </rPh>
    <rPh sb="2" eb="3">
      <t>アオ</t>
    </rPh>
    <rPh sb="6" eb="8">
      <t>ムコウ</t>
    </rPh>
    <phoneticPr fontId="5"/>
  </si>
  <si>
    <t>null</t>
    <phoneticPr fontId="5"/>
  </si>
  <si>
    <t>old</t>
  </si>
  <si>
    <t>緑パネルプロテクト+単体攻撃</t>
    <rPh sb="0" eb="1">
      <t>ミドリ</t>
    </rPh>
    <rPh sb="10" eb="12">
      <t>タンタイ</t>
    </rPh>
    <rPh sb="12" eb="14">
      <t>コウゲキ</t>
    </rPh>
    <phoneticPr fontId="5"/>
  </si>
  <si>
    <t>黄パネルプロテクト+単体攻撃</t>
    <rPh sb="0" eb="1">
      <t>キイロ</t>
    </rPh>
    <rPh sb="10" eb="12">
      <t>タンタイ</t>
    </rPh>
    <rPh sb="12" eb="14">
      <t>コウゲキ</t>
    </rPh>
    <phoneticPr fontId="5"/>
  </si>
  <si>
    <t>緑パネルプロテクト+全体攻撃</t>
    <rPh sb="0" eb="1">
      <t>ミドリ</t>
    </rPh>
    <rPh sb="10" eb="12">
      <t>ゼンタイ</t>
    </rPh>
    <rPh sb="12" eb="14">
      <t>コウゲキ</t>
    </rPh>
    <phoneticPr fontId="5"/>
  </si>
  <si>
    <t>ランダムにお邪魔パネルに3個変換+
3回連続攻撃</t>
    <rPh sb="13" eb="14">
      <t>コ</t>
    </rPh>
    <rPh sb="14" eb="16">
      <t>ヘンカン</t>
    </rPh>
    <rPh sb="19" eb="20">
      <t>カイ</t>
    </rPh>
    <rPh sb="20" eb="22">
      <t>レンゾク</t>
    </rPh>
    <rPh sb="22" eb="24">
      <t>コウゲキ</t>
    </rPh>
    <phoneticPr fontId="5"/>
  </si>
  <si>
    <t>致命的な連続攻撃</t>
    <rPh sb="0" eb="3">
      <t>チメイテキ</t>
    </rPh>
    <rPh sb="4" eb="6">
      <t>レンゾク</t>
    </rPh>
    <rPh sb="6" eb="8">
      <t>コウゲキ</t>
    </rPh>
    <phoneticPr fontId="5"/>
  </si>
  <si>
    <t>残りHPの75%ダメージ！</t>
    <rPh sb="0" eb="1">
      <t>ノコリ</t>
    </rPh>
    <phoneticPr fontId="5"/>
  </si>
  <si>
    <t>ランダムに黄の時限式ダメージパネルに10個変換</t>
    <rPh sb="5" eb="6">
      <t>キイロ</t>
    </rPh>
    <rPh sb="7" eb="10">
      <t>ジゲンシキ</t>
    </rPh>
    <rPh sb="20" eb="21">
      <t>コ</t>
    </rPh>
    <rPh sb="21" eb="23">
      <t>ヘンカン</t>
    </rPh>
    <phoneticPr fontId="5"/>
  </si>
  <si>
    <t>ランダムに緑の時限式ダメージパネルに3個変換+
3回連続攻撃</t>
    <rPh sb="5" eb="6">
      <t>ミドリ</t>
    </rPh>
    <rPh sb="7" eb="10">
      <t>ジゲンシキ</t>
    </rPh>
    <rPh sb="19" eb="20">
      <t>コ</t>
    </rPh>
    <rPh sb="20" eb="22">
      <t>ヘンカン</t>
    </rPh>
    <rPh sb="25" eb="26">
      <t>カイ</t>
    </rPh>
    <rPh sb="26" eb="28">
      <t>レンゾク</t>
    </rPh>
    <rPh sb="28" eb="30">
      <t>コウゲキ</t>
    </rPh>
    <phoneticPr fontId="5"/>
  </si>
  <si>
    <t>12回連続攻撃</t>
    <rPh sb="2" eb="3">
      <t>カイ</t>
    </rPh>
    <rPh sb="3" eb="5">
      <t>レンゾク</t>
    </rPh>
    <rPh sb="5" eb="7">
      <t>コウゲキ</t>
    </rPh>
    <phoneticPr fontId="5"/>
  </si>
  <si>
    <t>フィーバーゲージ増加！</t>
    <rPh sb="8" eb="10">
      <t>ゾウカ</t>
    </rPh>
    <phoneticPr fontId="5"/>
  </si>
  <si>
    <t>ここは共同戦線といきましょ。
力を合わせてルシファーを連れ戻すのよ！</t>
    <rPh sb="3" eb="7">
      <t>キョウドウセンセン</t>
    </rPh>
    <rPh sb="15" eb="16">
      <t>チカラヲ</t>
    </rPh>
    <rPh sb="17" eb="18">
      <t>アワセテ</t>
    </rPh>
    <rPh sb="27" eb="28">
      <t>ツレモドシテ</t>
    </rPh>
    <phoneticPr fontId="5"/>
  </si>
  <si>
    <t>くっ、次から次へと…！</t>
    <rPh sb="3" eb="4">
      <t>ツギカラツギヘト</t>
    </rPh>
    <phoneticPr fontId="5"/>
  </si>
  <si>
    <t>緑の力を受けなさい！</t>
    <rPh sb="0" eb="1">
      <t>ミドリノ</t>
    </rPh>
    <rPh sb="2" eb="3">
      <t>チカラ</t>
    </rPh>
    <rPh sb="4" eb="5">
      <t>ウケナサイ</t>
    </rPh>
    <phoneticPr fontId="5"/>
  </si>
  <si>
    <t>黄の力を受けなさい！</t>
    <rPh sb="0" eb="1">
      <t>キイロ</t>
    </rPh>
    <rPh sb="2" eb="3">
      <t>チカラ</t>
    </rPh>
    <rPh sb="4" eb="5">
      <t>ウケナサイ</t>
    </rPh>
    <phoneticPr fontId="5"/>
  </si>
  <si>
    <t>やるわね…アナタ、見込みアリよ</t>
    <rPh sb="9" eb="11">
      <t>ミコミ</t>
    </rPh>
    <phoneticPr fontId="5"/>
  </si>
  <si>
    <t>2ゲージ目に移行</t>
    <rPh sb="6" eb="8">
      <t>イコウ</t>
    </rPh>
    <phoneticPr fontId="5"/>
  </si>
  <si>
    <t>噂を聞いた野次馬たちが
続々と集まってくるわね…！</t>
    <rPh sb="0" eb="1">
      <t>ウワサヲ</t>
    </rPh>
    <rPh sb="2" eb="3">
      <t>キイテ</t>
    </rPh>
    <rPh sb="5" eb="8">
      <t>ヤジウマ</t>
    </rPh>
    <rPh sb="12" eb="13">
      <t>ゾクゾクト</t>
    </rPh>
    <rPh sb="15" eb="16">
      <t>アツマッテ</t>
    </rPh>
    <phoneticPr fontId="5"/>
  </si>
  <si>
    <t>ルシファーはALICEシステムに関わる
重要な役割を持ったAIであるため
「わたしも普通に生きたい」
と願うようになりました</t>
    <phoneticPr fontId="5"/>
  </si>
  <si>
    <t>コスプレの魔力</t>
    <rPh sb="5" eb="7">
      <t>マリョク</t>
    </rPh>
    <phoneticPr fontId="5"/>
  </si>
  <si>
    <t>ベルゼブブ</t>
    <phoneticPr fontId="5"/>
  </si>
  <si>
    <t>ベルゼブブはルシファーの監視役として
生み出された統合型AIですが
今ではすっかり彼女の保護者として
立ち回っているようです</t>
    <rPh sb="51" eb="52">
      <t>タチマワッテイル</t>
    </rPh>
    <phoneticPr fontId="5"/>
  </si>
  <si>
    <t>でもね…アタシの目の黒いうちは
不埒な輩は全員排除よ！</t>
    <rPh sb="8" eb="9">
      <t>メガ</t>
    </rPh>
    <rPh sb="10" eb="11">
      <t>クロイ</t>
    </rPh>
    <rPh sb="16" eb="18">
      <t>フラチノ</t>
    </rPh>
    <rPh sb="19" eb="20">
      <t>ヤカラ</t>
    </rPh>
    <rPh sb="21" eb="23">
      <t>ゼンイン</t>
    </rPh>
    <rPh sb="23" eb="25">
      <t>ハイジョ</t>
    </rPh>
    <phoneticPr fontId="5"/>
  </si>
  <si>
    <t>封鎖するわ</t>
    <rPh sb="0" eb="2">
      <t>フウサ</t>
    </rPh>
    <phoneticPr fontId="5"/>
  </si>
  <si>
    <t>妄想トゥルース！</t>
    <rPh sb="0" eb="2">
      <t>モウソウ</t>
    </rPh>
    <phoneticPr fontId="5"/>
  </si>
  <si>
    <t>妄想ジャスティス！</t>
    <rPh sb="0" eb="2">
      <t>モウソウ</t>
    </rPh>
    <phoneticPr fontId="5"/>
  </si>
  <si>
    <t>妄想エクスキューション！！</t>
    <rPh sb="0" eb="2">
      <t>モウソウ</t>
    </rPh>
    <phoneticPr fontId="5"/>
  </si>
  <si>
    <t>妄想タックル！</t>
    <rPh sb="0" eb="2">
      <t>モウソウ</t>
    </rPh>
    <phoneticPr fontId="5"/>
  </si>
  <si>
    <t>プロデュースは大成功ね！</t>
    <rPh sb="7" eb="8">
      <t>ダイ</t>
    </rPh>
    <rPh sb="8" eb="10">
      <t>セイコウ</t>
    </rPh>
    <phoneticPr fontId="5"/>
  </si>
  <si>
    <t>みっく式！会場走破術！</t>
    <rPh sb="3" eb="4">
      <t>シキ</t>
    </rPh>
    <rPh sb="5" eb="7">
      <t>カイジョウ</t>
    </rPh>
    <rPh sb="7" eb="9">
      <t>ソウハ</t>
    </rPh>
    <rPh sb="9" eb="10">
      <t>ジュツ</t>
    </rPh>
    <phoneticPr fontId="5"/>
  </si>
  <si>
    <t>あの子は逸材だと思います！</t>
    <rPh sb="4" eb="6">
      <t>イツザイ</t>
    </rPh>
    <rPh sb="8" eb="9">
      <t>オモイマス</t>
    </rPh>
    <phoneticPr fontId="5"/>
  </si>
  <si>
    <t>誰も帰ってこなかった理由
それは少々過保護なベルゼブブが
ルシファーに近づこうとする者を
見境なく排除していたからのようです</t>
    <rPh sb="0" eb="1">
      <t>ダレモ</t>
    </rPh>
    <rPh sb="2" eb="3">
      <t>カエッテ</t>
    </rPh>
    <rPh sb="10" eb="12">
      <t>リユウ</t>
    </rPh>
    <rPh sb="35" eb="36">
      <t>チカヅコウト</t>
    </rPh>
    <rPh sb="42" eb="43">
      <t>モノヲ</t>
    </rPh>
    <rPh sb="45" eb="47">
      <t>ミサカイナク</t>
    </rPh>
    <rPh sb="49" eb="51">
      <t>ハイジョ</t>
    </rPh>
    <phoneticPr fontId="5"/>
  </si>
  <si>
    <t>事件の真相</t>
    <rPh sb="0" eb="2">
      <t>ジケn</t>
    </rPh>
    <rPh sb="3" eb="5">
      <t>シンソウ</t>
    </rPh>
    <phoneticPr fontId="5"/>
  </si>
  <si>
    <t>ふふ…ふつうの女の子って楽しい♪</t>
    <rPh sb="7" eb="8">
      <t>オンナノコ</t>
    </rPh>
    <rPh sb="12" eb="13">
      <t>タノシイ</t>
    </rPh>
    <phoneticPr fontId="5"/>
  </si>
  <si>
    <t>私…まだ帰らないから！</t>
    <rPh sb="0" eb="1">
      <t>ワタシ</t>
    </rPh>
    <rPh sb="4" eb="5">
      <t>カエラナイ</t>
    </rPh>
    <phoneticPr fontId="5"/>
  </si>
  <si>
    <t>イベントが終わるまで楽しむのっ</t>
    <rPh sb="5" eb="6">
      <t>オワル</t>
    </rPh>
    <rPh sb="10" eb="11">
      <t>タノシム</t>
    </rPh>
    <phoneticPr fontId="5"/>
  </si>
  <si>
    <t>どうしても連れて行くの…？</t>
    <rPh sb="5" eb="6">
      <t>ツレテイク</t>
    </rPh>
    <phoneticPr fontId="5"/>
  </si>
  <si>
    <t>LIGHT &amp; VIVID</t>
    <phoneticPr fontId="5"/>
  </si>
  <si>
    <t>DARK &amp; SOLID</t>
    <phoneticPr fontId="5"/>
  </si>
  <si>
    <t>SWEET &amp; SOFT</t>
    <phoneticPr fontId="5"/>
  </si>
  <si>
    <t>その前に…私の歌を聴かせてあげる</t>
    <rPh sb="5" eb="6">
      <t>ワタシノ</t>
    </rPh>
    <rPh sb="7" eb="8">
      <t>ウタヲ</t>
    </rPh>
    <rPh sb="9" eb="10">
      <t>キカセテ</t>
    </rPh>
    <phoneticPr fontId="5"/>
  </si>
  <si>
    <t>もぅ！止めないでよ！</t>
    <rPh sb="3" eb="4">
      <t>トメナイデ</t>
    </rPh>
    <phoneticPr fontId="5"/>
  </si>
  <si>
    <t>どう？ついてこられる！？</t>
    <phoneticPr fontId="5"/>
  </si>
  <si>
    <t>ベルゼブブのパネル吸収攻撃は
盤面に緑パネルや黄パネルが多いと
かなり強力になるため注意しましょう</t>
    <rPh sb="9" eb="11">
      <t>キュウシュウ</t>
    </rPh>
    <rPh sb="11" eb="13">
      <t>コウゲキ</t>
    </rPh>
    <rPh sb="15" eb="17">
      <t>バンメンニ</t>
    </rPh>
    <rPh sb="18" eb="19">
      <t>ミドリ</t>
    </rPh>
    <rPh sb="23" eb="24">
      <t>キイロ</t>
    </rPh>
    <rPh sb="28" eb="29">
      <t>オオイト</t>
    </rPh>
    <rPh sb="35" eb="37">
      <t>キョウリョク</t>
    </rPh>
    <rPh sb="42" eb="44">
      <t>チュウイ</t>
    </rPh>
    <phoneticPr fontId="5"/>
  </si>
  <si>
    <t>紫式部の1ゲージ目はダメージを
与えずにいるとどんどん強くなります
攻撃の手を休めないように戦いましょう</t>
    <rPh sb="0" eb="1">
      <t>ムラサキ</t>
    </rPh>
    <rPh sb="1" eb="3">
      <t>シキブ</t>
    </rPh>
    <rPh sb="8" eb="9">
      <t>メ</t>
    </rPh>
    <rPh sb="16" eb="17">
      <t>アタエズ</t>
    </rPh>
    <rPh sb="27" eb="28">
      <t>ツヨク</t>
    </rPh>
    <rPh sb="35" eb="37">
      <t>コウゲキノテ</t>
    </rPh>
    <rPh sb="40" eb="41">
      <t>ヤスメナイ</t>
    </rPh>
    <rPh sb="47" eb="48">
      <t>タタカイマショウ</t>
    </rPh>
    <phoneticPr fontId="5"/>
  </si>
  <si>
    <t>紫式部の2ゲージ目はHPが半分になると
攻撃頻度がUPするので
スキルやフィーバーで一気に倒しましょう</t>
    <rPh sb="0" eb="3">
      <t>ムラサキシキブ</t>
    </rPh>
    <rPh sb="13" eb="15">
      <t>ハンブn</t>
    </rPh>
    <rPh sb="20" eb="22">
      <t>コウゲキ</t>
    </rPh>
    <rPh sb="22" eb="24">
      <t>ヒンド</t>
    </rPh>
    <rPh sb="42" eb="44">
      <t>イッキニ</t>
    </rPh>
    <rPh sb="45" eb="46">
      <t>タオシマショウ</t>
    </rPh>
    <phoneticPr fontId="5"/>
  </si>
  <si>
    <t>紫式部によって初音ミク・アペンドの
衣装を着せてもらったルシファーは
その可愛さから
一大騒動を起こしてしまったようです</t>
    <rPh sb="43" eb="45">
      <t>イチダイ</t>
    </rPh>
    <rPh sb="45" eb="47">
      <t>ソウドウ</t>
    </rPh>
    <rPh sb="48" eb="49">
      <t>オコシテ</t>
    </rPh>
    <phoneticPr fontId="5"/>
  </si>
  <si>
    <t>どう…？うまく歌えてる？</t>
    <rPh sb="7" eb="8">
      <t>ウタエテ</t>
    </rPh>
    <phoneticPr fontId="5"/>
  </si>
  <si>
    <t>紫式部が教えてくれたのよ</t>
    <rPh sb="0" eb="1">
      <t>ムラサキ</t>
    </rPh>
    <rPh sb="1" eb="3">
      <t>シキブ</t>
    </rPh>
    <rPh sb="4" eb="5">
      <t>オシエテ</t>
    </rPh>
    <phoneticPr fontId="5"/>
  </si>
  <si>
    <t>ほら…一緒に歌いましょ？</t>
    <rPh sb="3" eb="5">
      <t>イッショニ</t>
    </rPh>
    <rPh sb="6" eb="7">
      <t>ウt</t>
    </rPh>
    <phoneticPr fontId="5"/>
  </si>
  <si>
    <t>まだ歌い足りないのよ…！</t>
    <rPh sb="2" eb="3">
      <t>ウタイタリナイ</t>
    </rPh>
    <phoneticPr fontId="5"/>
  </si>
  <si>
    <t>もっと声出していきましょ！</t>
    <rPh sb="3" eb="4">
      <t>コエヲ</t>
    </rPh>
    <rPh sb="4" eb="5">
      <t>ダシテ</t>
    </rPh>
    <phoneticPr fontId="5"/>
  </si>
  <si>
    <t>そろそろバテてきた？</t>
    <phoneticPr fontId="5"/>
  </si>
  <si>
    <t>まだまだいける…っ！</t>
    <phoneticPr fontId="5"/>
  </si>
  <si>
    <t>私も…本物のミクみたいに！</t>
    <rPh sb="0" eb="1">
      <t>ワタシモ</t>
    </rPh>
    <rPh sb="3" eb="5">
      <t>ホンモノノ</t>
    </rPh>
    <phoneticPr fontId="5"/>
  </si>
  <si>
    <t>はぁ…はぁ…つかれた…</t>
    <phoneticPr fontId="5"/>
  </si>
  <si>
    <t>でも、すっごく楽しかったな…
また一緒に歌いましょ！</t>
    <phoneticPr fontId="5"/>
  </si>
  <si>
    <t>素敵な歌声…すごいなぁ…</t>
    <rPh sb="0" eb="2">
      <t>ステキナ</t>
    </rPh>
    <rPh sb="3" eb="5">
      <t>ウタゴエ</t>
    </rPh>
    <phoneticPr fontId="52"/>
  </si>
  <si>
    <t>そっか…もうこんな時間なんだぁ…</t>
    <rPh sb="9" eb="11">
      <t>ジカン</t>
    </rPh>
    <phoneticPr fontId="52"/>
  </si>
  <si>
    <t>帰ったら歌の練習しようかな…
次は負けないんだから！</t>
    <rPh sb="0" eb="1">
      <t>カエッタラ</t>
    </rPh>
    <rPh sb="4" eb="5">
      <t>ウタノ</t>
    </rPh>
    <rPh sb="6" eb="8">
      <t>レンシュウ</t>
    </rPh>
    <rPh sb="15" eb="16">
      <t>ツギハ</t>
    </rPh>
    <rPh sb="17" eb="18">
      <t>マケナイ</t>
    </rPh>
    <phoneticPr fontId="5"/>
  </si>
  <si>
    <t>そろそろ帰らないとね。
またこすぷれしよっかな…♪</t>
    <rPh sb="4" eb="5">
      <t>カエラナイ</t>
    </rPh>
    <phoneticPr fontId="5"/>
  </si>
  <si>
    <t>null</t>
    <phoneticPr fontId="5"/>
  </si>
  <si>
    <t>ルシファーが1ゲージ目で使用する
パネル吸収攻撃は少ない吸収量でも
致命的なダメージになるため
警戒しておきましょう</t>
    <rPh sb="12" eb="14">
      <t>シヨウ</t>
    </rPh>
    <rPh sb="20" eb="22">
      <t>キュウシュウ</t>
    </rPh>
    <rPh sb="22" eb="24">
      <t>コウゲキ</t>
    </rPh>
    <rPh sb="25" eb="26">
      <t>スクナイ</t>
    </rPh>
    <rPh sb="28" eb="31">
      <t>キュウシュウリョウ</t>
    </rPh>
    <rPh sb="34" eb="37">
      <t>チメイテキナ</t>
    </rPh>
    <rPh sb="48" eb="50">
      <t>ケイカイ</t>
    </rPh>
    <phoneticPr fontId="5"/>
  </si>
  <si>
    <t>ルシファーの2ゲージ目では
特定の条件を満たすことで
状態異常耐性を獲得できます
3ゲージ目に入る前に獲得しましょう</t>
    <rPh sb="14" eb="16">
      <t>トクテイノ</t>
    </rPh>
    <rPh sb="17" eb="19">
      <t>ジョウケn</t>
    </rPh>
    <rPh sb="20" eb="21">
      <t>ミタス</t>
    </rPh>
    <rPh sb="27" eb="31">
      <t>ジョウタイイジョウ</t>
    </rPh>
    <rPh sb="31" eb="33">
      <t>タイセイ</t>
    </rPh>
    <rPh sb="34" eb="36">
      <t>カクトク</t>
    </rPh>
    <rPh sb="48" eb="49">
      <t>ハイル</t>
    </rPh>
    <rPh sb="50" eb="51">
      <t>マエニ</t>
    </rPh>
    <rPh sb="52" eb="54">
      <t>カクトク</t>
    </rPh>
    <phoneticPr fontId="5"/>
  </si>
  <si>
    <t>ルシファーは3ゲージ目になると
味方にとても有利な効果を付与しますが
その後どんどん攻撃が強くなります
速やかに倒しましょう</t>
    <phoneticPr fontId="5"/>
  </si>
  <si>
    <t>unit</t>
  </si>
  <si>
    <t>雪ミクのウサギ…？かわいいなぁ…</t>
    <rPh sb="0" eb="1">
      <t>ユキミク</t>
    </rPh>
    <phoneticPr fontId="5"/>
  </si>
  <si>
    <t>状態異常耐性</t>
    <rPh sb="0" eb="6">
      <t>ジョウタイイジョウタイセイ</t>
    </rPh>
    <phoneticPr fontId="5"/>
  </si>
  <si>
    <t>初音ミクV4X…
その衣装もかわいい…いいなぁ</t>
    <rPh sb="0" eb="2">
      <t>ハツネミク</t>
    </rPh>
    <rPh sb="11" eb="13">
      <t>イショウ</t>
    </rPh>
    <phoneticPr fontId="5"/>
  </si>
  <si>
    <t>アペンド…！すごい…
会えるなんて…うれしい…！</t>
    <rPh sb="11" eb="12">
      <t>アエルナンテ</t>
    </rPh>
    <phoneticPr fontId="5"/>
  </si>
  <si>
    <t>ルカ…！
来てもらえるなんて…うれしいなぁ</t>
    <rPh sb="5" eb="6">
      <t>キテ</t>
    </rPh>
    <phoneticPr fontId="5"/>
  </si>
  <si>
    <t>ボカロのこすぷれしてる…！
おそろい…嬉しいなぁ</t>
    <rPh sb="19" eb="20">
      <t>ウレシイ</t>
    </rPh>
    <phoneticPr fontId="5"/>
  </si>
  <si>
    <t>ここからは歌で勝負！</t>
    <rPh sb="5" eb="6">
      <t>ウタ</t>
    </rPh>
    <rPh sb="7" eb="9">
      <t>ショウブ</t>
    </rPh>
    <phoneticPr fontId="5"/>
  </si>
  <si>
    <t>えええええなんで止めるんですかっっっ！？</t>
    <rPh sb="8" eb="9">
      <t>トメル</t>
    </rPh>
    <phoneticPr fontId="5"/>
  </si>
  <si>
    <t>んもゥ！アナタなんなのよっ！</t>
    <phoneticPr fontId="5"/>
  </si>
  <si>
    <t>でも貴方…
ベルゼに言われて来たんでしょ</t>
    <rPh sb="2" eb="4">
      <t>アナタ</t>
    </rPh>
    <phoneticPr fontId="5"/>
  </si>
  <si>
    <t>貴方は…こすぷれじゃなくて
ホンモノのミクなの！？</t>
    <rPh sb="0" eb="2">
      <t>アナタ</t>
    </rPh>
    <phoneticPr fontId="5"/>
  </si>
  <si>
    <t>…ミクも雪まつりのこすぷれしてるの？
かわいい…♪</t>
    <rPh sb="4" eb="5">
      <t>ユキマツリ</t>
    </rPh>
    <phoneticPr fontId="5"/>
  </si>
  <si>
    <t>鏡音リン…！
貴方みたいな妹がいたらなぁ…</t>
    <rPh sb="0" eb="2">
      <t>カガミネレン</t>
    </rPh>
    <rPh sb="7" eb="9">
      <t>アナタ</t>
    </rPh>
    <rPh sb="13" eb="14">
      <t>イモウト</t>
    </rPh>
    <phoneticPr fontId="5"/>
  </si>
  <si>
    <t>鏡音レン…！
貴方みたいな弟がいたらなぁ…</t>
    <rPh sb="0" eb="2">
      <t>カガミネレン</t>
    </rPh>
    <rPh sb="7" eb="9">
      <t>アナタ</t>
    </rPh>
    <rPh sb="13" eb="14">
      <t>オトウト</t>
    </rPh>
    <phoneticPr fontId="5"/>
  </si>
  <si>
    <t>あっ…！MEIKOだぁ…きれい…！</t>
    <phoneticPr fontId="5"/>
  </si>
  <si>
    <t>あっ…！KAITOだぁ…かっこいい…！</t>
    <phoneticPr fontId="5"/>
  </si>
  <si>
    <t>あんなに可愛いのにっっっ！！！</t>
    <rPh sb="4" eb="6">
      <t>カワイイ</t>
    </rPh>
    <phoneticPr fontId="5"/>
  </si>
  <si>
    <t>てか…
可愛いから仕方ないんですよ！うん！！</t>
    <rPh sb="4" eb="6">
      <t>カワイイカラ</t>
    </rPh>
    <rPh sb="9" eb="11">
      <t>シカタナイ</t>
    </rPh>
    <phoneticPr fontId="5"/>
  </si>
  <si>
    <t>[effect:enemy_message, val1:1.2, val2:2.0],[effect:break_attack_fix, target:unit_all, val:200, lowest_val:500, count:10, color:green, block01:block_green]</t>
    <phoneticPr fontId="5"/>
  </si>
  <si>
    <t>[effect:enemy_message, val1:1.2, val2:2.0],[effect:break_attack_fix, target:unit_all, val:200, lowest_val:500, count:10, color:green, block01:block_yellow]</t>
    <phoneticPr fontId="5"/>
  </si>
  <si>
    <t>2体に1ターンスキルバインド+2回連続攻撃</t>
    <phoneticPr fontId="5"/>
  </si>
  <si>
    <t>黄パネルが出現しない</t>
    <rPh sb="5" eb="7">
      <t>シュツゲn</t>
    </rPh>
    <phoneticPr fontId="5"/>
  </si>
  <si>
    <t>スキルバインド状態のユニットに大ダメージの全体攻撃</t>
    <rPh sb="7" eb="9">
      <t>ジョウタイ</t>
    </rPh>
    <rPh sb="15" eb="16">
      <t>ダイダメージ</t>
    </rPh>
    <rPh sb="21" eb="23">
      <t>ゼンタイ</t>
    </rPh>
    <rPh sb="23" eb="25">
      <t>コウゲキ</t>
    </rPh>
    <phoneticPr fontId="5"/>
  </si>
  <si>
    <t>[effect:enemy_message, val1:1.9, val2:2.8, dead_type:escape]</t>
    <phoneticPr fontId="5"/>
  </si>
  <si>
    <t>[effect:enemy_message, val1:1.2, val2:2.0],[effect:tolerance, target:unit_all, turn:-1, tolerance_effect:all, count:-1, animation:prevent_abnormal_Unit04]</t>
    <phoneticPr fontId="5"/>
  </si>
  <si>
    <t>[effect:enemy_message, val1:1.3, val2:2.5],[effect:fix_speed, target:myself, turn:1],[effect:tolerance, target:myself, turn:-1, count:-1, tolerance_effect:all, animation:enemy_tolerance]</t>
    <phoneticPr fontId="5"/>
  </si>
  <si>
    <t>[effect:enemy_message, val1:1.2, val2:1.4],[effect:panel_freeze, target:normal, color:block_green, count:-1],[effect:rush, count:1, val:0.75]</t>
    <phoneticPr fontId="5"/>
  </si>
  <si>
    <t>[effect:enemy_message, val1:1.2, val2:1.4],[effect:panel_freeze, target:normal, color:block_yellow, count:-1],[effect:rush, count:1, val:0.75]</t>
    <phoneticPr fontId="5"/>
  </si>
  <si>
    <t>[effect:enemy_message, val1:1.4, val2:1.2],[effect:enhance_fever, val:500, animation:fevergauge_up04]</t>
    <phoneticPr fontId="5"/>
  </si>
  <si>
    <t>[effect:enemy_message, val1:1.5, val2:3.4],[effect:attack_command, target:unit_all, turn:-1, val:1.0, animation:unit_all_attack_command05],[effect:suicide, target:enemy_all, val:1, dead_type:escape]</t>
    <phoneticPr fontId="5"/>
  </si>
  <si>
    <t>[effect:enemy_message, val1:1.2, val2:1.2],[effect:fix_speed, target:myself, turn:1],[effect:dis_panel, target:block_red, turn:-1, animation:enemy_dis_red],[effect:dis_panel, target:block_blue, turn:-1, animation:enemy_dis_blue]</t>
    <phoneticPr fontId="5"/>
  </si>
  <si>
    <t>[effect:enemy_message, val1:1.2, val2:3.7],[effect:spread, val:0.15],[effect:rush, count:2, val:0.2]</t>
    <phoneticPr fontId="5"/>
  </si>
  <si>
    <t>[effect:enemy_message, val1:1.2, val2:3.7],[effect:spread, val:0.2],[effect:rush, count:2, val:0.25]</t>
    <phoneticPr fontId="5"/>
  </si>
  <si>
    <t>[effect:enemy_message, val1:1.2, val2:3.7],[effect:spread, val:0.25],[effect:rush, count:2, val:0.3]</t>
    <phoneticPr fontId="5"/>
  </si>
  <si>
    <t>[effect:enemy_message, val1:1.2, val2:3.7],[effect:spread, val:0.15],[effect:rush, count:2, val:0.2]</t>
    <phoneticPr fontId="5"/>
  </si>
  <si>
    <t>[effect:enemy_message, val1:1.2, val2:3.7],[effect:spread, val:0.2],[effect:rush, count:2, val:0.25]</t>
    <phoneticPr fontId="5"/>
  </si>
  <si>
    <t>[effect:enemy_message, val1:1.3, val2:1.2],[effect:spread, val:0.4],[effect:rush, count:2, val:0.4]</t>
    <phoneticPr fontId="5"/>
  </si>
  <si>
    <t>[effect:enemy_message, val1:2.0, val2:1.2],[effect:fix_speed, target:myself, turn:2],[effect:change_panel_ratio, turn:-1, block_type:yellow, val:0, animation:block_incidence04]</t>
    <phoneticPr fontId="5"/>
  </si>
  <si>
    <t>[effect:enemy_message, val1:1.5, val2:1.4],[effect:panel_freeze, target:normal, color:block_green, count:-1],[effect:spread, val:0.35]</t>
    <phoneticPr fontId="5"/>
  </si>
  <si>
    <t>[effect:enemy_message, val1:1.2, val2:1.2],[effect:freq_turn, target:myself, turn:5, val:1, animation:enemy_freq_turn]</t>
    <phoneticPr fontId="5"/>
  </si>
  <si>
    <t>[effect:enemy_message, val1:1.6, val2:1.2],[effect:fix_speed, target:myself, turn:1],[effect:tolerance, target:myself, turn:-1, count:-1, tolerance_effect:all, animation:enemy_tolerance]</t>
    <phoneticPr fontId="5"/>
  </si>
  <si>
    <t>[effect:enemy_message, val1:1.3, val2:1.2],[effect:suicide, target:myself, val:1, dead_type:escape]</t>
    <phoneticPr fontId="5"/>
  </si>
  <si>
    <t>[effect:enemy_message, val1:1.6, val2:1.2],[effect:fix_speed, target:myself, turn:1],[effect:tolerance, target:myself, turn:-1, count:-1, tolerance_effect:all, animation:enemy_tolerance]</t>
    <phoneticPr fontId="5"/>
  </si>
  <si>
    <t>[effect:enemy_message, val1:1.3, val2:1.2],[effect:rush, count:12, val:0.12]</t>
    <phoneticPr fontId="5"/>
  </si>
  <si>
    <t>[effect:enemy_message, val1:1.2, val2:1.3],[effect:damage_gravity, val:0.75, animation:fevergauge_down]</t>
    <phoneticPr fontId="5"/>
  </si>
  <si>
    <t>[effect:enemy_message, val1:1.2, val2:2.1],[effect:damage_abnormal, target:unit_one, val:0.4, status:hungup, turn:1, rate:1, animation:hungup01],[effect:damage_abnormal, target:unit_one, val:0.4, status:hungup, turn:1, rate:1, animation:hungup01]</t>
    <phoneticPr fontId="5"/>
  </si>
  <si>
    <t>[effect:enemy_message, val1:1.2, val2:2.5],[effect:damage_anti_abnormal, target:unit_all, target_effect01:hungup, val1:0.5, val2:0.3]</t>
    <phoneticPr fontId="5"/>
  </si>
  <si>
    <t>[effect:enemy_message, val1:1.4, val2:2.9, dead_type:escape]</t>
    <phoneticPr fontId="5"/>
  </si>
  <si>
    <t>[effect:enemy_message, val1:1.5, val2:2.9, dead_type:escape]</t>
    <phoneticPr fontId="5"/>
  </si>
  <si>
    <t>ja</t>
    <phoneticPr fontId="5"/>
  </si>
  <si>
    <t>緑パネルを吸収して全体攻撃(最大10個)</t>
    <rPh sb="0" eb="1">
      <t>ミドリパネル</t>
    </rPh>
    <rPh sb="5" eb="7">
      <t>キュウシュウ</t>
    </rPh>
    <rPh sb="9" eb="11">
      <t>ゼンタイ</t>
    </rPh>
    <rPh sb="11" eb="13">
      <t>コウゲキ</t>
    </rPh>
    <rPh sb="14" eb="16">
      <t>サイダイ</t>
    </rPh>
    <rPh sb="18" eb="19">
      <t>コ</t>
    </rPh>
    <phoneticPr fontId="5"/>
  </si>
  <si>
    <t>黄パネルを吸収して全体攻撃(最大10個)</t>
    <rPh sb="0" eb="1">
      <t>キイロ</t>
    </rPh>
    <rPh sb="5" eb="7">
      <t>キュウシュウ</t>
    </rPh>
    <rPh sb="9" eb="11">
      <t>ゼンタイ</t>
    </rPh>
    <rPh sb="11" eb="13">
      <t>コウゲキ</t>
    </rPh>
    <rPh sb="14" eb="16">
      <t>サイダイ</t>
    </rPh>
    <rPh sb="18" eb="19">
      <t>コ</t>
    </rPh>
    <phoneticPr fontId="5"/>
  </si>
  <si>
    <t>ターン経過で強力になる連続攻撃
(一定のダメージを与えるとリセットされる)</t>
    <rPh sb="3" eb="5">
      <t>ケイカ</t>
    </rPh>
    <rPh sb="6" eb="8">
      <t>キョウリョクニナル</t>
    </rPh>
    <rPh sb="11" eb="13">
      <t>レンゾク</t>
    </rPh>
    <rPh sb="13" eb="15">
      <t>コウゲキ</t>
    </rPh>
    <rPh sb="17" eb="19">
      <t>イッテイノ</t>
    </rPh>
    <rPh sb="25" eb="26">
      <t>アタエルト</t>
    </rPh>
    <phoneticPr fontId="5"/>
  </si>
  <si>
    <t>緑パネルを吸収して激烈クリティカル！</t>
    <rPh sb="0" eb="1">
      <t>ミドリ</t>
    </rPh>
    <rPh sb="5" eb="7">
      <t>キュウシュウ</t>
    </rPh>
    <rPh sb="9" eb="11">
      <t>ゲキレツ</t>
    </rPh>
    <phoneticPr fontId="5"/>
  </si>
  <si>
    <t>[effect:enemy_message, val1:1.2, val2:1.8],[effect:break_attack_fix, target:unit_one, val:14000, lowest_val:5000, count:-1, color:green, block01:block_green]</t>
    <phoneticPr fontId="5"/>
  </si>
  <si>
    <t>[effect:enemy_message, val1:2.0, val2:3.9],[effect:change_panel_ratio, turn:1, block_type:green, val:0]</t>
    <phoneticPr fontId="5"/>
  </si>
  <si>
    <t>ハートパネルを吸収して激烈クリティカル！</t>
    <rPh sb="7" eb="9">
      <t>キュウシュウ</t>
    </rPh>
    <rPh sb="11" eb="13">
      <t>ゲキレツ</t>
    </rPh>
    <phoneticPr fontId="5"/>
  </si>
  <si>
    <t>[effect:enemy_message, val1:1.2, val2:4.3],[effect:change_panel_ratio, turn:1, block_type:heal, val:0]</t>
    <phoneticPr fontId="5"/>
  </si>
  <si>
    <t>[effect:enemy_message, val1:1.5, val2:2.0],[effect:break_attack_fix, target:unit_one, val:14000, lowest_val:5000, count:-1, color:green, block01:block_heart]</t>
    <phoneticPr fontId="5"/>
  </si>
  <si>
    <t>ターン経過で強くなる全体固定ダメージ</t>
    <rPh sb="3" eb="5">
      <t>ケイカ</t>
    </rPh>
    <rPh sb="6" eb="7">
      <t>ツヨクナル</t>
    </rPh>
    <rPh sb="10" eb="12">
      <t>ゼンタイ</t>
    </rPh>
    <rPh sb="12" eb="14">
      <t>コテイ</t>
    </rPh>
    <phoneticPr fontId="5"/>
  </si>
  <si>
    <t>致命的な全体固定ダメージ</t>
    <rPh sb="0" eb="3">
      <t>チメイテキナ</t>
    </rPh>
    <rPh sb="4" eb="6">
      <t>ゼンタイ</t>
    </rPh>
    <rPh sb="6" eb="8">
      <t>コテイ</t>
    </rPh>
    <phoneticPr fontId="5"/>
  </si>
  <si>
    <t>[effect:enemy_message, val1:1.2, val2:1.8],[effect:damage_fix_absolute, target:unit_all, val:1250]</t>
    <phoneticPr fontId="5"/>
  </si>
  <si>
    <t>[effect:enemy_message, val1:1.3, val2:1.8],[effect:damage_fix_absolute, target:unit_all, val:2500]</t>
    <phoneticPr fontId="5"/>
  </si>
  <si>
    <t>[effect:enemy_message, val1:1.2, val2:1.8],[effect:damage_fix_absolute, target:unit_all, val:3750]</t>
    <phoneticPr fontId="5"/>
  </si>
  <si>
    <t>[effect:enemy_message, val1:1.2, val2:1.8],[effect:damage_fix_absolute, target:unit_all, val:5000]</t>
    <phoneticPr fontId="5"/>
  </si>
  <si>
    <t>[effect:enemy_message, val1:1.3, val2:1.4],[effect:damage_fix_absolute, target:unit_all, val:999999]</t>
    <phoneticPr fontId="5"/>
  </si>
  <si>
    <t>確かにあの子は可愛いわよ</t>
    <rPh sb="0" eb="1">
      <t>タシカニ</t>
    </rPh>
    <rPh sb="5" eb="6">
      <t>コ</t>
    </rPh>
    <rPh sb="7" eb="9">
      <t>カワイイ</t>
    </rPh>
    <phoneticPr fontId="5"/>
  </si>
  <si>
    <t>1ターン緑パネルが出現しない+
次のターン緑パネルを吸収して強力な攻撃！</t>
    <rPh sb="9" eb="11">
      <t>シュツゲn</t>
    </rPh>
    <rPh sb="30" eb="32">
      <t>キョウリョクナ</t>
    </rPh>
    <rPh sb="33" eb="35">
      <t>コウゲキ</t>
    </rPh>
    <phoneticPr fontId="5"/>
  </si>
  <si>
    <t>1ターンハートパネルが出現しない+
次のターンハートパネルを吸収して強力な攻撃！</t>
    <rPh sb="11" eb="13">
      <t>シュツゲn</t>
    </rPh>
    <rPh sb="18" eb="19">
      <t>ツギノターン</t>
    </rPh>
    <rPh sb="30" eb="32">
      <t>キュウシュウ</t>
    </rPh>
    <rPh sb="34" eb="36">
      <t>キョウリョクナ</t>
    </rPh>
    <rPh sb="37" eb="39">
      <t>コウゲキ</t>
    </rPh>
    <phoneticPr fontId="5"/>
  </si>
  <si>
    <t>全ユニットに状態異常耐性が付与される！</t>
    <rPh sb="0" eb="1">
      <t>ゼンタイ</t>
    </rPh>
    <rPh sb="6" eb="10">
      <t>ジョウタイイジョウ</t>
    </rPh>
    <rPh sb="10" eb="12">
      <t>タイセイ</t>
    </rPh>
    <rPh sb="13" eb="15">
      <t>フヨ</t>
    </rPh>
    <phoneticPr fontId="5"/>
  </si>
  <si>
    <t>clear</t>
    <phoneticPr fontId="5"/>
  </si>
  <si>
    <t>状態異常耐性+
全ユニットにスキルバインド+緑パネル無効</t>
    <rPh sb="0" eb="6">
      <t>ジョウタイイジョウタイセイ</t>
    </rPh>
    <rPh sb="22" eb="23">
      <t>ミドリ</t>
    </rPh>
    <rPh sb="26" eb="28">
      <t>ムコウ</t>
    </rPh>
    <phoneticPr fontId="5"/>
  </si>
  <si>
    <t>ハートパネルが出現しない+
確率でCパネルがドロップ+
全ユニットの攻撃力100%UP！</t>
    <rPh sb="7" eb="9">
      <t>シュツゲn</t>
    </rPh>
    <rPh sb="28" eb="29">
      <t>ゼン</t>
    </rPh>
    <rPh sb="34" eb="37">
      <t>コウゲキリョク</t>
    </rPh>
    <phoneticPr fontId="5"/>
  </si>
  <si>
    <t>[effect:enemy_message, val1:1.2, val2:2.8],[effect:fix_speed, target:myself, turn:1],[effect:tolerance, target:myself, turn:-1, count:-1, tolerance_effect:all, animation:enemy_tolerance],[effect:hungup, target:unit_all, turn:-1, rate:1, animation:hungup01],[effect:dis_panel, target:block_green, turn:-1]</t>
    <phoneticPr fontId="5"/>
  </si>
  <si>
    <t>[effect:enemy_message, val1:1.2, val2:4.4],[effect:change_panel_ratio, turn:-1, block_type:heal, val:0, animation:block_incidence04],[effect:drop_block, block_type:crash, color:block_all, val:6, rate:0.2, turn:-1, animation:crash_influence04],[effect:enhance_unit, target:unit_all, turn:-1, status:attack, val:1]</t>
    <phoneticPr fontId="5"/>
  </si>
  <si>
    <t>5ターン攻撃頻度UP</t>
    <rPh sb="4" eb="8">
      <t>コウゲキヒンド</t>
    </rPh>
    <phoneticPr fontId="5"/>
  </si>
  <si>
    <t>[effect:enemy_message, val1:1.2, val2:2.7]</t>
    <phoneticPr fontId="5"/>
  </si>
  <si>
    <t>[effect:enemy_message, val1:2.3, val2:1.2],[effect:tolerance, target:myself, turn:-1, count:-1, tolerance_effect:all, animation:enemy_tolerance]</t>
    <phoneticPr fontId="5"/>
  </si>
  <si>
    <t>[effect:enemy_message, val1:2.4, val2:1.2],[effect:tolerance, target:myself, turn:-1, count:-1, tolerance_effect:all, animation:enemy_tolerance]</t>
    <phoneticPr fontId="5"/>
  </si>
  <si>
    <t>[effect:enemy_message, val1:2.5, val2:1.2],[effect:tolerance, target:myself, turn:-1, count:-1, tolerance_effect:all, animation:enemy_tolerance]</t>
    <phoneticPr fontId="5"/>
  </si>
  <si>
    <t>[effect:enemy_message, val1:2.5, val2:1.2],[effect:tolerance, target:myself, turn:-1, count:-1, tolerance_effect:all, animation:enemy_tolerance]</t>
    <phoneticPr fontId="5"/>
  </si>
  <si>
    <t>[effect:enemy_message, val1:1.6, val2:1.2],[effect:tolerance, target:myself, turn:-1, count:-1, tolerance_effect:all, animation:enemy_tolerance]</t>
    <phoneticPr fontId="5"/>
  </si>
  <si>
    <t>[effect:enemy_message, val1:2.1, val2:1.2],[effect:tolerance, target:myself, turn:-1, count:-1, tolerance_effect:all, animation:enemy_tolerance]</t>
    <phoneticPr fontId="5"/>
  </si>
  <si>
    <t>[effect:enemy_message, val1:2.1, val2:1.2],[effect:tolerance, target:myself, turn:-1, count:-1, tolerance_effect:all, animation:enemy_tolerance]</t>
    <phoneticPr fontId="5"/>
  </si>
  <si>
    <t>[effect:enemy_message, val1:2.1, val2:1.2],[effect:tolerance, target:myself, turn:-1, count:-1, tolerance_effect:all, animation:enemy_tolerance]</t>
    <phoneticPr fontId="5"/>
  </si>
  <si>
    <t>[effect:enemy_message, val1:1.7, val2:1.2],[effect:tolerance, target:myself, turn:-1, count:-1, tolerance_effect:all, animation:enemy_tolerance]</t>
    <phoneticPr fontId="5"/>
  </si>
  <si>
    <t>[effect:enemy_message, val1:1.9, val2:1.2],[effect:tolerance, target:myself, turn:-1, count:-1, tolerance_effect:all, animation:enemy_tolerance]</t>
    <phoneticPr fontId="5"/>
  </si>
  <si>
    <t>[effect:enemy_message, val1:2.4, val2:1.2],[effect:tolerance, target:myself, turn:-1, count:-1, tolerance_effect:all, animation:enemy_tolerance]</t>
    <phoneticPr fontId="5"/>
  </si>
  <si>
    <t>[effect:enemy_message, val1:1.2, val2:2.3],[effect:force_change_block, new_block:time_bomb, target:block_all, ignore01:crash, ignore02:crack_bomb, ignore03:color_break, ignore04:magnet, color:block_yellow, count:10, val:0.3, min_time_count:2, max_time_count:2, animation:change_block]</t>
    <phoneticPr fontId="5"/>
  </si>
  <si>
    <t>[effect:enemy_message, val1:1.3, val2:3.0],[effect:force_change_block, new_block:time_bomb, target:block_all, ignore01:crash, ignore02:crack_bomb, ignore03:color_break, ignore04:magnet, color:block_green, count:3, val:0.4, min_time_count:2, max_time_count:2, animation:change_block],[effect:rush, count:3, val:0.4]</t>
    <phoneticPr fontId="5"/>
  </si>
  <si>
    <t>[effect:enemy_message, val1:2.2, val2:2.4],[effect:force_change_block, new_block:jammer, target:block_all, ignore01:crash, ignore02:crack_bomb, ignore03:color_break, ignore04:magnet, count:3, val:0, animation:change_block],[effect:rush, count:3, val:0.4]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</si>
</sst>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6"/>
      <name val="MS PGothic"/>
      <family val="3"/>
      <charset val="128"/>
    </font>
    <font>
      <sz val="10"/>
      <color rgb="FFFF000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432FF"/>
      <name val="ＭＳ Ｐゴシック"/>
      <family val="3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3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4" fillId="0" borderId="7" xfId="0" applyFont="1" applyFill="1" applyBorder="1" applyAlignment="1">
      <alignment horizontal="left" vertical="center" wrapText="1"/>
    </xf>
    <xf numFmtId="0" fontId="53" fillId="0" borderId="7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0" borderId="23" xfId="0" applyFont="1" applyFill="1" applyBorder="1" applyAlignment="1">
      <alignment horizontal="left" vertical="center"/>
    </xf>
    <xf numFmtId="0" fontId="16" fillId="3" borderId="23" xfId="0" applyFont="1" applyFill="1" applyBorder="1" applyAlignment="1">
      <alignment horizontal="left" vertical="center" wrapText="1"/>
    </xf>
    <xf numFmtId="0" fontId="16" fillId="3" borderId="23" xfId="0" applyFont="1" applyFill="1" applyBorder="1" applyAlignment="1">
      <alignment vertical="center"/>
    </xf>
    <xf numFmtId="14" fontId="16" fillId="0" borderId="23" xfId="0" applyNumberFormat="1" applyFont="1" applyFill="1" applyBorder="1" applyAlignment="1">
      <alignment horizontal="left" vertical="center"/>
    </xf>
    <xf numFmtId="0" fontId="53" fillId="0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horizontal="left" vertical="center"/>
    </xf>
    <xf numFmtId="0" fontId="4" fillId="0" borderId="24" xfId="0" applyFont="1" applyFill="1" applyBorder="1" applyAlignment="1">
      <alignment horizontal="left" vertical="center" wrapText="1"/>
    </xf>
    <xf numFmtId="0" fontId="16" fillId="3" borderId="24" xfId="0" applyFont="1" applyFill="1" applyBorder="1" applyAlignment="1">
      <alignment horizontal="left" vertical="center" wrapText="1"/>
    </xf>
    <xf numFmtId="0" fontId="16" fillId="3" borderId="24" xfId="0" applyFont="1" applyFill="1" applyBorder="1" applyAlignment="1">
      <alignment vertical="center"/>
    </xf>
    <xf numFmtId="14" fontId="16" fillId="0" borderId="24" xfId="0" applyNumberFormat="1" applyFont="1" applyFill="1" applyBorder="1" applyAlignment="1">
      <alignment horizontal="left" vertical="center"/>
    </xf>
    <xf numFmtId="0" fontId="54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54" fillId="6" borderId="7" xfId="0" applyFont="1" applyFill="1" applyBorder="1" applyAlignment="1">
      <alignment vertical="center"/>
    </xf>
    <xf numFmtId="0" fontId="55" fillId="0" borderId="7" xfId="0" applyFont="1" applyFill="1" applyBorder="1" applyAlignment="1">
      <alignment vertical="center"/>
    </xf>
    <xf numFmtId="0" fontId="16" fillId="0" borderId="23" xfId="0" applyFont="1" applyFill="1" applyBorder="1" applyAlignment="1">
      <alignment horizontal="left" vertical="center" wrapText="1"/>
    </xf>
    <xf numFmtId="0" fontId="6" fillId="0" borderId="7" xfId="0" applyFont="1" applyFill="1" applyBorder="1" applyAlignment="1">
      <alignment horizontal="left" vertical="center" wrapText="1"/>
    </xf>
    <xf numFmtId="0" fontId="4" fillId="0" borderId="23" xfId="0" applyFont="1" applyFill="1" applyBorder="1" applyAlignment="1">
      <alignment horizontal="left" vertical="center" wrapText="1"/>
    </xf>
    <xf numFmtId="0" fontId="16" fillId="13" borderId="7" xfId="0" applyFont="1" applyFill="1" applyBorder="1" applyAlignment="1">
      <alignment horizontal="left" vertical="center" wrapText="1"/>
    </xf>
    <xf numFmtId="0" fontId="16" fillId="1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9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20022</v>
          </cell>
        </row>
        <row r="128">
          <cell r="A128">
            <v>30001</v>
          </cell>
        </row>
        <row r="129">
          <cell r="A129">
            <v>30002</v>
          </cell>
        </row>
        <row r="130">
          <cell r="A130">
            <v>30003</v>
          </cell>
        </row>
        <row r="131">
          <cell r="A131">
            <v>30004</v>
          </cell>
        </row>
        <row r="132">
          <cell r="A132">
            <v>30005</v>
          </cell>
        </row>
        <row r="133">
          <cell r="A133">
            <v>30006</v>
          </cell>
        </row>
        <row r="134">
          <cell r="A134">
            <v>30007</v>
          </cell>
        </row>
        <row r="135">
          <cell r="A135">
            <v>30008</v>
          </cell>
        </row>
        <row r="136">
          <cell r="A136">
            <v>30009</v>
          </cell>
        </row>
        <row r="137">
          <cell r="A137">
            <v>30010</v>
          </cell>
        </row>
        <row r="138">
          <cell r="A138">
            <v>30011</v>
          </cell>
        </row>
        <row r="139">
          <cell r="A139">
            <v>30012</v>
          </cell>
        </row>
        <row r="140">
          <cell r="A140">
            <v>30013</v>
          </cell>
        </row>
        <row r="141">
          <cell r="A141">
            <v>30014</v>
          </cell>
        </row>
        <row r="142">
          <cell r="A142">
            <v>30015</v>
          </cell>
        </row>
        <row r="143">
          <cell r="A143">
            <v>30016</v>
          </cell>
        </row>
        <row r="144">
          <cell r="A144">
            <v>30017</v>
          </cell>
        </row>
        <row r="145">
          <cell r="A145">
            <v>30018</v>
          </cell>
        </row>
        <row r="146">
          <cell r="A146">
            <v>30019</v>
          </cell>
        </row>
        <row r="147">
          <cell r="A147">
            <v>30020</v>
          </cell>
        </row>
        <row r="148">
          <cell r="A148">
            <v>30021</v>
          </cell>
        </row>
        <row r="149">
          <cell r="A149">
            <v>30022</v>
          </cell>
        </row>
        <row r="150">
          <cell r="A150">
            <v>30023</v>
          </cell>
        </row>
        <row r="151">
          <cell r="A151">
            <v>30024</v>
          </cell>
        </row>
        <row r="152">
          <cell r="A152">
            <v>30025</v>
          </cell>
        </row>
        <row r="153">
          <cell r="A153">
            <v>30026</v>
          </cell>
        </row>
        <row r="154">
          <cell r="A154">
            <v>30027</v>
          </cell>
        </row>
        <row r="155">
          <cell r="A155">
            <v>30028</v>
          </cell>
        </row>
        <row r="156">
          <cell r="A156">
            <v>30029</v>
          </cell>
        </row>
        <row r="157">
          <cell r="A157">
            <v>30030</v>
          </cell>
        </row>
        <row r="158">
          <cell r="A158">
            <v>30031</v>
          </cell>
        </row>
        <row r="159">
          <cell r="A159">
            <v>30032</v>
          </cell>
        </row>
        <row r="160">
          <cell r="A160">
            <v>30033</v>
          </cell>
        </row>
        <row r="161">
          <cell r="A161">
            <v>30034</v>
          </cell>
        </row>
        <row r="162">
          <cell r="A162">
            <v>30035</v>
          </cell>
        </row>
        <row r="163">
          <cell r="A163">
            <v>30036</v>
          </cell>
        </row>
        <row r="164">
          <cell r="A164">
            <v>30037</v>
          </cell>
        </row>
        <row r="165">
          <cell r="A165">
            <v>30038</v>
          </cell>
        </row>
        <row r="166">
          <cell r="A166">
            <v>30039</v>
          </cell>
        </row>
        <row r="167">
          <cell r="A167">
            <v>30040</v>
          </cell>
        </row>
        <row r="168">
          <cell r="A168">
            <v>30041</v>
          </cell>
        </row>
        <row r="169">
          <cell r="A169">
            <v>30042</v>
          </cell>
        </row>
        <row r="170">
          <cell r="A170">
            <v>30043</v>
          </cell>
        </row>
        <row r="171">
          <cell r="A171">
            <v>30044</v>
          </cell>
        </row>
        <row r="172">
          <cell r="A172">
            <v>30045</v>
          </cell>
        </row>
        <row r="173">
          <cell r="A173">
            <v>30046</v>
          </cell>
        </row>
        <row r="174">
          <cell r="A174">
            <v>30047</v>
          </cell>
        </row>
        <row r="175">
          <cell r="A175">
            <v>30048</v>
          </cell>
        </row>
        <row r="176">
          <cell r="A176">
            <v>39001</v>
          </cell>
        </row>
        <row r="177">
          <cell r="A177">
            <v>39002</v>
          </cell>
        </row>
        <row r="178">
          <cell r="A178">
            <v>39003</v>
          </cell>
        </row>
        <row r="179">
          <cell r="A179">
            <v>39004</v>
          </cell>
        </row>
        <row r="180">
          <cell r="A180">
            <v>39005</v>
          </cell>
        </row>
        <row r="181">
          <cell r="A181">
            <v>39006</v>
          </cell>
        </row>
        <row r="182">
          <cell r="A182">
            <v>39007</v>
          </cell>
        </row>
        <row r="183">
          <cell r="A183">
            <v>39008</v>
          </cell>
        </row>
        <row r="184">
          <cell r="A184">
            <v>39009</v>
          </cell>
        </row>
        <row r="185">
          <cell r="A185">
            <v>39010</v>
          </cell>
        </row>
        <row r="186">
          <cell r="A186">
            <v>39011</v>
          </cell>
        </row>
        <row r="187">
          <cell r="A187">
            <v>40001</v>
          </cell>
        </row>
        <row r="188">
          <cell r="A188">
            <v>40002</v>
          </cell>
        </row>
        <row r="189">
          <cell r="A189">
            <v>40003</v>
          </cell>
        </row>
        <row r="190">
          <cell r="A190">
            <v>40004</v>
          </cell>
        </row>
        <row r="191">
          <cell r="A191">
            <v>40005</v>
          </cell>
        </row>
        <row r="192">
          <cell r="A192">
            <v>40006</v>
          </cell>
        </row>
        <row r="193">
          <cell r="A193">
            <v>40007</v>
          </cell>
        </row>
        <row r="194">
          <cell r="A194">
            <v>40008</v>
          </cell>
        </row>
        <row r="195">
          <cell r="A195">
            <v>40009</v>
          </cell>
        </row>
        <row r="196">
          <cell r="A196">
            <v>40010</v>
          </cell>
        </row>
        <row r="197">
          <cell r="A197">
            <v>40011</v>
          </cell>
        </row>
        <row r="198">
          <cell r="A198">
            <v>40012</v>
          </cell>
        </row>
        <row r="199">
          <cell r="A199">
            <v>40013</v>
          </cell>
        </row>
        <row r="200">
          <cell r="A200">
            <v>40014</v>
          </cell>
        </row>
        <row r="201">
          <cell r="A201">
            <v>40015</v>
          </cell>
        </row>
        <row r="202">
          <cell r="A202">
            <v>40016</v>
          </cell>
        </row>
        <row r="203">
          <cell r="A203">
            <v>40017</v>
          </cell>
        </row>
        <row r="204">
          <cell r="A204">
            <v>40018</v>
          </cell>
        </row>
        <row r="205">
          <cell r="A205">
            <v>40019</v>
          </cell>
        </row>
        <row r="206">
          <cell r="A206">
            <v>40021</v>
          </cell>
        </row>
        <row r="207">
          <cell r="A207">
            <v>40022</v>
          </cell>
        </row>
        <row r="208">
          <cell r="A208">
            <v>40023</v>
          </cell>
        </row>
        <row r="209">
          <cell r="A209">
            <v>40024</v>
          </cell>
        </row>
        <row r="210">
          <cell r="A210">
            <v>40025</v>
          </cell>
        </row>
        <row r="211">
          <cell r="A211">
            <v>40026</v>
          </cell>
        </row>
        <row r="212">
          <cell r="A212">
            <v>40027</v>
          </cell>
        </row>
        <row r="213">
          <cell r="A213">
            <v>40028</v>
          </cell>
        </row>
        <row r="214">
          <cell r="A214">
            <v>40029</v>
          </cell>
        </row>
        <row r="215">
          <cell r="A215">
            <v>40030</v>
          </cell>
        </row>
        <row r="216">
          <cell r="A216">
            <v>40031</v>
          </cell>
        </row>
        <row r="217">
          <cell r="A217">
            <v>40032</v>
          </cell>
        </row>
        <row r="218">
          <cell r="A218">
            <v>40033</v>
          </cell>
        </row>
        <row r="219">
          <cell r="A219">
            <v>40034</v>
          </cell>
        </row>
        <row r="220">
          <cell r="A220">
            <v>40035</v>
          </cell>
        </row>
        <row r="221">
          <cell r="A221">
            <v>40036</v>
          </cell>
        </row>
        <row r="222">
          <cell r="A222">
            <v>40037</v>
          </cell>
        </row>
        <row r="223">
          <cell r="A223">
            <v>40038</v>
          </cell>
        </row>
        <row r="224">
          <cell r="A224">
            <v>40039</v>
          </cell>
        </row>
        <row r="225">
          <cell r="A225">
            <v>40040</v>
          </cell>
        </row>
        <row r="226">
          <cell r="A226">
            <v>40041</v>
          </cell>
        </row>
        <row r="227">
          <cell r="A227">
            <v>40042</v>
          </cell>
        </row>
        <row r="228">
          <cell r="A228">
            <v>40043</v>
          </cell>
        </row>
        <row r="229">
          <cell r="A229">
            <v>48001</v>
          </cell>
        </row>
        <row r="230">
          <cell r="A230">
            <v>48002</v>
          </cell>
        </row>
        <row r="231">
          <cell r="A231">
            <v>48003</v>
          </cell>
        </row>
        <row r="232">
          <cell r="A232">
            <v>48004</v>
          </cell>
        </row>
        <row r="233">
          <cell r="A233">
            <v>48005</v>
          </cell>
        </row>
        <row r="234">
          <cell r="A234">
            <v>48006</v>
          </cell>
        </row>
        <row r="235">
          <cell r="A235">
            <v>48007</v>
          </cell>
        </row>
        <row r="236">
          <cell r="A236">
            <v>48008</v>
          </cell>
        </row>
        <row r="237">
          <cell r="A237">
            <v>48009</v>
          </cell>
        </row>
        <row r="238">
          <cell r="A238">
            <v>48010</v>
          </cell>
        </row>
        <row r="239">
          <cell r="A239">
            <v>48011</v>
          </cell>
        </row>
        <row r="240">
          <cell r="A240">
            <v>48501</v>
          </cell>
        </row>
        <row r="241">
          <cell r="A241">
            <v>41001</v>
          </cell>
        </row>
        <row r="242">
          <cell r="A242">
            <v>41002</v>
          </cell>
        </row>
        <row r="243">
          <cell r="A243">
            <v>41003</v>
          </cell>
        </row>
        <row r="244">
          <cell r="A244">
            <v>41004</v>
          </cell>
        </row>
        <row r="245">
          <cell r="A245">
            <v>41005</v>
          </cell>
        </row>
        <row r="246">
          <cell r="A246">
            <v>41006</v>
          </cell>
        </row>
        <row r="247">
          <cell r="A247">
            <v>41007</v>
          </cell>
        </row>
        <row r="248">
          <cell r="A248">
            <v>41008</v>
          </cell>
        </row>
        <row r="249">
          <cell r="A249">
            <v>41009</v>
          </cell>
        </row>
        <row r="250">
          <cell r="A250">
            <v>41010</v>
          </cell>
        </row>
        <row r="251">
          <cell r="A251">
            <v>41011</v>
          </cell>
        </row>
        <row r="252">
          <cell r="A252">
            <v>41012</v>
          </cell>
        </row>
        <row r="253">
          <cell r="A253">
            <v>41013</v>
          </cell>
        </row>
        <row r="254">
          <cell r="A254">
            <v>41014</v>
          </cell>
        </row>
        <row r="255">
          <cell r="A255">
            <v>41015</v>
          </cell>
        </row>
        <row r="256">
          <cell r="A256">
            <v>47001</v>
          </cell>
        </row>
        <row r="257">
          <cell r="A257">
            <v>47002</v>
          </cell>
        </row>
        <row r="258">
          <cell r="A258">
            <v>47003</v>
          </cell>
        </row>
        <row r="259">
          <cell r="A259">
            <v>47004</v>
          </cell>
        </row>
        <row r="260">
          <cell r="A260">
            <v>47005</v>
          </cell>
        </row>
        <row r="261">
          <cell r="A261">
            <v>47006</v>
          </cell>
        </row>
        <row r="262">
          <cell r="A262">
            <v>47007</v>
          </cell>
        </row>
        <row r="263">
          <cell r="A263">
            <v>49001</v>
          </cell>
        </row>
        <row r="264">
          <cell r="A264">
            <v>49002</v>
          </cell>
        </row>
        <row r="265">
          <cell r="A265">
            <v>49003</v>
          </cell>
        </row>
        <row r="266">
          <cell r="A266">
            <v>49004</v>
          </cell>
        </row>
        <row r="267">
          <cell r="A267">
            <v>49005</v>
          </cell>
        </row>
        <row r="268">
          <cell r="A268">
            <v>49006</v>
          </cell>
        </row>
        <row r="269">
          <cell r="A269">
            <v>49007</v>
          </cell>
        </row>
        <row r="270">
          <cell r="A270">
            <v>49008</v>
          </cell>
        </row>
        <row r="271">
          <cell r="A271">
            <v>49009</v>
          </cell>
        </row>
        <row r="272">
          <cell r="A272">
            <v>49010</v>
          </cell>
        </row>
        <row r="273">
          <cell r="A273">
            <v>49011</v>
          </cell>
        </row>
        <row r="274">
          <cell r="A274">
            <v>49012</v>
          </cell>
        </row>
        <row r="275">
          <cell r="A275">
            <v>49013</v>
          </cell>
        </row>
        <row r="276">
          <cell r="A276">
            <v>50001</v>
          </cell>
        </row>
        <row r="277">
          <cell r="A277">
            <v>50002</v>
          </cell>
        </row>
        <row r="278">
          <cell r="A278">
            <v>50003</v>
          </cell>
        </row>
        <row r="279">
          <cell r="A279">
            <v>50004</v>
          </cell>
        </row>
        <row r="280">
          <cell r="A280">
            <v>50005</v>
          </cell>
        </row>
        <row r="281">
          <cell r="A281">
            <v>50006</v>
          </cell>
        </row>
        <row r="282">
          <cell r="A282">
            <v>50007</v>
          </cell>
        </row>
        <row r="283">
          <cell r="A283">
            <v>50008</v>
          </cell>
        </row>
        <row r="284">
          <cell r="A284">
            <v>50009</v>
          </cell>
        </row>
        <row r="285">
          <cell r="A285">
            <v>50010</v>
          </cell>
        </row>
        <row r="286">
          <cell r="A286">
            <v>50011</v>
          </cell>
        </row>
        <row r="287">
          <cell r="A287">
            <v>50012</v>
          </cell>
        </row>
        <row r="288">
          <cell r="A288">
            <v>50013</v>
          </cell>
        </row>
        <row r="289">
          <cell r="A289">
            <v>50014</v>
          </cell>
        </row>
        <row r="290">
          <cell r="A290">
            <v>51001</v>
          </cell>
        </row>
        <row r="291">
          <cell r="A291">
            <v>51002</v>
          </cell>
        </row>
        <row r="292">
          <cell r="A292">
            <v>59001</v>
          </cell>
        </row>
        <row r="293">
          <cell r="A293">
            <v>60001</v>
          </cell>
        </row>
        <row r="294">
          <cell r="A294">
            <v>60002</v>
          </cell>
        </row>
        <row r="295">
          <cell r="A295">
            <v>60003</v>
          </cell>
        </row>
        <row r="296">
          <cell r="A296">
            <v>60004</v>
          </cell>
        </row>
        <row r="297">
          <cell r="A297">
            <v>60005</v>
          </cell>
        </row>
        <row r="298">
          <cell r="A298">
            <v>60006</v>
          </cell>
        </row>
        <row r="299">
          <cell r="A299">
            <v>60007</v>
          </cell>
        </row>
        <row r="300">
          <cell r="A300">
            <v>60010</v>
          </cell>
        </row>
        <row r="301">
          <cell r="A301">
            <v>60011</v>
          </cell>
        </row>
        <row r="302">
          <cell r="A302">
            <v>61011</v>
          </cell>
        </row>
        <row r="303">
          <cell r="A303">
            <v>60012</v>
          </cell>
        </row>
        <row r="304">
          <cell r="A304">
            <v>60013</v>
          </cell>
        </row>
        <row r="305">
          <cell r="A305">
            <v>60014</v>
          </cell>
        </row>
        <row r="306">
          <cell r="A306">
            <v>60015</v>
          </cell>
        </row>
        <row r="307">
          <cell r="A307">
            <v>60016</v>
          </cell>
        </row>
        <row r="308">
          <cell r="A308">
            <v>60017</v>
          </cell>
        </row>
        <row r="309">
          <cell r="A309">
            <v>60018</v>
          </cell>
        </row>
        <row r="310">
          <cell r="A310">
            <v>60019</v>
          </cell>
        </row>
        <row r="311">
          <cell r="A311">
            <v>60020</v>
          </cell>
        </row>
        <row r="312">
          <cell r="A312">
            <v>60025</v>
          </cell>
        </row>
        <row r="313">
          <cell r="A313">
            <v>60026</v>
          </cell>
        </row>
        <row r="314">
          <cell r="A314">
            <v>60027</v>
          </cell>
        </row>
        <row r="315">
          <cell r="A315">
            <v>65525</v>
          </cell>
        </row>
        <row r="316">
          <cell r="A316">
            <v>65526</v>
          </cell>
        </row>
        <row r="317">
          <cell r="A317">
            <v>65527</v>
          </cell>
        </row>
        <row r="318">
          <cell r="A318">
            <v>65528</v>
          </cell>
        </row>
        <row r="319">
          <cell r="A319">
            <v>65529</v>
          </cell>
        </row>
        <row r="320">
          <cell r="A320">
            <v>65530</v>
          </cell>
        </row>
        <row r="321">
          <cell r="A321">
            <v>65531</v>
          </cell>
        </row>
        <row r="322">
          <cell r="A322">
            <v>65532</v>
          </cell>
        </row>
        <row r="323">
          <cell r="A323">
            <v>65533</v>
          </cell>
        </row>
        <row r="324">
          <cell r="A324">
            <v>65534</v>
          </cell>
        </row>
        <row r="325">
          <cell r="A325">
            <v>65535</v>
          </cell>
        </row>
        <row r="326">
          <cell r="A326">
            <v>60021</v>
          </cell>
        </row>
        <row r="327">
          <cell r="A327">
            <v>60022</v>
          </cell>
        </row>
        <row r="328">
          <cell r="A328">
            <v>60023</v>
          </cell>
        </row>
        <row r="329">
          <cell r="A32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20022_1</v>
          </cell>
        </row>
        <row r="505">
          <cell r="A505" t="str">
            <v>30001_1</v>
          </cell>
        </row>
        <row r="506">
          <cell r="A506" t="str">
            <v>30001_2</v>
          </cell>
        </row>
        <row r="507">
          <cell r="A507" t="str">
            <v>30001_3</v>
          </cell>
        </row>
        <row r="508">
          <cell r="A508" t="str">
            <v>30002_1</v>
          </cell>
        </row>
        <row r="509">
          <cell r="A509" t="str">
            <v>30002_2</v>
          </cell>
        </row>
        <row r="510">
          <cell r="A510" t="str">
            <v>30002_3</v>
          </cell>
        </row>
        <row r="511">
          <cell r="A511" t="str">
            <v>30003_1</v>
          </cell>
        </row>
        <row r="512">
          <cell r="A512" t="str">
            <v>30003_2</v>
          </cell>
        </row>
        <row r="513">
          <cell r="A513" t="str">
            <v>30003_3</v>
          </cell>
        </row>
        <row r="514">
          <cell r="A514" t="str">
            <v>30004_1</v>
          </cell>
        </row>
        <row r="515">
          <cell r="A515" t="str">
            <v>30004_2</v>
          </cell>
        </row>
        <row r="516">
          <cell r="A516" t="str">
            <v>30004_3</v>
          </cell>
        </row>
        <row r="517">
          <cell r="A517" t="str">
            <v>30005_1</v>
          </cell>
        </row>
        <row r="518">
          <cell r="A518" t="str">
            <v>30005_2</v>
          </cell>
        </row>
        <row r="519">
          <cell r="A519" t="str">
            <v>30005_3</v>
          </cell>
        </row>
        <row r="520">
          <cell r="A520" t="str">
            <v>30006_1</v>
          </cell>
        </row>
        <row r="521">
          <cell r="A521" t="str">
            <v>30006_2</v>
          </cell>
        </row>
        <row r="522">
          <cell r="A522" t="str">
            <v>30006_3</v>
          </cell>
        </row>
        <row r="523">
          <cell r="A523" t="str">
            <v>30007_1</v>
          </cell>
        </row>
        <row r="524">
          <cell r="A524" t="str">
            <v>30007_2</v>
          </cell>
        </row>
        <row r="525">
          <cell r="A525" t="str">
            <v>30007_3</v>
          </cell>
        </row>
        <row r="526">
          <cell r="A526" t="str">
            <v>30008_1</v>
          </cell>
        </row>
        <row r="527">
          <cell r="A527" t="str">
            <v>30008_2</v>
          </cell>
        </row>
        <row r="528">
          <cell r="A528" t="str">
            <v>30008_3</v>
          </cell>
        </row>
        <row r="529">
          <cell r="A529" t="str">
            <v>30009_3</v>
          </cell>
        </row>
        <row r="530">
          <cell r="A530" t="str">
            <v>30009_1</v>
          </cell>
        </row>
        <row r="531">
          <cell r="A531" t="str">
            <v>30009_2</v>
          </cell>
        </row>
        <row r="532">
          <cell r="A532" t="str">
            <v>30010_1</v>
          </cell>
        </row>
        <row r="533">
          <cell r="A533" t="str">
            <v>30010_2</v>
          </cell>
        </row>
        <row r="534">
          <cell r="A534" t="str">
            <v>30010_3</v>
          </cell>
        </row>
        <row r="535">
          <cell r="A535" t="str">
            <v>30011_1</v>
          </cell>
        </row>
        <row r="536">
          <cell r="A536" t="str">
            <v>30011_2</v>
          </cell>
        </row>
        <row r="537">
          <cell r="A537" t="str">
            <v>30011_3</v>
          </cell>
        </row>
        <row r="538">
          <cell r="A538" t="str">
            <v>30012_1</v>
          </cell>
        </row>
        <row r="539">
          <cell r="A539" t="str">
            <v>30012_2</v>
          </cell>
        </row>
        <row r="540">
          <cell r="A540" t="str">
            <v>30012_3</v>
          </cell>
        </row>
        <row r="541">
          <cell r="A541" t="str">
            <v>30013_1</v>
          </cell>
        </row>
        <row r="542">
          <cell r="A542" t="str">
            <v>30013_2</v>
          </cell>
        </row>
        <row r="543">
          <cell r="A543" t="str">
            <v>30014_1</v>
          </cell>
        </row>
        <row r="544">
          <cell r="A544" t="str">
            <v>30014_2</v>
          </cell>
        </row>
        <row r="545">
          <cell r="A545" t="str">
            <v>30015_1</v>
          </cell>
        </row>
        <row r="546">
          <cell r="A546" t="str">
            <v>30015_2</v>
          </cell>
        </row>
        <row r="547">
          <cell r="A547" t="str">
            <v>30016_1</v>
          </cell>
        </row>
        <row r="548">
          <cell r="A548" t="str">
            <v>30016_2</v>
          </cell>
        </row>
        <row r="549">
          <cell r="A549" t="str">
            <v>30017_1</v>
          </cell>
        </row>
        <row r="550">
          <cell r="A550" t="str">
            <v>30017_2</v>
          </cell>
        </row>
        <row r="551">
          <cell r="A551" t="str">
            <v>30018_1</v>
          </cell>
        </row>
        <row r="552">
          <cell r="A552" t="str">
            <v>30018_2</v>
          </cell>
        </row>
        <row r="553">
          <cell r="A553" t="str">
            <v>30019_1</v>
          </cell>
        </row>
        <row r="554">
          <cell r="A554" t="str">
            <v>30019_2</v>
          </cell>
        </row>
        <row r="555">
          <cell r="A555" t="str">
            <v>30020_1</v>
          </cell>
        </row>
        <row r="556">
          <cell r="A556" t="str">
            <v>30020_2</v>
          </cell>
        </row>
        <row r="557">
          <cell r="A557" t="str">
            <v>30021_1</v>
          </cell>
        </row>
        <row r="558">
          <cell r="A558" t="str">
            <v>30021_2</v>
          </cell>
        </row>
        <row r="559">
          <cell r="A559" t="str">
            <v>30021_3</v>
          </cell>
        </row>
        <row r="560">
          <cell r="A560" t="str">
            <v>30022_1</v>
          </cell>
        </row>
        <row r="561">
          <cell r="A561" t="str">
            <v>30022_2</v>
          </cell>
        </row>
        <row r="562">
          <cell r="A562" t="str">
            <v>30023_1</v>
          </cell>
        </row>
        <row r="563">
          <cell r="A563" t="str">
            <v>30023_2</v>
          </cell>
        </row>
        <row r="564">
          <cell r="A564" t="str">
            <v>30023_3</v>
          </cell>
        </row>
        <row r="565">
          <cell r="A565" t="str">
            <v>30024_1</v>
          </cell>
        </row>
        <row r="566">
          <cell r="A566" t="str">
            <v>30024_2</v>
          </cell>
        </row>
        <row r="567">
          <cell r="A567" t="str">
            <v>30024_3</v>
          </cell>
        </row>
        <row r="568">
          <cell r="A568" t="str">
            <v>30025_1</v>
          </cell>
        </row>
        <row r="569">
          <cell r="A569" t="str">
            <v>30025_2</v>
          </cell>
        </row>
        <row r="570">
          <cell r="A570" t="str">
            <v>30025_3</v>
          </cell>
        </row>
        <row r="571">
          <cell r="A571" t="str">
            <v>30026_1</v>
          </cell>
        </row>
        <row r="572">
          <cell r="A572" t="str">
            <v>30026_2</v>
          </cell>
        </row>
        <row r="573">
          <cell r="A573" t="str">
            <v>30026_3</v>
          </cell>
        </row>
        <row r="574">
          <cell r="A574" t="str">
            <v>30027_1</v>
          </cell>
        </row>
        <row r="575">
          <cell r="A575" t="str">
            <v>30027_2</v>
          </cell>
        </row>
        <row r="576">
          <cell r="A576" t="str">
            <v>30027_3</v>
          </cell>
        </row>
        <row r="577">
          <cell r="A577" t="str">
            <v>30028_1</v>
          </cell>
        </row>
        <row r="578">
          <cell r="A578" t="str">
            <v>30028_2</v>
          </cell>
        </row>
        <row r="579">
          <cell r="A579" t="str">
            <v>30028_3</v>
          </cell>
        </row>
        <row r="580">
          <cell r="A580" t="str">
            <v>30029_1</v>
          </cell>
        </row>
        <row r="581">
          <cell r="A581" t="str">
            <v>30029_2</v>
          </cell>
        </row>
        <row r="582">
          <cell r="A582" t="str">
            <v>30029_3</v>
          </cell>
        </row>
        <row r="583">
          <cell r="A583" t="str">
            <v>30030_1</v>
          </cell>
        </row>
        <row r="584">
          <cell r="A584" t="str">
            <v>30030_2</v>
          </cell>
        </row>
        <row r="585">
          <cell r="A585" t="str">
            <v>30030_3</v>
          </cell>
        </row>
        <row r="586">
          <cell r="A586" t="str">
            <v>30031_1</v>
          </cell>
        </row>
        <row r="587">
          <cell r="A587" t="str">
            <v>30031_2</v>
          </cell>
        </row>
        <row r="588">
          <cell r="A588" t="str">
            <v>30031_3</v>
          </cell>
        </row>
        <row r="589">
          <cell r="A589" t="str">
            <v>30032_1</v>
          </cell>
        </row>
        <row r="590">
          <cell r="A590" t="str">
            <v>30032_2</v>
          </cell>
        </row>
        <row r="591">
          <cell r="A591" t="str">
            <v>30032_3</v>
          </cell>
        </row>
        <row r="592">
          <cell r="A592" t="str">
            <v>30033_1</v>
          </cell>
        </row>
        <row r="593">
          <cell r="A593" t="str">
            <v>30033_2</v>
          </cell>
        </row>
        <row r="594">
          <cell r="A594" t="str">
            <v>30033_3</v>
          </cell>
        </row>
        <row r="595">
          <cell r="A595" t="str">
            <v>30034_1</v>
          </cell>
        </row>
        <row r="596">
          <cell r="A596" t="str">
            <v>30034_2</v>
          </cell>
        </row>
        <row r="597">
          <cell r="A597" t="str">
            <v>30034_3</v>
          </cell>
        </row>
        <row r="598">
          <cell r="A598" t="str">
            <v>30035_1</v>
          </cell>
        </row>
        <row r="599">
          <cell r="A599" t="str">
            <v>30035_2</v>
          </cell>
        </row>
        <row r="600">
          <cell r="A600" t="str">
            <v>30035_3</v>
          </cell>
        </row>
        <row r="601">
          <cell r="A601" t="str">
            <v>30036_1</v>
          </cell>
        </row>
        <row r="602">
          <cell r="A602" t="str">
            <v>30036_2</v>
          </cell>
        </row>
        <row r="603">
          <cell r="A603" t="str">
            <v>30036_3</v>
          </cell>
        </row>
        <row r="604">
          <cell r="A604" t="str">
            <v>30037_1</v>
          </cell>
        </row>
        <row r="605">
          <cell r="A605" t="str">
            <v>30037_2</v>
          </cell>
        </row>
        <row r="606">
          <cell r="A606" t="str">
            <v>30037_3</v>
          </cell>
        </row>
        <row r="607">
          <cell r="A607" t="str">
            <v>30038_1</v>
          </cell>
        </row>
        <row r="608">
          <cell r="A608" t="str">
            <v>30038_2</v>
          </cell>
        </row>
        <row r="609">
          <cell r="A609" t="str">
            <v>30038_3</v>
          </cell>
        </row>
        <row r="610">
          <cell r="A610" t="str">
            <v>30039_1</v>
          </cell>
        </row>
        <row r="611">
          <cell r="A611" t="str">
            <v>30039_2</v>
          </cell>
        </row>
        <row r="612">
          <cell r="A612" t="str">
            <v>30039_3</v>
          </cell>
        </row>
        <row r="613">
          <cell r="A613" t="str">
            <v>30040_1</v>
          </cell>
        </row>
        <row r="614">
          <cell r="A614" t="str">
            <v>30040_2</v>
          </cell>
        </row>
        <row r="615">
          <cell r="A615" t="str">
            <v>30040_3</v>
          </cell>
        </row>
        <row r="616">
          <cell r="A616" t="str">
            <v>30041_1</v>
          </cell>
        </row>
        <row r="617">
          <cell r="A617" t="str">
            <v>30041_2</v>
          </cell>
        </row>
        <row r="618">
          <cell r="A618" t="str">
            <v>30041_3</v>
          </cell>
        </row>
        <row r="619">
          <cell r="A619" t="str">
            <v>30042_1</v>
          </cell>
        </row>
        <row r="620">
          <cell r="A620" t="str">
            <v>30042_2</v>
          </cell>
        </row>
        <row r="621">
          <cell r="A621" t="str">
            <v>30042_3</v>
          </cell>
        </row>
        <row r="622">
          <cell r="A622" t="str">
            <v>30043_1</v>
          </cell>
        </row>
        <row r="623">
          <cell r="A623" t="str">
            <v>30043_2</v>
          </cell>
        </row>
        <row r="624">
          <cell r="A624" t="str">
            <v>30043_3</v>
          </cell>
        </row>
        <row r="625">
          <cell r="A625" t="str">
            <v>30044_1</v>
          </cell>
        </row>
        <row r="626">
          <cell r="A626" t="str">
            <v>30044_2</v>
          </cell>
        </row>
        <row r="627">
          <cell r="A627" t="str">
            <v>30044_3</v>
          </cell>
        </row>
        <row r="628">
          <cell r="A628" t="str">
            <v>30045_1</v>
          </cell>
        </row>
        <row r="629">
          <cell r="A629" t="str">
            <v>30045_2</v>
          </cell>
        </row>
        <row r="630">
          <cell r="A630" t="str">
            <v>30045_3</v>
          </cell>
        </row>
        <row r="631">
          <cell r="A631" t="str">
            <v>30046_1</v>
          </cell>
        </row>
        <row r="632">
          <cell r="A632" t="str">
            <v>30046_2</v>
          </cell>
        </row>
        <row r="633">
          <cell r="A633" t="str">
            <v>30046_3</v>
          </cell>
        </row>
        <row r="634">
          <cell r="A634" t="str">
            <v>30047_1</v>
          </cell>
        </row>
        <row r="635">
          <cell r="A635" t="str">
            <v>30047_2</v>
          </cell>
        </row>
        <row r="636">
          <cell r="A636" t="str">
            <v>30047_3</v>
          </cell>
        </row>
        <row r="637">
          <cell r="A637" t="str">
            <v>30048_1</v>
          </cell>
        </row>
        <row r="638">
          <cell r="A638" t="str">
            <v>30048_2</v>
          </cell>
        </row>
        <row r="639">
          <cell r="A639" t="str">
            <v>30048_3</v>
          </cell>
        </row>
        <row r="640">
          <cell r="A640" t="str">
            <v>39001_1</v>
          </cell>
        </row>
        <row r="641">
          <cell r="A641" t="str">
            <v>39001_2</v>
          </cell>
        </row>
        <row r="642">
          <cell r="A642" t="str">
            <v>39001_3</v>
          </cell>
        </row>
        <row r="643">
          <cell r="A643" t="str">
            <v>39001_4</v>
          </cell>
        </row>
        <row r="644">
          <cell r="A644" t="str">
            <v>39001_5</v>
          </cell>
        </row>
        <row r="645">
          <cell r="A645" t="str">
            <v>39002_1</v>
          </cell>
        </row>
        <row r="646">
          <cell r="A646" t="str">
            <v>39002_2</v>
          </cell>
        </row>
        <row r="647">
          <cell r="A647" t="str">
            <v>39002_3</v>
          </cell>
        </row>
        <row r="648">
          <cell r="A648" t="str">
            <v>39002_4</v>
          </cell>
        </row>
        <row r="649">
          <cell r="A649" t="str">
            <v>39003_1</v>
          </cell>
        </row>
        <row r="650">
          <cell r="A650" t="str">
            <v>39003_2</v>
          </cell>
        </row>
        <row r="651">
          <cell r="A651" t="str">
            <v>39003_3</v>
          </cell>
        </row>
        <row r="652">
          <cell r="A652" t="str">
            <v>39003_4</v>
          </cell>
        </row>
        <row r="653">
          <cell r="A653" t="str">
            <v>39004_1</v>
          </cell>
        </row>
        <row r="654">
          <cell r="A654" t="str">
            <v>39004_2</v>
          </cell>
        </row>
        <row r="655">
          <cell r="A655" t="str">
            <v>39004_3</v>
          </cell>
        </row>
        <row r="656">
          <cell r="A656" t="str">
            <v>39004_4</v>
          </cell>
        </row>
        <row r="657">
          <cell r="A657" t="str">
            <v>39005_1</v>
          </cell>
        </row>
        <row r="658">
          <cell r="A658" t="str">
            <v>39005_2</v>
          </cell>
        </row>
        <row r="659">
          <cell r="A659" t="str">
            <v>39005_3</v>
          </cell>
        </row>
        <row r="660">
          <cell r="A660" t="str">
            <v>39005_4</v>
          </cell>
        </row>
        <row r="661">
          <cell r="A661" t="str">
            <v>39005_5</v>
          </cell>
        </row>
        <row r="662">
          <cell r="A662" t="str">
            <v>39006_1</v>
          </cell>
        </row>
        <row r="663">
          <cell r="A663" t="str">
            <v>39006_2</v>
          </cell>
        </row>
        <row r="664">
          <cell r="A664" t="str">
            <v>39006_3</v>
          </cell>
        </row>
        <row r="665">
          <cell r="A665" t="str">
            <v>39006_4</v>
          </cell>
        </row>
        <row r="666">
          <cell r="A666" t="str">
            <v>39007_1</v>
          </cell>
        </row>
        <row r="667">
          <cell r="A667" t="str">
            <v>39007_2</v>
          </cell>
        </row>
        <row r="668">
          <cell r="A668" t="str">
            <v>39007_3</v>
          </cell>
        </row>
        <row r="669">
          <cell r="A669" t="str">
            <v>39007_4</v>
          </cell>
        </row>
        <row r="670">
          <cell r="A670" t="str">
            <v>39008_1</v>
          </cell>
        </row>
        <row r="671">
          <cell r="A671" t="str">
            <v>39008_2</v>
          </cell>
        </row>
        <row r="672">
          <cell r="A672" t="str">
            <v>39008_3</v>
          </cell>
        </row>
        <row r="673">
          <cell r="A673" t="str">
            <v>39008_4</v>
          </cell>
        </row>
        <row r="674">
          <cell r="A674" t="str">
            <v>39008_5</v>
          </cell>
        </row>
        <row r="675">
          <cell r="A675" t="str">
            <v>39009_1</v>
          </cell>
        </row>
        <row r="676">
          <cell r="A676" t="str">
            <v>39009_2</v>
          </cell>
        </row>
        <row r="677">
          <cell r="A677" t="str">
            <v>39009_3</v>
          </cell>
        </row>
        <row r="678">
          <cell r="A678" t="str">
            <v>39009_4</v>
          </cell>
        </row>
        <row r="679">
          <cell r="A679" t="str">
            <v>39009_5</v>
          </cell>
        </row>
        <row r="680">
          <cell r="A680" t="str">
            <v>39010_1</v>
          </cell>
        </row>
        <row r="681">
          <cell r="A681" t="str">
            <v>39010_2</v>
          </cell>
        </row>
        <row r="682">
          <cell r="A682" t="str">
            <v>39010_3</v>
          </cell>
        </row>
        <row r="683">
          <cell r="A683" t="str">
            <v>39010_4</v>
          </cell>
        </row>
        <row r="684">
          <cell r="A684" t="str">
            <v>39011_1</v>
          </cell>
        </row>
        <row r="685">
          <cell r="A685" t="str">
            <v>39011_2</v>
          </cell>
        </row>
        <row r="686">
          <cell r="A686" t="str">
            <v>39011_3</v>
          </cell>
        </row>
        <row r="687">
          <cell r="A687" t="str">
            <v>39011_4</v>
          </cell>
        </row>
        <row r="688">
          <cell r="A688" t="str">
            <v>40001_1</v>
          </cell>
        </row>
        <row r="689">
          <cell r="A689" t="str">
            <v>40002_1</v>
          </cell>
        </row>
        <row r="690">
          <cell r="A690" t="str">
            <v>40002_2</v>
          </cell>
        </row>
        <row r="691">
          <cell r="A691" t="str">
            <v>40002_3</v>
          </cell>
        </row>
        <row r="692">
          <cell r="A692" t="str">
            <v>40003_1</v>
          </cell>
        </row>
        <row r="693">
          <cell r="A693" t="str">
            <v>40004_1</v>
          </cell>
        </row>
        <row r="694">
          <cell r="A694" t="str">
            <v>40005_1</v>
          </cell>
        </row>
        <row r="695">
          <cell r="A695" t="str">
            <v>40006_1</v>
          </cell>
        </row>
        <row r="696">
          <cell r="A696" t="str">
            <v>40007_1</v>
          </cell>
        </row>
        <row r="697">
          <cell r="A697" t="str">
            <v>40008_1</v>
          </cell>
        </row>
        <row r="698">
          <cell r="A698" t="str">
            <v>40009_1</v>
          </cell>
        </row>
        <row r="699">
          <cell r="A699" t="str">
            <v>40010_1</v>
          </cell>
        </row>
        <row r="700">
          <cell r="A700" t="str">
            <v>40011_1</v>
          </cell>
        </row>
        <row r="701">
          <cell r="A701" t="str">
            <v>40012_1</v>
          </cell>
        </row>
        <row r="702">
          <cell r="A702" t="str">
            <v>40013_1</v>
          </cell>
        </row>
        <row r="703">
          <cell r="A703" t="str">
            <v>40014_1</v>
          </cell>
        </row>
        <row r="704">
          <cell r="A704" t="str">
            <v>40015_1</v>
          </cell>
        </row>
        <row r="705">
          <cell r="A705" t="str">
            <v>40016_1</v>
          </cell>
        </row>
        <row r="706">
          <cell r="A706" t="str">
            <v>40016_2</v>
          </cell>
        </row>
        <row r="707">
          <cell r="A707" t="str">
            <v>40017_1</v>
          </cell>
        </row>
        <row r="708">
          <cell r="A708" t="str">
            <v>40017_2</v>
          </cell>
        </row>
        <row r="709">
          <cell r="A709" t="str">
            <v>40017_3</v>
          </cell>
        </row>
        <row r="710">
          <cell r="A710" t="str">
            <v>40018_1</v>
          </cell>
        </row>
        <row r="711">
          <cell r="A711" t="str">
            <v>40018_2</v>
          </cell>
        </row>
        <row r="712">
          <cell r="A712" t="str">
            <v>40018_3</v>
          </cell>
        </row>
        <row r="713">
          <cell r="A713" t="str">
            <v>40019_1</v>
          </cell>
        </row>
        <row r="714">
          <cell r="A714" t="str">
            <v>40019_2</v>
          </cell>
        </row>
        <row r="715">
          <cell r="A715" t="str">
            <v>40019_3</v>
          </cell>
        </row>
        <row r="716">
          <cell r="A716" t="str">
            <v>40021_1</v>
          </cell>
        </row>
        <row r="717">
          <cell r="A717" t="str">
            <v>40021_2</v>
          </cell>
        </row>
        <row r="718">
          <cell r="A718" t="str">
            <v>40022_1</v>
          </cell>
        </row>
        <row r="719">
          <cell r="A719" t="str">
            <v>40022_2</v>
          </cell>
        </row>
        <row r="720">
          <cell r="A720" t="str">
            <v>40023_1</v>
          </cell>
        </row>
        <row r="721">
          <cell r="A721" t="str">
            <v>40023_2</v>
          </cell>
        </row>
        <row r="722">
          <cell r="A722" t="str">
            <v>40024_1</v>
          </cell>
        </row>
        <row r="723">
          <cell r="A723" t="str">
            <v>40024_2</v>
          </cell>
        </row>
        <row r="724">
          <cell r="A724" t="str">
            <v>40025_1</v>
          </cell>
        </row>
        <row r="725">
          <cell r="A725" t="str">
            <v>40025_2</v>
          </cell>
        </row>
        <row r="726">
          <cell r="A726" t="str">
            <v>40026_1</v>
          </cell>
        </row>
        <row r="727">
          <cell r="A727" t="str">
            <v>40026_2</v>
          </cell>
        </row>
        <row r="728">
          <cell r="A728" t="str">
            <v>40027_1</v>
          </cell>
        </row>
        <row r="729">
          <cell r="A729" t="str">
            <v>40027_2</v>
          </cell>
        </row>
        <row r="730">
          <cell r="A730" t="str">
            <v>40028_1</v>
          </cell>
        </row>
        <row r="731">
          <cell r="A731" t="str">
            <v>40028_2</v>
          </cell>
        </row>
        <row r="732">
          <cell r="A732" t="str">
            <v>40029_1</v>
          </cell>
        </row>
        <row r="733">
          <cell r="A733" t="str">
            <v>40029_2</v>
          </cell>
        </row>
        <row r="734">
          <cell r="A734" t="str">
            <v>40030_1</v>
          </cell>
        </row>
        <row r="735">
          <cell r="A735" t="str">
            <v>40030_2</v>
          </cell>
        </row>
        <row r="736">
          <cell r="A736" t="str">
            <v>40031_1</v>
          </cell>
        </row>
        <row r="737">
          <cell r="A737" t="str">
            <v>40031_2</v>
          </cell>
        </row>
        <row r="738">
          <cell r="A738" t="str">
            <v>40032_1</v>
          </cell>
        </row>
        <row r="739">
          <cell r="A739" t="str">
            <v>40032_2</v>
          </cell>
        </row>
        <row r="740">
          <cell r="A740" t="str">
            <v>40033_1</v>
          </cell>
        </row>
        <row r="741">
          <cell r="A741" t="str">
            <v>40033_2</v>
          </cell>
        </row>
        <row r="742">
          <cell r="A742" t="str">
            <v>40034_1</v>
          </cell>
        </row>
        <row r="743">
          <cell r="A743" t="str">
            <v>40034_2</v>
          </cell>
        </row>
        <row r="744">
          <cell r="A744" t="str">
            <v>40035_1</v>
          </cell>
        </row>
        <row r="745">
          <cell r="A745" t="str">
            <v>40035_2</v>
          </cell>
        </row>
        <row r="746">
          <cell r="A746" t="str">
            <v>40036_1</v>
          </cell>
        </row>
        <row r="747">
          <cell r="A747" t="str">
            <v>40036_2</v>
          </cell>
        </row>
        <row r="748">
          <cell r="A748" t="str">
            <v>40037_1</v>
          </cell>
        </row>
        <row r="749">
          <cell r="A749" t="str">
            <v>40037_2</v>
          </cell>
        </row>
        <row r="750">
          <cell r="A750" t="str">
            <v>40038_1</v>
          </cell>
        </row>
        <row r="751">
          <cell r="A751" t="str">
            <v>40038_2</v>
          </cell>
        </row>
        <row r="752">
          <cell r="A752" t="str">
            <v>40039_1</v>
          </cell>
        </row>
        <row r="753">
          <cell r="A753" t="str">
            <v>40039_2</v>
          </cell>
        </row>
        <row r="754">
          <cell r="A754" t="str">
            <v>40040_1</v>
          </cell>
        </row>
        <row r="755">
          <cell r="A755" t="str">
            <v>40040_2</v>
          </cell>
        </row>
        <row r="756">
          <cell r="A756" t="str">
            <v>40041_1</v>
          </cell>
        </row>
        <row r="757">
          <cell r="A757" t="str">
            <v>40041_2</v>
          </cell>
        </row>
        <row r="758">
          <cell r="A758" t="str">
            <v>40042_1</v>
          </cell>
        </row>
        <row r="759">
          <cell r="A759" t="str">
            <v>40042_2</v>
          </cell>
        </row>
        <row r="760">
          <cell r="A760" t="str">
            <v>40043_1</v>
          </cell>
        </row>
        <row r="761">
          <cell r="A761" t="str">
            <v>40043_2</v>
          </cell>
        </row>
        <row r="762">
          <cell r="A762" t="str">
            <v>41001_1</v>
          </cell>
        </row>
        <row r="763">
          <cell r="A763" t="str">
            <v>41001_2</v>
          </cell>
        </row>
        <row r="764">
          <cell r="A764" t="str">
            <v>41001_3</v>
          </cell>
        </row>
        <row r="765">
          <cell r="A765" t="str">
            <v>41002_1</v>
          </cell>
        </row>
        <row r="766">
          <cell r="A766" t="str">
            <v>41002_2</v>
          </cell>
        </row>
        <row r="767">
          <cell r="A767" t="str">
            <v>41002_3</v>
          </cell>
        </row>
        <row r="768">
          <cell r="A768" t="str">
            <v>41003_1</v>
          </cell>
        </row>
        <row r="769">
          <cell r="A769" t="str">
            <v>41003_2</v>
          </cell>
        </row>
        <row r="770">
          <cell r="A770" t="str">
            <v>41003_3</v>
          </cell>
        </row>
        <row r="771">
          <cell r="A771" t="str">
            <v>41004_1</v>
          </cell>
        </row>
        <row r="772">
          <cell r="A772" t="str">
            <v>41004_2</v>
          </cell>
        </row>
        <row r="773">
          <cell r="A773" t="str">
            <v>41004_3</v>
          </cell>
        </row>
        <row r="774">
          <cell r="A774" t="str">
            <v>41005_1</v>
          </cell>
        </row>
        <row r="775">
          <cell r="A775" t="str">
            <v>41005_2</v>
          </cell>
        </row>
        <row r="776">
          <cell r="A776" t="str">
            <v>41005_3</v>
          </cell>
        </row>
        <row r="777">
          <cell r="A777" t="str">
            <v>41006_1</v>
          </cell>
        </row>
        <row r="778">
          <cell r="A778" t="str">
            <v>41006_2</v>
          </cell>
        </row>
        <row r="779">
          <cell r="A779" t="str">
            <v>41006_3</v>
          </cell>
        </row>
        <row r="780">
          <cell r="A780" t="str">
            <v>41007_1</v>
          </cell>
        </row>
        <row r="781">
          <cell r="A781" t="str">
            <v>41007_2</v>
          </cell>
        </row>
        <row r="782">
          <cell r="A782" t="str">
            <v>41007_3</v>
          </cell>
        </row>
        <row r="783">
          <cell r="A783" t="str">
            <v>41008_1</v>
          </cell>
        </row>
        <row r="784">
          <cell r="A784" t="str">
            <v>41008_2</v>
          </cell>
        </row>
        <row r="785">
          <cell r="A785" t="str">
            <v>41008_3</v>
          </cell>
        </row>
        <row r="786">
          <cell r="A786" t="str">
            <v>41009_1</v>
          </cell>
        </row>
        <row r="787">
          <cell r="A787" t="str">
            <v>41009_2</v>
          </cell>
        </row>
        <row r="788">
          <cell r="A788" t="str">
            <v>41009_3</v>
          </cell>
        </row>
        <row r="789">
          <cell r="A789" t="str">
            <v>41010_1</v>
          </cell>
        </row>
        <row r="790">
          <cell r="A790" t="str">
            <v>41010_2</v>
          </cell>
        </row>
        <row r="791">
          <cell r="A791" t="str">
            <v>41010_3</v>
          </cell>
        </row>
        <row r="792">
          <cell r="A792" t="str">
            <v>41011_1</v>
          </cell>
        </row>
        <row r="793">
          <cell r="A793" t="str">
            <v>41011_2</v>
          </cell>
        </row>
        <row r="794">
          <cell r="A794" t="str">
            <v>41012_1</v>
          </cell>
        </row>
        <row r="795">
          <cell r="A795" t="str">
            <v>41012_2</v>
          </cell>
        </row>
        <row r="796">
          <cell r="A796" t="str">
            <v>41013_1</v>
          </cell>
        </row>
        <row r="797">
          <cell r="A797" t="str">
            <v>41013_2</v>
          </cell>
        </row>
        <row r="798">
          <cell r="A798" t="str">
            <v>41014_1</v>
          </cell>
        </row>
        <row r="799">
          <cell r="A799" t="str">
            <v>41014_2</v>
          </cell>
        </row>
        <row r="800">
          <cell r="A800" t="str">
            <v>41015_1</v>
          </cell>
        </row>
        <row r="801">
          <cell r="A801" t="str">
            <v>41015_2</v>
          </cell>
        </row>
        <row r="802">
          <cell r="A802" t="str">
            <v>47001_1</v>
          </cell>
        </row>
        <row r="803">
          <cell r="A803" t="str">
            <v>47001_2</v>
          </cell>
        </row>
        <row r="804">
          <cell r="A804" t="str">
            <v>47002_1</v>
          </cell>
        </row>
        <row r="805">
          <cell r="A805" t="str">
            <v>47002_2</v>
          </cell>
        </row>
        <row r="806">
          <cell r="A806" t="str">
            <v>47003_1</v>
          </cell>
        </row>
        <row r="807">
          <cell r="A807" t="str">
            <v>47003_2</v>
          </cell>
        </row>
        <row r="808">
          <cell r="A808" t="str">
            <v>47003_3</v>
          </cell>
        </row>
        <row r="809">
          <cell r="A809" t="str">
            <v>47003_4</v>
          </cell>
        </row>
        <row r="810">
          <cell r="A810" t="str">
            <v>47004_1</v>
          </cell>
        </row>
        <row r="811">
          <cell r="A811" t="str">
            <v>47004_2</v>
          </cell>
        </row>
        <row r="812">
          <cell r="A812" t="str">
            <v>47004_3</v>
          </cell>
        </row>
        <row r="813">
          <cell r="A813" t="str">
            <v>47004_4</v>
          </cell>
        </row>
        <row r="814">
          <cell r="A814" t="str">
            <v>47005_1</v>
          </cell>
        </row>
        <row r="815">
          <cell r="A815" t="str">
            <v>47006_1</v>
          </cell>
        </row>
        <row r="816">
          <cell r="A816" t="str">
            <v>47006_2</v>
          </cell>
        </row>
        <row r="817">
          <cell r="A817" t="str">
            <v>47007_1</v>
          </cell>
        </row>
        <row r="818">
          <cell r="A818" t="str">
            <v>47007_2</v>
          </cell>
        </row>
        <row r="819">
          <cell r="A819" t="str">
            <v>48001_1</v>
          </cell>
        </row>
        <row r="820">
          <cell r="A820" t="str">
            <v>48002_1</v>
          </cell>
        </row>
        <row r="821">
          <cell r="A821" t="str">
            <v>48002_2</v>
          </cell>
        </row>
        <row r="822">
          <cell r="A822" t="str">
            <v>48002_3</v>
          </cell>
        </row>
        <row r="823">
          <cell r="A823" t="str">
            <v>48003_1</v>
          </cell>
        </row>
        <row r="824">
          <cell r="A824" t="str">
            <v>48003_2</v>
          </cell>
        </row>
        <row r="825">
          <cell r="A825" t="str">
            <v>48004_1</v>
          </cell>
        </row>
        <row r="826">
          <cell r="A826" t="str">
            <v>48004_2</v>
          </cell>
        </row>
        <row r="827">
          <cell r="A827" t="str">
            <v>48005_1</v>
          </cell>
        </row>
        <row r="828">
          <cell r="A828" t="str">
            <v>48005_2</v>
          </cell>
        </row>
        <row r="829">
          <cell r="A829" t="str">
            <v>48006_1</v>
          </cell>
        </row>
        <row r="830">
          <cell r="A830" t="str">
            <v>48006_2</v>
          </cell>
        </row>
        <row r="831">
          <cell r="A831" t="str">
            <v>48007_1</v>
          </cell>
        </row>
        <row r="832">
          <cell r="A832" t="str">
            <v>48007_2</v>
          </cell>
        </row>
        <row r="833">
          <cell r="A833" t="str">
            <v>48008_1</v>
          </cell>
        </row>
        <row r="834">
          <cell r="A834" t="str">
            <v>48008_2</v>
          </cell>
        </row>
        <row r="835">
          <cell r="A835" t="str">
            <v>48009_1</v>
          </cell>
        </row>
        <row r="836">
          <cell r="A836" t="str">
            <v>48009_2</v>
          </cell>
        </row>
        <row r="837">
          <cell r="A837" t="str">
            <v>48010_1</v>
          </cell>
        </row>
        <row r="838">
          <cell r="A838" t="str">
            <v>48011_1</v>
          </cell>
        </row>
        <row r="839">
          <cell r="A839" t="str">
            <v>48011_2</v>
          </cell>
        </row>
        <row r="840">
          <cell r="A840" t="str">
            <v>48501_1</v>
          </cell>
        </row>
        <row r="841">
          <cell r="A841" t="str">
            <v>48501_2</v>
          </cell>
        </row>
        <row r="842">
          <cell r="A842" t="str">
            <v>49001_1</v>
          </cell>
        </row>
        <row r="843">
          <cell r="A843" t="str">
            <v>49002_1</v>
          </cell>
        </row>
        <row r="844">
          <cell r="A844" t="str">
            <v>49002_2</v>
          </cell>
        </row>
        <row r="845">
          <cell r="A845" t="str">
            <v>49003_1</v>
          </cell>
        </row>
        <row r="846">
          <cell r="A846" t="str">
            <v>49003_2</v>
          </cell>
        </row>
        <row r="847">
          <cell r="A847" t="str">
            <v>49004_1</v>
          </cell>
        </row>
        <row r="848">
          <cell r="A848" t="str">
            <v>49004_2</v>
          </cell>
        </row>
        <row r="849">
          <cell r="A849" t="str">
            <v>49004_3</v>
          </cell>
        </row>
        <row r="850">
          <cell r="A850" t="str">
            <v>49005_1</v>
          </cell>
        </row>
        <row r="851">
          <cell r="A851" t="str">
            <v>49006_1</v>
          </cell>
        </row>
        <row r="852">
          <cell r="A852" t="str">
            <v>49006_2</v>
          </cell>
        </row>
        <row r="853">
          <cell r="A853" t="str">
            <v>49007_1</v>
          </cell>
        </row>
        <row r="854">
          <cell r="A854" t="str">
            <v>49007_2</v>
          </cell>
        </row>
        <row r="855">
          <cell r="A855" t="str">
            <v>49007_3</v>
          </cell>
        </row>
        <row r="856">
          <cell r="A856" t="str">
            <v>49008_1</v>
          </cell>
        </row>
        <row r="857">
          <cell r="A857" t="str">
            <v>49009_1</v>
          </cell>
        </row>
        <row r="858">
          <cell r="A858" t="str">
            <v>49010_1</v>
          </cell>
        </row>
        <row r="859">
          <cell r="A859" t="str">
            <v>49011_1</v>
          </cell>
        </row>
        <row r="860">
          <cell r="A860" t="str">
            <v>49012_1</v>
          </cell>
        </row>
        <row r="861">
          <cell r="A861" t="str">
            <v>49013_1</v>
          </cell>
        </row>
        <row r="862">
          <cell r="A862" t="str">
            <v>50001_1</v>
          </cell>
        </row>
        <row r="863">
          <cell r="A863" t="str">
            <v>50002_1</v>
          </cell>
        </row>
        <row r="864">
          <cell r="A864" t="str">
            <v>50003_1</v>
          </cell>
        </row>
        <row r="865">
          <cell r="A865" t="str">
            <v>50004_1</v>
          </cell>
        </row>
        <row r="866">
          <cell r="A866" t="str">
            <v>50005_1</v>
          </cell>
        </row>
        <row r="867">
          <cell r="A867" t="str">
            <v>50006_1</v>
          </cell>
        </row>
        <row r="868">
          <cell r="A868" t="str">
            <v>50007_1</v>
          </cell>
        </row>
        <row r="869">
          <cell r="A869" t="str">
            <v>50008_1</v>
          </cell>
        </row>
        <row r="870">
          <cell r="A870" t="str">
            <v>50009_1</v>
          </cell>
        </row>
        <row r="871">
          <cell r="A871" t="str">
            <v>50010_1</v>
          </cell>
        </row>
        <row r="872">
          <cell r="A872" t="str">
            <v>50011_1</v>
          </cell>
        </row>
        <row r="873">
          <cell r="A873" t="str">
            <v>50012_1</v>
          </cell>
        </row>
        <row r="874">
          <cell r="A874" t="str">
            <v>50013_1</v>
          </cell>
        </row>
        <row r="875">
          <cell r="A875" t="str">
            <v>50014_1</v>
          </cell>
        </row>
        <row r="876">
          <cell r="A876" t="str">
            <v>51001_1</v>
          </cell>
        </row>
        <row r="877">
          <cell r="A877" t="str">
            <v>51002_1</v>
          </cell>
        </row>
        <row r="878">
          <cell r="A878" t="str">
            <v>59001_1</v>
          </cell>
        </row>
        <row r="879">
          <cell r="A879" t="str">
            <v>60001_1</v>
          </cell>
        </row>
        <row r="880">
          <cell r="A880" t="str">
            <v>60002_1</v>
          </cell>
        </row>
        <row r="881">
          <cell r="A881" t="str">
            <v>60002_2</v>
          </cell>
        </row>
        <row r="882">
          <cell r="A882" t="str">
            <v>60003_1</v>
          </cell>
        </row>
        <row r="883">
          <cell r="A883" t="str">
            <v>60003_2</v>
          </cell>
        </row>
        <row r="884">
          <cell r="A884" t="str">
            <v>60003_3</v>
          </cell>
        </row>
        <row r="885">
          <cell r="A885" t="str">
            <v>60004_1</v>
          </cell>
        </row>
        <row r="886">
          <cell r="A886" t="str">
            <v>60005_1</v>
          </cell>
        </row>
        <row r="887">
          <cell r="A887" t="str">
            <v>60006_1</v>
          </cell>
        </row>
        <row r="888">
          <cell r="A888" t="str">
            <v>60006_2</v>
          </cell>
        </row>
        <row r="889">
          <cell r="A889" t="str">
            <v>60006_3</v>
          </cell>
        </row>
        <row r="890">
          <cell r="A890" t="str">
            <v>60007_1</v>
          </cell>
        </row>
        <row r="891">
          <cell r="A891" t="str">
            <v>60007_2</v>
          </cell>
        </row>
        <row r="892">
          <cell r="A892" t="str">
            <v>60007_3</v>
          </cell>
        </row>
        <row r="893">
          <cell r="A893" t="str">
            <v>60010_1</v>
          </cell>
        </row>
        <row r="894">
          <cell r="A894" t="str">
            <v>60011_1</v>
          </cell>
        </row>
        <row r="895">
          <cell r="A895" t="str">
            <v>60011_2</v>
          </cell>
        </row>
        <row r="896">
          <cell r="A896" t="str">
            <v>60012_1</v>
          </cell>
        </row>
        <row r="897">
          <cell r="A897" t="str">
            <v>60013_1</v>
          </cell>
        </row>
        <row r="898">
          <cell r="A898" t="str">
            <v>60013_2</v>
          </cell>
        </row>
        <row r="899">
          <cell r="A899" t="str">
            <v>60013_3</v>
          </cell>
        </row>
        <row r="900">
          <cell r="A900" t="str">
            <v>60014_1</v>
          </cell>
        </row>
        <row r="901">
          <cell r="A901" t="str">
            <v>60015_1</v>
          </cell>
        </row>
        <row r="902">
          <cell r="A902" t="str">
            <v>60016_1</v>
          </cell>
        </row>
        <row r="903">
          <cell r="A903" t="str">
            <v>60017_1</v>
          </cell>
        </row>
        <row r="904">
          <cell r="A904" t="str">
            <v>60018_1</v>
          </cell>
        </row>
        <row r="905">
          <cell r="A905" t="str">
            <v>60019_1</v>
          </cell>
        </row>
        <row r="906">
          <cell r="A906" t="str">
            <v>60020_1</v>
          </cell>
        </row>
        <row r="907">
          <cell r="A907" t="str">
            <v>60021_3</v>
          </cell>
        </row>
        <row r="908">
          <cell r="A908" t="str">
            <v>60022_3</v>
          </cell>
        </row>
        <row r="909">
          <cell r="A909" t="str">
            <v>60023_3</v>
          </cell>
        </row>
        <row r="910">
          <cell r="A910" t="str">
            <v>60024_3</v>
          </cell>
        </row>
        <row r="911">
          <cell r="A911" t="str">
            <v>60025_1</v>
          </cell>
        </row>
        <row r="912">
          <cell r="A912" t="str">
            <v>60026_1</v>
          </cell>
        </row>
        <row r="913">
          <cell r="A913" t="str">
            <v>61011_1</v>
          </cell>
        </row>
        <row r="914">
          <cell r="A914" t="str">
            <v>60027_1</v>
          </cell>
        </row>
        <row r="915">
          <cell r="A915" t="str">
            <v>65525_1</v>
          </cell>
        </row>
        <row r="916">
          <cell r="A916" t="str">
            <v>65526_1</v>
          </cell>
        </row>
        <row r="917">
          <cell r="A917" t="str">
            <v>65526_2</v>
          </cell>
        </row>
        <row r="918">
          <cell r="A918" t="str">
            <v>65527_1</v>
          </cell>
        </row>
        <row r="919">
          <cell r="A919" t="str">
            <v>65528_1</v>
          </cell>
        </row>
        <row r="920">
          <cell r="A920" t="str">
            <v>65529_1</v>
          </cell>
        </row>
        <row r="921">
          <cell r="A921" t="str">
            <v>65530_1</v>
          </cell>
        </row>
        <row r="922">
          <cell r="A922" t="str">
            <v>65531_1</v>
          </cell>
        </row>
        <row r="923">
          <cell r="A923" t="str">
            <v>65531_2</v>
          </cell>
        </row>
        <row r="924">
          <cell r="A924" t="str">
            <v>65532_1</v>
          </cell>
        </row>
        <row r="925">
          <cell r="A925" t="str">
            <v>65532_2</v>
          </cell>
        </row>
        <row r="926">
          <cell r="A926" t="str">
            <v>65533_1</v>
          </cell>
        </row>
        <row r="927">
          <cell r="A927" t="str">
            <v>65533_2</v>
          </cell>
        </row>
        <row r="928">
          <cell r="A928" t="str">
            <v>65534_1</v>
          </cell>
        </row>
        <row r="929">
          <cell r="A929" t="str">
            <v>65535_1</v>
          </cell>
        </row>
        <row r="930">
          <cell r="A930" t="str">
            <v>65535_2</v>
          </cell>
        </row>
        <row r="931">
          <cell r="A931" t="str">
            <v>65535_3</v>
          </cell>
        </row>
        <row r="932">
          <cell r="A932" t="str">
            <v>65535_4</v>
          </cell>
        </row>
        <row r="933">
          <cell r="A933" t="str">
            <v>65535_5</v>
          </cell>
        </row>
        <row r="934">
          <cell r="A934" t="str">
            <v>65535_6</v>
          </cell>
        </row>
        <row r="935">
          <cell r="A935" t="str">
            <v>65535_7</v>
          </cell>
        </row>
        <row r="936">
          <cell r="A936" t="str">
            <v>65535_8</v>
          </cell>
        </row>
        <row r="937">
          <cell r="A937" t="str">
            <v>65535_9</v>
          </cell>
        </row>
        <row r="938">
          <cell r="A93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5001</v>
          </cell>
        </row>
        <row r="1324">
          <cell r="A1324">
            <v>5002</v>
          </cell>
        </row>
        <row r="1325">
          <cell r="A1325">
            <v>5003</v>
          </cell>
        </row>
        <row r="1326">
          <cell r="A1326">
            <v>5004</v>
          </cell>
        </row>
        <row r="1327">
          <cell r="A1327">
            <v>6001</v>
          </cell>
        </row>
        <row r="1328">
          <cell r="A1328">
            <v>6002</v>
          </cell>
        </row>
        <row r="1329">
          <cell r="A1329">
            <v>6003</v>
          </cell>
        </row>
        <row r="1330">
          <cell r="A1330">
            <v>6004</v>
          </cell>
        </row>
        <row r="1331">
          <cell r="A1331">
            <v>6005</v>
          </cell>
        </row>
        <row r="1332">
          <cell r="A1332">
            <v>6006</v>
          </cell>
        </row>
        <row r="1333">
          <cell r="A1333">
            <v>6007</v>
          </cell>
        </row>
        <row r="1334">
          <cell r="A1334">
            <v>6008</v>
          </cell>
        </row>
        <row r="1335">
          <cell r="A1335">
            <v>6009</v>
          </cell>
        </row>
        <row r="1336">
          <cell r="A1336">
            <v>6010</v>
          </cell>
        </row>
        <row r="1337">
          <cell r="A1337">
            <v>6011</v>
          </cell>
        </row>
        <row r="1338">
          <cell r="A1338">
            <v>6012</v>
          </cell>
        </row>
        <row r="1339">
          <cell r="A1339">
            <v>6013</v>
          </cell>
        </row>
        <row r="1340">
          <cell r="A1340">
            <v>6014</v>
          </cell>
        </row>
        <row r="1341">
          <cell r="A1341">
            <v>6015</v>
          </cell>
        </row>
        <row r="1342">
          <cell r="A1342">
            <v>6016</v>
          </cell>
        </row>
        <row r="1343">
          <cell r="A1343">
            <v>6017</v>
          </cell>
        </row>
        <row r="1344">
          <cell r="A1344">
            <v>6018</v>
          </cell>
        </row>
        <row r="1345">
          <cell r="A1345">
            <v>6019</v>
          </cell>
        </row>
        <row r="1346">
          <cell r="A1346">
            <v>6020</v>
          </cell>
        </row>
        <row r="1347">
          <cell r="A1347">
            <v>8001</v>
          </cell>
        </row>
        <row r="1348">
          <cell r="A1348">
            <v>8002</v>
          </cell>
        </row>
        <row r="1349">
          <cell r="A1349">
            <v>8003</v>
          </cell>
        </row>
        <row r="1350">
          <cell r="A1350">
            <v>8004</v>
          </cell>
        </row>
        <row r="1351">
          <cell r="A1351">
            <v>8005</v>
          </cell>
        </row>
        <row r="1352">
          <cell r="A1352">
            <v>8006</v>
          </cell>
        </row>
        <row r="1353">
          <cell r="A1353">
            <v>8007</v>
          </cell>
        </row>
        <row r="1354">
          <cell r="A1354">
            <v>8008</v>
          </cell>
        </row>
        <row r="1355">
          <cell r="A1355">
            <v>8009</v>
          </cell>
        </row>
        <row r="1356">
          <cell r="A1356">
            <v>8010</v>
          </cell>
        </row>
        <row r="1357">
          <cell r="A1357">
            <v>8011</v>
          </cell>
        </row>
        <row r="1358">
          <cell r="A1358">
            <v>8012</v>
          </cell>
        </row>
        <row r="1359">
          <cell r="A1359">
            <v>8013</v>
          </cell>
        </row>
        <row r="1360">
          <cell r="A1360">
            <v>8014</v>
          </cell>
        </row>
        <row r="1361">
          <cell r="A1361">
            <v>8015</v>
          </cell>
        </row>
        <row r="1362">
          <cell r="A1362">
            <v>8016</v>
          </cell>
        </row>
        <row r="1363">
          <cell r="A1363">
            <v>8017</v>
          </cell>
        </row>
        <row r="1364">
          <cell r="A1364">
            <v>8018</v>
          </cell>
        </row>
        <row r="1365">
          <cell r="A1365">
            <v>8019</v>
          </cell>
        </row>
        <row r="1366">
          <cell r="A1366">
            <v>8020</v>
          </cell>
        </row>
        <row r="1367">
          <cell r="A1367">
            <v>8021</v>
          </cell>
        </row>
        <row r="1368">
          <cell r="A1368">
            <v>8022</v>
          </cell>
        </row>
        <row r="1369">
          <cell r="A1369">
            <v>8023</v>
          </cell>
        </row>
        <row r="1370">
          <cell r="A1370">
            <v>8024</v>
          </cell>
        </row>
        <row r="1371">
          <cell r="A1371">
            <v>8025</v>
          </cell>
        </row>
        <row r="1372">
          <cell r="A1372">
            <v>8026</v>
          </cell>
        </row>
        <row r="1373">
          <cell r="A1373">
            <v>8027</v>
          </cell>
        </row>
        <row r="1374">
          <cell r="A1374">
            <v>8028</v>
          </cell>
        </row>
        <row r="1375">
          <cell r="A1375">
            <v>8029</v>
          </cell>
        </row>
        <row r="1376">
          <cell r="A1376">
            <v>8030</v>
          </cell>
        </row>
        <row r="1377">
          <cell r="A1377">
            <v>8031</v>
          </cell>
        </row>
        <row r="1378">
          <cell r="A1378">
            <v>8032</v>
          </cell>
        </row>
        <row r="1379">
          <cell r="A1379">
            <v>8033</v>
          </cell>
        </row>
        <row r="1380">
          <cell r="A1380">
            <v>8034</v>
          </cell>
        </row>
        <row r="1381">
          <cell r="A1381">
            <v>8035</v>
          </cell>
        </row>
        <row r="1382">
          <cell r="A1382">
            <v>8036</v>
          </cell>
        </row>
        <row r="1383">
          <cell r="A1383">
            <v>8037</v>
          </cell>
        </row>
        <row r="1384">
          <cell r="A1384">
            <v>8038</v>
          </cell>
        </row>
        <row r="1385">
          <cell r="A1385">
            <v>8039</v>
          </cell>
        </row>
        <row r="1386">
          <cell r="A1386">
            <v>8040</v>
          </cell>
        </row>
        <row r="1387">
          <cell r="A1387">
            <v>8041</v>
          </cell>
        </row>
        <row r="1388">
          <cell r="A1388">
            <v>8042</v>
          </cell>
        </row>
        <row r="1389">
          <cell r="A1389">
            <v>8043</v>
          </cell>
        </row>
        <row r="1390">
          <cell r="A1390">
            <v>8044</v>
          </cell>
        </row>
        <row r="1391">
          <cell r="A1391">
            <v>8045</v>
          </cell>
        </row>
        <row r="1392">
          <cell r="A1392">
            <v>8046</v>
          </cell>
        </row>
        <row r="1393">
          <cell r="A1393">
            <v>8047</v>
          </cell>
        </row>
        <row r="1394">
          <cell r="A1394">
            <v>8048</v>
          </cell>
        </row>
        <row r="1395">
          <cell r="A1395">
            <v>8049</v>
          </cell>
        </row>
        <row r="1396">
          <cell r="A1396">
            <v>8050</v>
          </cell>
        </row>
        <row r="1397">
          <cell r="A1397">
            <v>8051</v>
          </cell>
        </row>
        <row r="1398">
          <cell r="A1398">
            <v>8052</v>
          </cell>
        </row>
        <row r="1399">
          <cell r="A1399">
            <v>8053</v>
          </cell>
        </row>
        <row r="1400">
          <cell r="A1400">
            <v>8054</v>
          </cell>
        </row>
        <row r="1401">
          <cell r="A1401">
            <v>8055</v>
          </cell>
        </row>
        <row r="1402">
          <cell r="A1402">
            <v>8056</v>
          </cell>
        </row>
        <row r="1403">
          <cell r="A1403">
            <v>8057</v>
          </cell>
        </row>
        <row r="1404">
          <cell r="A1404">
            <v>8058</v>
          </cell>
        </row>
        <row r="1405">
          <cell r="A1405">
            <v>8059</v>
          </cell>
        </row>
        <row r="1406">
          <cell r="A1406">
            <v>8060</v>
          </cell>
        </row>
        <row r="1407">
          <cell r="A1407">
            <v>8061</v>
          </cell>
        </row>
        <row r="1408">
          <cell r="A1408">
            <v>8062</v>
          </cell>
        </row>
        <row r="1409">
          <cell r="A1409">
            <v>8063</v>
          </cell>
        </row>
        <row r="1410">
          <cell r="A1410">
            <v>8064</v>
          </cell>
        </row>
        <row r="1411">
          <cell r="A1411">
            <v>8065</v>
          </cell>
        </row>
        <row r="1412">
          <cell r="A1412">
            <v>8066</v>
          </cell>
        </row>
        <row r="1413">
          <cell r="A1413">
            <v>8067</v>
          </cell>
        </row>
        <row r="1414">
          <cell r="A1414">
            <v>8068</v>
          </cell>
        </row>
        <row r="1415">
          <cell r="A1415">
            <v>8069</v>
          </cell>
        </row>
        <row r="1416">
          <cell r="A1416">
            <v>8070</v>
          </cell>
        </row>
        <row r="1417">
          <cell r="A1417">
            <v>8071</v>
          </cell>
        </row>
        <row r="1418">
          <cell r="A1418">
            <v>8072</v>
          </cell>
        </row>
        <row r="1419">
          <cell r="A1419">
            <v>8077</v>
          </cell>
        </row>
        <row r="1420">
          <cell r="A1420">
            <v>8078</v>
          </cell>
        </row>
        <row r="1421">
          <cell r="A1421">
            <v>8079</v>
          </cell>
        </row>
        <row r="1422">
          <cell r="A1422">
            <v>8080</v>
          </cell>
        </row>
        <row r="1423">
          <cell r="A1423">
            <v>8087</v>
          </cell>
        </row>
        <row r="1424">
          <cell r="A1424">
            <v>8088</v>
          </cell>
        </row>
        <row r="1425">
          <cell r="A1425">
            <v>8089</v>
          </cell>
        </row>
        <row r="1426">
          <cell r="A1426">
            <v>8090</v>
          </cell>
        </row>
        <row r="1427">
          <cell r="A1427">
            <v>8095</v>
          </cell>
        </row>
        <row r="1428">
          <cell r="A1428">
            <v>8096</v>
          </cell>
        </row>
        <row r="1429">
          <cell r="A1429">
            <v>8097</v>
          </cell>
        </row>
        <row r="1430">
          <cell r="A1430">
            <v>8098</v>
          </cell>
        </row>
        <row r="1431">
          <cell r="A1431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8073</v>
          </cell>
        </row>
        <row r="1474">
          <cell r="A1474">
            <v>8074</v>
          </cell>
        </row>
        <row r="1475">
          <cell r="A1475">
            <v>8075</v>
          </cell>
        </row>
        <row r="1476">
          <cell r="A1476">
            <v>8076</v>
          </cell>
        </row>
        <row r="1477">
          <cell r="A1477">
            <v>8077</v>
          </cell>
        </row>
        <row r="1478">
          <cell r="A1478">
            <v>8078</v>
          </cell>
        </row>
        <row r="1479">
          <cell r="A1479">
            <v>8079</v>
          </cell>
        </row>
        <row r="1480">
          <cell r="A1480">
            <v>8080</v>
          </cell>
        </row>
        <row r="1481">
          <cell r="A1481">
            <v>8087</v>
          </cell>
        </row>
        <row r="1482">
          <cell r="A1482">
            <v>8088</v>
          </cell>
        </row>
        <row r="1483">
          <cell r="A1483">
            <v>8089</v>
          </cell>
        </row>
        <row r="1484">
          <cell r="A1484">
            <v>8090</v>
          </cell>
        </row>
        <row r="1485">
          <cell r="A1485">
            <v>8095</v>
          </cell>
        </row>
        <row r="1486">
          <cell r="A1486">
            <v>8096</v>
          </cell>
        </row>
        <row r="1487">
          <cell r="A1487">
            <v>8097</v>
          </cell>
        </row>
        <row r="1488">
          <cell r="A1488">
            <v>8098</v>
          </cell>
        </row>
        <row r="1489">
          <cell r="A1489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J41" sqref="J4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260</v>
      </c>
      <c r="B2" s="57" t="s">
        <v>106</v>
      </c>
      <c r="C2" s="62">
        <v>59001</v>
      </c>
      <c r="D2" s="57" t="s">
        <v>107</v>
      </c>
      <c r="E2" s="56" t="str">
        <f>B2&amp;C2&amp;D2</f>
        <v>floors_59001.tmp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260</v>
      </c>
      <c r="B3" s="57" t="s">
        <v>109</v>
      </c>
      <c r="C3" s="62">
        <f>C$2</f>
        <v>59001</v>
      </c>
      <c r="D3" s="57" t="s">
        <v>107</v>
      </c>
      <c r="E3" s="56" t="str">
        <f>B3&amp;C3&amp;D3</f>
        <v>enemy_habitats_59001.tmp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179</v>
      </c>
    </row>
    <row r="4" spans="1:30" x14ac:dyDescent="0.15">
      <c r="A4" s="61" t="s">
        <v>260</v>
      </c>
      <c r="B4" s="57" t="s">
        <v>111</v>
      </c>
      <c r="C4" s="62">
        <f t="shared" ref="C4:C13" si="0">C$2</f>
        <v>59001</v>
      </c>
      <c r="D4" s="57" t="s">
        <v>107</v>
      </c>
      <c r="E4" s="56" t="str">
        <f>B4&amp;C4&amp;D4</f>
        <v>enemy_habitat_S_59001.tmp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260</v>
      </c>
      <c r="B5" s="57" t="s">
        <v>113</v>
      </c>
      <c r="C5" s="62">
        <f t="shared" si="0"/>
        <v>59001</v>
      </c>
      <c r="D5" s="57" t="s">
        <v>107</v>
      </c>
      <c r="E5" s="56" t="str">
        <f>B5&amp;C5&amp;D5</f>
        <v>enemy_skill_sets_59001.tmp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260</v>
      </c>
      <c r="B6" s="57" t="s">
        <v>115</v>
      </c>
      <c r="C6" s="62">
        <f t="shared" si="0"/>
        <v>59001</v>
      </c>
      <c r="D6" s="57" t="s">
        <v>116</v>
      </c>
      <c r="E6" s="56" t="str">
        <f t="shared" ref="E6:E10" si="1">B6&amp;C6&amp;D6</f>
        <v>enemy_skills_tmp_59001.tmp</v>
      </c>
      <c r="F6" s="57" t="s">
        <v>90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260</v>
      </c>
      <c r="B7" s="57" t="s">
        <v>117</v>
      </c>
      <c r="C7" s="62">
        <f t="shared" si="0"/>
        <v>59001</v>
      </c>
      <c r="D7" s="57" t="s">
        <v>107</v>
      </c>
      <c r="E7" s="56" t="str">
        <f>B7&amp;C7&amp;D7</f>
        <v>enemy_skills_i18n_59001.tmp</v>
      </c>
      <c r="F7" s="57" t="s">
        <v>118</v>
      </c>
      <c r="G7" s="58" t="s">
        <v>78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260</v>
      </c>
      <c r="B8" s="57" t="s">
        <v>119</v>
      </c>
      <c r="C8" s="62">
        <f t="shared" si="0"/>
        <v>59001</v>
      </c>
      <c r="D8" s="57" t="s">
        <v>120</v>
      </c>
      <c r="E8" s="56" t="str">
        <f t="shared" si="1"/>
        <v>enemy_skill_triggers_59001.tmp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260</v>
      </c>
      <c r="B9" s="67" t="s">
        <v>178</v>
      </c>
      <c r="C9" s="62">
        <f t="shared" si="0"/>
        <v>59001</v>
      </c>
      <c r="D9" s="67" t="s">
        <v>172</v>
      </c>
      <c r="E9" s="68" t="str">
        <f t="shared" si="1"/>
        <v>stage_bug_bonuses_59001.tmp</v>
      </c>
      <c r="F9" s="67" t="s">
        <v>173</v>
      </c>
      <c r="G9" s="64" t="s">
        <v>150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188</v>
      </c>
      <c r="B10" s="67" t="s">
        <v>202</v>
      </c>
      <c r="C10" s="62">
        <f>C$2</f>
        <v>59001</v>
      </c>
      <c r="D10" s="67" t="s">
        <v>181</v>
      </c>
      <c r="E10" s="68" t="str">
        <f t="shared" si="1"/>
        <v>stage_hints_data_c_59001.tmp</v>
      </c>
      <c r="F10" s="67" t="s">
        <v>210</v>
      </c>
      <c r="G10" s="72" t="s">
        <v>182</v>
      </c>
      <c r="H10" s="72" t="s">
        <v>174</v>
      </c>
      <c r="I10" s="73" t="s">
        <v>183</v>
      </c>
      <c r="J10" s="66" t="s">
        <v>184</v>
      </c>
      <c r="K10" s="66" t="s">
        <v>185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4" customFormat="1" x14ac:dyDescent="0.15">
      <c r="A11" s="61" t="s">
        <v>260</v>
      </c>
      <c r="B11" s="67" t="s">
        <v>203</v>
      </c>
      <c r="C11" s="62">
        <f t="shared" si="0"/>
        <v>59001</v>
      </c>
      <c r="D11" s="67" t="s">
        <v>172</v>
      </c>
      <c r="E11" s="68" t="str">
        <f t="shared" ref="E11:E13" si="2">B11&amp;C11&amp;D11</f>
        <v>stage_hints_data_f_59001.tmp</v>
      </c>
      <c r="F11" s="67" t="s">
        <v>211</v>
      </c>
      <c r="G11" s="72" t="s">
        <v>182</v>
      </c>
      <c r="H11" s="72" t="s">
        <v>174</v>
      </c>
      <c r="I11" s="73" t="s">
        <v>183</v>
      </c>
      <c r="J11" s="66" t="s">
        <v>184</v>
      </c>
      <c r="K11" s="66" t="s">
        <v>185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4" customFormat="1" x14ac:dyDescent="0.15">
      <c r="A12" s="61" t="s">
        <v>260</v>
      </c>
      <c r="B12" s="67" t="s">
        <v>204</v>
      </c>
      <c r="C12" s="62">
        <f t="shared" si="0"/>
        <v>59001</v>
      </c>
      <c r="D12" s="67" t="s">
        <v>172</v>
      </c>
      <c r="E12" s="68" t="str">
        <f t="shared" si="2"/>
        <v>stage_hints_i18n_59001.tmp</v>
      </c>
      <c r="F12" s="67" t="s">
        <v>212</v>
      </c>
      <c r="G12" s="73" t="s">
        <v>205</v>
      </c>
      <c r="H12" s="92" t="s">
        <v>206</v>
      </c>
      <c r="I12" s="72" t="s">
        <v>207</v>
      </c>
      <c r="J12" s="100" t="s">
        <v>208</v>
      </c>
      <c r="K12" s="66" t="s">
        <v>209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4" customFormat="1" x14ac:dyDescent="0.15">
      <c r="A13" s="61" t="s">
        <v>260</v>
      </c>
      <c r="B13" s="67" t="s">
        <v>251</v>
      </c>
      <c r="C13" s="62">
        <f t="shared" si="0"/>
        <v>59001</v>
      </c>
      <c r="D13" s="67" t="s">
        <v>232</v>
      </c>
      <c r="E13" s="68" t="str">
        <f t="shared" si="2"/>
        <v>stage_bonuses_59001.tmp</v>
      </c>
      <c r="F13" s="67" t="s">
        <v>231</v>
      </c>
      <c r="G13" s="72" t="s">
        <v>233</v>
      </c>
      <c r="H13" s="72" t="s">
        <v>234</v>
      </c>
      <c r="I13" s="72" t="s">
        <v>235</v>
      </c>
      <c r="J13" s="72" t="s">
        <v>236</v>
      </c>
      <c r="K13" s="72" t="s">
        <v>237</v>
      </c>
      <c r="L13" s="72" t="s">
        <v>238</v>
      </c>
      <c r="M13" s="72" t="s">
        <v>239</v>
      </c>
      <c r="N13" s="72" t="s">
        <v>240</v>
      </c>
      <c r="O13" s="72" t="s">
        <v>241</v>
      </c>
      <c r="P13" s="72" t="s">
        <v>242</v>
      </c>
      <c r="Q13" s="72" t="s">
        <v>243</v>
      </c>
      <c r="R13" s="72" t="s">
        <v>244</v>
      </c>
      <c r="S13" s="72" t="s">
        <v>245</v>
      </c>
      <c r="T13" s="72" t="s">
        <v>246</v>
      </c>
      <c r="U13" s="72" t="s">
        <v>247</v>
      </c>
      <c r="V13" s="72" t="s">
        <v>248</v>
      </c>
      <c r="W13" s="72" t="s">
        <v>249</v>
      </c>
      <c r="X13" s="72" t="s">
        <v>250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O16" sqref="O1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59001_1-1</v>
      </c>
      <c r="B2" s="16" t="str">
        <f>IF(COUNTIF(enemy_habitats!$H:$H,A2),"OK","NG")</f>
        <v>OK</v>
      </c>
      <c r="C2" s="7">
        <v>59001</v>
      </c>
      <c r="D2" s="11" t="str">
        <f ca="1">VLOOKUP($C2,OFFSET([2]quests!$A$1,0,0,COUNTA([2]quests!$A:$A),MATCH(D$1,[2]quests!$1:$1,0)-MATCH($C$1,[2]quests!$1:$1,0)+1),MATCH(D$1,[2]quests!$1:$1,0)-MATCH($C$1,[2]quests!$1:$1,0)+1,FALSE)</f>
        <v>電子歌姫の堕天使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コラボ超降臨1</v>
      </c>
      <c r="F2" s="21">
        <v>1</v>
      </c>
      <c r="G2" s="23" t="str">
        <f>C2&amp;"_"&amp;F2</f>
        <v>59001_1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【超ウィザード級】電子歌姫の堕天使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59001_1-2</v>
      </c>
      <c r="B3" s="16" t="str">
        <f>IF(COUNTIF(enemy_habitats!$H:$H,A3),"OK","NG")</f>
        <v>OK</v>
      </c>
      <c r="C3" s="7">
        <v>59001</v>
      </c>
      <c r="D3" s="11" t="str">
        <f ca="1">VLOOKUP($C3,OFFSET([2]quests!$A$1,0,0,COUNTA([2]quests!$A:$A),MATCH(D$1,[2]quests!$1:$1,0)-MATCH($C$1,[2]quests!$1:$1,0)+1),MATCH(D$1,[2]quests!$1:$1,0)-MATCH($C$1,[2]quests!$1:$1,0)+1,FALSE)</f>
        <v>電子歌姫の堕天使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コラボ超降臨1</v>
      </c>
      <c r="F3" s="21">
        <v>1</v>
      </c>
      <c r="G3" s="23" t="str">
        <f>C3&amp;"_"&amp;F3</f>
        <v>59001_1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【超ウィザード級】電子歌姫の堕天使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59001_1-3</v>
      </c>
      <c r="B4" s="16" t="str">
        <f>IF(COUNTIF(enemy_habitats!$H:$H,A4),"OK","NG")</f>
        <v>OK</v>
      </c>
      <c r="C4" s="7">
        <v>59001</v>
      </c>
      <c r="D4" s="11" t="str">
        <f ca="1">VLOOKUP($C4,OFFSET([2]quests!$A$1,0,0,COUNTA([2]quests!$A:$A),MATCH(D$1,[2]quests!$1:$1,0)-MATCH($C$1,[2]quests!$1:$1,0)+1),MATCH(D$1,[2]quests!$1:$1,0)-MATCH($C$1,[2]quests!$1:$1,0)+1,FALSE)</f>
        <v>電子歌姫の堕天使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コラボ超降臨1</v>
      </c>
      <c r="F4" s="21">
        <v>1</v>
      </c>
      <c r="G4" s="23" t="str">
        <f>C4&amp;"_"&amp;F4</f>
        <v>59001_1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【超ウィザード級】電子歌姫の堕天使</v>
      </c>
      <c r="I4" s="21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4"/>
  <sheetViews>
    <sheetView showGridLines="0" zoomScale="90" zoomScaleNormal="90" zoomScalePageLayoutView="9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18" sqref="S1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22.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252</v>
      </c>
      <c r="U1" s="26" t="s">
        <v>50</v>
      </c>
      <c r="V1" s="101" t="s">
        <v>253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>B2&amp;"_"&amp;C2&amp;"-"&amp;G2&amp;"/"&amp;L2&amp;"&lt;lv"&amp;R2&amp;"&gt;s"&amp;AC2</f>
        <v>59001_1-1/845&lt;lv80&gt;s1</v>
      </c>
      <c r="B2" s="22">
        <v>59001</v>
      </c>
      <c r="C2" s="21">
        <v>1</v>
      </c>
      <c r="D2" s="2" t="str">
        <f>B2&amp;"_"&amp;C2</f>
        <v>59001_1</v>
      </c>
      <c r="E2" s="4" t="str">
        <f ca="1">VLOOKUP($B2,OFFSET([2]quests!$A$1,0,0,COUNTA([2]quests!$A:$A),MATCH(E$1,[2]quests!$1:$1,0)-MATCH($B$1,[2]quests!$1:$1,0)+1),MATCH(E$1,[2]quests!$1:$1,0)-MATCH($B$1,[2]quests!$1:$1,0)+1,FALSE)</f>
        <v>電子歌姫の堕天使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【超ウィザード級】電子歌姫の堕天使</v>
      </c>
      <c r="G2" s="21">
        <v>1</v>
      </c>
      <c r="H2" s="15" t="str">
        <f>B2&amp;"_"&amp;C2&amp;"-"&amp;G2</f>
        <v>59001_1-1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845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妖艶なる蝿王 ベルゼブブ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80</v>
      </c>
      <c r="S2" s="25">
        <v>2.6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317462.60000000003</v>
      </c>
      <c r="U2" s="25">
        <v>1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8007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噂を聞いた野次馬たちが_x000D_続々と集まってくるわね…！</v>
      </c>
      <c r="Y2" s="106">
        <v>59001101</v>
      </c>
      <c r="Z2" s="6">
        <v>0</v>
      </c>
      <c r="AA2" s="6">
        <v>100</v>
      </c>
      <c r="AB2" s="6">
        <v>0</v>
      </c>
      <c r="AC2" s="107">
        <v>1</v>
      </c>
      <c r="AD2" s="24">
        <f>L2</f>
        <v>845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妖艶なる蝿王 ベルゼブブ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6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" s="7">
        <v>1</v>
      </c>
      <c r="AI2" s="24">
        <f ca="1">AF2</f>
        <v>6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>B3&amp;"_"&amp;C3&amp;"-"&amp;G3&amp;"/"&amp;L3&amp;"&lt;lv"&amp;R3&amp;"&gt;s"&amp;AC3</f>
        <v>59001_1-2/1301&lt;lv80&gt;s1</v>
      </c>
      <c r="B3" s="22">
        <v>59001</v>
      </c>
      <c r="C3" s="21">
        <v>1</v>
      </c>
      <c r="D3" s="2" t="str">
        <f>B3&amp;"_"&amp;C3</f>
        <v>59001_1</v>
      </c>
      <c r="E3" s="4" t="str">
        <f ca="1">VLOOKUP($B3,OFFSET([2]quests!$A$1,0,0,COUNTA([2]quests!$A:$A),MATCH(E$1,[2]quests!$1:$1,0)-MATCH($B$1,[2]quests!$1:$1,0)+1),MATCH(E$1,[2]quests!$1:$1,0)-MATCH($B$1,[2]quests!$1:$1,0)+1,FALSE)</f>
        <v>電子歌姫の堕天使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【超ウィザード級】電子歌姫の堕天使</v>
      </c>
      <c r="G3" s="21">
        <v>2</v>
      </c>
      <c r="H3" s="15" t="str">
        <f>B3&amp;"_"&amp;C3&amp;"-"&amp;G3</f>
        <v>59001_1-2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20">
        <v>1301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歌装の萌響女 紫式部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DropWizS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80</v>
      </c>
      <c r="S3" s="25">
        <v>8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1086232</v>
      </c>
      <c r="U3" s="25">
        <v>1.3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11685.7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赤&amp;青パネル無効</v>
      </c>
      <c r="Y3" s="106">
        <v>59001103</v>
      </c>
      <c r="Z3" s="6">
        <v>0</v>
      </c>
      <c r="AA3" s="6">
        <v>100</v>
      </c>
      <c r="AB3" s="6">
        <v>0</v>
      </c>
      <c r="AC3" s="107">
        <v>1</v>
      </c>
      <c r="AD3" s="24">
        <f>L3</f>
        <v>1301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歌装の萌響女 紫式部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6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3" s="7">
        <v>1</v>
      </c>
      <c r="AI3" s="24">
        <f ca="1">AF3</f>
        <v>6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>B4&amp;"_"&amp;C4&amp;"-"&amp;G4&amp;"/"&amp;L4&amp;"&lt;lv"&amp;R4&amp;"&gt;s"&amp;AC4</f>
        <v>59001_1-3/1306&lt;lv80&gt;s1</v>
      </c>
      <c r="B4" s="22">
        <v>59001</v>
      </c>
      <c r="C4" s="21">
        <v>1</v>
      </c>
      <c r="D4" s="2" t="str">
        <f>B4&amp;"_"&amp;C4</f>
        <v>59001_1</v>
      </c>
      <c r="E4" s="4" t="str">
        <f ca="1">VLOOKUP($B4,OFFSET([2]quests!$A$1,0,0,COUNTA([2]quests!$A:$A),MATCH(E$1,[2]quests!$1:$1,0)-MATCH($B$1,[2]quests!$1:$1,0)+1),MATCH(E$1,[2]quests!$1:$1,0)-MATCH($B$1,[2]quests!$1:$1,0)+1,FALSE)</f>
        <v>電子歌姫の堕天使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【超ウィザード級】電子歌姫の堕天使</v>
      </c>
      <c r="G4" s="21">
        <v>3</v>
      </c>
      <c r="H4" s="15" t="str">
        <f>B4&amp;"_"&amp;C4&amp;"-"&amp;G4</f>
        <v>59001_1-3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20">
        <v>1306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玉響の唱天 ルシファー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80</v>
      </c>
      <c r="S4" s="25">
        <v>12.5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1350862.5</v>
      </c>
      <c r="U4" s="25">
        <v>1.4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12472.599999999999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4" s="106">
        <v>59001105</v>
      </c>
      <c r="Z4" s="6">
        <v>0</v>
      </c>
      <c r="AA4" s="6">
        <v>100</v>
      </c>
      <c r="AB4" s="6">
        <v>0</v>
      </c>
      <c r="AC4" s="107">
        <v>1</v>
      </c>
      <c r="AD4" s="24">
        <f>L4</f>
        <v>1306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玉響の唱天 ルシファー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4" s="7">
        <v>1</v>
      </c>
      <c r="AI4" s="24">
        <f ca="1">AF4</f>
        <v>5</v>
      </c>
      <c r="AJ4" s="8">
        <v>100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90" zoomScaleNormal="90" zoomScalePageLayoutView="9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18" sqref="U1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252</v>
      </c>
      <c r="V1" s="26" t="s">
        <v>50</v>
      </c>
      <c r="W1" s="101" t="s">
        <v>253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59001_1-1/844&lt;lv80&gt;sq1st2</v>
      </c>
      <c r="B2" s="22">
        <v>59001</v>
      </c>
      <c r="C2" s="21">
        <v>1</v>
      </c>
      <c r="D2" s="2" t="str">
        <f>B2&amp;"_"&amp;C2</f>
        <v>59001_1</v>
      </c>
      <c r="E2" s="4" t="str">
        <f ca="1">VLOOKUP($B2,OFFSET([2]quests!$A$1,0,0,COUNTA([2]quests!$A:$A),MATCH(E$1,[2]quests!$1:$1,0)-MATCH($B$1,[2]quests!$1:$1,0)+1),MATCH(E$1,[2]quests!$1:$1,0)-MATCH($B$1,[2]quests!$1:$1,0)+1,FALSE)</f>
        <v>電子歌姫の堕天使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【超ウィザード級】電子歌姫の堕天使</v>
      </c>
      <c r="G2" s="21">
        <v>1</v>
      </c>
      <c r="H2" s="15" t="str">
        <f>B2&amp;"_"&amp;C2&amp;"-"&amp;G2</f>
        <v>59001_1-1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844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ベルゼブブ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5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610505</v>
      </c>
      <c r="V2" s="25">
        <v>1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8007</v>
      </c>
      <c r="X2" s="5">
        <v>0</v>
      </c>
      <c r="Y2" s="4"/>
      <c r="Z2" s="104">
        <v>59001102</v>
      </c>
      <c r="AA2" s="105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59001_1-2/1301&lt;lv80&gt;sq2st2</v>
      </c>
      <c r="B3" s="22">
        <v>59001</v>
      </c>
      <c r="C3" s="21">
        <v>1</v>
      </c>
      <c r="D3" s="2" t="str">
        <f>B3&amp;"_"&amp;C3</f>
        <v>59001_1</v>
      </c>
      <c r="E3" s="4" t="str">
        <f ca="1">VLOOKUP($B3,OFFSET([2]quests!$A$1,0,0,COUNTA([2]quests!$A:$A),MATCH(E$1,[2]quests!$1:$1,0)-MATCH($B$1,[2]quests!$1:$1,0)+1),MATCH(E$1,[2]quests!$1:$1,0)-MATCH($B$1,[2]quests!$1:$1,0)+1,FALSE)</f>
        <v>電子歌姫の堕天使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【超ウィザード級】電子歌姫の堕天使</v>
      </c>
      <c r="G3" s="21">
        <v>2</v>
      </c>
      <c r="H3" s="15" t="str">
        <f>B3&amp;"_"&amp;C3&amp;"-"&amp;G3</f>
        <v>59001_1-2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1301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歌装の萌響女 紫式部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9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1222011</v>
      </c>
      <c r="V3" s="25">
        <v>1.4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12584.599999999999</v>
      </c>
      <c r="X3" s="5">
        <v>0</v>
      </c>
      <c r="Y3" s="4"/>
      <c r="Z3" s="104">
        <v>59001104</v>
      </c>
      <c r="AA3" s="105">
        <v>2</v>
      </c>
    </row>
    <row r="4" spans="1:27" ht="21" customHeight="1" x14ac:dyDescent="0.15">
      <c r="A4" s="16" t="str">
        <f>B4&amp;"_"&amp;C4&amp;"-"&amp;G4&amp;"/"&amp;M4&amp;"&lt;lv"&amp;S4&amp;"&gt;sq"&amp;K4&amp;"st"&amp;L4</f>
        <v>59001_1-3/1307&lt;lv80&gt;sq3st2</v>
      </c>
      <c r="B4" s="22">
        <v>59001</v>
      </c>
      <c r="C4" s="21">
        <v>1</v>
      </c>
      <c r="D4" s="2" t="str">
        <f>B4&amp;"_"&amp;C4</f>
        <v>59001_1</v>
      </c>
      <c r="E4" s="4" t="str">
        <f ca="1">VLOOKUP($B4,OFFSET([2]quests!$A$1,0,0,COUNTA([2]quests!$A:$A),MATCH(E$1,[2]quests!$1:$1,0)-MATCH($B$1,[2]quests!$1:$1,0)+1),MATCH(E$1,[2]quests!$1:$1,0)-MATCH($B$1,[2]quests!$1:$1,0)+1,FALSE)</f>
        <v>電子歌姫の堕天使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【超ウィザード級】電子歌姫の堕天使</v>
      </c>
      <c r="G4" s="21">
        <v>3</v>
      </c>
      <c r="H4" s="15" t="str">
        <f>B4&amp;"_"&amp;C4&amp;"-"&amp;G4</f>
        <v>59001_1-3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1307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彩翼の唱天史 ルシファー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12.5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1766512.5</v>
      </c>
      <c r="V4" s="25">
        <v>1.4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13431.599999999999</v>
      </c>
      <c r="X4" s="5">
        <v>0</v>
      </c>
      <c r="Y4" s="4"/>
      <c r="Z4" s="104">
        <v>59001106</v>
      </c>
      <c r="AA4" s="105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59001_1-3/1307&lt;lv80&gt;sq3st3</v>
      </c>
      <c r="B5" s="22">
        <v>59001</v>
      </c>
      <c r="C5" s="21">
        <v>1</v>
      </c>
      <c r="D5" s="2" t="str">
        <f>B5&amp;"_"&amp;C5</f>
        <v>59001_1</v>
      </c>
      <c r="E5" s="4" t="str">
        <f ca="1">VLOOKUP($B5,OFFSET([2]quests!$A$1,0,0,COUNTA([2]quests!$A:$A),MATCH(E$1,[2]quests!$1:$1,0)-MATCH($B$1,[2]quests!$1:$1,0)+1),MATCH(E$1,[2]quests!$1:$1,0)-MATCH($B$1,[2]quests!$1:$1,0)+1,FALSE)</f>
        <v>電子歌姫の堕天使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【超ウィザード級】電子歌姫の堕天使</v>
      </c>
      <c r="G5" s="21">
        <v>3</v>
      </c>
      <c r="H5" s="15" t="str">
        <f>B5&amp;"_"&amp;C5&amp;"-"&amp;G5</f>
        <v>59001_1-3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3</v>
      </c>
      <c r="M5" s="20">
        <v>1307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彩翼の唱天史 ルシファー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5">
        <v>28</v>
      </c>
      <c r="U5" s="10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3956988</v>
      </c>
      <c r="V5" s="25">
        <v>1.4</v>
      </c>
      <c r="W5" s="10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13431.599999999999</v>
      </c>
      <c r="X5" s="5">
        <v>0</v>
      </c>
      <c r="Y5" s="4"/>
      <c r="Z5" s="104">
        <v>59001107</v>
      </c>
      <c r="AA5" s="105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23"/>
  <sheetViews>
    <sheetView showGridLines="0" workbookViewId="0">
      <pane xSplit="5" ySplit="1" topLeftCell="F52" activePane="bottomRight" state="frozen"/>
      <selection pane="topRight"/>
      <selection pane="bottomLeft"/>
      <selection pane="bottomRight" activeCell="H107" sqref="H10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59001101_59001101</v>
      </c>
      <c r="B2" s="47">
        <v>59001101</v>
      </c>
      <c r="C2" s="47">
        <v>59001101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くっ、次から次へと…！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噂を聞いた野次馬たちが_x000D_続々と集まってくるわね…！</v>
      </c>
      <c r="F2" s="47">
        <v>59001101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5" si="1">B3&amp;"_"&amp;C3</f>
        <v>59001101_59001102</v>
      </c>
      <c r="B3" s="47">
        <v>59001101</v>
      </c>
      <c r="C3" s="47">
        <v>59001102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確かにあの子は可愛いわよ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でもね…アタシの目の黒いうちは_x000D_不埒な輩は全員排除よ！</v>
      </c>
      <c r="F3" s="47">
        <v>59001102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59001101_59001103</v>
      </c>
      <c r="B4" s="47">
        <v>59001101</v>
      </c>
      <c r="C4" s="47">
        <v>59001103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封鎖するわ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緑パネルプロテクト+単体攻撃</v>
      </c>
      <c r="F4" s="47">
        <v>59001103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59001101_59001104</v>
      </c>
      <c r="B5" s="47">
        <v>59001101</v>
      </c>
      <c r="C5" s="47">
        <v>59001104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封鎖するわ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黄パネルプロテクト+単体攻撃</v>
      </c>
      <c r="F5" s="47">
        <v>59001104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:A23" si="2">B6&amp;"_"&amp;C6</f>
        <v>59001101_59001105</v>
      </c>
      <c r="B6" s="47">
        <v>59001101</v>
      </c>
      <c r="C6" s="47">
        <v>59001105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緑の力を受けなさい！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緑パネルを吸収して全体攻撃(最大10個)</v>
      </c>
      <c r="F6" s="47">
        <v>59001105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59001101_59001106</v>
      </c>
      <c r="B7" s="47">
        <v>59001101</v>
      </c>
      <c r="C7" s="47">
        <v>59001106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黄の力を受けなさい！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黄パネルを吸収して全体攻撃(最大10個)</v>
      </c>
      <c r="F7" s="47">
        <v>59001106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" si="3">B8&amp;"_"&amp;C8</f>
        <v>59001101_59001107</v>
      </c>
      <c r="B8" s="47">
        <v>59001101</v>
      </c>
      <c r="C8" s="47">
        <v>59001107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んもゥ！アナタなんなのよっ！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フィーバーゲージ増加！</v>
      </c>
      <c r="F8" s="47">
        <v>59001107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2"/>
        <v>59001102_59001201</v>
      </c>
      <c r="B9" s="47">
        <v>59001102</v>
      </c>
      <c r="C9" s="47">
        <v>59001201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やるわね…アナタ、見込みアリよ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ここは共同戦線といきましょ。_x000D_力を合わせてルシファーを連れ戻すのよ！</v>
      </c>
      <c r="F9" s="47">
        <v>59001201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2"/>
        <v>59001103_59001301</v>
      </c>
      <c r="B10" s="47">
        <v>59001103</v>
      </c>
      <c r="C10" s="47">
        <v>59001301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プロデュースは大成功ね！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赤&amp;青パネル無効</v>
      </c>
      <c r="F10" s="47">
        <v>59001301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2"/>
        <v>59001103_59001302</v>
      </c>
      <c r="B11" s="47">
        <v>59001103</v>
      </c>
      <c r="C11" s="47">
        <v>59001302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妄想タックル！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ターン経過で強力になる連続攻撃_x000D_(一定のダメージを与えるとリセットされる)</v>
      </c>
      <c r="F11" s="47">
        <v>59001302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66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2"/>
        <v>59001103_59001303</v>
      </c>
      <c r="B12" s="47">
        <v>59001103</v>
      </c>
      <c r="C12" s="47">
        <v>59001303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妄想トゥルース！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ターン経過で強力になる連続攻撃_x000D_(一定のダメージを与えるとリセットされる)</v>
      </c>
      <c r="F12" s="47">
        <v>59001303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66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59001103_59001304</v>
      </c>
      <c r="B13" s="47">
        <v>59001103</v>
      </c>
      <c r="C13" s="47">
        <v>59001304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妄想ジャスティス！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ターン経過で強力になる連続攻撃_x000D_(一定のダメージを与えるとリセットされる)</v>
      </c>
      <c r="F13" s="47">
        <v>59001304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66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59001103_59001305</v>
      </c>
      <c r="B14" s="47">
        <v>59001103</v>
      </c>
      <c r="C14" s="47">
        <v>59001305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妄想タックル！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ターン経過で強力になる連続攻撃_x000D_(一定のダメージを与えるとリセットされる)</v>
      </c>
      <c r="F14" s="47">
        <v>59001305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66</v>
      </c>
      <c r="K14" s="48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33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2"/>
        <v>59001103_59001306</v>
      </c>
      <c r="B15" s="47">
        <v>59001103</v>
      </c>
      <c r="C15" s="47">
        <v>59001306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妄想トゥルース！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ターン経過で強力になる連続攻撃_x000D_(一定のダメージを与えるとリセットされる)</v>
      </c>
      <c r="F15" s="47">
        <v>59001306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66</v>
      </c>
      <c r="K15" s="48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33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59001103_59001307</v>
      </c>
      <c r="B16" s="47">
        <v>59001103</v>
      </c>
      <c r="C16" s="47">
        <v>59001307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妄想ジャスティス！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ターン経過で強力になる連続攻撃_x000D_(一定のダメージを与えるとリセットされる)</v>
      </c>
      <c r="F16" s="47">
        <v>59001307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66</v>
      </c>
      <c r="K16" s="48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33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2"/>
        <v>59001103_59001308</v>
      </c>
      <c r="B17" s="47">
        <v>59001103</v>
      </c>
      <c r="C17" s="47">
        <v>59001308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妄想タックル！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ターン経過で強力になる連続攻撃_x000D_(一定のダメージを与えるとリセットされる)</v>
      </c>
      <c r="F17" s="47">
        <v>59001308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2"/>
        <v>59001103_59001309</v>
      </c>
      <c r="B18" s="47">
        <v>59001103</v>
      </c>
      <c r="C18" s="47">
        <v>59001309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妄想トゥルース！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ターン経過で強力になる連続攻撃_x000D_(一定のダメージを与えるとリセットされる)</v>
      </c>
      <c r="F18" s="47">
        <v>59001309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2"/>
        <v>59001103_59001310</v>
      </c>
      <c r="B19" s="47">
        <v>59001103</v>
      </c>
      <c r="C19" s="47">
        <v>59001310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妄想ジャスティス！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ターン経過で強力になる連続攻撃_x000D_(一定のダメージを与えるとリセットされる)</v>
      </c>
      <c r="F19" s="47">
        <v>59001310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2"/>
        <v>59001103_59001311</v>
      </c>
      <c r="B20" s="47">
        <v>59001103</v>
      </c>
      <c r="C20" s="47">
        <v>59001311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妄想エクスキューション！！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致命的な連続攻撃</v>
      </c>
      <c r="F20" s="47">
        <v>59001311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2"/>
        <v>59001104_59001401</v>
      </c>
      <c r="B21" s="47">
        <v>59001104</v>
      </c>
      <c r="C21" s="47">
        <v>59001401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えええええなんで止めるんですかっっっ！？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21" s="47">
        <v>59001401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2"/>
        <v>59001104_59001402</v>
      </c>
      <c r="B22" s="47">
        <v>59001104</v>
      </c>
      <c r="C22" s="47">
        <v>59001402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あんなに可愛いのにっっっ！！！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緑パネルプロテクト+全体攻撃</v>
      </c>
      <c r="F22" s="47">
        <v>59001402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2"/>
        <v>59001104_59001403</v>
      </c>
      <c r="B23" s="47">
        <v>59001104</v>
      </c>
      <c r="C23" s="47">
        <v>59001403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てか…_x000D_可愛いから仕方ないんですよ！うん！！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ランダムにお邪魔パネルに3個変換+_x000D_3回連続攻撃</v>
      </c>
      <c r="F23" s="47">
        <v>59001403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ref="A24:A56" si="4">B24&amp;"_"&amp;C24</f>
        <v>59001104_59001404</v>
      </c>
      <c r="B24" s="47">
        <v>59001104</v>
      </c>
      <c r="C24" s="47">
        <v>59001404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あの子は逸材だと思います！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ランダムに緑の時限式ダメージパネルに3個変換+_x000D_3回連続攻撃</v>
      </c>
      <c r="F24" s="47">
        <v>59001404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4"/>
        <v>59001104_59001405</v>
      </c>
      <c r="B25" s="47">
        <v>59001104</v>
      </c>
      <c r="C25" s="47">
        <v>59001405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みっく式！会場走破術！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5ターン攻撃頻度UP</v>
      </c>
      <c r="F25" s="47">
        <v>59001405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4"/>
        <v>59001105_59001711</v>
      </c>
      <c r="B26" s="47">
        <v>59001105</v>
      </c>
      <c r="C26" s="124">
        <v>59001711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初音ミクV4X…_x000D_その衣装もかわいい…いいなぁ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6" s="123">
        <v>59001764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4"/>
        <v>59001105_59001712</v>
      </c>
      <c r="B27" s="47">
        <v>59001105</v>
      </c>
      <c r="C27" s="124">
        <v>59001712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アペンド…！すごい…_x000D_会えるなんて…うれしい…！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7" s="123">
        <v>59001768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198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4"/>
        <v>59001105_59001713</v>
      </c>
      <c r="B28" s="47">
        <v>59001105</v>
      </c>
      <c r="C28" s="124">
        <v>59001713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貴方は…こすぷれじゃなくて_x000D_ホンモノのミクなの！？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8" s="123">
        <v>59001771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149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4"/>
        <v>59001105_59001713</v>
      </c>
      <c r="B29" s="47">
        <v>59001105</v>
      </c>
      <c r="C29" s="124">
        <v>59001713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貴方は…こすぷれじゃなくて_x000D_ホンモノのミクなの！？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9" s="123">
        <v>59001774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399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4"/>
        <v>59001105_59001716</v>
      </c>
      <c r="B30" s="47">
        <v>59001105</v>
      </c>
      <c r="C30" s="124">
        <v>59001716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鏡音リン…！_x000D_貴方みたいな妹がいたらなぁ…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0" s="123">
        <v>59001776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398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4"/>
        <v>59001105_59001716</v>
      </c>
      <c r="B31" s="47">
        <v>59001105</v>
      </c>
      <c r="C31" s="124">
        <v>59001716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鏡音リン…！_x000D_貴方みたいな妹がいたらなぁ…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1" s="123">
        <v>59001779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397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4"/>
        <v>59001105_59001717</v>
      </c>
      <c r="B32" s="47">
        <v>59001105</v>
      </c>
      <c r="C32" s="124">
        <v>59001717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鏡音レン…！_x000D_貴方みたいな弟がいたらなぁ…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2" s="123">
        <v>59001781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396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4"/>
        <v>59001105_59001717</v>
      </c>
      <c r="B33" s="47">
        <v>59001105</v>
      </c>
      <c r="C33" s="124">
        <v>59001717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鏡音レン…！_x000D_貴方みたいな弟がいたらなぁ…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3" s="123">
        <v>59001784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395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4"/>
        <v>59001105_59001718</v>
      </c>
      <c r="B34" s="47">
        <v>59001105</v>
      </c>
      <c r="C34" s="124">
        <v>59001718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ルカ…！_x000D_来てもらえるなんて…うれしいなぁ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4" s="123">
        <v>59001786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148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4"/>
        <v>59001105_59001718</v>
      </c>
      <c r="B35" s="47">
        <v>59001105</v>
      </c>
      <c r="C35" s="124">
        <v>59001718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ルカ…！_x000D_来てもらえるなんて…うれしいなぁ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5" s="123">
        <v>59001789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4"/>
        <v>59001105_59001720</v>
      </c>
      <c r="B36" s="47">
        <v>59001105</v>
      </c>
      <c r="C36" s="124">
        <v>59001720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あっ…！KAITOだぁ…かっこいい…！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6" s="123">
        <v>59001792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499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4"/>
        <v>59001105_59001719</v>
      </c>
      <c r="B37" s="47">
        <v>59001105</v>
      </c>
      <c r="C37" s="124">
        <v>59001719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あっ…！MEIKOだぁ…きれい…！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7" s="123">
        <v>59001795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4"/>
        <v>59001105_59001714</v>
      </c>
      <c r="B38" s="47">
        <v>59001105</v>
      </c>
      <c r="C38" s="124">
        <v>59001714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…ミクも雪まつりのこすぷれしてるの？_x000D_かわいい…♪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8" s="123">
        <v>59001797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196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4"/>
        <v>59001105_59001714</v>
      </c>
      <c r="B39" s="47">
        <v>59001105</v>
      </c>
      <c r="C39" s="124">
        <v>59001714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…ミクも雪まつりのこすぷれしてるの？_x000D_かわいい…♪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9" s="123">
        <v>59001798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498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4"/>
        <v>59001105_59001714</v>
      </c>
      <c r="B40" s="47">
        <v>59001105</v>
      </c>
      <c r="C40" s="124">
        <v>59001714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…ミクも雪まつりのこすぷれしてるの？_x000D_かわいい…♪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0" s="123">
        <v>59001799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497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4"/>
        <v>59001105_59001714</v>
      </c>
      <c r="B41" s="47">
        <v>59001105</v>
      </c>
      <c r="C41" s="124">
        <v>59001714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…ミクも雪まつりのこすぷれしてるの？_x000D_かわいい…♪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1" s="123">
        <v>59001851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496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4"/>
        <v>59001105_59001714</v>
      </c>
      <c r="B42" s="47">
        <v>59001105</v>
      </c>
      <c r="C42" s="124">
        <v>59001714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…ミクも雪まつりのこすぷれしてるの？_x000D_かわいい…♪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2" s="123">
        <v>59001853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495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4"/>
        <v>59001105_59001715</v>
      </c>
      <c r="B43" s="47">
        <v>59001105</v>
      </c>
      <c r="C43" s="124">
        <v>59001715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雪ミクのウサギ…？かわいいなぁ…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3" s="123">
        <v>59001855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494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4"/>
        <v>59001105_59001715</v>
      </c>
      <c r="B44" s="47">
        <v>59001105</v>
      </c>
      <c r="C44" s="124">
        <v>59001715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雪ミクのウサギ…？かわいいなぁ…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4" s="123">
        <v>59001858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493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4"/>
        <v>59001105_59001721</v>
      </c>
      <c r="B45" s="47">
        <v>59001105</v>
      </c>
      <c r="C45" s="125">
        <v>59001721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ボカロのこすぷれしてる…！_x000D_おそろい…嬉しいなぁ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5" s="126">
        <v>59001860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394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4"/>
        <v>59001105_59001721</v>
      </c>
      <c r="B46" s="47">
        <v>59001105</v>
      </c>
      <c r="C46" s="125">
        <v>59001721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ボカロのこすぷれしてる…！_x000D_おそろい…嬉しいなぁ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6" s="126">
        <v>59001862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195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4"/>
        <v>59001105_59001721</v>
      </c>
      <c r="B47" s="47">
        <v>59001105</v>
      </c>
      <c r="C47" s="125">
        <v>59001721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ボカロのこすぷれしてる…！_x000D_おそろい…嬉しいなぁ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7" s="126">
        <v>59001864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492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4"/>
        <v>59001105_59001721</v>
      </c>
      <c r="B48" s="47">
        <v>59001105</v>
      </c>
      <c r="C48" s="125">
        <v>59001721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ボカロのこすぷれしてる…！_x000D_おそろい…嬉しいなぁ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8" s="126">
        <v>59001866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393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4"/>
        <v>59001105_59001501</v>
      </c>
      <c r="B49" s="47">
        <v>59001105</v>
      </c>
      <c r="C49" s="47">
        <v>59001501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ふふ…ふつうの女の子って楽しい♪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9" s="47">
        <v>59001501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4"/>
        <v>59001105_59001502</v>
      </c>
      <c r="B50" s="47">
        <v>59001105</v>
      </c>
      <c r="C50" s="47">
        <v>59001502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でも貴方…_x000D_ベルゼに言われて来たんでしょ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1ターン緑パネルが出現しない+_x000D_次のターン緑パネルを吸収して強力な攻撃！</v>
      </c>
      <c r="F50" s="47">
        <v>59001502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4"/>
        <v>59001105_59001503</v>
      </c>
      <c r="B51" s="47">
        <v>59001105</v>
      </c>
      <c r="C51" s="47">
        <v>59001503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私…まだ帰らないから！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緑パネルを吸収して激烈クリティカル！</v>
      </c>
      <c r="F51" s="47">
        <v>59001503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69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4"/>
        <v>59001105_59001504</v>
      </c>
      <c r="B52" s="47">
        <v>59001105</v>
      </c>
      <c r="C52" s="47">
        <v>59001504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もぅ！止めないでよ！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1ターンハートパネルが出現しない+_x000D_次のターンハートパネルを吸収して強力な攻撃！</v>
      </c>
      <c r="F52" s="47">
        <v>59001504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68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4"/>
        <v>59001105_59001505</v>
      </c>
      <c r="B53" s="47">
        <v>59001105</v>
      </c>
      <c r="C53" s="47">
        <v>59001505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イベントが終わるまで楽しむのっ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ハートパネルを吸収して激烈クリティカル！</v>
      </c>
      <c r="F53" s="47">
        <v>59001505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67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ref="A54" si="5">B54&amp;"_"&amp;C54</f>
        <v>59001105_59001506</v>
      </c>
      <c r="B54" s="47">
        <v>59001105</v>
      </c>
      <c r="C54" s="47">
        <v>59001506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どうしても連れて行くの…？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2ゲージ目に移行</v>
      </c>
      <c r="F54" s="47">
        <v>59001506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66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4"/>
        <v>59001106_59001601</v>
      </c>
      <c r="B55" s="47">
        <v>59001106</v>
      </c>
      <c r="C55" s="47">
        <v>59001601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その前に…私の歌を聴かせてあげる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5" s="47">
        <v>59001601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4"/>
        <v>59001106_59001602</v>
      </c>
      <c r="B56" s="47">
        <v>59001106</v>
      </c>
      <c r="C56" s="47">
        <v>59001602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LIGHT &amp; VIVID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12回連続攻撃</v>
      </c>
      <c r="F56" s="47">
        <v>59001602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ref="A57:A64" si="6">B57&amp;"_"&amp;C57</f>
        <v>59001106_59001603</v>
      </c>
      <c r="B57" s="47">
        <v>59001106</v>
      </c>
      <c r="C57" s="47">
        <v>59001603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DARK &amp; SOLID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ランダムに黄の時限式ダメージパネルに10個変換</v>
      </c>
      <c r="F57" s="47">
        <v>59001603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6"/>
        <v>59001106_59001604</v>
      </c>
      <c r="B58" s="47">
        <v>59001106</v>
      </c>
      <c r="C58" s="47">
        <v>59001604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SWEET &amp; SOFT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残りHPの75%ダメージ！</v>
      </c>
      <c r="F58" s="47">
        <v>59001604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6"/>
        <v>59001106_59001605</v>
      </c>
      <c r="B59" s="47">
        <v>59001106</v>
      </c>
      <c r="C59" s="47">
        <v>59001605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どう…？うまく歌えてる？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2体に1ターンスキルバインド+2回連続攻撃</v>
      </c>
      <c r="F59" s="47">
        <v>59001605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ref="A60" si="7">B60&amp;"_"&amp;C60</f>
        <v>59001106_59001606</v>
      </c>
      <c r="B60" s="47">
        <v>59001106</v>
      </c>
      <c r="C60" s="47">
        <v>59001606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紫式部が教えてくれたのよ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スキルバインド状態のユニットに大ダメージの全体攻撃</v>
      </c>
      <c r="F60" s="47">
        <v>59001606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ref="A61" si="8">B61&amp;"_"&amp;C61</f>
        <v>59001106_59001607</v>
      </c>
      <c r="B61" s="47">
        <v>59001106</v>
      </c>
      <c r="C61" s="47">
        <v>59001607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ほら…一緒に歌いましょ？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全ユニットに状態異常耐性が付与される！</v>
      </c>
      <c r="F61" s="47">
        <v>59001607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6"/>
        <v>59001107_59001701</v>
      </c>
      <c r="B62" s="47">
        <v>59001107</v>
      </c>
      <c r="C62" s="47">
        <v>59001701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まだ歌い足りないのよ…！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状態異常耐性+_x000D_全ユニットにスキルバインド+緑パネル無効</v>
      </c>
      <c r="F62" s="47">
        <v>59001701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6"/>
        <v>59001107_59001702</v>
      </c>
      <c r="B63" s="47">
        <v>59001107</v>
      </c>
      <c r="C63" s="47">
        <v>59001702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ここからは歌で勝負！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ハートパネルが出現しない+_x000D_確率でCパネルがドロップ+_x000D_全ユニットの攻撃力100%UP！</v>
      </c>
      <c r="F63" s="47">
        <v>59001702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6"/>
        <v>59001107_59001703</v>
      </c>
      <c r="B64" s="47">
        <v>59001107</v>
      </c>
      <c r="C64" s="47">
        <v>59001703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どう？ついてこられる！？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ターン経過で強くなる全体固定ダメージ</v>
      </c>
      <c r="F64" s="47">
        <v>59001703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ref="A65:A66" si="9">B65&amp;"_"&amp;C65</f>
        <v>59001107_59001704</v>
      </c>
      <c r="B65" s="47">
        <v>59001107</v>
      </c>
      <c r="C65" s="47">
        <v>59001704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もっと声出していきましょ！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ターン経過で強くなる全体固定ダメージ</v>
      </c>
      <c r="F65" s="47">
        <v>59001704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9"/>
        <v>59001107_59001705</v>
      </c>
      <c r="B66" s="47">
        <v>59001107</v>
      </c>
      <c r="C66" s="47">
        <v>59001705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そろそろバテてきた？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ターン経過で強くなる全体固定ダメージ</v>
      </c>
      <c r="F66" s="47">
        <v>59001705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ref="A67:A98" si="10">B67&amp;"_"&amp;C67</f>
        <v>59001107_59001706</v>
      </c>
      <c r="B67" s="47">
        <v>59001107</v>
      </c>
      <c r="C67" s="47">
        <v>59001706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まだまだいける…っ！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ターン経過で強くなる全体固定ダメージ</v>
      </c>
      <c r="F67" s="47">
        <v>59001706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0"/>
        <v>59001107_59001707</v>
      </c>
      <c r="B68" s="47">
        <v>59001107</v>
      </c>
      <c r="C68" s="47">
        <v>59001707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私も…本物のミクみたいに！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致命的な全体固定ダメージ</v>
      </c>
      <c r="F68" s="47">
        <v>59001707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 t="str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0"/>
        <v>59001107_59001708</v>
      </c>
      <c r="B69" s="47">
        <v>59001107</v>
      </c>
      <c r="C69" s="47">
        <v>59001708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はぁ…はぁ…つかれた…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でも、すっごく楽しかったな…_x000D_また一緒に歌いましょ！</v>
      </c>
      <c r="F69" s="47">
        <v>59001708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10"/>
        <v>59001107_59001709</v>
      </c>
      <c r="B70" s="47">
        <v>59001107</v>
      </c>
      <c r="C70" s="124">
        <v>59001709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70" s="123">
        <v>59001709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1317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0"/>
        <v>59001107_59001709</v>
      </c>
      <c r="B71" s="47">
        <v>59001107</v>
      </c>
      <c r="C71" s="124">
        <v>59001709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71" s="123">
        <v>59001710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149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0"/>
        <v>59001107_59001709</v>
      </c>
      <c r="B72" s="47">
        <v>59001107</v>
      </c>
      <c r="C72" s="124">
        <v>59001709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72" s="123">
        <v>59001711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199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1310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0"/>
        <v>59001107_59001709</v>
      </c>
      <c r="B73" s="47">
        <v>59001107</v>
      </c>
      <c r="C73" s="124">
        <v>59001709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73" s="123">
        <v>59001712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198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1309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10"/>
        <v>59001107_59001709</v>
      </c>
      <c r="B74" s="47">
        <v>59001107</v>
      </c>
      <c r="C74" s="124">
        <v>59001709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74" s="123">
        <v>59001713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197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10"/>
        <v>59001107_59001709</v>
      </c>
      <c r="B75" s="47">
        <v>59001107</v>
      </c>
      <c r="C75" s="124">
        <v>59001709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75" s="123">
        <v>59001714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196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10"/>
        <v>59001107_59001709</v>
      </c>
      <c r="B76" s="47">
        <v>59001107</v>
      </c>
      <c r="C76" s="124">
        <v>59001709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76" s="123">
        <v>59001715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148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1308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10"/>
        <v>59001107_59001709</v>
      </c>
      <c r="B77" s="47">
        <v>59001107</v>
      </c>
      <c r="C77" s="124">
        <v>59001709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77" s="123">
        <v>59001716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147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0"/>
        <v>59001107_59001709</v>
      </c>
      <c r="B78" s="47">
        <v>59001107</v>
      </c>
      <c r="C78" s="124">
        <v>59001709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78" s="123">
        <v>59001717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146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10"/>
        <v>59001107_59001709</v>
      </c>
      <c r="B79" s="47">
        <v>59001107</v>
      </c>
      <c r="C79" s="124">
        <v>59001709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79" s="123">
        <v>59001718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399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1299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0"/>
        <v>59001107_59001709</v>
      </c>
      <c r="B80" s="47">
        <v>59001107</v>
      </c>
      <c r="C80" s="124">
        <v>59001709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80" s="123">
        <v>59001719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398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10"/>
        <v>59001107_59001709</v>
      </c>
      <c r="B81" s="47">
        <v>59001107</v>
      </c>
      <c r="C81" s="124">
        <v>59001709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81" s="123">
        <v>59001720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397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10"/>
        <v>59001107_59001709</v>
      </c>
      <c r="B82" s="47">
        <v>59001107</v>
      </c>
      <c r="C82" s="124">
        <v>59001709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82" s="123">
        <v>59001721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386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1319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10"/>
        <v>59001107_59001709</v>
      </c>
      <c r="B83" s="47">
        <v>59001107</v>
      </c>
      <c r="C83" s="124">
        <v>59001709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83" s="123">
        <v>59001722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385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10"/>
        <v>59001107_59001709</v>
      </c>
      <c r="B84" s="47">
        <v>59001107</v>
      </c>
      <c r="C84" s="124">
        <v>59001709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84" s="123">
        <v>59001723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396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1311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10"/>
        <v>59001107_59001709</v>
      </c>
      <c r="B85" s="47">
        <v>59001107</v>
      </c>
      <c r="C85" s="124">
        <v>59001709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85" s="123">
        <v>59001724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395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10"/>
        <v>59001107_59001709</v>
      </c>
      <c r="B86" s="47">
        <v>59001107</v>
      </c>
      <c r="C86" s="124">
        <v>59001709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86" s="123">
        <v>59001725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394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10"/>
        <v>59001107_59001709</v>
      </c>
      <c r="B87" s="47">
        <v>59001107</v>
      </c>
      <c r="C87" s="124">
        <v>59001709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87" s="123">
        <v>59001726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384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1321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10"/>
        <v>59001107_59001709</v>
      </c>
      <c r="B88" s="47">
        <v>59001107</v>
      </c>
      <c r="C88" s="124">
        <v>59001709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88" s="123">
        <v>59001727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383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10"/>
        <v>59001107_59001709</v>
      </c>
      <c r="B89" s="47">
        <v>59001107</v>
      </c>
      <c r="C89" s="124">
        <v>59001709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89" s="123">
        <v>59001728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393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1312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10"/>
        <v>59001107_59001709</v>
      </c>
      <c r="B90" s="47">
        <v>59001107</v>
      </c>
      <c r="C90" s="124">
        <v>59001709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90" s="123">
        <v>59001729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392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10"/>
        <v>59001107_59001709</v>
      </c>
      <c r="B91" s="47">
        <v>59001107</v>
      </c>
      <c r="C91" s="124">
        <v>59001709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91" s="123">
        <v>59001730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391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10"/>
        <v>59001107_59001709</v>
      </c>
      <c r="B92" s="47">
        <v>59001107</v>
      </c>
      <c r="C92" s="124">
        <v>59001709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92" s="123">
        <v>59001731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145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1323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10"/>
        <v>59001107_59001709</v>
      </c>
      <c r="B93" s="47">
        <v>59001107</v>
      </c>
      <c r="C93" s="124">
        <v>59001709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93" s="123">
        <v>59001732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144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10"/>
        <v>59001107_59001709</v>
      </c>
      <c r="B94" s="47">
        <v>59001107</v>
      </c>
      <c r="C94" s="124">
        <v>59001709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94" s="123">
        <v>59001733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1313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10"/>
        <v>59001107_59001709</v>
      </c>
      <c r="B95" s="47">
        <v>59001107</v>
      </c>
      <c r="C95" s="124">
        <v>59001709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95" s="123">
        <v>59001734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10"/>
        <v>59001107_59001709</v>
      </c>
      <c r="B96" s="47">
        <v>59001107</v>
      </c>
      <c r="C96" s="124">
        <v>59001709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96" s="123">
        <v>59001735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10"/>
        <v>59001107_59001709</v>
      </c>
      <c r="B97" s="47">
        <v>59001107</v>
      </c>
      <c r="C97" s="124">
        <v>59001709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97" s="123">
        <v>59001736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497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1315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10"/>
        <v>59001107_59001709</v>
      </c>
      <c r="B98" s="47">
        <v>59001107</v>
      </c>
      <c r="C98" s="124">
        <v>59001709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98" s="123">
        <v>59001737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496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ref="A99:A123" si="11">B99&amp;"_"&amp;C99</f>
        <v>59001107_59001709</v>
      </c>
      <c r="B99" s="47">
        <v>59001107</v>
      </c>
      <c r="C99" s="124">
        <v>59001709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99" s="123">
        <v>59001738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495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11"/>
        <v>59001107_59001709</v>
      </c>
      <c r="B100" s="47">
        <v>59001107</v>
      </c>
      <c r="C100" s="124">
        <v>59001709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100" s="123">
        <v>59001739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1314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11"/>
        <v>59001107_59001709</v>
      </c>
      <c r="B101" s="47">
        <v>59001107</v>
      </c>
      <c r="C101" s="124">
        <v>59001709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101" s="123">
        <v>59001740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295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1" s="48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8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11"/>
        <v>59001107_59001709</v>
      </c>
      <c r="B102" s="47">
        <v>59001107</v>
      </c>
      <c r="C102" s="124">
        <v>59001709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102" s="123">
        <v>59001741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294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2" s="48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8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11"/>
        <v>59001107_59001709</v>
      </c>
      <c r="B103" s="47">
        <v>59001107</v>
      </c>
      <c r="C103" s="124">
        <v>59001709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103" s="123">
        <v>59001742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195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1298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11"/>
        <v>59001107_59001709</v>
      </c>
      <c r="B104" s="47">
        <v>59001107</v>
      </c>
      <c r="C104" s="124">
        <v>59001709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104" s="123">
        <v>59001743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194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4" s="48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8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11"/>
        <v>59001107_59001709</v>
      </c>
      <c r="B105" s="47">
        <v>59001107</v>
      </c>
      <c r="C105" s="124">
        <v>59001709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105" s="123">
        <v>59001744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499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5" s="48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8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11"/>
        <v>59001107_59001709</v>
      </c>
      <c r="B106" s="47">
        <v>59001107</v>
      </c>
      <c r="C106" s="124">
        <v>59001709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106" s="123">
        <v>59001745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498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6" s="48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8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11"/>
        <v>59001107_59001709</v>
      </c>
      <c r="B107" s="47">
        <v>59001107</v>
      </c>
      <c r="C107" s="124">
        <v>59001709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107" s="123">
        <v>59001746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494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11"/>
        <v>59001107_59001709</v>
      </c>
      <c r="B108" s="47">
        <v>59001107</v>
      </c>
      <c r="C108" s="124">
        <v>59001709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108" s="123">
        <v>59001747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493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8" s="48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8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11"/>
        <v>59001107_59001709</v>
      </c>
      <c r="B109" s="47">
        <v>59001107</v>
      </c>
      <c r="C109" s="124">
        <v>59001709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109" s="123">
        <v>59001748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492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9" s="48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8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11"/>
        <v>59001107_59001709</v>
      </c>
      <c r="B110" s="47">
        <v>59001107</v>
      </c>
      <c r="C110" s="124">
        <v>59001709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110" s="123">
        <v>59001749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491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0" s="48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8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/>
    </row>
    <row r="111" spans="1:18" ht="21" customHeight="1" x14ac:dyDescent="0.15">
      <c r="A111" s="39" t="str">
        <f t="shared" si="11"/>
        <v>59001107_59001709</v>
      </c>
      <c r="B111" s="47">
        <v>59001107</v>
      </c>
      <c r="C111" s="124">
        <v>59001709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111" s="123">
        <v>59001750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487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1" s="48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8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1296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/>
    </row>
    <row r="112" spans="1:18" ht="21" customHeight="1" x14ac:dyDescent="0.15">
      <c r="A112" s="39" t="str">
        <f t="shared" si="11"/>
        <v>59001107_59001709</v>
      </c>
      <c r="B112" s="47">
        <v>59001107</v>
      </c>
      <c r="C112" s="124">
        <v>59001709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112" s="123">
        <v>59001751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486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8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2" s="48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8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7"/>
      <c r="Q112" s="47"/>
      <c r="R112" s="47"/>
    </row>
    <row r="113" spans="1:18" ht="21" customHeight="1" x14ac:dyDescent="0.15">
      <c r="A113" s="39" t="str">
        <f t="shared" si="11"/>
        <v>59001107_59001709</v>
      </c>
      <c r="B113" s="47">
        <v>59001107</v>
      </c>
      <c r="C113" s="124">
        <v>59001709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113" s="123">
        <v>59001752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3" s="48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8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11"/>
        <v>59001107_59001709</v>
      </c>
      <c r="B114" s="47">
        <v>59001107</v>
      </c>
      <c r="C114" s="124">
        <v>59001709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114" s="123">
        <v>59001753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489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4" s="48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8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si="11"/>
        <v>59001107_59001709</v>
      </c>
      <c r="B115" s="47">
        <v>59001107</v>
      </c>
      <c r="C115" s="124">
        <v>59001709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素敵な歌声…すごいなぁ…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帰ったら歌の練習しようかな…_x000D_次は負けないんだから！</v>
      </c>
      <c r="F115" s="123">
        <v>59001754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488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5" s="48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8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/>
    </row>
    <row r="116" spans="1:18" ht="21" customHeight="1" x14ac:dyDescent="0.15">
      <c r="A116" s="39" t="str">
        <f t="shared" si="11"/>
        <v>59001107_59001710</v>
      </c>
      <c r="B116" s="47">
        <v>59001107</v>
      </c>
      <c r="C116" s="125">
        <v>59001710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そっか…もうこんな時間なんだぁ…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そろそろ帰らないとね。_x000D_またこすぷれしよっかな…♪</v>
      </c>
      <c r="F116" s="126">
        <v>59001755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388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6" s="48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8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1307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7"/>
      <c r="Q116" s="47"/>
      <c r="R116" s="47"/>
    </row>
    <row r="117" spans="1:18" ht="21" customHeight="1" x14ac:dyDescent="0.15">
      <c r="A117" s="39" t="str">
        <f t="shared" si="11"/>
        <v>59001107_59001710</v>
      </c>
      <c r="B117" s="47">
        <v>59001107</v>
      </c>
      <c r="C117" s="125">
        <v>59001710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そっか…もうこんな時間なんだぁ…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そろそろ帰らないとね。_x000D_またこすぷれしよっかな…♪</v>
      </c>
      <c r="F117" s="126">
        <v>59001756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8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387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7" s="48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8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  <row r="118" spans="1:18" ht="21" customHeight="1" x14ac:dyDescent="0.15">
      <c r="A118" s="39" t="str">
        <f t="shared" si="11"/>
        <v>59001107_59001710</v>
      </c>
      <c r="B118" s="47">
        <v>59001107</v>
      </c>
      <c r="C118" s="125">
        <v>59001710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そっか…もうこんな時間なんだぁ…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そろそろ帰らないとね。_x000D_またこすぷれしよっかな…♪</v>
      </c>
      <c r="F118" s="126">
        <v>59001757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193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8" s="48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8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1301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x14ac:dyDescent="0.15">
      <c r="A119" s="39" t="str">
        <f t="shared" si="11"/>
        <v>59001107_59001710</v>
      </c>
      <c r="B119" s="47">
        <v>59001107</v>
      </c>
      <c r="C119" s="125">
        <v>59001710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そっか…もうこんな時間なんだぁ…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そろそろ帰らないとね。_x000D_またこすぷれしよっかな…♪</v>
      </c>
      <c r="F119" s="126">
        <v>59001758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192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9" s="48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8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/>
    </row>
    <row r="120" spans="1:18" ht="21" customHeight="1" x14ac:dyDescent="0.15">
      <c r="A120" s="39" t="str">
        <f t="shared" si="11"/>
        <v>59001107_59001710</v>
      </c>
      <c r="B120" s="47">
        <v>59001107</v>
      </c>
      <c r="C120" s="125">
        <v>59001710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そっか…もうこんな時間なんだぁ…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そろそろ帰らないとね。_x000D_またこすぷれしよっかな…♪</v>
      </c>
      <c r="F120" s="126">
        <v>59001759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485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0" s="48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8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1305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/>
    </row>
    <row r="121" spans="1:18" ht="21" customHeight="1" x14ac:dyDescent="0.15">
      <c r="A121" s="39" t="str">
        <f t="shared" si="11"/>
        <v>59001107_59001710</v>
      </c>
      <c r="B121" s="47">
        <v>59001107</v>
      </c>
      <c r="C121" s="125">
        <v>59001710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そっか…もうこんな時間なんだぁ…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そろそろ帰らないとね。_x000D_またこすぷれしよっかな…♪</v>
      </c>
      <c r="F121" s="126">
        <v>59001760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484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1" s="48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48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/>
    </row>
    <row r="122" spans="1:18" ht="21" customHeight="1" x14ac:dyDescent="0.15">
      <c r="A122" s="39" t="str">
        <f t="shared" si="11"/>
        <v>59001107_59001710</v>
      </c>
      <c r="B122" s="47">
        <v>59001107</v>
      </c>
      <c r="C122" s="125">
        <v>59001710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そっか…もうこんな時間なんだぁ…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そろそろ帰らないとね。_x000D_またこすぷれしよっかな…♪</v>
      </c>
      <c r="F122" s="126">
        <v>59001761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390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2" s="48" t="str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2" s="48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1303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/>
    </row>
    <row r="123" spans="1:18" ht="21" customHeight="1" x14ac:dyDescent="0.15">
      <c r="A123" s="39" t="str">
        <f t="shared" si="11"/>
        <v>59001107_59001710</v>
      </c>
      <c r="B123" s="47">
        <v>59001107</v>
      </c>
      <c r="C123" s="125">
        <v>59001710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そっか…もうこんな時間なんだぁ…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そろそろ帰らないとね。_x000D_またこすぷれしよっかな…♪</v>
      </c>
      <c r="F123" s="126">
        <v>59001762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389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3" s="48" t="str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3" s="48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9"/>
  <sheetViews>
    <sheetView showGridLines="0" tabSelected="1" workbookViewId="0">
      <pane ySplit="1" topLeftCell="A2" activePane="bottomLeft" state="frozenSplit"/>
      <selection pane="bottomLeft" activeCell="F18" sqref="F18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59001101</v>
      </c>
      <c r="B2" s="47" t="s">
        <v>351</v>
      </c>
      <c r="C2" s="50">
        <v>3</v>
      </c>
      <c r="D2" s="50" t="s">
        <v>127</v>
      </c>
      <c r="E2" s="51" t="s">
        <v>272</v>
      </c>
      <c r="F2" s="51" t="s">
        <v>277</v>
      </c>
      <c r="G2" s="63" t="str">
        <f t="shared" ref="G2:G45" si="0">IFERROR(LEFT(B2,FIND("],",B2)),B2)</f>
        <v>[effect:enemy_message, val1:1.3, val2:2.5]</v>
      </c>
      <c r="H2" s="63">
        <f t="shared" ref="H2:H45" si="1">FIND("effect:",G2)+7</f>
        <v>9</v>
      </c>
      <c r="I2" s="63">
        <f t="shared" ref="I2:I45" si="2">IFERROR(FIND(",",G2),LEN(G2))</f>
        <v>22</v>
      </c>
      <c r="J2" s="63" t="e">
        <f t="shared" ref="J2:J45" si="3">FIND("target:",G2)+7</f>
        <v>#VALUE!</v>
      </c>
      <c r="K2" s="63">
        <f t="shared" ref="K2:K45" si="4">FIND(",",G2,I2+1)</f>
        <v>32</v>
      </c>
      <c r="L2" s="63" t="str">
        <f>IFERROR(VLOOKUP(MID(G2,J2,K2-J2),[5]skilldef!$C:$D,2,FALSE),"-") &amp; " / " &amp; IFERROR(VLOOKUP(MID(G2,H2,I2-H2),[5]skilldef!$A:$B,2,FALSE),"-")</f>
        <v>- / -</v>
      </c>
      <c r="M2" s="63" t="str">
        <f t="shared" ref="M2:M45" si="5">IFERROR(RIGHT(B2,LEN(B2)-FIND("],",B2)-1),"none")</f>
        <v>[effect:fix_speed, target:myself, turn:1],[effect:tolerance, target:myself, turn:-1, count:-1, tolerance_effect:all, animation:enemy_tolerance]</v>
      </c>
      <c r="N2" s="48" t="str">
        <f t="shared" ref="N2:N8" si="6">IFERROR(LEFT(M2,FIND("],",M2)+S12),M2)</f>
        <v>[effect:fix_speed, target:myself, turn:1],[effect:tolerance, target:myself, turn:-1, count:-1, tolerance_effect:all, animation:enemy_tolerance]</v>
      </c>
      <c r="O2" s="63">
        <f t="shared" ref="O2:O45" si="7">FIND("effect:",N2)+7</f>
        <v>9</v>
      </c>
      <c r="P2" s="63">
        <f t="shared" ref="P2:P45" si="8">IFERROR(FIND(",",N2),LEN(N2))</f>
        <v>18</v>
      </c>
      <c r="Q2" s="63">
        <f t="shared" ref="Q2:Q45" si="9">FIND("target:",N2)+7</f>
        <v>27</v>
      </c>
      <c r="R2" s="63">
        <f t="shared" ref="R2:R45" si="10">FIND(",",N2,P2+1)</f>
        <v>33</v>
      </c>
      <c r="S2" s="63" t="str">
        <f>IFERROR(VLOOKUP(MID(N2,Q2,R2-Q2),[5]skilldef!$C:$D,2,FALSE),"-") &amp; " / " &amp; IFERROR(VLOOKUP(MID(N2,O2,P2-O2),[5]skilldef!$A:$B,2,FALSE),"-")</f>
        <v>自分自身に / 行動値設定</v>
      </c>
      <c r="T2" s="48" t="str">
        <f t="shared" ref="T2:T45" si="11">IFERROR(RIGHT(M2,LEN(M2)-FIND("],",M2)-1),"none")</f>
        <v>[effect:tolerance, target:myself, turn:-1, count:-1, tolerance_effect:all, animation:enemy_tolerance]</v>
      </c>
      <c r="U2" s="63">
        <f t="shared" ref="U2:U45" si="12">FIND("effect:",T2)+7</f>
        <v>9</v>
      </c>
      <c r="V2" s="63">
        <f t="shared" ref="V2:V45" si="13">IFERROR(FIND(",",T2),LEN(T2))</f>
        <v>18</v>
      </c>
      <c r="W2" s="63">
        <f t="shared" ref="W2:W45" si="14">FIND("target:",T2)+7</f>
        <v>27</v>
      </c>
      <c r="X2" s="63">
        <f t="shared" ref="X2:X45" si="15">FIND(",",T2,V2+1)</f>
        <v>33</v>
      </c>
      <c r="Y2" s="63" t="str">
        <f>IFERROR(VLOOKUP(MID(T2,W2,X2-W2),[5]skilldef!$C:$D,2,FALSE),"-") &amp; " / " &amp; IFERROR(VLOOKUP(MID(T2,U2,V2-U2),[5]skilldef!$A:$B,2,FALSE),"-")</f>
        <v>自分自身に / 状態異常耐性</v>
      </c>
      <c r="Z2" s="50"/>
      <c r="AA2" s="52"/>
      <c r="AB2" s="50"/>
    </row>
    <row r="3" spans="1:28" ht="21" customHeight="1" x14ac:dyDescent="0.15">
      <c r="A3" s="47">
        <v>59001102</v>
      </c>
      <c r="B3" s="47" t="s">
        <v>402</v>
      </c>
      <c r="C3" s="50">
        <v>3</v>
      </c>
      <c r="D3" s="50" t="s">
        <v>127</v>
      </c>
      <c r="E3" s="51" t="s">
        <v>392</v>
      </c>
      <c r="F3" s="51" t="s">
        <v>282</v>
      </c>
      <c r="G3" s="63" t="str">
        <f t="shared" si="0"/>
        <v>[effect:enemy_message, val1:1.2, val2:2.7]</v>
      </c>
      <c r="H3" s="63">
        <f t="shared" si="1"/>
        <v>9</v>
      </c>
      <c r="I3" s="63">
        <f t="shared" si="2"/>
        <v>22</v>
      </c>
      <c r="J3" s="63" t="e">
        <f t="shared" si="3"/>
        <v>#VALUE!</v>
      </c>
      <c r="K3" s="63">
        <f t="shared" si="4"/>
        <v>32</v>
      </c>
      <c r="L3" s="63" t="str">
        <f>IFERROR(VLOOKUP(MID(G3,J3,K3-J3),[5]skilldef!$C:$D,2,FALSE),"-") &amp; " / " &amp; IFERROR(VLOOKUP(MID(G3,H3,I3-H3),[5]skilldef!$A:$B,2,FALSE),"-")</f>
        <v>- / -</v>
      </c>
      <c r="M3" s="63" t="str">
        <f t="shared" si="5"/>
        <v>none</v>
      </c>
      <c r="N3" s="48" t="str">
        <f t="shared" si="6"/>
        <v>none</v>
      </c>
      <c r="O3" s="63" t="e">
        <f t="shared" si="7"/>
        <v>#VALUE!</v>
      </c>
      <c r="P3" s="63">
        <f t="shared" si="8"/>
        <v>4</v>
      </c>
      <c r="Q3" s="63" t="e">
        <f t="shared" si="9"/>
        <v>#VALUE!</v>
      </c>
      <c r="R3" s="63" t="e">
        <f t="shared" si="10"/>
        <v>#VALUE!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si="11"/>
        <v>none</v>
      </c>
      <c r="U3" s="63" t="e">
        <f t="shared" si="12"/>
        <v>#VALUE!</v>
      </c>
      <c r="V3" s="63">
        <f t="shared" si="13"/>
        <v>4</v>
      </c>
      <c r="W3" s="63" t="e">
        <f t="shared" si="14"/>
        <v>#VALUE!</v>
      </c>
      <c r="X3" s="63" t="e">
        <f t="shared" si="15"/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59001103</v>
      </c>
      <c r="B4" s="47" t="s">
        <v>352</v>
      </c>
      <c r="C4" s="50">
        <v>3</v>
      </c>
      <c r="D4" s="50" t="s">
        <v>127</v>
      </c>
      <c r="E4" s="51" t="s">
        <v>283</v>
      </c>
      <c r="F4" s="51" t="s">
        <v>261</v>
      </c>
      <c r="G4" s="63" t="str">
        <f t="shared" si="0"/>
        <v>[effect:enemy_message, val1:1.2, val2:1.4]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IFERROR(VLOOKUP(MID(G4,J4,K4-J4),[5]skilldef!$C:$D,2,FALSE),"-") &amp; " / " &amp; IFERROR(VLOOKUP(MID(G4,H4,I4-H4),[5]skilldef!$A:$B,2,FALSE),"-")</f>
        <v>- / -</v>
      </c>
      <c r="M4" s="63" t="str">
        <f t="shared" si="5"/>
        <v>[effect:panel_freeze, target:normal, color:block_green, count:-1],[effect:rush, count:1, val:0.75]</v>
      </c>
      <c r="N4" s="48" t="str">
        <f t="shared" si="6"/>
        <v>[effect:panel_freeze, target:normal, color:block_green, count:-1],[effect:rush, count:1, val:0.75]</v>
      </c>
      <c r="O4" s="63">
        <f t="shared" si="7"/>
        <v>9</v>
      </c>
      <c r="P4" s="63">
        <f t="shared" si="8"/>
        <v>21</v>
      </c>
      <c r="Q4" s="63">
        <f t="shared" si="9"/>
        <v>30</v>
      </c>
      <c r="R4" s="63">
        <f t="shared" si="10"/>
        <v>36</v>
      </c>
      <c r="S4" s="63" t="str">
        <f>IFERROR(VLOOKUP(MID(N4,Q4,R4-Q4),[5]skilldef!$C:$D,2,FALSE),"-") &amp; " / " &amp; IFERROR(VLOOKUP(MID(N4,O4,P4-O4),[5]skilldef!$A:$B,2,FALSE),"-")</f>
        <v>- / -</v>
      </c>
      <c r="T4" s="48" t="str">
        <f t="shared" si="11"/>
        <v>[effect:rush, count:1, val:0.75]</v>
      </c>
      <c r="U4" s="63">
        <f t="shared" si="12"/>
        <v>9</v>
      </c>
      <c r="V4" s="63">
        <f t="shared" si="13"/>
        <v>13</v>
      </c>
      <c r="W4" s="63" t="e">
        <f t="shared" si="14"/>
        <v>#VALUE!</v>
      </c>
      <c r="X4" s="63">
        <f t="shared" si="15"/>
        <v>22</v>
      </c>
      <c r="Y4" s="63" t="str">
        <f>IFERROR(VLOOKUP(MID(T4,W4,X4-W4),[5]skilldef!$C:$D,2,FALSE),"-") &amp; " / " &amp; IFERROR(VLOOKUP(MID(T4,U4,V4-U4),[5]skilldef!$A:$B,2,FALSE),"-")</f>
        <v>- / 連続攻撃</v>
      </c>
      <c r="Z4" s="50"/>
      <c r="AA4" s="52"/>
      <c r="AB4" s="50"/>
    </row>
    <row r="5" spans="1:28" ht="21" customHeight="1" x14ac:dyDescent="0.15">
      <c r="A5" s="47">
        <v>59001104</v>
      </c>
      <c r="B5" s="47" t="s">
        <v>353</v>
      </c>
      <c r="C5" s="50">
        <v>3</v>
      </c>
      <c r="D5" s="50" t="s">
        <v>127</v>
      </c>
      <c r="E5" s="51" t="s">
        <v>283</v>
      </c>
      <c r="F5" s="51" t="s">
        <v>262</v>
      </c>
      <c r="G5" s="63" t="str">
        <f t="shared" si="0"/>
        <v>[effect:enemy_message, val1:1.2, val2:1.4]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IFERROR(VLOOKUP(MID(G5,J5,K5-J5),[5]skilldef!$C:$D,2,FALSE),"-") &amp; " / " &amp; IFERROR(VLOOKUP(MID(G5,H5,I5-H5),[5]skilldef!$A:$B,2,FALSE),"-")</f>
        <v>- / -</v>
      </c>
      <c r="M5" s="63" t="str">
        <f t="shared" si="5"/>
        <v>[effect:panel_freeze, target:normal, color:block_yellow, count:-1],[effect:rush, count:1, val:0.75]</v>
      </c>
      <c r="N5" s="48" t="str">
        <f t="shared" si="6"/>
        <v>[effect:panel_freeze, target:normal, color:block_yellow, count:-1],[effect:rush, count:1, val:0.75]</v>
      </c>
      <c r="O5" s="63">
        <f t="shared" si="7"/>
        <v>9</v>
      </c>
      <c r="P5" s="63">
        <f t="shared" si="8"/>
        <v>21</v>
      </c>
      <c r="Q5" s="63">
        <f t="shared" si="9"/>
        <v>30</v>
      </c>
      <c r="R5" s="63">
        <f t="shared" si="10"/>
        <v>36</v>
      </c>
      <c r="S5" s="63" t="str">
        <f>IFERROR(VLOOKUP(MID(N5,Q5,R5-Q5),[5]skilldef!$C:$D,2,FALSE),"-") &amp; " / " &amp; IFERROR(VLOOKUP(MID(N5,O5,P5-O5),[5]skilldef!$A:$B,2,FALSE),"-")</f>
        <v>- / -</v>
      </c>
      <c r="T5" s="48" t="str">
        <f t="shared" si="11"/>
        <v>[effect:rush, count:1, val:0.75]</v>
      </c>
      <c r="U5" s="63">
        <f t="shared" si="12"/>
        <v>9</v>
      </c>
      <c r="V5" s="63">
        <f t="shared" si="13"/>
        <v>13</v>
      </c>
      <c r="W5" s="63" t="e">
        <f t="shared" si="14"/>
        <v>#VALUE!</v>
      </c>
      <c r="X5" s="63">
        <f t="shared" si="15"/>
        <v>22</v>
      </c>
      <c r="Y5" s="63" t="str">
        <f>IFERROR(VLOOKUP(MID(T5,W5,X5-W5),[5]skilldef!$C:$D,2,FALSE),"-") &amp; " / " &amp; IFERROR(VLOOKUP(MID(T5,U5,V5-U5),[5]skilldef!$A:$B,2,FALSE),"-")</f>
        <v>- / 連続攻撃</v>
      </c>
      <c r="Z5" s="50"/>
      <c r="AA5" s="52"/>
      <c r="AB5" s="50"/>
    </row>
    <row r="6" spans="1:28" ht="21" customHeight="1" x14ac:dyDescent="0.15">
      <c r="A6" s="47">
        <v>59001105</v>
      </c>
      <c r="B6" s="47" t="s">
        <v>344</v>
      </c>
      <c r="C6" s="50">
        <v>3</v>
      </c>
      <c r="D6" s="50" t="s">
        <v>127</v>
      </c>
      <c r="E6" s="51" t="s">
        <v>273</v>
      </c>
      <c r="F6" s="51" t="s">
        <v>376</v>
      </c>
      <c r="G6" s="63" t="str">
        <f t="shared" si="0"/>
        <v>[effect:enemy_message, val1:1.2, val2:2.0]</v>
      </c>
      <c r="H6" s="63">
        <f t="shared" si="1"/>
        <v>9</v>
      </c>
      <c r="I6" s="63">
        <f t="shared" si="2"/>
        <v>22</v>
      </c>
      <c r="J6" s="63" t="e">
        <f t="shared" si="3"/>
        <v>#VALUE!</v>
      </c>
      <c r="K6" s="63">
        <f t="shared" si="4"/>
        <v>32</v>
      </c>
      <c r="L6" s="63" t="str">
        <f>IFERROR(VLOOKUP(MID(G6,J6,K6-J6),[5]skilldef!$C:$D,2,FALSE),"-") &amp; " / " &amp; IFERROR(VLOOKUP(MID(G6,H6,I6-H6),[5]skilldef!$A:$B,2,FALSE),"-")</f>
        <v>- / -</v>
      </c>
      <c r="M6" s="63" t="str">
        <f t="shared" si="5"/>
        <v>[effect:break_attack_fix, target:unit_all, val:200, lowest_val:500, count:10, color:green, block01:block_green]</v>
      </c>
      <c r="N6" s="48" t="str">
        <f t="shared" si="6"/>
        <v>[effect:break_attack_fix, target:unit_all, val:200, lowest_val:500, count:10, color:green, block01:block_green]</v>
      </c>
      <c r="O6" s="63">
        <f t="shared" si="7"/>
        <v>9</v>
      </c>
      <c r="P6" s="63">
        <f t="shared" si="8"/>
        <v>25</v>
      </c>
      <c r="Q6" s="63">
        <f t="shared" si="9"/>
        <v>34</v>
      </c>
      <c r="R6" s="63">
        <f t="shared" si="10"/>
        <v>42</v>
      </c>
      <c r="S6" s="63" t="str">
        <f>IFERROR(VLOOKUP(MID(N6,Q6,R6-Q6),[5]skilldef!$C:$D,2,FALSE),"-") &amp; " / " &amp; IFERROR(VLOOKUP(MID(N6,O6,P6-O6),[5]skilldef!$A:$B,2,FALSE),"-")</f>
        <v>味方全体に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59001106</v>
      </c>
      <c r="B7" s="47" t="s">
        <v>345</v>
      </c>
      <c r="C7" s="50">
        <v>3</v>
      </c>
      <c r="D7" s="50" t="s">
        <v>127</v>
      </c>
      <c r="E7" s="51" t="s">
        <v>274</v>
      </c>
      <c r="F7" s="51" t="s">
        <v>377</v>
      </c>
      <c r="G7" s="63" t="str">
        <f t="shared" si="0"/>
        <v>[effect:enemy_message, val1:1.2, val2:2.0]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IFERROR(VLOOKUP(MID(G7,J7,K7-J7),[5]skilldef!$C:$D,2,FALSE),"-") &amp; " / " &amp; IFERROR(VLOOKUP(MID(G7,H7,I7-H7),[5]skilldef!$A:$B,2,FALSE),"-")</f>
        <v>- / -</v>
      </c>
      <c r="M7" s="63" t="str">
        <f t="shared" si="5"/>
        <v>[effect:break_attack_fix, target:unit_all, val:200, lowest_val:500, count:10, color:green, block01:block_yellow]</v>
      </c>
      <c r="N7" s="48" t="str">
        <f t="shared" si="6"/>
        <v>[effect:break_attack_fix, target:unit_all, val:200, lowest_val:500, count:10, color:green, block01:block_yellow]</v>
      </c>
      <c r="O7" s="63">
        <f t="shared" si="7"/>
        <v>9</v>
      </c>
      <c r="P7" s="63">
        <f t="shared" si="8"/>
        <v>25</v>
      </c>
      <c r="Q7" s="63">
        <f t="shared" si="9"/>
        <v>34</v>
      </c>
      <c r="R7" s="63">
        <f t="shared" si="10"/>
        <v>42</v>
      </c>
      <c r="S7" s="63" t="str">
        <f>IFERROR(VLOOKUP(MID(N7,Q7,R7-Q7),[5]skilldef!$C:$D,2,FALSE),"-") &amp; " / " &amp; IFERROR(VLOOKUP(MID(N7,O7,P7-O7),[5]skilldef!$A:$B,2,FALSE),"-")</f>
        <v>味方全体に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59001107</v>
      </c>
      <c r="B8" s="47" t="s">
        <v>354</v>
      </c>
      <c r="C8" s="50">
        <v>3</v>
      </c>
      <c r="D8" s="50" t="s">
        <v>127</v>
      </c>
      <c r="E8" s="51" t="s">
        <v>334</v>
      </c>
      <c r="F8" s="51" t="s">
        <v>270</v>
      </c>
      <c r="G8" s="63" t="str">
        <f t="shared" ref="G8" si="16">IFERROR(LEFT(B8,FIND("],",B8)),B8)</f>
        <v>[effect:enemy_message, val1:1.4, val2:1.2]</v>
      </c>
      <c r="H8" s="63">
        <f t="shared" ref="H8" si="17">FIND("effect:",G8)+7</f>
        <v>9</v>
      </c>
      <c r="I8" s="63">
        <f t="shared" ref="I8" si="18">IFERROR(FIND(",",G8),LEN(G8))</f>
        <v>22</v>
      </c>
      <c r="J8" s="63" t="e">
        <f t="shared" ref="J8" si="19">FIND("target:",G8)+7</f>
        <v>#VALUE!</v>
      </c>
      <c r="K8" s="63">
        <f t="shared" ref="K8" si="20">FIND(",",G8,I8+1)</f>
        <v>32</v>
      </c>
      <c r="L8" s="63" t="str">
        <f>IFERROR(VLOOKUP(MID(G8,J8,K8-J8),[5]skilldef!$C:$D,2,FALSE),"-") &amp; " / " &amp; IFERROR(VLOOKUP(MID(G8,H8,I8-H8),[5]skilldef!$A:$B,2,FALSE),"-")</f>
        <v>- / -</v>
      </c>
      <c r="M8" s="63" t="str">
        <f t="shared" ref="M8" si="21">IFERROR(RIGHT(B8,LEN(B8)-FIND("],",B8)-1),"none")</f>
        <v>[effect:enhance_fever, val:500, animation:fevergauge_up04]</v>
      </c>
      <c r="N8" s="48" t="str">
        <f t="shared" si="6"/>
        <v>[effect:enhance_fever, val:500, animation:fevergauge_up04]</v>
      </c>
      <c r="O8" s="63">
        <f t="shared" ref="O8" si="22">FIND("effect:",N8)+7</f>
        <v>9</v>
      </c>
      <c r="P8" s="63">
        <f t="shared" ref="P8" si="23">IFERROR(FIND(",",N8),LEN(N8))</f>
        <v>22</v>
      </c>
      <c r="Q8" s="63" t="e">
        <f t="shared" ref="Q8" si="24">FIND("target:",N8)+7</f>
        <v>#VALUE!</v>
      </c>
      <c r="R8" s="63">
        <f t="shared" ref="R8" si="25">FIND(",",N8,P8+1)</f>
        <v>31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 t="shared" ref="T8" si="26">IFERROR(RIGHT(M8,LEN(M8)-FIND("],",M8)-1),"none")</f>
        <v>none</v>
      </c>
      <c r="U8" s="63" t="e">
        <f t="shared" ref="U8" si="27">FIND("effect:",T8)+7</f>
        <v>#VALUE!</v>
      </c>
      <c r="V8" s="63">
        <f t="shared" ref="V8" si="28">IFERROR(FIND(",",T8),LEN(T8))</f>
        <v>4</v>
      </c>
      <c r="W8" s="63" t="e">
        <f t="shared" ref="W8" si="29">FIND("target:",T8)+7</f>
        <v>#VALUE!</v>
      </c>
      <c r="X8" s="63" t="e">
        <f t="shared" ref="X8" si="30">FIND(",",T8,V8+1)</f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59001201</v>
      </c>
      <c r="B9" s="47" t="s">
        <v>355</v>
      </c>
      <c r="C9" s="50">
        <v>3</v>
      </c>
      <c r="D9" s="50" t="s">
        <v>127</v>
      </c>
      <c r="E9" s="51" t="s">
        <v>275</v>
      </c>
      <c r="F9" s="51" t="s">
        <v>271</v>
      </c>
      <c r="G9" s="63" t="str">
        <f t="shared" si="0"/>
        <v>[effect:enemy_message, val1:1.5, val2:3.4]</v>
      </c>
      <c r="H9" s="63">
        <f t="shared" si="1"/>
        <v>9</v>
      </c>
      <c r="I9" s="63">
        <f t="shared" si="2"/>
        <v>22</v>
      </c>
      <c r="J9" s="63" t="e">
        <f t="shared" si="3"/>
        <v>#VALUE!</v>
      </c>
      <c r="K9" s="63">
        <f t="shared" si="4"/>
        <v>32</v>
      </c>
      <c r="L9" s="63" t="str">
        <f>IFERROR(VLOOKUP(MID(G9,J9,K9-J9),[5]skilldef!$C:$D,2,FALSE),"-") &amp; " / " &amp; IFERROR(VLOOKUP(MID(G9,H9,I9-H9),[5]skilldef!$A:$B,2,FALSE),"-")</f>
        <v>- / -</v>
      </c>
      <c r="M9" s="63" t="str">
        <f t="shared" si="5"/>
        <v>[effect:attack_command, target:unit_all, turn:-1, val:1.0, animation:unit_all_attack_command05],[effect:suicide, target:enemy_all, val:1, dead_type:escape]</v>
      </c>
      <c r="N9" s="48" t="str">
        <f>IFERROR(LEFT(M9,FIND("],",M9)+S18),M9)</f>
        <v>[effect:attack_command, target:unit_all, turn:-1, val:1.0, animation:unit_all_attack_command05],[effect:suicide, target:enemy_all, val:1, dead_type:escape]</v>
      </c>
      <c r="O9" s="63">
        <f t="shared" si="7"/>
        <v>9</v>
      </c>
      <c r="P9" s="63">
        <f t="shared" si="8"/>
        <v>23</v>
      </c>
      <c r="Q9" s="63">
        <f t="shared" si="9"/>
        <v>32</v>
      </c>
      <c r="R9" s="63">
        <f t="shared" si="10"/>
        <v>40</v>
      </c>
      <c r="S9" s="63" t="str">
        <f>IFERROR(VLOOKUP(MID(N9,Q9,R9-Q9),[5]skilldef!$C:$D,2,FALSE),"-") &amp; " / " &amp; IFERROR(VLOOKUP(MID(N9,O9,P9-O9),[5]skilldef!$A:$B,2,FALSE),"-")</f>
        <v>味方全体に / -</v>
      </c>
      <c r="T9" s="48" t="str">
        <f t="shared" si="11"/>
        <v>[effect:suicide, target:enemy_all, val:1, dead_type:escape]</v>
      </c>
      <c r="U9" s="63">
        <f t="shared" si="12"/>
        <v>9</v>
      </c>
      <c r="V9" s="63">
        <f t="shared" si="13"/>
        <v>16</v>
      </c>
      <c r="W9" s="63">
        <f t="shared" si="14"/>
        <v>25</v>
      </c>
      <c r="X9" s="63">
        <f t="shared" si="15"/>
        <v>34</v>
      </c>
      <c r="Y9" s="63" t="str">
        <f>IFERROR(VLOOKUP(MID(T9,W9,X9-W9),[5]skilldef!$C:$D,2,FALSE),"-") &amp; " / " &amp; IFERROR(VLOOKUP(MID(T9,U9,V9-U9),[5]skilldef!$A:$B,2,FALSE),"-")</f>
        <v>敵全体に / -</v>
      </c>
      <c r="Z9" s="50"/>
      <c r="AA9" s="52"/>
      <c r="AB9" s="50"/>
    </row>
    <row r="10" spans="1:28" ht="21" customHeight="1" x14ac:dyDescent="0.15">
      <c r="A10" s="47">
        <v>59001301</v>
      </c>
      <c r="B10" s="47" t="s">
        <v>356</v>
      </c>
      <c r="C10" s="50">
        <v>3</v>
      </c>
      <c r="D10" s="50" t="s">
        <v>127</v>
      </c>
      <c r="E10" s="51" t="s">
        <v>288</v>
      </c>
      <c r="F10" s="51" t="s">
        <v>258</v>
      </c>
      <c r="G10" s="63" t="str">
        <f t="shared" si="0"/>
        <v>[effect:enemy_message, val1:1.2, val2:1.2]</v>
      </c>
      <c r="H10" s="63">
        <f t="shared" si="1"/>
        <v>9</v>
      </c>
      <c r="I10" s="63">
        <f t="shared" si="2"/>
        <v>22</v>
      </c>
      <c r="J10" s="63" t="e">
        <f t="shared" si="3"/>
        <v>#VALUE!</v>
      </c>
      <c r="K10" s="63">
        <f t="shared" si="4"/>
        <v>32</v>
      </c>
      <c r="L10" s="63" t="str">
        <f>IFERROR(VLOOKUP(MID(G10,J10,K10-J10),[5]skilldef!$C:$D,2,FALSE),"-") &amp; " / " &amp; IFERROR(VLOOKUP(MID(G10,H10,I10-H10),[5]skilldef!$A:$B,2,FALSE),"-")</f>
        <v>- / -</v>
      </c>
      <c r="M10" s="63" t="str">
        <f t="shared" si="5"/>
        <v>[effect:fix_speed, target:myself, turn:1],[effect:dis_panel, target:block_red, turn:-1, animation:enemy_dis_red],[effect:dis_panel, target:block_blue, turn:-1, animation:enemy_dis_blue]</v>
      </c>
      <c r="N10" s="48" t="str">
        <f t="shared" ref="N10:N45" si="31">IFERROR(LEFT(M10,FIND("],",M10)+S20),M10)</f>
        <v>[effect:fix_speed, target:myself, turn:1],[effect:dis_panel, target:block_red, turn:-1, animation:enemy_dis_red],[effect:dis_panel, target:block_blue, turn:-1, animation:enemy_dis_blue]</v>
      </c>
      <c r="O10" s="63">
        <f t="shared" si="7"/>
        <v>9</v>
      </c>
      <c r="P10" s="63">
        <f t="shared" si="8"/>
        <v>18</v>
      </c>
      <c r="Q10" s="63">
        <f t="shared" si="9"/>
        <v>27</v>
      </c>
      <c r="R10" s="63">
        <f t="shared" si="10"/>
        <v>33</v>
      </c>
      <c r="S10" s="63" t="str">
        <f>IFERROR(VLOOKUP(MID(N10,Q10,R10-Q10),[5]skilldef!$C:$D,2,FALSE),"-") &amp; " / " &amp; IFERROR(VLOOKUP(MID(N10,O10,P10-O10),[5]skilldef!$A:$B,2,FALSE),"-")</f>
        <v>自分自身に / 行動値設定</v>
      </c>
      <c r="T10" s="48" t="str">
        <f t="shared" si="11"/>
        <v>[effect:dis_panel, target:block_red, turn:-1, animation:enemy_dis_red],[effect:dis_panel, target:block_blue, turn:-1, animation:enemy_dis_blue]</v>
      </c>
      <c r="U10" s="63">
        <f t="shared" si="12"/>
        <v>9</v>
      </c>
      <c r="V10" s="63">
        <f t="shared" si="13"/>
        <v>18</v>
      </c>
      <c r="W10" s="63">
        <f t="shared" si="14"/>
        <v>27</v>
      </c>
      <c r="X10" s="63">
        <f t="shared" si="15"/>
        <v>36</v>
      </c>
      <c r="Y10" s="63" t="str">
        <f>IFERROR(VLOOKUP(MID(T10,W10,X10-W10),[5]skilldef!$C:$D,2,FALSE),"-") &amp; " / " &amp; IFERROR(VLOOKUP(MID(T10,U10,V10-U10),[5]skilldef!$A:$B,2,FALSE),"-")</f>
        <v>赤パネルを / ディスパネル</v>
      </c>
      <c r="Z10" s="50"/>
      <c r="AA10" s="52"/>
      <c r="AB10" s="50"/>
    </row>
    <row r="11" spans="1:28" ht="21" customHeight="1" x14ac:dyDescent="0.15">
      <c r="A11" s="47">
        <v>59001302</v>
      </c>
      <c r="B11" s="47" t="s">
        <v>357</v>
      </c>
      <c r="C11" s="50">
        <v>3</v>
      </c>
      <c r="D11" s="50" t="s">
        <v>127</v>
      </c>
      <c r="E11" s="51" t="s">
        <v>287</v>
      </c>
      <c r="F11" s="51" t="s">
        <v>378</v>
      </c>
      <c r="G11" s="63" t="str">
        <f t="shared" si="0"/>
        <v>[effect:enemy_message, val1:1.2, val2:3.7]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>
        <f t="shared" si="4"/>
        <v>32</v>
      </c>
      <c r="L11" s="63" t="str">
        <f>IFERROR(VLOOKUP(MID(G11,J11,K11-J11),[5]skilldef!$C:$D,2,FALSE),"-") &amp; " / " &amp; IFERROR(VLOOKUP(MID(G11,H11,I11-H11),[5]skilldef!$A:$B,2,FALSE),"-")</f>
        <v>- / -</v>
      </c>
      <c r="M11" s="63" t="str">
        <f t="shared" si="5"/>
        <v>[effect:spread, val:0.15],[effect:rush, count:2, val:0.2]</v>
      </c>
      <c r="N11" s="48" t="str">
        <f t="shared" si="31"/>
        <v>[effect:spread, val:0.15],[effect:rush, count:2, val:0.2]</v>
      </c>
      <c r="O11" s="63">
        <f t="shared" si="7"/>
        <v>9</v>
      </c>
      <c r="P11" s="63">
        <f t="shared" si="8"/>
        <v>15</v>
      </c>
      <c r="Q11" s="63" t="e">
        <f t="shared" si="9"/>
        <v>#VALUE!</v>
      </c>
      <c r="R11" s="63">
        <f t="shared" si="10"/>
        <v>26</v>
      </c>
      <c r="S11" s="63" t="str">
        <f>IFERROR(VLOOKUP(MID(N11,Q11,R11-Q11),[5]skilldef!$C:$D,2,FALSE),"-") &amp; " / " &amp; IFERROR(VLOOKUP(MID(N11,O11,P11-O11),[5]skilldef!$A:$B,2,FALSE),"-")</f>
        <v>- / 全体攻撃</v>
      </c>
      <c r="T11" s="48" t="str">
        <f t="shared" si="11"/>
        <v>[effect:rush, count:2, val:0.2]</v>
      </c>
      <c r="U11" s="63">
        <f t="shared" si="12"/>
        <v>9</v>
      </c>
      <c r="V11" s="63">
        <f t="shared" si="13"/>
        <v>13</v>
      </c>
      <c r="W11" s="63" t="e">
        <f t="shared" si="14"/>
        <v>#VALUE!</v>
      </c>
      <c r="X11" s="63">
        <f t="shared" si="15"/>
        <v>22</v>
      </c>
      <c r="Y11" s="63" t="str">
        <f>IFERROR(VLOOKUP(MID(T11,W11,X11-W11),[5]skilldef!$C:$D,2,FALSE),"-") &amp; " / " &amp; IFERROR(VLOOKUP(MID(T11,U11,V11-U11),[5]skilldef!$A:$B,2,FALSE),"-")</f>
        <v>- / 連続攻撃</v>
      </c>
      <c r="Z11" s="50"/>
      <c r="AA11" s="52"/>
      <c r="AB11" s="50"/>
    </row>
    <row r="12" spans="1:28" ht="21" customHeight="1" x14ac:dyDescent="0.15">
      <c r="A12" s="47">
        <v>59001303</v>
      </c>
      <c r="B12" s="47" t="s">
        <v>358</v>
      </c>
      <c r="C12" s="50">
        <v>3</v>
      </c>
      <c r="D12" s="50" t="s">
        <v>127</v>
      </c>
      <c r="E12" s="51" t="s">
        <v>284</v>
      </c>
      <c r="F12" s="51" t="s">
        <v>378</v>
      </c>
      <c r="G12" s="63" t="str">
        <f t="shared" si="0"/>
        <v>[effect:enemy_message, val1:1.2, val2:3.7]</v>
      </c>
      <c r="H12" s="63">
        <f t="shared" si="1"/>
        <v>9</v>
      </c>
      <c r="I12" s="63">
        <f t="shared" si="2"/>
        <v>22</v>
      </c>
      <c r="J12" s="63" t="e">
        <f t="shared" si="3"/>
        <v>#VALUE!</v>
      </c>
      <c r="K12" s="63">
        <f t="shared" si="4"/>
        <v>32</v>
      </c>
      <c r="L12" s="63" t="str">
        <f>IFERROR(VLOOKUP(MID(G12,J12,K12-J12),[5]skilldef!$C:$D,2,FALSE),"-") &amp; " / " &amp; IFERROR(VLOOKUP(MID(G12,H12,I12-H12),[5]skilldef!$A:$B,2,FALSE),"-")</f>
        <v>- / -</v>
      </c>
      <c r="M12" s="63" t="str">
        <f t="shared" si="5"/>
        <v>[effect:spread, val:0.2],[effect:rush, count:2, val:0.25]</v>
      </c>
      <c r="N12" s="48" t="str">
        <f t="shared" si="31"/>
        <v>[effect:spread, val:0.2],[effect:rush, count:2, val:0.25]</v>
      </c>
      <c r="O12" s="63">
        <f t="shared" si="7"/>
        <v>9</v>
      </c>
      <c r="P12" s="63">
        <f t="shared" si="8"/>
        <v>15</v>
      </c>
      <c r="Q12" s="63" t="e">
        <f t="shared" si="9"/>
        <v>#VALUE!</v>
      </c>
      <c r="R12" s="63">
        <f t="shared" si="10"/>
        <v>25</v>
      </c>
      <c r="S12" s="63" t="str">
        <f>IFERROR(VLOOKUP(MID(N12,Q12,R12-Q12),[5]skilldef!$C:$D,2,FALSE),"-") &amp; " / " &amp; IFERROR(VLOOKUP(MID(N12,O12,P12-O12),[5]skilldef!$A:$B,2,FALSE),"-")</f>
        <v>- / 全体攻撃</v>
      </c>
      <c r="T12" s="48" t="str">
        <f t="shared" si="11"/>
        <v>[effect:rush, count:2, val:0.25]</v>
      </c>
      <c r="U12" s="63">
        <f t="shared" si="12"/>
        <v>9</v>
      </c>
      <c r="V12" s="63">
        <f t="shared" si="13"/>
        <v>13</v>
      </c>
      <c r="W12" s="63" t="e">
        <f t="shared" si="14"/>
        <v>#VALUE!</v>
      </c>
      <c r="X12" s="63">
        <f t="shared" si="15"/>
        <v>22</v>
      </c>
      <c r="Y12" s="63" t="str">
        <f>IFERROR(VLOOKUP(MID(T12,W12,X12-W12),[5]skilldef!$C:$D,2,FALSE),"-") &amp; " / " &amp; IFERROR(VLOOKUP(MID(T12,U12,V12-U12),[5]skilldef!$A:$B,2,FALSE),"-")</f>
        <v>- / 連続攻撃</v>
      </c>
      <c r="Z12" s="50"/>
      <c r="AA12" s="52"/>
      <c r="AB12" s="50"/>
    </row>
    <row r="13" spans="1:28" ht="21" customHeight="1" x14ac:dyDescent="0.15">
      <c r="A13" s="47">
        <v>59001304</v>
      </c>
      <c r="B13" s="47" t="s">
        <v>359</v>
      </c>
      <c r="C13" s="50">
        <v>3</v>
      </c>
      <c r="D13" s="50" t="s">
        <v>127</v>
      </c>
      <c r="E13" s="51" t="s">
        <v>285</v>
      </c>
      <c r="F13" s="51" t="s">
        <v>378</v>
      </c>
      <c r="G13" s="63" t="str">
        <f t="shared" si="0"/>
        <v>[effect:enemy_message, val1:1.2, val2:3.7]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32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 t="shared" si="5"/>
        <v>[effect:spread, val:0.25],[effect:rush, count:2, val:0.3]</v>
      </c>
      <c r="N13" s="48" t="str">
        <f t="shared" si="31"/>
        <v>[effect:spread, val:0.25],[effect:rush, count:2, val:0.3]</v>
      </c>
      <c r="O13" s="63">
        <f t="shared" si="7"/>
        <v>9</v>
      </c>
      <c r="P13" s="63">
        <f t="shared" si="8"/>
        <v>15</v>
      </c>
      <c r="Q13" s="63" t="e">
        <f t="shared" si="9"/>
        <v>#VALUE!</v>
      </c>
      <c r="R13" s="63">
        <f t="shared" si="10"/>
        <v>26</v>
      </c>
      <c r="S13" s="63" t="str">
        <f>IFERROR(VLOOKUP(MID(N13,Q13,R13-Q13),[5]skilldef!$C:$D,2,FALSE),"-") &amp; " / " &amp; IFERROR(VLOOKUP(MID(N13,O13,P13-O13),[5]skilldef!$A:$B,2,FALSE),"-")</f>
        <v>- / 全体攻撃</v>
      </c>
      <c r="T13" s="48" t="str">
        <f t="shared" si="11"/>
        <v>[effect:rush, count:2, val:0.3]</v>
      </c>
      <c r="U13" s="63">
        <f t="shared" si="12"/>
        <v>9</v>
      </c>
      <c r="V13" s="63">
        <f t="shared" si="13"/>
        <v>13</v>
      </c>
      <c r="W13" s="63" t="e">
        <f t="shared" si="14"/>
        <v>#VALUE!</v>
      </c>
      <c r="X13" s="63">
        <f t="shared" si="15"/>
        <v>22</v>
      </c>
      <c r="Y13" s="63" t="str">
        <f>IFERROR(VLOOKUP(MID(T13,W13,X13-W13),[5]skilldef!$C:$D,2,FALSE),"-") &amp; " / " &amp; IFERROR(VLOOKUP(MID(T13,U13,V13-U13),[5]skilldef!$A:$B,2,FALSE),"-")</f>
        <v>- / 連続攻撃</v>
      </c>
      <c r="Z13" s="50"/>
      <c r="AA13" s="52"/>
      <c r="AB13" s="50"/>
    </row>
    <row r="14" spans="1:28" ht="21" customHeight="1" x14ac:dyDescent="0.15">
      <c r="A14" s="47">
        <v>59001305</v>
      </c>
      <c r="B14" s="47" t="s">
        <v>360</v>
      </c>
      <c r="C14" s="50">
        <v>3</v>
      </c>
      <c r="D14" s="50" t="s">
        <v>127</v>
      </c>
      <c r="E14" s="51" t="s">
        <v>287</v>
      </c>
      <c r="F14" s="51" t="s">
        <v>378</v>
      </c>
      <c r="G14" s="63" t="str">
        <f t="shared" si="0"/>
        <v>[effect:enemy_message, val1:1.2, val2:3.7]</v>
      </c>
      <c r="H14" s="63">
        <f t="shared" si="1"/>
        <v>9</v>
      </c>
      <c r="I14" s="63">
        <f t="shared" si="2"/>
        <v>22</v>
      </c>
      <c r="J14" s="63" t="e">
        <f t="shared" si="3"/>
        <v>#VALUE!</v>
      </c>
      <c r="K14" s="63">
        <f t="shared" si="4"/>
        <v>32</v>
      </c>
      <c r="L14" s="63" t="str">
        <f>IFERROR(VLOOKUP(MID(G14,J14,K14-J14),[5]skilldef!$C:$D,2,FALSE),"-") &amp; " / " &amp; IFERROR(VLOOKUP(MID(G14,H14,I14-H14),[5]skilldef!$A:$B,2,FALSE),"-")</f>
        <v>- / -</v>
      </c>
      <c r="M14" s="63" t="str">
        <f t="shared" si="5"/>
        <v>[effect:spread, val:0.15],[effect:rush, count:2, val:0.2]</v>
      </c>
      <c r="N14" s="48" t="str">
        <f t="shared" si="31"/>
        <v>[effect:spread, val:0.15],[effect:rush, count:2, val:0.2]</v>
      </c>
      <c r="O14" s="63">
        <f t="shared" si="7"/>
        <v>9</v>
      </c>
      <c r="P14" s="63">
        <f t="shared" si="8"/>
        <v>15</v>
      </c>
      <c r="Q14" s="63" t="e">
        <f t="shared" si="9"/>
        <v>#VALUE!</v>
      </c>
      <c r="R14" s="63">
        <f t="shared" si="10"/>
        <v>26</v>
      </c>
      <c r="S14" s="63" t="str">
        <f>IFERROR(VLOOKUP(MID(N14,Q14,R14-Q14),[5]skilldef!$C:$D,2,FALSE),"-") &amp; " / " &amp; IFERROR(VLOOKUP(MID(N14,O14,P14-O14),[5]skilldef!$A:$B,2,FALSE),"-")</f>
        <v>- / 全体攻撃</v>
      </c>
      <c r="T14" s="48" t="str">
        <f t="shared" si="11"/>
        <v>[effect:rush, count:2, val:0.2]</v>
      </c>
      <c r="U14" s="63">
        <f t="shared" si="12"/>
        <v>9</v>
      </c>
      <c r="V14" s="63">
        <f t="shared" si="13"/>
        <v>13</v>
      </c>
      <c r="W14" s="63" t="e">
        <f t="shared" si="14"/>
        <v>#VALUE!</v>
      </c>
      <c r="X14" s="63">
        <f t="shared" si="15"/>
        <v>22</v>
      </c>
      <c r="Y14" s="63" t="str">
        <f>IFERROR(VLOOKUP(MID(T14,W14,X14-W14),[5]skilldef!$C:$D,2,FALSE),"-") &amp; " / " &amp; IFERROR(VLOOKUP(MID(T14,U14,V14-U14),[5]skilldef!$A:$B,2,FALSE),"-")</f>
        <v>- / 連続攻撃</v>
      </c>
      <c r="Z14" s="50"/>
      <c r="AA14" s="52"/>
      <c r="AB14" s="50"/>
    </row>
    <row r="15" spans="1:28" ht="21" customHeight="1" x14ac:dyDescent="0.15">
      <c r="A15" s="47">
        <v>59001306</v>
      </c>
      <c r="B15" s="47" t="s">
        <v>361</v>
      </c>
      <c r="C15" s="50">
        <v>3</v>
      </c>
      <c r="D15" s="50" t="s">
        <v>127</v>
      </c>
      <c r="E15" s="51" t="s">
        <v>284</v>
      </c>
      <c r="F15" s="51" t="s">
        <v>378</v>
      </c>
      <c r="G15" s="63" t="str">
        <f t="shared" si="0"/>
        <v>[effect:enemy_message, val1:1.2, val2:3.7]</v>
      </c>
      <c r="H15" s="63">
        <f t="shared" si="1"/>
        <v>9</v>
      </c>
      <c r="I15" s="63">
        <f t="shared" si="2"/>
        <v>22</v>
      </c>
      <c r="J15" s="63" t="e">
        <f t="shared" si="3"/>
        <v>#VALUE!</v>
      </c>
      <c r="K15" s="63">
        <f t="shared" si="4"/>
        <v>32</v>
      </c>
      <c r="L15" s="63" t="str">
        <f>IFERROR(VLOOKUP(MID(G15,J15,K15-J15),[5]skilldef!$C:$D,2,FALSE),"-") &amp; " / " &amp; IFERROR(VLOOKUP(MID(G15,H15,I15-H15),[5]skilldef!$A:$B,2,FALSE),"-")</f>
        <v>- / -</v>
      </c>
      <c r="M15" s="63" t="str">
        <f t="shared" si="5"/>
        <v>[effect:spread, val:0.2],[effect:rush, count:2, val:0.25]</v>
      </c>
      <c r="N15" s="48" t="str">
        <f t="shared" si="31"/>
        <v>[effect:spread, val:0.2],[effect:rush, count:2, val:0.25]</v>
      </c>
      <c r="O15" s="63">
        <f t="shared" si="7"/>
        <v>9</v>
      </c>
      <c r="P15" s="63">
        <f t="shared" si="8"/>
        <v>15</v>
      </c>
      <c r="Q15" s="63" t="e">
        <f t="shared" si="9"/>
        <v>#VALUE!</v>
      </c>
      <c r="R15" s="63">
        <f t="shared" si="10"/>
        <v>25</v>
      </c>
      <c r="S15" s="63" t="str">
        <f>IFERROR(VLOOKUP(MID(N15,Q15,R15-Q15),[5]skilldef!$C:$D,2,FALSE),"-") &amp; " / " &amp; IFERROR(VLOOKUP(MID(N15,O15,P15-O15),[5]skilldef!$A:$B,2,FALSE),"-")</f>
        <v>- / 全体攻撃</v>
      </c>
      <c r="T15" s="48" t="str">
        <f t="shared" si="11"/>
        <v>[effect:rush, count:2, val:0.25]</v>
      </c>
      <c r="U15" s="63">
        <f t="shared" si="12"/>
        <v>9</v>
      </c>
      <c r="V15" s="63">
        <f t="shared" si="13"/>
        <v>13</v>
      </c>
      <c r="W15" s="63" t="e">
        <f t="shared" si="14"/>
        <v>#VALUE!</v>
      </c>
      <c r="X15" s="63">
        <f t="shared" si="15"/>
        <v>22</v>
      </c>
      <c r="Y15" s="63" t="str">
        <f>IFERROR(VLOOKUP(MID(T15,W15,X15-W15),[5]skilldef!$C:$D,2,FALSE),"-") &amp; " / " &amp; IFERROR(VLOOKUP(MID(T15,U15,V15-U15),[5]skilldef!$A:$B,2,FALSE),"-")</f>
        <v>- / 連続攻撃</v>
      </c>
      <c r="Z15" s="50"/>
      <c r="AA15" s="52"/>
      <c r="AB15" s="50"/>
    </row>
    <row r="16" spans="1:28" ht="21" customHeight="1" x14ac:dyDescent="0.15">
      <c r="A16" s="47">
        <v>59001307</v>
      </c>
      <c r="B16" s="47" t="s">
        <v>359</v>
      </c>
      <c r="C16" s="50">
        <v>3</v>
      </c>
      <c r="D16" s="50" t="s">
        <v>127</v>
      </c>
      <c r="E16" s="51" t="s">
        <v>285</v>
      </c>
      <c r="F16" s="51" t="s">
        <v>378</v>
      </c>
      <c r="G16" s="63" t="str">
        <f t="shared" si="0"/>
        <v>[effect:enemy_message, val1:1.2, val2:3.7]</v>
      </c>
      <c r="H16" s="63">
        <f t="shared" si="1"/>
        <v>9</v>
      </c>
      <c r="I16" s="63">
        <f t="shared" si="2"/>
        <v>22</v>
      </c>
      <c r="J16" s="63" t="e">
        <f t="shared" si="3"/>
        <v>#VALUE!</v>
      </c>
      <c r="K16" s="63">
        <f t="shared" si="4"/>
        <v>32</v>
      </c>
      <c r="L16" s="63" t="str">
        <f>IFERROR(VLOOKUP(MID(G16,J16,K16-J16),[5]skilldef!$C:$D,2,FALSE),"-") &amp; " / " &amp; IFERROR(VLOOKUP(MID(G16,H16,I16-H16),[5]skilldef!$A:$B,2,FALSE),"-")</f>
        <v>- / -</v>
      </c>
      <c r="M16" s="63" t="str">
        <f t="shared" si="5"/>
        <v>[effect:spread, val:0.25],[effect:rush, count:2, val:0.3]</v>
      </c>
      <c r="N16" s="48" t="str">
        <f t="shared" si="31"/>
        <v>[effect:spread, val:0.25],[effect:rush, count:2, val:0.3]</v>
      </c>
      <c r="O16" s="63">
        <f t="shared" si="7"/>
        <v>9</v>
      </c>
      <c r="P16" s="63">
        <f t="shared" si="8"/>
        <v>15</v>
      </c>
      <c r="Q16" s="63" t="e">
        <f t="shared" si="9"/>
        <v>#VALUE!</v>
      </c>
      <c r="R16" s="63">
        <f t="shared" si="10"/>
        <v>26</v>
      </c>
      <c r="S16" s="63" t="str">
        <f>IFERROR(VLOOKUP(MID(N16,Q16,R16-Q16),[5]skilldef!$C:$D,2,FALSE),"-") &amp; " / " &amp; IFERROR(VLOOKUP(MID(N16,O16,P16-O16),[5]skilldef!$A:$B,2,FALSE),"-")</f>
        <v>- / 全体攻撃</v>
      </c>
      <c r="T16" s="48" t="str">
        <f t="shared" si="11"/>
        <v>[effect:rush, count:2, val:0.3]</v>
      </c>
      <c r="U16" s="63">
        <f t="shared" si="12"/>
        <v>9</v>
      </c>
      <c r="V16" s="63">
        <f t="shared" si="13"/>
        <v>13</v>
      </c>
      <c r="W16" s="63" t="e">
        <f t="shared" si="14"/>
        <v>#VALUE!</v>
      </c>
      <c r="X16" s="63">
        <f t="shared" si="15"/>
        <v>22</v>
      </c>
      <c r="Y16" s="63" t="str">
        <f>IFERROR(VLOOKUP(MID(T16,W16,X16-W16),[5]skilldef!$C:$D,2,FALSE),"-") &amp; " / " &amp; IFERROR(VLOOKUP(MID(T16,U16,V16-U16),[5]skilldef!$A:$B,2,FALSE),"-")</f>
        <v>- / 連続攻撃</v>
      </c>
      <c r="Z16" s="50"/>
      <c r="AA16" s="52"/>
      <c r="AB16" s="50"/>
    </row>
    <row r="17" spans="1:28" ht="21" customHeight="1" x14ac:dyDescent="0.15">
      <c r="A17" s="47">
        <v>59001308</v>
      </c>
      <c r="B17" s="47" t="s">
        <v>360</v>
      </c>
      <c r="C17" s="50">
        <v>3</v>
      </c>
      <c r="D17" s="50" t="s">
        <v>127</v>
      </c>
      <c r="E17" s="51" t="s">
        <v>287</v>
      </c>
      <c r="F17" s="51" t="s">
        <v>378</v>
      </c>
      <c r="G17" s="63" t="str">
        <f t="shared" si="0"/>
        <v>[effect:enemy_message, val1:1.2, val2:3.7]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32</v>
      </c>
      <c r="L17" s="63" t="str">
        <f>IFERROR(VLOOKUP(MID(G17,J17,K17-J17),[5]skilldef!$C:$D,2,FALSE),"-") &amp; " / " &amp; IFERROR(VLOOKUP(MID(G17,H17,I17-H17),[5]skilldef!$A:$B,2,FALSE),"-")</f>
        <v>- / -</v>
      </c>
      <c r="M17" s="63" t="str">
        <f t="shared" si="5"/>
        <v>[effect:spread, val:0.15],[effect:rush, count:2, val:0.2]</v>
      </c>
      <c r="N17" s="48" t="str">
        <f t="shared" si="31"/>
        <v>[effect:spread, val:0.15],[effect:rush, count:2, val:0.2]</v>
      </c>
      <c r="O17" s="63">
        <f t="shared" si="7"/>
        <v>9</v>
      </c>
      <c r="P17" s="63">
        <f t="shared" si="8"/>
        <v>15</v>
      </c>
      <c r="Q17" s="63" t="e">
        <f t="shared" si="9"/>
        <v>#VALUE!</v>
      </c>
      <c r="R17" s="63">
        <f t="shared" si="10"/>
        <v>26</v>
      </c>
      <c r="S17" s="63" t="str">
        <f>IFERROR(VLOOKUP(MID(N17,Q17,R17-Q17),[5]skilldef!$C:$D,2,FALSE),"-") &amp; " / " &amp; IFERROR(VLOOKUP(MID(N17,O17,P17-O17),[5]skilldef!$A:$B,2,FALSE),"-")</f>
        <v>- / 全体攻撃</v>
      </c>
      <c r="T17" s="48" t="str">
        <f t="shared" si="11"/>
        <v>[effect:rush, count:2, val:0.2]</v>
      </c>
      <c r="U17" s="63">
        <f t="shared" si="12"/>
        <v>9</v>
      </c>
      <c r="V17" s="63">
        <f t="shared" si="13"/>
        <v>13</v>
      </c>
      <c r="W17" s="63" t="e">
        <f t="shared" si="14"/>
        <v>#VALUE!</v>
      </c>
      <c r="X17" s="63">
        <f t="shared" si="15"/>
        <v>22</v>
      </c>
      <c r="Y17" s="63" t="str">
        <f>IFERROR(VLOOKUP(MID(T17,W17,X17-W17),[5]skilldef!$C:$D,2,FALSE),"-") &amp; " / " &amp; IFERROR(VLOOKUP(MID(T17,U17,V17-U17),[5]skilldef!$A:$B,2,FALSE),"-")</f>
        <v>- / 連続攻撃</v>
      </c>
      <c r="Z17" s="50"/>
      <c r="AA17" s="52"/>
      <c r="AB17" s="50"/>
    </row>
    <row r="18" spans="1:28" ht="21" customHeight="1" x14ac:dyDescent="0.15">
      <c r="A18" s="47">
        <v>59001309</v>
      </c>
      <c r="B18" s="47" t="s">
        <v>358</v>
      </c>
      <c r="C18" s="50">
        <v>3</v>
      </c>
      <c r="D18" s="50" t="s">
        <v>127</v>
      </c>
      <c r="E18" s="51" t="s">
        <v>284</v>
      </c>
      <c r="F18" s="51" t="s">
        <v>378</v>
      </c>
      <c r="G18" s="63" t="str">
        <f t="shared" si="0"/>
        <v>[effect:enemy_message, val1:1.2, val2:3.7]</v>
      </c>
      <c r="H18" s="63">
        <f t="shared" si="1"/>
        <v>9</v>
      </c>
      <c r="I18" s="63">
        <f t="shared" si="2"/>
        <v>22</v>
      </c>
      <c r="J18" s="63" t="e">
        <f t="shared" si="3"/>
        <v>#VALUE!</v>
      </c>
      <c r="K18" s="63">
        <f t="shared" si="4"/>
        <v>32</v>
      </c>
      <c r="L18" s="63" t="str">
        <f>IFERROR(VLOOKUP(MID(G18,J18,K18-J18),[5]skilldef!$C:$D,2,FALSE),"-") &amp; " / " &amp; IFERROR(VLOOKUP(MID(G18,H18,I18-H18),[5]skilldef!$A:$B,2,FALSE),"-")</f>
        <v>- / -</v>
      </c>
      <c r="M18" s="63" t="str">
        <f t="shared" si="5"/>
        <v>[effect:spread, val:0.2],[effect:rush, count:2, val:0.25]</v>
      </c>
      <c r="N18" s="48" t="str">
        <f t="shared" si="31"/>
        <v>[effect:spread, val:0.2],[effect:rush, count:2, val:0.25]</v>
      </c>
      <c r="O18" s="63">
        <f t="shared" si="7"/>
        <v>9</v>
      </c>
      <c r="P18" s="63">
        <f t="shared" si="8"/>
        <v>15</v>
      </c>
      <c r="Q18" s="63" t="e">
        <f t="shared" si="9"/>
        <v>#VALUE!</v>
      </c>
      <c r="R18" s="63">
        <f t="shared" si="10"/>
        <v>25</v>
      </c>
      <c r="S18" s="63" t="str">
        <f>IFERROR(VLOOKUP(MID(N18,Q18,R18-Q18),[5]skilldef!$C:$D,2,FALSE),"-") &amp; " / " &amp; IFERROR(VLOOKUP(MID(N18,O18,P18-O18),[5]skilldef!$A:$B,2,FALSE),"-")</f>
        <v>- / 全体攻撃</v>
      </c>
      <c r="T18" s="48" t="str">
        <f t="shared" si="11"/>
        <v>[effect:rush, count:2, val:0.25]</v>
      </c>
      <c r="U18" s="63">
        <f t="shared" si="12"/>
        <v>9</v>
      </c>
      <c r="V18" s="63">
        <f t="shared" si="13"/>
        <v>13</v>
      </c>
      <c r="W18" s="63" t="e">
        <f t="shared" si="14"/>
        <v>#VALUE!</v>
      </c>
      <c r="X18" s="63">
        <f t="shared" si="15"/>
        <v>22</v>
      </c>
      <c r="Y18" s="63" t="str">
        <f>IFERROR(VLOOKUP(MID(T18,W18,X18-W18),[5]skilldef!$C:$D,2,FALSE),"-") &amp; " / " &amp; IFERROR(VLOOKUP(MID(T18,U18,V18-U18),[5]skilldef!$A:$B,2,FALSE),"-")</f>
        <v>- / 連続攻撃</v>
      </c>
      <c r="Z18" s="50"/>
      <c r="AA18" s="52"/>
      <c r="AB18" s="50"/>
    </row>
    <row r="19" spans="1:28" ht="21" customHeight="1" x14ac:dyDescent="0.15">
      <c r="A19" s="47">
        <v>59001310</v>
      </c>
      <c r="B19" s="47" t="s">
        <v>359</v>
      </c>
      <c r="C19" s="50">
        <v>3</v>
      </c>
      <c r="D19" s="50" t="s">
        <v>127</v>
      </c>
      <c r="E19" s="51" t="s">
        <v>285</v>
      </c>
      <c r="F19" s="51" t="s">
        <v>378</v>
      </c>
      <c r="G19" s="63" t="str">
        <f t="shared" si="0"/>
        <v>[effect:enemy_message, val1:1.2, val2:3.7]</v>
      </c>
      <c r="H19" s="63">
        <f t="shared" si="1"/>
        <v>9</v>
      </c>
      <c r="I19" s="63">
        <f t="shared" si="2"/>
        <v>22</v>
      </c>
      <c r="J19" s="63" t="e">
        <f t="shared" si="3"/>
        <v>#VALUE!</v>
      </c>
      <c r="K19" s="63">
        <f t="shared" si="4"/>
        <v>32</v>
      </c>
      <c r="L19" s="63" t="str">
        <f>IFERROR(VLOOKUP(MID(G19,J19,K19-J19),[5]skilldef!$C:$D,2,FALSE),"-") &amp; " / " &amp; IFERROR(VLOOKUP(MID(G19,H19,I19-H19),[5]skilldef!$A:$B,2,FALSE),"-")</f>
        <v>- / -</v>
      </c>
      <c r="M19" s="63" t="str">
        <f t="shared" si="5"/>
        <v>[effect:spread, val:0.25],[effect:rush, count:2, val:0.3]</v>
      </c>
      <c r="N19" s="48" t="str">
        <f t="shared" si="31"/>
        <v>[effect:spread, val:0.25],[effect:rush, count:2, val:0.3]</v>
      </c>
      <c r="O19" s="63">
        <f t="shared" si="7"/>
        <v>9</v>
      </c>
      <c r="P19" s="63">
        <f t="shared" si="8"/>
        <v>15</v>
      </c>
      <c r="Q19" s="63" t="e">
        <f t="shared" si="9"/>
        <v>#VALUE!</v>
      </c>
      <c r="R19" s="63">
        <f t="shared" si="10"/>
        <v>26</v>
      </c>
      <c r="S19" s="63" t="str">
        <f>IFERROR(VLOOKUP(MID(N19,Q19,R19-Q19),[5]skilldef!$C:$D,2,FALSE),"-") &amp; " / " &amp; IFERROR(VLOOKUP(MID(N19,O19,P19-O19),[5]skilldef!$A:$B,2,FALSE),"-")</f>
        <v>- / 全体攻撃</v>
      </c>
      <c r="T19" s="48" t="str">
        <f t="shared" si="11"/>
        <v>[effect:rush, count:2, val:0.3]</v>
      </c>
      <c r="U19" s="63">
        <f t="shared" si="12"/>
        <v>9</v>
      </c>
      <c r="V19" s="63">
        <f t="shared" si="13"/>
        <v>13</v>
      </c>
      <c r="W19" s="63" t="e">
        <f t="shared" si="14"/>
        <v>#VALUE!</v>
      </c>
      <c r="X19" s="63">
        <f t="shared" si="15"/>
        <v>22</v>
      </c>
      <c r="Y19" s="63" t="str">
        <f>IFERROR(VLOOKUP(MID(T19,W19,X19-W19),[5]skilldef!$C:$D,2,FALSE),"-") &amp; " / " &amp; IFERROR(VLOOKUP(MID(T19,U19,V19-U19),[5]skilldef!$A:$B,2,FALSE),"-")</f>
        <v>- / 連続攻撃</v>
      </c>
      <c r="Z19" s="50"/>
      <c r="AA19" s="52"/>
      <c r="AB19" s="50"/>
    </row>
    <row r="20" spans="1:28" ht="21" customHeight="1" x14ac:dyDescent="0.15">
      <c r="A20" s="47">
        <v>59001311</v>
      </c>
      <c r="B20" s="47" t="s">
        <v>362</v>
      </c>
      <c r="C20" s="50">
        <v>3</v>
      </c>
      <c r="D20" s="50" t="s">
        <v>127</v>
      </c>
      <c r="E20" s="51" t="s">
        <v>286</v>
      </c>
      <c r="F20" s="51" t="s">
        <v>265</v>
      </c>
      <c r="G20" s="63" t="str">
        <f t="shared" si="0"/>
        <v>[effect:enemy_message, val1:1.3, val2:1.2]</v>
      </c>
      <c r="H20" s="63">
        <f t="shared" si="1"/>
        <v>9</v>
      </c>
      <c r="I20" s="63">
        <f t="shared" si="2"/>
        <v>22</v>
      </c>
      <c r="J20" s="63" t="e">
        <f t="shared" si="3"/>
        <v>#VALUE!</v>
      </c>
      <c r="K20" s="63">
        <f t="shared" si="4"/>
        <v>32</v>
      </c>
      <c r="L20" s="63" t="str">
        <f>IFERROR(VLOOKUP(MID(G20,J20,K20-J20),[5]skilldef!$C:$D,2,FALSE),"-") &amp; " / " &amp; IFERROR(VLOOKUP(MID(G20,H20,I20-H20),[5]skilldef!$A:$B,2,FALSE),"-")</f>
        <v>- / -</v>
      </c>
      <c r="M20" s="63" t="str">
        <f t="shared" si="5"/>
        <v>[effect:spread, val:0.4],[effect:rush, count:2, val:0.4]</v>
      </c>
      <c r="N20" s="48" t="str">
        <f t="shared" si="31"/>
        <v>[effect:spread, val:0.4],[effect:rush, count:2, val:0.4]</v>
      </c>
      <c r="O20" s="63">
        <f t="shared" si="7"/>
        <v>9</v>
      </c>
      <c r="P20" s="63">
        <f t="shared" si="8"/>
        <v>15</v>
      </c>
      <c r="Q20" s="63" t="e">
        <f t="shared" si="9"/>
        <v>#VALUE!</v>
      </c>
      <c r="R20" s="63">
        <f t="shared" si="10"/>
        <v>25</v>
      </c>
      <c r="S20" s="63" t="str">
        <f>IFERROR(VLOOKUP(MID(N20,Q20,R20-Q20),[5]skilldef!$C:$D,2,FALSE),"-") &amp; " / " &amp; IFERROR(VLOOKUP(MID(N20,O20,P20-O20),[5]skilldef!$A:$B,2,FALSE),"-")</f>
        <v>- / 全体攻撃</v>
      </c>
      <c r="T20" s="48" t="str">
        <f t="shared" si="11"/>
        <v>[effect:rush, count:2, val:0.4]</v>
      </c>
      <c r="U20" s="63">
        <f t="shared" si="12"/>
        <v>9</v>
      </c>
      <c r="V20" s="63">
        <f t="shared" si="13"/>
        <v>13</v>
      </c>
      <c r="W20" s="63" t="e">
        <f t="shared" si="14"/>
        <v>#VALUE!</v>
      </c>
      <c r="X20" s="63">
        <f t="shared" si="15"/>
        <v>22</v>
      </c>
      <c r="Y20" s="63" t="str">
        <f>IFERROR(VLOOKUP(MID(T20,W20,X20-W20),[5]skilldef!$C:$D,2,FALSE),"-") &amp; " / " &amp; IFERROR(VLOOKUP(MID(T20,U20,V20-U20),[5]skilldef!$A:$B,2,FALSE),"-")</f>
        <v>- / 連続攻撃</v>
      </c>
      <c r="Z20" s="50"/>
      <c r="AA20" s="52"/>
      <c r="AB20" s="50"/>
    </row>
    <row r="21" spans="1:28" ht="21" customHeight="1" x14ac:dyDescent="0.15">
      <c r="A21" s="47">
        <v>59001401</v>
      </c>
      <c r="B21" s="47" t="s">
        <v>363</v>
      </c>
      <c r="C21" s="50">
        <v>3</v>
      </c>
      <c r="D21" s="50" t="s">
        <v>127</v>
      </c>
      <c r="E21" s="51" t="s">
        <v>333</v>
      </c>
      <c r="F21" s="51" t="s">
        <v>347</v>
      </c>
      <c r="G21" s="63" t="str">
        <f t="shared" si="0"/>
        <v>[effect:enemy_message, val1:2.0, val2:1.2]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32</v>
      </c>
      <c r="L21" s="63" t="str">
        <f>IFERROR(VLOOKUP(MID(G21,J21,K21-J21),[5]skilldef!$C:$D,2,FALSE),"-") &amp; " / " &amp; IFERROR(VLOOKUP(MID(G21,H21,I21-H21),[5]skilldef!$A:$B,2,FALSE),"-")</f>
        <v>- / -</v>
      </c>
      <c r="M21" s="63" t="str">
        <f t="shared" si="5"/>
        <v>[effect:fix_speed, target:myself, turn:2],[effect:change_panel_ratio, turn:-1, block_type:yellow, val:0, animation:block_incidence04]</v>
      </c>
      <c r="N21" s="48" t="str">
        <f>IFERROR(LEFT(M21,FIND("],",M21)+S32),M21)</f>
        <v>[effect:fix_speed, target:myself, turn:2],[effect:change_panel_ratio, turn:-1, block_type:yellow, val:0, animation:block_incidence04]</v>
      </c>
      <c r="O21" s="63">
        <f t="shared" si="7"/>
        <v>9</v>
      </c>
      <c r="P21" s="63">
        <f t="shared" si="8"/>
        <v>18</v>
      </c>
      <c r="Q21" s="63">
        <f t="shared" si="9"/>
        <v>27</v>
      </c>
      <c r="R21" s="63">
        <f t="shared" si="10"/>
        <v>33</v>
      </c>
      <c r="S21" s="63" t="str">
        <f>IFERROR(VLOOKUP(MID(N21,Q21,R21-Q21),[5]skilldef!$C:$D,2,FALSE),"-") &amp; " / " &amp; IFERROR(VLOOKUP(MID(N21,O21,P21-O21),[5]skilldef!$A:$B,2,FALSE),"-")</f>
        <v>自分自身に / 行動値設定</v>
      </c>
      <c r="T21" s="48" t="str">
        <f t="shared" si="11"/>
        <v>[effect:change_panel_ratio, turn:-1, block_type:yellow, val:0, animation:block_incidence04]</v>
      </c>
      <c r="U21" s="63">
        <f t="shared" si="12"/>
        <v>9</v>
      </c>
      <c r="V21" s="63">
        <f t="shared" si="13"/>
        <v>27</v>
      </c>
      <c r="W21" s="63" t="e">
        <f t="shared" si="14"/>
        <v>#VALUE!</v>
      </c>
      <c r="X21" s="63">
        <f t="shared" si="15"/>
        <v>36</v>
      </c>
      <c r="Y21" s="63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47">
        <v>59001402</v>
      </c>
      <c r="B22" s="47" t="s">
        <v>364</v>
      </c>
      <c r="C22" s="50">
        <v>3</v>
      </c>
      <c r="D22" s="50" t="s">
        <v>127</v>
      </c>
      <c r="E22" s="51" t="s">
        <v>342</v>
      </c>
      <c r="F22" s="51" t="s">
        <v>263</v>
      </c>
      <c r="G22" s="63" t="str">
        <f t="shared" si="0"/>
        <v>[effect:enemy_message, val1:1.5, val2:1.4]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32</v>
      </c>
      <c r="L22" s="63" t="str">
        <f>IFERROR(VLOOKUP(MID(G22,J22,K22-J22),[5]skilldef!$C:$D,2,FALSE),"-") &amp; " / " &amp; IFERROR(VLOOKUP(MID(G22,H22,I22-H22),[5]skilldef!$A:$B,2,FALSE),"-")</f>
        <v>- / -</v>
      </c>
      <c r="M22" s="63" t="str">
        <f t="shared" si="5"/>
        <v>[effect:panel_freeze, target:normal, color:block_green, count:-1],[effect:spread, val:0.35]</v>
      </c>
      <c r="N22" s="48" t="str">
        <f>IFERROR(LEFT(M22,FIND("],",M22)+S33),M22)</f>
        <v>[effect:panel_freeze, target:normal, color:block_green, count:-1],[effect:spread, val:0.35]</v>
      </c>
      <c r="O22" s="63">
        <f t="shared" si="7"/>
        <v>9</v>
      </c>
      <c r="P22" s="63">
        <f t="shared" si="8"/>
        <v>21</v>
      </c>
      <c r="Q22" s="63">
        <f t="shared" si="9"/>
        <v>30</v>
      </c>
      <c r="R22" s="63">
        <f t="shared" si="10"/>
        <v>36</v>
      </c>
      <c r="S22" s="63" t="str">
        <f>IFERROR(VLOOKUP(MID(N22,Q22,R22-Q22),[5]skilldef!$C:$D,2,FALSE),"-") &amp; " / " &amp; IFERROR(VLOOKUP(MID(N22,O22,P22-O22),[5]skilldef!$A:$B,2,FALSE),"-")</f>
        <v>- / -</v>
      </c>
      <c r="T22" s="48" t="str">
        <f t="shared" si="11"/>
        <v>[effect:spread, val:0.35]</v>
      </c>
      <c r="U22" s="63">
        <f t="shared" si="12"/>
        <v>9</v>
      </c>
      <c r="V22" s="63">
        <f t="shared" si="13"/>
        <v>15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IFERROR(VLOOKUP(MID(T22,W22,X22-W22),[5]skilldef!$C:$D,2,FALSE),"-") &amp; " / " &amp; IFERROR(VLOOKUP(MID(T22,U22,V22-U22),[5]skilldef!$A:$B,2,FALSE),"-")</f>
        <v>- / 全体攻撃</v>
      </c>
      <c r="Z22" s="50"/>
      <c r="AA22" s="52"/>
      <c r="AB22" s="50"/>
    </row>
    <row r="23" spans="1:28" ht="21" customHeight="1" x14ac:dyDescent="0.15">
      <c r="A23" s="47">
        <v>59001403</v>
      </c>
      <c r="B23" s="47" t="s">
        <v>416</v>
      </c>
      <c r="C23" s="50">
        <v>3</v>
      </c>
      <c r="D23" s="50" t="s">
        <v>127</v>
      </c>
      <c r="E23" s="51" t="s">
        <v>343</v>
      </c>
      <c r="F23" s="51" t="s">
        <v>264</v>
      </c>
      <c r="G23" s="63" t="str">
        <f t="shared" si="0"/>
        <v>[effect:enemy_message, val1:2.2, val2:2.4]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32</v>
      </c>
      <c r="L23" s="63" t="str">
        <f>IFERROR(VLOOKUP(MID(G23,J23,K23-J23),[5]skilldef!$C:$D,2,FALSE),"-") &amp; " / " &amp; IFERROR(VLOOKUP(MID(G23,H23,I23-H23),[5]skilldef!$A:$B,2,FALSE),"-")</f>
        <v>- / -</v>
      </c>
      <c r="M23" s="63" t="str">
        <f t="shared" si="5"/>
        <v>[effect:force_change_block, new_block:jammer, target:block_all, ignore01:crash, ignore02:crack_bomb, ignore03:color_break, ignore04:magnet, count:3, val:0, animation:change_block],[effect:rush, count:3, val:0.4]</v>
      </c>
      <c r="N23" s="48" t="str">
        <f>IFERROR(LEFT(M23,FIND("],",M23)+S34),M23)</f>
        <v>[effect:force_change_block, new_block:jammer, target:block_all, ignore01:crash, ignore02:crack_bomb, ignore03:color_break, ignore04:magnet, count:3, val:0, animation:change_block],[effect:rush, count:3, val:0.4]</v>
      </c>
      <c r="O23" s="63">
        <f t="shared" si="7"/>
        <v>9</v>
      </c>
      <c r="P23" s="63">
        <f t="shared" si="8"/>
        <v>27</v>
      </c>
      <c r="Q23" s="63">
        <f t="shared" si="9"/>
        <v>54</v>
      </c>
      <c r="R23" s="63">
        <f t="shared" si="10"/>
        <v>45</v>
      </c>
      <c r="S23" s="63" t="str">
        <f>IFERROR(VLOOKUP(MID(N23,Q23,R23-Q23),[5]skilldef!$C:$D,2,FALSE),"-") &amp; " / " &amp; IFERROR(VLOOKUP(MID(N23,O23,P23-O23),[5]skilldef!$A:$B,2,FALSE),"-")</f>
        <v>- / -</v>
      </c>
      <c r="T23" s="48" t="str">
        <f t="shared" si="11"/>
        <v>[effect:rush, count:3, val:0.4]</v>
      </c>
      <c r="U23" s="63">
        <f t="shared" si="12"/>
        <v>9</v>
      </c>
      <c r="V23" s="63">
        <f t="shared" si="13"/>
        <v>13</v>
      </c>
      <c r="W23" s="63" t="e">
        <f t="shared" si="14"/>
        <v>#VALUE!</v>
      </c>
      <c r="X23" s="63">
        <f t="shared" si="15"/>
        <v>22</v>
      </c>
      <c r="Y23" s="63" t="str">
        <f>IFERROR(VLOOKUP(MID(T23,W23,X23-W23),[5]skilldef!$C:$D,2,FALSE),"-") &amp; " / " &amp; IFERROR(VLOOKUP(MID(T23,U23,V23-U23),[5]skilldef!$A:$B,2,FALSE),"-")</f>
        <v>- / 連続攻撃</v>
      </c>
      <c r="Z23" s="50"/>
      <c r="AA23" s="52"/>
      <c r="AB23" s="50"/>
    </row>
    <row r="24" spans="1:28" ht="21" customHeight="1" x14ac:dyDescent="0.15">
      <c r="A24" s="47">
        <v>59001404</v>
      </c>
      <c r="B24" s="47" t="s">
        <v>415</v>
      </c>
      <c r="C24" s="50">
        <v>3</v>
      </c>
      <c r="D24" s="50" t="s">
        <v>127</v>
      </c>
      <c r="E24" s="51" t="s">
        <v>290</v>
      </c>
      <c r="F24" s="51" t="s">
        <v>268</v>
      </c>
      <c r="G24" s="63" t="str">
        <f t="shared" si="0"/>
        <v>[effect:enemy_message, val1:1.3, val2:3.0]</v>
      </c>
      <c r="H24" s="63">
        <f t="shared" si="1"/>
        <v>9</v>
      </c>
      <c r="I24" s="63">
        <f t="shared" si="2"/>
        <v>22</v>
      </c>
      <c r="J24" s="63" t="e">
        <f t="shared" si="3"/>
        <v>#VALUE!</v>
      </c>
      <c r="K24" s="63">
        <f t="shared" si="4"/>
        <v>32</v>
      </c>
      <c r="L24" s="63" t="str">
        <f>IFERROR(VLOOKUP(MID(G24,J24,K24-J24),[5]skilldef!$C:$D,2,FALSE),"-") &amp; " / " &amp; IFERROR(VLOOKUP(MID(G24,H24,I24-H24),[5]skilldef!$A:$B,2,FALSE),"-")</f>
        <v>- / -</v>
      </c>
      <c r="M24" s="63" t="str">
        <f t="shared" si="5"/>
        <v>[effect:force_change_block, new_block:time_bomb, target:block_all, ignore01:crash, ignore02:crack_bomb, ignore03:color_break, ignore04:magnet, color:block_green, count:3, val:0.4, min_time_count:2, max_time_count:2, animation:change_block],[effect:rush, count:3, val:0.4]</v>
      </c>
      <c r="N24" s="48" t="str">
        <f>IFERROR(LEFT(M24,FIND("],",M24)+S35),M24)</f>
        <v>[effect:force_change_block, new_block:time_bomb, target:block_all, ignore01:crash, ignore02:crack_bomb, ignore03:color_break, ignore04:magnet, color:block_green, count:3, val:0.4, min_time_count:2, max_time_count:2, animation:change_block],[effect:rush, count:3, val:0.4]</v>
      </c>
      <c r="O24" s="63">
        <f t="shared" si="7"/>
        <v>9</v>
      </c>
      <c r="P24" s="63">
        <f t="shared" si="8"/>
        <v>27</v>
      </c>
      <c r="Q24" s="63">
        <f t="shared" si="9"/>
        <v>57</v>
      </c>
      <c r="R24" s="63">
        <f t="shared" si="10"/>
        <v>48</v>
      </c>
      <c r="S24" s="63" t="str">
        <f>IFERROR(VLOOKUP(MID(N24,Q24,R24-Q24),[5]skilldef!$C:$D,2,FALSE),"-") &amp; " / " &amp; IFERROR(VLOOKUP(MID(N24,O24,P24-O24),[5]skilldef!$A:$B,2,FALSE),"-")</f>
        <v>- / -</v>
      </c>
      <c r="T24" s="48" t="str">
        <f t="shared" si="11"/>
        <v>[effect:rush, count:3, val:0.4]</v>
      </c>
      <c r="U24" s="63">
        <f t="shared" si="12"/>
        <v>9</v>
      </c>
      <c r="V24" s="63">
        <f t="shared" si="13"/>
        <v>13</v>
      </c>
      <c r="W24" s="63" t="e">
        <f t="shared" si="14"/>
        <v>#VALUE!</v>
      </c>
      <c r="X24" s="63">
        <f t="shared" si="15"/>
        <v>22</v>
      </c>
      <c r="Y24" s="63" t="str">
        <f>IFERROR(VLOOKUP(MID(T24,W24,X24-W24),[5]skilldef!$C:$D,2,FALSE),"-") &amp; " / " &amp; IFERROR(VLOOKUP(MID(T24,U24,V24-U24),[5]skilldef!$A:$B,2,FALSE),"-")</f>
        <v>- / 連続攻撃</v>
      </c>
      <c r="Z24" s="50"/>
      <c r="AA24" s="52"/>
      <c r="AB24" s="50"/>
    </row>
    <row r="25" spans="1:28" ht="21" customHeight="1" x14ac:dyDescent="0.15">
      <c r="A25" s="47">
        <v>59001405</v>
      </c>
      <c r="B25" s="47" t="s">
        <v>365</v>
      </c>
      <c r="C25" s="50">
        <v>3</v>
      </c>
      <c r="D25" s="50" t="s">
        <v>127</v>
      </c>
      <c r="E25" s="51" t="s">
        <v>289</v>
      </c>
      <c r="F25" s="51" t="s">
        <v>401</v>
      </c>
      <c r="G25" s="63" t="str">
        <f t="shared" si="0"/>
        <v>[effect:enemy_message, val1:1.2, val2:1.2]</v>
      </c>
      <c r="H25" s="63">
        <f t="shared" si="1"/>
        <v>9</v>
      </c>
      <c r="I25" s="63">
        <f t="shared" si="2"/>
        <v>22</v>
      </c>
      <c r="J25" s="63" t="e">
        <f t="shared" si="3"/>
        <v>#VALUE!</v>
      </c>
      <c r="K25" s="63">
        <f t="shared" si="4"/>
        <v>32</v>
      </c>
      <c r="L25" s="63" t="str">
        <f>IFERROR(VLOOKUP(MID(G25,J25,K25-J25),[5]skilldef!$C:$D,2,FALSE),"-") &amp; " / " &amp; IFERROR(VLOOKUP(MID(G25,H25,I25-H25),[5]skilldef!$A:$B,2,FALSE),"-")</f>
        <v>- / -</v>
      </c>
      <c r="M25" s="63" t="str">
        <f t="shared" si="5"/>
        <v>[effect:freq_turn, target:myself, turn:5, val:1, animation:enemy_freq_turn]</v>
      </c>
      <c r="N25" s="48" t="str">
        <f t="shared" ref="N25:N30" si="32">IFERROR(LEFT(M25,FIND("],",M25)+S39),M25)</f>
        <v>[effect:freq_turn, target:myself, turn:5, val:1, animation:enemy_freq_turn]</v>
      </c>
      <c r="O25" s="63">
        <f t="shared" si="7"/>
        <v>9</v>
      </c>
      <c r="P25" s="63">
        <f t="shared" si="8"/>
        <v>18</v>
      </c>
      <c r="Q25" s="63">
        <f t="shared" si="9"/>
        <v>27</v>
      </c>
      <c r="R25" s="63">
        <f t="shared" si="10"/>
        <v>33</v>
      </c>
      <c r="S25" s="63" t="str">
        <f>IFERROR(VLOOKUP(MID(N25,Q25,R25-Q25),[5]skilldef!$C:$D,2,FALSE),"-") &amp; " / " &amp; IFERROR(VLOOKUP(MID(N25,O25,P25-O25),[5]skilldef!$A:$B,2,FALSE),"-")</f>
        <v>自分自身に / 攻撃頻度がUP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47">
        <v>59001501</v>
      </c>
      <c r="B26" s="47" t="s">
        <v>366</v>
      </c>
      <c r="C26" s="50">
        <v>3</v>
      </c>
      <c r="D26" s="50" t="s">
        <v>127</v>
      </c>
      <c r="E26" s="51" t="s">
        <v>293</v>
      </c>
      <c r="F26" s="51" t="s">
        <v>257</v>
      </c>
      <c r="G26" s="63" t="str">
        <f t="shared" si="0"/>
        <v>[effect:enemy_message, val1:1.6, val2:1.2]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32</v>
      </c>
      <c r="L26" s="63" t="str">
        <f>IFERROR(VLOOKUP(MID(G26,J26,K26-J26),[5]skilldef!$C:$D,2,FALSE),"-") &amp; " / " &amp; IFERROR(VLOOKUP(MID(G26,H26,I26-H26),[5]skilldef!$A:$B,2,FALSE),"-")</f>
        <v>- / -</v>
      </c>
      <c r="M26" s="63" t="str">
        <f t="shared" si="5"/>
        <v>[effect:fix_speed, target:myself, turn:1],[effect:tolerance, target:myself, turn:-1, count:-1, tolerance_effect:all, animation:enemy_tolerance]</v>
      </c>
      <c r="N26" s="48" t="str">
        <f t="shared" si="32"/>
        <v>[effect:fix_speed, target:myself, turn:1],[effect:tolerance, target:myself, turn:-1, count:-1, tolerance_effect:all, animation:enemy_tolerance]</v>
      </c>
      <c r="O26" s="63">
        <f t="shared" si="7"/>
        <v>9</v>
      </c>
      <c r="P26" s="63">
        <f t="shared" si="8"/>
        <v>18</v>
      </c>
      <c r="Q26" s="63">
        <f t="shared" si="9"/>
        <v>27</v>
      </c>
      <c r="R26" s="63">
        <f t="shared" si="10"/>
        <v>33</v>
      </c>
      <c r="S26" s="63" t="str">
        <f>IFERROR(VLOOKUP(MID(N26,Q26,R26-Q26),[5]skilldef!$C:$D,2,FALSE),"-") &amp; " / " &amp; IFERROR(VLOOKUP(MID(N26,O26,P26-O26),[5]skilldef!$A:$B,2,FALSE),"-")</f>
        <v>自分自身に / 行動値設定</v>
      </c>
      <c r="T26" s="48" t="str">
        <f t="shared" si="11"/>
        <v>[effect:tolerance, target:myself, turn:-1, count:-1, tolerance_effect:all, animation:enemy_tolerance]</v>
      </c>
      <c r="U26" s="63">
        <f t="shared" si="12"/>
        <v>9</v>
      </c>
      <c r="V26" s="63">
        <f t="shared" si="13"/>
        <v>18</v>
      </c>
      <c r="W26" s="63">
        <f t="shared" si="14"/>
        <v>27</v>
      </c>
      <c r="X26" s="63">
        <f t="shared" si="15"/>
        <v>33</v>
      </c>
      <c r="Y26" s="63" t="str">
        <f>IFERROR(VLOOKUP(MID(T26,W26,X26-W26),[5]skilldef!$C:$D,2,FALSE),"-") &amp; " / " &amp; IFERROR(VLOOKUP(MID(T26,U26,V26-U26),[5]skilldef!$A:$B,2,FALSE),"-")</f>
        <v>自分自身に / 状態異常耐性</v>
      </c>
      <c r="Z26" s="50"/>
      <c r="AA26" s="52"/>
      <c r="AB26" s="50"/>
    </row>
    <row r="27" spans="1:28" ht="21" customHeight="1" x14ac:dyDescent="0.15">
      <c r="A27" s="47">
        <v>59001502</v>
      </c>
      <c r="B27" s="47" t="s">
        <v>381</v>
      </c>
      <c r="C27" s="50">
        <v>3</v>
      </c>
      <c r="D27" s="50" t="s">
        <v>127</v>
      </c>
      <c r="E27" s="51" t="s">
        <v>335</v>
      </c>
      <c r="F27" s="51" t="s">
        <v>393</v>
      </c>
      <c r="G27" s="63" t="str">
        <f t="shared" si="0"/>
        <v>[effect:enemy_message, val1:2.0, val2:3.9]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IFERROR(VLOOKUP(MID(G27,J27,K27-J27),[5]skilldef!$C:$D,2,FALSE),"-") &amp; " / " &amp; IFERROR(VLOOKUP(MID(G27,H27,I27-H27),[5]skilldef!$A:$B,2,FALSE),"-")</f>
        <v>- / -</v>
      </c>
      <c r="M27" s="63" t="str">
        <f t="shared" si="5"/>
        <v>[effect:change_panel_ratio, turn:1, block_type:green, val:0]</v>
      </c>
      <c r="N27" s="48" t="str">
        <f t="shared" si="32"/>
        <v>[effect:change_panel_ratio, turn:1, block_type:green, val:0]</v>
      </c>
      <c r="O27" s="63">
        <f t="shared" si="7"/>
        <v>9</v>
      </c>
      <c r="P27" s="63">
        <f t="shared" si="8"/>
        <v>27</v>
      </c>
      <c r="Q27" s="63" t="e">
        <f t="shared" si="9"/>
        <v>#VALUE!</v>
      </c>
      <c r="R27" s="63">
        <f t="shared" si="10"/>
        <v>35</v>
      </c>
      <c r="S27" s="63" t="str">
        <f>IFERROR(VLOOKUP(MID(N27,Q27,R27-Q27),[5]skilldef!$C:$D,2,FALSE),"-") &amp; " / " &amp; IFERROR(VLOOKUP(MID(N27,O27,P27-O27),[5]skilldef!$A:$B,2,FALSE),"-")</f>
        <v>- / -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47">
        <v>59001503</v>
      </c>
      <c r="B28" s="47" t="s">
        <v>380</v>
      </c>
      <c r="C28" s="50">
        <v>3</v>
      </c>
      <c r="D28" s="50" t="s">
        <v>127</v>
      </c>
      <c r="E28" s="51" t="s">
        <v>294</v>
      </c>
      <c r="F28" s="51" t="s">
        <v>379</v>
      </c>
      <c r="G28" s="63" t="str">
        <f t="shared" si="0"/>
        <v>[effect:enemy_message, val1:1.2, val2:1.8]</v>
      </c>
      <c r="H28" s="63">
        <f t="shared" si="1"/>
        <v>9</v>
      </c>
      <c r="I28" s="63">
        <f t="shared" si="2"/>
        <v>22</v>
      </c>
      <c r="J28" s="63" t="e">
        <f t="shared" si="3"/>
        <v>#VALUE!</v>
      </c>
      <c r="K28" s="63">
        <f t="shared" si="4"/>
        <v>32</v>
      </c>
      <c r="L28" s="63" t="str">
        <f>IFERROR(VLOOKUP(MID(G28,J28,K28-J28),[5]skilldef!$C:$D,2,FALSE),"-") &amp; " / " &amp; IFERROR(VLOOKUP(MID(G28,H28,I28-H28),[5]skilldef!$A:$B,2,FALSE),"-")</f>
        <v>- / -</v>
      </c>
      <c r="M28" s="63" t="str">
        <f t="shared" si="5"/>
        <v>[effect:break_attack_fix, target:unit_one, val:14000, lowest_val:5000, count:-1, color:green, block01:block_green]</v>
      </c>
      <c r="N28" s="48" t="str">
        <f t="shared" si="32"/>
        <v>[effect:break_attack_fix, target:unit_one, val:14000, lowest_val:5000, count:-1, color:green, block01:block_green]</v>
      </c>
      <c r="O28" s="63">
        <f t="shared" si="7"/>
        <v>9</v>
      </c>
      <c r="P28" s="63">
        <f t="shared" si="8"/>
        <v>25</v>
      </c>
      <c r="Q28" s="63">
        <f t="shared" si="9"/>
        <v>34</v>
      </c>
      <c r="R28" s="63">
        <f t="shared" si="10"/>
        <v>42</v>
      </c>
      <c r="S28" s="63" t="str">
        <f>IFERROR(VLOOKUP(MID(N28,Q28,R28-Q28),[5]skilldef!$C:$D,2,FALSE),"-") &amp; " / " &amp; IFERROR(VLOOKUP(MID(N28,O28,P28-O28),[5]skilldef!$A:$B,2,FALSE),"-")</f>
        <v>味方単体に / -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47">
        <v>59001504</v>
      </c>
      <c r="B29" s="47" t="s">
        <v>383</v>
      </c>
      <c r="C29" s="50">
        <v>3</v>
      </c>
      <c r="D29" s="50" t="s">
        <v>127</v>
      </c>
      <c r="E29" s="51" t="s">
        <v>301</v>
      </c>
      <c r="F29" s="51" t="s">
        <v>394</v>
      </c>
      <c r="G29" s="63" t="str">
        <f t="shared" si="0"/>
        <v>[effect:enemy_message, val1:1.2, val2:4.3]</v>
      </c>
      <c r="H29" s="63">
        <f t="shared" si="1"/>
        <v>9</v>
      </c>
      <c r="I29" s="63">
        <f t="shared" si="2"/>
        <v>22</v>
      </c>
      <c r="J29" s="63" t="e">
        <f t="shared" si="3"/>
        <v>#VALUE!</v>
      </c>
      <c r="K29" s="63">
        <f t="shared" si="4"/>
        <v>32</v>
      </c>
      <c r="L29" s="63" t="str">
        <f>IFERROR(VLOOKUP(MID(G29,J29,K29-J29),[5]skilldef!$C:$D,2,FALSE),"-") &amp; " / " &amp; IFERROR(VLOOKUP(MID(G29,H29,I29-H29),[5]skilldef!$A:$B,2,FALSE),"-")</f>
        <v>- / -</v>
      </c>
      <c r="M29" s="63" t="str">
        <f t="shared" si="5"/>
        <v>[effect:change_panel_ratio, turn:1, block_type:heal, val:0]</v>
      </c>
      <c r="N29" s="48" t="str">
        <f t="shared" si="32"/>
        <v>[effect:change_panel_ratio, turn:1, block_type:heal, val:0]</v>
      </c>
      <c r="O29" s="63">
        <f t="shared" si="7"/>
        <v>9</v>
      </c>
      <c r="P29" s="63">
        <f t="shared" si="8"/>
        <v>27</v>
      </c>
      <c r="Q29" s="63" t="e">
        <f t="shared" si="9"/>
        <v>#VALUE!</v>
      </c>
      <c r="R29" s="63">
        <f t="shared" si="10"/>
        <v>35</v>
      </c>
      <c r="S29" s="63" t="str">
        <f>IFERROR(VLOOKUP(MID(N29,Q29,R29-Q29),[5]skilldef!$C:$D,2,FALSE),"-") &amp; " / " &amp; IFERROR(VLOOKUP(MID(N29,O29,P29-O29),[5]skilldef!$A:$B,2,FALSE),"-")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47">
        <v>59001505</v>
      </c>
      <c r="B30" s="47" t="s">
        <v>384</v>
      </c>
      <c r="C30" s="50">
        <v>3</v>
      </c>
      <c r="D30" s="50" t="s">
        <v>127</v>
      </c>
      <c r="E30" s="51" t="s">
        <v>295</v>
      </c>
      <c r="F30" s="51" t="s">
        <v>382</v>
      </c>
      <c r="G30" s="63" t="str">
        <f t="shared" si="0"/>
        <v>[effect:enemy_message, val1:1.5, val2:2.0]</v>
      </c>
      <c r="H30" s="63">
        <f t="shared" si="1"/>
        <v>9</v>
      </c>
      <c r="I30" s="63">
        <f t="shared" si="2"/>
        <v>22</v>
      </c>
      <c r="J30" s="63" t="e">
        <f t="shared" si="3"/>
        <v>#VALUE!</v>
      </c>
      <c r="K30" s="63">
        <f t="shared" si="4"/>
        <v>32</v>
      </c>
      <c r="L30" s="63" t="str">
        <f>IFERROR(VLOOKUP(MID(G30,J30,K30-J30),[5]skilldef!$C:$D,2,FALSE),"-") &amp; " / " &amp; IFERROR(VLOOKUP(MID(G30,H30,I30-H30),[5]skilldef!$A:$B,2,FALSE),"-")</f>
        <v>- / -</v>
      </c>
      <c r="M30" s="63" t="str">
        <f t="shared" si="5"/>
        <v>[effect:break_attack_fix, target:unit_one, val:14000, lowest_val:5000, count:-1, color:green, block01:block_heart]</v>
      </c>
      <c r="N30" s="48" t="str">
        <f t="shared" si="32"/>
        <v>[effect:break_attack_fix, target:unit_one, val:14000, lowest_val:5000, count:-1, color:green, block01:block_heart]</v>
      </c>
      <c r="O30" s="63">
        <f t="shared" si="7"/>
        <v>9</v>
      </c>
      <c r="P30" s="63">
        <f t="shared" si="8"/>
        <v>25</v>
      </c>
      <c r="Q30" s="63">
        <f t="shared" si="9"/>
        <v>34</v>
      </c>
      <c r="R30" s="63">
        <f t="shared" si="10"/>
        <v>42</v>
      </c>
      <c r="S30" s="63" t="str">
        <f>IFERROR(VLOOKUP(MID(N30,Q30,R30-Q30),[5]skilldef!$C:$D,2,FALSE),"-") &amp; " / " &amp; IFERROR(VLOOKUP(MID(N30,O30,P30-O30),[5]skilldef!$A:$B,2,FALSE),"-")</f>
        <v>味方単体に / -</v>
      </c>
      <c r="T30" s="48" t="str">
        <f t="shared" si="11"/>
        <v>none</v>
      </c>
      <c r="U30" s="63" t="e">
        <f t="shared" si="12"/>
        <v>#VALUE!</v>
      </c>
      <c r="V30" s="63">
        <f t="shared" si="13"/>
        <v>4</v>
      </c>
      <c r="W30" s="63" t="e">
        <f t="shared" si="14"/>
        <v>#VALUE!</v>
      </c>
      <c r="X30" s="63" t="e">
        <f t="shared" si="15"/>
        <v>#VALUE!</v>
      </c>
      <c r="Y30" s="63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21" customHeight="1" x14ac:dyDescent="0.15">
      <c r="A31" s="47">
        <v>59001506</v>
      </c>
      <c r="B31" s="47" t="s">
        <v>367</v>
      </c>
      <c r="C31" s="50">
        <v>3</v>
      </c>
      <c r="D31" s="50" t="s">
        <v>127</v>
      </c>
      <c r="E31" s="51" t="s">
        <v>296</v>
      </c>
      <c r="F31" s="51" t="s">
        <v>276</v>
      </c>
      <c r="G31" s="63" t="str">
        <f t="shared" ref="G31" si="33">IFERROR(LEFT(B31,FIND("],",B31)),B31)</f>
        <v>[effect:enemy_message, val1:1.3, val2:1.2]</v>
      </c>
      <c r="H31" s="63">
        <f t="shared" ref="H31" si="34">FIND("effect:",G31)+7</f>
        <v>9</v>
      </c>
      <c r="I31" s="63">
        <f t="shared" ref="I31" si="35">IFERROR(FIND(",",G31),LEN(G31))</f>
        <v>22</v>
      </c>
      <c r="J31" s="63" t="e">
        <f t="shared" ref="J31" si="36">FIND("target:",G31)+7</f>
        <v>#VALUE!</v>
      </c>
      <c r="K31" s="63">
        <f t="shared" ref="K31" si="37">FIND(",",G31,I31+1)</f>
        <v>32</v>
      </c>
      <c r="L31" s="63" t="str">
        <f>IFERROR(VLOOKUP(MID(G31,J31,K31-J31),[5]skilldef!$C:$D,2,FALSE),"-") &amp; " / " &amp; IFERROR(VLOOKUP(MID(G31,H31,I31-H31),[5]skilldef!$A:$B,2,FALSE),"-")</f>
        <v>- / -</v>
      </c>
      <c r="M31" s="63" t="str">
        <f t="shared" ref="M31" si="38">IFERROR(RIGHT(B31,LEN(B31)-FIND("],",B31)-1),"none")</f>
        <v>[effect:suicide, target:myself, val:1, dead_type:escape]</v>
      </c>
      <c r="N31" s="48" t="str">
        <f>IFERROR(LEFT(M31,FIND("],",M31)+S44),M31)</f>
        <v>[effect:suicide, target:myself, val:1, dead_type:escape]</v>
      </c>
      <c r="O31" s="63">
        <f t="shared" ref="O31" si="39">FIND("effect:",N31)+7</f>
        <v>9</v>
      </c>
      <c r="P31" s="63">
        <f t="shared" ref="P31" si="40">IFERROR(FIND(",",N31),LEN(N31))</f>
        <v>16</v>
      </c>
      <c r="Q31" s="63">
        <f t="shared" ref="Q31" si="41">FIND("target:",N31)+7</f>
        <v>25</v>
      </c>
      <c r="R31" s="63">
        <f t="shared" ref="R31" si="42">FIND(",",N31,P31+1)</f>
        <v>31</v>
      </c>
      <c r="S31" s="63" t="str">
        <f>IFERROR(VLOOKUP(MID(N31,Q31,R31-Q31),[5]skilldef!$C:$D,2,FALSE),"-") &amp; " / " &amp; IFERROR(VLOOKUP(MID(N31,O31,P31-O31),[5]skilldef!$A:$B,2,FALSE),"-")</f>
        <v>自分自身に / -</v>
      </c>
      <c r="T31" s="48" t="str">
        <f t="shared" ref="T31" si="43">IFERROR(RIGHT(M31,LEN(M31)-FIND("],",M31)-1),"none")</f>
        <v>none</v>
      </c>
      <c r="U31" s="63" t="e">
        <f t="shared" ref="U31" si="44">FIND("effect:",T31)+7</f>
        <v>#VALUE!</v>
      </c>
      <c r="V31" s="63">
        <f t="shared" ref="V31" si="45">IFERROR(FIND(",",T31),LEN(T31))</f>
        <v>4</v>
      </c>
      <c r="W31" s="63" t="e">
        <f t="shared" ref="W31" si="46">FIND("target:",T31)+7</f>
        <v>#VALUE!</v>
      </c>
      <c r="X31" s="63" t="e">
        <f t="shared" ref="X31" si="47">FIND(",",T31,V31+1)</f>
        <v>#VALUE!</v>
      </c>
      <c r="Y31" s="63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15">
      <c r="A32" s="47">
        <v>59001601</v>
      </c>
      <c r="B32" s="47" t="s">
        <v>368</v>
      </c>
      <c r="C32" s="50">
        <v>3</v>
      </c>
      <c r="D32" s="50" t="s">
        <v>127</v>
      </c>
      <c r="E32" s="51" t="s">
        <v>300</v>
      </c>
      <c r="F32" s="51" t="s">
        <v>257</v>
      </c>
      <c r="G32" s="63" t="str">
        <f t="shared" si="0"/>
        <v>[effect:enemy_message, val1:1.6, val2:1.2]</v>
      </c>
      <c r="H32" s="63">
        <f t="shared" si="1"/>
        <v>9</v>
      </c>
      <c r="I32" s="63">
        <f t="shared" si="2"/>
        <v>22</v>
      </c>
      <c r="J32" s="63" t="e">
        <f t="shared" si="3"/>
        <v>#VALUE!</v>
      </c>
      <c r="K32" s="63">
        <f t="shared" si="4"/>
        <v>32</v>
      </c>
      <c r="L32" s="63" t="str">
        <f>IFERROR(VLOOKUP(MID(G32,J32,K32-J32),[5]skilldef!$C:$D,2,FALSE),"-") &amp; " / " &amp; IFERROR(VLOOKUP(MID(G32,H32,I32-H32),[5]skilldef!$A:$B,2,FALSE),"-")</f>
        <v>- / -</v>
      </c>
      <c r="M32" s="63" t="str">
        <f t="shared" si="5"/>
        <v>[effect:fix_speed, target:myself, turn:1],[effect:tolerance, target:myself, turn:-1, count:-1, tolerance_effect:all, animation:enemy_tolerance]</v>
      </c>
      <c r="N32" s="48" t="str">
        <f>IFERROR(LEFT(M32,FIND("],",M32)+S45),M32)</f>
        <v>[effect:fix_speed, target:myself, turn:1],[effect:tolerance, target:myself, turn:-1, count:-1, tolerance_effect:all, animation:enemy_tolerance]</v>
      </c>
      <c r="O32" s="63">
        <f t="shared" si="7"/>
        <v>9</v>
      </c>
      <c r="P32" s="63">
        <f t="shared" si="8"/>
        <v>18</v>
      </c>
      <c r="Q32" s="63">
        <f t="shared" si="9"/>
        <v>27</v>
      </c>
      <c r="R32" s="63">
        <f t="shared" si="10"/>
        <v>33</v>
      </c>
      <c r="S32" s="63" t="str">
        <f>IFERROR(VLOOKUP(MID(N32,Q32,R32-Q32),[5]skilldef!$C:$D,2,FALSE),"-") &amp; " / " &amp; IFERROR(VLOOKUP(MID(N32,O32,P32-O32),[5]skilldef!$A:$B,2,FALSE),"-")</f>
        <v>自分自身に / 行動値設定</v>
      </c>
      <c r="T32" s="48" t="str">
        <f t="shared" si="11"/>
        <v>[effect:tolerance, target:myself, turn:-1, count:-1, tolerance_effect:all, animation:enemy_tolerance]</v>
      </c>
      <c r="U32" s="63">
        <f t="shared" si="12"/>
        <v>9</v>
      </c>
      <c r="V32" s="63">
        <f t="shared" si="13"/>
        <v>18</v>
      </c>
      <c r="W32" s="63">
        <f t="shared" si="14"/>
        <v>27</v>
      </c>
      <c r="X32" s="63">
        <f t="shared" si="15"/>
        <v>33</v>
      </c>
      <c r="Y32" s="63" t="str">
        <f>IFERROR(VLOOKUP(MID(T32,W32,X32-W32),[5]skilldef!$C:$D,2,FALSE),"-") &amp; " / " &amp; IFERROR(VLOOKUP(MID(T32,U32,V32-U32),[5]skilldef!$A:$B,2,FALSE),"-")</f>
        <v>自分自身に / 状態異常耐性</v>
      </c>
      <c r="Z32" s="50"/>
      <c r="AA32" s="52"/>
      <c r="AB32" s="50"/>
    </row>
    <row r="33" spans="1:28" ht="21" customHeight="1" x14ac:dyDescent="0.15">
      <c r="A33" s="47">
        <v>59001602</v>
      </c>
      <c r="B33" s="47" t="s">
        <v>369</v>
      </c>
      <c r="C33" s="50">
        <v>3</v>
      </c>
      <c r="D33" s="50" t="s">
        <v>127</v>
      </c>
      <c r="E33" s="51" t="s">
        <v>297</v>
      </c>
      <c r="F33" s="51" t="s">
        <v>269</v>
      </c>
      <c r="G33" s="63" t="str">
        <f t="shared" si="0"/>
        <v>[effect:enemy_message, val1:1.3, val2:1.2]</v>
      </c>
      <c r="H33" s="63">
        <f t="shared" si="1"/>
        <v>9</v>
      </c>
      <c r="I33" s="63">
        <f t="shared" si="2"/>
        <v>22</v>
      </c>
      <c r="J33" s="63" t="e">
        <f t="shared" si="3"/>
        <v>#VALUE!</v>
      </c>
      <c r="K33" s="63">
        <f t="shared" si="4"/>
        <v>32</v>
      </c>
      <c r="L33" s="63" t="str">
        <f>IFERROR(VLOOKUP(MID(G33,J33,K33-J33),[5]skilldef!$C:$D,2,FALSE),"-") &amp; " / " &amp; IFERROR(VLOOKUP(MID(G33,H33,I33-H33),[5]skilldef!$A:$B,2,FALSE),"-")</f>
        <v>- / -</v>
      </c>
      <c r="M33" s="63" t="str">
        <f t="shared" si="5"/>
        <v>[effect:rush, count:12, val:0.12]</v>
      </c>
      <c r="N33" s="48" t="str">
        <f>IFERROR(LEFT(M33,FIND("],",M33)+S46),M33)</f>
        <v>[effect:rush, count:12, val:0.12]</v>
      </c>
      <c r="O33" s="63">
        <f t="shared" si="7"/>
        <v>9</v>
      </c>
      <c r="P33" s="63">
        <f t="shared" si="8"/>
        <v>13</v>
      </c>
      <c r="Q33" s="63" t="e">
        <f t="shared" si="9"/>
        <v>#VALUE!</v>
      </c>
      <c r="R33" s="63">
        <f t="shared" si="10"/>
        <v>23</v>
      </c>
      <c r="S33" s="63" t="str">
        <f>IFERROR(VLOOKUP(MID(N33,Q33,R33-Q33),[5]skilldef!$C:$D,2,FALSE),"-") &amp; " / " &amp; IFERROR(VLOOKUP(MID(N33,O33,P33-O33),[5]skilldef!$A:$B,2,FALSE),"-")</f>
        <v>- / 連続攻撃</v>
      </c>
      <c r="T33" s="48" t="str">
        <f t="shared" si="11"/>
        <v>none</v>
      </c>
      <c r="U33" s="63" t="e">
        <f t="shared" si="12"/>
        <v>#VALUE!</v>
      </c>
      <c r="V33" s="63">
        <f t="shared" si="13"/>
        <v>4</v>
      </c>
      <c r="W33" s="63" t="e">
        <f t="shared" si="14"/>
        <v>#VALUE!</v>
      </c>
      <c r="X33" s="63" t="e">
        <f t="shared" si="15"/>
        <v>#VALUE!</v>
      </c>
      <c r="Y33" s="63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21" customHeight="1" x14ac:dyDescent="0.15">
      <c r="A34" s="47">
        <v>59001603</v>
      </c>
      <c r="B34" s="47" t="s">
        <v>414</v>
      </c>
      <c r="C34" s="50">
        <v>3</v>
      </c>
      <c r="D34" s="50" t="s">
        <v>127</v>
      </c>
      <c r="E34" s="51" t="s">
        <v>298</v>
      </c>
      <c r="F34" s="51" t="s">
        <v>267</v>
      </c>
      <c r="G34" s="63" t="str">
        <f t="shared" si="0"/>
        <v>[effect:enemy_message, val1:1.2, val2:2.3]</v>
      </c>
      <c r="H34" s="63">
        <f t="shared" si="1"/>
        <v>9</v>
      </c>
      <c r="I34" s="63">
        <f t="shared" si="2"/>
        <v>22</v>
      </c>
      <c r="J34" s="63" t="e">
        <f t="shared" si="3"/>
        <v>#VALUE!</v>
      </c>
      <c r="K34" s="63">
        <f t="shared" si="4"/>
        <v>32</v>
      </c>
      <c r="L34" s="63" t="str">
        <f>IFERROR(VLOOKUP(MID(G34,J34,K34-J34),[5]skilldef!$C:$D,2,FALSE),"-") &amp; " / " &amp; IFERROR(VLOOKUP(MID(G34,H34,I34-H34),[5]skilldef!$A:$B,2,FALSE),"-")</f>
        <v>- / -</v>
      </c>
      <c r="M34" s="63" t="str">
        <f t="shared" si="5"/>
        <v>[effect:force_change_block, new_block:time_bomb, target:block_all, ignore01:crash, ignore02:crack_bomb, ignore03:color_break, ignore04:magnet, color:block_yellow, count:10, val:0.3, min_time_count:2, max_time_count:2, animation:change_block]</v>
      </c>
      <c r="N34" s="48" t="str">
        <f>IFERROR(LEFT(M34,FIND("],",M34)+S47),M34)</f>
        <v>[effect:force_change_block, new_block:time_bomb, target:block_all, ignore01:crash, ignore02:crack_bomb, ignore03:color_break, ignore04:magnet, color:block_yellow, count:10, val:0.3, min_time_count:2, max_time_count:2, animation:change_block]</v>
      </c>
      <c r="O34" s="63">
        <f t="shared" si="7"/>
        <v>9</v>
      </c>
      <c r="P34" s="63">
        <f t="shared" si="8"/>
        <v>27</v>
      </c>
      <c r="Q34" s="63">
        <f t="shared" si="9"/>
        <v>57</v>
      </c>
      <c r="R34" s="63">
        <f t="shared" si="10"/>
        <v>48</v>
      </c>
      <c r="S34" s="63" t="str">
        <f>IFERROR(VLOOKUP(MID(N34,Q34,R34-Q34),[5]skilldef!$C:$D,2,FALSE),"-") &amp; " / " &amp; IFERROR(VLOOKUP(MID(N34,O34,P34-O34),[5]skilldef!$A:$B,2,FALSE),"-")</f>
        <v>- / -</v>
      </c>
      <c r="T34" s="48" t="str">
        <f t="shared" si="11"/>
        <v>none</v>
      </c>
      <c r="U34" s="63" t="e">
        <f t="shared" si="12"/>
        <v>#VALUE!</v>
      </c>
      <c r="V34" s="63">
        <f t="shared" si="13"/>
        <v>4</v>
      </c>
      <c r="W34" s="63" t="e">
        <f t="shared" si="14"/>
        <v>#VALUE!</v>
      </c>
      <c r="X34" s="63" t="e">
        <f t="shared" si="15"/>
        <v>#VALUE!</v>
      </c>
      <c r="Y34" s="63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21" customHeight="1" x14ac:dyDescent="0.15">
      <c r="A35" s="47">
        <v>59001604</v>
      </c>
      <c r="B35" s="47" t="s">
        <v>370</v>
      </c>
      <c r="C35" s="50">
        <v>3</v>
      </c>
      <c r="D35" s="50" t="s">
        <v>127</v>
      </c>
      <c r="E35" s="51" t="s">
        <v>299</v>
      </c>
      <c r="F35" s="51" t="s">
        <v>266</v>
      </c>
      <c r="G35" s="63" t="str">
        <f t="shared" si="0"/>
        <v>[effect:enemy_message, val1:1.2, val2:1.3]</v>
      </c>
      <c r="H35" s="63">
        <f t="shared" si="1"/>
        <v>9</v>
      </c>
      <c r="I35" s="63">
        <f t="shared" si="2"/>
        <v>22</v>
      </c>
      <c r="J35" s="63" t="e">
        <f t="shared" si="3"/>
        <v>#VALUE!</v>
      </c>
      <c r="K35" s="63">
        <f t="shared" si="4"/>
        <v>32</v>
      </c>
      <c r="L35" s="63" t="str">
        <f>IFERROR(VLOOKUP(MID(G35,J35,K35-J35),[5]skilldef!$C:$D,2,FALSE),"-") &amp; " / " &amp; IFERROR(VLOOKUP(MID(G35,H35,I35-H35),[5]skilldef!$A:$B,2,FALSE),"-")</f>
        <v>- / -</v>
      </c>
      <c r="M35" s="63" t="str">
        <f t="shared" si="5"/>
        <v>[effect:damage_gravity, val:0.75, animation:fevergauge_down]</v>
      </c>
      <c r="N35" s="48" t="str">
        <f>IFERROR(LEFT(M35,FIND("],",M35)+S48),M35)</f>
        <v>[effect:damage_gravity, val:0.75, animation:fevergauge_down]</v>
      </c>
      <c r="O35" s="63">
        <f t="shared" si="7"/>
        <v>9</v>
      </c>
      <c r="P35" s="63">
        <f t="shared" si="8"/>
        <v>23</v>
      </c>
      <c r="Q35" s="63" t="e">
        <f t="shared" si="9"/>
        <v>#VALUE!</v>
      </c>
      <c r="R35" s="63">
        <f t="shared" si="10"/>
        <v>33</v>
      </c>
      <c r="S35" s="63" t="str">
        <f>IFERROR(VLOOKUP(MID(N35,Q35,R35-Q35),[5]skilldef!$C:$D,2,FALSE),"-") &amp; " / " &amp; IFERROR(VLOOKUP(MID(N35,O35,P35-O35),[5]skilldef!$A:$B,2,FALSE),"-")</f>
        <v>- / 割合ダメージ</v>
      </c>
      <c r="T35" s="48" t="str">
        <f t="shared" si="11"/>
        <v>none</v>
      </c>
      <c r="U35" s="63" t="e">
        <f t="shared" si="12"/>
        <v>#VALUE!</v>
      </c>
      <c r="V35" s="63">
        <f t="shared" si="13"/>
        <v>4</v>
      </c>
      <c r="W35" s="63" t="e">
        <f t="shared" si="14"/>
        <v>#VALUE!</v>
      </c>
      <c r="X35" s="63" t="e">
        <f t="shared" si="15"/>
        <v>#VALUE!</v>
      </c>
      <c r="Y35" s="63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</row>
    <row r="36" spans="1:28" ht="21" customHeight="1" x14ac:dyDescent="0.15">
      <c r="A36" s="47">
        <v>59001605</v>
      </c>
      <c r="B36" s="132" t="s">
        <v>371</v>
      </c>
      <c r="C36" s="50">
        <v>3</v>
      </c>
      <c r="D36" s="50" t="s">
        <v>127</v>
      </c>
      <c r="E36" s="109" t="s">
        <v>307</v>
      </c>
      <c r="F36" s="131" t="s">
        <v>346</v>
      </c>
      <c r="G36" s="63" t="str">
        <f t="shared" si="0"/>
        <v>[effect:enemy_message, val1:1.2, val2:2.1]</v>
      </c>
      <c r="H36" s="63">
        <f t="shared" si="1"/>
        <v>9</v>
      </c>
      <c r="I36" s="63">
        <f t="shared" si="2"/>
        <v>22</v>
      </c>
      <c r="J36" s="63" t="e">
        <f t="shared" si="3"/>
        <v>#VALUE!</v>
      </c>
      <c r="K36" s="63">
        <f t="shared" si="4"/>
        <v>32</v>
      </c>
      <c r="L36" s="63" t="str">
        <f>IFERROR(VLOOKUP(MID(G36,J36,K36-J36),[5]skilldef!$C:$D,2,FALSE),"-") &amp; " / " &amp; IFERROR(VLOOKUP(MID(G36,H36,I36-H36),[5]skilldef!$A:$B,2,FALSE),"-")</f>
        <v>- / -</v>
      </c>
      <c r="M36" s="63" t="str">
        <f t="shared" si="5"/>
        <v>[effect:damage_abnormal, target:unit_one, val:0.4, status:hungup, turn:1, rate:1, animation:hungup01],[effect:damage_abnormal, target:unit_one, val:0.4, status:hungup, turn:1, rate:1, animation:hungup01]</v>
      </c>
      <c r="N36" s="48" t="str">
        <f t="shared" ref="N36" si="48">IFERROR(LEFT(M36,FIND("],",M36)+S48),M36)</f>
        <v>[effect:damage_abnormal, target:unit_one, val:0.4, status:hungup, turn:1, rate:1, animation:hungup01],[effect:damage_abnormal, target:unit_one, val:0.4, status:hungup, turn:1, rate:1, animation:hungup01]</v>
      </c>
      <c r="O36" s="63">
        <f t="shared" si="7"/>
        <v>9</v>
      </c>
      <c r="P36" s="63">
        <f t="shared" si="8"/>
        <v>24</v>
      </c>
      <c r="Q36" s="63">
        <f t="shared" si="9"/>
        <v>33</v>
      </c>
      <c r="R36" s="63">
        <f t="shared" si="10"/>
        <v>41</v>
      </c>
      <c r="S36" s="63" t="str">
        <f>IFERROR(VLOOKUP(MID(N36,Q36,R36-Q36),[5]skilldef!$C:$D,2,FALSE),"-") &amp; " / " &amp; IFERROR(VLOOKUP(MID(N36,O36,P36-O36),[5]skilldef!$A:$B,2,FALSE),"-")</f>
        <v>味方単体に / -</v>
      </c>
      <c r="T36" s="48" t="str">
        <f t="shared" si="11"/>
        <v>[effect:damage_abnormal, target:unit_one, val:0.4, status:hungup, turn:1, rate:1, animation:hungup01]</v>
      </c>
      <c r="U36" s="63">
        <f t="shared" si="12"/>
        <v>9</v>
      </c>
      <c r="V36" s="63">
        <f t="shared" si="13"/>
        <v>24</v>
      </c>
      <c r="W36" s="63">
        <f t="shared" si="14"/>
        <v>33</v>
      </c>
      <c r="X36" s="63">
        <f t="shared" si="15"/>
        <v>41</v>
      </c>
      <c r="Y36" s="63" t="str">
        <f>IFERROR(VLOOKUP(MID(T36,W36,X36-W36),[5]skilldef!$C:$D,2,FALSE),"-") &amp; " / " &amp; IFERROR(VLOOKUP(MID(T36,U36,V36-U36),[5]skilldef!$A:$B,2,FALSE),"-")</f>
        <v>味方単体に / -</v>
      </c>
      <c r="Z36" s="50"/>
      <c r="AA36" s="52"/>
      <c r="AB36" s="50"/>
    </row>
    <row r="37" spans="1:28" ht="21" customHeight="1" x14ac:dyDescent="0.15">
      <c r="A37" s="47">
        <v>59001606</v>
      </c>
      <c r="B37" s="47" t="s">
        <v>372</v>
      </c>
      <c r="C37" s="50">
        <v>3</v>
      </c>
      <c r="D37" s="50" t="s">
        <v>127</v>
      </c>
      <c r="E37" s="109" t="s">
        <v>308</v>
      </c>
      <c r="F37" s="51" t="s">
        <v>348</v>
      </c>
      <c r="G37" s="63" t="str">
        <f t="shared" si="0"/>
        <v>[effect:enemy_message, val1:1.2, val2:2.5]</v>
      </c>
      <c r="H37" s="63">
        <f t="shared" si="1"/>
        <v>9</v>
      </c>
      <c r="I37" s="63">
        <f t="shared" si="2"/>
        <v>22</v>
      </c>
      <c r="J37" s="63" t="e">
        <f t="shared" si="3"/>
        <v>#VALUE!</v>
      </c>
      <c r="K37" s="63">
        <f t="shared" si="4"/>
        <v>32</v>
      </c>
      <c r="L37" s="63" t="str">
        <f>IFERROR(VLOOKUP(MID(G37,J37,K37-J37),[5]skilldef!$C:$D,2,FALSE),"-") &amp; " / " &amp; IFERROR(VLOOKUP(MID(G37,H37,I37-H37),[5]skilldef!$A:$B,2,FALSE),"-")</f>
        <v>- / -</v>
      </c>
      <c r="M37" s="63" t="str">
        <f t="shared" si="5"/>
        <v>[effect:damage_anti_abnormal, target:unit_all, target_effect01:hungup, val1:0.5, val2:0.3]</v>
      </c>
      <c r="N37" s="48" t="str">
        <f t="shared" ref="N37" si="49">IFERROR(LEFT(M37,FIND("],",M37)+S48),M37)</f>
        <v>[effect:damage_anti_abnormal, target:unit_all, target_effect01:hungup, val1:0.5, val2:0.3]</v>
      </c>
      <c r="O37" s="63">
        <f t="shared" si="7"/>
        <v>9</v>
      </c>
      <c r="P37" s="63">
        <f t="shared" si="8"/>
        <v>29</v>
      </c>
      <c r="Q37" s="63">
        <f t="shared" si="9"/>
        <v>38</v>
      </c>
      <c r="R37" s="63">
        <f t="shared" si="10"/>
        <v>46</v>
      </c>
      <c r="S37" s="63" t="str">
        <f>IFERROR(VLOOKUP(MID(N37,Q37,R37-Q37),[5]skilldef!$C:$D,2,FALSE),"-") &amp; " / " &amp; IFERROR(VLOOKUP(MID(N37,O37,P37-O37),[5]skilldef!$A:$B,2,FALSE),"-")</f>
        <v>味方全体に / -</v>
      </c>
      <c r="T37" s="48" t="str">
        <f t="shared" si="11"/>
        <v>none</v>
      </c>
      <c r="U37" s="63" t="e">
        <f t="shared" si="12"/>
        <v>#VALUE!</v>
      </c>
      <c r="V37" s="63">
        <f t="shared" si="13"/>
        <v>4</v>
      </c>
      <c r="W37" s="63" t="e">
        <f t="shared" si="14"/>
        <v>#VALUE!</v>
      </c>
      <c r="X37" s="63" t="e">
        <f t="shared" si="15"/>
        <v>#VALUE!</v>
      </c>
      <c r="Y37" s="63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21" customHeight="1" x14ac:dyDescent="0.15">
      <c r="A38" s="47">
        <v>59001607</v>
      </c>
      <c r="B38" s="47" t="s">
        <v>350</v>
      </c>
      <c r="C38" s="50">
        <v>3</v>
      </c>
      <c r="D38" s="50" t="s">
        <v>127</v>
      </c>
      <c r="E38" s="129" t="s">
        <v>309</v>
      </c>
      <c r="F38" s="51" t="s">
        <v>395</v>
      </c>
      <c r="G38" s="63" t="str">
        <f t="shared" ref="G38" si="50">IFERROR(LEFT(B38,FIND("],",B38)),B38)</f>
        <v>[effect:enemy_message, val1:1.2, val2:2.0]</v>
      </c>
      <c r="H38" s="63">
        <f t="shared" ref="H38" si="51">FIND("effect:",G38)+7</f>
        <v>9</v>
      </c>
      <c r="I38" s="63">
        <f t="shared" ref="I38" si="52">IFERROR(FIND(",",G38),LEN(G38))</f>
        <v>22</v>
      </c>
      <c r="J38" s="63" t="e">
        <f t="shared" ref="J38" si="53">FIND("target:",G38)+7</f>
        <v>#VALUE!</v>
      </c>
      <c r="K38" s="63">
        <f t="shared" ref="K38" si="54">FIND(",",G38,I38+1)</f>
        <v>32</v>
      </c>
      <c r="L38" s="63" t="str">
        <f>IFERROR(VLOOKUP(MID(G38,J38,K38-J38),[5]skilldef!$C:$D,2,FALSE),"-") &amp; " / " &amp; IFERROR(VLOOKUP(MID(G38,H38,I38-H38),[5]skilldef!$A:$B,2,FALSE),"-")</f>
        <v>- / -</v>
      </c>
      <c r="M38" s="63" t="str">
        <f t="shared" ref="M38" si="55">IFERROR(RIGHT(B38,LEN(B38)-FIND("],",B38)-1),"none")</f>
        <v>[effect:tolerance, target:unit_all, turn:-1, tolerance_effect:all, count:-1, animation:prevent_abnormal_Unit04]</v>
      </c>
      <c r="N38" s="48" t="str">
        <f t="shared" ref="N38" si="56">IFERROR(LEFT(M38,FIND("],",M38)+S49),M38)</f>
        <v>[effect:tolerance, target:unit_all, turn:-1, tolerance_effect:all, count:-1, animation:prevent_abnormal_Unit04]</v>
      </c>
      <c r="O38" s="63">
        <f t="shared" ref="O38" si="57">FIND("effect:",N38)+7</f>
        <v>9</v>
      </c>
      <c r="P38" s="63">
        <f t="shared" ref="P38" si="58">IFERROR(FIND(",",N38),LEN(N38))</f>
        <v>18</v>
      </c>
      <c r="Q38" s="63">
        <f t="shared" ref="Q38" si="59">FIND("target:",N38)+7</f>
        <v>27</v>
      </c>
      <c r="R38" s="63">
        <f t="shared" ref="R38" si="60">FIND(",",N38,P38+1)</f>
        <v>35</v>
      </c>
      <c r="S38" s="63" t="str">
        <f>IFERROR(VLOOKUP(MID(N38,Q38,R38-Q38),[5]skilldef!$C:$D,2,FALSE),"-") &amp; " / " &amp; IFERROR(VLOOKUP(MID(N38,O38,P38-O38),[5]skilldef!$A:$B,2,FALSE),"-")</f>
        <v>味方全体に / 状態異常耐性</v>
      </c>
      <c r="T38" s="48" t="str">
        <f t="shared" ref="T38" si="61">IFERROR(RIGHT(M38,LEN(M38)-FIND("],",M38)-1),"none")</f>
        <v>none</v>
      </c>
      <c r="U38" s="63" t="e">
        <f t="shared" ref="U38" si="62">FIND("effect:",T38)+7</f>
        <v>#VALUE!</v>
      </c>
      <c r="V38" s="63">
        <f t="shared" ref="V38" si="63">IFERROR(FIND(",",T38),LEN(T38))</f>
        <v>4</v>
      </c>
      <c r="W38" s="63" t="e">
        <f t="shared" ref="W38" si="64">FIND("target:",T38)+7</f>
        <v>#VALUE!</v>
      </c>
      <c r="X38" s="63" t="e">
        <f t="shared" ref="X38" si="65">FIND(",",T38,V38+1)</f>
        <v>#VALUE!</v>
      </c>
      <c r="Y38" s="63" t="str">
        <f>IFERROR(VLOOKUP(MID(T38,W38,X38-W38),[5]skilldef!$C:$D,2,FALSE),"-") &amp; " / " &amp; IFERROR(VLOOKUP(MID(T38,U38,V38-U38),[5]skilldef!$A:$B,2,FALSE),"-")</f>
        <v>- / -</v>
      </c>
      <c r="Z38" s="50"/>
      <c r="AA38" s="52"/>
      <c r="AB38" s="50"/>
    </row>
    <row r="39" spans="1:28" ht="21" customHeight="1" x14ac:dyDescent="0.15">
      <c r="A39" s="47">
        <v>59001701</v>
      </c>
      <c r="B39" s="47" t="s">
        <v>399</v>
      </c>
      <c r="C39" s="50">
        <v>3</v>
      </c>
      <c r="D39" s="50" t="s">
        <v>127</v>
      </c>
      <c r="E39" s="129" t="s">
        <v>310</v>
      </c>
      <c r="F39" s="51" t="s">
        <v>397</v>
      </c>
      <c r="G39" s="63" t="str">
        <f t="shared" si="0"/>
        <v>[effect:enemy_message, val1:1.2, val2:2.8]</v>
      </c>
      <c r="H39" s="63">
        <f t="shared" si="1"/>
        <v>9</v>
      </c>
      <c r="I39" s="63">
        <f t="shared" si="2"/>
        <v>22</v>
      </c>
      <c r="J39" s="63" t="e">
        <f t="shared" si="3"/>
        <v>#VALUE!</v>
      </c>
      <c r="K39" s="63">
        <f t="shared" si="4"/>
        <v>32</v>
      </c>
      <c r="L39" s="63" t="str">
        <f>IFERROR(VLOOKUP(MID(G39,J39,K39-J39),[5]skilldef!$C:$D,2,FALSE),"-") &amp; " / " &amp; IFERROR(VLOOKUP(MID(G39,H39,I39-H39),[5]skilldef!$A:$B,2,FALSE),"-")</f>
        <v>- / -</v>
      </c>
      <c r="M39" s="63" t="str">
        <f t="shared" si="5"/>
        <v>[effect:fix_speed, target:myself, turn:1],[effect:tolerance, target:myself, turn:-1, count:-1, tolerance_effect:all, animation:enemy_tolerance],[effect:hungup, target:unit_all, turn:-1, rate:1, animation:hungup01],[effect:dis_panel, target:block_green, turn:-1]</v>
      </c>
      <c r="N39" s="48" t="str">
        <f t="shared" si="31"/>
        <v>[effect:fix_speed, target:myself, turn:1],[effect:tolerance, target:myself, turn:-1, count:-1, tolerance_effect:all, animation:enemy_tolerance],[effect:hungup, target:unit_all, turn:-1, rate:1, animation:hungup01],[effect:dis_panel, target:block_green, turn:-1]</v>
      </c>
      <c r="O39" s="63">
        <f t="shared" si="7"/>
        <v>9</v>
      </c>
      <c r="P39" s="63">
        <f t="shared" si="8"/>
        <v>18</v>
      </c>
      <c r="Q39" s="63">
        <f t="shared" si="9"/>
        <v>27</v>
      </c>
      <c r="R39" s="63">
        <f t="shared" si="10"/>
        <v>33</v>
      </c>
      <c r="S39" s="63" t="str">
        <f>IFERROR(VLOOKUP(MID(N39,Q39,R39-Q39),[5]skilldef!$C:$D,2,FALSE),"-") &amp; " / " &amp; IFERROR(VLOOKUP(MID(N39,O39,P39-O39),[5]skilldef!$A:$B,2,FALSE),"-")</f>
        <v>自分自身に / 行動値設定</v>
      </c>
      <c r="T39" s="48" t="str">
        <f t="shared" si="11"/>
        <v>[effect:tolerance, target:myself, turn:-1, count:-1, tolerance_effect:all, animation:enemy_tolerance],[effect:hungup, target:unit_all, turn:-1, rate:1, animation:hungup01],[effect:dis_panel, target:block_green, turn:-1]</v>
      </c>
      <c r="U39" s="63">
        <f t="shared" si="12"/>
        <v>9</v>
      </c>
      <c r="V39" s="63">
        <f t="shared" si="13"/>
        <v>18</v>
      </c>
      <c r="W39" s="63">
        <f t="shared" si="14"/>
        <v>27</v>
      </c>
      <c r="X39" s="63">
        <f t="shared" si="15"/>
        <v>33</v>
      </c>
      <c r="Y39" s="63" t="str">
        <f>IFERROR(VLOOKUP(MID(T39,W39,X39-W39),[5]skilldef!$C:$D,2,FALSE),"-") &amp; " / " &amp; IFERROR(VLOOKUP(MID(T39,U39,V39-U39),[5]skilldef!$A:$B,2,FALSE),"-")</f>
        <v>自分自身に / 状態異常耐性</v>
      </c>
      <c r="Z39" s="50"/>
      <c r="AA39" s="52"/>
      <c r="AB39" s="50"/>
    </row>
    <row r="40" spans="1:28" ht="21" customHeight="1" x14ac:dyDescent="0.15">
      <c r="A40" s="47">
        <v>59001702</v>
      </c>
      <c r="B40" s="47" t="s">
        <v>400</v>
      </c>
      <c r="C40" s="50">
        <v>3</v>
      </c>
      <c r="D40" s="50" t="s">
        <v>127</v>
      </c>
      <c r="E40" s="51" t="s">
        <v>332</v>
      </c>
      <c r="F40" s="51" t="s">
        <v>398</v>
      </c>
      <c r="G40" s="63" t="str">
        <f t="shared" si="0"/>
        <v>[effect:enemy_message, val1:1.2, val2:4.4]</v>
      </c>
      <c r="H40" s="63">
        <f t="shared" si="1"/>
        <v>9</v>
      </c>
      <c r="I40" s="63">
        <f t="shared" si="2"/>
        <v>22</v>
      </c>
      <c r="J40" s="63" t="e">
        <f t="shared" si="3"/>
        <v>#VALUE!</v>
      </c>
      <c r="K40" s="63">
        <f t="shared" si="4"/>
        <v>32</v>
      </c>
      <c r="L40" s="63" t="str">
        <f>IFERROR(VLOOKUP(MID(G40,J40,K40-J40),[5]skilldef!$C:$D,2,FALSE),"-") &amp; " / " &amp; IFERROR(VLOOKUP(MID(G40,H40,I40-H40),[5]skilldef!$A:$B,2,FALSE),"-")</f>
        <v>- / -</v>
      </c>
      <c r="M40" s="63" t="str">
        <f t="shared" si="5"/>
        <v>[effect:change_panel_ratio, turn:-1, block_type:heal, val:0, animation:block_incidence04],[effect:drop_block, block_type:crash, color:block_all, val:6, rate:0.2, turn:-1, animation:crash_influence04],[effect:enhance_unit, target:unit_all, turn:-1, status:attack, val:1]</v>
      </c>
      <c r="N40" s="48" t="str">
        <f t="shared" si="31"/>
        <v>[effect:change_panel_ratio, turn:-1, block_type:heal, val:0, animation:block_incidence04],[effect:drop_block, block_type:crash, color:block_all, val:6, rate:0.2, turn:-1, animation:crash_influence04],[effect:enhance_unit, target:unit_all, turn:-1, status:attack, val:1]</v>
      </c>
      <c r="O40" s="63">
        <f t="shared" si="7"/>
        <v>9</v>
      </c>
      <c r="P40" s="63">
        <f t="shared" si="8"/>
        <v>27</v>
      </c>
      <c r="Q40" s="63">
        <f t="shared" si="9"/>
        <v>230</v>
      </c>
      <c r="R40" s="63">
        <f t="shared" si="10"/>
        <v>36</v>
      </c>
      <c r="S40" s="63" t="str">
        <f>IFERROR(VLOOKUP(MID(N40,Q40,R40-Q40),[5]skilldef!$C:$D,2,FALSE),"-") &amp; " / " &amp; IFERROR(VLOOKUP(MID(N40,O40,P40-O40),[5]skilldef!$A:$B,2,FALSE),"-")</f>
        <v>- / -</v>
      </c>
      <c r="T40" s="48" t="str">
        <f t="shared" si="11"/>
        <v>[effect:drop_block, block_type:crash, color:block_all, val:6, rate:0.2, turn:-1, animation:crash_influence04],[effect:enhance_unit, target:unit_all, turn:-1, status:attack, val:1]</v>
      </c>
      <c r="U40" s="63">
        <f t="shared" si="12"/>
        <v>9</v>
      </c>
      <c r="V40" s="63">
        <f t="shared" si="13"/>
        <v>19</v>
      </c>
      <c r="W40" s="63">
        <f t="shared" si="14"/>
        <v>140</v>
      </c>
      <c r="X40" s="63">
        <f t="shared" si="15"/>
        <v>37</v>
      </c>
      <c r="Y40" s="63" t="str">
        <f>IFERROR(VLOOKUP(MID(T40,W40,X40-W40),[5]skilldef!$C:$D,2,FALSE),"-") &amp; " / " &amp; IFERROR(VLOOKUP(MID(T40,U40,V40-U40),[5]skilldef!$A:$B,2,FALSE),"-")</f>
        <v>- / 特定ブロックの割合ドロップ</v>
      </c>
      <c r="Z40" s="50"/>
      <c r="AA40" s="52"/>
      <c r="AB40" s="50"/>
    </row>
    <row r="41" spans="1:28" ht="21" customHeight="1" x14ac:dyDescent="0.15">
      <c r="A41" s="47">
        <v>59001703</v>
      </c>
      <c r="B41" s="47" t="s">
        <v>387</v>
      </c>
      <c r="C41" s="50">
        <v>3</v>
      </c>
      <c r="D41" s="50" t="s">
        <v>127</v>
      </c>
      <c r="E41" s="51" t="s">
        <v>302</v>
      </c>
      <c r="F41" s="51" t="s">
        <v>385</v>
      </c>
      <c r="G41" s="63" t="str">
        <f t="shared" si="0"/>
        <v>[effect:enemy_message, val1:1.2, val2:1.8]</v>
      </c>
      <c r="H41" s="63">
        <f t="shared" si="1"/>
        <v>9</v>
      </c>
      <c r="I41" s="63">
        <f t="shared" si="2"/>
        <v>22</v>
      </c>
      <c r="J41" s="63" t="e">
        <f t="shared" si="3"/>
        <v>#VALUE!</v>
      </c>
      <c r="K41" s="63">
        <f t="shared" si="4"/>
        <v>32</v>
      </c>
      <c r="L41" s="63" t="str">
        <f>IFERROR(VLOOKUP(MID(G41,J41,K41-J41),[5]skilldef!$C:$D,2,FALSE),"-") &amp; " / " &amp; IFERROR(VLOOKUP(MID(G41,H41,I41-H41),[5]skilldef!$A:$B,2,FALSE),"-")</f>
        <v>- / -</v>
      </c>
      <c r="M41" s="63" t="str">
        <f t="shared" si="5"/>
        <v>[effect:damage_fix_absolute, target:unit_all, val:1250]</v>
      </c>
      <c r="N41" s="48" t="str">
        <f t="shared" si="31"/>
        <v>[effect:damage_fix_absolute, target:unit_all, val:1250]</v>
      </c>
      <c r="O41" s="63">
        <f t="shared" si="7"/>
        <v>9</v>
      </c>
      <c r="P41" s="63">
        <f t="shared" si="8"/>
        <v>28</v>
      </c>
      <c r="Q41" s="63">
        <f t="shared" si="9"/>
        <v>37</v>
      </c>
      <c r="R41" s="63">
        <f t="shared" si="10"/>
        <v>45</v>
      </c>
      <c r="S41" s="63" t="str">
        <f>IFERROR(VLOOKUP(MID(N41,Q41,R41-Q41),[5]skilldef!$C:$D,2,FALSE),"-") &amp; " / " &amp; IFERROR(VLOOKUP(MID(N41,O41,P41-O41),[5]skilldef!$A:$B,2,FALSE),"-")</f>
        <v>味方全体に / -</v>
      </c>
      <c r="T41" s="48" t="str">
        <f t="shared" si="11"/>
        <v>none</v>
      </c>
      <c r="U41" s="63" t="e">
        <f t="shared" si="12"/>
        <v>#VALUE!</v>
      </c>
      <c r="V41" s="63">
        <f t="shared" si="13"/>
        <v>4</v>
      </c>
      <c r="W41" s="63" t="e">
        <f t="shared" si="14"/>
        <v>#VALUE!</v>
      </c>
      <c r="X41" s="63" t="e">
        <f t="shared" si="15"/>
        <v>#VALUE!</v>
      </c>
      <c r="Y41" s="63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</row>
    <row r="42" spans="1:28" ht="21" customHeight="1" x14ac:dyDescent="0.15">
      <c r="A42" s="47">
        <v>59001704</v>
      </c>
      <c r="B42" s="47" t="s">
        <v>388</v>
      </c>
      <c r="C42" s="50">
        <v>3</v>
      </c>
      <c r="D42" s="50" t="s">
        <v>127</v>
      </c>
      <c r="E42" s="109" t="s">
        <v>311</v>
      </c>
      <c r="F42" s="51" t="s">
        <v>385</v>
      </c>
      <c r="G42" s="63" t="str">
        <f t="shared" si="0"/>
        <v>[effect:enemy_message, val1:1.3, val2:1.8]</v>
      </c>
      <c r="H42" s="63">
        <f t="shared" si="1"/>
        <v>9</v>
      </c>
      <c r="I42" s="63">
        <f t="shared" si="2"/>
        <v>22</v>
      </c>
      <c r="J42" s="63" t="e">
        <f t="shared" si="3"/>
        <v>#VALUE!</v>
      </c>
      <c r="K42" s="63">
        <f t="shared" si="4"/>
        <v>32</v>
      </c>
      <c r="L42" s="63" t="str">
        <f>IFERROR(VLOOKUP(MID(G42,J42,K42-J42),[5]skilldef!$C:$D,2,FALSE),"-") &amp; " / " &amp; IFERROR(VLOOKUP(MID(G42,H42,I42-H42),[5]skilldef!$A:$B,2,FALSE),"-")</f>
        <v>- / -</v>
      </c>
      <c r="M42" s="63" t="str">
        <f t="shared" si="5"/>
        <v>[effect:damage_fix_absolute, target:unit_all, val:2500]</v>
      </c>
      <c r="N42" s="48" t="str">
        <f t="shared" si="31"/>
        <v>[effect:damage_fix_absolute, target:unit_all, val:2500]</v>
      </c>
      <c r="O42" s="63">
        <f t="shared" si="7"/>
        <v>9</v>
      </c>
      <c r="P42" s="63">
        <f t="shared" si="8"/>
        <v>28</v>
      </c>
      <c r="Q42" s="63">
        <f t="shared" si="9"/>
        <v>37</v>
      </c>
      <c r="R42" s="63">
        <f t="shared" si="10"/>
        <v>45</v>
      </c>
      <c r="S42" s="63" t="str">
        <f>IFERROR(VLOOKUP(MID(N42,Q42,R42-Q42),[5]skilldef!$C:$D,2,FALSE),"-") &amp; " / " &amp; IFERROR(VLOOKUP(MID(N42,O42,P42-O42),[5]skilldef!$A:$B,2,FALSE),"-")</f>
        <v>味方全体に / -</v>
      </c>
      <c r="T42" s="48" t="str">
        <f t="shared" si="11"/>
        <v>none</v>
      </c>
      <c r="U42" s="63" t="e">
        <f t="shared" si="12"/>
        <v>#VALUE!</v>
      </c>
      <c r="V42" s="63">
        <f t="shared" si="13"/>
        <v>4</v>
      </c>
      <c r="W42" s="63" t="e">
        <f t="shared" si="14"/>
        <v>#VALUE!</v>
      </c>
      <c r="X42" s="63" t="e">
        <f t="shared" si="15"/>
        <v>#VALUE!</v>
      </c>
      <c r="Y42" s="63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21" customHeight="1" x14ac:dyDescent="0.15">
      <c r="A43" s="47">
        <v>59001705</v>
      </c>
      <c r="B43" s="47" t="s">
        <v>389</v>
      </c>
      <c r="C43" s="50">
        <v>3</v>
      </c>
      <c r="D43" s="50" t="s">
        <v>127</v>
      </c>
      <c r="E43" s="109" t="s">
        <v>312</v>
      </c>
      <c r="F43" s="51" t="s">
        <v>385</v>
      </c>
      <c r="G43" s="63" t="str">
        <f t="shared" si="0"/>
        <v>[effect:enemy_message, val1:1.2, val2:1.8]</v>
      </c>
      <c r="H43" s="63">
        <f t="shared" si="1"/>
        <v>9</v>
      </c>
      <c r="I43" s="63">
        <f t="shared" si="2"/>
        <v>22</v>
      </c>
      <c r="J43" s="63" t="e">
        <f t="shared" si="3"/>
        <v>#VALUE!</v>
      </c>
      <c r="K43" s="63">
        <f t="shared" si="4"/>
        <v>32</v>
      </c>
      <c r="L43" s="63" t="str">
        <f>IFERROR(VLOOKUP(MID(G43,J43,K43-J43),[5]skilldef!$C:$D,2,FALSE),"-") &amp; " / " &amp; IFERROR(VLOOKUP(MID(G43,H43,I43-H43),[5]skilldef!$A:$B,2,FALSE),"-")</f>
        <v>- / -</v>
      </c>
      <c r="M43" s="63" t="str">
        <f t="shared" si="5"/>
        <v>[effect:damage_fix_absolute, target:unit_all, val:3750]</v>
      </c>
      <c r="N43" s="48" t="str">
        <f t="shared" si="31"/>
        <v>[effect:damage_fix_absolute, target:unit_all, val:3750]</v>
      </c>
      <c r="O43" s="63">
        <f t="shared" si="7"/>
        <v>9</v>
      </c>
      <c r="P43" s="63">
        <f t="shared" si="8"/>
        <v>28</v>
      </c>
      <c r="Q43" s="63">
        <f t="shared" si="9"/>
        <v>37</v>
      </c>
      <c r="R43" s="63">
        <f t="shared" si="10"/>
        <v>45</v>
      </c>
      <c r="S43" s="63" t="str">
        <f>IFERROR(VLOOKUP(MID(N43,Q43,R43-Q43),[5]skilldef!$C:$D,2,FALSE),"-") &amp; " / " &amp; IFERROR(VLOOKUP(MID(N43,O43,P43-O43),[5]skilldef!$A:$B,2,FALSE),"-")</f>
        <v>味方全体に / -</v>
      </c>
      <c r="T43" s="48" t="str">
        <f t="shared" si="11"/>
        <v>none</v>
      </c>
      <c r="U43" s="63" t="e">
        <f t="shared" si="12"/>
        <v>#VALUE!</v>
      </c>
      <c r="V43" s="63">
        <f t="shared" si="13"/>
        <v>4</v>
      </c>
      <c r="W43" s="63" t="e">
        <f t="shared" si="14"/>
        <v>#VALUE!</v>
      </c>
      <c r="X43" s="63" t="e">
        <f t="shared" si="15"/>
        <v>#VALUE!</v>
      </c>
      <c r="Y43" s="63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</row>
    <row r="44" spans="1:28" ht="21" customHeight="1" x14ac:dyDescent="0.15">
      <c r="A44" s="47">
        <v>59001706</v>
      </c>
      <c r="B44" s="47" t="s">
        <v>390</v>
      </c>
      <c r="C44" s="50">
        <v>3</v>
      </c>
      <c r="D44" s="50" t="s">
        <v>127</v>
      </c>
      <c r="E44" s="109" t="s">
        <v>313</v>
      </c>
      <c r="F44" s="51" t="s">
        <v>385</v>
      </c>
      <c r="G44" s="63" t="str">
        <f t="shared" si="0"/>
        <v>[effect:enemy_message, val1:1.2, val2:1.8]</v>
      </c>
      <c r="H44" s="63">
        <f t="shared" si="1"/>
        <v>9</v>
      </c>
      <c r="I44" s="63">
        <f t="shared" si="2"/>
        <v>22</v>
      </c>
      <c r="J44" s="63" t="e">
        <f t="shared" si="3"/>
        <v>#VALUE!</v>
      </c>
      <c r="K44" s="63">
        <f t="shared" si="4"/>
        <v>32</v>
      </c>
      <c r="L44" s="63" t="str">
        <f>IFERROR(VLOOKUP(MID(G44,J44,K44-J44),[5]skilldef!$C:$D,2,FALSE),"-") &amp; " / " &amp; IFERROR(VLOOKUP(MID(G44,H44,I44-H44),[5]skilldef!$A:$B,2,FALSE),"-")</f>
        <v>- / -</v>
      </c>
      <c r="M44" s="63" t="str">
        <f t="shared" si="5"/>
        <v>[effect:damage_fix_absolute, target:unit_all, val:5000]</v>
      </c>
      <c r="N44" s="48" t="str">
        <f t="shared" si="31"/>
        <v>[effect:damage_fix_absolute, target:unit_all, val:5000]</v>
      </c>
      <c r="O44" s="63">
        <f t="shared" si="7"/>
        <v>9</v>
      </c>
      <c r="P44" s="63">
        <f t="shared" si="8"/>
        <v>28</v>
      </c>
      <c r="Q44" s="63">
        <f t="shared" si="9"/>
        <v>37</v>
      </c>
      <c r="R44" s="63">
        <f t="shared" si="10"/>
        <v>45</v>
      </c>
      <c r="S44" s="63" t="str">
        <f>IFERROR(VLOOKUP(MID(N44,Q44,R44-Q44),[5]skilldef!$C:$D,2,FALSE),"-") &amp; " / " &amp; IFERROR(VLOOKUP(MID(N44,O44,P44-O44),[5]skilldef!$A:$B,2,FALSE),"-")</f>
        <v>味方全体に / -</v>
      </c>
      <c r="T44" s="48" t="str">
        <f t="shared" si="11"/>
        <v>none</v>
      </c>
      <c r="U44" s="63" t="e">
        <f t="shared" si="12"/>
        <v>#VALUE!</v>
      </c>
      <c r="V44" s="63">
        <f t="shared" si="13"/>
        <v>4</v>
      </c>
      <c r="W44" s="63" t="e">
        <f t="shared" si="14"/>
        <v>#VALUE!</v>
      </c>
      <c r="X44" s="63" t="e">
        <f t="shared" si="15"/>
        <v>#VALUE!</v>
      </c>
      <c r="Y44" s="63" t="str">
        <f>IFERROR(VLOOKUP(MID(T44,W44,X44-W44),[5]skilldef!$C:$D,2,FALSE),"-") &amp; " / " &amp; IFERROR(VLOOKUP(MID(T44,U44,V44-U44),[5]skilldef!$A:$B,2,FALSE),"-")</f>
        <v>- / -</v>
      </c>
      <c r="Z44" s="50"/>
      <c r="AA44" s="52"/>
      <c r="AB44" s="50"/>
    </row>
    <row r="45" spans="1:28" ht="21" customHeight="1" x14ac:dyDescent="0.15">
      <c r="A45" s="47">
        <v>59001707</v>
      </c>
      <c r="B45" s="47" t="s">
        <v>391</v>
      </c>
      <c r="C45" s="50">
        <v>3</v>
      </c>
      <c r="D45" s="50" t="s">
        <v>127</v>
      </c>
      <c r="E45" s="109" t="s">
        <v>314</v>
      </c>
      <c r="F45" s="51" t="s">
        <v>386</v>
      </c>
      <c r="G45" s="63" t="str">
        <f t="shared" si="0"/>
        <v>[effect:enemy_message, val1:1.3, val2:1.4]</v>
      </c>
      <c r="H45" s="63">
        <f t="shared" si="1"/>
        <v>9</v>
      </c>
      <c r="I45" s="63">
        <f t="shared" si="2"/>
        <v>22</v>
      </c>
      <c r="J45" s="63" t="e">
        <f t="shared" si="3"/>
        <v>#VALUE!</v>
      </c>
      <c r="K45" s="63">
        <f t="shared" si="4"/>
        <v>32</v>
      </c>
      <c r="L45" s="63" t="str">
        <f>IFERROR(VLOOKUP(MID(G45,J45,K45-J45),[5]skilldef!$C:$D,2,FALSE),"-") &amp; " / " &amp; IFERROR(VLOOKUP(MID(G45,H45,I45-H45),[5]skilldef!$A:$B,2,FALSE),"-")</f>
        <v>- / -</v>
      </c>
      <c r="M45" s="63" t="str">
        <f t="shared" si="5"/>
        <v>[effect:damage_fix_absolute, target:unit_all, val:999999]</v>
      </c>
      <c r="N45" s="48" t="str">
        <f t="shared" si="31"/>
        <v>[effect:damage_fix_absolute, target:unit_all, val:999999]</v>
      </c>
      <c r="O45" s="63">
        <f t="shared" si="7"/>
        <v>9</v>
      </c>
      <c r="P45" s="63">
        <f t="shared" si="8"/>
        <v>28</v>
      </c>
      <c r="Q45" s="63">
        <f t="shared" si="9"/>
        <v>37</v>
      </c>
      <c r="R45" s="63">
        <f t="shared" si="10"/>
        <v>45</v>
      </c>
      <c r="S45" s="63" t="str">
        <f>IFERROR(VLOOKUP(MID(N45,Q45,R45-Q45),[5]skilldef!$C:$D,2,FALSE),"-") &amp; " / " &amp; IFERROR(VLOOKUP(MID(N45,O45,P45-O45),[5]skilldef!$A:$B,2,FALSE),"-")</f>
        <v>味方全体に / -</v>
      </c>
      <c r="T45" s="48" t="str">
        <f t="shared" si="11"/>
        <v>none</v>
      </c>
      <c r="U45" s="63" t="e">
        <f t="shared" si="12"/>
        <v>#VALUE!</v>
      </c>
      <c r="V45" s="63">
        <f t="shared" si="13"/>
        <v>4</v>
      </c>
      <c r="W45" s="63" t="e">
        <f t="shared" si="14"/>
        <v>#VALUE!</v>
      </c>
      <c r="X45" s="63" t="e">
        <f t="shared" si="15"/>
        <v>#VALUE!</v>
      </c>
      <c r="Y45" s="63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21" customHeight="1" thickBot="1" x14ac:dyDescent="0.2">
      <c r="A46" s="111">
        <v>59001708</v>
      </c>
      <c r="B46" s="111" t="s">
        <v>373</v>
      </c>
      <c r="C46" s="112">
        <v>3</v>
      </c>
      <c r="D46" s="112" t="s">
        <v>375</v>
      </c>
      <c r="E46" s="130" t="s">
        <v>315</v>
      </c>
      <c r="F46" s="128" t="s">
        <v>316</v>
      </c>
      <c r="G46" s="113" t="str">
        <f t="shared" ref="G46" si="66">IFERROR(LEFT(B46,FIND("],",B46)),B46)</f>
        <v>[effect:enemy_message, val1:1.4, val2:2.9, dead_type:escape]</v>
      </c>
      <c r="H46" s="113">
        <f t="shared" ref="H46" si="67">FIND("effect:",G46)+7</f>
        <v>9</v>
      </c>
      <c r="I46" s="113">
        <f t="shared" ref="I46" si="68">IFERROR(FIND(",",G46),LEN(G46))</f>
        <v>22</v>
      </c>
      <c r="J46" s="113" t="e">
        <f t="shared" ref="J46" si="69">FIND("target:",G46)+7</f>
        <v>#VALUE!</v>
      </c>
      <c r="K46" s="113">
        <f t="shared" ref="K46" si="70">FIND(",",G46,I46+1)</f>
        <v>32</v>
      </c>
      <c r="L46" s="113" t="str">
        <f>IFERROR(VLOOKUP(MID(G46,J46,K46-J46),[5]skilldef!$C:$D,2,FALSE),"-") &amp; " / " &amp; IFERROR(VLOOKUP(MID(G46,H46,I46-H46),[5]skilldef!$A:$B,2,FALSE),"-")</f>
        <v>- / -</v>
      </c>
      <c r="M46" s="113" t="str">
        <f t="shared" ref="M46" si="71">IFERROR(RIGHT(B46,LEN(B46)-FIND("],",B46)-1),"none")</f>
        <v>none</v>
      </c>
      <c r="N46" s="114" t="str">
        <f t="shared" ref="N46" si="72">IFERROR(LEFT(M46,FIND("],",M46)+S56),M46)</f>
        <v>none</v>
      </c>
      <c r="O46" s="113" t="e">
        <f t="shared" ref="O46" si="73">FIND("effect:",N46)+7</f>
        <v>#VALUE!</v>
      </c>
      <c r="P46" s="113">
        <f t="shared" ref="P46" si="74">IFERROR(FIND(",",N46),LEN(N46))</f>
        <v>4</v>
      </c>
      <c r="Q46" s="113" t="e">
        <f t="shared" ref="Q46" si="75">FIND("target:",N46)+7</f>
        <v>#VALUE!</v>
      </c>
      <c r="R46" s="113" t="e">
        <f t="shared" ref="R46" si="76">FIND(",",N46,P46+1)</f>
        <v>#VALUE!</v>
      </c>
      <c r="S46" s="113" t="str">
        <f>IFERROR(VLOOKUP(MID(N46,Q46,R46-Q46),[5]skilldef!$C:$D,2,FALSE),"-") &amp; " / " &amp; IFERROR(VLOOKUP(MID(N46,O46,P46-O46),[5]skilldef!$A:$B,2,FALSE),"-")</f>
        <v>- / -</v>
      </c>
      <c r="T46" s="114" t="str">
        <f t="shared" ref="T46" si="77">IFERROR(RIGHT(M46,LEN(M46)-FIND("],",M46)-1),"none")</f>
        <v>none</v>
      </c>
      <c r="U46" s="113" t="e">
        <f t="shared" ref="U46" si="78">FIND("effect:",T46)+7</f>
        <v>#VALUE!</v>
      </c>
      <c r="V46" s="113">
        <f t="shared" ref="V46" si="79">IFERROR(FIND(",",T46),LEN(T46))</f>
        <v>4</v>
      </c>
      <c r="W46" s="113" t="e">
        <f t="shared" ref="W46" si="80">FIND("target:",T46)+7</f>
        <v>#VALUE!</v>
      </c>
      <c r="X46" s="113" t="e">
        <f t="shared" ref="X46" si="81">FIND(",",T46,V46+1)</f>
        <v>#VALUE!</v>
      </c>
      <c r="Y46" s="113" t="str">
        <f>IFERROR(VLOOKUP(MID(T46,W46,X46-W46),[5]skilldef!$C:$D,2,FALSE),"-") &amp; " / " &amp; IFERROR(VLOOKUP(MID(T46,U46,V46-U46),[5]skilldef!$A:$B,2,FALSE),"-")</f>
        <v>- / -</v>
      </c>
      <c r="Z46" s="112"/>
      <c r="AA46" s="115"/>
      <c r="AB46" s="112"/>
    </row>
    <row r="47" spans="1:28" ht="21" customHeight="1" x14ac:dyDescent="0.15">
      <c r="A47" s="116">
        <v>59001709</v>
      </c>
      <c r="B47" s="117" t="s">
        <v>374</v>
      </c>
      <c r="C47" s="118">
        <v>3</v>
      </c>
      <c r="D47" s="118" t="s">
        <v>127</v>
      </c>
      <c r="E47" s="119" t="s">
        <v>317</v>
      </c>
      <c r="F47" s="119" t="s">
        <v>319</v>
      </c>
      <c r="G47" s="120" t="str">
        <f t="shared" ref="G47:G48" si="82">IFERROR(LEFT(B47,FIND("],",B47)),B47)</f>
        <v>[effect:enemy_message, val1:1.5, val2:2.9, dead_type:escape]</v>
      </c>
      <c r="H47" s="120">
        <f t="shared" ref="H47:H48" si="83">FIND("effect:",G47)+7</f>
        <v>9</v>
      </c>
      <c r="I47" s="120">
        <f t="shared" ref="I47:I48" si="84">IFERROR(FIND(",",G47),LEN(G47))</f>
        <v>22</v>
      </c>
      <c r="J47" s="120" t="e">
        <f t="shared" ref="J47:J48" si="85">FIND("target:",G47)+7</f>
        <v>#VALUE!</v>
      </c>
      <c r="K47" s="120">
        <f t="shared" ref="K47:K48" si="86">FIND(",",G47,I47+1)</f>
        <v>32</v>
      </c>
      <c r="L47" s="120" t="str">
        <f>IFERROR(VLOOKUP(MID(G47,J47,K47-J47),[5]skilldef!$C:$D,2,FALSE),"-") &amp; " / " &amp; IFERROR(VLOOKUP(MID(G47,H47,I47-H47),[5]skilldef!$A:$B,2,FALSE),"-")</f>
        <v>- / -</v>
      </c>
      <c r="M47" s="120" t="str">
        <f t="shared" ref="M47:M48" si="87">IFERROR(RIGHT(B47,LEN(B47)-FIND("],",B47)-1),"none")</f>
        <v>none</v>
      </c>
      <c r="N47" s="121" t="str">
        <f t="shared" ref="N47:N48" si="88">IFERROR(LEFT(M47,FIND("],",M47)+S57),M47)</f>
        <v>none</v>
      </c>
      <c r="O47" s="120" t="e">
        <f t="shared" ref="O47:O48" si="89">FIND("effect:",N47)+7</f>
        <v>#VALUE!</v>
      </c>
      <c r="P47" s="120">
        <f t="shared" ref="P47:P48" si="90">IFERROR(FIND(",",N47),LEN(N47))</f>
        <v>4</v>
      </c>
      <c r="Q47" s="120" t="e">
        <f t="shared" ref="Q47:Q48" si="91">FIND("target:",N47)+7</f>
        <v>#VALUE!</v>
      </c>
      <c r="R47" s="120" t="e">
        <f t="shared" ref="R47:R48" si="92">FIND(",",N47,P47+1)</f>
        <v>#VALUE!</v>
      </c>
      <c r="S47" s="120" t="str">
        <f>IFERROR(VLOOKUP(MID(N47,Q47,R47-Q47),[5]skilldef!$C:$D,2,FALSE),"-") &amp; " / " &amp; IFERROR(VLOOKUP(MID(N47,O47,P47-O47),[5]skilldef!$A:$B,2,FALSE),"-")</f>
        <v>- / -</v>
      </c>
      <c r="T47" s="121" t="str">
        <f t="shared" ref="T47:T48" si="93">IFERROR(RIGHT(M47,LEN(M47)-FIND("],",M47)-1),"none")</f>
        <v>none</v>
      </c>
      <c r="U47" s="120" t="e">
        <f t="shared" ref="U47:U48" si="94">FIND("effect:",T47)+7</f>
        <v>#VALUE!</v>
      </c>
      <c r="V47" s="120">
        <f t="shared" ref="V47:V48" si="95">IFERROR(FIND(",",T47),LEN(T47))</f>
        <v>4</v>
      </c>
      <c r="W47" s="120" t="e">
        <f t="shared" ref="W47:W48" si="96">FIND("target:",T47)+7</f>
        <v>#VALUE!</v>
      </c>
      <c r="X47" s="120" t="e">
        <f t="shared" ref="X47:X48" si="97">FIND(",",T47,V47+1)</f>
        <v>#VALUE!</v>
      </c>
      <c r="Y47" s="120" t="str">
        <f>IFERROR(VLOOKUP(MID(T47,W47,X47-W47),[5]skilldef!$C:$D,2,FALSE),"-") &amp; " / " &amp; IFERROR(VLOOKUP(MID(T47,U47,V47-U47),[5]skilldef!$A:$B,2,FALSE),"-")</f>
        <v>- / -</v>
      </c>
      <c r="Z47" s="118"/>
      <c r="AA47" s="122"/>
      <c r="AB47" s="118"/>
    </row>
    <row r="48" spans="1:28" ht="21" customHeight="1" x14ac:dyDescent="0.15">
      <c r="A48" s="110">
        <v>59001710</v>
      </c>
      <c r="B48" s="47" t="s">
        <v>349</v>
      </c>
      <c r="C48" s="50">
        <v>3</v>
      </c>
      <c r="D48" s="50" t="s">
        <v>127</v>
      </c>
      <c r="E48" s="109" t="s">
        <v>318</v>
      </c>
      <c r="F48" s="109" t="s">
        <v>320</v>
      </c>
      <c r="G48" s="63" t="str">
        <f t="shared" si="82"/>
        <v>[effect:enemy_message, val1:1.9, val2:2.8, dead_type:escape]</v>
      </c>
      <c r="H48" s="63">
        <f t="shared" si="83"/>
        <v>9</v>
      </c>
      <c r="I48" s="63">
        <f t="shared" si="84"/>
        <v>22</v>
      </c>
      <c r="J48" s="63" t="e">
        <f t="shared" si="85"/>
        <v>#VALUE!</v>
      </c>
      <c r="K48" s="63">
        <f t="shared" si="86"/>
        <v>32</v>
      </c>
      <c r="L48" s="63" t="str">
        <f>IFERROR(VLOOKUP(MID(G48,J48,K48-J48),[5]skilldef!$C:$D,2,FALSE),"-") &amp; " / " &amp; IFERROR(VLOOKUP(MID(G48,H48,I48-H48),[5]skilldef!$A:$B,2,FALSE),"-")</f>
        <v>- / -</v>
      </c>
      <c r="M48" s="63" t="str">
        <f t="shared" si="87"/>
        <v>none</v>
      </c>
      <c r="N48" s="48" t="str">
        <f t="shared" si="88"/>
        <v>none</v>
      </c>
      <c r="O48" s="63" t="e">
        <f t="shared" si="89"/>
        <v>#VALUE!</v>
      </c>
      <c r="P48" s="63">
        <f t="shared" si="90"/>
        <v>4</v>
      </c>
      <c r="Q48" s="63" t="e">
        <f t="shared" si="91"/>
        <v>#VALUE!</v>
      </c>
      <c r="R48" s="63" t="e">
        <f t="shared" si="92"/>
        <v>#VALUE!</v>
      </c>
      <c r="S48" s="63" t="str">
        <f>IFERROR(VLOOKUP(MID(N48,Q48,R48-Q48),[5]skilldef!$C:$D,2,FALSE),"-") &amp; " / " &amp; IFERROR(VLOOKUP(MID(N48,O48,P48-O48),[5]skilldef!$A:$B,2,FALSE),"-")</f>
        <v>- / -</v>
      </c>
      <c r="T48" s="48" t="str">
        <f t="shared" si="93"/>
        <v>none</v>
      </c>
      <c r="U48" s="63" t="e">
        <f t="shared" si="94"/>
        <v>#VALUE!</v>
      </c>
      <c r="V48" s="63">
        <f t="shared" si="95"/>
        <v>4</v>
      </c>
      <c r="W48" s="63" t="e">
        <f t="shared" si="96"/>
        <v>#VALUE!</v>
      </c>
      <c r="X48" s="63" t="e">
        <f t="shared" si="97"/>
        <v>#VALUE!</v>
      </c>
      <c r="Y48" s="63" t="str">
        <f>IFERROR(VLOOKUP(MID(T48,W48,X48-W48),[5]skilldef!$C:$D,2,FALSE),"-") &amp; " / " &amp; IFERROR(VLOOKUP(MID(T48,U48,V48-U48),[5]skilldef!$A:$B,2,FALSE),"-")</f>
        <v>- / -</v>
      </c>
      <c r="Z48" s="50"/>
      <c r="AA48" s="52"/>
      <c r="AB48" s="50"/>
    </row>
    <row r="49" spans="1:28" ht="21" customHeight="1" x14ac:dyDescent="0.15">
      <c r="A49" s="127">
        <v>59001711</v>
      </c>
      <c r="B49" s="47" t="s">
        <v>403</v>
      </c>
      <c r="C49" s="50">
        <v>3</v>
      </c>
      <c r="D49" s="50" t="s">
        <v>127</v>
      </c>
      <c r="E49" s="109" t="s">
        <v>328</v>
      </c>
      <c r="F49" s="109" t="s">
        <v>327</v>
      </c>
      <c r="G49" s="63" t="str">
        <f t="shared" ref="G49" si="98">IFERROR(LEFT(B49,FIND("],",B49)),B49)</f>
        <v>[effect:enemy_message, val1:2.3, val2:1.2]</v>
      </c>
      <c r="H49" s="63">
        <f t="shared" ref="H49" si="99">FIND("effect:",G49)+7</f>
        <v>9</v>
      </c>
      <c r="I49" s="63">
        <f t="shared" ref="I49" si="100">IFERROR(FIND(",",G49),LEN(G49))</f>
        <v>22</v>
      </c>
      <c r="J49" s="63" t="e">
        <f t="shared" ref="J49" si="101">FIND("target:",G49)+7</f>
        <v>#VALUE!</v>
      </c>
      <c r="K49" s="63">
        <f t="shared" ref="K49" si="102">FIND(",",G49,I49+1)</f>
        <v>32</v>
      </c>
      <c r="L49" s="63" t="str">
        <f>IFERROR(VLOOKUP(MID(G49,J49,K49-J49),[5]skilldef!$C:$D,2,FALSE),"-") &amp; " / " &amp; IFERROR(VLOOKUP(MID(G49,H49,I49-H49),[5]skilldef!$A:$B,2,FALSE),"-")</f>
        <v>- / -</v>
      </c>
      <c r="M49" s="63" t="str">
        <f t="shared" ref="M49" si="103">IFERROR(RIGHT(B49,LEN(B49)-FIND("],",B49)-1),"none")</f>
        <v>[effect:tolerance, target:myself, turn:-1, count:-1, tolerance_effect:all, animation:enemy_tolerance]</v>
      </c>
      <c r="N49" s="48" t="str">
        <f t="shared" ref="N49" si="104">IFERROR(LEFT(M49,FIND("],",M49)+S59),M49)</f>
        <v>[effect:tolerance, target:myself, turn:-1, count:-1, tolerance_effect:all, animation:enemy_tolerance]</v>
      </c>
      <c r="O49" s="63">
        <f t="shared" ref="O49" si="105">FIND("effect:",N49)+7</f>
        <v>9</v>
      </c>
      <c r="P49" s="63">
        <f t="shared" ref="P49" si="106">IFERROR(FIND(",",N49),LEN(N49))</f>
        <v>18</v>
      </c>
      <c r="Q49" s="63">
        <f t="shared" ref="Q49" si="107">FIND("target:",N49)+7</f>
        <v>27</v>
      </c>
      <c r="R49" s="63">
        <f t="shared" ref="R49" si="108">FIND(",",N49,P49+1)</f>
        <v>33</v>
      </c>
      <c r="S49" s="63" t="str">
        <f>IFERROR(VLOOKUP(MID(N49,Q49,R49-Q49),[5]skilldef!$C:$D,2,FALSE),"-") &amp; " / " &amp; IFERROR(VLOOKUP(MID(N49,O49,P49-O49),[5]skilldef!$A:$B,2,FALSE),"-")</f>
        <v>自分自身に / 状態異常耐性</v>
      </c>
      <c r="T49" s="48" t="str">
        <f t="shared" ref="T49" si="109">IFERROR(RIGHT(M49,LEN(M49)-FIND("],",M49)-1),"none")</f>
        <v>none</v>
      </c>
      <c r="U49" s="63" t="e">
        <f t="shared" ref="U49" si="110">FIND("effect:",T49)+7</f>
        <v>#VALUE!</v>
      </c>
      <c r="V49" s="63">
        <f t="shared" ref="V49" si="111">IFERROR(FIND(",",T49),LEN(T49))</f>
        <v>4</v>
      </c>
      <c r="W49" s="63" t="e">
        <f t="shared" ref="W49" si="112">FIND("target:",T49)+7</f>
        <v>#VALUE!</v>
      </c>
      <c r="X49" s="63" t="e">
        <f t="shared" ref="X49" si="113">FIND(",",T49,V49+1)</f>
        <v>#VALUE!</v>
      </c>
      <c r="Y49" s="63" t="str">
        <f>IFERROR(VLOOKUP(MID(T49,W49,X49-W49),[5]skilldef!$C:$D,2,FALSE),"-") &amp; " / " &amp; IFERROR(VLOOKUP(MID(T49,U49,V49-U49),[5]skilldef!$A:$B,2,FALSE),"-")</f>
        <v>- / -</v>
      </c>
      <c r="Z49" s="50"/>
      <c r="AA49" s="52"/>
      <c r="AB49" s="50"/>
    </row>
    <row r="50" spans="1:28" ht="21" customHeight="1" x14ac:dyDescent="0.15">
      <c r="A50" s="127">
        <v>59001712</v>
      </c>
      <c r="B50" s="47" t="s">
        <v>404</v>
      </c>
      <c r="C50" s="50">
        <v>3</v>
      </c>
      <c r="D50" s="50" t="s">
        <v>127</v>
      </c>
      <c r="E50" s="109" t="s">
        <v>329</v>
      </c>
      <c r="F50" s="109" t="s">
        <v>327</v>
      </c>
      <c r="G50" s="63" t="str">
        <f t="shared" ref="G50:G59" si="114">IFERROR(LEFT(B50,FIND("],",B50)),B50)</f>
        <v>[effect:enemy_message, val1:2.4, val2:1.2]</v>
      </c>
      <c r="H50" s="63">
        <f t="shared" ref="H50:H59" si="115">FIND("effect:",G50)+7</f>
        <v>9</v>
      </c>
      <c r="I50" s="63">
        <f t="shared" ref="I50:I59" si="116">IFERROR(FIND(",",G50),LEN(G50))</f>
        <v>22</v>
      </c>
      <c r="J50" s="63" t="e">
        <f t="shared" ref="J50:J59" si="117">FIND("target:",G50)+7</f>
        <v>#VALUE!</v>
      </c>
      <c r="K50" s="63">
        <f t="shared" ref="K50:K59" si="118">FIND(",",G50,I50+1)</f>
        <v>32</v>
      </c>
      <c r="L50" s="63" t="str">
        <f>IFERROR(VLOOKUP(MID(G50,J50,K50-J50),[5]skilldef!$C:$D,2,FALSE),"-") &amp; " / " &amp; IFERROR(VLOOKUP(MID(G50,H50,I50-H50),[5]skilldef!$A:$B,2,FALSE),"-")</f>
        <v>- / -</v>
      </c>
      <c r="M50" s="63" t="str">
        <f t="shared" ref="M50:M59" si="119">IFERROR(RIGHT(B50,LEN(B50)-FIND("],",B50)-1),"none")</f>
        <v>[effect:tolerance, target:myself, turn:-1, count:-1, tolerance_effect:all, animation:enemy_tolerance]</v>
      </c>
      <c r="N50" s="48" t="str">
        <f>IFERROR(LEFT(M50,FIND("],",M50)+#REF!),M50)</f>
        <v>[effect:tolerance, target:myself, turn:-1, count:-1, tolerance_effect:all, animation:enemy_tolerance]</v>
      </c>
      <c r="O50" s="63">
        <f t="shared" ref="O50:O59" si="120">FIND("effect:",N50)+7</f>
        <v>9</v>
      </c>
      <c r="P50" s="63">
        <f t="shared" ref="P50:P59" si="121">IFERROR(FIND(",",N50),LEN(N50))</f>
        <v>18</v>
      </c>
      <c r="Q50" s="63">
        <f t="shared" ref="Q50:Q59" si="122">FIND("target:",N50)+7</f>
        <v>27</v>
      </c>
      <c r="R50" s="63">
        <f t="shared" ref="R50:R59" si="123">FIND(",",N50,P50+1)</f>
        <v>33</v>
      </c>
      <c r="S50" s="63" t="str">
        <f>IFERROR(VLOOKUP(MID(N50,Q50,R50-Q50),[5]skilldef!$C:$D,2,FALSE),"-") &amp; " / " &amp; IFERROR(VLOOKUP(MID(N50,O50,P50-O50),[5]skilldef!$A:$B,2,FALSE),"-")</f>
        <v>自分自身に / 状態異常耐性</v>
      </c>
      <c r="T50" s="48" t="str">
        <f t="shared" ref="T50:T59" si="124">IFERROR(RIGHT(M50,LEN(M50)-FIND("],",M50)-1),"none")</f>
        <v>none</v>
      </c>
      <c r="U50" s="63" t="e">
        <f t="shared" ref="U50:U59" si="125">FIND("effect:",T50)+7</f>
        <v>#VALUE!</v>
      </c>
      <c r="V50" s="63">
        <f t="shared" ref="V50:V59" si="126">IFERROR(FIND(",",T50),LEN(T50))</f>
        <v>4</v>
      </c>
      <c r="W50" s="63" t="e">
        <f t="shared" ref="W50:W59" si="127">FIND("target:",T50)+7</f>
        <v>#VALUE!</v>
      </c>
      <c r="X50" s="63" t="e">
        <f t="shared" ref="X50:X59" si="128">FIND(",",T50,V50+1)</f>
        <v>#VALUE!</v>
      </c>
      <c r="Y50" s="63" t="str">
        <f>IFERROR(VLOOKUP(MID(T50,W50,X50-W50),[5]skilldef!$C:$D,2,FALSE),"-") &amp; " / " &amp; IFERROR(VLOOKUP(MID(T50,U50,V50-U50),[5]skilldef!$A:$B,2,FALSE),"-")</f>
        <v>- / -</v>
      </c>
      <c r="Z50" s="50"/>
      <c r="AA50" s="52"/>
      <c r="AB50" s="50"/>
    </row>
    <row r="51" spans="1:28" ht="21" customHeight="1" x14ac:dyDescent="0.15">
      <c r="A51" s="127">
        <v>59001713</v>
      </c>
      <c r="B51" s="47" t="s">
        <v>405</v>
      </c>
      <c r="C51" s="50">
        <v>3</v>
      </c>
      <c r="D51" s="50" t="s">
        <v>127</v>
      </c>
      <c r="E51" s="109" t="s">
        <v>336</v>
      </c>
      <c r="F51" s="109" t="s">
        <v>327</v>
      </c>
      <c r="G51" s="63" t="str">
        <f t="shared" si="114"/>
        <v>[effect:enemy_message, val1:2.5, val2:1.2]</v>
      </c>
      <c r="H51" s="63">
        <f t="shared" si="115"/>
        <v>9</v>
      </c>
      <c r="I51" s="63">
        <f t="shared" si="116"/>
        <v>22</v>
      </c>
      <c r="J51" s="63" t="e">
        <f t="shared" si="117"/>
        <v>#VALUE!</v>
      </c>
      <c r="K51" s="63">
        <f t="shared" si="118"/>
        <v>32</v>
      </c>
      <c r="L51" s="63" t="str">
        <f>IFERROR(VLOOKUP(MID(G51,J51,K51-J51),[5]skilldef!$C:$D,2,FALSE),"-") &amp; " / " &amp; IFERROR(VLOOKUP(MID(G51,H51,I51-H51),[5]skilldef!$A:$B,2,FALSE),"-")</f>
        <v>- / -</v>
      </c>
      <c r="M51" s="63" t="str">
        <f t="shared" si="119"/>
        <v>[effect:tolerance, target:myself, turn:-1, count:-1, tolerance_effect:all, animation:enemy_tolerance]</v>
      </c>
      <c r="N51" s="48" t="str">
        <f>IFERROR(LEFT(M51,FIND("],",M51)+#REF!),M51)</f>
        <v>[effect:tolerance, target:myself, turn:-1, count:-1, tolerance_effect:all, animation:enemy_tolerance]</v>
      </c>
      <c r="O51" s="63">
        <f t="shared" si="120"/>
        <v>9</v>
      </c>
      <c r="P51" s="63">
        <f t="shared" si="121"/>
        <v>18</v>
      </c>
      <c r="Q51" s="63">
        <f t="shared" si="122"/>
        <v>27</v>
      </c>
      <c r="R51" s="63">
        <f t="shared" si="123"/>
        <v>33</v>
      </c>
      <c r="S51" s="63" t="str">
        <f>IFERROR(VLOOKUP(MID(N51,Q51,R51-Q51),[5]skilldef!$C:$D,2,FALSE),"-") &amp; " / " &amp; IFERROR(VLOOKUP(MID(N51,O51,P51-O51),[5]skilldef!$A:$B,2,FALSE),"-")</f>
        <v>自分自身に / 状態異常耐性</v>
      </c>
      <c r="T51" s="48" t="str">
        <f t="shared" si="124"/>
        <v>none</v>
      </c>
      <c r="U51" s="63" t="e">
        <f t="shared" si="125"/>
        <v>#VALUE!</v>
      </c>
      <c r="V51" s="63">
        <f t="shared" si="126"/>
        <v>4</v>
      </c>
      <c r="W51" s="63" t="e">
        <f t="shared" si="127"/>
        <v>#VALUE!</v>
      </c>
      <c r="X51" s="63" t="e">
        <f t="shared" si="128"/>
        <v>#VALUE!</v>
      </c>
      <c r="Y51" s="63" t="str">
        <f>IFERROR(VLOOKUP(MID(T51,W51,X51-W51),[5]skilldef!$C:$D,2,FALSE),"-") &amp; " / " &amp; IFERROR(VLOOKUP(MID(T51,U51,V51-U51),[5]skilldef!$A:$B,2,FALSE),"-")</f>
        <v>- / -</v>
      </c>
      <c r="Z51" s="50"/>
      <c r="AA51" s="52"/>
      <c r="AB51" s="50"/>
    </row>
    <row r="52" spans="1:28" ht="21" customHeight="1" x14ac:dyDescent="0.15">
      <c r="A52" s="127">
        <v>59001714</v>
      </c>
      <c r="B52" s="47" t="s">
        <v>406</v>
      </c>
      <c r="C52" s="50">
        <v>3</v>
      </c>
      <c r="D52" s="50" t="s">
        <v>127</v>
      </c>
      <c r="E52" s="109" t="s">
        <v>337</v>
      </c>
      <c r="F52" s="109" t="s">
        <v>327</v>
      </c>
      <c r="G52" s="63" t="str">
        <f t="shared" si="114"/>
        <v>[effect:enemy_message, val1:2.5, val2:1.2]</v>
      </c>
      <c r="H52" s="63">
        <f t="shared" si="115"/>
        <v>9</v>
      </c>
      <c r="I52" s="63">
        <f t="shared" si="116"/>
        <v>22</v>
      </c>
      <c r="J52" s="63" t="e">
        <f t="shared" si="117"/>
        <v>#VALUE!</v>
      </c>
      <c r="K52" s="63">
        <f t="shared" si="118"/>
        <v>32</v>
      </c>
      <c r="L52" s="63" t="str">
        <f>IFERROR(VLOOKUP(MID(G52,J52,K52-J52),[5]skilldef!$C:$D,2,FALSE),"-") &amp; " / " &amp; IFERROR(VLOOKUP(MID(G52,H52,I52-H52),[5]skilldef!$A:$B,2,FALSE),"-")</f>
        <v>- / -</v>
      </c>
      <c r="M52" s="63" t="str">
        <f t="shared" si="119"/>
        <v>[effect:tolerance, target:myself, turn:-1, count:-1, tolerance_effect:all, animation:enemy_tolerance]</v>
      </c>
      <c r="N52" s="48" t="str">
        <f>IFERROR(LEFT(M52,FIND("],",M52)+#REF!),M52)</f>
        <v>[effect:tolerance, target:myself, turn:-1, count:-1, tolerance_effect:all, animation:enemy_tolerance]</v>
      </c>
      <c r="O52" s="63">
        <f t="shared" si="120"/>
        <v>9</v>
      </c>
      <c r="P52" s="63">
        <f t="shared" si="121"/>
        <v>18</v>
      </c>
      <c r="Q52" s="63">
        <f t="shared" si="122"/>
        <v>27</v>
      </c>
      <c r="R52" s="63">
        <f t="shared" si="123"/>
        <v>33</v>
      </c>
      <c r="S52" s="63" t="str">
        <f>IFERROR(VLOOKUP(MID(N52,Q52,R52-Q52),[5]skilldef!$C:$D,2,FALSE),"-") &amp; " / " &amp; IFERROR(VLOOKUP(MID(N52,O52,P52-O52),[5]skilldef!$A:$B,2,FALSE),"-")</f>
        <v>自分自身に / 状態異常耐性</v>
      </c>
      <c r="T52" s="48" t="str">
        <f t="shared" si="124"/>
        <v>none</v>
      </c>
      <c r="U52" s="63" t="e">
        <f t="shared" si="125"/>
        <v>#VALUE!</v>
      </c>
      <c r="V52" s="63">
        <f t="shared" si="126"/>
        <v>4</v>
      </c>
      <c r="W52" s="63" t="e">
        <f t="shared" si="127"/>
        <v>#VALUE!</v>
      </c>
      <c r="X52" s="63" t="e">
        <f t="shared" si="128"/>
        <v>#VALUE!</v>
      </c>
      <c r="Y52" s="63" t="str">
        <f>IFERROR(VLOOKUP(MID(T52,W52,X52-W52),[5]skilldef!$C:$D,2,FALSE),"-") &amp; " / " &amp; IFERROR(VLOOKUP(MID(T52,U52,V52-U52),[5]skilldef!$A:$B,2,FALSE),"-")</f>
        <v>- / -</v>
      </c>
      <c r="Z52" s="50"/>
      <c r="AA52" s="52"/>
      <c r="AB52" s="50"/>
    </row>
    <row r="53" spans="1:28" ht="21" customHeight="1" x14ac:dyDescent="0.15">
      <c r="A53" s="127">
        <v>59001715</v>
      </c>
      <c r="B53" s="47" t="s">
        <v>407</v>
      </c>
      <c r="C53" s="50">
        <v>3</v>
      </c>
      <c r="D53" s="50" t="s">
        <v>127</v>
      </c>
      <c r="E53" s="109" t="s">
        <v>326</v>
      </c>
      <c r="F53" s="109" t="s">
        <v>327</v>
      </c>
      <c r="G53" s="63" t="str">
        <f t="shared" si="114"/>
        <v>[effect:enemy_message, val1:1.6, val2:1.2]</v>
      </c>
      <c r="H53" s="63">
        <f t="shared" si="115"/>
        <v>9</v>
      </c>
      <c r="I53" s="63">
        <f t="shared" si="116"/>
        <v>22</v>
      </c>
      <c r="J53" s="63" t="e">
        <f t="shared" si="117"/>
        <v>#VALUE!</v>
      </c>
      <c r="K53" s="63">
        <f t="shared" si="118"/>
        <v>32</v>
      </c>
      <c r="L53" s="63" t="str">
        <f>IFERROR(VLOOKUP(MID(G53,J53,K53-J53),[5]skilldef!$C:$D,2,FALSE),"-") &amp; " / " &amp; IFERROR(VLOOKUP(MID(G53,H53,I53-H53),[5]skilldef!$A:$B,2,FALSE),"-")</f>
        <v>- / -</v>
      </c>
      <c r="M53" s="63" t="str">
        <f t="shared" si="119"/>
        <v>[effect:tolerance, target:myself, turn:-1, count:-1, tolerance_effect:all, animation:enemy_tolerance]</v>
      </c>
      <c r="N53" s="48" t="str">
        <f>IFERROR(LEFT(M53,FIND("],",M53)+#REF!),M53)</f>
        <v>[effect:tolerance, target:myself, turn:-1, count:-1, tolerance_effect:all, animation:enemy_tolerance]</v>
      </c>
      <c r="O53" s="63">
        <f t="shared" si="120"/>
        <v>9</v>
      </c>
      <c r="P53" s="63">
        <f t="shared" si="121"/>
        <v>18</v>
      </c>
      <c r="Q53" s="63">
        <f t="shared" si="122"/>
        <v>27</v>
      </c>
      <c r="R53" s="63">
        <f t="shared" si="123"/>
        <v>33</v>
      </c>
      <c r="S53" s="63" t="str">
        <f>IFERROR(VLOOKUP(MID(N53,Q53,R53-Q53),[5]skilldef!$C:$D,2,FALSE),"-") &amp; " / " &amp; IFERROR(VLOOKUP(MID(N53,O53,P53-O53),[5]skilldef!$A:$B,2,FALSE),"-")</f>
        <v>自分自身に / 状態異常耐性</v>
      </c>
      <c r="T53" s="48" t="str">
        <f t="shared" si="124"/>
        <v>none</v>
      </c>
      <c r="U53" s="63" t="e">
        <f t="shared" si="125"/>
        <v>#VALUE!</v>
      </c>
      <c r="V53" s="63">
        <f t="shared" si="126"/>
        <v>4</v>
      </c>
      <c r="W53" s="63" t="e">
        <f t="shared" si="127"/>
        <v>#VALUE!</v>
      </c>
      <c r="X53" s="63" t="e">
        <f t="shared" si="128"/>
        <v>#VALUE!</v>
      </c>
      <c r="Y53" s="63" t="str">
        <f>IFERROR(VLOOKUP(MID(T53,W53,X53-W53),[5]skilldef!$C:$D,2,FALSE),"-") &amp; " / " &amp; IFERROR(VLOOKUP(MID(T53,U53,V53-U53),[5]skilldef!$A:$B,2,FALSE),"-")</f>
        <v>- / -</v>
      </c>
      <c r="Z53" s="50"/>
      <c r="AA53" s="52"/>
      <c r="AB53" s="50"/>
    </row>
    <row r="54" spans="1:28" ht="21" customHeight="1" x14ac:dyDescent="0.15">
      <c r="A54" s="127">
        <v>59001716</v>
      </c>
      <c r="B54" s="47" t="s">
        <v>408</v>
      </c>
      <c r="C54" s="50">
        <v>3</v>
      </c>
      <c r="D54" s="50" t="s">
        <v>127</v>
      </c>
      <c r="E54" s="109" t="s">
        <v>338</v>
      </c>
      <c r="F54" s="109" t="s">
        <v>327</v>
      </c>
      <c r="G54" s="63" t="str">
        <f t="shared" si="114"/>
        <v>[effect:enemy_message, val1:2.1, val2:1.2]</v>
      </c>
      <c r="H54" s="63">
        <f t="shared" si="115"/>
        <v>9</v>
      </c>
      <c r="I54" s="63">
        <f t="shared" si="116"/>
        <v>22</v>
      </c>
      <c r="J54" s="63" t="e">
        <f t="shared" si="117"/>
        <v>#VALUE!</v>
      </c>
      <c r="K54" s="63">
        <f t="shared" si="118"/>
        <v>32</v>
      </c>
      <c r="L54" s="63" t="str">
        <f>IFERROR(VLOOKUP(MID(G54,J54,K54-J54),[5]skilldef!$C:$D,2,FALSE),"-") &amp; " / " &amp; IFERROR(VLOOKUP(MID(G54,H54,I54-H54),[5]skilldef!$A:$B,2,FALSE),"-")</f>
        <v>- / -</v>
      </c>
      <c r="M54" s="63" t="str">
        <f t="shared" si="119"/>
        <v>[effect:tolerance, target:myself, turn:-1, count:-1, tolerance_effect:all, animation:enemy_tolerance]</v>
      </c>
      <c r="N54" s="48" t="str">
        <f>IFERROR(LEFT(M54,FIND("],",M54)+#REF!),M54)</f>
        <v>[effect:tolerance, target:myself, turn:-1, count:-1, tolerance_effect:all, animation:enemy_tolerance]</v>
      </c>
      <c r="O54" s="63">
        <f t="shared" si="120"/>
        <v>9</v>
      </c>
      <c r="P54" s="63">
        <f t="shared" si="121"/>
        <v>18</v>
      </c>
      <c r="Q54" s="63">
        <f t="shared" si="122"/>
        <v>27</v>
      </c>
      <c r="R54" s="63">
        <f t="shared" si="123"/>
        <v>33</v>
      </c>
      <c r="S54" s="63" t="str">
        <f>IFERROR(VLOOKUP(MID(N54,Q54,R54-Q54),[5]skilldef!$C:$D,2,FALSE),"-") &amp; " / " &amp; IFERROR(VLOOKUP(MID(N54,O54,P54-O54),[5]skilldef!$A:$B,2,FALSE),"-")</f>
        <v>自分自身に / 状態異常耐性</v>
      </c>
      <c r="T54" s="48" t="str">
        <f t="shared" si="124"/>
        <v>none</v>
      </c>
      <c r="U54" s="63" t="e">
        <f t="shared" si="125"/>
        <v>#VALUE!</v>
      </c>
      <c r="V54" s="63">
        <f t="shared" si="126"/>
        <v>4</v>
      </c>
      <c r="W54" s="63" t="e">
        <f t="shared" si="127"/>
        <v>#VALUE!</v>
      </c>
      <c r="X54" s="63" t="e">
        <f t="shared" si="128"/>
        <v>#VALUE!</v>
      </c>
      <c r="Y54" s="63" t="str">
        <f>IFERROR(VLOOKUP(MID(T54,W54,X54-W54),[5]skilldef!$C:$D,2,FALSE),"-") &amp; " / " &amp; IFERROR(VLOOKUP(MID(T54,U54,V54-U54),[5]skilldef!$A:$B,2,FALSE),"-")</f>
        <v>- / -</v>
      </c>
      <c r="Z54" s="50"/>
      <c r="AA54" s="52"/>
      <c r="AB54" s="50"/>
    </row>
    <row r="55" spans="1:28" ht="21" customHeight="1" x14ac:dyDescent="0.15">
      <c r="A55" s="127">
        <v>59001717</v>
      </c>
      <c r="B55" s="47" t="s">
        <v>409</v>
      </c>
      <c r="C55" s="50">
        <v>3</v>
      </c>
      <c r="D55" s="50" t="s">
        <v>127</v>
      </c>
      <c r="E55" s="109" t="s">
        <v>339</v>
      </c>
      <c r="F55" s="109" t="s">
        <v>327</v>
      </c>
      <c r="G55" s="63" t="str">
        <f t="shared" si="114"/>
        <v>[effect:enemy_message, val1:2.1, val2:1.2]</v>
      </c>
      <c r="H55" s="63">
        <f t="shared" si="115"/>
        <v>9</v>
      </c>
      <c r="I55" s="63">
        <f t="shared" si="116"/>
        <v>22</v>
      </c>
      <c r="J55" s="63" t="e">
        <f t="shared" si="117"/>
        <v>#VALUE!</v>
      </c>
      <c r="K55" s="63">
        <f t="shared" si="118"/>
        <v>32</v>
      </c>
      <c r="L55" s="63" t="str">
        <f>IFERROR(VLOOKUP(MID(G55,J55,K55-J55),[5]skilldef!$C:$D,2,FALSE),"-") &amp; " / " &amp; IFERROR(VLOOKUP(MID(G55,H55,I55-H55),[5]skilldef!$A:$B,2,FALSE),"-")</f>
        <v>- / -</v>
      </c>
      <c r="M55" s="63" t="str">
        <f t="shared" si="119"/>
        <v>[effect:tolerance, target:myself, turn:-1, count:-1, tolerance_effect:all, animation:enemy_tolerance]</v>
      </c>
      <c r="N55" s="48" t="str">
        <f>IFERROR(LEFT(M55,FIND("],",M55)+#REF!),M55)</f>
        <v>[effect:tolerance, target:myself, turn:-1, count:-1, tolerance_effect:all, animation:enemy_tolerance]</v>
      </c>
      <c r="O55" s="63">
        <f t="shared" si="120"/>
        <v>9</v>
      </c>
      <c r="P55" s="63">
        <f t="shared" si="121"/>
        <v>18</v>
      </c>
      <c r="Q55" s="63">
        <f t="shared" si="122"/>
        <v>27</v>
      </c>
      <c r="R55" s="63">
        <f t="shared" si="123"/>
        <v>33</v>
      </c>
      <c r="S55" s="63" t="str">
        <f>IFERROR(VLOOKUP(MID(N55,Q55,R55-Q55),[5]skilldef!$C:$D,2,FALSE),"-") &amp; " / " &amp; IFERROR(VLOOKUP(MID(N55,O55,P55-O55),[5]skilldef!$A:$B,2,FALSE),"-")</f>
        <v>自分自身に / 状態異常耐性</v>
      </c>
      <c r="T55" s="48" t="str">
        <f t="shared" si="124"/>
        <v>none</v>
      </c>
      <c r="U55" s="63" t="e">
        <f t="shared" si="125"/>
        <v>#VALUE!</v>
      </c>
      <c r="V55" s="63">
        <f t="shared" si="126"/>
        <v>4</v>
      </c>
      <c r="W55" s="63" t="e">
        <f t="shared" si="127"/>
        <v>#VALUE!</v>
      </c>
      <c r="X55" s="63" t="e">
        <f t="shared" si="128"/>
        <v>#VALUE!</v>
      </c>
      <c r="Y55" s="63" t="str">
        <f>IFERROR(VLOOKUP(MID(T55,W55,X55-W55),[5]skilldef!$C:$D,2,FALSE),"-") &amp; " / " &amp; IFERROR(VLOOKUP(MID(T55,U55,V55-U55),[5]skilldef!$A:$B,2,FALSE),"-")</f>
        <v>- / -</v>
      </c>
      <c r="Z55" s="50"/>
      <c r="AA55" s="52"/>
      <c r="AB55" s="50"/>
    </row>
    <row r="56" spans="1:28" ht="21" customHeight="1" x14ac:dyDescent="0.15">
      <c r="A56" s="127">
        <v>59001718</v>
      </c>
      <c r="B56" s="47" t="s">
        <v>410</v>
      </c>
      <c r="C56" s="50">
        <v>3</v>
      </c>
      <c r="D56" s="50" t="s">
        <v>127</v>
      </c>
      <c r="E56" s="109" t="s">
        <v>330</v>
      </c>
      <c r="F56" s="109" t="s">
        <v>327</v>
      </c>
      <c r="G56" s="63" t="str">
        <f t="shared" si="114"/>
        <v>[effect:enemy_message, val1:2.1, val2:1.2]</v>
      </c>
      <c r="H56" s="63">
        <f t="shared" si="115"/>
        <v>9</v>
      </c>
      <c r="I56" s="63">
        <f t="shared" si="116"/>
        <v>22</v>
      </c>
      <c r="J56" s="63" t="e">
        <f t="shared" si="117"/>
        <v>#VALUE!</v>
      </c>
      <c r="K56" s="63">
        <f t="shared" si="118"/>
        <v>32</v>
      </c>
      <c r="L56" s="63" t="str">
        <f>IFERROR(VLOOKUP(MID(G56,J56,K56-J56),[5]skilldef!$C:$D,2,FALSE),"-") &amp; " / " &amp; IFERROR(VLOOKUP(MID(G56,H56,I56-H56),[5]skilldef!$A:$B,2,FALSE),"-")</f>
        <v>- / -</v>
      </c>
      <c r="M56" s="63" t="str">
        <f t="shared" si="119"/>
        <v>[effect:tolerance, target:myself, turn:-1, count:-1, tolerance_effect:all, animation:enemy_tolerance]</v>
      </c>
      <c r="N56" s="48" t="str">
        <f>IFERROR(LEFT(M56,FIND("],",M56)+S60),M56)</f>
        <v>[effect:tolerance, target:myself, turn:-1, count:-1, tolerance_effect:all, animation:enemy_tolerance]</v>
      </c>
      <c r="O56" s="63">
        <f t="shared" si="120"/>
        <v>9</v>
      </c>
      <c r="P56" s="63">
        <f t="shared" si="121"/>
        <v>18</v>
      </c>
      <c r="Q56" s="63">
        <f t="shared" si="122"/>
        <v>27</v>
      </c>
      <c r="R56" s="63">
        <f t="shared" si="123"/>
        <v>33</v>
      </c>
      <c r="S56" s="63" t="str">
        <f>IFERROR(VLOOKUP(MID(N56,Q56,R56-Q56),[5]skilldef!$C:$D,2,FALSE),"-") &amp; " / " &amp; IFERROR(VLOOKUP(MID(N56,O56,P56-O56),[5]skilldef!$A:$B,2,FALSE),"-")</f>
        <v>自分自身に / 状態異常耐性</v>
      </c>
      <c r="T56" s="48" t="str">
        <f t="shared" si="124"/>
        <v>none</v>
      </c>
      <c r="U56" s="63" t="e">
        <f t="shared" si="125"/>
        <v>#VALUE!</v>
      </c>
      <c r="V56" s="63">
        <f t="shared" si="126"/>
        <v>4</v>
      </c>
      <c r="W56" s="63" t="e">
        <f t="shared" si="127"/>
        <v>#VALUE!</v>
      </c>
      <c r="X56" s="63" t="e">
        <f t="shared" si="128"/>
        <v>#VALUE!</v>
      </c>
      <c r="Y56" s="63" t="str">
        <f>IFERROR(VLOOKUP(MID(T56,W56,X56-W56),[5]skilldef!$C:$D,2,FALSE),"-") &amp; " / " &amp; IFERROR(VLOOKUP(MID(T56,U56,V56-U56),[5]skilldef!$A:$B,2,FALSE),"-")</f>
        <v>- / -</v>
      </c>
      <c r="Z56" s="50"/>
      <c r="AA56" s="52"/>
      <c r="AB56" s="50"/>
    </row>
    <row r="57" spans="1:28" ht="21" customHeight="1" x14ac:dyDescent="0.15">
      <c r="A57" s="127">
        <v>59001719</v>
      </c>
      <c r="B57" s="47" t="s">
        <v>411</v>
      </c>
      <c r="C57" s="50">
        <v>3</v>
      </c>
      <c r="D57" s="50" t="s">
        <v>127</v>
      </c>
      <c r="E57" s="109" t="s">
        <v>340</v>
      </c>
      <c r="F57" s="109" t="s">
        <v>327</v>
      </c>
      <c r="G57" s="63" t="str">
        <f t="shared" si="114"/>
        <v>[effect:enemy_message, val1:1.7, val2:1.2]</v>
      </c>
      <c r="H57" s="63">
        <f t="shared" si="115"/>
        <v>9</v>
      </c>
      <c r="I57" s="63">
        <f t="shared" si="116"/>
        <v>22</v>
      </c>
      <c r="J57" s="63" t="e">
        <f t="shared" si="117"/>
        <v>#VALUE!</v>
      </c>
      <c r="K57" s="63">
        <f t="shared" si="118"/>
        <v>32</v>
      </c>
      <c r="L57" s="63" t="str">
        <f>IFERROR(VLOOKUP(MID(G57,J57,K57-J57),[5]skilldef!$C:$D,2,FALSE),"-") &amp; " / " &amp; IFERROR(VLOOKUP(MID(G57,H57,I57-H57),[5]skilldef!$A:$B,2,FALSE),"-")</f>
        <v>- / -</v>
      </c>
      <c r="M57" s="63" t="str">
        <f t="shared" si="119"/>
        <v>[effect:tolerance, target:myself, turn:-1, count:-1, tolerance_effect:all, animation:enemy_tolerance]</v>
      </c>
      <c r="N57" s="48" t="str">
        <f>IFERROR(LEFT(M57,FIND("],",M57)+S61),M57)</f>
        <v>[effect:tolerance, target:myself, turn:-1, count:-1, tolerance_effect:all, animation:enemy_tolerance]</v>
      </c>
      <c r="O57" s="63">
        <f t="shared" si="120"/>
        <v>9</v>
      </c>
      <c r="P57" s="63">
        <f t="shared" si="121"/>
        <v>18</v>
      </c>
      <c r="Q57" s="63">
        <f t="shared" si="122"/>
        <v>27</v>
      </c>
      <c r="R57" s="63">
        <f t="shared" si="123"/>
        <v>33</v>
      </c>
      <c r="S57" s="63" t="str">
        <f>IFERROR(VLOOKUP(MID(N57,Q57,R57-Q57),[5]skilldef!$C:$D,2,FALSE),"-") &amp; " / " &amp; IFERROR(VLOOKUP(MID(N57,O57,P57-O57),[5]skilldef!$A:$B,2,FALSE),"-")</f>
        <v>自分自身に / 状態異常耐性</v>
      </c>
      <c r="T57" s="48" t="str">
        <f t="shared" si="124"/>
        <v>none</v>
      </c>
      <c r="U57" s="63" t="e">
        <f t="shared" si="125"/>
        <v>#VALUE!</v>
      </c>
      <c r="V57" s="63">
        <f t="shared" si="126"/>
        <v>4</v>
      </c>
      <c r="W57" s="63" t="e">
        <f t="shared" si="127"/>
        <v>#VALUE!</v>
      </c>
      <c r="X57" s="63" t="e">
        <f t="shared" si="128"/>
        <v>#VALUE!</v>
      </c>
      <c r="Y57" s="63" t="str">
        <f>IFERROR(VLOOKUP(MID(T57,W57,X57-W57),[5]skilldef!$C:$D,2,FALSE),"-") &amp; " / " &amp; IFERROR(VLOOKUP(MID(T57,U57,V57-U57),[5]skilldef!$A:$B,2,FALSE),"-")</f>
        <v>- / -</v>
      </c>
      <c r="Z57" s="50"/>
      <c r="AA57" s="52"/>
      <c r="AB57" s="50"/>
    </row>
    <row r="58" spans="1:28" ht="21" customHeight="1" x14ac:dyDescent="0.15">
      <c r="A58" s="127">
        <v>59001720</v>
      </c>
      <c r="B58" s="47" t="s">
        <v>412</v>
      </c>
      <c r="C58" s="50">
        <v>3</v>
      </c>
      <c r="D58" s="50" t="s">
        <v>127</v>
      </c>
      <c r="E58" s="109" t="s">
        <v>341</v>
      </c>
      <c r="F58" s="109" t="s">
        <v>327</v>
      </c>
      <c r="G58" s="63" t="str">
        <f t="shared" si="114"/>
        <v>[effect:enemy_message, val1:1.9, val2:1.2]</v>
      </c>
      <c r="H58" s="63">
        <f t="shared" si="115"/>
        <v>9</v>
      </c>
      <c r="I58" s="63">
        <f t="shared" si="116"/>
        <v>22</v>
      </c>
      <c r="J58" s="63" t="e">
        <f t="shared" si="117"/>
        <v>#VALUE!</v>
      </c>
      <c r="K58" s="63">
        <f t="shared" si="118"/>
        <v>32</v>
      </c>
      <c r="L58" s="63" t="str">
        <f>IFERROR(VLOOKUP(MID(G58,J58,K58-J58),[5]skilldef!$C:$D,2,FALSE),"-") &amp; " / " &amp; IFERROR(VLOOKUP(MID(G58,H58,I58-H58),[5]skilldef!$A:$B,2,FALSE),"-")</f>
        <v>- / -</v>
      </c>
      <c r="M58" s="63" t="str">
        <f t="shared" si="119"/>
        <v>[effect:tolerance, target:myself, turn:-1, count:-1, tolerance_effect:all, animation:enemy_tolerance]</v>
      </c>
      <c r="N58" s="48" t="str">
        <f>IFERROR(LEFT(M58,FIND("],",M58)+S62),M58)</f>
        <v>[effect:tolerance, target:myself, turn:-1, count:-1, tolerance_effect:all, animation:enemy_tolerance]</v>
      </c>
      <c r="O58" s="63">
        <f t="shared" si="120"/>
        <v>9</v>
      </c>
      <c r="P58" s="63">
        <f t="shared" si="121"/>
        <v>18</v>
      </c>
      <c r="Q58" s="63">
        <f t="shared" si="122"/>
        <v>27</v>
      </c>
      <c r="R58" s="63">
        <f t="shared" si="123"/>
        <v>33</v>
      </c>
      <c r="S58" s="63" t="str">
        <f>IFERROR(VLOOKUP(MID(N58,Q58,R58-Q58),[5]skilldef!$C:$D,2,FALSE),"-") &amp; " / " &amp; IFERROR(VLOOKUP(MID(N58,O58,P58-O58),[5]skilldef!$A:$B,2,FALSE),"-")</f>
        <v>自分自身に / 状態異常耐性</v>
      </c>
      <c r="T58" s="48" t="str">
        <f t="shared" si="124"/>
        <v>none</v>
      </c>
      <c r="U58" s="63" t="e">
        <f t="shared" si="125"/>
        <v>#VALUE!</v>
      </c>
      <c r="V58" s="63">
        <f t="shared" si="126"/>
        <v>4</v>
      </c>
      <c r="W58" s="63" t="e">
        <f t="shared" si="127"/>
        <v>#VALUE!</v>
      </c>
      <c r="X58" s="63" t="e">
        <f t="shared" si="128"/>
        <v>#VALUE!</v>
      </c>
      <c r="Y58" s="63" t="str">
        <f>IFERROR(VLOOKUP(MID(T58,W58,X58-W58),[5]skilldef!$C:$D,2,FALSE),"-") &amp; " / " &amp; IFERROR(VLOOKUP(MID(T58,U58,V58-U58),[5]skilldef!$A:$B,2,FALSE),"-")</f>
        <v>- / -</v>
      </c>
      <c r="Z58" s="50"/>
      <c r="AA58" s="52"/>
      <c r="AB58" s="50"/>
    </row>
    <row r="59" spans="1:28" ht="21" customHeight="1" x14ac:dyDescent="0.15">
      <c r="A59" s="127">
        <v>59001721</v>
      </c>
      <c r="B59" s="47" t="s">
        <v>413</v>
      </c>
      <c r="C59" s="50">
        <v>3</v>
      </c>
      <c r="D59" s="50" t="s">
        <v>127</v>
      </c>
      <c r="E59" s="109" t="s">
        <v>331</v>
      </c>
      <c r="F59" s="109" t="s">
        <v>327</v>
      </c>
      <c r="G59" s="63" t="str">
        <f t="shared" si="114"/>
        <v>[effect:enemy_message, val1:2.4, val2:1.2]</v>
      </c>
      <c r="H59" s="63">
        <f t="shared" si="115"/>
        <v>9</v>
      </c>
      <c r="I59" s="63">
        <f t="shared" si="116"/>
        <v>22</v>
      </c>
      <c r="J59" s="63" t="e">
        <f t="shared" si="117"/>
        <v>#VALUE!</v>
      </c>
      <c r="K59" s="63">
        <f t="shared" si="118"/>
        <v>32</v>
      </c>
      <c r="L59" s="63" t="str">
        <f>IFERROR(VLOOKUP(MID(G59,J59,K59-J59),[5]skilldef!$C:$D,2,FALSE),"-") &amp; " / " &amp; IFERROR(VLOOKUP(MID(G59,H59,I59-H59),[5]skilldef!$A:$B,2,FALSE),"-")</f>
        <v>- / -</v>
      </c>
      <c r="M59" s="63" t="str">
        <f t="shared" si="119"/>
        <v>[effect:tolerance, target:myself, turn:-1, count:-1, tolerance_effect:all, animation:enemy_tolerance]</v>
      </c>
      <c r="N59" s="48" t="str">
        <f>IFERROR(LEFT(M59,FIND("],",M59)+S63),M59)</f>
        <v>[effect:tolerance, target:myself, turn:-1, count:-1, tolerance_effect:all, animation:enemy_tolerance]</v>
      </c>
      <c r="O59" s="63">
        <f t="shared" si="120"/>
        <v>9</v>
      </c>
      <c r="P59" s="63">
        <f t="shared" si="121"/>
        <v>18</v>
      </c>
      <c r="Q59" s="63">
        <f t="shared" si="122"/>
        <v>27</v>
      </c>
      <c r="R59" s="63">
        <f t="shared" si="123"/>
        <v>33</v>
      </c>
      <c r="S59" s="63" t="str">
        <f>IFERROR(VLOOKUP(MID(N59,Q59,R59-Q59),[5]skilldef!$C:$D,2,FALSE),"-") &amp; " / " &amp; IFERROR(VLOOKUP(MID(N59,O59,P59-O59),[5]skilldef!$A:$B,2,FALSE),"-")</f>
        <v>自分自身に / 状態異常耐性</v>
      </c>
      <c r="T59" s="48" t="str">
        <f t="shared" si="124"/>
        <v>none</v>
      </c>
      <c r="U59" s="63" t="e">
        <f t="shared" si="125"/>
        <v>#VALUE!</v>
      </c>
      <c r="V59" s="63">
        <f t="shared" si="126"/>
        <v>4</v>
      </c>
      <c r="W59" s="63" t="e">
        <f t="shared" si="127"/>
        <v>#VALUE!</v>
      </c>
      <c r="X59" s="63" t="e">
        <f t="shared" si="128"/>
        <v>#VALUE!</v>
      </c>
      <c r="Y59" s="63" t="str">
        <f>IFERROR(VLOOKUP(MID(T59,W59,X59-W59),[5]skilldef!$C:$D,2,FALSE),"-") &amp; " / " &amp; IFERROR(VLOOKUP(MID(T59,U59,V59-U59),[5]skilldef!$A:$B,2,FALSE),"-")</f>
        <v>- / -</v>
      </c>
      <c r="Z59" s="50"/>
      <c r="AA59" s="52"/>
      <c r="AB59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55"/>
  <sheetViews>
    <sheetView showGridLines="0" workbookViewId="0">
      <pane ySplit="1" topLeftCell="A41" activePane="bottomLeft" state="frozenSplit"/>
      <selection pane="bottomLeft" activeCell="J58" sqref="J5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47">
        <v>59001101</v>
      </c>
      <c r="B2" s="47">
        <v>1</v>
      </c>
      <c r="C2" s="47">
        <v>100</v>
      </c>
      <c r="D2" s="47">
        <v>100</v>
      </c>
      <c r="E2" s="47" t="s">
        <v>88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:J49" si="0">D2</f>
        <v>100</v>
      </c>
    </row>
    <row r="3" spans="1:11" ht="21" customHeight="1" x14ac:dyDescent="0.15">
      <c r="A3" s="47">
        <v>59001102</v>
      </c>
      <c r="B3" s="47">
        <v>0</v>
      </c>
      <c r="C3" s="47">
        <v>80</v>
      </c>
      <c r="D3" s="47">
        <v>100</v>
      </c>
      <c r="E3" s="47" t="s">
        <v>259</v>
      </c>
      <c r="F3" s="47" t="s">
        <v>259</v>
      </c>
      <c r="G3" s="47">
        <v>1</v>
      </c>
      <c r="H3" s="47">
        <v>1</v>
      </c>
      <c r="I3" s="47" t="s">
        <v>259</v>
      </c>
      <c r="J3" s="48">
        <f t="shared" si="0"/>
        <v>100</v>
      </c>
    </row>
    <row r="4" spans="1:11" ht="21" customHeight="1" x14ac:dyDescent="0.15">
      <c r="A4" s="47">
        <v>59001103</v>
      </c>
      <c r="B4" s="47">
        <v>0</v>
      </c>
      <c r="C4" s="47">
        <v>60</v>
      </c>
      <c r="D4" s="47">
        <v>100</v>
      </c>
      <c r="E4" s="47" t="s">
        <v>259</v>
      </c>
      <c r="F4" s="47" t="s">
        <v>259</v>
      </c>
      <c r="G4" s="47" t="s">
        <v>259</v>
      </c>
      <c r="H4" s="47">
        <v>2</v>
      </c>
      <c r="I4" s="47" t="s">
        <v>259</v>
      </c>
      <c r="J4" s="48">
        <f t="shared" si="0"/>
        <v>100</v>
      </c>
    </row>
    <row r="5" spans="1:11" ht="21" customHeight="1" x14ac:dyDescent="0.15">
      <c r="A5" s="47">
        <v>59001104</v>
      </c>
      <c r="B5" s="47">
        <v>0</v>
      </c>
      <c r="C5" s="47">
        <v>60</v>
      </c>
      <c r="D5" s="47">
        <v>100</v>
      </c>
      <c r="E5" s="47" t="s">
        <v>259</v>
      </c>
      <c r="F5" s="47" t="s">
        <v>259</v>
      </c>
      <c r="G5" s="47" t="s">
        <v>259</v>
      </c>
      <c r="H5" s="47">
        <v>2</v>
      </c>
      <c r="I5" s="47" t="s">
        <v>259</v>
      </c>
      <c r="J5" s="48">
        <f t="shared" si="0"/>
        <v>100</v>
      </c>
    </row>
    <row r="6" spans="1:11" ht="21" customHeight="1" x14ac:dyDescent="0.15">
      <c r="A6" s="47">
        <v>59001105</v>
      </c>
      <c r="B6" s="47">
        <v>0</v>
      </c>
      <c r="C6" s="47">
        <v>50</v>
      </c>
      <c r="D6" s="47">
        <v>100</v>
      </c>
      <c r="E6" s="47" t="s">
        <v>259</v>
      </c>
      <c r="F6" s="47" t="s">
        <v>259</v>
      </c>
      <c r="G6" s="47" t="s">
        <v>259</v>
      </c>
      <c r="H6" s="47">
        <v>1</v>
      </c>
      <c r="I6" s="47" t="s">
        <v>259</v>
      </c>
      <c r="J6" s="48">
        <f t="shared" si="0"/>
        <v>100</v>
      </c>
    </row>
    <row r="7" spans="1:11" ht="21" customHeight="1" x14ac:dyDescent="0.15">
      <c r="A7" s="47">
        <v>59001106</v>
      </c>
      <c r="B7" s="47">
        <v>0</v>
      </c>
      <c r="C7" s="47">
        <v>50</v>
      </c>
      <c r="D7" s="47">
        <v>100</v>
      </c>
      <c r="E7" s="47" t="s">
        <v>259</v>
      </c>
      <c r="F7" s="47" t="s">
        <v>259</v>
      </c>
      <c r="G7" s="47" t="s">
        <v>259</v>
      </c>
      <c r="H7" s="47">
        <v>1</v>
      </c>
      <c r="I7" s="47" t="s">
        <v>259</v>
      </c>
      <c r="J7" s="48">
        <f t="shared" si="0"/>
        <v>100</v>
      </c>
    </row>
    <row r="8" spans="1:11" ht="21" customHeight="1" x14ac:dyDescent="0.15">
      <c r="A8" s="47">
        <v>59001107</v>
      </c>
      <c r="B8" s="47">
        <v>0</v>
      </c>
      <c r="C8" s="47">
        <v>70</v>
      </c>
      <c r="D8" s="47">
        <v>100</v>
      </c>
      <c r="E8" s="47" t="s">
        <v>88</v>
      </c>
      <c r="F8" s="47" t="s">
        <v>88</v>
      </c>
      <c r="G8" s="47">
        <v>1</v>
      </c>
      <c r="H8" s="47">
        <v>5</v>
      </c>
      <c r="I8" s="47" t="s">
        <v>88</v>
      </c>
      <c r="J8" s="48">
        <f t="shared" ref="J8" si="1">D8</f>
        <v>100</v>
      </c>
    </row>
    <row r="9" spans="1:11" ht="21" customHeight="1" x14ac:dyDescent="0.15">
      <c r="A9" s="47">
        <v>59001201</v>
      </c>
      <c r="B9" s="47">
        <v>1</v>
      </c>
      <c r="C9" s="47">
        <v>100</v>
      </c>
      <c r="D9" s="47">
        <v>100</v>
      </c>
      <c r="E9" s="47" t="s">
        <v>259</v>
      </c>
      <c r="F9" s="47" t="s">
        <v>259</v>
      </c>
      <c r="G9" s="47">
        <v>1</v>
      </c>
      <c r="H9" s="47" t="s">
        <v>259</v>
      </c>
      <c r="I9" s="47" t="s">
        <v>259</v>
      </c>
      <c r="J9" s="48">
        <f t="shared" si="0"/>
        <v>100</v>
      </c>
    </row>
    <row r="10" spans="1:11" ht="21" customHeight="1" x14ac:dyDescent="0.15">
      <c r="A10" s="47">
        <v>59001202</v>
      </c>
      <c r="B10" s="47">
        <v>0</v>
      </c>
      <c r="C10" s="47">
        <v>50</v>
      </c>
      <c r="D10" s="47">
        <v>100</v>
      </c>
      <c r="E10" s="47" t="s">
        <v>259</v>
      </c>
      <c r="F10" s="47" t="s">
        <v>259</v>
      </c>
      <c r="G10" s="47" t="s">
        <v>259</v>
      </c>
      <c r="H10" s="47" t="s">
        <v>259</v>
      </c>
      <c r="I10" s="47" t="s">
        <v>259</v>
      </c>
      <c r="J10" s="48">
        <f t="shared" si="0"/>
        <v>100</v>
      </c>
    </row>
    <row r="11" spans="1:11" ht="21" customHeight="1" x14ac:dyDescent="0.15">
      <c r="A11" s="47">
        <v>59001301</v>
      </c>
      <c r="B11" s="47">
        <v>1</v>
      </c>
      <c r="C11" s="47">
        <v>100</v>
      </c>
      <c r="D11" s="47">
        <v>100</v>
      </c>
      <c r="E11" s="47" t="s">
        <v>259</v>
      </c>
      <c r="F11" s="47" t="s">
        <v>259</v>
      </c>
      <c r="G11" s="47">
        <v>1</v>
      </c>
      <c r="H11" s="47" t="s">
        <v>259</v>
      </c>
      <c r="I11" s="47" t="s">
        <v>259</v>
      </c>
      <c r="J11" s="48">
        <f t="shared" si="0"/>
        <v>100</v>
      </c>
    </row>
    <row r="12" spans="1:11" ht="21" customHeight="1" x14ac:dyDescent="0.15">
      <c r="A12" s="47">
        <v>59001302</v>
      </c>
      <c r="B12" s="47">
        <v>0</v>
      </c>
      <c r="C12" s="47">
        <v>50</v>
      </c>
      <c r="D12" s="47">
        <v>100</v>
      </c>
      <c r="E12" s="47" t="s">
        <v>259</v>
      </c>
      <c r="F12" s="47">
        <v>66</v>
      </c>
      <c r="G12" s="47">
        <v>1</v>
      </c>
      <c r="H12" s="47" t="s">
        <v>259</v>
      </c>
      <c r="I12" s="47" t="s">
        <v>259</v>
      </c>
      <c r="J12" s="48">
        <f t="shared" si="0"/>
        <v>100</v>
      </c>
    </row>
    <row r="13" spans="1:11" ht="21" customHeight="1" x14ac:dyDescent="0.15">
      <c r="A13" s="47">
        <v>59001303</v>
      </c>
      <c r="B13" s="47">
        <v>0</v>
      </c>
      <c r="C13" s="47">
        <v>49</v>
      </c>
      <c r="D13" s="47">
        <v>100</v>
      </c>
      <c r="E13" s="47" t="s">
        <v>259</v>
      </c>
      <c r="F13" s="47">
        <v>66</v>
      </c>
      <c r="G13" s="47">
        <v>1</v>
      </c>
      <c r="H13" s="47" t="s">
        <v>259</v>
      </c>
      <c r="I13" s="47" t="s">
        <v>259</v>
      </c>
      <c r="J13" s="48">
        <f t="shared" si="0"/>
        <v>100</v>
      </c>
    </row>
    <row r="14" spans="1:11" ht="21" customHeight="1" x14ac:dyDescent="0.15">
      <c r="A14" s="47">
        <v>59001304</v>
      </c>
      <c r="B14" s="47">
        <v>0</v>
      </c>
      <c r="C14" s="47">
        <v>48</v>
      </c>
      <c r="D14" s="47">
        <v>100</v>
      </c>
      <c r="E14" s="47" t="s">
        <v>259</v>
      </c>
      <c r="F14" s="47">
        <v>66</v>
      </c>
      <c r="G14" s="47">
        <v>1</v>
      </c>
      <c r="H14" s="47" t="s">
        <v>259</v>
      </c>
      <c r="I14" s="47" t="s">
        <v>259</v>
      </c>
      <c r="J14" s="48">
        <f t="shared" si="0"/>
        <v>100</v>
      </c>
    </row>
    <row r="15" spans="1:11" ht="21" customHeight="1" x14ac:dyDescent="0.15">
      <c r="A15" s="47">
        <v>59001305</v>
      </c>
      <c r="B15" s="47">
        <v>0</v>
      </c>
      <c r="C15" s="47">
        <v>50</v>
      </c>
      <c r="D15" s="47">
        <v>100</v>
      </c>
      <c r="E15" s="47">
        <v>66</v>
      </c>
      <c r="F15" s="47">
        <v>33</v>
      </c>
      <c r="G15" s="47">
        <v>1</v>
      </c>
      <c r="H15" s="47" t="s">
        <v>259</v>
      </c>
      <c r="I15" s="47" t="s">
        <v>259</v>
      </c>
      <c r="J15" s="48">
        <f t="shared" si="0"/>
        <v>100</v>
      </c>
    </row>
    <row r="16" spans="1:11" ht="21" customHeight="1" x14ac:dyDescent="0.15">
      <c r="A16" s="47">
        <v>59001306</v>
      </c>
      <c r="B16" s="47">
        <v>0</v>
      </c>
      <c r="C16" s="47">
        <v>49</v>
      </c>
      <c r="D16" s="47">
        <v>100</v>
      </c>
      <c r="E16" s="47">
        <v>66</v>
      </c>
      <c r="F16" s="47">
        <v>33</v>
      </c>
      <c r="G16" s="47">
        <v>1</v>
      </c>
      <c r="H16" s="47" t="s">
        <v>259</v>
      </c>
      <c r="I16" s="47" t="s">
        <v>259</v>
      </c>
      <c r="J16" s="48">
        <f t="shared" si="0"/>
        <v>100</v>
      </c>
    </row>
    <row r="17" spans="1:10" ht="21" customHeight="1" x14ac:dyDescent="0.15">
      <c r="A17" s="47">
        <v>59001307</v>
      </c>
      <c r="B17" s="47">
        <v>0</v>
      </c>
      <c r="C17" s="47">
        <v>48</v>
      </c>
      <c r="D17" s="47">
        <v>100</v>
      </c>
      <c r="E17" s="47">
        <v>66</v>
      </c>
      <c r="F17" s="47">
        <v>33</v>
      </c>
      <c r="G17" s="47">
        <v>1</v>
      </c>
      <c r="H17" s="47" t="s">
        <v>259</v>
      </c>
      <c r="I17" s="47" t="s">
        <v>259</v>
      </c>
      <c r="J17" s="48">
        <f t="shared" si="0"/>
        <v>100</v>
      </c>
    </row>
    <row r="18" spans="1:10" ht="21" customHeight="1" x14ac:dyDescent="0.15">
      <c r="A18" s="47">
        <v>59001308</v>
      </c>
      <c r="B18" s="47">
        <v>0</v>
      </c>
      <c r="C18" s="47">
        <v>50</v>
      </c>
      <c r="D18" s="47">
        <v>100</v>
      </c>
      <c r="E18" s="47">
        <v>33</v>
      </c>
      <c r="F18" s="47" t="s">
        <v>259</v>
      </c>
      <c r="G18" s="47">
        <v>1</v>
      </c>
      <c r="H18" s="47" t="s">
        <v>259</v>
      </c>
      <c r="I18" s="47" t="s">
        <v>259</v>
      </c>
      <c r="J18" s="48">
        <f t="shared" si="0"/>
        <v>100</v>
      </c>
    </row>
    <row r="19" spans="1:10" ht="21" customHeight="1" x14ac:dyDescent="0.15">
      <c r="A19" s="47">
        <v>59001309</v>
      </c>
      <c r="B19" s="47">
        <v>0</v>
      </c>
      <c r="C19" s="47">
        <v>49</v>
      </c>
      <c r="D19" s="47">
        <v>100</v>
      </c>
      <c r="E19" s="47">
        <v>33</v>
      </c>
      <c r="F19" s="47" t="s">
        <v>259</v>
      </c>
      <c r="G19" s="47">
        <v>1</v>
      </c>
      <c r="H19" s="47" t="s">
        <v>259</v>
      </c>
      <c r="I19" s="47" t="s">
        <v>259</v>
      </c>
      <c r="J19" s="48">
        <f t="shared" si="0"/>
        <v>100</v>
      </c>
    </row>
    <row r="20" spans="1:10" ht="21" customHeight="1" x14ac:dyDescent="0.15">
      <c r="A20" s="47">
        <v>59001310</v>
      </c>
      <c r="B20" s="47">
        <v>0</v>
      </c>
      <c r="C20" s="47">
        <v>48</v>
      </c>
      <c r="D20" s="47">
        <v>100</v>
      </c>
      <c r="E20" s="47">
        <v>33</v>
      </c>
      <c r="F20" s="47" t="s">
        <v>259</v>
      </c>
      <c r="G20" s="47">
        <v>1</v>
      </c>
      <c r="H20" s="47" t="s">
        <v>259</v>
      </c>
      <c r="I20" s="47" t="s">
        <v>259</v>
      </c>
      <c r="J20" s="48">
        <f t="shared" si="0"/>
        <v>100</v>
      </c>
    </row>
    <row r="21" spans="1:10" ht="21" customHeight="1" x14ac:dyDescent="0.15">
      <c r="A21" s="47">
        <v>59001311</v>
      </c>
      <c r="B21" s="47">
        <v>0</v>
      </c>
      <c r="C21" s="47">
        <v>47</v>
      </c>
      <c r="D21" s="47">
        <v>100</v>
      </c>
      <c r="E21" s="47" t="s">
        <v>259</v>
      </c>
      <c r="F21" s="47" t="s">
        <v>259</v>
      </c>
      <c r="G21" s="47" t="s">
        <v>259</v>
      </c>
      <c r="H21" s="47" t="s">
        <v>259</v>
      </c>
      <c r="I21" s="47" t="s">
        <v>259</v>
      </c>
      <c r="J21" s="48">
        <f t="shared" si="0"/>
        <v>100</v>
      </c>
    </row>
    <row r="22" spans="1:10" ht="21" customHeight="1" x14ac:dyDescent="0.15">
      <c r="A22" s="47">
        <v>59001401</v>
      </c>
      <c r="B22" s="47">
        <v>1</v>
      </c>
      <c r="C22" s="47">
        <v>100</v>
      </c>
      <c r="D22" s="47">
        <v>100</v>
      </c>
      <c r="E22" s="47" t="s">
        <v>259</v>
      </c>
      <c r="F22" s="47" t="s">
        <v>259</v>
      </c>
      <c r="G22" s="47">
        <v>1</v>
      </c>
      <c r="H22" s="47" t="s">
        <v>259</v>
      </c>
      <c r="I22" s="47" t="s">
        <v>259</v>
      </c>
      <c r="J22" s="48">
        <f t="shared" si="0"/>
        <v>100</v>
      </c>
    </row>
    <row r="23" spans="1:10" ht="21" customHeight="1" x14ac:dyDescent="0.15">
      <c r="A23" s="47">
        <v>59001402</v>
      </c>
      <c r="B23" s="47">
        <v>0</v>
      </c>
      <c r="C23" s="47">
        <v>50</v>
      </c>
      <c r="D23" s="47">
        <v>100</v>
      </c>
      <c r="E23" s="47" t="s">
        <v>259</v>
      </c>
      <c r="F23" s="47" t="s">
        <v>259</v>
      </c>
      <c r="G23" s="47" t="s">
        <v>259</v>
      </c>
      <c r="H23" s="47" t="s">
        <v>259</v>
      </c>
      <c r="I23" s="47" t="s">
        <v>259</v>
      </c>
      <c r="J23" s="48">
        <f t="shared" si="0"/>
        <v>100</v>
      </c>
    </row>
    <row r="24" spans="1:10" ht="21" customHeight="1" x14ac:dyDescent="0.15">
      <c r="A24" s="47">
        <v>59001403</v>
      </c>
      <c r="B24" s="47">
        <v>0</v>
      </c>
      <c r="C24" s="47">
        <v>50</v>
      </c>
      <c r="D24" s="47">
        <v>100</v>
      </c>
      <c r="E24" s="47" t="s">
        <v>259</v>
      </c>
      <c r="F24" s="47" t="s">
        <v>259</v>
      </c>
      <c r="G24" s="47" t="s">
        <v>259</v>
      </c>
      <c r="H24" s="47">
        <v>2</v>
      </c>
      <c r="I24" s="47" t="s">
        <v>259</v>
      </c>
      <c r="J24" s="48">
        <f t="shared" si="0"/>
        <v>100</v>
      </c>
    </row>
    <row r="25" spans="1:10" ht="21" customHeight="1" x14ac:dyDescent="0.15">
      <c r="A25" s="47">
        <v>59001404</v>
      </c>
      <c r="B25" s="47">
        <v>0</v>
      </c>
      <c r="C25" s="47">
        <v>50</v>
      </c>
      <c r="D25" s="47">
        <v>100</v>
      </c>
      <c r="E25" s="47" t="s">
        <v>259</v>
      </c>
      <c r="F25" s="47" t="s">
        <v>259</v>
      </c>
      <c r="G25" s="47" t="s">
        <v>259</v>
      </c>
      <c r="H25" s="47">
        <v>2</v>
      </c>
      <c r="I25" s="47" t="s">
        <v>259</v>
      </c>
      <c r="J25" s="48">
        <f t="shared" si="0"/>
        <v>100</v>
      </c>
    </row>
    <row r="26" spans="1:10" ht="21" customHeight="1" x14ac:dyDescent="0.15">
      <c r="A26" s="47">
        <v>59001405</v>
      </c>
      <c r="B26" s="47">
        <v>0</v>
      </c>
      <c r="C26" s="47">
        <v>60</v>
      </c>
      <c r="D26" s="47">
        <v>100</v>
      </c>
      <c r="E26" s="47">
        <v>50</v>
      </c>
      <c r="F26" s="47" t="s">
        <v>259</v>
      </c>
      <c r="G26" s="47">
        <v>1</v>
      </c>
      <c r="H26" s="47">
        <v>1</v>
      </c>
      <c r="I26" s="47" t="s">
        <v>259</v>
      </c>
      <c r="J26" s="48">
        <f t="shared" si="0"/>
        <v>100</v>
      </c>
    </row>
    <row r="27" spans="1:10" ht="21" customHeight="1" x14ac:dyDescent="0.15">
      <c r="A27" s="47">
        <v>59001501</v>
      </c>
      <c r="B27" s="47">
        <v>1</v>
      </c>
      <c r="C27" s="47">
        <v>30</v>
      </c>
      <c r="D27" s="47">
        <v>100</v>
      </c>
      <c r="E27" s="47" t="s">
        <v>259</v>
      </c>
      <c r="F27" s="47" t="s">
        <v>259</v>
      </c>
      <c r="G27" s="47">
        <v>1</v>
      </c>
      <c r="H27" s="47" t="s">
        <v>259</v>
      </c>
      <c r="I27" s="47" t="s">
        <v>259</v>
      </c>
      <c r="J27" s="48">
        <f t="shared" si="0"/>
        <v>100</v>
      </c>
    </row>
    <row r="28" spans="1:10" ht="21" customHeight="1" x14ac:dyDescent="0.15">
      <c r="A28" s="47">
        <v>59001502</v>
      </c>
      <c r="B28" s="47">
        <v>0</v>
      </c>
      <c r="C28" s="47">
        <v>70</v>
      </c>
      <c r="D28" s="47">
        <v>100</v>
      </c>
      <c r="E28" s="47" t="s">
        <v>259</v>
      </c>
      <c r="F28" s="47" t="s">
        <v>259</v>
      </c>
      <c r="G28" s="47">
        <v>1</v>
      </c>
      <c r="H28" s="47" t="s">
        <v>259</v>
      </c>
      <c r="I28" s="47" t="s">
        <v>259</v>
      </c>
      <c r="J28" s="48">
        <f t="shared" si="0"/>
        <v>100</v>
      </c>
    </row>
    <row r="29" spans="1:10" ht="21" customHeight="1" x14ac:dyDescent="0.15">
      <c r="A29" s="47">
        <v>59001503</v>
      </c>
      <c r="B29" s="47">
        <v>0</v>
      </c>
      <c r="C29" s="47">
        <v>69</v>
      </c>
      <c r="D29" s="47">
        <v>100</v>
      </c>
      <c r="E29" s="47" t="s">
        <v>259</v>
      </c>
      <c r="F29" s="47" t="s">
        <v>259</v>
      </c>
      <c r="G29" s="47">
        <v>1</v>
      </c>
      <c r="H29" s="47" t="s">
        <v>259</v>
      </c>
      <c r="I29" s="47" t="s">
        <v>259</v>
      </c>
      <c r="J29" s="48">
        <f t="shared" si="0"/>
        <v>100</v>
      </c>
    </row>
    <row r="30" spans="1:10" ht="21" customHeight="1" x14ac:dyDescent="0.15">
      <c r="A30" s="47">
        <v>59001504</v>
      </c>
      <c r="B30" s="47">
        <v>0</v>
      </c>
      <c r="C30" s="47">
        <v>68</v>
      </c>
      <c r="D30" s="47">
        <v>100</v>
      </c>
      <c r="E30" s="47" t="s">
        <v>259</v>
      </c>
      <c r="F30" s="47" t="s">
        <v>259</v>
      </c>
      <c r="G30" s="47">
        <v>1</v>
      </c>
      <c r="H30" s="47" t="s">
        <v>259</v>
      </c>
      <c r="I30" s="47" t="s">
        <v>259</v>
      </c>
      <c r="J30" s="48">
        <f t="shared" si="0"/>
        <v>100</v>
      </c>
    </row>
    <row r="31" spans="1:10" ht="21" customHeight="1" x14ac:dyDescent="0.15">
      <c r="A31" s="47">
        <v>59001505</v>
      </c>
      <c r="B31" s="47">
        <v>0</v>
      </c>
      <c r="C31" s="47">
        <v>67</v>
      </c>
      <c r="D31" s="47">
        <v>100</v>
      </c>
      <c r="E31" s="47" t="s">
        <v>259</v>
      </c>
      <c r="F31" s="47" t="s">
        <v>259</v>
      </c>
      <c r="G31" s="47">
        <v>1</v>
      </c>
      <c r="H31" s="47" t="s">
        <v>259</v>
      </c>
      <c r="I31" s="47" t="s">
        <v>259</v>
      </c>
      <c r="J31" s="48">
        <f t="shared" si="0"/>
        <v>100</v>
      </c>
    </row>
    <row r="32" spans="1:10" ht="21" customHeight="1" x14ac:dyDescent="0.15">
      <c r="A32" s="47">
        <v>59001506</v>
      </c>
      <c r="B32" s="47">
        <v>0</v>
      </c>
      <c r="C32" s="47">
        <v>66</v>
      </c>
      <c r="D32" s="47">
        <v>100</v>
      </c>
      <c r="E32" s="47" t="s">
        <v>88</v>
      </c>
      <c r="F32" s="47" t="s">
        <v>88</v>
      </c>
      <c r="G32" s="47">
        <v>1</v>
      </c>
      <c r="H32" s="47" t="s">
        <v>88</v>
      </c>
      <c r="I32" s="47" t="s">
        <v>88</v>
      </c>
      <c r="J32" s="48">
        <f t="shared" ref="J32" si="2">D32</f>
        <v>100</v>
      </c>
    </row>
    <row r="33" spans="1:10" ht="21" customHeight="1" x14ac:dyDescent="0.15">
      <c r="A33" s="47">
        <v>59001601</v>
      </c>
      <c r="B33" s="47">
        <v>1</v>
      </c>
      <c r="C33" s="47">
        <v>100</v>
      </c>
      <c r="D33" s="47">
        <v>100</v>
      </c>
      <c r="E33" s="47" t="s">
        <v>259</v>
      </c>
      <c r="F33" s="47" t="s">
        <v>259</v>
      </c>
      <c r="G33" s="47">
        <v>1</v>
      </c>
      <c r="H33" s="47" t="s">
        <v>259</v>
      </c>
      <c r="I33" s="47" t="s">
        <v>259</v>
      </c>
      <c r="J33" s="48">
        <f t="shared" si="0"/>
        <v>100</v>
      </c>
    </row>
    <row r="34" spans="1:10" ht="21" customHeight="1" x14ac:dyDescent="0.15">
      <c r="A34" s="47">
        <v>59001602</v>
      </c>
      <c r="B34" s="47">
        <v>0</v>
      </c>
      <c r="C34" s="47">
        <v>70</v>
      </c>
      <c r="D34" s="47">
        <v>100</v>
      </c>
      <c r="E34" s="47" t="s">
        <v>259</v>
      </c>
      <c r="F34" s="47" t="s">
        <v>259</v>
      </c>
      <c r="G34" s="47" t="s">
        <v>259</v>
      </c>
      <c r="H34" s="47">
        <v>3</v>
      </c>
      <c r="I34" s="47" t="s">
        <v>259</v>
      </c>
      <c r="J34" s="48">
        <f t="shared" si="0"/>
        <v>100</v>
      </c>
    </row>
    <row r="35" spans="1:10" ht="21" customHeight="1" x14ac:dyDescent="0.15">
      <c r="A35" s="47">
        <v>59001603</v>
      </c>
      <c r="B35" s="47">
        <v>0</v>
      </c>
      <c r="C35" s="47">
        <v>50</v>
      </c>
      <c r="D35" s="47">
        <v>100</v>
      </c>
      <c r="E35" s="47" t="s">
        <v>259</v>
      </c>
      <c r="F35" s="47" t="s">
        <v>259</v>
      </c>
      <c r="G35" s="47" t="s">
        <v>259</v>
      </c>
      <c r="H35" s="47">
        <v>1</v>
      </c>
      <c r="I35" s="47" t="s">
        <v>259</v>
      </c>
      <c r="J35" s="48">
        <f t="shared" si="0"/>
        <v>100</v>
      </c>
    </row>
    <row r="36" spans="1:10" ht="21" customHeight="1" x14ac:dyDescent="0.15">
      <c r="A36" s="47">
        <v>59001604</v>
      </c>
      <c r="B36" s="47">
        <v>0</v>
      </c>
      <c r="C36" s="47">
        <v>60</v>
      </c>
      <c r="D36" s="47">
        <v>100</v>
      </c>
      <c r="E36" s="47" t="s">
        <v>259</v>
      </c>
      <c r="F36" s="47" t="s">
        <v>259</v>
      </c>
      <c r="G36" s="47" t="s">
        <v>259</v>
      </c>
      <c r="H36" s="47">
        <v>2</v>
      </c>
      <c r="I36" s="47" t="s">
        <v>259</v>
      </c>
      <c r="J36" s="48">
        <f t="shared" si="0"/>
        <v>100</v>
      </c>
    </row>
    <row r="37" spans="1:10" ht="21" customHeight="1" x14ac:dyDescent="0.15">
      <c r="A37" s="47">
        <v>59001605</v>
      </c>
      <c r="B37" s="47">
        <v>0</v>
      </c>
      <c r="C37" s="47">
        <v>90</v>
      </c>
      <c r="D37" s="47">
        <v>100</v>
      </c>
      <c r="E37" s="47">
        <v>70</v>
      </c>
      <c r="F37" s="47" t="s">
        <v>88</v>
      </c>
      <c r="G37" s="47">
        <v>1</v>
      </c>
      <c r="H37" s="47">
        <v>1</v>
      </c>
      <c r="I37" s="47" t="s">
        <v>88</v>
      </c>
      <c r="J37" s="48">
        <f t="shared" ref="J37" si="3">D37</f>
        <v>100</v>
      </c>
    </row>
    <row r="38" spans="1:10" ht="21" customHeight="1" x14ac:dyDescent="0.15">
      <c r="A38" s="47">
        <v>59001606</v>
      </c>
      <c r="B38" s="47">
        <v>0</v>
      </c>
      <c r="C38" s="47">
        <v>89</v>
      </c>
      <c r="D38" s="47">
        <v>100</v>
      </c>
      <c r="E38" s="47">
        <v>70</v>
      </c>
      <c r="F38" s="47" t="s">
        <v>88</v>
      </c>
      <c r="G38" s="47">
        <v>1</v>
      </c>
      <c r="H38" s="47">
        <v>1</v>
      </c>
      <c r="I38" s="47" t="s">
        <v>88</v>
      </c>
      <c r="J38" s="48">
        <f t="shared" si="0"/>
        <v>100</v>
      </c>
    </row>
    <row r="39" spans="1:10" ht="21" customHeight="1" x14ac:dyDescent="0.15">
      <c r="A39" s="47">
        <v>59001607</v>
      </c>
      <c r="B39" s="47">
        <v>0</v>
      </c>
      <c r="C39" s="47">
        <v>80</v>
      </c>
      <c r="D39" s="47">
        <v>100</v>
      </c>
      <c r="E39" s="47">
        <v>40</v>
      </c>
      <c r="F39" s="47" t="s">
        <v>88</v>
      </c>
      <c r="G39" s="47">
        <v>1</v>
      </c>
      <c r="H39" s="47">
        <v>1</v>
      </c>
      <c r="I39" s="47" t="s">
        <v>88</v>
      </c>
      <c r="J39" s="48">
        <f t="shared" ref="J39" si="4">D39</f>
        <v>100</v>
      </c>
    </row>
    <row r="40" spans="1:10" ht="21" customHeight="1" x14ac:dyDescent="0.15">
      <c r="A40" s="47">
        <v>59001701</v>
      </c>
      <c r="B40" s="47">
        <v>1</v>
      </c>
      <c r="C40" s="47">
        <v>100</v>
      </c>
      <c r="D40" s="47">
        <v>100</v>
      </c>
      <c r="E40" s="47" t="s">
        <v>259</v>
      </c>
      <c r="F40" s="47" t="s">
        <v>259</v>
      </c>
      <c r="G40" s="47">
        <v>1</v>
      </c>
      <c r="H40" s="47" t="s">
        <v>259</v>
      </c>
      <c r="I40" s="47" t="s">
        <v>259</v>
      </c>
      <c r="J40" s="48">
        <f t="shared" si="0"/>
        <v>100</v>
      </c>
    </row>
    <row r="41" spans="1:10" ht="21" customHeight="1" x14ac:dyDescent="0.15">
      <c r="A41" s="47">
        <v>59001702</v>
      </c>
      <c r="B41" s="47">
        <v>0</v>
      </c>
      <c r="C41" s="47">
        <v>60</v>
      </c>
      <c r="D41" s="47">
        <v>100</v>
      </c>
      <c r="E41" s="47" t="s">
        <v>259</v>
      </c>
      <c r="F41" s="47" t="s">
        <v>259</v>
      </c>
      <c r="G41" s="47">
        <v>1</v>
      </c>
      <c r="H41" s="47" t="s">
        <v>259</v>
      </c>
      <c r="I41" s="47" t="s">
        <v>259</v>
      </c>
      <c r="J41" s="48">
        <f t="shared" si="0"/>
        <v>100</v>
      </c>
    </row>
    <row r="42" spans="1:10" ht="21" customHeight="1" x14ac:dyDescent="0.15">
      <c r="A42" s="47">
        <v>59001703</v>
      </c>
      <c r="B42" s="47">
        <v>0</v>
      </c>
      <c r="C42" s="47">
        <v>50</v>
      </c>
      <c r="D42" s="47">
        <v>100</v>
      </c>
      <c r="E42" s="47" t="s">
        <v>259</v>
      </c>
      <c r="F42" s="47" t="s">
        <v>259</v>
      </c>
      <c r="G42" s="47">
        <v>1</v>
      </c>
      <c r="H42" s="47" t="s">
        <v>259</v>
      </c>
      <c r="I42" s="47" t="s">
        <v>259</v>
      </c>
      <c r="J42" s="48">
        <f t="shared" si="0"/>
        <v>100</v>
      </c>
    </row>
    <row r="43" spans="1:10" ht="21" customHeight="1" x14ac:dyDescent="0.15">
      <c r="A43" s="47">
        <v>59001704</v>
      </c>
      <c r="B43" s="47">
        <v>0</v>
      </c>
      <c r="C43" s="47">
        <v>49</v>
      </c>
      <c r="D43" s="47">
        <v>100</v>
      </c>
      <c r="E43" s="47" t="s">
        <v>259</v>
      </c>
      <c r="F43" s="47" t="s">
        <v>259</v>
      </c>
      <c r="G43" s="47">
        <v>1</v>
      </c>
      <c r="H43" s="47" t="s">
        <v>259</v>
      </c>
      <c r="I43" s="47" t="s">
        <v>259</v>
      </c>
      <c r="J43" s="48">
        <f t="shared" si="0"/>
        <v>100</v>
      </c>
    </row>
    <row r="44" spans="1:10" ht="21" customHeight="1" x14ac:dyDescent="0.15">
      <c r="A44" s="47">
        <v>59001705</v>
      </c>
      <c r="B44" s="47">
        <v>0</v>
      </c>
      <c r="C44" s="47">
        <v>48</v>
      </c>
      <c r="D44" s="47">
        <v>100</v>
      </c>
      <c r="E44" s="47" t="s">
        <v>259</v>
      </c>
      <c r="F44" s="47" t="s">
        <v>259</v>
      </c>
      <c r="G44" s="47">
        <v>1</v>
      </c>
      <c r="H44" s="47" t="s">
        <v>259</v>
      </c>
      <c r="I44" s="47" t="s">
        <v>259</v>
      </c>
      <c r="J44" s="48">
        <f t="shared" si="0"/>
        <v>100</v>
      </c>
    </row>
    <row r="45" spans="1:10" ht="21" customHeight="1" x14ac:dyDescent="0.15">
      <c r="A45" s="47">
        <v>59001706</v>
      </c>
      <c r="B45" s="47">
        <v>0</v>
      </c>
      <c r="C45" s="47">
        <v>47</v>
      </c>
      <c r="D45" s="47">
        <v>100</v>
      </c>
      <c r="E45" s="47" t="s">
        <v>259</v>
      </c>
      <c r="F45" s="47" t="s">
        <v>259</v>
      </c>
      <c r="G45" s="47">
        <v>1</v>
      </c>
      <c r="H45" s="47" t="s">
        <v>259</v>
      </c>
      <c r="I45" s="47" t="s">
        <v>259</v>
      </c>
      <c r="J45" s="48">
        <f t="shared" si="0"/>
        <v>100</v>
      </c>
    </row>
    <row r="46" spans="1:10" ht="21" customHeight="1" x14ac:dyDescent="0.15">
      <c r="A46" s="47">
        <v>59001707</v>
      </c>
      <c r="B46" s="47">
        <v>0</v>
      </c>
      <c r="C46" s="47">
        <v>46</v>
      </c>
      <c r="D46" s="47">
        <v>100</v>
      </c>
      <c r="E46" s="47" t="s">
        <v>259</v>
      </c>
      <c r="F46" s="47" t="s">
        <v>259</v>
      </c>
      <c r="G46" s="47" t="s">
        <v>259</v>
      </c>
      <c r="H46" s="47" t="s">
        <v>259</v>
      </c>
      <c r="I46" s="47" t="s">
        <v>259</v>
      </c>
      <c r="J46" s="48">
        <f t="shared" si="0"/>
        <v>100</v>
      </c>
    </row>
    <row r="47" spans="1:10" ht="21" customHeight="1" x14ac:dyDescent="0.15">
      <c r="A47" s="47">
        <v>59001708</v>
      </c>
      <c r="B47" s="47">
        <v>0</v>
      </c>
      <c r="C47" s="47">
        <v>1</v>
      </c>
      <c r="D47" s="47">
        <v>100</v>
      </c>
      <c r="E47" s="47" t="s">
        <v>88</v>
      </c>
      <c r="F47" s="47" t="s">
        <v>321</v>
      </c>
      <c r="G47" s="47">
        <v>0</v>
      </c>
      <c r="H47" s="47" t="s">
        <v>88</v>
      </c>
      <c r="I47" s="47">
        <v>0</v>
      </c>
      <c r="J47" s="48">
        <f t="shared" si="0"/>
        <v>100</v>
      </c>
    </row>
    <row r="48" spans="1:10" ht="21" customHeight="1" x14ac:dyDescent="0.15">
      <c r="A48" s="47">
        <v>59001709</v>
      </c>
      <c r="B48" s="47">
        <v>0</v>
      </c>
      <c r="C48" s="47">
        <v>150</v>
      </c>
      <c r="D48" s="47">
        <v>100</v>
      </c>
      <c r="E48" s="47" t="s">
        <v>88</v>
      </c>
      <c r="F48" s="47" t="s">
        <v>321</v>
      </c>
      <c r="G48" s="47">
        <v>0</v>
      </c>
      <c r="H48" s="47" t="s">
        <v>88</v>
      </c>
      <c r="I48" s="47">
        <v>1317</v>
      </c>
      <c r="J48" s="48">
        <f t="shared" si="0"/>
        <v>100</v>
      </c>
    </row>
    <row r="49" spans="1:10" ht="21" customHeight="1" x14ac:dyDescent="0.15">
      <c r="A49" s="47">
        <v>59001710</v>
      </c>
      <c r="B49" s="47">
        <v>0</v>
      </c>
      <c r="C49" s="47">
        <v>149</v>
      </c>
      <c r="D49" s="47">
        <v>100</v>
      </c>
      <c r="E49" s="47" t="s">
        <v>88</v>
      </c>
      <c r="F49" s="47" t="s">
        <v>321</v>
      </c>
      <c r="G49" s="47">
        <v>0</v>
      </c>
      <c r="H49" s="47" t="s">
        <v>88</v>
      </c>
      <c r="I49" s="47">
        <v>1316</v>
      </c>
      <c r="J49" s="48">
        <f t="shared" si="0"/>
        <v>100</v>
      </c>
    </row>
    <row r="50" spans="1:10" ht="21" customHeight="1" x14ac:dyDescent="0.15">
      <c r="A50" s="47">
        <v>59001711</v>
      </c>
      <c r="B50" s="47">
        <v>0</v>
      </c>
      <c r="C50" s="47">
        <v>199</v>
      </c>
      <c r="D50" s="47">
        <v>100</v>
      </c>
      <c r="E50" s="47" t="s">
        <v>88</v>
      </c>
      <c r="F50" s="47" t="s">
        <v>321</v>
      </c>
      <c r="G50" s="47">
        <v>0</v>
      </c>
      <c r="H50" s="47" t="s">
        <v>88</v>
      </c>
      <c r="I50" s="47">
        <v>1310</v>
      </c>
      <c r="J50" s="48">
        <f t="shared" ref="J50:J58" si="5">D50</f>
        <v>100</v>
      </c>
    </row>
    <row r="51" spans="1:10" ht="21" customHeight="1" x14ac:dyDescent="0.15">
      <c r="A51" s="47">
        <v>59001712</v>
      </c>
      <c r="B51" s="47">
        <v>0</v>
      </c>
      <c r="C51" s="47">
        <v>198</v>
      </c>
      <c r="D51" s="47">
        <v>100</v>
      </c>
      <c r="E51" s="47" t="s">
        <v>88</v>
      </c>
      <c r="F51" s="47" t="s">
        <v>321</v>
      </c>
      <c r="G51" s="47">
        <v>0</v>
      </c>
      <c r="H51" s="47" t="s">
        <v>88</v>
      </c>
      <c r="I51" s="47">
        <v>1309</v>
      </c>
      <c r="J51" s="48">
        <f t="shared" si="5"/>
        <v>100</v>
      </c>
    </row>
    <row r="52" spans="1:10" ht="21" customHeight="1" x14ac:dyDescent="0.15">
      <c r="A52" s="47">
        <v>59001713</v>
      </c>
      <c r="B52" s="47">
        <v>0</v>
      </c>
      <c r="C52" s="47">
        <v>197</v>
      </c>
      <c r="D52" s="47">
        <v>100</v>
      </c>
      <c r="E52" s="47" t="s">
        <v>88</v>
      </c>
      <c r="F52" s="47" t="s">
        <v>321</v>
      </c>
      <c r="G52" s="47">
        <v>0</v>
      </c>
      <c r="H52" s="47" t="s">
        <v>88</v>
      </c>
      <c r="I52" s="47">
        <v>540</v>
      </c>
      <c r="J52" s="48">
        <f t="shared" si="5"/>
        <v>100</v>
      </c>
    </row>
    <row r="53" spans="1:10" ht="21" customHeight="1" x14ac:dyDescent="0.15">
      <c r="A53" s="47">
        <v>59001714</v>
      </c>
      <c r="B53" s="47">
        <v>0</v>
      </c>
      <c r="C53" s="47">
        <v>196</v>
      </c>
      <c r="D53" s="47">
        <v>100</v>
      </c>
      <c r="E53" s="47" t="s">
        <v>88</v>
      </c>
      <c r="F53" s="47" t="s">
        <v>321</v>
      </c>
      <c r="G53" s="47">
        <v>0</v>
      </c>
      <c r="H53" s="47" t="s">
        <v>88</v>
      </c>
      <c r="I53" s="47">
        <v>539</v>
      </c>
      <c r="J53" s="48">
        <f t="shared" ref="J53" si="6">D53</f>
        <v>100</v>
      </c>
    </row>
    <row r="54" spans="1:10" ht="21" customHeight="1" x14ac:dyDescent="0.15">
      <c r="A54" s="47">
        <v>59001715</v>
      </c>
      <c r="B54" s="47">
        <v>0</v>
      </c>
      <c r="C54" s="47">
        <v>148</v>
      </c>
      <c r="D54" s="47">
        <v>100</v>
      </c>
      <c r="E54" s="47" t="s">
        <v>88</v>
      </c>
      <c r="F54" s="47" t="s">
        <v>321</v>
      </c>
      <c r="G54" s="47">
        <v>0</v>
      </c>
      <c r="H54" s="47" t="s">
        <v>88</v>
      </c>
      <c r="I54" s="47">
        <v>1308</v>
      </c>
      <c r="J54" s="48">
        <f t="shared" si="5"/>
        <v>100</v>
      </c>
    </row>
    <row r="55" spans="1:10" ht="21" customHeight="1" x14ac:dyDescent="0.15">
      <c r="A55" s="47">
        <v>59001716</v>
      </c>
      <c r="B55" s="47">
        <v>0</v>
      </c>
      <c r="C55" s="47">
        <v>147</v>
      </c>
      <c r="D55" s="47">
        <v>100</v>
      </c>
      <c r="E55" s="47" t="s">
        <v>88</v>
      </c>
      <c r="F55" s="47" t="s">
        <v>321</v>
      </c>
      <c r="G55" s="47">
        <v>0</v>
      </c>
      <c r="H55" s="47" t="s">
        <v>88</v>
      </c>
      <c r="I55" s="47">
        <v>542</v>
      </c>
      <c r="J55" s="48">
        <f t="shared" si="5"/>
        <v>100</v>
      </c>
    </row>
    <row r="56" spans="1:10" ht="21" customHeight="1" x14ac:dyDescent="0.15">
      <c r="A56" s="47">
        <v>59001717</v>
      </c>
      <c r="B56" s="47">
        <v>0</v>
      </c>
      <c r="C56" s="47">
        <v>146</v>
      </c>
      <c r="D56" s="47">
        <v>100</v>
      </c>
      <c r="E56" s="47" t="s">
        <v>88</v>
      </c>
      <c r="F56" s="47" t="s">
        <v>321</v>
      </c>
      <c r="G56" s="47">
        <v>0</v>
      </c>
      <c r="H56" s="47" t="s">
        <v>88</v>
      </c>
      <c r="I56" s="47">
        <v>541</v>
      </c>
      <c r="J56" s="48">
        <f t="shared" si="5"/>
        <v>100</v>
      </c>
    </row>
    <row r="57" spans="1:10" ht="21" customHeight="1" x14ac:dyDescent="0.15">
      <c r="A57" s="47">
        <v>59001718</v>
      </c>
      <c r="B57" s="47">
        <v>0</v>
      </c>
      <c r="C57" s="47">
        <v>399</v>
      </c>
      <c r="D57" s="47">
        <v>100</v>
      </c>
      <c r="E57" s="47" t="s">
        <v>88</v>
      </c>
      <c r="F57" s="47" t="s">
        <v>321</v>
      </c>
      <c r="G57" s="47">
        <v>0</v>
      </c>
      <c r="H57" s="47" t="s">
        <v>88</v>
      </c>
      <c r="I57" s="47">
        <v>1299</v>
      </c>
      <c r="J57" s="48">
        <f t="shared" si="5"/>
        <v>100</v>
      </c>
    </row>
    <row r="58" spans="1:10" ht="21" customHeight="1" x14ac:dyDescent="0.15">
      <c r="A58" s="47">
        <v>59001719</v>
      </c>
      <c r="B58" s="47">
        <v>0</v>
      </c>
      <c r="C58" s="47">
        <v>398</v>
      </c>
      <c r="D58" s="47">
        <v>100</v>
      </c>
      <c r="E58" s="47" t="s">
        <v>88</v>
      </c>
      <c r="F58" s="47" t="s">
        <v>321</v>
      </c>
      <c r="G58" s="47">
        <v>0</v>
      </c>
      <c r="H58" s="47" t="s">
        <v>88</v>
      </c>
      <c r="I58" s="47">
        <v>528</v>
      </c>
      <c r="J58" s="48">
        <f t="shared" si="5"/>
        <v>100</v>
      </c>
    </row>
    <row r="59" spans="1:10" ht="21" customHeight="1" x14ac:dyDescent="0.15">
      <c r="A59" s="47">
        <v>59001720</v>
      </c>
      <c r="B59" s="47">
        <v>0</v>
      </c>
      <c r="C59" s="47">
        <v>397</v>
      </c>
      <c r="D59" s="47">
        <v>100</v>
      </c>
      <c r="E59" s="47" t="s">
        <v>88</v>
      </c>
      <c r="F59" s="47" t="s">
        <v>321</v>
      </c>
      <c r="G59" s="47">
        <v>0</v>
      </c>
      <c r="H59" s="47" t="s">
        <v>88</v>
      </c>
      <c r="I59" s="47">
        <v>527</v>
      </c>
      <c r="J59" s="48">
        <f t="shared" ref="J59:J63" si="7">D59</f>
        <v>100</v>
      </c>
    </row>
    <row r="60" spans="1:10" ht="21" customHeight="1" x14ac:dyDescent="0.15">
      <c r="A60" s="47">
        <v>59001721</v>
      </c>
      <c r="B60" s="47">
        <v>0</v>
      </c>
      <c r="C60" s="47">
        <v>386</v>
      </c>
      <c r="D60" s="47">
        <v>100</v>
      </c>
      <c r="E60" s="47" t="s">
        <v>88</v>
      </c>
      <c r="F60" s="47" t="s">
        <v>321</v>
      </c>
      <c r="G60" s="47">
        <v>0</v>
      </c>
      <c r="H60" s="47" t="s">
        <v>88</v>
      </c>
      <c r="I60" s="47">
        <v>1319</v>
      </c>
      <c r="J60" s="48">
        <f t="shared" si="7"/>
        <v>100</v>
      </c>
    </row>
    <row r="61" spans="1:10" ht="21" customHeight="1" x14ac:dyDescent="0.15">
      <c r="A61" s="47">
        <v>59001722</v>
      </c>
      <c r="B61" s="47">
        <v>0</v>
      </c>
      <c r="C61" s="47">
        <v>385</v>
      </c>
      <c r="D61" s="47">
        <v>100</v>
      </c>
      <c r="E61" s="47" t="s">
        <v>88</v>
      </c>
      <c r="F61" s="47" t="s">
        <v>321</v>
      </c>
      <c r="G61" s="47">
        <v>0</v>
      </c>
      <c r="H61" s="47" t="s">
        <v>88</v>
      </c>
      <c r="I61" s="47">
        <v>1318</v>
      </c>
      <c r="J61" s="48">
        <f t="shared" si="7"/>
        <v>100</v>
      </c>
    </row>
    <row r="62" spans="1:10" ht="21" customHeight="1" x14ac:dyDescent="0.15">
      <c r="A62" s="47">
        <v>59001723</v>
      </c>
      <c r="B62" s="47">
        <v>0</v>
      </c>
      <c r="C62" s="47">
        <v>396</v>
      </c>
      <c r="D62" s="47">
        <v>100</v>
      </c>
      <c r="E62" s="47" t="s">
        <v>88</v>
      </c>
      <c r="F62" s="47" t="s">
        <v>321</v>
      </c>
      <c r="G62" s="47">
        <v>0</v>
      </c>
      <c r="H62" s="47" t="s">
        <v>88</v>
      </c>
      <c r="I62" s="47">
        <v>1311</v>
      </c>
      <c r="J62" s="48">
        <f t="shared" ref="J62" si="8">D62</f>
        <v>100</v>
      </c>
    </row>
    <row r="63" spans="1:10" ht="21" customHeight="1" x14ac:dyDescent="0.15">
      <c r="A63" s="47">
        <v>59001724</v>
      </c>
      <c r="B63" s="47">
        <v>0</v>
      </c>
      <c r="C63" s="47">
        <v>395</v>
      </c>
      <c r="D63" s="47">
        <v>100</v>
      </c>
      <c r="E63" s="47" t="s">
        <v>88</v>
      </c>
      <c r="F63" s="47" t="s">
        <v>321</v>
      </c>
      <c r="G63" s="47">
        <v>0</v>
      </c>
      <c r="H63" s="47" t="s">
        <v>88</v>
      </c>
      <c r="I63" s="47">
        <v>544</v>
      </c>
      <c r="J63" s="48">
        <f t="shared" si="7"/>
        <v>100</v>
      </c>
    </row>
    <row r="64" spans="1:10" ht="21" customHeight="1" x14ac:dyDescent="0.15">
      <c r="A64" s="47">
        <v>59001725</v>
      </c>
      <c r="B64" s="47">
        <v>0</v>
      </c>
      <c r="C64" s="47">
        <v>394</v>
      </c>
      <c r="D64" s="47">
        <v>100</v>
      </c>
      <c r="E64" s="47" t="s">
        <v>88</v>
      </c>
      <c r="F64" s="47" t="s">
        <v>321</v>
      </c>
      <c r="G64" s="47">
        <v>0</v>
      </c>
      <c r="H64" s="47" t="s">
        <v>88</v>
      </c>
      <c r="I64" s="47">
        <v>543</v>
      </c>
      <c r="J64" s="48">
        <f t="shared" ref="J64:J68" si="9">D64</f>
        <v>100</v>
      </c>
    </row>
    <row r="65" spans="1:10" ht="21" customHeight="1" x14ac:dyDescent="0.15">
      <c r="A65" s="47">
        <v>59001726</v>
      </c>
      <c r="B65" s="47">
        <v>0</v>
      </c>
      <c r="C65" s="47">
        <v>384</v>
      </c>
      <c r="D65" s="47">
        <v>100</v>
      </c>
      <c r="E65" s="47" t="s">
        <v>88</v>
      </c>
      <c r="F65" s="47" t="s">
        <v>321</v>
      </c>
      <c r="G65" s="47">
        <v>0</v>
      </c>
      <c r="H65" s="47" t="s">
        <v>88</v>
      </c>
      <c r="I65" s="47">
        <v>1321</v>
      </c>
      <c r="J65" s="48">
        <f t="shared" si="9"/>
        <v>100</v>
      </c>
    </row>
    <row r="66" spans="1:10" ht="21" customHeight="1" x14ac:dyDescent="0.15">
      <c r="A66" s="47">
        <v>59001727</v>
      </c>
      <c r="B66" s="47">
        <v>0</v>
      </c>
      <c r="C66" s="47">
        <v>383</v>
      </c>
      <c r="D66" s="47">
        <v>100</v>
      </c>
      <c r="E66" s="47" t="s">
        <v>88</v>
      </c>
      <c r="F66" s="47" t="s">
        <v>321</v>
      </c>
      <c r="G66" s="47">
        <v>0</v>
      </c>
      <c r="H66" s="47" t="s">
        <v>88</v>
      </c>
      <c r="I66" s="47">
        <v>1320</v>
      </c>
      <c r="J66" s="48">
        <f t="shared" si="9"/>
        <v>100</v>
      </c>
    </row>
    <row r="67" spans="1:10" ht="21" customHeight="1" x14ac:dyDescent="0.15">
      <c r="A67" s="47">
        <v>59001728</v>
      </c>
      <c r="B67" s="47">
        <v>0</v>
      </c>
      <c r="C67" s="47">
        <v>393</v>
      </c>
      <c r="D67" s="47">
        <v>100</v>
      </c>
      <c r="E67" s="47" t="s">
        <v>88</v>
      </c>
      <c r="F67" s="47" t="s">
        <v>321</v>
      </c>
      <c r="G67" s="47">
        <v>0</v>
      </c>
      <c r="H67" s="47" t="s">
        <v>88</v>
      </c>
      <c r="I67" s="47">
        <v>1312</v>
      </c>
      <c r="J67" s="48">
        <f t="shared" si="9"/>
        <v>100</v>
      </c>
    </row>
    <row r="68" spans="1:10" ht="21" customHeight="1" x14ac:dyDescent="0.15">
      <c r="A68" s="47">
        <v>59001729</v>
      </c>
      <c r="B68" s="47">
        <v>0</v>
      </c>
      <c r="C68" s="47">
        <v>392</v>
      </c>
      <c r="D68" s="47">
        <v>100</v>
      </c>
      <c r="E68" s="47" t="s">
        <v>88</v>
      </c>
      <c r="F68" s="47" t="s">
        <v>321</v>
      </c>
      <c r="G68" s="47">
        <v>0</v>
      </c>
      <c r="H68" s="47" t="s">
        <v>88</v>
      </c>
      <c r="I68" s="47">
        <v>546</v>
      </c>
      <c r="J68" s="48">
        <f t="shared" si="9"/>
        <v>100</v>
      </c>
    </row>
    <row r="69" spans="1:10" ht="21" customHeight="1" x14ac:dyDescent="0.15">
      <c r="A69" s="47">
        <v>59001730</v>
      </c>
      <c r="B69" s="47">
        <v>0</v>
      </c>
      <c r="C69" s="47">
        <v>391</v>
      </c>
      <c r="D69" s="47">
        <v>100</v>
      </c>
      <c r="E69" s="47" t="s">
        <v>88</v>
      </c>
      <c r="F69" s="47" t="s">
        <v>321</v>
      </c>
      <c r="G69" s="47">
        <v>0</v>
      </c>
      <c r="H69" s="47" t="s">
        <v>88</v>
      </c>
      <c r="I69" s="47">
        <v>545</v>
      </c>
      <c r="J69" s="48">
        <f t="shared" ref="J69:J73" si="10">D69</f>
        <v>100</v>
      </c>
    </row>
    <row r="70" spans="1:10" ht="21" customHeight="1" x14ac:dyDescent="0.15">
      <c r="A70" s="47">
        <v>59001731</v>
      </c>
      <c r="B70" s="47">
        <v>0</v>
      </c>
      <c r="C70" s="47">
        <v>145</v>
      </c>
      <c r="D70" s="47">
        <v>100</v>
      </c>
      <c r="E70" s="47" t="s">
        <v>88</v>
      </c>
      <c r="F70" s="47" t="s">
        <v>321</v>
      </c>
      <c r="G70" s="47">
        <v>0</v>
      </c>
      <c r="H70" s="47" t="s">
        <v>88</v>
      </c>
      <c r="I70" s="47">
        <v>1323</v>
      </c>
      <c r="J70" s="48">
        <f t="shared" si="10"/>
        <v>100</v>
      </c>
    </row>
    <row r="71" spans="1:10" ht="21" customHeight="1" x14ac:dyDescent="0.15">
      <c r="A71" s="47">
        <v>59001732</v>
      </c>
      <c r="B71" s="47">
        <v>0</v>
      </c>
      <c r="C71" s="47">
        <v>144</v>
      </c>
      <c r="D71" s="47">
        <v>100</v>
      </c>
      <c r="E71" s="47" t="s">
        <v>88</v>
      </c>
      <c r="F71" s="47" t="s">
        <v>321</v>
      </c>
      <c r="G71" s="47">
        <v>0</v>
      </c>
      <c r="H71" s="47" t="s">
        <v>88</v>
      </c>
      <c r="I71" s="47">
        <v>1322</v>
      </c>
      <c r="J71" s="48">
        <f t="shared" si="10"/>
        <v>100</v>
      </c>
    </row>
    <row r="72" spans="1:10" ht="21" customHeight="1" x14ac:dyDescent="0.15">
      <c r="A72" s="47">
        <v>59001733</v>
      </c>
      <c r="B72" s="47">
        <v>0</v>
      </c>
      <c r="C72" s="47">
        <v>299</v>
      </c>
      <c r="D72" s="47">
        <v>100</v>
      </c>
      <c r="E72" s="47" t="s">
        <v>88</v>
      </c>
      <c r="F72" s="47" t="s">
        <v>321</v>
      </c>
      <c r="G72" s="47">
        <v>0</v>
      </c>
      <c r="H72" s="47" t="s">
        <v>88</v>
      </c>
      <c r="I72" s="47">
        <v>1313</v>
      </c>
      <c r="J72" s="48">
        <f t="shared" si="10"/>
        <v>100</v>
      </c>
    </row>
    <row r="73" spans="1:10" ht="21" customHeight="1" x14ac:dyDescent="0.15">
      <c r="A73" s="47">
        <v>59001734</v>
      </c>
      <c r="B73" s="47">
        <v>0</v>
      </c>
      <c r="C73" s="47">
        <v>298</v>
      </c>
      <c r="D73" s="47">
        <v>100</v>
      </c>
      <c r="E73" s="47" t="s">
        <v>88</v>
      </c>
      <c r="F73" s="47" t="s">
        <v>321</v>
      </c>
      <c r="G73" s="47">
        <v>0</v>
      </c>
      <c r="H73" s="47" t="s">
        <v>88</v>
      </c>
      <c r="I73" s="47">
        <v>548</v>
      </c>
      <c r="J73" s="48">
        <f t="shared" si="10"/>
        <v>100</v>
      </c>
    </row>
    <row r="74" spans="1:10" ht="21" customHeight="1" x14ac:dyDescent="0.15">
      <c r="A74" s="47">
        <v>59001735</v>
      </c>
      <c r="B74" s="47">
        <v>0</v>
      </c>
      <c r="C74" s="47">
        <v>297</v>
      </c>
      <c r="D74" s="47">
        <v>100</v>
      </c>
      <c r="E74" s="47" t="s">
        <v>88</v>
      </c>
      <c r="F74" s="47" t="s">
        <v>321</v>
      </c>
      <c r="G74" s="47">
        <v>0</v>
      </c>
      <c r="H74" s="47" t="s">
        <v>88</v>
      </c>
      <c r="I74" s="47">
        <v>547</v>
      </c>
      <c r="J74" s="48">
        <f t="shared" ref="J74:J76" si="11">D74</f>
        <v>100</v>
      </c>
    </row>
    <row r="75" spans="1:10" ht="21" customHeight="1" x14ac:dyDescent="0.15">
      <c r="A75" s="47">
        <v>59001736</v>
      </c>
      <c r="B75" s="47">
        <v>0</v>
      </c>
      <c r="C75" s="47">
        <v>497</v>
      </c>
      <c r="D75" s="47">
        <v>100</v>
      </c>
      <c r="E75" s="47" t="s">
        <v>88</v>
      </c>
      <c r="F75" s="47" t="s">
        <v>321</v>
      </c>
      <c r="G75" s="47">
        <v>0</v>
      </c>
      <c r="H75" s="47" t="s">
        <v>88</v>
      </c>
      <c r="I75" s="47">
        <v>1315</v>
      </c>
      <c r="J75" s="48">
        <f t="shared" si="11"/>
        <v>100</v>
      </c>
    </row>
    <row r="76" spans="1:10" ht="21" customHeight="1" x14ac:dyDescent="0.15">
      <c r="A76" s="47">
        <v>59001737</v>
      </c>
      <c r="B76" s="47">
        <v>0</v>
      </c>
      <c r="C76" s="47">
        <v>496</v>
      </c>
      <c r="D76" s="47">
        <v>100</v>
      </c>
      <c r="E76" s="47" t="s">
        <v>88</v>
      </c>
      <c r="F76" s="47" t="s">
        <v>321</v>
      </c>
      <c r="G76" s="47">
        <v>0</v>
      </c>
      <c r="H76" s="47" t="s">
        <v>88</v>
      </c>
      <c r="I76" s="47">
        <v>552</v>
      </c>
      <c r="J76" s="48">
        <f t="shared" si="11"/>
        <v>100</v>
      </c>
    </row>
    <row r="77" spans="1:10" ht="21" customHeight="1" x14ac:dyDescent="0.15">
      <c r="A77" s="47">
        <v>59001738</v>
      </c>
      <c r="B77" s="47">
        <v>0</v>
      </c>
      <c r="C77" s="47">
        <v>495</v>
      </c>
      <c r="D77" s="47">
        <v>100</v>
      </c>
      <c r="E77" s="47" t="s">
        <v>88</v>
      </c>
      <c r="F77" s="47" t="s">
        <v>321</v>
      </c>
      <c r="G77" s="47">
        <v>0</v>
      </c>
      <c r="H77" s="47" t="s">
        <v>88</v>
      </c>
      <c r="I77" s="47">
        <v>551</v>
      </c>
      <c r="J77" s="48">
        <f t="shared" ref="J77:J79" si="12">D77</f>
        <v>100</v>
      </c>
    </row>
    <row r="78" spans="1:10" ht="21" customHeight="1" x14ac:dyDescent="0.15">
      <c r="A78" s="47">
        <v>59001739</v>
      </c>
      <c r="B78" s="47">
        <v>0</v>
      </c>
      <c r="C78" s="47">
        <v>296</v>
      </c>
      <c r="D78" s="47">
        <v>100</v>
      </c>
      <c r="E78" s="47" t="s">
        <v>88</v>
      </c>
      <c r="F78" s="47" t="s">
        <v>321</v>
      </c>
      <c r="G78" s="47">
        <v>0</v>
      </c>
      <c r="H78" s="47" t="s">
        <v>88</v>
      </c>
      <c r="I78" s="47">
        <v>1314</v>
      </c>
      <c r="J78" s="48">
        <f t="shared" si="12"/>
        <v>100</v>
      </c>
    </row>
    <row r="79" spans="1:10" ht="21" customHeight="1" x14ac:dyDescent="0.15">
      <c r="A79" s="47">
        <v>59001740</v>
      </c>
      <c r="B79" s="47">
        <v>0</v>
      </c>
      <c r="C79" s="47">
        <v>295</v>
      </c>
      <c r="D79" s="47">
        <v>100</v>
      </c>
      <c r="E79" s="47" t="s">
        <v>88</v>
      </c>
      <c r="F79" s="47" t="s">
        <v>321</v>
      </c>
      <c r="G79" s="47">
        <v>0</v>
      </c>
      <c r="H79" s="47" t="s">
        <v>88</v>
      </c>
      <c r="I79" s="47">
        <v>550</v>
      </c>
      <c r="J79" s="48">
        <f t="shared" si="12"/>
        <v>100</v>
      </c>
    </row>
    <row r="80" spans="1:10" ht="21" customHeight="1" x14ac:dyDescent="0.15">
      <c r="A80" s="47">
        <v>59001741</v>
      </c>
      <c r="B80" s="47">
        <v>0</v>
      </c>
      <c r="C80" s="47">
        <v>294</v>
      </c>
      <c r="D80" s="47">
        <v>100</v>
      </c>
      <c r="E80" s="47" t="s">
        <v>88</v>
      </c>
      <c r="F80" s="47" t="s">
        <v>321</v>
      </c>
      <c r="G80" s="47">
        <v>0</v>
      </c>
      <c r="H80" s="47" t="s">
        <v>88</v>
      </c>
      <c r="I80" s="47">
        <v>549</v>
      </c>
      <c r="J80" s="48">
        <f t="shared" ref="J80:J83" si="13">D80</f>
        <v>100</v>
      </c>
    </row>
    <row r="81" spans="1:10" ht="21" customHeight="1" x14ac:dyDescent="0.15">
      <c r="A81" s="47">
        <v>59001742</v>
      </c>
      <c r="B81" s="47">
        <v>0</v>
      </c>
      <c r="C81" s="47">
        <v>195</v>
      </c>
      <c r="D81" s="47">
        <v>100</v>
      </c>
      <c r="E81" s="47" t="s">
        <v>88</v>
      </c>
      <c r="F81" s="47" t="s">
        <v>321</v>
      </c>
      <c r="G81" s="47">
        <v>0</v>
      </c>
      <c r="H81" s="47" t="s">
        <v>88</v>
      </c>
      <c r="I81" s="47">
        <v>1298</v>
      </c>
      <c r="J81" s="48">
        <f t="shared" si="13"/>
        <v>100</v>
      </c>
    </row>
    <row r="82" spans="1:10" ht="21" customHeight="1" x14ac:dyDescent="0.15">
      <c r="A82" s="47">
        <v>59001743</v>
      </c>
      <c r="B82" s="47">
        <v>0</v>
      </c>
      <c r="C82" s="47">
        <v>194</v>
      </c>
      <c r="D82" s="47">
        <v>100</v>
      </c>
      <c r="E82" s="47" t="s">
        <v>88</v>
      </c>
      <c r="F82" s="47" t="s">
        <v>321</v>
      </c>
      <c r="G82" s="47">
        <v>0</v>
      </c>
      <c r="H82" s="47" t="s">
        <v>88</v>
      </c>
      <c r="I82" s="47">
        <v>1297</v>
      </c>
      <c r="J82" s="48">
        <f t="shared" si="13"/>
        <v>100</v>
      </c>
    </row>
    <row r="83" spans="1:10" ht="21" customHeight="1" x14ac:dyDescent="0.15">
      <c r="A83" s="47">
        <v>59001744</v>
      </c>
      <c r="B83" s="47">
        <v>0</v>
      </c>
      <c r="C83" s="47">
        <v>499</v>
      </c>
      <c r="D83" s="47">
        <v>100</v>
      </c>
      <c r="E83" s="47" t="s">
        <v>88</v>
      </c>
      <c r="F83" s="47" t="s">
        <v>321</v>
      </c>
      <c r="G83" s="47">
        <v>0</v>
      </c>
      <c r="H83" s="47" t="s">
        <v>88</v>
      </c>
      <c r="I83" s="47">
        <v>526</v>
      </c>
      <c r="J83" s="48">
        <f t="shared" si="13"/>
        <v>100</v>
      </c>
    </row>
    <row r="84" spans="1:10" ht="21" customHeight="1" x14ac:dyDescent="0.15">
      <c r="A84" s="47">
        <v>59001745</v>
      </c>
      <c r="B84" s="47">
        <v>0</v>
      </c>
      <c r="C84" s="47">
        <v>498</v>
      </c>
      <c r="D84" s="47">
        <v>100</v>
      </c>
      <c r="E84" s="47" t="s">
        <v>88</v>
      </c>
      <c r="F84" s="47" t="s">
        <v>321</v>
      </c>
      <c r="G84" s="47">
        <v>0</v>
      </c>
      <c r="H84" s="47" t="s">
        <v>88</v>
      </c>
      <c r="I84" s="47">
        <v>525</v>
      </c>
      <c r="J84" s="48">
        <f t="shared" ref="J84:J87" si="14">D84</f>
        <v>100</v>
      </c>
    </row>
    <row r="85" spans="1:10" ht="21" customHeight="1" x14ac:dyDescent="0.15">
      <c r="A85" s="47">
        <v>59001746</v>
      </c>
      <c r="B85" s="47">
        <v>0</v>
      </c>
      <c r="C85" s="47">
        <v>494</v>
      </c>
      <c r="D85" s="47">
        <v>100</v>
      </c>
      <c r="E85" s="47" t="s">
        <v>88</v>
      </c>
      <c r="F85" s="47" t="s">
        <v>321</v>
      </c>
      <c r="G85" s="47">
        <v>0</v>
      </c>
      <c r="H85" s="47" t="s">
        <v>88</v>
      </c>
      <c r="I85" s="47">
        <v>554</v>
      </c>
      <c r="J85" s="48">
        <f t="shared" si="14"/>
        <v>100</v>
      </c>
    </row>
    <row r="86" spans="1:10" ht="21" customHeight="1" x14ac:dyDescent="0.15">
      <c r="A86" s="47">
        <v>59001747</v>
      </c>
      <c r="B86" s="47">
        <v>0</v>
      </c>
      <c r="C86" s="47">
        <v>493</v>
      </c>
      <c r="D86" s="47">
        <v>100</v>
      </c>
      <c r="E86" s="47" t="s">
        <v>88</v>
      </c>
      <c r="F86" s="47" t="s">
        <v>321</v>
      </c>
      <c r="G86" s="47">
        <v>0</v>
      </c>
      <c r="H86" s="47" t="s">
        <v>88</v>
      </c>
      <c r="I86" s="47">
        <v>553</v>
      </c>
      <c r="J86" s="48">
        <f t="shared" si="14"/>
        <v>100</v>
      </c>
    </row>
    <row r="87" spans="1:10" ht="21" customHeight="1" x14ac:dyDescent="0.15">
      <c r="A87" s="47">
        <v>59001748</v>
      </c>
      <c r="B87" s="47">
        <v>0</v>
      </c>
      <c r="C87" s="47">
        <v>492</v>
      </c>
      <c r="D87" s="47">
        <v>100</v>
      </c>
      <c r="E87" s="47" t="s">
        <v>88</v>
      </c>
      <c r="F87" s="47" t="s">
        <v>321</v>
      </c>
      <c r="G87" s="47">
        <v>0</v>
      </c>
      <c r="H87" s="47" t="s">
        <v>88</v>
      </c>
      <c r="I87" s="47">
        <v>556</v>
      </c>
      <c r="J87" s="48">
        <f t="shared" si="14"/>
        <v>100</v>
      </c>
    </row>
    <row r="88" spans="1:10" ht="21" customHeight="1" x14ac:dyDescent="0.15">
      <c r="A88" s="47">
        <v>59001749</v>
      </c>
      <c r="B88" s="47">
        <v>0</v>
      </c>
      <c r="C88" s="47">
        <v>491</v>
      </c>
      <c r="D88" s="47">
        <v>100</v>
      </c>
      <c r="E88" s="47" t="s">
        <v>88</v>
      </c>
      <c r="F88" s="47" t="s">
        <v>321</v>
      </c>
      <c r="G88" s="47">
        <v>0</v>
      </c>
      <c r="H88" s="47" t="s">
        <v>88</v>
      </c>
      <c r="I88" s="47">
        <v>555</v>
      </c>
      <c r="J88" s="48">
        <f t="shared" ref="J88:J90" si="15">D88</f>
        <v>100</v>
      </c>
    </row>
    <row r="89" spans="1:10" ht="21" customHeight="1" x14ac:dyDescent="0.15">
      <c r="A89" s="47">
        <v>59001750</v>
      </c>
      <c r="B89" s="47">
        <v>0</v>
      </c>
      <c r="C89" s="47">
        <v>487</v>
      </c>
      <c r="D89" s="47">
        <v>100</v>
      </c>
      <c r="E89" s="47" t="s">
        <v>88</v>
      </c>
      <c r="F89" s="47" t="s">
        <v>321</v>
      </c>
      <c r="G89" s="47">
        <v>0</v>
      </c>
      <c r="H89" s="47" t="s">
        <v>88</v>
      </c>
      <c r="I89" s="47">
        <v>1296</v>
      </c>
      <c r="J89" s="48">
        <f t="shared" si="15"/>
        <v>100</v>
      </c>
    </row>
    <row r="90" spans="1:10" ht="21" customHeight="1" x14ac:dyDescent="0.15">
      <c r="A90" s="47">
        <v>59001751</v>
      </c>
      <c r="B90" s="47">
        <v>0</v>
      </c>
      <c r="C90" s="47">
        <v>486</v>
      </c>
      <c r="D90" s="47">
        <v>100</v>
      </c>
      <c r="E90" s="47" t="s">
        <v>88</v>
      </c>
      <c r="F90" s="47" t="s">
        <v>321</v>
      </c>
      <c r="G90" s="47">
        <v>0</v>
      </c>
      <c r="H90" s="47" t="s">
        <v>88</v>
      </c>
      <c r="I90" s="47">
        <v>1295</v>
      </c>
      <c r="J90" s="48">
        <f t="shared" si="15"/>
        <v>100</v>
      </c>
    </row>
    <row r="91" spans="1:10" ht="21" customHeight="1" x14ac:dyDescent="0.15">
      <c r="A91" s="47">
        <v>59001752</v>
      </c>
      <c r="B91" s="47">
        <v>0</v>
      </c>
      <c r="C91" s="47">
        <v>490</v>
      </c>
      <c r="D91" s="47">
        <v>100</v>
      </c>
      <c r="E91" s="47" t="s">
        <v>88</v>
      </c>
      <c r="F91" s="47" t="s">
        <v>321</v>
      </c>
      <c r="G91" s="47">
        <v>0</v>
      </c>
      <c r="H91" s="47" t="s">
        <v>88</v>
      </c>
      <c r="I91" s="47">
        <v>559</v>
      </c>
      <c r="J91" s="48">
        <f t="shared" ref="J91:J92" si="16">D91</f>
        <v>100</v>
      </c>
    </row>
    <row r="92" spans="1:10" ht="21" customHeight="1" x14ac:dyDescent="0.15">
      <c r="A92" s="47">
        <v>59001753</v>
      </c>
      <c r="B92" s="47">
        <v>0</v>
      </c>
      <c r="C92" s="47">
        <v>489</v>
      </c>
      <c r="D92" s="47">
        <v>100</v>
      </c>
      <c r="E92" s="47" t="s">
        <v>88</v>
      </c>
      <c r="F92" s="47" t="s">
        <v>321</v>
      </c>
      <c r="G92" s="47">
        <v>0</v>
      </c>
      <c r="H92" s="47" t="s">
        <v>88</v>
      </c>
      <c r="I92" s="47">
        <v>558</v>
      </c>
      <c r="J92" s="48">
        <f t="shared" si="16"/>
        <v>100</v>
      </c>
    </row>
    <row r="93" spans="1:10" ht="21" customHeight="1" x14ac:dyDescent="0.15">
      <c r="A93" s="47">
        <v>59001754</v>
      </c>
      <c r="B93" s="47">
        <v>0</v>
      </c>
      <c r="C93" s="47">
        <v>488</v>
      </c>
      <c r="D93" s="47">
        <v>100</v>
      </c>
      <c r="E93" s="47" t="s">
        <v>88</v>
      </c>
      <c r="F93" s="47" t="s">
        <v>321</v>
      </c>
      <c r="G93" s="47">
        <v>0</v>
      </c>
      <c r="H93" s="47" t="s">
        <v>88</v>
      </c>
      <c r="I93" s="47">
        <v>557</v>
      </c>
      <c r="J93" s="48">
        <f t="shared" ref="J93" si="17">D93</f>
        <v>100</v>
      </c>
    </row>
    <row r="94" spans="1:10" ht="21" customHeight="1" x14ac:dyDescent="0.15">
      <c r="A94" s="47">
        <v>59001755</v>
      </c>
      <c r="B94" s="47">
        <v>0</v>
      </c>
      <c r="C94" s="47">
        <v>388</v>
      </c>
      <c r="D94" s="47">
        <v>100</v>
      </c>
      <c r="E94" s="47" t="s">
        <v>88</v>
      </c>
      <c r="F94" s="47" t="s">
        <v>321</v>
      </c>
      <c r="G94" s="47">
        <v>0</v>
      </c>
      <c r="H94" s="47" t="s">
        <v>88</v>
      </c>
      <c r="I94" s="47">
        <v>1307</v>
      </c>
      <c r="J94" s="48">
        <f t="shared" ref="J94" si="18">D94</f>
        <v>100</v>
      </c>
    </row>
    <row r="95" spans="1:10" ht="21" customHeight="1" x14ac:dyDescent="0.15">
      <c r="A95" s="47">
        <v>59001756</v>
      </c>
      <c r="B95" s="47">
        <v>0</v>
      </c>
      <c r="C95" s="47">
        <v>387</v>
      </c>
      <c r="D95" s="47">
        <v>100</v>
      </c>
      <c r="E95" s="47" t="s">
        <v>88</v>
      </c>
      <c r="F95" s="47" t="s">
        <v>321</v>
      </c>
      <c r="G95" s="47">
        <v>0</v>
      </c>
      <c r="H95" s="47" t="s">
        <v>88</v>
      </c>
      <c r="I95" s="47">
        <v>1306</v>
      </c>
      <c r="J95" s="48">
        <f t="shared" ref="J95:J99" si="19">D95</f>
        <v>100</v>
      </c>
    </row>
    <row r="96" spans="1:10" ht="21" customHeight="1" x14ac:dyDescent="0.15">
      <c r="A96" s="47">
        <v>59001757</v>
      </c>
      <c r="B96" s="47">
        <v>0</v>
      </c>
      <c r="C96" s="47">
        <v>193</v>
      </c>
      <c r="D96" s="47">
        <v>100</v>
      </c>
      <c r="E96" s="47" t="s">
        <v>88</v>
      </c>
      <c r="F96" s="47" t="s">
        <v>321</v>
      </c>
      <c r="G96" s="47">
        <v>0</v>
      </c>
      <c r="H96" s="47" t="s">
        <v>88</v>
      </c>
      <c r="I96" s="47">
        <v>1301</v>
      </c>
      <c r="J96" s="48">
        <f t="shared" si="19"/>
        <v>100</v>
      </c>
    </row>
    <row r="97" spans="1:10" ht="21" customHeight="1" x14ac:dyDescent="0.15">
      <c r="A97" s="47">
        <v>59001758</v>
      </c>
      <c r="B97" s="47">
        <v>0</v>
      </c>
      <c r="C97" s="47">
        <v>192</v>
      </c>
      <c r="D97" s="47">
        <v>100</v>
      </c>
      <c r="E97" s="47" t="s">
        <v>88</v>
      </c>
      <c r="F97" s="47" t="s">
        <v>321</v>
      </c>
      <c r="G97" s="47">
        <v>0</v>
      </c>
      <c r="H97" s="47" t="s">
        <v>88</v>
      </c>
      <c r="I97" s="47">
        <v>1300</v>
      </c>
      <c r="J97" s="48">
        <f t="shared" si="19"/>
        <v>100</v>
      </c>
    </row>
    <row r="98" spans="1:10" ht="21" customHeight="1" x14ac:dyDescent="0.15">
      <c r="A98" s="47">
        <v>59001759</v>
      </c>
      <c r="B98" s="47">
        <v>0</v>
      </c>
      <c r="C98" s="47">
        <v>485</v>
      </c>
      <c r="D98" s="47">
        <v>100</v>
      </c>
      <c r="E98" s="47" t="s">
        <v>88</v>
      </c>
      <c r="F98" s="47" t="s">
        <v>321</v>
      </c>
      <c r="G98" s="47">
        <v>0</v>
      </c>
      <c r="H98" s="47" t="s">
        <v>88</v>
      </c>
      <c r="I98" s="47">
        <v>1305</v>
      </c>
      <c r="J98" s="48">
        <f t="shared" si="19"/>
        <v>100</v>
      </c>
    </row>
    <row r="99" spans="1:10" ht="21" customHeight="1" x14ac:dyDescent="0.15">
      <c r="A99" s="47">
        <v>59001760</v>
      </c>
      <c r="B99" s="47">
        <v>0</v>
      </c>
      <c r="C99" s="47">
        <v>484</v>
      </c>
      <c r="D99" s="47">
        <v>100</v>
      </c>
      <c r="E99" s="47" t="s">
        <v>88</v>
      </c>
      <c r="F99" s="47" t="s">
        <v>321</v>
      </c>
      <c r="G99" s="47">
        <v>0</v>
      </c>
      <c r="H99" s="47" t="s">
        <v>88</v>
      </c>
      <c r="I99" s="47">
        <v>1304</v>
      </c>
      <c r="J99" s="48">
        <f t="shared" si="19"/>
        <v>100</v>
      </c>
    </row>
    <row r="100" spans="1:10" ht="21" customHeight="1" x14ac:dyDescent="0.15">
      <c r="A100" s="47">
        <v>59001761</v>
      </c>
      <c r="B100" s="47">
        <v>0</v>
      </c>
      <c r="C100" s="47">
        <v>390</v>
      </c>
      <c r="D100" s="47">
        <v>100</v>
      </c>
      <c r="E100" s="47" t="s">
        <v>88</v>
      </c>
      <c r="F100" s="47" t="s">
        <v>321</v>
      </c>
      <c r="G100" s="47">
        <v>0</v>
      </c>
      <c r="H100" s="47" t="s">
        <v>88</v>
      </c>
      <c r="I100" s="47">
        <v>1303</v>
      </c>
      <c r="J100" s="48">
        <f t="shared" ref="J100:J153" si="20">D100</f>
        <v>100</v>
      </c>
    </row>
    <row r="101" spans="1:10" ht="21" customHeight="1" x14ac:dyDescent="0.15">
      <c r="A101" s="47">
        <v>59001762</v>
      </c>
      <c r="B101" s="47">
        <v>0</v>
      </c>
      <c r="C101" s="47">
        <v>389</v>
      </c>
      <c r="D101" s="47">
        <v>100</v>
      </c>
      <c r="E101" s="47" t="s">
        <v>88</v>
      </c>
      <c r="F101" s="47" t="s">
        <v>321</v>
      </c>
      <c r="G101" s="47">
        <v>0</v>
      </c>
      <c r="H101" s="47" t="s">
        <v>88</v>
      </c>
      <c r="I101" s="47">
        <v>1302</v>
      </c>
      <c r="J101" s="48">
        <f t="shared" si="20"/>
        <v>100</v>
      </c>
    </row>
    <row r="102" spans="1:10" ht="21" customHeight="1" x14ac:dyDescent="0.15">
      <c r="A102" s="133">
        <v>59001763</v>
      </c>
      <c r="B102" s="133">
        <v>1</v>
      </c>
      <c r="C102" s="133">
        <v>100</v>
      </c>
      <c r="D102" s="133">
        <v>100</v>
      </c>
      <c r="E102" s="133" t="s">
        <v>88</v>
      </c>
      <c r="F102" s="133" t="s">
        <v>321</v>
      </c>
      <c r="G102" s="133">
        <v>1</v>
      </c>
      <c r="H102" s="133" t="s">
        <v>88</v>
      </c>
      <c r="I102" s="133">
        <v>1317</v>
      </c>
      <c r="J102" s="48">
        <f t="shared" si="20"/>
        <v>100</v>
      </c>
    </row>
    <row r="103" spans="1:10" ht="21" customHeight="1" x14ac:dyDescent="0.15">
      <c r="A103" s="47">
        <v>59001764</v>
      </c>
      <c r="B103" s="47">
        <v>1</v>
      </c>
      <c r="C103" s="47">
        <v>150</v>
      </c>
      <c r="D103" s="47">
        <v>100</v>
      </c>
      <c r="E103" s="47" t="s">
        <v>88</v>
      </c>
      <c r="F103" s="47" t="s">
        <v>321</v>
      </c>
      <c r="G103" s="47">
        <v>1</v>
      </c>
      <c r="H103" s="47" t="s">
        <v>88</v>
      </c>
      <c r="I103" s="47">
        <v>1316</v>
      </c>
      <c r="J103" s="48">
        <f t="shared" si="20"/>
        <v>100</v>
      </c>
    </row>
    <row r="104" spans="1:10" ht="21" customHeight="1" x14ac:dyDescent="0.15">
      <c r="A104" s="133">
        <v>59001765</v>
      </c>
      <c r="B104" s="133">
        <v>1</v>
      </c>
      <c r="C104" s="133">
        <v>98</v>
      </c>
      <c r="D104" s="133">
        <v>100</v>
      </c>
      <c r="E104" s="133" t="s">
        <v>88</v>
      </c>
      <c r="F104" s="133" t="s">
        <v>321</v>
      </c>
      <c r="G104" s="133">
        <v>1</v>
      </c>
      <c r="H104" s="133" t="s">
        <v>88</v>
      </c>
      <c r="I104" s="133">
        <v>1310</v>
      </c>
      <c r="J104" s="48">
        <f t="shared" si="20"/>
        <v>100</v>
      </c>
    </row>
    <row r="105" spans="1:10" ht="21" customHeight="1" x14ac:dyDescent="0.15">
      <c r="A105" s="133">
        <v>59001766</v>
      </c>
      <c r="B105" s="133">
        <v>1</v>
      </c>
      <c r="C105" s="133">
        <v>97</v>
      </c>
      <c r="D105" s="133">
        <v>100</v>
      </c>
      <c r="E105" s="133" t="s">
        <v>88</v>
      </c>
      <c r="F105" s="133" t="s">
        <v>321</v>
      </c>
      <c r="G105" s="133">
        <v>1</v>
      </c>
      <c r="H105" s="133" t="s">
        <v>88</v>
      </c>
      <c r="I105" s="133">
        <v>1309</v>
      </c>
      <c r="J105" s="48">
        <f t="shared" si="20"/>
        <v>100</v>
      </c>
    </row>
    <row r="106" spans="1:10" ht="21" customHeight="1" x14ac:dyDescent="0.15">
      <c r="A106" s="133">
        <v>59001767</v>
      </c>
      <c r="B106" s="133">
        <v>1</v>
      </c>
      <c r="C106" s="133">
        <v>96</v>
      </c>
      <c r="D106" s="133">
        <v>100</v>
      </c>
      <c r="E106" s="133" t="s">
        <v>88</v>
      </c>
      <c r="F106" s="133" t="s">
        <v>321</v>
      </c>
      <c r="G106" s="133">
        <v>1</v>
      </c>
      <c r="H106" s="133" t="s">
        <v>88</v>
      </c>
      <c r="I106" s="133">
        <v>540</v>
      </c>
      <c r="J106" s="48">
        <f t="shared" si="20"/>
        <v>100</v>
      </c>
    </row>
    <row r="107" spans="1:10" ht="21" customHeight="1" x14ac:dyDescent="0.15">
      <c r="A107" s="47">
        <v>59001768</v>
      </c>
      <c r="B107" s="47">
        <v>1</v>
      </c>
      <c r="C107" s="47">
        <v>198</v>
      </c>
      <c r="D107" s="47">
        <v>100</v>
      </c>
      <c r="E107" s="47" t="s">
        <v>88</v>
      </c>
      <c r="F107" s="47" t="s">
        <v>321</v>
      </c>
      <c r="G107" s="47">
        <v>1</v>
      </c>
      <c r="H107" s="47" t="s">
        <v>88</v>
      </c>
      <c r="I107" s="47">
        <v>539</v>
      </c>
      <c r="J107" s="48">
        <f t="shared" si="20"/>
        <v>100</v>
      </c>
    </row>
    <row r="108" spans="1:10" ht="21" customHeight="1" x14ac:dyDescent="0.15">
      <c r="A108" s="133">
        <v>59001769</v>
      </c>
      <c r="B108" s="133">
        <v>1</v>
      </c>
      <c r="C108" s="133">
        <v>94</v>
      </c>
      <c r="D108" s="133">
        <v>100</v>
      </c>
      <c r="E108" s="133" t="s">
        <v>88</v>
      </c>
      <c r="F108" s="133" t="s">
        <v>321</v>
      </c>
      <c r="G108" s="133">
        <v>1</v>
      </c>
      <c r="H108" s="133" t="s">
        <v>88</v>
      </c>
      <c r="I108" s="133">
        <v>1308</v>
      </c>
      <c r="J108" s="48">
        <f t="shared" si="20"/>
        <v>100</v>
      </c>
    </row>
    <row r="109" spans="1:10" ht="21" customHeight="1" x14ac:dyDescent="0.15">
      <c r="A109" s="133">
        <v>59001770</v>
      </c>
      <c r="B109" s="133">
        <v>1</v>
      </c>
      <c r="C109" s="133">
        <v>93</v>
      </c>
      <c r="D109" s="133">
        <v>100</v>
      </c>
      <c r="E109" s="133" t="s">
        <v>88</v>
      </c>
      <c r="F109" s="133" t="s">
        <v>321</v>
      </c>
      <c r="G109" s="133">
        <v>1</v>
      </c>
      <c r="H109" s="133" t="s">
        <v>88</v>
      </c>
      <c r="I109" s="133">
        <v>542</v>
      </c>
      <c r="J109" s="48">
        <f t="shared" si="20"/>
        <v>100</v>
      </c>
    </row>
    <row r="110" spans="1:10" ht="21" customHeight="1" x14ac:dyDescent="0.15">
      <c r="A110" s="47">
        <v>59001771</v>
      </c>
      <c r="B110" s="47">
        <v>1</v>
      </c>
      <c r="C110" s="47">
        <v>149</v>
      </c>
      <c r="D110" s="47">
        <v>100</v>
      </c>
      <c r="E110" s="47" t="s">
        <v>88</v>
      </c>
      <c r="F110" s="47" t="s">
        <v>321</v>
      </c>
      <c r="G110" s="47">
        <v>1</v>
      </c>
      <c r="H110" s="47" t="s">
        <v>88</v>
      </c>
      <c r="I110" s="47">
        <v>541</v>
      </c>
      <c r="J110" s="48">
        <f t="shared" si="20"/>
        <v>100</v>
      </c>
    </row>
    <row r="111" spans="1:10" ht="21" customHeight="1" x14ac:dyDescent="0.15">
      <c r="A111" s="133">
        <v>59001772</v>
      </c>
      <c r="B111" s="133">
        <v>1</v>
      </c>
      <c r="C111" s="133">
        <v>91</v>
      </c>
      <c r="D111" s="133">
        <v>100</v>
      </c>
      <c r="E111" s="133" t="s">
        <v>88</v>
      </c>
      <c r="F111" s="133" t="s">
        <v>321</v>
      </c>
      <c r="G111" s="133">
        <v>1</v>
      </c>
      <c r="H111" s="133" t="s">
        <v>88</v>
      </c>
      <c r="I111" s="133">
        <v>1299</v>
      </c>
      <c r="J111" s="48">
        <f t="shared" si="20"/>
        <v>100</v>
      </c>
    </row>
    <row r="112" spans="1:10" ht="21" customHeight="1" x14ac:dyDescent="0.15">
      <c r="A112" s="133">
        <v>59001773</v>
      </c>
      <c r="B112" s="133">
        <v>1</v>
      </c>
      <c r="C112" s="133">
        <v>90</v>
      </c>
      <c r="D112" s="133">
        <v>100</v>
      </c>
      <c r="E112" s="133" t="s">
        <v>88</v>
      </c>
      <c r="F112" s="133" t="s">
        <v>321</v>
      </c>
      <c r="G112" s="133">
        <v>1</v>
      </c>
      <c r="H112" s="133" t="s">
        <v>88</v>
      </c>
      <c r="I112" s="133">
        <v>528</v>
      </c>
      <c r="J112" s="48">
        <f t="shared" si="20"/>
        <v>100</v>
      </c>
    </row>
    <row r="113" spans="1:10" ht="21" customHeight="1" x14ac:dyDescent="0.15">
      <c r="A113" s="47">
        <v>59001774</v>
      </c>
      <c r="B113" s="47">
        <v>1</v>
      </c>
      <c r="C113" s="47">
        <v>399</v>
      </c>
      <c r="D113" s="47">
        <v>100</v>
      </c>
      <c r="E113" s="47" t="s">
        <v>88</v>
      </c>
      <c r="F113" s="47" t="s">
        <v>321</v>
      </c>
      <c r="G113" s="47">
        <v>1</v>
      </c>
      <c r="H113" s="47" t="s">
        <v>88</v>
      </c>
      <c r="I113" s="47">
        <v>527</v>
      </c>
      <c r="J113" s="48">
        <f t="shared" si="20"/>
        <v>100</v>
      </c>
    </row>
    <row r="114" spans="1:10" ht="21" customHeight="1" x14ac:dyDescent="0.15">
      <c r="A114" s="133">
        <v>59001775</v>
      </c>
      <c r="B114" s="133">
        <v>1</v>
      </c>
      <c r="C114" s="133">
        <v>88</v>
      </c>
      <c r="D114" s="133">
        <v>100</v>
      </c>
      <c r="E114" s="133" t="s">
        <v>88</v>
      </c>
      <c r="F114" s="133" t="s">
        <v>321</v>
      </c>
      <c r="G114" s="133">
        <v>1</v>
      </c>
      <c r="H114" s="133" t="s">
        <v>88</v>
      </c>
      <c r="I114" s="133">
        <v>1319</v>
      </c>
      <c r="J114" s="48">
        <f t="shared" si="20"/>
        <v>100</v>
      </c>
    </row>
    <row r="115" spans="1:10" ht="21" customHeight="1" x14ac:dyDescent="0.15">
      <c r="A115" s="47">
        <v>59001776</v>
      </c>
      <c r="B115" s="47">
        <v>1</v>
      </c>
      <c r="C115" s="47">
        <v>398</v>
      </c>
      <c r="D115" s="47">
        <v>100</v>
      </c>
      <c r="E115" s="47" t="s">
        <v>88</v>
      </c>
      <c r="F115" s="47" t="s">
        <v>321</v>
      </c>
      <c r="G115" s="47">
        <v>1</v>
      </c>
      <c r="H115" s="47" t="s">
        <v>88</v>
      </c>
      <c r="I115" s="47">
        <v>1318</v>
      </c>
      <c r="J115" s="48">
        <f t="shared" si="20"/>
        <v>100</v>
      </c>
    </row>
    <row r="116" spans="1:10" ht="21" customHeight="1" x14ac:dyDescent="0.15">
      <c r="A116" s="133">
        <v>59001777</v>
      </c>
      <c r="B116" s="133">
        <v>1</v>
      </c>
      <c r="C116" s="133">
        <v>86</v>
      </c>
      <c r="D116" s="133">
        <v>100</v>
      </c>
      <c r="E116" s="133" t="s">
        <v>88</v>
      </c>
      <c r="F116" s="133" t="s">
        <v>321</v>
      </c>
      <c r="G116" s="133">
        <v>1</v>
      </c>
      <c r="H116" s="133" t="s">
        <v>88</v>
      </c>
      <c r="I116" s="133">
        <v>1311</v>
      </c>
      <c r="J116" s="48">
        <f t="shared" si="20"/>
        <v>100</v>
      </c>
    </row>
    <row r="117" spans="1:10" ht="21" customHeight="1" x14ac:dyDescent="0.15">
      <c r="A117" s="133">
        <v>59001778</v>
      </c>
      <c r="B117" s="133">
        <v>1</v>
      </c>
      <c r="C117" s="133">
        <v>85</v>
      </c>
      <c r="D117" s="133">
        <v>100</v>
      </c>
      <c r="E117" s="133" t="s">
        <v>88</v>
      </c>
      <c r="F117" s="133" t="s">
        <v>321</v>
      </c>
      <c r="G117" s="133">
        <v>1</v>
      </c>
      <c r="H117" s="133" t="s">
        <v>88</v>
      </c>
      <c r="I117" s="133">
        <v>544</v>
      </c>
      <c r="J117" s="48">
        <f t="shared" si="20"/>
        <v>100</v>
      </c>
    </row>
    <row r="118" spans="1:10" ht="21" customHeight="1" x14ac:dyDescent="0.15">
      <c r="A118" s="47">
        <v>59001779</v>
      </c>
      <c r="B118" s="47">
        <v>1</v>
      </c>
      <c r="C118" s="47">
        <v>397</v>
      </c>
      <c r="D118" s="47">
        <v>100</v>
      </c>
      <c r="E118" s="47" t="s">
        <v>88</v>
      </c>
      <c r="F118" s="47" t="s">
        <v>321</v>
      </c>
      <c r="G118" s="47">
        <v>1</v>
      </c>
      <c r="H118" s="47" t="s">
        <v>88</v>
      </c>
      <c r="I118" s="47">
        <v>543</v>
      </c>
      <c r="J118" s="48">
        <f t="shared" si="20"/>
        <v>100</v>
      </c>
    </row>
    <row r="119" spans="1:10" ht="21" customHeight="1" x14ac:dyDescent="0.15">
      <c r="A119" s="133">
        <v>59001780</v>
      </c>
      <c r="B119" s="133">
        <v>1</v>
      </c>
      <c r="C119" s="133">
        <v>83</v>
      </c>
      <c r="D119" s="133">
        <v>100</v>
      </c>
      <c r="E119" s="133" t="s">
        <v>88</v>
      </c>
      <c r="F119" s="133" t="s">
        <v>321</v>
      </c>
      <c r="G119" s="133">
        <v>1</v>
      </c>
      <c r="H119" s="133" t="s">
        <v>88</v>
      </c>
      <c r="I119" s="133">
        <v>1321</v>
      </c>
      <c r="J119" s="48">
        <f t="shared" si="20"/>
        <v>100</v>
      </c>
    </row>
    <row r="120" spans="1:10" ht="21" customHeight="1" x14ac:dyDescent="0.15">
      <c r="A120" s="47">
        <v>59001781</v>
      </c>
      <c r="B120" s="47">
        <v>1</v>
      </c>
      <c r="C120" s="47">
        <v>396</v>
      </c>
      <c r="D120" s="47">
        <v>100</v>
      </c>
      <c r="E120" s="47" t="s">
        <v>88</v>
      </c>
      <c r="F120" s="47" t="s">
        <v>321</v>
      </c>
      <c r="G120" s="47">
        <v>1</v>
      </c>
      <c r="H120" s="47" t="s">
        <v>88</v>
      </c>
      <c r="I120" s="47">
        <v>1320</v>
      </c>
      <c r="J120" s="48">
        <f t="shared" si="20"/>
        <v>100</v>
      </c>
    </row>
    <row r="121" spans="1:10" ht="21" customHeight="1" x14ac:dyDescent="0.15">
      <c r="A121" s="133">
        <v>59001782</v>
      </c>
      <c r="B121" s="133">
        <v>1</v>
      </c>
      <c r="C121" s="133">
        <v>81</v>
      </c>
      <c r="D121" s="133">
        <v>100</v>
      </c>
      <c r="E121" s="133" t="s">
        <v>88</v>
      </c>
      <c r="F121" s="133" t="s">
        <v>321</v>
      </c>
      <c r="G121" s="133">
        <v>1</v>
      </c>
      <c r="H121" s="133" t="s">
        <v>88</v>
      </c>
      <c r="I121" s="133">
        <v>1312</v>
      </c>
      <c r="J121" s="48">
        <f t="shared" si="20"/>
        <v>100</v>
      </c>
    </row>
    <row r="122" spans="1:10" ht="21" customHeight="1" x14ac:dyDescent="0.15">
      <c r="A122" s="133">
        <v>59001783</v>
      </c>
      <c r="B122" s="133">
        <v>1</v>
      </c>
      <c r="C122" s="133">
        <v>80</v>
      </c>
      <c r="D122" s="133">
        <v>100</v>
      </c>
      <c r="E122" s="133" t="s">
        <v>88</v>
      </c>
      <c r="F122" s="133" t="s">
        <v>321</v>
      </c>
      <c r="G122" s="133">
        <v>1</v>
      </c>
      <c r="H122" s="133" t="s">
        <v>88</v>
      </c>
      <c r="I122" s="133">
        <v>546</v>
      </c>
      <c r="J122" s="48">
        <f t="shared" si="20"/>
        <v>100</v>
      </c>
    </row>
    <row r="123" spans="1:10" ht="21" customHeight="1" x14ac:dyDescent="0.15">
      <c r="A123" s="47">
        <v>59001784</v>
      </c>
      <c r="B123" s="47">
        <v>1</v>
      </c>
      <c r="C123" s="47">
        <v>395</v>
      </c>
      <c r="D123" s="47">
        <v>100</v>
      </c>
      <c r="E123" s="47" t="s">
        <v>88</v>
      </c>
      <c r="F123" s="47" t="s">
        <v>321</v>
      </c>
      <c r="G123" s="47">
        <v>1</v>
      </c>
      <c r="H123" s="47" t="s">
        <v>88</v>
      </c>
      <c r="I123" s="47">
        <v>545</v>
      </c>
      <c r="J123" s="48">
        <f t="shared" si="20"/>
        <v>100</v>
      </c>
    </row>
    <row r="124" spans="1:10" ht="21" customHeight="1" x14ac:dyDescent="0.15">
      <c r="A124" s="133">
        <v>59001785</v>
      </c>
      <c r="B124" s="133">
        <v>1</v>
      </c>
      <c r="C124" s="133">
        <v>78</v>
      </c>
      <c r="D124" s="133">
        <v>100</v>
      </c>
      <c r="E124" s="133" t="s">
        <v>88</v>
      </c>
      <c r="F124" s="133" t="s">
        <v>321</v>
      </c>
      <c r="G124" s="133">
        <v>1</v>
      </c>
      <c r="H124" s="133" t="s">
        <v>88</v>
      </c>
      <c r="I124" s="133">
        <v>1323</v>
      </c>
      <c r="J124" s="48">
        <f t="shared" si="20"/>
        <v>100</v>
      </c>
    </row>
    <row r="125" spans="1:10" ht="21" customHeight="1" x14ac:dyDescent="0.15">
      <c r="A125" s="47">
        <v>59001786</v>
      </c>
      <c r="B125" s="47">
        <v>1</v>
      </c>
      <c r="C125" s="47">
        <v>148</v>
      </c>
      <c r="D125" s="47">
        <v>100</v>
      </c>
      <c r="E125" s="47" t="s">
        <v>88</v>
      </c>
      <c r="F125" s="47" t="s">
        <v>321</v>
      </c>
      <c r="G125" s="47">
        <v>1</v>
      </c>
      <c r="H125" s="47" t="s">
        <v>88</v>
      </c>
      <c r="I125" s="47">
        <v>1322</v>
      </c>
      <c r="J125" s="48">
        <f t="shared" si="20"/>
        <v>100</v>
      </c>
    </row>
    <row r="126" spans="1:10" ht="21" customHeight="1" x14ac:dyDescent="0.15">
      <c r="A126" s="133">
        <v>59001787</v>
      </c>
      <c r="B126" s="133">
        <v>1</v>
      </c>
      <c r="C126" s="133">
        <v>76</v>
      </c>
      <c r="D126" s="133">
        <v>100</v>
      </c>
      <c r="E126" s="133" t="s">
        <v>88</v>
      </c>
      <c r="F126" s="133" t="s">
        <v>321</v>
      </c>
      <c r="G126" s="133">
        <v>1</v>
      </c>
      <c r="H126" s="133" t="s">
        <v>88</v>
      </c>
      <c r="I126" s="133">
        <v>1313</v>
      </c>
      <c r="J126" s="48">
        <f t="shared" si="20"/>
        <v>100</v>
      </c>
    </row>
    <row r="127" spans="1:10" ht="21" customHeight="1" x14ac:dyDescent="0.15">
      <c r="A127" s="133">
        <v>59001788</v>
      </c>
      <c r="B127" s="133">
        <v>1</v>
      </c>
      <c r="C127" s="133">
        <v>75</v>
      </c>
      <c r="D127" s="133">
        <v>100</v>
      </c>
      <c r="E127" s="133" t="s">
        <v>88</v>
      </c>
      <c r="F127" s="133" t="s">
        <v>321</v>
      </c>
      <c r="G127" s="133">
        <v>1</v>
      </c>
      <c r="H127" s="133" t="s">
        <v>88</v>
      </c>
      <c r="I127" s="133">
        <v>548</v>
      </c>
      <c r="J127" s="48">
        <f t="shared" si="20"/>
        <v>100</v>
      </c>
    </row>
    <row r="128" spans="1:10" ht="21" customHeight="1" x14ac:dyDescent="0.15">
      <c r="A128" s="47">
        <v>59001789</v>
      </c>
      <c r="B128" s="47">
        <v>1</v>
      </c>
      <c r="C128" s="47">
        <v>298</v>
      </c>
      <c r="D128" s="47">
        <v>100</v>
      </c>
      <c r="E128" s="47" t="s">
        <v>88</v>
      </c>
      <c r="F128" s="47" t="s">
        <v>321</v>
      </c>
      <c r="G128" s="47">
        <v>1</v>
      </c>
      <c r="H128" s="47" t="s">
        <v>88</v>
      </c>
      <c r="I128" s="47">
        <v>547</v>
      </c>
      <c r="J128" s="48">
        <f t="shared" si="20"/>
        <v>100</v>
      </c>
    </row>
    <row r="129" spans="1:10" ht="21" customHeight="1" x14ac:dyDescent="0.15">
      <c r="A129" s="133">
        <v>59001790</v>
      </c>
      <c r="B129" s="133">
        <v>1</v>
      </c>
      <c r="C129" s="133">
        <v>73</v>
      </c>
      <c r="D129" s="133">
        <v>100</v>
      </c>
      <c r="E129" s="133" t="s">
        <v>88</v>
      </c>
      <c r="F129" s="133" t="s">
        <v>321</v>
      </c>
      <c r="G129" s="133">
        <v>1</v>
      </c>
      <c r="H129" s="133" t="s">
        <v>88</v>
      </c>
      <c r="I129" s="133">
        <v>1315</v>
      </c>
      <c r="J129" s="48">
        <f t="shared" si="20"/>
        <v>100</v>
      </c>
    </row>
    <row r="130" spans="1:10" ht="21" customHeight="1" x14ac:dyDescent="0.15">
      <c r="A130" s="133">
        <v>59001791</v>
      </c>
      <c r="B130" s="133">
        <v>1</v>
      </c>
      <c r="C130" s="133">
        <v>72</v>
      </c>
      <c r="D130" s="133">
        <v>100</v>
      </c>
      <c r="E130" s="133" t="s">
        <v>88</v>
      </c>
      <c r="F130" s="133" t="s">
        <v>321</v>
      </c>
      <c r="G130" s="133">
        <v>1</v>
      </c>
      <c r="H130" s="133" t="s">
        <v>88</v>
      </c>
      <c r="I130" s="133">
        <v>552</v>
      </c>
      <c r="J130" s="48">
        <f t="shared" si="20"/>
        <v>100</v>
      </c>
    </row>
    <row r="131" spans="1:10" ht="21" customHeight="1" x14ac:dyDescent="0.15">
      <c r="A131" s="47">
        <v>59001792</v>
      </c>
      <c r="B131" s="47">
        <v>1</v>
      </c>
      <c r="C131" s="47">
        <v>499</v>
      </c>
      <c r="D131" s="47">
        <v>100</v>
      </c>
      <c r="E131" s="47" t="s">
        <v>88</v>
      </c>
      <c r="F131" s="47" t="s">
        <v>321</v>
      </c>
      <c r="G131" s="47">
        <v>1</v>
      </c>
      <c r="H131" s="47" t="s">
        <v>88</v>
      </c>
      <c r="I131" s="47">
        <v>551</v>
      </c>
      <c r="J131" s="48">
        <f t="shared" si="20"/>
        <v>100</v>
      </c>
    </row>
    <row r="132" spans="1:10" ht="21" customHeight="1" x14ac:dyDescent="0.15">
      <c r="A132" s="133">
        <v>59001793</v>
      </c>
      <c r="B132" s="133">
        <v>1</v>
      </c>
      <c r="C132" s="133">
        <v>70</v>
      </c>
      <c r="D132" s="133">
        <v>100</v>
      </c>
      <c r="E132" s="133" t="s">
        <v>88</v>
      </c>
      <c r="F132" s="133" t="s">
        <v>321</v>
      </c>
      <c r="G132" s="133">
        <v>1</v>
      </c>
      <c r="H132" s="133" t="s">
        <v>88</v>
      </c>
      <c r="I132" s="133">
        <v>1314</v>
      </c>
      <c r="J132" s="48">
        <f t="shared" si="20"/>
        <v>100</v>
      </c>
    </row>
    <row r="133" spans="1:10" ht="21" customHeight="1" x14ac:dyDescent="0.15">
      <c r="A133" s="133">
        <v>59001794</v>
      </c>
      <c r="B133" s="133">
        <v>1</v>
      </c>
      <c r="C133" s="133">
        <v>69</v>
      </c>
      <c r="D133" s="133">
        <v>100</v>
      </c>
      <c r="E133" s="133" t="s">
        <v>88</v>
      </c>
      <c r="F133" s="133" t="s">
        <v>321</v>
      </c>
      <c r="G133" s="133">
        <v>1</v>
      </c>
      <c r="H133" s="133" t="s">
        <v>88</v>
      </c>
      <c r="I133" s="133">
        <v>550</v>
      </c>
      <c r="J133" s="48">
        <f t="shared" si="20"/>
        <v>100</v>
      </c>
    </row>
    <row r="134" spans="1:10" ht="21" customHeight="1" x14ac:dyDescent="0.15">
      <c r="A134" s="47">
        <v>59001795</v>
      </c>
      <c r="B134" s="47">
        <v>1</v>
      </c>
      <c r="C134" s="47">
        <v>297</v>
      </c>
      <c r="D134" s="47">
        <v>100</v>
      </c>
      <c r="E134" s="47" t="s">
        <v>88</v>
      </c>
      <c r="F134" s="47" t="s">
        <v>321</v>
      </c>
      <c r="G134" s="47">
        <v>1</v>
      </c>
      <c r="H134" s="47" t="s">
        <v>88</v>
      </c>
      <c r="I134" s="47">
        <v>549</v>
      </c>
      <c r="J134" s="48">
        <f t="shared" si="20"/>
        <v>100</v>
      </c>
    </row>
    <row r="135" spans="1:10" ht="21" customHeight="1" x14ac:dyDescent="0.15">
      <c r="A135" s="133">
        <v>59001796</v>
      </c>
      <c r="B135" s="133">
        <v>1</v>
      </c>
      <c r="C135" s="133">
        <v>67</v>
      </c>
      <c r="D135" s="133">
        <v>100</v>
      </c>
      <c r="E135" s="133" t="s">
        <v>88</v>
      </c>
      <c r="F135" s="133" t="s">
        <v>321</v>
      </c>
      <c r="G135" s="133">
        <v>1</v>
      </c>
      <c r="H135" s="133" t="s">
        <v>88</v>
      </c>
      <c r="I135" s="133">
        <v>1298</v>
      </c>
      <c r="J135" s="48">
        <f t="shared" si="20"/>
        <v>100</v>
      </c>
    </row>
    <row r="136" spans="1:10" ht="21" customHeight="1" x14ac:dyDescent="0.15">
      <c r="A136" s="47">
        <v>59001797</v>
      </c>
      <c r="B136" s="47">
        <v>1</v>
      </c>
      <c r="C136" s="47">
        <v>196</v>
      </c>
      <c r="D136" s="47">
        <v>100</v>
      </c>
      <c r="E136" s="47" t="s">
        <v>88</v>
      </c>
      <c r="F136" s="47" t="s">
        <v>321</v>
      </c>
      <c r="G136" s="47">
        <v>1</v>
      </c>
      <c r="H136" s="47" t="s">
        <v>88</v>
      </c>
      <c r="I136" s="47">
        <v>1297</v>
      </c>
      <c r="J136" s="48">
        <f t="shared" si="20"/>
        <v>100</v>
      </c>
    </row>
    <row r="137" spans="1:10" ht="21" customHeight="1" x14ac:dyDescent="0.15">
      <c r="A137" s="47">
        <v>59001798</v>
      </c>
      <c r="B137" s="47">
        <v>1</v>
      </c>
      <c r="C137" s="47">
        <v>498</v>
      </c>
      <c r="D137" s="47">
        <v>100</v>
      </c>
      <c r="E137" s="47" t="s">
        <v>88</v>
      </c>
      <c r="F137" s="47" t="s">
        <v>321</v>
      </c>
      <c r="G137" s="47">
        <v>1</v>
      </c>
      <c r="H137" s="47" t="s">
        <v>88</v>
      </c>
      <c r="I137" s="47">
        <v>526</v>
      </c>
      <c r="J137" s="48">
        <f t="shared" si="20"/>
        <v>100</v>
      </c>
    </row>
    <row r="138" spans="1:10" ht="21" customHeight="1" x14ac:dyDescent="0.15">
      <c r="A138" s="47">
        <v>59001799</v>
      </c>
      <c r="B138" s="47">
        <v>1</v>
      </c>
      <c r="C138" s="47">
        <v>497</v>
      </c>
      <c r="D138" s="47">
        <v>100</v>
      </c>
      <c r="E138" s="47" t="s">
        <v>88</v>
      </c>
      <c r="F138" s="47" t="s">
        <v>321</v>
      </c>
      <c r="G138" s="47">
        <v>1</v>
      </c>
      <c r="H138" s="47" t="s">
        <v>88</v>
      </c>
      <c r="I138" s="47">
        <v>525</v>
      </c>
      <c r="J138" s="48">
        <f t="shared" si="20"/>
        <v>100</v>
      </c>
    </row>
    <row r="139" spans="1:10" ht="21" customHeight="1" x14ac:dyDescent="0.15">
      <c r="A139" s="133">
        <v>59001850</v>
      </c>
      <c r="B139" s="133">
        <v>1</v>
      </c>
      <c r="C139" s="133">
        <v>63</v>
      </c>
      <c r="D139" s="133">
        <v>100</v>
      </c>
      <c r="E139" s="133" t="s">
        <v>88</v>
      </c>
      <c r="F139" s="133" t="s">
        <v>321</v>
      </c>
      <c r="G139" s="133">
        <v>1</v>
      </c>
      <c r="H139" s="133" t="s">
        <v>88</v>
      </c>
      <c r="I139" s="133">
        <v>554</v>
      </c>
      <c r="J139" s="48">
        <f t="shared" si="20"/>
        <v>100</v>
      </c>
    </row>
    <row r="140" spans="1:10" ht="21" customHeight="1" x14ac:dyDescent="0.15">
      <c r="A140" s="47">
        <v>59001851</v>
      </c>
      <c r="B140" s="47">
        <v>1</v>
      </c>
      <c r="C140" s="47">
        <v>496</v>
      </c>
      <c r="D140" s="47">
        <v>100</v>
      </c>
      <c r="E140" s="47" t="s">
        <v>88</v>
      </c>
      <c r="F140" s="47" t="s">
        <v>321</v>
      </c>
      <c r="G140" s="47">
        <v>1</v>
      </c>
      <c r="H140" s="47" t="s">
        <v>88</v>
      </c>
      <c r="I140" s="47">
        <v>553</v>
      </c>
      <c r="J140" s="48">
        <f t="shared" si="20"/>
        <v>100</v>
      </c>
    </row>
    <row r="141" spans="1:10" ht="21" customHeight="1" x14ac:dyDescent="0.15">
      <c r="A141" s="133">
        <v>59001852</v>
      </c>
      <c r="B141" s="133">
        <v>1</v>
      </c>
      <c r="C141" s="133">
        <v>61</v>
      </c>
      <c r="D141" s="133">
        <v>100</v>
      </c>
      <c r="E141" s="133" t="s">
        <v>88</v>
      </c>
      <c r="F141" s="133" t="s">
        <v>321</v>
      </c>
      <c r="G141" s="133">
        <v>1</v>
      </c>
      <c r="H141" s="133" t="s">
        <v>88</v>
      </c>
      <c r="I141" s="133">
        <v>556</v>
      </c>
      <c r="J141" s="48">
        <f t="shared" si="20"/>
        <v>100</v>
      </c>
    </row>
    <row r="142" spans="1:10" ht="21" customHeight="1" x14ac:dyDescent="0.15">
      <c r="A142" s="47">
        <v>59001853</v>
      </c>
      <c r="B142" s="47">
        <v>1</v>
      </c>
      <c r="C142" s="47">
        <v>495</v>
      </c>
      <c r="D142" s="47">
        <v>100</v>
      </c>
      <c r="E142" s="47" t="s">
        <v>88</v>
      </c>
      <c r="F142" s="47" t="s">
        <v>321</v>
      </c>
      <c r="G142" s="47">
        <v>1</v>
      </c>
      <c r="H142" s="47" t="s">
        <v>88</v>
      </c>
      <c r="I142" s="47">
        <v>555</v>
      </c>
      <c r="J142" s="48">
        <f t="shared" si="20"/>
        <v>100</v>
      </c>
    </row>
    <row r="143" spans="1:10" ht="21" customHeight="1" x14ac:dyDescent="0.15">
      <c r="A143" s="133">
        <v>59001854</v>
      </c>
      <c r="B143" s="133">
        <v>1</v>
      </c>
      <c r="C143" s="133">
        <v>59</v>
      </c>
      <c r="D143" s="133">
        <v>100</v>
      </c>
      <c r="E143" s="133" t="s">
        <v>88</v>
      </c>
      <c r="F143" s="133" t="s">
        <v>321</v>
      </c>
      <c r="G143" s="133">
        <v>1</v>
      </c>
      <c r="H143" s="133" t="s">
        <v>88</v>
      </c>
      <c r="I143" s="133">
        <v>1296</v>
      </c>
      <c r="J143" s="48">
        <f t="shared" si="20"/>
        <v>100</v>
      </c>
    </row>
    <row r="144" spans="1:10" ht="21" customHeight="1" x14ac:dyDescent="0.15">
      <c r="A144" s="47">
        <v>59001855</v>
      </c>
      <c r="B144" s="47">
        <v>1</v>
      </c>
      <c r="C144" s="47">
        <v>494</v>
      </c>
      <c r="D144" s="47">
        <v>100</v>
      </c>
      <c r="E144" s="47" t="s">
        <v>88</v>
      </c>
      <c r="F144" s="47" t="s">
        <v>321</v>
      </c>
      <c r="G144" s="47">
        <v>1</v>
      </c>
      <c r="H144" s="47" t="s">
        <v>88</v>
      </c>
      <c r="I144" s="47">
        <v>1295</v>
      </c>
      <c r="J144" s="48">
        <f t="shared" si="20"/>
        <v>100</v>
      </c>
    </row>
    <row r="145" spans="1:10" ht="21" customHeight="1" x14ac:dyDescent="0.15">
      <c r="A145" s="133">
        <v>59001856</v>
      </c>
      <c r="B145" s="133">
        <v>1</v>
      </c>
      <c r="C145" s="133">
        <v>57</v>
      </c>
      <c r="D145" s="133">
        <v>100</v>
      </c>
      <c r="E145" s="133" t="s">
        <v>88</v>
      </c>
      <c r="F145" s="133" t="s">
        <v>321</v>
      </c>
      <c r="G145" s="133">
        <v>1</v>
      </c>
      <c r="H145" s="133" t="s">
        <v>88</v>
      </c>
      <c r="I145" s="133">
        <v>559</v>
      </c>
      <c r="J145" s="48">
        <f t="shared" si="20"/>
        <v>100</v>
      </c>
    </row>
    <row r="146" spans="1:10" ht="21" customHeight="1" x14ac:dyDescent="0.15">
      <c r="A146" s="133">
        <v>59001857</v>
      </c>
      <c r="B146" s="133">
        <v>1</v>
      </c>
      <c r="C146" s="133">
        <v>56</v>
      </c>
      <c r="D146" s="133">
        <v>100</v>
      </c>
      <c r="E146" s="133" t="s">
        <v>88</v>
      </c>
      <c r="F146" s="133" t="s">
        <v>321</v>
      </c>
      <c r="G146" s="133">
        <v>1</v>
      </c>
      <c r="H146" s="133" t="s">
        <v>88</v>
      </c>
      <c r="I146" s="133">
        <v>558</v>
      </c>
      <c r="J146" s="48">
        <f t="shared" si="20"/>
        <v>100</v>
      </c>
    </row>
    <row r="147" spans="1:10" ht="21" customHeight="1" x14ac:dyDescent="0.15">
      <c r="A147" s="47">
        <v>59001858</v>
      </c>
      <c r="B147" s="47">
        <v>1</v>
      </c>
      <c r="C147" s="47">
        <v>493</v>
      </c>
      <c r="D147" s="47">
        <v>100</v>
      </c>
      <c r="E147" s="47" t="s">
        <v>88</v>
      </c>
      <c r="F147" s="47" t="s">
        <v>321</v>
      </c>
      <c r="G147" s="47">
        <v>1</v>
      </c>
      <c r="H147" s="47" t="s">
        <v>88</v>
      </c>
      <c r="I147" s="47">
        <v>557</v>
      </c>
      <c r="J147" s="48">
        <f t="shared" si="20"/>
        <v>100</v>
      </c>
    </row>
    <row r="148" spans="1:10" ht="21" customHeight="1" x14ac:dyDescent="0.15">
      <c r="A148" s="133">
        <v>59001859</v>
      </c>
      <c r="B148" s="133">
        <v>1</v>
      </c>
      <c r="C148" s="133">
        <v>54</v>
      </c>
      <c r="D148" s="133">
        <v>100</v>
      </c>
      <c r="E148" s="133" t="s">
        <v>88</v>
      </c>
      <c r="F148" s="133" t="s">
        <v>321</v>
      </c>
      <c r="G148" s="133">
        <v>1</v>
      </c>
      <c r="H148" s="133" t="s">
        <v>88</v>
      </c>
      <c r="I148" s="133">
        <v>1307</v>
      </c>
      <c r="J148" s="48">
        <f t="shared" si="20"/>
        <v>100</v>
      </c>
    </row>
    <row r="149" spans="1:10" ht="21" customHeight="1" x14ac:dyDescent="0.15">
      <c r="A149" s="47">
        <v>59001860</v>
      </c>
      <c r="B149" s="47">
        <v>1</v>
      </c>
      <c r="C149" s="47">
        <v>394</v>
      </c>
      <c r="D149" s="47">
        <v>100</v>
      </c>
      <c r="E149" s="47" t="s">
        <v>88</v>
      </c>
      <c r="F149" s="47" t="s">
        <v>321</v>
      </c>
      <c r="G149" s="47">
        <v>1</v>
      </c>
      <c r="H149" s="47" t="s">
        <v>88</v>
      </c>
      <c r="I149" s="47">
        <v>1306</v>
      </c>
      <c r="J149" s="48">
        <f t="shared" si="20"/>
        <v>100</v>
      </c>
    </row>
    <row r="150" spans="1:10" ht="21" customHeight="1" x14ac:dyDescent="0.15">
      <c r="A150" s="133">
        <v>59001861</v>
      </c>
      <c r="B150" s="133">
        <v>1</v>
      </c>
      <c r="C150" s="133">
        <v>52</v>
      </c>
      <c r="D150" s="133">
        <v>100</v>
      </c>
      <c r="E150" s="133" t="s">
        <v>88</v>
      </c>
      <c r="F150" s="133" t="s">
        <v>321</v>
      </c>
      <c r="G150" s="133">
        <v>1</v>
      </c>
      <c r="H150" s="133" t="s">
        <v>88</v>
      </c>
      <c r="I150" s="133">
        <v>1301</v>
      </c>
      <c r="J150" s="48">
        <f t="shared" si="20"/>
        <v>100</v>
      </c>
    </row>
    <row r="151" spans="1:10" ht="21" customHeight="1" x14ac:dyDescent="0.15">
      <c r="A151" s="47">
        <v>59001862</v>
      </c>
      <c r="B151" s="47">
        <v>1</v>
      </c>
      <c r="C151" s="47">
        <v>195</v>
      </c>
      <c r="D151" s="47">
        <v>100</v>
      </c>
      <c r="E151" s="47" t="s">
        <v>88</v>
      </c>
      <c r="F151" s="47" t="s">
        <v>321</v>
      </c>
      <c r="G151" s="47">
        <v>1</v>
      </c>
      <c r="H151" s="47" t="s">
        <v>88</v>
      </c>
      <c r="I151" s="47">
        <v>1300</v>
      </c>
      <c r="J151" s="48">
        <f t="shared" si="20"/>
        <v>100</v>
      </c>
    </row>
    <row r="152" spans="1:10" ht="21" customHeight="1" x14ac:dyDescent="0.15">
      <c r="A152" s="133">
        <v>59001863</v>
      </c>
      <c r="B152" s="133">
        <v>1</v>
      </c>
      <c r="C152" s="133">
        <v>50</v>
      </c>
      <c r="D152" s="133">
        <v>100</v>
      </c>
      <c r="E152" s="133" t="s">
        <v>88</v>
      </c>
      <c r="F152" s="133" t="s">
        <v>321</v>
      </c>
      <c r="G152" s="133">
        <v>1</v>
      </c>
      <c r="H152" s="133" t="s">
        <v>88</v>
      </c>
      <c r="I152" s="133">
        <v>1305</v>
      </c>
      <c r="J152" s="48">
        <f t="shared" si="20"/>
        <v>100</v>
      </c>
    </row>
    <row r="153" spans="1:10" ht="21" customHeight="1" x14ac:dyDescent="0.15">
      <c r="A153" s="47">
        <v>59001864</v>
      </c>
      <c r="B153" s="47">
        <v>1</v>
      </c>
      <c r="C153" s="47">
        <v>492</v>
      </c>
      <c r="D153" s="47">
        <v>100</v>
      </c>
      <c r="E153" s="47" t="s">
        <v>88</v>
      </c>
      <c r="F153" s="47" t="s">
        <v>321</v>
      </c>
      <c r="G153" s="47">
        <v>1</v>
      </c>
      <c r="H153" s="47" t="s">
        <v>88</v>
      </c>
      <c r="I153" s="47">
        <v>1304</v>
      </c>
      <c r="J153" s="48">
        <f t="shared" si="20"/>
        <v>100</v>
      </c>
    </row>
    <row r="154" spans="1:10" ht="21" customHeight="1" x14ac:dyDescent="0.15">
      <c r="A154" s="133">
        <v>59001865</v>
      </c>
      <c r="B154" s="133">
        <v>1</v>
      </c>
      <c r="C154" s="133">
        <v>48</v>
      </c>
      <c r="D154" s="133">
        <v>100</v>
      </c>
      <c r="E154" s="133" t="s">
        <v>88</v>
      </c>
      <c r="F154" s="133" t="s">
        <v>321</v>
      </c>
      <c r="G154" s="133">
        <v>1</v>
      </c>
      <c r="H154" s="133" t="s">
        <v>88</v>
      </c>
      <c r="I154" s="133">
        <v>1303</v>
      </c>
      <c r="J154" s="48">
        <f t="shared" ref="J154:J155" si="21">D154</f>
        <v>100</v>
      </c>
    </row>
    <row r="155" spans="1:10" ht="21" customHeight="1" x14ac:dyDescent="0.15">
      <c r="A155" s="47">
        <v>59001866</v>
      </c>
      <c r="B155" s="47">
        <v>1</v>
      </c>
      <c r="C155" s="47">
        <v>393</v>
      </c>
      <c r="D155" s="47">
        <v>100</v>
      </c>
      <c r="E155" s="47" t="s">
        <v>88</v>
      </c>
      <c r="F155" s="47" t="s">
        <v>321</v>
      </c>
      <c r="G155" s="47">
        <v>1</v>
      </c>
      <c r="H155" s="47" t="s">
        <v>88</v>
      </c>
      <c r="I155" s="47">
        <v>1302</v>
      </c>
      <c r="J155" s="48">
        <f t="shared" si="21"/>
        <v>100</v>
      </c>
    </row>
  </sheetData>
  <autoFilter ref="A1:G1"/>
  <phoneticPr fontId="5"/>
  <conditionalFormatting sqref="K156:K1048576 K40:K49 K1:K7 K9:K31 K33:K36">
    <cfRule type="duplicateValues" dxfId="94" priority="96"/>
  </conditionalFormatting>
  <conditionalFormatting sqref="K39">
    <cfRule type="duplicateValues" dxfId="93" priority="95"/>
  </conditionalFormatting>
  <conditionalFormatting sqref="K38">
    <cfRule type="duplicateValues" dxfId="92" priority="94"/>
  </conditionalFormatting>
  <conditionalFormatting sqref="K37">
    <cfRule type="duplicateValues" dxfId="91" priority="93"/>
  </conditionalFormatting>
  <conditionalFormatting sqref="K8">
    <cfRule type="duplicateValues" dxfId="90" priority="92"/>
  </conditionalFormatting>
  <conditionalFormatting sqref="K32">
    <cfRule type="duplicateValues" dxfId="89" priority="91"/>
  </conditionalFormatting>
  <conditionalFormatting sqref="K50:K51">
    <cfRule type="duplicateValues" dxfId="88" priority="90"/>
  </conditionalFormatting>
  <conditionalFormatting sqref="K52 K54">
    <cfRule type="duplicateValues" dxfId="87" priority="89"/>
  </conditionalFormatting>
  <conditionalFormatting sqref="K55:K56">
    <cfRule type="duplicateValues" dxfId="86" priority="88"/>
  </conditionalFormatting>
  <conditionalFormatting sqref="K57:K58">
    <cfRule type="duplicateValues" dxfId="85" priority="87"/>
  </conditionalFormatting>
  <conditionalFormatting sqref="K53">
    <cfRule type="duplicateValues" dxfId="84" priority="86"/>
  </conditionalFormatting>
  <conditionalFormatting sqref="K59:K60">
    <cfRule type="duplicateValues" dxfId="83" priority="85"/>
  </conditionalFormatting>
  <conditionalFormatting sqref="K61 K63">
    <cfRule type="duplicateValues" dxfId="82" priority="84"/>
  </conditionalFormatting>
  <conditionalFormatting sqref="K64">
    <cfRule type="duplicateValues" dxfId="81" priority="83"/>
  </conditionalFormatting>
  <conditionalFormatting sqref="K62">
    <cfRule type="duplicateValues" dxfId="80" priority="82"/>
  </conditionalFormatting>
  <conditionalFormatting sqref="K65">
    <cfRule type="duplicateValues" dxfId="79" priority="81"/>
  </conditionalFormatting>
  <conditionalFormatting sqref="K66 K68">
    <cfRule type="duplicateValues" dxfId="78" priority="80"/>
  </conditionalFormatting>
  <conditionalFormatting sqref="K69">
    <cfRule type="duplicateValues" dxfId="77" priority="79"/>
  </conditionalFormatting>
  <conditionalFormatting sqref="K67">
    <cfRule type="duplicateValues" dxfId="76" priority="78"/>
  </conditionalFormatting>
  <conditionalFormatting sqref="K70">
    <cfRule type="duplicateValues" dxfId="75" priority="77"/>
  </conditionalFormatting>
  <conditionalFormatting sqref="K71 K73">
    <cfRule type="duplicateValues" dxfId="74" priority="76"/>
  </conditionalFormatting>
  <conditionalFormatting sqref="K74">
    <cfRule type="duplicateValues" dxfId="73" priority="75"/>
  </conditionalFormatting>
  <conditionalFormatting sqref="K72">
    <cfRule type="duplicateValues" dxfId="72" priority="74"/>
  </conditionalFormatting>
  <conditionalFormatting sqref="K76">
    <cfRule type="duplicateValues" dxfId="71" priority="73"/>
  </conditionalFormatting>
  <conditionalFormatting sqref="K77">
    <cfRule type="duplicateValues" dxfId="70" priority="72"/>
  </conditionalFormatting>
  <conditionalFormatting sqref="K75">
    <cfRule type="duplicateValues" dxfId="69" priority="71"/>
  </conditionalFormatting>
  <conditionalFormatting sqref="K79">
    <cfRule type="duplicateValues" dxfId="68" priority="70"/>
  </conditionalFormatting>
  <conditionalFormatting sqref="K80">
    <cfRule type="duplicateValues" dxfId="67" priority="69"/>
  </conditionalFormatting>
  <conditionalFormatting sqref="K78">
    <cfRule type="duplicateValues" dxfId="66" priority="68"/>
  </conditionalFormatting>
  <conditionalFormatting sqref="K81">
    <cfRule type="duplicateValues" dxfId="65" priority="67"/>
  </conditionalFormatting>
  <conditionalFormatting sqref="K83">
    <cfRule type="duplicateValues" dxfId="64" priority="66"/>
  </conditionalFormatting>
  <conditionalFormatting sqref="K84">
    <cfRule type="duplicateValues" dxfId="63" priority="65"/>
  </conditionalFormatting>
  <conditionalFormatting sqref="K82">
    <cfRule type="duplicateValues" dxfId="62" priority="64"/>
  </conditionalFormatting>
  <conditionalFormatting sqref="K85">
    <cfRule type="duplicateValues" dxfId="61" priority="63"/>
  </conditionalFormatting>
  <conditionalFormatting sqref="K87">
    <cfRule type="duplicateValues" dxfId="60" priority="62"/>
  </conditionalFormatting>
  <conditionalFormatting sqref="K88">
    <cfRule type="duplicateValues" dxfId="59" priority="61"/>
  </conditionalFormatting>
  <conditionalFormatting sqref="K86">
    <cfRule type="duplicateValues" dxfId="58" priority="60"/>
  </conditionalFormatting>
  <conditionalFormatting sqref="K90">
    <cfRule type="duplicateValues" dxfId="57" priority="59"/>
  </conditionalFormatting>
  <conditionalFormatting sqref="K91">
    <cfRule type="duplicateValues" dxfId="56" priority="58"/>
  </conditionalFormatting>
  <conditionalFormatting sqref="K89">
    <cfRule type="duplicateValues" dxfId="55" priority="57"/>
  </conditionalFormatting>
  <conditionalFormatting sqref="K92">
    <cfRule type="duplicateValues" dxfId="54" priority="56"/>
  </conditionalFormatting>
  <conditionalFormatting sqref="K93">
    <cfRule type="duplicateValues" dxfId="53" priority="55"/>
  </conditionalFormatting>
  <conditionalFormatting sqref="K94">
    <cfRule type="duplicateValues" dxfId="52" priority="54"/>
  </conditionalFormatting>
  <conditionalFormatting sqref="K95">
    <cfRule type="duplicateValues" dxfId="51" priority="53"/>
  </conditionalFormatting>
  <conditionalFormatting sqref="K96">
    <cfRule type="duplicateValues" dxfId="50" priority="52"/>
  </conditionalFormatting>
  <conditionalFormatting sqref="K97">
    <cfRule type="duplicateValues" dxfId="49" priority="51"/>
  </conditionalFormatting>
  <conditionalFormatting sqref="K98">
    <cfRule type="duplicateValues" dxfId="48" priority="50"/>
  </conditionalFormatting>
  <conditionalFormatting sqref="K99">
    <cfRule type="duplicateValues" dxfId="47" priority="49"/>
  </conditionalFormatting>
  <conditionalFormatting sqref="K100">
    <cfRule type="duplicateValues" dxfId="46" priority="48"/>
  </conditionalFormatting>
  <conditionalFormatting sqref="K101">
    <cfRule type="duplicateValues" dxfId="45" priority="47"/>
  </conditionalFormatting>
  <conditionalFormatting sqref="K102:K103">
    <cfRule type="duplicateValues" dxfId="44" priority="46"/>
  </conditionalFormatting>
  <conditionalFormatting sqref="K104:K105">
    <cfRule type="duplicateValues" dxfId="43" priority="45"/>
  </conditionalFormatting>
  <conditionalFormatting sqref="K106 K108">
    <cfRule type="duplicateValues" dxfId="42" priority="44"/>
  </conditionalFormatting>
  <conditionalFormatting sqref="K109:K110">
    <cfRule type="duplicateValues" dxfId="41" priority="43"/>
  </conditionalFormatting>
  <conditionalFormatting sqref="K111:K112">
    <cfRule type="duplicateValues" dxfId="40" priority="42"/>
  </conditionalFormatting>
  <conditionalFormatting sqref="K107">
    <cfRule type="duplicateValues" dxfId="39" priority="41"/>
  </conditionalFormatting>
  <conditionalFormatting sqref="K113:K114">
    <cfRule type="duplicateValues" dxfId="38" priority="40"/>
  </conditionalFormatting>
  <conditionalFormatting sqref="K115 K117">
    <cfRule type="duplicateValues" dxfId="37" priority="39"/>
  </conditionalFormatting>
  <conditionalFormatting sqref="K118">
    <cfRule type="duplicateValues" dxfId="36" priority="38"/>
  </conditionalFormatting>
  <conditionalFormatting sqref="K116">
    <cfRule type="duplicateValues" dxfId="35" priority="37"/>
  </conditionalFormatting>
  <conditionalFormatting sqref="K119">
    <cfRule type="duplicateValues" dxfId="34" priority="36"/>
  </conditionalFormatting>
  <conditionalFormatting sqref="K120 K122">
    <cfRule type="duplicateValues" dxfId="33" priority="35"/>
  </conditionalFormatting>
  <conditionalFormatting sqref="K123">
    <cfRule type="duplicateValues" dxfId="32" priority="34"/>
  </conditionalFormatting>
  <conditionalFormatting sqref="K121">
    <cfRule type="duplicateValues" dxfId="31" priority="33"/>
  </conditionalFormatting>
  <conditionalFormatting sqref="K124">
    <cfRule type="duplicateValues" dxfId="30" priority="32"/>
  </conditionalFormatting>
  <conditionalFormatting sqref="K125 K127">
    <cfRule type="duplicateValues" dxfId="29" priority="31"/>
  </conditionalFormatting>
  <conditionalFormatting sqref="K128">
    <cfRule type="duplicateValues" dxfId="28" priority="30"/>
  </conditionalFormatting>
  <conditionalFormatting sqref="K126">
    <cfRule type="duplicateValues" dxfId="27" priority="29"/>
  </conditionalFormatting>
  <conditionalFormatting sqref="K130">
    <cfRule type="duplicateValues" dxfId="26" priority="28"/>
  </conditionalFormatting>
  <conditionalFormatting sqref="K131">
    <cfRule type="duplicateValues" dxfId="25" priority="27"/>
  </conditionalFormatting>
  <conditionalFormatting sqref="K129">
    <cfRule type="duplicateValues" dxfId="24" priority="26"/>
  </conditionalFormatting>
  <conditionalFormatting sqref="K133">
    <cfRule type="duplicateValues" dxfId="23" priority="25"/>
  </conditionalFormatting>
  <conditionalFormatting sqref="K134">
    <cfRule type="duplicateValues" dxfId="22" priority="24"/>
  </conditionalFormatting>
  <conditionalFormatting sqref="K132">
    <cfRule type="duplicateValues" dxfId="21" priority="23"/>
  </conditionalFormatting>
  <conditionalFormatting sqref="K135">
    <cfRule type="duplicateValues" dxfId="20" priority="22"/>
  </conditionalFormatting>
  <conditionalFormatting sqref="K137">
    <cfRule type="duplicateValues" dxfId="19" priority="21"/>
  </conditionalFormatting>
  <conditionalFormatting sqref="K138">
    <cfRule type="duplicateValues" dxfId="18" priority="20"/>
  </conditionalFormatting>
  <conditionalFormatting sqref="K136">
    <cfRule type="duplicateValues" dxfId="17" priority="19"/>
  </conditionalFormatting>
  <conditionalFormatting sqref="K139">
    <cfRule type="duplicateValues" dxfId="16" priority="18"/>
  </conditionalFormatting>
  <conditionalFormatting sqref="K141">
    <cfRule type="duplicateValues" dxfId="15" priority="17"/>
  </conditionalFormatting>
  <conditionalFormatting sqref="K142">
    <cfRule type="duplicateValues" dxfId="14" priority="16"/>
  </conditionalFormatting>
  <conditionalFormatting sqref="K140">
    <cfRule type="duplicateValues" dxfId="13" priority="15"/>
  </conditionalFormatting>
  <conditionalFormatting sqref="K144">
    <cfRule type="duplicateValues" dxfId="12" priority="14"/>
  </conditionalFormatting>
  <conditionalFormatting sqref="K145">
    <cfRule type="duplicateValues" dxfId="11" priority="13"/>
  </conditionalFormatting>
  <conditionalFormatting sqref="K143">
    <cfRule type="duplicateValues" dxfId="10" priority="12"/>
  </conditionalFormatting>
  <conditionalFormatting sqref="K146">
    <cfRule type="duplicateValues" dxfId="9" priority="11"/>
  </conditionalFormatting>
  <conditionalFormatting sqref="K147">
    <cfRule type="duplicateValues" dxfId="8" priority="10"/>
  </conditionalFormatting>
  <conditionalFormatting sqref="K148">
    <cfRule type="duplicateValues" dxfId="7" priority="9"/>
  </conditionalFormatting>
  <conditionalFormatting sqref="K149">
    <cfRule type="duplicateValues" dxfId="6" priority="8"/>
  </conditionalFormatting>
  <conditionalFormatting sqref="K150">
    <cfRule type="duplicateValues" dxfId="5" priority="7"/>
  </conditionalFormatting>
  <conditionalFormatting sqref="K151">
    <cfRule type="duplicateValues" dxfId="4" priority="6"/>
  </conditionalFormatting>
  <conditionalFormatting sqref="K152">
    <cfRule type="duplicateValues" dxfId="3" priority="5"/>
  </conditionalFormatting>
  <conditionalFormatting sqref="K153">
    <cfRule type="duplicateValues" dxfId="2" priority="4"/>
  </conditionalFormatting>
  <conditionalFormatting sqref="K154">
    <cfRule type="duplicateValues" dxfId="1" priority="3"/>
  </conditionalFormatting>
  <conditionalFormatting sqref="K155">
    <cfRule type="duplicateValues" dxfId="0" priority="2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3"/>
  <sheetViews>
    <sheetView workbookViewId="0">
      <selection activeCell="I23" sqref="I2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1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7">
        <f>floors!$C$2</f>
        <v>59001</v>
      </c>
      <c r="B2" s="57">
        <v>1</v>
      </c>
      <c r="C2" s="70" t="str">
        <f t="shared" ref="C2:C12" si="0">A2&amp; "_"&amp;B2</f>
        <v>59001_1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65000</v>
      </c>
      <c r="H2" s="57" t="s">
        <v>169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150</v>
      </c>
      <c r="Q2" s="57" t="s">
        <v>170</v>
      </c>
      <c r="R2" s="57" t="s">
        <v>171</v>
      </c>
    </row>
    <row r="3" spans="1:18" x14ac:dyDescent="0.15">
      <c r="A3" s="57">
        <f>floors!$C$2</f>
        <v>59001</v>
      </c>
      <c r="B3" s="57">
        <v>1</v>
      </c>
      <c r="C3" s="70" t="str">
        <f t="shared" si="0"/>
        <v>59001_1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325</v>
      </c>
      <c r="G3" s="57">
        <v>1306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330</v>
      </c>
      <c r="Q3" s="57" t="s">
        <v>170</v>
      </c>
      <c r="R3" s="57" t="s">
        <v>171</v>
      </c>
    </row>
    <row r="4" spans="1:18" x14ac:dyDescent="0.15">
      <c r="A4" s="57">
        <f>floors!$C$2</f>
        <v>59001</v>
      </c>
      <c r="B4" s="57">
        <v>1</v>
      </c>
      <c r="C4" s="70" t="str">
        <f t="shared" si="0"/>
        <v>59001_1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325</v>
      </c>
      <c r="G4" s="57">
        <v>346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40</v>
      </c>
      <c r="Q4" s="57" t="s">
        <v>170</v>
      </c>
      <c r="R4" s="57" t="s">
        <v>171</v>
      </c>
    </row>
    <row r="5" spans="1:18" x14ac:dyDescent="0.15">
      <c r="A5" s="57">
        <f>floors!$C$2</f>
        <v>59001</v>
      </c>
      <c r="B5" s="57">
        <v>1</v>
      </c>
      <c r="C5" s="70" t="str">
        <f t="shared" si="0"/>
        <v>59001_1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325</v>
      </c>
      <c r="G5" s="57">
        <v>347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140</v>
      </c>
      <c r="Q5" s="57" t="s">
        <v>170</v>
      </c>
      <c r="R5" s="57" t="s">
        <v>171</v>
      </c>
    </row>
    <row r="6" spans="1:18" x14ac:dyDescent="0.15">
      <c r="A6" s="57">
        <f>floors!$C$2</f>
        <v>59001</v>
      </c>
      <c r="B6" s="57">
        <v>1</v>
      </c>
      <c r="C6" s="70" t="str">
        <f t="shared" si="0"/>
        <v>59001_1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325</v>
      </c>
      <c r="G6" s="57">
        <v>607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80</v>
      </c>
      <c r="Q6" s="57" t="s">
        <v>170</v>
      </c>
      <c r="R6" s="57" t="s">
        <v>171</v>
      </c>
    </row>
    <row r="7" spans="1:18" x14ac:dyDescent="0.15">
      <c r="A7" s="57">
        <f>floors!$C$2</f>
        <v>59001</v>
      </c>
      <c r="B7" s="57">
        <v>1</v>
      </c>
      <c r="C7" s="70" t="str">
        <f t="shared" si="0"/>
        <v>59001_1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325</v>
      </c>
      <c r="G7" s="57">
        <v>608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80</v>
      </c>
      <c r="Q7" s="57" t="s">
        <v>170</v>
      </c>
      <c r="R7" s="57" t="s">
        <v>171</v>
      </c>
    </row>
    <row r="8" spans="1:18" x14ac:dyDescent="0.15">
      <c r="A8" s="57">
        <f>floors!$C$2</f>
        <v>59001</v>
      </c>
      <c r="B8" s="57">
        <v>1</v>
      </c>
      <c r="C8" s="70" t="str">
        <f t="shared" si="0"/>
        <v>59001_1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325</v>
      </c>
      <c r="G8" s="57">
        <v>609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80</v>
      </c>
      <c r="Q8" s="57" t="s">
        <v>170</v>
      </c>
      <c r="R8" s="57" t="s">
        <v>171</v>
      </c>
    </row>
    <row r="9" spans="1:18" x14ac:dyDescent="0.15">
      <c r="A9" s="57">
        <f>floors!$C$2</f>
        <v>59001</v>
      </c>
      <c r="B9" s="57">
        <v>1</v>
      </c>
      <c r="C9" s="70" t="str">
        <f t="shared" si="0"/>
        <v>59001_1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325</v>
      </c>
      <c r="G9" s="57">
        <v>611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20</v>
      </c>
      <c r="Q9" s="57" t="s">
        <v>170</v>
      </c>
      <c r="R9" s="57" t="s">
        <v>171</v>
      </c>
    </row>
    <row r="10" spans="1:18" x14ac:dyDescent="0.15">
      <c r="A10" s="57">
        <f>floors!$C$2</f>
        <v>59001</v>
      </c>
      <c r="B10" s="57">
        <v>1</v>
      </c>
      <c r="C10" s="70" t="str">
        <f t="shared" si="0"/>
        <v>59001_1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325</v>
      </c>
      <c r="G10" s="57">
        <v>612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20</v>
      </c>
      <c r="Q10" s="57" t="s">
        <v>170</v>
      </c>
      <c r="R10" s="57" t="s">
        <v>171</v>
      </c>
    </row>
    <row r="11" spans="1:18" x14ac:dyDescent="0.15">
      <c r="A11" s="57">
        <f>floors!$C$2</f>
        <v>59001</v>
      </c>
      <c r="B11" s="57">
        <v>1</v>
      </c>
      <c r="C11" s="70" t="str">
        <f t="shared" si="0"/>
        <v>59001_1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325</v>
      </c>
      <c r="G11" s="57">
        <v>613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20</v>
      </c>
      <c r="Q11" s="57" t="s">
        <v>170</v>
      </c>
      <c r="R11" s="57" t="s">
        <v>171</v>
      </c>
    </row>
    <row r="12" spans="1:18" x14ac:dyDescent="0.15">
      <c r="A12" s="57">
        <f>floors!$C$2</f>
        <v>59001</v>
      </c>
      <c r="B12" s="57">
        <v>1</v>
      </c>
      <c r="C12" s="70" t="str">
        <f t="shared" si="0"/>
        <v>59001_1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325</v>
      </c>
      <c r="G12" s="57">
        <v>125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30</v>
      </c>
      <c r="Q12" s="57" t="s">
        <v>170</v>
      </c>
      <c r="R12" s="57" t="s">
        <v>171</v>
      </c>
    </row>
    <row r="13" spans="1:18" x14ac:dyDescent="0.15">
      <c r="A13" s="57">
        <f>floors!$C$2</f>
        <v>59001</v>
      </c>
      <c r="B13" s="57">
        <v>1</v>
      </c>
      <c r="C13" s="70" t="str">
        <f t="shared" ref="C13" si="1">A13&amp; "_"&amp;B13</f>
        <v>59001_1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325</v>
      </c>
      <c r="G13" s="57">
        <v>355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</v>
      </c>
      <c r="Q13" s="57" t="s">
        <v>170</v>
      </c>
      <c r="R13" s="57" t="s">
        <v>171</v>
      </c>
    </row>
  </sheetData>
  <phoneticPr fontId="5"/>
  <dataValidations count="1">
    <dataValidation type="list" allowBlank="1" showInputMessage="1" showErrorMessage="1" sqref="F2:F1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M19" sqref="M19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189</v>
      </c>
      <c r="B1" s="72" t="s">
        <v>190</v>
      </c>
      <c r="C1" s="76" t="s">
        <v>191</v>
      </c>
      <c r="D1" s="76" t="s">
        <v>33</v>
      </c>
      <c r="E1" s="72" t="s">
        <v>192</v>
      </c>
      <c r="F1" s="76" t="s">
        <v>193</v>
      </c>
      <c r="G1" s="76" t="s">
        <v>33</v>
      </c>
      <c r="H1" s="72" t="s">
        <v>194</v>
      </c>
      <c r="I1" s="90" t="s">
        <v>196</v>
      </c>
      <c r="J1" s="78" t="s">
        <v>126</v>
      </c>
      <c r="K1" s="77" t="s">
        <v>187</v>
      </c>
      <c r="L1" s="91" t="s">
        <v>186</v>
      </c>
      <c r="M1" s="79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5" t="s">
        <v>189</v>
      </c>
      <c r="B1" s="72" t="s">
        <v>150</v>
      </c>
      <c r="C1" s="76" t="s">
        <v>191</v>
      </c>
      <c r="D1" s="76" t="s">
        <v>33</v>
      </c>
      <c r="E1" s="72" t="s">
        <v>192</v>
      </c>
      <c r="F1" s="76" t="s">
        <v>18</v>
      </c>
      <c r="G1" s="76" t="s">
        <v>33</v>
      </c>
      <c r="H1" s="72" t="s">
        <v>194</v>
      </c>
      <c r="I1" s="88" t="s">
        <v>195</v>
      </c>
      <c r="J1" s="90" t="s">
        <v>196</v>
      </c>
      <c r="K1" s="78" t="s">
        <v>126</v>
      </c>
      <c r="L1" s="77" t="s">
        <v>187</v>
      </c>
      <c r="M1" s="91" t="s">
        <v>186</v>
      </c>
      <c r="N1" s="79" t="s">
        <v>197</v>
      </c>
    </row>
    <row r="2" spans="1:15" ht="42" x14ac:dyDescent="0.15">
      <c r="A2" s="80" t="s">
        <v>198</v>
      </c>
      <c r="B2" s="81">
        <f>floors!$C$2</f>
        <v>59001</v>
      </c>
      <c r="C2" s="82" t="str">
        <f ca="1">VLOOKUP($B2,OFFSET([2]quests!$A$1,0,0,COUNTA([2]quests!$A:$A),MATCH(C$1,[2]quests!$1:$1,0)-MATCH($B$1,[2]quests!$1:$1,0)+1),MATCH(C$1,[2]quests!$1:$1,0)-MATCH($B$1,[2]quests!$1:$1,0)+1,FALSE)</f>
        <v>電子歌姫の堕天使</v>
      </c>
      <c r="D2" s="82" t="str">
        <f ca="1">VLOOKUP($B2,OFFSET([2]quests!$A$1,0,0,COUNTA([2]quests!$A:$A),MATCH(D$1,[2]quests!$1:$1,0)-MATCH($B$1,[2]quests!$1:$1,0)+1),MATCH(D$1,[2]quests!$1:$1,0)-MATCH($B$1,[2]quests!$1:$1,0)+1,FALSE)</f>
        <v>コラボ超降臨1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【超ウィザード級】電子歌姫の堕天使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コラボ超降臨1</v>
      </c>
      <c r="H2" s="84">
        <v>1</v>
      </c>
      <c r="I2" s="89">
        <f t="shared" ref="I2:I11" si="0">ROW()-1</f>
        <v>1</v>
      </c>
      <c r="J2" s="85" t="str">
        <f t="shared" ref="J2:J11" si="1">B2&amp;TEXT(I2,"00")</f>
        <v>5900101</v>
      </c>
      <c r="K2" s="83" t="s">
        <v>199</v>
      </c>
      <c r="L2" s="86" t="s">
        <v>200</v>
      </c>
      <c r="M2" s="108" t="s">
        <v>303</v>
      </c>
      <c r="N2" s="57" t="s">
        <v>201</v>
      </c>
      <c r="O2">
        <f>LEN(M2)</f>
        <v>49</v>
      </c>
    </row>
    <row r="3" spans="1:15" ht="56" x14ac:dyDescent="0.15">
      <c r="A3" s="80" t="s">
        <v>198</v>
      </c>
      <c r="B3" s="81">
        <f>floors!$C$2</f>
        <v>59001</v>
      </c>
      <c r="C3" s="82" t="str">
        <f ca="1">VLOOKUP($B3,OFFSET([2]quests!$A$1,0,0,COUNTA([2]quests!$A:$A),MATCH(C$1,[2]quests!$1:$1,0)-MATCH($B$1,[2]quests!$1:$1,0)+1),MATCH(C$1,[2]quests!$1:$1,0)-MATCH($B$1,[2]quests!$1:$1,0)+1,FALSE)</f>
        <v>電子歌姫の堕天使</v>
      </c>
      <c r="D3" s="82" t="str">
        <f ca="1">VLOOKUP($B3,OFFSET([2]quests!$A$1,0,0,COUNTA([2]quests!$A:$A),MATCH(D$1,[2]quests!$1:$1,0)-MATCH($B$1,[2]quests!$1:$1,0)+1),MATCH(D$1,[2]quests!$1:$1,0)-MATCH($B$1,[2]quests!$1:$1,0)+1,FALSE)</f>
        <v>コラボ超降臨1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【超ウィザード級】電子歌姫の堕天使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コラボ超降臨1</v>
      </c>
      <c r="H3" s="84">
        <v>2</v>
      </c>
      <c r="I3" s="89">
        <f t="shared" si="0"/>
        <v>2</v>
      </c>
      <c r="J3" s="85" t="str">
        <f t="shared" si="1"/>
        <v>5900102</v>
      </c>
      <c r="K3" s="83" t="s">
        <v>199</v>
      </c>
      <c r="L3" s="86" t="s">
        <v>200</v>
      </c>
      <c r="M3" s="108" t="s">
        <v>304</v>
      </c>
      <c r="N3" s="57" t="s">
        <v>201</v>
      </c>
      <c r="O3">
        <f t="shared" ref="O3:O11" si="2">LEN(M3)</f>
        <v>53</v>
      </c>
    </row>
    <row r="4" spans="1:15" ht="42" x14ac:dyDescent="0.15">
      <c r="A4" s="80" t="s">
        <v>198</v>
      </c>
      <c r="B4" s="81">
        <f>floors!$C$2</f>
        <v>59001</v>
      </c>
      <c r="C4" s="82" t="str">
        <f ca="1">VLOOKUP($B4,OFFSET([2]quests!$A$1,0,0,COUNTA([2]quests!$A:$A),MATCH(C$1,[2]quests!$1:$1,0)-MATCH($B$1,[2]quests!$1:$1,0)+1),MATCH(C$1,[2]quests!$1:$1,0)-MATCH($B$1,[2]quests!$1:$1,0)+1,FALSE)</f>
        <v>電子歌姫の堕天使</v>
      </c>
      <c r="D4" s="82" t="str">
        <f ca="1">VLOOKUP($B4,OFFSET([2]quests!$A$1,0,0,COUNTA([2]quests!$A:$A),MATCH(D$1,[2]quests!$1:$1,0)-MATCH($B$1,[2]quests!$1:$1,0)+1),MATCH(D$1,[2]quests!$1:$1,0)-MATCH($B$1,[2]quests!$1:$1,0)+1,FALSE)</f>
        <v>コラボ超降臨1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【超ウィザード級】電子歌姫の堕天使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コラボ超降臨1</v>
      </c>
      <c r="H4" s="84">
        <v>2</v>
      </c>
      <c r="I4" s="89">
        <f t="shared" si="0"/>
        <v>3</v>
      </c>
      <c r="J4" s="85" t="str">
        <f t="shared" ref="J4" si="3">B4&amp;TEXT(I4,"00")</f>
        <v>5900103</v>
      </c>
      <c r="K4" s="83" t="s">
        <v>127</v>
      </c>
      <c r="L4" s="86" t="s">
        <v>200</v>
      </c>
      <c r="M4" s="108" t="s">
        <v>305</v>
      </c>
      <c r="N4" s="57" t="s">
        <v>201</v>
      </c>
      <c r="O4">
        <f t="shared" ref="O4" si="4">LEN(M4)</f>
        <v>51</v>
      </c>
    </row>
    <row r="5" spans="1:15" ht="56" x14ac:dyDescent="0.15">
      <c r="A5" s="80" t="s">
        <v>198</v>
      </c>
      <c r="B5" s="81">
        <f>floors!$C$2</f>
        <v>59001</v>
      </c>
      <c r="C5" s="82" t="str">
        <f ca="1">VLOOKUP($B5,OFFSET([2]quests!$A$1,0,0,COUNTA([2]quests!$A:$A),MATCH(C$1,[2]quests!$1:$1,0)-MATCH($B$1,[2]quests!$1:$1,0)+1),MATCH(C$1,[2]quests!$1:$1,0)-MATCH($B$1,[2]quests!$1:$1,0)+1,FALSE)</f>
        <v>電子歌姫の堕天使</v>
      </c>
      <c r="D5" s="82" t="str">
        <f ca="1">VLOOKUP($B5,OFFSET([2]quests!$A$1,0,0,COUNTA([2]quests!$A:$A),MATCH(D$1,[2]quests!$1:$1,0)-MATCH($B$1,[2]quests!$1:$1,0)+1),MATCH(D$1,[2]quests!$1:$1,0)-MATCH($B$1,[2]quests!$1:$1,0)+1,FALSE)</f>
        <v>コラボ超降臨1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【超ウィザード級】電子歌姫の堕天使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コラボ超降臨1</v>
      </c>
      <c r="H5" s="84">
        <v>3</v>
      </c>
      <c r="I5" s="89">
        <f t="shared" si="0"/>
        <v>4</v>
      </c>
      <c r="J5" s="85" t="str">
        <f t="shared" si="1"/>
        <v>5900104</v>
      </c>
      <c r="K5" s="83" t="s">
        <v>199</v>
      </c>
      <c r="L5" s="86" t="s">
        <v>200</v>
      </c>
      <c r="M5" s="108" t="s">
        <v>322</v>
      </c>
      <c r="N5" s="57" t="s">
        <v>201</v>
      </c>
      <c r="O5">
        <f t="shared" si="2"/>
        <v>58</v>
      </c>
    </row>
    <row r="6" spans="1:15" ht="70" x14ac:dyDescent="0.15">
      <c r="A6" s="80" t="s">
        <v>198</v>
      </c>
      <c r="B6" s="81">
        <f>floors!$C$2</f>
        <v>59001</v>
      </c>
      <c r="C6" s="82" t="str">
        <f ca="1">VLOOKUP($B6,OFFSET([2]quests!$A$1,0,0,COUNTA([2]quests!$A:$A),MATCH(C$1,[2]quests!$1:$1,0)-MATCH($B$1,[2]quests!$1:$1,0)+1),MATCH(C$1,[2]quests!$1:$1,0)-MATCH($B$1,[2]quests!$1:$1,0)+1,FALSE)</f>
        <v>電子歌姫の堕天使</v>
      </c>
      <c r="D6" s="82" t="str">
        <f ca="1">VLOOKUP($B6,OFFSET([2]quests!$A$1,0,0,COUNTA([2]quests!$A:$A),MATCH(D$1,[2]quests!$1:$1,0)-MATCH($B$1,[2]quests!$1:$1,0)+1),MATCH(D$1,[2]quests!$1:$1,0)-MATCH($B$1,[2]quests!$1:$1,0)+1,FALSE)</f>
        <v>コラボ超降臨1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【超ウィザード級】電子歌姫の堕天使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コラボ超降臨1</v>
      </c>
      <c r="H6" s="84">
        <v>3</v>
      </c>
      <c r="I6" s="89">
        <f t="shared" si="0"/>
        <v>5</v>
      </c>
      <c r="J6" s="85" t="str">
        <f t="shared" ref="J6" si="5">B6&amp;TEXT(I6,"00")</f>
        <v>5900105</v>
      </c>
      <c r="K6" s="83" t="s">
        <v>127</v>
      </c>
      <c r="L6" s="86" t="s">
        <v>200</v>
      </c>
      <c r="M6" s="108" t="s">
        <v>323</v>
      </c>
      <c r="N6" s="57" t="s">
        <v>201</v>
      </c>
      <c r="O6">
        <f t="shared" ref="O6" si="6">LEN(M6)</f>
        <v>59</v>
      </c>
    </row>
    <row r="7" spans="1:15" ht="70" x14ac:dyDescent="0.15">
      <c r="A7" s="80" t="s">
        <v>198</v>
      </c>
      <c r="B7" s="81">
        <f>floors!$C$2</f>
        <v>59001</v>
      </c>
      <c r="C7" s="82" t="str">
        <f ca="1">VLOOKUP($B7,OFFSET([2]quests!$A$1,0,0,COUNTA([2]quests!$A:$A),MATCH(C$1,[2]quests!$1:$1,0)-MATCH($B$1,[2]quests!$1:$1,0)+1),MATCH(C$1,[2]quests!$1:$1,0)-MATCH($B$1,[2]quests!$1:$1,0)+1,FALSE)</f>
        <v>電子歌姫の堕天使</v>
      </c>
      <c r="D7" s="82" t="str">
        <f ca="1">VLOOKUP($B7,OFFSET([2]quests!$A$1,0,0,COUNTA([2]quests!$A:$A),MATCH(D$1,[2]quests!$1:$1,0)-MATCH($B$1,[2]quests!$1:$1,0)+1),MATCH(D$1,[2]quests!$1:$1,0)-MATCH($B$1,[2]quests!$1:$1,0)+1,FALSE)</f>
        <v>コラボ超降臨1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【超ウィザード級】電子歌姫の堕天使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コラボ超降臨1</v>
      </c>
      <c r="H7" s="84">
        <v>3</v>
      </c>
      <c r="I7" s="89">
        <f t="shared" si="0"/>
        <v>6</v>
      </c>
      <c r="J7" s="85" t="str">
        <f t="shared" ref="J7" si="7">B7&amp;TEXT(I7,"00")</f>
        <v>5900106</v>
      </c>
      <c r="K7" s="83" t="s">
        <v>127</v>
      </c>
      <c r="L7" s="86" t="s">
        <v>200</v>
      </c>
      <c r="M7" s="108" t="s">
        <v>324</v>
      </c>
      <c r="N7" s="57" t="s">
        <v>201</v>
      </c>
      <c r="O7">
        <f t="shared" ref="O7" si="8">LEN(M7)</f>
        <v>63</v>
      </c>
    </row>
    <row r="8" spans="1:15" ht="56" x14ac:dyDescent="0.15">
      <c r="A8" s="80" t="s">
        <v>254</v>
      </c>
      <c r="B8" s="81">
        <f>floors!$C$2</f>
        <v>59001</v>
      </c>
      <c r="C8" s="82" t="str">
        <f ca="1">VLOOKUP($B8,OFFSET([2]quests!$A$1,0,0,COUNTA([2]quests!$A:$A),MATCH(C$1,[2]quests!$1:$1,0)-MATCH($B$1,[2]quests!$1:$1,0)+1),MATCH(C$1,[2]quests!$1:$1,0)-MATCH($B$1,[2]quests!$1:$1,0)+1,FALSE)</f>
        <v>電子歌姫の堕天使</v>
      </c>
      <c r="D8" s="82" t="str">
        <f ca="1">VLOOKUP($B8,OFFSET([2]quests!$A$1,0,0,COUNTA([2]quests!$A:$A),MATCH(D$1,[2]quests!$1:$1,0)-MATCH($B$1,[2]quests!$1:$1,0)+1),MATCH(D$1,[2]quests!$1:$1,0)-MATCH($B$1,[2]quests!$1:$1,0)+1,FALSE)</f>
        <v>コラボ超降臨1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【超ウィザード級】電子歌姫の堕天使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コラボ超降臨1</v>
      </c>
      <c r="H8" s="84">
        <v>0</v>
      </c>
      <c r="I8" s="89">
        <f t="shared" si="0"/>
        <v>7</v>
      </c>
      <c r="J8" s="85" t="str">
        <f t="shared" si="1"/>
        <v>5900107</v>
      </c>
      <c r="K8" s="83" t="s">
        <v>199</v>
      </c>
      <c r="L8" s="86" t="s">
        <v>255</v>
      </c>
      <c r="M8" s="108" t="s">
        <v>278</v>
      </c>
      <c r="N8" s="57" t="s">
        <v>201</v>
      </c>
      <c r="O8">
        <f t="shared" si="2"/>
        <v>62</v>
      </c>
    </row>
    <row r="9" spans="1:15" ht="56" x14ac:dyDescent="0.15">
      <c r="A9" s="80" t="s">
        <v>254</v>
      </c>
      <c r="B9" s="81">
        <f>floors!$C$2</f>
        <v>59001</v>
      </c>
      <c r="C9" s="82" t="str">
        <f ca="1">VLOOKUP($B9,OFFSET([2]quests!$A$1,0,0,COUNTA([2]quests!$A:$A),MATCH(C$1,[2]quests!$1:$1,0)-MATCH($B$1,[2]quests!$1:$1,0)+1),MATCH(C$1,[2]quests!$1:$1,0)-MATCH($B$1,[2]quests!$1:$1,0)+1,FALSE)</f>
        <v>電子歌姫の堕天使</v>
      </c>
      <c r="D9" s="82" t="str">
        <f ca="1">VLOOKUP($B9,OFFSET([2]quests!$A$1,0,0,COUNTA([2]quests!$A:$A),MATCH(D$1,[2]quests!$1:$1,0)-MATCH($B$1,[2]quests!$1:$1,0)+1),MATCH(D$1,[2]quests!$1:$1,0)-MATCH($B$1,[2]quests!$1:$1,0)+1,FALSE)</f>
        <v>コラボ超降臨1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【超ウィザード級】電子歌姫の堕天使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コラボ超降臨1</v>
      </c>
      <c r="H9" s="84">
        <v>0</v>
      </c>
      <c r="I9" s="89">
        <f t="shared" si="0"/>
        <v>8</v>
      </c>
      <c r="J9" s="85" t="str">
        <f t="shared" si="1"/>
        <v>5900108</v>
      </c>
      <c r="K9" s="83" t="s">
        <v>199</v>
      </c>
      <c r="L9" s="86" t="s">
        <v>280</v>
      </c>
      <c r="M9" s="108" t="s">
        <v>281</v>
      </c>
      <c r="N9" s="57" t="s">
        <v>201</v>
      </c>
      <c r="O9">
        <f t="shared" si="2"/>
        <v>62</v>
      </c>
    </row>
    <row r="10" spans="1:15" ht="56" x14ac:dyDescent="0.15">
      <c r="A10" s="80" t="s">
        <v>254</v>
      </c>
      <c r="B10" s="81">
        <f>floors!$C$2</f>
        <v>59001</v>
      </c>
      <c r="C10" s="82" t="str">
        <f ca="1">VLOOKUP($B10,OFFSET([2]quests!$A$1,0,0,COUNTA([2]quests!$A:$A),MATCH(C$1,[2]quests!$1:$1,0)-MATCH($B$1,[2]quests!$1:$1,0)+1),MATCH(C$1,[2]quests!$1:$1,0)-MATCH($B$1,[2]quests!$1:$1,0)+1,FALSE)</f>
        <v>電子歌姫の堕天使</v>
      </c>
      <c r="D10" s="82" t="str">
        <f ca="1">VLOOKUP($B10,OFFSET([2]quests!$A$1,0,0,COUNTA([2]quests!$A:$A),MATCH(D$1,[2]quests!$1:$1,0)-MATCH($B$1,[2]quests!$1:$1,0)+1),MATCH(D$1,[2]quests!$1:$1,0)-MATCH($B$1,[2]quests!$1:$1,0)+1,FALSE)</f>
        <v>コラボ超降臨1</v>
      </c>
      <c r="E10" s="83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【超ウィザード級】電子歌姫の堕天使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コラボ超降臨1</v>
      </c>
      <c r="H10" s="84">
        <v>0</v>
      </c>
      <c r="I10" s="89">
        <f t="shared" si="0"/>
        <v>9</v>
      </c>
      <c r="J10" s="85" t="str">
        <f t="shared" si="1"/>
        <v>5900109</v>
      </c>
      <c r="K10" s="83" t="s">
        <v>199</v>
      </c>
      <c r="L10" s="86" t="s">
        <v>279</v>
      </c>
      <c r="M10" s="108" t="s">
        <v>306</v>
      </c>
      <c r="N10" s="57" t="s">
        <v>201</v>
      </c>
      <c r="O10">
        <f t="shared" si="2"/>
        <v>60</v>
      </c>
    </row>
    <row r="11" spans="1:15" ht="56" x14ac:dyDescent="0.15">
      <c r="A11" s="80" t="s">
        <v>254</v>
      </c>
      <c r="B11" s="81">
        <f>floors!$C$2</f>
        <v>59001</v>
      </c>
      <c r="C11" s="82" t="str">
        <f ca="1">VLOOKUP($B11,OFFSET([2]quests!$A$1,0,0,COUNTA([2]quests!$A:$A),MATCH(C$1,[2]quests!$1:$1,0)-MATCH($B$1,[2]quests!$1:$1,0)+1),MATCH(C$1,[2]quests!$1:$1,0)-MATCH($B$1,[2]quests!$1:$1,0)+1,FALSE)</f>
        <v>電子歌姫の堕天使</v>
      </c>
      <c r="D11" s="82" t="str">
        <f ca="1">VLOOKUP($B11,OFFSET([2]quests!$A$1,0,0,COUNTA([2]quests!$A:$A),MATCH(D$1,[2]quests!$1:$1,0)-MATCH($B$1,[2]quests!$1:$1,0)+1),MATCH(D$1,[2]quests!$1:$1,0)-MATCH($B$1,[2]quests!$1:$1,0)+1,FALSE)</f>
        <v>コラボ超降臨1</v>
      </c>
      <c r="E11" s="83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【超ウィザード級】電子歌姫の堕天使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コラボ超降臨1</v>
      </c>
      <c r="H11" s="84">
        <v>0</v>
      </c>
      <c r="I11" s="89">
        <f t="shared" si="0"/>
        <v>10</v>
      </c>
      <c r="J11" s="85" t="str">
        <f t="shared" si="1"/>
        <v>5900110</v>
      </c>
      <c r="K11" s="83" t="s">
        <v>199</v>
      </c>
      <c r="L11" s="86" t="s">
        <v>292</v>
      </c>
      <c r="M11" s="108" t="s">
        <v>291</v>
      </c>
      <c r="N11" s="57" t="s">
        <v>201</v>
      </c>
      <c r="O11">
        <f t="shared" si="2"/>
        <v>62</v>
      </c>
    </row>
  </sheetData>
  <phoneticPr fontId="5"/>
  <dataValidations count="1">
    <dataValidation type="list" allowBlank="1" showInputMessage="1" showErrorMessage="1" sqref="A2:A1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M23" sqref="M2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213</v>
      </c>
      <c r="B1" s="94" t="s">
        <v>214</v>
      </c>
      <c r="C1" s="76" t="s">
        <v>215</v>
      </c>
      <c r="D1" s="76" t="s">
        <v>33</v>
      </c>
      <c r="E1" s="94" t="s">
        <v>216</v>
      </c>
      <c r="F1" s="76" t="s">
        <v>217</v>
      </c>
      <c r="G1" s="76" t="s">
        <v>33</v>
      </c>
      <c r="H1" s="94" t="s">
        <v>218</v>
      </c>
      <c r="I1" s="94" t="s">
        <v>219</v>
      </c>
      <c r="J1" s="94" t="s">
        <v>220</v>
      </c>
      <c r="K1" s="72" t="s">
        <v>221</v>
      </c>
      <c r="L1" s="72" t="s">
        <v>222</v>
      </c>
      <c r="M1" s="72" t="s">
        <v>156</v>
      </c>
      <c r="N1" s="76" t="s">
        <v>16</v>
      </c>
      <c r="O1" s="72" t="s">
        <v>223</v>
      </c>
      <c r="P1" s="72" t="s">
        <v>56</v>
      </c>
      <c r="Q1" s="72" t="s">
        <v>224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225</v>
      </c>
      <c r="X1" s="72" t="s">
        <v>226</v>
      </c>
    </row>
    <row r="2" spans="1:24" x14ac:dyDescent="0.15">
      <c r="A2" s="95" t="str">
        <f>B2&amp;"_"&amp;E2&amp;"_"&amp;H2&amp;"_"&amp;I2&amp;"_"&amp;J2</f>
        <v>59001_1_everyone_clear_1</v>
      </c>
      <c r="B2" s="81">
        <v>59001</v>
      </c>
      <c r="C2" s="82" t="str">
        <f ca="1">VLOOKUP($B2,OFFSET([2]quests!$A$1,0,0,COUNTA([2]quests!$A:$A),MATCH(C$1,[2]quests!$1:$1,0)-MATCH($B$1,[2]quests!$1:$1,0)+1),MATCH(C$1,[2]quests!$1:$1,0)-MATCH($B$1,[2]quests!$1:$1,0)+1,FALSE)</f>
        <v>電子歌姫の堕天使</v>
      </c>
      <c r="D2" s="82" t="str">
        <f ca="1">VLOOKUP($B2,OFFSET([2]quests!$A$1,0,0,COUNTA([2]quests!$A:$A),MATCH(D$1,[2]quests!$1:$1,0)-MATCH($B$1,[2]quests!$1:$1,0)+1),MATCH(D$1,[2]quests!$1:$1,0)-MATCH($B$1,[2]quests!$1:$1,0)+1,FALSE)</f>
        <v>コラボ超降臨1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【超ウィザード級】電子歌姫の堕天使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コラボ超降臨1</v>
      </c>
      <c r="H2" s="84" t="s">
        <v>227</v>
      </c>
      <c r="I2" s="83" t="s">
        <v>396</v>
      </c>
      <c r="J2" s="83">
        <v>1</v>
      </c>
      <c r="K2" s="83">
        <v>100</v>
      </c>
      <c r="L2" s="83" t="s">
        <v>228</v>
      </c>
      <c r="M2" s="83">
        <v>1306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玉響の唱天 ルシファー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7" t="s">
        <v>229</v>
      </c>
      <c r="X2" s="98" t="s">
        <v>230</v>
      </c>
    </row>
    <row r="3" spans="1:24" x14ac:dyDescent="0.15">
      <c r="A3" s="95" t="str">
        <f>B3&amp;"_"&amp;E3&amp;"_"&amp;H3&amp;"_"&amp;I3&amp;"_"&amp;J3</f>
        <v>59001_1_everyone_full_member_2</v>
      </c>
      <c r="B3" s="81">
        <v>59001</v>
      </c>
      <c r="C3" s="82" t="str">
        <f ca="1">VLOOKUP($B3,OFFSET([2]quests!$A$1,0,0,COUNTA([2]quests!$A:$A),MATCH(C$1,[2]quests!$1:$1,0)-MATCH($B$1,[2]quests!$1:$1,0)+1),MATCH(C$1,[2]quests!$1:$1,0)-MATCH($B$1,[2]quests!$1:$1,0)+1,FALSE)</f>
        <v>電子歌姫の堕天使</v>
      </c>
      <c r="D3" s="82" t="str">
        <f ca="1">VLOOKUP($B3,OFFSET([2]quests!$A$1,0,0,COUNTA([2]quests!$A:$A),MATCH(D$1,[2]quests!$1:$1,0)-MATCH($B$1,[2]quests!$1:$1,0)+1),MATCH(D$1,[2]quests!$1:$1,0)-MATCH($B$1,[2]quests!$1:$1,0)+1,FALSE)</f>
        <v>コラボ超降臨1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【超ウィザード級】電子歌姫の堕天使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コラボ超降臨1</v>
      </c>
      <c r="H3" s="84" t="s">
        <v>227</v>
      </c>
      <c r="I3" s="83" t="s">
        <v>256</v>
      </c>
      <c r="J3" s="83">
        <v>2</v>
      </c>
      <c r="K3" s="83">
        <v>100</v>
      </c>
      <c r="L3" s="83" t="s">
        <v>228</v>
      </c>
      <c r="M3" s="83">
        <v>1306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玉響の唱天 ルシファー</v>
      </c>
      <c r="O3" s="83">
        <v>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7" t="s">
        <v>229</v>
      </c>
      <c r="X3" s="98" t="s">
        <v>230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2017-01-18T13:20:28Z</dcterms:modified>
</cp:coreProperties>
</file>