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5600" windowHeight="160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units!$A$1:$BQ$3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23" l="1"/>
  <c r="AM3" i="23"/>
  <c r="G2" i="23"/>
  <c r="AM2" i="23"/>
  <c r="H3" i="23"/>
  <c r="AL3" i="23"/>
  <c r="O3" i="23"/>
  <c r="N3" i="23"/>
  <c r="H2" i="23"/>
  <c r="BC2" i="23"/>
  <c r="AL2" i="23"/>
  <c r="O2" i="23"/>
  <c r="N2" i="23"/>
  <c r="G11" i="13"/>
  <c r="G10" i="13"/>
  <c r="G9" i="13"/>
  <c r="G8" i="13"/>
  <c r="G4" i="13"/>
  <c r="G3" i="13"/>
  <c r="G2" i="13"/>
  <c r="BR3" i="23"/>
  <c r="BR2" i="23"/>
  <c r="D4" i="54"/>
  <c r="B4" i="54"/>
  <c r="D5" i="54"/>
  <c r="D2" i="54"/>
  <c r="D3" i="54"/>
  <c r="B5" i="54"/>
  <c r="B3" i="54"/>
  <c r="H2" i="52"/>
  <c r="G3" i="53"/>
  <c r="E3" i="53"/>
  <c r="A19" i="55"/>
  <c r="J2" i="52"/>
  <c r="G2" i="53"/>
  <c r="A2" i="3"/>
  <c r="A46" i="55"/>
  <c r="A45" i="55"/>
  <c r="A44" i="55"/>
  <c r="A43" i="55"/>
  <c r="A42" i="55"/>
  <c r="A39" i="55"/>
  <c r="A38" i="55"/>
  <c r="A37" i="55"/>
  <c r="A35" i="55"/>
  <c r="A34" i="55"/>
  <c r="A33" i="55"/>
  <c r="A31" i="55"/>
  <c r="A30" i="55"/>
  <c r="A29" i="55"/>
  <c r="A26" i="55"/>
  <c r="A25" i="55"/>
  <c r="A24" i="55"/>
  <c r="A23" i="55"/>
  <c r="A21" i="55"/>
  <c r="A20" i="55"/>
  <c r="A18" i="55"/>
  <c r="A16" i="55"/>
  <c r="A15" i="55"/>
  <c r="A14" i="55"/>
  <c r="A13" i="55"/>
  <c r="A10" i="55"/>
  <c r="A9" i="55"/>
  <c r="A8" i="55"/>
  <c r="B2" i="54"/>
  <c r="E2" i="53"/>
  <c r="E2" i="52"/>
  <c r="G2" i="3"/>
  <c r="B2" i="23"/>
  <c r="C2" i="3"/>
  <c r="BC3" i="23"/>
  <c r="AN3" i="23"/>
  <c r="AI3" i="23"/>
  <c r="AN2" i="23"/>
  <c r="AI2" i="23"/>
  <c r="AS3" i="23"/>
  <c r="AR3" i="23"/>
  <c r="AQ3" i="23"/>
  <c r="AS2" i="23"/>
  <c r="AR2" i="23"/>
  <c r="AQ2" i="23"/>
  <c r="I2" i="23"/>
  <c r="J2" i="23"/>
  <c r="BD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AU3" i="23"/>
  <c r="AK3" i="23"/>
  <c r="AG3" i="23"/>
  <c r="AH3" i="23"/>
  <c r="AF3" i="23"/>
  <c r="Y3" i="23"/>
  <c r="Z3" i="23"/>
  <c r="X3" i="23"/>
  <c r="R3" i="23"/>
  <c r="F3" i="23"/>
  <c r="E3" i="23"/>
  <c r="D3" i="23"/>
  <c r="C3" i="23"/>
  <c r="B3" i="23"/>
  <c r="BD2" i="23"/>
  <c r="Q2" i="23"/>
  <c r="V2" i="23"/>
  <c r="W2" i="23"/>
  <c r="AD2" i="23"/>
  <c r="M2" i="23"/>
  <c r="BN2" i="23"/>
  <c r="U2" i="23"/>
  <c r="AC2" i="23"/>
  <c r="L2" i="23"/>
  <c r="BM2" i="23"/>
  <c r="T2" i="23"/>
  <c r="AB2" i="23"/>
  <c r="K2" i="23"/>
  <c r="BL2" i="23"/>
  <c r="S2" i="23"/>
  <c r="AA2" i="23"/>
  <c r="BK2" i="23"/>
  <c r="BE2" i="23"/>
  <c r="BJ2" i="23"/>
  <c r="BI2" i="23"/>
  <c r="BH2" i="23"/>
  <c r="BG2" i="23"/>
  <c r="BF2" i="23"/>
  <c r="AX2" i="23"/>
  <c r="AW2" i="23"/>
  <c r="AV2" i="23"/>
  <c r="AU2" i="23"/>
  <c r="AK2" i="23"/>
  <c r="AH2" i="23"/>
  <c r="AF2" i="23"/>
  <c r="Y2" i="23"/>
  <c r="Z2" i="23"/>
  <c r="X2" i="23"/>
  <c r="R2" i="23"/>
  <c r="P2" i="23"/>
  <c r="F2" i="23"/>
  <c r="E2" i="23"/>
  <c r="D2" i="23"/>
  <c r="C2" i="23"/>
  <c r="E8" i="49"/>
  <c r="E7" i="49"/>
  <c r="E6" i="49"/>
  <c r="E5" i="49"/>
  <c r="E9" i="49"/>
  <c r="E10" i="49"/>
  <c r="E3" i="49"/>
  <c r="E4" i="49"/>
  <c r="E2" i="49"/>
  <c r="E2" i="3"/>
  <c r="D2" i="3"/>
</calcChain>
</file>

<file path=xl/sharedStrings.xml><?xml version="1.0" encoding="utf-8"?>
<sst xmlns="http://schemas.openxmlformats.org/spreadsheetml/2006/main" count="760" uniqueCount="322">
  <si>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</si>
  <si>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</si>
  <si>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</si>
  <si>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</si>
  <si>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</si>
  <si>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</si>
  <si>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</si>
  <si>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</si>
  <si>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</si>
  <si>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</si>
  <si>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</si>
  <si>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</si>
  <si>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</si>
  <si>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</si>
  <si>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</si>
  <si>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</si>
  <si>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</si>
  <si>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</si>
  <si>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</si>
  <si>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</si>
  <si>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</si>
  <si>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</si>
  <si>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</si>
  <si>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</si>
  <si>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</si>
  <si>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</si>
  <si>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</si>
  <si>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</si>
  <si>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</si>
  <si>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</si>
  <si>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</si>
  <si>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</si>
  <si>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</si>
  <si>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</si>
  <si>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</si>
  <si>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</si>
  <si>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</si>
  <si>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</si>
  <si>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</si>
  <si>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</si>
  <si>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</si>
  <si>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</si>
  <si>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</si>
  <si>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</si>
  <si>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</si>
  <si>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</si>
  <si>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</si>
  <si>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</si>
  <si>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</si>
  <si>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</si>
  <si>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</si>
  <si>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</si>
  <si>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</si>
  <si>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</si>
  <si>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</si>
  <si>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</si>
  <si>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</si>
  <si>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</si>
  <si>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</si>
  <si>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</si>
  <si>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</si>
  <si>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</si>
  <si>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</si>
  <si>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</si>
  <si>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</si>
  <si>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</si>
  <si>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</si>
  <si>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</si>
  <si>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</si>
  <si>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</si>
  <si>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</si>
  <si>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</si>
  <si>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</si>
  <si>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</si>
  <si>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</si>
  <si>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</si>
  <si>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</si>
  <si>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</si>
  <si>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</si>
  <si>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</si>
  <si>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</si>
  <si>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</si>
  <si>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</si>
  <si>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</si>
  <si>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</si>
  <si>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</si>
  <si>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</si>
  <si>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</si>
  <si>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</si>
  <si>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</si>
  <si>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</si>
  <si>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</si>
  <si>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</si>
  <si>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</si>
  <si>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</si>
  <si>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</si>
  <si>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</si>
  <si>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</si>
  <si>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</si>
  <si>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</si>
  <si>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</si>
  <si>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</si>
  <si>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</si>
  <si>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comment</t>
    <phoneticPr fontId="10"/>
  </si>
  <si>
    <t>character_id</t>
    <phoneticPr fontId="10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</si>
  <si>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</si>
  <si>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</si>
  <si>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</si>
  <si>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</si>
  <si>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</si>
  <si>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</si>
  <si>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</si>
  <si>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</si>
  <si>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</si>
  <si>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</si>
  <si>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</si>
  <si>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</si>
  <si>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</si>
  <si>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</si>
  <si>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</si>
  <si>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</si>
  <si>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</si>
  <si>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</si>
  <si>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</si>
  <si>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</si>
  <si>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</si>
  <si>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</si>
  <si>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</si>
  <si>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</si>
  <si>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</si>
  <si>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</si>
  <si>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</si>
  <si>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</si>
  <si>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</si>
  <si>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</si>
  <si>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</si>
  <si>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</si>
  <si>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</si>
  <si>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</si>
  <si>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</si>
  <si>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</si>
  <si>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</si>
  <si>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</si>
  <si>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</si>
  <si>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</si>
  <si>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</si>
  <si>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</si>
  <si>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</si>
  <si>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</si>
  <si>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</si>
  <si>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</si>
  <si>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</si>
  <si>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</si>
  <si>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</si>
  <si>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</si>
  <si>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</si>
  <si>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</si>
  <si>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</si>
  <si>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</si>
  <si>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</si>
  <si>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</si>
  <si>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</si>
  <si>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</si>
  <si>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</si>
  <si>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</si>
  <si>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</si>
  <si>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</si>
  <si>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</si>
  <si>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</si>
  <si>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</si>
  <si>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</si>
  <si>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</si>
  <si>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</si>
  <si>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</si>
  <si>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</si>
  <si>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</si>
  <si>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</si>
  <si>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</si>
  <si>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</si>
  <si>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</si>
  <si>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</si>
  <si>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</si>
  <si>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</si>
  <si>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</si>
  <si>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</si>
  <si>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</si>
  <si>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</si>
  <si>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</si>
  <si>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</si>
  <si>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</si>
  <si>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</si>
  <si>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</si>
  <si>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</si>
  <si>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</si>
  <si>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</si>
  <si>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</si>
  <si>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</si>
  <si>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</si>
  <si>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</si>
  <si>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</si>
  <si>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</si>
  <si>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vltn2016</t>
    <phoneticPr fontId="22"/>
  </si>
  <si>
    <t>old</t>
    <phoneticPr fontId="22"/>
  </si>
  <si>
    <t>ハッピーバレンタイン！</t>
    <phoneticPr fontId="22"/>
  </si>
  <si>
    <t>HPを中回復</t>
    <rPh sb="3" eb="4">
      <t>チュウ</t>
    </rPh>
    <phoneticPr fontId="22"/>
  </si>
  <si>
    <t>[effect:heal_ratio, val:1.8, animation:heal03]</t>
    <phoneticPr fontId="22"/>
  </si>
  <si>
    <t>コレ…アゲル</t>
    <phoneticPr fontId="22"/>
  </si>
  <si>
    <t>ハッピー バレンタイン！</t>
    <phoneticPr fontId="22"/>
  </si>
  <si>
    <t>giza</t>
  </si>
  <si>
    <t>会いたかったよ ベイベ〜！</t>
    <rPh sb="0" eb="1">
      <t>ア</t>
    </rPh>
    <phoneticPr fontId="22"/>
  </si>
  <si>
    <t>kumo</t>
  </si>
  <si>
    <t>恋するウィルス</t>
    <rPh sb="0" eb="1">
      <t>コイ</t>
    </rPh>
    <phoneticPr fontId="22"/>
  </si>
  <si>
    <t>なし</t>
    <phoneticPr fontId="22"/>
  </si>
  <si>
    <t>アナタガ…スキデス</t>
    <phoneticPr fontId="22"/>
  </si>
  <si>
    <t>効果はないが
ハッピーのキモチがつまっている！</t>
    <rPh sb="0" eb="2">
      <t>コウカ</t>
    </rPh>
    <phoneticPr fontId="22"/>
  </si>
  <si>
    <t>balance</t>
    <phoneticPr fontId="10"/>
  </si>
  <si>
    <t>[effect:heal_fix, val:214, animation:heal01]</t>
    <phoneticPr fontId="22"/>
  </si>
  <si>
    <t>HPを威力214で回復</t>
    <rPh sb="3" eb="5">
      <t>イリョク</t>
    </rPh>
    <rPh sb="9" eb="11">
      <t>カイフク</t>
    </rPh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</si>
  <si>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</si>
  <si>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</si>
  <si>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</si>
  <si>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</si>
  <si>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</si>
  <si>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</si>
  <si>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</si>
  <si>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</si>
  <si>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</si>
  <si>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</si>
  <si>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</si>
  <si>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</si>
  <si>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</si>
  <si>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</si>
  <si>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</si>
  <si>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</si>
  <si>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</si>
  <si>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</si>
  <si>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</si>
  <si>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</si>
  <si>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</si>
  <si>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</si>
  <si>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</si>
  <si>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</si>
  <si>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</si>
  <si>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</si>
  <si>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</si>
  <si>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</si>
  <si>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</si>
  <si>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</si>
  <si>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-</t>
    <phoneticPr fontId="9"/>
  </si>
  <si>
    <t>PremiumSSS</t>
    <phoneticPr fontId="9"/>
  </si>
  <si>
    <t>-</t>
    <phoneticPr fontId="9"/>
  </si>
  <si>
    <t>PremiumSSw</t>
    <phoneticPr fontId="9"/>
  </si>
  <si>
    <t>-</t>
    <phoneticPr fontId="9"/>
  </si>
  <si>
    <t>PremiumSS</t>
    <phoneticPr fontId="9"/>
  </si>
  <si>
    <t>-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</si>
  <si>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</si>
  <si>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</si>
  <si>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</si>
  <si>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</si>
  <si>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</si>
  <si>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</si>
  <si>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</si>
  <si>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</si>
  <si>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</si>
  <si>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</si>
  <si>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</si>
  <si>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</si>
  <si>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</si>
  <si>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</si>
  <si>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</si>
  <si>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</si>
  <si>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</si>
  <si>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</si>
  <si>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</si>
  <si>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</si>
  <si>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</si>
  <si>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</si>
  <si>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</si>
  <si>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</si>
  <si>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</si>
  <si>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</si>
  <si>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</si>
  <si>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-</t>
    <phoneticPr fontId="9"/>
  </si>
  <si>
    <t>required_exp_300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</si>
  <si>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</si>
  <si>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</si>
  <si>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</si>
  <si>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</si>
  <si>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</si>
  <si>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</si>
  <si>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</si>
  <si>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</si>
  <si>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required_exp_200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</si>
  <si>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</si>
  <si>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</si>
  <si>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</si>
  <si>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</si>
  <si>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</si>
  <si>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</si>
  <si>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</si>
  <si>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</si>
  <si>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</si>
  <si>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rare</t>
    <phoneticPr fontId="9"/>
  </si>
  <si>
    <t>base_material_exp</t>
    <phoneticPr fontId="9"/>
  </si>
  <si>
    <t>DropWizSSS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</si>
  <si>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</si>
  <si>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</si>
  <si>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</si>
  <si>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</si>
  <si>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</si>
  <si>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</si>
  <si>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</si>
  <si>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</si>
  <si>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</si>
  <si>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</si>
  <si>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</si>
  <si>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</si>
  <si>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</si>
  <si>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</si>
  <si>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</si>
  <si>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</si>
  <si>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skip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</si>
</sst>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50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6" fillId="7" borderId="3" xfId="0" applyFont="1" applyFill="1" applyBorder="1" applyAlignment="1">
      <alignment horizontal="left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0" borderId="4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4" fillId="11" borderId="4" xfId="0" applyFont="1" applyFill="1" applyBorder="1" applyAlignment="1">
      <alignment horizontal="center" vertical="center"/>
    </xf>
    <xf numFmtId="0" fontId="13" fillId="11" borderId="4" xfId="0" applyFont="1" applyFill="1" applyBorder="1" applyAlignment="1">
      <alignment vertical="center"/>
    </xf>
    <xf numFmtId="0" fontId="16" fillId="15" borderId="8" xfId="0" applyFont="1" applyFill="1" applyBorder="1" applyAlignment="1">
      <alignment horizontal="right"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right" vertical="center"/>
    </xf>
    <xf numFmtId="0" fontId="16" fillId="15" borderId="1" xfId="0" applyFont="1" applyFill="1" applyBorder="1" applyAlignment="1">
      <alignment horizontal="left" vertical="center"/>
    </xf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5" borderId="21" xfId="0" applyFont="1" applyFill="1" applyBorder="1" applyAlignment="1">
      <alignment horizontal="center"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</cellXfs>
  <cellStyles count="4550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赤字強調" xfId="4"/>
    <cellStyle name="青字強調" xfId="3"/>
  </cellStyles>
  <dxfs count="3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E14" sqref="E1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99" t="s">
        <v>119</v>
      </c>
      <c r="B1" s="99" t="s">
        <v>110</v>
      </c>
      <c r="C1" s="99" t="s">
        <v>111</v>
      </c>
      <c r="D1" s="99" t="s">
        <v>112</v>
      </c>
      <c r="E1" s="99" t="s">
        <v>113</v>
      </c>
      <c r="F1" s="99" t="s">
        <v>114</v>
      </c>
      <c r="G1" s="99" t="s">
        <v>115</v>
      </c>
      <c r="H1" s="99"/>
      <c r="I1" s="99"/>
      <c r="J1" s="99"/>
      <c r="K1" s="99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</row>
    <row r="2" spans="1:23" x14ac:dyDescent="0.15">
      <c r="A2" s="101" t="s">
        <v>202</v>
      </c>
      <c r="B2" s="101" t="s">
        <v>123</v>
      </c>
      <c r="C2" s="101" t="s">
        <v>201</v>
      </c>
      <c r="D2" s="101" t="s">
        <v>122</v>
      </c>
      <c r="E2" s="100" t="str">
        <f>B2&amp;C2&amp;D2</f>
        <v>units_vltn2016.tmp</v>
      </c>
      <c r="F2" s="101" t="s">
        <v>118</v>
      </c>
      <c r="G2" s="138" t="s">
        <v>17</v>
      </c>
      <c r="H2" s="139" t="s">
        <v>94</v>
      </c>
      <c r="I2" s="139" t="s">
        <v>1</v>
      </c>
      <c r="J2" s="139" t="s">
        <v>3</v>
      </c>
      <c r="K2" s="139" t="s">
        <v>2</v>
      </c>
      <c r="L2" s="139" t="s">
        <v>96</v>
      </c>
      <c r="M2" s="139" t="s">
        <v>20</v>
      </c>
      <c r="N2" s="139" t="s">
        <v>101</v>
      </c>
      <c r="O2" s="139" t="s">
        <v>99</v>
      </c>
      <c r="P2" s="139" t="s">
        <v>39</v>
      </c>
      <c r="Q2" s="139" t="s">
        <v>57</v>
      </c>
      <c r="R2" s="101" t="s">
        <v>218</v>
      </c>
      <c r="S2" s="101"/>
      <c r="T2" s="101"/>
      <c r="U2" s="101"/>
      <c r="V2" s="101"/>
      <c r="W2" s="101"/>
    </row>
    <row r="3" spans="1:23" x14ac:dyDescent="0.15">
      <c r="A3" s="101" t="s">
        <v>321</v>
      </c>
      <c r="B3" s="101" t="s">
        <v>124</v>
      </c>
      <c r="C3" s="101" t="s">
        <v>201</v>
      </c>
      <c r="D3" s="101" t="s">
        <v>122</v>
      </c>
      <c r="E3" s="100" t="str">
        <f>B3&amp;C3&amp;D3</f>
        <v>awake_materials_vltn2016.tmp</v>
      </c>
      <c r="F3" s="101" t="s">
        <v>117</v>
      </c>
      <c r="G3" s="140" t="s">
        <v>38</v>
      </c>
      <c r="H3" s="141" t="s">
        <v>36</v>
      </c>
      <c r="I3" s="141" t="s">
        <v>37</v>
      </c>
      <c r="J3" s="103" t="s">
        <v>120</v>
      </c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</row>
    <row r="4" spans="1:23" x14ac:dyDescent="0.15">
      <c r="A4" s="101" t="s">
        <v>321</v>
      </c>
      <c r="B4" s="101" t="s">
        <v>125</v>
      </c>
      <c r="C4" s="101" t="s">
        <v>201</v>
      </c>
      <c r="D4" s="101" t="s">
        <v>126</v>
      </c>
      <c r="E4" s="100" t="str">
        <f t="shared" ref="E4" si="0">B4&amp;C4&amp;D4</f>
        <v>unit_levels_calc_vltn2016.tmp</v>
      </c>
      <c r="F4" s="101" t="s">
        <v>116</v>
      </c>
      <c r="G4" s="142" t="s">
        <v>17</v>
      </c>
      <c r="H4" s="143" t="s">
        <v>2</v>
      </c>
      <c r="I4" s="144" t="s">
        <v>77</v>
      </c>
      <c r="J4" s="144" t="s">
        <v>78</v>
      </c>
      <c r="K4" s="144" t="s">
        <v>79</v>
      </c>
      <c r="L4" s="144" t="s">
        <v>80</v>
      </c>
      <c r="M4" s="144" t="s">
        <v>85</v>
      </c>
      <c r="N4" s="144" t="s">
        <v>86</v>
      </c>
      <c r="O4" s="144" t="s">
        <v>87</v>
      </c>
      <c r="P4" s="144" t="s">
        <v>88</v>
      </c>
      <c r="Q4" s="144" t="s">
        <v>89</v>
      </c>
      <c r="R4" s="144" t="s">
        <v>92</v>
      </c>
      <c r="S4" s="144" t="s">
        <v>90</v>
      </c>
      <c r="T4" s="144" t="s">
        <v>91</v>
      </c>
      <c r="U4" s="144" t="s">
        <v>81</v>
      </c>
      <c r="V4" s="144" t="s">
        <v>82</v>
      </c>
      <c r="W4" s="144" t="s">
        <v>83</v>
      </c>
    </row>
    <row r="5" spans="1:23" x14ac:dyDescent="0.15">
      <c r="A5" s="101" t="s">
        <v>321</v>
      </c>
      <c r="B5" s="101" t="s">
        <v>137</v>
      </c>
      <c r="C5" s="101" t="s">
        <v>201</v>
      </c>
      <c r="D5" s="101" t="s">
        <v>138</v>
      </c>
      <c r="E5" s="100" t="str">
        <f>B5&amp;C5&amp;D5</f>
        <v>unit_skills_data_vltn2016.tmp</v>
      </c>
      <c r="F5" s="101" t="s">
        <v>139</v>
      </c>
      <c r="G5" s="108" t="s">
        <v>20</v>
      </c>
      <c r="H5" s="108" t="s">
        <v>140</v>
      </c>
      <c r="I5" s="108" t="s">
        <v>2</v>
      </c>
      <c r="J5" s="108" t="s">
        <v>141</v>
      </c>
      <c r="K5" s="108" t="s">
        <v>142</v>
      </c>
      <c r="L5" s="108" t="s">
        <v>4</v>
      </c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</row>
    <row r="6" spans="1:23" x14ac:dyDescent="0.15">
      <c r="A6" s="101" t="s">
        <v>321</v>
      </c>
      <c r="B6" s="101" t="s">
        <v>143</v>
      </c>
      <c r="C6" s="101" t="s">
        <v>201</v>
      </c>
      <c r="D6" s="101" t="s">
        <v>122</v>
      </c>
      <c r="E6" s="100" t="str">
        <f>B6&amp;C6&amp;D6</f>
        <v>unit_skills_i18n_vltn2016.tmp</v>
      </c>
      <c r="F6" s="101" t="s">
        <v>139</v>
      </c>
      <c r="G6" s="108" t="s">
        <v>144</v>
      </c>
      <c r="H6" s="108" t="s">
        <v>128</v>
      </c>
      <c r="I6" s="108" t="s">
        <v>145</v>
      </c>
      <c r="J6" s="108" t="s">
        <v>146</v>
      </c>
      <c r="K6" s="102"/>
      <c r="L6" s="102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</row>
    <row r="7" spans="1:23" x14ac:dyDescent="0.15">
      <c r="A7" s="101" t="s">
        <v>321</v>
      </c>
      <c r="B7" s="101" t="s">
        <v>147</v>
      </c>
      <c r="C7" s="101" t="s">
        <v>201</v>
      </c>
      <c r="D7" s="101" t="s">
        <v>148</v>
      </c>
      <c r="E7" s="100" t="str">
        <f>B7&amp;C7&amp;D7</f>
        <v>crash_skills_data_vltn2016.tmp</v>
      </c>
      <c r="F7" s="101" t="s">
        <v>149</v>
      </c>
      <c r="G7" s="108" t="s">
        <v>150</v>
      </c>
      <c r="H7" s="108" t="s">
        <v>142</v>
      </c>
      <c r="I7" s="108" t="s">
        <v>4</v>
      </c>
      <c r="J7" s="102"/>
      <c r="K7" s="102"/>
      <c r="L7" s="102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</row>
    <row r="8" spans="1:23" x14ac:dyDescent="0.15">
      <c r="A8" s="101" t="s">
        <v>321</v>
      </c>
      <c r="B8" s="101" t="s">
        <v>151</v>
      </c>
      <c r="C8" s="101" t="s">
        <v>201</v>
      </c>
      <c r="D8" s="101" t="s">
        <v>152</v>
      </c>
      <c r="E8" s="100" t="str">
        <f t="shared" ref="E8" si="1">B8&amp;C8&amp;D8</f>
        <v>crash_skills_i18n_vltn2016.tmp</v>
      </c>
      <c r="F8" s="101" t="s">
        <v>149</v>
      </c>
      <c r="G8" s="108" t="s">
        <v>153</v>
      </c>
      <c r="H8" s="108" t="s">
        <v>154</v>
      </c>
      <c r="I8" s="108" t="s">
        <v>155</v>
      </c>
      <c r="J8" s="108" t="s">
        <v>156</v>
      </c>
      <c r="K8" s="109"/>
      <c r="L8" s="109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</row>
    <row r="9" spans="1:23" x14ac:dyDescent="0.15">
      <c r="A9" s="101" t="s">
        <v>321</v>
      </c>
      <c r="B9" s="102" t="s">
        <v>129</v>
      </c>
      <c r="C9" s="101" t="s">
        <v>201</v>
      </c>
      <c r="D9" s="101" t="s">
        <v>152</v>
      </c>
      <c r="E9" s="100" t="str">
        <f t="shared" ref="E9:E10" si="2">B9&amp;C9&amp;D9</f>
        <v>unit_serifs_data_vltn2016.tmp</v>
      </c>
      <c r="F9" s="102" t="s">
        <v>131</v>
      </c>
      <c r="G9" s="107" t="s">
        <v>132</v>
      </c>
      <c r="H9" s="108" t="s">
        <v>133</v>
      </c>
      <c r="I9" s="108" t="s">
        <v>127</v>
      </c>
      <c r="J9" s="106" t="s">
        <v>185</v>
      </c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</row>
    <row r="10" spans="1:23" x14ac:dyDescent="0.15">
      <c r="A10" s="101" t="s">
        <v>321</v>
      </c>
      <c r="B10" s="102" t="s">
        <v>130</v>
      </c>
      <c r="C10" s="101" t="s">
        <v>201</v>
      </c>
      <c r="D10" s="101" t="s">
        <v>152</v>
      </c>
      <c r="E10" s="100" t="str">
        <f t="shared" si="2"/>
        <v>unit_serifs_i18n_vltn2016.tmp</v>
      </c>
      <c r="F10" s="102" t="s">
        <v>131</v>
      </c>
      <c r="G10" s="107" t="s">
        <v>134</v>
      </c>
      <c r="H10" s="108" t="s">
        <v>135</v>
      </c>
      <c r="I10" s="108" t="s">
        <v>136</v>
      </c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BP2" activePane="bottomRight" state="frozen"/>
      <selection pane="topRight" activeCell="J1" sqref="J1"/>
      <selection pane="bottomLeft" activeCell="A3" sqref="A3"/>
      <selection pane="bottomRight" activeCell="H27" sqref="H27:I27"/>
    </sheetView>
  </sheetViews>
  <sheetFormatPr baseColWidth="12" defaultColWidth="8.83203125" defaultRowHeight="21" customHeight="1" outlineLevelCol="1" x14ac:dyDescent="0.15"/>
  <cols>
    <col min="1" max="1" width="12.83203125" style="146" customWidth="1"/>
    <col min="2" max="2" width="21.5" style="146" bestFit="1" customWidth="1"/>
    <col min="3" max="3" width="23.6640625" style="146" customWidth="1" outlineLevel="1"/>
    <col min="4" max="4" width="8.6640625" style="146" customWidth="1" outlineLevel="1"/>
    <col min="5" max="5" width="8" style="146" customWidth="1" outlineLevel="1"/>
    <col min="6" max="6" width="7.1640625" style="146" customWidth="1" outlineLevel="1"/>
    <col min="7" max="7" width="9.6640625" style="146" bestFit="1" customWidth="1"/>
    <col min="8" max="8" width="13.6640625" style="146" bestFit="1" customWidth="1"/>
    <col min="9" max="9" width="10.5" style="146" bestFit="1" customWidth="1" collapsed="1"/>
    <col min="10" max="13" width="11" style="146" hidden="1" customWidth="1" outlineLevel="1"/>
    <col min="14" max="14" width="10" style="146" bestFit="1" customWidth="1"/>
    <col min="15" max="15" width="13.5" style="146" bestFit="1" customWidth="1"/>
    <col min="16" max="16" width="13.5" style="146" customWidth="1"/>
    <col min="17" max="17" width="18.83203125" style="146" bestFit="1" customWidth="1"/>
    <col min="18" max="18" width="14.1640625" style="146" customWidth="1" collapsed="1"/>
    <col min="19" max="19" width="12.33203125" style="146" hidden="1" customWidth="1" outlineLevel="1"/>
    <col min="20" max="22" width="13.6640625" style="146" hidden="1" customWidth="1" outlineLevel="1"/>
    <col min="23" max="23" width="22.83203125" style="146" bestFit="1" customWidth="1"/>
    <col min="24" max="24" width="14.1640625" style="146" customWidth="1" collapsed="1"/>
    <col min="25" max="25" width="22" style="146" hidden="1" customWidth="1" outlineLevel="1"/>
    <col min="26" max="26" width="14.1640625" style="146" hidden="1" customWidth="1" outlineLevel="1"/>
    <col min="27" max="27" width="12.33203125" style="146" hidden="1" customWidth="1" outlineLevel="1"/>
    <col min="28" max="30" width="13.6640625" style="146" hidden="1" customWidth="1" outlineLevel="1"/>
    <col min="31" max="31" width="20.1640625" style="146" bestFit="1" customWidth="1"/>
    <col min="32" max="32" width="18.83203125" style="146" bestFit="1" customWidth="1"/>
    <col min="33" max="34" width="18.83203125" style="146" customWidth="1"/>
    <col min="35" max="35" width="15.1640625" style="146" customWidth="1"/>
    <col min="36" max="36" width="13.1640625" style="146" customWidth="1"/>
    <col min="37" max="37" width="15.33203125" style="146" bestFit="1" customWidth="1"/>
    <col min="38" max="38" width="13.33203125" style="146" bestFit="1" customWidth="1"/>
    <col min="39" max="39" width="15.33203125" style="43" bestFit="1" customWidth="1"/>
    <col min="40" max="40" width="14" style="43" bestFit="1" customWidth="1"/>
    <col min="41" max="41" width="16" style="43" bestFit="1" customWidth="1"/>
    <col min="42" max="42" width="14.33203125" style="147" bestFit="1" customWidth="1"/>
    <col min="43" max="43" width="20.83203125" style="146" customWidth="1"/>
    <col min="44" max="44" width="80.6640625" style="146" customWidth="1" outlineLevel="1"/>
    <col min="45" max="45" width="6.83203125" style="146" customWidth="1"/>
    <col min="46" max="46" width="15.6640625" style="146" bestFit="1" customWidth="1"/>
    <col min="47" max="47" width="43.6640625" style="146" customWidth="1"/>
    <col min="48" max="48" width="43.6640625" style="146" customWidth="1" outlineLevel="1"/>
    <col min="49" max="49" width="6.83203125" style="146" customWidth="1"/>
    <col min="50" max="50" width="11.33203125" style="146" bestFit="1" customWidth="1"/>
    <col min="51" max="54" width="8.33203125" style="146" customWidth="1"/>
    <col min="55" max="56" width="12" style="146" bestFit="1" customWidth="1"/>
    <col min="57" max="57" width="14.33203125" style="146" customWidth="1" outlineLevel="1"/>
    <col min="58" max="58" width="16.1640625" style="146" customWidth="1" outlineLevel="1"/>
    <col min="59" max="66" width="11.83203125" style="146" customWidth="1"/>
    <col min="67" max="67" width="12.83203125" style="146" bestFit="1" customWidth="1"/>
    <col min="68" max="68" width="12.6640625" style="146" bestFit="1" customWidth="1"/>
    <col min="69" max="69" width="13.5" style="146" bestFit="1" customWidth="1"/>
    <col min="70" max="16384" width="8.83203125" style="146"/>
  </cols>
  <sheetData>
    <row r="1" spans="1:70" s="12" customFormat="1" ht="21" customHeight="1" x14ac:dyDescent="0.15">
      <c r="A1" s="73" t="s">
        <v>104</v>
      </c>
      <c r="B1" s="75" t="s">
        <v>44</v>
      </c>
      <c r="C1" s="78" t="s">
        <v>27</v>
      </c>
      <c r="D1" s="78" t="s">
        <v>30</v>
      </c>
      <c r="E1" s="78" t="s">
        <v>28</v>
      </c>
      <c r="F1" s="78" t="s">
        <v>29</v>
      </c>
      <c r="G1" s="73" t="s">
        <v>1</v>
      </c>
      <c r="H1" s="76" t="s">
        <v>19</v>
      </c>
      <c r="I1" s="77" t="s">
        <v>0</v>
      </c>
      <c r="J1" s="79" t="s">
        <v>49</v>
      </c>
      <c r="K1" s="79" t="s">
        <v>48</v>
      </c>
      <c r="L1" s="79" t="s">
        <v>50</v>
      </c>
      <c r="M1" s="79" t="s">
        <v>51</v>
      </c>
      <c r="N1" s="73" t="s">
        <v>3</v>
      </c>
      <c r="O1" s="80" t="s">
        <v>2</v>
      </c>
      <c r="P1" s="73" t="s">
        <v>95</v>
      </c>
      <c r="Q1" s="81" t="s">
        <v>18</v>
      </c>
      <c r="R1" s="72" t="s">
        <v>52</v>
      </c>
      <c r="S1" s="82" t="s">
        <v>23</v>
      </c>
      <c r="T1" s="82" t="s">
        <v>24</v>
      </c>
      <c r="U1" s="82" t="s">
        <v>26</v>
      </c>
      <c r="V1" s="82" t="s">
        <v>25</v>
      </c>
      <c r="W1" s="77" t="s">
        <v>32</v>
      </c>
      <c r="X1" s="78" t="s">
        <v>53</v>
      </c>
      <c r="Y1" s="77" t="s">
        <v>33</v>
      </c>
      <c r="Z1" s="78" t="s">
        <v>53</v>
      </c>
      <c r="AA1" s="79" t="s">
        <v>23</v>
      </c>
      <c r="AB1" s="79" t="s">
        <v>24</v>
      </c>
      <c r="AC1" s="79" t="s">
        <v>26</v>
      </c>
      <c r="AD1" s="79" t="s">
        <v>25</v>
      </c>
      <c r="AE1" s="83" t="s">
        <v>98</v>
      </c>
      <c r="AF1" s="72" t="s">
        <v>45</v>
      </c>
      <c r="AG1" s="84" t="s">
        <v>58</v>
      </c>
      <c r="AH1" s="72" t="s">
        <v>45</v>
      </c>
      <c r="AI1" s="84" t="s">
        <v>46</v>
      </c>
      <c r="AJ1" s="74" t="s">
        <v>65</v>
      </c>
      <c r="AK1" s="72" t="s">
        <v>21</v>
      </c>
      <c r="AL1" s="85" t="s">
        <v>66</v>
      </c>
      <c r="AM1" s="86" t="s">
        <v>64</v>
      </c>
      <c r="AN1" s="86" t="s">
        <v>67</v>
      </c>
      <c r="AO1" s="87" t="s">
        <v>31</v>
      </c>
      <c r="AP1" s="83" t="s">
        <v>20</v>
      </c>
      <c r="AQ1" s="88" t="s">
        <v>108</v>
      </c>
      <c r="AR1" s="88" t="s">
        <v>103</v>
      </c>
      <c r="AS1" s="72" t="s">
        <v>102</v>
      </c>
      <c r="AT1" s="83" t="s">
        <v>100</v>
      </c>
      <c r="AU1" s="72" t="s">
        <v>105</v>
      </c>
      <c r="AV1" s="88" t="s">
        <v>103</v>
      </c>
      <c r="AW1" s="72" t="s">
        <v>102</v>
      </c>
      <c r="AX1" s="78" t="s">
        <v>4</v>
      </c>
      <c r="AY1" s="89" t="s">
        <v>54</v>
      </c>
      <c r="AZ1" s="89" t="s">
        <v>55</v>
      </c>
      <c r="BA1" s="89" t="s">
        <v>109</v>
      </c>
      <c r="BB1" s="89" t="s">
        <v>56</v>
      </c>
      <c r="BC1" s="5" t="s">
        <v>22</v>
      </c>
      <c r="BD1" s="92" t="s">
        <v>34</v>
      </c>
      <c r="BE1" s="90" t="s">
        <v>5</v>
      </c>
      <c r="BF1" s="91" t="s">
        <v>6</v>
      </c>
      <c r="BG1" s="93" t="s">
        <v>68</v>
      </c>
      <c r="BH1" s="93" t="s">
        <v>69</v>
      </c>
      <c r="BI1" s="93" t="s">
        <v>70</v>
      </c>
      <c r="BJ1" s="93" t="s">
        <v>71</v>
      </c>
      <c r="BK1" s="94" t="s">
        <v>72</v>
      </c>
      <c r="BL1" s="94" t="s">
        <v>93</v>
      </c>
      <c r="BM1" s="94" t="s">
        <v>73</v>
      </c>
      <c r="BN1" s="94" t="s">
        <v>74</v>
      </c>
      <c r="BO1" s="95" t="s">
        <v>75</v>
      </c>
      <c r="BP1" s="96" t="s">
        <v>76</v>
      </c>
      <c r="BQ1" s="74" t="s">
        <v>84</v>
      </c>
      <c r="BR1" s="10" t="s">
        <v>219</v>
      </c>
    </row>
    <row r="2" spans="1:70" s="12" customFormat="1" ht="21" customHeight="1" x14ac:dyDescent="0.15">
      <c r="A2" s="124">
        <v>571</v>
      </c>
      <c r="B2" s="54" t="str">
        <f ca="1">VLOOKUP($A2,OFFSET([1]characters!$A$1,0,0,COUNTA([1]characters!$A:$A),MATCH(B$1,[1]characters!$1:$1,0)-MATCH($A$1,[1]characters!$1:$1,0)+1),MATCH(B$1,[1]characters!$1:$1,0)-MATCH($A$1,[1]characters!$1:$1,0)+1,FALSE)</f>
        <v>ハッピー バレンタイン</v>
      </c>
      <c r="C2" s="54" t="str">
        <f ca="1">VLOOKUP($A2,OFFSET([1]characters!$A$1,0,0,COUNTA([1]characters!$A:$A),MATCH(C$1,[1]characters!$1:$1,0)-MATCH($A$1,[1]characters!$1:$1,0)+1),MATCH(C$1,[1]characters!$1:$1,0)-MATCH($A$1,[1]characters!$1:$1,0)+1,FALSE)</f>
        <v>イベント:バレンタイン</v>
      </c>
      <c r="D2" s="54" t="str">
        <f ca="1">VLOOKUP($A2,OFFSET([1]characters!$A$1,0,0,COUNTA([1]characters!$A:$A),MATCH(D$1,[1]characters!$1:$1,0)-MATCH($A$1,[1]characters!$1:$1,0)+1),MATCH(D$1,[1]characters!$1:$1,0)-MATCH($A$1,[1]characters!$1:$1,0)+1,FALSE)</f>
        <v>ウィルス</v>
      </c>
      <c r="E2" s="54" t="str">
        <f ca="1">VLOOKUP($A2,OFFSET([1]characters!$A$1,0,0,COUNTA([1]characters!$A:$A),MATCH(E$1,[1]characters!$1:$1,0)-MATCH($A$1,[1]characters!$1:$1,0)+1),MATCH(E$1,[1]characters!$1:$1,0)-MATCH($A$1,[1]characters!$1:$1,0)+1,FALSE)</f>
        <v>かわいい</v>
      </c>
      <c r="F2" s="54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4">
        <f ca="1">VLOOKUP($A2,OFFSET([1]characters!$A$1,0,0,COUNTA([1]characters!$A:$A),MATCH(G$1,[1]characters!$1:$1,0)-MATCH($A$1,[1]characters!$1:$1,0)+1),MATCH(G$1,[1]characters!$1:$1,0)-MATCH($A$1,[1]characters!$1:$1,0)+1,FALSE)</f>
        <v>3</v>
      </c>
      <c r="H2" s="54" t="str">
        <f ca="1">VLOOKUP($A2,OFFSET([1]characters!$A$1,0,0,COUNTA([1]characters!$A:$A),MATCH(H$1,[1]characters!$1:$1,0)-MATCH($A$1,[1]characters!$1:$1,0)+1),MATCH(H$1,[1]characters!$1:$1,0)-MATCH($A$1,[1]characters!$1:$1,0)+1,FALSE)</f>
        <v>DropWizW</v>
      </c>
      <c r="I2" s="54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INDEX(コスト!$A$1:$I$21,MATCH(H2,コスト!$A$1:$A$21,FALSE),MATCH(G2,コスト!$A$1:$I$1,FALSE))</f>
        <v>7</v>
      </c>
      <c r="O2" s="11">
        <f ca="1">INDEX(レベル!$A$1:$I$21,MATCH(H2,レベル!$A$1:$A$21,FALSE),MATCH(G2,レベル!$A$1:$I$1,FALSE))</f>
        <v>40</v>
      </c>
      <c r="P2" s="45">
        <f t="shared" ref="P2" ca="1" si="0">G2*15</f>
        <v>45</v>
      </c>
      <c r="Q2" s="54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1">
        <f ca="1">VLOOKUP(Q2,[1]character_type_i18n!$A:$H,4,FALSE)</f>
        <v>0.8</v>
      </c>
      <c r="T2" s="11">
        <f ca="1">VLOOKUP(Q2,[1]character_type_i18n!$A:$H,5,FALSE)</f>
        <v>0.78</v>
      </c>
      <c r="U2" s="11">
        <f ca="1">VLOOKUP(Q2,[1]character_type_i18n!$A:$H,6,FALSE)</f>
        <v>1</v>
      </c>
      <c r="V2" s="11">
        <f ca="1">VLOOKUP(Q2,[1]character_type_i18n!$A:$H,7,FALSE)</f>
        <v>1.42</v>
      </c>
      <c r="W2" s="54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4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177</v>
      </c>
      <c r="AF2" s="56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37">
        <v>79</v>
      </c>
      <c r="AH2" s="56" t="str">
        <f ca="1">VLOOKUP($AG2,OFFSET([1]characters!$A$1,0,0,COUNTA([1]characters!$A:$A),MATCH(AH$1,[1]characters!$1:$1,0)-MATCH($A$1,[1]characters!$1:$1,0)+1),MATCH(AH$1,[1]characters!$1:$1,0)-MATCH($A$1,[1]characters!$1:$1,0)+1,FALSE)</f>
        <v>ハッピー100</v>
      </c>
      <c r="AI2" s="11" t="str">
        <f>IF(AE2="NULL","NULL",VLOOKUP(G2,ビット!$A$2:$B$7,2))</f>
        <v>NULL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INDEX(経験値!$A$1:$I$21,MATCH(H2,経験値!$A$1:$A$21,FALSE),MATCH(G2,経験値!$A$1:$I$1,FALSE))</f>
        <v>required_exp_150</v>
      </c>
      <c r="AM2" s="8">
        <f ca="1">VLOOKUP(G2,経験値!$A$27:$B$32,2)</f>
        <v>1500</v>
      </c>
      <c r="AN2" s="14">
        <f ca="1">VLOOKUP(G2,ビット!$G$2:$H$7,2)</f>
        <v>300</v>
      </c>
      <c r="AO2" s="42"/>
      <c r="AP2" s="59">
        <v>571</v>
      </c>
      <c r="AQ2" s="54" t="str">
        <f ca="1">VLOOKUP($AP2,OFFSET(unit_skills!$A$1,0,0,COUNTA(unit_skills!$A:$A),MATCH(AQ$1,unit_skills!$1:$1,0)-MATCH($AP$1,unit_skills!$1:$1,0)+1),MATCH(AQ$1,unit_skills!$1:$1,0)-MATCH($AP$1,unit_skills!$1:$1,0)+1,FALSE)</f>
        <v>ハッピーバレンタイン！</v>
      </c>
      <c r="AR2" s="54" t="str">
        <f ca="1">VLOOKUP($AP2,OFFSET(unit_skills!$A$1,0,0,COUNTA(unit_skills!$A:$A),MATCH(AR$1,unit_skills!$1:$1,0)-MATCH($AP$1,unit_skills!$1:$1,0)+1),MATCH(AR$1,unit_skills!$1:$1,0)-MATCH($AP$1,unit_skills!$1:$1,0)+1,FALSE)</f>
        <v>HPを中回復</v>
      </c>
      <c r="AS2" s="54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8">
        <v>571</v>
      </c>
      <c r="AU2" s="54" t="str">
        <f ca="1">VLOOKUP($AT2,OFFSET(crash_skills!$A$1,0,0,COUNTA(crash_skills!$A:$A),MATCH(AU$1,crash_skills!$1:$1,0)-MATCH($AT$1,crash_skills!$1:$1,0)+1),MATCH(AU$1,crash_skills!$1:$1,0)-MATCH($AT$1,crash_skills!$1:$1,0)+1,FALSE)</f>
        <v>恋するウィルス</v>
      </c>
      <c r="AV2" s="54" t="str">
        <f ca="1">VLOOKUP($AT2,OFFSET(crash_skills!$A$1,0,0,COUNTA(crash_skills!$A:$A),MATCH(AV$1,crash_skills!$1:$1,0)-MATCH($AT$1,crash_skills!$1:$1,0)+1),MATCH(AV$1,crash_skills!$1:$1,0)-MATCH($AT$1,crash_skills!$1:$1,0)+1,FALSE)</f>
        <v>HPを威力214で回復</v>
      </c>
      <c r="AW2" s="54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5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0">
        <v>1</v>
      </c>
      <c r="AZ2" s="60">
        <v>1</v>
      </c>
      <c r="BA2" s="60">
        <v>0</v>
      </c>
      <c r="BB2" s="60">
        <v>1</v>
      </c>
      <c r="BC2" s="11">
        <f ca="1">INDEX('RC6SV'!$A$1:$G$21,MATCH(H2,'RC6SV'!$A$1:$A$21,FALSE),MATCH(G2,'RC6SV'!$A$1:$G$1,FALSE))</f>
        <v>4800</v>
      </c>
      <c r="BD2" s="45">
        <f t="shared" ref="BD2:BD3" ca="1" si="2">ROUND(BC2*IF(AJ2=1,0.95,IF(AJ2=2,1,IF(AJ2,1.05,0))),0)</f>
        <v>4800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3">
        <f ca="1">IF($BE2&lt;=0,ROUND(BK2*0.5,0), ROUND($BE2*S2*AA2*J2*AY2*0.8*[1]ステータス!$B$2,0))</f>
        <v>979</v>
      </c>
      <c r="BH2" s="13">
        <f ca="1">IF($BE2&lt;=0,ROUND(BL2*0.5,0), ROUND($BE2*T2*AB2*K2*AZ2*0.8*[1]ステータス!$C$2,0))</f>
        <v>551</v>
      </c>
      <c r="BI2" s="13">
        <f ca="1">IF($BE2&lt;=0,ROUND(BM2*0.5,0), ROUND($BE2*U2*AC2*L2*BA2*0.8*[1]ステータス!$D$2,0))</f>
        <v>0</v>
      </c>
      <c r="BJ2" s="13">
        <f ca="1">IF($BE2&lt;=0,ROUND(BN2*0.5,0), ROUND($BE2*V2*AD2*M2*BB2*0.8*[1]ステータス!$E$2,0))</f>
        <v>852</v>
      </c>
      <c r="BK2" s="11">
        <f ca="1">ROUND(BD2*S2*AA2*J2*AY2*[1]ステータス!$B$2,0)</f>
        <v>1958</v>
      </c>
      <c r="BL2" s="11">
        <f ca="1">ROUND(BD2*T2*AB2*K2*AZ2*[1]ステータス!$C$2,0)</f>
        <v>1101</v>
      </c>
      <c r="BM2" s="11">
        <f ca="1">ROUND(BD2*U2*AC2*L2*BA2*[1]ステータス!$D$2,0)</f>
        <v>0</v>
      </c>
      <c r="BN2" s="11">
        <f ca="1">ROUND(BD2*V2*AD2*M2*BB2*[1]ステータス!$E$2,0)</f>
        <v>1704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s="12" customFormat="1" ht="21" customHeight="1" x14ac:dyDescent="0.15">
      <c r="A3" s="124">
        <v>572</v>
      </c>
      <c r="B3" s="54" t="str">
        <f ca="1">VLOOKUP($A3,OFFSET([1]characters!$A$1,0,0,COUNTA([1]characters!$A:$A),MATCH(B$1,[1]characters!$1:$1,0)-MATCH($A$1,[1]characters!$1:$1,0)+1),MATCH(B$1,[1]characters!$1:$1,0)-MATCH($A$1,[1]characters!$1:$1,0)+1,FALSE)</f>
        <v>恋する果実</v>
      </c>
      <c r="C3" s="54" t="str">
        <f ca="1">VLOOKUP($A3,OFFSET([1]characters!$A$1,0,0,COUNTA([1]characters!$A:$A),MATCH(C$1,[1]characters!$1:$1,0)-MATCH($A$1,[1]characters!$1:$1,0)+1),MATCH(C$1,[1]characters!$1:$1,0)-MATCH($A$1,[1]characters!$1:$1,0)+1,FALSE)</f>
        <v>イベント:バレンタイン</v>
      </c>
      <c r="D3" s="54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4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4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4">
        <f ca="1">VLOOKUP($A3,OFFSET([1]characters!$A$1,0,0,COUNTA([1]characters!$A:$A),MATCH(G$1,[1]characters!$1:$1,0)-MATCH($A$1,[1]characters!$1:$1,0)+1),MATCH(G$1,[1]characters!$1:$1,0)-MATCH($A$1,[1]characters!$1:$1,0)+1,FALSE)</f>
        <v>3</v>
      </c>
      <c r="H3" s="54" t="str">
        <f ca="1">VLOOKUP($A3,OFFSET([1]characters!$A$1,0,0,COUNTA([1]characters!$A:$A),MATCH(H$1,[1]characters!$1:$1,0)-MATCH($A$1,[1]characters!$1:$1,0)+1),MATCH(H$1,[1]characters!$1:$1,0)-MATCH($A$1,[1]characters!$1:$1,0)+1,FALSE)</f>
        <v>Material</v>
      </c>
      <c r="I3" s="54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INDEX(コスト!$A$1:$I$21,MATCH(H3,コスト!$A$1:$A$21,FALSE),MATCH(G3,コスト!$A$1:$I$1,FALSE))</f>
        <v>99</v>
      </c>
      <c r="O3" s="11">
        <f ca="1">INDEX(レベル!$A$1:$I$21,MATCH(H3,レベル!$A$1:$A$21,FALSE),MATCH(G3,レベル!$A$1:$I$1,FALSE))</f>
        <v>1</v>
      </c>
      <c r="P3" s="145">
        <v>1</v>
      </c>
      <c r="Q3" s="148" t="s">
        <v>215</v>
      </c>
      <c r="R3" s="5" t="str">
        <f>VLOOKUP(Q3,[1]character_type_i18n!$A:$H,3,FALSE)</f>
        <v>バランスタイプ</v>
      </c>
      <c r="S3" s="11">
        <f>VLOOKUP(Q3,[1]character_type_i18n!$A:$H,4,FALSE)</f>
        <v>1</v>
      </c>
      <c r="T3" s="11">
        <f>VLOOKUP(Q3,[1]character_type_i18n!$A:$H,5,FALSE)</f>
        <v>1</v>
      </c>
      <c r="U3" s="11">
        <f>VLOOKUP(Q3,[1]character_type_i18n!$A:$H,6,FALSE)</f>
        <v>1</v>
      </c>
      <c r="V3" s="11">
        <f>VLOOKUP(Q3,[1]character_type_i18n!$A:$H,7,FALSE)</f>
        <v>1</v>
      </c>
      <c r="W3" s="54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4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178</v>
      </c>
      <c r="AF3" s="56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ca="1">IF(ISNA(MATCH(A3,AE:AE,0)),A3,INDIRECT(ADDRESS(MATCH(A3,AE:AE,0),COLUMN())))</f>
        <v>572</v>
      </c>
      <c r="AH3" s="56" t="str">
        <f ca="1">VLOOKUP($AG3,OFFSET([1]characters!$A$1,0,0,COUNTA([1]characters!$A:$A),MATCH(AH$1,[1]characters!$1:$1,0)-MATCH($A$1,[1]characters!$1:$1,0)+1),MATCH(AH$1,[1]characters!$1:$1,0)-MATCH($A$1,[1]characters!$1:$1,0)+1,FALSE)</f>
        <v>恋する果実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INDEX(経験値!$A$1:$I$21,MATCH(H3,経験値!$A$1:$A$21,FALSE),MATCH(G3,経験値!$A$1:$I$1,FALSE))</f>
        <v>NULL</v>
      </c>
      <c r="AM3" s="8">
        <f ca="1">VLOOKUP(G3,経験値!$A$27:$B$32,2)</f>
        <v>1500</v>
      </c>
      <c r="AN3" s="14">
        <f ca="1">VLOOKUP(G3,ビット!$G$2:$H$7,2)</f>
        <v>300</v>
      </c>
      <c r="AO3" s="42"/>
      <c r="AP3" s="59">
        <v>990013</v>
      </c>
      <c r="AQ3" s="54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54" t="e">
        <f ca="1">VLOOKUP($AP3,OFFSET(unit_skills!$A$1,0,0,COUNTA(unit_skills!$A:$A),MATCH(AR$1,unit_skills!$1:$1,0)-MATCH($AP$1,unit_skills!$1:$1,0)+1),MATCH(AR$1,unit_skills!$1:$1,0)-MATCH($AP$1,unit_skills!$1:$1,0)+1,FALSE)</f>
        <v>#N/A</v>
      </c>
      <c r="AS3" s="54" t="e">
        <f ca="1">VLOOKUP($AP3,OFFSET(unit_skills!$A$1,0,0,COUNTA(unit_skills!$A:$A),MATCH(AS$1,unit_skills!$1:$1,0)-MATCH($AP$1,unit_skills!$1:$1,0)+1),MATCH(AS$1,unit_skills!$1:$1,0)-MATCH($AP$1,unit_skills!$1:$1,0)+1,FALSE)</f>
        <v>#N/A</v>
      </c>
      <c r="AT3" s="38">
        <v>572</v>
      </c>
      <c r="AU3" s="54" t="str">
        <f ca="1">VLOOKUP($AT3,OFFSET(crash_skills!$A$1,0,0,COUNTA(crash_skills!$A:$A),MATCH(AU$1,crash_skills!$1:$1,0)-MATCH($AT$1,crash_skills!$1:$1,0)+1),MATCH(AU$1,crash_skills!$1:$1,0)-MATCH($AT$1,crash_skills!$1:$1,0)+1,FALSE)</f>
        <v>なし</v>
      </c>
      <c r="AV3" s="54" t="str">
        <f ca="1">VLOOKUP($AT3,OFFSET(crash_skills!$A$1,0,0,COUNTA(crash_skills!$A:$A),MATCH(AV$1,crash_skills!$1:$1,0)-MATCH($AT$1,crash_skills!$1:$1,0)+1),MATCH(AV$1,crash_skills!$1:$1,0)-MATCH($AT$1,crash_skills!$1:$1,0)+1,FALSE)</f>
        <v>効果はないが_x000D_ハッピーのキモチがつまっている！</v>
      </c>
      <c r="AW3" s="54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5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0">
        <v>1</v>
      </c>
      <c r="AZ3" s="60">
        <v>1</v>
      </c>
      <c r="BA3" s="60">
        <v>0</v>
      </c>
      <c r="BB3" s="60">
        <v>1</v>
      </c>
      <c r="BC3" s="11" t="e">
        <f ca="1">INDEX('RC6SV'!$A$1:$G$15,MATCH(H3,'RC6SV'!$A$1:$A$15,FALSE),MATCH(G3,'RC6SV'!$A$1:$G$1,FALSE))</f>
        <v>#N/A</v>
      </c>
      <c r="BD3" s="45" t="e">
        <f t="shared" ca="1" si="2"/>
        <v>#N/A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3" t="e">
        <f ca="1">IF($BE3&lt;=0,ROUND(BK3*0.5,0), ROUND($BE3*S3*AA3*J3*AY3*0.8*[1]ステータス!$B$2,0))</f>
        <v>#N/A</v>
      </c>
      <c r="BH3" s="13" t="e">
        <f ca="1">IF($BE3&lt;=0,ROUND(BL3*0.5,0), ROUND($BE3*T3*AB3*K3*AZ3*0.8*[1]ステータス!$C$2,0))</f>
        <v>#N/A</v>
      </c>
      <c r="BI3" s="13" t="e">
        <f ca="1">IF($BE3&lt;=0,ROUND(BM3*0.5,0), ROUND($BE3*U3*AC3*L3*BA3*0.8*[1]ステータス!$D$2,0))</f>
        <v>#N/A</v>
      </c>
      <c r="BJ3" s="13" t="e">
        <f ca="1">IF($BE3&lt;=0,ROUND(BN3*0.5,0), ROUND($BE3*V3*AD3*M3*BB3*0.8*[1]ステータス!$E$2,0))</f>
        <v>#N/A</v>
      </c>
      <c r="BK3" s="11" t="e">
        <f ca="1">ROUND(BD3*S3*AA3*J3*AY3*[1]ステータス!$B$2,0)</f>
        <v>#N/A</v>
      </c>
      <c r="BL3" s="11" t="e">
        <f ca="1">ROUND(BD3*T3*AB3*K3*AZ3*[1]ステータス!$C$2,0)</f>
        <v>#N/A</v>
      </c>
      <c r="BM3" s="11" t="e">
        <f ca="1">ROUND(BD3*U3*AC3*L3*BA3*[1]ステータス!$D$2,0)</f>
        <v>#N/A</v>
      </c>
      <c r="BN3" s="11" t="e">
        <f ca="1">ROUND(BD3*V3*AD3*M3*BB3*[1]ステータス!$E$2,0)</f>
        <v>#N/A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0</v>
      </c>
    </row>
  </sheetData>
  <autoFilter ref="A1:BQ3"/>
  <phoneticPr fontId="10"/>
  <conditionalFormatting sqref="BO1">
    <cfRule type="cellIs" dxfId="30" priority="120" stopIfTrue="1" operator="equal">
      <formula>1</formula>
    </cfRule>
  </conditionalFormatting>
  <conditionalFormatting sqref="BQ1">
    <cfRule type="cellIs" dxfId="2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zoomScale="75" zoomScaleNormal="75" zoomScalePageLayoutView="7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baseColWidth="12" defaultColWidth="13" defaultRowHeight="21" customHeight="1" outlineLevelCol="1" x14ac:dyDescent="0.15"/>
  <cols>
    <col min="1" max="1" width="16.1640625" style="122" bestFit="1" customWidth="1"/>
    <col min="2" max="2" width="13" style="122" bestFit="1" customWidth="1"/>
    <col min="3" max="3" width="21.83203125" style="122" customWidth="1"/>
    <col min="4" max="4" width="41.83203125" style="122" customWidth="1"/>
    <col min="5" max="5" width="9" style="122" customWidth="1"/>
    <col min="6" max="6" width="7.83203125" style="122" bestFit="1" customWidth="1"/>
    <col min="7" max="7" width="8.1640625" style="122" bestFit="1" customWidth="1"/>
    <col min="8" max="8" width="13.6640625" style="122" bestFit="1" customWidth="1"/>
    <col min="9" max="10" width="51.6640625" style="122" customWidth="1"/>
    <col min="11" max="11" width="10.83203125" style="122" customWidth="1" outlineLevel="1"/>
    <col min="12" max="17" width="9.5" style="121" customWidth="1" outlineLevel="1"/>
    <col min="18" max="18" width="20.33203125" style="122" customWidth="1" outlineLevel="1"/>
    <col min="19" max="19" width="10.33203125" style="122" bestFit="1" customWidth="1"/>
    <col min="20" max="16384" width="13" style="122"/>
  </cols>
  <sheetData>
    <row r="1" spans="1:19" s="121" customFormat="1" ht="21" customHeight="1" x14ac:dyDescent="0.15">
      <c r="A1" s="110" t="s">
        <v>20</v>
      </c>
      <c r="B1" s="111" t="s">
        <v>128</v>
      </c>
      <c r="C1" s="112" t="s">
        <v>40</v>
      </c>
      <c r="D1" s="113" t="s">
        <v>157</v>
      </c>
      <c r="E1" s="113" t="s">
        <v>158</v>
      </c>
      <c r="F1" s="110" t="s">
        <v>140</v>
      </c>
      <c r="G1" s="114" t="s">
        <v>2</v>
      </c>
      <c r="H1" s="114" t="s">
        <v>159</v>
      </c>
      <c r="I1" s="114" t="s">
        <v>160</v>
      </c>
      <c r="J1" s="115" t="s">
        <v>179</v>
      </c>
      <c r="K1" s="114" t="s">
        <v>4</v>
      </c>
      <c r="L1" s="116" t="s">
        <v>161</v>
      </c>
      <c r="M1" s="117" t="s">
        <v>162</v>
      </c>
      <c r="N1" s="117" t="s">
        <v>163</v>
      </c>
      <c r="O1" s="117" t="s">
        <v>164</v>
      </c>
      <c r="P1" s="117" t="s">
        <v>165</v>
      </c>
      <c r="Q1" s="118" t="s">
        <v>166</v>
      </c>
      <c r="R1" s="119" t="s">
        <v>167</v>
      </c>
      <c r="S1" s="120" t="s">
        <v>168</v>
      </c>
    </row>
    <row r="2" spans="1:19" ht="21" customHeight="1" x14ac:dyDescent="0.15">
      <c r="A2" s="10">
        <v>571</v>
      </c>
      <c r="B2" s="125" t="s">
        <v>180</v>
      </c>
      <c r="C2" s="126" t="s">
        <v>203</v>
      </c>
      <c r="D2" s="126" t="s">
        <v>204</v>
      </c>
      <c r="E2" s="127">
        <f t="shared" ref="E2" si="0">LEN(D2)</f>
        <v>6</v>
      </c>
      <c r="F2" s="109">
        <v>10</v>
      </c>
      <c r="G2" s="109">
        <v>5</v>
      </c>
      <c r="H2" s="128">
        <f>2001</f>
        <v>2001</v>
      </c>
      <c r="I2" s="128" t="s">
        <v>205</v>
      </c>
      <c r="J2" s="54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ハッピー バレンタイン</v>
      </c>
      <c r="K2" s="129">
        <v>3</v>
      </c>
      <c r="L2" s="130"/>
      <c r="M2" s="131"/>
      <c r="N2" s="131"/>
      <c r="O2" s="131"/>
      <c r="P2" s="131"/>
      <c r="Q2" s="131"/>
      <c r="R2" s="126"/>
      <c r="S2" s="13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8" priority="8" operator="greaterThan">
      <formula>41</formula>
    </cfRule>
  </conditionalFormatting>
  <conditionalFormatting sqref="E2">
    <cfRule type="cellIs" dxfId="27" priority="2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zoomScale="75" zoomScaleNormal="75" zoomScalePageLayoutView="75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2" defaultColWidth="13" defaultRowHeight="21" customHeight="1" x14ac:dyDescent="0.15"/>
  <cols>
    <col min="1" max="2" width="12.1640625" style="122" customWidth="1"/>
    <col min="3" max="3" width="35.33203125" style="123" customWidth="1"/>
    <col min="4" max="4" width="32" style="123" customWidth="1"/>
    <col min="5" max="5" width="10.5" style="123" customWidth="1"/>
    <col min="6" max="7" width="59.1640625" style="123" customWidth="1"/>
    <col min="8" max="8" width="6.83203125" style="122" bestFit="1" customWidth="1"/>
    <col min="9" max="9" width="20.33203125" style="122" customWidth="1"/>
    <col min="10" max="10" width="5" style="122" bestFit="1" customWidth="1"/>
    <col min="11" max="16384" width="13" style="122"/>
  </cols>
  <sheetData>
    <row r="1" spans="1:19" ht="21" customHeight="1" x14ac:dyDescent="0.15">
      <c r="A1" s="110" t="s">
        <v>176</v>
      </c>
      <c r="B1" s="111" t="s">
        <v>175</v>
      </c>
      <c r="C1" s="112" t="s">
        <v>174</v>
      </c>
      <c r="D1" s="113" t="s">
        <v>173</v>
      </c>
      <c r="E1" s="113" t="s">
        <v>172</v>
      </c>
      <c r="F1" s="114" t="s">
        <v>171</v>
      </c>
      <c r="G1" s="115" t="s">
        <v>179</v>
      </c>
      <c r="H1" s="114" t="s">
        <v>170</v>
      </c>
      <c r="I1" s="115" t="s">
        <v>169</v>
      </c>
      <c r="J1" s="119" t="s">
        <v>168</v>
      </c>
    </row>
    <row r="2" spans="1:19" ht="21" customHeight="1" x14ac:dyDescent="0.15">
      <c r="A2" s="10">
        <v>571</v>
      </c>
      <c r="B2" s="125" t="s">
        <v>181</v>
      </c>
      <c r="C2" s="126" t="s">
        <v>211</v>
      </c>
      <c r="D2" s="126" t="s">
        <v>217</v>
      </c>
      <c r="E2" s="127">
        <f t="shared" ref="E2" si="0">LEN(D2)</f>
        <v>11</v>
      </c>
      <c r="F2" s="109" t="s">
        <v>216</v>
      </c>
      <c r="G2" s="54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ハッピー バレンタイン</v>
      </c>
      <c r="H2" s="128">
        <v>3</v>
      </c>
      <c r="I2" s="128"/>
      <c r="J2" s="133"/>
      <c r="K2" s="129">
        <v>1</v>
      </c>
      <c r="L2" s="130"/>
      <c r="M2" s="131"/>
      <c r="N2" s="131"/>
      <c r="O2" s="131"/>
      <c r="P2" s="131"/>
      <c r="Q2" s="131"/>
      <c r="R2" s="126"/>
      <c r="S2" s="132"/>
    </row>
    <row r="3" spans="1:19" ht="29" customHeight="1" x14ac:dyDescent="0.15">
      <c r="A3" s="10">
        <v>572</v>
      </c>
      <c r="B3" s="125" t="s">
        <v>181</v>
      </c>
      <c r="C3" s="126" t="s">
        <v>212</v>
      </c>
      <c r="D3" s="126" t="s">
        <v>214</v>
      </c>
      <c r="E3" s="127">
        <f t="shared" ref="E3" si="1">LEN(D3)</f>
        <v>23</v>
      </c>
      <c r="F3" s="109"/>
      <c r="G3" s="54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恋する果実</v>
      </c>
      <c r="H3" s="128">
        <v>3</v>
      </c>
      <c r="I3" s="128"/>
      <c r="J3" s="133"/>
      <c r="K3" s="129">
        <v>1</v>
      </c>
      <c r="L3" s="130"/>
      <c r="M3" s="131"/>
      <c r="N3" s="131"/>
      <c r="O3" s="131"/>
      <c r="P3" s="131"/>
      <c r="Q3" s="131"/>
      <c r="R3" s="126"/>
      <c r="S3" s="132"/>
    </row>
  </sheetData>
  <sheetProtection selectLockedCells="1" selectUnlockedCells="1"/>
  <autoFilter ref="A1:J1"/>
  <phoneticPr fontId="22"/>
  <conditionalFormatting sqref="E2">
    <cfRule type="cellIs" dxfId="26" priority="2" operator="greaterThan">
      <formula>41</formula>
    </cfRule>
  </conditionalFormatting>
  <conditionalFormatting sqref="E3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E5" sqref="E5"/>
    </sheetView>
  </sheetViews>
  <sheetFormatPr baseColWidth="12" defaultRowHeight="15" outlineLevelCol="1" x14ac:dyDescent="0.15"/>
  <cols>
    <col min="2" max="2" width="12.83203125" style="135"/>
    <col min="4" max="4" width="12.83203125" style="135" customWidth="1" outlineLevel="1"/>
    <col min="5" max="5" width="12.83203125" style="135"/>
    <col min="8" max="8" width="24.6640625" customWidth="1"/>
  </cols>
  <sheetData>
    <row r="1" spans="1:8" x14ac:dyDescent="0.15">
      <c r="A1" s="106" t="s">
        <v>182</v>
      </c>
      <c r="B1" s="134" t="s">
        <v>183</v>
      </c>
      <c r="C1" s="106" t="s">
        <v>184</v>
      </c>
      <c r="D1" s="134" t="s">
        <v>186</v>
      </c>
      <c r="E1" s="106" t="s">
        <v>187</v>
      </c>
      <c r="F1" s="103" t="s">
        <v>188</v>
      </c>
      <c r="G1" s="106" t="s">
        <v>185</v>
      </c>
      <c r="H1" s="103" t="s">
        <v>189</v>
      </c>
    </row>
    <row r="2" spans="1:8" x14ac:dyDescent="0.15">
      <c r="A2" s="101">
        <v>571</v>
      </c>
      <c r="B2" s="134" t="str">
        <f>VLOOKUP(A2,[1]characters!$A:$C,3,FALSE)</f>
        <v>ハッピー バレンタイン</v>
      </c>
      <c r="C2" s="101" t="s">
        <v>190</v>
      </c>
      <c r="D2" s="134" t="str">
        <f>A2&amp;C2</f>
        <v>571skill</v>
      </c>
      <c r="E2" s="134">
        <v>5710</v>
      </c>
      <c r="F2" s="101" t="s">
        <v>192</v>
      </c>
      <c r="G2" s="101" t="s">
        <v>208</v>
      </c>
      <c r="H2" s="101" t="s">
        <v>207</v>
      </c>
    </row>
    <row r="3" spans="1:8" x14ac:dyDescent="0.15">
      <c r="A3" s="101">
        <v>571</v>
      </c>
      <c r="B3" s="134" t="str">
        <f>VLOOKUP(A3,[1]characters!$A:$C,3,FALSE)</f>
        <v>ハッピー バレンタイン</v>
      </c>
      <c r="C3" s="101" t="s">
        <v>193</v>
      </c>
      <c r="D3" s="134" t="str">
        <f>A3&amp;C3</f>
        <v>571cskill</v>
      </c>
      <c r="E3" s="134">
        <v>5711</v>
      </c>
      <c r="F3" s="101" t="s">
        <v>192</v>
      </c>
      <c r="G3" s="101" t="s">
        <v>191</v>
      </c>
      <c r="H3" s="101" t="s">
        <v>206</v>
      </c>
    </row>
    <row r="4" spans="1:8" x14ac:dyDescent="0.15">
      <c r="A4" s="101">
        <v>571</v>
      </c>
      <c r="B4" s="134" t="str">
        <f>VLOOKUP(A4,[1]characters!$A:$C,3,FALSE)</f>
        <v>ハッピー バレンタイン</v>
      </c>
      <c r="C4" s="101" t="s">
        <v>193</v>
      </c>
      <c r="D4" s="134" t="str">
        <f>A4&amp;C4</f>
        <v>571cskill</v>
      </c>
      <c r="E4" s="134">
        <v>5712</v>
      </c>
      <c r="F4" s="101" t="s">
        <v>192</v>
      </c>
      <c r="G4" s="101" t="s">
        <v>210</v>
      </c>
      <c r="H4" s="101" t="s">
        <v>213</v>
      </c>
    </row>
    <row r="5" spans="1:8" x14ac:dyDescent="0.15">
      <c r="A5" s="101">
        <v>572</v>
      </c>
      <c r="B5" s="134" t="str">
        <f>VLOOKUP(A5,[1]characters!$A:$C,3,FALSE)</f>
        <v>恋する果実</v>
      </c>
      <c r="C5" s="101" t="s">
        <v>193</v>
      </c>
      <c r="D5" s="134" t="str">
        <f>A5&amp;C5</f>
        <v>572cskill</v>
      </c>
      <c r="E5" s="134">
        <v>5720</v>
      </c>
      <c r="F5" s="101" t="s">
        <v>192</v>
      </c>
      <c r="G5" s="101" t="s">
        <v>191</v>
      </c>
      <c r="H5" s="101" t="s">
        <v>209</v>
      </c>
    </row>
    <row r="6" spans="1:8" x14ac:dyDescent="0.15">
      <c r="A6" s="101"/>
      <c r="B6" s="134"/>
      <c r="C6" s="101"/>
      <c r="D6" s="134"/>
      <c r="E6" s="134"/>
      <c r="F6" s="101"/>
      <c r="G6" s="101"/>
      <c r="H6" s="101"/>
    </row>
    <row r="7" spans="1:8" x14ac:dyDescent="0.15">
      <c r="A7" s="101"/>
      <c r="B7" s="134"/>
      <c r="C7" s="101"/>
      <c r="D7" s="134"/>
      <c r="E7" s="134"/>
      <c r="F7" s="101"/>
      <c r="G7" s="101"/>
      <c r="H7" s="101"/>
    </row>
    <row r="8" spans="1:8" x14ac:dyDescent="0.15">
      <c r="A8" s="101"/>
      <c r="B8" s="134"/>
      <c r="C8" s="101"/>
      <c r="D8" s="134"/>
      <c r="E8" s="134"/>
      <c r="F8" s="101"/>
      <c r="G8" s="101"/>
      <c r="H8" s="101"/>
    </row>
    <row r="9" spans="1:8" x14ac:dyDescent="0.15">
      <c r="A9" s="101"/>
      <c r="B9" s="134"/>
      <c r="C9" s="101"/>
      <c r="D9" s="134"/>
      <c r="E9" s="134"/>
      <c r="F9" s="101"/>
      <c r="G9" s="101"/>
      <c r="H9" s="101"/>
    </row>
    <row r="10" spans="1:8" x14ac:dyDescent="0.15">
      <c r="A10" s="101"/>
      <c r="B10" s="134"/>
      <c r="C10" s="101"/>
      <c r="D10" s="134"/>
      <c r="E10" s="134"/>
      <c r="F10" s="101"/>
      <c r="G10" s="101"/>
      <c r="H10" s="101"/>
    </row>
    <row r="11" spans="1:8" x14ac:dyDescent="0.15">
      <c r="A11" s="101"/>
      <c r="B11" s="134"/>
      <c r="C11" s="101"/>
      <c r="D11" s="134"/>
      <c r="E11" s="134"/>
      <c r="F11" s="101"/>
      <c r="G11" s="101"/>
      <c r="H11" s="101"/>
    </row>
    <row r="12" spans="1:8" x14ac:dyDescent="0.15">
      <c r="A12" s="101"/>
      <c r="B12" s="134"/>
      <c r="C12" s="101"/>
      <c r="D12" s="134"/>
      <c r="E12" s="134"/>
      <c r="F12" s="101"/>
      <c r="G12" s="101"/>
      <c r="H12" s="101"/>
    </row>
    <row r="13" spans="1:8" x14ac:dyDescent="0.15">
      <c r="A13" s="101"/>
      <c r="B13" s="134"/>
      <c r="C13" s="101"/>
      <c r="D13" s="134"/>
      <c r="E13" s="134"/>
      <c r="F13" s="101"/>
      <c r="G13" s="101"/>
      <c r="H13" s="101"/>
    </row>
    <row r="14" spans="1:8" x14ac:dyDescent="0.15">
      <c r="A14" s="101"/>
      <c r="B14" s="134"/>
      <c r="C14" s="101"/>
      <c r="D14" s="134"/>
      <c r="E14" s="134"/>
      <c r="F14" s="101"/>
      <c r="G14" s="101"/>
      <c r="H14" s="101"/>
    </row>
    <row r="15" spans="1:8" x14ac:dyDescent="0.15">
      <c r="A15" s="101"/>
      <c r="B15" s="134"/>
      <c r="C15" s="101"/>
      <c r="D15" s="134"/>
      <c r="E15" s="134"/>
      <c r="F15" s="101"/>
      <c r="G15" s="101"/>
      <c r="H15" s="101"/>
    </row>
    <row r="16" spans="1:8" x14ac:dyDescent="0.15">
      <c r="A16" s="101"/>
      <c r="B16" s="134"/>
      <c r="C16" s="101"/>
      <c r="D16" s="134"/>
      <c r="E16" s="134"/>
      <c r="F16" s="101"/>
      <c r="G16" s="101"/>
      <c r="H16" s="101"/>
    </row>
    <row r="17" spans="1:8" x14ac:dyDescent="0.15">
      <c r="A17" s="101"/>
      <c r="B17" s="134"/>
      <c r="C17" s="101"/>
      <c r="D17" s="134"/>
      <c r="E17" s="134"/>
      <c r="F17" s="101"/>
      <c r="G17" s="101"/>
      <c r="H17" s="101"/>
    </row>
    <row r="18" spans="1:8" x14ac:dyDescent="0.15">
      <c r="A18" s="101"/>
      <c r="B18" s="134"/>
      <c r="C18" s="101"/>
      <c r="D18" s="134"/>
      <c r="E18" s="134"/>
      <c r="F18" s="101"/>
      <c r="G18" s="101"/>
      <c r="H18" s="101"/>
    </row>
    <row r="19" spans="1:8" x14ac:dyDescent="0.15">
      <c r="A19" s="101"/>
      <c r="B19" s="134"/>
      <c r="C19" s="101"/>
      <c r="D19" s="134"/>
      <c r="E19" s="134"/>
      <c r="F19" s="101"/>
      <c r="G19" s="101"/>
      <c r="H19" s="101"/>
    </row>
    <row r="20" spans="1:8" x14ac:dyDescent="0.15">
      <c r="A20" s="101"/>
      <c r="B20" s="134"/>
      <c r="C20" s="101"/>
      <c r="D20" s="134"/>
      <c r="E20" s="134"/>
      <c r="F20" s="101"/>
      <c r="G20" s="101"/>
      <c r="H20" s="101"/>
    </row>
    <row r="21" spans="1:8" x14ac:dyDescent="0.15">
      <c r="A21" s="101"/>
      <c r="B21" s="134"/>
      <c r="C21" s="101"/>
      <c r="D21" s="134"/>
      <c r="E21" s="134"/>
      <c r="F21" s="101"/>
      <c r="G21" s="101"/>
      <c r="H21" s="101"/>
    </row>
    <row r="22" spans="1:8" x14ac:dyDescent="0.15">
      <c r="A22" s="101"/>
      <c r="B22" s="134"/>
      <c r="C22" s="101"/>
      <c r="D22" s="134"/>
      <c r="E22" s="134"/>
      <c r="F22" s="101"/>
      <c r="G22" s="101"/>
      <c r="H22" s="101"/>
    </row>
    <row r="23" spans="1:8" x14ac:dyDescent="0.15">
      <c r="A23" s="101"/>
      <c r="B23" s="134"/>
      <c r="C23" s="101"/>
      <c r="D23" s="134"/>
      <c r="E23" s="134"/>
      <c r="F23" s="101"/>
      <c r="G23" s="101"/>
      <c r="H23" s="101"/>
    </row>
    <row r="24" spans="1:8" x14ac:dyDescent="0.15">
      <c r="A24" s="101"/>
      <c r="B24" s="134"/>
      <c r="C24" s="101"/>
      <c r="D24" s="134"/>
      <c r="E24" s="134"/>
      <c r="F24" s="101"/>
      <c r="G24" s="101"/>
      <c r="H24" s="101"/>
    </row>
    <row r="25" spans="1:8" x14ac:dyDescent="0.15">
      <c r="A25" s="101"/>
      <c r="B25" s="134"/>
      <c r="C25" s="101"/>
      <c r="D25" s="134"/>
      <c r="E25" s="134"/>
      <c r="F25" s="101"/>
      <c r="G25" s="101"/>
      <c r="H25" s="101"/>
    </row>
  </sheetData>
  <phoneticPr fontId="22"/>
  <dataValidations count="2">
    <dataValidation type="list" allowBlank="1" showInputMessage="1" showErrorMessage="1" sqref="G2:G5">
      <formula1>"maru,giza,kumo"</formula1>
    </dataValidation>
    <dataValidation type="list" allowBlank="1" showInputMessage="1" showErrorMessage="1" sqref="C2:C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"/>
  <sheetViews>
    <sheetView showGridLines="0" topLeftCell="B1" workbookViewId="0">
      <pane ySplit="1" topLeftCell="A2" activePane="bottomLeft" state="frozen"/>
      <selection pane="bottomLeft" activeCell="I16" sqref="I16"/>
    </sheetView>
  </sheetViews>
  <sheetFormatPr baseColWidth="12" defaultColWidth="13" defaultRowHeight="15" x14ac:dyDescent="0.15"/>
  <cols>
    <col min="1" max="1" width="11.5" style="5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57" t="s">
        <v>97</v>
      </c>
      <c r="B1" s="39" t="s">
        <v>38</v>
      </c>
      <c r="C1" s="17" t="s">
        <v>40</v>
      </c>
      <c r="D1" s="17" t="s">
        <v>42</v>
      </c>
      <c r="E1" s="17" t="s">
        <v>43</v>
      </c>
      <c r="F1" s="40" t="s">
        <v>36</v>
      </c>
      <c r="G1" s="17" t="s">
        <v>41</v>
      </c>
      <c r="H1" s="16" t="s">
        <v>37</v>
      </c>
      <c r="I1" s="104" t="s">
        <v>121</v>
      </c>
    </row>
    <row r="2" spans="1:9" ht="21" customHeight="1" x14ac:dyDescent="0.15">
      <c r="A2" s="57" t="str">
        <f>B2&amp;"_"&amp;F2</f>
        <v>410_101</v>
      </c>
      <c r="B2" s="41">
        <v>410</v>
      </c>
      <c r="C2" s="18" t="e">
        <f ca="1">VLOOKUP($B2,OFFSET(units!$A$1,0,0,COUNTA(units!$A:$A),MATCH(C$1,units!$1:$1,0)-COLUMN(INDIRECT("character_id"))+1),MATCH(C$1,units!$1:$1,0)-COLUMN(INDIRECT("character_id"))+1,FALSE)</f>
        <v>#N/A</v>
      </c>
      <c r="D2" s="18" t="e">
        <f ca="1">VLOOKUP($B2,OFFSET(units!$A$1,0,0,COUNTA(units!$A:$A),MATCH(D$1,units!$1:$1,0)-COLUMN(INDIRECT("character_id"))+1),MATCH(D$1,units!$1:$1,0)-COLUMN(INDIRECT("character_id"))+1,FALSE)</f>
        <v>#N/A</v>
      </c>
      <c r="E2" s="18" t="e">
        <f ca="1">VLOOKUP($B2,OFFSET(units!$A$1,0,0,COUNTA(units!$A:$A),MATCH(E$1,units!$1:$1,0)-COLUMN(INDIRECT("character_id"))+1),MATCH(E$1,units!$1:$1,0)-COLUMN(INDIRECT("character_id"))+1,FALSE)</f>
        <v>#N/A</v>
      </c>
      <c r="F2" s="41">
        <v>101</v>
      </c>
      <c r="G2" s="18" t="str">
        <f>VLOOKUP(F2,[1]characters!$A:$C,3,FALSE)</f>
        <v>レッドチェシャ</v>
      </c>
      <c r="H2" s="15">
        <v>1</v>
      </c>
      <c r="I2" s="10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G17" sqref="G17"/>
    </sheetView>
  </sheetViews>
  <sheetFormatPr baseColWidth="12" defaultRowHeight="15" x14ac:dyDescent="0.15"/>
  <sheetData>
    <row r="1" spans="1:2" x14ac:dyDescent="0.15">
      <c r="A1" t="s">
        <v>220</v>
      </c>
      <c r="B1" t="s">
        <v>221</v>
      </c>
    </row>
    <row r="2" spans="1:2" x14ac:dyDescent="0.15">
      <c r="A2" t="s">
        <v>222</v>
      </c>
      <c r="B2">
        <v>1</v>
      </c>
    </row>
    <row r="3" spans="1:2" x14ac:dyDescent="0.15">
      <c r="A3" t="s">
        <v>223</v>
      </c>
      <c r="B3">
        <v>1</v>
      </c>
    </row>
    <row r="4" spans="1:2" x14ac:dyDescent="0.15">
      <c r="A4" t="s">
        <v>224</v>
      </c>
      <c r="B4">
        <v>1</v>
      </c>
    </row>
    <row r="5" spans="1:2" x14ac:dyDescent="0.15">
      <c r="A5" t="s">
        <v>225</v>
      </c>
      <c r="B5">
        <v>1</v>
      </c>
    </row>
    <row r="6" spans="1:2" x14ac:dyDescent="0.15">
      <c r="A6" t="s">
        <v>226</v>
      </c>
      <c r="B6">
        <v>1</v>
      </c>
    </row>
    <row r="7" spans="1:2" x14ac:dyDescent="0.15">
      <c r="A7" t="s">
        <v>227</v>
      </c>
      <c r="B7">
        <v>1</v>
      </c>
    </row>
    <row r="8" spans="1:2" x14ac:dyDescent="0.15">
      <c r="A8" t="s">
        <v>228</v>
      </c>
      <c r="B8">
        <v>1</v>
      </c>
    </row>
    <row r="9" spans="1:2" x14ac:dyDescent="0.15">
      <c r="A9" t="s">
        <v>229</v>
      </c>
      <c r="B9">
        <v>1</v>
      </c>
    </row>
    <row r="10" spans="1:2" x14ac:dyDescent="0.15">
      <c r="A10" t="s">
        <v>230</v>
      </c>
      <c r="B10">
        <v>1</v>
      </c>
    </row>
    <row r="11" spans="1:2" x14ac:dyDescent="0.15">
      <c r="A11" t="s">
        <v>231</v>
      </c>
      <c r="B11">
        <v>1</v>
      </c>
    </row>
    <row r="12" spans="1:2" x14ac:dyDescent="0.15">
      <c r="A12" t="s">
        <v>232</v>
      </c>
      <c r="B12">
        <v>1</v>
      </c>
    </row>
    <row r="13" spans="1:2" x14ac:dyDescent="0.15">
      <c r="A13" t="s">
        <v>233</v>
      </c>
      <c r="B13">
        <v>0</v>
      </c>
    </row>
    <row r="14" spans="1:2" x14ac:dyDescent="0.15">
      <c r="A14" t="s">
        <v>234</v>
      </c>
      <c r="B14">
        <v>500</v>
      </c>
    </row>
    <row r="15" spans="1:2" x14ac:dyDescent="0.15">
      <c r="A15" t="s">
        <v>235</v>
      </c>
      <c r="B15">
        <v>600</v>
      </c>
    </row>
    <row r="16" spans="1:2" x14ac:dyDescent="0.15">
      <c r="A16" t="s">
        <v>236</v>
      </c>
      <c r="B16">
        <v>700</v>
      </c>
    </row>
    <row r="17" spans="1:2" x14ac:dyDescent="0.15">
      <c r="A17" t="s">
        <v>237</v>
      </c>
      <c r="B17">
        <v>5500</v>
      </c>
    </row>
    <row r="18" spans="1:2" x14ac:dyDescent="0.15">
      <c r="A18" t="s">
        <v>238</v>
      </c>
      <c r="B18">
        <v>6000</v>
      </c>
    </row>
    <row r="19" spans="1:2" x14ac:dyDescent="0.15">
      <c r="A19" t="s">
        <v>239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240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ht="21" customHeight="1" x14ac:dyDescent="0.15">
      <c r="A2" s="149" t="s">
        <v>241</v>
      </c>
      <c r="B2" s="150"/>
      <c r="C2" s="151"/>
      <c r="D2" s="152" t="s">
        <v>242</v>
      </c>
      <c r="E2" s="152">
        <v>30</v>
      </c>
      <c r="F2" s="152">
        <v>40</v>
      </c>
      <c r="G2" s="152">
        <f>15+F2</f>
        <v>55</v>
      </c>
      <c r="H2" s="151"/>
      <c r="I2" s="151"/>
    </row>
    <row r="3" spans="1:9" ht="21" customHeight="1" x14ac:dyDescent="0.15">
      <c r="A3" s="149" t="s">
        <v>243</v>
      </c>
      <c r="B3" s="153"/>
      <c r="C3" s="154"/>
      <c r="D3" s="155" t="s">
        <v>242</v>
      </c>
      <c r="E3" s="155">
        <v>25</v>
      </c>
      <c r="F3" s="155">
        <v>35</v>
      </c>
      <c r="G3" s="152">
        <f t="shared" ref="G3:G4" si="0">15+F3</f>
        <v>50</v>
      </c>
      <c r="H3" s="154"/>
      <c r="I3" s="154"/>
    </row>
    <row r="4" spans="1:9" s="43" customFormat="1" ht="21" customHeight="1" x14ac:dyDescent="0.15">
      <c r="A4" s="149" t="s">
        <v>244</v>
      </c>
      <c r="B4" s="156"/>
      <c r="C4" s="157"/>
      <c r="D4" s="158">
        <v>10</v>
      </c>
      <c r="E4" s="158">
        <v>20</v>
      </c>
      <c r="F4" s="158">
        <v>30</v>
      </c>
      <c r="G4" s="158">
        <f t="shared" si="0"/>
        <v>45</v>
      </c>
      <c r="H4" s="157"/>
      <c r="I4" s="157"/>
    </row>
    <row r="5" spans="1:9" ht="21" customHeight="1" x14ac:dyDescent="0.15">
      <c r="A5" s="159" t="s">
        <v>245</v>
      </c>
      <c r="B5" s="160"/>
      <c r="C5" s="161"/>
      <c r="D5" s="26">
        <v>9</v>
      </c>
      <c r="E5" s="26">
        <v>18</v>
      </c>
      <c r="F5" s="26">
        <v>28</v>
      </c>
      <c r="G5" s="36">
        <v>38</v>
      </c>
      <c r="H5" s="161"/>
      <c r="I5" s="161"/>
    </row>
    <row r="6" spans="1:9" ht="21" customHeight="1" x14ac:dyDescent="0.15">
      <c r="A6" s="159" t="s">
        <v>246</v>
      </c>
      <c r="B6" s="160"/>
      <c r="C6" s="161"/>
      <c r="D6" s="26">
        <v>7</v>
      </c>
      <c r="E6" s="26">
        <v>16</v>
      </c>
      <c r="F6" s="61" t="s">
        <v>11</v>
      </c>
      <c r="G6" s="61" t="s">
        <v>11</v>
      </c>
      <c r="H6" s="161"/>
      <c r="I6" s="161"/>
    </row>
    <row r="7" spans="1:9" ht="21" customHeight="1" x14ac:dyDescent="0.15">
      <c r="A7" s="66" t="s">
        <v>247</v>
      </c>
      <c r="B7" s="44" t="s">
        <v>11</v>
      </c>
      <c r="C7" s="44" t="s">
        <v>11</v>
      </c>
      <c r="D7" s="36" t="s">
        <v>248</v>
      </c>
      <c r="E7" s="36" t="s">
        <v>248</v>
      </c>
      <c r="F7" s="36" t="s">
        <v>248</v>
      </c>
      <c r="G7" s="36" t="s">
        <v>248</v>
      </c>
      <c r="H7" s="36" t="s">
        <v>248</v>
      </c>
      <c r="I7" s="36" t="s">
        <v>248</v>
      </c>
    </row>
    <row r="8" spans="1:9" ht="21" customHeight="1" x14ac:dyDescent="0.15">
      <c r="A8" s="67" t="s">
        <v>249</v>
      </c>
      <c r="B8" s="44" t="s">
        <v>11</v>
      </c>
      <c r="C8" s="44" t="s">
        <v>11</v>
      </c>
      <c r="D8" s="36" t="s">
        <v>248</v>
      </c>
      <c r="E8" s="36">
        <v>30</v>
      </c>
      <c r="F8" s="36">
        <v>40</v>
      </c>
      <c r="G8" s="36">
        <f>15+F8</f>
        <v>55</v>
      </c>
      <c r="H8" s="36" t="s">
        <v>250</v>
      </c>
      <c r="I8" s="36" t="s">
        <v>250</v>
      </c>
    </row>
    <row r="9" spans="1:9" ht="21" customHeight="1" x14ac:dyDescent="0.15">
      <c r="A9" s="162" t="s">
        <v>251</v>
      </c>
      <c r="B9" s="26" t="s">
        <v>11</v>
      </c>
      <c r="C9" s="26" t="s">
        <v>11</v>
      </c>
      <c r="D9" s="98" t="s">
        <v>250</v>
      </c>
      <c r="E9" s="98" t="s">
        <v>250</v>
      </c>
      <c r="F9" s="98">
        <v>38</v>
      </c>
      <c r="G9" s="36">
        <f>15+F9</f>
        <v>53</v>
      </c>
      <c r="H9" s="98" t="s">
        <v>252</v>
      </c>
      <c r="I9" s="98" t="s">
        <v>252</v>
      </c>
    </row>
    <row r="10" spans="1:9" ht="21" customHeight="1" x14ac:dyDescent="0.15">
      <c r="A10" s="68" t="s">
        <v>253</v>
      </c>
      <c r="B10" s="26" t="s">
        <v>11</v>
      </c>
      <c r="C10" s="26" t="s">
        <v>11</v>
      </c>
      <c r="D10" s="98" t="s">
        <v>252</v>
      </c>
      <c r="E10" s="98">
        <v>25</v>
      </c>
      <c r="F10" s="98">
        <v>35</v>
      </c>
      <c r="G10" s="36">
        <f t="shared" ref="G10:G11" si="1">15+F10</f>
        <v>50</v>
      </c>
      <c r="H10" s="98" t="s">
        <v>254</v>
      </c>
      <c r="I10" s="98" t="s">
        <v>254</v>
      </c>
    </row>
    <row r="11" spans="1:9" ht="21" customHeight="1" x14ac:dyDescent="0.15">
      <c r="A11" s="68" t="s">
        <v>9</v>
      </c>
      <c r="B11" s="61" t="s">
        <v>11</v>
      </c>
      <c r="C11" s="61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1" t="s">
        <v>11</v>
      </c>
      <c r="I11" s="61" t="s">
        <v>11</v>
      </c>
    </row>
    <row r="12" spans="1:9" ht="21" customHeight="1" x14ac:dyDescent="0.15">
      <c r="A12" s="68" t="s">
        <v>255</v>
      </c>
      <c r="B12" s="61" t="s">
        <v>11</v>
      </c>
      <c r="C12" s="61" t="s">
        <v>11</v>
      </c>
      <c r="D12" s="26">
        <v>9</v>
      </c>
      <c r="E12" s="26">
        <v>18</v>
      </c>
      <c r="F12" s="26">
        <v>28</v>
      </c>
      <c r="G12" s="36">
        <v>38</v>
      </c>
      <c r="H12" s="61" t="s">
        <v>11</v>
      </c>
      <c r="I12" s="61" t="s">
        <v>11</v>
      </c>
    </row>
    <row r="13" spans="1:9" ht="21" customHeight="1" x14ac:dyDescent="0.15">
      <c r="A13" s="68" t="s">
        <v>256</v>
      </c>
      <c r="B13" s="61" t="s">
        <v>11</v>
      </c>
      <c r="C13" s="61" t="s">
        <v>11</v>
      </c>
      <c r="D13" s="26">
        <v>7</v>
      </c>
      <c r="E13" s="26">
        <v>16</v>
      </c>
      <c r="F13" s="61" t="s">
        <v>11</v>
      </c>
      <c r="G13" s="61" t="s">
        <v>11</v>
      </c>
      <c r="H13" s="61" t="s">
        <v>11</v>
      </c>
      <c r="I13" s="61" t="s">
        <v>11</v>
      </c>
    </row>
    <row r="14" spans="1:9" ht="21" customHeight="1" x14ac:dyDescent="0.15">
      <c r="A14" s="97" t="s">
        <v>257</v>
      </c>
      <c r="B14" s="61" t="s">
        <v>11</v>
      </c>
      <c r="C14" s="61" t="s">
        <v>11</v>
      </c>
      <c r="D14" s="26">
        <v>8</v>
      </c>
      <c r="E14" s="26">
        <v>17</v>
      </c>
      <c r="F14" s="26">
        <v>26</v>
      </c>
      <c r="G14" s="61" t="s">
        <v>11</v>
      </c>
      <c r="H14" s="61" t="s">
        <v>11</v>
      </c>
      <c r="I14" s="61" t="s">
        <v>11</v>
      </c>
    </row>
    <row r="15" spans="1:9" ht="21" customHeight="1" x14ac:dyDescent="0.15">
      <c r="A15" s="68" t="s">
        <v>258</v>
      </c>
      <c r="B15" s="61" t="s">
        <v>11</v>
      </c>
      <c r="C15" s="61" t="s">
        <v>11</v>
      </c>
      <c r="D15" s="26">
        <v>8</v>
      </c>
      <c r="E15" s="26">
        <v>17</v>
      </c>
      <c r="F15" s="26">
        <v>26</v>
      </c>
      <c r="G15" s="61" t="s">
        <v>11</v>
      </c>
      <c r="H15" s="61" t="s">
        <v>11</v>
      </c>
      <c r="I15" s="61" t="s">
        <v>11</v>
      </c>
    </row>
    <row r="16" spans="1:9" ht="21" customHeight="1" x14ac:dyDescent="0.15">
      <c r="A16" s="68" t="s">
        <v>259</v>
      </c>
      <c r="B16" s="61" t="s">
        <v>11</v>
      </c>
      <c r="C16" s="61" t="s">
        <v>11</v>
      </c>
      <c r="D16" s="26">
        <v>6</v>
      </c>
      <c r="E16" s="26">
        <v>14</v>
      </c>
      <c r="F16" s="61" t="s">
        <v>11</v>
      </c>
      <c r="G16" s="61" t="s">
        <v>11</v>
      </c>
      <c r="H16" s="61" t="s">
        <v>11</v>
      </c>
      <c r="I16" s="61" t="s">
        <v>11</v>
      </c>
    </row>
    <row r="17" spans="1:9" ht="21" customHeight="1" x14ac:dyDescent="0.15">
      <c r="A17" s="68" t="s">
        <v>260</v>
      </c>
      <c r="B17" s="61" t="s">
        <v>11</v>
      </c>
      <c r="C17" s="26">
        <v>4</v>
      </c>
      <c r="D17" s="26">
        <v>6</v>
      </c>
      <c r="E17" s="26">
        <v>14</v>
      </c>
      <c r="F17" s="61" t="s">
        <v>11</v>
      </c>
      <c r="G17" s="61" t="s">
        <v>11</v>
      </c>
      <c r="H17" s="61" t="s">
        <v>11</v>
      </c>
      <c r="I17" s="61" t="s">
        <v>11</v>
      </c>
    </row>
    <row r="18" spans="1:9" ht="21" customHeight="1" x14ac:dyDescent="0.15">
      <c r="A18" s="68" t="s">
        <v>8</v>
      </c>
      <c r="B18" s="26">
        <v>2</v>
      </c>
      <c r="C18" s="26">
        <v>4</v>
      </c>
      <c r="D18" s="26">
        <v>6</v>
      </c>
      <c r="E18" s="61" t="s">
        <v>11</v>
      </c>
      <c r="F18" s="61" t="s">
        <v>11</v>
      </c>
      <c r="G18" s="61" t="s">
        <v>11</v>
      </c>
      <c r="H18" s="61" t="s">
        <v>11</v>
      </c>
      <c r="I18" s="61" t="s">
        <v>11</v>
      </c>
    </row>
    <row r="19" spans="1:9" ht="21" customHeight="1" x14ac:dyDescent="0.15">
      <c r="A19" s="69" t="s">
        <v>7</v>
      </c>
      <c r="B19" s="29">
        <v>1</v>
      </c>
      <c r="C19" s="29">
        <v>2</v>
      </c>
      <c r="D19" s="62" t="s">
        <v>11</v>
      </c>
      <c r="E19" s="62" t="s">
        <v>11</v>
      </c>
      <c r="F19" s="62" t="s">
        <v>11</v>
      </c>
      <c r="G19" s="62" t="s">
        <v>11</v>
      </c>
      <c r="H19" s="62" t="s">
        <v>11</v>
      </c>
      <c r="I19" s="62" t="s">
        <v>11</v>
      </c>
    </row>
    <row r="20" spans="1:9" ht="21" customHeight="1" x14ac:dyDescent="0.15">
      <c r="A20" s="70" t="s">
        <v>261</v>
      </c>
      <c r="B20" s="24">
        <v>1</v>
      </c>
      <c r="C20" s="24">
        <v>1</v>
      </c>
      <c r="D20" s="62" t="s">
        <v>11</v>
      </c>
      <c r="E20" s="62" t="s">
        <v>11</v>
      </c>
      <c r="F20" s="62" t="s">
        <v>11</v>
      </c>
      <c r="G20" s="62" t="s">
        <v>11</v>
      </c>
      <c r="H20" s="62" t="s">
        <v>11</v>
      </c>
      <c r="I20" s="62" t="s">
        <v>11</v>
      </c>
    </row>
    <row r="21" spans="1:9" ht="21" customHeight="1" x14ac:dyDescent="0.15">
      <c r="A21" s="35" t="s">
        <v>262</v>
      </c>
      <c r="B21" s="24">
        <v>99</v>
      </c>
      <c r="C21" s="24">
        <v>99</v>
      </c>
      <c r="D21" s="24">
        <v>99</v>
      </c>
      <c r="E21" s="24">
        <v>99</v>
      </c>
      <c r="F21" s="24">
        <v>99</v>
      </c>
      <c r="G21" s="24">
        <v>99</v>
      </c>
      <c r="H21" s="24">
        <v>99</v>
      </c>
      <c r="I21" s="2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K21" sqref="K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ht="21" customHeight="1" x14ac:dyDescent="0.15">
      <c r="A2" s="149" t="s">
        <v>263</v>
      </c>
      <c r="B2" s="163"/>
      <c r="C2" s="151"/>
      <c r="D2" s="164" t="s">
        <v>264</v>
      </c>
      <c r="E2" s="164">
        <v>60</v>
      </c>
      <c r="F2" s="164">
        <v>80</v>
      </c>
      <c r="G2" s="164">
        <v>99</v>
      </c>
      <c r="H2" s="151"/>
      <c r="I2" s="151"/>
    </row>
    <row r="3" spans="1:9" ht="21" customHeight="1" x14ac:dyDescent="0.15">
      <c r="A3" s="149" t="s">
        <v>265</v>
      </c>
      <c r="B3" s="165"/>
      <c r="C3" s="154"/>
      <c r="D3" s="164" t="s">
        <v>264</v>
      </c>
      <c r="E3" s="164">
        <v>60</v>
      </c>
      <c r="F3" s="164">
        <v>80</v>
      </c>
      <c r="G3" s="164">
        <v>99</v>
      </c>
      <c r="H3" s="154"/>
      <c r="I3" s="154"/>
    </row>
    <row r="4" spans="1:9" s="43" customFormat="1" ht="21" customHeight="1" x14ac:dyDescent="0.15">
      <c r="A4" s="149" t="s">
        <v>266</v>
      </c>
      <c r="B4" s="166"/>
      <c r="C4" s="157"/>
      <c r="D4" s="164">
        <v>40</v>
      </c>
      <c r="E4" s="164">
        <v>60</v>
      </c>
      <c r="F4" s="164">
        <v>80</v>
      </c>
      <c r="G4" s="164">
        <v>99</v>
      </c>
      <c r="H4" s="157"/>
      <c r="I4" s="157"/>
    </row>
    <row r="5" spans="1:9" ht="21" customHeight="1" x14ac:dyDescent="0.15">
      <c r="A5" s="159" t="s">
        <v>267</v>
      </c>
      <c r="B5" s="160"/>
      <c r="C5" s="161"/>
      <c r="D5" s="164">
        <v>40</v>
      </c>
      <c r="E5" s="164">
        <v>60</v>
      </c>
      <c r="F5" s="164">
        <v>80</v>
      </c>
      <c r="G5" s="164">
        <v>99</v>
      </c>
      <c r="H5" s="161"/>
      <c r="I5" s="161"/>
    </row>
    <row r="6" spans="1:9" ht="21" customHeight="1" x14ac:dyDescent="0.15">
      <c r="A6" s="159" t="s">
        <v>268</v>
      </c>
      <c r="B6" s="160"/>
      <c r="C6" s="161"/>
      <c r="D6" s="164">
        <v>40</v>
      </c>
      <c r="E6" s="164">
        <v>60</v>
      </c>
      <c r="F6" s="164" t="s">
        <v>264</v>
      </c>
      <c r="G6" s="164" t="s">
        <v>264</v>
      </c>
      <c r="H6" s="161"/>
      <c r="I6" s="161"/>
    </row>
    <row r="7" spans="1:9" ht="21" customHeight="1" x14ac:dyDescent="0.15">
      <c r="A7" s="66" t="s">
        <v>269</v>
      </c>
      <c r="B7" s="37" t="s">
        <v>264</v>
      </c>
      <c r="C7" s="37" t="s">
        <v>264</v>
      </c>
      <c r="D7" s="37" t="s">
        <v>264</v>
      </c>
      <c r="E7" s="37" t="s">
        <v>264</v>
      </c>
      <c r="F7" s="37" t="s">
        <v>264</v>
      </c>
      <c r="G7" s="37" t="s">
        <v>264</v>
      </c>
      <c r="H7" s="37" t="s">
        <v>264</v>
      </c>
      <c r="I7" s="37" t="s">
        <v>264</v>
      </c>
    </row>
    <row r="8" spans="1:9" ht="21" customHeight="1" x14ac:dyDescent="0.15">
      <c r="A8" s="67" t="s">
        <v>270</v>
      </c>
      <c r="B8" s="37" t="s">
        <v>264</v>
      </c>
      <c r="C8" s="37" t="s">
        <v>264</v>
      </c>
      <c r="D8" s="37" t="s">
        <v>264</v>
      </c>
      <c r="E8" s="37">
        <v>60</v>
      </c>
      <c r="F8" s="37">
        <v>80</v>
      </c>
      <c r="G8" s="37">
        <v>99</v>
      </c>
      <c r="H8" s="37" t="s">
        <v>264</v>
      </c>
      <c r="I8" s="37" t="s">
        <v>264</v>
      </c>
    </row>
    <row r="9" spans="1:9" ht="21" customHeight="1" x14ac:dyDescent="0.15">
      <c r="A9" s="162" t="s">
        <v>271</v>
      </c>
      <c r="B9" s="58" t="s">
        <v>264</v>
      </c>
      <c r="C9" s="58" t="s">
        <v>264</v>
      </c>
      <c r="D9" s="58" t="s">
        <v>264</v>
      </c>
      <c r="E9" s="58" t="s">
        <v>264</v>
      </c>
      <c r="F9" s="58">
        <v>80</v>
      </c>
      <c r="G9" s="58">
        <v>99</v>
      </c>
      <c r="H9" s="58" t="s">
        <v>264</v>
      </c>
      <c r="I9" s="58" t="s">
        <v>264</v>
      </c>
    </row>
    <row r="10" spans="1:9" ht="21" customHeight="1" x14ac:dyDescent="0.15">
      <c r="A10" s="68" t="s">
        <v>272</v>
      </c>
      <c r="B10" s="58" t="s">
        <v>264</v>
      </c>
      <c r="C10" s="58" t="s">
        <v>264</v>
      </c>
      <c r="D10" s="58" t="s">
        <v>264</v>
      </c>
      <c r="E10" s="58">
        <v>60</v>
      </c>
      <c r="F10" s="58">
        <v>80</v>
      </c>
      <c r="G10" s="58">
        <v>99</v>
      </c>
      <c r="H10" s="58" t="s">
        <v>264</v>
      </c>
      <c r="I10" s="58" t="s">
        <v>264</v>
      </c>
    </row>
    <row r="11" spans="1:9" ht="21" customHeight="1" x14ac:dyDescent="0.15">
      <c r="A11" s="68" t="s">
        <v>9</v>
      </c>
      <c r="B11" s="63" t="s">
        <v>264</v>
      </c>
      <c r="C11" s="63" t="s">
        <v>264</v>
      </c>
      <c r="D11" s="34">
        <v>40</v>
      </c>
      <c r="E11" s="34">
        <v>60</v>
      </c>
      <c r="F11" s="34">
        <v>80</v>
      </c>
      <c r="G11" s="37">
        <v>99</v>
      </c>
      <c r="H11" s="63" t="s">
        <v>264</v>
      </c>
      <c r="I11" s="63" t="s">
        <v>264</v>
      </c>
    </row>
    <row r="12" spans="1:9" ht="21" customHeight="1" x14ac:dyDescent="0.15">
      <c r="A12" s="68" t="s">
        <v>273</v>
      </c>
      <c r="B12" s="63" t="s">
        <v>264</v>
      </c>
      <c r="C12" s="63" t="s">
        <v>264</v>
      </c>
      <c r="D12" s="34">
        <v>40</v>
      </c>
      <c r="E12" s="34">
        <v>60</v>
      </c>
      <c r="F12" s="34">
        <v>80</v>
      </c>
      <c r="G12" s="58">
        <v>99</v>
      </c>
      <c r="H12" s="63" t="s">
        <v>264</v>
      </c>
      <c r="I12" s="63" t="s">
        <v>264</v>
      </c>
    </row>
    <row r="13" spans="1:9" ht="21" customHeight="1" x14ac:dyDescent="0.15">
      <c r="A13" s="68" t="s">
        <v>274</v>
      </c>
      <c r="B13" s="63" t="s">
        <v>264</v>
      </c>
      <c r="C13" s="63" t="s">
        <v>264</v>
      </c>
      <c r="D13" s="34">
        <v>40</v>
      </c>
      <c r="E13" s="34">
        <v>60</v>
      </c>
      <c r="F13" s="63" t="s">
        <v>264</v>
      </c>
      <c r="G13" s="63" t="s">
        <v>264</v>
      </c>
      <c r="H13" s="63" t="s">
        <v>264</v>
      </c>
      <c r="I13" s="63" t="s">
        <v>264</v>
      </c>
    </row>
    <row r="14" spans="1:9" ht="21" customHeight="1" x14ac:dyDescent="0.15">
      <c r="A14" s="97" t="s">
        <v>275</v>
      </c>
      <c r="B14" s="63" t="s">
        <v>264</v>
      </c>
      <c r="C14" s="63" t="s">
        <v>264</v>
      </c>
      <c r="D14" s="34">
        <v>40</v>
      </c>
      <c r="E14" s="34">
        <v>60</v>
      </c>
      <c r="F14" s="34">
        <v>80</v>
      </c>
      <c r="G14" s="63" t="s">
        <v>264</v>
      </c>
      <c r="H14" s="63" t="s">
        <v>264</v>
      </c>
      <c r="I14" s="63" t="s">
        <v>264</v>
      </c>
    </row>
    <row r="15" spans="1:9" ht="21" customHeight="1" x14ac:dyDescent="0.15">
      <c r="A15" s="68" t="s">
        <v>276</v>
      </c>
      <c r="B15" s="63" t="s">
        <v>264</v>
      </c>
      <c r="C15" s="63" t="s">
        <v>264</v>
      </c>
      <c r="D15" s="34">
        <v>40</v>
      </c>
      <c r="E15" s="34">
        <v>60</v>
      </c>
      <c r="F15" s="34">
        <v>80</v>
      </c>
      <c r="G15" s="63" t="s">
        <v>264</v>
      </c>
      <c r="H15" s="63" t="s">
        <v>264</v>
      </c>
      <c r="I15" s="63" t="s">
        <v>264</v>
      </c>
    </row>
    <row r="16" spans="1:9" ht="21" customHeight="1" x14ac:dyDescent="0.15">
      <c r="A16" s="68" t="s">
        <v>277</v>
      </c>
      <c r="B16" s="63" t="s">
        <v>264</v>
      </c>
      <c r="C16" s="34">
        <v>30</v>
      </c>
      <c r="D16" s="34">
        <v>40</v>
      </c>
      <c r="E16" s="34">
        <v>60</v>
      </c>
      <c r="F16" s="63" t="s">
        <v>264</v>
      </c>
      <c r="G16" s="63" t="s">
        <v>264</v>
      </c>
      <c r="H16" s="63" t="s">
        <v>264</v>
      </c>
      <c r="I16" s="63" t="s">
        <v>264</v>
      </c>
    </row>
    <row r="17" spans="1:9" ht="21" customHeight="1" x14ac:dyDescent="0.15">
      <c r="A17" s="68" t="s">
        <v>278</v>
      </c>
      <c r="B17" s="63" t="s">
        <v>264</v>
      </c>
      <c r="C17" s="34">
        <v>30</v>
      </c>
      <c r="D17" s="34">
        <v>40</v>
      </c>
      <c r="E17" s="34">
        <v>60</v>
      </c>
      <c r="F17" s="63" t="s">
        <v>264</v>
      </c>
      <c r="G17" s="63" t="s">
        <v>264</v>
      </c>
      <c r="H17" s="63" t="s">
        <v>264</v>
      </c>
      <c r="I17" s="63" t="s">
        <v>264</v>
      </c>
    </row>
    <row r="18" spans="1:9" ht="21" customHeight="1" x14ac:dyDescent="0.15">
      <c r="A18" s="68" t="s">
        <v>8</v>
      </c>
      <c r="B18" s="34">
        <v>15</v>
      </c>
      <c r="C18" s="34">
        <v>30</v>
      </c>
      <c r="D18" s="34">
        <v>40</v>
      </c>
      <c r="E18" s="63" t="s">
        <v>264</v>
      </c>
      <c r="F18" s="63" t="s">
        <v>264</v>
      </c>
      <c r="G18" s="63" t="s">
        <v>264</v>
      </c>
      <c r="H18" s="63" t="s">
        <v>264</v>
      </c>
      <c r="I18" s="63" t="s">
        <v>264</v>
      </c>
    </row>
    <row r="19" spans="1:9" ht="21" customHeight="1" x14ac:dyDescent="0.15">
      <c r="A19" s="69" t="s">
        <v>7</v>
      </c>
      <c r="B19" s="34">
        <v>15</v>
      </c>
      <c r="C19" s="34">
        <v>30</v>
      </c>
      <c r="D19" s="34">
        <v>40</v>
      </c>
      <c r="E19" s="63" t="s">
        <v>264</v>
      </c>
      <c r="F19" s="63" t="s">
        <v>264</v>
      </c>
      <c r="G19" s="63" t="s">
        <v>264</v>
      </c>
      <c r="H19" s="63" t="s">
        <v>264</v>
      </c>
      <c r="I19" s="63" t="s">
        <v>264</v>
      </c>
    </row>
    <row r="20" spans="1:9" ht="21" customHeight="1" x14ac:dyDescent="0.15">
      <c r="A20" s="70" t="s">
        <v>279</v>
      </c>
      <c r="B20" s="34">
        <v>10</v>
      </c>
      <c r="C20" s="34">
        <v>20</v>
      </c>
      <c r="D20" s="63" t="s">
        <v>264</v>
      </c>
      <c r="E20" s="63" t="s">
        <v>264</v>
      </c>
      <c r="F20" s="63" t="s">
        <v>264</v>
      </c>
      <c r="G20" s="63" t="s">
        <v>264</v>
      </c>
      <c r="H20" s="63" t="s">
        <v>264</v>
      </c>
      <c r="I20" s="63" t="s">
        <v>264</v>
      </c>
    </row>
    <row r="21" spans="1:9" ht="21" customHeight="1" x14ac:dyDescent="0.15">
      <c r="A21" s="35" t="s">
        <v>280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topLeftCell="A12" workbookViewId="0">
      <selection activeCell="A27" sqref="A27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6" t="s">
        <v>10</v>
      </c>
      <c r="B1" s="47">
        <v>1</v>
      </c>
      <c r="C1" s="47">
        <v>2</v>
      </c>
      <c r="D1" s="47">
        <v>3</v>
      </c>
      <c r="E1" s="47">
        <v>4</v>
      </c>
      <c r="F1" s="47">
        <v>5</v>
      </c>
      <c r="G1" s="47">
        <v>6</v>
      </c>
      <c r="H1" s="47">
        <v>7</v>
      </c>
      <c r="I1" s="47">
        <v>8</v>
      </c>
    </row>
    <row r="2" spans="1:11" ht="21" customHeight="1" x14ac:dyDescent="0.15">
      <c r="A2" s="149" t="s">
        <v>281</v>
      </c>
      <c r="B2" s="150"/>
      <c r="C2" s="151"/>
      <c r="D2" s="164" t="s">
        <v>282</v>
      </c>
      <c r="E2" s="167" t="s">
        <v>59</v>
      </c>
      <c r="F2" s="167" t="s">
        <v>59</v>
      </c>
      <c r="G2" s="167" t="s">
        <v>283</v>
      </c>
      <c r="H2" s="151"/>
      <c r="I2" s="151"/>
      <c r="J2" s="4"/>
      <c r="K2" s="4"/>
    </row>
    <row r="3" spans="1:11" ht="21" customHeight="1" x14ac:dyDescent="0.15">
      <c r="A3" s="149" t="s">
        <v>284</v>
      </c>
      <c r="B3" s="153"/>
      <c r="C3" s="154"/>
      <c r="D3" s="167" t="s">
        <v>59</v>
      </c>
      <c r="E3" s="167" t="s">
        <v>59</v>
      </c>
      <c r="F3" s="167" t="s">
        <v>59</v>
      </c>
      <c r="G3" s="167" t="s">
        <v>285</v>
      </c>
      <c r="H3" s="154"/>
      <c r="I3" s="154"/>
      <c r="J3" s="4"/>
      <c r="K3" s="4"/>
    </row>
    <row r="4" spans="1:11" s="43" customFormat="1" ht="21" customHeight="1" x14ac:dyDescent="0.15">
      <c r="A4" s="149" t="s">
        <v>286</v>
      </c>
      <c r="B4" s="156"/>
      <c r="C4" s="157"/>
      <c r="D4" s="168" t="s">
        <v>59</v>
      </c>
      <c r="E4" s="168" t="s">
        <v>59</v>
      </c>
      <c r="F4" s="168" t="s">
        <v>59</v>
      </c>
      <c r="G4" s="167" t="s">
        <v>285</v>
      </c>
      <c r="H4" s="157"/>
      <c r="I4" s="157"/>
      <c r="J4" s="4"/>
      <c r="K4" s="4"/>
    </row>
    <row r="5" spans="1:11" ht="21" customHeight="1" x14ac:dyDescent="0.15">
      <c r="A5" s="159" t="s">
        <v>287</v>
      </c>
      <c r="B5" s="160"/>
      <c r="C5" s="161"/>
      <c r="D5" s="168" t="s">
        <v>59</v>
      </c>
      <c r="E5" s="168" t="s">
        <v>59</v>
      </c>
      <c r="F5" s="168" t="s">
        <v>59</v>
      </c>
      <c r="G5" s="167" t="s">
        <v>285</v>
      </c>
      <c r="H5" s="161"/>
      <c r="I5" s="161"/>
      <c r="J5" s="4"/>
      <c r="K5" s="4"/>
    </row>
    <row r="6" spans="1:11" ht="21" customHeight="1" x14ac:dyDescent="0.15">
      <c r="A6" s="159" t="s">
        <v>288</v>
      </c>
      <c r="B6" s="160"/>
      <c r="C6" s="161"/>
      <c r="D6" s="169" t="s">
        <v>60</v>
      </c>
      <c r="E6" s="169" t="s">
        <v>60</v>
      </c>
      <c r="F6" s="164" t="s">
        <v>282</v>
      </c>
      <c r="G6" s="164" t="s">
        <v>282</v>
      </c>
      <c r="H6" s="161"/>
      <c r="I6" s="161"/>
      <c r="J6" s="4"/>
      <c r="K6" s="4"/>
    </row>
    <row r="7" spans="1:11" ht="21" customHeight="1" x14ac:dyDescent="0.15">
      <c r="A7" s="66" t="s">
        <v>289</v>
      </c>
      <c r="B7" s="37" t="s">
        <v>282</v>
      </c>
      <c r="C7" s="37" t="s">
        <v>282</v>
      </c>
      <c r="D7" s="37" t="s">
        <v>282</v>
      </c>
      <c r="E7" s="37" t="s">
        <v>282</v>
      </c>
      <c r="F7" s="37" t="s">
        <v>282</v>
      </c>
      <c r="G7" s="37" t="s">
        <v>282</v>
      </c>
      <c r="H7" s="37" t="s">
        <v>282</v>
      </c>
      <c r="I7" s="37" t="s">
        <v>282</v>
      </c>
    </row>
    <row r="8" spans="1:11" ht="21" customHeight="1" x14ac:dyDescent="0.15">
      <c r="A8" s="67" t="s">
        <v>290</v>
      </c>
      <c r="B8" s="37" t="s">
        <v>282</v>
      </c>
      <c r="C8" s="37" t="s">
        <v>282</v>
      </c>
      <c r="D8" s="37" t="s">
        <v>282</v>
      </c>
      <c r="E8" s="49" t="s">
        <v>285</v>
      </c>
      <c r="F8" s="49" t="s">
        <v>285</v>
      </c>
      <c r="G8" s="49" t="s">
        <v>283</v>
      </c>
      <c r="H8" s="37" t="s">
        <v>282</v>
      </c>
      <c r="I8" s="37" t="s">
        <v>282</v>
      </c>
    </row>
    <row r="9" spans="1:11" ht="21" customHeight="1" x14ac:dyDescent="0.15">
      <c r="A9" s="162" t="s">
        <v>291</v>
      </c>
      <c r="B9" s="58" t="s">
        <v>282</v>
      </c>
      <c r="C9" s="58" t="s">
        <v>282</v>
      </c>
      <c r="D9" s="58" t="s">
        <v>282</v>
      </c>
      <c r="E9" s="58" t="s">
        <v>282</v>
      </c>
      <c r="F9" s="49" t="s">
        <v>292</v>
      </c>
      <c r="G9" s="49" t="s">
        <v>285</v>
      </c>
      <c r="H9" s="58" t="s">
        <v>282</v>
      </c>
      <c r="I9" s="58" t="s">
        <v>282</v>
      </c>
      <c r="J9" s="43"/>
      <c r="K9" s="43"/>
    </row>
    <row r="10" spans="1:11" ht="21" customHeight="1" x14ac:dyDescent="0.15">
      <c r="A10" s="68" t="s">
        <v>293</v>
      </c>
      <c r="B10" s="58" t="s">
        <v>282</v>
      </c>
      <c r="C10" s="58" t="s">
        <v>282</v>
      </c>
      <c r="D10" s="58" t="s">
        <v>282</v>
      </c>
      <c r="E10" s="49" t="s">
        <v>59</v>
      </c>
      <c r="F10" s="49" t="s">
        <v>292</v>
      </c>
      <c r="G10" s="49" t="s">
        <v>285</v>
      </c>
      <c r="H10" s="58" t="s">
        <v>282</v>
      </c>
      <c r="I10" s="58" t="s">
        <v>282</v>
      </c>
      <c r="J10" s="43"/>
      <c r="K10" s="43"/>
    </row>
    <row r="11" spans="1:11" ht="21" customHeight="1" x14ac:dyDescent="0.15">
      <c r="A11" s="68" t="s">
        <v>9</v>
      </c>
      <c r="B11" s="63" t="s">
        <v>282</v>
      </c>
      <c r="C11" s="63" t="s">
        <v>282</v>
      </c>
      <c r="D11" s="49" t="s">
        <v>59</v>
      </c>
      <c r="E11" s="49" t="s">
        <v>59</v>
      </c>
      <c r="F11" s="49" t="s">
        <v>59</v>
      </c>
      <c r="G11" s="49" t="s">
        <v>285</v>
      </c>
      <c r="H11" s="63" t="s">
        <v>282</v>
      </c>
      <c r="I11" s="63" t="s">
        <v>282</v>
      </c>
      <c r="K11" s="25" t="s">
        <v>12</v>
      </c>
    </row>
    <row r="12" spans="1:11" ht="21" customHeight="1" x14ac:dyDescent="0.15">
      <c r="A12" s="68" t="s">
        <v>294</v>
      </c>
      <c r="B12" s="63" t="s">
        <v>282</v>
      </c>
      <c r="C12" s="63" t="s">
        <v>282</v>
      </c>
      <c r="D12" s="50" t="s">
        <v>59</v>
      </c>
      <c r="E12" s="50" t="s">
        <v>59</v>
      </c>
      <c r="F12" s="50" t="s">
        <v>59</v>
      </c>
      <c r="G12" s="49" t="s">
        <v>285</v>
      </c>
      <c r="H12" s="63" t="s">
        <v>282</v>
      </c>
      <c r="I12" s="63" t="s">
        <v>282</v>
      </c>
      <c r="K12" s="27" t="s">
        <v>13</v>
      </c>
    </row>
    <row r="13" spans="1:11" ht="21" customHeight="1" x14ac:dyDescent="0.15">
      <c r="A13" s="68" t="s">
        <v>295</v>
      </c>
      <c r="B13" s="63" t="s">
        <v>282</v>
      </c>
      <c r="C13" s="63" t="s">
        <v>282</v>
      </c>
      <c r="D13" s="51" t="s">
        <v>60</v>
      </c>
      <c r="E13" s="51" t="s">
        <v>60</v>
      </c>
      <c r="F13" s="63" t="s">
        <v>282</v>
      </c>
      <c r="G13" s="63" t="s">
        <v>282</v>
      </c>
      <c r="H13" s="63" t="s">
        <v>282</v>
      </c>
      <c r="I13" s="63" t="s">
        <v>282</v>
      </c>
      <c r="K13" s="64" t="s">
        <v>35</v>
      </c>
    </row>
    <row r="14" spans="1:11" ht="21" customHeight="1" x14ac:dyDescent="0.15">
      <c r="A14" s="97" t="s">
        <v>296</v>
      </c>
      <c r="B14" s="63" t="s">
        <v>282</v>
      </c>
      <c r="C14" s="63" t="s">
        <v>282</v>
      </c>
      <c r="D14" s="52" t="s">
        <v>59</v>
      </c>
      <c r="E14" s="52" t="s">
        <v>59</v>
      </c>
      <c r="F14" s="52" t="s">
        <v>59</v>
      </c>
      <c r="G14" s="63" t="s">
        <v>282</v>
      </c>
      <c r="H14" s="63" t="s">
        <v>282</v>
      </c>
      <c r="I14" s="63" t="s">
        <v>282</v>
      </c>
      <c r="K14" s="65"/>
    </row>
    <row r="15" spans="1:11" ht="21" customHeight="1" x14ac:dyDescent="0.15">
      <c r="A15" s="68" t="s">
        <v>297</v>
      </c>
      <c r="B15" s="63" t="s">
        <v>282</v>
      </c>
      <c r="C15" s="63" t="s">
        <v>282</v>
      </c>
      <c r="D15" s="52" t="s">
        <v>59</v>
      </c>
      <c r="E15" s="52" t="s">
        <v>59</v>
      </c>
      <c r="F15" s="52" t="s">
        <v>59</v>
      </c>
      <c r="G15" s="63" t="s">
        <v>282</v>
      </c>
      <c r="H15" s="63" t="s">
        <v>282</v>
      </c>
      <c r="I15" s="63" t="s">
        <v>282</v>
      </c>
    </row>
    <row r="16" spans="1:11" ht="21" customHeight="1" x14ac:dyDescent="0.15">
      <c r="A16" s="68" t="s">
        <v>298</v>
      </c>
      <c r="B16" s="63" t="s">
        <v>282</v>
      </c>
      <c r="C16" s="63" t="s">
        <v>282</v>
      </c>
      <c r="D16" s="52" t="s">
        <v>60</v>
      </c>
      <c r="E16" s="52" t="s">
        <v>60</v>
      </c>
      <c r="F16" s="63" t="s">
        <v>282</v>
      </c>
      <c r="G16" s="63" t="s">
        <v>282</v>
      </c>
      <c r="H16" s="63" t="s">
        <v>282</v>
      </c>
      <c r="I16" s="63" t="s">
        <v>282</v>
      </c>
    </row>
    <row r="17" spans="1:9" ht="21" customHeight="1" x14ac:dyDescent="0.15">
      <c r="A17" s="68" t="s">
        <v>299</v>
      </c>
      <c r="B17" s="63" t="s">
        <v>282</v>
      </c>
      <c r="C17" s="52" t="s">
        <v>60</v>
      </c>
      <c r="D17" s="52" t="s">
        <v>60</v>
      </c>
      <c r="E17" s="52" t="s">
        <v>60</v>
      </c>
      <c r="F17" s="63" t="s">
        <v>282</v>
      </c>
      <c r="G17" s="63" t="s">
        <v>282</v>
      </c>
      <c r="H17" s="63" t="s">
        <v>282</v>
      </c>
      <c r="I17" s="63" t="s">
        <v>282</v>
      </c>
    </row>
    <row r="18" spans="1:9" ht="21" customHeight="1" x14ac:dyDescent="0.15">
      <c r="A18" s="68" t="s">
        <v>8</v>
      </c>
      <c r="B18" s="53" t="s">
        <v>61</v>
      </c>
      <c r="C18" s="53" t="s">
        <v>61</v>
      </c>
      <c r="D18" s="53" t="s">
        <v>61</v>
      </c>
      <c r="E18" s="63" t="s">
        <v>282</v>
      </c>
      <c r="F18" s="63" t="s">
        <v>282</v>
      </c>
      <c r="G18" s="63" t="s">
        <v>282</v>
      </c>
      <c r="H18" s="63" t="s">
        <v>282</v>
      </c>
      <c r="I18" s="63" t="s">
        <v>282</v>
      </c>
    </row>
    <row r="19" spans="1:9" ht="21" customHeight="1" x14ac:dyDescent="0.15">
      <c r="A19" s="69" t="s">
        <v>7</v>
      </c>
      <c r="B19" s="48" t="s">
        <v>62</v>
      </c>
      <c r="C19" s="48" t="s">
        <v>62</v>
      </c>
      <c r="D19" s="63" t="s">
        <v>282</v>
      </c>
      <c r="E19" s="63" t="s">
        <v>282</v>
      </c>
      <c r="F19" s="63" t="s">
        <v>282</v>
      </c>
      <c r="G19" s="63" t="s">
        <v>282</v>
      </c>
      <c r="H19" s="63" t="s">
        <v>282</v>
      </c>
      <c r="I19" s="63" t="s">
        <v>282</v>
      </c>
    </row>
    <row r="20" spans="1:9" ht="21" customHeight="1" x14ac:dyDescent="0.15">
      <c r="A20" s="70" t="s">
        <v>300</v>
      </c>
      <c r="B20" s="50" t="s">
        <v>63</v>
      </c>
      <c r="C20" s="50" t="s">
        <v>63</v>
      </c>
      <c r="D20" s="63" t="s">
        <v>282</v>
      </c>
      <c r="E20" s="63" t="s">
        <v>282</v>
      </c>
      <c r="F20" s="63" t="s">
        <v>282</v>
      </c>
      <c r="G20" s="63" t="s">
        <v>282</v>
      </c>
      <c r="H20" s="63" t="s">
        <v>282</v>
      </c>
      <c r="I20" s="63" t="s">
        <v>282</v>
      </c>
    </row>
    <row r="21" spans="1:9" ht="21" customHeight="1" x14ac:dyDescent="0.15">
      <c r="A21" s="35" t="s">
        <v>301</v>
      </c>
      <c r="B21" s="71" t="s">
        <v>47</v>
      </c>
      <c r="C21" s="71" t="s">
        <v>47</v>
      </c>
      <c r="D21" s="71" t="s">
        <v>47</v>
      </c>
      <c r="E21" s="71" t="s">
        <v>47</v>
      </c>
      <c r="F21" s="71" t="s">
        <v>47</v>
      </c>
      <c r="G21" s="71" t="s">
        <v>47</v>
      </c>
      <c r="H21" s="71" t="s">
        <v>47</v>
      </c>
      <c r="I21" s="71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302</v>
      </c>
      <c r="B27" s="19" t="s">
        <v>303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L1:IV2 A33:IV65535 L5:IV32">
    <cfRule type="cellIs" dxfId="24" priority="33" stopIfTrue="1" operator="equal">
      <formula>1</formula>
    </cfRule>
  </conditionalFormatting>
  <conditionalFormatting sqref="L3:IV3">
    <cfRule type="cellIs" dxfId="23" priority="27" stopIfTrue="1" operator="equal">
      <formula>1</formula>
    </cfRule>
  </conditionalFormatting>
  <conditionalFormatting sqref="L4:IV4">
    <cfRule type="cellIs" dxfId="22" priority="26" stopIfTrue="1" operator="equal">
      <formula>1</formula>
    </cfRule>
  </conditionalFormatting>
  <conditionalFormatting sqref="J1:K1 J11:J14 J15:K32 J7:K7">
    <cfRule type="cellIs" dxfId="21" priority="18" stopIfTrue="1" operator="equal">
      <formula>1</formula>
    </cfRule>
  </conditionalFormatting>
  <conditionalFormatting sqref="A25:B26 C25:I32">
    <cfRule type="cellIs" dxfId="20" priority="17" stopIfTrue="1" operator="equal">
      <formula>1</formula>
    </cfRule>
  </conditionalFormatting>
  <conditionalFormatting sqref="K11:K14">
    <cfRule type="cellIs" dxfId="19" priority="16" stopIfTrue="1" operator="equal">
      <formula>1</formula>
    </cfRule>
  </conditionalFormatting>
  <conditionalFormatting sqref="J8:K8">
    <cfRule type="cellIs" dxfId="18" priority="15" stopIfTrue="1" operator="equal">
      <formula>1</formula>
    </cfRule>
  </conditionalFormatting>
  <conditionalFormatting sqref="J10:K10">
    <cfRule type="cellIs" dxfId="17" priority="14" stopIfTrue="1" operator="equal">
      <formula>1</formula>
    </cfRule>
  </conditionalFormatting>
  <conditionalFormatting sqref="G20:I20">
    <cfRule type="cellIs" dxfId="16" priority="13" stopIfTrue="1" operator="equal">
      <formula>1</formula>
    </cfRule>
  </conditionalFormatting>
  <conditionalFormatting sqref="D19:G19 F16:G18 H16:I19">
    <cfRule type="cellIs" dxfId="15" priority="12" stopIfTrue="1" operator="equal">
      <formula>1</formula>
    </cfRule>
  </conditionalFormatting>
  <conditionalFormatting sqref="F18:G18">
    <cfRule type="cellIs" dxfId="14" priority="11" stopIfTrue="1" operator="equal">
      <formula>1</formula>
    </cfRule>
  </conditionalFormatting>
  <conditionalFormatting sqref="A21">
    <cfRule type="cellIs" dxfId="13" priority="10" stopIfTrue="1" operator="equal">
      <formula>1</formula>
    </cfRule>
  </conditionalFormatting>
  <conditionalFormatting sqref="G13:I15 H11:I12">
    <cfRule type="cellIs" dxfId="12" priority="9" stopIfTrue="1" operator="equal">
      <formula>1</formula>
    </cfRule>
  </conditionalFormatting>
  <conditionalFormatting sqref="B11:C16">
    <cfRule type="cellIs" dxfId="11" priority="8" stopIfTrue="1" operator="equal">
      <formula>1</formula>
    </cfRule>
  </conditionalFormatting>
  <conditionalFormatting sqref="B17">
    <cfRule type="cellIs" dxfId="10" priority="7" stopIfTrue="1" operator="equal">
      <formula>1</formula>
    </cfRule>
  </conditionalFormatting>
  <conditionalFormatting sqref="E18">
    <cfRule type="cellIs" dxfId="9" priority="6" stopIfTrue="1" operator="equal">
      <formula>1</formula>
    </cfRule>
  </conditionalFormatting>
  <conditionalFormatting sqref="F13">
    <cfRule type="cellIs" dxfId="8" priority="5" stopIfTrue="1" operator="equal">
      <formula>1</formula>
    </cfRule>
  </conditionalFormatting>
  <conditionalFormatting sqref="J2:K6">
    <cfRule type="cellIs" dxfId="7" priority="4" stopIfTrue="1" operator="equal">
      <formula>1</formula>
    </cfRule>
  </conditionalFormatting>
  <conditionalFormatting sqref="G6">
    <cfRule type="cellIs" dxfId="6" priority="3" stopIfTrue="1" operator="equal">
      <formula>1</formula>
    </cfRule>
  </conditionalFormatting>
  <conditionalFormatting sqref="F6">
    <cfRule type="cellIs" dxfId="5" priority="2" stopIfTrue="1" operator="equal">
      <formula>1</formula>
    </cfRule>
  </conditionalFormatting>
  <conditionalFormatting sqref="J9:K9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4" sqref="G14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ht="21" customHeight="1" x14ac:dyDescent="0.15">
      <c r="A2" s="149" t="s">
        <v>304</v>
      </c>
      <c r="B2" s="150"/>
      <c r="C2" s="151"/>
      <c r="D2" s="170" t="s">
        <v>11</v>
      </c>
      <c r="E2" s="170">
        <v>8000</v>
      </c>
      <c r="F2" s="170">
        <v>10000</v>
      </c>
      <c r="G2" s="170">
        <v>14000</v>
      </c>
      <c r="H2" s="151"/>
      <c r="I2" s="151"/>
    </row>
    <row r="3" spans="1:9" ht="21" customHeight="1" x14ac:dyDescent="0.15">
      <c r="A3" s="149" t="s">
        <v>305</v>
      </c>
      <c r="B3" s="153"/>
      <c r="C3" s="154"/>
      <c r="D3" s="170" t="s">
        <v>11</v>
      </c>
      <c r="E3" s="170">
        <v>7500</v>
      </c>
      <c r="F3" s="170">
        <v>9500</v>
      </c>
      <c r="G3" s="170">
        <v>13000</v>
      </c>
      <c r="H3" s="154"/>
      <c r="I3" s="154"/>
    </row>
    <row r="4" spans="1:9" s="43" customFormat="1" ht="21" customHeight="1" x14ac:dyDescent="0.15">
      <c r="A4" s="149" t="s">
        <v>306</v>
      </c>
      <c r="B4" s="156"/>
      <c r="C4" s="157"/>
      <c r="D4" s="170">
        <v>5000</v>
      </c>
      <c r="E4" s="170">
        <v>7000</v>
      </c>
      <c r="F4" s="170">
        <v>9000</v>
      </c>
      <c r="G4" s="170">
        <v>12000</v>
      </c>
      <c r="H4" s="157"/>
      <c r="I4" s="157"/>
    </row>
    <row r="5" spans="1:9" ht="21" customHeight="1" x14ac:dyDescent="0.15">
      <c r="A5" s="159" t="s">
        <v>307</v>
      </c>
      <c r="B5" s="160"/>
      <c r="C5" s="161"/>
      <c r="D5" s="170">
        <v>4900</v>
      </c>
      <c r="E5" s="170">
        <v>6700</v>
      </c>
      <c r="F5" s="170">
        <v>8500</v>
      </c>
      <c r="G5" s="170">
        <v>11000</v>
      </c>
      <c r="H5" s="161"/>
      <c r="I5" s="161"/>
    </row>
    <row r="6" spans="1:9" ht="21" customHeight="1" x14ac:dyDescent="0.15">
      <c r="A6" s="159" t="s">
        <v>308</v>
      </c>
      <c r="B6" s="160"/>
      <c r="C6" s="161"/>
      <c r="D6" s="170">
        <v>4800</v>
      </c>
      <c r="E6" s="170">
        <v>6600</v>
      </c>
      <c r="F6" s="170" t="s">
        <v>11</v>
      </c>
      <c r="G6" s="170" t="s">
        <v>11</v>
      </c>
      <c r="H6" s="161"/>
      <c r="I6" s="161"/>
    </row>
    <row r="7" spans="1:9" ht="21" customHeight="1" x14ac:dyDescent="0.15">
      <c r="A7" s="66" t="s">
        <v>309</v>
      </c>
      <c r="B7" s="44" t="s">
        <v>11</v>
      </c>
      <c r="C7" s="44" t="s">
        <v>11</v>
      </c>
      <c r="D7" s="44" t="s">
        <v>11</v>
      </c>
      <c r="E7" s="44" t="s">
        <v>11</v>
      </c>
      <c r="F7" s="44" t="s">
        <v>11</v>
      </c>
      <c r="G7" s="44" t="s">
        <v>11</v>
      </c>
      <c r="H7" s="44" t="s">
        <v>11</v>
      </c>
      <c r="I7" s="44" t="s">
        <v>11</v>
      </c>
    </row>
    <row r="8" spans="1:9" ht="21" customHeight="1" x14ac:dyDescent="0.15">
      <c r="A8" s="67" t="s">
        <v>310</v>
      </c>
      <c r="B8" s="44" t="s">
        <v>11</v>
      </c>
      <c r="C8" s="44" t="s">
        <v>11</v>
      </c>
      <c r="D8" s="44" t="s">
        <v>11</v>
      </c>
      <c r="E8" s="44">
        <v>8000</v>
      </c>
      <c r="F8" s="26">
        <v>10000</v>
      </c>
      <c r="G8" s="44">
        <v>14000</v>
      </c>
      <c r="H8" s="44" t="s">
        <v>11</v>
      </c>
      <c r="I8" s="44" t="s">
        <v>11</v>
      </c>
    </row>
    <row r="9" spans="1:9" ht="21" customHeight="1" x14ac:dyDescent="0.15">
      <c r="A9" s="162" t="s">
        <v>311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4">
        <v>14000</v>
      </c>
      <c r="H9" s="26" t="s">
        <v>11</v>
      </c>
      <c r="I9" s="26" t="s">
        <v>11</v>
      </c>
    </row>
    <row r="10" spans="1:9" ht="21" customHeight="1" x14ac:dyDescent="0.15">
      <c r="A10" s="68" t="s">
        <v>312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4">
        <v>13000</v>
      </c>
      <c r="H10" s="26" t="s">
        <v>11</v>
      </c>
      <c r="I10" s="26" t="s">
        <v>11</v>
      </c>
    </row>
    <row r="11" spans="1:9" ht="21" customHeight="1" x14ac:dyDescent="0.15">
      <c r="A11" s="68" t="s">
        <v>9</v>
      </c>
      <c r="B11" s="61" t="s">
        <v>11</v>
      </c>
      <c r="C11" s="61" t="s">
        <v>11</v>
      </c>
      <c r="D11" s="26">
        <v>5000</v>
      </c>
      <c r="E11" s="26">
        <v>7000</v>
      </c>
      <c r="F11" s="26">
        <v>9000</v>
      </c>
      <c r="G11" s="44">
        <v>12000</v>
      </c>
      <c r="H11" s="61" t="s">
        <v>11</v>
      </c>
      <c r="I11" s="61" t="s">
        <v>11</v>
      </c>
    </row>
    <row r="12" spans="1:9" ht="21" customHeight="1" x14ac:dyDescent="0.15">
      <c r="A12" s="68" t="s">
        <v>313</v>
      </c>
      <c r="B12" s="61" t="s">
        <v>11</v>
      </c>
      <c r="C12" s="61" t="s">
        <v>11</v>
      </c>
      <c r="D12" s="26">
        <v>4900</v>
      </c>
      <c r="E12" s="26">
        <v>6700</v>
      </c>
      <c r="F12" s="26">
        <v>8500</v>
      </c>
      <c r="G12" s="44">
        <v>11000</v>
      </c>
      <c r="H12" s="61" t="s">
        <v>11</v>
      </c>
      <c r="I12" s="61" t="s">
        <v>11</v>
      </c>
    </row>
    <row r="13" spans="1:9" ht="21" customHeight="1" x14ac:dyDescent="0.15">
      <c r="A13" s="68" t="s">
        <v>314</v>
      </c>
      <c r="B13" s="61" t="s">
        <v>11</v>
      </c>
      <c r="C13" s="61" t="s">
        <v>11</v>
      </c>
      <c r="D13" s="26">
        <v>4800</v>
      </c>
      <c r="E13" s="26">
        <v>6600</v>
      </c>
      <c r="F13" s="61" t="s">
        <v>11</v>
      </c>
      <c r="G13" s="61" t="s">
        <v>11</v>
      </c>
      <c r="H13" s="61" t="s">
        <v>11</v>
      </c>
      <c r="I13" s="61" t="s">
        <v>11</v>
      </c>
    </row>
    <row r="14" spans="1:9" ht="21" customHeight="1" x14ac:dyDescent="0.15">
      <c r="A14" s="68" t="s">
        <v>315</v>
      </c>
      <c r="B14" s="61" t="s">
        <v>11</v>
      </c>
      <c r="C14" s="61" t="s">
        <v>11</v>
      </c>
      <c r="D14" s="61" t="s">
        <v>11</v>
      </c>
      <c r="E14" s="26">
        <v>6300</v>
      </c>
      <c r="F14" s="61" t="s">
        <v>11</v>
      </c>
      <c r="G14" s="61" t="s">
        <v>11</v>
      </c>
      <c r="H14" s="61" t="s">
        <v>11</v>
      </c>
      <c r="I14" s="61" t="s">
        <v>11</v>
      </c>
    </row>
    <row r="15" spans="1:9" ht="21" customHeight="1" x14ac:dyDescent="0.15">
      <c r="A15" s="68" t="s">
        <v>316</v>
      </c>
      <c r="B15" s="61" t="s">
        <v>11</v>
      </c>
      <c r="C15" s="61" t="s">
        <v>11</v>
      </c>
      <c r="D15" s="26">
        <v>4600</v>
      </c>
      <c r="E15" s="26">
        <v>5800</v>
      </c>
      <c r="F15" s="26">
        <v>7600</v>
      </c>
      <c r="G15" s="61" t="s">
        <v>11</v>
      </c>
      <c r="H15" s="61" t="s">
        <v>11</v>
      </c>
      <c r="I15" s="61" t="s">
        <v>11</v>
      </c>
    </row>
    <row r="16" spans="1:9" ht="21" customHeight="1" x14ac:dyDescent="0.15">
      <c r="A16" s="68" t="s">
        <v>317</v>
      </c>
      <c r="B16" s="61" t="s">
        <v>11</v>
      </c>
      <c r="C16" s="61" t="s">
        <v>11</v>
      </c>
      <c r="D16" s="26">
        <v>4400</v>
      </c>
      <c r="E16" s="26">
        <v>5600</v>
      </c>
      <c r="F16" s="61" t="s">
        <v>11</v>
      </c>
      <c r="G16" s="61" t="s">
        <v>11</v>
      </c>
      <c r="H16" s="61" t="s">
        <v>11</v>
      </c>
      <c r="I16" s="61" t="s">
        <v>11</v>
      </c>
    </row>
    <row r="17" spans="1:9" ht="21" customHeight="1" x14ac:dyDescent="0.15">
      <c r="A17" s="68" t="s">
        <v>318</v>
      </c>
      <c r="B17" s="61" t="s">
        <v>11</v>
      </c>
      <c r="C17" s="26">
        <v>3000</v>
      </c>
      <c r="D17" s="26">
        <v>4200</v>
      </c>
      <c r="E17" s="26">
        <v>5400</v>
      </c>
      <c r="F17" s="61" t="s">
        <v>11</v>
      </c>
      <c r="G17" s="61" t="s">
        <v>11</v>
      </c>
      <c r="H17" s="61" t="s">
        <v>11</v>
      </c>
      <c r="I17" s="61" t="s">
        <v>11</v>
      </c>
    </row>
    <row r="18" spans="1:9" ht="21" customHeight="1" x14ac:dyDescent="0.15">
      <c r="A18" s="68" t="s">
        <v>8</v>
      </c>
      <c r="B18" s="26">
        <v>2000</v>
      </c>
      <c r="C18" s="26">
        <v>2800</v>
      </c>
      <c r="D18" s="26">
        <v>4000</v>
      </c>
      <c r="E18" s="61" t="s">
        <v>11</v>
      </c>
      <c r="F18" s="61" t="s">
        <v>11</v>
      </c>
      <c r="G18" s="61" t="s">
        <v>11</v>
      </c>
      <c r="H18" s="61" t="s">
        <v>11</v>
      </c>
      <c r="I18" s="61" t="s">
        <v>11</v>
      </c>
    </row>
    <row r="19" spans="1:9" ht="21" customHeight="1" x14ac:dyDescent="0.15">
      <c r="A19" s="69" t="s">
        <v>7</v>
      </c>
      <c r="B19" s="26">
        <v>1750</v>
      </c>
      <c r="C19" s="26">
        <v>2550</v>
      </c>
      <c r="D19" s="61" t="s">
        <v>11</v>
      </c>
      <c r="E19" s="61" t="s">
        <v>11</v>
      </c>
      <c r="F19" s="61" t="s">
        <v>11</v>
      </c>
      <c r="G19" s="61" t="s">
        <v>11</v>
      </c>
      <c r="H19" s="61" t="s">
        <v>11</v>
      </c>
      <c r="I19" s="61" t="s">
        <v>11</v>
      </c>
    </row>
    <row r="20" spans="1:9" ht="21" customHeight="1" x14ac:dyDescent="0.15">
      <c r="A20" s="69" t="s">
        <v>319</v>
      </c>
      <c r="B20" s="26">
        <v>1500</v>
      </c>
      <c r="C20" s="26">
        <v>2300</v>
      </c>
      <c r="D20" s="61" t="s">
        <v>11</v>
      </c>
      <c r="E20" s="61" t="s">
        <v>11</v>
      </c>
      <c r="F20" s="61" t="s">
        <v>11</v>
      </c>
      <c r="G20" s="61" t="s">
        <v>11</v>
      </c>
      <c r="H20" s="61" t="s">
        <v>11</v>
      </c>
      <c r="I20" s="61" t="s">
        <v>11</v>
      </c>
    </row>
    <row r="21" spans="1:9" ht="21" customHeight="1" x14ac:dyDescent="0.15">
      <c r="A21" s="35" t="s">
        <v>320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17:R65536 J1:K1048576 S1:IU1048576 L1:R14">
    <cfRule type="cellIs" dxfId="3" priority="3" stopIfTrue="1" operator="equal">
      <formula>1</formula>
    </cfRule>
  </conditionalFormatting>
  <conditionalFormatting sqref="A22:I65536">
    <cfRule type="cellIs" dxfId="2" priority="4" stopIfTrue="1" operator="equal">
      <formula>1</formula>
    </cfRule>
  </conditionalFormatting>
  <conditionalFormatting sqref="A21:I21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106</v>
      </c>
      <c r="G1" s="21" t="s">
        <v>107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/>
      <c r="G8" s="22">
        <v>6</v>
      </c>
      <c r="H8" s="33"/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48"/>
  <sheetViews>
    <sheetView workbookViewId="0">
      <selection activeCell="A21" sqref="A21"/>
    </sheetView>
  </sheetViews>
  <sheetFormatPr baseColWidth="12" defaultRowHeight="15" x14ac:dyDescent="0.15"/>
  <sheetData>
    <row r="2" spans="1:2" x14ac:dyDescent="0.15">
      <c r="A2" t="s">
        <v>194</v>
      </c>
    </row>
    <row r="3" spans="1:2" x14ac:dyDescent="0.15">
      <c r="A3" t="s">
        <v>195</v>
      </c>
      <c r="B3" s="124"/>
    </row>
    <row r="4" spans="1:2" x14ac:dyDescent="0.15">
      <c r="A4" t="s">
        <v>196</v>
      </c>
      <c r="B4" s="124"/>
    </row>
    <row r="7" spans="1:2" x14ac:dyDescent="0.15">
      <c r="A7" t="s">
        <v>197</v>
      </c>
    </row>
    <row r="8" spans="1:2" x14ac:dyDescent="0.15">
      <c r="A8" t="str">
        <f>A2 &amp;" "&amp;IF(B2="","",B2)&amp;" "&amp; IFERROR(VLOOKUP(B2,units!A:B,2),"なし")</f>
        <v>R3  なし</v>
      </c>
    </row>
    <row r="9" spans="1:2" x14ac:dyDescent="0.15">
      <c r="A9" t="str">
        <f>A3 &amp;" "&amp;IF(B3="","",B3)&amp;" "&amp; IFERROR(VLOOKUP(B3,units!A:B,2),"なし")</f>
        <v>R4  なし</v>
      </c>
    </row>
    <row r="10" spans="1:2" x14ac:dyDescent="0.15">
      <c r="A10" t="str">
        <f>A4 &amp;" "&amp;IF(B4="","",B4)&amp;" "&amp; IFERROR(VLOOKUP(B4,units!A:B,2),"なし")</f>
        <v>R5  なし</v>
      </c>
    </row>
    <row r="12" spans="1:2" ht="19" customHeight="1" x14ac:dyDescent="0.15">
      <c r="A12" t="s">
        <v>198</v>
      </c>
    </row>
    <row r="13" spans="1:2" x14ac:dyDescent="0.15">
      <c r="A13" t="str">
        <f>IFERROR(VLOOKUP($B$2,unit_skills!A:I,3),"なし")</f>
        <v>なし</v>
      </c>
    </row>
    <row r="14" spans="1:2" x14ac:dyDescent="0.15">
      <c r="A14" t="str">
        <f>IFERROR(VLOOKUP($B$2,unit_skills!A:I,4),"なし")</f>
        <v>なし</v>
      </c>
    </row>
    <row r="15" spans="1:2" x14ac:dyDescent="0.15">
      <c r="A15" t="str">
        <f>"cost:"&amp;IFERROR(VLOOKUP($B$2,unit_skills!A:I,6),"なし")</f>
        <v>cost:なし</v>
      </c>
    </row>
    <row r="16" spans="1:2" x14ac:dyDescent="0.15">
      <c r="A16" t="str">
        <f>IFERROR(VLOOKUP($B$2,unit_skills!A:I,9),"なし")</f>
        <v>なし</v>
      </c>
    </row>
    <row r="18" spans="1:1" x14ac:dyDescent="0.15">
      <c r="A18" t="str">
        <f>IFERROR(VLOOKUP($B$3,unit_skills!A:I,3),"なし")</f>
        <v>なし</v>
      </c>
    </row>
    <row r="19" spans="1:1" x14ac:dyDescent="0.15">
      <c r="A19" t="str">
        <f>IFERROR(VLOOKUP($B$3,unit_skills!A:I,4),"なし")</f>
        <v>なし</v>
      </c>
    </row>
    <row r="20" spans="1:1" x14ac:dyDescent="0.15">
      <c r="A20" t="str">
        <f>"cost:"&amp;IFERROR(VLOOKUP($B$3,unit_skills!A:I,6),"なし")</f>
        <v>cost:なし</v>
      </c>
    </row>
    <row r="21" spans="1:1" x14ac:dyDescent="0.15">
      <c r="A21" t="str">
        <f>IFERROR(VLOOKUP($B$3,unit_skills!A:I,9),"なし")</f>
        <v>なし</v>
      </c>
    </row>
    <row r="23" spans="1:1" x14ac:dyDescent="0.15">
      <c r="A23" t="str">
        <f>IFERROR(VLOOKUP($B$4,unit_skills!A:I,3),"なし")</f>
        <v>なし</v>
      </c>
    </row>
    <row r="24" spans="1:1" x14ac:dyDescent="0.15">
      <c r="A24" t="str">
        <f>IFERROR(VLOOKUP($B$4,unit_skills!A:I,4),"なし")</f>
        <v>なし</v>
      </c>
    </row>
    <row r="25" spans="1:1" x14ac:dyDescent="0.15">
      <c r="A25" t="str">
        <f>"cost:"&amp;IFERROR(VLOOKUP($B$4,unit_skills!A:I,6),"なし")</f>
        <v>cost:なし</v>
      </c>
    </row>
    <row r="26" spans="1:1" x14ac:dyDescent="0.15">
      <c r="A26" t="str">
        <f>IFERROR(VLOOKUP($B$4,unit_skills!A:I,9),"なし")</f>
        <v>なし</v>
      </c>
    </row>
    <row r="28" spans="1:1" x14ac:dyDescent="0.15">
      <c r="A28" t="s">
        <v>199</v>
      </c>
    </row>
    <row r="29" spans="1:1" x14ac:dyDescent="0.15">
      <c r="A29" t="str">
        <f>IFERROR(VLOOKUP($B$2,crash_skills!A:I,3),"なし")</f>
        <v>なし</v>
      </c>
    </row>
    <row r="30" spans="1:1" x14ac:dyDescent="0.15">
      <c r="A30" t="str">
        <f>IFERROR(VLOOKUP($B$2,crash_skills!A:I,4),"なし")</f>
        <v>なし</v>
      </c>
    </row>
    <row r="31" spans="1:1" x14ac:dyDescent="0.15">
      <c r="A31" t="str">
        <f>IFERROR(VLOOKUP($B$2,crash_skills!A:I,6),"なし")</f>
        <v>なし</v>
      </c>
    </row>
    <row r="33" spans="1:1" x14ac:dyDescent="0.15">
      <c r="A33" t="str">
        <f>IFERROR(VLOOKUP($B$3,crash_skills!A:I,3),"なし")</f>
        <v>なし</v>
      </c>
    </row>
    <row r="34" spans="1:1" x14ac:dyDescent="0.15">
      <c r="A34" t="str">
        <f>IFERROR(VLOOKUP($B$3,crash_skills!A:I,4),"なし")</f>
        <v>なし</v>
      </c>
    </row>
    <row r="35" spans="1:1" x14ac:dyDescent="0.15">
      <c r="A35" t="str">
        <f>IFERROR(VLOOKUP($B$3,crash_skills!A:I,6),"なし")</f>
        <v>なし</v>
      </c>
    </row>
    <row r="37" spans="1:1" x14ac:dyDescent="0.15">
      <c r="A37" t="str">
        <f>IFERROR(VLOOKUP($B$4,crash_skills!A:I,3),"なし")</f>
        <v>なし</v>
      </c>
    </row>
    <row r="38" spans="1:1" x14ac:dyDescent="0.15">
      <c r="A38" t="str">
        <f>IFERROR(VLOOKUP($B$4,crash_skills!A:I,4),"なし")</f>
        <v>なし</v>
      </c>
    </row>
    <row r="39" spans="1:1" x14ac:dyDescent="0.15">
      <c r="A39" t="str">
        <f>IFERROR(VLOOKUP($B$4,crash_skills!A:I,6),"なし")</f>
        <v>なし</v>
      </c>
    </row>
    <row r="41" spans="1:1" x14ac:dyDescent="0.15">
      <c r="A41" t="s">
        <v>200</v>
      </c>
    </row>
    <row r="42" spans="1:1" x14ac:dyDescent="0.15">
      <c r="A42" t="str">
        <f>IFERROR(VLOOKUP($B$3,awake_materials!A:I,2),"なし")</f>
        <v>なし</v>
      </c>
    </row>
    <row r="43" spans="1:1" x14ac:dyDescent="0.15">
      <c r="A43" t="str">
        <f>IFERROR(VLOOKUP($B$3,awake_materials!A:I,2),"なし")</f>
        <v>なし</v>
      </c>
    </row>
    <row r="44" spans="1:1" x14ac:dyDescent="0.15">
      <c r="A44" t="str">
        <f>IFERROR(VLOOKUP($B$3,awake_materials!A:I,2),"なし")</f>
        <v>なし</v>
      </c>
    </row>
    <row r="45" spans="1:1" x14ac:dyDescent="0.15">
      <c r="A45" t="str">
        <f>IFERROR(VLOOKUP($B$3,awake_materials!A:I,2),"なし")</f>
        <v>なし</v>
      </c>
    </row>
    <row r="46" spans="1:1" x14ac:dyDescent="0.15">
      <c r="A46" t="str">
        <f>IFERROR(VLOOKUP($B$3,awake_materials!A:I,2),"なし")</f>
        <v>なし</v>
      </c>
    </row>
    <row r="48" spans="1:1" x14ac:dyDescent="0.15">
      <c r="A48" s="136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2017-06-06T10:07:07Z</dcterms:modified>
</cp:coreProperties>
</file>